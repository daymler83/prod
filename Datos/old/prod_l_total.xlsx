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14EB09F7-FA60-4654-A403-56D91DDCBFB3}" xr6:coauthVersionLast="47" xr6:coauthVersionMax="47" xr10:uidLastSave="{00000000-0000-0000-0000-000000000000}"/>
  <bookViews>
    <workbookView xWindow="-80" yWindow="-80" windowWidth="19360" windowHeight="10360" firstSheet="2" activeTab="2" xr2:uid="{4FF7791F-1E13-44F4-8783-07B9662DA2D5}"/>
  </bookViews>
  <sheets>
    <sheet name="Manufactura" sheetId="4" r:id="rId1"/>
    <sheet name="Hoja2" sheetId="2" r:id="rId2"/>
    <sheet name="total" sheetId="1" r:id="rId3"/>
  </sheets>
  <definedNames>
    <definedName name="_xlnm._FilterDatabase" localSheetId="2" hidden="1">total!$A$1:$L$46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H12" i="2"/>
  <c r="G12" i="2"/>
  <c r="F12" i="2"/>
  <c r="E12" i="2"/>
  <c r="D12" i="2"/>
  <c r="C12" i="2"/>
  <c r="B12" i="2"/>
  <c r="C11" i="2"/>
  <c r="D11" i="2"/>
  <c r="E11" i="2"/>
  <c r="F11" i="2"/>
  <c r="G11" i="2"/>
  <c r="H11" i="2"/>
  <c r="B11" i="2"/>
  <c r="K37" i="1"/>
  <c r="I9" i="2"/>
  <c r="H9" i="2"/>
  <c r="G9" i="2"/>
  <c r="F9" i="2"/>
  <c r="E9" i="2"/>
  <c r="D9" i="2"/>
  <c r="C9" i="2"/>
  <c r="D8" i="2"/>
  <c r="E8" i="2"/>
  <c r="F8" i="2"/>
  <c r="G8" i="2"/>
  <c r="H8" i="2"/>
  <c r="C8" i="2"/>
  <c r="K4" i="1"/>
  <c r="L4" i="1" s="1"/>
  <c r="K6" i="1"/>
  <c r="L6" i="1" s="1"/>
  <c r="K13" i="1"/>
  <c r="L13" i="1" s="1"/>
  <c r="K24" i="1"/>
  <c r="L24" i="1" s="1"/>
  <c r="K44" i="1"/>
  <c r="L44" i="1" s="1"/>
  <c r="K46" i="1"/>
  <c r="L46" i="1" s="1"/>
  <c r="I3" i="1"/>
  <c r="K3" i="1" s="1"/>
  <c r="L3" i="1" s="1"/>
  <c r="I4" i="1"/>
  <c r="I5" i="1"/>
  <c r="K5" i="1" s="1"/>
  <c r="L5" i="1" s="1"/>
  <c r="I6" i="1"/>
  <c r="I7" i="1"/>
  <c r="K7" i="1" s="1"/>
  <c r="L7" i="1" s="1"/>
  <c r="I8" i="1"/>
  <c r="K8" i="1" s="1"/>
  <c r="L8" i="1" s="1"/>
  <c r="I9" i="1"/>
  <c r="K9" i="1" s="1"/>
  <c r="L9" i="1" s="1"/>
  <c r="I10" i="1"/>
  <c r="K10" i="1" s="1"/>
  <c r="L10" i="1" s="1"/>
  <c r="I11" i="1"/>
  <c r="K11" i="1" s="1"/>
  <c r="L11" i="1" s="1"/>
  <c r="I12" i="1"/>
  <c r="K12" i="1" s="1"/>
  <c r="L12" i="1" s="1"/>
  <c r="I13" i="1"/>
  <c r="I14" i="1"/>
  <c r="K14" i="1" s="1"/>
  <c r="L14" i="1" s="1"/>
  <c r="I15" i="1"/>
  <c r="K15" i="1" s="1"/>
  <c r="L15" i="1" s="1"/>
  <c r="I16" i="1"/>
  <c r="K16" i="1" s="1"/>
  <c r="L16" i="1" s="1"/>
  <c r="I17" i="1"/>
  <c r="K17" i="1" s="1"/>
  <c r="L17" i="1" s="1"/>
  <c r="I18" i="1"/>
  <c r="K18" i="1" s="1"/>
  <c r="L18" i="1" s="1"/>
  <c r="I19" i="1"/>
  <c r="K19" i="1" s="1"/>
  <c r="L19" i="1" s="1"/>
  <c r="I20" i="1"/>
  <c r="K20" i="1" s="1"/>
  <c r="L20" i="1" s="1"/>
  <c r="I21" i="1"/>
  <c r="K21" i="1" s="1"/>
  <c r="L21" i="1" s="1"/>
  <c r="I22" i="1"/>
  <c r="K22" i="1" s="1"/>
  <c r="L22" i="1" s="1"/>
  <c r="I23" i="1"/>
  <c r="K23" i="1" s="1"/>
  <c r="L23" i="1" s="1"/>
  <c r="I24" i="1"/>
  <c r="I25" i="1"/>
  <c r="K25" i="1" s="1"/>
  <c r="L25" i="1" s="1"/>
  <c r="I26" i="1"/>
  <c r="K26" i="1" s="1"/>
  <c r="L26" i="1" s="1"/>
  <c r="I27" i="1"/>
  <c r="K27" i="1" s="1"/>
  <c r="L27" i="1" s="1"/>
  <c r="I28" i="1"/>
  <c r="K28" i="1" s="1"/>
  <c r="L28" i="1" s="1"/>
  <c r="I29" i="1"/>
  <c r="K29" i="1" s="1"/>
  <c r="L29" i="1" s="1"/>
  <c r="I30" i="1"/>
  <c r="K30" i="1" s="1"/>
  <c r="L30" i="1" s="1"/>
  <c r="I31" i="1"/>
  <c r="K31" i="1" s="1"/>
  <c r="L31" i="1" s="1"/>
  <c r="I32" i="1"/>
  <c r="K32" i="1" s="1"/>
  <c r="L32" i="1" s="1"/>
  <c r="I33" i="1"/>
  <c r="K33" i="1" s="1"/>
  <c r="L33" i="1" s="1"/>
  <c r="I34" i="1"/>
  <c r="K34" i="1" s="1"/>
  <c r="L34" i="1" s="1"/>
  <c r="I35" i="1"/>
  <c r="K35" i="1" s="1"/>
  <c r="L35" i="1" s="1"/>
  <c r="I36" i="1"/>
  <c r="K36" i="1" s="1"/>
  <c r="L36" i="1" s="1"/>
  <c r="I52" i="1"/>
  <c r="L37" i="1" s="1"/>
  <c r="I38" i="1"/>
  <c r="K38" i="1" s="1"/>
  <c r="L38" i="1" s="1"/>
  <c r="I39" i="1"/>
  <c r="K39" i="1" s="1"/>
  <c r="L39" i="1" s="1"/>
  <c r="I40" i="1"/>
  <c r="K40" i="1" s="1"/>
  <c r="L40" i="1" s="1"/>
  <c r="I41" i="1"/>
  <c r="K41" i="1" s="1"/>
  <c r="L41" i="1" s="1"/>
  <c r="I42" i="1"/>
  <c r="K42" i="1" s="1"/>
  <c r="L42" i="1" s="1"/>
  <c r="I43" i="1"/>
  <c r="K43" i="1" s="1"/>
  <c r="L43" i="1" s="1"/>
  <c r="I44" i="1"/>
  <c r="I45" i="1"/>
  <c r="K45" i="1" s="1"/>
  <c r="L45" i="1" s="1"/>
  <c r="I46" i="1"/>
  <c r="I2" i="1"/>
  <c r="K2" i="1" s="1"/>
  <c r="L2" i="1" s="1"/>
</calcChain>
</file>

<file path=xl/sharedStrings.xml><?xml version="1.0" encoding="utf-8"?>
<sst xmlns="http://schemas.openxmlformats.org/spreadsheetml/2006/main" count="113" uniqueCount="22">
  <si>
    <t>pais</t>
  </si>
  <si>
    <t>year</t>
  </si>
  <si>
    <t>act</t>
  </si>
  <si>
    <t>CI</t>
  </si>
  <si>
    <t>EMP</t>
  </si>
  <si>
    <t>REM</t>
  </si>
  <si>
    <t>VA</t>
  </si>
  <si>
    <t>VBP</t>
  </si>
  <si>
    <t>CHL</t>
  </si>
  <si>
    <t>C</t>
  </si>
  <si>
    <t>G</t>
  </si>
  <si>
    <t>J</t>
  </si>
  <si>
    <t>MEX</t>
  </si>
  <si>
    <t>deflactores</t>
  </si>
  <si>
    <t>VA_comp</t>
  </si>
  <si>
    <t>Va_defl</t>
  </si>
  <si>
    <t>prod_l</t>
  </si>
  <si>
    <t>Etiquetas de fila</t>
  </si>
  <si>
    <t>Etiquetas de columna</t>
  </si>
  <si>
    <t>Suma de prod_l</t>
  </si>
  <si>
    <t>Chile</t>
  </si>
  <si>
    <t>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</si>
</sst>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Hoja2!$B$8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Hoja2!$C$4:$I$4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Hoja2!$C$8:$I$8</c:f>
              <c:numCache>
                <c:formatCode>General</c:formatCode>
                <c:ptCount val="7"/>
                <c:pt idx="0">
                  <c:v>11.541612435757358</c:v>
                </c:pt>
                <c:pt idx="1">
                  <c:v>-10.573116585643319</c:v>
                </c:pt>
                <c:pt idx="2">
                  <c:v>13.991693603703865</c:v>
                </c:pt>
                <c:pt idx="3">
                  <c:v>-10.935269016843762</c:v>
                </c:pt>
                <c:pt idx="4">
                  <c:v>-15.315461985078628</c:v>
                </c:pt>
                <c:pt idx="5">
                  <c:v>-22.527881996858895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9-4556-A761-C54AC178E4C1}"/>
            </c:ext>
          </c:extLst>
        </c:ser>
        <c:ser>
          <c:idx val="1"/>
          <c:order val="1"/>
          <c:tx>
            <c:strRef>
              <c:f>Hoja2!$B$9</c:f>
              <c:strCache>
                <c:ptCount val="1"/>
                <c:pt idx="0">
                  <c:v>México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Hoja2!$C$4:$I$4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Hoja2!$C$9:$I$9</c:f>
              <c:numCache>
                <c:formatCode>General</c:formatCode>
                <c:ptCount val="7"/>
                <c:pt idx="0">
                  <c:v>-5.3861310416841661</c:v>
                </c:pt>
                <c:pt idx="1">
                  <c:v>11.715028170588695</c:v>
                </c:pt>
                <c:pt idx="2">
                  <c:v>-8.6718260101612969</c:v>
                </c:pt>
                <c:pt idx="3">
                  <c:v>-9.7713772253930813</c:v>
                </c:pt>
                <c:pt idx="4">
                  <c:v>28.987459764020826</c:v>
                </c:pt>
                <c:pt idx="5">
                  <c:v>56.367276590069224</c:v>
                </c:pt>
                <c:pt idx="6">
                  <c:v>26.763224376472095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9-4556-A761-C54AC178E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3890936"/>
        <c:axId val="1013938680"/>
      </c:lineChart>
      <c:catAx>
        <c:axId val="125389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3938680"/>
        <c:crosses val="autoZero"/>
        <c:auto val="1"/>
        <c:lblAlgn val="ctr"/>
        <c:lblOffset val="100"/>
        <c:noMultiLvlLbl val="0"/>
      </c:catAx>
      <c:valAx>
        <c:axId val="1013938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5389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Hoja2!$B$4:$I$4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Hoja2!$B$11:$I$11</c:f>
              <c:numCache>
                <c:formatCode>General</c:formatCode>
                <c:ptCount val="8"/>
                <c:pt idx="0">
                  <c:v>1.0025244798362676</c:v>
                </c:pt>
                <c:pt idx="1">
                  <c:v>1.1182319698725618</c:v>
                </c:pt>
                <c:pt idx="2">
                  <c:v>1</c:v>
                </c:pt>
                <c:pt idx="3">
                  <c:v>1.1399169360370387</c:v>
                </c:pt>
                <c:pt idx="4">
                  <c:v>1.0152639525128258</c:v>
                </c:pt>
                <c:pt idx="5">
                  <c:v>0.85977158781751728</c:v>
                </c:pt>
                <c:pt idx="6">
                  <c:v>0.66608325907146693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8-4405-912E-C3C888296D1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Hoja2!$B$4:$I$4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Hoja2!$B$12:$I$12</c:f>
              <c:numCache>
                <c:formatCode>General</c:formatCode>
                <c:ptCount val="8"/>
                <c:pt idx="0">
                  <c:v>0.94609249756540947</c:v>
                </c:pt>
                <c:pt idx="1">
                  <c:v>0.89513471587099402</c:v>
                </c:pt>
                <c:pt idx="2">
                  <c:v>1</c:v>
                </c:pt>
                <c:pt idx="3">
                  <c:v>0.91328173989838701</c:v>
                </c:pt>
                <c:pt idx="4">
                  <c:v>0.82404153596228236</c:v>
                </c:pt>
                <c:pt idx="5">
                  <c:v>1.0629102446381684</c:v>
                </c:pt>
                <c:pt idx="6">
                  <c:v>1.6620438021375465</c:v>
                </c:pt>
                <c:pt idx="7">
                  <c:v>2.1068603141388658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C8-4405-912E-C3C888296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111144"/>
        <c:axId val="1038114744"/>
      </c:lineChart>
      <c:catAx>
        <c:axId val="103811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38114744"/>
        <c:crosses val="autoZero"/>
        <c:auto val="1"/>
        <c:lblAlgn val="ctr"/>
        <c:lblOffset val="100"/>
        <c:noMultiLvlLbl val="0"/>
      </c:catAx>
      <c:valAx>
        <c:axId val="103811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3811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BC1268-8576-4174-9F9E-A9C83DEAC03F}">
  <sheetPr/>
  <sheetViews>
    <sheetView zoomScale="10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245" cy="628283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835636-ABA9-C527-AAE9-995F4F5AD8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600074</xdr:colOff>
      <xdr:row>6</xdr:row>
      <xdr:rowOff>14287</xdr:rowOff>
    </xdr:from>
    <xdr:to>
      <xdr:col>15</xdr:col>
      <xdr:colOff>685799</xdr:colOff>
      <xdr:row>20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0F59C8-9429-0B62-A20E-9A3742E1A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Del Jesus O´Farrill Rolando" refreshedDate="45936.438507175924" createdVersion="8" refreshedVersion="8" minRefreshableVersion="3" recordCount="45" xr:uid="{8509DEA4-4BBA-488A-856B-714078964E98}">
  <cacheSource type="worksheet">
    <worksheetSource ref="A1:L46" sheet="total"/>
  </cacheSource>
  <cacheFields count="12">
    <cacheField name="pais" numFmtId="0">
      <sharedItems count="2">
        <s v="CHL"/>
        <s v="MEX"/>
      </sharedItems>
    </cacheField>
    <cacheField name="year" numFmtId="0">
      <sharedItems containsSemiMixedTypes="0" containsString="0" containsNumber="1" containsInteger="1" minValue="2016" maxValue="2023" count="8">
        <n v="2016"/>
        <n v="2017"/>
        <n v="2018"/>
        <n v="2019"/>
        <n v="2020"/>
        <n v="2021"/>
        <n v="2022"/>
        <n v="2023"/>
      </sharedItems>
    </cacheField>
    <cacheField name="act" numFmtId="0">
      <sharedItems count="3">
        <s v="C"/>
        <s v="G"/>
        <s v="J"/>
      </sharedItems>
    </cacheField>
    <cacheField name="CI" numFmtId="0">
      <sharedItems containsSemiMixedTypes="0" containsString="0" containsNumber="1" minValue="1307379095.0260472" maxValue="849264497627.1189"/>
    </cacheField>
    <cacheField name="EMP" numFmtId="0">
      <sharedItems containsSemiMixedTypes="0" containsString="0" containsNumber="1" minValue="174830" maxValue="12722633.552135048"/>
    </cacheField>
    <cacheField name="REM" numFmtId="0">
      <sharedItems containsSemiMixedTypes="0" containsString="0" containsNumber="1" minValue="444217.5777063237" maxValue="68197150112.9944"/>
    </cacheField>
    <cacheField name="VA" numFmtId="0">
      <sharedItems containsString="0" containsBlank="1" containsNumber="1" minValue="14485623899.688414" maxValue="26806511820.384472"/>
    </cacheField>
    <cacheField name="VBP" numFmtId="0">
      <sharedItems containsSemiMixedTypes="0" containsString="0" containsNumber="1" minValue="3378773656.8566871" maxValue="1064392767344.6329"/>
    </cacheField>
    <cacheField name="VA_comp" numFmtId="0">
      <sharedItems containsSemiMixedTypes="0" containsString="0" containsNumber="1" minValue="2071394561.8306398" maxValue="362890741472.11322"/>
    </cacheField>
    <cacheField name="deflactores" numFmtId="0">
      <sharedItems containsSemiMixedTypes="0" containsString="0" containsNumber="1" minValue="87.843656614857693" maxValue="138.33137560220047"/>
    </cacheField>
    <cacheField name="Va_defl" numFmtId="0">
      <sharedItems containsSemiMixedTypes="0" containsString="0" containsNumber="1" minValue="2205322885.3502874" maxValue="307627203273.36371"/>
    </cacheField>
    <cacheField name="prod_l" numFmtId="0">
      <sharedItems containsSemiMixedTypes="0" containsString="0" containsNumber="1" minValue="4927.1070360428776" maxValue="141418.896426772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n v="42375737945.107758"/>
    <n v="435475"/>
    <n v="6456914616.2184706"/>
    <n v="17213838067.339092"/>
    <n v="59589576029.841507"/>
    <n v="17213838067.339092"/>
    <n v="95.6292626364488"/>
    <n v="18000596880.873669"/>
    <n v="41335.545969053717"/>
  </r>
  <r>
    <x v="0"/>
    <x v="0"/>
    <x v="1"/>
    <n v="15753709474.710632"/>
    <n v="4567988"/>
    <n v="6684581487.8279047"/>
    <m/>
    <n v="177487818290.59293"/>
    <n v="161734108815.88229"/>
    <n v="99.274640339341374"/>
    <n v="162915834560.61029"/>
    <n v="35664.680940626436"/>
  </r>
  <r>
    <x v="0"/>
    <x v="0"/>
    <x v="2"/>
    <n v="1479212071.6142743"/>
    <n v="427942"/>
    <n v="1211601670.7043252"/>
    <m/>
    <n v="5103802966.2018394"/>
    <n v="3624590894.5875654"/>
    <n v="108.15408937171394"/>
    <n v="3351321171.1581588"/>
    <n v="7831.2508965190582"/>
  </r>
  <r>
    <x v="0"/>
    <x v="1"/>
    <x v="0"/>
    <n v="48998278075.25058"/>
    <n v="497080.75"/>
    <n v="6973629772.6523085"/>
    <n v="26411425339.462753"/>
    <n v="75409703414.713501"/>
    <n v="26411425339.462753"/>
    <n v="95.003435419369978"/>
    <n v="27800495027.233303"/>
    <n v="55927.522896900155"/>
  </r>
  <r>
    <x v="0"/>
    <x v="1"/>
    <x v="1"/>
    <n v="16930446477.505695"/>
    <n v="4538534"/>
    <n v="7273280548.0634413"/>
    <m/>
    <n v="199768436260.65393"/>
    <n v="182837989783.14822"/>
    <n v="101.26878117755582"/>
    <n v="180547240380.60266"/>
    <n v="39780.960191242957"/>
  </r>
  <r>
    <x v="0"/>
    <x v="1"/>
    <x v="2"/>
    <n v="1483588543.9945776"/>
    <n v="425807"/>
    <n v="1182737082.1324539"/>
    <m/>
    <n v="3891353151.0565152"/>
    <n v="2407764607.0619373"/>
    <n v="105.31818429636112"/>
    <n v="2286181273.5838523"/>
    <n v="5369.0551672092106"/>
  </r>
  <r>
    <x v="1"/>
    <x v="0"/>
    <x v="0"/>
    <n v="271916926205.78824"/>
    <n v="4054915"/>
    <n v="27366591479.099667"/>
    <m/>
    <n v="414633293997.85608"/>
    <n v="142716367792.06784"/>
    <n v="87.843656614857693"/>
    <n v="162466333132.95966"/>
    <n v="40066.520046156249"/>
  </r>
  <r>
    <x v="1"/>
    <x v="0"/>
    <x v="1"/>
    <n v="367041333386.92334"/>
    <n v="6489757"/>
    <n v="11795540621.650585"/>
    <m/>
    <n v="425877678081.45764"/>
    <n v="58836344694.534302"/>
    <n v="89.823983496182905"/>
    <n v="65501820788.247009"/>
    <n v="10093.108384219473"/>
  </r>
  <r>
    <x v="1"/>
    <x v="0"/>
    <x v="2"/>
    <n v="10278716881.028938"/>
    <n v="184787"/>
    <n v="444217.5777063237"/>
    <m/>
    <n v="25004900589.49625"/>
    <n v="14726183708.467312"/>
    <n v="101.61929609177599"/>
    <n v="14491523042.206053"/>
    <n v="78422.849238344977"/>
  </r>
  <r>
    <x v="1"/>
    <x v="1"/>
    <x v="0"/>
    <n v="299323224617.01001"/>
    <n v="4170595"/>
    <n v="29451203961.96513"/>
    <m/>
    <n v="455034803856.3125"/>
    <n v="155711579239.30249"/>
    <n v="94.349714962990902"/>
    <n v="165036618605.98206"/>
    <n v="39571.480473645141"/>
  </r>
  <r>
    <x v="1"/>
    <x v="1"/>
    <x v="1"/>
    <n v="391155090438.45709"/>
    <n v="6612776"/>
    <n v="12257085472.79451"/>
    <m/>
    <n v="451777721870.04755"/>
    <n v="60622631431.590454"/>
    <n v="96"/>
    <n v="63148574407.906723"/>
    <n v="9549.4803404662016"/>
  </r>
  <r>
    <x v="1"/>
    <x v="1"/>
    <x v="2"/>
    <n v="44467334389.85746"/>
    <n v="747620"/>
    <n v="1822799.7886951938"/>
    <m/>
    <n v="107203092657.15788"/>
    <n v="62735758267.300423"/>
    <n v="98.984113276032403"/>
    <n v="63379623447.605301"/>
    <n v="84775.184515670131"/>
  </r>
  <r>
    <x v="0"/>
    <x v="2"/>
    <x v="0"/>
    <n v="30032421299.588329"/>
    <n v="515340"/>
    <n v="6637811109.0319376"/>
    <n v="20314298256.611736"/>
    <n v="50346719560.878342"/>
    <n v="20314298256.611736"/>
    <n v="99.999999999999446"/>
    <n v="20314298256.611847"/>
    <n v="39419.214997112285"/>
  </r>
  <r>
    <x v="0"/>
    <x v="2"/>
    <x v="1"/>
    <n v="18791183777.75679"/>
    <n v="5429396"/>
    <n v="7831911263.410677"/>
    <m/>
    <n v="211941256354.47772"/>
    <n v="193150072576.72095"/>
    <n v="100.00000000000055"/>
    <n v="193150072576.71988"/>
    <n v="35574.872891334482"/>
  </r>
  <r>
    <x v="0"/>
    <x v="2"/>
    <x v="2"/>
    <n v="1688229049.7130742"/>
    <n v="418992"/>
    <n v="1249331837.8867295"/>
    <m/>
    <n v="4102007466.3173652"/>
    <n v="2413778416.604291"/>
    <n v="99.999999999998096"/>
    <n v="2413778416.6043372"/>
    <n v="5760.9176705148002"/>
  </r>
  <r>
    <x v="0"/>
    <x v="3"/>
    <x v="0"/>
    <n v="28463753311.993214"/>
    <n v="486263"/>
    <n v="5880135784.6066561"/>
    <n v="15440901277.564392"/>
    <n v="43904654576.753479"/>
    <n v="15440901277.564392"/>
    <n v="98.151526954033713"/>
    <n v="15731697464.87558"/>
    <n v="32352.240382006403"/>
  </r>
  <r>
    <x v="0"/>
    <x v="3"/>
    <x v="1"/>
    <n v="16033884787.309757"/>
    <n v="3990538"/>
    <n v="6573615137.2883711"/>
    <m/>
    <n v="179276819977.23712"/>
    <n v="163242935189.92737"/>
    <n v="100.87565811829545"/>
    <n v="161825893614.98361"/>
    <n v="40552.400106197114"/>
  </r>
  <r>
    <x v="0"/>
    <x v="3"/>
    <x v="2"/>
    <n v="1371413444.302175"/>
    <n v="381142"/>
    <n v="1019377072.1297486"/>
    <m/>
    <n v="3544350112.3915191"/>
    <n v="2172936668.089344"/>
    <n v="98.531452356655734"/>
    <n v="2205322885.3502874"/>
    <n v="5786.0925464794946"/>
  </r>
  <r>
    <x v="0"/>
    <x v="4"/>
    <x v="0"/>
    <n v="26477664294.2742"/>
    <n v="447528"/>
    <n v="5354520021.949461"/>
    <n v="14485623899.688414"/>
    <n v="40963288205.315842"/>
    <n v="14485623899.688414"/>
    <n v="103.59652904204705"/>
    <n v="13982730921.234905"/>
    <n v="31244.371125906993"/>
  </r>
  <r>
    <x v="0"/>
    <x v="4"/>
    <x v="1"/>
    <n v="12764062036.254456"/>
    <n v="3462067"/>
    <n v="5231367475.6853018"/>
    <m/>
    <n v="147184034078.43781"/>
    <n v="134419972042.18335"/>
    <n v="107.49939219849452"/>
    <n v="125042541444.30952"/>
    <n v="36117.886061797624"/>
  </r>
  <r>
    <x v="0"/>
    <x v="4"/>
    <x v="2"/>
    <n v="1307379095.0260472"/>
    <n v="420193"/>
    <n v="1020787743.6201487"/>
    <m/>
    <n v="3378773656.8566871"/>
    <n v="2071394561.8306398"/>
    <n v="91.363838200919872"/>
    <n v="2267193019.2724595"/>
    <n v="5395.599211011272"/>
  </r>
  <r>
    <x v="1"/>
    <x v="2"/>
    <x v="0"/>
    <n v="315015770582.12091"/>
    <n v="4278409"/>
    <n v="31661311590.436584"/>
    <m/>
    <n v="479558020841.99597"/>
    <n v="164542250259.87506"/>
    <n v="100.000000040974"/>
    <n v="164542250192.45551"/>
    <n v="38458.747210109061"/>
  </r>
  <r>
    <x v="1"/>
    <x v="2"/>
    <x v="1"/>
    <n v="401051171881.49695"/>
    <n v="6595990"/>
    <n v="13758562370.062376"/>
    <m/>
    <n v="471418543087.3183"/>
    <n v="70367371205.82135"/>
    <n v="100"/>
    <n v="70367371205.82135"/>
    <n v="10668.204652496646"/>
  </r>
  <r>
    <x v="1"/>
    <x v="2"/>
    <x v="2"/>
    <n v="11793481600.8316"/>
    <n v="279258"/>
    <n v="3304867359.6673598"/>
    <m/>
    <n v="33853779365.904369"/>
    <n v="22060297765.072769"/>
    <n v="100"/>
    <n v="22060297765.072769"/>
    <n v="78996.117443628362"/>
  </r>
  <r>
    <x v="1"/>
    <x v="3"/>
    <x v="0"/>
    <n v="317502027362.40863"/>
    <n v="4343319"/>
    <n v="33991624662.51297"/>
    <m/>
    <n v="483852727206.64667"/>
    <n v="166350699844.23804"/>
    <n v="102.402902206834"/>
    <n v="162447251258.79916"/>
    <n v="37401.639451027928"/>
  </r>
  <r>
    <x v="1"/>
    <x v="3"/>
    <x v="1"/>
    <n v="444655364226.37555"/>
    <n v="6936945"/>
    <n v="15120088525.441322"/>
    <m/>
    <n v="514067404101.76538"/>
    <n v="69412039875.389832"/>
    <n v="102.7"/>
    <n v="67587185857.244232"/>
    <n v="9743.0765066242038"/>
  </r>
  <r>
    <x v="1"/>
    <x v="3"/>
    <x v="2"/>
    <n v="12862854984.423676"/>
    <n v="261665"/>
    <n v="3415596728.9719625"/>
    <m/>
    <n v="35100895171.339561"/>
    <n v="22238040186.915886"/>
    <n v="100.03547141414199"/>
    <n v="22230154836.629379"/>
    <n v="84956.546869582788"/>
  </r>
  <r>
    <x v="1"/>
    <x v="4"/>
    <x v="0"/>
    <n v="270701984737.08691"/>
    <n v="4240745"/>
    <n v="31124700791.065617"/>
    <m/>
    <n v="412896127221.96417"/>
    <n v="142194142484.87726"/>
    <n v="108.566033249686"/>
    <n v="130974797760.04298"/>
    <n v="30884.855788320918"/>
  </r>
  <r>
    <x v="1"/>
    <x v="4"/>
    <x v="1"/>
    <n v="370976838762.21533"/>
    <n v="6849905"/>
    <n v="14424832852.489532"/>
    <m/>
    <n v="435951860632.85236"/>
    <n v="64975021870.637024"/>
    <n v="107.9"/>
    <n v="60217814523.296593"/>
    <n v="8791.0437478033036"/>
  </r>
  <r>
    <x v="1"/>
    <x v="4"/>
    <x v="2"/>
    <n v="11267863564.448584"/>
    <n v="226849"/>
    <n v="2895054443.9274092"/>
    <m/>
    <n v="29782004792.926941"/>
    <n v="18514141228.478355"/>
    <n v="98.801524365911703"/>
    <n v="18738720224.509071"/>
    <n v="82604.376587549748"/>
  </r>
  <r>
    <x v="0"/>
    <x v="5"/>
    <x v="0"/>
    <n v="50233579299.183487"/>
    <n v="468268"/>
    <n v="21867060338.161774"/>
    <n v="26806511820.384472"/>
    <n v="77040093119.568146"/>
    <n v="26806511820.384472"/>
    <n v="110.55212475788623"/>
    <n v="24247848586.439972"/>
    <n v="51781.989344648733"/>
  </r>
  <r>
    <x v="0"/>
    <x v="5"/>
    <x v="1"/>
    <n v="29959599629.151115"/>
    <n v="10057691.050353222"/>
    <n v="14747768218.957809"/>
    <m/>
    <n v="382712252205.90729"/>
    <n v="352752652576.75616"/>
    <n v="114.66887480145671"/>
    <n v="307627203273.36371"/>
    <n v="30586.264952188998"/>
  </r>
  <r>
    <x v="0"/>
    <x v="5"/>
    <x v="2"/>
    <n v="3479397351.8567333"/>
    <n v="1324777"/>
    <n v="3103061027.126677"/>
    <m/>
    <n v="9543272322.8864899"/>
    <n v="6063874971.0297565"/>
    <n v="92.899946021812568"/>
    <n v="6527318077.8877754"/>
    <n v="4927.1070360428776"/>
  </r>
  <r>
    <x v="0"/>
    <x v="6"/>
    <x v="0"/>
    <n v="62164292205.275223"/>
    <n v="537675"/>
    <n v="11201587071.100906"/>
    <n v="24124822222.477043"/>
    <n v="86289116431.192673"/>
    <n v="24124822222.477043"/>
    <n v="138.33137560220047"/>
    <n v="17439877336.182064"/>
    <n v="32435.722948216047"/>
  </r>
  <r>
    <x v="0"/>
    <x v="6"/>
    <x v="1"/>
    <n v="32123041450.790611"/>
    <n v="12722633.552135048"/>
    <n v="18541158534.635605"/>
    <m/>
    <n v="395013782922.90381"/>
    <n v="362890741472.11322"/>
    <n v="120.37242063773799"/>
    <n v="301473327153.76434"/>
    <n v="23695.82727651325"/>
  </r>
  <r>
    <x v="0"/>
    <x v="6"/>
    <x v="2"/>
    <n v="6625658088.6648293"/>
    <n v="3276759.7516333046"/>
    <n v="5536046204.1851921"/>
    <m/>
    <n v="56950970433.626793"/>
    <n v="22048559478.154221"/>
    <n v="94.646741593885238"/>
    <n v="23295635018.013863"/>
    <n v="7109.3509392631322"/>
  </r>
  <r>
    <x v="1"/>
    <x v="5"/>
    <x v="0"/>
    <n v="335962911773.3985"/>
    <n v="4846209"/>
    <n v="42587115320.197044"/>
    <m/>
    <n v="522236442709.35992"/>
    <n v="186273530935.96143"/>
    <n v="114.17662867068"/>
    <n v="163145061388.37811"/>
    <n v="33664.470803545228"/>
  </r>
  <r>
    <x v="1"/>
    <x v="5"/>
    <x v="1"/>
    <n v="446601334482.75848"/>
    <n v="6858743"/>
    <n v="22857522216.748764"/>
    <m/>
    <n v="535185517733.99005"/>
    <n v="88584183251.231567"/>
    <n v="113.9"/>
    <n v="77773646401.432449"/>
    <n v="11339.344017035257"/>
  </r>
  <r>
    <x v="1"/>
    <x v="5"/>
    <x v="2"/>
    <n v="11263512906.403942"/>
    <n v="208542"/>
    <n v="2968068472.906404"/>
    <m/>
    <n v="30533143349.753689"/>
    <n v="19269630443.349747"/>
    <n v="100.05556650607799"/>
    <n v="19258928929.435616"/>
    <n v="92350.360739973796"/>
  </r>
  <r>
    <x v="1"/>
    <x v="6"/>
    <x v="0"/>
    <n v="380564089353.2326"/>
    <n v="4925214"/>
    <n v="54465441343.283607"/>
    <m/>
    <n v="604530140646.76563"/>
    <n v="223966051293.53302"/>
    <n v="123.32983078826901"/>
    <n v="181599252883.13654"/>
    <n v="36871.342622500575"/>
  </r>
  <r>
    <x v="1"/>
    <x v="6"/>
    <x v="1"/>
    <n v="711486374975.12463"/>
    <n v="7885982"/>
    <n v="39291365373.134331"/>
    <m/>
    <n v="883193355721.39319"/>
    <n v="171706980746.26855"/>
    <n v="122.8"/>
    <n v="139826531552.33597"/>
    <n v="17731.023422616989"/>
  </r>
  <r>
    <x v="1"/>
    <x v="6"/>
    <x v="2"/>
    <n v="10649490398.009947"/>
    <n v="182677"/>
    <n v="3342908059.7014918"/>
    <m/>
    <n v="33172821243.781094"/>
    <n v="22523330845.771149"/>
    <n v="99.395198963450994"/>
    <n v="22660381065.340279"/>
    <n v="124046.16380464031"/>
  </r>
  <r>
    <x v="1"/>
    <x v="7"/>
    <x v="0"/>
    <n v="423751915988.7002"/>
    <n v="4896517"/>
    <n v="68197150112.9944"/>
    <m/>
    <n v="675657522146.89209"/>
    <n v="251905606158.19189"/>
    <n v="124.999916314144"/>
    <n v="201524619844.63605"/>
    <n v="41156.728312111656"/>
  </r>
  <r>
    <x v="1"/>
    <x v="7"/>
    <x v="1"/>
    <n v="849264497627.1189"/>
    <n v="7923252"/>
    <n v="54803052146.89267"/>
    <m/>
    <n v="1064392767344.6329"/>
    <n v="215128269717.51404"/>
    <n v="120.8"/>
    <n v="178086315991.31955"/>
    <n v="22476.417005456795"/>
  </r>
  <r>
    <x v="1"/>
    <x v="7"/>
    <x v="2"/>
    <n v="13124498361.581924"/>
    <n v="174830"/>
    <n v="4066065988.7005653"/>
    <m/>
    <n v="37460092994.350281"/>
    <n v="24335594632.768356"/>
    <n v="98.427977458125"/>
    <n v="24724265662.292656"/>
    <n v="141418.896426772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64FC6-F5B1-4013-B5B5-3CC5B68E1AE8}" name="TablaDinámica5" cacheId="1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I6" firstHeaderRow="1" firstDataRow="2" firstDataCol="1" rowPageCount="1" colPageCount="1"/>
  <pivotFields count="12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prod_l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201A-A5C2-4F82-A33F-AA35105E69C5}">
  <dimension ref="A1:I12"/>
  <sheetViews>
    <sheetView workbookViewId="0">
      <selection activeCell="H22" sqref="H22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9" width="12" bestFit="1" customWidth="1"/>
    <col min="10" max="10" width="12.5703125" bestFit="1" customWidth="1"/>
  </cols>
  <sheetData>
    <row r="1" spans="1:9" x14ac:dyDescent="0.25">
      <c r="A1" s="2" t="s">
        <v>2</v>
      </c>
      <c r="B1" t="s">
        <v>10</v>
      </c>
    </row>
    <row r="3" spans="1:9" x14ac:dyDescent="0.25">
      <c r="A3" s="2" t="s">
        <v>19</v>
      </c>
      <c r="B3" s="2" t="s">
        <v>18</v>
      </c>
    </row>
    <row r="4" spans="1:9" x14ac:dyDescent="0.25">
      <c r="A4" s="2" t="s">
        <v>17</v>
      </c>
      <c r="B4">
        <v>2016</v>
      </c>
      <c r="C4">
        <v>2017</v>
      </c>
      <c r="D4">
        <v>2018</v>
      </c>
      <c r="E4">
        <v>2019</v>
      </c>
      <c r="F4">
        <v>2020</v>
      </c>
      <c r="G4">
        <v>2021</v>
      </c>
      <c r="H4">
        <v>2022</v>
      </c>
      <c r="I4">
        <v>2023</v>
      </c>
    </row>
    <row r="5" spans="1:9" x14ac:dyDescent="0.25">
      <c r="A5" s="3" t="s">
        <v>8</v>
      </c>
      <c r="B5" s="4">
        <v>35664.680940626436</v>
      </c>
      <c r="C5" s="4">
        <v>39780.960191242957</v>
      </c>
      <c r="D5" s="4">
        <v>35574.872891334482</v>
      </c>
      <c r="E5" s="4">
        <v>40552.400106197114</v>
      </c>
      <c r="F5" s="4">
        <v>36117.886061797624</v>
      </c>
      <c r="G5" s="4">
        <v>30586.264952188998</v>
      </c>
      <c r="H5" s="4">
        <v>23695.82727651325</v>
      </c>
      <c r="I5" s="4"/>
    </row>
    <row r="6" spans="1:9" x14ac:dyDescent="0.25">
      <c r="A6" s="3" t="s">
        <v>12</v>
      </c>
      <c r="B6" s="4">
        <v>10093.108384219473</v>
      </c>
      <c r="C6" s="4">
        <v>9549.4803404662016</v>
      </c>
      <c r="D6" s="4">
        <v>10668.204652496646</v>
      </c>
      <c r="E6" s="4">
        <v>9743.0765066242038</v>
      </c>
      <c r="F6" s="4">
        <v>8791.0437478033036</v>
      </c>
      <c r="G6" s="4">
        <v>11339.344017035257</v>
      </c>
      <c r="H6" s="4">
        <v>17731.023422616989</v>
      </c>
      <c r="I6" s="4">
        <v>22476.417005456795</v>
      </c>
    </row>
    <row r="8" spans="1:9" x14ac:dyDescent="0.25">
      <c r="B8" t="s">
        <v>20</v>
      </c>
      <c r="C8">
        <f>C5/B5*100-100</f>
        <v>11.541612435757358</v>
      </c>
      <c r="D8">
        <f t="shared" ref="D8:H9" si="0">D5/C5*100-100</f>
        <v>-10.573116585643319</v>
      </c>
      <c r="E8">
        <f t="shared" si="0"/>
        <v>13.991693603703865</v>
      </c>
      <c r="F8">
        <f t="shared" si="0"/>
        <v>-10.935269016843762</v>
      </c>
      <c r="G8">
        <f t="shared" si="0"/>
        <v>-15.315461985078628</v>
      </c>
      <c r="H8">
        <f t="shared" si="0"/>
        <v>-22.527881996858895</v>
      </c>
    </row>
    <row r="9" spans="1:9" x14ac:dyDescent="0.25">
      <c r="B9" t="s">
        <v>21</v>
      </c>
      <c r="C9">
        <f>C6/B6*100-100</f>
        <v>-5.3861310416841661</v>
      </c>
      <c r="D9">
        <f t="shared" si="0"/>
        <v>11.715028170588695</v>
      </c>
      <c r="E9">
        <f t="shared" si="0"/>
        <v>-8.6718260101612969</v>
      </c>
      <c r="F9">
        <f t="shared" si="0"/>
        <v>-9.7713772253930813</v>
      </c>
      <c r="G9">
        <f t="shared" si="0"/>
        <v>28.987459764020826</v>
      </c>
      <c r="H9">
        <f t="shared" si="0"/>
        <v>56.367276590069224</v>
      </c>
      <c r="I9">
        <f>I6/H6*100-100</f>
        <v>26.763224376472095</v>
      </c>
    </row>
    <row r="11" spans="1:9" x14ac:dyDescent="0.25">
      <c r="A11" t="s">
        <v>20</v>
      </c>
      <c r="B11">
        <f>B5/$D5</f>
        <v>1.0025244798362676</v>
      </c>
      <c r="C11">
        <f t="shared" ref="C11:H12" si="1">C5/$D5</f>
        <v>1.1182319698725618</v>
      </c>
      <c r="D11">
        <f t="shared" si="1"/>
        <v>1</v>
      </c>
      <c r="E11">
        <f t="shared" si="1"/>
        <v>1.1399169360370387</v>
      </c>
      <c r="F11">
        <f t="shared" si="1"/>
        <v>1.0152639525128258</v>
      </c>
      <c r="G11">
        <f t="shared" si="1"/>
        <v>0.85977158781751728</v>
      </c>
      <c r="H11">
        <f t="shared" si="1"/>
        <v>0.66608325907146693</v>
      </c>
    </row>
    <row r="12" spans="1:9" x14ac:dyDescent="0.25">
      <c r="A12" t="s">
        <v>21</v>
      </c>
      <c r="B12">
        <f>B6/$D6</f>
        <v>0.94609249756540947</v>
      </c>
      <c r="C12">
        <f t="shared" si="1"/>
        <v>0.89513471587099402</v>
      </c>
      <c r="D12">
        <f t="shared" si="1"/>
        <v>1</v>
      </c>
      <c r="E12">
        <f t="shared" si="1"/>
        <v>0.91328173989838701</v>
      </c>
      <c r="F12">
        <f t="shared" si="1"/>
        <v>0.82404153596228236</v>
      </c>
      <c r="G12">
        <f t="shared" si="1"/>
        <v>1.0629102446381684</v>
      </c>
      <c r="H12">
        <f t="shared" si="1"/>
        <v>1.6620438021375465</v>
      </c>
      <c r="I12">
        <f>I6/$D6</f>
        <v>2.1068603141388658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B052-1806-4C61-8872-755639EE80AE}">
  <sheetPr filterMode="1"/>
  <dimension ref="A1:L52"/>
  <sheetViews>
    <sheetView tabSelected="1" workbookViewId="0">
      <pane ySplit="1" topLeftCell="A4" activePane="bottomLeft" state="frozen"/>
      <selection pane="bottomLeft" activeCell="E66" sqref="E66"/>
    </sheetView>
  </sheetViews>
  <sheetFormatPr baseColWidth="10" defaultRowHeight="15" x14ac:dyDescent="0.25"/>
  <cols>
    <col min="9" max="9" width="12" bestFit="1" customWidth="1"/>
    <col min="11" max="11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13</v>
      </c>
      <c r="K1" s="1" t="s">
        <v>15</v>
      </c>
      <c r="L1" s="1" t="s">
        <v>16</v>
      </c>
    </row>
    <row r="2" spans="1:12" hidden="1" x14ac:dyDescent="0.25">
      <c r="A2" t="s">
        <v>8</v>
      </c>
      <c r="B2">
        <v>2016</v>
      </c>
      <c r="C2" t="s">
        <v>9</v>
      </c>
      <c r="D2">
        <v>42375737945.107758</v>
      </c>
      <c r="E2">
        <v>435475</v>
      </c>
      <c r="F2">
        <v>6456914616.2184706</v>
      </c>
      <c r="G2">
        <v>17213838067.339092</v>
      </c>
      <c r="H2">
        <v>59589576029.841507</v>
      </c>
      <c r="I2">
        <f>IF(G2="",H2-D2,G2)</f>
        <v>17213838067.339092</v>
      </c>
      <c r="J2">
        <v>95.6292626364488</v>
      </c>
      <c r="K2">
        <f>I2/J2*100</f>
        <v>18000596880.873669</v>
      </c>
      <c r="L2">
        <f>K2/E2</f>
        <v>41335.545969053717</v>
      </c>
    </row>
    <row r="3" spans="1:12" hidden="1" x14ac:dyDescent="0.25">
      <c r="A3" t="s">
        <v>8</v>
      </c>
      <c r="B3">
        <v>2016</v>
      </c>
      <c r="C3" t="s">
        <v>10</v>
      </c>
      <c r="D3">
        <v>15753709474.710632</v>
      </c>
      <c r="E3">
        <v>4567988</v>
      </c>
      <c r="F3">
        <v>6684581487.8279047</v>
      </c>
      <c r="H3">
        <v>177487818290.59293</v>
      </c>
      <c r="I3">
        <f t="shared" ref="I3:I46" si="0">IF(G3="",H3-D3,G3)</f>
        <v>161734108815.88229</v>
      </c>
      <c r="J3">
        <v>99.274640339341374</v>
      </c>
      <c r="K3">
        <f t="shared" ref="K3:K46" si="1">I3/J3*100</f>
        <v>162915834560.61029</v>
      </c>
      <c r="L3">
        <f t="shared" ref="L3:L46" si="2">K3/E3</f>
        <v>35664.680940626436</v>
      </c>
    </row>
    <row r="4" spans="1:12" x14ac:dyDescent="0.25">
      <c r="A4" t="s">
        <v>8</v>
      </c>
      <c r="B4">
        <v>2016</v>
      </c>
      <c r="C4" t="s">
        <v>11</v>
      </c>
      <c r="D4">
        <v>1479212071.6142743</v>
      </c>
      <c r="E4">
        <v>427942</v>
      </c>
      <c r="F4">
        <v>1211601670.7043252</v>
      </c>
      <c r="H4">
        <v>5103802966.2018394</v>
      </c>
      <c r="I4">
        <f t="shared" si="0"/>
        <v>3624590894.5875654</v>
      </c>
      <c r="J4">
        <v>108.15408937171394</v>
      </c>
      <c r="K4">
        <f t="shared" si="1"/>
        <v>3351321171.1581588</v>
      </c>
      <c r="L4">
        <f t="shared" si="2"/>
        <v>7831.2508965190582</v>
      </c>
    </row>
    <row r="5" spans="1:12" hidden="1" x14ac:dyDescent="0.25">
      <c r="A5" t="s">
        <v>8</v>
      </c>
      <c r="B5">
        <v>2017</v>
      </c>
      <c r="C5" t="s">
        <v>9</v>
      </c>
      <c r="D5">
        <v>48998278075.25058</v>
      </c>
      <c r="E5">
        <v>497080.75</v>
      </c>
      <c r="F5">
        <v>6973629772.6523085</v>
      </c>
      <c r="G5">
        <v>26411425339.462753</v>
      </c>
      <c r="H5">
        <v>75409703414.713501</v>
      </c>
      <c r="I5">
        <f t="shared" si="0"/>
        <v>26411425339.462753</v>
      </c>
      <c r="J5">
        <v>95.003435419369978</v>
      </c>
      <c r="K5">
        <f t="shared" si="1"/>
        <v>27800495027.233303</v>
      </c>
      <c r="L5">
        <f t="shared" si="2"/>
        <v>55927.522896900155</v>
      </c>
    </row>
    <row r="6" spans="1:12" hidden="1" x14ac:dyDescent="0.25">
      <c r="A6" t="s">
        <v>8</v>
      </c>
      <c r="B6">
        <v>2017</v>
      </c>
      <c r="C6" t="s">
        <v>10</v>
      </c>
      <c r="D6">
        <v>16930446477.505695</v>
      </c>
      <c r="E6">
        <v>4538534</v>
      </c>
      <c r="F6">
        <v>7273280548.0634413</v>
      </c>
      <c r="H6">
        <v>199768436260.65393</v>
      </c>
      <c r="I6">
        <f t="shared" si="0"/>
        <v>182837989783.14822</v>
      </c>
      <c r="J6">
        <v>101.26878117755582</v>
      </c>
      <c r="K6">
        <f t="shared" si="1"/>
        <v>180547240380.60266</v>
      </c>
      <c r="L6">
        <f t="shared" si="2"/>
        <v>39780.960191242957</v>
      </c>
    </row>
    <row r="7" spans="1:12" x14ac:dyDescent="0.25">
      <c r="A7" t="s">
        <v>8</v>
      </c>
      <c r="B7">
        <v>2017</v>
      </c>
      <c r="C7" t="s">
        <v>11</v>
      </c>
      <c r="D7">
        <v>1483588543.9945776</v>
      </c>
      <c r="E7">
        <v>425807</v>
      </c>
      <c r="F7">
        <v>1182737082.1324539</v>
      </c>
      <c r="H7">
        <v>3891353151.0565152</v>
      </c>
      <c r="I7">
        <f t="shared" si="0"/>
        <v>2407764607.0619373</v>
      </c>
      <c r="J7">
        <v>105.31818429636112</v>
      </c>
      <c r="K7">
        <f t="shared" si="1"/>
        <v>2286181273.5838523</v>
      </c>
      <c r="L7">
        <f t="shared" si="2"/>
        <v>5369.0551672092106</v>
      </c>
    </row>
    <row r="8" spans="1:12" hidden="1" x14ac:dyDescent="0.25">
      <c r="A8" t="s">
        <v>12</v>
      </c>
      <c r="B8">
        <v>2016</v>
      </c>
      <c r="C8" t="s">
        <v>9</v>
      </c>
      <c r="D8">
        <v>271916926205.78824</v>
      </c>
      <c r="E8">
        <v>4054915</v>
      </c>
      <c r="F8">
        <v>27366591479.099667</v>
      </c>
      <c r="H8">
        <v>414633293997.85608</v>
      </c>
      <c r="I8">
        <f t="shared" si="0"/>
        <v>142716367792.06784</v>
      </c>
      <c r="J8">
        <v>87.843656614857693</v>
      </c>
      <c r="K8">
        <f t="shared" si="1"/>
        <v>162466333132.95966</v>
      </c>
      <c r="L8">
        <f t="shared" si="2"/>
        <v>40066.520046156249</v>
      </c>
    </row>
    <row r="9" spans="1:12" hidden="1" x14ac:dyDescent="0.25">
      <c r="A9" t="s">
        <v>12</v>
      </c>
      <c r="B9">
        <v>2016</v>
      </c>
      <c r="C9" t="s">
        <v>10</v>
      </c>
      <c r="D9">
        <v>367041333386.92334</v>
      </c>
      <c r="E9">
        <v>6489757</v>
      </c>
      <c r="F9">
        <v>11795540621.650585</v>
      </c>
      <c r="H9">
        <v>425877678081.45764</v>
      </c>
      <c r="I9">
        <f t="shared" si="0"/>
        <v>58836344694.534302</v>
      </c>
      <c r="J9">
        <v>89.823983496182905</v>
      </c>
      <c r="K9">
        <f t="shared" si="1"/>
        <v>65501820788.247009</v>
      </c>
      <c r="L9">
        <f t="shared" si="2"/>
        <v>10093.108384219473</v>
      </c>
    </row>
    <row r="10" spans="1:12" hidden="1" x14ac:dyDescent="0.25">
      <c r="A10" t="s">
        <v>12</v>
      </c>
      <c r="B10">
        <v>2016</v>
      </c>
      <c r="C10" t="s">
        <v>11</v>
      </c>
      <c r="D10">
        <v>10278716881.028938</v>
      </c>
      <c r="E10">
        <v>184787</v>
      </c>
      <c r="F10">
        <v>444217.5777063237</v>
      </c>
      <c r="H10">
        <v>25004900589.49625</v>
      </c>
      <c r="I10">
        <f t="shared" si="0"/>
        <v>14726183708.467312</v>
      </c>
      <c r="J10">
        <v>101.61929609177599</v>
      </c>
      <c r="K10">
        <f t="shared" si="1"/>
        <v>14491523042.206053</v>
      </c>
      <c r="L10">
        <f t="shared" si="2"/>
        <v>78422.849238344977</v>
      </c>
    </row>
    <row r="11" spans="1:12" hidden="1" x14ac:dyDescent="0.25">
      <c r="A11" t="s">
        <v>12</v>
      </c>
      <c r="B11">
        <v>2017</v>
      </c>
      <c r="C11" t="s">
        <v>9</v>
      </c>
      <c r="D11">
        <v>299323224617.01001</v>
      </c>
      <c r="E11">
        <v>4170595</v>
      </c>
      <c r="F11">
        <v>29451203961.96513</v>
      </c>
      <c r="H11">
        <v>455034803856.3125</v>
      </c>
      <c r="I11">
        <f t="shared" si="0"/>
        <v>155711579239.30249</v>
      </c>
      <c r="J11">
        <v>94.349714962990902</v>
      </c>
      <c r="K11">
        <f t="shared" si="1"/>
        <v>165036618605.98206</v>
      </c>
      <c r="L11">
        <f t="shared" si="2"/>
        <v>39571.480473645141</v>
      </c>
    </row>
    <row r="12" spans="1:12" hidden="1" x14ac:dyDescent="0.25">
      <c r="A12" t="s">
        <v>12</v>
      </c>
      <c r="B12">
        <v>2017</v>
      </c>
      <c r="C12" t="s">
        <v>10</v>
      </c>
      <c r="D12">
        <v>391155090438.45709</v>
      </c>
      <c r="E12">
        <v>6612776</v>
      </c>
      <c r="F12">
        <v>12257085472.79451</v>
      </c>
      <c r="H12">
        <v>451777721870.04755</v>
      </c>
      <c r="I12">
        <f t="shared" si="0"/>
        <v>60622631431.590454</v>
      </c>
      <c r="J12">
        <v>96</v>
      </c>
      <c r="K12">
        <f t="shared" si="1"/>
        <v>63148574407.906723</v>
      </c>
      <c r="L12">
        <f t="shared" si="2"/>
        <v>9549.4803404662016</v>
      </c>
    </row>
    <row r="13" spans="1:12" hidden="1" x14ac:dyDescent="0.25">
      <c r="A13" t="s">
        <v>12</v>
      </c>
      <c r="B13">
        <v>2017</v>
      </c>
      <c r="C13" t="s">
        <v>11</v>
      </c>
      <c r="D13">
        <v>44467334389.85746</v>
      </c>
      <c r="E13">
        <v>747620</v>
      </c>
      <c r="F13">
        <v>1822799.7886951938</v>
      </c>
      <c r="H13">
        <v>107203092657.15788</v>
      </c>
      <c r="I13">
        <f t="shared" si="0"/>
        <v>62735758267.300423</v>
      </c>
      <c r="J13">
        <v>98.984113276032403</v>
      </c>
      <c r="K13">
        <f t="shared" si="1"/>
        <v>63379623447.605301</v>
      </c>
      <c r="L13">
        <f t="shared" si="2"/>
        <v>84775.184515670131</v>
      </c>
    </row>
    <row r="14" spans="1:12" hidden="1" x14ac:dyDescent="0.25">
      <c r="A14" t="s">
        <v>8</v>
      </c>
      <c r="B14">
        <v>2018</v>
      </c>
      <c r="C14" t="s">
        <v>9</v>
      </c>
      <c r="D14">
        <v>30032421299.588329</v>
      </c>
      <c r="E14">
        <v>515340</v>
      </c>
      <c r="F14">
        <v>6637811109.0319376</v>
      </c>
      <c r="G14">
        <v>20314298256.611736</v>
      </c>
      <c r="H14">
        <v>50346719560.878342</v>
      </c>
      <c r="I14">
        <f t="shared" si="0"/>
        <v>20314298256.611736</v>
      </c>
      <c r="J14">
        <v>99.999999999999446</v>
      </c>
      <c r="K14">
        <f t="shared" si="1"/>
        <v>20314298256.611847</v>
      </c>
      <c r="L14">
        <f t="shared" si="2"/>
        <v>39419.214997112285</v>
      </c>
    </row>
    <row r="15" spans="1:12" hidden="1" x14ac:dyDescent="0.25">
      <c r="A15" t="s">
        <v>8</v>
      </c>
      <c r="B15">
        <v>2018</v>
      </c>
      <c r="C15" t="s">
        <v>10</v>
      </c>
      <c r="D15">
        <v>18791183777.75679</v>
      </c>
      <c r="E15">
        <v>5429396</v>
      </c>
      <c r="F15">
        <v>7831911263.410677</v>
      </c>
      <c r="H15">
        <v>211941256354.47772</v>
      </c>
      <c r="I15">
        <f t="shared" si="0"/>
        <v>193150072576.72095</v>
      </c>
      <c r="J15">
        <v>100.00000000000055</v>
      </c>
      <c r="K15">
        <f t="shared" si="1"/>
        <v>193150072576.71988</v>
      </c>
      <c r="L15">
        <f t="shared" si="2"/>
        <v>35574.872891334482</v>
      </c>
    </row>
    <row r="16" spans="1:12" x14ac:dyDescent="0.25">
      <c r="A16" t="s">
        <v>8</v>
      </c>
      <c r="B16">
        <v>2018</v>
      </c>
      <c r="C16" t="s">
        <v>11</v>
      </c>
      <c r="D16">
        <v>1688229049.7130742</v>
      </c>
      <c r="E16">
        <v>418992</v>
      </c>
      <c r="F16">
        <v>1249331837.8867295</v>
      </c>
      <c r="H16">
        <v>4102007466.3173652</v>
      </c>
      <c r="I16">
        <f t="shared" si="0"/>
        <v>2413778416.604291</v>
      </c>
      <c r="J16">
        <v>99.999999999998096</v>
      </c>
      <c r="K16">
        <f t="shared" si="1"/>
        <v>2413778416.6043372</v>
      </c>
      <c r="L16">
        <f t="shared" si="2"/>
        <v>5760.9176705148002</v>
      </c>
    </row>
    <row r="17" spans="1:12" hidden="1" x14ac:dyDescent="0.25">
      <c r="A17" t="s">
        <v>8</v>
      </c>
      <c r="B17">
        <v>2019</v>
      </c>
      <c r="C17" t="s">
        <v>9</v>
      </c>
      <c r="D17">
        <v>28463753311.993214</v>
      </c>
      <c r="E17">
        <v>486263</v>
      </c>
      <c r="F17">
        <v>5880135784.6066561</v>
      </c>
      <c r="G17">
        <v>15440901277.564392</v>
      </c>
      <c r="H17">
        <v>43904654576.753479</v>
      </c>
      <c r="I17">
        <f t="shared" si="0"/>
        <v>15440901277.564392</v>
      </c>
      <c r="J17">
        <v>98.151526954033713</v>
      </c>
      <c r="K17">
        <f t="shared" si="1"/>
        <v>15731697464.87558</v>
      </c>
      <c r="L17">
        <f t="shared" si="2"/>
        <v>32352.240382006403</v>
      </c>
    </row>
    <row r="18" spans="1:12" hidden="1" x14ac:dyDescent="0.25">
      <c r="A18" t="s">
        <v>8</v>
      </c>
      <c r="B18">
        <v>2019</v>
      </c>
      <c r="C18" t="s">
        <v>10</v>
      </c>
      <c r="D18">
        <v>16033884787.309757</v>
      </c>
      <c r="E18">
        <v>3990538</v>
      </c>
      <c r="F18">
        <v>6573615137.2883711</v>
      </c>
      <c r="H18">
        <v>179276819977.23712</v>
      </c>
      <c r="I18">
        <f t="shared" si="0"/>
        <v>163242935189.92737</v>
      </c>
      <c r="J18">
        <v>100.87565811829545</v>
      </c>
      <c r="K18">
        <f t="shared" si="1"/>
        <v>161825893614.98361</v>
      </c>
      <c r="L18">
        <f t="shared" si="2"/>
        <v>40552.400106197114</v>
      </c>
    </row>
    <row r="19" spans="1:12" x14ac:dyDescent="0.25">
      <c r="A19" t="s">
        <v>8</v>
      </c>
      <c r="B19">
        <v>2019</v>
      </c>
      <c r="C19" t="s">
        <v>11</v>
      </c>
      <c r="D19">
        <v>1371413444.302175</v>
      </c>
      <c r="E19">
        <v>381142</v>
      </c>
      <c r="F19">
        <v>1019377072.1297486</v>
      </c>
      <c r="H19">
        <v>3544350112.3915191</v>
      </c>
      <c r="I19">
        <f t="shared" si="0"/>
        <v>2172936668.089344</v>
      </c>
      <c r="J19">
        <v>98.531452356655734</v>
      </c>
      <c r="K19">
        <f t="shared" si="1"/>
        <v>2205322885.3502874</v>
      </c>
      <c r="L19">
        <f t="shared" si="2"/>
        <v>5786.0925464794946</v>
      </c>
    </row>
    <row r="20" spans="1:12" hidden="1" x14ac:dyDescent="0.25">
      <c r="A20" t="s">
        <v>8</v>
      </c>
      <c r="B20">
        <v>2020</v>
      </c>
      <c r="C20" t="s">
        <v>9</v>
      </c>
      <c r="D20">
        <v>26477664294.2742</v>
      </c>
      <c r="E20">
        <v>447528</v>
      </c>
      <c r="F20">
        <v>5354520021.949461</v>
      </c>
      <c r="G20">
        <v>14485623899.688414</v>
      </c>
      <c r="H20">
        <v>40963288205.315842</v>
      </c>
      <c r="I20">
        <f t="shared" si="0"/>
        <v>14485623899.688414</v>
      </c>
      <c r="J20">
        <v>103.59652904204705</v>
      </c>
      <c r="K20">
        <f t="shared" si="1"/>
        <v>13982730921.234905</v>
      </c>
      <c r="L20">
        <f t="shared" si="2"/>
        <v>31244.371125906993</v>
      </c>
    </row>
    <row r="21" spans="1:12" hidden="1" x14ac:dyDescent="0.25">
      <c r="A21" t="s">
        <v>8</v>
      </c>
      <c r="B21">
        <v>2020</v>
      </c>
      <c r="C21" t="s">
        <v>10</v>
      </c>
      <c r="D21">
        <v>12764062036.254456</v>
      </c>
      <c r="E21">
        <v>3462067</v>
      </c>
      <c r="F21">
        <v>5231367475.6853018</v>
      </c>
      <c r="H21">
        <v>147184034078.43781</v>
      </c>
      <c r="I21">
        <f t="shared" si="0"/>
        <v>134419972042.18335</v>
      </c>
      <c r="J21">
        <v>107.49939219849452</v>
      </c>
      <c r="K21">
        <f t="shared" si="1"/>
        <v>125042541444.30952</v>
      </c>
      <c r="L21">
        <f t="shared" si="2"/>
        <v>36117.886061797624</v>
      </c>
    </row>
    <row r="22" spans="1:12" x14ac:dyDescent="0.25">
      <c r="A22" t="s">
        <v>8</v>
      </c>
      <c r="B22">
        <v>2020</v>
      </c>
      <c r="C22" t="s">
        <v>11</v>
      </c>
      <c r="D22">
        <v>1307379095.0260472</v>
      </c>
      <c r="E22">
        <v>420193</v>
      </c>
      <c r="F22">
        <v>1020787743.6201487</v>
      </c>
      <c r="H22">
        <v>3378773656.8566871</v>
      </c>
      <c r="I22">
        <f t="shared" si="0"/>
        <v>2071394561.8306398</v>
      </c>
      <c r="J22">
        <v>91.363838200919872</v>
      </c>
      <c r="K22">
        <f t="shared" si="1"/>
        <v>2267193019.2724595</v>
      </c>
      <c r="L22">
        <f t="shared" si="2"/>
        <v>5395.599211011272</v>
      </c>
    </row>
    <row r="23" spans="1:12" hidden="1" x14ac:dyDescent="0.25">
      <c r="A23" t="s">
        <v>12</v>
      </c>
      <c r="B23">
        <v>2018</v>
      </c>
      <c r="C23" t="s">
        <v>9</v>
      </c>
      <c r="D23">
        <v>315015770582.12091</v>
      </c>
      <c r="E23">
        <v>4278409</v>
      </c>
      <c r="F23">
        <v>31661311590.436584</v>
      </c>
      <c r="H23">
        <v>479558020841.99597</v>
      </c>
      <c r="I23">
        <f t="shared" si="0"/>
        <v>164542250259.87506</v>
      </c>
      <c r="J23">
        <v>100.000000040974</v>
      </c>
      <c r="K23">
        <f t="shared" si="1"/>
        <v>164542250192.45551</v>
      </c>
      <c r="L23">
        <f t="shared" si="2"/>
        <v>38458.747210109061</v>
      </c>
    </row>
    <row r="24" spans="1:12" hidden="1" x14ac:dyDescent="0.25">
      <c r="A24" t="s">
        <v>12</v>
      </c>
      <c r="B24">
        <v>2018</v>
      </c>
      <c r="C24" t="s">
        <v>10</v>
      </c>
      <c r="D24">
        <v>401051171881.49695</v>
      </c>
      <c r="E24">
        <v>6595990</v>
      </c>
      <c r="F24">
        <v>13758562370.062376</v>
      </c>
      <c r="H24">
        <v>471418543087.3183</v>
      </c>
      <c r="I24">
        <f t="shared" si="0"/>
        <v>70367371205.82135</v>
      </c>
      <c r="J24">
        <v>100</v>
      </c>
      <c r="K24">
        <f t="shared" si="1"/>
        <v>70367371205.82135</v>
      </c>
      <c r="L24">
        <f t="shared" si="2"/>
        <v>10668.204652496646</v>
      </c>
    </row>
    <row r="25" spans="1:12" hidden="1" x14ac:dyDescent="0.25">
      <c r="A25" t="s">
        <v>12</v>
      </c>
      <c r="B25">
        <v>2018</v>
      </c>
      <c r="C25" t="s">
        <v>11</v>
      </c>
      <c r="D25">
        <v>11793481600.8316</v>
      </c>
      <c r="E25">
        <v>279258</v>
      </c>
      <c r="F25">
        <v>3304867359.6673598</v>
      </c>
      <c r="H25">
        <v>33853779365.904369</v>
      </c>
      <c r="I25">
        <f t="shared" si="0"/>
        <v>22060297765.072769</v>
      </c>
      <c r="J25">
        <v>100</v>
      </c>
      <c r="K25">
        <f t="shared" si="1"/>
        <v>22060297765.072769</v>
      </c>
      <c r="L25">
        <f t="shared" si="2"/>
        <v>78996.117443628362</v>
      </c>
    </row>
    <row r="26" spans="1:12" hidden="1" x14ac:dyDescent="0.25">
      <c r="A26" t="s">
        <v>12</v>
      </c>
      <c r="B26">
        <v>2019</v>
      </c>
      <c r="C26" t="s">
        <v>9</v>
      </c>
      <c r="D26">
        <v>317502027362.40863</v>
      </c>
      <c r="E26">
        <v>4343319</v>
      </c>
      <c r="F26">
        <v>33991624662.51297</v>
      </c>
      <c r="H26">
        <v>483852727206.64667</v>
      </c>
      <c r="I26">
        <f t="shared" si="0"/>
        <v>166350699844.23804</v>
      </c>
      <c r="J26">
        <v>102.402902206834</v>
      </c>
      <c r="K26">
        <f t="shared" si="1"/>
        <v>162447251258.79916</v>
      </c>
      <c r="L26">
        <f t="shared" si="2"/>
        <v>37401.639451027928</v>
      </c>
    </row>
    <row r="27" spans="1:12" hidden="1" x14ac:dyDescent="0.25">
      <c r="A27" t="s">
        <v>12</v>
      </c>
      <c r="B27">
        <v>2019</v>
      </c>
      <c r="C27" t="s">
        <v>10</v>
      </c>
      <c r="D27">
        <v>444655364226.37555</v>
      </c>
      <c r="E27">
        <v>6936945</v>
      </c>
      <c r="F27">
        <v>15120088525.441322</v>
      </c>
      <c r="H27">
        <v>514067404101.76538</v>
      </c>
      <c r="I27">
        <f t="shared" si="0"/>
        <v>69412039875.389832</v>
      </c>
      <c r="J27">
        <v>102.7</v>
      </c>
      <c r="K27">
        <f t="shared" si="1"/>
        <v>67587185857.244232</v>
      </c>
      <c r="L27">
        <f t="shared" si="2"/>
        <v>9743.0765066242038</v>
      </c>
    </row>
    <row r="28" spans="1:12" hidden="1" x14ac:dyDescent="0.25">
      <c r="A28" t="s">
        <v>12</v>
      </c>
      <c r="B28">
        <v>2019</v>
      </c>
      <c r="C28" t="s">
        <v>11</v>
      </c>
      <c r="D28">
        <v>12862854984.423676</v>
      </c>
      <c r="E28">
        <v>261665</v>
      </c>
      <c r="F28">
        <v>3415596728.9719625</v>
      </c>
      <c r="H28">
        <v>35100895171.339561</v>
      </c>
      <c r="I28">
        <f t="shared" si="0"/>
        <v>22238040186.915886</v>
      </c>
      <c r="J28">
        <v>100.03547141414199</v>
      </c>
      <c r="K28">
        <f t="shared" si="1"/>
        <v>22230154836.629379</v>
      </c>
      <c r="L28">
        <f t="shared" si="2"/>
        <v>84956.546869582788</v>
      </c>
    </row>
    <row r="29" spans="1:12" hidden="1" x14ac:dyDescent="0.25">
      <c r="A29" t="s">
        <v>12</v>
      </c>
      <c r="B29">
        <v>2020</v>
      </c>
      <c r="C29" t="s">
        <v>9</v>
      </c>
      <c r="D29">
        <v>270701984737.08691</v>
      </c>
      <c r="E29">
        <v>4240745</v>
      </c>
      <c r="F29">
        <v>31124700791.065617</v>
      </c>
      <c r="H29">
        <v>412896127221.96417</v>
      </c>
      <c r="I29">
        <f t="shared" si="0"/>
        <v>142194142484.87726</v>
      </c>
      <c r="J29">
        <v>108.566033249686</v>
      </c>
      <c r="K29">
        <f t="shared" si="1"/>
        <v>130974797760.04298</v>
      </c>
      <c r="L29">
        <f t="shared" si="2"/>
        <v>30884.855788320918</v>
      </c>
    </row>
    <row r="30" spans="1:12" hidden="1" x14ac:dyDescent="0.25">
      <c r="A30" t="s">
        <v>12</v>
      </c>
      <c r="B30">
        <v>2020</v>
      </c>
      <c r="C30" t="s">
        <v>10</v>
      </c>
      <c r="D30">
        <v>370976838762.21533</v>
      </c>
      <c r="E30">
        <v>6849905</v>
      </c>
      <c r="F30">
        <v>14424832852.489532</v>
      </c>
      <c r="H30">
        <v>435951860632.85236</v>
      </c>
      <c r="I30">
        <f t="shared" si="0"/>
        <v>64975021870.637024</v>
      </c>
      <c r="J30">
        <v>107.9</v>
      </c>
      <c r="K30">
        <f t="shared" si="1"/>
        <v>60217814523.296593</v>
      </c>
      <c r="L30">
        <f t="shared" si="2"/>
        <v>8791.0437478033036</v>
      </c>
    </row>
    <row r="31" spans="1:12" hidden="1" x14ac:dyDescent="0.25">
      <c r="A31" t="s">
        <v>12</v>
      </c>
      <c r="B31">
        <v>2020</v>
      </c>
      <c r="C31" t="s">
        <v>11</v>
      </c>
      <c r="D31">
        <v>11267863564.448584</v>
      </c>
      <c r="E31">
        <v>226849</v>
      </c>
      <c r="F31">
        <v>2895054443.9274092</v>
      </c>
      <c r="H31">
        <v>29782004792.926941</v>
      </c>
      <c r="I31">
        <f t="shared" si="0"/>
        <v>18514141228.478355</v>
      </c>
      <c r="J31">
        <v>98.801524365911703</v>
      </c>
      <c r="K31">
        <f t="shared" si="1"/>
        <v>18738720224.509071</v>
      </c>
      <c r="L31">
        <f t="shared" si="2"/>
        <v>82604.376587549748</v>
      </c>
    </row>
    <row r="32" spans="1:12" hidden="1" x14ac:dyDescent="0.25">
      <c r="A32" t="s">
        <v>8</v>
      </c>
      <c r="B32">
        <v>2021</v>
      </c>
      <c r="C32" t="s">
        <v>9</v>
      </c>
      <c r="D32">
        <v>50233579299.183487</v>
      </c>
      <c r="E32">
        <v>468268</v>
      </c>
      <c r="F32">
        <v>21867060338.161774</v>
      </c>
      <c r="G32">
        <v>26806511820.384472</v>
      </c>
      <c r="H32">
        <v>77040093119.568146</v>
      </c>
      <c r="I32">
        <f t="shared" si="0"/>
        <v>26806511820.384472</v>
      </c>
      <c r="J32">
        <v>110.55212475788623</v>
      </c>
      <c r="K32">
        <f t="shared" si="1"/>
        <v>24247848586.439972</v>
      </c>
      <c r="L32">
        <f t="shared" si="2"/>
        <v>51781.989344648733</v>
      </c>
    </row>
    <row r="33" spans="1:12" hidden="1" x14ac:dyDescent="0.25">
      <c r="A33" t="s">
        <v>8</v>
      </c>
      <c r="B33">
        <v>2021</v>
      </c>
      <c r="C33" t="s">
        <v>10</v>
      </c>
      <c r="D33">
        <v>29959599629.151115</v>
      </c>
      <c r="E33">
        <v>10057691.050353222</v>
      </c>
      <c r="F33">
        <v>14747768218.957809</v>
      </c>
      <c r="H33">
        <v>382712252205.90729</v>
      </c>
      <c r="I33">
        <f t="shared" si="0"/>
        <v>352752652576.75616</v>
      </c>
      <c r="J33">
        <v>114.66887480145671</v>
      </c>
      <c r="K33">
        <f t="shared" si="1"/>
        <v>307627203273.36371</v>
      </c>
      <c r="L33">
        <f t="shared" si="2"/>
        <v>30586.264952188998</v>
      </c>
    </row>
    <row r="34" spans="1:12" x14ac:dyDescent="0.25">
      <c r="A34" t="s">
        <v>8</v>
      </c>
      <c r="B34">
        <v>2021</v>
      </c>
      <c r="C34" t="s">
        <v>11</v>
      </c>
      <c r="D34">
        <v>3479397351.8567333</v>
      </c>
      <c r="E34">
        <v>1324777</v>
      </c>
      <c r="F34">
        <v>3103061027.126677</v>
      </c>
      <c r="H34">
        <v>9543272322.8864899</v>
      </c>
      <c r="I34">
        <f t="shared" si="0"/>
        <v>6063874971.0297565</v>
      </c>
      <c r="J34">
        <v>92.899946021812568</v>
      </c>
      <c r="K34">
        <f t="shared" si="1"/>
        <v>6527318077.8877754</v>
      </c>
      <c r="L34">
        <f t="shared" si="2"/>
        <v>4927.1070360428776</v>
      </c>
    </row>
    <row r="35" spans="1:12" hidden="1" x14ac:dyDescent="0.25">
      <c r="A35" t="s">
        <v>8</v>
      </c>
      <c r="B35">
        <v>2022</v>
      </c>
      <c r="C35" t="s">
        <v>9</v>
      </c>
      <c r="D35">
        <v>62164292205.275223</v>
      </c>
      <c r="E35">
        <v>537675</v>
      </c>
      <c r="F35">
        <v>11201587071.100906</v>
      </c>
      <c r="G35">
        <v>24124822222.477043</v>
      </c>
      <c r="H35">
        <v>86289116431.192673</v>
      </c>
      <c r="I35">
        <f t="shared" si="0"/>
        <v>24124822222.477043</v>
      </c>
      <c r="J35">
        <v>138.33137560220047</v>
      </c>
      <c r="K35">
        <f t="shared" si="1"/>
        <v>17439877336.182064</v>
      </c>
      <c r="L35">
        <f t="shared" si="2"/>
        <v>32435.722948216047</v>
      </c>
    </row>
    <row r="36" spans="1:12" hidden="1" x14ac:dyDescent="0.25">
      <c r="A36" t="s">
        <v>8</v>
      </c>
      <c r="B36">
        <v>2022</v>
      </c>
      <c r="C36" t="s">
        <v>10</v>
      </c>
      <c r="D36">
        <v>32123041450.790611</v>
      </c>
      <c r="E36">
        <v>12722633.552135048</v>
      </c>
      <c r="F36">
        <v>18541158534.635605</v>
      </c>
      <c r="H36">
        <v>395013782922.90381</v>
      </c>
      <c r="I36">
        <f t="shared" si="0"/>
        <v>362890741472.11322</v>
      </c>
      <c r="J36">
        <v>120.37242063773799</v>
      </c>
      <c r="K36">
        <f t="shared" si="1"/>
        <v>301473327153.76434</v>
      </c>
      <c r="L36">
        <f t="shared" si="2"/>
        <v>23695.82727651325</v>
      </c>
    </row>
    <row r="37" spans="1:12" x14ac:dyDescent="0.25">
      <c r="A37" t="s">
        <v>8</v>
      </c>
      <c r="B37">
        <v>2022</v>
      </c>
      <c r="C37" t="s">
        <v>11</v>
      </c>
      <c r="D37">
        <v>6625658088.6648293</v>
      </c>
      <c r="E37">
        <v>3276759.7516333046</v>
      </c>
      <c r="F37">
        <v>5536046204.1851921</v>
      </c>
      <c r="H37">
        <v>56950970433.626793</v>
      </c>
      <c r="I37">
        <v>22048559478.154221</v>
      </c>
      <c r="J37">
        <v>94.646741593885238</v>
      </c>
      <c r="K37">
        <f>I37/J37*100</f>
        <v>23295635018.013863</v>
      </c>
      <c r="L37">
        <f t="shared" si="2"/>
        <v>7109.3509392631322</v>
      </c>
    </row>
    <row r="38" spans="1:12" hidden="1" x14ac:dyDescent="0.25">
      <c r="A38" t="s">
        <v>12</v>
      </c>
      <c r="B38">
        <v>2021</v>
      </c>
      <c r="C38" t="s">
        <v>9</v>
      </c>
      <c r="D38">
        <v>335962911773.3985</v>
      </c>
      <c r="E38">
        <v>4846209</v>
      </c>
      <c r="F38">
        <v>42587115320.197044</v>
      </c>
      <c r="H38">
        <v>522236442709.35992</v>
      </c>
      <c r="I38">
        <f t="shared" si="0"/>
        <v>186273530935.96143</v>
      </c>
      <c r="J38">
        <v>114.17662867068</v>
      </c>
      <c r="K38">
        <f t="shared" si="1"/>
        <v>163145061388.37811</v>
      </c>
      <c r="L38">
        <f t="shared" si="2"/>
        <v>33664.470803545228</v>
      </c>
    </row>
    <row r="39" spans="1:12" hidden="1" x14ac:dyDescent="0.25">
      <c r="A39" t="s">
        <v>12</v>
      </c>
      <c r="B39">
        <v>2021</v>
      </c>
      <c r="C39" t="s">
        <v>10</v>
      </c>
      <c r="D39">
        <v>446601334482.75848</v>
      </c>
      <c r="E39">
        <v>6858743</v>
      </c>
      <c r="F39">
        <v>22857522216.748764</v>
      </c>
      <c r="H39">
        <v>535185517733.99005</v>
      </c>
      <c r="I39">
        <f t="shared" si="0"/>
        <v>88584183251.231567</v>
      </c>
      <c r="J39">
        <v>113.9</v>
      </c>
      <c r="K39">
        <f t="shared" si="1"/>
        <v>77773646401.432449</v>
      </c>
      <c r="L39">
        <f t="shared" si="2"/>
        <v>11339.344017035257</v>
      </c>
    </row>
    <row r="40" spans="1:12" hidden="1" x14ac:dyDescent="0.25">
      <c r="A40" t="s">
        <v>12</v>
      </c>
      <c r="B40">
        <v>2021</v>
      </c>
      <c r="C40" t="s">
        <v>11</v>
      </c>
      <c r="D40">
        <v>11263512906.403942</v>
      </c>
      <c r="E40">
        <v>208542</v>
      </c>
      <c r="F40">
        <v>2968068472.906404</v>
      </c>
      <c r="H40">
        <v>30533143349.753689</v>
      </c>
      <c r="I40">
        <f t="shared" si="0"/>
        <v>19269630443.349747</v>
      </c>
      <c r="J40">
        <v>100.05556650607799</v>
      </c>
      <c r="K40">
        <f t="shared" si="1"/>
        <v>19258928929.435616</v>
      </c>
      <c r="L40">
        <f t="shared" si="2"/>
        <v>92350.360739973796</v>
      </c>
    </row>
    <row r="41" spans="1:12" hidden="1" x14ac:dyDescent="0.25">
      <c r="A41" t="s">
        <v>12</v>
      </c>
      <c r="B41">
        <v>2022</v>
      </c>
      <c r="C41" t="s">
        <v>9</v>
      </c>
      <c r="D41">
        <v>380564089353.2326</v>
      </c>
      <c r="E41">
        <v>4925214</v>
      </c>
      <c r="F41">
        <v>54465441343.283607</v>
      </c>
      <c r="H41">
        <v>604530140646.76563</v>
      </c>
      <c r="I41">
        <f t="shared" si="0"/>
        <v>223966051293.53302</v>
      </c>
      <c r="J41">
        <v>123.32983078826901</v>
      </c>
      <c r="K41">
        <f t="shared" si="1"/>
        <v>181599252883.13654</v>
      </c>
      <c r="L41">
        <f t="shared" si="2"/>
        <v>36871.342622500575</v>
      </c>
    </row>
    <row r="42" spans="1:12" hidden="1" x14ac:dyDescent="0.25">
      <c r="A42" t="s">
        <v>12</v>
      </c>
      <c r="B42">
        <v>2022</v>
      </c>
      <c r="C42" t="s">
        <v>10</v>
      </c>
      <c r="D42">
        <v>711486374975.12463</v>
      </c>
      <c r="E42">
        <v>7885982</v>
      </c>
      <c r="F42">
        <v>39291365373.134331</v>
      </c>
      <c r="H42">
        <v>883193355721.39319</v>
      </c>
      <c r="I42">
        <f t="shared" si="0"/>
        <v>171706980746.26855</v>
      </c>
      <c r="J42">
        <v>122.8</v>
      </c>
      <c r="K42">
        <f t="shared" si="1"/>
        <v>139826531552.33597</v>
      </c>
      <c r="L42">
        <f t="shared" si="2"/>
        <v>17731.023422616989</v>
      </c>
    </row>
    <row r="43" spans="1:12" hidden="1" x14ac:dyDescent="0.25">
      <c r="A43" t="s">
        <v>12</v>
      </c>
      <c r="B43">
        <v>2022</v>
      </c>
      <c r="C43" t="s">
        <v>11</v>
      </c>
      <c r="D43">
        <v>10649490398.009947</v>
      </c>
      <c r="E43">
        <v>182677</v>
      </c>
      <c r="F43">
        <v>3342908059.7014918</v>
      </c>
      <c r="H43">
        <v>33172821243.781094</v>
      </c>
      <c r="I43">
        <f t="shared" si="0"/>
        <v>22523330845.771149</v>
      </c>
      <c r="J43">
        <v>99.395198963450994</v>
      </c>
      <c r="K43">
        <f t="shared" si="1"/>
        <v>22660381065.340279</v>
      </c>
      <c r="L43">
        <f t="shared" si="2"/>
        <v>124046.16380464031</v>
      </c>
    </row>
    <row r="44" spans="1:12" hidden="1" x14ac:dyDescent="0.25">
      <c r="A44" t="s">
        <v>12</v>
      </c>
      <c r="B44">
        <v>2023</v>
      </c>
      <c r="C44" t="s">
        <v>9</v>
      </c>
      <c r="D44">
        <v>423751915988.7002</v>
      </c>
      <c r="E44">
        <v>4896517</v>
      </c>
      <c r="F44">
        <v>68197150112.9944</v>
      </c>
      <c r="H44">
        <v>675657522146.89209</v>
      </c>
      <c r="I44">
        <f t="shared" si="0"/>
        <v>251905606158.19189</v>
      </c>
      <c r="J44">
        <v>124.999916314144</v>
      </c>
      <c r="K44">
        <f t="shared" si="1"/>
        <v>201524619844.63605</v>
      </c>
      <c r="L44">
        <f t="shared" si="2"/>
        <v>41156.728312111656</v>
      </c>
    </row>
    <row r="45" spans="1:12" hidden="1" x14ac:dyDescent="0.25">
      <c r="A45" t="s">
        <v>12</v>
      </c>
      <c r="B45">
        <v>2023</v>
      </c>
      <c r="C45" t="s">
        <v>10</v>
      </c>
      <c r="D45">
        <v>849264497627.1189</v>
      </c>
      <c r="E45">
        <v>7923252</v>
      </c>
      <c r="F45">
        <v>54803052146.89267</v>
      </c>
      <c r="H45">
        <v>1064392767344.6329</v>
      </c>
      <c r="I45">
        <f t="shared" si="0"/>
        <v>215128269717.51404</v>
      </c>
      <c r="J45">
        <v>120.8</v>
      </c>
      <c r="K45">
        <f t="shared" si="1"/>
        <v>178086315991.31955</v>
      </c>
      <c r="L45">
        <f t="shared" si="2"/>
        <v>22476.417005456795</v>
      </c>
    </row>
    <row r="46" spans="1:12" hidden="1" x14ac:dyDescent="0.25">
      <c r="A46" t="s">
        <v>12</v>
      </c>
      <c r="B46">
        <v>2023</v>
      </c>
      <c r="C46" t="s">
        <v>11</v>
      </c>
      <c r="D46">
        <v>13124498361.581924</v>
      </c>
      <c r="E46">
        <v>174830</v>
      </c>
      <c r="F46">
        <v>4066065988.7005653</v>
      </c>
      <c r="H46">
        <v>37460092994.350281</v>
      </c>
      <c r="I46">
        <f t="shared" si="0"/>
        <v>24335594632.768356</v>
      </c>
      <c r="J46">
        <v>98.427977458125</v>
      </c>
      <c r="K46">
        <f t="shared" si="1"/>
        <v>24724265662.292656</v>
      </c>
      <c r="L46">
        <f t="shared" si="2"/>
        <v>141418.89642677261</v>
      </c>
    </row>
    <row r="52" spans="9:9" x14ac:dyDescent="0.25">
      <c r="I52">
        <f>IF(G37="",H37-D37,G37)</f>
        <v>50325312344.96196</v>
      </c>
    </row>
  </sheetData>
  <autoFilter ref="A1:L46" xr:uid="{C2E1B052-1806-4C61-8872-755639EE80AE}">
    <filterColumn colId="0">
      <filters>
        <filter val="CHL"/>
      </filters>
    </filterColumn>
    <filterColumn colId="2">
      <filters>
        <filter val="J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Hoja2</vt:lpstr>
      <vt:lpstr>total</vt:lpstr>
      <vt:lpstr>Manufactura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Daymler Del Jesus O´Farrill Rolando</dc:creator>
  <cp:lastModifiedBy>Daymler Del Jesus O´Farrill Rolando</cp:lastModifiedBy>
  <dcterms:created xsi:type="dcterms:W3CDTF">2025-10-06T12:23:35Z</dcterms:created>
  <dcterms:modified xsi:type="dcterms:W3CDTF">2025-10-14T20:04:53Z</dcterms:modified>
</cp:coreProperties>
</file>