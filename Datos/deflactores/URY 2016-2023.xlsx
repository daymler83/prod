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ymler\CEPAL\prod\Datos\deflactores\"/>
    </mc:Choice>
  </mc:AlternateContent>
  <xr:revisionPtr revIDLastSave="0" documentId="13_ncr:1_{BF7A7CD6-B2B4-4B0D-93E9-016D6F03B37B}" xr6:coauthVersionLast="47" xr6:coauthVersionMax="47" xr10:uidLastSave="{00000000-0000-0000-0000-000000000000}"/>
  <bookViews>
    <workbookView xWindow="-110" yWindow="-110" windowWidth="19420" windowHeight="10300" activeTab="2" xr2:uid="{EC08940B-0DAC-4F46-92E2-5ACFBA34B431}"/>
  </bookViews>
  <sheets>
    <sheet name="corriente" sheetId="1" r:id="rId1"/>
    <sheet name="constante" sheetId="2" r:id="rId2"/>
    <sheet name="Deflactores" sheetId="3" r:id="rId3"/>
  </sheets>
  <definedNames>
    <definedName name="_xlnm._FilterDatabase" localSheetId="2" hidden="1">Deflactores!$A$1:$N$49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H3" i="3"/>
  <c r="I3" i="3"/>
  <c r="J3" i="3"/>
  <c r="K3" i="3"/>
  <c r="L3" i="3"/>
  <c r="M3" i="3"/>
  <c r="N3" i="3"/>
  <c r="G4" i="3"/>
  <c r="H4" i="3"/>
  <c r="I4" i="3"/>
  <c r="J4" i="3"/>
  <c r="K4" i="3"/>
  <c r="L4" i="3"/>
  <c r="M4" i="3"/>
  <c r="N4" i="3"/>
  <c r="G5" i="3"/>
  <c r="H5" i="3"/>
  <c r="I5" i="3"/>
  <c r="J5" i="3"/>
  <c r="K5" i="3"/>
  <c r="L5" i="3"/>
  <c r="M5" i="3"/>
  <c r="N5" i="3"/>
  <c r="G6" i="3"/>
  <c r="H6" i="3"/>
  <c r="I6" i="3"/>
  <c r="J6" i="3"/>
  <c r="K6" i="3"/>
  <c r="L6" i="3"/>
  <c r="M6" i="3"/>
  <c r="N6" i="3"/>
  <c r="G7" i="3"/>
  <c r="H7" i="3"/>
  <c r="I7" i="3"/>
  <c r="J7" i="3"/>
  <c r="K7" i="3"/>
  <c r="L7" i="3"/>
  <c r="M7" i="3"/>
  <c r="N7" i="3"/>
  <c r="G8" i="3"/>
  <c r="H8" i="3"/>
  <c r="I8" i="3"/>
  <c r="J8" i="3"/>
  <c r="K8" i="3"/>
  <c r="L8" i="3"/>
  <c r="M8" i="3"/>
  <c r="N8" i="3"/>
  <c r="G9" i="3"/>
  <c r="H9" i="3"/>
  <c r="I9" i="3"/>
  <c r="J9" i="3"/>
  <c r="K9" i="3"/>
  <c r="L9" i="3"/>
  <c r="M9" i="3"/>
  <c r="N9" i="3"/>
  <c r="G10" i="3"/>
  <c r="H10" i="3"/>
  <c r="I10" i="3"/>
  <c r="J10" i="3"/>
  <c r="K10" i="3"/>
  <c r="L10" i="3"/>
  <c r="M10" i="3"/>
  <c r="N10" i="3"/>
  <c r="G11" i="3"/>
  <c r="H11" i="3"/>
  <c r="I11" i="3"/>
  <c r="J11" i="3"/>
  <c r="K11" i="3"/>
  <c r="L11" i="3"/>
  <c r="M11" i="3"/>
  <c r="N11" i="3"/>
  <c r="G12" i="3"/>
  <c r="H12" i="3"/>
  <c r="I12" i="3"/>
  <c r="J12" i="3"/>
  <c r="K12" i="3"/>
  <c r="L12" i="3"/>
  <c r="M12" i="3"/>
  <c r="N12" i="3"/>
  <c r="G13" i="3"/>
  <c r="H13" i="3"/>
  <c r="I13" i="3"/>
  <c r="J13" i="3"/>
  <c r="K13" i="3"/>
  <c r="L13" i="3"/>
  <c r="M13" i="3"/>
  <c r="N13" i="3"/>
  <c r="G14" i="3"/>
  <c r="H14" i="3"/>
  <c r="I14" i="3"/>
  <c r="J14" i="3"/>
  <c r="K14" i="3"/>
  <c r="L14" i="3"/>
  <c r="M14" i="3"/>
  <c r="N14" i="3"/>
  <c r="G15" i="3"/>
  <c r="H15" i="3"/>
  <c r="I15" i="3"/>
  <c r="J15" i="3"/>
  <c r="K15" i="3"/>
  <c r="L15" i="3"/>
  <c r="M15" i="3"/>
  <c r="N15" i="3"/>
  <c r="G16" i="3"/>
  <c r="H16" i="3"/>
  <c r="I16" i="3"/>
  <c r="J16" i="3"/>
  <c r="K16" i="3"/>
  <c r="L16" i="3"/>
  <c r="M16" i="3"/>
  <c r="N16" i="3"/>
  <c r="G17" i="3"/>
  <c r="H17" i="3"/>
  <c r="I17" i="3"/>
  <c r="J17" i="3"/>
  <c r="K17" i="3"/>
  <c r="L17" i="3"/>
  <c r="M17" i="3"/>
  <c r="N17" i="3"/>
  <c r="G18" i="3"/>
  <c r="H18" i="3"/>
  <c r="I18" i="3"/>
  <c r="J18" i="3"/>
  <c r="K18" i="3"/>
  <c r="L18" i="3"/>
  <c r="M18" i="3"/>
  <c r="N18" i="3"/>
  <c r="G19" i="3"/>
  <c r="H19" i="3"/>
  <c r="I19" i="3"/>
  <c r="J19" i="3"/>
  <c r="K19" i="3"/>
  <c r="L19" i="3"/>
  <c r="M19" i="3"/>
  <c r="N19" i="3"/>
  <c r="G20" i="3"/>
  <c r="H20" i="3"/>
  <c r="I20" i="3"/>
  <c r="J20" i="3"/>
  <c r="K20" i="3"/>
  <c r="L20" i="3"/>
  <c r="M20" i="3"/>
  <c r="N20" i="3"/>
  <c r="G21" i="3"/>
  <c r="H21" i="3"/>
  <c r="I21" i="3"/>
  <c r="J21" i="3"/>
  <c r="K21" i="3"/>
  <c r="L21" i="3"/>
  <c r="M21" i="3"/>
  <c r="N21" i="3"/>
  <c r="G22" i="3"/>
  <c r="H22" i="3"/>
  <c r="I22" i="3"/>
  <c r="J22" i="3"/>
  <c r="K22" i="3"/>
  <c r="L22" i="3"/>
  <c r="M22" i="3"/>
  <c r="N22" i="3"/>
  <c r="G23" i="3"/>
  <c r="H23" i="3"/>
  <c r="I23" i="3"/>
  <c r="J23" i="3"/>
  <c r="K23" i="3"/>
  <c r="L23" i="3"/>
  <c r="M23" i="3"/>
  <c r="N23" i="3"/>
  <c r="G24" i="3"/>
  <c r="H24" i="3"/>
  <c r="I24" i="3"/>
  <c r="J24" i="3"/>
  <c r="K24" i="3"/>
  <c r="L24" i="3"/>
  <c r="M24" i="3"/>
  <c r="N24" i="3"/>
  <c r="G25" i="3"/>
  <c r="H25" i="3"/>
  <c r="I25" i="3"/>
  <c r="J25" i="3"/>
  <c r="K25" i="3"/>
  <c r="L25" i="3"/>
  <c r="M25" i="3"/>
  <c r="N25" i="3"/>
  <c r="G26" i="3"/>
  <c r="H26" i="3"/>
  <c r="I26" i="3"/>
  <c r="J26" i="3"/>
  <c r="K26" i="3"/>
  <c r="L26" i="3"/>
  <c r="M26" i="3"/>
  <c r="N26" i="3"/>
  <c r="G27" i="3"/>
  <c r="H27" i="3"/>
  <c r="I27" i="3"/>
  <c r="J27" i="3"/>
  <c r="K27" i="3"/>
  <c r="L27" i="3"/>
  <c r="M27" i="3"/>
  <c r="N27" i="3"/>
  <c r="G28" i="3"/>
  <c r="H28" i="3"/>
  <c r="I28" i="3"/>
  <c r="J28" i="3"/>
  <c r="K28" i="3"/>
  <c r="L28" i="3"/>
  <c r="M28" i="3"/>
  <c r="N28" i="3"/>
  <c r="G29" i="3"/>
  <c r="H29" i="3"/>
  <c r="I29" i="3"/>
  <c r="J29" i="3"/>
  <c r="K29" i="3"/>
  <c r="L29" i="3"/>
  <c r="M29" i="3"/>
  <c r="N29" i="3"/>
  <c r="G30" i="3"/>
  <c r="H30" i="3"/>
  <c r="I30" i="3"/>
  <c r="J30" i="3"/>
  <c r="K30" i="3"/>
  <c r="L30" i="3"/>
  <c r="M30" i="3"/>
  <c r="N30" i="3"/>
  <c r="G31" i="3"/>
  <c r="H31" i="3"/>
  <c r="I31" i="3"/>
  <c r="J31" i="3"/>
  <c r="K31" i="3"/>
  <c r="L31" i="3"/>
  <c r="M31" i="3"/>
  <c r="N31" i="3"/>
  <c r="G32" i="3"/>
  <c r="H32" i="3"/>
  <c r="I32" i="3"/>
  <c r="J32" i="3"/>
  <c r="K32" i="3"/>
  <c r="L32" i="3"/>
  <c r="M32" i="3"/>
  <c r="N32" i="3"/>
  <c r="G33" i="3"/>
  <c r="H33" i="3"/>
  <c r="I33" i="3"/>
  <c r="J33" i="3"/>
  <c r="K33" i="3"/>
  <c r="L33" i="3"/>
  <c r="M33" i="3"/>
  <c r="N33" i="3"/>
  <c r="G34" i="3"/>
  <c r="H34" i="3"/>
  <c r="I34" i="3"/>
  <c r="J34" i="3"/>
  <c r="K34" i="3"/>
  <c r="L34" i="3"/>
  <c r="M34" i="3"/>
  <c r="N34" i="3"/>
  <c r="G35" i="3"/>
  <c r="H35" i="3"/>
  <c r="I35" i="3"/>
  <c r="J35" i="3"/>
  <c r="K35" i="3"/>
  <c r="L35" i="3"/>
  <c r="M35" i="3"/>
  <c r="N35" i="3"/>
  <c r="G36" i="3"/>
  <c r="H36" i="3"/>
  <c r="I36" i="3"/>
  <c r="J36" i="3"/>
  <c r="K36" i="3"/>
  <c r="L36" i="3"/>
  <c r="M36" i="3"/>
  <c r="N36" i="3"/>
  <c r="G37" i="3"/>
  <c r="H37" i="3"/>
  <c r="I37" i="3"/>
  <c r="J37" i="3"/>
  <c r="K37" i="3"/>
  <c r="L37" i="3"/>
  <c r="M37" i="3"/>
  <c r="N37" i="3"/>
  <c r="G38" i="3"/>
  <c r="H38" i="3"/>
  <c r="I38" i="3"/>
  <c r="J38" i="3"/>
  <c r="K38" i="3"/>
  <c r="L38" i="3"/>
  <c r="M38" i="3"/>
  <c r="N38" i="3"/>
  <c r="G39" i="3"/>
  <c r="H39" i="3"/>
  <c r="I39" i="3"/>
  <c r="J39" i="3"/>
  <c r="K39" i="3"/>
  <c r="L39" i="3"/>
  <c r="M39" i="3"/>
  <c r="N39" i="3"/>
  <c r="G40" i="3"/>
  <c r="H40" i="3"/>
  <c r="I40" i="3"/>
  <c r="J40" i="3"/>
  <c r="K40" i="3"/>
  <c r="L40" i="3"/>
  <c r="M40" i="3"/>
  <c r="N40" i="3"/>
  <c r="G41" i="3"/>
  <c r="H41" i="3"/>
  <c r="I41" i="3"/>
  <c r="J41" i="3"/>
  <c r="K41" i="3"/>
  <c r="L41" i="3"/>
  <c r="M41" i="3"/>
  <c r="N41" i="3"/>
  <c r="G42" i="3"/>
  <c r="H42" i="3"/>
  <c r="I42" i="3"/>
  <c r="J42" i="3"/>
  <c r="K42" i="3"/>
  <c r="L42" i="3"/>
  <c r="M42" i="3"/>
  <c r="N42" i="3"/>
  <c r="G43" i="3"/>
  <c r="H43" i="3"/>
  <c r="I43" i="3"/>
  <c r="J43" i="3"/>
  <c r="K43" i="3"/>
  <c r="L43" i="3"/>
  <c r="M43" i="3"/>
  <c r="N43" i="3"/>
  <c r="G44" i="3"/>
  <c r="H44" i="3"/>
  <c r="I44" i="3"/>
  <c r="J44" i="3"/>
  <c r="K44" i="3"/>
  <c r="L44" i="3"/>
  <c r="M44" i="3"/>
  <c r="N44" i="3"/>
  <c r="G45" i="3"/>
  <c r="H45" i="3"/>
  <c r="I45" i="3"/>
  <c r="J45" i="3"/>
  <c r="K45" i="3"/>
  <c r="L45" i="3"/>
  <c r="M45" i="3"/>
  <c r="N45" i="3"/>
  <c r="G46" i="3"/>
  <c r="H46" i="3"/>
  <c r="I46" i="3"/>
  <c r="J46" i="3"/>
  <c r="K46" i="3"/>
  <c r="L46" i="3"/>
  <c r="M46" i="3"/>
  <c r="N46" i="3"/>
  <c r="G47" i="3"/>
  <c r="H47" i="3"/>
  <c r="I47" i="3"/>
  <c r="J47" i="3"/>
  <c r="K47" i="3"/>
  <c r="L47" i="3"/>
  <c r="M47" i="3"/>
  <c r="N47" i="3"/>
  <c r="G48" i="3"/>
  <c r="H48" i="3"/>
  <c r="I48" i="3"/>
  <c r="J48" i="3"/>
  <c r="K48" i="3"/>
  <c r="L48" i="3"/>
  <c r="M48" i="3"/>
  <c r="N48" i="3"/>
  <c r="G49" i="3"/>
  <c r="H49" i="3"/>
  <c r="I49" i="3"/>
  <c r="J49" i="3"/>
  <c r="K49" i="3"/>
  <c r="L49" i="3"/>
  <c r="M49" i="3"/>
  <c r="N49" i="3"/>
  <c r="H2" i="3"/>
  <c r="I2" i="3"/>
  <c r="J2" i="3"/>
  <c r="K2" i="3"/>
  <c r="L2" i="3"/>
  <c r="M2" i="3"/>
  <c r="N2" i="3"/>
  <c r="G2" i="3"/>
</calcChain>
</file>

<file path=xl/sharedStrings.xml><?xml version="1.0" encoding="utf-8"?>
<sst xmlns="http://schemas.openxmlformats.org/spreadsheetml/2006/main" count="335" uniqueCount="127">
  <si>
    <t>Valor Agregado Bruto</t>
  </si>
  <si>
    <t>Millones de pesos corrientes</t>
  </si>
  <si>
    <t>Valoración: precio básico</t>
  </si>
  <si>
    <t>Código</t>
  </si>
  <si>
    <t>Descripción</t>
  </si>
  <si>
    <t>2022*</t>
  </si>
  <si>
    <t>2023*</t>
  </si>
  <si>
    <t>A.01RT.0</t>
  </si>
  <si>
    <t>Cultivos; servicios agrícolas aplicados a los cultivos; propagación de plantas</t>
  </si>
  <si>
    <t>A.014T.0</t>
  </si>
  <si>
    <t>Ganadería; servicios aplicados a la ganadería</t>
  </si>
  <si>
    <t>A.02TT.0</t>
  </si>
  <si>
    <t>Silvicultura, extracción de madera y actividades de servicios conexas</t>
  </si>
  <si>
    <t>A.03TT.0</t>
  </si>
  <si>
    <t>Pesca, explotación de criaderos de peces; actividades de servicios relacionados con la pesca</t>
  </si>
  <si>
    <t>B.TTTT.0</t>
  </si>
  <si>
    <t>Explotación de minas y canteras</t>
  </si>
  <si>
    <t>C.101T.0</t>
  </si>
  <si>
    <t>Procesamiento y conservación de carne</t>
  </si>
  <si>
    <t>C.1020.0</t>
  </si>
  <si>
    <t xml:space="preserve">Elaboración y conservación de pescados, crustáceos y mariscos                                                                                                         </t>
  </si>
  <si>
    <t>C.1030.0</t>
  </si>
  <si>
    <t>Elaboración y conservación de frutas, legumbres y hortalizas</t>
  </si>
  <si>
    <t>C.1040.0</t>
  </si>
  <si>
    <t>Elaboración de aceites de origen vegetal y animal excepto el de maíz</t>
  </si>
  <si>
    <t>C.1050.0</t>
  </si>
  <si>
    <t>Elaboración de productos lácteos</t>
  </si>
  <si>
    <t>C.10RT.0</t>
  </si>
  <si>
    <t xml:space="preserve">Elaboración de productos de molinería, almidones y productos derivados del almidón; Elaboración de alimentos preparados para animales                                                                                                                       </t>
  </si>
  <si>
    <t>C.107V.0</t>
  </si>
  <si>
    <t xml:space="preserve">Elaboración de productos de panadería y confitería; Elaboración de productos de fideería           </t>
  </si>
  <si>
    <t>C.107X.1 C.107X.9</t>
  </si>
  <si>
    <t xml:space="preserve">Elaboración de jarabes y concentrados; Elaboración de azúcar; Elaboración de cacao, chocolates y de otros  productos alimenticios n.c.p. Elaboración de comidas y platos preparados                            </t>
  </si>
  <si>
    <t>C.1PTT.0</t>
  </si>
  <si>
    <t>Elaboración de bebidas; Elaboración de productos de tabaco</t>
  </si>
  <si>
    <t>C.13TT.0</t>
  </si>
  <si>
    <t>Fabricación de productos textiles</t>
  </si>
  <si>
    <t>C.14TT.0</t>
  </si>
  <si>
    <t>Fabricación de prendas de vestir de todo tipo de material; artículos de piel y de punto y ganchillo</t>
  </si>
  <si>
    <t>C.15TT.0</t>
  </si>
  <si>
    <t>Fabricación de productos de cuero y productos conexos</t>
  </si>
  <si>
    <t>C.16TT.0</t>
  </si>
  <si>
    <t>Producción de madera y fabricación de madera y corcho, excepto muebles; fabricación de artículos de paja y de materiales trenzables</t>
  </si>
  <si>
    <t>C.170V.1 C.170V.9</t>
  </si>
  <si>
    <t>Fabricación de pasta de madera; Fabricación de papel y de productos de papel y cartón</t>
  </si>
  <si>
    <t>C.18TT.0</t>
  </si>
  <si>
    <t xml:space="preserve">Actividades de impresión. Servicios relacionados con la impresión. Reproducción de grabaciones                                                                                                                                                </t>
  </si>
  <si>
    <t>C.19TT.0</t>
  </si>
  <si>
    <t>Fabricación de coque y de productos de la refinación de petróleo</t>
  </si>
  <si>
    <t>C.20TV.0</t>
  </si>
  <si>
    <t>Fabricación de abonos y compuestos de nitrógeno; fabricación de plaguicidas y otros productos químicos de usos agropecuario</t>
  </si>
  <si>
    <t>C.20TX.0</t>
  </si>
  <si>
    <t xml:space="preserve">Fabricación de sustancias químicas básicas y biocombustibles. Fabricación de plásticos y caucho sintético; Fabricación de productos de limpieza y tocador; Fabricación de pinturas, barnices y productos de revestimiento similares, tintas de imprenta y masillas; fabricación de otros productos químicos n.c.p.; fabricación de fibras artificiales                                                                                     </t>
  </si>
  <si>
    <t>C.2100.0</t>
  </si>
  <si>
    <t>Fabricación de productos farmacéuticos, sustancias químicas medicinales y productos botánicos de uso farmaceútico</t>
  </si>
  <si>
    <t>C.22TT.0</t>
  </si>
  <si>
    <t>Fabricación de productos de caucho y plástico</t>
  </si>
  <si>
    <t>C.23TT.0</t>
  </si>
  <si>
    <t>Fabricación de otros productos minerales no metálicos</t>
  </si>
  <si>
    <t>C.2PTT.0</t>
  </si>
  <si>
    <t xml:space="preserve">Fabricación de metales comunes; Fabricación de productos elaborados de metal excepto maquinaria y equipo                                                                                       </t>
  </si>
  <si>
    <t>C.2QTT.0</t>
  </si>
  <si>
    <t>Fabricación de productos de informática, de electrónica y de óptica; Fabricación de equipo eléctrico; Fabricación de maquinaria y equipo n.c.p.</t>
  </si>
  <si>
    <t>C.PPTT.0</t>
  </si>
  <si>
    <t>Fabricación de vehículos automotores, remolques y semirremolques; Fabricación de otros tipos de equipo de transporte</t>
  </si>
  <si>
    <t>C.3PTT.0</t>
  </si>
  <si>
    <t xml:space="preserve">Fabricación de muebles; Fabricación de instrumentos y suministros médicos y dentales; Fabricación de joyas y artículos conexos, instrumentos musicales, artículos de deporte, juguetes. Otras industrias manufactureras n.c.p.;Reparación e instalación de maquinaria y equipo                                                                                                            </t>
  </si>
  <si>
    <t>D.35TT.0</t>
  </si>
  <si>
    <t>Suministro de electricidad, gas, vapor y aire acondicionado</t>
  </si>
  <si>
    <t>E.TTTT.0</t>
  </si>
  <si>
    <t>Suministro de agua; alcantarillado, gestión de desechos y actividades de saneamiento</t>
  </si>
  <si>
    <t>F.TTTT.0</t>
  </si>
  <si>
    <t>Construcción</t>
  </si>
  <si>
    <t>G.4PTT.0</t>
  </si>
  <si>
    <t>Comercio al por mayor y al por menor; reparación de los vehículos de motor y de las motocicletas, no incluye reexportaciones.  Incluye compraventa de empresas no dedicadas exclusivamente a la compraventa</t>
  </si>
  <si>
    <t>G.4QTT.0 G.4RTT.0</t>
  </si>
  <si>
    <t>Compraventa; Re-exportaciones</t>
  </si>
  <si>
    <t>H.TTTT.0</t>
  </si>
  <si>
    <t>Transporte y almacenamiento</t>
  </si>
  <si>
    <t>I.TTTT.0</t>
  </si>
  <si>
    <t>Alojamiento y servicios de comida</t>
  </si>
  <si>
    <t>J.TTTT.0</t>
  </si>
  <si>
    <t>Información y comunicación</t>
  </si>
  <si>
    <t>K.TTTT.0</t>
  </si>
  <si>
    <t>Actividades financieras y de seguros</t>
  </si>
  <si>
    <t>L.68TT.0</t>
  </si>
  <si>
    <t>Actividades inmobiliarias</t>
  </si>
  <si>
    <t>M.TTTT.0</t>
  </si>
  <si>
    <t>Actividades profesionales, científicas y técnicas</t>
  </si>
  <si>
    <t>N.TTTT.0</t>
  </si>
  <si>
    <t>Actividades administrativas y servicios de apoyo</t>
  </si>
  <si>
    <t>O.84TT.0</t>
  </si>
  <si>
    <t>Administración pública y defensa; planes de seguridad social de afiliación obligatoria</t>
  </si>
  <si>
    <t>P.85TT.0</t>
  </si>
  <si>
    <t>Enseñanza</t>
  </si>
  <si>
    <t>Q.TTTT.0</t>
  </si>
  <si>
    <t>Servicios sociales y relacionados con la Salud humana</t>
  </si>
  <si>
    <t>R.TTTT.0</t>
  </si>
  <si>
    <t>Actividades artísticas, de entretenimiento y recreativas</t>
  </si>
  <si>
    <t>S.TTTT.0</t>
  </si>
  <si>
    <t>Otras actividades de servicio</t>
  </si>
  <si>
    <t>T.9700.0</t>
  </si>
  <si>
    <t>Actividades de los hogares como empleadores de personal doméstico</t>
  </si>
  <si>
    <t>Total VAB</t>
  </si>
  <si>
    <t>D.21 - D.31</t>
  </si>
  <si>
    <t>Impuestos menos subvenciones sobre los productos</t>
  </si>
  <si>
    <t>PIB</t>
  </si>
  <si>
    <t>* 2022 datos preliminares, 2023 datos provisorios</t>
  </si>
  <si>
    <t>Nota: La suma de los parciales puede no coincidir con el total debido al redondeo de las cifras.</t>
  </si>
  <si>
    <t>Millones de pesos a precios constantes del año 2016</t>
  </si>
  <si>
    <t>código</t>
  </si>
  <si>
    <t>C11</t>
  </si>
  <si>
    <t>C13</t>
  </si>
  <si>
    <t>C14</t>
  </si>
  <si>
    <t>C15</t>
  </si>
  <si>
    <t>C16</t>
  </si>
  <si>
    <t>C19</t>
  </si>
  <si>
    <t>C27</t>
  </si>
  <si>
    <t>C31</t>
  </si>
  <si>
    <t>C30</t>
  </si>
  <si>
    <t>C23</t>
  </si>
  <si>
    <t>C17</t>
  </si>
  <si>
    <t>C22</t>
  </si>
  <si>
    <t>C21</t>
  </si>
  <si>
    <t>C18</t>
  </si>
  <si>
    <t>C20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</si>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</sst>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_-;\-* #,##0_-;_-* &quot;-&quot;??_-;_-@_-"/>
    <numFmt numFmtId="167" formatCode="_-* #,##0.0_-;\-* #,##0.0_-;_-* &quot;-&quot;??_-;_-@_-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Le Monde Sans Std"/>
      <family val="3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8"/>
      <name val="Aptos Narrow"/>
      <family val="2"/>
      <scheme val="minor"/>
    </font>
    <font>
      <sz val="14"/>
      <color theme="0"/>
      <name val="Le Monde Sans Std"/>
      <family val="3"/>
    </font>
    <font>
      <sz val="11"/>
      <name val="Le Monde Sans Std"/>
      <family val="3"/>
    </font>
    <font>
      <b/>
      <sz val="11"/>
      <color theme="0"/>
      <name val="Le Monde Sans Std"/>
      <family val="3"/>
    </font>
    <font>
      <sz val="9"/>
      <color rgb="FF1C267D"/>
      <name val="Le Monde Sans Std"/>
      <family val="3"/>
    </font>
    <font>
      <b/>
      <sz val="11"/>
      <color rgb="FF1C267D"/>
      <name val="Le Monde Sans Std"/>
      <family val="3"/>
    </font>
    <font>
      <b/>
      <sz val="11"/>
      <color rgb="FF293272"/>
      <name val="Le Monde Sans Std"/>
      <family val="3"/>
    </font>
    <font>
      <sz val="11"/>
      <color rgb="FFFF0000"/>
      <name val="Le Monde Sans Std"/>
      <family val="3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rgb="FF293272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rgb="FF1C267D"/>
      </top>
      <bottom style="medium">
        <color rgb="FF1C267D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0"/>
      </left>
      <right/>
      <top style="medium">
        <color rgb="FF1C267D"/>
      </top>
      <bottom style="medium">
        <color rgb="FF1C267D"/>
      </bottom>
      <diagonal/>
    </border>
    <border>
      <left/>
      <right/>
      <top style="medium">
        <color rgb="FF1C267D"/>
      </top>
      <bottom/>
      <diagonal/>
    </border>
    <border>
      <left/>
      <right style="medium">
        <color theme="4" tint="-0.24994659260841701"/>
      </right>
      <top style="medium">
        <color rgb="FF1C267D"/>
      </top>
      <bottom/>
      <diagonal/>
    </border>
  </borders>
  <cellStyleXfs count="151">
    <xf numFmtId="0" fontId="0" fillId="0" borderId="0"/>
    <xf numFmtId="0" fontId="4" fillId="15" borderId="0"/>
    <xf numFmtId="0" fontId="5" fillId="0" borderId="0"/>
    <xf numFmtId="0" fontId="6" fillId="0" borderId="2"/>
    <xf numFmtId="0" fontId="7" fillId="0" borderId="0" applyAlignment="0">
      <alignment horizontal="left" vertical="top" wrapText="1"/>
    </xf>
    <xf numFmtId="0" fontId="8" fillId="0" borderId="0">
      <alignment horizontal="left" indent="1"/>
    </xf>
    <xf numFmtId="0" fontId="9" fillId="16" borderId="0">
      <alignment horizontal="center" vertical="center"/>
    </xf>
    <xf numFmtId="17" fontId="10" fillId="16" borderId="0"/>
    <xf numFmtId="0" fontId="6" fillId="15" borderId="0">
      <alignment horizontal="left"/>
    </xf>
    <xf numFmtId="0" fontId="12" fillId="0" borderId="0">
      <alignment vertical="center" wrapText="1"/>
    </xf>
    <xf numFmtId="0" fontId="13" fillId="0" borderId="0"/>
    <xf numFmtId="0" fontId="14" fillId="0" borderId="0"/>
    <xf numFmtId="0" fontId="12" fillId="0" borderId="0">
      <alignment vertical="center" wrapText="1"/>
    </xf>
    <xf numFmtId="0" fontId="12" fillId="0" borderId="0">
      <alignment vertical="center" wrapText="1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 applyNumberFormat="0" applyFill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19" borderId="0" applyNumberFormat="0" applyBorder="0" applyAlignment="0" applyProtection="0"/>
    <xf numFmtId="0" fontId="15" fillId="26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19" borderId="0" applyNumberFormat="0" applyBorder="0" applyAlignment="0" applyProtection="0"/>
    <xf numFmtId="0" fontId="16" fillId="27" borderId="0" applyNumberFormat="0" applyBorder="0" applyAlignment="0" applyProtection="0"/>
    <xf numFmtId="0" fontId="17" fillId="18" borderId="3" applyNumberFormat="0" applyAlignment="0" applyProtection="0"/>
    <xf numFmtId="0" fontId="18" fillId="28" borderId="4" applyNumberFormat="0" applyAlignment="0" applyProtection="0"/>
    <xf numFmtId="0" fontId="19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15" fillId="26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21" fillId="19" borderId="3" applyNumberFormat="0" applyAlignment="0" applyProtection="0"/>
    <xf numFmtId="0" fontId="22" fillId="33" borderId="0" applyNumberFormat="0" applyBorder="0" applyAlignment="0" applyProtection="0"/>
    <xf numFmtId="165" fontId="14" fillId="0" borderId="0" applyFont="0" applyFill="0" applyBorder="0" applyAlignment="0" applyProtection="0"/>
    <xf numFmtId="0" fontId="23" fillId="24" borderId="0" applyNumberFormat="0" applyBorder="0" applyAlignment="0" applyProtection="0"/>
    <xf numFmtId="0" fontId="14" fillId="0" borderId="0"/>
    <xf numFmtId="0" fontId="14" fillId="20" borderId="6" applyNumberFormat="0" applyFont="0" applyAlignment="0" applyProtection="0"/>
    <xf numFmtId="9" fontId="14" fillId="0" borderId="0" applyFont="0" applyFill="0" applyBorder="0" applyAlignment="0" applyProtection="0"/>
    <xf numFmtId="0" fontId="24" fillId="18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0" fillId="0" borderId="10" applyNumberFormat="0" applyFill="0" applyAlignment="0" applyProtection="0"/>
    <xf numFmtId="0" fontId="24" fillId="0" borderId="11" applyNumberFormat="0" applyFill="0" applyAlignment="0" applyProtection="0"/>
    <xf numFmtId="0" fontId="1" fillId="0" borderId="0"/>
    <xf numFmtId="0" fontId="1" fillId="0" borderId="0"/>
    <xf numFmtId="0" fontId="30" fillId="0" borderId="0"/>
    <xf numFmtId="9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20" borderId="6" applyNumberFormat="0" applyFont="0" applyAlignment="0" applyProtection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20" borderId="6" applyNumberFormat="0" applyFont="0" applyAlignment="0" applyProtection="0"/>
    <xf numFmtId="9" fontId="14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>
      <alignment vertical="center" wrapText="1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0" borderId="6" applyNumberFormat="0" applyFont="0" applyAlignment="0" applyProtection="0"/>
    <xf numFmtId="0" fontId="14" fillId="20" borderId="6" applyNumberFormat="0" applyFont="0" applyAlignment="0" applyProtection="0"/>
    <xf numFmtId="0" fontId="14" fillId="20" borderId="6" applyNumberFormat="0" applyFont="0" applyAlignment="0" applyProtection="0"/>
    <xf numFmtId="0" fontId="14" fillId="20" borderId="6" applyNumberFormat="0" applyFont="0" applyAlignment="0" applyProtection="0"/>
    <xf numFmtId="0" fontId="14" fillId="20" borderId="6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0" borderId="6" applyNumberFormat="0" applyFont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1" fillId="34" borderId="0" xfId="0" applyFont="1" applyFill="1" applyAlignment="1">
      <alignment horizontal="left" wrapText="1" indent="1"/>
    </xf>
    <xf numFmtId="166" fontId="32" fillId="17" borderId="14" xfId="150" applyNumberFormat="1" applyFont="1" applyFill="1" applyBorder="1" applyAlignment="1">
      <alignment horizontal="center" vertical="center"/>
    </xf>
    <xf numFmtId="166" fontId="32" fillId="17" borderId="15" xfId="150" applyNumberFormat="1" applyFont="1" applyFill="1" applyBorder="1" applyAlignment="1">
      <alignment horizontal="center" vertical="center"/>
    </xf>
    <xf numFmtId="166" fontId="32" fillId="17" borderId="13" xfId="15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" fontId="33" fillId="34" borderId="0" xfId="0" applyNumberFormat="1" applyFont="1" applyFill="1" applyAlignment="1">
      <alignment horizontal="center" vertical="center" wrapText="1"/>
    </xf>
    <xf numFmtId="0" fontId="31" fillId="34" borderId="0" xfId="0" applyFont="1" applyFill="1" applyAlignment="1">
      <alignment wrapText="1"/>
    </xf>
    <xf numFmtId="0" fontId="31" fillId="34" borderId="0" xfId="0" applyFont="1" applyFill="1" applyAlignment="1">
      <alignment horizontal="left" vertical="center" indent="1"/>
    </xf>
    <xf numFmtId="0" fontId="11" fillId="34" borderId="0" xfId="0" applyFont="1" applyFill="1" applyAlignment="1">
      <alignment horizontal="left" vertical="center" indent="1"/>
    </xf>
    <xf numFmtId="0" fontId="11" fillId="34" borderId="0" xfId="0" applyFont="1" applyFill="1" applyAlignment="1">
      <alignment vertical="top"/>
    </xf>
    <xf numFmtId="0" fontId="32" fillId="17" borderId="16" xfId="9" applyFont="1" applyFill="1" applyBorder="1" applyAlignment="1">
      <alignment horizontal="center" vertical="center"/>
    </xf>
    <xf numFmtId="0" fontId="32" fillId="17" borderId="17" xfId="9" applyFont="1" applyFill="1" applyBorder="1" applyAlignment="1">
      <alignment horizontal="center" vertical="center"/>
    </xf>
    <xf numFmtId="0" fontId="32" fillId="35" borderId="18" xfId="9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1" fillId="34" borderId="0" xfId="0" applyFont="1" applyFill="1"/>
    <xf numFmtId="0" fontId="32" fillId="17" borderId="17" xfId="9" applyFont="1" applyFill="1" applyBorder="1" applyAlignment="1">
      <alignment horizontal="center" vertical="center" wrapText="1"/>
    </xf>
    <xf numFmtId="0" fontId="34" fillId="0" borderId="0" xfId="5" applyFont="1" applyAlignment="1">
      <alignment vertical="center"/>
    </xf>
    <xf numFmtId="0" fontId="11" fillId="34" borderId="0" xfId="0" applyFont="1" applyFill="1" applyAlignment="1">
      <alignment horizontal="center" vertical="center" wrapText="1"/>
    </xf>
    <xf numFmtId="0" fontId="35" fillId="0" borderId="19" xfId="0" applyFont="1" applyBorder="1" applyAlignment="1">
      <alignment vertical="center"/>
    </xf>
    <xf numFmtId="17" fontId="33" fillId="34" borderId="0" xfId="0" applyNumberFormat="1" applyFont="1" applyFill="1" applyAlignment="1">
      <alignment vertical="center"/>
    </xf>
    <xf numFmtId="166" fontId="33" fillId="34" borderId="0" xfId="150" applyNumberFormat="1" applyFont="1" applyFill="1" applyAlignment="1">
      <alignment horizontal="right" vertical="center" wrapText="1"/>
    </xf>
    <xf numFmtId="166" fontId="33" fillId="34" borderId="0" xfId="150" applyNumberFormat="1" applyFont="1" applyFill="1" applyAlignment="1">
      <alignment horizontal="left" vertical="center" wrapText="1"/>
    </xf>
    <xf numFmtId="0" fontId="32" fillId="35" borderId="22" xfId="9" applyFont="1" applyFill="1" applyBorder="1" applyAlignment="1">
      <alignment horizontal="center" vertical="center" wrapText="1"/>
    </xf>
    <xf numFmtId="0" fontId="32" fillId="17" borderId="22" xfId="9" applyFont="1" applyFill="1" applyBorder="1" applyAlignment="1">
      <alignment horizontal="center" vertical="center"/>
    </xf>
    <xf numFmtId="0" fontId="35" fillId="0" borderId="21" xfId="0" applyFont="1" applyBorder="1" applyAlignment="1">
      <alignment vertical="center"/>
    </xf>
    <xf numFmtId="166" fontId="36" fillId="17" borderId="12" xfId="150" applyNumberFormat="1" applyFont="1" applyFill="1" applyBorder="1" applyAlignment="1">
      <alignment horizontal="center" vertical="center"/>
    </xf>
    <xf numFmtId="17" fontId="11" fillId="34" borderId="0" xfId="0" applyNumberFormat="1" applyFont="1" applyFill="1" applyAlignment="1">
      <alignment horizontal="center" vertical="center" wrapText="1"/>
    </xf>
    <xf numFmtId="3" fontId="0" fillId="0" borderId="0" xfId="0" applyNumberFormat="1"/>
    <xf numFmtId="17" fontId="11" fillId="34" borderId="0" xfId="0" applyNumberFormat="1" applyFont="1" applyFill="1" applyAlignment="1">
      <alignment horizontal="left" vertical="center" wrapText="1" indent="1"/>
    </xf>
    <xf numFmtId="167" fontId="32" fillId="17" borderId="13" xfId="15" applyNumberFormat="1" applyFont="1" applyFill="1" applyBorder="1" applyAlignment="1">
      <alignment horizontal="center" vertical="center"/>
    </xf>
    <xf numFmtId="167" fontId="32" fillId="17" borderId="15" xfId="15" applyNumberFormat="1" applyFont="1" applyFill="1" applyBorder="1" applyAlignment="1">
      <alignment horizontal="center" vertical="center"/>
    </xf>
    <xf numFmtId="167" fontId="32" fillId="17" borderId="14" xfId="15" applyNumberFormat="1" applyFont="1" applyFill="1" applyBorder="1" applyAlignment="1">
      <alignment horizontal="center" vertical="center"/>
    </xf>
    <xf numFmtId="166" fontId="32" fillId="17" borderId="14" xfId="15" applyNumberFormat="1" applyFont="1" applyFill="1" applyBorder="1" applyAlignment="1">
      <alignment horizontal="center" vertical="center"/>
    </xf>
    <xf numFmtId="166" fontId="32" fillId="17" borderId="15" xfId="15" applyNumberFormat="1" applyFont="1" applyFill="1" applyBorder="1" applyAlignment="1">
      <alignment horizontal="center" vertical="center"/>
    </xf>
    <xf numFmtId="166" fontId="32" fillId="17" borderId="13" xfId="15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36" fillId="17" borderId="12" xfId="15" applyNumberFormat="1" applyFont="1" applyFill="1" applyBorder="1" applyAlignment="1">
      <alignment horizontal="center" vertical="center"/>
    </xf>
    <xf numFmtId="166" fontId="33" fillId="34" borderId="0" xfId="15" applyNumberFormat="1" applyFont="1" applyFill="1" applyAlignment="1">
      <alignment horizontal="left" vertical="center" wrapText="1"/>
    </xf>
    <xf numFmtId="166" fontId="33" fillId="34" borderId="0" xfId="15" applyNumberFormat="1" applyFont="1" applyFill="1" applyAlignment="1">
      <alignment horizontal="right" vertical="center" wrapText="1"/>
    </xf>
    <xf numFmtId="0" fontId="2" fillId="0" borderId="0" xfId="0" applyFont="1"/>
    <xf numFmtId="3" fontId="37" fillId="0" borderId="0" xfId="0" applyNumberFormat="1" applyFont="1" applyAlignment="1">
      <alignment vertical="center"/>
    </xf>
    <xf numFmtId="3" fontId="2" fillId="0" borderId="0" xfId="0" applyNumberFormat="1" applyFont="1"/>
    <xf numFmtId="0" fontId="32" fillId="17" borderId="17" xfId="9" applyFont="1" applyFill="1" applyBorder="1" applyAlignment="1">
      <alignment horizontal="left" vertical="center" wrapText="1" indent="1"/>
    </xf>
    <xf numFmtId="0" fontId="32" fillId="17" borderId="20" xfId="9" applyFont="1" applyFill="1" applyBorder="1" applyAlignment="1">
      <alignment horizontal="left" vertical="center" wrapText="1" indent="1"/>
    </xf>
    <xf numFmtId="0" fontId="32" fillId="17" borderId="0" xfId="9" applyFont="1" applyFill="1" applyAlignment="1">
      <alignment horizontal="left" vertical="center" wrapText="1" indent="1"/>
    </xf>
    <xf numFmtId="0" fontId="32" fillId="17" borderId="17" xfId="9" applyFont="1" applyFill="1" applyBorder="1" applyAlignment="1">
      <alignment horizontal="left" vertical="center" wrapText="1" indent="1"/>
    </xf>
    <xf numFmtId="17" fontId="11" fillId="34" borderId="0" xfId="0" applyNumberFormat="1" applyFont="1" applyFill="1" applyAlignment="1">
      <alignment horizontal="left" vertical="center" wrapText="1" indent="1"/>
    </xf>
    <xf numFmtId="0" fontId="32" fillId="17" borderId="22" xfId="9" applyFont="1" applyFill="1" applyBorder="1" applyAlignment="1">
      <alignment horizontal="left" vertical="center" wrapText="1" indent="1"/>
    </xf>
    <xf numFmtId="0" fontId="32" fillId="17" borderId="23" xfId="9" applyFont="1" applyFill="1" applyBorder="1" applyAlignment="1">
      <alignment horizontal="left" vertical="center" wrapText="1" indent="1"/>
    </xf>
  </cellXfs>
  <cellStyles count="151">
    <cellStyle name="=C:\WINNT\SYSTEM32\COMMAND.COM" xfId="58" xr:uid="{BAB6B3D8-2167-4132-A156-9615574FD4A6}"/>
    <cellStyle name="20% - Énfasis1 2" xfId="29" xr:uid="{FD4E6AF5-0829-45D8-AF9C-7C84EFB8DCA7}"/>
    <cellStyle name="20% - Énfasis1 3" xfId="59" xr:uid="{29BB8406-26E1-4CAD-BAD9-7E1BAD9F2AFE}"/>
    <cellStyle name="20% - Énfasis2 2" xfId="30" xr:uid="{C29DB178-D852-4153-921A-C2346191E128}"/>
    <cellStyle name="20% - Énfasis2 3" xfId="60" xr:uid="{6547B863-F77A-4610-BAA4-9B884E43D263}"/>
    <cellStyle name="20% - Énfasis3 2" xfId="31" xr:uid="{9CD2D33F-A9EC-4976-9E0D-CB0B1220DD05}"/>
    <cellStyle name="20% - Énfasis3 3" xfId="61" xr:uid="{29227338-22F1-4C5C-85BA-89B0F5461269}"/>
    <cellStyle name="20% - Énfasis4 2" xfId="32" xr:uid="{2D93CA69-3498-4712-8576-D842D8CA7DD7}"/>
    <cellStyle name="20% - Énfasis4 3" xfId="62" xr:uid="{8ABC1D38-B747-4208-B5F2-C5C339E5AC3C}"/>
    <cellStyle name="20% - Énfasis5 2" xfId="33" xr:uid="{B4D8519D-B9A9-4304-AB78-BB7B28C1E3BC}"/>
    <cellStyle name="20% - Énfasis5 3" xfId="63" xr:uid="{5152E7CF-F944-4E49-8D64-5546C5D6B35D}"/>
    <cellStyle name="20% - Énfasis6 2" xfId="34" xr:uid="{14D00954-51DB-4BA8-82A3-7807D3314F19}"/>
    <cellStyle name="20% - Énfasis6 3" xfId="64" xr:uid="{E26EE7EF-3D09-43A9-9986-1F7F8996D2AC}"/>
    <cellStyle name="40% - Énfasis1 2" xfId="35" xr:uid="{BF8406CA-6012-41C2-AE12-893228A6F5C1}"/>
    <cellStyle name="40% - Énfasis1 3" xfId="65" xr:uid="{8939FD58-FD74-4D4F-A651-C160AF6C3366}"/>
    <cellStyle name="40% - Énfasis2 2" xfId="36" xr:uid="{7FD8A856-64FB-492D-801E-65ECB1E1A682}"/>
    <cellStyle name="40% - Énfasis2 3" xfId="66" xr:uid="{E6031A3E-1A4B-4860-BF41-66AC8818DEBE}"/>
    <cellStyle name="40% - Énfasis3 2" xfId="37" xr:uid="{0968F15D-28D6-4F15-A220-9255A944DFE2}"/>
    <cellStyle name="40% - Énfasis3 3" xfId="67" xr:uid="{9F30BA1F-F1F4-48D7-87D7-E492159CF453}"/>
    <cellStyle name="40% - Énfasis4 2" xfId="38" xr:uid="{9F233CC5-A0B3-44F8-BBDF-0A496B060588}"/>
    <cellStyle name="40% - Énfasis4 3" xfId="68" xr:uid="{6DB888EF-A68A-4F82-8370-68CCB0393C01}"/>
    <cellStyle name="40% - Énfasis5 2" xfId="39" xr:uid="{01C9E52C-0D12-4D12-809D-6056213BF34A}"/>
    <cellStyle name="40% - Énfasis5 3" xfId="69" xr:uid="{4875ED04-C7CE-4352-BFB2-66B12BDDA96D}"/>
    <cellStyle name="40% - Énfasis6 2" xfId="40" xr:uid="{7C6784D5-4A94-4B19-ACB8-56E83031E774}"/>
    <cellStyle name="40% - Énfasis6 3" xfId="70" xr:uid="{1214A12B-2202-49A1-ABE2-F572E708E18B}"/>
    <cellStyle name="60% - Énfasis1 2" xfId="71" xr:uid="{6284EE6D-91B5-49E5-AC4F-984A99AAA384}"/>
    <cellStyle name="60% - Énfasis2 2" xfId="72" xr:uid="{932BBA4E-D986-4149-B26D-384910299219}"/>
    <cellStyle name="60% - Énfasis3 2" xfId="73" xr:uid="{4424262D-551D-4E5D-B274-64EA2848762A}"/>
    <cellStyle name="60% - Énfasis4 2" xfId="74" xr:uid="{8BF38567-8395-4428-A8A0-3760093A0CF6}"/>
    <cellStyle name="60% - Énfasis5 2" xfId="75" xr:uid="{775678F3-7081-408E-B7AA-1DC7E849B2F9}"/>
    <cellStyle name="60% - Énfasis6 2" xfId="76" xr:uid="{22F83236-F108-4993-9459-35E19BB8FE0E}"/>
    <cellStyle name="Buena 2" xfId="77" xr:uid="{C6B666CE-58C8-4E73-A295-FD375B784A41}"/>
    <cellStyle name="Cálculo 2" xfId="78" xr:uid="{D39843F7-FD2A-4873-9316-6A1316C5E127}"/>
    <cellStyle name="Celda de comprobación 2" xfId="79" xr:uid="{5D3A0420-3372-4C03-AE57-80E206274196}"/>
    <cellStyle name="Celda vinculada 2" xfId="80" xr:uid="{F727EED7-33A4-464A-8406-F7014953F0FF}"/>
    <cellStyle name="datos principales" xfId="1" xr:uid="{4984F095-B3AE-40FA-A69B-F90183A0DC45}"/>
    <cellStyle name="datos secundarios" xfId="2" xr:uid="{CD0A06A5-CBAF-4CC3-9C18-4B376F2C981F}"/>
    <cellStyle name="Encabezado 4 2" xfId="81" xr:uid="{F9F7A536-BFCD-430E-B099-1480A6C29CA2}"/>
    <cellStyle name="Énfasis1 2" xfId="82" xr:uid="{DACE6D33-7C27-4B99-BF7C-A7E199A94FBA}"/>
    <cellStyle name="Énfasis2 2" xfId="83" xr:uid="{F365DCB4-FAE3-4FC2-A836-3C20BA1B0C2A}"/>
    <cellStyle name="Énfasis3 2" xfId="84" xr:uid="{8742EC0E-3B3D-46CA-A794-F9B8CA583434}"/>
    <cellStyle name="Énfasis4 2" xfId="85" xr:uid="{2A8D1766-6B06-4C6E-A353-CD383A6AD81B}"/>
    <cellStyle name="Énfasis5 2" xfId="86" xr:uid="{DAF22D2D-818C-4D6A-8E1A-501D514A2DE2}"/>
    <cellStyle name="Énfasis6 2" xfId="87" xr:uid="{C679935A-BE15-439B-AFEF-A6FDAA8EE8FF}"/>
    <cellStyle name="Entrada 2" xfId="88" xr:uid="{24F64737-F257-4844-A31B-289137751B52}"/>
    <cellStyle name="Incorrecto 2" xfId="89" xr:uid="{9BF4ECF8-511C-40FF-A8EF-ED51A499444E}"/>
    <cellStyle name="linea de totales" xfId="3" xr:uid="{76F49FA7-66A2-4BAD-869E-DE845A2FBE81}"/>
    <cellStyle name="Millares 2" xfId="53" xr:uid="{178AA4A1-E0F2-4BC3-84B0-7473F4B52157}"/>
    <cellStyle name="Millares 2 2" xfId="15" xr:uid="{B38CA7AF-E22A-436D-918F-534B7BA496F0}"/>
    <cellStyle name="Millares 2 2 2" xfId="116" xr:uid="{0FF4EF30-3E71-4A4D-8892-47252438D966}"/>
    <cellStyle name="Millares 3" xfId="90" xr:uid="{5BD935F0-2151-4470-BD62-5BEDFE9FF981}"/>
    <cellStyle name="Millares 3 2" xfId="108" xr:uid="{526424DB-03D9-4AD6-B138-03800606DBA2}"/>
    <cellStyle name="Millares 3 3" xfId="112" xr:uid="{352196A1-7424-4FCB-8F7C-2A3CC6883D57}"/>
    <cellStyle name="Millares 3 3 2" xfId="117" xr:uid="{F8C8C3DB-F2EA-4D09-9A8A-E4573ED3E60B}"/>
    <cellStyle name="Millares 3 3 3" xfId="118" xr:uid="{DD4BED1A-7927-44FE-B6CA-FB5863B62A51}"/>
    <cellStyle name="Millares 3 3 3 2" xfId="119" xr:uid="{0738AE53-7877-4495-8CCF-AC48E1FEB6AD}"/>
    <cellStyle name="Millares 3 3 3 3" xfId="120" xr:uid="{5604692A-D018-48E2-BB20-DC6D2F8197F1}"/>
    <cellStyle name="Millares 3 4" xfId="121" xr:uid="{9828E2EE-9F0C-49B8-8585-1E5B86B68728}"/>
    <cellStyle name="Millares 3 5" xfId="145" xr:uid="{C7D766B9-B540-4E55-8674-D8F7F7694995}"/>
    <cellStyle name="Millares 4" xfId="122" xr:uid="{5F588C73-ABE7-4ABA-8B1D-E1EC7590BF48}"/>
    <cellStyle name="Millares 5" xfId="150" xr:uid="{1EF4BDBF-EC18-46FF-8AA4-EBDA5FC3CE07}"/>
    <cellStyle name="Neutral 2" xfId="91" xr:uid="{6E145F9F-84AF-490B-AD2F-DB68EBB237A5}"/>
    <cellStyle name="Normal" xfId="0" builtinId="0"/>
    <cellStyle name="Normal 10" xfId="21" xr:uid="{EE06C3EC-E163-4E21-9974-C5A3C2F373F9}"/>
    <cellStyle name="Normal 11" xfId="22" xr:uid="{83B9075B-C4DA-45FE-89A8-F4E13F1AD338}"/>
    <cellStyle name="Normal 12" xfId="26" xr:uid="{7B7F1154-E44C-4C99-B685-65A806FA89E0}"/>
    <cellStyle name="Normal 13" xfId="27" xr:uid="{83315C05-4CA4-4C98-8597-1ED6D77BB484}"/>
    <cellStyle name="Normal 14" xfId="28" xr:uid="{D55DC0FE-6927-4B77-B769-4943D30E0831}"/>
    <cellStyle name="Normal 15" xfId="47" xr:uid="{6C431156-473E-4618-BCA6-209F70673686}"/>
    <cellStyle name="Normal 15 2" xfId="48" xr:uid="{E2EB70E0-ACD0-4A02-97CB-6C0427BAD0DD}"/>
    <cellStyle name="Normal 15 2 2" xfId="49" xr:uid="{B373A258-D86A-46B5-A5B3-264BBAD7E3A1}"/>
    <cellStyle name="Normal 15 3" xfId="104" xr:uid="{6A42D5C5-9398-41E1-A580-33A94CBE2D62}"/>
    <cellStyle name="Normal 16" xfId="50" xr:uid="{594A1CFC-2C2F-4B15-BC1C-E2692387DF3B}"/>
    <cellStyle name="Normal 17" xfId="51" xr:uid="{2850EB54-D0B0-4701-85E6-FCDC88403032}"/>
    <cellStyle name="Normal 18" xfId="52" xr:uid="{CEBABEBE-2960-49BD-B1A0-255BD3DD171E}"/>
    <cellStyle name="Normal 19" xfId="13" xr:uid="{31EA8C2B-53BB-4878-A6DF-EA65AB0D5B53}"/>
    <cellStyle name="Normal 19 2" xfId="103" xr:uid="{0388B8EF-5DEF-4B6D-802E-6BF1108CEBA1}"/>
    <cellStyle name="Normal 19 2 2" xfId="123" xr:uid="{37566E15-E58F-4AED-93BD-4C82E39FEFC3}"/>
    <cellStyle name="Normal 2" xfId="9" xr:uid="{8DF64498-6E4A-4C1B-8AE4-F1651D6283E5}"/>
    <cellStyle name="Normal 2 2" xfId="20" xr:uid="{800C5380-853B-4738-B791-00EE968E04B3}"/>
    <cellStyle name="Normal 2 2 2" xfId="25" xr:uid="{C9E9F83A-F87D-4CF5-A19F-4EB0B8341353}"/>
    <cellStyle name="Normal 2 2 2 2" xfId="45" xr:uid="{0796858A-24AF-4DFF-8D22-AA80CE4C7752}"/>
    <cellStyle name="Normal 2 3" xfId="23" xr:uid="{AC05CCEF-916E-419B-BC82-8D9B9825132C}"/>
    <cellStyle name="Normal 2 3 2" xfId="44" xr:uid="{4395D298-16CE-412E-8348-1DBBCA804BD0}"/>
    <cellStyle name="Normal 2 3 2 2" xfId="56" xr:uid="{D4F037F4-8458-4EEA-BAE0-1A4D67EF76CB}"/>
    <cellStyle name="Normal 2 4" xfId="46" xr:uid="{55EEA19E-FE35-49CC-B7EA-F49123F6D48E}"/>
    <cellStyle name="Normal 2 4 2" xfId="54" xr:uid="{4CD957D1-C4B9-4FF0-A465-0EEB90048EB5}"/>
    <cellStyle name="Normal 2 4 3" xfId="55" xr:uid="{3ABFB66A-DCFD-46B1-9D21-7DD7311C6C71}"/>
    <cellStyle name="Normal 2 5" xfId="92" xr:uid="{28D1CAD0-AF24-41BD-A1D5-E07081053943}"/>
    <cellStyle name="Normal 2 5 2" xfId="107" xr:uid="{37F17026-10B4-4B8C-8C02-530979521A0B}"/>
    <cellStyle name="Normal 2 5 3" xfId="113" xr:uid="{1D7B6B45-8DE7-49EF-97B9-A2213C7E3164}"/>
    <cellStyle name="Normal 2 5 3 2" xfId="124" xr:uid="{A195D865-0E42-4362-BB76-E86AB272970C}"/>
    <cellStyle name="Normal 2 5 3 3" xfId="125" xr:uid="{97C93E23-408E-451D-8584-DD3AEF107B82}"/>
    <cellStyle name="Normal 2 5 3 3 2" xfId="126" xr:uid="{4AF08E19-5A57-411B-B8B7-C949E29A2FE1}"/>
    <cellStyle name="Normal 2 5 3 3 3" xfId="127" xr:uid="{EADA147C-008C-4A33-89FB-2A1BE0566DCB}"/>
    <cellStyle name="Normal 2 5 4" xfId="128" xr:uid="{63922B3A-7A70-4120-844C-BD545F5BB247}"/>
    <cellStyle name="Normal 2 5 5" xfId="146" xr:uid="{55F5D8EE-C94D-4C72-A7C1-232526B74A02}"/>
    <cellStyle name="Normal 2 6" xfId="14" xr:uid="{7F4A570D-8D28-4A95-8EFD-89AFD0633240}"/>
    <cellStyle name="Normal 2 6 2" xfId="129" xr:uid="{4B68CC93-8ABC-4BA7-B71E-9E173B0A09D7}"/>
    <cellStyle name="Normal 20" xfId="57" xr:uid="{9EDD89F1-A7B5-46AA-BA31-64DA9ABA305F}"/>
    <cellStyle name="Normal 20 2" xfId="110" xr:uid="{B4BF0430-1934-4387-905C-226A46CB0511}"/>
    <cellStyle name="Normal 20 3" xfId="111" xr:uid="{0062CC36-62AA-4A2F-9C39-00F79D4A9214}"/>
    <cellStyle name="Normal 20 3 2" xfId="130" xr:uid="{B2716607-4767-4A1F-B065-3E567B9F9ACE}"/>
    <cellStyle name="Normal 20 3 3" xfId="131" xr:uid="{85DE4F27-9942-4877-B95F-A881B4A6ECB0}"/>
    <cellStyle name="Normal 20 3 3 2" xfId="132" xr:uid="{970899CD-040D-48E2-B251-7126F9AECD8E}"/>
    <cellStyle name="Normal 20 3 3 3" xfId="133" xr:uid="{DA4E3F98-DAA9-475F-9E7D-481B8F7F7174}"/>
    <cellStyle name="Normal 20 4" xfId="134" xr:uid="{7130C160-DC96-4BD5-A51E-B0462BF5ADA6}"/>
    <cellStyle name="Normal 20 5" xfId="147" xr:uid="{C42AF56E-4DAF-457C-8F2F-65F8B9C5381A}"/>
    <cellStyle name="Normal 21" xfId="105" xr:uid="{6E3E12B4-0C61-49CF-94D0-5DE0AF2FB43F}"/>
    <cellStyle name="Normal 3" xfId="10" xr:uid="{20C5914E-2D16-46B5-8FE3-387EA3071FB2}"/>
    <cellStyle name="Normal 4" xfId="11" xr:uid="{30C49270-8241-45FB-9888-14C88CE133D9}"/>
    <cellStyle name="Normal 5" xfId="12" xr:uid="{AAC1DCA2-166E-4311-9951-10A031CB6377}"/>
    <cellStyle name="Normal 6" xfId="16" xr:uid="{4224DB72-F909-4452-9640-311B0C2769C5}"/>
    <cellStyle name="Normal 6 2" xfId="24" xr:uid="{CA3775B1-979F-427A-B19B-8EF1EC73B4F8}"/>
    <cellStyle name="Normal 7" xfId="17" xr:uid="{46756AE4-7380-4838-8CCF-794783C70BD8}"/>
    <cellStyle name="Normal 8" xfId="18" xr:uid="{E3147D96-18D2-4534-A9D0-16E6B21CF7ED}"/>
    <cellStyle name="Normal 9" xfId="19" xr:uid="{6C155D65-D7B9-4835-B00A-192099C12189}"/>
    <cellStyle name="Notas 2" xfId="41" xr:uid="{92B44692-17DF-4ACB-A597-72AF96728C97}"/>
    <cellStyle name="Notas 3" xfId="42" xr:uid="{7803AB33-728B-4AB1-9B25-E98EB14ACBB9}"/>
    <cellStyle name="Notas 4" xfId="93" xr:uid="{E2E6ABDD-0EB6-4F94-B89B-8B92607AEBB3}"/>
    <cellStyle name="Notas 4 2" xfId="109" xr:uid="{9F9BD037-8F81-4C61-BCCE-9F4AAAD6A0BB}"/>
    <cellStyle name="Notas 4 3" xfId="114" xr:uid="{B0CF4F65-E425-49C1-9CCB-875198D3FEEB}"/>
    <cellStyle name="Notas 4 3 2" xfId="135" xr:uid="{CB781221-9CC8-46A4-ACF4-63AA9A7995F0}"/>
    <cellStyle name="Notas 4 3 3" xfId="136" xr:uid="{AB363368-B137-4DE7-AD71-F6A051CCE534}"/>
    <cellStyle name="Notas 4 3 3 2" xfId="137" xr:uid="{D53B60A1-E52E-4028-96DD-D5DCA97C0C61}"/>
    <cellStyle name="Notas 4 3 3 3" xfId="138" xr:uid="{B81A2BE6-77F6-434A-B5A8-188E3D5112F2}"/>
    <cellStyle name="Notas 4 4" xfId="139" xr:uid="{7A81014D-5F4F-4467-ABF9-44542C301850}"/>
    <cellStyle name="Notas 4 5" xfId="148" xr:uid="{68F4E924-3CF4-4A36-BD0A-DEC6C329441B}"/>
    <cellStyle name="Notas al pie" xfId="4" xr:uid="{F4F20D38-AF59-4362-9390-C297700991E5}"/>
    <cellStyle name="Porcentaje 2" xfId="43" xr:uid="{B7C70B15-66B7-4A4E-B63F-030057725FFE}"/>
    <cellStyle name="Porcentaje 3" xfId="94" xr:uid="{E454401A-B345-4B04-BA9D-939D14B717DB}"/>
    <cellStyle name="Porcentaje 3 2" xfId="106" xr:uid="{5F0433CC-88EB-4255-BE97-3DF7EEDCB103}"/>
    <cellStyle name="Porcentaje 3 3" xfId="115" xr:uid="{E0D66A32-F544-4DE5-BC64-C7D15AE720B5}"/>
    <cellStyle name="Porcentaje 3 3 2" xfId="140" xr:uid="{ED2C9E2A-4F51-4AEE-A549-E8EBE3E5C00A}"/>
    <cellStyle name="Porcentaje 3 3 3" xfId="141" xr:uid="{4B5D1226-54A2-4F61-B6BD-31A561A30BE6}"/>
    <cellStyle name="Porcentaje 3 3 3 2" xfId="142" xr:uid="{CA188BC8-1DF8-4EF8-950E-1933F98F4C1E}"/>
    <cellStyle name="Porcentaje 3 3 3 3" xfId="143" xr:uid="{7A5F8F1D-2D19-44BE-8F36-01036FAAF912}"/>
    <cellStyle name="Porcentaje 3 4" xfId="144" xr:uid="{94BD25AD-F45A-447E-A1B4-B3BD7495B294}"/>
    <cellStyle name="Porcentaje 3 5" xfId="149" xr:uid="{BFD66CF0-8D19-407E-828D-EA2F2BE31474}"/>
    <cellStyle name="Salida 2" xfId="95" xr:uid="{6D810909-3D63-49C4-B74B-32C302F44D5D}"/>
    <cellStyle name="subtitulos de las filas" xfId="5" xr:uid="{F69839A0-89E9-4AD5-A09B-A8E0E08C3BB9}"/>
    <cellStyle name="Texto de advertencia 2" xfId="96" xr:uid="{D1DE3D20-C7AE-4B0C-9636-D702993F1662}"/>
    <cellStyle name="Texto explicativo 2" xfId="97" xr:uid="{469778A0-4507-48DE-BDF6-C430CD8BFB47}"/>
    <cellStyle name="Título 1 2" xfId="99" xr:uid="{9E3A2C64-3586-40E5-B7D8-6060A86D4C87}"/>
    <cellStyle name="Título 2 2" xfId="100" xr:uid="{2007371D-A90D-4BF5-9D9D-875F21A04FDF}"/>
    <cellStyle name="Título 3 2" xfId="101" xr:uid="{227F9141-2402-4E40-891A-A673EFDBF42F}"/>
    <cellStyle name="Título 4" xfId="98" xr:uid="{D86DCD2E-026C-414B-9ECE-91F0CD486741}"/>
    <cellStyle name="titulo del informe" xfId="6" xr:uid="{8C36BCE6-33D1-465B-AA3A-443D9229CF10}"/>
    <cellStyle name="titulos de las columnas" xfId="7" xr:uid="{3FC76A0B-43E7-4F44-AD42-E25C02891D34}"/>
    <cellStyle name="titulos de las filas" xfId="8" xr:uid="{DB089788-3203-43CC-BB16-4E1B81E02A6B}"/>
    <cellStyle name="Total 2" xfId="102" xr:uid="{F50ED333-3C62-4A68-A19A-1E87ED8AD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0A5E-6377-47E8-A8ED-32BD3AEAFB2C}">
  <dimension ref="A2:Z65"/>
  <sheetViews>
    <sheetView topLeftCell="A14" workbookViewId="0">
      <selection activeCell="A41" sqref="A41:N41"/>
    </sheetView>
  </sheetViews>
  <sheetFormatPr defaultColWidth="10.90625" defaultRowHeight="14.5"/>
  <sheetData>
    <row r="2" spans="1:26" ht="18.5">
      <c r="E2" s="7"/>
      <c r="F2" s="15"/>
      <c r="G2" s="15"/>
      <c r="H2" s="15"/>
      <c r="I2" s="15"/>
      <c r="J2" s="15"/>
      <c r="K2" s="15"/>
      <c r="L2" s="7"/>
      <c r="M2" s="7"/>
    </row>
    <row r="3" spans="1:26" ht="18.5">
      <c r="E3" s="8" t="s">
        <v>0</v>
      </c>
      <c r="F3" s="15"/>
      <c r="G3" s="15"/>
      <c r="H3" s="15"/>
      <c r="I3" s="15"/>
      <c r="J3" s="15"/>
      <c r="K3" s="15"/>
      <c r="L3" s="8"/>
      <c r="M3" s="8"/>
    </row>
    <row r="4" spans="1:26" ht="18.5">
      <c r="E4" s="8" t="s">
        <v>1</v>
      </c>
      <c r="F4" s="15"/>
      <c r="G4" s="15"/>
      <c r="H4" s="15"/>
      <c r="I4" s="15"/>
      <c r="J4" s="15"/>
      <c r="K4" s="15"/>
      <c r="L4" s="8"/>
      <c r="M4" s="8"/>
    </row>
    <row r="5" spans="1:26">
      <c r="E5" s="9" t="s">
        <v>2</v>
      </c>
      <c r="F5" s="10"/>
      <c r="G5" s="10"/>
      <c r="H5" s="10"/>
      <c r="I5" s="10"/>
      <c r="J5" s="10"/>
      <c r="K5" s="10"/>
      <c r="L5" s="9"/>
      <c r="M5" s="9"/>
    </row>
    <row r="6" spans="1:26" ht="18.5">
      <c r="E6" s="1"/>
      <c r="F6" s="1"/>
      <c r="G6" s="1"/>
      <c r="H6" s="1"/>
      <c r="I6" s="1"/>
      <c r="J6" s="1"/>
      <c r="K6" s="1"/>
      <c r="L6" s="1"/>
      <c r="M6" s="1"/>
    </row>
    <row r="7" spans="1:26">
      <c r="F7" s="14"/>
      <c r="G7" s="14"/>
      <c r="H7" s="14"/>
      <c r="I7" s="14"/>
    </row>
    <row r="8" spans="1:26" ht="15.5" thickBot="1">
      <c r="A8" s="6"/>
      <c r="B8" s="27" t="s">
        <v>3</v>
      </c>
      <c r="C8" s="47" t="s">
        <v>4</v>
      </c>
      <c r="D8" s="47"/>
      <c r="E8" s="47"/>
      <c r="F8" s="18">
        <v>2016</v>
      </c>
      <c r="G8" s="18">
        <v>2017</v>
      </c>
      <c r="H8" s="18">
        <v>2018</v>
      </c>
      <c r="I8" s="18">
        <v>2019</v>
      </c>
      <c r="J8" s="18">
        <v>2020</v>
      </c>
      <c r="K8" s="18">
        <v>2021</v>
      </c>
      <c r="L8" s="18" t="s">
        <v>5</v>
      </c>
      <c r="M8" s="18" t="s">
        <v>6</v>
      </c>
    </row>
    <row r="9" spans="1:26">
      <c r="A9" s="13">
        <v>1</v>
      </c>
      <c r="B9" s="11" t="s">
        <v>7</v>
      </c>
      <c r="C9" s="44" t="s">
        <v>8</v>
      </c>
      <c r="D9" s="45"/>
      <c r="E9" s="46"/>
      <c r="F9" s="2">
        <v>51399.324567858697</v>
      </c>
      <c r="G9" s="3">
        <v>37496.682406458298</v>
      </c>
      <c r="H9" s="3">
        <v>49259.1444839791</v>
      </c>
      <c r="I9" s="3">
        <v>50174.1305960592</v>
      </c>
      <c r="J9" s="3">
        <v>65833.066274911107</v>
      </c>
      <c r="K9" s="3">
        <v>82185.580884315306</v>
      </c>
      <c r="L9" s="3">
        <v>74444.406842196899</v>
      </c>
      <c r="M9" s="3">
        <v>93388.346340089862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3">
        <v>2</v>
      </c>
      <c r="B10" s="12" t="s">
        <v>9</v>
      </c>
      <c r="C10" s="44" t="s">
        <v>10</v>
      </c>
      <c r="D10" s="45"/>
      <c r="E10" s="46"/>
      <c r="F10" s="3">
        <v>51315.074652118899</v>
      </c>
      <c r="G10" s="3">
        <v>50191.3071505591</v>
      </c>
      <c r="H10" s="3">
        <v>51641.554325143697</v>
      </c>
      <c r="I10" s="3">
        <v>74973.943587555797</v>
      </c>
      <c r="J10" s="3">
        <v>73947.7515659247</v>
      </c>
      <c r="K10" s="3">
        <v>102274.20046292761</v>
      </c>
      <c r="L10" s="3">
        <v>108698.4880532829</v>
      </c>
      <c r="M10" s="3">
        <v>71635.667315795567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3">
        <v>3</v>
      </c>
      <c r="B11" s="12" t="s">
        <v>11</v>
      </c>
      <c r="C11" s="44" t="s">
        <v>12</v>
      </c>
      <c r="D11" s="45"/>
      <c r="E11" s="46"/>
      <c r="F11" s="3">
        <v>11801.6445522675</v>
      </c>
      <c r="G11" s="3">
        <v>11635.2138735802</v>
      </c>
      <c r="H11" s="3">
        <v>14315.0936524386</v>
      </c>
      <c r="I11" s="3">
        <v>15556.0914174559</v>
      </c>
      <c r="J11" s="3">
        <v>20232.104438842802</v>
      </c>
      <c r="K11" s="3">
        <v>18086.211714069101</v>
      </c>
      <c r="L11" s="3">
        <v>15420.371486972899</v>
      </c>
      <c r="M11" s="3">
        <v>16785.784122254438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3">
        <v>4</v>
      </c>
      <c r="B12" s="12" t="s">
        <v>13</v>
      </c>
      <c r="C12" s="44" t="s">
        <v>14</v>
      </c>
      <c r="D12" s="45"/>
      <c r="E12" s="46"/>
      <c r="F12" s="3">
        <v>1277.5941110623</v>
      </c>
      <c r="G12" s="3">
        <v>1459.5356690142</v>
      </c>
      <c r="H12" s="3">
        <v>1711.6620030892</v>
      </c>
      <c r="I12" s="3">
        <v>1945.7755550565</v>
      </c>
      <c r="J12" s="3">
        <v>2152.6670590354001</v>
      </c>
      <c r="K12" s="3">
        <v>2061.3531419983001</v>
      </c>
      <c r="L12" s="3">
        <v>2515.6825503917999</v>
      </c>
      <c r="M12" s="3">
        <v>2622.4340058155249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3">
        <v>5</v>
      </c>
      <c r="B13" s="12" t="s">
        <v>15</v>
      </c>
      <c r="C13" s="44" t="s">
        <v>16</v>
      </c>
      <c r="D13" s="45"/>
      <c r="E13" s="46"/>
      <c r="F13" s="3">
        <v>4916.0713427614</v>
      </c>
      <c r="G13" s="3">
        <v>3071.5622581923999</v>
      </c>
      <c r="H13" s="3">
        <v>3137.596287845</v>
      </c>
      <c r="I13" s="3">
        <v>4224.1335632980999</v>
      </c>
      <c r="J13" s="3">
        <v>4328.5261524103998</v>
      </c>
      <c r="K13" s="3">
        <v>5729.9850722971996</v>
      </c>
      <c r="L13" s="3">
        <v>4678.0689527628001</v>
      </c>
      <c r="M13" s="3">
        <v>5064.4275824480001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3">
        <v>6</v>
      </c>
      <c r="B14" s="12" t="s">
        <v>17</v>
      </c>
      <c r="C14" s="44" t="s">
        <v>18</v>
      </c>
      <c r="D14" s="45"/>
      <c r="E14" s="46"/>
      <c r="F14" s="3">
        <v>22667.7730243736</v>
      </c>
      <c r="G14" s="3">
        <v>24098.780240026601</v>
      </c>
      <c r="H14" s="3">
        <v>27693.028264691799</v>
      </c>
      <c r="I14" s="3">
        <v>24217.637635122501</v>
      </c>
      <c r="J14" s="3">
        <v>30458.072448711799</v>
      </c>
      <c r="K14" s="3">
        <v>42638.709568402199</v>
      </c>
      <c r="L14" s="3">
        <v>38586.506809005899</v>
      </c>
      <c r="M14" s="3">
        <v>45157.524822534891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3">
        <v>7</v>
      </c>
      <c r="B15" s="12" t="s">
        <v>19</v>
      </c>
      <c r="C15" s="44" t="s">
        <v>20</v>
      </c>
      <c r="D15" s="45"/>
      <c r="E15" s="46"/>
      <c r="F15" s="3">
        <v>914.80531802969995</v>
      </c>
      <c r="G15" s="3">
        <v>1060.2000292836999</v>
      </c>
      <c r="H15" s="3">
        <v>1302.0679357094</v>
      </c>
      <c r="I15" s="3">
        <v>1471.8984048852999</v>
      </c>
      <c r="J15" s="3">
        <v>1635.3620594348999</v>
      </c>
      <c r="K15" s="3">
        <v>1682.5886006712999</v>
      </c>
      <c r="L15" s="3">
        <v>2070.3663284705999</v>
      </c>
      <c r="M15" s="3">
        <v>1985.4028116940963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3">
        <v>8</v>
      </c>
      <c r="B16" s="12" t="s">
        <v>21</v>
      </c>
      <c r="C16" s="44" t="s">
        <v>22</v>
      </c>
      <c r="D16" s="45"/>
      <c r="E16" s="46"/>
      <c r="F16" s="3">
        <v>867.54222762459995</v>
      </c>
      <c r="G16" s="3">
        <v>918.13109846489999</v>
      </c>
      <c r="H16" s="3">
        <v>763.76222122089996</v>
      </c>
      <c r="I16" s="3">
        <v>900.29228047900006</v>
      </c>
      <c r="J16" s="3">
        <v>1031.2319114253</v>
      </c>
      <c r="K16" s="3">
        <v>1121.1502654028</v>
      </c>
      <c r="L16" s="3">
        <v>1394.6989479494</v>
      </c>
      <c r="M16" s="3">
        <v>1067.389360538456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13">
      <c r="A17" s="13">
        <v>9</v>
      </c>
      <c r="B17" s="12" t="s">
        <v>23</v>
      </c>
      <c r="C17" s="44" t="s">
        <v>24</v>
      </c>
      <c r="D17" s="45"/>
      <c r="E17" s="46"/>
      <c r="F17" s="3">
        <v>1079.2181925095999</v>
      </c>
      <c r="G17" s="3">
        <v>1376.0728667387</v>
      </c>
      <c r="H17" s="3">
        <v>1533.8277072000999</v>
      </c>
      <c r="I17" s="3">
        <v>1608.0373715827</v>
      </c>
      <c r="J17" s="3">
        <v>2105.1371833242001</v>
      </c>
      <c r="K17" s="3">
        <v>2517.1394450831999</v>
      </c>
      <c r="L17" s="3">
        <v>3499.3420883847998</v>
      </c>
      <c r="M17" s="3">
        <v>4203.5596409929203</v>
      </c>
    </row>
    <row r="18" spans="1:13">
      <c r="A18" s="13">
        <v>10</v>
      </c>
      <c r="B18" s="12" t="s">
        <v>25</v>
      </c>
      <c r="C18" s="44" t="s">
        <v>26</v>
      </c>
      <c r="D18" s="45"/>
      <c r="E18" s="46"/>
      <c r="F18" s="3">
        <v>9487.4755256836997</v>
      </c>
      <c r="G18" s="3">
        <v>10022.285118419801</v>
      </c>
      <c r="H18" s="3">
        <v>10689.9595334884</v>
      </c>
      <c r="I18" s="3">
        <v>12405.1126955946</v>
      </c>
      <c r="J18" s="3">
        <v>14093.012112886299</v>
      </c>
      <c r="K18" s="3">
        <v>15939.3798409548</v>
      </c>
      <c r="L18" s="3">
        <v>16752.458866994501</v>
      </c>
      <c r="M18" s="3">
        <v>17007.295575438016</v>
      </c>
    </row>
    <row r="19" spans="1:13">
      <c r="A19" s="13">
        <v>11</v>
      </c>
      <c r="B19" s="12" t="s">
        <v>27</v>
      </c>
      <c r="C19" s="44" t="s">
        <v>28</v>
      </c>
      <c r="D19" s="45"/>
      <c r="E19" s="46"/>
      <c r="F19" s="3">
        <v>8307.9196729930009</v>
      </c>
      <c r="G19" s="3">
        <v>9511.4232614735993</v>
      </c>
      <c r="H19" s="3">
        <v>10589.580391433799</v>
      </c>
      <c r="I19" s="3">
        <v>10319.818358263001</v>
      </c>
      <c r="J19" s="3">
        <v>11722.772130988</v>
      </c>
      <c r="K19" s="3">
        <v>7110.6942439975001</v>
      </c>
      <c r="L19" s="3">
        <v>8248.7292507729999</v>
      </c>
      <c r="M19" s="3">
        <v>10176.197152490582</v>
      </c>
    </row>
    <row r="20" spans="1:13">
      <c r="A20" s="13">
        <v>12</v>
      </c>
      <c r="B20" s="12" t="s">
        <v>29</v>
      </c>
      <c r="C20" s="44" t="s">
        <v>30</v>
      </c>
      <c r="D20" s="45"/>
      <c r="E20" s="46"/>
      <c r="F20" s="3">
        <v>15061.908839254</v>
      </c>
      <c r="G20" s="3">
        <v>17183.035222226499</v>
      </c>
      <c r="H20" s="3">
        <v>18046.6720634796</v>
      </c>
      <c r="I20" s="3">
        <v>19838.164638621201</v>
      </c>
      <c r="J20" s="3">
        <v>18650.342123796701</v>
      </c>
      <c r="K20" s="3">
        <v>19739.5864599948</v>
      </c>
      <c r="L20" s="3">
        <v>22929.360465653899</v>
      </c>
      <c r="M20" s="3">
        <v>26243.136494196482</v>
      </c>
    </row>
    <row r="21" spans="1:13" ht="29">
      <c r="A21" s="13">
        <v>13</v>
      </c>
      <c r="B21" s="16" t="s">
        <v>31</v>
      </c>
      <c r="C21" s="44" t="s">
        <v>32</v>
      </c>
      <c r="D21" s="45"/>
      <c r="E21" s="46"/>
      <c r="F21" s="3">
        <v>13093.838389374299</v>
      </c>
      <c r="G21" s="3">
        <v>11631.9856200183</v>
      </c>
      <c r="H21" s="3">
        <v>11815.842216442799</v>
      </c>
      <c r="I21" s="3">
        <v>12231.4345085287</v>
      </c>
      <c r="J21" s="3">
        <v>9270.2327290256999</v>
      </c>
      <c r="K21" s="3">
        <v>10782.786570853599</v>
      </c>
      <c r="L21" s="3">
        <v>10125.7013539447</v>
      </c>
      <c r="M21" s="3">
        <v>14471.817838232972</v>
      </c>
    </row>
    <row r="22" spans="1:13">
      <c r="A22" s="13">
        <v>14</v>
      </c>
      <c r="B22" s="12" t="s">
        <v>33</v>
      </c>
      <c r="C22" s="44" t="s">
        <v>34</v>
      </c>
      <c r="D22" s="45"/>
      <c r="E22" s="46"/>
      <c r="F22" s="3">
        <v>13698.198041887001</v>
      </c>
      <c r="G22" s="3">
        <v>16104.6332372869</v>
      </c>
      <c r="H22" s="3">
        <v>17419.4805744894</v>
      </c>
      <c r="I22" s="3">
        <v>19071.955513233199</v>
      </c>
      <c r="J22" s="3">
        <v>16841.303719043899</v>
      </c>
      <c r="K22" s="3">
        <v>18958.6279762595</v>
      </c>
      <c r="L22" s="3">
        <v>19780.905368569402</v>
      </c>
      <c r="M22" s="3">
        <v>20626.070729510786</v>
      </c>
    </row>
    <row r="23" spans="1:13">
      <c r="A23" s="13">
        <v>15</v>
      </c>
      <c r="B23" s="12" t="s">
        <v>35</v>
      </c>
      <c r="C23" s="44" t="s">
        <v>36</v>
      </c>
      <c r="D23" s="45"/>
      <c r="E23" s="46"/>
      <c r="F23" s="3">
        <v>3085.6383607079001</v>
      </c>
      <c r="G23" s="3">
        <v>3245.4553221087999</v>
      </c>
      <c r="H23" s="3">
        <v>3563.4125408588002</v>
      </c>
      <c r="I23" s="3">
        <v>3216.7143997111002</v>
      </c>
      <c r="J23" s="3">
        <v>2190.9408486408001</v>
      </c>
      <c r="K23" s="3">
        <v>2563.0101494956002</v>
      </c>
      <c r="L23" s="3">
        <v>3513.2520317629001</v>
      </c>
      <c r="M23" s="3">
        <v>2520.3888602357702</v>
      </c>
    </row>
    <row r="24" spans="1:13">
      <c r="A24" s="13">
        <v>16</v>
      </c>
      <c r="B24" s="12" t="s">
        <v>37</v>
      </c>
      <c r="C24" s="44" t="s">
        <v>38</v>
      </c>
      <c r="D24" s="45"/>
      <c r="E24" s="46"/>
      <c r="F24" s="3">
        <v>3902.2324678698001</v>
      </c>
      <c r="G24" s="3">
        <v>4035.2005606664002</v>
      </c>
      <c r="H24" s="3">
        <v>3643.1727703531001</v>
      </c>
      <c r="I24" s="3">
        <v>4101.5144675489</v>
      </c>
      <c r="J24" s="3">
        <v>3256.2722670860999</v>
      </c>
      <c r="K24" s="3">
        <v>3942.0163155762998</v>
      </c>
      <c r="L24" s="3">
        <v>4226.8614632650997</v>
      </c>
      <c r="M24" s="3">
        <v>3569.1972243057107</v>
      </c>
    </row>
    <row r="25" spans="1:13">
      <c r="A25" s="13">
        <v>17</v>
      </c>
      <c r="B25" s="12" t="s">
        <v>39</v>
      </c>
      <c r="C25" s="44" t="s">
        <v>40</v>
      </c>
      <c r="D25" s="45"/>
      <c r="E25" s="46"/>
      <c r="F25" s="3">
        <v>3479.5333559370001</v>
      </c>
      <c r="G25" s="3">
        <v>3883.5368034423</v>
      </c>
      <c r="H25" s="3">
        <v>2830.9215331624</v>
      </c>
      <c r="I25" s="3">
        <v>5711.4709109127998</v>
      </c>
      <c r="J25" s="3">
        <v>6171.1006343484996</v>
      </c>
      <c r="K25" s="3">
        <v>4526.9042255350996</v>
      </c>
      <c r="L25" s="3">
        <v>4792.2522556958002</v>
      </c>
      <c r="M25" s="3">
        <v>3745.9917432762904</v>
      </c>
    </row>
    <row r="26" spans="1:13">
      <c r="A26" s="13">
        <v>18</v>
      </c>
      <c r="B26" s="12" t="s">
        <v>41</v>
      </c>
      <c r="C26" s="44" t="s">
        <v>42</v>
      </c>
      <c r="D26" s="45"/>
      <c r="E26" s="46"/>
      <c r="F26" s="3">
        <v>3973.9402470588002</v>
      </c>
      <c r="G26" s="3">
        <v>3649.4518991570999</v>
      </c>
      <c r="H26" s="3">
        <v>4288.1084940518003</v>
      </c>
      <c r="I26" s="3">
        <v>4680.1201727220996</v>
      </c>
      <c r="J26" s="3">
        <v>4205.6453776588996</v>
      </c>
      <c r="K26" s="3">
        <v>6804.8153375658003</v>
      </c>
      <c r="L26" s="3">
        <v>7844.8992797392002</v>
      </c>
      <c r="M26" s="3">
        <v>5396.2599210695262</v>
      </c>
    </row>
    <row r="27" spans="1:13">
      <c r="A27" s="13">
        <v>19</v>
      </c>
      <c r="B27" s="12" t="s">
        <v>43</v>
      </c>
      <c r="C27" s="44" t="s">
        <v>44</v>
      </c>
      <c r="D27" s="45"/>
      <c r="E27" s="46"/>
      <c r="F27" s="3">
        <v>18325.188701261599</v>
      </c>
      <c r="G27" s="3">
        <v>17969.445994998001</v>
      </c>
      <c r="H27" s="3">
        <v>29506.574834273699</v>
      </c>
      <c r="I27" s="3">
        <v>25395.976789987501</v>
      </c>
      <c r="J27" s="3">
        <v>12617.8607252372</v>
      </c>
      <c r="K27" s="3">
        <v>35498.321450811301</v>
      </c>
      <c r="L27" s="3">
        <v>44606.547046071602</v>
      </c>
      <c r="M27" s="3">
        <v>30029.663989693669</v>
      </c>
    </row>
    <row r="28" spans="1:13">
      <c r="A28" s="13">
        <v>20</v>
      </c>
      <c r="B28" s="12" t="s">
        <v>45</v>
      </c>
      <c r="C28" s="44" t="s">
        <v>46</v>
      </c>
      <c r="D28" s="45"/>
      <c r="E28" s="46"/>
      <c r="F28" s="3">
        <v>2946.8862395179999</v>
      </c>
      <c r="G28" s="3">
        <v>3275.0435527737</v>
      </c>
      <c r="H28" s="3">
        <v>3225.6398218545</v>
      </c>
      <c r="I28" s="3">
        <v>3360.0789004256999</v>
      </c>
      <c r="J28" s="3">
        <v>3085.3185266830001</v>
      </c>
      <c r="K28" s="3">
        <v>3407.8870444948002</v>
      </c>
      <c r="L28" s="3">
        <v>3763.4294854246</v>
      </c>
      <c r="M28" s="3">
        <v>3959.1007664019189</v>
      </c>
    </row>
    <row r="29" spans="1:13">
      <c r="A29" s="13">
        <v>21</v>
      </c>
      <c r="B29" s="12" t="s">
        <v>47</v>
      </c>
      <c r="C29" s="44" t="s">
        <v>48</v>
      </c>
      <c r="D29" s="45"/>
      <c r="E29" s="46"/>
      <c r="F29" s="3">
        <v>15605.856591259801</v>
      </c>
      <c r="G29" s="3">
        <v>4148.8216530971004</v>
      </c>
      <c r="H29" s="3">
        <v>16807.3531231497</v>
      </c>
      <c r="I29" s="3">
        <v>17480.0651293753</v>
      </c>
      <c r="J29" s="3">
        <v>14853.284802448299</v>
      </c>
      <c r="K29" s="3">
        <v>14801.0122311335</v>
      </c>
      <c r="L29" s="3">
        <v>22942.4340346225</v>
      </c>
      <c r="M29" s="3">
        <v>15309.102247025017</v>
      </c>
    </row>
    <row r="30" spans="1:13">
      <c r="A30" s="13">
        <v>22</v>
      </c>
      <c r="B30" s="12" t="s">
        <v>49</v>
      </c>
      <c r="C30" s="44" t="s">
        <v>50</v>
      </c>
      <c r="D30" s="45"/>
      <c r="E30" s="46"/>
      <c r="F30" s="3">
        <v>833.61801084700005</v>
      </c>
      <c r="G30" s="3">
        <v>484.9766503692</v>
      </c>
      <c r="H30" s="3">
        <v>467.43493342390002</v>
      </c>
      <c r="I30" s="3">
        <v>646.99872518070003</v>
      </c>
      <c r="J30" s="3">
        <v>787.97697218569999</v>
      </c>
      <c r="K30" s="3">
        <v>2360.5470828256998</v>
      </c>
      <c r="L30" s="3">
        <v>2646.1031237545999</v>
      </c>
      <c r="M30" s="3">
        <v>2910.300602380923</v>
      </c>
    </row>
    <row r="31" spans="1:13">
      <c r="A31" s="13">
        <v>23</v>
      </c>
      <c r="B31" s="12" t="s">
        <v>51</v>
      </c>
      <c r="C31" s="44" t="s">
        <v>52</v>
      </c>
      <c r="D31" s="45"/>
      <c r="E31" s="46"/>
      <c r="F31" s="3">
        <v>7360.4164763057997</v>
      </c>
      <c r="G31" s="3">
        <v>9173.6314704635006</v>
      </c>
      <c r="H31" s="3">
        <v>7261.9036077794999</v>
      </c>
      <c r="I31" s="3">
        <v>8375.2224149797003</v>
      </c>
      <c r="J31" s="3">
        <v>8266.7843844372001</v>
      </c>
      <c r="K31" s="3">
        <v>8826.2835406648992</v>
      </c>
      <c r="L31" s="3">
        <v>10505.6868368512</v>
      </c>
      <c r="M31" s="3">
        <v>11040.402608417979</v>
      </c>
    </row>
    <row r="32" spans="1:13">
      <c r="A32" s="13">
        <v>24</v>
      </c>
      <c r="B32" s="12" t="s">
        <v>53</v>
      </c>
      <c r="C32" s="44" t="s">
        <v>54</v>
      </c>
      <c r="D32" s="45"/>
      <c r="E32" s="46"/>
      <c r="F32" s="3">
        <v>9618.6391370751007</v>
      </c>
      <c r="G32" s="3">
        <v>11796.660364867899</v>
      </c>
      <c r="H32" s="3">
        <v>13087.134826715699</v>
      </c>
      <c r="I32" s="3">
        <v>13874.666526794799</v>
      </c>
      <c r="J32" s="3">
        <v>15035.105003065401</v>
      </c>
      <c r="K32" s="3">
        <v>19540.763949445402</v>
      </c>
      <c r="L32" s="3">
        <v>16040.050462265301</v>
      </c>
      <c r="M32" s="3">
        <v>14424.923791231548</v>
      </c>
    </row>
    <row r="33" spans="1:13">
      <c r="A33" s="13">
        <v>25</v>
      </c>
      <c r="B33" s="12" t="s">
        <v>55</v>
      </c>
      <c r="C33" s="44" t="s">
        <v>56</v>
      </c>
      <c r="D33" s="45"/>
      <c r="E33" s="46"/>
      <c r="F33" s="3">
        <v>4677.1816700829004</v>
      </c>
      <c r="G33" s="3">
        <v>4650.7048111304002</v>
      </c>
      <c r="H33" s="3">
        <v>5359.3875614811996</v>
      </c>
      <c r="I33" s="3">
        <v>6650.6832419654002</v>
      </c>
      <c r="J33" s="3">
        <v>6191.4203205356998</v>
      </c>
      <c r="K33" s="3">
        <v>8122.2273717170001</v>
      </c>
      <c r="L33" s="3">
        <v>10469.3491746459</v>
      </c>
      <c r="M33" s="3">
        <v>11244.515270097829</v>
      </c>
    </row>
    <row r="34" spans="1:13">
      <c r="A34" s="13">
        <v>26</v>
      </c>
      <c r="B34" s="12" t="s">
        <v>57</v>
      </c>
      <c r="C34" s="44" t="s">
        <v>58</v>
      </c>
      <c r="D34" s="45"/>
      <c r="E34" s="46"/>
      <c r="F34" s="3">
        <v>3846.6918592872998</v>
      </c>
      <c r="G34" s="3">
        <v>3628.5236570627999</v>
      </c>
      <c r="H34" s="3">
        <v>4258.5848760013996</v>
      </c>
      <c r="I34" s="3">
        <v>5675.4953350860997</v>
      </c>
      <c r="J34" s="3">
        <v>5380.2228346723005</v>
      </c>
      <c r="K34" s="3">
        <v>7144.6023428431999</v>
      </c>
      <c r="L34" s="3">
        <v>8752.5307971230995</v>
      </c>
      <c r="M34" s="3">
        <v>12647.486561398176</v>
      </c>
    </row>
    <row r="35" spans="1:13">
      <c r="A35" s="13">
        <v>27</v>
      </c>
      <c r="B35" s="12" t="s">
        <v>59</v>
      </c>
      <c r="C35" s="44" t="s">
        <v>60</v>
      </c>
      <c r="D35" s="45"/>
      <c r="E35" s="46"/>
      <c r="F35" s="3">
        <v>9904.1240396461999</v>
      </c>
      <c r="G35" s="3">
        <v>9554.4266620035996</v>
      </c>
      <c r="H35" s="3">
        <v>8806.6585348694007</v>
      </c>
      <c r="I35" s="3">
        <v>10554.8347740809</v>
      </c>
      <c r="J35" s="3">
        <v>11302.696810514701</v>
      </c>
      <c r="K35" s="3">
        <v>15764.358710353201</v>
      </c>
      <c r="L35" s="3">
        <v>14003.806426987199</v>
      </c>
      <c r="M35" s="3">
        <v>9553.3823237575925</v>
      </c>
    </row>
    <row r="36" spans="1:13">
      <c r="A36" s="13">
        <v>28</v>
      </c>
      <c r="B36" s="12" t="s">
        <v>61</v>
      </c>
      <c r="C36" s="44" t="s">
        <v>62</v>
      </c>
      <c r="D36" s="45"/>
      <c r="E36" s="46"/>
      <c r="F36" s="3">
        <v>3987.4616808364999</v>
      </c>
      <c r="G36" s="3">
        <v>4698.5623032353997</v>
      </c>
      <c r="H36" s="3">
        <v>5207.3138430556</v>
      </c>
      <c r="I36" s="3">
        <v>6082.2311172324999</v>
      </c>
      <c r="J36" s="3">
        <v>5154.9794146996001</v>
      </c>
      <c r="K36" s="3">
        <v>6954.9823597305003</v>
      </c>
      <c r="L36" s="3">
        <v>6878.1653175494002</v>
      </c>
      <c r="M36" s="3">
        <v>7882.7101813044419</v>
      </c>
    </row>
    <row r="37" spans="1:13">
      <c r="A37" s="13">
        <v>29</v>
      </c>
      <c r="B37" s="12" t="s">
        <v>63</v>
      </c>
      <c r="C37" s="44" t="s">
        <v>64</v>
      </c>
      <c r="D37" s="45"/>
      <c r="E37" s="46"/>
      <c r="F37" s="3">
        <v>1833.9007188061</v>
      </c>
      <c r="G37" s="3">
        <v>1957.8935853547</v>
      </c>
      <c r="H37" s="3">
        <v>1359.270467904</v>
      </c>
      <c r="I37" s="3">
        <v>1288.4385706107</v>
      </c>
      <c r="J37" s="3">
        <v>842.17611840929999</v>
      </c>
      <c r="K37" s="3">
        <v>1987.0768157847999</v>
      </c>
      <c r="L37" s="3">
        <v>3122.0220628753</v>
      </c>
      <c r="M37" s="3">
        <v>5592.4179261304525</v>
      </c>
    </row>
    <row r="38" spans="1:13">
      <c r="A38" s="13">
        <v>30</v>
      </c>
      <c r="B38" s="12" t="s">
        <v>65</v>
      </c>
      <c r="C38" s="44" t="s">
        <v>66</v>
      </c>
      <c r="D38" s="45"/>
      <c r="E38" s="46"/>
      <c r="F38" s="3">
        <v>11925.4209727378</v>
      </c>
      <c r="G38" s="3">
        <v>13448.8724308398</v>
      </c>
      <c r="H38" s="3">
        <v>12923.254697526299</v>
      </c>
      <c r="I38" s="3">
        <v>12903.2711965535</v>
      </c>
      <c r="J38" s="3">
        <v>13411.340937626301</v>
      </c>
      <c r="K38" s="3">
        <v>14298.9209326851</v>
      </c>
      <c r="L38" s="3">
        <v>16536.9970549256</v>
      </c>
      <c r="M38" s="3">
        <v>14286.146308466345</v>
      </c>
    </row>
    <row r="39" spans="1:13">
      <c r="A39" s="13">
        <v>31</v>
      </c>
      <c r="B39" s="12" t="s">
        <v>67</v>
      </c>
      <c r="C39" s="44" t="s">
        <v>68</v>
      </c>
      <c r="D39" s="45"/>
      <c r="E39" s="46"/>
      <c r="F39" s="3">
        <v>36578.038217432797</v>
      </c>
      <c r="G39" s="3">
        <v>40859.900454331</v>
      </c>
      <c r="H39" s="3">
        <v>43000.075627276601</v>
      </c>
      <c r="I39" s="3">
        <v>41529.884341965699</v>
      </c>
      <c r="J39" s="3">
        <v>41843.236119403198</v>
      </c>
      <c r="K39" s="3">
        <v>55648.013026527296</v>
      </c>
      <c r="L39" s="3">
        <v>46925.396210704799</v>
      </c>
      <c r="M39" s="3">
        <v>42646.25882506754</v>
      </c>
    </row>
    <row r="40" spans="1:13">
      <c r="A40" s="13">
        <v>32</v>
      </c>
      <c r="B40" s="12" t="s">
        <v>69</v>
      </c>
      <c r="C40" s="44" t="s">
        <v>70</v>
      </c>
      <c r="D40" s="45"/>
      <c r="E40" s="46"/>
      <c r="F40" s="3">
        <v>10515.8884930555</v>
      </c>
      <c r="G40" s="3">
        <v>12796.8049356662</v>
      </c>
      <c r="H40" s="3">
        <v>13823.1503766598</v>
      </c>
      <c r="I40" s="3">
        <v>13825.839150661801</v>
      </c>
      <c r="J40" s="3">
        <v>14759.367239003201</v>
      </c>
      <c r="K40" s="3">
        <v>16912.879359111499</v>
      </c>
      <c r="L40" s="3">
        <v>18284.544331937701</v>
      </c>
      <c r="M40" s="3">
        <v>19626.506040598888</v>
      </c>
    </row>
    <row r="41" spans="1:13">
      <c r="A41" s="13">
        <v>33</v>
      </c>
      <c r="B41" s="12" t="s">
        <v>71</v>
      </c>
      <c r="C41" s="44" t="s">
        <v>72</v>
      </c>
      <c r="D41" s="45"/>
      <c r="E41" s="46"/>
      <c r="F41" s="3">
        <v>84620.429978946195</v>
      </c>
      <c r="G41" s="3">
        <v>87903.547307987697</v>
      </c>
      <c r="H41" s="3">
        <v>85673.5914137574</v>
      </c>
      <c r="I41" s="3">
        <v>93570.352978796902</v>
      </c>
      <c r="J41" s="3">
        <v>102043.83383391589</v>
      </c>
      <c r="K41" s="3">
        <v>113772.7871364016</v>
      </c>
      <c r="L41" s="3">
        <v>140770.2353064178</v>
      </c>
      <c r="M41" s="3">
        <v>144854.05382005993</v>
      </c>
    </row>
    <row r="42" spans="1:13">
      <c r="A42" s="13">
        <v>34</v>
      </c>
      <c r="B42" s="12" t="s">
        <v>73</v>
      </c>
      <c r="C42" s="44" t="s">
        <v>74</v>
      </c>
      <c r="D42" s="45"/>
      <c r="E42" s="46"/>
      <c r="F42" s="3">
        <v>166782.34298070331</v>
      </c>
      <c r="G42" s="3">
        <v>182611.10820182861</v>
      </c>
      <c r="H42" s="3">
        <v>181791.0991322347</v>
      </c>
      <c r="I42" s="3">
        <v>200333.48923987499</v>
      </c>
      <c r="J42" s="3">
        <v>216389.21857805221</v>
      </c>
      <c r="K42" s="3">
        <v>255610.50130388149</v>
      </c>
      <c r="L42" s="3">
        <v>295194.57626826351</v>
      </c>
      <c r="M42" s="3">
        <v>324822.3956985292</v>
      </c>
    </row>
    <row r="43" spans="1:13">
      <c r="A43" s="13">
        <v>35</v>
      </c>
      <c r="B43" s="12" t="s">
        <v>75</v>
      </c>
      <c r="C43" s="44" t="s">
        <v>76</v>
      </c>
      <c r="D43" s="45"/>
      <c r="E43" s="46"/>
      <c r="F43" s="3">
        <v>27720.092090873899</v>
      </c>
      <c r="G43" s="3">
        <v>23921.458344291699</v>
      </c>
      <c r="H43" s="3">
        <v>17146.230489563801</v>
      </c>
      <c r="I43" s="3">
        <v>26602.148684347201</v>
      </c>
      <c r="J43" s="3">
        <v>26678.911084208001</v>
      </c>
      <c r="K43" s="3">
        <v>114582.9709855048</v>
      </c>
      <c r="L43" s="3">
        <v>97855.788621687505</v>
      </c>
      <c r="M43" s="3">
        <v>60910.470360307751</v>
      </c>
    </row>
    <row r="44" spans="1:13">
      <c r="A44" s="13">
        <v>36</v>
      </c>
      <c r="B44" s="12" t="s">
        <v>77</v>
      </c>
      <c r="C44" s="44" t="s">
        <v>78</v>
      </c>
      <c r="D44" s="45"/>
      <c r="E44" s="46"/>
      <c r="F44" s="3">
        <v>88199.553696033399</v>
      </c>
      <c r="G44" s="3">
        <v>92057.478830729902</v>
      </c>
      <c r="H44" s="3">
        <v>100674.2861789806</v>
      </c>
      <c r="I44" s="3">
        <v>112524.9657532163</v>
      </c>
      <c r="J44" s="3">
        <v>101769.8069566835</v>
      </c>
      <c r="K44" s="3">
        <v>117571.30321770821</v>
      </c>
      <c r="L44" s="3">
        <v>133074.4327683099</v>
      </c>
      <c r="M44" s="3">
        <v>145734.6822920987</v>
      </c>
    </row>
    <row r="45" spans="1:13">
      <c r="A45" s="13">
        <v>37</v>
      </c>
      <c r="B45" s="12" t="s">
        <v>79</v>
      </c>
      <c r="C45" s="44" t="s">
        <v>80</v>
      </c>
      <c r="D45" s="45"/>
      <c r="E45" s="46"/>
      <c r="F45" s="3">
        <v>38698.358321271997</v>
      </c>
      <c r="G45" s="3">
        <v>44340.743672742203</v>
      </c>
      <c r="H45" s="3">
        <v>48258.727542237102</v>
      </c>
      <c r="I45" s="3">
        <v>50036.829015053998</v>
      </c>
      <c r="J45" s="3">
        <v>36528.3216142698</v>
      </c>
      <c r="K45" s="3">
        <v>38523.735113101699</v>
      </c>
      <c r="L45" s="3">
        <v>47293.994660003198</v>
      </c>
      <c r="M45" s="3">
        <v>56483.280032978415</v>
      </c>
    </row>
    <row r="46" spans="1:13">
      <c r="A46" s="13">
        <v>38</v>
      </c>
      <c r="B46" s="12" t="s">
        <v>81</v>
      </c>
      <c r="C46" s="44" t="s">
        <v>82</v>
      </c>
      <c r="D46" s="45"/>
      <c r="E46" s="46"/>
      <c r="F46" s="3">
        <v>58614.678934443502</v>
      </c>
      <c r="G46" s="3">
        <v>69779.496694479807</v>
      </c>
      <c r="H46" s="3">
        <v>75944.433669386402</v>
      </c>
      <c r="I46" s="3">
        <v>86926.362080399806</v>
      </c>
      <c r="J46" s="3">
        <v>92749.303833283106</v>
      </c>
      <c r="K46" s="3">
        <v>105590.63048633411</v>
      </c>
      <c r="L46" s="3">
        <v>108382.7226925499</v>
      </c>
      <c r="M46" s="3">
        <v>103895.3583181827</v>
      </c>
    </row>
    <row r="47" spans="1:13">
      <c r="A47" s="13">
        <v>39</v>
      </c>
      <c r="B47" s="12" t="s">
        <v>83</v>
      </c>
      <c r="C47" s="44" t="s">
        <v>84</v>
      </c>
      <c r="D47" s="45"/>
      <c r="E47" s="46"/>
      <c r="F47" s="3">
        <v>86551.773903802794</v>
      </c>
      <c r="G47" s="3">
        <v>94360.862253263695</v>
      </c>
      <c r="H47" s="3">
        <v>101498.1174846717</v>
      </c>
      <c r="I47" s="3">
        <v>105366.84910377899</v>
      </c>
      <c r="J47" s="3">
        <v>108280.27475068859</v>
      </c>
      <c r="K47" s="3">
        <v>119617.80994361969</v>
      </c>
      <c r="L47" s="3">
        <v>130334.79317083721</v>
      </c>
      <c r="M47" s="3">
        <v>146305.99570072285</v>
      </c>
    </row>
    <row r="48" spans="1:13">
      <c r="A48" s="13">
        <v>40</v>
      </c>
      <c r="B48" s="12" t="s">
        <v>85</v>
      </c>
      <c r="C48" s="44" t="s">
        <v>86</v>
      </c>
      <c r="D48" s="45"/>
      <c r="E48" s="46"/>
      <c r="F48" s="3">
        <v>193487.49310088239</v>
      </c>
      <c r="G48" s="3">
        <v>215515.02885635049</v>
      </c>
      <c r="H48" s="3">
        <v>234686.69566541951</v>
      </c>
      <c r="I48" s="3">
        <v>244167.05748119979</v>
      </c>
      <c r="J48" s="3">
        <v>254749.40550686521</v>
      </c>
      <c r="K48" s="3">
        <v>260041.39701473399</v>
      </c>
      <c r="L48" s="3">
        <v>281112.06404555391</v>
      </c>
      <c r="M48" s="3">
        <v>303119.93293839402</v>
      </c>
    </row>
    <row r="49" spans="1:13">
      <c r="A49" s="13">
        <v>41</v>
      </c>
      <c r="B49" s="12" t="s">
        <v>87</v>
      </c>
      <c r="C49" s="44" t="s">
        <v>88</v>
      </c>
      <c r="D49" s="45"/>
      <c r="E49" s="46"/>
      <c r="F49" s="3">
        <v>72106.362620305605</v>
      </c>
      <c r="G49" s="3">
        <v>84200.3506259774</v>
      </c>
      <c r="H49" s="3">
        <v>89308.883215083406</v>
      </c>
      <c r="I49" s="3">
        <v>99225.327103359406</v>
      </c>
      <c r="J49" s="3">
        <v>104184.0218139322</v>
      </c>
      <c r="K49" s="3">
        <v>126599.64776292451</v>
      </c>
      <c r="L49" s="3">
        <v>147447.14989569431</v>
      </c>
      <c r="M49" s="3">
        <v>166292.54126201151</v>
      </c>
    </row>
    <row r="50" spans="1:13">
      <c r="A50" s="13">
        <v>42</v>
      </c>
      <c r="B50" s="12" t="s">
        <v>89</v>
      </c>
      <c r="C50" s="44" t="s">
        <v>90</v>
      </c>
      <c r="D50" s="45"/>
      <c r="E50" s="46"/>
      <c r="F50" s="3">
        <v>47897.045396170899</v>
      </c>
      <c r="G50" s="3">
        <v>53668.4193681373</v>
      </c>
      <c r="H50" s="3">
        <v>58179.419549239901</v>
      </c>
      <c r="I50" s="3">
        <v>64580.207358747197</v>
      </c>
      <c r="J50" s="3">
        <v>52089.489246336598</v>
      </c>
      <c r="K50" s="3">
        <v>61863.800977990701</v>
      </c>
      <c r="L50" s="3">
        <v>71243.722477338597</v>
      </c>
      <c r="M50" s="3">
        <v>73010.139382651279</v>
      </c>
    </row>
    <row r="51" spans="1:13">
      <c r="A51" s="13">
        <v>43</v>
      </c>
      <c r="B51" s="12" t="s">
        <v>91</v>
      </c>
      <c r="C51" s="44" t="s">
        <v>92</v>
      </c>
      <c r="D51" s="45"/>
      <c r="E51" s="46"/>
      <c r="F51" s="3">
        <v>83855.021319235704</v>
      </c>
      <c r="G51" s="3">
        <v>90889.078828539801</v>
      </c>
      <c r="H51" s="3">
        <v>99947.165734576003</v>
      </c>
      <c r="I51" s="3">
        <v>114510.996291773</v>
      </c>
      <c r="J51" s="3">
        <v>121682.4315153545</v>
      </c>
      <c r="K51" s="3">
        <v>124308.4363825957</v>
      </c>
      <c r="L51" s="3">
        <v>138080.4846022393</v>
      </c>
      <c r="M51" s="3">
        <v>153255.20861795108</v>
      </c>
    </row>
    <row r="52" spans="1:13">
      <c r="A52" s="13">
        <v>44</v>
      </c>
      <c r="B52" s="12" t="s">
        <v>93</v>
      </c>
      <c r="C52" s="44" t="s">
        <v>94</v>
      </c>
      <c r="D52" s="45"/>
      <c r="E52" s="46"/>
      <c r="F52" s="3">
        <v>71895.368068394804</v>
      </c>
      <c r="G52" s="3">
        <v>80933.672911583693</v>
      </c>
      <c r="H52" s="3">
        <v>88446.204968038903</v>
      </c>
      <c r="I52" s="3">
        <v>97299.162560060897</v>
      </c>
      <c r="J52" s="3">
        <v>106541.71368682809</v>
      </c>
      <c r="K52" s="3">
        <v>109369.497875206</v>
      </c>
      <c r="L52" s="3">
        <v>120621.449187594</v>
      </c>
      <c r="M52" s="3">
        <v>134685.53609712524</v>
      </c>
    </row>
    <row r="53" spans="1:13">
      <c r="A53" s="13">
        <v>45</v>
      </c>
      <c r="B53" s="12" t="s">
        <v>95</v>
      </c>
      <c r="C53" s="44" t="s">
        <v>96</v>
      </c>
      <c r="D53" s="45"/>
      <c r="E53" s="46"/>
      <c r="F53" s="3">
        <v>102981.9726668926</v>
      </c>
      <c r="G53" s="3">
        <v>118719.4405743547</v>
      </c>
      <c r="H53" s="3">
        <v>128538.27854488599</v>
      </c>
      <c r="I53" s="3">
        <v>139387.96851270241</v>
      </c>
      <c r="J53" s="3">
        <v>154710.57387631221</v>
      </c>
      <c r="K53" s="3">
        <v>159787.1762395479</v>
      </c>
      <c r="L53" s="3">
        <v>181489.10120625159</v>
      </c>
      <c r="M53" s="3">
        <v>206541.0583603514</v>
      </c>
    </row>
    <row r="54" spans="1:13">
      <c r="A54" s="13">
        <v>46</v>
      </c>
      <c r="B54" s="12" t="s">
        <v>97</v>
      </c>
      <c r="C54" s="44" t="s">
        <v>98</v>
      </c>
      <c r="D54" s="45"/>
      <c r="E54" s="46"/>
      <c r="F54" s="3">
        <v>23789.664291794001</v>
      </c>
      <c r="G54" s="3">
        <v>24652.916936325699</v>
      </c>
      <c r="H54" s="3">
        <v>27779.629451892</v>
      </c>
      <c r="I54" s="3">
        <v>31156.433102110299</v>
      </c>
      <c r="J54" s="3">
        <v>28842.976594359301</v>
      </c>
      <c r="K54" s="3">
        <v>31289.660282308301</v>
      </c>
      <c r="L54" s="3">
        <v>44055.898347005503</v>
      </c>
      <c r="M54" s="3">
        <v>48288.046878011628</v>
      </c>
    </row>
    <row r="55" spans="1:13">
      <c r="A55" s="13">
        <v>47</v>
      </c>
      <c r="B55" s="12" t="s">
        <v>99</v>
      </c>
      <c r="C55" s="44" t="s">
        <v>100</v>
      </c>
      <c r="D55" s="45"/>
      <c r="E55" s="46"/>
      <c r="F55" s="3">
        <v>18338.850995168399</v>
      </c>
      <c r="G55" s="3">
        <v>20651.6848384066</v>
      </c>
      <c r="H55" s="3">
        <v>22474.398940074701</v>
      </c>
      <c r="I55" s="3">
        <v>24847.985441754699</v>
      </c>
      <c r="J55" s="3">
        <v>24614.309517864</v>
      </c>
      <c r="K55" s="3">
        <v>26891.109673712799</v>
      </c>
      <c r="L55" s="3">
        <v>30097.187640034201</v>
      </c>
      <c r="M55" s="3">
        <v>35217.539681631584</v>
      </c>
    </row>
    <row r="56" spans="1:13" ht="15" thickBot="1">
      <c r="A56" s="13">
        <v>48</v>
      </c>
      <c r="B56" s="12" t="s">
        <v>101</v>
      </c>
      <c r="C56" s="44" t="s">
        <v>102</v>
      </c>
      <c r="D56" s="45"/>
      <c r="E56" s="46"/>
      <c r="F56" s="4">
        <v>20354.133752690399</v>
      </c>
      <c r="G56" s="4">
        <v>22083.492107032002</v>
      </c>
      <c r="H56" s="4">
        <v>24944.504944735301</v>
      </c>
      <c r="I56" s="4">
        <v>26359.826135404499</v>
      </c>
      <c r="J56" s="4">
        <v>24248.9576183073</v>
      </c>
      <c r="K56" s="4">
        <v>25021.770445845101</v>
      </c>
      <c r="L56" s="4">
        <v>27070.7104444492</v>
      </c>
      <c r="M56" s="3">
        <v>29353.462061722112</v>
      </c>
    </row>
    <row r="57" spans="1:13" ht="15.5" thickBot="1">
      <c r="A57" s="19"/>
      <c r="B57" s="19" t="s">
        <v>103</v>
      </c>
      <c r="C57" s="19"/>
      <c r="D57" s="19"/>
      <c r="E57" s="25"/>
      <c r="F57" s="26">
        <v>1544182.1878151335</v>
      </c>
      <c r="G57" s="26">
        <v>1655307.5415153424</v>
      </c>
      <c r="H57" s="26">
        <v>1784630.2910558269</v>
      </c>
      <c r="I57" s="26">
        <v>1951187.8931341113</v>
      </c>
      <c r="J57" s="26">
        <v>1997760.8612736769</v>
      </c>
      <c r="K57" s="26">
        <v>2350374.8513349448</v>
      </c>
      <c r="L57" s="26">
        <v>2569123.7260957849</v>
      </c>
      <c r="M57" s="26">
        <v>2679589.5104856221</v>
      </c>
    </row>
    <row r="58" spans="1:13">
      <c r="A58" s="23"/>
      <c r="B58" s="24" t="s">
        <v>104</v>
      </c>
      <c r="C58" s="48" t="s">
        <v>105</v>
      </c>
      <c r="D58" s="48"/>
      <c r="E58" s="49"/>
      <c r="F58" s="2">
        <v>189587.84003693672</v>
      </c>
      <c r="G58" s="2">
        <v>208831.66373800026</v>
      </c>
      <c r="H58" s="2">
        <v>223098.67612230394</v>
      </c>
      <c r="I58" s="2">
        <v>242483.53658675135</v>
      </c>
      <c r="J58" s="2">
        <v>252443.93253051827</v>
      </c>
      <c r="K58" s="2">
        <v>295089.13621023169</v>
      </c>
      <c r="L58" s="2">
        <v>337311.34561469284</v>
      </c>
      <c r="M58" s="3">
        <v>348351.12179708626</v>
      </c>
    </row>
    <row r="59" spans="1:13" ht="15">
      <c r="A59" s="20"/>
      <c r="B59" s="22" t="s">
        <v>106</v>
      </c>
      <c r="C59" s="20"/>
      <c r="D59" s="20"/>
      <c r="E59" s="20"/>
      <c r="F59" s="21">
        <v>1733770.0278520703</v>
      </c>
      <c r="G59" s="21">
        <v>1864139.2052533426</v>
      </c>
      <c r="H59" s="21">
        <v>2007728.967178131</v>
      </c>
      <c r="I59" s="21">
        <v>2193671.4297208628</v>
      </c>
      <c r="J59" s="21">
        <v>2250204.7938041952</v>
      </c>
      <c r="K59" s="21">
        <v>2645463.9875451764</v>
      </c>
      <c r="L59" s="21">
        <v>2906435.0717104776</v>
      </c>
      <c r="M59" s="21">
        <v>3027940.6322827083</v>
      </c>
    </row>
    <row r="60" spans="1:13">
      <c r="A60" s="17" t="s">
        <v>107</v>
      </c>
      <c r="B60" s="17"/>
      <c r="C60" s="17"/>
      <c r="D60" s="17"/>
      <c r="E60" s="17"/>
      <c r="F60" s="17"/>
      <c r="G60" s="17"/>
      <c r="H60" s="17"/>
    </row>
    <row r="61" spans="1:13">
      <c r="A61" s="17" t="s">
        <v>108</v>
      </c>
      <c r="F61" s="28"/>
      <c r="G61" s="28"/>
      <c r="H61" s="28"/>
      <c r="I61" s="28"/>
      <c r="J61" s="28"/>
      <c r="K61" s="28"/>
      <c r="L61" s="28"/>
      <c r="M61" s="28"/>
    </row>
    <row r="63" spans="1:13">
      <c r="F63" s="28"/>
      <c r="G63" s="28"/>
      <c r="H63" s="28"/>
      <c r="I63" s="28"/>
      <c r="J63" s="28"/>
      <c r="K63" s="28"/>
      <c r="L63" s="28"/>
      <c r="M63" s="28"/>
    </row>
    <row r="64" spans="1:13">
      <c r="F64" s="28"/>
      <c r="G64" s="28"/>
      <c r="H64" s="28"/>
      <c r="I64" s="28"/>
      <c r="J64" s="28"/>
      <c r="K64" s="28"/>
      <c r="L64" s="28"/>
      <c r="M64" s="28"/>
    </row>
    <row r="65" spans="6:13">
      <c r="F65" s="28"/>
      <c r="G65" s="28"/>
      <c r="H65" s="28"/>
      <c r="I65" s="28"/>
      <c r="J65" s="28"/>
      <c r="K65" s="28"/>
      <c r="L65" s="28"/>
      <c r="M65" s="28"/>
    </row>
  </sheetData>
  <mergeCells count="50">
    <mergeCell ref="C8:E8"/>
    <mergeCell ref="C58:E58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44:E44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B068-F4DA-48E3-AA15-76D1A15D2615}">
  <dimension ref="A2:AA65"/>
  <sheetViews>
    <sheetView topLeftCell="A6" workbookViewId="0">
      <selection activeCell="U30" sqref="U30"/>
    </sheetView>
  </sheetViews>
  <sheetFormatPr defaultColWidth="10.90625" defaultRowHeight="14.5"/>
  <sheetData>
    <row r="2" spans="1:26" ht="18.5">
      <c r="E2" s="7"/>
      <c r="F2" s="15"/>
      <c r="G2" s="15"/>
      <c r="H2" s="15"/>
      <c r="I2" s="15"/>
      <c r="J2" s="15"/>
      <c r="K2" s="15"/>
      <c r="L2" s="7"/>
      <c r="M2" s="7"/>
    </row>
    <row r="3" spans="1:26" ht="18.5">
      <c r="E3" s="8" t="s">
        <v>0</v>
      </c>
      <c r="F3" s="15"/>
      <c r="G3" s="15"/>
      <c r="H3" s="15"/>
      <c r="I3" s="15"/>
      <c r="J3" s="15"/>
      <c r="K3" s="15"/>
      <c r="L3" s="8"/>
      <c r="M3" s="8"/>
    </row>
    <row r="4" spans="1:26" ht="18.5">
      <c r="E4" s="8" t="s">
        <v>109</v>
      </c>
      <c r="F4" s="15"/>
      <c r="G4" s="15"/>
      <c r="H4" s="15"/>
      <c r="I4" s="15"/>
      <c r="J4" s="15"/>
      <c r="K4" s="15"/>
      <c r="L4" s="8"/>
      <c r="M4" s="8"/>
    </row>
    <row r="5" spans="1:26">
      <c r="E5" s="9" t="s">
        <v>2</v>
      </c>
      <c r="F5" s="10"/>
      <c r="G5" s="10"/>
      <c r="H5" s="10"/>
      <c r="I5" s="10"/>
      <c r="J5" s="10"/>
      <c r="K5" s="10"/>
      <c r="L5" s="9"/>
      <c r="M5" s="9"/>
    </row>
    <row r="6" spans="1:26" ht="18.5">
      <c r="E6" s="1"/>
      <c r="F6" s="1"/>
      <c r="G6" s="1"/>
      <c r="H6" s="1"/>
      <c r="I6" s="1"/>
      <c r="J6" s="1"/>
      <c r="K6" s="1"/>
      <c r="L6" s="1"/>
      <c r="M6" s="1"/>
    </row>
    <row r="7" spans="1:26">
      <c r="F7" s="14"/>
      <c r="G7" s="14"/>
      <c r="H7" s="14"/>
      <c r="I7" s="14"/>
    </row>
    <row r="8" spans="1:26" ht="15.5" thickBot="1">
      <c r="A8" s="6"/>
      <c r="B8" s="29" t="s">
        <v>3</v>
      </c>
      <c r="C8" s="47" t="s">
        <v>4</v>
      </c>
      <c r="D8" s="47"/>
      <c r="E8" s="47"/>
      <c r="F8" s="18">
        <v>2016</v>
      </c>
      <c r="G8" s="18">
        <v>2017</v>
      </c>
      <c r="H8" s="18">
        <v>2018</v>
      </c>
      <c r="I8" s="18">
        <v>2019</v>
      </c>
      <c r="J8" s="18">
        <v>2020</v>
      </c>
      <c r="K8" s="18">
        <v>2021</v>
      </c>
      <c r="L8" s="18" t="s">
        <v>5</v>
      </c>
      <c r="M8" s="18" t="s">
        <v>6</v>
      </c>
    </row>
    <row r="9" spans="1:26">
      <c r="A9" s="13">
        <v>1</v>
      </c>
      <c r="B9" s="11" t="s">
        <v>7</v>
      </c>
      <c r="C9" s="44" t="s">
        <v>8</v>
      </c>
      <c r="D9" s="45"/>
      <c r="E9" s="46"/>
      <c r="F9" s="33">
        <v>51399.324567858697</v>
      </c>
      <c r="G9" s="34">
        <v>40403.575537126402</v>
      </c>
      <c r="H9" s="34">
        <v>48917.283675264502</v>
      </c>
      <c r="I9" s="34">
        <v>50161.172391279397</v>
      </c>
      <c r="J9" s="34">
        <v>45282.554769772898</v>
      </c>
      <c r="K9" s="34">
        <v>52883.901153572398</v>
      </c>
      <c r="L9" s="34">
        <v>43637.888398099698</v>
      </c>
      <c r="M9" s="34">
        <v>51010.425397985004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3">
        <v>2</v>
      </c>
      <c r="B10" s="12" t="s">
        <v>9</v>
      </c>
      <c r="C10" s="44" t="s">
        <v>10</v>
      </c>
      <c r="D10" s="45"/>
      <c r="E10" s="46"/>
      <c r="F10" s="34">
        <v>51315.074652118899</v>
      </c>
      <c r="G10" s="34">
        <v>49481.622953665901</v>
      </c>
      <c r="H10" s="34">
        <v>45993.747901597097</v>
      </c>
      <c r="I10" s="34">
        <v>47332.376314656103</v>
      </c>
      <c r="J10" s="34">
        <v>42127.454572033101</v>
      </c>
      <c r="K10" s="34">
        <v>47866.590452601296</v>
      </c>
      <c r="L10" s="34">
        <v>45445.810087192898</v>
      </c>
      <c r="M10" s="34">
        <v>45789.49409402562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3">
        <v>3</v>
      </c>
      <c r="B11" s="12" t="s">
        <v>11</v>
      </c>
      <c r="C11" s="44" t="s">
        <v>12</v>
      </c>
      <c r="D11" s="45"/>
      <c r="E11" s="46"/>
      <c r="F11" s="34">
        <v>11801.6445522675</v>
      </c>
      <c r="G11" s="34">
        <v>12559.349678876701</v>
      </c>
      <c r="H11" s="34">
        <v>13562.5157979498</v>
      </c>
      <c r="I11" s="34">
        <v>13794.8485352404</v>
      </c>
      <c r="J11" s="34">
        <v>14823.7594508729</v>
      </c>
      <c r="K11" s="34">
        <v>14045.256438541401</v>
      </c>
      <c r="L11" s="34">
        <v>12902.823186788401</v>
      </c>
      <c r="M11" s="34">
        <v>14621.795863314146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3">
        <v>4</v>
      </c>
      <c r="B12" s="12" t="s">
        <v>13</v>
      </c>
      <c r="C12" s="44" t="s">
        <v>14</v>
      </c>
      <c r="D12" s="45"/>
      <c r="E12" s="46"/>
      <c r="F12" s="34">
        <v>1277.5941110623</v>
      </c>
      <c r="G12" s="34">
        <v>1382.7829239616999</v>
      </c>
      <c r="H12" s="34">
        <v>1542.0234351777001</v>
      </c>
      <c r="I12" s="34">
        <v>1548.4442105129999</v>
      </c>
      <c r="J12" s="34">
        <v>1438.1076673919999</v>
      </c>
      <c r="K12" s="34">
        <v>1369.6756981133001</v>
      </c>
      <c r="L12" s="34">
        <v>1539.8624387846</v>
      </c>
      <c r="M12" s="34">
        <v>1544.7220892051027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3">
        <v>5</v>
      </c>
      <c r="B13" s="12" t="s">
        <v>15</v>
      </c>
      <c r="C13" s="44" t="s">
        <v>16</v>
      </c>
      <c r="D13" s="45"/>
      <c r="E13" s="46"/>
      <c r="F13" s="34">
        <v>4916.0713427614</v>
      </c>
      <c r="G13" s="34">
        <v>3835.4013494607998</v>
      </c>
      <c r="H13" s="34">
        <v>3486.4860008644</v>
      </c>
      <c r="I13" s="34">
        <v>3425.6947612588001</v>
      </c>
      <c r="J13" s="34">
        <v>3369.4919423501001</v>
      </c>
      <c r="K13" s="34">
        <v>4385.3652496493996</v>
      </c>
      <c r="L13" s="34">
        <v>4460.3826413916004</v>
      </c>
      <c r="M13" s="34">
        <v>4289.7323016220089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3">
        <v>6</v>
      </c>
      <c r="B14" s="12" t="s">
        <v>17</v>
      </c>
      <c r="C14" s="44" t="s">
        <v>18</v>
      </c>
      <c r="D14" s="45"/>
      <c r="E14" s="46"/>
      <c r="F14" s="34">
        <v>22667.7730243736</v>
      </c>
      <c r="G14" s="34">
        <v>25691.055619750801</v>
      </c>
      <c r="H14" s="34">
        <v>27205.804677999899</v>
      </c>
      <c r="I14" s="34">
        <v>24802.966845575102</v>
      </c>
      <c r="J14" s="34">
        <v>23957.1055713848</v>
      </c>
      <c r="K14" s="34">
        <v>26357.767955785501</v>
      </c>
      <c r="L14" s="34">
        <v>27166.628798555801</v>
      </c>
      <c r="M14" s="34">
        <v>27660.461648232216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3">
        <v>7</v>
      </c>
      <c r="B15" s="12" t="s">
        <v>19</v>
      </c>
      <c r="C15" s="44" t="s">
        <v>20</v>
      </c>
      <c r="D15" s="45"/>
      <c r="E15" s="46"/>
      <c r="F15" s="34">
        <v>914.80531802969995</v>
      </c>
      <c r="G15" s="34">
        <v>1059.0165583160001</v>
      </c>
      <c r="H15" s="34">
        <v>1158.1491819886</v>
      </c>
      <c r="I15" s="34">
        <v>1197.6441732453</v>
      </c>
      <c r="J15" s="34">
        <v>1240.909607821</v>
      </c>
      <c r="K15" s="34">
        <v>1197.1778238063</v>
      </c>
      <c r="L15" s="34">
        <v>1383.8412045419</v>
      </c>
      <c r="M15" s="34">
        <v>1435.7166686991541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3">
        <v>8</v>
      </c>
      <c r="B16" s="12" t="s">
        <v>21</v>
      </c>
      <c r="C16" s="44" t="s">
        <v>22</v>
      </c>
      <c r="D16" s="45"/>
      <c r="E16" s="46"/>
      <c r="F16" s="34">
        <v>867.54222762459995</v>
      </c>
      <c r="G16" s="34">
        <v>649.04901276930002</v>
      </c>
      <c r="H16" s="34">
        <v>575.30807124039995</v>
      </c>
      <c r="I16" s="34">
        <v>582.03579048200004</v>
      </c>
      <c r="J16" s="34">
        <v>627.52737473570005</v>
      </c>
      <c r="K16" s="34">
        <v>649.1550745641</v>
      </c>
      <c r="L16" s="34">
        <v>583.37609097389998</v>
      </c>
      <c r="M16" s="34">
        <v>597.53898888920799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13">
      <c r="A17" s="13">
        <v>9</v>
      </c>
      <c r="B17" s="12" t="s">
        <v>23</v>
      </c>
      <c r="C17" s="44" t="s">
        <v>24</v>
      </c>
      <c r="D17" s="45"/>
      <c r="E17" s="46"/>
      <c r="F17" s="34">
        <v>1079.2181925095999</v>
      </c>
      <c r="G17" s="34">
        <v>1144.266380048</v>
      </c>
      <c r="H17" s="34">
        <v>1233.4464587215</v>
      </c>
      <c r="I17" s="34">
        <v>1207.0730050927</v>
      </c>
      <c r="J17" s="34">
        <v>1319.0174797264999</v>
      </c>
      <c r="K17" s="34">
        <v>1456.7266669153</v>
      </c>
      <c r="L17" s="34">
        <v>1706.5704277110001</v>
      </c>
      <c r="M17" s="34">
        <v>1581.7512592671483</v>
      </c>
    </row>
    <row r="18" spans="1:13">
      <c r="A18" s="13">
        <v>10</v>
      </c>
      <c r="B18" s="12" t="s">
        <v>25</v>
      </c>
      <c r="C18" s="44" t="s">
        <v>26</v>
      </c>
      <c r="D18" s="45"/>
      <c r="E18" s="46"/>
      <c r="F18" s="34">
        <v>9487.4755256836997</v>
      </c>
      <c r="G18" s="34">
        <v>8680.7113245153996</v>
      </c>
      <c r="H18" s="34">
        <v>7892.4514030052997</v>
      </c>
      <c r="I18" s="34">
        <v>8169.8698917625998</v>
      </c>
      <c r="J18" s="34">
        <v>8305.7152958496008</v>
      </c>
      <c r="K18" s="34">
        <v>9050.0550960794008</v>
      </c>
      <c r="L18" s="34">
        <v>9140.5756412838</v>
      </c>
      <c r="M18" s="34">
        <v>9368.7856370462214</v>
      </c>
    </row>
    <row r="19" spans="1:13">
      <c r="A19" s="13">
        <v>11</v>
      </c>
      <c r="B19" s="12" t="s">
        <v>27</v>
      </c>
      <c r="C19" s="44" t="s">
        <v>28</v>
      </c>
      <c r="D19" s="45"/>
      <c r="E19" s="46"/>
      <c r="F19" s="34">
        <v>8307.9196729930009</v>
      </c>
      <c r="G19" s="34">
        <v>8150.8165161159004</v>
      </c>
      <c r="H19" s="34">
        <v>8970.4970325737995</v>
      </c>
      <c r="I19" s="34">
        <v>8162.3502910376001</v>
      </c>
      <c r="J19" s="34">
        <v>9365.7609073945005</v>
      </c>
      <c r="K19" s="34">
        <v>7564.6608606036998</v>
      </c>
      <c r="L19" s="34">
        <v>8029.2610403354001</v>
      </c>
      <c r="M19" s="34">
        <v>8596.6437832425145</v>
      </c>
    </row>
    <row r="20" spans="1:13">
      <c r="A20" s="13">
        <v>12</v>
      </c>
      <c r="B20" s="12" t="s">
        <v>29</v>
      </c>
      <c r="C20" s="44" t="s">
        <v>30</v>
      </c>
      <c r="D20" s="45"/>
      <c r="E20" s="46"/>
      <c r="F20" s="34">
        <v>15061.908839254</v>
      </c>
      <c r="G20" s="34">
        <v>15319.999375560001</v>
      </c>
      <c r="H20" s="34">
        <v>14495.905466910801</v>
      </c>
      <c r="I20" s="34">
        <v>14775.0336086469</v>
      </c>
      <c r="J20" s="34">
        <v>13647.3057582294</v>
      </c>
      <c r="K20" s="34">
        <v>13984.396271952801</v>
      </c>
      <c r="L20" s="34">
        <v>14656.8420354836</v>
      </c>
      <c r="M20" s="34">
        <v>14747.69837397353</v>
      </c>
    </row>
    <row r="21" spans="1:13" ht="29">
      <c r="A21" s="13">
        <v>13</v>
      </c>
      <c r="B21" s="16" t="s">
        <v>31</v>
      </c>
      <c r="C21" s="44" t="s">
        <v>32</v>
      </c>
      <c r="D21" s="45"/>
      <c r="E21" s="46"/>
      <c r="F21" s="34">
        <v>13093.838389374299</v>
      </c>
      <c r="G21" s="34">
        <v>11718.559910140701</v>
      </c>
      <c r="H21" s="34">
        <v>11440.056139521899</v>
      </c>
      <c r="I21" s="34">
        <v>11057.7531633292</v>
      </c>
      <c r="J21" s="34">
        <v>8138.8435839089998</v>
      </c>
      <c r="K21" s="34">
        <v>9575.9803053247997</v>
      </c>
      <c r="L21" s="34">
        <v>10345.9729662236</v>
      </c>
      <c r="M21" s="34">
        <v>11029.052931649487</v>
      </c>
    </row>
    <row r="22" spans="1:13">
      <c r="A22" s="13">
        <v>14</v>
      </c>
      <c r="B22" s="12" t="s">
        <v>33</v>
      </c>
      <c r="C22" s="44" t="s">
        <v>34</v>
      </c>
      <c r="D22" s="45"/>
      <c r="E22" s="46"/>
      <c r="F22" s="34">
        <v>13698.198041887001</v>
      </c>
      <c r="G22" s="34">
        <v>14709.2797956183</v>
      </c>
      <c r="H22" s="34">
        <v>13300.2320548568</v>
      </c>
      <c r="I22" s="34">
        <v>13440.5516345538</v>
      </c>
      <c r="J22" s="34">
        <v>11549.7597480432</v>
      </c>
      <c r="K22" s="34">
        <v>11571.3639628694</v>
      </c>
      <c r="L22" s="34">
        <v>11281.294179824899</v>
      </c>
      <c r="M22" s="34">
        <v>11421.980047742454</v>
      </c>
    </row>
    <row r="23" spans="1:13">
      <c r="A23" s="13">
        <v>15</v>
      </c>
      <c r="B23" s="12" t="s">
        <v>35</v>
      </c>
      <c r="C23" s="44" t="s">
        <v>36</v>
      </c>
      <c r="D23" s="45"/>
      <c r="E23" s="46"/>
      <c r="F23" s="34">
        <v>3085.6383607079001</v>
      </c>
      <c r="G23" s="34">
        <v>3103.4518786463</v>
      </c>
      <c r="H23" s="34">
        <v>2889.6131854935002</v>
      </c>
      <c r="I23" s="34">
        <v>2738.5672447975999</v>
      </c>
      <c r="J23" s="34">
        <v>1847.1729925595</v>
      </c>
      <c r="K23" s="34">
        <v>1884.4929784307001</v>
      </c>
      <c r="L23" s="34">
        <v>2415.7003025143999</v>
      </c>
      <c r="M23" s="34">
        <v>1885.7737345744699</v>
      </c>
    </row>
    <row r="24" spans="1:13">
      <c r="A24" s="13">
        <v>16</v>
      </c>
      <c r="B24" s="12" t="s">
        <v>37</v>
      </c>
      <c r="C24" s="44" t="s">
        <v>38</v>
      </c>
      <c r="D24" s="45"/>
      <c r="E24" s="46"/>
      <c r="F24" s="34">
        <v>3902.2324678698001</v>
      </c>
      <c r="G24" s="34">
        <v>4016.3688234705</v>
      </c>
      <c r="H24" s="34">
        <v>3019.9172649346001</v>
      </c>
      <c r="I24" s="34">
        <v>3120.9560159194002</v>
      </c>
      <c r="J24" s="34">
        <v>2224.8132834162998</v>
      </c>
      <c r="K24" s="34">
        <v>2483.6852047057</v>
      </c>
      <c r="L24" s="34">
        <v>2315.8241181405001</v>
      </c>
      <c r="M24" s="34">
        <v>2104.9219327879969</v>
      </c>
    </row>
    <row r="25" spans="1:13">
      <c r="A25" s="13">
        <v>17</v>
      </c>
      <c r="B25" s="12" t="s">
        <v>39</v>
      </c>
      <c r="C25" s="44" t="s">
        <v>40</v>
      </c>
      <c r="D25" s="45"/>
      <c r="E25" s="46"/>
      <c r="F25" s="34">
        <v>3479.5333559370001</v>
      </c>
      <c r="G25" s="34">
        <v>3398.6955861084998</v>
      </c>
      <c r="H25" s="34">
        <v>3740.0419663099001</v>
      </c>
      <c r="I25" s="34">
        <v>3063.2825640367</v>
      </c>
      <c r="J25" s="34">
        <v>2403.2419501269001</v>
      </c>
      <c r="K25" s="34">
        <v>2580.5774284150998</v>
      </c>
      <c r="L25" s="34">
        <v>2780.0247855422999</v>
      </c>
      <c r="M25" s="34">
        <v>2296.60054765122</v>
      </c>
    </row>
    <row r="26" spans="1:13">
      <c r="A26" s="13">
        <v>18</v>
      </c>
      <c r="B26" s="12" t="s">
        <v>41</v>
      </c>
      <c r="C26" s="44" t="s">
        <v>42</v>
      </c>
      <c r="D26" s="45"/>
      <c r="E26" s="46"/>
      <c r="F26" s="34">
        <v>3973.9402470588002</v>
      </c>
      <c r="G26" s="34">
        <v>3979.0630510779001</v>
      </c>
      <c r="H26" s="34">
        <v>4114.9271009555996</v>
      </c>
      <c r="I26" s="34">
        <v>3950.7891086581999</v>
      </c>
      <c r="J26" s="34">
        <v>3054.0365559720999</v>
      </c>
      <c r="K26" s="34">
        <v>3447.4102750892998</v>
      </c>
      <c r="L26" s="34">
        <v>4609.9927271432998</v>
      </c>
      <c r="M26" s="34">
        <v>4345.2436990349288</v>
      </c>
    </row>
    <row r="27" spans="1:13">
      <c r="A27" s="13">
        <v>19</v>
      </c>
      <c r="B27" s="12" t="s">
        <v>43</v>
      </c>
      <c r="C27" s="44" t="s">
        <v>44</v>
      </c>
      <c r="D27" s="45"/>
      <c r="E27" s="46"/>
      <c r="F27" s="34">
        <v>18325.188701261599</v>
      </c>
      <c r="G27" s="34">
        <v>18002.141408207801</v>
      </c>
      <c r="H27" s="34">
        <v>16802.681575451101</v>
      </c>
      <c r="I27" s="34">
        <v>15931.975617788899</v>
      </c>
      <c r="J27" s="34">
        <v>16268.349874814599</v>
      </c>
      <c r="K27" s="34">
        <v>17093.1634190562</v>
      </c>
      <c r="L27" s="34">
        <v>16521.504927438498</v>
      </c>
      <c r="M27" s="34">
        <v>20837.870435867808</v>
      </c>
    </row>
    <row r="28" spans="1:13">
      <c r="A28" s="13">
        <v>20</v>
      </c>
      <c r="B28" s="12" t="s">
        <v>45</v>
      </c>
      <c r="C28" s="44" t="s">
        <v>46</v>
      </c>
      <c r="D28" s="45"/>
      <c r="E28" s="46"/>
      <c r="F28" s="34">
        <v>2946.8862395179999</v>
      </c>
      <c r="G28" s="34">
        <v>3043.2261637442002</v>
      </c>
      <c r="H28" s="34">
        <v>2945.1251901552</v>
      </c>
      <c r="I28" s="34">
        <v>2989.4736609993001</v>
      </c>
      <c r="J28" s="34">
        <v>2638.4845174256002</v>
      </c>
      <c r="K28" s="34">
        <v>2814.5267835855002</v>
      </c>
      <c r="L28" s="34">
        <v>2947.0249312301999</v>
      </c>
      <c r="M28" s="34">
        <v>2855.9465522296014</v>
      </c>
    </row>
    <row r="29" spans="1:13">
      <c r="A29" s="13">
        <v>21</v>
      </c>
      <c r="B29" s="12" t="s">
        <v>47</v>
      </c>
      <c r="C29" s="44" t="s">
        <v>48</v>
      </c>
      <c r="D29" s="45"/>
      <c r="E29" s="46"/>
      <c r="F29" s="34">
        <v>15605.856591259801</v>
      </c>
      <c r="G29" s="34">
        <v>4537.0463539861003</v>
      </c>
      <c r="H29" s="34">
        <v>20613.392819651399</v>
      </c>
      <c r="I29" s="34">
        <v>21743.323241092101</v>
      </c>
      <c r="J29" s="34">
        <v>18869.581824964</v>
      </c>
      <c r="K29" s="34">
        <v>22495.0545782808</v>
      </c>
      <c r="L29" s="34">
        <v>24545.149787282498</v>
      </c>
      <c r="M29" s="34">
        <v>17033.439178309713</v>
      </c>
    </row>
    <row r="30" spans="1:13">
      <c r="A30" s="13">
        <v>22</v>
      </c>
      <c r="B30" s="12" t="s">
        <v>49</v>
      </c>
      <c r="C30" s="44" t="s">
        <v>50</v>
      </c>
      <c r="D30" s="45"/>
      <c r="E30" s="46"/>
      <c r="F30" s="34">
        <v>833.61801084700005</v>
      </c>
      <c r="G30" s="34">
        <v>498.05067508539997</v>
      </c>
      <c r="H30" s="34">
        <v>510.18919282709999</v>
      </c>
      <c r="I30" s="34">
        <v>600.61285378800005</v>
      </c>
      <c r="J30" s="34">
        <v>521.34206589860003</v>
      </c>
      <c r="K30" s="34">
        <v>314.884470706</v>
      </c>
      <c r="L30" s="34">
        <v>314.08490455579999</v>
      </c>
      <c r="M30" s="34">
        <v>340.54549812798541</v>
      </c>
    </row>
    <row r="31" spans="1:13">
      <c r="A31" s="13">
        <v>23</v>
      </c>
      <c r="B31" s="12" t="s">
        <v>51</v>
      </c>
      <c r="C31" s="44" t="s">
        <v>52</v>
      </c>
      <c r="D31" s="45"/>
      <c r="E31" s="46"/>
      <c r="F31" s="34">
        <v>7360.4164763057997</v>
      </c>
      <c r="G31" s="34">
        <v>9165.8238482400993</v>
      </c>
      <c r="H31" s="34">
        <v>7211.2175591593004</v>
      </c>
      <c r="I31" s="34">
        <v>7103.7853299090002</v>
      </c>
      <c r="J31" s="34">
        <v>5727.7614875364998</v>
      </c>
      <c r="K31" s="34">
        <v>6353.4666160687002</v>
      </c>
      <c r="L31" s="34">
        <v>6488.2604794904</v>
      </c>
      <c r="M31" s="34">
        <v>6380.9091391992151</v>
      </c>
    </row>
    <row r="32" spans="1:13">
      <c r="A32" s="13">
        <v>24</v>
      </c>
      <c r="B32" s="12" t="s">
        <v>53</v>
      </c>
      <c r="C32" s="44" t="s">
        <v>54</v>
      </c>
      <c r="D32" s="45"/>
      <c r="E32" s="46"/>
      <c r="F32" s="34">
        <v>9618.6391370751007</v>
      </c>
      <c r="G32" s="34">
        <v>11950.0800602621</v>
      </c>
      <c r="H32" s="34">
        <v>12166.755251570001</v>
      </c>
      <c r="I32" s="34">
        <v>11454.780733998899</v>
      </c>
      <c r="J32" s="34">
        <v>10814.4623462404</v>
      </c>
      <c r="K32" s="34">
        <v>13157.348646476999</v>
      </c>
      <c r="L32" s="34">
        <v>12323.7030106699</v>
      </c>
      <c r="M32" s="34">
        <v>12721.648603726453</v>
      </c>
    </row>
    <row r="33" spans="1:13">
      <c r="A33" s="13">
        <v>25</v>
      </c>
      <c r="B33" s="12" t="s">
        <v>55</v>
      </c>
      <c r="C33" s="44" t="s">
        <v>56</v>
      </c>
      <c r="D33" s="45"/>
      <c r="E33" s="46"/>
      <c r="F33" s="34">
        <v>4677.1816700829004</v>
      </c>
      <c r="G33" s="34">
        <v>4977.4173458986998</v>
      </c>
      <c r="H33" s="34">
        <v>5170.3957997319003</v>
      </c>
      <c r="I33" s="34">
        <v>5154.6600435559003</v>
      </c>
      <c r="J33" s="34">
        <v>4540.689810848</v>
      </c>
      <c r="K33" s="34">
        <v>5193.3002887452003</v>
      </c>
      <c r="L33" s="34">
        <v>6394.6421013974996</v>
      </c>
      <c r="M33" s="34">
        <v>6127.9277562637017</v>
      </c>
    </row>
    <row r="34" spans="1:13">
      <c r="A34" s="13">
        <v>26</v>
      </c>
      <c r="B34" s="12" t="s">
        <v>57</v>
      </c>
      <c r="C34" s="44" t="s">
        <v>58</v>
      </c>
      <c r="D34" s="45"/>
      <c r="E34" s="46"/>
      <c r="F34" s="34">
        <v>3846.6918592872998</v>
      </c>
      <c r="G34" s="34">
        <v>2893.3575569885002</v>
      </c>
      <c r="H34" s="34">
        <v>3570.9074241445001</v>
      </c>
      <c r="I34" s="34">
        <v>4133.2937935620002</v>
      </c>
      <c r="J34" s="34">
        <v>3822.9804508579</v>
      </c>
      <c r="K34" s="34">
        <v>4842.4327657299</v>
      </c>
      <c r="L34" s="34">
        <v>4494.6176096020999</v>
      </c>
      <c r="M34" s="34">
        <v>4542.6888925494422</v>
      </c>
    </row>
    <row r="35" spans="1:13">
      <c r="A35" s="13">
        <v>27</v>
      </c>
      <c r="B35" s="12" t="s">
        <v>59</v>
      </c>
      <c r="C35" s="44" t="s">
        <v>60</v>
      </c>
      <c r="D35" s="45"/>
      <c r="E35" s="46"/>
      <c r="F35" s="34">
        <v>9904.1240396461999</v>
      </c>
      <c r="G35" s="34">
        <v>9471.7795897071992</v>
      </c>
      <c r="H35" s="34">
        <v>7942.3906266003996</v>
      </c>
      <c r="I35" s="34">
        <v>8044.7265437857995</v>
      </c>
      <c r="J35" s="34">
        <v>7321.1080086417996</v>
      </c>
      <c r="K35" s="34">
        <v>8249.2902870723992</v>
      </c>
      <c r="L35" s="34">
        <v>7414.5212386874</v>
      </c>
      <c r="M35" s="34">
        <v>6165.7094192019304</v>
      </c>
    </row>
    <row r="36" spans="1:13">
      <c r="A36" s="13">
        <v>28</v>
      </c>
      <c r="B36" s="12" t="s">
        <v>61</v>
      </c>
      <c r="C36" s="44" t="s">
        <v>62</v>
      </c>
      <c r="D36" s="45"/>
      <c r="E36" s="46"/>
      <c r="F36" s="34">
        <v>3987.4616808364999</v>
      </c>
      <c r="G36" s="34">
        <v>4667.1340302645003</v>
      </c>
      <c r="H36" s="34">
        <v>4991.9644462528004</v>
      </c>
      <c r="I36" s="34">
        <v>4745.3337166311003</v>
      </c>
      <c r="J36" s="34">
        <v>3308.6245897526001</v>
      </c>
      <c r="K36" s="34">
        <v>4475.5330734228</v>
      </c>
      <c r="L36" s="34">
        <v>4106.6651230713996</v>
      </c>
      <c r="M36" s="34">
        <v>4469.6009136021958</v>
      </c>
    </row>
    <row r="37" spans="1:13">
      <c r="A37" s="13">
        <v>29</v>
      </c>
      <c r="B37" s="12" t="s">
        <v>63</v>
      </c>
      <c r="C37" s="44" t="s">
        <v>64</v>
      </c>
      <c r="D37" s="45"/>
      <c r="E37" s="46"/>
      <c r="F37" s="34">
        <v>1833.9007188061</v>
      </c>
      <c r="G37" s="34">
        <v>1801.673827414</v>
      </c>
      <c r="H37" s="34">
        <v>1809.3523030465999</v>
      </c>
      <c r="I37" s="34">
        <v>1636.4263612550999</v>
      </c>
      <c r="J37" s="34">
        <v>1095.7132381486001</v>
      </c>
      <c r="K37" s="34">
        <v>1804.1790528490999</v>
      </c>
      <c r="L37" s="34">
        <v>3090.7712777516999</v>
      </c>
      <c r="M37" s="34">
        <v>3048.0299668896914</v>
      </c>
    </row>
    <row r="38" spans="1:13">
      <c r="A38" s="13">
        <v>30</v>
      </c>
      <c r="B38" s="12" t="s">
        <v>65</v>
      </c>
      <c r="C38" s="44" t="s">
        <v>66</v>
      </c>
      <c r="D38" s="45"/>
      <c r="E38" s="46"/>
      <c r="F38" s="34">
        <v>11925.4209727378</v>
      </c>
      <c r="G38" s="34">
        <v>12252.2089507358</v>
      </c>
      <c r="H38" s="34">
        <v>11030.3723216832</v>
      </c>
      <c r="I38" s="34">
        <v>10463.4388150784</v>
      </c>
      <c r="J38" s="34">
        <v>9472.8853074342005</v>
      </c>
      <c r="K38" s="34">
        <v>9339.4793670877007</v>
      </c>
      <c r="L38" s="34">
        <v>10218.674071458099</v>
      </c>
      <c r="M38" s="34">
        <v>9835.8137409673618</v>
      </c>
    </row>
    <row r="39" spans="1:13">
      <c r="A39" s="13">
        <v>31</v>
      </c>
      <c r="B39" s="12" t="s">
        <v>67</v>
      </c>
      <c r="C39" s="44" t="s">
        <v>68</v>
      </c>
      <c r="D39" s="45"/>
      <c r="E39" s="46"/>
      <c r="F39" s="34">
        <v>36578.038217432797</v>
      </c>
      <c r="G39" s="34">
        <v>37944.102067867098</v>
      </c>
      <c r="H39" s="34">
        <v>40441.754643902503</v>
      </c>
      <c r="I39" s="34">
        <v>42713.257576905897</v>
      </c>
      <c r="J39" s="34">
        <v>34785.925864395504</v>
      </c>
      <c r="K39" s="34">
        <v>37526.903183185997</v>
      </c>
      <c r="L39" s="34">
        <v>39971.505823756997</v>
      </c>
      <c r="M39" s="34">
        <v>35257.062230084877</v>
      </c>
    </row>
    <row r="40" spans="1:13">
      <c r="A40" s="13">
        <v>32</v>
      </c>
      <c r="B40" s="12" t="s">
        <v>69</v>
      </c>
      <c r="C40" s="44" t="s">
        <v>70</v>
      </c>
      <c r="D40" s="45"/>
      <c r="E40" s="46"/>
      <c r="F40" s="34">
        <v>10515.8884930555</v>
      </c>
      <c r="G40" s="34">
        <v>10966.783878672</v>
      </c>
      <c r="H40" s="34">
        <v>11375.6113993937</v>
      </c>
      <c r="I40" s="34">
        <v>11169.5213141435</v>
      </c>
      <c r="J40" s="34">
        <v>10777.8620528994</v>
      </c>
      <c r="K40" s="34">
        <v>11001.011231462</v>
      </c>
      <c r="L40" s="34">
        <v>11282.227260309201</v>
      </c>
      <c r="M40" s="34">
        <v>11105.562559862756</v>
      </c>
    </row>
    <row r="41" spans="1:13">
      <c r="A41" s="13">
        <v>33</v>
      </c>
      <c r="B41" s="12" t="s">
        <v>71</v>
      </c>
      <c r="C41" s="44" t="s">
        <v>72</v>
      </c>
      <c r="D41" s="45"/>
      <c r="E41" s="46"/>
      <c r="F41" s="34">
        <v>84620.429978946195</v>
      </c>
      <c r="G41" s="34">
        <v>78987.888616871904</v>
      </c>
      <c r="H41" s="34">
        <v>72930.041367832193</v>
      </c>
      <c r="I41" s="34">
        <v>72705.119040216698</v>
      </c>
      <c r="J41" s="34">
        <v>73913.568405132901</v>
      </c>
      <c r="K41" s="34">
        <v>74778.450558414304</v>
      </c>
      <c r="L41" s="34">
        <v>82772.865679292096</v>
      </c>
      <c r="M41" s="34">
        <v>80162.123808119097</v>
      </c>
    </row>
    <row r="42" spans="1:13">
      <c r="A42" s="13">
        <v>34</v>
      </c>
      <c r="B42" s="12" t="s">
        <v>73</v>
      </c>
      <c r="C42" s="44" t="s">
        <v>74</v>
      </c>
      <c r="D42" s="45"/>
      <c r="E42" s="46"/>
      <c r="F42" s="34">
        <v>166782.34298070331</v>
      </c>
      <c r="G42" s="34">
        <v>175892.58654397991</v>
      </c>
      <c r="H42" s="34">
        <v>163281.96818868679</v>
      </c>
      <c r="I42" s="34">
        <v>166187.05390851319</v>
      </c>
      <c r="J42" s="34">
        <v>156242.91066053981</v>
      </c>
      <c r="K42" s="34">
        <v>168592.82833676651</v>
      </c>
      <c r="L42" s="34">
        <v>179314.3439815274</v>
      </c>
      <c r="M42" s="34">
        <v>182630.38961570279</v>
      </c>
    </row>
    <row r="43" spans="1:13">
      <c r="A43" s="13">
        <v>35</v>
      </c>
      <c r="B43" s="12" t="s">
        <v>75</v>
      </c>
      <c r="C43" s="44" t="s">
        <v>76</v>
      </c>
      <c r="D43" s="45"/>
      <c r="E43" s="46"/>
      <c r="F43" s="34">
        <v>27720.092090873899</v>
      </c>
      <c r="G43" s="34">
        <v>25611.0835705426</v>
      </c>
      <c r="H43" s="34">
        <v>16072.748852840299</v>
      </c>
      <c r="I43" s="34">
        <v>18009.491591412399</v>
      </c>
      <c r="J43" s="34">
        <v>18213.067157760401</v>
      </c>
      <c r="K43" s="34">
        <v>27128.437740691301</v>
      </c>
      <c r="L43" s="34">
        <v>23229.918423663399</v>
      </c>
      <c r="M43" s="34">
        <v>20845.8110099353</v>
      </c>
    </row>
    <row r="44" spans="1:13">
      <c r="A44" s="13">
        <v>36</v>
      </c>
      <c r="B44" s="12" t="s">
        <v>77</v>
      </c>
      <c r="C44" s="44" t="s">
        <v>78</v>
      </c>
      <c r="D44" s="45"/>
      <c r="E44" s="46"/>
      <c r="F44" s="34">
        <v>88199.553696033399</v>
      </c>
      <c r="G44" s="34">
        <v>90914.735472889399</v>
      </c>
      <c r="H44" s="34">
        <v>90451.825003928607</v>
      </c>
      <c r="I44" s="34">
        <v>92642.192511846704</v>
      </c>
      <c r="J44" s="34">
        <v>77473.292329002899</v>
      </c>
      <c r="K44" s="34">
        <v>84700.010607766904</v>
      </c>
      <c r="L44" s="34">
        <v>90197.428020467094</v>
      </c>
      <c r="M44" s="34">
        <v>93421.210603105181</v>
      </c>
    </row>
    <row r="45" spans="1:13">
      <c r="A45" s="13">
        <v>37</v>
      </c>
      <c r="B45" s="12" t="s">
        <v>79</v>
      </c>
      <c r="C45" s="44" t="s">
        <v>80</v>
      </c>
      <c r="D45" s="45"/>
      <c r="E45" s="46"/>
      <c r="F45" s="34">
        <v>38698.358321271997</v>
      </c>
      <c r="G45" s="34">
        <v>40937.476419660998</v>
      </c>
      <c r="H45" s="34">
        <v>41683.901146176999</v>
      </c>
      <c r="I45" s="34">
        <v>42174.871377076801</v>
      </c>
      <c r="J45" s="34">
        <v>28313.871321818198</v>
      </c>
      <c r="K45" s="34">
        <v>28472.000142944398</v>
      </c>
      <c r="L45" s="34">
        <v>32974.752868240401</v>
      </c>
      <c r="M45" s="34">
        <v>34239.219145385818</v>
      </c>
    </row>
    <row r="46" spans="1:13">
      <c r="A46" s="13">
        <v>38</v>
      </c>
      <c r="B46" s="12" t="s">
        <v>81</v>
      </c>
      <c r="C46" s="44" t="s">
        <v>82</v>
      </c>
      <c r="D46" s="45"/>
      <c r="E46" s="46"/>
      <c r="F46" s="34">
        <v>58614.678934443502</v>
      </c>
      <c r="G46" s="34">
        <v>66466.571396533895</v>
      </c>
      <c r="H46" s="34">
        <v>67730.017968201704</v>
      </c>
      <c r="I46" s="34">
        <v>73428.573268250402</v>
      </c>
      <c r="J46" s="34">
        <v>75557.311856875502</v>
      </c>
      <c r="K46" s="34">
        <v>83480.783443160704</v>
      </c>
      <c r="L46" s="34">
        <v>82588.362099482896</v>
      </c>
      <c r="M46" s="34">
        <v>82206.332280443719</v>
      </c>
    </row>
    <row r="47" spans="1:13">
      <c r="A47" s="13">
        <v>39</v>
      </c>
      <c r="B47" s="12" t="s">
        <v>83</v>
      </c>
      <c r="C47" s="44" t="s">
        <v>84</v>
      </c>
      <c r="D47" s="45"/>
      <c r="E47" s="46"/>
      <c r="F47" s="34">
        <v>86551.773903802794</v>
      </c>
      <c r="G47" s="34">
        <v>89420.989237164904</v>
      </c>
      <c r="H47" s="34">
        <v>89997.149500123502</v>
      </c>
      <c r="I47" s="34">
        <v>88491.868518339397</v>
      </c>
      <c r="J47" s="34">
        <v>87857.012754145806</v>
      </c>
      <c r="K47" s="34">
        <v>91635.642611513103</v>
      </c>
      <c r="L47" s="34">
        <v>88745.190221737794</v>
      </c>
      <c r="M47" s="34">
        <v>91049.819086027041</v>
      </c>
    </row>
    <row r="48" spans="1:13">
      <c r="A48" s="13">
        <v>40</v>
      </c>
      <c r="B48" s="12" t="s">
        <v>85</v>
      </c>
      <c r="C48" s="44" t="s">
        <v>86</v>
      </c>
      <c r="D48" s="45"/>
      <c r="E48" s="46"/>
      <c r="F48" s="34">
        <v>193487.49310088239</v>
      </c>
      <c r="G48" s="34">
        <v>198855.05952810519</v>
      </c>
      <c r="H48" s="34">
        <v>207009.26477461329</v>
      </c>
      <c r="I48" s="34">
        <v>206664.96848406611</v>
      </c>
      <c r="J48" s="34">
        <v>202642.87432309781</v>
      </c>
      <c r="K48" s="34">
        <v>195774.627477039</v>
      </c>
      <c r="L48" s="34">
        <v>204170.70636595041</v>
      </c>
      <c r="M48" s="34">
        <v>207233.66884025017</v>
      </c>
    </row>
    <row r="49" spans="1:27">
      <c r="A49" s="13">
        <v>41</v>
      </c>
      <c r="B49" s="12" t="s">
        <v>87</v>
      </c>
      <c r="C49" s="44" t="s">
        <v>88</v>
      </c>
      <c r="D49" s="45"/>
      <c r="E49" s="46"/>
      <c r="F49" s="34">
        <v>72106.362620305605</v>
      </c>
      <c r="G49" s="34">
        <v>77833.322110306995</v>
      </c>
      <c r="H49" s="34">
        <v>76910.466974181501</v>
      </c>
      <c r="I49" s="34">
        <v>77159.288931349205</v>
      </c>
      <c r="J49" s="34">
        <v>74827.066249297495</v>
      </c>
      <c r="K49" s="34">
        <v>85641.607672243801</v>
      </c>
      <c r="L49" s="34">
        <v>93511.094245230401</v>
      </c>
      <c r="M49" s="34">
        <v>97242.688093503195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13">
        <v>42</v>
      </c>
      <c r="B50" s="12" t="s">
        <v>89</v>
      </c>
      <c r="C50" s="44" t="s">
        <v>90</v>
      </c>
      <c r="D50" s="45"/>
      <c r="E50" s="46"/>
      <c r="F50" s="34">
        <v>47897.045396170899</v>
      </c>
      <c r="G50" s="34">
        <v>51243.887531834102</v>
      </c>
      <c r="H50" s="34">
        <v>49986.667608612603</v>
      </c>
      <c r="I50" s="34">
        <v>51714.967569934903</v>
      </c>
      <c r="J50" s="34">
        <v>39833.715047753998</v>
      </c>
      <c r="K50" s="34">
        <v>44433.533739711696</v>
      </c>
      <c r="L50" s="34">
        <v>49110.707036751701</v>
      </c>
      <c r="M50" s="34">
        <v>48024.434525392862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13">
        <v>43</v>
      </c>
      <c r="B51" s="12" t="s">
        <v>91</v>
      </c>
      <c r="C51" s="44" t="s">
        <v>92</v>
      </c>
      <c r="D51" s="45"/>
      <c r="E51" s="46"/>
      <c r="F51" s="34">
        <v>83855.021319235704</v>
      </c>
      <c r="G51" s="34">
        <v>82476.193605965003</v>
      </c>
      <c r="H51" s="34">
        <v>84665.6713424591</v>
      </c>
      <c r="I51" s="34">
        <v>87652.459897018605</v>
      </c>
      <c r="J51" s="34">
        <v>88024.964766012097</v>
      </c>
      <c r="K51" s="34">
        <v>83241.701948345697</v>
      </c>
      <c r="L51" s="34">
        <v>86741.140715105896</v>
      </c>
      <c r="M51" s="34">
        <v>87202.954658084636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13">
        <v>44</v>
      </c>
      <c r="B52" s="12" t="s">
        <v>93</v>
      </c>
      <c r="C52" s="44" t="s">
        <v>94</v>
      </c>
      <c r="D52" s="45"/>
      <c r="E52" s="46"/>
      <c r="F52" s="34">
        <v>71895.368068394804</v>
      </c>
      <c r="G52" s="34">
        <v>73397.516567690094</v>
      </c>
      <c r="H52" s="34">
        <v>75643.709923682007</v>
      </c>
      <c r="I52" s="34">
        <v>76287.819093050493</v>
      </c>
      <c r="J52" s="34">
        <v>56119.209923218303</v>
      </c>
      <c r="K52" s="34">
        <v>63005.490958517803</v>
      </c>
      <c r="L52" s="34">
        <v>75976.721791775097</v>
      </c>
      <c r="M52" s="34">
        <v>75790.783602062133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13">
        <v>45</v>
      </c>
      <c r="B53" s="12" t="s">
        <v>95</v>
      </c>
      <c r="C53" s="44" t="s">
        <v>96</v>
      </c>
      <c r="D53" s="45"/>
      <c r="E53" s="46"/>
      <c r="F53" s="34">
        <v>102981.9726668926</v>
      </c>
      <c r="G53" s="34">
        <v>106426.6635144669</v>
      </c>
      <c r="H53" s="34">
        <v>107776.32598476989</v>
      </c>
      <c r="I53" s="34">
        <v>109279.71672943031</v>
      </c>
      <c r="J53" s="34">
        <v>111251.6961423598</v>
      </c>
      <c r="K53" s="34">
        <v>109523.562901489</v>
      </c>
      <c r="L53" s="34">
        <v>115255.5586408785</v>
      </c>
      <c r="M53" s="34">
        <v>116806.6590655379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13">
        <v>46</v>
      </c>
      <c r="B54" s="12" t="s">
        <v>97</v>
      </c>
      <c r="C54" s="44" t="s">
        <v>98</v>
      </c>
      <c r="D54" s="45"/>
      <c r="E54" s="46"/>
      <c r="F54" s="34">
        <v>23789.664291794001</v>
      </c>
      <c r="G54" s="34">
        <v>23859.123909006801</v>
      </c>
      <c r="H54" s="34">
        <v>24619.291110891299</v>
      </c>
      <c r="I54" s="34">
        <v>24909.8127238378</v>
      </c>
      <c r="J54" s="34">
        <v>19062.283987251201</v>
      </c>
      <c r="K54" s="34">
        <v>19667.713856421</v>
      </c>
      <c r="L54" s="34">
        <v>24662.1596580408</v>
      </c>
      <c r="M54" s="34">
        <v>24273.238290678761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13">
        <v>47</v>
      </c>
      <c r="B55" s="12" t="s">
        <v>99</v>
      </c>
      <c r="C55" s="44" t="s">
        <v>100</v>
      </c>
      <c r="D55" s="45"/>
      <c r="E55" s="46"/>
      <c r="F55" s="34">
        <v>18338.850995168399</v>
      </c>
      <c r="G55" s="34">
        <v>18526.851714073</v>
      </c>
      <c r="H55" s="34">
        <v>18821.293416571199</v>
      </c>
      <c r="I55" s="34">
        <v>19239.363051774399</v>
      </c>
      <c r="J55" s="34">
        <v>17866.5797690859</v>
      </c>
      <c r="K55" s="34">
        <v>18294.6044640521</v>
      </c>
      <c r="L55" s="34">
        <v>19303.2510425951</v>
      </c>
      <c r="M55" s="34">
        <v>20322.853780611687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" thickBot="1">
      <c r="A56" s="13">
        <v>48</v>
      </c>
      <c r="B56" s="12" t="s">
        <v>101</v>
      </c>
      <c r="C56" s="44" t="s">
        <v>102</v>
      </c>
      <c r="D56" s="45"/>
      <c r="E56" s="46"/>
      <c r="F56" s="35">
        <v>20354.133752690399</v>
      </c>
      <c r="G56" s="35">
        <v>19823.601532344699</v>
      </c>
      <c r="H56" s="35">
        <v>20633</v>
      </c>
      <c r="I56" s="35">
        <v>20158</v>
      </c>
      <c r="J56" s="35">
        <v>17192.967206948601</v>
      </c>
      <c r="K56" s="35">
        <v>16713.094559807101</v>
      </c>
      <c r="L56" s="35">
        <v>16741.616488604901</v>
      </c>
      <c r="M56" s="34">
        <v>16991.733233007777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5" thickBot="1">
      <c r="A57" s="19"/>
      <c r="B57" s="19"/>
      <c r="C57" s="19" t="s">
        <v>103</v>
      </c>
      <c r="D57" s="19"/>
      <c r="E57" s="25"/>
      <c r="F57" s="37">
        <v>1544182.1878151335</v>
      </c>
      <c r="G57" s="37">
        <v>1562127.443303739</v>
      </c>
      <c r="H57" s="37">
        <v>1568333.8605325068</v>
      </c>
      <c r="I57" s="37">
        <v>1587121.5858486961</v>
      </c>
      <c r="J57" s="37">
        <v>1469080.741851748</v>
      </c>
      <c r="K57" s="37">
        <v>1552098.9036796335</v>
      </c>
      <c r="L57" s="37">
        <v>1619811.8408965771</v>
      </c>
      <c r="M57" s="37">
        <v>1633495.0135236732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>
      <c r="A58" s="23"/>
      <c r="B58" s="24" t="s">
        <v>104</v>
      </c>
      <c r="C58" s="48" t="s">
        <v>105</v>
      </c>
      <c r="D58" s="48"/>
      <c r="E58" s="49"/>
      <c r="F58" s="33">
        <v>189587.84003693672</v>
      </c>
      <c r="G58" s="33">
        <v>201816.71048640262</v>
      </c>
      <c r="H58" s="33">
        <v>198516.87915150201</v>
      </c>
      <c r="I58" s="33">
        <v>196131.73090285552</v>
      </c>
      <c r="J58" s="33">
        <v>182972.79678534679</v>
      </c>
      <c r="K58" s="33">
        <v>196505.15757556757</v>
      </c>
      <c r="L58" s="33">
        <v>207238.5680616755</v>
      </c>
      <c r="M58" s="34">
        <v>207114.46140570744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">
      <c r="A59" s="20"/>
      <c r="B59" s="38"/>
      <c r="C59" s="20" t="s">
        <v>106</v>
      </c>
      <c r="D59" s="20"/>
      <c r="E59" s="20"/>
      <c r="F59" s="39">
        <v>1733770.0278520703</v>
      </c>
      <c r="G59" s="39">
        <v>1763944.1537901415</v>
      </c>
      <c r="H59" s="39">
        <v>1766850.7396840088</v>
      </c>
      <c r="I59" s="39">
        <v>1783253.3167515516</v>
      </c>
      <c r="J59" s="39">
        <v>1652053.5386370947</v>
      </c>
      <c r="K59" s="39">
        <v>1748604.061255201</v>
      </c>
      <c r="L59" s="39">
        <v>1827050.4089582525</v>
      </c>
      <c r="M59" s="39">
        <v>1840609.4749293807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1:27">
      <c r="A60" s="17" t="s">
        <v>107</v>
      </c>
      <c r="B60" s="40"/>
      <c r="C60" s="40"/>
      <c r="D60" s="40"/>
      <c r="E60" s="40"/>
      <c r="F60" s="40"/>
      <c r="G60" s="40"/>
      <c r="H60" s="40"/>
      <c r="I60" s="40"/>
      <c r="J60" s="41"/>
      <c r="K60" s="41"/>
      <c r="L60" s="41"/>
      <c r="M60" s="41"/>
      <c r="N60" s="41"/>
      <c r="O60" s="41"/>
      <c r="P60" s="40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>
      <c r="A61" s="17" t="s">
        <v>108</v>
      </c>
      <c r="F61" s="28"/>
      <c r="G61" s="28"/>
      <c r="H61" s="28"/>
      <c r="I61" s="28"/>
      <c r="J61" s="28"/>
      <c r="K61" s="28"/>
      <c r="L61" s="28"/>
      <c r="M61" s="28"/>
      <c r="N61" s="28"/>
    </row>
    <row r="62" spans="1:27">
      <c r="L62" s="28"/>
      <c r="M62" s="28"/>
      <c r="N62" s="28"/>
    </row>
    <row r="63" spans="1:27">
      <c r="F63" s="28"/>
      <c r="G63" s="28"/>
      <c r="H63" s="28"/>
      <c r="I63" s="28"/>
      <c r="J63" s="28"/>
      <c r="K63" s="28"/>
      <c r="L63" s="28"/>
      <c r="M63" s="28"/>
    </row>
    <row r="64" spans="1:27">
      <c r="F64" s="28"/>
      <c r="G64" s="28"/>
      <c r="H64" s="28"/>
      <c r="I64" s="28"/>
      <c r="J64" s="28"/>
      <c r="K64" s="28"/>
      <c r="L64" s="28"/>
      <c r="M64" s="28"/>
    </row>
    <row r="65" spans="6:13">
      <c r="F65" s="28"/>
      <c r="G65" s="28"/>
      <c r="H65" s="28"/>
      <c r="I65" s="28"/>
      <c r="J65" s="28"/>
      <c r="K65" s="28"/>
      <c r="L65" s="28"/>
      <c r="M65" s="28"/>
    </row>
  </sheetData>
  <mergeCells count="50">
    <mergeCell ref="C14:E14"/>
    <mergeCell ref="C9:E9"/>
    <mergeCell ref="C10:E10"/>
    <mergeCell ref="C11:E11"/>
    <mergeCell ref="C12:E12"/>
    <mergeCell ref="C13:E13"/>
    <mergeCell ref="C37:E37"/>
    <mergeCell ref="C26:E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46:E46"/>
    <mergeCell ref="C47:E47"/>
    <mergeCell ref="C48:E48"/>
    <mergeCell ref="C49:E49"/>
    <mergeCell ref="C38:E38"/>
    <mergeCell ref="C8:E8"/>
    <mergeCell ref="C58:E58"/>
    <mergeCell ref="C51:E51"/>
    <mergeCell ref="C52:E52"/>
    <mergeCell ref="C53:E53"/>
    <mergeCell ref="C54:E54"/>
    <mergeCell ref="C55:E55"/>
    <mergeCell ref="C56:E56"/>
    <mergeCell ref="C50:E50"/>
    <mergeCell ref="C39:E39"/>
    <mergeCell ref="C40:E40"/>
    <mergeCell ref="C41:E41"/>
    <mergeCell ref="C42:E42"/>
    <mergeCell ref="C43:E43"/>
    <mergeCell ref="C44:E44"/>
    <mergeCell ref="C45:E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9997-3667-444D-AB49-17B5F6B07690}">
  <dimension ref="A1:N49"/>
  <sheetViews>
    <sheetView tabSelected="1" topLeftCell="A5" zoomScale="80" zoomScaleNormal="80" workbookViewId="0">
      <selection activeCell="N7" sqref="N7:N31"/>
    </sheetView>
  </sheetViews>
  <sheetFormatPr defaultColWidth="10.90625" defaultRowHeight="14.5"/>
  <cols>
    <col min="5" max="6" width="24.453125" customWidth="1"/>
    <col min="15" max="15" width="11.08984375" bestFit="1" customWidth="1"/>
  </cols>
  <sheetData>
    <row r="1" spans="1:14" ht="15.5" thickBot="1">
      <c r="A1" s="6"/>
      <c r="B1" s="29" t="s">
        <v>3</v>
      </c>
      <c r="C1" s="47" t="s">
        <v>4</v>
      </c>
      <c r="D1" s="47"/>
      <c r="E1" s="47"/>
      <c r="F1" s="29" t="s">
        <v>110</v>
      </c>
      <c r="G1" s="18">
        <v>2016</v>
      </c>
      <c r="H1" s="18">
        <v>2017</v>
      </c>
      <c r="I1" s="18">
        <v>2018</v>
      </c>
      <c r="J1" s="18">
        <v>2019</v>
      </c>
      <c r="K1" s="18">
        <v>2020</v>
      </c>
      <c r="L1" s="18">
        <v>2021</v>
      </c>
      <c r="M1" s="18" t="s">
        <v>5</v>
      </c>
      <c r="N1" s="18" t="s">
        <v>6</v>
      </c>
    </row>
    <row r="2" spans="1:14">
      <c r="A2" s="13">
        <v>1</v>
      </c>
      <c r="B2" s="11" t="s">
        <v>7</v>
      </c>
      <c r="C2" s="44" t="s">
        <v>8</v>
      </c>
      <c r="D2" s="45"/>
      <c r="E2" s="46"/>
      <c r="F2" s="43"/>
      <c r="G2" s="32">
        <f>+corriente!F9/constante!F9*100</f>
        <v>100</v>
      </c>
      <c r="H2" s="32">
        <f>+corriente!G9/constante!G9*100</f>
        <v>92.805356723943916</v>
      </c>
      <c r="I2" s="32">
        <f>+corriente!H9/constante!H9*100</f>
        <v>100.69885484849084</v>
      </c>
      <c r="J2" s="32">
        <f>+corriente!I9/constante!I9*100</f>
        <v>100.02583313778777</v>
      </c>
      <c r="K2" s="32">
        <f>+corriente!J9/constante!J9*100</f>
        <v>145.38284469509685</v>
      </c>
      <c r="L2" s="32">
        <f>+corriente!K9/constante!K9*100</f>
        <v>155.40756088635024</v>
      </c>
      <c r="M2" s="32">
        <f>+corriente!L9/constante!L9*100</f>
        <v>170.59580464356</v>
      </c>
      <c r="N2" s="32">
        <f>+corriente!M9/constante!M9*100</f>
        <v>183.07698007117358</v>
      </c>
    </row>
    <row r="3" spans="1:14">
      <c r="A3" s="13">
        <v>2</v>
      </c>
      <c r="B3" s="12" t="s">
        <v>9</v>
      </c>
      <c r="C3" s="44" t="s">
        <v>10</v>
      </c>
      <c r="D3" s="45"/>
      <c r="E3" s="46"/>
      <c r="F3" s="43"/>
      <c r="G3" s="31">
        <f>+corriente!F10/constante!F10*100</f>
        <v>100</v>
      </c>
      <c r="H3" s="31">
        <f>+corriente!G10/constante!G10*100</f>
        <v>101.43423791405901</v>
      </c>
      <c r="I3" s="31">
        <f>+corriente!H10/constante!H10*100</f>
        <v>112.27950902290023</v>
      </c>
      <c r="J3" s="31">
        <f>+corriente!I10/constante!I10*100</f>
        <v>158.39885808636382</v>
      </c>
      <c r="K3" s="31">
        <f>+corriente!J10/constante!J10*100</f>
        <v>175.53339577990062</v>
      </c>
      <c r="L3" s="31">
        <f>+corriente!K10/constante!K10*100</f>
        <v>213.66510439928263</v>
      </c>
      <c r="M3" s="31">
        <f>+corriente!L10/constante!L10*100</f>
        <v>239.18263937804744</v>
      </c>
      <c r="N3" s="31">
        <f>+corriente!M10/constante!M10*100</f>
        <v>156.44564049713367</v>
      </c>
    </row>
    <row r="4" spans="1:14">
      <c r="A4" s="13">
        <v>3</v>
      </c>
      <c r="B4" s="12" t="s">
        <v>11</v>
      </c>
      <c r="C4" s="44" t="s">
        <v>12</v>
      </c>
      <c r="D4" s="45"/>
      <c r="E4" s="46"/>
      <c r="F4" s="43"/>
      <c r="G4" s="31">
        <f>+corriente!F11/constante!F11*100</f>
        <v>100</v>
      </c>
      <c r="H4" s="31">
        <f>+corriente!G11/constante!G11*100</f>
        <v>92.641849865437024</v>
      </c>
      <c r="I4" s="31">
        <f>+corriente!H11/constante!H11*100</f>
        <v>105.54895467552241</v>
      </c>
      <c r="J4" s="31">
        <f>+corriente!I11/constante!I11*100</f>
        <v>112.76739558043147</v>
      </c>
      <c r="K4" s="31">
        <f>+corriente!J11/constante!J11*100</f>
        <v>136.4843008003036</v>
      </c>
      <c r="L4" s="31">
        <f>+corriente!K11/constante!K11*100</f>
        <v>128.77096116550047</v>
      </c>
      <c r="M4" s="31">
        <f>+corriente!L11/constante!L11*100</f>
        <v>119.5116081476052</v>
      </c>
      <c r="N4" s="31">
        <f>+corriente!M11/constante!M11*100</f>
        <v>114.79974333638252</v>
      </c>
    </row>
    <row r="5" spans="1:14">
      <c r="A5" s="13">
        <v>4</v>
      </c>
      <c r="B5" s="12" t="s">
        <v>13</v>
      </c>
      <c r="C5" s="44" t="s">
        <v>14</v>
      </c>
      <c r="D5" s="45"/>
      <c r="E5" s="46"/>
      <c r="F5" s="43"/>
      <c r="G5" s="31">
        <f>+corriente!F12/constante!F12*100</f>
        <v>100</v>
      </c>
      <c r="H5" s="31">
        <f>+corriente!G12/constante!G12*100</f>
        <v>105.55059971615806</v>
      </c>
      <c r="I5" s="31">
        <f>+corriente!H12/constante!H12*100</f>
        <v>111.00103695194173</v>
      </c>
      <c r="J5" s="31">
        <f>+corriente!I12/constante!I12*100</f>
        <v>125.66003617346111</v>
      </c>
      <c r="K5" s="31">
        <f>+corriente!J12/constante!J12*100</f>
        <v>149.68747527361771</v>
      </c>
      <c r="L5" s="31">
        <f>+corriente!K12/constante!K12*100</f>
        <v>150.49935870496728</v>
      </c>
      <c r="M5" s="31">
        <f>+corriente!L12/constante!L12*100</f>
        <v>163.37060292070024</v>
      </c>
      <c r="N5" s="31">
        <f>+corriente!M12/constante!M12*100</f>
        <v>169.76736619109275</v>
      </c>
    </row>
    <row r="6" spans="1:14">
      <c r="A6" s="13">
        <v>5</v>
      </c>
      <c r="B6" s="12" t="s">
        <v>15</v>
      </c>
      <c r="C6" s="44" t="s">
        <v>16</v>
      </c>
      <c r="D6" s="45"/>
      <c r="E6" s="46"/>
      <c r="F6" s="43"/>
      <c r="G6" s="31">
        <f>+corriente!F13/constante!F13*100</f>
        <v>100</v>
      </c>
      <c r="H6" s="31">
        <f>+corriente!G13/constante!G13*100</f>
        <v>80.084506895848477</v>
      </c>
      <c r="I6" s="31">
        <f>+corriente!H13/constante!H13*100</f>
        <v>89.993084356773551</v>
      </c>
      <c r="J6" s="31">
        <f>+corriente!I13/constante!I13*100</f>
        <v>123.30735391456496</v>
      </c>
      <c r="K6" s="31">
        <f>+corriente!J13/constante!J13*100</f>
        <v>128.46227937234383</v>
      </c>
      <c r="L6" s="31">
        <f>+corriente!K13/constante!K13*100</f>
        <v>130.66152409437959</v>
      </c>
      <c r="M6" s="31">
        <f>+corriente!L13/constante!L13*100</f>
        <v>104.88044028669441</v>
      </c>
      <c r="N6" s="31">
        <f>+corriente!M13/constante!M13*100</f>
        <v>118.05929196404792</v>
      </c>
    </row>
    <row r="7" spans="1:14">
      <c r="A7" s="13">
        <v>6</v>
      </c>
      <c r="B7" s="12" t="s">
        <v>17</v>
      </c>
      <c r="C7" s="44" t="s">
        <v>18</v>
      </c>
      <c r="D7" s="45"/>
      <c r="E7" s="46"/>
      <c r="F7" s="43"/>
      <c r="G7" s="31">
        <f>+corriente!F14/constante!F14*100</f>
        <v>100</v>
      </c>
      <c r="H7" s="31">
        <f>+corriente!G14/constante!G14*100</f>
        <v>93.802218938407151</v>
      </c>
      <c r="I7" s="31">
        <f>+corriente!H14/constante!H14*100</f>
        <v>101.79088099932547</v>
      </c>
      <c r="J7" s="31">
        <f>+corriente!I14/constante!I14*100</f>
        <v>97.640083889572963</v>
      </c>
      <c r="K7" s="31">
        <f>+corriente!J14/constante!J14*100</f>
        <v>127.13586104112669</v>
      </c>
      <c r="L7" s="31">
        <f>+corriente!K14/constante!K14*100</f>
        <v>161.76904523906416</v>
      </c>
      <c r="M7" s="31">
        <f>+corriente!L14/constante!L14*100</f>
        <v>142.03641936999261</v>
      </c>
      <c r="N7" s="31">
        <f>+corriente!M14/constante!M14*100</f>
        <v>163.25658406146275</v>
      </c>
    </row>
    <row r="8" spans="1:14">
      <c r="A8" s="13">
        <v>7</v>
      </c>
      <c r="B8" s="12" t="s">
        <v>19</v>
      </c>
      <c r="C8" s="44" t="s">
        <v>20</v>
      </c>
      <c r="D8" s="45"/>
      <c r="E8" s="46"/>
      <c r="F8" s="43"/>
      <c r="G8" s="31">
        <f>+corriente!F15/constante!F15*100</f>
        <v>100</v>
      </c>
      <c r="H8" s="31">
        <f>+corriente!G15/constante!G15*100</f>
        <v>100.1117518851246</v>
      </c>
      <c r="I8" s="31">
        <f>+corriente!H15/constante!H15*100</f>
        <v>112.42661618718965</v>
      </c>
      <c r="J8" s="31">
        <f>+corriente!I15/constante!I15*100</f>
        <v>122.89947530048455</v>
      </c>
      <c r="K8" s="31">
        <f>+corriente!J15/constante!J15*100</f>
        <v>131.7873638118208</v>
      </c>
      <c r="L8" s="31">
        <f>+corriente!K15/constante!K15*100</f>
        <v>140.54625530246525</v>
      </c>
      <c r="M8" s="31">
        <f>+corriente!L15/constante!L15*100</f>
        <v>149.61010856415163</v>
      </c>
      <c r="N8" s="31">
        <f>+corriente!M15/constante!M15*100</f>
        <v>138.2865334769005</v>
      </c>
    </row>
    <row r="9" spans="1:14">
      <c r="A9" s="13">
        <v>8</v>
      </c>
      <c r="B9" s="12" t="s">
        <v>21</v>
      </c>
      <c r="C9" s="44" t="s">
        <v>22</v>
      </c>
      <c r="D9" s="45"/>
      <c r="E9" s="46"/>
      <c r="F9" s="43"/>
      <c r="G9" s="31">
        <f>+corriente!F16/constante!F16*100</f>
        <v>100</v>
      </c>
      <c r="H9" s="31">
        <f>+corriente!G16/constante!G16*100</f>
        <v>141.45789923437465</v>
      </c>
      <c r="I9" s="31">
        <f>+corriente!H16/constante!H16*100</f>
        <v>132.75708431730865</v>
      </c>
      <c r="J9" s="31">
        <f>+corriente!I16/constante!I16*100</f>
        <v>154.67988312770987</v>
      </c>
      <c r="K9" s="31">
        <f>+corriente!J16/constante!J16*100</f>
        <v>164.33257781935504</v>
      </c>
      <c r="L9" s="31">
        <f>+corriente!K16/constante!K16*100</f>
        <v>172.7091583094593</v>
      </c>
      <c r="M9" s="31">
        <f>+corriente!L16/constante!L16*100</f>
        <v>239.07372439982262</v>
      </c>
      <c r="N9" s="31">
        <f>+corriente!M16/constante!M16*100</f>
        <v>178.63091453206658</v>
      </c>
    </row>
    <row r="10" spans="1:14">
      <c r="A10" s="13">
        <v>9</v>
      </c>
      <c r="B10" s="12" t="s">
        <v>23</v>
      </c>
      <c r="C10" s="44" t="s">
        <v>24</v>
      </c>
      <c r="D10" s="45"/>
      <c r="E10" s="46"/>
      <c r="F10" s="43"/>
      <c r="G10" s="31">
        <f>+corriente!F17/constante!F17*100</f>
        <v>100</v>
      </c>
      <c r="H10" s="31">
        <f>+corriente!G17/constante!G17*100</f>
        <v>120.25808769116996</v>
      </c>
      <c r="I10" s="31">
        <f>+corriente!H17/constante!H17*100</f>
        <v>124.35300262566346</v>
      </c>
      <c r="J10" s="31">
        <f>+corriente!I17/constante!I17*100</f>
        <v>133.21790519697745</v>
      </c>
      <c r="K10" s="31">
        <f>+corriente!J17/constante!J17*100</f>
        <v>159.59888444849898</v>
      </c>
      <c r="L10" s="31">
        <f>+corriente!K17/constante!K17*100</f>
        <v>172.79421749128701</v>
      </c>
      <c r="M10" s="31">
        <f>+corriente!L17/constante!L17*100</f>
        <v>205.05113832767043</v>
      </c>
      <c r="N10" s="31">
        <f>+corriente!M17/constante!M17*100</f>
        <v>265.75351948450475</v>
      </c>
    </row>
    <row r="11" spans="1:14">
      <c r="A11" s="13">
        <v>10</v>
      </c>
      <c r="B11" s="12" t="s">
        <v>25</v>
      </c>
      <c r="C11" s="44" t="s">
        <v>26</v>
      </c>
      <c r="D11" s="45"/>
      <c r="E11" s="46"/>
      <c r="F11" s="43"/>
      <c r="G11" s="31">
        <f>+corriente!F18/constante!F18*100</f>
        <v>100</v>
      </c>
      <c r="H11" s="31">
        <f>+corriente!G18/constante!G18*100</f>
        <v>115.45465277846102</v>
      </c>
      <c r="I11" s="31">
        <f>+corriente!H18/constante!H18*100</f>
        <v>135.4453640274283</v>
      </c>
      <c r="J11" s="31">
        <f>+corriente!I18/constante!I18*100</f>
        <v>151.8397827620517</v>
      </c>
      <c r="K11" s="31">
        <f>+corriente!J18/constante!J18*100</f>
        <v>169.67848777490161</v>
      </c>
      <c r="L11" s="31">
        <f>+corriente!K18/constante!K18*100</f>
        <v>176.12467185818508</v>
      </c>
      <c r="M11" s="31">
        <f>+corriente!L18/constante!L18*100</f>
        <v>183.27575334896093</v>
      </c>
      <c r="N11" s="31">
        <f>+corriente!M18/constante!M18*100</f>
        <v>181.53148374093928</v>
      </c>
    </row>
    <row r="12" spans="1:14">
      <c r="A12" s="13">
        <v>11</v>
      </c>
      <c r="B12" s="12" t="s">
        <v>27</v>
      </c>
      <c r="C12" s="44" t="s">
        <v>28</v>
      </c>
      <c r="D12" s="45"/>
      <c r="E12" s="46"/>
      <c r="F12" s="43"/>
      <c r="G12" s="31">
        <f>+corriente!F19/constante!F19*100</f>
        <v>100</v>
      </c>
      <c r="H12" s="31">
        <f>+corriente!G19/constante!G19*100</f>
        <v>116.69288889852309</v>
      </c>
      <c r="I12" s="31">
        <f>+corriente!H19/constante!H19*100</f>
        <v>118.04898160024757</v>
      </c>
      <c r="J12" s="31">
        <f>+corriente!I19/constante!I19*100</f>
        <v>126.43194656316498</v>
      </c>
      <c r="K12" s="31">
        <f>+corriente!J19/constante!J19*100</f>
        <v>125.16625447626556</v>
      </c>
      <c r="L12" s="31">
        <f>+corriente!K19/constante!K19*100</f>
        <v>93.998850378469299</v>
      </c>
      <c r="M12" s="31">
        <f>+corriente!L19/constante!L19*100</f>
        <v>102.73335502900068</v>
      </c>
      <c r="N12" s="31">
        <f>+corriente!M19/constante!M19*100</f>
        <v>118.37407026596938</v>
      </c>
    </row>
    <row r="13" spans="1:14">
      <c r="A13" s="13">
        <v>12</v>
      </c>
      <c r="B13" s="12" t="s">
        <v>29</v>
      </c>
      <c r="C13" s="44" t="s">
        <v>30</v>
      </c>
      <c r="D13" s="45"/>
      <c r="E13" s="46"/>
      <c r="F13" s="43"/>
      <c r="G13" s="31">
        <f>+corriente!F20/constante!F20*100</f>
        <v>100</v>
      </c>
      <c r="H13" s="31">
        <f>+corriente!G20/constante!G20*100</f>
        <v>112.16080889427842</v>
      </c>
      <c r="I13" s="31">
        <f>+corriente!H20/constante!H20*100</f>
        <v>124.49496242007088</v>
      </c>
      <c r="J13" s="31">
        <f>+corriente!I20/constante!I20*100</f>
        <v>134.26815237165465</v>
      </c>
      <c r="K13" s="31">
        <f>+corriente!J20/constante!J20*100</f>
        <v>136.65951693469199</v>
      </c>
      <c r="L13" s="31">
        <f>+corriente!K20/constante!K20*100</f>
        <v>141.15437002872014</v>
      </c>
      <c r="M13" s="31">
        <f>+corriente!L20/constante!L20*100</f>
        <v>156.44134261761761</v>
      </c>
      <c r="N13" s="31">
        <f>+corriente!M20/constante!M20*100</f>
        <v>177.94733678924362</v>
      </c>
    </row>
    <row r="14" spans="1:14" ht="29">
      <c r="A14" s="13">
        <v>13</v>
      </c>
      <c r="B14" s="16" t="s">
        <v>31</v>
      </c>
      <c r="C14" s="44" t="s">
        <v>32</v>
      </c>
      <c r="D14" s="45"/>
      <c r="E14" s="46"/>
      <c r="F14" s="43"/>
      <c r="G14" s="31">
        <f>+corriente!F21/constante!F21*100</f>
        <v>100</v>
      </c>
      <c r="H14" s="31">
        <f>+corriente!G21/constante!G21*100</f>
        <v>99.261220740549504</v>
      </c>
      <c r="I14" s="31">
        <f>+corriente!H21/constante!H21*100</f>
        <v>103.28482721009273</v>
      </c>
      <c r="J14" s="31">
        <f>+corriente!I21/constante!I21*100</f>
        <v>110.61410331613999</v>
      </c>
      <c r="K14" s="31">
        <f>+corriente!J21/constante!J21*100</f>
        <v>113.90110441922643</v>
      </c>
      <c r="L14" s="31">
        <f>+corriente!K21/constante!K21*100</f>
        <v>112.60243052983041</v>
      </c>
      <c r="M14" s="31">
        <f>+corriente!L21/constante!L21*100</f>
        <v>97.870943477254201</v>
      </c>
      <c r="N14" s="31">
        <f>+corriente!M21/constante!M21*100</f>
        <v>131.21541738823254</v>
      </c>
    </row>
    <row r="15" spans="1:14">
      <c r="A15" s="13">
        <v>14</v>
      </c>
      <c r="B15" s="12" t="s">
        <v>33</v>
      </c>
      <c r="C15" s="44" t="s">
        <v>34</v>
      </c>
      <c r="D15" s="45"/>
      <c r="E15" s="46"/>
      <c r="F15" t="s">
        <v>111</v>
      </c>
      <c r="G15" s="31">
        <f>+corriente!F22/constante!F22*100</f>
        <v>100</v>
      </c>
      <c r="H15" s="31">
        <f>+corriente!G22/constante!G22*100</f>
        <v>109.48621184080174</v>
      </c>
      <c r="I15" s="31">
        <f>+corriente!H22/constante!H22*100</f>
        <v>130.97125300252478</v>
      </c>
      <c r="J15" s="31">
        <f>+corriente!I22/constante!I22*100</f>
        <v>141.89860678189606</v>
      </c>
      <c r="K15" s="31">
        <f>+corriente!J22/constante!J22*100</f>
        <v>145.81518651846599</v>
      </c>
      <c r="L15" s="31">
        <f>+corriente!K22/constante!K22*100</f>
        <v>163.84090965502955</v>
      </c>
      <c r="M15" s="31">
        <f>+corriente!L22/constante!L22*100</f>
        <v>175.34251880378167</v>
      </c>
      <c r="N15" s="31">
        <f>+corriente!M22/constante!M22*100</f>
        <v>180.58226895246165</v>
      </c>
    </row>
    <row r="16" spans="1:14">
      <c r="A16" s="13">
        <v>15</v>
      </c>
      <c r="B16" s="12" t="s">
        <v>35</v>
      </c>
      <c r="C16" s="44" t="s">
        <v>36</v>
      </c>
      <c r="D16" s="45"/>
      <c r="E16" s="46"/>
      <c r="F16" t="s">
        <v>112</v>
      </c>
      <c r="G16" s="31">
        <f>+corriente!F23/constante!F23*100</f>
        <v>100</v>
      </c>
      <c r="H16" s="31">
        <f>+corriente!G23/constante!G23*100</f>
        <v>104.57566119969744</v>
      </c>
      <c r="I16" s="31">
        <f>+corriente!H23/constante!H23*100</f>
        <v>123.31797760156698</v>
      </c>
      <c r="J16" s="31">
        <f>+corriente!I23/constante!I23*100</f>
        <v>117.45975585671036</v>
      </c>
      <c r="K16" s="31">
        <f>+corriente!J23/constante!J23*100</f>
        <v>118.61048518281791</v>
      </c>
      <c r="L16" s="31">
        <f>+corriente!K23/constante!K23*100</f>
        <v>136.00529048561015</v>
      </c>
      <c r="M16" s="31">
        <f>+corriente!L23/constante!L23*100</f>
        <v>145.4341015773399</v>
      </c>
      <c r="N16" s="31">
        <f>+corriente!M23/constante!M23*100</f>
        <v>133.65277148716373</v>
      </c>
    </row>
    <row r="17" spans="1:14">
      <c r="A17" s="13">
        <v>16</v>
      </c>
      <c r="B17" s="12" t="s">
        <v>37</v>
      </c>
      <c r="C17" s="44" t="s">
        <v>38</v>
      </c>
      <c r="D17" s="45"/>
      <c r="E17" s="46"/>
      <c r="F17" t="s">
        <v>113</v>
      </c>
      <c r="G17" s="31">
        <f>+corriente!F24/constante!F24*100</f>
        <v>100</v>
      </c>
      <c r="H17" s="31">
        <f>+corriente!G24/constante!G24*100</f>
        <v>100.46887469810673</v>
      </c>
      <c r="I17" s="31">
        <f>+corriente!H24/constante!H24*100</f>
        <v>120.63816491449468</v>
      </c>
      <c r="J17" s="31">
        <f>+corriente!I24/constante!I24*100</f>
        <v>131.41852838129915</v>
      </c>
      <c r="K17" s="31">
        <f>+corriente!J24/constante!J24*100</f>
        <v>146.36159768364692</v>
      </c>
      <c r="L17" s="31">
        <f>+corriente!K24/constante!K24*100</f>
        <v>158.71642300351033</v>
      </c>
      <c r="M17" s="31">
        <f>+corriente!L24/constante!L24*100</f>
        <v>182.52083265542095</v>
      </c>
      <c r="N17" s="31">
        <f>+corriente!M24/constante!M24*100</f>
        <v>169.56435147113802</v>
      </c>
    </row>
    <row r="18" spans="1:14">
      <c r="A18" s="13">
        <v>17</v>
      </c>
      <c r="B18" s="12" t="s">
        <v>39</v>
      </c>
      <c r="C18" s="44" t="s">
        <v>40</v>
      </c>
      <c r="D18" s="45"/>
      <c r="E18" s="46"/>
      <c r="F18" t="s">
        <v>114</v>
      </c>
      <c r="G18" s="31">
        <f>+corriente!F25/constante!F25*100</f>
        <v>100</v>
      </c>
      <c r="H18" s="31">
        <f>+corriente!G25/constante!G25*100</f>
        <v>114.26550878270749</v>
      </c>
      <c r="I18" s="31">
        <f>+corriente!H25/constante!H25*100</f>
        <v>75.692239784023585</v>
      </c>
      <c r="J18" s="31">
        <f>+corriente!I25/constante!I25*100</f>
        <v>186.44936572179611</v>
      </c>
      <c r="K18" s="31">
        <f>+corriente!J25/constante!J25*100</f>
        <v>256.78232830542271</v>
      </c>
      <c r="L18" s="31">
        <f>+corriente!K25/constante!K25*100</f>
        <v>175.42214295485664</v>
      </c>
      <c r="M18" s="31">
        <f>+corriente!L25/constante!L25*100</f>
        <v>172.38163776877892</v>
      </c>
      <c r="N18" s="31">
        <f>+corriente!M25/constante!M25*100</f>
        <v>163.11028694595549</v>
      </c>
    </row>
    <row r="19" spans="1:14">
      <c r="A19" s="13">
        <v>18</v>
      </c>
      <c r="B19" s="12" t="s">
        <v>41</v>
      </c>
      <c r="C19" s="44" t="s">
        <v>42</v>
      </c>
      <c r="D19" s="45"/>
      <c r="E19" s="46"/>
      <c r="F19" t="s">
        <v>115</v>
      </c>
      <c r="G19" s="31">
        <f>+corriente!F26/constante!F26*100</f>
        <v>100</v>
      </c>
      <c r="H19" s="31">
        <f>+corriente!G26/constante!G26*100</f>
        <v>91.71636267911083</v>
      </c>
      <c r="I19" s="31">
        <f>+corriente!H26/constante!H26*100</f>
        <v>104.20861387935605</v>
      </c>
      <c r="J19" s="31">
        <f>+corriente!I26/constante!I26*100</f>
        <v>118.46038965900665</v>
      </c>
      <c r="K19" s="31">
        <f>+corriente!J26/constante!J26*100</f>
        <v>137.70776153398867</v>
      </c>
      <c r="L19" s="31">
        <f>+corriente!K26/constante!K26*100</f>
        <v>197.38919346898831</v>
      </c>
      <c r="M19" s="31">
        <f>+corriente!L26/constante!L26*100</f>
        <v>170.17161943768386</v>
      </c>
      <c r="N19" s="31">
        <f>+corriente!M26/constante!M26*100</f>
        <v>124.187739395791</v>
      </c>
    </row>
    <row r="20" spans="1:14">
      <c r="A20" s="13">
        <v>19</v>
      </c>
      <c r="B20" s="12" t="s">
        <v>43</v>
      </c>
      <c r="C20" s="44" t="s">
        <v>44</v>
      </c>
      <c r="D20" s="45"/>
      <c r="E20" s="46"/>
      <c r="F20" t="s">
        <v>121</v>
      </c>
      <c r="G20" s="31">
        <f>+corriente!F27/constante!F27*100</f>
        <v>100</v>
      </c>
      <c r="H20" s="31">
        <f>+corriente!G27/constante!G27*100</f>
        <v>99.818380422259693</v>
      </c>
      <c r="I20" s="31">
        <f>+corriente!H27/constante!H27*100</f>
        <v>175.6063441527281</v>
      </c>
      <c r="J20" s="31">
        <f>+corriente!I27/constante!I27*100</f>
        <v>159.40255872367479</v>
      </c>
      <c r="K20" s="31">
        <f>+corriente!J27/constante!J27*100</f>
        <v>77.560790260425833</v>
      </c>
      <c r="L20" s="31">
        <f>+corriente!K27/constante!K27*100</f>
        <v>207.67555180123202</v>
      </c>
      <c r="M20" s="31">
        <f>+corriente!L27/constante!L27*100</f>
        <v>269.9908225187778</v>
      </c>
      <c r="N20" s="31">
        <f>+corriente!M27/constante!M27*100</f>
        <v>144.11100252357943</v>
      </c>
    </row>
    <row r="21" spans="1:14">
      <c r="A21" s="13">
        <v>20</v>
      </c>
      <c r="B21" s="12" t="s">
        <v>45</v>
      </c>
      <c r="C21" s="44" t="s">
        <v>46</v>
      </c>
      <c r="D21" s="45"/>
      <c r="E21" s="46"/>
      <c r="F21" t="s">
        <v>124</v>
      </c>
      <c r="G21" s="31">
        <f>+corriente!F28/constante!F28*100</f>
        <v>100</v>
      </c>
      <c r="H21" s="31">
        <f>+corriente!G28/constante!G28*100</f>
        <v>107.61748803921579</v>
      </c>
      <c r="I21" s="31">
        <f>+corriente!H28/constante!H28*100</f>
        <v>109.52470993888438</v>
      </c>
      <c r="J21" s="31">
        <f>+corriente!I28/constante!I28*100</f>
        <v>112.3970063446726</v>
      </c>
      <c r="K21" s="31">
        <f>+corriente!J28/constante!J28*100</f>
        <v>116.93525227479375</v>
      </c>
      <c r="L21" s="31">
        <f>+corriente!K28/constante!K28*100</f>
        <v>121.08206126762818</v>
      </c>
      <c r="M21" s="31">
        <f>+corriente!L28/constante!L28*100</f>
        <v>127.70266873356928</v>
      </c>
      <c r="N21" s="31">
        <f>+corriente!M28/constante!M28*100</f>
        <v>138.62657070074013</v>
      </c>
    </row>
    <row r="22" spans="1:14">
      <c r="A22" s="13">
        <v>21</v>
      </c>
      <c r="B22" s="12" t="s">
        <v>47</v>
      </c>
      <c r="C22" s="44" t="s">
        <v>48</v>
      </c>
      <c r="D22" s="45"/>
      <c r="E22" s="46"/>
      <c r="F22" t="s">
        <v>116</v>
      </c>
      <c r="G22" s="31">
        <f>+corriente!F29/constante!F29*100</f>
        <v>100</v>
      </c>
      <c r="H22" s="31">
        <f>+corriente!G29/constante!G29*100</f>
        <v>91.443228245884725</v>
      </c>
      <c r="I22" s="31">
        <f>+corriente!H29/constante!H29*100</f>
        <v>81.536083216377264</v>
      </c>
      <c r="J22" s="31">
        <f>+corriente!I29/constante!I29*100</f>
        <v>80.392794310026233</v>
      </c>
      <c r="K22" s="31">
        <f>+corriente!J29/constante!J29*100</f>
        <v>78.715495341808591</v>
      </c>
      <c r="L22" s="31">
        <f>+corriente!K29/constante!K29*100</f>
        <v>65.796738477016305</v>
      </c>
      <c r="M22" s="31">
        <f>+corriente!L29/constante!L29*100</f>
        <v>93.470336231191354</v>
      </c>
      <c r="N22" s="31">
        <f>+corriente!M29/constante!M29*100</f>
        <v>89.876754111521677</v>
      </c>
    </row>
    <row r="23" spans="1:14">
      <c r="A23" s="13">
        <v>22</v>
      </c>
      <c r="B23" s="12" t="s">
        <v>49</v>
      </c>
      <c r="C23" s="44" t="s">
        <v>50</v>
      </c>
      <c r="D23" s="45"/>
      <c r="E23" s="46"/>
      <c r="G23" s="31">
        <f>+corriente!F30/constante!F30*100</f>
        <v>100</v>
      </c>
      <c r="H23" s="31">
        <f>+corriente!G30/constante!G30*100</f>
        <v>97.374960948711049</v>
      </c>
      <c r="I23" s="31">
        <f>+corriente!H30/constante!H30*100</f>
        <v>91.619920609002577</v>
      </c>
      <c r="J23" s="31">
        <f>+corriente!I30/constante!I30*100</f>
        <v>107.72309002382305</v>
      </c>
      <c r="K23" s="31">
        <f>+corriente!J30/constante!J30*100</f>
        <v>151.1439463123929</v>
      </c>
      <c r="L23" s="31">
        <f>+corriente!K30/constante!K30*100</f>
        <v>749.65496949822125</v>
      </c>
      <c r="M23" s="31">
        <f>+corriente!L30/constante!L30*100</f>
        <v>842.48019735201751</v>
      </c>
      <c r="N23" s="31">
        <f>+corriente!M30/constante!M30*100</f>
        <v>854.59964039435351</v>
      </c>
    </row>
    <row r="24" spans="1:14">
      <c r="A24" s="13">
        <v>23</v>
      </c>
      <c r="B24" s="12" t="s">
        <v>51</v>
      </c>
      <c r="C24" s="44" t="s">
        <v>52</v>
      </c>
      <c r="D24" s="45"/>
      <c r="E24" s="46"/>
      <c r="F24" t="s">
        <v>125</v>
      </c>
      <c r="G24" s="31">
        <f>+corriente!F31/constante!F31*100</f>
        <v>100</v>
      </c>
      <c r="H24" s="31">
        <f>+corriente!G31/constante!G31*100</f>
        <v>100.08518189256823</v>
      </c>
      <c r="I24" s="31">
        <f>+corriente!H31/constante!H31*100</f>
        <v>100.7028778178495</v>
      </c>
      <c r="J24" s="31">
        <f>+corriente!I31/constante!I31*100</f>
        <v>117.89802233631104</v>
      </c>
      <c r="K24" s="31">
        <f>+corriente!J31/constante!J31*100</f>
        <v>144.32836287658915</v>
      </c>
      <c r="L24" s="31">
        <f>+corriente!K31/constante!K31*100</f>
        <v>138.92075104860297</v>
      </c>
      <c r="M24" s="31">
        <f>+corriente!L31/constante!L31*100</f>
        <v>161.91838891271419</v>
      </c>
      <c r="N24" s="31">
        <f>+corriente!M31/constante!M31*100</f>
        <v>173.02240742772145</v>
      </c>
    </row>
    <row r="25" spans="1:14">
      <c r="A25" s="13">
        <v>24</v>
      </c>
      <c r="B25" s="12" t="s">
        <v>53</v>
      </c>
      <c r="C25" s="44" t="s">
        <v>54</v>
      </c>
      <c r="D25" s="45"/>
      <c r="E25" s="46"/>
      <c r="F25" t="s">
        <v>123</v>
      </c>
      <c r="G25" s="31">
        <f>+corriente!F32/constante!F32*100</f>
        <v>100</v>
      </c>
      <c r="H25" s="31">
        <f>+corriente!G32/constante!G32*100</f>
        <v>98.716161777824638</v>
      </c>
      <c r="I25" s="31">
        <f>+corriente!H32/constante!H32*100</f>
        <v>107.5647085530625</v>
      </c>
      <c r="J25" s="31">
        <f>+corriente!I32/constante!I32*100</f>
        <v>121.12555315540388</v>
      </c>
      <c r="K25" s="31">
        <f>+corriente!J32/constante!J32*100</f>
        <v>139.02776228438475</v>
      </c>
      <c r="L25" s="31">
        <f>+corriente!K32/constante!K32*100</f>
        <v>148.51596985444041</v>
      </c>
      <c r="M25" s="31">
        <f>+corriente!L32/constante!L32*100</f>
        <v>130.15609389789557</v>
      </c>
      <c r="N25" s="31">
        <f>+corriente!M32/constante!M32*100</f>
        <v>113.38879291954478</v>
      </c>
    </row>
    <row r="26" spans="1:14">
      <c r="A26" s="13">
        <v>25</v>
      </c>
      <c r="B26" s="12" t="s">
        <v>55</v>
      </c>
      <c r="C26" s="44" t="s">
        <v>56</v>
      </c>
      <c r="D26" s="45"/>
      <c r="E26" s="46"/>
      <c r="F26" t="s">
        <v>122</v>
      </c>
      <c r="G26" s="31">
        <f>+corriente!F33/constante!F33*100</f>
        <v>100</v>
      </c>
      <c r="H26" s="31">
        <f>+corriente!G33/constante!G33*100</f>
        <v>93.436103262719072</v>
      </c>
      <c r="I26" s="31">
        <f>+corriente!H33/constante!H33*100</f>
        <v>103.65526681263162</v>
      </c>
      <c r="J26" s="31">
        <f>+corriente!I33/constante!I33*100</f>
        <v>129.0227325520672</v>
      </c>
      <c r="K26" s="31">
        <f>+corriente!J33/constante!J33*100</f>
        <v>136.35417917656471</v>
      </c>
      <c r="L26" s="31">
        <f>+corriente!K33/constante!K33*100</f>
        <v>156.39818458638533</v>
      </c>
      <c r="M26" s="31">
        <f>+corriente!L33/constante!L33*100</f>
        <v>163.72064313588254</v>
      </c>
      <c r="N26" s="31">
        <f>+corriente!M33/constante!M33*100</f>
        <v>183.49621140040651</v>
      </c>
    </row>
    <row r="27" spans="1:14">
      <c r="A27" s="13">
        <v>26</v>
      </c>
      <c r="B27" s="12" t="s">
        <v>57</v>
      </c>
      <c r="C27" s="44" t="s">
        <v>58</v>
      </c>
      <c r="D27" s="45"/>
      <c r="E27" s="46"/>
      <c r="F27" t="s">
        <v>120</v>
      </c>
      <c r="G27" s="31">
        <f>+corriente!F34/constante!F34*100</f>
        <v>100</v>
      </c>
      <c r="H27" s="31">
        <f>+corriente!G34/constante!G34*100</f>
        <v>125.40875386447171</v>
      </c>
      <c r="I27" s="31">
        <f>+corriente!H34/constante!H34*100</f>
        <v>119.25777877094224</v>
      </c>
      <c r="J27" s="31">
        <f>+corriente!I34/constante!I34*100</f>
        <v>137.31168454384311</v>
      </c>
      <c r="K27" s="31">
        <f>+corriente!J34/constante!J34*100</f>
        <v>140.73372605044176</v>
      </c>
      <c r="L27" s="31">
        <f>+corriente!K34/constante!K34*100</f>
        <v>147.54159094176487</v>
      </c>
      <c r="M27" s="31">
        <f>+corriente!L34/constante!L34*100</f>
        <v>194.73360266342979</v>
      </c>
      <c r="N27" s="31">
        <f>+corriente!M34/constante!M34*100</f>
        <v>278.4141036411624</v>
      </c>
    </row>
    <row r="28" spans="1:14">
      <c r="A28" s="13">
        <v>27</v>
      </c>
      <c r="B28" s="12" t="s">
        <v>59</v>
      </c>
      <c r="C28" s="44" t="s">
        <v>60</v>
      </c>
      <c r="D28" s="45"/>
      <c r="E28" s="46"/>
      <c r="F28" t="s">
        <v>118</v>
      </c>
      <c r="G28" s="31">
        <f>+corriente!F35/constante!F35*100</f>
        <v>100</v>
      </c>
      <c r="H28" s="31">
        <f>+corriente!G35/constante!G35*100</f>
        <v>100.87256118571648</v>
      </c>
      <c r="I28" s="31">
        <f>+corriente!H35/constante!H35*100</f>
        <v>110.88170991457437</v>
      </c>
      <c r="J28" s="31">
        <f>+corriente!I35/constante!I35*100</f>
        <v>131.20190868680365</v>
      </c>
      <c r="K28" s="31">
        <f>+corriente!J35/constante!J35*100</f>
        <v>154.38505752371162</v>
      </c>
      <c r="L28" s="31">
        <f>+corriente!K35/constante!K35*100</f>
        <v>191.09957537871821</v>
      </c>
      <c r="M28" s="31">
        <f>+corriente!L35/constante!L35*100</f>
        <v>188.87000220483969</v>
      </c>
      <c r="N28" s="31">
        <f>+corriente!M35/constante!M35*100</f>
        <v>154.94376517332131</v>
      </c>
    </row>
    <row r="29" spans="1:14">
      <c r="A29" s="13">
        <v>28</v>
      </c>
      <c r="B29" s="12" t="s">
        <v>61</v>
      </c>
      <c r="C29" s="44" t="s">
        <v>62</v>
      </c>
      <c r="D29" s="45"/>
      <c r="E29" s="46"/>
      <c r="F29" t="s">
        <v>117</v>
      </c>
      <c r="G29" s="31">
        <f>+corriente!F36/constante!F36*100</f>
        <v>100</v>
      </c>
      <c r="H29" s="31">
        <f>+corriente!G36/constante!G36*100</f>
        <v>100.67339555211183</v>
      </c>
      <c r="I29" s="31">
        <f>+corriente!H36/constante!H36*100</f>
        <v>104.31392088468201</v>
      </c>
      <c r="J29" s="31">
        <f>+corriente!I36/constante!I36*100</f>
        <v>128.1728847839708</v>
      </c>
      <c r="K29" s="31">
        <f>+corriente!J36/constante!J36*100</f>
        <v>155.80430099762572</v>
      </c>
      <c r="L29" s="31">
        <f>+corriente!K36/constante!K36*100</f>
        <v>155.4000885622205</v>
      </c>
      <c r="M29" s="31">
        <f>+corriente!L36/constante!L36*100</f>
        <v>167.48785477801945</v>
      </c>
      <c r="N29" s="31">
        <f>+corriente!M36/constante!M36*100</f>
        <v>176.36272977561012</v>
      </c>
    </row>
    <row r="30" spans="1:14">
      <c r="A30" s="13">
        <v>29</v>
      </c>
      <c r="B30" s="12" t="s">
        <v>63</v>
      </c>
      <c r="C30" s="44" t="s">
        <v>64</v>
      </c>
      <c r="D30" s="45"/>
      <c r="E30" s="46"/>
      <c r="F30" t="s">
        <v>119</v>
      </c>
      <c r="G30" s="31">
        <f>+corriente!F37/constante!F37*100</f>
        <v>100</v>
      </c>
      <c r="H30" s="31">
        <f>+corriente!G37/constante!G37*100</f>
        <v>108.67081241696934</v>
      </c>
      <c r="I30" s="31">
        <f>+corriente!H37/constante!H37*100</f>
        <v>75.124698800518345</v>
      </c>
      <c r="J30" s="31">
        <f>+corriente!I37/constante!I37*100</f>
        <v>78.734894592048647</v>
      </c>
      <c r="K30" s="31">
        <f>+corriente!J37/constante!J37*100</f>
        <v>76.860996936781049</v>
      </c>
      <c r="L30" s="31">
        <f>+corriente!K37/constante!K37*100</f>
        <v>110.13745075062667</v>
      </c>
      <c r="M30" s="31">
        <f>+corriente!L37/constante!L37*100</f>
        <v>101.01109989433877</v>
      </c>
      <c r="N30" s="31">
        <f>+corriente!M37/constante!M37*100</f>
        <v>183.47647453863905</v>
      </c>
    </row>
    <row r="31" spans="1:14">
      <c r="A31" s="13">
        <v>30</v>
      </c>
      <c r="B31" s="12" t="s">
        <v>65</v>
      </c>
      <c r="C31" s="44" t="s">
        <v>66</v>
      </c>
      <c r="D31" s="45"/>
      <c r="E31" s="46"/>
      <c r="F31" t="s">
        <v>126</v>
      </c>
      <c r="G31" s="31">
        <f>+corriente!F38/constante!F38*100</f>
        <v>100</v>
      </c>
      <c r="H31" s="31">
        <f>+corriente!G38/constante!G38*100</f>
        <v>109.76692027466717</v>
      </c>
      <c r="I31" s="31">
        <f>+corriente!H38/constante!H38*100</f>
        <v>117.16063901235793</v>
      </c>
      <c r="J31" s="31">
        <f>+corriente!I38/constante!I38*100</f>
        <v>123.31769148359872</v>
      </c>
      <c r="K31" s="31">
        <f>+corriente!J38/constante!J38*100</f>
        <v>141.57609326380475</v>
      </c>
      <c r="L31" s="31">
        <f>+corriente!K38/constante!K38*100</f>
        <v>153.10190611988989</v>
      </c>
      <c r="M31" s="31">
        <f>+corriente!L38/constante!L38*100</f>
        <v>161.83114305519621</v>
      </c>
      <c r="N31" s="31">
        <f>+corriente!M38/constante!M38*100</f>
        <v>145.24620620826528</v>
      </c>
    </row>
    <row r="32" spans="1:14">
      <c r="A32" s="13">
        <v>31</v>
      </c>
      <c r="B32" s="12" t="s">
        <v>67</v>
      </c>
      <c r="C32" s="44" t="s">
        <v>68</v>
      </c>
      <c r="D32" s="45"/>
      <c r="E32" s="46"/>
      <c r="F32" s="43"/>
      <c r="G32" s="31">
        <f>+corriente!F39/constante!F39*100</f>
        <v>100</v>
      </c>
      <c r="H32" s="31">
        <f>+corriente!G39/constante!G39*100</f>
        <v>107.684457471806</v>
      </c>
      <c r="I32" s="31">
        <f>+corriente!H39/constante!H39*100</f>
        <v>106.32593962823971</v>
      </c>
      <c r="J32" s="31">
        <f>+corriente!I39/constante!I39*100</f>
        <v>97.229494302068815</v>
      </c>
      <c r="K32" s="31">
        <f>+corriente!J39/constante!J39*100</f>
        <v>120.28783216096907</v>
      </c>
      <c r="L32" s="31">
        <f>+corriente!K39/constante!K39*100</f>
        <v>148.28831666413788</v>
      </c>
      <c r="M32" s="31">
        <f>+corriente!L39/constante!L39*100</f>
        <v>117.39711888165787</v>
      </c>
      <c r="N32" s="31">
        <f>+corriente!M39/constante!M39*100</f>
        <v>120.95806096027324</v>
      </c>
    </row>
    <row r="33" spans="1:14">
      <c r="A33" s="13">
        <v>32</v>
      </c>
      <c r="B33" s="12" t="s">
        <v>69</v>
      </c>
      <c r="C33" s="44" t="s">
        <v>70</v>
      </c>
      <c r="D33" s="45"/>
      <c r="E33" s="46"/>
      <c r="F33" s="43"/>
      <c r="G33" s="31">
        <f>+corriente!F40/constante!F40*100</f>
        <v>100</v>
      </c>
      <c r="H33" s="31">
        <f>+corriente!G40/constante!G40*100</f>
        <v>116.68694374978239</v>
      </c>
      <c r="I33" s="31">
        <f>+corriente!H40/constante!H40*100</f>
        <v>121.51566971948911</v>
      </c>
      <c r="J33" s="31">
        <f>+corriente!I40/constante!I40*100</f>
        <v>123.78184133240084</v>
      </c>
      <c r="K33" s="31">
        <f>+corriente!J40/constante!J40*100</f>
        <v>136.94151183752365</v>
      </c>
      <c r="L33" s="31">
        <f>+corriente!K40/constante!K40*100</f>
        <v>153.73931544349338</v>
      </c>
      <c r="M33" s="31">
        <f>+corriente!L40/constante!L40*100</f>
        <v>162.06502413102956</v>
      </c>
      <c r="N33" s="31">
        <f>+corriente!M40/constante!M40*100</f>
        <v>176.7268063621753</v>
      </c>
    </row>
    <row r="34" spans="1:14">
      <c r="A34" s="13">
        <v>33</v>
      </c>
      <c r="B34" s="12" t="s">
        <v>71</v>
      </c>
      <c r="C34" s="44" t="s">
        <v>72</v>
      </c>
      <c r="D34" s="45"/>
      <c r="E34" s="46"/>
      <c r="F34" s="43"/>
      <c r="G34" s="31">
        <f>+corriente!F41/constante!F41*100</f>
        <v>100</v>
      </c>
      <c r="H34" s="31">
        <f>+corriente!G41/constante!G41*100</f>
        <v>111.28737436489902</v>
      </c>
      <c r="I34" s="31">
        <f>+corriente!H41/constante!H41*100</f>
        <v>117.47366353688386</v>
      </c>
      <c r="J34" s="31">
        <f>+corriente!I41/constante!I41*100</f>
        <v>128.69843858867577</v>
      </c>
      <c r="K34" s="31">
        <f>+corriente!J41/constante!J41*100</f>
        <v>138.05832411526418</v>
      </c>
      <c r="L34" s="31">
        <f>+corriente!K41/constante!K41*100</f>
        <v>152.14648911122634</v>
      </c>
      <c r="M34" s="31">
        <f>+corriente!L41/constante!L41*100</f>
        <v>170.0680943581676</v>
      </c>
      <c r="N34" s="31">
        <f>+corriente!M41/constante!M41*100</f>
        <v>180.70136735248101</v>
      </c>
    </row>
    <row r="35" spans="1:14">
      <c r="A35" s="13">
        <v>34</v>
      </c>
      <c r="B35" s="12" t="s">
        <v>73</v>
      </c>
      <c r="C35" s="44" t="s">
        <v>74</v>
      </c>
      <c r="D35" s="45"/>
      <c r="E35" s="46"/>
      <c r="F35" s="43"/>
      <c r="G35" s="31">
        <f>+corriente!F42/constante!F42*100</f>
        <v>100</v>
      </c>
      <c r="H35" s="31">
        <f>+corriente!G42/constante!G42*100</f>
        <v>103.81967301172685</v>
      </c>
      <c r="I35" s="31">
        <f>+corriente!H42/constante!H42*100</f>
        <v>111.33568583773987</v>
      </c>
      <c r="J35" s="31">
        <f>+corriente!I42/constante!I42*100</f>
        <v>120.54698878659921</v>
      </c>
      <c r="K35" s="31">
        <f>+corriente!J42/constante!J42*100</f>
        <v>138.4953836709999</v>
      </c>
      <c r="L35" s="31">
        <f>+corriente!K42/constante!K42*100</f>
        <v>151.61410116051673</v>
      </c>
      <c r="M35" s="31">
        <f>+corriente!L42/constante!L42*100</f>
        <v>164.62407285090023</v>
      </c>
      <c r="N35" s="31">
        <f>+corriente!M42/constante!M42*100</f>
        <v>177.85780142178515</v>
      </c>
    </row>
    <row r="36" spans="1:14">
      <c r="A36" s="13">
        <v>35</v>
      </c>
      <c r="B36" s="12" t="s">
        <v>75</v>
      </c>
      <c r="C36" s="44" t="s">
        <v>76</v>
      </c>
      <c r="D36" s="45"/>
      <c r="E36" s="46"/>
      <c r="F36" s="43"/>
      <c r="G36" s="31">
        <f>+corriente!F43/constante!F43*100</f>
        <v>100</v>
      </c>
      <c r="H36" s="31">
        <f>+corriente!G43/constante!G43*100</f>
        <v>93.402757749015052</v>
      </c>
      <c r="I36" s="31">
        <f>+corriente!H43/constante!H43*100</f>
        <v>106.67889261850689</v>
      </c>
      <c r="J36" s="31">
        <f>+corriente!I43/constante!I43*100</f>
        <v>147.71182489700098</v>
      </c>
      <c r="K36" s="31">
        <f>+corriente!J43/constante!J43*100</f>
        <v>146.48225284141881</v>
      </c>
      <c r="L36" s="31">
        <f>+corriente!K43/constante!K43*100</f>
        <v>422.37216931086328</v>
      </c>
      <c r="M36" s="31">
        <f>+corriente!L43/constante!L43*100</f>
        <v>421.24895506307797</v>
      </c>
      <c r="N36" s="31">
        <f>+corriente!M43/constante!M43*100</f>
        <v>292.19525367124015</v>
      </c>
    </row>
    <row r="37" spans="1:14">
      <c r="A37" s="13">
        <v>36</v>
      </c>
      <c r="B37" s="12" t="s">
        <v>77</v>
      </c>
      <c r="C37" s="44" t="s">
        <v>78</v>
      </c>
      <c r="D37" s="45"/>
      <c r="E37" s="46"/>
      <c r="F37" s="43"/>
      <c r="G37" s="31">
        <f>+corriente!F44/constante!F44*100</f>
        <v>100</v>
      </c>
      <c r="H37" s="31">
        <f>+corriente!G44/constante!G44*100</f>
        <v>101.25693964998806</v>
      </c>
      <c r="I37" s="31">
        <f>+corriente!H44/constante!H44*100</f>
        <v>111.30155325733671</v>
      </c>
      <c r="J37" s="31">
        <f>+corriente!I44/constante!I44*100</f>
        <v>121.46189840965505</v>
      </c>
      <c r="K37" s="31">
        <f>+corriente!J44/constante!J44*100</f>
        <v>131.3611489808662</v>
      </c>
      <c r="L37" s="31">
        <f>+corriente!K44/constante!K44*100</f>
        <v>138.80907732368931</v>
      </c>
      <c r="M37" s="31">
        <f>+corriente!L44/constante!L44*100</f>
        <v>147.53683745628911</v>
      </c>
      <c r="N37" s="31">
        <f>+corriente!M44/constante!M44*100</f>
        <v>155.99742430147302</v>
      </c>
    </row>
    <row r="38" spans="1:14">
      <c r="A38" s="13">
        <v>37</v>
      </c>
      <c r="B38" s="12" t="s">
        <v>79</v>
      </c>
      <c r="C38" s="44" t="s">
        <v>80</v>
      </c>
      <c r="D38" s="45"/>
      <c r="E38" s="46"/>
      <c r="F38" s="43"/>
      <c r="G38" s="31">
        <f>+corriente!F45/constante!F45*100</f>
        <v>100</v>
      </c>
      <c r="H38" s="31">
        <f>+corriente!G45/constante!G45*100</f>
        <v>108.31332937622584</v>
      </c>
      <c r="I38" s="31">
        <f>+corriente!H45/constante!H45*100</f>
        <v>115.77305917937844</v>
      </c>
      <c r="J38" s="31">
        <f>+corriente!I45/constante!I45*100</f>
        <v>118.64133163011941</v>
      </c>
      <c r="K38" s="31">
        <f>+corriente!J45/constante!J45*100</f>
        <v>129.012105759348</v>
      </c>
      <c r="L38" s="31">
        <f>+corriente!K45/constante!K45*100</f>
        <v>135.30392989495755</v>
      </c>
      <c r="M38" s="31">
        <f>+corriente!L45/constante!L45*100</f>
        <v>143.42486461984788</v>
      </c>
      <c r="N38" s="31">
        <f>+corriente!M45/constante!M45*100</f>
        <v>164.96661268220038</v>
      </c>
    </row>
    <row r="39" spans="1:14">
      <c r="A39" s="13">
        <v>38</v>
      </c>
      <c r="B39" s="12" t="s">
        <v>81</v>
      </c>
      <c r="C39" s="44" t="s">
        <v>82</v>
      </c>
      <c r="D39" s="45"/>
      <c r="E39" s="46"/>
      <c r="F39" s="43"/>
      <c r="G39" s="31">
        <f>+corriente!F46/constante!F46*100</f>
        <v>100</v>
      </c>
      <c r="H39" s="31">
        <f>+corriente!G46/constante!G46*100</f>
        <v>104.98434811415393</v>
      </c>
      <c r="I39" s="31">
        <f>+corriente!H46/constante!H46*100</f>
        <v>112.128175877705</v>
      </c>
      <c r="J39" s="31">
        <f>+corriente!I46/constante!I46*100</f>
        <v>118.38220220191269</v>
      </c>
      <c r="K39" s="31">
        <f>+corriente!J46/constante!J46*100</f>
        <v>122.75357811693135</v>
      </c>
      <c r="L39" s="31">
        <f>+corriente!K46/constante!K46*100</f>
        <v>126.48495393940242</v>
      </c>
      <c r="M39" s="31">
        <f>+corriente!L46/constante!L46*100</f>
        <v>131.23243994353112</v>
      </c>
      <c r="N39" s="31">
        <f>+corriente!M46/constante!M46*100</f>
        <v>126.38364397981863</v>
      </c>
    </row>
    <row r="40" spans="1:14">
      <c r="A40" s="13">
        <v>39</v>
      </c>
      <c r="B40" s="12" t="s">
        <v>83</v>
      </c>
      <c r="C40" s="44" t="s">
        <v>84</v>
      </c>
      <c r="D40" s="45"/>
      <c r="E40" s="46"/>
      <c r="F40" s="43"/>
      <c r="G40" s="31">
        <f>+corriente!F47/constante!F47*100</f>
        <v>100</v>
      </c>
      <c r="H40" s="31">
        <f>+corriente!G47/constante!G47*100</f>
        <v>105.52428804270674</v>
      </c>
      <c r="I40" s="31">
        <f>+corriente!H47/constante!H47*100</f>
        <v>112.77925806364837</v>
      </c>
      <c r="J40" s="31">
        <f>+corriente!I47/constante!I47*100</f>
        <v>119.06952680284107</v>
      </c>
      <c r="K40" s="31">
        <f>+corriente!J47/constante!J47*100</f>
        <v>123.24602368816488</v>
      </c>
      <c r="L40" s="31">
        <f>+corriente!K47/constante!K47*100</f>
        <v>130.53633557275987</v>
      </c>
      <c r="M40" s="31">
        <f>+corriente!L47/constante!L47*100</f>
        <v>146.86406423287175</v>
      </c>
      <c r="N40" s="31">
        <f>+corriente!M47/constante!M47*100</f>
        <v>160.68784888247592</v>
      </c>
    </row>
    <row r="41" spans="1:14">
      <c r="A41" s="13">
        <v>40</v>
      </c>
      <c r="B41" s="12" t="s">
        <v>85</v>
      </c>
      <c r="C41" s="44" t="s">
        <v>86</v>
      </c>
      <c r="D41" s="45"/>
      <c r="E41" s="46"/>
      <c r="F41" s="43"/>
      <c r="G41" s="31">
        <f>+corriente!F48/constante!F48*100</f>
        <v>100</v>
      </c>
      <c r="H41" s="31">
        <f>+corriente!G48/constante!G48*100</f>
        <v>108.37794591084602</v>
      </c>
      <c r="I41" s="31">
        <f>+corriente!H48/constante!H48*100</f>
        <v>113.37014114848469</v>
      </c>
      <c r="J41" s="31">
        <f>+corriente!I48/constante!I48*100</f>
        <v>118.14632120393694</v>
      </c>
      <c r="K41" s="31">
        <f>+corriente!J48/constante!J48*100</f>
        <v>125.71347813626434</v>
      </c>
      <c r="L41" s="31">
        <f>+corriente!K48/constante!K48*100</f>
        <v>132.82691448115889</v>
      </c>
      <c r="M41" s="31">
        <f>+corriente!L48/constante!L48*100</f>
        <v>137.68481730268189</v>
      </c>
      <c r="N41" s="31">
        <f>+corriente!M48/constante!M48*100</f>
        <v>146.26963593066506</v>
      </c>
    </row>
    <row r="42" spans="1:14">
      <c r="A42" s="13">
        <v>41</v>
      </c>
      <c r="B42" s="12" t="s">
        <v>87</v>
      </c>
      <c r="C42" s="44" t="s">
        <v>88</v>
      </c>
      <c r="D42" s="45"/>
      <c r="E42" s="46"/>
      <c r="F42" s="43"/>
      <c r="G42" s="31">
        <f>+corriente!F49/constante!F49*100</f>
        <v>100</v>
      </c>
      <c r="H42" s="31">
        <f>+corriente!G49/constante!G49*100</f>
        <v>108.18033760225076</v>
      </c>
      <c r="I42" s="31">
        <f>+corriente!H49/constante!H49*100</f>
        <v>116.12058374975672</v>
      </c>
      <c r="J42" s="31">
        <f>+corriente!I49/constante!I49*100</f>
        <v>128.5980320420565</v>
      </c>
      <c r="K42" s="31">
        <f>+corriente!J49/constante!J49*100</f>
        <v>139.23307037967737</v>
      </c>
      <c r="L42" s="31">
        <f>+corriente!K49/constante!K49*100</f>
        <v>147.82493136680699</v>
      </c>
      <c r="M42" s="31">
        <f>+corriente!L49/constante!L49*100</f>
        <v>157.67877713955309</v>
      </c>
      <c r="N42" s="31">
        <f>+corriente!M49/constante!M49*100</f>
        <v>171.00775854953102</v>
      </c>
    </row>
    <row r="43" spans="1:14">
      <c r="A43" s="13">
        <v>42</v>
      </c>
      <c r="B43" s="12" t="s">
        <v>89</v>
      </c>
      <c r="C43" s="44" t="s">
        <v>90</v>
      </c>
      <c r="D43" s="45"/>
      <c r="E43" s="46"/>
      <c r="F43" s="43"/>
      <c r="G43" s="31">
        <f>+corriente!F50/constante!F50*100</f>
        <v>100</v>
      </c>
      <c r="H43" s="31">
        <f>+corriente!G50/constante!G50*100</f>
        <v>104.7313581249998</v>
      </c>
      <c r="I43" s="31">
        <f>+corriente!H50/constante!H50*100</f>
        <v>116.38987420560858</v>
      </c>
      <c r="J43" s="31">
        <f>+corriente!I50/constante!I50*100</f>
        <v>124.87720749590426</v>
      </c>
      <c r="K43" s="31">
        <f>+corriente!J50/constante!J50*100</f>
        <v>130.76733913442411</v>
      </c>
      <c r="L43" s="31">
        <f>+corriente!K50/constante!K50*100</f>
        <v>139.22773133549134</v>
      </c>
      <c r="M43" s="31">
        <f>+corriente!L50/constante!L50*100</f>
        <v>145.0675968155453</v>
      </c>
      <c r="N43" s="31">
        <f>+corriente!M50/constante!M50*100</f>
        <v>152.02706727144752</v>
      </c>
    </row>
    <row r="44" spans="1:14">
      <c r="A44" s="13">
        <v>43</v>
      </c>
      <c r="B44" s="12" t="s">
        <v>91</v>
      </c>
      <c r="C44" s="44" t="s">
        <v>92</v>
      </c>
      <c r="D44" s="45"/>
      <c r="E44" s="46"/>
      <c r="F44" s="43"/>
      <c r="G44" s="31">
        <f>+corriente!F51/constante!F51*100</f>
        <v>100</v>
      </c>
      <c r="H44" s="31">
        <f>+corriente!G51/constante!G51*100</f>
        <v>110.20038007909029</v>
      </c>
      <c r="I44" s="31">
        <f>+corriente!H51/constante!H51*100</f>
        <v>118.04922130754234</v>
      </c>
      <c r="J44" s="31">
        <f>+corriente!I51/constante!I51*100</f>
        <v>130.64207944227698</v>
      </c>
      <c r="K44" s="31">
        <f>+corriente!J51/constante!J51*100</f>
        <v>138.2362740374968</v>
      </c>
      <c r="L44" s="31">
        <f>+corriente!K51/constante!K51*100</f>
        <v>149.33432819493925</v>
      </c>
      <c r="M44" s="31">
        <f>+corriente!L51/constante!L51*100</f>
        <v>159.1868442862116</v>
      </c>
      <c r="N44" s="31">
        <f>+corriente!M51/constante!M51*100</f>
        <v>175.74543112541508</v>
      </c>
    </row>
    <row r="45" spans="1:14">
      <c r="A45" s="13">
        <v>44</v>
      </c>
      <c r="B45" s="12" t="s">
        <v>93</v>
      </c>
      <c r="C45" s="44" t="s">
        <v>94</v>
      </c>
      <c r="D45" s="45"/>
      <c r="E45" s="46"/>
      <c r="F45" s="43"/>
      <c r="G45" s="31">
        <f>+corriente!F52/constante!F52*100</f>
        <v>100</v>
      </c>
      <c r="H45" s="31">
        <f>+corriente!G52/constante!G52*100</f>
        <v>110.26759037132197</v>
      </c>
      <c r="I45" s="31">
        <f>+corriente!H52/constante!H52*100</f>
        <v>116.92473182142112</v>
      </c>
      <c r="J45" s="31">
        <f>+corriente!I52/constante!I52*100</f>
        <v>127.54219968116043</v>
      </c>
      <c r="K45" s="31">
        <f>+corriente!J52/constante!J52*100</f>
        <v>189.84891952790733</v>
      </c>
      <c r="L45" s="31">
        <f>+corriente!K52/constante!K52*100</f>
        <v>173.58724804987838</v>
      </c>
      <c r="M45" s="31">
        <f>+corriente!L52/constante!L52*100</f>
        <v>158.76106041818184</v>
      </c>
      <c r="N45" s="31">
        <f>+corriente!M52/constante!M52*100</f>
        <v>177.70701092666982</v>
      </c>
    </row>
    <row r="46" spans="1:14">
      <c r="A46" s="13">
        <v>45</v>
      </c>
      <c r="B46" s="12" t="s">
        <v>95</v>
      </c>
      <c r="C46" s="44" t="s">
        <v>96</v>
      </c>
      <c r="D46" s="45"/>
      <c r="E46" s="46"/>
      <c r="F46" s="43"/>
      <c r="G46" s="31">
        <f>+corriente!F53/constante!F53*100</f>
        <v>100</v>
      </c>
      <c r="H46" s="31">
        <f>+corriente!G53/constante!G53*100</f>
        <v>111.55046738660262</v>
      </c>
      <c r="I46" s="31">
        <f>+corriente!H53/constante!H53*100</f>
        <v>119.26392681362141</v>
      </c>
      <c r="J46" s="31">
        <f>+corriente!I53/constante!I53*100</f>
        <v>127.55154632933233</v>
      </c>
      <c r="K46" s="31">
        <f>+corriente!J53/constante!J53*100</f>
        <v>139.06356418902737</v>
      </c>
      <c r="L46" s="31">
        <f>+corriente!K53/constante!K53*100</f>
        <v>145.89296769250333</v>
      </c>
      <c r="M46" s="31">
        <f>+corriente!L53/constante!L53*100</f>
        <v>157.46667956531996</v>
      </c>
      <c r="N46" s="31">
        <f>+corriente!M53/constante!M53*100</f>
        <v>176.82301678063175</v>
      </c>
    </row>
    <row r="47" spans="1:14">
      <c r="A47" s="13">
        <v>46</v>
      </c>
      <c r="B47" s="12" t="s">
        <v>97</v>
      </c>
      <c r="C47" s="44" t="s">
        <v>98</v>
      </c>
      <c r="D47" s="45"/>
      <c r="E47" s="46"/>
      <c r="F47" s="43"/>
      <c r="G47" s="31">
        <f>+corriente!F54/constante!F54*100</f>
        <v>100</v>
      </c>
      <c r="H47" s="31">
        <f>+corriente!G54/constante!G54*100</f>
        <v>103.32699989465766</v>
      </c>
      <c r="I47" s="31">
        <f>+corriente!H54/constante!H54*100</f>
        <v>112.83683728652368</v>
      </c>
      <c r="J47" s="31">
        <f>+corriente!I54/constante!I54*100</f>
        <v>125.07694637260242</v>
      </c>
      <c r="K47" s="31">
        <f>+corriente!J54/constante!J54*100</f>
        <v>151.30913280721973</v>
      </c>
      <c r="L47" s="31">
        <f>+corriente!K54/constante!K54*100</f>
        <v>159.0914964023286</v>
      </c>
      <c r="M47" s="31">
        <f>+corriente!L54/constante!L54*100</f>
        <v>178.63763335358021</v>
      </c>
      <c r="N47" s="31">
        <f>+corriente!M54/constante!M54*100</f>
        <v>198.93533075294229</v>
      </c>
    </row>
    <row r="48" spans="1:14">
      <c r="A48" s="13">
        <v>47</v>
      </c>
      <c r="B48" s="12" t="s">
        <v>99</v>
      </c>
      <c r="C48" s="44" t="s">
        <v>100</v>
      </c>
      <c r="D48" s="45"/>
      <c r="E48" s="46"/>
      <c r="F48" s="43"/>
      <c r="G48" s="31">
        <f>+corriente!F55/constante!F55*100</f>
        <v>100</v>
      </c>
      <c r="H48" s="31">
        <f>+corriente!G55/constante!G55*100</f>
        <v>111.46893793466039</v>
      </c>
      <c r="I48" s="31">
        <f>+corriente!H55/constante!H55*100</f>
        <v>119.40942868616631</v>
      </c>
      <c r="J48" s="31">
        <f>+corriente!I55/constante!I55*100</f>
        <v>129.1518091055672</v>
      </c>
      <c r="K48" s="31">
        <f>+corriente!J55/constante!J55*100</f>
        <v>137.7673278041359</v>
      </c>
      <c r="L48" s="31">
        <f>+corriente!K55/constante!K55*100</f>
        <v>146.98929253459602</v>
      </c>
      <c r="M48" s="31">
        <f>+corriente!L55/constante!L55*100</f>
        <v>155.91771341325301</v>
      </c>
      <c r="N48" s="31">
        <f>+corriente!M55/constante!M55*100</f>
        <v>173.29032655457894</v>
      </c>
    </row>
    <row r="49" spans="1:14" ht="15" thickBot="1">
      <c r="A49" s="13">
        <v>48</v>
      </c>
      <c r="B49" s="12" t="s">
        <v>101</v>
      </c>
      <c r="C49" s="44" t="s">
        <v>102</v>
      </c>
      <c r="D49" s="45"/>
      <c r="E49" s="46"/>
      <c r="F49" s="43"/>
      <c r="G49" s="30">
        <f>+corriente!F56/constante!F56*100</f>
        <v>100</v>
      </c>
      <c r="H49" s="30">
        <f>+corriente!G56/constante!G56*100</f>
        <v>111.40000000000003</v>
      </c>
      <c r="I49" s="30">
        <f>+corriente!H56/constante!H56*100</f>
        <v>120.89616122103088</v>
      </c>
      <c r="J49" s="30">
        <f>+corriente!I56/constante!I56*100</f>
        <v>130.7660786556429</v>
      </c>
      <c r="K49" s="30">
        <f>+corriente!J56/constante!J56*100</f>
        <v>141.03998062944595</v>
      </c>
      <c r="L49" s="30">
        <f>+corriente!K56/constante!K56*100</f>
        <v>149.71356953857799</v>
      </c>
      <c r="M49" s="30">
        <f>+corriente!L56/constante!L56*100</f>
        <v>161.69711247939972</v>
      </c>
      <c r="N49" s="31">
        <f>+corriente!M56/constante!M56*100</f>
        <v>172.75142952868813</v>
      </c>
    </row>
  </sheetData>
  <mergeCells count="49">
    <mergeCell ref="C49:E49"/>
    <mergeCell ref="C43:E43"/>
    <mergeCell ref="C44:E44"/>
    <mergeCell ref="C45:E45"/>
    <mergeCell ref="C46:E46"/>
    <mergeCell ref="C47:E47"/>
    <mergeCell ref="C48:E48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30:E30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18:E18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6:E6"/>
    <mergeCell ref="C1:E1"/>
    <mergeCell ref="C2:E2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corriente</vt:lpstr>
      <vt:lpstr>constante</vt:lpstr>
      <vt:lpstr>Deflactores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Daymler OFarrill</cp:lastModifiedBy>
  <dcterms:created xsi:type="dcterms:W3CDTF">2025-09-29T14:56:17Z</dcterms:created>
  <dcterms:modified xsi:type="dcterms:W3CDTF">2025-12-09T02:59:11Z</dcterms:modified>
</cp:coreProperties>
</file>