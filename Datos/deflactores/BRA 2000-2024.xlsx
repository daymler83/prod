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DAT\APPL\ESTADIST\Cuentas_Nacionales\BADECON_Encuestas Industriales\09 Analisis resultados\Deflactores\"/>
    </mc:Choice>
  </mc:AlternateContent>
  <xr:revisionPtr revIDLastSave="0" documentId="8_{9CBF4913-C617-4F6B-9AE8-2C6DD9771D5C}" xr6:coauthVersionLast="47" xr6:coauthVersionMax="47" xr10:uidLastSave="{00000000-0000-0000-0000-000000000000}"/>
  <bookViews>
    <workbookView xWindow="22932" yWindow="-108" windowWidth="30936" windowHeight="16776" activeTab="3" xr2:uid="{B35B42AB-AE78-486B-A305-EDDBF5AE6563}"/>
  </bookViews>
  <sheets>
    <sheet name="corriente58" sheetId="1" r:id="rId1"/>
    <sheet name="constante58" sheetId="2" r:id="rId2"/>
    <sheet name="Deflactores" sheetId="3" r:id="rId3"/>
    <sheet name="Deflactor C 2000-202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B5" i="4"/>
  <c r="Y3" i="4"/>
  <c r="Z3" i="4" s="1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B2" i="3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<sst xmlns="http://schemas.openxmlformats.org/spreadsheetml/2006/main" count="212" uniqueCount="64">
  <si>
    <t>Tabela 10.4 - Valor adicionado bruto constante e corrente,</t>
  </si>
  <si>
    <t>segundo as atividades - série retropolada - 2000-2021</t>
  </si>
  <si>
    <t>Atividades</t>
  </si>
  <si>
    <t>Valor adicionado bruto constante e corrente (1 000 000 R$)</t>
  </si>
  <si>
    <t>Corrente</t>
  </si>
  <si>
    <t xml:space="preserve">               Total</t>
  </si>
  <si>
    <t>Agricultura, silvicultura, exploração florestal</t>
  </si>
  <si>
    <t>Pecuária e pesca</t>
  </si>
  <si>
    <t>Petróleo e gás natural</t>
  </si>
  <si>
    <t>Minério de ferro</t>
  </si>
  <si>
    <t>Outros da indústria extrativa</t>
  </si>
  <si>
    <t>Alimentos e Bebidas</t>
  </si>
  <si>
    <t>Produtos do fumo</t>
  </si>
  <si>
    <t>Têxteis</t>
  </si>
  <si>
    <t>Artigos do vestuário e acessórios</t>
  </si>
  <si>
    <t>Artefatos de couro e calçados</t>
  </si>
  <si>
    <t>Produtos de madeira - exclusive móveis</t>
  </si>
  <si>
    <t>Celulose e produtos de papel</t>
  </si>
  <si>
    <t>Jornais, revistas, discos</t>
  </si>
  <si>
    <t>Refino de petróleo e coque</t>
  </si>
  <si>
    <t>Álcool</t>
  </si>
  <si>
    <t>Produtos  químicos</t>
  </si>
  <si>
    <t>Fabricação de resina e elastômeros</t>
  </si>
  <si>
    <t>Produtos farmacêuticos</t>
  </si>
  <si>
    <t>Defensivos agrícolas</t>
  </si>
  <si>
    <t>Perfumaria, higiene e limpeza</t>
  </si>
  <si>
    <t>Tintas, vernizes, esmaltes e lacas</t>
  </si>
  <si>
    <t>Produtos e preparados químicos diversos</t>
  </si>
  <si>
    <t>Artigos de borracha e plástico</t>
  </si>
  <si>
    <t>Cimento e outros produtos de minerais não-metálicos</t>
  </si>
  <si>
    <t>Fabricação de aço e derivados</t>
  </si>
  <si>
    <t>Metalurgia de metais não-ferrosos</t>
  </si>
  <si>
    <t>Produtos de metal - exclusive máquinas e equipamentos</t>
  </si>
  <si>
    <t>Máquinas e equipamentos inclusive manutenção e reparação</t>
  </si>
  <si>
    <t>Eletrodomésticos e material elétrico</t>
  </si>
  <si>
    <t>Máquinas para escritório aparelhos e e material eletrônico</t>
  </si>
  <si>
    <t>Automóveis camionetas caminhões e ônibus</t>
  </si>
  <si>
    <t>Peças e acessórios para veículos automotores</t>
  </si>
  <si>
    <t>Outros equipamentos de transporte</t>
  </si>
  <si>
    <t>Móveis e produtos das indústrias diversas</t>
  </si>
  <si>
    <t>Eletricidade e gás, água, esgoto e limpeza urbana</t>
  </si>
  <si>
    <t>Construção</t>
  </si>
  <si>
    <t>Comércio</t>
  </si>
  <si>
    <t>Transporte, armazenagem e correio</t>
  </si>
  <si>
    <t>Serviços de informação</t>
  </si>
  <si>
    <t>Intermediação financeira e seguros</t>
  </si>
  <si>
    <t>Serviços imobiliários e aluguel</t>
  </si>
  <si>
    <t>Serviços de manutenção e reparação</t>
  </si>
  <si>
    <t>Serviços de alojamento e alimentação</t>
  </si>
  <si>
    <t>Serviços prestados às empresas</t>
  </si>
  <si>
    <t>Educação mercantil</t>
  </si>
  <si>
    <t>Saúde mercantil</t>
  </si>
  <si>
    <t>Serviços prestados às famílias e associativos</t>
  </si>
  <si>
    <t>Serviços domésticos</t>
  </si>
  <si>
    <t>Educação pública</t>
  </si>
  <si>
    <t>Saúde pública</t>
  </si>
  <si>
    <t>Administração pública e seguridade social</t>
  </si>
  <si>
    <t>segundo as atividades - série retropolada - 2000-2018</t>
  </si>
  <si>
    <t>Constante</t>
  </si>
  <si>
    <t>VA</t>
  </si>
  <si>
    <t>Manufactura corriente</t>
  </si>
  <si>
    <t>Manufactura constante</t>
  </si>
  <si>
    <t>serie estimada constante para C</t>
  </si>
  <si>
    <t>Deflactor Manufactura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</si>
</sst>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##\ ###\ ##0;\(\-\)\ ###\ ###\ ##0"/>
    <numFmt numFmtId="165" formatCode="_(* #,##0_);_(* \(#,##0\);_(* &quot;-&quot;??_);_(@_)"/>
    <numFmt numFmtId="169" formatCode="0.0"/>
  </numFmts>
  <fonts count="1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8"/>
      <name val="Univers 45 Light"/>
      <family val="2"/>
    </font>
    <font>
      <sz val="8"/>
      <name val="Univers 45 Light"/>
      <family val="2"/>
    </font>
    <font>
      <sz val="6"/>
      <name val="Arial"/>
      <family val="2"/>
    </font>
    <font>
      <sz val="8"/>
      <color theme="1"/>
      <name val="Aptos Narrow"/>
      <family val="2"/>
      <scheme val="minor"/>
    </font>
    <font>
      <sz val="8"/>
      <name val="Univers 55"/>
      <family val="2"/>
    </font>
    <font>
      <sz val="8"/>
      <name val="Univers LT Std 55"/>
      <family val="2"/>
    </font>
    <font>
      <sz val="8"/>
      <color theme="1"/>
      <name val="Univers 55"/>
    </font>
    <font>
      <sz val="8"/>
      <name val="Univers 55"/>
    </font>
    <font>
      <b/>
      <sz val="8"/>
      <name val="Univers 55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0" applyFont="1"/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Continuous" vertical="center" wrapText="1"/>
    </xf>
    <xf numFmtId="0" fontId="3" fillId="0" borderId="0" xfId="2" applyFont="1" applyAlignment="1">
      <alignment vertical="center"/>
    </xf>
    <xf numFmtId="164" fontId="3" fillId="2" borderId="0" xfId="3" applyNumberFormat="1" applyFont="1" applyFill="1" applyBorder="1" applyAlignment="1">
      <alignment horizontal="right" vertical="center"/>
    </xf>
    <xf numFmtId="0" fontId="7" fillId="0" borderId="0" xfId="1" applyFont="1"/>
    <xf numFmtId="165" fontId="7" fillId="0" borderId="0" xfId="4" applyNumberFormat="1" applyFont="1" applyFill="1" applyBorder="1" applyAlignment="1">
      <alignment horizontal="right"/>
    </xf>
    <xf numFmtId="165" fontId="7" fillId="0" borderId="0" xfId="4" applyNumberFormat="1" applyFont="1" applyAlignment="1"/>
    <xf numFmtId="165" fontId="7" fillId="0" borderId="0" xfId="4" applyNumberFormat="1" applyFont="1" applyFill="1" applyBorder="1" applyAlignment="1"/>
    <xf numFmtId="165" fontId="7" fillId="0" borderId="0" xfId="4" applyNumberFormat="1" applyFont="1" applyBorder="1"/>
    <xf numFmtId="0" fontId="7" fillId="0" borderId="1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2" xfId="1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165" fontId="7" fillId="0" borderId="0" xfId="4" applyNumberFormat="1" applyFont="1" applyBorder="1" applyAlignment="1"/>
    <xf numFmtId="0" fontId="7" fillId="0" borderId="0" xfId="0" applyFont="1"/>
    <xf numFmtId="0" fontId="7" fillId="3" borderId="0" xfId="1" applyFont="1" applyFill="1"/>
    <xf numFmtId="0" fontId="9" fillId="0" borderId="0" xfId="0" applyFont="1"/>
    <xf numFmtId="0" fontId="10" fillId="0" borderId="0" xfId="1" applyFont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169" fontId="9" fillId="0" borderId="0" xfId="0" applyNumberFormat="1" applyFont="1"/>
    <xf numFmtId="0" fontId="10" fillId="0" borderId="0" xfId="1" applyFont="1"/>
    <xf numFmtId="0" fontId="1" fillId="0" borderId="0" xfId="0" applyFont="1"/>
    <xf numFmtId="0" fontId="12" fillId="0" borderId="0" xfId="0" applyFont="1"/>
    <xf numFmtId="0" fontId="13" fillId="0" borderId="0" xfId="0" applyFont="1"/>
  </cellXfs>
  <cellStyles count="5">
    <cellStyle name="Comma 2" xfId="4" xr:uid="{72457BF3-D335-4945-BFAE-168FFEE6CF2B}"/>
    <cellStyle name="Normal" xfId="0" builtinId="0"/>
    <cellStyle name="Normal_tab11_90_01" xfId="1" xr:uid="{2014BF47-3A39-4E37-9B5E-AF7A00F645FC}"/>
    <cellStyle name="Normal_tab12_91_01" xfId="2" xr:uid="{E535CD02-6122-408D-A23A-9D3E7698C9D1}"/>
    <cellStyle name="Separador de milhares_tab15_95_01" xfId="3" xr:uid="{1516D970-DD34-403B-9307-315AB6402C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DC2E-405D-466C-972C-B7425EB0F699}">
  <dimension ref="A1:W58"/>
  <sheetViews>
    <sheetView workbookViewId="0">
      <selection activeCell="X15" sqref="X15"/>
    </sheetView>
  </sheetViews>
  <sheetFormatPr baseColWidth="10" defaultRowHeight="10.5"/>
  <cols>
    <col min="1" max="1" width="18.90625" style="6" customWidth="1"/>
    <col min="2" max="16384" width="10.90625" style="6"/>
  </cols>
  <sheetData>
    <row r="1" spans="1:23" s="3" customFormat="1" ht="12.75" customHeight="1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</row>
    <row r="2" spans="1:23" s="3" customFormat="1" ht="12.75" customHeight="1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2"/>
      <c r="M2" s="4"/>
      <c r="N2" s="4"/>
      <c r="O2" s="4"/>
      <c r="P2" s="4"/>
      <c r="Q2" s="4"/>
      <c r="R2" s="4"/>
      <c r="S2" s="4"/>
      <c r="T2" s="4"/>
    </row>
    <row r="3" spans="1:23" s="3" customFormat="1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M3" s="2"/>
      <c r="N3" s="2"/>
      <c r="O3" s="2"/>
      <c r="P3" s="2"/>
      <c r="Q3" s="2"/>
      <c r="R3" s="2"/>
      <c r="S3" s="2"/>
      <c r="T3" s="2"/>
    </row>
    <row r="4" spans="1:23" s="18" customFormat="1" ht="12.75" customHeight="1">
      <c r="A4" s="23" t="s">
        <v>2</v>
      </c>
      <c r="B4" s="8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3" s="18" customFormat="1" ht="12.75" customHeight="1">
      <c r="A5" s="24"/>
      <c r="B5" s="11">
        <v>2000</v>
      </c>
      <c r="C5" s="25">
        <v>2001</v>
      </c>
      <c r="D5" s="25">
        <v>2002</v>
      </c>
      <c r="E5" s="25">
        <v>2003</v>
      </c>
      <c r="F5" s="25">
        <v>2004</v>
      </c>
      <c r="G5" s="25">
        <v>2005</v>
      </c>
      <c r="H5" s="25">
        <v>2006</v>
      </c>
      <c r="I5" s="25">
        <v>2007</v>
      </c>
      <c r="J5" s="25">
        <v>2008</v>
      </c>
      <c r="K5" s="25">
        <v>2009</v>
      </c>
      <c r="L5" s="25">
        <v>2010</v>
      </c>
      <c r="M5" s="25">
        <v>2011</v>
      </c>
      <c r="N5" s="25">
        <v>2012</v>
      </c>
      <c r="O5" s="25">
        <v>2013</v>
      </c>
      <c r="P5" s="25">
        <v>2014</v>
      </c>
      <c r="Q5" s="25">
        <v>2015</v>
      </c>
      <c r="R5" s="25">
        <v>2016</v>
      </c>
      <c r="S5" s="25">
        <v>2017</v>
      </c>
      <c r="T5" s="25">
        <v>2018</v>
      </c>
      <c r="U5" s="25">
        <v>2019</v>
      </c>
      <c r="V5" s="25">
        <v>2020</v>
      </c>
      <c r="W5" s="25">
        <v>2021</v>
      </c>
    </row>
    <row r="6" spans="1:23" s="18" customFormat="1" ht="12.75" customHeight="1">
      <c r="A6" s="26"/>
      <c r="B6" s="14" t="s">
        <v>4</v>
      </c>
      <c r="C6" s="14" t="s">
        <v>4</v>
      </c>
      <c r="D6" s="14" t="s">
        <v>4</v>
      </c>
      <c r="E6" s="14" t="s">
        <v>4</v>
      </c>
      <c r="F6" s="14" t="s">
        <v>4</v>
      </c>
      <c r="G6" s="14" t="s">
        <v>4</v>
      </c>
      <c r="H6" s="14" t="s">
        <v>4</v>
      </c>
      <c r="I6" s="14" t="s">
        <v>4</v>
      </c>
      <c r="J6" s="14" t="s">
        <v>4</v>
      </c>
      <c r="K6" s="14" t="s">
        <v>4</v>
      </c>
      <c r="L6" s="14" t="s">
        <v>4</v>
      </c>
      <c r="M6" s="14" t="s">
        <v>4</v>
      </c>
      <c r="N6" s="14" t="s">
        <v>4</v>
      </c>
      <c r="O6" s="14" t="s">
        <v>4</v>
      </c>
      <c r="P6" s="14" t="s">
        <v>4</v>
      </c>
      <c r="Q6" s="27" t="s">
        <v>4</v>
      </c>
      <c r="R6" s="27" t="s">
        <v>4</v>
      </c>
      <c r="S6" s="27" t="s">
        <v>4</v>
      </c>
      <c r="T6" s="27" t="s">
        <v>4</v>
      </c>
      <c r="U6" s="27" t="s">
        <v>4</v>
      </c>
      <c r="V6" s="27" t="s">
        <v>4</v>
      </c>
      <c r="W6" s="27" t="s">
        <v>4</v>
      </c>
    </row>
    <row r="7" spans="1:23" s="3" customFormat="1" ht="12.75" customHeight="1">
      <c r="A7" s="16" t="s">
        <v>5</v>
      </c>
      <c r="B7" s="17">
        <f t="shared" ref="B7:U7" si="0">SUM(B8:B58)</f>
        <v>1031326.3780281853</v>
      </c>
      <c r="C7" s="17">
        <f t="shared" si="0"/>
        <v>1120421.8738715127</v>
      </c>
      <c r="D7" s="17">
        <f t="shared" si="0"/>
        <v>1270214.6493003566</v>
      </c>
      <c r="E7" s="17">
        <f t="shared" si="0"/>
        <v>1470717.2402274227</v>
      </c>
      <c r="F7" s="17">
        <f t="shared" si="0"/>
        <v>1661982.1076940123</v>
      </c>
      <c r="G7" s="17">
        <f t="shared" si="0"/>
        <v>1842818.4014604997</v>
      </c>
      <c r="H7" s="17">
        <f t="shared" si="0"/>
        <v>2049289.989782799</v>
      </c>
      <c r="I7" s="17">
        <f t="shared" si="0"/>
        <v>2319528.2752445312</v>
      </c>
      <c r="J7" s="17">
        <f t="shared" si="0"/>
        <v>2626477.7016177848</v>
      </c>
      <c r="K7" s="17">
        <f t="shared" si="0"/>
        <v>2849762.8421453289</v>
      </c>
      <c r="L7" s="17">
        <f t="shared" si="0"/>
        <v>3302840</v>
      </c>
      <c r="M7" s="17">
        <f t="shared" si="0"/>
        <v>3720461</v>
      </c>
      <c r="N7" s="17">
        <f t="shared" si="0"/>
        <v>4094259</v>
      </c>
      <c r="O7" s="17">
        <f t="shared" si="0"/>
        <v>4553760</v>
      </c>
      <c r="P7" s="17">
        <f t="shared" si="0"/>
        <v>4972734</v>
      </c>
      <c r="Q7" s="17">
        <f t="shared" si="0"/>
        <v>5155601</v>
      </c>
      <c r="R7" s="17">
        <f t="shared" si="0"/>
        <v>5419822</v>
      </c>
      <c r="S7" s="17">
        <f t="shared" si="0"/>
        <v>5671926</v>
      </c>
      <c r="T7" s="17">
        <f t="shared" si="0"/>
        <v>6011150</v>
      </c>
      <c r="U7" s="17">
        <f t="shared" si="0"/>
        <v>6356684</v>
      </c>
      <c r="V7" s="17">
        <f>SUM(V8:V58)</f>
        <v>6594937</v>
      </c>
      <c r="W7" s="17">
        <f>SUM(W8:W58)</f>
        <v>7713999</v>
      </c>
    </row>
    <row r="8" spans="1:23" s="18" customFormat="1" ht="12.75" customHeight="1">
      <c r="A8" s="18" t="s">
        <v>6</v>
      </c>
      <c r="B8" s="19">
        <v>39059.058551022026</v>
      </c>
      <c r="C8" s="19">
        <v>43785.803373982999</v>
      </c>
      <c r="D8" s="19">
        <v>59753.868016782202</v>
      </c>
      <c r="E8" s="19">
        <v>79029.140525391878</v>
      </c>
      <c r="F8" s="19">
        <v>82002.491747144377</v>
      </c>
      <c r="G8" s="19">
        <v>70093.834393931</v>
      </c>
      <c r="H8" s="19">
        <v>74959.443416252907</v>
      </c>
      <c r="I8" s="19">
        <v>86113.021475320187</v>
      </c>
      <c r="J8" s="19">
        <v>99762.737145768246</v>
      </c>
      <c r="K8" s="19">
        <v>104212.07953426799</v>
      </c>
      <c r="L8" s="19">
        <v>111347</v>
      </c>
      <c r="M8" s="19">
        <v>137194</v>
      </c>
      <c r="N8" s="19">
        <v>144168</v>
      </c>
      <c r="O8" s="19">
        <v>171905</v>
      </c>
      <c r="P8" s="19">
        <v>174761</v>
      </c>
      <c r="Q8" s="19">
        <v>178711</v>
      </c>
      <c r="R8" s="19">
        <v>219625</v>
      </c>
      <c r="S8" s="19">
        <v>217359</v>
      </c>
      <c r="T8" s="19">
        <v>227442</v>
      </c>
      <c r="U8" s="19">
        <v>222964</v>
      </c>
      <c r="V8" s="19">
        <v>322316</v>
      </c>
      <c r="W8" s="19">
        <v>446637</v>
      </c>
    </row>
    <row r="9" spans="1:23" s="18" customFormat="1" ht="12.75" customHeight="1">
      <c r="A9" s="18" t="s">
        <v>7</v>
      </c>
      <c r="B9" s="19">
        <v>17903.330307510765</v>
      </c>
      <c r="C9" s="19">
        <v>19384.182660833554</v>
      </c>
      <c r="D9" s="19">
        <v>21761.326801332278</v>
      </c>
      <c r="E9" s="19">
        <v>26920.028106590675</v>
      </c>
      <c r="F9" s="19">
        <v>28910.214365549924</v>
      </c>
      <c r="G9" s="19">
        <v>30863.715258668773</v>
      </c>
      <c r="H9" s="19">
        <v>30334.573019030289</v>
      </c>
      <c r="I9" s="19">
        <v>34038.692129331444</v>
      </c>
      <c r="J9" s="19">
        <v>42288.440006774028</v>
      </c>
      <c r="K9" s="19">
        <v>45000.55950140897</v>
      </c>
      <c r="L9" s="19">
        <v>48585</v>
      </c>
      <c r="M9" s="19">
        <v>52830</v>
      </c>
      <c r="N9" s="19">
        <v>56527</v>
      </c>
      <c r="O9" s="19">
        <v>68385</v>
      </c>
      <c r="P9" s="19">
        <v>75214</v>
      </c>
      <c r="Q9" s="19">
        <v>80256</v>
      </c>
      <c r="R9" s="19">
        <v>87030</v>
      </c>
      <c r="S9" s="19">
        <v>85612</v>
      </c>
      <c r="T9" s="19">
        <v>82169</v>
      </c>
      <c r="U9" s="19">
        <v>87750</v>
      </c>
      <c r="V9" s="19">
        <v>112305</v>
      </c>
      <c r="W9" s="19">
        <v>144448</v>
      </c>
    </row>
    <row r="10" spans="1:23" s="18" customFormat="1" ht="12.75" customHeight="1">
      <c r="A10" s="18" t="s">
        <v>8</v>
      </c>
      <c r="B10" s="19">
        <v>10450.258510814831</v>
      </c>
      <c r="C10" s="19">
        <v>13994.786430598429</v>
      </c>
      <c r="D10" s="19">
        <v>19406.062653142671</v>
      </c>
      <c r="E10" s="19">
        <v>24371.12820278111</v>
      </c>
      <c r="F10" s="19">
        <v>29016.675548362738</v>
      </c>
      <c r="G10" s="19">
        <v>43453.03821884295</v>
      </c>
      <c r="H10" s="19">
        <v>55817.880575938172</v>
      </c>
      <c r="I10" s="19">
        <v>49980.172166528631</v>
      </c>
      <c r="J10" s="19">
        <v>72721.116815365647</v>
      </c>
      <c r="K10" s="19">
        <v>40905.427527995838</v>
      </c>
      <c r="L10" s="19">
        <v>63474</v>
      </c>
      <c r="M10" s="19">
        <v>98959</v>
      </c>
      <c r="N10" s="19">
        <v>124570</v>
      </c>
      <c r="O10" s="19">
        <v>124623</v>
      </c>
      <c r="P10" s="19">
        <v>129598</v>
      </c>
      <c r="Q10" s="19">
        <v>73558</v>
      </c>
      <c r="R10" s="19">
        <v>22035</v>
      </c>
      <c r="S10" s="19">
        <v>41283</v>
      </c>
      <c r="T10" s="19">
        <v>100760</v>
      </c>
      <c r="U10" s="19">
        <v>116284</v>
      </c>
      <c r="V10" s="19">
        <v>90642</v>
      </c>
      <c r="W10" s="19">
        <v>231887</v>
      </c>
    </row>
    <row r="11" spans="1:23" s="18" customFormat="1" ht="12.75" customHeight="1">
      <c r="A11" s="18" t="s">
        <v>9</v>
      </c>
      <c r="B11" s="19">
        <v>2101.0145298591306</v>
      </c>
      <c r="C11" s="19">
        <v>2839.9787262635355</v>
      </c>
      <c r="D11" s="19">
        <v>4415.9076482745231</v>
      </c>
      <c r="E11" s="19">
        <v>5553.3680778199032</v>
      </c>
      <c r="F11" s="19">
        <v>7375.9099766246873</v>
      </c>
      <c r="G11" s="19">
        <v>11261.200766006592</v>
      </c>
      <c r="H11" s="19">
        <v>11105.101757038183</v>
      </c>
      <c r="I11" s="19">
        <v>11417.712556207525</v>
      </c>
      <c r="J11" s="19">
        <v>18462.249931229504</v>
      </c>
      <c r="K11" s="19">
        <v>14672.772451506336</v>
      </c>
      <c r="L11" s="19">
        <v>36491</v>
      </c>
      <c r="M11" s="19">
        <v>51912</v>
      </c>
      <c r="N11" s="19">
        <v>49458</v>
      </c>
      <c r="O11" s="19">
        <v>53671</v>
      </c>
      <c r="P11" s="19">
        <v>44174</v>
      </c>
      <c r="Q11" s="19">
        <v>23916</v>
      </c>
      <c r="R11" s="19">
        <v>21721</v>
      </c>
      <c r="S11" s="19">
        <v>36632</v>
      </c>
      <c r="T11" s="19">
        <v>45134</v>
      </c>
      <c r="U11" s="19">
        <v>50872</v>
      </c>
      <c r="V11" s="19">
        <v>85756</v>
      </c>
      <c r="W11" s="19">
        <v>167230</v>
      </c>
    </row>
    <row r="12" spans="1:23" s="18" customFormat="1" ht="12.75" customHeight="1">
      <c r="A12" s="18" t="s">
        <v>10</v>
      </c>
      <c r="B12" s="19">
        <v>1675.9690110641468</v>
      </c>
      <c r="C12" s="19">
        <v>1341.6418500427062</v>
      </c>
      <c r="D12" s="19">
        <v>1918.8836415348578</v>
      </c>
      <c r="E12" s="19">
        <v>2400.5224446441916</v>
      </c>
      <c r="F12" s="19">
        <v>4435.1885858891401</v>
      </c>
      <c r="G12" s="19">
        <v>3308.8690494900566</v>
      </c>
      <c r="H12" s="19">
        <v>5089.6663175089961</v>
      </c>
      <c r="I12" s="19">
        <v>7189.4523943451859</v>
      </c>
      <c r="J12" s="19">
        <v>9104.7524744937728</v>
      </c>
      <c r="K12" s="19">
        <v>7126.4211362824972</v>
      </c>
      <c r="L12" s="19">
        <v>10000</v>
      </c>
      <c r="M12" s="19">
        <v>11696</v>
      </c>
      <c r="N12" s="19">
        <v>12163</v>
      </c>
      <c r="O12" s="19">
        <v>11140</v>
      </c>
      <c r="P12" s="19">
        <v>11025</v>
      </c>
      <c r="Q12" s="19">
        <v>13299</v>
      </c>
      <c r="R12" s="19">
        <v>11819</v>
      </c>
      <c r="S12" s="19">
        <v>12781</v>
      </c>
      <c r="T12" s="19">
        <v>15175</v>
      </c>
      <c r="U12" s="19">
        <v>15661</v>
      </c>
      <c r="V12" s="19">
        <v>17217</v>
      </c>
      <c r="W12" s="19">
        <v>25750</v>
      </c>
    </row>
    <row r="13" spans="1:23" s="18" customFormat="1" ht="12.75" customHeight="1">
      <c r="A13" s="18" t="s">
        <v>11</v>
      </c>
      <c r="B13" s="19">
        <v>17264.150453078459</v>
      </c>
      <c r="C13" s="19">
        <v>19507.959437628189</v>
      </c>
      <c r="D13" s="19">
        <v>16563.122010720021</v>
      </c>
      <c r="E13" s="19">
        <v>24742.349728801171</v>
      </c>
      <c r="F13" s="19">
        <v>32127.296005502576</v>
      </c>
      <c r="G13" s="19">
        <v>42795.698698273336</v>
      </c>
      <c r="H13" s="19">
        <v>47195.305137072544</v>
      </c>
      <c r="I13" s="19">
        <v>48966.771438364085</v>
      </c>
      <c r="J13" s="19">
        <v>57111.154236037808</v>
      </c>
      <c r="K13" s="19">
        <v>59780.54790994589</v>
      </c>
      <c r="L13" s="19">
        <v>75103</v>
      </c>
      <c r="M13" s="19">
        <v>89213</v>
      </c>
      <c r="N13" s="19">
        <v>99439</v>
      </c>
      <c r="O13" s="19">
        <v>103396</v>
      </c>
      <c r="P13" s="19">
        <v>109076</v>
      </c>
      <c r="Q13" s="19">
        <v>119229</v>
      </c>
      <c r="R13" s="19">
        <v>122317</v>
      </c>
      <c r="S13" s="19">
        <v>142849</v>
      </c>
      <c r="T13" s="19">
        <v>142363</v>
      </c>
      <c r="U13" s="19">
        <v>137176</v>
      </c>
      <c r="V13" s="19">
        <v>165070</v>
      </c>
      <c r="W13" s="19">
        <v>183450</v>
      </c>
    </row>
    <row r="14" spans="1:23" s="18" customFormat="1" ht="12.75" customHeight="1">
      <c r="A14" s="18" t="s">
        <v>12</v>
      </c>
      <c r="B14" s="19">
        <v>814.06437256000663</v>
      </c>
      <c r="C14" s="19">
        <v>916.82169480278799</v>
      </c>
      <c r="D14" s="19">
        <v>775.21955923462428</v>
      </c>
      <c r="E14" s="19">
        <v>955.42360866543004</v>
      </c>
      <c r="F14" s="19">
        <v>1009.9592633816837</v>
      </c>
      <c r="G14" s="19">
        <v>1074.3033816379138</v>
      </c>
      <c r="H14" s="19">
        <v>1267.9292602824789</v>
      </c>
      <c r="I14" s="19">
        <v>1310.6916302555364</v>
      </c>
      <c r="J14" s="19">
        <v>1889.326376647221</v>
      </c>
      <c r="K14" s="19">
        <v>1626.2897783202679</v>
      </c>
      <c r="L14" s="19">
        <v>3595</v>
      </c>
      <c r="M14" s="19">
        <v>3796</v>
      </c>
      <c r="N14" s="19">
        <v>4493</v>
      </c>
      <c r="O14" s="19">
        <v>4757</v>
      </c>
      <c r="P14" s="19">
        <v>5105</v>
      </c>
      <c r="Q14" s="19">
        <v>4258</v>
      </c>
      <c r="R14" s="19">
        <v>3855</v>
      </c>
      <c r="S14" s="19">
        <v>3161</v>
      </c>
      <c r="T14" s="19">
        <v>3582</v>
      </c>
      <c r="U14" s="19">
        <v>3789</v>
      </c>
      <c r="V14" s="19">
        <v>3834</v>
      </c>
      <c r="W14" s="19">
        <v>3106</v>
      </c>
    </row>
    <row r="15" spans="1:23" s="18" customFormat="1" ht="12.75" customHeight="1">
      <c r="A15" s="18" t="s">
        <v>13</v>
      </c>
      <c r="B15" s="19">
        <v>5962.3778040453271</v>
      </c>
      <c r="C15" s="19">
        <v>6746.6138510263263</v>
      </c>
      <c r="D15" s="19">
        <v>7942.8385579836904</v>
      </c>
      <c r="E15" s="19">
        <v>8780.0219071303945</v>
      </c>
      <c r="F15" s="19">
        <v>8648.0258302165785</v>
      </c>
      <c r="G15" s="19">
        <v>7248.1201370070339</v>
      </c>
      <c r="H15" s="19">
        <v>8689.0321459920815</v>
      </c>
      <c r="I15" s="19">
        <v>7880.8852045085296</v>
      </c>
      <c r="J15" s="19">
        <v>7665.7408836910545</v>
      </c>
      <c r="K15" s="19">
        <v>8078.2410369043973</v>
      </c>
      <c r="L15" s="19">
        <v>10950</v>
      </c>
      <c r="M15" s="19">
        <v>11756</v>
      </c>
      <c r="N15" s="19">
        <v>13591</v>
      </c>
      <c r="O15" s="19">
        <v>13652</v>
      </c>
      <c r="P15" s="19">
        <v>15156</v>
      </c>
      <c r="Q15" s="19">
        <v>13375</v>
      </c>
      <c r="R15" s="19">
        <v>13365</v>
      </c>
      <c r="S15" s="19">
        <v>15550</v>
      </c>
      <c r="T15" s="19">
        <v>16047</v>
      </c>
      <c r="U15" s="19">
        <v>16802</v>
      </c>
      <c r="V15" s="19">
        <v>12780</v>
      </c>
      <c r="W15" s="19">
        <v>19370</v>
      </c>
    </row>
    <row r="16" spans="1:23" s="18" customFormat="1" ht="12.75" customHeight="1">
      <c r="A16" s="18" t="s">
        <v>14</v>
      </c>
      <c r="B16" s="19">
        <v>9262.2844995004671</v>
      </c>
      <c r="C16" s="19">
        <v>9623.981885708532</v>
      </c>
      <c r="D16" s="19">
        <v>8618.6876027984235</v>
      </c>
      <c r="E16" s="19">
        <v>8545.3925743964228</v>
      </c>
      <c r="F16" s="19">
        <v>10012.486541526814</v>
      </c>
      <c r="G16" s="19">
        <v>11466.105057956724</v>
      </c>
      <c r="H16" s="19">
        <v>12953.573964920164</v>
      </c>
      <c r="I16" s="19">
        <v>16970.276675396643</v>
      </c>
      <c r="J16" s="19">
        <v>18381.586808724947</v>
      </c>
      <c r="K16" s="19">
        <v>20658.379836732001</v>
      </c>
      <c r="L16" s="19">
        <v>22027</v>
      </c>
      <c r="M16" s="19">
        <v>25870</v>
      </c>
      <c r="N16" s="19">
        <v>24782</v>
      </c>
      <c r="O16" s="19">
        <v>24872</v>
      </c>
      <c r="P16" s="19">
        <v>25914</v>
      </c>
      <c r="Q16" s="19">
        <v>24929</v>
      </c>
      <c r="R16" s="19">
        <v>26067</v>
      </c>
      <c r="S16" s="19">
        <v>27324</v>
      </c>
      <c r="T16" s="19">
        <v>28404</v>
      </c>
      <c r="U16" s="19">
        <v>27651</v>
      </c>
      <c r="V16" s="19">
        <v>24071</v>
      </c>
      <c r="W16" s="19">
        <v>28809</v>
      </c>
    </row>
    <row r="17" spans="1:23" s="18" customFormat="1" ht="12.75" customHeight="1">
      <c r="A17" s="18" t="s">
        <v>15</v>
      </c>
      <c r="B17" s="19">
        <v>3422.3222912843066</v>
      </c>
      <c r="C17" s="19">
        <v>4590.4227607560751</v>
      </c>
      <c r="D17" s="19">
        <v>4945.9273244566975</v>
      </c>
      <c r="E17" s="19">
        <v>5639.1688986229892</v>
      </c>
      <c r="F17" s="19">
        <v>6619.0947876167484</v>
      </c>
      <c r="G17" s="19">
        <v>5923.0650288743745</v>
      </c>
      <c r="H17" s="19">
        <v>5978.8751834227478</v>
      </c>
      <c r="I17" s="19">
        <v>7267.9849822803808</v>
      </c>
      <c r="J17" s="19">
        <v>7915.7338986752693</v>
      </c>
      <c r="K17" s="19">
        <v>7397.0383091681833</v>
      </c>
      <c r="L17" s="19">
        <v>10553</v>
      </c>
      <c r="M17" s="19">
        <v>11413</v>
      </c>
      <c r="N17" s="19">
        <v>12561</v>
      </c>
      <c r="O17" s="19">
        <v>13452</v>
      </c>
      <c r="P17" s="19">
        <v>14042</v>
      </c>
      <c r="Q17" s="19">
        <v>13536</v>
      </c>
      <c r="R17" s="19">
        <v>14187</v>
      </c>
      <c r="S17" s="19">
        <v>15301</v>
      </c>
      <c r="T17" s="19">
        <v>15570</v>
      </c>
      <c r="U17" s="19">
        <v>15449</v>
      </c>
      <c r="V17" s="19">
        <v>13560</v>
      </c>
      <c r="W17" s="19">
        <v>16343</v>
      </c>
    </row>
    <row r="18" spans="1:23" s="18" customFormat="1" ht="12.75" customHeight="1">
      <c r="A18" s="18" t="s">
        <v>16</v>
      </c>
      <c r="B18" s="19">
        <v>3311.7061312810883</v>
      </c>
      <c r="C18" s="19">
        <v>3616.838507381719</v>
      </c>
      <c r="D18" s="19">
        <v>4715.7952827188574</v>
      </c>
      <c r="E18" s="19">
        <v>5780.4314585291177</v>
      </c>
      <c r="F18" s="19">
        <v>7617.9970857571225</v>
      </c>
      <c r="G18" s="19">
        <v>6476.8931902959248</v>
      </c>
      <c r="H18" s="19">
        <v>6292.3342914427776</v>
      </c>
      <c r="I18" s="19">
        <v>7507.4540039563144</v>
      </c>
      <c r="J18" s="19">
        <v>8147.6311693450971</v>
      </c>
      <c r="K18" s="19">
        <v>7383.1679151732969</v>
      </c>
      <c r="L18" s="19">
        <v>8536</v>
      </c>
      <c r="M18" s="19">
        <v>8866</v>
      </c>
      <c r="N18" s="19">
        <v>9540</v>
      </c>
      <c r="O18" s="19">
        <v>10169</v>
      </c>
      <c r="P18" s="19">
        <v>11364</v>
      </c>
      <c r="Q18" s="19">
        <v>9840</v>
      </c>
      <c r="R18" s="19">
        <v>9613</v>
      </c>
      <c r="S18" s="19">
        <v>10980</v>
      </c>
      <c r="T18" s="19">
        <v>11759</v>
      </c>
      <c r="U18" s="19">
        <v>12175</v>
      </c>
      <c r="V18" s="19">
        <v>14503</v>
      </c>
      <c r="W18" s="19">
        <v>19564</v>
      </c>
    </row>
    <row r="19" spans="1:23" s="29" customFormat="1" ht="12.75" customHeight="1">
      <c r="A19" s="18" t="s">
        <v>17</v>
      </c>
      <c r="B19" s="20">
        <v>7159.9730340656097</v>
      </c>
      <c r="C19" s="20">
        <v>6676.1543374012836</v>
      </c>
      <c r="D19" s="20">
        <v>7083.1532292834818</v>
      </c>
      <c r="E19" s="20">
        <v>10598.665686657027</v>
      </c>
      <c r="F19" s="20">
        <v>11166.210566614944</v>
      </c>
      <c r="G19" s="20">
        <v>9627.1968948107824</v>
      </c>
      <c r="H19" s="20">
        <v>9413.997285437541</v>
      </c>
      <c r="I19" s="20">
        <v>12021.467396824843</v>
      </c>
      <c r="J19" s="20">
        <v>11156.972239989831</v>
      </c>
      <c r="K19" s="20">
        <v>9693.475929535547</v>
      </c>
      <c r="L19" s="20">
        <v>15334</v>
      </c>
      <c r="M19" s="20">
        <v>16861</v>
      </c>
      <c r="N19" s="20">
        <v>15462</v>
      </c>
      <c r="O19" s="28">
        <v>17282</v>
      </c>
      <c r="P19" s="28">
        <v>19316</v>
      </c>
      <c r="Q19" s="28">
        <v>22787</v>
      </c>
      <c r="R19" s="28">
        <v>25667</v>
      </c>
      <c r="S19" s="28">
        <v>27402</v>
      </c>
      <c r="T19" s="28">
        <v>31780</v>
      </c>
      <c r="U19" s="28">
        <v>31326</v>
      </c>
      <c r="V19" s="28">
        <v>30256</v>
      </c>
      <c r="W19" s="28">
        <v>29864</v>
      </c>
    </row>
    <row r="20" spans="1:23" s="29" customFormat="1" ht="12.75" customHeight="1">
      <c r="A20" s="18" t="s">
        <v>18</v>
      </c>
      <c r="B20" s="21">
        <v>4508.3708210369568</v>
      </c>
      <c r="C20" s="21">
        <v>4451.7990841728379</v>
      </c>
      <c r="D20" s="21">
        <v>4337.3786064943888</v>
      </c>
      <c r="E20" s="21">
        <v>4614.0600120374975</v>
      </c>
      <c r="F20" s="21">
        <v>5835.277343145066</v>
      </c>
      <c r="G20" s="21">
        <v>6744.665967341256</v>
      </c>
      <c r="H20" s="21">
        <v>6989.6657616466337</v>
      </c>
      <c r="I20" s="21">
        <v>7537.2126184743847</v>
      </c>
      <c r="J20" s="21">
        <v>7614.7077144378109</v>
      </c>
      <c r="K20" s="21">
        <v>7029.5137532071785</v>
      </c>
      <c r="L20" s="21">
        <v>7518</v>
      </c>
      <c r="M20" s="21">
        <v>8685</v>
      </c>
      <c r="N20" s="21">
        <v>8154</v>
      </c>
      <c r="O20" s="21">
        <v>9575</v>
      </c>
      <c r="P20" s="21">
        <v>9140</v>
      </c>
      <c r="Q20" s="21">
        <v>8396</v>
      </c>
      <c r="R20" s="21">
        <v>9279</v>
      </c>
      <c r="S20" s="21">
        <v>8099</v>
      </c>
      <c r="T20" s="21">
        <v>10260</v>
      </c>
      <c r="U20" s="21">
        <v>8734</v>
      </c>
      <c r="V20" s="21">
        <v>8762</v>
      </c>
      <c r="W20" s="21">
        <v>8119</v>
      </c>
    </row>
    <row r="21" spans="1:23" s="18" customFormat="1" ht="12.75" customHeight="1">
      <c r="A21" s="18" t="s">
        <v>19</v>
      </c>
      <c r="B21" s="22">
        <v>9199.7020052121807</v>
      </c>
      <c r="C21" s="22">
        <v>10112.306530269401</v>
      </c>
      <c r="D21" s="22">
        <v>9723.4717401213566</v>
      </c>
      <c r="E21" s="22">
        <v>25726.322073386749</v>
      </c>
      <c r="F21" s="22">
        <v>20834.294535489724</v>
      </c>
      <c r="G21" s="22">
        <v>24457.777839774761</v>
      </c>
      <c r="H21" s="22">
        <v>21900.498886524612</v>
      </c>
      <c r="I21" s="22">
        <v>26776.605684023671</v>
      </c>
      <c r="J21" s="22">
        <v>16125.307276064006</v>
      </c>
      <c r="K21" s="22">
        <v>40358.869408993691</v>
      </c>
      <c r="L21" s="22">
        <v>16329</v>
      </c>
      <c r="M21" s="22">
        <v>-10202</v>
      </c>
      <c r="N21" s="22">
        <v>-27152</v>
      </c>
      <c r="O21" s="22">
        <v>-28223</v>
      </c>
      <c r="P21" s="22">
        <v>-16729</v>
      </c>
      <c r="Q21" s="22">
        <v>36427</v>
      </c>
      <c r="R21" s="22">
        <v>69800</v>
      </c>
      <c r="S21" s="22">
        <v>56287</v>
      </c>
      <c r="T21" s="22">
        <v>42336</v>
      </c>
      <c r="U21" s="22">
        <v>55361</v>
      </c>
      <c r="V21" s="22">
        <v>66048</v>
      </c>
      <c r="W21" s="22">
        <v>90157</v>
      </c>
    </row>
    <row r="22" spans="1:23" s="18" customFormat="1" ht="12.75" customHeight="1">
      <c r="A22" s="18" t="s">
        <v>20</v>
      </c>
      <c r="B22" s="22">
        <v>2103.3636118262602</v>
      </c>
      <c r="C22" s="22">
        <v>2158.4476057364518</v>
      </c>
      <c r="D22" s="22">
        <v>2360.7458999246282</v>
      </c>
      <c r="E22" s="22">
        <v>4058.4535539001954</v>
      </c>
      <c r="F22" s="22">
        <v>2415.6221518270359</v>
      </c>
      <c r="G22" s="22">
        <v>3137.8830406411653</v>
      </c>
      <c r="H22" s="22">
        <v>4542.2592593744048</v>
      </c>
      <c r="I22" s="22">
        <v>4338.5782585528905</v>
      </c>
      <c r="J22" s="22">
        <v>4705.6279519845775</v>
      </c>
      <c r="K22" s="22">
        <v>2740.005705602227</v>
      </c>
      <c r="L22" s="22">
        <v>5370</v>
      </c>
      <c r="M22" s="22">
        <v>4699</v>
      </c>
      <c r="N22" s="22">
        <v>4035</v>
      </c>
      <c r="O22" s="22">
        <v>6201</v>
      </c>
      <c r="P22" s="22">
        <v>7305</v>
      </c>
      <c r="Q22" s="22">
        <v>8680</v>
      </c>
      <c r="R22" s="22">
        <v>11207</v>
      </c>
      <c r="S22" s="22">
        <v>10000</v>
      </c>
      <c r="T22" s="22">
        <v>11524</v>
      </c>
      <c r="U22" s="22">
        <v>14389</v>
      </c>
      <c r="V22" s="22">
        <v>20382</v>
      </c>
      <c r="W22" s="22">
        <v>20994</v>
      </c>
    </row>
    <row r="23" spans="1:23" s="18" customFormat="1" ht="12.75" customHeight="1">
      <c r="A23" s="18" t="s">
        <v>21</v>
      </c>
      <c r="B23" s="22">
        <v>6142.3398073359458</v>
      </c>
      <c r="C23" s="22">
        <v>6394.6302051337443</v>
      </c>
      <c r="D23" s="22">
        <v>7489.4917200186101</v>
      </c>
      <c r="E23" s="22">
        <v>11792.144673200804</v>
      </c>
      <c r="F23" s="22">
        <v>17476.429126799361</v>
      </c>
      <c r="G23" s="22">
        <v>15813.36368822879</v>
      </c>
      <c r="H23" s="22">
        <v>12670.869866255292</v>
      </c>
      <c r="I23" s="22">
        <v>16165.589417051677</v>
      </c>
      <c r="J23" s="22">
        <v>21124.847275146501</v>
      </c>
      <c r="K23" s="22">
        <v>13766.314444061973</v>
      </c>
      <c r="L23" s="22">
        <v>10168</v>
      </c>
      <c r="M23" s="22">
        <v>10051</v>
      </c>
      <c r="N23" s="22">
        <v>10150</v>
      </c>
      <c r="O23" s="22">
        <v>12596</v>
      </c>
      <c r="P23" s="22">
        <v>15222</v>
      </c>
      <c r="Q23" s="22">
        <v>20945</v>
      </c>
      <c r="R23" s="22">
        <v>25627</v>
      </c>
      <c r="S23" s="22">
        <v>21460</v>
      </c>
      <c r="T23" s="22">
        <v>20618</v>
      </c>
      <c r="U23" s="22">
        <v>22250</v>
      </c>
      <c r="V23" s="22">
        <v>26769</v>
      </c>
      <c r="W23" s="22">
        <v>44833</v>
      </c>
    </row>
    <row r="24" spans="1:23" s="18" customFormat="1" ht="12.75" customHeight="1">
      <c r="A24" s="18" t="s">
        <v>22</v>
      </c>
      <c r="B24" s="22">
        <v>1520.6580938864081</v>
      </c>
      <c r="C24" s="22">
        <v>1375.2220529492588</v>
      </c>
      <c r="D24" s="22">
        <v>914.97846490430857</v>
      </c>
      <c r="E24" s="22">
        <v>1873.4060649643925</v>
      </c>
      <c r="F24" s="22">
        <v>4864.2930125383064</v>
      </c>
      <c r="G24" s="22">
        <v>4206.9528373648063</v>
      </c>
      <c r="H24" s="22">
        <v>6240.4894609201874</v>
      </c>
      <c r="I24" s="22">
        <v>6649.7534496811131</v>
      </c>
      <c r="J24" s="22">
        <v>6590.7534068145178</v>
      </c>
      <c r="K24" s="22">
        <v>2196.7865814087054</v>
      </c>
      <c r="L24" s="22">
        <v>4262</v>
      </c>
      <c r="M24" s="22">
        <v>4668</v>
      </c>
      <c r="N24" s="22">
        <v>2925</v>
      </c>
      <c r="O24" s="22">
        <v>3071</v>
      </c>
      <c r="P24" s="22">
        <v>3512</v>
      </c>
      <c r="Q24" s="22">
        <v>4494</v>
      </c>
      <c r="R24" s="22">
        <v>5215</v>
      </c>
      <c r="S24" s="22">
        <v>5428</v>
      </c>
      <c r="T24" s="22">
        <v>6078</v>
      </c>
      <c r="U24" s="22">
        <v>6065</v>
      </c>
      <c r="V24" s="22">
        <v>8368</v>
      </c>
      <c r="W24" s="22">
        <v>17396</v>
      </c>
    </row>
    <row r="25" spans="1:23" s="18" customFormat="1" ht="12.75" customHeight="1">
      <c r="A25" s="18" t="s">
        <v>23</v>
      </c>
      <c r="B25" s="22">
        <v>7504.1075335040559</v>
      </c>
      <c r="C25" s="22">
        <v>8558.0229824840171</v>
      </c>
      <c r="D25" s="22">
        <v>8313.5791221653762</v>
      </c>
      <c r="E25" s="22">
        <v>9997.7145485764759</v>
      </c>
      <c r="F25" s="22">
        <v>11546.483164200745</v>
      </c>
      <c r="G25" s="22">
        <v>13894.460193000083</v>
      </c>
      <c r="H25" s="22">
        <v>15515.819155246569</v>
      </c>
      <c r="I25" s="22">
        <v>16225.646804912332</v>
      </c>
      <c r="J25" s="22">
        <v>17095.553960777779</v>
      </c>
      <c r="K25" s="22">
        <v>19174.229495760988</v>
      </c>
      <c r="L25" s="22">
        <v>19526</v>
      </c>
      <c r="M25" s="22">
        <v>19812</v>
      </c>
      <c r="N25" s="22">
        <v>21495</v>
      </c>
      <c r="O25" s="22">
        <v>22533</v>
      </c>
      <c r="P25" s="22">
        <v>25412</v>
      </c>
      <c r="Q25" s="22">
        <v>23147</v>
      </c>
      <c r="R25" s="22">
        <v>26319</v>
      </c>
      <c r="S25" s="22">
        <v>30419</v>
      </c>
      <c r="T25" s="22">
        <v>34789</v>
      </c>
      <c r="U25" s="22">
        <v>36008</v>
      </c>
      <c r="V25" s="22">
        <v>39955</v>
      </c>
      <c r="W25" s="22">
        <v>45544</v>
      </c>
    </row>
    <row r="26" spans="1:23" s="18" customFormat="1" ht="12.75" customHeight="1">
      <c r="A26" s="18" t="s">
        <v>24</v>
      </c>
      <c r="B26" s="22">
        <v>463.71412876245813</v>
      </c>
      <c r="C26" s="22">
        <v>511.08789155410523</v>
      </c>
      <c r="D26" s="22">
        <v>503.80269299864358</v>
      </c>
      <c r="E26" s="22">
        <v>1336.9971901161016</v>
      </c>
      <c r="F26" s="22">
        <v>3373.2603155144297</v>
      </c>
      <c r="G26" s="22">
        <v>1796.7075720735538</v>
      </c>
      <c r="H26" s="22">
        <v>1587.1447596109065</v>
      </c>
      <c r="I26" s="22">
        <v>1326.4315093752411</v>
      </c>
      <c r="J26" s="22">
        <v>1992.7487084453605</v>
      </c>
      <c r="K26" s="22">
        <v>2889.5454205911883</v>
      </c>
      <c r="L26" s="22">
        <v>1670</v>
      </c>
      <c r="M26" s="22">
        <v>2548</v>
      </c>
      <c r="N26" s="22">
        <v>2903</v>
      </c>
      <c r="O26" s="22">
        <v>4213</v>
      </c>
      <c r="P26" s="22">
        <v>5450</v>
      </c>
      <c r="Q26" s="22">
        <v>5004</v>
      </c>
      <c r="R26" s="22">
        <v>4534</v>
      </c>
      <c r="S26" s="22">
        <v>5956</v>
      </c>
      <c r="T26" s="22">
        <v>4993</v>
      </c>
      <c r="U26" s="22">
        <v>7998</v>
      </c>
      <c r="V26" s="22">
        <v>9554</v>
      </c>
      <c r="W26" s="22">
        <v>7158</v>
      </c>
    </row>
    <row r="27" spans="1:23" s="18" customFormat="1" ht="12.75" customHeight="1">
      <c r="A27" s="18" t="s">
        <v>25</v>
      </c>
      <c r="B27" s="22">
        <v>3048.8572055650093</v>
      </c>
      <c r="C27" s="22">
        <v>1309.9334061105228</v>
      </c>
      <c r="D27" s="22">
        <v>2064.9903955776081</v>
      </c>
      <c r="E27" s="22">
        <v>2358.9084770648824</v>
      </c>
      <c r="F27" s="22">
        <v>2878.2723695363002</v>
      </c>
      <c r="G27" s="22">
        <v>3037.6101645955623</v>
      </c>
      <c r="H27" s="22">
        <v>3838.8100781246485</v>
      </c>
      <c r="I27" s="22">
        <v>4368.9072865671224</v>
      </c>
      <c r="J27" s="22">
        <v>4781.1817601458388</v>
      </c>
      <c r="K27" s="22">
        <v>8114.6488783181921</v>
      </c>
      <c r="L27" s="22">
        <v>7136</v>
      </c>
      <c r="M27" s="22">
        <v>7185</v>
      </c>
      <c r="N27" s="22">
        <v>6143</v>
      </c>
      <c r="O27" s="22">
        <v>8160</v>
      </c>
      <c r="P27" s="22">
        <v>7975</v>
      </c>
      <c r="Q27" s="22">
        <v>8397</v>
      </c>
      <c r="R27" s="22">
        <v>10437</v>
      </c>
      <c r="S27" s="22">
        <v>11407</v>
      </c>
      <c r="T27" s="22">
        <v>10920</v>
      </c>
      <c r="U27" s="22">
        <v>12604</v>
      </c>
      <c r="V27" s="22">
        <v>13361</v>
      </c>
      <c r="W27" s="22">
        <v>11340</v>
      </c>
    </row>
    <row r="28" spans="1:23" s="18" customFormat="1" ht="12.75" customHeight="1">
      <c r="A28" s="18" t="s">
        <v>26</v>
      </c>
      <c r="B28" s="22">
        <v>908.6311184612332</v>
      </c>
      <c r="C28" s="22">
        <v>1159.5373564983256</v>
      </c>
      <c r="D28" s="22">
        <v>1321.7806273590568</v>
      </c>
      <c r="E28" s="22">
        <v>1323.5014168013022</v>
      </c>
      <c r="F28" s="22">
        <v>1580.9504674129876</v>
      </c>
      <c r="G28" s="22">
        <v>1838.6538565051478</v>
      </c>
      <c r="H28" s="22">
        <v>2094.8440300608845</v>
      </c>
      <c r="I28" s="22">
        <v>1485.4264467042576</v>
      </c>
      <c r="J28" s="22">
        <v>1644.1424484705276</v>
      </c>
      <c r="K28" s="22">
        <v>1971.744682276154</v>
      </c>
      <c r="L28" s="22">
        <v>2632</v>
      </c>
      <c r="M28" s="22">
        <v>3445</v>
      </c>
      <c r="N28" s="22">
        <v>3934</v>
      </c>
      <c r="O28" s="22">
        <v>4250</v>
      </c>
      <c r="P28" s="22">
        <v>3605</v>
      </c>
      <c r="Q28" s="22">
        <v>3592</v>
      </c>
      <c r="R28" s="22">
        <v>4219</v>
      </c>
      <c r="S28" s="22">
        <v>3379</v>
      </c>
      <c r="T28" s="22">
        <v>3355</v>
      </c>
      <c r="U28" s="22">
        <v>3115</v>
      </c>
      <c r="V28" s="22">
        <v>4799</v>
      </c>
      <c r="W28" s="22">
        <v>3543</v>
      </c>
    </row>
    <row r="29" spans="1:23" s="18" customFormat="1" ht="12.75" customHeight="1">
      <c r="A29" s="18" t="s">
        <v>27</v>
      </c>
      <c r="B29" s="22">
        <v>1045.3883248398888</v>
      </c>
      <c r="C29" s="22">
        <v>1333.0753551670541</v>
      </c>
      <c r="D29" s="22">
        <v>1347.6792431215636</v>
      </c>
      <c r="E29" s="22">
        <v>2203.1675535032937</v>
      </c>
      <c r="F29" s="22">
        <v>2870.8298568432965</v>
      </c>
      <c r="G29" s="22">
        <v>1883.0678680527599</v>
      </c>
      <c r="H29" s="22">
        <v>2130.8960435265508</v>
      </c>
      <c r="I29" s="22">
        <v>1804.857194133785</v>
      </c>
      <c r="J29" s="22">
        <v>2292.6010434639138</v>
      </c>
      <c r="K29" s="22">
        <v>3106.8877754141376</v>
      </c>
      <c r="L29" s="22">
        <v>4726</v>
      </c>
      <c r="M29" s="22">
        <v>4420</v>
      </c>
      <c r="N29" s="22">
        <v>4297</v>
      </c>
      <c r="O29" s="22">
        <v>4517</v>
      </c>
      <c r="P29" s="22">
        <v>5822</v>
      </c>
      <c r="Q29" s="22">
        <v>6499</v>
      </c>
      <c r="R29" s="22">
        <v>7308</v>
      </c>
      <c r="S29" s="22">
        <v>9436</v>
      </c>
      <c r="T29" s="22">
        <v>6904</v>
      </c>
      <c r="U29" s="22">
        <v>7091</v>
      </c>
      <c r="V29" s="22">
        <v>8661</v>
      </c>
      <c r="W29" s="22">
        <v>8871</v>
      </c>
    </row>
    <row r="30" spans="1:23" s="18" customFormat="1" ht="12.75" customHeight="1">
      <c r="A30" s="18" t="s">
        <v>28</v>
      </c>
      <c r="B30" s="22">
        <v>5997.7206582237268</v>
      </c>
      <c r="C30" s="22">
        <v>5293.6804817353222</v>
      </c>
      <c r="D30" s="22">
        <v>5319.8253132534192</v>
      </c>
      <c r="E30" s="22">
        <v>9140.2593460614626</v>
      </c>
      <c r="F30" s="22">
        <v>10658.958626286025</v>
      </c>
      <c r="G30" s="22">
        <v>11963.691540423504</v>
      </c>
      <c r="H30" s="22">
        <v>11958.066393346024</v>
      </c>
      <c r="I30" s="22">
        <v>12755.414171083285</v>
      </c>
      <c r="J30" s="22">
        <v>14573.901762592992</v>
      </c>
      <c r="K30" s="22">
        <v>17860.063321769878</v>
      </c>
      <c r="L30" s="22">
        <v>21322</v>
      </c>
      <c r="M30" s="22">
        <v>22858</v>
      </c>
      <c r="N30" s="22">
        <v>23336</v>
      </c>
      <c r="O30" s="22">
        <v>25724</v>
      </c>
      <c r="P30" s="22">
        <v>27998</v>
      </c>
      <c r="Q30" s="22">
        <v>26077</v>
      </c>
      <c r="R30" s="22">
        <v>28452</v>
      </c>
      <c r="S30" s="22">
        <v>29255</v>
      </c>
      <c r="T30" s="22">
        <v>29645</v>
      </c>
      <c r="U30" s="22">
        <v>30530</v>
      </c>
      <c r="V30" s="22">
        <v>32458</v>
      </c>
      <c r="W30" s="22">
        <v>37300</v>
      </c>
    </row>
    <row r="31" spans="1:23" s="30" customFormat="1" ht="12.75" customHeight="1">
      <c r="A31" s="18" t="s">
        <v>29</v>
      </c>
      <c r="B31" s="22">
        <v>5940.9697011594235</v>
      </c>
      <c r="C31" s="22">
        <v>6580.4664829717403</v>
      </c>
      <c r="D31" s="22">
        <v>6566.8478080066125</v>
      </c>
      <c r="E31" s="22">
        <v>10856.80151858239</v>
      </c>
      <c r="F31" s="22">
        <v>9711.9351304418378</v>
      </c>
      <c r="G31" s="22">
        <v>8733.9211481537095</v>
      </c>
      <c r="H31" s="22">
        <v>12795.783153932247</v>
      </c>
      <c r="I31" s="22">
        <v>12292.669213495821</v>
      </c>
      <c r="J31" s="22">
        <v>15555.199425458726</v>
      </c>
      <c r="K31" s="22">
        <v>18583.490302328733</v>
      </c>
      <c r="L31" s="22">
        <v>22348</v>
      </c>
      <c r="M31" s="22">
        <v>25581</v>
      </c>
      <c r="N31" s="22">
        <v>27353</v>
      </c>
      <c r="O31" s="22">
        <v>29101</v>
      </c>
      <c r="P31" s="22">
        <v>30994</v>
      </c>
      <c r="Q31" s="22">
        <v>27750</v>
      </c>
      <c r="R31" s="22">
        <v>25265</v>
      </c>
      <c r="S31" s="22">
        <v>22685</v>
      </c>
      <c r="T31" s="22">
        <v>24757</v>
      </c>
      <c r="U31" s="22">
        <v>24803</v>
      </c>
      <c r="V31" s="22">
        <v>30218</v>
      </c>
      <c r="W31" s="22">
        <v>42799</v>
      </c>
    </row>
    <row r="32" spans="1:23" s="30" customFormat="1" ht="12.75" customHeight="1">
      <c r="A32" s="18" t="s">
        <v>30</v>
      </c>
      <c r="B32" s="22">
        <v>2722.3149575734969</v>
      </c>
      <c r="C32" s="22">
        <v>3201.3868044601877</v>
      </c>
      <c r="D32" s="22">
        <v>5677.4965499598875</v>
      </c>
      <c r="E32" s="22">
        <v>8418.1357252636662</v>
      </c>
      <c r="F32" s="22">
        <v>17814.130690507722</v>
      </c>
      <c r="G32" s="22">
        <v>19552.094997666223</v>
      </c>
      <c r="H32" s="22">
        <v>15903.025392448471</v>
      </c>
      <c r="I32" s="22">
        <v>21172.813931918419</v>
      </c>
      <c r="J32" s="22">
        <v>31587.104612556155</v>
      </c>
      <c r="K32" s="22">
        <v>15012.376516015676</v>
      </c>
      <c r="L32" s="22">
        <v>16931</v>
      </c>
      <c r="M32" s="22">
        <v>20702</v>
      </c>
      <c r="N32" s="22">
        <v>23544</v>
      </c>
      <c r="O32" s="22">
        <v>24848</v>
      </c>
      <c r="P32" s="22">
        <v>30190</v>
      </c>
      <c r="Q32" s="22">
        <v>21747</v>
      </c>
      <c r="R32" s="22">
        <v>15606</v>
      </c>
      <c r="S32" s="22">
        <v>19345</v>
      </c>
      <c r="T32" s="22">
        <v>34177</v>
      </c>
      <c r="U32" s="22">
        <v>23474</v>
      </c>
      <c r="V32" s="22">
        <v>20344</v>
      </c>
      <c r="W32" s="22">
        <v>96011</v>
      </c>
    </row>
    <row r="33" spans="1:23" s="30" customFormat="1" ht="12.75" customHeight="1">
      <c r="A33" s="18" t="s">
        <v>31</v>
      </c>
      <c r="B33" s="22">
        <v>2721.1469029746131</v>
      </c>
      <c r="C33" s="22">
        <v>2364.5758554705899</v>
      </c>
      <c r="D33" s="22">
        <v>4195.7937667510469</v>
      </c>
      <c r="E33" s="22">
        <v>4977.3686741653801</v>
      </c>
      <c r="F33" s="22">
        <v>2708.0526703587457</v>
      </c>
      <c r="G33" s="22">
        <v>3832.3240299852223</v>
      </c>
      <c r="H33" s="22">
        <v>6857.2823919486764</v>
      </c>
      <c r="I33" s="22">
        <v>7094.9786746895697</v>
      </c>
      <c r="J33" s="22">
        <v>6202.2025760270189</v>
      </c>
      <c r="K33" s="22">
        <v>4921.9788840007604</v>
      </c>
      <c r="L33" s="22">
        <v>7269</v>
      </c>
      <c r="M33" s="22">
        <v>7995</v>
      </c>
      <c r="N33" s="22">
        <v>6645</v>
      </c>
      <c r="O33" s="22">
        <v>9202</v>
      </c>
      <c r="P33" s="22">
        <v>10281</v>
      </c>
      <c r="Q33" s="22">
        <v>12555</v>
      </c>
      <c r="R33" s="22">
        <v>12990</v>
      </c>
      <c r="S33" s="22">
        <v>12432</v>
      </c>
      <c r="T33" s="22">
        <v>15846</v>
      </c>
      <c r="U33" s="22">
        <v>15542</v>
      </c>
      <c r="V33" s="22">
        <v>20496</v>
      </c>
      <c r="W33" s="22">
        <v>29466</v>
      </c>
    </row>
    <row r="34" spans="1:23" s="30" customFormat="1" ht="12.75" customHeight="1">
      <c r="A34" s="18" t="s">
        <v>32</v>
      </c>
      <c r="B34" s="22">
        <v>9301.5767711622266</v>
      </c>
      <c r="C34" s="22">
        <v>11842.941940060089</v>
      </c>
      <c r="D34" s="22">
        <v>12797.557632622949</v>
      </c>
      <c r="E34" s="22">
        <v>13113.975032540926</v>
      </c>
      <c r="F34" s="22">
        <v>14383.129969782403</v>
      </c>
      <c r="G34" s="22">
        <v>20799.218182789496</v>
      </c>
      <c r="H34" s="22">
        <v>18167.127013035595</v>
      </c>
      <c r="I34" s="22">
        <v>24988.391395448256</v>
      </c>
      <c r="J34" s="22">
        <v>28776.240770704258</v>
      </c>
      <c r="K34" s="22">
        <v>29893.715075360029</v>
      </c>
      <c r="L34" s="22">
        <v>29401</v>
      </c>
      <c r="M34" s="22">
        <v>32518</v>
      </c>
      <c r="N34" s="22">
        <v>33208</v>
      </c>
      <c r="O34" s="22">
        <v>34733</v>
      </c>
      <c r="P34" s="22">
        <v>35496</v>
      </c>
      <c r="Q34" s="22">
        <v>34302</v>
      </c>
      <c r="R34" s="22">
        <v>35240</v>
      </c>
      <c r="S34" s="22">
        <v>32074</v>
      </c>
      <c r="T34" s="22">
        <v>33343</v>
      </c>
      <c r="U34" s="22">
        <v>38877</v>
      </c>
      <c r="V34" s="22">
        <v>37450</v>
      </c>
      <c r="W34" s="22">
        <v>51610</v>
      </c>
    </row>
    <row r="35" spans="1:23" s="18" customFormat="1" ht="12.75" customHeight="1">
      <c r="A35" s="18" t="s">
        <v>33</v>
      </c>
      <c r="B35" s="22">
        <v>11475.594494965488</v>
      </c>
      <c r="C35" s="22">
        <v>13646.722930451371</v>
      </c>
      <c r="D35" s="22">
        <v>15260.966750816835</v>
      </c>
      <c r="E35" s="22">
        <v>20458.192307580241</v>
      </c>
      <c r="F35" s="22">
        <v>23429.354512907317</v>
      </c>
      <c r="G35" s="22">
        <v>24595.427561818891</v>
      </c>
      <c r="H35" s="22">
        <v>27937.129502239346</v>
      </c>
      <c r="I35" s="22">
        <v>32516.207198447883</v>
      </c>
      <c r="J35" s="22">
        <v>39041.523346506918</v>
      </c>
      <c r="K35" s="22">
        <v>35328.009940211254</v>
      </c>
      <c r="L35" s="22">
        <v>48030</v>
      </c>
      <c r="M35" s="22">
        <v>53244</v>
      </c>
      <c r="N35" s="22">
        <v>54850</v>
      </c>
      <c r="O35" s="22">
        <v>60834</v>
      </c>
      <c r="P35" s="22">
        <v>65950</v>
      </c>
      <c r="Q35" s="22">
        <v>59828</v>
      </c>
      <c r="R35" s="22">
        <v>56425</v>
      </c>
      <c r="S35" s="22">
        <v>64146</v>
      </c>
      <c r="T35" s="22">
        <v>66058</v>
      </c>
      <c r="U35" s="22">
        <v>72451</v>
      </c>
      <c r="V35" s="22">
        <v>75683</v>
      </c>
      <c r="W35" s="22">
        <v>96224</v>
      </c>
    </row>
    <row r="36" spans="1:23" s="18" customFormat="1" ht="12.75" customHeight="1">
      <c r="A36" s="18" t="s">
        <v>34</v>
      </c>
      <c r="B36" s="22">
        <v>4253.1313719332429</v>
      </c>
      <c r="C36" s="22">
        <v>4119.6090547715849</v>
      </c>
      <c r="D36" s="22">
        <v>4609.5806970670783</v>
      </c>
      <c r="E36" s="22">
        <v>4362.7440386175294</v>
      </c>
      <c r="F36" s="22">
        <v>5800.4911651622242</v>
      </c>
      <c r="G36" s="22">
        <v>7376.5373322870546</v>
      </c>
      <c r="H36" s="22">
        <v>8767.5582799423828</v>
      </c>
      <c r="I36" s="22">
        <v>7480.2528182558526</v>
      </c>
      <c r="J36" s="22">
        <v>10239.768450194824</v>
      </c>
      <c r="K36" s="22">
        <v>12430.047444254516</v>
      </c>
      <c r="L36" s="22">
        <v>14641</v>
      </c>
      <c r="M36" s="22">
        <v>16216</v>
      </c>
      <c r="N36" s="22">
        <v>15829</v>
      </c>
      <c r="O36" s="22">
        <v>18271</v>
      </c>
      <c r="P36" s="22">
        <v>18036</v>
      </c>
      <c r="Q36" s="22">
        <v>17037</v>
      </c>
      <c r="R36" s="22">
        <v>20758</v>
      </c>
      <c r="S36" s="22">
        <v>16444</v>
      </c>
      <c r="T36" s="22">
        <v>20034</v>
      </c>
      <c r="U36" s="22">
        <v>21875</v>
      </c>
      <c r="V36" s="22">
        <v>21034</v>
      </c>
      <c r="W36" s="22">
        <v>29515</v>
      </c>
    </row>
    <row r="37" spans="1:23" s="18" customFormat="1" ht="12.75" customHeight="1">
      <c r="A37" s="18" t="s">
        <v>35</v>
      </c>
      <c r="B37" s="22">
        <v>5476.1003743672372</v>
      </c>
      <c r="C37" s="22">
        <v>5962.9020616525486</v>
      </c>
      <c r="D37" s="22">
        <v>7706.4074310818178</v>
      </c>
      <c r="E37" s="22">
        <v>7221.9574164254118</v>
      </c>
      <c r="F37" s="22">
        <v>10018.030910674453</v>
      </c>
      <c r="G37" s="22">
        <v>11517.425553956222</v>
      </c>
      <c r="H37" s="22">
        <v>12850.637661074805</v>
      </c>
      <c r="I37" s="22">
        <v>14423.888454369924</v>
      </c>
      <c r="J37" s="22">
        <v>15304.820071114409</v>
      </c>
      <c r="K37" s="22">
        <v>14595.08136619359</v>
      </c>
      <c r="L37" s="22">
        <v>19724</v>
      </c>
      <c r="M37" s="22">
        <v>22017</v>
      </c>
      <c r="N37" s="22">
        <v>22259</v>
      </c>
      <c r="O37" s="22">
        <v>25466</v>
      </c>
      <c r="P37" s="22">
        <v>25020</v>
      </c>
      <c r="Q37" s="22">
        <v>22648</v>
      </c>
      <c r="R37" s="22">
        <v>25641</v>
      </c>
      <c r="S37" s="22">
        <v>26625</v>
      </c>
      <c r="T37" s="22">
        <v>26118</v>
      </c>
      <c r="U37" s="22">
        <v>28861</v>
      </c>
      <c r="V37" s="22">
        <v>29946</v>
      </c>
      <c r="W37" s="22">
        <v>34785</v>
      </c>
    </row>
    <row r="38" spans="1:23" s="18" customFormat="1" ht="12.75" customHeight="1">
      <c r="A38" s="18" t="s">
        <v>36</v>
      </c>
      <c r="B38" s="22">
        <v>9966.3006505852718</v>
      </c>
      <c r="C38" s="22">
        <v>12073.785811009955</v>
      </c>
      <c r="D38" s="22">
        <v>12889.27472872585</v>
      </c>
      <c r="E38" s="22">
        <v>14116.253471175172</v>
      </c>
      <c r="F38" s="22">
        <v>18920.277496194285</v>
      </c>
      <c r="G38" s="22">
        <v>14843.941439612143</v>
      </c>
      <c r="H38" s="22">
        <v>19153.08405031437</v>
      </c>
      <c r="I38" s="22">
        <v>26655.887522676232</v>
      </c>
      <c r="J38" s="22">
        <v>32956.815813912355</v>
      </c>
      <c r="K38" s="22">
        <v>25656.388376014904</v>
      </c>
      <c r="L38" s="22">
        <v>38191</v>
      </c>
      <c r="M38" s="22">
        <v>32552</v>
      </c>
      <c r="N38" s="22">
        <v>33921</v>
      </c>
      <c r="O38" s="22">
        <v>35485</v>
      </c>
      <c r="P38" s="22">
        <v>27371</v>
      </c>
      <c r="Q38" s="22">
        <v>22410</v>
      </c>
      <c r="R38" s="22">
        <v>13674</v>
      </c>
      <c r="S38" s="22">
        <v>20072</v>
      </c>
      <c r="T38" s="22">
        <v>23213</v>
      </c>
      <c r="U38" s="22">
        <v>23599</v>
      </c>
      <c r="V38" s="22">
        <v>14580</v>
      </c>
      <c r="W38" s="22">
        <v>25538</v>
      </c>
    </row>
    <row r="39" spans="1:23" s="18" customFormat="1" ht="12.75" customHeight="1">
      <c r="A39" s="18" t="s">
        <v>37</v>
      </c>
      <c r="B39" s="22">
        <v>3763.0016120226664</v>
      </c>
      <c r="C39" s="22">
        <v>4405.1806737989064</v>
      </c>
      <c r="D39" s="22">
        <v>4806.3401411486702</v>
      </c>
      <c r="E39" s="22">
        <v>8394.8155606303881</v>
      </c>
      <c r="F39" s="22">
        <v>10153.364583261937</v>
      </c>
      <c r="G39" s="22">
        <v>14290.474153918425</v>
      </c>
      <c r="H39" s="22">
        <v>13327.305820239228</v>
      </c>
      <c r="I39" s="22">
        <v>12016.256035190192</v>
      </c>
      <c r="J39" s="22">
        <v>15746.485224871198</v>
      </c>
      <c r="K39" s="22">
        <v>18352.998669618071</v>
      </c>
      <c r="L39" s="22">
        <v>23875</v>
      </c>
      <c r="M39" s="22">
        <v>28311</v>
      </c>
      <c r="N39" s="22">
        <v>23511</v>
      </c>
      <c r="O39" s="22">
        <v>25612</v>
      </c>
      <c r="P39" s="22">
        <v>23138</v>
      </c>
      <c r="Q39" s="22">
        <v>18416</v>
      </c>
      <c r="R39" s="22">
        <v>20183</v>
      </c>
      <c r="S39" s="22">
        <v>23921</v>
      </c>
      <c r="T39" s="22">
        <v>30066</v>
      </c>
      <c r="U39" s="22">
        <v>31974</v>
      </c>
      <c r="V39" s="22">
        <v>25636</v>
      </c>
      <c r="W39" s="22">
        <v>32464</v>
      </c>
    </row>
    <row r="40" spans="1:23" s="18" customFormat="1" ht="12.75" customHeight="1">
      <c r="A40" s="18" t="s">
        <v>38</v>
      </c>
      <c r="B40" s="22">
        <v>3658.2384892452155</v>
      </c>
      <c r="C40" s="22">
        <v>4781.8687003329333</v>
      </c>
      <c r="D40" s="22">
        <v>5664.4751001935001</v>
      </c>
      <c r="E40" s="22">
        <v>5926.9144098324105</v>
      </c>
      <c r="F40" s="22">
        <v>8866.3321733923713</v>
      </c>
      <c r="G40" s="22">
        <v>8714.6721991704599</v>
      </c>
      <c r="H40" s="22">
        <v>10301.234539905172</v>
      </c>
      <c r="I40" s="22">
        <v>11508.385461117559</v>
      </c>
      <c r="J40" s="22">
        <v>11421.927727467839</v>
      </c>
      <c r="K40" s="22">
        <v>9008.6571918560876</v>
      </c>
      <c r="L40" s="22">
        <v>9449</v>
      </c>
      <c r="M40" s="22">
        <v>10881</v>
      </c>
      <c r="N40" s="22">
        <v>10481</v>
      </c>
      <c r="O40" s="22">
        <v>11836</v>
      </c>
      <c r="P40" s="22">
        <v>11968</v>
      </c>
      <c r="Q40" s="22">
        <v>12065</v>
      </c>
      <c r="R40" s="22">
        <v>11700</v>
      </c>
      <c r="S40" s="22">
        <v>12852</v>
      </c>
      <c r="T40" s="22">
        <v>10679</v>
      </c>
      <c r="U40" s="22">
        <v>9221</v>
      </c>
      <c r="V40" s="22">
        <v>8792</v>
      </c>
      <c r="W40" s="22">
        <v>8912</v>
      </c>
    </row>
    <row r="41" spans="1:23" s="18" customFormat="1" ht="12.75" customHeight="1">
      <c r="A41" s="18" t="s">
        <v>39</v>
      </c>
      <c r="B41" s="22">
        <v>8578.5545108126898</v>
      </c>
      <c r="C41" s="22">
        <v>8910.3353573359655</v>
      </c>
      <c r="D41" s="22">
        <v>9451.6773170241486</v>
      </c>
      <c r="E41" s="22">
        <v>10943.420170114305</v>
      </c>
      <c r="F41" s="22">
        <v>12270.394435424012</v>
      </c>
      <c r="G41" s="22">
        <v>12264.592815686148</v>
      </c>
      <c r="H41" s="22">
        <v>12627.406510175595</v>
      </c>
      <c r="I41" s="22">
        <v>13523.534777094526</v>
      </c>
      <c r="J41" s="22">
        <v>16336.915387216606</v>
      </c>
      <c r="K41" s="22">
        <v>17668.519190292325</v>
      </c>
      <c r="L41" s="22">
        <v>17736</v>
      </c>
      <c r="M41" s="22">
        <v>19743</v>
      </c>
      <c r="N41" s="22">
        <v>22332</v>
      </c>
      <c r="O41" s="22">
        <v>23148</v>
      </c>
      <c r="P41" s="22">
        <v>24247</v>
      </c>
      <c r="Q41" s="22">
        <v>22443</v>
      </c>
      <c r="R41" s="22">
        <v>21288</v>
      </c>
      <c r="S41" s="22">
        <v>21773</v>
      </c>
      <c r="T41" s="22">
        <v>22210</v>
      </c>
      <c r="U41" s="22">
        <v>24292</v>
      </c>
      <c r="V41" s="22">
        <v>26319</v>
      </c>
      <c r="W41" s="22">
        <v>29754</v>
      </c>
    </row>
    <row r="42" spans="1:23" s="18" customFormat="1" ht="12.75" customHeight="1">
      <c r="A42" s="18" t="s">
        <v>40</v>
      </c>
      <c r="B42" s="22">
        <v>32366.204712064948</v>
      </c>
      <c r="C42" s="22">
        <v>37296.448874769769</v>
      </c>
      <c r="D42" s="22">
        <v>43218.252463737568</v>
      </c>
      <c r="E42" s="22">
        <v>48108.407614267249</v>
      </c>
      <c r="F42" s="22">
        <v>57367.47728824451</v>
      </c>
      <c r="G42" s="22">
        <v>62185.541655332927</v>
      </c>
      <c r="H42" s="22">
        <v>66218.727110299253</v>
      </c>
      <c r="I42" s="22">
        <v>69579.348451676196</v>
      </c>
      <c r="J42" s="22">
        <v>68838.579757805506</v>
      </c>
      <c r="K42" s="22">
        <v>76616.115656433132</v>
      </c>
      <c r="L42" s="22">
        <v>92914</v>
      </c>
      <c r="M42" s="22">
        <v>99219</v>
      </c>
      <c r="N42" s="22">
        <v>100233</v>
      </c>
      <c r="O42" s="22">
        <v>92818</v>
      </c>
      <c r="P42" s="22">
        <v>93975</v>
      </c>
      <c r="Q42" s="22">
        <v>123183</v>
      </c>
      <c r="R42" s="22">
        <v>143720</v>
      </c>
      <c r="S42" s="22">
        <v>156242</v>
      </c>
      <c r="T42" s="22">
        <v>171433</v>
      </c>
      <c r="U42" s="22">
        <v>190862</v>
      </c>
      <c r="V42" s="22">
        <v>209112</v>
      </c>
      <c r="W42" s="22">
        <v>220982</v>
      </c>
    </row>
    <row r="43" spans="1:23" s="18" customFormat="1" ht="12.75" customHeight="1">
      <c r="A43" s="18" t="s">
        <v>41</v>
      </c>
      <c r="B43" s="22">
        <v>71780.431281130106</v>
      </c>
      <c r="C43" s="22">
        <v>70181.659423992271</v>
      </c>
      <c r="D43" s="22">
        <v>81979.581883079227</v>
      </c>
      <c r="E43" s="22">
        <v>67878.146282942587</v>
      </c>
      <c r="F43" s="22">
        <v>82056.726114087869</v>
      </c>
      <c r="G43" s="22">
        <v>84570.742118495167</v>
      </c>
      <c r="H43" s="22">
        <v>89102.05072433257</v>
      </c>
      <c r="I43" s="22">
        <v>105871.24727115774</v>
      </c>
      <c r="J43" s="22">
        <v>114801.95695688028</v>
      </c>
      <c r="K43" s="22">
        <v>154624.35282817067</v>
      </c>
      <c r="L43" s="22">
        <v>206927</v>
      </c>
      <c r="M43" s="22">
        <v>233544</v>
      </c>
      <c r="N43" s="22">
        <v>265237</v>
      </c>
      <c r="O43" s="22">
        <v>290641</v>
      </c>
      <c r="P43" s="22">
        <v>306946</v>
      </c>
      <c r="Q43" s="22">
        <v>296018</v>
      </c>
      <c r="R43" s="22">
        <v>275187</v>
      </c>
      <c r="S43" s="22">
        <v>244800</v>
      </c>
      <c r="T43" s="22">
        <v>243280</v>
      </c>
      <c r="U43" s="22">
        <v>248643</v>
      </c>
      <c r="V43" s="22">
        <v>267921</v>
      </c>
      <c r="W43" s="22">
        <v>275111</v>
      </c>
    </row>
    <row r="44" spans="1:23" s="18" customFormat="1" ht="12.75" customHeight="1">
      <c r="A44" s="18" t="s">
        <v>42</v>
      </c>
      <c r="B44" s="22">
        <v>83631.30478733535</v>
      </c>
      <c r="C44" s="22">
        <v>93400.803784174059</v>
      </c>
      <c r="D44" s="22">
        <v>98240.341643121414</v>
      </c>
      <c r="E44" s="22">
        <v>140092.20875808573</v>
      </c>
      <c r="F44" s="22">
        <v>164630.62722517352</v>
      </c>
      <c r="G44" s="22">
        <v>198245.87260573325</v>
      </c>
      <c r="H44" s="22">
        <v>228624.62882168859</v>
      </c>
      <c r="I44" s="22">
        <v>270798.53452538536</v>
      </c>
      <c r="J44" s="22">
        <v>322108.9563147226</v>
      </c>
      <c r="K44" s="22">
        <v>361913.88031764398</v>
      </c>
      <c r="L44" s="22">
        <v>416229</v>
      </c>
      <c r="M44" s="22">
        <v>478242</v>
      </c>
      <c r="N44" s="22">
        <v>548339</v>
      </c>
      <c r="O44" s="22">
        <v>614087</v>
      </c>
      <c r="P44" s="22">
        <v>676562</v>
      </c>
      <c r="Q44" s="22">
        <v>685708</v>
      </c>
      <c r="R44" s="22">
        <v>699767</v>
      </c>
      <c r="S44" s="22">
        <v>746159</v>
      </c>
      <c r="T44" s="22">
        <v>783047</v>
      </c>
      <c r="U44" s="22">
        <v>822590</v>
      </c>
      <c r="V44" s="22">
        <v>825346</v>
      </c>
      <c r="W44" s="22">
        <v>965702</v>
      </c>
    </row>
    <row r="45" spans="1:23" s="18" customFormat="1" ht="12.75" customHeight="1">
      <c r="A45" s="18" t="s">
        <v>43</v>
      </c>
      <c r="B45" s="22">
        <v>37874.745851255131</v>
      </c>
      <c r="C45" s="22">
        <v>40689.147123603136</v>
      </c>
      <c r="D45" s="22">
        <v>46681.649997881177</v>
      </c>
      <c r="E45" s="22">
        <v>49866.048317562716</v>
      </c>
      <c r="F45" s="22">
        <v>57505.219240841077</v>
      </c>
      <c r="G45" s="22">
        <v>64276.300971995501</v>
      </c>
      <c r="H45" s="22">
        <v>70629.636395354581</v>
      </c>
      <c r="I45" s="22">
        <v>85891.704834225558</v>
      </c>
      <c r="J45" s="22">
        <v>104512.68972520478</v>
      </c>
      <c r="K45" s="22">
        <v>109402.56614870168</v>
      </c>
      <c r="L45" s="22">
        <v>141660</v>
      </c>
      <c r="M45" s="22">
        <v>165557</v>
      </c>
      <c r="N45" s="22">
        <v>183063</v>
      </c>
      <c r="O45" s="22">
        <v>203421</v>
      </c>
      <c r="P45" s="22">
        <v>227757</v>
      </c>
      <c r="Q45" s="22">
        <v>226500</v>
      </c>
      <c r="R45" s="22">
        <v>235979</v>
      </c>
      <c r="S45" s="22">
        <v>246075</v>
      </c>
      <c r="T45" s="22">
        <v>264664</v>
      </c>
      <c r="U45" s="22">
        <v>284471</v>
      </c>
      <c r="V45" s="22">
        <v>273239</v>
      </c>
      <c r="W45" s="22">
        <v>304042</v>
      </c>
    </row>
    <row r="46" spans="1:23" s="18" customFormat="1" ht="12.75" customHeight="1">
      <c r="A46" s="18" t="s">
        <v>44</v>
      </c>
      <c r="B46" s="22">
        <v>44143.044109504081</v>
      </c>
      <c r="C46" s="22">
        <v>51368.991011044163</v>
      </c>
      <c r="D46" s="22">
        <v>54166.524570304427</v>
      </c>
      <c r="E46" s="22">
        <v>60523.270331856824</v>
      </c>
      <c r="F46" s="22">
        <v>75342.637099077183</v>
      </c>
      <c r="G46" s="22">
        <v>84032.623378863253</v>
      </c>
      <c r="H46" s="22">
        <v>88981.192511601912</v>
      </c>
      <c r="I46" s="22">
        <v>102362.27333988971</v>
      </c>
      <c r="J46" s="22">
        <v>114634.25504978932</v>
      </c>
      <c r="K46" s="22">
        <v>122172.98566307353</v>
      </c>
      <c r="L46" s="22">
        <v>126542</v>
      </c>
      <c r="M46" s="22">
        <v>137006</v>
      </c>
      <c r="N46" s="22">
        <v>148451</v>
      </c>
      <c r="O46" s="22">
        <v>157509</v>
      </c>
      <c r="P46" s="22">
        <v>168610</v>
      </c>
      <c r="Q46" s="22">
        <v>176004</v>
      </c>
      <c r="R46" s="22">
        <v>179030</v>
      </c>
      <c r="S46" s="22">
        <v>194509</v>
      </c>
      <c r="T46" s="22">
        <v>206093</v>
      </c>
      <c r="U46" s="22">
        <v>218876</v>
      </c>
      <c r="V46" s="22">
        <v>237574</v>
      </c>
      <c r="W46" s="22">
        <v>264531</v>
      </c>
    </row>
    <row r="47" spans="1:23" s="18" customFormat="1" ht="12.75" customHeight="1">
      <c r="A47" s="18" t="s">
        <v>45</v>
      </c>
      <c r="B47" s="22">
        <v>70489.19140969518</v>
      </c>
      <c r="C47" s="22">
        <v>79911.624116944455</v>
      </c>
      <c r="D47" s="22">
        <v>100574.19313058612</v>
      </c>
      <c r="E47" s="22">
        <v>109492.56906932066</v>
      </c>
      <c r="F47" s="22">
        <v>108315.66092138458</v>
      </c>
      <c r="G47" s="22">
        <v>131519.86521337763</v>
      </c>
      <c r="H47" s="22">
        <v>147467.89052066064</v>
      </c>
      <c r="I47" s="22">
        <v>170175.73642902292</v>
      </c>
      <c r="J47" s="22">
        <v>170819.27906462422</v>
      </c>
      <c r="K47" s="22">
        <v>187593.27261675877</v>
      </c>
      <c r="L47" s="22">
        <v>224561</v>
      </c>
      <c r="M47" s="22">
        <v>239426</v>
      </c>
      <c r="N47" s="22">
        <v>260312</v>
      </c>
      <c r="O47" s="22">
        <v>272571</v>
      </c>
      <c r="P47" s="22">
        <v>318680</v>
      </c>
      <c r="Q47" s="22">
        <v>365276</v>
      </c>
      <c r="R47" s="22">
        <v>425532</v>
      </c>
      <c r="S47" s="22">
        <v>429463</v>
      </c>
      <c r="T47" s="22">
        <v>422662</v>
      </c>
      <c r="U47" s="22">
        <v>460292</v>
      </c>
      <c r="V47" s="22">
        <v>454550</v>
      </c>
      <c r="W47" s="22">
        <v>447048</v>
      </c>
    </row>
    <row r="48" spans="1:23" s="18" customFormat="1" ht="12.75" customHeight="1">
      <c r="A48" s="18" t="s">
        <v>46</v>
      </c>
      <c r="B48" s="22">
        <v>126155.29082244058</v>
      </c>
      <c r="C48" s="22">
        <v>128132.53561595519</v>
      </c>
      <c r="D48" s="22">
        <v>136512.04330166103</v>
      </c>
      <c r="E48" s="22">
        <v>146008.96089678642</v>
      </c>
      <c r="F48" s="22">
        <v>158634.79209823292</v>
      </c>
      <c r="G48" s="22">
        <v>171818.23902084091</v>
      </c>
      <c r="H48" s="22">
        <v>182976.81662635758</v>
      </c>
      <c r="I48" s="22">
        <v>204197.80391759344</v>
      </c>
      <c r="J48" s="22">
        <v>221299.43306908733</v>
      </c>
      <c r="K48" s="22">
        <v>247216.98319591474</v>
      </c>
      <c r="L48" s="22">
        <v>274420</v>
      </c>
      <c r="M48" s="22">
        <v>311380</v>
      </c>
      <c r="N48" s="22">
        <v>358947</v>
      </c>
      <c r="O48" s="22">
        <v>419202</v>
      </c>
      <c r="P48" s="22">
        <v>463781</v>
      </c>
      <c r="Q48" s="22">
        <v>498884</v>
      </c>
      <c r="R48" s="22">
        <v>527006</v>
      </c>
      <c r="S48" s="22">
        <v>558054</v>
      </c>
      <c r="T48" s="22">
        <v>588036</v>
      </c>
      <c r="U48" s="22">
        <v>619584</v>
      </c>
      <c r="V48" s="22">
        <v>656013</v>
      </c>
      <c r="W48" s="22">
        <v>699465</v>
      </c>
    </row>
    <row r="49" spans="1:23" s="18" customFormat="1" ht="12.75" customHeight="1">
      <c r="A49" s="18" t="s">
        <v>47</v>
      </c>
      <c r="B49" s="22">
        <v>5346.0588804222552</v>
      </c>
      <c r="C49" s="22">
        <v>5159.2556975830339</v>
      </c>
      <c r="D49" s="22">
        <v>5865.1678669281255</v>
      </c>
      <c r="E49" s="22">
        <v>6578.4992583731546</v>
      </c>
      <c r="F49" s="22">
        <v>5265.2375705938548</v>
      </c>
      <c r="G49" s="22">
        <v>5995.6098991247545</v>
      </c>
      <c r="H49" s="22">
        <v>7073.5555131261399</v>
      </c>
      <c r="I49" s="22">
        <v>7999.8441751619957</v>
      </c>
      <c r="J49" s="22">
        <v>8626.9352160741328</v>
      </c>
      <c r="K49" s="22">
        <v>9482.6623266334063</v>
      </c>
      <c r="L49" s="22">
        <v>10033</v>
      </c>
      <c r="M49" s="22">
        <v>9807</v>
      </c>
      <c r="N49" s="22">
        <v>11192</v>
      </c>
      <c r="O49" s="22">
        <v>12544</v>
      </c>
      <c r="P49" s="22">
        <v>14007</v>
      </c>
      <c r="Q49" s="22">
        <v>13700</v>
      </c>
      <c r="R49" s="22">
        <v>14454</v>
      </c>
      <c r="S49" s="22">
        <v>15456</v>
      </c>
      <c r="T49" s="22">
        <v>17156</v>
      </c>
      <c r="U49" s="22">
        <v>18437</v>
      </c>
      <c r="V49" s="22">
        <v>15952</v>
      </c>
      <c r="W49" s="22">
        <v>15892</v>
      </c>
    </row>
    <row r="50" spans="1:23" s="18" customFormat="1" ht="12.75" customHeight="1">
      <c r="A50" s="18" t="s">
        <v>48</v>
      </c>
      <c r="B50" s="22">
        <v>22557.977176308592</v>
      </c>
      <c r="C50" s="22">
        <v>24064.973805853922</v>
      </c>
      <c r="D50" s="22">
        <v>25695.773783371544</v>
      </c>
      <c r="E50" s="22">
        <v>24860.129879633991</v>
      </c>
      <c r="F50" s="22">
        <v>26257.936807707134</v>
      </c>
      <c r="G50" s="22">
        <v>29455.548642654358</v>
      </c>
      <c r="H50" s="22">
        <v>38716.966604157344</v>
      </c>
      <c r="I50" s="22">
        <v>46393.096079944167</v>
      </c>
      <c r="J50" s="22">
        <v>46237.047555484751</v>
      </c>
      <c r="K50" s="22">
        <v>57126.217533110364</v>
      </c>
      <c r="L50" s="22">
        <v>70204</v>
      </c>
      <c r="M50" s="22">
        <v>82354</v>
      </c>
      <c r="N50" s="22">
        <v>94232</v>
      </c>
      <c r="O50" s="22">
        <v>108067</v>
      </c>
      <c r="P50" s="22">
        <v>124932</v>
      </c>
      <c r="Q50" s="22">
        <v>122630</v>
      </c>
      <c r="R50" s="22">
        <v>127829</v>
      </c>
      <c r="S50" s="22">
        <v>137554</v>
      </c>
      <c r="T50" s="22">
        <v>145333</v>
      </c>
      <c r="U50" s="22">
        <v>158189</v>
      </c>
      <c r="V50" s="22">
        <v>117465</v>
      </c>
      <c r="W50" s="22">
        <v>137127</v>
      </c>
    </row>
    <row r="51" spans="1:23" s="18" customFormat="1" ht="12.75" customHeight="1">
      <c r="A51" s="18" t="s">
        <v>49</v>
      </c>
      <c r="B51" s="22">
        <v>58131.64176922568</v>
      </c>
      <c r="C51" s="22">
        <v>61846.441288106173</v>
      </c>
      <c r="D51" s="22">
        <v>71360.47281816465</v>
      </c>
      <c r="E51" s="22">
        <v>81437.267576978309</v>
      </c>
      <c r="F51" s="22">
        <v>89456.723136917615</v>
      </c>
      <c r="G51" s="22">
        <v>100441.82666549386</v>
      </c>
      <c r="H51" s="22">
        <v>118325.39721130597</v>
      </c>
      <c r="I51" s="22">
        <v>135195.57640551106</v>
      </c>
      <c r="J51" s="22">
        <v>156649.41644661344</v>
      </c>
      <c r="K51" s="22">
        <v>178726.21662333235</v>
      </c>
      <c r="L51" s="22">
        <v>211480</v>
      </c>
      <c r="M51" s="22">
        <v>241625</v>
      </c>
      <c r="N51" s="22">
        <v>274726</v>
      </c>
      <c r="O51" s="22">
        <v>310474</v>
      </c>
      <c r="P51" s="22">
        <v>339400</v>
      </c>
      <c r="Q51" s="22">
        <v>348356</v>
      </c>
      <c r="R51" s="22">
        <v>365713</v>
      </c>
      <c r="S51" s="22">
        <v>370186</v>
      </c>
      <c r="T51" s="22">
        <v>397919</v>
      </c>
      <c r="U51" s="22">
        <v>426084</v>
      </c>
      <c r="V51" s="22">
        <v>446304</v>
      </c>
      <c r="W51" s="22">
        <v>514949</v>
      </c>
    </row>
    <row r="52" spans="1:23" s="18" customFormat="1" ht="12.75" customHeight="1">
      <c r="A52" s="18" t="s">
        <v>50</v>
      </c>
      <c r="B52" s="22">
        <v>15788.463612935626</v>
      </c>
      <c r="C52" s="22">
        <v>16612.751085429365</v>
      </c>
      <c r="D52" s="22">
        <v>19618.442847758633</v>
      </c>
      <c r="E52" s="22">
        <v>22305.294095610319</v>
      </c>
      <c r="F52" s="22">
        <v>25992.645379282909</v>
      </c>
      <c r="G52" s="22">
        <v>22006.914728543779</v>
      </c>
      <c r="H52" s="22">
        <v>27180.873689688331</v>
      </c>
      <c r="I52" s="22">
        <v>28873.731797942855</v>
      </c>
      <c r="J52" s="22">
        <v>30219.08512964546</v>
      </c>
      <c r="K52" s="22">
        <v>33093.829837773563</v>
      </c>
      <c r="L52" s="22">
        <v>36830</v>
      </c>
      <c r="M52" s="22">
        <v>42023</v>
      </c>
      <c r="N52" s="22">
        <v>49520</v>
      </c>
      <c r="O52" s="22">
        <v>56703</v>
      </c>
      <c r="P52" s="22">
        <v>68794</v>
      </c>
      <c r="Q52" s="22">
        <v>76654</v>
      </c>
      <c r="R52" s="22">
        <v>84203</v>
      </c>
      <c r="S52" s="22">
        <v>93823</v>
      </c>
      <c r="T52" s="22">
        <v>102884</v>
      </c>
      <c r="U52" s="22">
        <v>104976</v>
      </c>
      <c r="V52" s="22">
        <v>95909</v>
      </c>
      <c r="W52" s="22">
        <v>100728</v>
      </c>
    </row>
    <row r="53" spans="1:23" s="18" customFormat="1" ht="12.75" customHeight="1">
      <c r="A53" s="18" t="s">
        <v>51</v>
      </c>
      <c r="B53" s="22">
        <v>23558.252871101085</v>
      </c>
      <c r="C53" s="22">
        <v>25694.449906695139</v>
      </c>
      <c r="D53" s="22">
        <v>29772.505358123737</v>
      </c>
      <c r="E53" s="22">
        <v>32343.966181270211</v>
      </c>
      <c r="F53" s="22">
        <v>35434.337661176796</v>
      </c>
      <c r="G53" s="22">
        <v>35772.007901473895</v>
      </c>
      <c r="H53" s="22">
        <v>43461.604696647482</v>
      </c>
      <c r="I53" s="22">
        <v>48255.270820276848</v>
      </c>
      <c r="J53" s="22">
        <v>52194.43030262176</v>
      </c>
      <c r="K53" s="22">
        <v>58331.920324938728</v>
      </c>
      <c r="L53" s="22">
        <v>62184</v>
      </c>
      <c r="M53" s="22">
        <v>70520</v>
      </c>
      <c r="N53" s="22">
        <v>88543</v>
      </c>
      <c r="O53" s="22">
        <v>104106</v>
      </c>
      <c r="P53" s="22">
        <v>122447</v>
      </c>
      <c r="Q53" s="22">
        <v>133285</v>
      </c>
      <c r="R53" s="22">
        <v>141574</v>
      </c>
      <c r="S53" s="22">
        <v>150676</v>
      </c>
      <c r="T53" s="22">
        <v>169778</v>
      </c>
      <c r="U53" s="22">
        <v>181271</v>
      </c>
      <c r="V53" s="22">
        <v>179302</v>
      </c>
      <c r="W53" s="22">
        <v>222222</v>
      </c>
    </row>
    <row r="54" spans="1:23" s="18" customFormat="1" ht="12.75" customHeight="1">
      <c r="A54" s="18" t="s">
        <v>52</v>
      </c>
      <c r="B54" s="22">
        <v>36863.979145173595</v>
      </c>
      <c r="C54" s="22">
        <v>35073.434726991414</v>
      </c>
      <c r="D54" s="22">
        <v>40939.976573408945</v>
      </c>
      <c r="E54" s="22">
        <v>41907.19653435683</v>
      </c>
      <c r="F54" s="22">
        <v>48932.273309579963</v>
      </c>
      <c r="G54" s="22">
        <v>56391.898079804756</v>
      </c>
      <c r="H54" s="22">
        <v>64455.053468220241</v>
      </c>
      <c r="I54" s="22">
        <v>65622.894841150744</v>
      </c>
      <c r="J54" s="22">
        <v>74778.433791879332</v>
      </c>
      <c r="K54" s="22">
        <v>82156.912016090107</v>
      </c>
      <c r="L54" s="22">
        <v>86428</v>
      </c>
      <c r="M54" s="22">
        <v>98970</v>
      </c>
      <c r="N54" s="22">
        <v>111091</v>
      </c>
      <c r="O54" s="22">
        <v>123317</v>
      </c>
      <c r="P54" s="22">
        <v>139723</v>
      </c>
      <c r="Q54" s="22">
        <v>141267</v>
      </c>
      <c r="R54" s="22">
        <v>147961</v>
      </c>
      <c r="S54" s="22">
        <v>156767</v>
      </c>
      <c r="T54" s="22">
        <v>170921</v>
      </c>
      <c r="U54" s="22">
        <v>184147</v>
      </c>
      <c r="V54" s="22">
        <v>167951</v>
      </c>
      <c r="W54" s="22">
        <v>177082</v>
      </c>
    </row>
    <row r="55" spans="1:23" s="18" customFormat="1" ht="12.75" customHeight="1">
      <c r="A55" s="18" t="s">
        <v>53</v>
      </c>
      <c r="B55" s="22">
        <v>12116.6572594356</v>
      </c>
      <c r="C55" s="22">
        <v>13220.6650799048</v>
      </c>
      <c r="D55" s="22">
        <v>14976.1060863652</v>
      </c>
      <c r="E55" s="22">
        <v>17128.284597075799</v>
      </c>
      <c r="F55" s="22">
        <v>19759.4869092146</v>
      </c>
      <c r="G55" s="22">
        <v>22087.993199592001</v>
      </c>
      <c r="H55" s="22">
        <v>25201.158109486601</v>
      </c>
      <c r="I55" s="22">
        <v>27428.765725943598</v>
      </c>
      <c r="J55" s="22">
        <v>30216.7038422306</v>
      </c>
      <c r="K55" s="22">
        <v>36931.853451207098</v>
      </c>
      <c r="L55" s="22">
        <v>40334</v>
      </c>
      <c r="M55" s="22">
        <v>44434</v>
      </c>
      <c r="N55" s="22">
        <v>47365</v>
      </c>
      <c r="O55" s="22">
        <v>53656</v>
      </c>
      <c r="P55" s="22">
        <v>58164</v>
      </c>
      <c r="Q55" s="22">
        <v>61996</v>
      </c>
      <c r="R55" s="22">
        <v>68278</v>
      </c>
      <c r="S55" s="22">
        <v>71458</v>
      </c>
      <c r="T55" s="22">
        <v>74451</v>
      </c>
      <c r="U55" s="22">
        <v>75158</v>
      </c>
      <c r="V55" s="22">
        <v>59474</v>
      </c>
      <c r="W55" s="22">
        <v>61371</v>
      </c>
    </row>
    <row r="56" spans="1:23" s="18" customFormat="1" ht="12.75" customHeight="1">
      <c r="A56" s="18" t="s">
        <v>54</v>
      </c>
      <c r="B56" s="22">
        <v>39568.044984498221</v>
      </c>
      <c r="C56" s="22">
        <v>42017.11109416408</v>
      </c>
      <c r="D56" s="22">
        <v>48787.121344576604</v>
      </c>
      <c r="E56" s="22">
        <v>53817.716353314121</v>
      </c>
      <c r="F56" s="22">
        <v>54915.259158257657</v>
      </c>
      <c r="G56" s="22">
        <v>62616.385173828508</v>
      </c>
      <c r="H56" s="22">
        <v>72567.841233241648</v>
      </c>
      <c r="I56" s="22">
        <v>85075.169715995973</v>
      </c>
      <c r="J56" s="22">
        <v>101782.20962591941</v>
      </c>
      <c r="K56" s="22">
        <v>114727.00096579985</v>
      </c>
      <c r="L56" s="22">
        <v>127157</v>
      </c>
      <c r="M56" s="22">
        <v>154661</v>
      </c>
      <c r="N56" s="22">
        <v>165213</v>
      </c>
      <c r="O56" s="22">
        <v>201645</v>
      </c>
      <c r="P56" s="22">
        <v>231854</v>
      </c>
      <c r="Q56" s="22">
        <v>257301</v>
      </c>
      <c r="R56" s="22">
        <v>272681</v>
      </c>
      <c r="S56" s="22">
        <v>283544</v>
      </c>
      <c r="T56" s="22">
        <v>295133</v>
      </c>
      <c r="U56" s="22">
        <v>320162</v>
      </c>
      <c r="V56" s="22">
        <v>325997</v>
      </c>
      <c r="W56" s="22">
        <v>340323</v>
      </c>
    </row>
    <row r="57" spans="1:23" s="18" customFormat="1" ht="12.75" customHeight="1">
      <c r="A57" s="18" t="s">
        <v>55</v>
      </c>
      <c r="B57" s="22">
        <v>18123.9387673399</v>
      </c>
      <c r="C57" s="22">
        <v>19690.533874269364</v>
      </c>
      <c r="D57" s="22">
        <v>24180.664506437664</v>
      </c>
      <c r="E57" s="22">
        <v>27219.366431583621</v>
      </c>
      <c r="F57" s="22">
        <v>31306.560120953796</v>
      </c>
      <c r="G57" s="22">
        <v>33413.966969789202</v>
      </c>
      <c r="H57" s="22">
        <v>37786.283460390288</v>
      </c>
      <c r="I57" s="22">
        <v>45648.540647430505</v>
      </c>
      <c r="J57" s="22">
        <v>53521.328974797012</v>
      </c>
      <c r="K57" s="22">
        <v>60429.623094865907</v>
      </c>
      <c r="L57" s="22">
        <v>67369</v>
      </c>
      <c r="M57" s="22">
        <v>73702</v>
      </c>
      <c r="N57" s="22">
        <v>81743</v>
      </c>
      <c r="O57" s="22">
        <v>96938</v>
      </c>
      <c r="P57" s="22">
        <v>110181</v>
      </c>
      <c r="Q57" s="22">
        <v>119144</v>
      </c>
      <c r="R57" s="22">
        <v>127682</v>
      </c>
      <c r="S57" s="22">
        <v>129831</v>
      </c>
      <c r="T57" s="22">
        <v>134229</v>
      </c>
      <c r="U57" s="22">
        <v>139806</v>
      </c>
      <c r="V57" s="22">
        <v>151995</v>
      </c>
      <c r="W57" s="22">
        <v>158689</v>
      </c>
    </row>
    <row r="58" spans="1:23" s="18" customFormat="1" ht="12.75" customHeight="1">
      <c r="A58" s="18" t="s">
        <v>56</v>
      </c>
      <c r="B58" s="22">
        <v>104144.85794677763</v>
      </c>
      <c r="C58" s="22">
        <v>122488.34322147918</v>
      </c>
      <c r="D58" s="22">
        <v>136420.89704725085</v>
      </c>
      <c r="E58" s="22">
        <v>154618.75359383284</v>
      </c>
      <c r="F58" s="22">
        <v>173456.79264139829</v>
      </c>
      <c r="G58" s="22">
        <v>199099.56117671472</v>
      </c>
      <c r="H58" s="22">
        <v>223265.66272200856</v>
      </c>
      <c r="I58" s="22">
        <v>246386.46588963945</v>
      </c>
      <c r="J58" s="22">
        <v>278919.14209328871</v>
      </c>
      <c r="K58" s="22">
        <v>312022.17625409004</v>
      </c>
      <c r="L58" s="22">
        <v>343319</v>
      </c>
      <c r="M58" s="22">
        <v>369696</v>
      </c>
      <c r="N58" s="22">
        <v>405145</v>
      </c>
      <c r="O58" s="22">
        <v>447604</v>
      </c>
      <c r="P58" s="22">
        <v>474773</v>
      </c>
      <c r="Q58" s="22">
        <v>509142</v>
      </c>
      <c r="R58" s="22">
        <v>544758</v>
      </c>
      <c r="S58" s="22">
        <v>587600</v>
      </c>
      <c r="T58" s="22">
        <v>616023</v>
      </c>
      <c r="U58" s="22">
        <v>646123</v>
      </c>
      <c r="V58" s="22">
        <v>668908</v>
      </c>
      <c r="W58" s="22">
        <v>719944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6201-4B55-4F16-BC81-0498EBEFF3C0}">
  <dimension ref="A1:W58"/>
  <sheetViews>
    <sheetView workbookViewId="0">
      <selection activeCell="G30" sqref="G30"/>
    </sheetView>
  </sheetViews>
  <sheetFormatPr baseColWidth="10" defaultRowHeight="10.5"/>
  <cols>
    <col min="1" max="1" width="41.6328125" style="6" bestFit="1" customWidth="1"/>
    <col min="2" max="16384" width="10.90625" style="6"/>
  </cols>
  <sheetData>
    <row r="1" spans="1:23" ht="12" customHeight="1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</row>
    <row r="2" spans="1:23" ht="12" customHeight="1">
      <c r="A2" s="1" t="s">
        <v>57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4"/>
      <c r="N2" s="4"/>
      <c r="O2" s="4"/>
      <c r="P2" s="4"/>
      <c r="Q2" s="4"/>
      <c r="R2" s="4"/>
      <c r="S2" s="4"/>
      <c r="T2" s="4"/>
    </row>
    <row r="3" spans="1:23" ht="9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2"/>
      <c r="N3" s="2"/>
      <c r="O3" s="2"/>
      <c r="P3" s="2"/>
      <c r="Q3" s="2"/>
      <c r="R3" s="2"/>
      <c r="S3" s="2"/>
      <c r="T3" s="2"/>
    </row>
    <row r="4" spans="1:23" ht="15" customHeight="1">
      <c r="A4" s="7" t="s">
        <v>2</v>
      </c>
      <c r="B4" s="8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3" ht="15" customHeight="1">
      <c r="A5" s="10"/>
      <c r="B5" s="11">
        <v>2000</v>
      </c>
      <c r="C5" s="12">
        <v>2001</v>
      </c>
      <c r="D5" s="12">
        <v>2002</v>
      </c>
      <c r="E5" s="12">
        <v>2003</v>
      </c>
      <c r="F5" s="12">
        <v>2004</v>
      </c>
      <c r="G5" s="12">
        <v>2005</v>
      </c>
      <c r="H5" s="12">
        <v>2006</v>
      </c>
      <c r="I5" s="12">
        <v>2007</v>
      </c>
      <c r="J5" s="12">
        <v>2008</v>
      </c>
      <c r="K5" s="12">
        <v>2009</v>
      </c>
      <c r="L5" s="12">
        <v>2010</v>
      </c>
      <c r="M5" s="12">
        <v>2011</v>
      </c>
      <c r="N5" s="12">
        <v>2012</v>
      </c>
      <c r="O5" s="8">
        <v>2013</v>
      </c>
      <c r="P5" s="8">
        <v>2014</v>
      </c>
      <c r="Q5" s="8">
        <v>2015</v>
      </c>
      <c r="R5" s="8">
        <v>2016</v>
      </c>
      <c r="S5" s="8">
        <v>2017</v>
      </c>
      <c r="T5" s="8">
        <v>2018</v>
      </c>
      <c r="U5" s="8">
        <v>2019</v>
      </c>
      <c r="V5" s="8">
        <v>2020</v>
      </c>
      <c r="W5" s="8">
        <v>2021</v>
      </c>
    </row>
    <row r="6" spans="1:23" ht="20.149999999999999" customHeight="1">
      <c r="A6" s="13"/>
      <c r="B6" s="14" t="s">
        <v>4</v>
      </c>
      <c r="C6" s="15" t="s">
        <v>58</v>
      </c>
      <c r="D6" s="15" t="s">
        <v>58</v>
      </c>
      <c r="E6" s="15" t="s">
        <v>58</v>
      </c>
      <c r="F6" s="15" t="s">
        <v>58</v>
      </c>
      <c r="G6" s="15" t="s">
        <v>58</v>
      </c>
      <c r="H6" s="15" t="s">
        <v>58</v>
      </c>
      <c r="I6" s="15" t="s">
        <v>58</v>
      </c>
      <c r="J6" s="15" t="s">
        <v>58</v>
      </c>
      <c r="K6" s="15" t="s">
        <v>58</v>
      </c>
      <c r="L6" s="15" t="s">
        <v>58</v>
      </c>
      <c r="M6" s="15" t="s">
        <v>58</v>
      </c>
      <c r="N6" s="15" t="s">
        <v>58</v>
      </c>
      <c r="O6" s="15" t="s">
        <v>58</v>
      </c>
      <c r="P6" s="15" t="s">
        <v>58</v>
      </c>
      <c r="Q6" s="15" t="s">
        <v>58</v>
      </c>
      <c r="R6" s="15" t="s">
        <v>58</v>
      </c>
      <c r="S6" s="15" t="s">
        <v>58</v>
      </c>
      <c r="T6" s="15" t="s">
        <v>58</v>
      </c>
      <c r="U6" s="15" t="s">
        <v>58</v>
      </c>
      <c r="V6" s="15" t="s">
        <v>58</v>
      </c>
      <c r="W6" s="15" t="s">
        <v>58</v>
      </c>
    </row>
    <row r="7" spans="1:23" ht="15" customHeight="1">
      <c r="A7" s="16" t="s">
        <v>59</v>
      </c>
      <c r="B7" s="17">
        <f t="shared" ref="B7" si="0">SUM(B8:B58)</f>
        <v>1031326.3780281853</v>
      </c>
      <c r="C7" s="17">
        <f t="shared" ref="C7:W7" si="1">SUM(C8:C58)</f>
        <v>1046931.331530625</v>
      </c>
      <c r="D7" s="17">
        <f t="shared" si="1"/>
        <v>1160527.4948200781</v>
      </c>
      <c r="E7" s="17">
        <f t="shared" si="1"/>
        <v>1285796.4180113194</v>
      </c>
      <c r="F7" s="17">
        <f t="shared" si="1"/>
        <v>1553911.2197897299</v>
      </c>
      <c r="G7" s="17">
        <f t="shared" si="1"/>
        <v>1712074.2547537526</v>
      </c>
      <c r="H7" s="17">
        <f t="shared" si="1"/>
        <v>1910748.6572286515</v>
      </c>
      <c r="I7" s="17">
        <f t="shared" si="1"/>
        <v>2168132.5683186157</v>
      </c>
      <c r="J7" s="17">
        <f t="shared" si="1"/>
        <v>2428003.4973515049</v>
      </c>
      <c r="K7" s="17">
        <f t="shared" si="1"/>
        <v>2623933.8409837913</v>
      </c>
      <c r="L7" s="17">
        <f t="shared" si="1"/>
        <v>3048567.617263163</v>
      </c>
      <c r="M7" s="17">
        <f t="shared" si="1"/>
        <v>3426470</v>
      </c>
      <c r="N7" s="17">
        <f t="shared" si="1"/>
        <v>3780432</v>
      </c>
      <c r="O7" s="17">
        <f t="shared" si="1"/>
        <v>4212000</v>
      </c>
      <c r="P7" s="17">
        <f t="shared" si="1"/>
        <v>4574753</v>
      </c>
      <c r="Q7" s="17">
        <f t="shared" si="1"/>
        <v>4816089</v>
      </c>
      <c r="R7" s="17">
        <f t="shared" si="1"/>
        <v>5006081</v>
      </c>
      <c r="S7" s="17">
        <f t="shared" si="1"/>
        <v>5487798</v>
      </c>
      <c r="T7" s="17">
        <f t="shared" si="1"/>
        <v>5771532</v>
      </c>
      <c r="U7" s="17">
        <f t="shared" si="1"/>
        <v>6069992</v>
      </c>
      <c r="V7" s="17">
        <f t="shared" si="1"/>
        <v>6154282</v>
      </c>
      <c r="W7" s="17">
        <f t="shared" si="1"/>
        <v>6894278</v>
      </c>
    </row>
    <row r="8" spans="1:23">
      <c r="A8" s="18" t="s">
        <v>6</v>
      </c>
      <c r="B8" s="19">
        <v>39059.058551022026</v>
      </c>
      <c r="C8" s="19">
        <v>41816.938764456965</v>
      </c>
      <c r="D8" s="19">
        <v>47989.797145990102</v>
      </c>
      <c r="E8" s="19">
        <v>65591.279543763609</v>
      </c>
      <c r="F8" s="19">
        <v>79972.847111988478</v>
      </c>
      <c r="G8" s="19">
        <v>81386.837191581013</v>
      </c>
      <c r="H8" s="19">
        <v>74538.737342491702</v>
      </c>
      <c r="I8" s="19">
        <v>78405.908137621271</v>
      </c>
      <c r="J8" s="19">
        <v>92041.907072395028</v>
      </c>
      <c r="K8" s="19">
        <v>93857.585705568359</v>
      </c>
      <c r="L8" s="19">
        <v>113797.10285184794</v>
      </c>
      <c r="M8" s="19">
        <v>119015</v>
      </c>
      <c r="N8" s="19">
        <v>131577</v>
      </c>
      <c r="O8" s="19">
        <v>158040</v>
      </c>
      <c r="P8" s="19">
        <v>177708</v>
      </c>
      <c r="Q8" s="19">
        <v>183736</v>
      </c>
      <c r="R8" s="19">
        <v>166129</v>
      </c>
      <c r="S8" s="19">
        <v>260895</v>
      </c>
      <c r="T8" s="19">
        <v>219974</v>
      </c>
      <c r="U8" s="19">
        <v>227256</v>
      </c>
      <c r="V8" s="19">
        <v>235044</v>
      </c>
      <c r="W8" s="19">
        <v>320027</v>
      </c>
    </row>
    <row r="9" spans="1:23">
      <c r="A9" s="18" t="s">
        <v>7</v>
      </c>
      <c r="B9" s="19">
        <v>17903.330307510765</v>
      </c>
      <c r="C9" s="19">
        <v>18107.688142199426</v>
      </c>
      <c r="D9" s="19">
        <v>20246.529705985035</v>
      </c>
      <c r="E9" s="19">
        <v>22694.846300139372</v>
      </c>
      <c r="F9" s="19">
        <v>28090.13836910843</v>
      </c>
      <c r="G9" s="19">
        <v>30768.158335693897</v>
      </c>
      <c r="H9" s="19">
        <v>31102.659892662694</v>
      </c>
      <c r="I9" s="19">
        <v>30307.006080300394</v>
      </c>
      <c r="J9" s="19">
        <v>35043.72249126056</v>
      </c>
      <c r="K9" s="19">
        <v>42896.957827303246</v>
      </c>
      <c r="L9" s="19">
        <v>45408.220772312859</v>
      </c>
      <c r="M9" s="19">
        <v>49935</v>
      </c>
      <c r="N9" s="19">
        <v>52590</v>
      </c>
      <c r="O9" s="19">
        <v>59436</v>
      </c>
      <c r="P9" s="19">
        <v>69288</v>
      </c>
      <c r="Q9" s="19">
        <v>74524</v>
      </c>
      <c r="R9" s="19">
        <v>79309</v>
      </c>
      <c r="S9" s="19">
        <v>89159</v>
      </c>
      <c r="T9" s="19">
        <v>86957</v>
      </c>
      <c r="U9" s="19">
        <v>83640</v>
      </c>
      <c r="V9" s="19">
        <v>88641</v>
      </c>
      <c r="W9" s="19">
        <v>114609</v>
      </c>
    </row>
    <row r="10" spans="1:23">
      <c r="A10" s="18" t="s">
        <v>8</v>
      </c>
      <c r="B10" s="19">
        <v>10450.258510814831</v>
      </c>
      <c r="C10" s="19">
        <v>11360.593358557275</v>
      </c>
      <c r="D10" s="19">
        <v>16709.714469877534</v>
      </c>
      <c r="E10" s="19">
        <v>20165.656114650144</v>
      </c>
      <c r="F10" s="19">
        <v>23209.464351860606</v>
      </c>
      <c r="G10" s="19">
        <v>31283.971688542792</v>
      </c>
      <c r="H10" s="19">
        <v>46145.31333507847</v>
      </c>
      <c r="I10" s="19">
        <v>56329.042411483206</v>
      </c>
      <c r="J10" s="19">
        <v>51939.957567067482</v>
      </c>
      <c r="K10" s="19">
        <v>74824.559866527648</v>
      </c>
      <c r="L10" s="19">
        <v>45295.421107855625</v>
      </c>
      <c r="M10" s="19">
        <v>64982</v>
      </c>
      <c r="N10" s="19">
        <v>96029</v>
      </c>
      <c r="O10" s="19">
        <v>120714</v>
      </c>
      <c r="P10" s="19">
        <v>138254</v>
      </c>
      <c r="Q10" s="19">
        <v>138046</v>
      </c>
      <c r="R10" s="19">
        <v>76986</v>
      </c>
      <c r="S10" s="19">
        <v>21547</v>
      </c>
      <c r="T10" s="19">
        <v>41105</v>
      </c>
      <c r="U10" s="19">
        <v>108244</v>
      </c>
      <c r="V10" s="19">
        <v>123301</v>
      </c>
      <c r="W10" s="19">
        <v>92386</v>
      </c>
    </row>
    <row r="11" spans="1:23">
      <c r="A11" s="18" t="s">
        <v>9</v>
      </c>
      <c r="B11" s="19">
        <v>2101.0145298591306</v>
      </c>
      <c r="C11" s="19">
        <v>2028.1265748046999</v>
      </c>
      <c r="D11" s="19">
        <v>2843.2861270874055</v>
      </c>
      <c r="E11" s="19">
        <v>4761.215777789047</v>
      </c>
      <c r="F11" s="19">
        <v>6255.1408211171602</v>
      </c>
      <c r="G11" s="19">
        <v>8090.7731978019965</v>
      </c>
      <c r="H11" s="19">
        <v>12393.026687280175</v>
      </c>
      <c r="I11" s="19">
        <v>12388.661891387997</v>
      </c>
      <c r="J11" s="19">
        <v>11636.814611428483</v>
      </c>
      <c r="K11" s="19">
        <v>14224.343360979594</v>
      </c>
      <c r="L11" s="19">
        <v>19126.8925942487</v>
      </c>
      <c r="M11" s="19">
        <v>38510</v>
      </c>
      <c r="N11" s="19">
        <v>51535</v>
      </c>
      <c r="O11" s="19">
        <v>46984</v>
      </c>
      <c r="P11" s="19">
        <v>57347</v>
      </c>
      <c r="Q11" s="19">
        <v>46984</v>
      </c>
      <c r="R11" s="19">
        <v>20806</v>
      </c>
      <c r="S11" s="19">
        <v>24667</v>
      </c>
      <c r="T11" s="19">
        <v>37534</v>
      </c>
      <c r="U11" s="19">
        <v>23313</v>
      </c>
      <c r="V11" s="19">
        <v>45149</v>
      </c>
      <c r="W11" s="19">
        <v>89936</v>
      </c>
    </row>
    <row r="12" spans="1:23">
      <c r="A12" s="18" t="s">
        <v>10</v>
      </c>
      <c r="B12" s="19">
        <v>1675.9690110641468</v>
      </c>
      <c r="C12" s="19">
        <v>1607.0196496098088</v>
      </c>
      <c r="D12" s="19">
        <v>1392.3234986128018</v>
      </c>
      <c r="E12" s="19">
        <v>1993.6245633114413</v>
      </c>
      <c r="F12" s="19">
        <v>2708.6983126559899</v>
      </c>
      <c r="G12" s="19">
        <v>4232.2098901239697</v>
      </c>
      <c r="H12" s="19">
        <v>3270.5210689197338</v>
      </c>
      <c r="I12" s="19">
        <v>5376.4110113865518</v>
      </c>
      <c r="J12" s="19">
        <v>7832.0134748113996</v>
      </c>
      <c r="K12" s="19">
        <v>9112.5619649002165</v>
      </c>
      <c r="L12" s="19">
        <v>7617.7109083881387</v>
      </c>
      <c r="M12" s="19">
        <v>10289</v>
      </c>
      <c r="N12" s="19">
        <v>11849</v>
      </c>
      <c r="O12" s="19">
        <v>12560</v>
      </c>
      <c r="P12" s="19">
        <v>10980</v>
      </c>
      <c r="Q12" s="19">
        <v>10294</v>
      </c>
      <c r="R12" s="19">
        <v>11630</v>
      </c>
      <c r="S12" s="19">
        <v>12097</v>
      </c>
      <c r="T12" s="19">
        <v>12410</v>
      </c>
      <c r="U12" s="19">
        <v>14775</v>
      </c>
      <c r="V12" s="19">
        <v>15937</v>
      </c>
      <c r="W12" s="19">
        <v>18259</v>
      </c>
    </row>
    <row r="13" spans="1:23">
      <c r="A13" s="18" t="s">
        <v>11</v>
      </c>
      <c r="B13" s="19">
        <v>17264.150453078459</v>
      </c>
      <c r="C13" s="19">
        <v>17813.831785620059</v>
      </c>
      <c r="D13" s="19">
        <v>20914.741714533375</v>
      </c>
      <c r="E13" s="19">
        <v>16890.946584967169</v>
      </c>
      <c r="F13" s="19">
        <v>25012.176592925156</v>
      </c>
      <c r="G13" s="19">
        <v>33832.268687845324</v>
      </c>
      <c r="H13" s="19">
        <v>43498.133031682548</v>
      </c>
      <c r="I13" s="19">
        <v>46989.730651415186</v>
      </c>
      <c r="J13" s="19">
        <v>49353.301772938721</v>
      </c>
      <c r="K13" s="19">
        <v>56314.300413583871</v>
      </c>
      <c r="L13" s="19">
        <v>62783.926659513963</v>
      </c>
      <c r="M13" s="19">
        <v>74565</v>
      </c>
      <c r="N13" s="19">
        <v>85324</v>
      </c>
      <c r="O13" s="19">
        <v>101130</v>
      </c>
      <c r="P13" s="19">
        <v>102067</v>
      </c>
      <c r="Q13" s="19">
        <v>105577</v>
      </c>
      <c r="R13" s="19">
        <v>117705</v>
      </c>
      <c r="S13" s="19">
        <v>125273</v>
      </c>
      <c r="T13" s="19">
        <v>143364</v>
      </c>
      <c r="U13" s="19">
        <v>143844</v>
      </c>
      <c r="V13" s="19">
        <v>135058</v>
      </c>
      <c r="W13" s="19">
        <v>160167</v>
      </c>
    </row>
    <row r="14" spans="1:23">
      <c r="A14" s="18" t="s">
        <v>12</v>
      </c>
      <c r="B14" s="19">
        <v>814.06437256000663</v>
      </c>
      <c r="C14" s="19">
        <v>775.40495322144943</v>
      </c>
      <c r="D14" s="19">
        <v>1107.1867468159389</v>
      </c>
      <c r="E14" s="19">
        <v>726.63582725026754</v>
      </c>
      <c r="F14" s="19">
        <v>1176.8912513269288</v>
      </c>
      <c r="G14" s="19">
        <v>1029.428364160869</v>
      </c>
      <c r="H14" s="19">
        <v>1106.8834527077961</v>
      </c>
      <c r="I14" s="19">
        <v>1187.5168502975739</v>
      </c>
      <c r="J14" s="19">
        <v>1198.1269560701021</v>
      </c>
      <c r="K14" s="19">
        <v>1856.168535531353</v>
      </c>
      <c r="L14" s="19">
        <v>1492.974120720266</v>
      </c>
      <c r="M14" s="19">
        <v>3842</v>
      </c>
      <c r="N14" s="19">
        <v>3656</v>
      </c>
      <c r="O14" s="19">
        <v>4105</v>
      </c>
      <c r="P14" s="19">
        <v>4488</v>
      </c>
      <c r="Q14" s="19">
        <v>4892</v>
      </c>
      <c r="R14" s="19">
        <v>3803</v>
      </c>
      <c r="S14" s="19">
        <v>3811</v>
      </c>
      <c r="T14" s="19">
        <v>3165</v>
      </c>
      <c r="U14" s="19">
        <v>3912</v>
      </c>
      <c r="V14" s="19">
        <v>3840</v>
      </c>
      <c r="W14" s="19">
        <v>3484</v>
      </c>
    </row>
    <row r="15" spans="1:23">
      <c r="A15" s="18" t="s">
        <v>13</v>
      </c>
      <c r="B15" s="19">
        <v>5962.3778040453271</v>
      </c>
      <c r="C15" s="19">
        <v>6137.5106751172352</v>
      </c>
      <c r="D15" s="19">
        <v>6348.850643596943</v>
      </c>
      <c r="E15" s="19">
        <v>7756.3592347665435</v>
      </c>
      <c r="F15" s="19">
        <v>9990.656644722505</v>
      </c>
      <c r="G15" s="19">
        <v>8716.4686358430699</v>
      </c>
      <c r="H15" s="19">
        <v>7119.6979139500691</v>
      </c>
      <c r="I15" s="19">
        <v>9408.4044667121634</v>
      </c>
      <c r="J15" s="19">
        <v>8116.3047257731705</v>
      </c>
      <c r="K15" s="19">
        <v>6798.9560634169138</v>
      </c>
      <c r="L15" s="19">
        <v>8559.3859409555371</v>
      </c>
      <c r="M15" s="19">
        <v>9866</v>
      </c>
      <c r="N15" s="19">
        <v>11442</v>
      </c>
      <c r="O15" s="19">
        <v>13787</v>
      </c>
      <c r="P15" s="19">
        <v>12671</v>
      </c>
      <c r="Q15" s="19">
        <v>13059</v>
      </c>
      <c r="R15" s="19">
        <v>12946</v>
      </c>
      <c r="S15" s="19">
        <v>14224</v>
      </c>
      <c r="T15" s="19">
        <v>14933</v>
      </c>
      <c r="U15" s="19">
        <v>15491</v>
      </c>
      <c r="V15" s="19">
        <v>15209</v>
      </c>
      <c r="W15" s="19">
        <v>13941</v>
      </c>
    </row>
    <row r="16" spans="1:23">
      <c r="A16" s="18" t="s">
        <v>14</v>
      </c>
      <c r="B16" s="19">
        <v>9262.2844995004671</v>
      </c>
      <c r="C16" s="19">
        <v>8253.3513723717351</v>
      </c>
      <c r="D16" s="19">
        <v>9435.9419804807658</v>
      </c>
      <c r="E16" s="19">
        <v>7981.7045254618934</v>
      </c>
      <c r="F16" s="19">
        <v>8527.2301743770258</v>
      </c>
      <c r="G16" s="19">
        <v>9413.4574600884589</v>
      </c>
      <c r="H16" s="19">
        <v>10802.349211286477</v>
      </c>
      <c r="I16" s="19">
        <v>14138.299367655811</v>
      </c>
      <c r="J16" s="19">
        <v>17826.239037849446</v>
      </c>
      <c r="K16" s="19">
        <v>17206.509088945822</v>
      </c>
      <c r="L16" s="19">
        <v>22380.596535172379</v>
      </c>
      <c r="M16" s="19">
        <v>22163</v>
      </c>
      <c r="N16" s="19">
        <v>26022</v>
      </c>
      <c r="O16" s="19">
        <v>24821</v>
      </c>
      <c r="P16" s="19">
        <v>24267</v>
      </c>
      <c r="Q16" s="19">
        <v>24973</v>
      </c>
      <c r="R16" s="19">
        <v>25008</v>
      </c>
      <c r="S16" s="19">
        <v>26805</v>
      </c>
      <c r="T16" s="19">
        <v>26269</v>
      </c>
      <c r="U16" s="19">
        <v>28383</v>
      </c>
      <c r="V16" s="19">
        <v>20812</v>
      </c>
      <c r="W16" s="19">
        <v>27205</v>
      </c>
    </row>
    <row r="17" spans="1:23">
      <c r="A17" s="18" t="s">
        <v>15</v>
      </c>
      <c r="B17" s="19">
        <v>3422.3222912843066</v>
      </c>
      <c r="C17" s="19">
        <v>3650.5400308449807</v>
      </c>
      <c r="D17" s="19">
        <v>4686.6194486689037</v>
      </c>
      <c r="E17" s="19">
        <v>4979.7466501905546</v>
      </c>
      <c r="F17" s="19">
        <v>5836.5755013891248</v>
      </c>
      <c r="G17" s="19">
        <v>6573.4498182052776</v>
      </c>
      <c r="H17" s="19">
        <v>5921.8387130166666</v>
      </c>
      <c r="I17" s="19">
        <v>6064.6716749561529</v>
      </c>
      <c r="J17" s="19">
        <v>7025.7918641010583</v>
      </c>
      <c r="K17" s="19">
        <v>6952.2671996533827</v>
      </c>
      <c r="L17" s="19">
        <v>8017.0042657439262</v>
      </c>
      <c r="M17" s="19">
        <v>9753</v>
      </c>
      <c r="N17" s="19">
        <v>11201</v>
      </c>
      <c r="O17" s="19">
        <v>13481</v>
      </c>
      <c r="P17" s="19">
        <v>12713</v>
      </c>
      <c r="Q17" s="19">
        <v>12644</v>
      </c>
      <c r="R17" s="19">
        <v>13250</v>
      </c>
      <c r="S17" s="19">
        <v>14656</v>
      </c>
      <c r="T17" s="19">
        <v>14569</v>
      </c>
      <c r="U17" s="19">
        <v>15032</v>
      </c>
      <c r="V17" s="19">
        <v>12738</v>
      </c>
      <c r="W17" s="19">
        <v>13912</v>
      </c>
    </row>
    <row r="18" spans="1:23">
      <c r="A18" s="18" t="s">
        <v>16</v>
      </c>
      <c r="B18" s="19">
        <v>3311.7061312810883</v>
      </c>
      <c r="C18" s="19">
        <v>3136.3367201977835</v>
      </c>
      <c r="D18" s="19">
        <v>3669.9194815361834</v>
      </c>
      <c r="E18" s="19">
        <v>5023.8651438759471</v>
      </c>
      <c r="F18" s="19">
        <v>6366.9430489674814</v>
      </c>
      <c r="G18" s="19">
        <v>7323.0882822269195</v>
      </c>
      <c r="H18" s="19">
        <v>6345.2814194231905</v>
      </c>
      <c r="I18" s="19">
        <v>6121.1322417372376</v>
      </c>
      <c r="J18" s="19">
        <v>6883.1429884102126</v>
      </c>
      <c r="K18" s="19">
        <v>6745.9888839179857</v>
      </c>
      <c r="L18" s="19">
        <v>8499.9596241430136</v>
      </c>
      <c r="M18" s="19">
        <v>8609</v>
      </c>
      <c r="N18" s="19">
        <v>9218</v>
      </c>
      <c r="O18" s="19">
        <v>9817</v>
      </c>
      <c r="P18" s="19">
        <v>9954</v>
      </c>
      <c r="Q18" s="19">
        <v>10464</v>
      </c>
      <c r="R18" s="19">
        <v>10120</v>
      </c>
      <c r="S18" s="19">
        <v>9812</v>
      </c>
      <c r="T18" s="19">
        <v>11256</v>
      </c>
      <c r="U18" s="19">
        <v>11242</v>
      </c>
      <c r="V18" s="19">
        <v>12140</v>
      </c>
      <c r="W18" s="19">
        <v>16388</v>
      </c>
    </row>
    <row r="19" spans="1:23">
      <c r="A19" s="18" t="s">
        <v>17</v>
      </c>
      <c r="B19" s="20">
        <v>7159.9730340656097</v>
      </c>
      <c r="C19" s="20">
        <v>7478.8356420787295</v>
      </c>
      <c r="D19" s="20">
        <v>6594.9169799673145</v>
      </c>
      <c r="E19" s="20">
        <v>7953.7359710797828</v>
      </c>
      <c r="F19" s="20">
        <v>11731.921543053799</v>
      </c>
      <c r="G19" s="20">
        <v>11935.468333370904</v>
      </c>
      <c r="H19" s="20">
        <v>9894.3932252713712</v>
      </c>
      <c r="I19" s="20">
        <v>9440.9747954069753</v>
      </c>
      <c r="J19" s="20">
        <v>12666.553024880326</v>
      </c>
      <c r="K19" s="20">
        <v>10812.44401536449</v>
      </c>
      <c r="L19" s="20">
        <v>9932.1623174829365</v>
      </c>
      <c r="M19" s="20">
        <v>15911</v>
      </c>
      <c r="N19" s="20">
        <v>16501</v>
      </c>
      <c r="O19" s="20">
        <v>15545</v>
      </c>
      <c r="P19" s="20">
        <v>17232</v>
      </c>
      <c r="Q19" s="20">
        <v>18634</v>
      </c>
      <c r="R19" s="20">
        <v>22943</v>
      </c>
      <c r="S19" s="20">
        <v>26703</v>
      </c>
      <c r="T19" s="20">
        <v>27902</v>
      </c>
      <c r="U19" s="20">
        <v>30733</v>
      </c>
      <c r="V19" s="20">
        <v>31722</v>
      </c>
      <c r="W19" s="20">
        <v>30927</v>
      </c>
    </row>
    <row r="20" spans="1:23">
      <c r="A20" s="18" t="s">
        <v>18</v>
      </c>
      <c r="B20" s="21">
        <v>4508.3708210369568</v>
      </c>
      <c r="C20" s="21">
        <v>4558.4918209306161</v>
      </c>
      <c r="D20" s="21">
        <v>4560.2396942812547</v>
      </c>
      <c r="E20" s="21">
        <v>4328.491556944562</v>
      </c>
      <c r="F20" s="21">
        <v>4548.9894987796215</v>
      </c>
      <c r="G20" s="21">
        <v>6347.1928742221971</v>
      </c>
      <c r="H20" s="21">
        <v>6904.945712869825</v>
      </c>
      <c r="I20" s="21">
        <v>7038.2707493679964</v>
      </c>
      <c r="J20" s="21">
        <v>7861.822816604219</v>
      </c>
      <c r="K20" s="21">
        <v>7177.3111068626822</v>
      </c>
      <c r="L20" s="21">
        <v>7369.4723806786842</v>
      </c>
      <c r="M20" s="21">
        <v>7624</v>
      </c>
      <c r="N20" s="21">
        <v>8086</v>
      </c>
      <c r="O20" s="21">
        <v>8056</v>
      </c>
      <c r="P20" s="21">
        <v>9305</v>
      </c>
      <c r="Q20" s="21">
        <v>8221</v>
      </c>
      <c r="R20" s="21">
        <v>7846</v>
      </c>
      <c r="S20" s="21">
        <v>8706</v>
      </c>
      <c r="T20" s="21">
        <v>8123</v>
      </c>
      <c r="U20" s="21">
        <v>10255</v>
      </c>
      <c r="V20" s="21">
        <v>8088</v>
      </c>
      <c r="W20" s="21">
        <v>10002</v>
      </c>
    </row>
    <row r="21" spans="1:23">
      <c r="A21" s="18" t="s">
        <v>19</v>
      </c>
      <c r="B21" s="22">
        <v>9199.7020052121807</v>
      </c>
      <c r="C21" s="22">
        <v>10536.845670648749</v>
      </c>
      <c r="D21" s="22">
        <v>9899.0893986418523</v>
      </c>
      <c r="E21" s="22">
        <v>10322.489111422197</v>
      </c>
      <c r="F21" s="22">
        <v>25411.678371650822</v>
      </c>
      <c r="G21" s="22">
        <v>21492.920009311958</v>
      </c>
      <c r="H21" s="22">
        <v>23571.375937788282</v>
      </c>
      <c r="I21" s="22">
        <v>21913.626735141414</v>
      </c>
      <c r="J21" s="22">
        <v>26859.86575233069</v>
      </c>
      <c r="K21" s="22">
        <v>14937.484479945211</v>
      </c>
      <c r="L21" s="22">
        <v>31338.566766201257</v>
      </c>
      <c r="M21" s="22">
        <v>18330</v>
      </c>
      <c r="N21" s="22">
        <v>-8476</v>
      </c>
      <c r="O21" s="22">
        <v>-29775</v>
      </c>
      <c r="P21" s="22">
        <v>-28962</v>
      </c>
      <c r="Q21" s="22">
        <v>-19662</v>
      </c>
      <c r="R21" s="22">
        <v>33873</v>
      </c>
      <c r="S21" s="22">
        <v>66935</v>
      </c>
      <c r="T21" s="22">
        <v>55169</v>
      </c>
      <c r="U21" s="22">
        <v>40532</v>
      </c>
      <c r="V21" s="22">
        <v>58586</v>
      </c>
      <c r="W21" s="22">
        <v>66870</v>
      </c>
    </row>
    <row r="22" spans="1:23">
      <c r="A22" s="18" t="s">
        <v>20</v>
      </c>
      <c r="B22" s="22">
        <v>2103.3636118262602</v>
      </c>
      <c r="C22" s="22">
        <v>2077.7759355166118</v>
      </c>
      <c r="D22" s="22">
        <v>2401.5587862779703</v>
      </c>
      <c r="E22" s="22">
        <v>2669.3655003657004</v>
      </c>
      <c r="F22" s="22">
        <v>3980.447239816589</v>
      </c>
      <c r="G22" s="22">
        <v>2570.5813908665696</v>
      </c>
      <c r="H22" s="22">
        <v>3169.9790367262794</v>
      </c>
      <c r="I22" s="22">
        <v>5292.5681490349198</v>
      </c>
      <c r="J22" s="22">
        <v>5223.0018805857417</v>
      </c>
      <c r="K22" s="22">
        <v>4979.3904321852315</v>
      </c>
      <c r="L22" s="22">
        <v>2763.2014912271043</v>
      </c>
      <c r="M22" s="22">
        <v>4424</v>
      </c>
      <c r="N22" s="22">
        <v>4522</v>
      </c>
      <c r="O22" s="22">
        <v>5144</v>
      </c>
      <c r="P22" s="22">
        <v>6523</v>
      </c>
      <c r="Q22" s="22">
        <v>8118</v>
      </c>
      <c r="R22" s="22">
        <v>8648</v>
      </c>
      <c r="S22" s="22">
        <v>11648</v>
      </c>
      <c r="T22" s="22">
        <v>10356</v>
      </c>
      <c r="U22" s="22">
        <v>13880</v>
      </c>
      <c r="V22" s="22">
        <v>15157</v>
      </c>
      <c r="W22" s="22">
        <v>15694</v>
      </c>
    </row>
    <row r="23" spans="1:23">
      <c r="A23" s="18" t="s">
        <v>21</v>
      </c>
      <c r="B23" s="22">
        <v>6142.3398073359458</v>
      </c>
      <c r="C23" s="22">
        <v>5264.6700778229533</v>
      </c>
      <c r="D23" s="22">
        <v>7204.0164629952815</v>
      </c>
      <c r="E23" s="22">
        <v>8241.7112377208759</v>
      </c>
      <c r="F23" s="22">
        <v>13177.904697943588</v>
      </c>
      <c r="G23" s="22">
        <v>17282.842531562092</v>
      </c>
      <c r="H23" s="22">
        <v>15883.361845454063</v>
      </c>
      <c r="I23" s="22">
        <v>13332.456800185828</v>
      </c>
      <c r="J23" s="22">
        <v>15447.654596630753</v>
      </c>
      <c r="K23" s="22">
        <v>20432.568652309397</v>
      </c>
      <c r="L23" s="22">
        <v>14915.786076474869</v>
      </c>
      <c r="M23" s="22">
        <v>10462</v>
      </c>
      <c r="N23" s="22">
        <v>9983</v>
      </c>
      <c r="O23" s="22">
        <v>10407</v>
      </c>
      <c r="P23" s="22">
        <v>12014</v>
      </c>
      <c r="Q23" s="22">
        <v>14299</v>
      </c>
      <c r="R23" s="22">
        <v>20346</v>
      </c>
      <c r="S23" s="22">
        <v>25943</v>
      </c>
      <c r="T23" s="22">
        <v>20854</v>
      </c>
      <c r="U23" s="22">
        <v>19226</v>
      </c>
      <c r="V23" s="22">
        <v>22764</v>
      </c>
      <c r="W23" s="22">
        <v>25208</v>
      </c>
    </row>
    <row r="24" spans="1:23">
      <c r="A24" s="18" t="s">
        <v>22</v>
      </c>
      <c r="B24" s="22">
        <v>1520.6580938864081</v>
      </c>
      <c r="C24" s="22">
        <v>1481.8540605595263</v>
      </c>
      <c r="D24" s="22">
        <v>1418.5587750979812</v>
      </c>
      <c r="E24" s="22">
        <v>1014.5019641030231</v>
      </c>
      <c r="F24" s="22">
        <v>1899.0865045890059</v>
      </c>
      <c r="G24" s="22">
        <v>4169.5374314097098</v>
      </c>
      <c r="H24" s="22">
        <v>4133.9703047183211</v>
      </c>
      <c r="I24" s="22">
        <v>6379.598826539961</v>
      </c>
      <c r="J24" s="22">
        <v>6384.3416968691963</v>
      </c>
      <c r="K24" s="22">
        <v>6510.2373727353988</v>
      </c>
      <c r="L24" s="22">
        <v>2385.5252856586631</v>
      </c>
      <c r="M24" s="22">
        <v>4200</v>
      </c>
      <c r="N24" s="22">
        <v>4630</v>
      </c>
      <c r="O24" s="22">
        <v>3092</v>
      </c>
      <c r="P24" s="22">
        <v>2898</v>
      </c>
      <c r="Q24" s="22">
        <v>3304</v>
      </c>
      <c r="R24" s="22">
        <v>4448</v>
      </c>
      <c r="S24" s="22">
        <v>5377</v>
      </c>
      <c r="T24" s="22">
        <v>5049</v>
      </c>
      <c r="U24" s="22">
        <v>5656</v>
      </c>
      <c r="V24" s="22">
        <v>5871</v>
      </c>
      <c r="W24" s="22">
        <v>8029</v>
      </c>
    </row>
    <row r="25" spans="1:23">
      <c r="A25" s="18" t="s">
        <v>23</v>
      </c>
      <c r="B25" s="22">
        <v>7504.1075335040559</v>
      </c>
      <c r="C25" s="22">
        <v>7441.4464437753268</v>
      </c>
      <c r="D25" s="22">
        <v>8642.6230919713598</v>
      </c>
      <c r="E25" s="22">
        <v>8008.0937196729155</v>
      </c>
      <c r="F25" s="22">
        <v>10734.009156518692</v>
      </c>
      <c r="G25" s="22">
        <v>13053.981441785385</v>
      </c>
      <c r="H25" s="22">
        <v>14165.066791329853</v>
      </c>
      <c r="I25" s="22">
        <v>15716.42333457188</v>
      </c>
      <c r="J25" s="22">
        <v>18378.832769705135</v>
      </c>
      <c r="K25" s="22">
        <v>17966.864797209317</v>
      </c>
      <c r="L25" s="22">
        <v>19800.327513034488</v>
      </c>
      <c r="M25" s="22">
        <v>19437</v>
      </c>
      <c r="N25" s="22">
        <v>21300</v>
      </c>
      <c r="O25" s="22">
        <v>21465</v>
      </c>
      <c r="P25" s="22">
        <v>24210</v>
      </c>
      <c r="Q25" s="22">
        <v>24650</v>
      </c>
      <c r="R25" s="22">
        <v>22732</v>
      </c>
      <c r="S25" s="22">
        <v>24435</v>
      </c>
      <c r="T25" s="22">
        <v>33458</v>
      </c>
      <c r="U25" s="22">
        <v>33777</v>
      </c>
      <c r="V25" s="22">
        <v>37523</v>
      </c>
      <c r="W25" s="22">
        <v>38724</v>
      </c>
    </row>
    <row r="26" spans="1:23">
      <c r="A26" s="18" t="s">
        <v>24</v>
      </c>
      <c r="B26" s="22">
        <v>463.71412876245813</v>
      </c>
      <c r="C26" s="22">
        <v>430.41819222357572</v>
      </c>
      <c r="D26" s="22">
        <v>454.79322690895242</v>
      </c>
      <c r="E26" s="22">
        <v>518.52330110078401</v>
      </c>
      <c r="F26" s="22">
        <v>1482.9018808981873</v>
      </c>
      <c r="G26" s="22">
        <v>3613.5593798856753</v>
      </c>
      <c r="H26" s="22">
        <v>1708.5607457253191</v>
      </c>
      <c r="I26" s="22">
        <v>1934.4998125105685</v>
      </c>
      <c r="J26" s="22">
        <v>1472.619245855838</v>
      </c>
      <c r="K26" s="22">
        <v>1653.4065524624384</v>
      </c>
      <c r="L26" s="22">
        <v>3344.1500133182144</v>
      </c>
      <c r="M26" s="22">
        <v>1519</v>
      </c>
      <c r="N26" s="22">
        <v>3182</v>
      </c>
      <c r="O26" s="22">
        <v>3284</v>
      </c>
      <c r="P26" s="22">
        <v>3824</v>
      </c>
      <c r="Q26" s="22">
        <v>5307</v>
      </c>
      <c r="R26" s="22">
        <v>4866</v>
      </c>
      <c r="S26" s="22">
        <v>4603</v>
      </c>
      <c r="T26" s="22">
        <v>6214</v>
      </c>
      <c r="U26" s="22">
        <v>5694</v>
      </c>
      <c r="V26" s="22">
        <v>8152</v>
      </c>
      <c r="W26" s="22">
        <v>10120</v>
      </c>
    </row>
    <row r="27" spans="1:23">
      <c r="A27" s="18" t="s">
        <v>25</v>
      </c>
      <c r="B27" s="22">
        <v>3048.8572055650093</v>
      </c>
      <c r="C27" s="22">
        <v>2818.9903042824099</v>
      </c>
      <c r="D27" s="22">
        <v>1433.7502057026177</v>
      </c>
      <c r="E27" s="22">
        <v>2070.306511354489</v>
      </c>
      <c r="F27" s="22">
        <v>2625.7179381243168</v>
      </c>
      <c r="G27" s="22">
        <v>2992.0412837659733</v>
      </c>
      <c r="H27" s="22">
        <v>3009.9083086247356</v>
      </c>
      <c r="I27" s="22">
        <v>4126.8398843586547</v>
      </c>
      <c r="J27" s="22">
        <v>4093.5729425810423</v>
      </c>
      <c r="K27" s="22">
        <v>4906.755460886674</v>
      </c>
      <c r="L27" s="22">
        <v>8405.9419678596823</v>
      </c>
      <c r="M27" s="22">
        <v>7270</v>
      </c>
      <c r="N27" s="22">
        <v>7300</v>
      </c>
      <c r="O27" s="22">
        <v>6445</v>
      </c>
      <c r="P27" s="22">
        <v>8094</v>
      </c>
      <c r="Q27" s="22">
        <v>7840</v>
      </c>
      <c r="R27" s="22">
        <v>8011</v>
      </c>
      <c r="S27" s="22">
        <v>10274</v>
      </c>
      <c r="T27" s="22">
        <v>11290</v>
      </c>
      <c r="U27" s="22">
        <v>10301</v>
      </c>
      <c r="V27" s="22">
        <v>13148</v>
      </c>
      <c r="W27" s="22">
        <v>13339</v>
      </c>
    </row>
    <row r="28" spans="1:23">
      <c r="A28" s="18" t="s">
        <v>26</v>
      </c>
      <c r="B28" s="22">
        <v>908.6311184612332</v>
      </c>
      <c r="C28" s="22">
        <v>755.68093444208944</v>
      </c>
      <c r="D28" s="22">
        <v>1150.8717998295233</v>
      </c>
      <c r="E28" s="22">
        <v>1503.131746051512</v>
      </c>
      <c r="F28" s="22">
        <v>1486.5731018525057</v>
      </c>
      <c r="G28" s="22">
        <v>1624.8379856272622</v>
      </c>
      <c r="H28" s="22">
        <v>1945.8660744485742</v>
      </c>
      <c r="I28" s="22">
        <v>2308.8957223977104</v>
      </c>
      <c r="J28" s="22">
        <v>1601.5834718145416</v>
      </c>
      <c r="K28" s="22">
        <v>1647.172351653322</v>
      </c>
      <c r="L28" s="22">
        <v>2262.2667808962196</v>
      </c>
      <c r="M28" s="22">
        <v>2712</v>
      </c>
      <c r="N28" s="22">
        <v>3689</v>
      </c>
      <c r="O28" s="22">
        <v>4153</v>
      </c>
      <c r="P28" s="22">
        <v>3971</v>
      </c>
      <c r="Q28" s="22">
        <v>3280</v>
      </c>
      <c r="R28" s="22">
        <v>3325</v>
      </c>
      <c r="S28" s="22">
        <v>4099</v>
      </c>
      <c r="T28" s="22">
        <v>3165</v>
      </c>
      <c r="U28" s="22">
        <v>3377</v>
      </c>
      <c r="V28" s="22">
        <v>3163</v>
      </c>
      <c r="W28" s="22">
        <v>5139</v>
      </c>
    </row>
    <row r="29" spans="1:23">
      <c r="A29" s="18" t="s">
        <v>27</v>
      </c>
      <c r="B29" s="22">
        <v>1045.3883248398888</v>
      </c>
      <c r="C29" s="22">
        <v>839.83928796036162</v>
      </c>
      <c r="D29" s="22">
        <v>1321.5810132250299</v>
      </c>
      <c r="E29" s="22">
        <v>1346.0356129766724</v>
      </c>
      <c r="F29" s="22">
        <v>2600.4655870572005</v>
      </c>
      <c r="G29" s="22">
        <v>2885.7475451049158</v>
      </c>
      <c r="H29" s="22">
        <v>1728.5696955221574</v>
      </c>
      <c r="I29" s="22">
        <v>2004.1695855605067</v>
      </c>
      <c r="J29" s="22">
        <v>1881.3563794590791</v>
      </c>
      <c r="K29" s="22">
        <v>1997.9901502018347</v>
      </c>
      <c r="L29" s="22">
        <v>3380.8854718669518</v>
      </c>
      <c r="M29" s="22">
        <v>4704</v>
      </c>
      <c r="N29" s="22">
        <v>4298</v>
      </c>
      <c r="O29" s="22">
        <v>4115</v>
      </c>
      <c r="P29" s="22">
        <v>4187</v>
      </c>
      <c r="Q29" s="22">
        <v>5505</v>
      </c>
      <c r="R29" s="22">
        <v>6670</v>
      </c>
      <c r="S29" s="22">
        <v>7112</v>
      </c>
      <c r="T29" s="22">
        <v>9477</v>
      </c>
      <c r="U29" s="22">
        <v>6953</v>
      </c>
      <c r="V29" s="22">
        <v>7223</v>
      </c>
      <c r="W29" s="22">
        <v>9213</v>
      </c>
    </row>
    <row r="30" spans="1:23">
      <c r="A30" s="18" t="s">
        <v>28</v>
      </c>
      <c r="B30" s="22">
        <v>5997.7206582237268</v>
      </c>
      <c r="C30" s="22">
        <v>5574.388390341468</v>
      </c>
      <c r="D30" s="22">
        <v>5327.0186786300328</v>
      </c>
      <c r="E30" s="22">
        <v>5453.2638173021514</v>
      </c>
      <c r="F30" s="22">
        <v>10023.842193393841</v>
      </c>
      <c r="G30" s="22">
        <v>10627.287764311106</v>
      </c>
      <c r="H30" s="22">
        <v>12139.934735245275</v>
      </c>
      <c r="I30" s="22">
        <v>12598.889033907435</v>
      </c>
      <c r="J30" s="22">
        <v>13251.221103624608</v>
      </c>
      <c r="K30" s="22">
        <v>13153.524608703141</v>
      </c>
      <c r="L30" s="22">
        <v>19967.282971607943</v>
      </c>
      <c r="M30" s="22">
        <v>21316</v>
      </c>
      <c r="N30" s="22">
        <v>21910</v>
      </c>
      <c r="O30" s="22">
        <v>23560</v>
      </c>
      <c r="P30" s="22">
        <v>24380</v>
      </c>
      <c r="Q30" s="22">
        <v>26001</v>
      </c>
      <c r="R30" s="22">
        <v>24661</v>
      </c>
      <c r="S30" s="22">
        <v>30749</v>
      </c>
      <c r="T30" s="22">
        <v>30456</v>
      </c>
      <c r="U30" s="22">
        <v>29324</v>
      </c>
      <c r="V30" s="22">
        <v>28836</v>
      </c>
      <c r="W30" s="22">
        <v>34494</v>
      </c>
    </row>
    <row r="31" spans="1:23">
      <c r="A31" s="18" t="s">
        <v>29</v>
      </c>
      <c r="B31" s="22">
        <v>5940.9697011594235</v>
      </c>
      <c r="C31" s="22">
        <v>5652.9135332290607</v>
      </c>
      <c r="D31" s="22">
        <v>6693.9869959153912</v>
      </c>
      <c r="E31" s="22">
        <v>6527.4365797333194</v>
      </c>
      <c r="F31" s="22">
        <v>11611.876508198628</v>
      </c>
      <c r="G31" s="22">
        <v>10111.598891552967</v>
      </c>
      <c r="H31" s="22">
        <v>8986.1875340736333</v>
      </c>
      <c r="I31" s="22">
        <v>13789.000814533189</v>
      </c>
      <c r="J31" s="22">
        <v>13174.053388596873</v>
      </c>
      <c r="K31" s="22">
        <v>14520.430076939265</v>
      </c>
      <c r="L31" s="22">
        <v>20230.989460519893</v>
      </c>
      <c r="M31" s="22">
        <v>23617</v>
      </c>
      <c r="N31" s="22">
        <v>24794</v>
      </c>
      <c r="O31" s="22">
        <v>27700</v>
      </c>
      <c r="P31" s="22">
        <v>28561</v>
      </c>
      <c r="Q31" s="22">
        <v>28980</v>
      </c>
      <c r="R31" s="22">
        <v>24969</v>
      </c>
      <c r="S31" s="22">
        <v>25157</v>
      </c>
      <c r="T31" s="22">
        <v>23384</v>
      </c>
      <c r="U31" s="22">
        <v>24738</v>
      </c>
      <c r="V31" s="22">
        <v>23771</v>
      </c>
      <c r="W31" s="22">
        <v>33984</v>
      </c>
    </row>
    <row r="32" spans="1:23">
      <c r="A32" s="18" t="s">
        <v>30</v>
      </c>
      <c r="B32" s="22">
        <v>2722.3149575734969</v>
      </c>
      <c r="C32" s="22">
        <v>2665.2213412519195</v>
      </c>
      <c r="D32" s="22">
        <v>3435.0762853596752</v>
      </c>
      <c r="E32" s="22">
        <v>5911.7752298142441</v>
      </c>
      <c r="F32" s="22">
        <v>9359.6859671901111</v>
      </c>
      <c r="G32" s="22">
        <v>17908.688950538257</v>
      </c>
      <c r="H32" s="22">
        <v>19233.707158191828</v>
      </c>
      <c r="I32" s="22">
        <v>16617.447951710419</v>
      </c>
      <c r="J32" s="22">
        <v>21342.183889202381</v>
      </c>
      <c r="K32" s="22">
        <v>24537.270717551808</v>
      </c>
      <c r="L32" s="22">
        <v>18444.84689939722</v>
      </c>
      <c r="M32" s="22">
        <v>18234</v>
      </c>
      <c r="N32" s="22">
        <v>19667</v>
      </c>
      <c r="O32" s="22">
        <v>22952</v>
      </c>
      <c r="P32" s="22">
        <v>23215</v>
      </c>
      <c r="Q32" s="22">
        <v>27875</v>
      </c>
      <c r="R32" s="22">
        <v>19739</v>
      </c>
      <c r="S32" s="22">
        <v>17539</v>
      </c>
      <c r="T32" s="22">
        <v>20307</v>
      </c>
      <c r="U32" s="22">
        <v>33336</v>
      </c>
      <c r="V32" s="22">
        <v>21892</v>
      </c>
      <c r="W32" s="22">
        <v>23108</v>
      </c>
    </row>
    <row r="33" spans="1:23">
      <c r="A33" s="18" t="s">
        <v>31</v>
      </c>
      <c r="B33" s="22">
        <v>2721.1469029746131</v>
      </c>
      <c r="C33" s="22">
        <v>2552.6231041520914</v>
      </c>
      <c r="D33" s="22">
        <v>2337.8883836793648</v>
      </c>
      <c r="E33" s="22">
        <v>4640.8876929050875</v>
      </c>
      <c r="F33" s="22">
        <v>5323.043706268134</v>
      </c>
      <c r="G33" s="22">
        <v>2633.0820596517588</v>
      </c>
      <c r="H33" s="22">
        <v>4015.7262368220181</v>
      </c>
      <c r="I33" s="22">
        <v>7273.6388991142558</v>
      </c>
      <c r="J33" s="22">
        <v>6865.9223657988987</v>
      </c>
      <c r="K33" s="22">
        <v>5444.4207655074679</v>
      </c>
      <c r="L33" s="22">
        <v>5685.3324827909892</v>
      </c>
      <c r="M33" s="22">
        <v>7308</v>
      </c>
      <c r="N33" s="22">
        <v>7683</v>
      </c>
      <c r="O33" s="22">
        <v>7185</v>
      </c>
      <c r="P33" s="22">
        <v>8966</v>
      </c>
      <c r="Q33" s="22">
        <v>9788</v>
      </c>
      <c r="R33" s="22">
        <v>12830</v>
      </c>
      <c r="S33" s="22">
        <v>12449</v>
      </c>
      <c r="T33" s="22">
        <v>11572</v>
      </c>
      <c r="U33" s="22">
        <v>16555</v>
      </c>
      <c r="V33" s="22">
        <v>14500</v>
      </c>
      <c r="W33" s="22">
        <v>20339</v>
      </c>
    </row>
    <row r="34" spans="1:23">
      <c r="A34" s="18" t="s">
        <v>32</v>
      </c>
      <c r="B34" s="22">
        <v>9301.5767711622266</v>
      </c>
      <c r="C34" s="22">
        <v>10186.192059290828</v>
      </c>
      <c r="D34" s="22">
        <v>11831.231719701693</v>
      </c>
      <c r="E34" s="22">
        <v>13109.185258224214</v>
      </c>
      <c r="F34" s="22">
        <v>14536.354434176199</v>
      </c>
      <c r="G34" s="22">
        <v>14462.883792971727</v>
      </c>
      <c r="H34" s="22">
        <v>21119.778542286338</v>
      </c>
      <c r="I34" s="22">
        <v>19155.591331866344</v>
      </c>
      <c r="J34" s="22">
        <v>26126.051656518706</v>
      </c>
      <c r="K34" s="22">
        <v>25523.962150191852</v>
      </c>
      <c r="L34" s="22">
        <v>36717.710821867513</v>
      </c>
      <c r="M34" s="22">
        <v>31143</v>
      </c>
      <c r="N34" s="22">
        <v>31836</v>
      </c>
      <c r="O34" s="22">
        <v>34419</v>
      </c>
      <c r="P34" s="22">
        <v>32508</v>
      </c>
      <c r="Q34" s="22">
        <v>32619</v>
      </c>
      <c r="R34" s="22">
        <v>31692</v>
      </c>
      <c r="S34" s="22">
        <v>34975</v>
      </c>
      <c r="T34" s="22">
        <v>31607</v>
      </c>
      <c r="U34" s="22">
        <v>35155</v>
      </c>
      <c r="V34" s="22">
        <v>36911</v>
      </c>
      <c r="W34" s="22">
        <v>41570</v>
      </c>
    </row>
    <row r="35" spans="1:23">
      <c r="A35" s="18" t="s">
        <v>33</v>
      </c>
      <c r="B35" s="22">
        <v>11475.594494965488</v>
      </c>
      <c r="C35" s="22">
        <v>11652.372903632971</v>
      </c>
      <c r="D35" s="22">
        <v>14093.718745483609</v>
      </c>
      <c r="E35" s="22">
        <v>15793.095136713026</v>
      </c>
      <c r="F35" s="22">
        <v>22771.567376004714</v>
      </c>
      <c r="G35" s="22">
        <v>23077.379288254822</v>
      </c>
      <c r="H35" s="22">
        <v>25342.475345398605</v>
      </c>
      <c r="I35" s="22">
        <v>31427.926185418779</v>
      </c>
      <c r="J35" s="22">
        <v>34962.715043198521</v>
      </c>
      <c r="K35" s="22">
        <v>31765.300075752923</v>
      </c>
      <c r="L35" s="22">
        <v>42786.560790396703</v>
      </c>
      <c r="M35" s="22">
        <v>49974</v>
      </c>
      <c r="N35" s="22">
        <v>51358</v>
      </c>
      <c r="O35" s="22">
        <v>57329</v>
      </c>
      <c r="P35" s="22">
        <v>58658</v>
      </c>
      <c r="Q35" s="22">
        <v>57765</v>
      </c>
      <c r="R35" s="22">
        <v>54134</v>
      </c>
      <c r="S35" s="22">
        <v>60404</v>
      </c>
      <c r="T35" s="22">
        <v>65821</v>
      </c>
      <c r="U35" s="22">
        <v>64806</v>
      </c>
      <c r="V35" s="22">
        <v>67248</v>
      </c>
      <c r="W35" s="22">
        <v>86870</v>
      </c>
    </row>
    <row r="36" spans="1:23">
      <c r="A36" s="18" t="s">
        <v>34</v>
      </c>
      <c r="B36" s="22">
        <v>4253.1313719332429</v>
      </c>
      <c r="C36" s="22">
        <v>4367.9495853458484</v>
      </c>
      <c r="D36" s="22">
        <v>4108.2256443342285</v>
      </c>
      <c r="E36" s="22">
        <v>4736.6570419226682</v>
      </c>
      <c r="F36" s="22">
        <v>4875.5660737267535</v>
      </c>
      <c r="G36" s="22">
        <v>6054.7457238697025</v>
      </c>
      <c r="H36" s="22">
        <v>7977.5920708449485</v>
      </c>
      <c r="I36" s="22">
        <v>9829.3204852215495</v>
      </c>
      <c r="J36" s="22">
        <v>7660.9748469018596</v>
      </c>
      <c r="K36" s="22">
        <v>8637.172635839197</v>
      </c>
      <c r="L36" s="22">
        <v>13466.517889874427</v>
      </c>
      <c r="M36" s="22">
        <v>14471</v>
      </c>
      <c r="N36" s="22">
        <v>16885</v>
      </c>
      <c r="O36" s="22">
        <v>16131</v>
      </c>
      <c r="P36" s="22">
        <v>17140</v>
      </c>
      <c r="Q36" s="22">
        <v>16769</v>
      </c>
      <c r="R36" s="22">
        <v>16591</v>
      </c>
      <c r="S36" s="22">
        <v>19469</v>
      </c>
      <c r="T36" s="22">
        <v>16662</v>
      </c>
      <c r="U36" s="22">
        <v>20183</v>
      </c>
      <c r="V36" s="22">
        <v>21629</v>
      </c>
      <c r="W36" s="22">
        <v>22098</v>
      </c>
    </row>
    <row r="37" spans="1:23">
      <c r="A37" s="18" t="s">
        <v>35</v>
      </c>
      <c r="B37" s="22">
        <v>5476.1003743672372</v>
      </c>
      <c r="C37" s="22">
        <v>5161.2364512813983</v>
      </c>
      <c r="D37" s="22">
        <v>6114.1402223424266</v>
      </c>
      <c r="E37" s="22">
        <v>8675.9472388961731</v>
      </c>
      <c r="F37" s="22">
        <v>8333.3140104516933</v>
      </c>
      <c r="G37" s="22">
        <v>10351.43196567765</v>
      </c>
      <c r="H37" s="22">
        <v>12960.349269369806</v>
      </c>
      <c r="I37" s="22">
        <v>13497.158040828763</v>
      </c>
      <c r="J37" s="22">
        <v>15192.519529696052</v>
      </c>
      <c r="K37" s="22">
        <v>13114.197417384559</v>
      </c>
      <c r="L37" s="22">
        <v>15589.761533061639</v>
      </c>
      <c r="M37" s="22">
        <v>21962</v>
      </c>
      <c r="N37" s="22">
        <v>23876</v>
      </c>
      <c r="O37" s="22">
        <v>24290</v>
      </c>
      <c r="P37" s="22">
        <v>26366</v>
      </c>
      <c r="Q37" s="22">
        <v>24136</v>
      </c>
      <c r="R37" s="22">
        <v>21876</v>
      </c>
      <c r="S37" s="22">
        <v>29518</v>
      </c>
      <c r="T37" s="22">
        <v>28510</v>
      </c>
      <c r="U37" s="22">
        <v>26705</v>
      </c>
      <c r="V37" s="22">
        <v>28851</v>
      </c>
      <c r="W37" s="22">
        <v>29035</v>
      </c>
    </row>
    <row r="38" spans="1:23">
      <c r="A38" s="18" t="s">
        <v>36</v>
      </c>
      <c r="B38" s="22">
        <v>9966.3006505852718</v>
      </c>
      <c r="C38" s="22">
        <v>10977.817358656703</v>
      </c>
      <c r="D38" s="22">
        <v>11727.223268723716</v>
      </c>
      <c r="E38" s="22">
        <v>12959.737245008626</v>
      </c>
      <c r="F38" s="22">
        <v>18192.136629784261</v>
      </c>
      <c r="G38" s="22">
        <v>20868.277457319149</v>
      </c>
      <c r="H38" s="22">
        <v>14817.792453138085</v>
      </c>
      <c r="I38" s="22">
        <v>21846.464092654744</v>
      </c>
      <c r="J38" s="22">
        <v>29291.719889164902</v>
      </c>
      <c r="K38" s="22">
        <v>29224.546985756067</v>
      </c>
      <c r="L38" s="22">
        <v>31954.868138239399</v>
      </c>
      <c r="M38" s="22">
        <v>39367</v>
      </c>
      <c r="N38" s="22">
        <v>28173</v>
      </c>
      <c r="O38" s="22">
        <v>38550</v>
      </c>
      <c r="P38" s="22">
        <v>28537</v>
      </c>
      <c r="Q38" s="22">
        <v>19165</v>
      </c>
      <c r="R38" s="22">
        <v>20221</v>
      </c>
      <c r="S38" s="22">
        <v>16210</v>
      </c>
      <c r="T38" s="22">
        <v>23765</v>
      </c>
      <c r="U38" s="22">
        <v>23228</v>
      </c>
      <c r="V38" s="22">
        <v>16431</v>
      </c>
      <c r="W38" s="22">
        <v>18365</v>
      </c>
    </row>
    <row r="39" spans="1:23">
      <c r="A39" s="18" t="s">
        <v>37</v>
      </c>
      <c r="B39" s="22">
        <v>3763.0016120226664</v>
      </c>
      <c r="C39" s="22">
        <v>3540.1244811366723</v>
      </c>
      <c r="D39" s="22">
        <v>4156.0728091450874</v>
      </c>
      <c r="E39" s="22">
        <v>5174.1041878677934</v>
      </c>
      <c r="F39" s="22">
        <v>10950.86004306221</v>
      </c>
      <c r="G39" s="22">
        <v>9977.8232028919883</v>
      </c>
      <c r="H39" s="22">
        <v>14331.769022155029</v>
      </c>
      <c r="I39" s="22">
        <v>15280.70443932902</v>
      </c>
      <c r="J39" s="22">
        <v>12127.206570138813</v>
      </c>
      <c r="K39" s="22">
        <v>13266.109338903014</v>
      </c>
      <c r="L39" s="22">
        <v>23386.518372830062</v>
      </c>
      <c r="M39" s="22">
        <v>24555</v>
      </c>
      <c r="N39" s="22">
        <v>25496</v>
      </c>
      <c r="O39" s="22">
        <v>23901</v>
      </c>
      <c r="P39" s="22">
        <v>21489</v>
      </c>
      <c r="Q39" s="22">
        <v>19365</v>
      </c>
      <c r="R39" s="22">
        <v>16444</v>
      </c>
      <c r="S39" s="22">
        <v>22341</v>
      </c>
      <c r="T39" s="22">
        <v>24583</v>
      </c>
      <c r="U39" s="22">
        <v>31091</v>
      </c>
      <c r="V39" s="22">
        <v>23452</v>
      </c>
      <c r="W39" s="22">
        <v>27511</v>
      </c>
    </row>
    <row r="40" spans="1:23">
      <c r="A40" s="18" t="s">
        <v>38</v>
      </c>
      <c r="B40" s="22">
        <v>3658.2384892452155</v>
      </c>
      <c r="C40" s="22">
        <v>4221.48536670046</v>
      </c>
      <c r="D40" s="22">
        <v>5584.7852632610429</v>
      </c>
      <c r="E40" s="22">
        <v>5618.1332492367837</v>
      </c>
      <c r="F40" s="22">
        <v>6442.4297241791737</v>
      </c>
      <c r="G40" s="22">
        <v>8953.0550070267564</v>
      </c>
      <c r="H40" s="22">
        <v>8714.770213182459</v>
      </c>
      <c r="I40" s="22">
        <v>12507.334723652275</v>
      </c>
      <c r="J40" s="22">
        <v>15101.870362244816</v>
      </c>
      <c r="K40" s="22">
        <v>10498.215650901209</v>
      </c>
      <c r="L40" s="22">
        <v>9592.5339185779849</v>
      </c>
      <c r="M40" s="22">
        <v>10214</v>
      </c>
      <c r="N40" s="22">
        <v>10963</v>
      </c>
      <c r="O40" s="22">
        <v>11123</v>
      </c>
      <c r="P40" s="22">
        <v>11748</v>
      </c>
      <c r="Q40" s="22">
        <v>11087</v>
      </c>
      <c r="R40" s="22">
        <v>10118</v>
      </c>
      <c r="S40" s="22">
        <v>10241</v>
      </c>
      <c r="T40" s="22">
        <v>12763</v>
      </c>
      <c r="U40" s="22">
        <v>8185</v>
      </c>
      <c r="V40" s="22">
        <v>9219</v>
      </c>
      <c r="W40" s="22">
        <v>10009</v>
      </c>
    </row>
    <row r="41" spans="1:23">
      <c r="A41" s="18" t="s">
        <v>39</v>
      </c>
      <c r="B41" s="22">
        <v>8578.5545108126898</v>
      </c>
      <c r="C41" s="22">
        <v>8616.0759747598622</v>
      </c>
      <c r="D41" s="22">
        <v>9176.3888018415928</v>
      </c>
      <c r="E41" s="22">
        <v>8925.4308119425768</v>
      </c>
      <c r="F41" s="22">
        <v>11794.856743890996</v>
      </c>
      <c r="G41" s="22">
        <v>12357.805810214557</v>
      </c>
      <c r="H41" s="22">
        <v>13302.952428816665</v>
      </c>
      <c r="I41" s="22">
        <v>13603.687299657428</v>
      </c>
      <c r="J41" s="22">
        <v>13639.812189335793</v>
      </c>
      <c r="K41" s="22">
        <v>15193.975976035406</v>
      </c>
      <c r="L41" s="22">
        <v>19824.066204855852</v>
      </c>
      <c r="M41" s="22">
        <v>17909</v>
      </c>
      <c r="N41" s="22">
        <v>18918</v>
      </c>
      <c r="O41" s="22">
        <v>23298</v>
      </c>
      <c r="P41" s="22">
        <v>21521</v>
      </c>
      <c r="Q41" s="22">
        <v>22038</v>
      </c>
      <c r="R41" s="22">
        <v>20927</v>
      </c>
      <c r="S41" s="22">
        <v>22388</v>
      </c>
      <c r="T41" s="22">
        <v>21853</v>
      </c>
      <c r="U41" s="22">
        <v>22694</v>
      </c>
      <c r="V41" s="22">
        <v>23920</v>
      </c>
      <c r="W41" s="22">
        <v>28682</v>
      </c>
    </row>
    <row r="42" spans="1:23">
      <c r="A42" s="18" t="s">
        <v>40</v>
      </c>
      <c r="B42" s="22">
        <v>32366.204712064948</v>
      </c>
      <c r="C42" s="22">
        <v>29882.316143800908</v>
      </c>
      <c r="D42" s="22">
        <v>38886.805211418599</v>
      </c>
      <c r="E42" s="22">
        <v>44824.839173801956</v>
      </c>
      <c r="F42" s="22">
        <v>50995.582301084469</v>
      </c>
      <c r="G42" s="22">
        <v>59172.031425323854</v>
      </c>
      <c r="H42" s="22">
        <v>64758.403296014774</v>
      </c>
      <c r="I42" s="22">
        <v>70274.544105217006</v>
      </c>
      <c r="J42" s="22">
        <v>71374.848136685221</v>
      </c>
      <c r="K42" s="22">
        <v>69350.297855575947</v>
      </c>
      <c r="L42" s="22">
        <v>81424.317347733959</v>
      </c>
      <c r="M42" s="22">
        <v>98123</v>
      </c>
      <c r="N42" s="22">
        <v>99896</v>
      </c>
      <c r="O42" s="22">
        <v>101838</v>
      </c>
      <c r="P42" s="22">
        <v>91014</v>
      </c>
      <c r="Q42" s="22">
        <v>93606</v>
      </c>
      <c r="R42" s="22">
        <v>131155</v>
      </c>
      <c r="S42" s="22">
        <v>145047</v>
      </c>
      <c r="T42" s="22">
        <v>161967</v>
      </c>
      <c r="U42" s="22">
        <v>175852</v>
      </c>
      <c r="V42" s="22">
        <v>188935</v>
      </c>
      <c r="W42" s="22">
        <v>212347</v>
      </c>
    </row>
    <row r="43" spans="1:23">
      <c r="A43" s="18" t="s">
        <v>41</v>
      </c>
      <c r="B43" s="22">
        <v>71780.431281130106</v>
      </c>
      <c r="C43" s="22">
        <v>70600.067299998889</v>
      </c>
      <c r="D43" s="22">
        <v>73546.742172996906</v>
      </c>
      <c r="E43" s="22">
        <v>74647.970228699662</v>
      </c>
      <c r="F43" s="22">
        <v>75171.619368301544</v>
      </c>
      <c r="G43" s="22">
        <v>80333.849397056081</v>
      </c>
      <c r="H43" s="22">
        <v>84793.349644900794</v>
      </c>
      <c r="I43" s="22">
        <v>97296.761439562018</v>
      </c>
      <c r="J43" s="22">
        <v>111066.62867763784</v>
      </c>
      <c r="K43" s="22">
        <v>122862.40446664451</v>
      </c>
      <c r="L43" s="22">
        <v>174881.68911455508</v>
      </c>
      <c r="M43" s="22">
        <v>223993</v>
      </c>
      <c r="N43" s="22">
        <v>240980</v>
      </c>
      <c r="O43" s="22">
        <v>277161</v>
      </c>
      <c r="P43" s="22">
        <v>284419</v>
      </c>
      <c r="Q43" s="22">
        <v>279307</v>
      </c>
      <c r="R43" s="22">
        <v>266463</v>
      </c>
      <c r="S43" s="22">
        <v>249744</v>
      </c>
      <c r="T43" s="22">
        <v>237476</v>
      </c>
      <c r="U43" s="22">
        <v>247939</v>
      </c>
      <c r="V43" s="22">
        <v>243457</v>
      </c>
      <c r="W43" s="22">
        <v>301723</v>
      </c>
    </row>
    <row r="44" spans="1:23">
      <c r="A44" s="18" t="s">
        <v>42</v>
      </c>
      <c r="B44" s="22">
        <v>83631.30478733535</v>
      </c>
      <c r="C44" s="22">
        <v>85172.941360178505</v>
      </c>
      <c r="D44" s="22">
        <v>91194.388380583696</v>
      </c>
      <c r="E44" s="22">
        <v>97855.161245638257</v>
      </c>
      <c r="F44" s="22">
        <v>153080.2184842453</v>
      </c>
      <c r="G44" s="22">
        <v>169755.04977107182</v>
      </c>
      <c r="H44" s="22">
        <v>208114.20141789605</v>
      </c>
      <c r="I44" s="22">
        <v>247506.90831598866</v>
      </c>
      <c r="J44" s="22">
        <v>285230.0384737117</v>
      </c>
      <c r="K44" s="22">
        <v>314588.24218781281</v>
      </c>
      <c r="L44" s="22">
        <v>402265.33880140551</v>
      </c>
      <c r="M44" s="22">
        <v>425973</v>
      </c>
      <c r="N44" s="22">
        <v>489550</v>
      </c>
      <c r="O44" s="22">
        <v>567116</v>
      </c>
      <c r="P44" s="22">
        <v>617500</v>
      </c>
      <c r="Q44" s="22">
        <v>627149</v>
      </c>
      <c r="R44" s="22">
        <v>640274</v>
      </c>
      <c r="S44" s="22">
        <v>715958</v>
      </c>
      <c r="T44" s="22">
        <v>765804</v>
      </c>
      <c r="U44" s="22">
        <v>795840</v>
      </c>
      <c r="V44" s="22">
        <v>810653</v>
      </c>
      <c r="W44" s="22">
        <v>862411</v>
      </c>
    </row>
    <row r="45" spans="1:23">
      <c r="A45" s="18" t="s">
        <v>43</v>
      </c>
      <c r="B45" s="22">
        <v>37874.745851255131</v>
      </c>
      <c r="C45" s="22">
        <v>37961.42132207728</v>
      </c>
      <c r="D45" s="22">
        <v>42297.618221097538</v>
      </c>
      <c r="E45" s="22">
        <v>45634.3485644256</v>
      </c>
      <c r="F45" s="22">
        <v>52582.997905292519</v>
      </c>
      <c r="G45" s="22">
        <v>59578.009563432468</v>
      </c>
      <c r="H45" s="22">
        <v>65872.262773427181</v>
      </c>
      <c r="I45" s="22">
        <v>74213.936732949922</v>
      </c>
      <c r="J45" s="22">
        <v>92400.575552753609</v>
      </c>
      <c r="K45" s="22">
        <v>99946.240895046212</v>
      </c>
      <c r="L45" s="22">
        <v>121643.94613569739</v>
      </c>
      <c r="M45" s="22">
        <v>147721</v>
      </c>
      <c r="N45" s="22">
        <v>168938</v>
      </c>
      <c r="O45" s="22">
        <v>187874</v>
      </c>
      <c r="P45" s="22">
        <v>206454</v>
      </c>
      <c r="Q45" s="22">
        <v>217908</v>
      </c>
      <c r="R45" s="22">
        <v>213851</v>
      </c>
      <c r="S45" s="22">
        <v>238280</v>
      </c>
      <c r="T45" s="22">
        <v>251354</v>
      </c>
      <c r="U45" s="22">
        <v>264821</v>
      </c>
      <c r="V45" s="22">
        <v>248346</v>
      </c>
      <c r="W45" s="22">
        <v>290884</v>
      </c>
    </row>
    <row r="46" spans="1:23">
      <c r="A46" s="18" t="s">
        <v>44</v>
      </c>
      <c r="B46" s="22">
        <v>44143.044109504081</v>
      </c>
      <c r="C46" s="22">
        <v>47014.294340305169</v>
      </c>
      <c r="D46" s="22">
        <v>54583.825468847775</v>
      </c>
      <c r="E46" s="22">
        <v>55390.973706354511</v>
      </c>
      <c r="F46" s="22">
        <v>63128.896879724314</v>
      </c>
      <c r="G46" s="22">
        <v>79704.645477339116</v>
      </c>
      <c r="H46" s="22">
        <v>84674.703944898632</v>
      </c>
      <c r="I46" s="22">
        <v>94694.786423784215</v>
      </c>
      <c r="J46" s="22">
        <v>112361.45518406386</v>
      </c>
      <c r="K46" s="22">
        <v>114647.88834998121</v>
      </c>
      <c r="L46" s="22">
        <v>128709.86907697607</v>
      </c>
      <c r="M46" s="22">
        <v>134758</v>
      </c>
      <c r="N46" s="22">
        <v>146596</v>
      </c>
      <c r="O46" s="22">
        <v>154399</v>
      </c>
      <c r="P46" s="22">
        <v>165797</v>
      </c>
      <c r="Q46" s="22">
        <v>167017</v>
      </c>
      <c r="R46" s="22">
        <v>172425</v>
      </c>
      <c r="S46" s="22">
        <v>181531</v>
      </c>
      <c r="T46" s="22">
        <v>198062</v>
      </c>
      <c r="U46" s="22">
        <v>215286</v>
      </c>
      <c r="V46" s="22">
        <v>223418</v>
      </c>
      <c r="W46" s="22">
        <v>270681</v>
      </c>
    </row>
    <row r="47" spans="1:23">
      <c r="A47" s="18" t="s">
        <v>45</v>
      </c>
      <c r="B47" s="22">
        <v>70489.19140969518</v>
      </c>
      <c r="C47" s="22">
        <v>71300.428245920833</v>
      </c>
      <c r="D47" s="22">
        <v>82941.958683799661</v>
      </c>
      <c r="E47" s="22">
        <v>97336.890326674315</v>
      </c>
      <c r="F47" s="22">
        <v>113694.42963944103</v>
      </c>
      <c r="G47" s="22">
        <v>114608.15868893289</v>
      </c>
      <c r="H47" s="22">
        <v>142263.95290370486</v>
      </c>
      <c r="I47" s="22">
        <v>169749.10568650323</v>
      </c>
      <c r="J47" s="22">
        <v>192699.61598858066</v>
      </c>
      <c r="K47" s="22">
        <v>185935.09988466819</v>
      </c>
      <c r="L47" s="22">
        <v>205080.78997875468</v>
      </c>
      <c r="M47" s="22">
        <v>238502</v>
      </c>
      <c r="N47" s="22">
        <v>243135</v>
      </c>
      <c r="O47" s="22">
        <v>265008</v>
      </c>
      <c r="P47" s="22">
        <v>271031</v>
      </c>
      <c r="Q47" s="22">
        <v>314830</v>
      </c>
      <c r="R47" s="22">
        <v>352798</v>
      </c>
      <c r="S47" s="22">
        <v>420654</v>
      </c>
      <c r="T47" s="22">
        <v>433767</v>
      </c>
      <c r="U47" s="22">
        <v>427209</v>
      </c>
      <c r="V47" s="22">
        <v>475289</v>
      </c>
      <c r="W47" s="22">
        <v>451287</v>
      </c>
    </row>
    <row r="48" spans="1:23">
      <c r="A48" s="18" t="s">
        <v>46</v>
      </c>
      <c r="B48" s="22">
        <v>126155.29082244058</v>
      </c>
      <c r="C48" s="22">
        <v>130152.43845077854</v>
      </c>
      <c r="D48" s="22">
        <v>133073.51040722569</v>
      </c>
      <c r="E48" s="22">
        <v>141798.74192810361</v>
      </c>
      <c r="F48" s="22">
        <v>154023.96957360476</v>
      </c>
      <c r="G48" s="22">
        <v>165255.04798520004</v>
      </c>
      <c r="H48" s="22">
        <v>179876.22898147078</v>
      </c>
      <c r="I48" s="22">
        <v>193959.44771665681</v>
      </c>
      <c r="J48" s="22">
        <v>207026.15443105428</v>
      </c>
      <c r="K48" s="22">
        <v>227923.38972746651</v>
      </c>
      <c r="L48" s="22">
        <v>259298.77328334734</v>
      </c>
      <c r="M48" s="22">
        <v>279720</v>
      </c>
      <c r="N48" s="22">
        <v>327226</v>
      </c>
      <c r="O48" s="22">
        <v>377330</v>
      </c>
      <c r="P48" s="22">
        <v>422281</v>
      </c>
      <c r="Q48" s="22">
        <v>462012</v>
      </c>
      <c r="R48" s="22">
        <v>499721</v>
      </c>
      <c r="S48" s="22">
        <v>534002</v>
      </c>
      <c r="T48" s="22">
        <v>576555</v>
      </c>
      <c r="U48" s="22">
        <v>602342</v>
      </c>
      <c r="V48" s="22">
        <v>630368</v>
      </c>
      <c r="W48" s="22">
        <v>668164</v>
      </c>
    </row>
    <row r="49" spans="1:23">
      <c r="A49" s="18" t="s">
        <v>47</v>
      </c>
      <c r="B49" s="22">
        <v>5346.0588804222552</v>
      </c>
      <c r="C49" s="22">
        <v>5399.5168622559886</v>
      </c>
      <c r="D49" s="22">
        <v>5077.3539985042589</v>
      </c>
      <c r="E49" s="22">
        <v>6206.4132208676292</v>
      </c>
      <c r="F49" s="22">
        <v>6209.8267015982474</v>
      </c>
      <c r="G49" s="22">
        <v>5341.6586698005658</v>
      </c>
      <c r="H49" s="22">
        <v>6225.8515137224458</v>
      </c>
      <c r="I49" s="22">
        <v>7451.3176154932662</v>
      </c>
      <c r="J49" s="22">
        <v>8676.6365082699776</v>
      </c>
      <c r="K49" s="22">
        <v>9174.8746000559731</v>
      </c>
      <c r="L49" s="22">
        <v>9378.5340095917909</v>
      </c>
      <c r="M49" s="22">
        <v>10105</v>
      </c>
      <c r="N49" s="22">
        <v>10279</v>
      </c>
      <c r="O49" s="22">
        <v>11365</v>
      </c>
      <c r="P49" s="22">
        <v>12597</v>
      </c>
      <c r="Q49" s="22">
        <v>13211</v>
      </c>
      <c r="R49" s="22">
        <v>12277</v>
      </c>
      <c r="S49" s="22">
        <v>15578</v>
      </c>
      <c r="T49" s="22">
        <v>15795</v>
      </c>
      <c r="U49" s="22">
        <v>18045</v>
      </c>
      <c r="V49" s="22">
        <v>17317</v>
      </c>
      <c r="W49" s="22">
        <v>16865</v>
      </c>
    </row>
    <row r="50" spans="1:23">
      <c r="A50" s="18" t="s">
        <v>48</v>
      </c>
      <c r="B50" s="22">
        <v>22557.977176308592</v>
      </c>
      <c r="C50" s="22">
        <v>22478.069772876144</v>
      </c>
      <c r="D50" s="22">
        <v>25377.925207337878</v>
      </c>
      <c r="E50" s="22">
        <v>26191.763553562207</v>
      </c>
      <c r="F50" s="22">
        <v>25906.287200091829</v>
      </c>
      <c r="G50" s="22">
        <v>27777.981309550916</v>
      </c>
      <c r="H50" s="22">
        <v>31575.715991148834</v>
      </c>
      <c r="I50" s="22">
        <v>40226.053916089877</v>
      </c>
      <c r="J50" s="22">
        <v>48907.630506518944</v>
      </c>
      <c r="K50" s="22">
        <v>46968.646218736234</v>
      </c>
      <c r="L50" s="22">
        <v>59306.886319485115</v>
      </c>
      <c r="M50" s="22">
        <v>75304</v>
      </c>
      <c r="N50" s="22">
        <v>86426</v>
      </c>
      <c r="O50" s="22">
        <v>93214</v>
      </c>
      <c r="P50" s="22">
        <v>110486</v>
      </c>
      <c r="Q50" s="22">
        <v>116859</v>
      </c>
      <c r="R50" s="22">
        <v>118924</v>
      </c>
      <c r="S50" s="22">
        <v>133103</v>
      </c>
      <c r="T50" s="22">
        <v>144583</v>
      </c>
      <c r="U50" s="22">
        <v>153096</v>
      </c>
      <c r="V50" s="22">
        <v>115412</v>
      </c>
      <c r="W50" s="22">
        <v>131926</v>
      </c>
    </row>
    <row r="51" spans="1:23">
      <c r="A51" s="18" t="s">
        <v>49</v>
      </c>
      <c r="B51" s="22">
        <v>58131.64176922568</v>
      </c>
      <c r="C51" s="22">
        <v>56295.65020161758</v>
      </c>
      <c r="D51" s="22">
        <v>64996.231619564256</v>
      </c>
      <c r="E51" s="22">
        <v>70642.270670653641</v>
      </c>
      <c r="F51" s="22">
        <v>84502.644776448593</v>
      </c>
      <c r="G51" s="22">
        <v>95660.334404585781</v>
      </c>
      <c r="H51" s="22">
        <v>104622.83359740916</v>
      </c>
      <c r="I51" s="22">
        <v>126242.70511254066</v>
      </c>
      <c r="J51" s="22">
        <v>143603.57951354395</v>
      </c>
      <c r="K51" s="22">
        <v>160529.33968888532</v>
      </c>
      <c r="L51" s="22">
        <v>191247.61819169187</v>
      </c>
      <c r="M51" s="22">
        <v>222675</v>
      </c>
      <c r="N51" s="22">
        <v>253535</v>
      </c>
      <c r="O51" s="22">
        <v>284066</v>
      </c>
      <c r="P51" s="22">
        <v>311723</v>
      </c>
      <c r="Q51" s="22">
        <v>320503</v>
      </c>
      <c r="R51" s="22">
        <v>343290</v>
      </c>
      <c r="S51" s="22">
        <v>362970</v>
      </c>
      <c r="T51" s="22">
        <v>381888</v>
      </c>
      <c r="U51" s="22">
        <v>413885</v>
      </c>
      <c r="V51" s="22">
        <v>421679</v>
      </c>
      <c r="W51" s="22">
        <v>487771</v>
      </c>
    </row>
    <row r="52" spans="1:23">
      <c r="A52" s="18" t="s">
        <v>50</v>
      </c>
      <c r="B52" s="22">
        <v>15788.463612935626</v>
      </c>
      <c r="C52" s="22">
        <v>16472.968706004965</v>
      </c>
      <c r="D52" s="22">
        <v>17466.552173718213</v>
      </c>
      <c r="E52" s="22">
        <v>20255.739669093316</v>
      </c>
      <c r="F52" s="22">
        <v>23399.198031872827</v>
      </c>
      <c r="G52" s="22">
        <v>26620.363285696912</v>
      </c>
      <c r="H52" s="22">
        <v>22230.268857145202</v>
      </c>
      <c r="I52" s="22">
        <v>27152.521581029185</v>
      </c>
      <c r="J52" s="22">
        <v>29569.446020355768</v>
      </c>
      <c r="K52" s="22">
        <v>30494.935007161963</v>
      </c>
      <c r="L52" s="22">
        <v>33673.382010070018</v>
      </c>
      <c r="M52" s="22">
        <v>38969</v>
      </c>
      <c r="N52" s="22">
        <v>43521</v>
      </c>
      <c r="O52" s="22">
        <v>51129</v>
      </c>
      <c r="P52" s="22">
        <v>60226</v>
      </c>
      <c r="Q52" s="22">
        <v>69793</v>
      </c>
      <c r="R52" s="22">
        <v>75707</v>
      </c>
      <c r="S52" s="22">
        <v>84549</v>
      </c>
      <c r="T52" s="22">
        <v>94927</v>
      </c>
      <c r="U52" s="22">
        <v>104407</v>
      </c>
      <c r="V52" s="22">
        <v>96476</v>
      </c>
      <c r="W52" s="22">
        <v>103678</v>
      </c>
    </row>
    <row r="53" spans="1:23">
      <c r="A53" s="18" t="s">
        <v>51</v>
      </c>
      <c r="B53" s="22">
        <v>23558.252871101085</v>
      </c>
      <c r="C53" s="22">
        <v>24142.055359277441</v>
      </c>
      <c r="D53" s="22">
        <v>25872.108541337569</v>
      </c>
      <c r="E53" s="22">
        <v>30491.231650259091</v>
      </c>
      <c r="F53" s="22">
        <v>33342.164158965032</v>
      </c>
      <c r="G53" s="22">
        <v>36811.932835701744</v>
      </c>
      <c r="H53" s="22">
        <v>36539.645587093975</v>
      </c>
      <c r="I53" s="22">
        <v>44536.296128789087</v>
      </c>
      <c r="J53" s="22">
        <v>50018.945786360178</v>
      </c>
      <c r="K53" s="22">
        <v>52852.81816339786</v>
      </c>
      <c r="L53" s="22">
        <v>58729.744908443528</v>
      </c>
      <c r="M53" s="22">
        <v>64635</v>
      </c>
      <c r="N53" s="22">
        <v>70607</v>
      </c>
      <c r="O53" s="22">
        <v>87971</v>
      </c>
      <c r="P53" s="22">
        <v>104555</v>
      </c>
      <c r="Q53" s="22">
        <v>122571</v>
      </c>
      <c r="R53" s="22">
        <v>134622</v>
      </c>
      <c r="S53" s="22">
        <v>142533</v>
      </c>
      <c r="T53" s="22">
        <v>157330</v>
      </c>
      <c r="U53" s="22">
        <v>169425</v>
      </c>
      <c r="V53" s="22">
        <v>168153</v>
      </c>
      <c r="W53" s="22">
        <v>199696</v>
      </c>
    </row>
    <row r="54" spans="1:23">
      <c r="A54" s="18" t="s">
        <v>52</v>
      </c>
      <c r="B54" s="22">
        <v>36863.979145173595</v>
      </c>
      <c r="C54" s="22">
        <v>36798.294957286271</v>
      </c>
      <c r="D54" s="22">
        <v>36606.971318581142</v>
      </c>
      <c r="E54" s="22">
        <v>39306.827802293446</v>
      </c>
      <c r="F54" s="22">
        <v>43220.045787246243</v>
      </c>
      <c r="G54" s="22">
        <v>50719.646443076053</v>
      </c>
      <c r="H54" s="22">
        <v>58724.719381217496</v>
      </c>
      <c r="I54" s="22">
        <v>65406.963588132407</v>
      </c>
      <c r="J54" s="22">
        <v>68815.117163944538</v>
      </c>
      <c r="K54" s="22">
        <v>77951.178147693441</v>
      </c>
      <c r="L54" s="22">
        <v>81733.969394585991</v>
      </c>
      <c r="M54" s="22">
        <v>88869</v>
      </c>
      <c r="N54" s="22">
        <v>103746</v>
      </c>
      <c r="O54" s="22">
        <v>111438</v>
      </c>
      <c r="P54" s="22">
        <v>129710</v>
      </c>
      <c r="Q54" s="22">
        <v>132932</v>
      </c>
      <c r="R54" s="22">
        <v>137870</v>
      </c>
      <c r="S54" s="22">
        <v>149316</v>
      </c>
      <c r="T54" s="22">
        <v>164167</v>
      </c>
      <c r="U54" s="22">
        <v>173817</v>
      </c>
      <c r="V54" s="22">
        <v>165230</v>
      </c>
      <c r="W54" s="22">
        <v>176680</v>
      </c>
    </row>
    <row r="55" spans="1:23">
      <c r="A55" s="18" t="s">
        <v>53</v>
      </c>
      <c r="B55" s="22">
        <v>12116.6572594356</v>
      </c>
      <c r="C55" s="22">
        <v>12134.290037402299</v>
      </c>
      <c r="D55" s="22">
        <v>14418.714382863</v>
      </c>
      <c r="E55" s="22">
        <v>15029.004420265201</v>
      </c>
      <c r="F55" s="22">
        <v>18267.557973478401</v>
      </c>
      <c r="G55" s="22">
        <v>20363.8993539613</v>
      </c>
      <c r="H55" s="22">
        <v>22515.098265895998</v>
      </c>
      <c r="I55" s="22">
        <v>24968.993199592001</v>
      </c>
      <c r="J55" s="22">
        <v>27223.049982999</v>
      </c>
      <c r="K55" s="22">
        <v>32936.070044202701</v>
      </c>
      <c r="L55" s="22">
        <v>36649.729003740198</v>
      </c>
      <c r="M55" s="22">
        <v>40858</v>
      </c>
      <c r="N55" s="22">
        <v>42879</v>
      </c>
      <c r="O55" s="22">
        <v>48326</v>
      </c>
      <c r="P55" s="22">
        <v>53924</v>
      </c>
      <c r="Q55" s="22">
        <v>59327</v>
      </c>
      <c r="R55" s="22">
        <v>63236</v>
      </c>
      <c r="S55" s="22">
        <v>68415</v>
      </c>
      <c r="T55" s="22">
        <v>72030</v>
      </c>
      <c r="U55" s="22">
        <v>75568</v>
      </c>
      <c r="V55" s="22">
        <v>57613</v>
      </c>
      <c r="W55" s="22">
        <v>63340</v>
      </c>
    </row>
    <row r="56" spans="1:23">
      <c r="A56" s="18" t="s">
        <v>54</v>
      </c>
      <c r="B56" s="22">
        <v>39568.044984498221</v>
      </c>
      <c r="C56" s="22">
        <v>40789.036503249597</v>
      </c>
      <c r="D56" s="22">
        <v>42277.788796037421</v>
      </c>
      <c r="E56" s="22">
        <v>50542.701317509243</v>
      </c>
      <c r="F56" s="22">
        <v>56167.890068942055</v>
      </c>
      <c r="G56" s="22">
        <v>54265.191478447814</v>
      </c>
      <c r="H56" s="22">
        <v>62545.930418067481</v>
      </c>
      <c r="I56" s="22">
        <v>70223.205477713112</v>
      </c>
      <c r="J56" s="22">
        <v>83339.543725500582</v>
      </c>
      <c r="K56" s="22">
        <v>101009.21041548076</v>
      </c>
      <c r="L56" s="22">
        <v>114069.01017441849</v>
      </c>
      <c r="M56" s="22">
        <v>126546</v>
      </c>
      <c r="N56" s="22">
        <v>152177</v>
      </c>
      <c r="O56" s="22">
        <v>164496</v>
      </c>
      <c r="P56" s="22">
        <v>199632</v>
      </c>
      <c r="Q56" s="22">
        <v>231017</v>
      </c>
      <c r="R56" s="22">
        <v>256223</v>
      </c>
      <c r="S56" s="22">
        <v>273277</v>
      </c>
      <c r="T56" s="22">
        <v>282731</v>
      </c>
      <c r="U56" s="22">
        <v>290404</v>
      </c>
      <c r="V56" s="22">
        <v>295622</v>
      </c>
      <c r="W56" s="22">
        <v>347631</v>
      </c>
    </row>
    <row r="57" spans="1:23">
      <c r="A57" s="18" t="s">
        <v>55</v>
      </c>
      <c r="B57" s="22">
        <v>18123.9387673399</v>
      </c>
      <c r="C57" s="22">
        <v>19500.193900482511</v>
      </c>
      <c r="D57" s="22">
        <v>20724.010448489269</v>
      </c>
      <c r="E57" s="22">
        <v>24895.352937049443</v>
      </c>
      <c r="F57" s="22">
        <v>27177.429351061233</v>
      </c>
      <c r="G57" s="22">
        <v>32443.850868909241</v>
      </c>
      <c r="H57" s="22">
        <v>35663.175055910506</v>
      </c>
      <c r="I57" s="22">
        <v>40659.944388306467</v>
      </c>
      <c r="J57" s="22">
        <v>48915.730284895122</v>
      </c>
      <c r="K57" s="22">
        <v>56520.111009183674</v>
      </c>
      <c r="L57" s="22">
        <v>64126.817922602728</v>
      </c>
      <c r="M57" s="22">
        <v>69898</v>
      </c>
      <c r="N57" s="22">
        <v>74808</v>
      </c>
      <c r="O57" s="22">
        <v>85052</v>
      </c>
      <c r="P57" s="22">
        <v>101510</v>
      </c>
      <c r="Q57" s="22">
        <v>112488</v>
      </c>
      <c r="R57" s="22">
        <v>119317</v>
      </c>
      <c r="S57" s="22">
        <v>132270</v>
      </c>
      <c r="T57" s="22">
        <v>131007</v>
      </c>
      <c r="U57" s="22">
        <v>136164</v>
      </c>
      <c r="V57" s="22">
        <v>119138</v>
      </c>
      <c r="W57" s="22">
        <v>173728</v>
      </c>
    </row>
    <row r="58" spans="1:23">
      <c r="A58" s="18" t="s">
        <v>56</v>
      </c>
      <c r="B58" s="22">
        <v>104144.85794677763</v>
      </c>
      <c r="C58" s="22">
        <v>107296.75712009048</v>
      </c>
      <c r="D58" s="22">
        <v>126172.32257117353</v>
      </c>
      <c r="E58" s="22">
        <v>140678.26760754327</v>
      </c>
      <c r="F58" s="22">
        <v>161998.47047728157</v>
      </c>
      <c r="G58" s="22">
        <v>175659.72212235967</v>
      </c>
      <c r="H58" s="22">
        <v>208448.84084222466</v>
      </c>
      <c r="I58" s="22">
        <v>229936.80441234334</v>
      </c>
      <c r="J58" s="22">
        <v>247269.72344078502</v>
      </c>
      <c r="K58" s="22">
        <v>291552.14364018792</v>
      </c>
      <c r="L58" s="22">
        <v>319822.7306604418</v>
      </c>
      <c r="M58" s="22">
        <v>351629</v>
      </c>
      <c r="N58" s="22">
        <v>379116</v>
      </c>
      <c r="O58" s="22">
        <v>416973</v>
      </c>
      <c r="P58" s="22">
        <v>445772</v>
      </c>
      <c r="Q58" s="22">
        <v>475282</v>
      </c>
      <c r="R58" s="22">
        <v>512326</v>
      </c>
      <c r="S58" s="22">
        <v>540350</v>
      </c>
      <c r="T58" s="22">
        <v>588213</v>
      </c>
      <c r="U58" s="22">
        <v>614376</v>
      </c>
      <c r="V58" s="22">
        <v>641250</v>
      </c>
      <c r="W58" s="22">
        <v>655822</v>
      </c>
    </row>
  </sheetData>
  <mergeCells count="1"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94C1-EFB5-454F-9A76-07B7C79AEE49}">
  <dimension ref="A1:Y53"/>
  <sheetViews>
    <sheetView topLeftCell="C1" workbookViewId="0">
      <selection activeCell="Y6" sqref="Y6"/>
    </sheetView>
  </sheetViews>
  <sheetFormatPr baseColWidth="10" defaultRowHeight="10"/>
  <cols>
    <col min="1" max="1" width="20.54296875" style="31" customWidth="1"/>
    <col min="2" max="16384" width="10.90625" style="31"/>
  </cols>
  <sheetData>
    <row r="1" spans="1:25">
      <c r="B1" s="32">
        <v>2000</v>
      </c>
      <c r="C1" s="33">
        <v>2001</v>
      </c>
      <c r="D1" s="33">
        <v>2002</v>
      </c>
      <c r="E1" s="33">
        <v>2003</v>
      </c>
      <c r="F1" s="33">
        <v>2004</v>
      </c>
      <c r="G1" s="33">
        <v>2005</v>
      </c>
      <c r="H1" s="33">
        <v>2006</v>
      </c>
      <c r="I1" s="33">
        <v>2007</v>
      </c>
      <c r="J1" s="33">
        <v>2008</v>
      </c>
      <c r="K1" s="33">
        <v>2009</v>
      </c>
      <c r="L1" s="33">
        <v>2010</v>
      </c>
      <c r="M1" s="33">
        <v>2011</v>
      </c>
      <c r="N1" s="33">
        <v>2012</v>
      </c>
      <c r="O1" s="34">
        <v>2013</v>
      </c>
      <c r="P1" s="34">
        <v>2014</v>
      </c>
      <c r="Q1" s="34">
        <v>2015</v>
      </c>
      <c r="R1" s="34">
        <v>2016</v>
      </c>
      <c r="S1" s="34">
        <v>2017</v>
      </c>
      <c r="T1" s="34">
        <v>2018</v>
      </c>
      <c r="U1" s="34">
        <v>2019</v>
      </c>
      <c r="V1" s="34">
        <v>2020</v>
      </c>
      <c r="W1" s="34">
        <v>2021</v>
      </c>
      <c r="X1" s="34">
        <v>2022</v>
      </c>
      <c r="Y1" s="34">
        <v>2023</v>
      </c>
    </row>
    <row r="2" spans="1:25" ht="10.5">
      <c r="A2" s="35" t="s">
        <v>59</v>
      </c>
      <c r="B2" s="36">
        <f>+corriente58!B7/constante58!B7*100</f>
        <v>100</v>
      </c>
      <c r="C2" s="36">
        <f>+corriente58!C7/constante58!C7*100</f>
        <v>107.01961438420643</v>
      </c>
      <c r="D2" s="36">
        <f>+corriente58!D7/constante58!D7*100</f>
        <v>109.4514912373777</v>
      </c>
      <c r="E2" s="36">
        <f>+corriente58!E7/constante58!E7*100</f>
        <v>114.38181189694956</v>
      </c>
      <c r="F2" s="36">
        <f>+corriente58!F7/constante58!F7*100</f>
        <v>106.95476591763757</v>
      </c>
      <c r="G2" s="36">
        <f>+corriente58!G7/constante58!G7*100</f>
        <v>107.63659323441857</v>
      </c>
      <c r="H2" s="36">
        <f>+corriente58!H7/constante58!H7*100</f>
        <v>107.25063089957044</v>
      </c>
      <c r="I2" s="36">
        <f>+corriente58!I7/constante58!I7*100</f>
        <v>106.98276983327281</v>
      </c>
      <c r="J2" s="36">
        <f>+corriente58!J7/constante58!J7*100</f>
        <v>108.17437884594392</v>
      </c>
      <c r="K2" s="36">
        <f>+corriente58!K7/constante58!K7*100</f>
        <v>108.60650515017815</v>
      </c>
      <c r="L2" s="36">
        <f>+corriente58!L7/constante58!L7*100</f>
        <v>108.34071651542074</v>
      </c>
      <c r="M2" s="36">
        <f>+corriente58!M7/constante58!M7*100</f>
        <v>108.57999632274615</v>
      </c>
      <c r="N2" s="36">
        <f>+corriente58!N7/constante58!N7*100</f>
        <v>108.3013528612603</v>
      </c>
      <c r="O2" s="36">
        <f>+corriente58!O7/constante58!O7*100</f>
        <v>108.1139601139601</v>
      </c>
      <c r="P2" s="36">
        <f>+corriente58!P7/constante58!P7*100</f>
        <v>108.69950792971774</v>
      </c>
      <c r="Q2" s="36">
        <f>+corriente58!Q7/constante58!Q7*100</f>
        <v>107.04953749816501</v>
      </c>
      <c r="R2" s="36">
        <f>+corriente58!R7/constante58!R7*100</f>
        <v>108.26476838868568</v>
      </c>
      <c r="S2" s="36">
        <f>+corriente58!S7/constante58!S7*100</f>
        <v>103.35522553854935</v>
      </c>
      <c r="T2" s="36">
        <f>+corriente58!T7/constante58!T7*100</f>
        <v>104.151722627545</v>
      </c>
      <c r="U2" s="36">
        <f>+corriente58!U7/constante58!U7*100</f>
        <v>104.72310342418902</v>
      </c>
      <c r="V2" s="36">
        <f>+corriente58!V7/constante58!V7*100</f>
        <v>107.16013663332295</v>
      </c>
      <c r="W2" s="36">
        <f>+corriente58!W7/constante58!W7*100</f>
        <v>111.88987447271489</v>
      </c>
    </row>
    <row r="3" spans="1:25">
      <c r="A3" s="37" t="s">
        <v>6</v>
      </c>
      <c r="B3" s="36">
        <f>+corriente58!B8/constante58!B8*100</f>
        <v>100</v>
      </c>
      <c r="C3" s="36">
        <f>+corriente58!C8/constante58!C8*100</f>
        <v>104.70829445602436</v>
      </c>
      <c r="D3" s="36">
        <f>+corriente58!D8/constante58!D8*100</f>
        <v>124.51369159782972</v>
      </c>
      <c r="E3" s="36">
        <f>+corriente58!E8/constante58!E8*100</f>
        <v>120.48726762932304</v>
      </c>
      <c r="F3" s="36">
        <f>+corriente58!F8/constante58!F8*100</f>
        <v>102.53791719121081</v>
      </c>
      <c r="G3" s="36">
        <f>+corriente58!G8/constante58!G8*100</f>
        <v>86.124288414025983</v>
      </c>
      <c r="H3" s="36">
        <f>+corriente58!H8/constante58!H8*100</f>
        <v>100.56441266482439</v>
      </c>
      <c r="I3" s="36">
        <f>+corriente58!I8/constante58!I8*100</f>
        <v>109.82976094629385</v>
      </c>
      <c r="J3" s="36">
        <f>+corriente58!J8/constante58!J8*100</f>
        <v>108.38838559407557</v>
      </c>
      <c r="K3" s="36">
        <f>+corriente58!K8/constante58!K8*100</f>
        <v>111.03213315243556</v>
      </c>
      <c r="L3" s="36">
        <f>+corriente58!L8/constante58!L8*100</f>
        <v>97.846954983522096</v>
      </c>
      <c r="M3" s="36">
        <f>+corriente58!M8/constante58!M8*100</f>
        <v>115.27454522539176</v>
      </c>
      <c r="N3" s="36">
        <f>+corriente58!N8/constante58!N8*100</f>
        <v>109.56930162566405</v>
      </c>
      <c r="O3" s="36">
        <f>+corriente58!O8/constante58!O8*100</f>
        <v>108.7730954188813</v>
      </c>
      <c r="P3" s="36">
        <f>+corriente58!P8/constante58!P8*100</f>
        <v>98.34166160217886</v>
      </c>
      <c r="Q3" s="36">
        <f>+corriente58!Q8/constante58!Q8*100</f>
        <v>97.265097748944143</v>
      </c>
      <c r="R3" s="36">
        <f>+corriente58!R8/constante58!R8*100</f>
        <v>132.20148198087028</v>
      </c>
      <c r="S3" s="36">
        <f>+corriente58!S8/constante58!S8*100</f>
        <v>83.312826999367559</v>
      </c>
      <c r="T3" s="36">
        <f>+corriente58!T8/constante58!T8*100</f>
        <v>103.39494667551621</v>
      </c>
      <c r="U3" s="36">
        <f>+corriente58!U8/constante58!U8*100</f>
        <v>98.111380997641433</v>
      </c>
      <c r="V3" s="36">
        <f>+corriente58!V8/constante58!V8*100</f>
        <v>137.13006926362723</v>
      </c>
      <c r="W3" s="36">
        <f>+corriente58!W8/constante58!W8*100</f>
        <v>139.56228693204011</v>
      </c>
    </row>
    <row r="4" spans="1:25">
      <c r="A4" s="37" t="s">
        <v>7</v>
      </c>
      <c r="B4" s="36">
        <f>+corriente58!B9/constante58!B9*100</f>
        <v>100</v>
      </c>
      <c r="C4" s="36">
        <f>+corriente58!C9/constante58!C9*100</f>
        <v>107.04946158013013</v>
      </c>
      <c r="D4" s="36">
        <f>+corriente58!D9/constante58!D9*100</f>
        <v>107.48176165172374</v>
      </c>
      <c r="E4" s="36">
        <f>+corriente58!E9/constante58!E9*100</f>
        <v>118.61736250853285</v>
      </c>
      <c r="F4" s="36">
        <f>+corriente58!F9/constante58!F9*100</f>
        <v>102.91944448854463</v>
      </c>
      <c r="G4" s="36">
        <f>+corriente58!G9/constante58!G9*100</f>
        <v>100.31057082433179</v>
      </c>
      <c r="H4" s="36">
        <f>+corriente58!H9/constante58!H9*100</f>
        <v>97.530478498356345</v>
      </c>
      <c r="I4" s="36">
        <f>+corriente58!I9/constante58!I9*100</f>
        <v>112.31294849495758</v>
      </c>
      <c r="J4" s="36">
        <f>+corriente58!J9/constante58!J9*100</f>
        <v>120.67336744068842</v>
      </c>
      <c r="K4" s="36">
        <f>+corriente58!K9/constante58!K9*100</f>
        <v>104.90384815299609</v>
      </c>
      <c r="L4" s="36">
        <f>+corriente58!L9/constante58!L9*100</f>
        <v>106.99604427052149</v>
      </c>
      <c r="M4" s="36">
        <f>+corriente58!M9/constante58!M9*100</f>
        <v>105.79753679783718</v>
      </c>
      <c r="N4" s="36">
        <f>+corriente58!N9/constante58!N9*100</f>
        <v>107.48621410914623</v>
      </c>
      <c r="O4" s="36">
        <f>+corriente58!O9/constante58!O9*100</f>
        <v>115.05653139511406</v>
      </c>
      <c r="P4" s="36">
        <f>+corriente58!P9/constante58!P9*100</f>
        <v>108.5527075395451</v>
      </c>
      <c r="Q4" s="36">
        <f>+corriente58!Q9/constante58!Q9*100</f>
        <v>107.6914819387043</v>
      </c>
      <c r="R4" s="36">
        <f>+corriente58!R9/constante58!R9*100</f>
        <v>109.73533899053072</v>
      </c>
      <c r="S4" s="36">
        <f>+corriente58!S9/constante58!S9*100</f>
        <v>96.021714016532272</v>
      </c>
      <c r="T4" s="36">
        <f>+corriente58!T9/constante58!T9*100</f>
        <v>94.493830283933434</v>
      </c>
      <c r="U4" s="36">
        <f>+corriente58!U9/constante58!U9*100</f>
        <v>104.91391678622668</v>
      </c>
      <c r="V4" s="36">
        <f>+corriente58!V9/constante58!V9*100</f>
        <v>126.69644972416827</v>
      </c>
      <c r="W4" s="36">
        <f>+corriente58!W9/constante58!W9*100</f>
        <v>126.03547714402883</v>
      </c>
    </row>
    <row r="5" spans="1:25">
      <c r="A5" s="37" t="s">
        <v>8</v>
      </c>
      <c r="B5" s="36">
        <f>+corriente58!B10/constante58!B10*100</f>
        <v>100</v>
      </c>
      <c r="C5" s="36">
        <f>+corriente58!C10/constante58!C10*100</f>
        <v>123.18710818090297</v>
      </c>
      <c r="D5" s="36">
        <f>+corriente58!D10/constante58!D10*100</f>
        <v>116.13641087719256</v>
      </c>
      <c r="E5" s="36">
        <f>+corriente58!E10/constante58!E10*100</f>
        <v>120.85462562795432</v>
      </c>
      <c r="F5" s="36">
        <f>+corriente58!F10/constante58!F10*100</f>
        <v>125.02087557241101</v>
      </c>
      <c r="G5" s="36">
        <f>+corriente58!G10/constante58!G10*100</f>
        <v>138.89872632366837</v>
      </c>
      <c r="H5" s="36">
        <f>+corriente58!H10/constante58!H10*100</f>
        <v>120.9611042634461</v>
      </c>
      <c r="I5" s="36">
        <f>+corriente58!I10/constante58!I10*100</f>
        <v>88.728957615547372</v>
      </c>
      <c r="J5" s="36">
        <f>+corriente58!J10/constante58!J10*100</f>
        <v>140.00996577916817</v>
      </c>
      <c r="K5" s="36">
        <f>+corriente58!K10/constante58!K10*100</f>
        <v>54.668450574200648</v>
      </c>
      <c r="L5" s="36">
        <f>+corriente58!L10/constante58!L10*100</f>
        <v>140.13336988049693</v>
      </c>
      <c r="M5" s="36">
        <f>+corriente58!M10/constante58!M10*100</f>
        <v>152.28678711027669</v>
      </c>
      <c r="N5" s="36">
        <f>+corriente58!N10/constante58!N10*100</f>
        <v>129.72123004509055</v>
      </c>
      <c r="O5" s="36">
        <f>+corriente58!O10/constante58!O10*100</f>
        <v>103.23823251652666</v>
      </c>
      <c r="P5" s="36">
        <f>+corriente58!P10/constante58!P10*100</f>
        <v>93.739059991030999</v>
      </c>
      <c r="Q5" s="36">
        <f>+corriente58!Q10/constante58!Q10*100</f>
        <v>53.285136838445155</v>
      </c>
      <c r="R5" s="36">
        <f>+corriente58!R10/constante58!R10*100</f>
        <v>28.622087132725433</v>
      </c>
      <c r="S5" s="36">
        <f>+corriente58!S10/constante58!S10*100</f>
        <v>191.59511764978882</v>
      </c>
      <c r="T5" s="36">
        <f>+corriente58!T10/constante58!T10*100</f>
        <v>245.12832988687506</v>
      </c>
      <c r="U5" s="36">
        <f>+corriente58!U10/constante58!U10*100</f>
        <v>107.42766342707218</v>
      </c>
      <c r="V5" s="36">
        <f>+corriente58!V10/constante58!V10*100</f>
        <v>73.512785784381308</v>
      </c>
      <c r="W5" s="36">
        <f>+corriente58!W10/constante58!W10*100</f>
        <v>250.99798670794277</v>
      </c>
    </row>
    <row r="6" spans="1:25">
      <c r="A6" s="37" t="s">
        <v>9</v>
      </c>
      <c r="B6" s="36">
        <f>+corriente58!B11/constante58!B11*100</f>
        <v>100</v>
      </c>
      <c r="C6" s="36">
        <f>+corriente58!C11/constante58!C11*100</f>
        <v>140.02965897416996</v>
      </c>
      <c r="D6" s="36">
        <f>+corriente58!D11/constante58!D11*100</f>
        <v>155.30999874423733</v>
      </c>
      <c r="E6" s="36">
        <f>+corriente58!E11/constante58!E11*100</f>
        <v>116.63760554029554</v>
      </c>
      <c r="F6" s="36">
        <f>+corriente58!F11/constante58!F11*100</f>
        <v>117.91756872561278</v>
      </c>
      <c r="G6" s="36">
        <f>+corriente58!G11/constante58!G11*100</f>
        <v>139.18571798633411</v>
      </c>
      <c r="H6" s="36">
        <f>+corriente58!H11/constante58!H11*100</f>
        <v>89.607664352374243</v>
      </c>
      <c r="I6" s="36">
        <f>+corriente58!I11/constante58!I11*100</f>
        <v>92.162597190133752</v>
      </c>
      <c r="J6" s="36">
        <f>+corriente58!J11/constante58!J11*100</f>
        <v>158.65381161179434</v>
      </c>
      <c r="K6" s="36">
        <f>+corriente58!K11/constante58!K11*100</f>
        <v>103.15254686382838</v>
      </c>
      <c r="L6" s="36">
        <f>+corriente58!L11/constante58!L11*100</f>
        <v>190.78373457784014</v>
      </c>
      <c r="M6" s="36">
        <f>+corriente58!M11/constante58!M11*100</f>
        <v>134.80135029862373</v>
      </c>
      <c r="N6" s="36">
        <f>+corriente58!N11/constante58!N11*100</f>
        <v>95.969729310177556</v>
      </c>
      <c r="O6" s="36">
        <f>+corriente58!O11/constante58!O11*100</f>
        <v>114.23250468244508</v>
      </c>
      <c r="P6" s="36">
        <f>+corriente58!P11/constante58!P11*100</f>
        <v>77.029312780093122</v>
      </c>
      <c r="Q6" s="36">
        <f>+corriente58!Q11/constante58!Q11*100</f>
        <v>50.9024348714456</v>
      </c>
      <c r="R6" s="36">
        <f>+corriente58!R11/constante58!R11*100</f>
        <v>104.39776987407478</v>
      </c>
      <c r="S6" s="36">
        <f>+corriente58!S11/constante58!S11*100</f>
        <v>148.50610126890177</v>
      </c>
      <c r="T6" s="36">
        <f>+corriente58!T11/constante58!T11*100</f>
        <v>120.24830820056482</v>
      </c>
      <c r="U6" s="36">
        <f>+corriente58!U11/constante58!U11*100</f>
        <v>218.21301419808691</v>
      </c>
      <c r="V6" s="36">
        <f>+corriente58!V11/constante58!V11*100</f>
        <v>189.93997652218212</v>
      </c>
      <c r="W6" s="36">
        <f>+corriente58!W11/constante58!W11*100</f>
        <v>185.94333748443336</v>
      </c>
    </row>
    <row r="7" spans="1:25">
      <c r="A7" s="37" t="s">
        <v>10</v>
      </c>
      <c r="B7" s="36">
        <f>+corriente58!B12/constante58!B12*100</f>
        <v>100</v>
      </c>
      <c r="C7" s="36">
        <f>+corriente58!C12/constante58!C12*100</f>
        <v>83.486337604425842</v>
      </c>
      <c r="D7" s="36">
        <f>+corriente58!D12/constante58!D12*100</f>
        <v>137.81880744285922</v>
      </c>
      <c r="E7" s="36">
        <f>+corriente58!E12/constante58!E12*100</f>
        <v>120.40995525541112</v>
      </c>
      <c r="F7" s="36">
        <f>+corriente58!F12/constante58!F12*100</f>
        <v>163.73874363070931</v>
      </c>
      <c r="G7" s="36">
        <f>+corriente58!G12/constante58!G12*100</f>
        <v>78.18300924090353</v>
      </c>
      <c r="H7" s="36">
        <f>+corriente58!H12/constante58!H12*100</f>
        <v>155.62248981903466</v>
      </c>
      <c r="I7" s="36">
        <f>+corriente58!I12/constante58!I12*100</f>
        <v>133.72214994573227</v>
      </c>
      <c r="J7" s="36">
        <f>+corriente58!J12/constante58!J12*100</f>
        <v>116.25046999440998</v>
      </c>
      <c r="K7" s="36">
        <f>+corriente58!K12/constante58!K12*100</f>
        <v>78.204364082593457</v>
      </c>
      <c r="L7" s="36">
        <f>+corriente58!L12/constante58!L12*100</f>
        <v>131.2730309703488</v>
      </c>
      <c r="M7" s="36">
        <f>+corriente58!M12/constante58!M12*100</f>
        <v>113.67479832831179</v>
      </c>
      <c r="N7" s="36">
        <f>+corriente58!N12/constante58!N12*100</f>
        <v>102.65001265929614</v>
      </c>
      <c r="O7" s="36">
        <f>+corriente58!O12/constante58!O12*100</f>
        <v>88.69426751592357</v>
      </c>
      <c r="P7" s="36">
        <f>+corriente58!P12/constante58!P12*100</f>
        <v>100.40983606557377</v>
      </c>
      <c r="Q7" s="36">
        <f>+corriente58!Q12/constante58!Q12*100</f>
        <v>129.1917621915679</v>
      </c>
      <c r="R7" s="36">
        <f>+corriente58!R12/constante58!R12*100</f>
        <v>101.62510748065347</v>
      </c>
      <c r="S7" s="36">
        <f>+corriente58!S12/constante58!S12*100</f>
        <v>105.65429445317021</v>
      </c>
      <c r="T7" s="36">
        <f>+corriente58!T12/constante58!T12*100</f>
        <v>122.28041901692184</v>
      </c>
      <c r="U7" s="36">
        <f>+corriente58!U12/constante58!U12*100</f>
        <v>105.99661590524533</v>
      </c>
      <c r="V7" s="36">
        <f>+corriente58!V12/constante58!V12*100</f>
        <v>108.03162452155361</v>
      </c>
      <c r="W7" s="36">
        <f>+corriente58!W12/constante58!W12*100</f>
        <v>141.02634317322963</v>
      </c>
    </row>
    <row r="8" spans="1:25">
      <c r="A8" s="37" t="s">
        <v>11</v>
      </c>
      <c r="B8" s="36">
        <f>+corriente58!B13/constante58!B13*100</f>
        <v>100</v>
      </c>
      <c r="C8" s="36">
        <f>+corriente58!C13/constante58!C13*100</f>
        <v>109.51018103458061</v>
      </c>
      <c r="D8" s="36">
        <f>+corriente58!D13/constante58!D13*100</f>
        <v>79.193528836220466</v>
      </c>
      <c r="E8" s="36">
        <f>+corriente58!E13/constante58!E13*100</f>
        <v>146.48290789588845</v>
      </c>
      <c r="F8" s="36">
        <f>+corriente58!F13/constante58!F13*100</f>
        <v>128.44662233270003</v>
      </c>
      <c r="G8" s="36">
        <f>+corriente58!G13/constante58!G13*100</f>
        <v>126.49373027014366</v>
      </c>
      <c r="H8" s="36">
        <f>+corriente58!H13/constante58!H13*100</f>
        <v>108.49961101249357</v>
      </c>
      <c r="I8" s="36">
        <f>+corriente58!I13/constante58!I13*100</f>
        <v>104.20738906042092</v>
      </c>
      <c r="J8" s="36">
        <f>+corriente58!J13/constante58!J13*100</f>
        <v>115.71901409715379</v>
      </c>
      <c r="K8" s="36">
        <f>+corriente58!K13/constante58!K13*100</f>
        <v>106.15518166949633</v>
      </c>
      <c r="L8" s="36">
        <f>+corriente58!L13/constante58!L13*100</f>
        <v>119.62138081501989</v>
      </c>
      <c r="M8" s="36">
        <f>+corriente58!M13/constante58!M13*100</f>
        <v>119.64460537785824</v>
      </c>
      <c r="N8" s="36">
        <f>+corriente58!N13/constante58!N13*100</f>
        <v>116.54282499648399</v>
      </c>
      <c r="O8" s="36">
        <f>+corriente58!O13/constante58!O13*100</f>
        <v>102.2406803124691</v>
      </c>
      <c r="P8" s="36">
        <f>+corriente58!P13/constante58!P13*100</f>
        <v>106.86705791293953</v>
      </c>
      <c r="Q8" s="36">
        <f>+corriente58!Q13/constante58!Q13*100</f>
        <v>112.93084668062173</v>
      </c>
      <c r="R8" s="36">
        <f>+corriente58!R13/constante58!R13*100</f>
        <v>103.91827025190095</v>
      </c>
      <c r="S8" s="36">
        <f>+corriente58!S13/constante58!S13*100</f>
        <v>114.03015813463395</v>
      </c>
      <c r="T8" s="36">
        <f>+corriente58!T13/constante58!T13*100</f>
        <v>99.301777294160317</v>
      </c>
      <c r="U8" s="36">
        <f>+corriente58!U13/constante58!U13*100</f>
        <v>95.364422568894085</v>
      </c>
      <c r="V8" s="36">
        <f>+corriente58!V13/constante58!V13*100</f>
        <v>122.22156406877045</v>
      </c>
      <c r="W8" s="36">
        <f>+corriente58!W13/constante58!W13*100</f>
        <v>114.53670231695668</v>
      </c>
    </row>
    <row r="9" spans="1:25">
      <c r="A9" s="37" t="s">
        <v>12</v>
      </c>
      <c r="B9" s="36">
        <f>+corriente58!B14/constante58!B14*100</f>
        <v>100</v>
      </c>
      <c r="C9" s="36">
        <f>+corriente58!C14/constante58!C14*100</f>
        <v>118.2377918781428</v>
      </c>
      <c r="D9" s="36">
        <f>+corriente58!D14/constante58!D14*100</f>
        <v>70.017055520580428</v>
      </c>
      <c r="E9" s="36">
        <f>+corriente58!E14/constante58!E14*100</f>
        <v>131.48589332306119</v>
      </c>
      <c r="F9" s="36">
        <f>+corriente58!F14/constante58!F14*100</f>
        <v>85.815852759799895</v>
      </c>
      <c r="G9" s="36">
        <f>+corriente58!G14/constante58!G14*100</f>
        <v>104.35921711887397</v>
      </c>
      <c r="H9" s="36">
        <f>+corriente58!H14/constante58!H14*100</f>
        <v>114.54948189718732</v>
      </c>
      <c r="I9" s="36">
        <f>+corriente58!I14/constante58!I14*100</f>
        <v>110.37246586666089</v>
      </c>
      <c r="J9" s="36">
        <f>+corriente58!J14/constante58!J14*100</f>
        <v>157.68999829903476</v>
      </c>
      <c r="K9" s="36">
        <f>+corriente58!K14/constante58!K14*100</f>
        <v>87.615415690403395</v>
      </c>
      <c r="L9" s="36">
        <f>+corriente58!L14/constante58!L14*100</f>
        <v>240.7945288606636</v>
      </c>
      <c r="M9" s="36">
        <f>+corriente58!M14/constante58!M14*100</f>
        <v>98.802706923477359</v>
      </c>
      <c r="N9" s="36">
        <f>+corriente58!N14/constante58!N14*100</f>
        <v>122.89387308533917</v>
      </c>
      <c r="O9" s="36">
        <f>+corriente58!O14/constante58!O14*100</f>
        <v>115.8830694275274</v>
      </c>
      <c r="P9" s="36">
        <f>+corriente58!P14/constante58!P14*100</f>
        <v>113.74777183600713</v>
      </c>
      <c r="Q9" s="36">
        <f>+corriente58!Q14/constante58!Q14*100</f>
        <v>87.040065412919049</v>
      </c>
      <c r="R9" s="36">
        <f>+corriente58!R14/constante58!R14*100</f>
        <v>101.3673415724428</v>
      </c>
      <c r="S9" s="36">
        <f>+corriente58!S14/constante58!S14*100</f>
        <v>82.944109157701391</v>
      </c>
      <c r="T9" s="36">
        <f>+corriente58!T14/constante58!T14*100</f>
        <v>113.17535545023696</v>
      </c>
      <c r="U9" s="36">
        <f>+corriente58!U14/constante58!U14*100</f>
        <v>96.855828220858896</v>
      </c>
      <c r="V9" s="36">
        <f>+corriente58!V14/constante58!V14*100</f>
        <v>99.84375</v>
      </c>
      <c r="W9" s="36">
        <f>+corriente58!W14/constante58!W14*100</f>
        <v>89.15040183696901</v>
      </c>
    </row>
    <row r="10" spans="1:25">
      <c r="A10" s="37" t="s">
        <v>13</v>
      </c>
      <c r="B10" s="36">
        <f>+corriente58!B15/constante58!B15*100</f>
        <v>100</v>
      </c>
      <c r="C10" s="36">
        <f>+corriente58!C15/constante58!C15*100</f>
        <v>109.92427073697036</v>
      </c>
      <c r="D10" s="36">
        <f>+corriente58!D15/constante58!D15*100</f>
        <v>125.10671622105876</v>
      </c>
      <c r="E10" s="36">
        <f>+corriente58!E15/constante58!E15*100</f>
        <v>113.19772126818803</v>
      </c>
      <c r="F10" s="36">
        <f>+corriente58!F15/constante58!F15*100</f>
        <v>86.561135446335641</v>
      </c>
      <c r="G10" s="36">
        <f>+corriente58!G15/constante58!G15*100</f>
        <v>83.154319023210533</v>
      </c>
      <c r="H10" s="36">
        <f>+corriente58!H15/constante58!H15*100</f>
        <v>122.04214632431409</v>
      </c>
      <c r="I10" s="36">
        <f>+corriente58!I15/constante58!I15*100</f>
        <v>83.764311285636765</v>
      </c>
      <c r="J10" s="36">
        <f>+corriente58!J15/constante58!J15*100</f>
        <v>94.448657889207155</v>
      </c>
      <c r="K10" s="36">
        <f>+corriente58!K15/constante58!K15*100</f>
        <v>118.81590293502443</v>
      </c>
      <c r="L10" s="36">
        <f>+corriente58!L15/constante58!L15*100</f>
        <v>127.92973789866969</v>
      </c>
      <c r="M10" s="36">
        <f>+corriente58!M15/constante58!M15*100</f>
        <v>119.15669977701195</v>
      </c>
      <c r="N10" s="36">
        <f>+corriente58!N15/constante58!N15*100</f>
        <v>118.78168152420905</v>
      </c>
      <c r="O10" s="36">
        <f>+corriente58!O15/constante58!O15*100</f>
        <v>99.020816711394787</v>
      </c>
      <c r="P10" s="36">
        <f>+corriente58!P15/constante58!P15*100</f>
        <v>119.61171178281114</v>
      </c>
      <c r="Q10" s="36">
        <f>+corriente58!Q15/constante58!Q15*100</f>
        <v>102.41978711999387</v>
      </c>
      <c r="R10" s="36">
        <f>+corriente58!R15/constante58!R15*100</f>
        <v>103.23652093310676</v>
      </c>
      <c r="S10" s="36">
        <f>+corriente58!S15/constante58!S15*100</f>
        <v>109.32227221597299</v>
      </c>
      <c r="T10" s="36">
        <f>+corriente58!T15/constante58!T15*100</f>
        <v>107.45998794615952</v>
      </c>
      <c r="U10" s="36">
        <f>+corriente58!U15/constante58!U15*100</f>
        <v>108.46297850364728</v>
      </c>
      <c r="V10" s="36">
        <f>+corriente58!V15/constante58!V15*100</f>
        <v>84.029193240844236</v>
      </c>
      <c r="W10" s="36">
        <f>+corriente58!W15/constante58!W15*100</f>
        <v>138.94268703823255</v>
      </c>
    </row>
    <row r="11" spans="1:25">
      <c r="A11" s="37" t="s">
        <v>14</v>
      </c>
      <c r="B11" s="36">
        <f>+corriente58!B16/constante58!B16*100</f>
        <v>100</v>
      </c>
      <c r="C11" s="36">
        <f>+corriente58!C16/constante58!C16*100</f>
        <v>116.60695699840203</v>
      </c>
      <c r="D11" s="36">
        <f>+corriente58!D16/constante58!D16*100</f>
        <v>91.338921123371492</v>
      </c>
      <c r="E11" s="36">
        <f>+corriente58!E16/constante58!E16*100</f>
        <v>107.06225151703306</v>
      </c>
      <c r="F11" s="36">
        <f>+corriente58!F16/constante58!F16*100</f>
        <v>117.41780550984477</v>
      </c>
      <c r="G11" s="36">
        <f>+corriente58!G16/constante58!G16*100</f>
        <v>121.80545890360858</v>
      </c>
      <c r="H11" s="36">
        <f>+corriente58!H16/constante58!H16*100</f>
        <v>119.91441594376575</v>
      </c>
      <c r="I11" s="36">
        <f>+corriente58!I16/constante58!I16*100</f>
        <v>120.03053715370851</v>
      </c>
      <c r="J11" s="36">
        <f>+corriente58!J16/constante58!J16*100</f>
        <v>103.11533896575919</v>
      </c>
      <c r="K11" s="36">
        <f>+corriente58!K16/constante58!K16*100</f>
        <v>120.06142402239979</v>
      </c>
      <c r="L11" s="36">
        <f>+corriente58!L16/constante58!L16*100</f>
        <v>98.420075467529728</v>
      </c>
      <c r="M11" s="36">
        <f>+corriente58!M16/constante58!M16*100</f>
        <v>116.72607498984794</v>
      </c>
      <c r="N11" s="36">
        <f>+corriente58!N16/constante58!N16*100</f>
        <v>95.234801321958344</v>
      </c>
      <c r="O11" s="36">
        <f>+corriente58!O16/constante58!O16*100</f>
        <v>100.20547117360299</v>
      </c>
      <c r="P11" s="36">
        <f>+corriente58!P16/constante58!P16*100</f>
        <v>106.78699468413895</v>
      </c>
      <c r="Q11" s="36">
        <f>+corriente58!Q16/constante58!Q16*100</f>
        <v>99.823809714491645</v>
      </c>
      <c r="R11" s="36">
        <f>+corriente58!R16/constante58!R16*100</f>
        <v>104.23464491362763</v>
      </c>
      <c r="S11" s="36">
        <f>+corriente58!S16/constante58!S16*100</f>
        <v>101.93620593172916</v>
      </c>
      <c r="T11" s="36">
        <f>+corriente58!T16/constante58!T16*100</f>
        <v>108.12745060717957</v>
      </c>
      <c r="U11" s="36">
        <f>+corriente58!U16/constante58!U16*100</f>
        <v>97.420991438537158</v>
      </c>
      <c r="V11" s="36">
        <f>+corriente58!V16/constante58!V16*100</f>
        <v>115.65923505669807</v>
      </c>
      <c r="W11" s="36">
        <f>+corriente58!W16/constante58!W16*100</f>
        <v>105.89597500459473</v>
      </c>
    </row>
    <row r="12" spans="1:25">
      <c r="A12" s="37" t="s">
        <v>15</v>
      </c>
      <c r="B12" s="36">
        <f>+corriente58!B17/constante58!B17*100</f>
        <v>100</v>
      </c>
      <c r="C12" s="36">
        <f>+corriente58!C17/constante58!C17*100</f>
        <v>125.74640250400273</v>
      </c>
      <c r="D12" s="36">
        <f>+corriente58!D17/constante58!D17*100</f>
        <v>105.53294071831334</v>
      </c>
      <c r="E12" s="36">
        <f>+corriente58!E17/constante58!E17*100</f>
        <v>113.2420842816813</v>
      </c>
      <c r="F12" s="36">
        <f>+corriente58!F17/constante58!F17*100</f>
        <v>113.40716463003659</v>
      </c>
      <c r="G12" s="36">
        <f>+corriente58!G17/constante58!G17*100</f>
        <v>90.105883404941324</v>
      </c>
      <c r="H12" s="36">
        <f>+corriente58!H17/constante58!H17*100</f>
        <v>100.96315474247399</v>
      </c>
      <c r="I12" s="36">
        <f>+corriente58!I17/constante58!I17*100</f>
        <v>119.84135946374917</v>
      </c>
      <c r="J12" s="36">
        <f>+corriente58!J17/constante58!J17*100</f>
        <v>112.66678620414949</v>
      </c>
      <c r="K12" s="36">
        <f>+corriente58!K17/constante58!K17*100</f>
        <v>106.39749734499524</v>
      </c>
      <c r="L12" s="36">
        <f>+corriente58!L17/constante58!L17*100</f>
        <v>131.63271030167962</v>
      </c>
      <c r="M12" s="36">
        <f>+corriente58!M17/constante58!M17*100</f>
        <v>117.0204039782631</v>
      </c>
      <c r="N12" s="36">
        <f>+corriente58!N17/constante58!N17*100</f>
        <v>112.14177305597714</v>
      </c>
      <c r="O12" s="36">
        <f>+corriente58!O17/constante58!O17*100</f>
        <v>99.784882427119641</v>
      </c>
      <c r="P12" s="36">
        <f>+corriente58!P17/constante58!P17*100</f>
        <v>110.45386612129316</v>
      </c>
      <c r="Q12" s="36">
        <f>+corriente58!Q17/constante58!Q17*100</f>
        <v>107.05472951597596</v>
      </c>
      <c r="R12" s="36">
        <f>+corriente58!R17/constante58!R17*100</f>
        <v>107.07169811320753</v>
      </c>
      <c r="S12" s="36">
        <f>+corriente58!S17/constante58!S17*100</f>
        <v>104.40092794759825</v>
      </c>
      <c r="T12" s="36">
        <f>+corriente58!T17/constante58!T17*100</f>
        <v>106.87075296863202</v>
      </c>
      <c r="U12" s="36">
        <f>+corriente58!U17/constante58!U17*100</f>
        <v>102.77408195848857</v>
      </c>
      <c r="V12" s="36">
        <f>+corriente58!V17/constante58!V17*100</f>
        <v>106.45313235986811</v>
      </c>
      <c r="W12" s="36">
        <f>+corriente58!W17/constante58!W17*100</f>
        <v>117.47412305922944</v>
      </c>
    </row>
    <row r="13" spans="1:25">
      <c r="A13" s="37" t="s">
        <v>16</v>
      </c>
      <c r="B13" s="36">
        <f>+corriente58!B18/constante58!B18*100</f>
        <v>100</v>
      </c>
      <c r="C13" s="36">
        <f>+corriente58!C18/constante58!C18*100</f>
        <v>115.32047831757153</v>
      </c>
      <c r="D13" s="36">
        <f>+corriente58!D18/constante58!D18*100</f>
        <v>128.49860348284489</v>
      </c>
      <c r="E13" s="36">
        <f>+corriente58!E18/constante58!E18*100</f>
        <v>115.05944711862777</v>
      </c>
      <c r="F13" s="36">
        <f>+corriente58!F18/constante58!F18*100</f>
        <v>119.64921041648901</v>
      </c>
      <c r="G13" s="36">
        <f>+corriente58!G18/constante58!G18*100</f>
        <v>88.44483284484356</v>
      </c>
      <c r="H13" s="36">
        <f>+corriente58!H18/constante58!H18*100</f>
        <v>99.165566907429209</v>
      </c>
      <c r="I13" s="36">
        <f>+corriente58!I18/constante58!I18*100</f>
        <v>122.64812631830391</v>
      </c>
      <c r="J13" s="36">
        <f>+corriente58!J18/constante58!J18*100</f>
        <v>118.37079635079529</v>
      </c>
      <c r="K13" s="36">
        <f>+corriente58!K18/constante58!K18*100</f>
        <v>109.44530212278151</v>
      </c>
      <c r="L13" s="36">
        <f>+corriente58!L18/constante58!L18*100</f>
        <v>100.42400643592022</v>
      </c>
      <c r="M13" s="36">
        <f>+corriente58!M18/constante58!M18*100</f>
        <v>102.98524799628296</v>
      </c>
      <c r="N13" s="36">
        <f>+corriente58!N18/constante58!N18*100</f>
        <v>103.49316554567152</v>
      </c>
      <c r="O13" s="36">
        <f>+corriente58!O18/constante58!O18*100</f>
        <v>103.58561678720586</v>
      </c>
      <c r="P13" s="36">
        <f>+corriente58!P18/constante58!P18*100</f>
        <v>114.16515973477999</v>
      </c>
      <c r="Q13" s="36">
        <f>+corriente58!Q18/constante58!Q18*100</f>
        <v>94.036697247706428</v>
      </c>
      <c r="R13" s="36">
        <f>+corriente58!R18/constante58!R18*100</f>
        <v>94.990118577075094</v>
      </c>
      <c r="S13" s="36">
        <f>+corriente58!S18/constante58!S18*100</f>
        <v>111.9037912759886</v>
      </c>
      <c r="T13" s="36">
        <f>+corriente58!T18/constante58!T18*100</f>
        <v>104.4687277896233</v>
      </c>
      <c r="U13" s="36">
        <f>+corriente58!U18/constante58!U18*100</f>
        <v>108.29923501156378</v>
      </c>
      <c r="V13" s="36">
        <f>+corriente58!V18/constante58!V18*100</f>
        <v>119.46457990115323</v>
      </c>
      <c r="W13" s="36">
        <f>+corriente58!W18/constante58!W18*100</f>
        <v>119.38003417134489</v>
      </c>
    </row>
    <row r="14" spans="1:25">
      <c r="A14" s="37" t="s">
        <v>17</v>
      </c>
      <c r="B14" s="36">
        <f>+corriente58!B19/constante58!B19*100</f>
        <v>100</v>
      </c>
      <c r="C14" s="36">
        <f>+corriente58!C19/constante58!C19*100</f>
        <v>89.267295831970685</v>
      </c>
      <c r="D14" s="36">
        <f>+corriente58!D19/constante58!D19*100</f>
        <v>107.40322055302943</v>
      </c>
      <c r="E14" s="36">
        <f>+corriente58!E19/constante58!E19*100</f>
        <v>133.25392903654776</v>
      </c>
      <c r="F14" s="36">
        <f>+corriente58!F19/constante58!F19*100</f>
        <v>95.17801943728648</v>
      </c>
      <c r="G14" s="36">
        <f>+corriente58!G19/constante58!G19*100</f>
        <v>80.660403311478589</v>
      </c>
      <c r="H14" s="36">
        <f>+corriente58!H19/constante58!H19*100</f>
        <v>95.144766041773579</v>
      </c>
      <c r="I14" s="36">
        <f>+corriente58!I19/constante58!I19*100</f>
        <v>127.3329042534175</v>
      </c>
      <c r="J14" s="36">
        <f>+corriente58!J19/constante58!J19*100</f>
        <v>88.082150037778277</v>
      </c>
      <c r="K14" s="36">
        <f>+corriente58!K19/constante58!K19*100</f>
        <v>89.651108627809876</v>
      </c>
      <c r="L14" s="36">
        <f>+corriente58!L19/constante58!L19*100</f>
        <v>154.38732785315602</v>
      </c>
      <c r="M14" s="36">
        <f>+corriente58!M19/constante58!M19*100</f>
        <v>105.97071208597826</v>
      </c>
      <c r="N14" s="36">
        <f>+corriente58!N19/constante58!N19*100</f>
        <v>93.703411914429424</v>
      </c>
      <c r="O14" s="36">
        <f>+corriente58!O19/constante58!O19*100</f>
        <v>111.17401093599229</v>
      </c>
      <c r="P14" s="36">
        <f>+corriente58!P19/constante58!P19*100</f>
        <v>112.09377901578459</v>
      </c>
      <c r="Q14" s="36">
        <f>+corriente58!Q19/constante58!Q19*100</f>
        <v>122.28721691531609</v>
      </c>
      <c r="R14" s="36">
        <f>+corriente58!R19/constante58!R19*100</f>
        <v>111.87290241032125</v>
      </c>
      <c r="S14" s="36">
        <f>+corriente58!S19/constante58!S19*100</f>
        <v>102.61768340635884</v>
      </c>
      <c r="T14" s="36">
        <f>+corriente58!T19/constante58!T19*100</f>
        <v>113.8986452584044</v>
      </c>
      <c r="U14" s="36">
        <f>+corriente58!U19/constante58!U19*100</f>
        <v>101.92952201216934</v>
      </c>
      <c r="V14" s="36">
        <f>+corriente58!V19/constante58!V19*100</f>
        <v>95.378601601412271</v>
      </c>
      <c r="W14" s="36">
        <f>+corriente58!W19/constante58!W19*100</f>
        <v>96.562873864261007</v>
      </c>
    </row>
    <row r="15" spans="1:25">
      <c r="A15" s="37" t="s">
        <v>18</v>
      </c>
      <c r="B15" s="36">
        <f>+corriente58!B20/constante58!B20*100</f>
        <v>100</v>
      </c>
      <c r="C15" s="36">
        <f>+corriente58!C20/constante58!C20*100</f>
        <v>97.65947289259374</v>
      </c>
      <c r="D15" s="36">
        <f>+corriente58!D20/constante58!D20*100</f>
        <v>95.112952328660626</v>
      </c>
      <c r="E15" s="36">
        <f>+corriente58!E20/constante58!E20*100</f>
        <v>106.59741277847183</v>
      </c>
      <c r="F15" s="36">
        <f>+corriente58!F20/constante58!F20*100</f>
        <v>128.27634235494548</v>
      </c>
      <c r="G15" s="36">
        <f>+corriente58!G20/constante58!G20*100</f>
        <v>106.2621870958627</v>
      </c>
      <c r="H15" s="36">
        <f>+corriente58!H20/constante58!H20*100</f>
        <v>101.22694735483442</v>
      </c>
      <c r="I15" s="36">
        <f>+corriente58!I20/constante58!I20*100</f>
        <v>107.08898374151336</v>
      </c>
      <c r="J15" s="36">
        <f>+corriente58!J20/constante58!J20*100</f>
        <v>96.856770905031084</v>
      </c>
      <c r="K15" s="36">
        <f>+corriente58!K20/constante58!K20*100</f>
        <v>97.940769858586947</v>
      </c>
      <c r="L15" s="36">
        <f>+corriente58!L20/constante58!L20*100</f>
        <v>102.01544441242125</v>
      </c>
      <c r="M15" s="36">
        <f>+corriente58!M20/constante58!M20*100</f>
        <v>113.91657922350473</v>
      </c>
      <c r="N15" s="36">
        <f>+corriente58!N20/constante58!N20*100</f>
        <v>100.84095968340341</v>
      </c>
      <c r="O15" s="36">
        <f>+corriente58!O20/constante58!O20*100</f>
        <v>118.85551142005959</v>
      </c>
      <c r="P15" s="36">
        <f>+corriente58!P20/constante58!P20*100</f>
        <v>98.22675980655562</v>
      </c>
      <c r="Q15" s="36">
        <f>+corriente58!Q20/constante58!Q20*100</f>
        <v>102.12869480598468</v>
      </c>
      <c r="R15" s="36">
        <f>+corriente58!R20/constante58!R20*100</f>
        <v>118.26408360948253</v>
      </c>
      <c r="S15" s="36">
        <f>+corriente58!S20/constante58!S20*100</f>
        <v>93.027796921663224</v>
      </c>
      <c r="T15" s="36">
        <f>+corriente58!T20/constante58!T20*100</f>
        <v>126.30801428043826</v>
      </c>
      <c r="U15" s="36">
        <f>+corriente58!U20/constante58!U20*100</f>
        <v>85.168210628961489</v>
      </c>
      <c r="V15" s="36">
        <f>+corriente58!V20/constante58!V20*100</f>
        <v>108.33333333333333</v>
      </c>
      <c r="W15" s="36">
        <f>+corriente58!W20/constante58!W20*100</f>
        <v>81.173765246950609</v>
      </c>
    </row>
    <row r="16" spans="1:25">
      <c r="A16" s="37" t="s">
        <v>19</v>
      </c>
      <c r="B16" s="36">
        <f>+corriente58!B21/constante58!B21*100</f>
        <v>100</v>
      </c>
      <c r="C16" s="36">
        <f>+corriente58!C21/constante58!C21*100</f>
        <v>95.970908622473843</v>
      </c>
      <c r="D16" s="36">
        <f>+corriente58!D21/constante58!D21*100</f>
        <v>98.225921077704484</v>
      </c>
      <c r="E16" s="36">
        <f>+corriente58!E21/constante58!E21*100</f>
        <v>249.22595505496506</v>
      </c>
      <c r="F16" s="36">
        <f>+corriente58!F21/constante58!F21*100</f>
        <v>81.987085743743677</v>
      </c>
      <c r="G16" s="36">
        <f>+corriente58!G21/constante58!G21*100</f>
        <v>113.79457900172827</v>
      </c>
      <c r="H16" s="36">
        <f>+corriente58!H21/constante58!H21*100</f>
        <v>92.911414863206971</v>
      </c>
      <c r="I16" s="36">
        <f>+corriente58!I21/constante58!I21*100</f>
        <v>122.19157516762766</v>
      </c>
      <c r="J16" s="36">
        <f>+corriente58!J21/constante58!J21*100</f>
        <v>60.034951122809609</v>
      </c>
      <c r="K16" s="36">
        <f>+corriente58!K21/constante58!K21*100</f>
        <v>270.18518053142589</v>
      </c>
      <c r="L16" s="36">
        <f>+corriente58!L21/constante58!L21*100</f>
        <v>52.1051269568935</v>
      </c>
      <c r="M16" s="36">
        <f>+corriente58!M21/constante58!M21*100</f>
        <v>-55.65739225313694</v>
      </c>
      <c r="N16" s="36">
        <f>+corriente58!N21/constante58!N21*100</f>
        <v>320.33978291647003</v>
      </c>
      <c r="O16" s="36">
        <f>+corriente58!O21/constante58!O21*100</f>
        <v>94.787573467674221</v>
      </c>
      <c r="P16" s="36">
        <f>+corriente58!P21/constante58!P21*100</f>
        <v>57.761894896761277</v>
      </c>
      <c r="Q16" s="36">
        <f>+corriente58!Q21/constante58!Q21*100</f>
        <v>-185.26599532092359</v>
      </c>
      <c r="R16" s="36">
        <f>+corriente58!R21/constante58!R21*100</f>
        <v>206.06382664659168</v>
      </c>
      <c r="S16" s="36">
        <f>+corriente58!S21/constante58!S21*100</f>
        <v>84.092029580936739</v>
      </c>
      <c r="T16" s="36">
        <f>+corriente58!T21/constante58!T21*100</f>
        <v>76.738748210045486</v>
      </c>
      <c r="U16" s="36">
        <f>+corriente58!U21/constante58!U21*100</f>
        <v>136.58590743116551</v>
      </c>
      <c r="V16" s="36">
        <f>+corriente58!V21/constante58!V21*100</f>
        <v>112.73683132488989</v>
      </c>
      <c r="W16" s="36">
        <f>+corriente58!W21/constante58!W21*100</f>
        <v>134.82428592791985</v>
      </c>
    </row>
    <row r="17" spans="1:23">
      <c r="A17" s="37" t="s">
        <v>20</v>
      </c>
      <c r="B17" s="36">
        <f>+corriente58!B22/constante58!B22*100</f>
        <v>100</v>
      </c>
      <c r="C17" s="36">
        <f>+corriente58!C22/constante58!C22*100</f>
        <v>103.88259719639991</v>
      </c>
      <c r="D17" s="36">
        <f>+corriente58!D22/constante58!D22*100</f>
        <v>98.300566840731165</v>
      </c>
      <c r="E17" s="36">
        <f>+corriente58!E22/constante58!E22*100</f>
        <v>152.03813615423559</v>
      </c>
      <c r="F17" s="36">
        <f>+corriente58!F22/constante58!F22*100</f>
        <v>60.68720438405667</v>
      </c>
      <c r="G17" s="36">
        <f>+corriente58!G22/constante58!G22*100</f>
        <v>122.06900165815611</v>
      </c>
      <c r="H17" s="36">
        <f>+corriente58!H22/constante58!H22*100</f>
        <v>143.28988320583076</v>
      </c>
      <c r="I17" s="36">
        <f>+corriente58!I22/constante58!I22*100</f>
        <v>81.974915322422717</v>
      </c>
      <c r="J17" s="36">
        <f>+corriente58!J22/constante58!J22*100</f>
        <v>90.094318546499494</v>
      </c>
      <c r="K17" s="36">
        <f>+corriente58!K22/constante58!K22*100</f>
        <v>55.026930362633983</v>
      </c>
      <c r="L17" s="36">
        <f>+corriente58!L22/constante58!L22*100</f>
        <v>194.33979089289099</v>
      </c>
      <c r="M17" s="36">
        <f>+corriente58!M22/constante58!M22*100</f>
        <v>106.21609403254972</v>
      </c>
      <c r="N17" s="36">
        <f>+corriente58!N22/constante58!N22*100</f>
        <v>89.230429013710747</v>
      </c>
      <c r="O17" s="36">
        <f>+corriente58!O22/constante58!O22*100</f>
        <v>120.54821150855366</v>
      </c>
      <c r="P17" s="36">
        <f>+corriente58!P22/constante58!P22*100</f>
        <v>111.98834891920895</v>
      </c>
      <c r="Q17" s="36">
        <f>+corriente58!Q22/constante58!Q22*100</f>
        <v>106.9228874106923</v>
      </c>
      <c r="R17" s="36">
        <f>+corriente58!R22/constante58!R22*100</f>
        <v>129.59065679925993</v>
      </c>
      <c r="S17" s="36">
        <f>+corriente58!S22/constante58!S22*100</f>
        <v>85.85164835164835</v>
      </c>
      <c r="T17" s="36">
        <f>+corriente58!T22/constante58!T22*100</f>
        <v>111.27848590189262</v>
      </c>
      <c r="U17" s="36">
        <f>+corriente58!U22/constante58!U22*100</f>
        <v>103.6671469740634</v>
      </c>
      <c r="V17" s="36">
        <f>+corriente58!V22/constante58!V22*100</f>
        <v>134.47252094741705</v>
      </c>
      <c r="W17" s="36">
        <f>+corriente58!W22/constante58!W22*100</f>
        <v>133.77086784758507</v>
      </c>
    </row>
    <row r="18" spans="1:23">
      <c r="A18" s="37" t="s">
        <v>21</v>
      </c>
      <c r="B18" s="36">
        <f>+corriente58!B23/constante58!B23*100</f>
        <v>100</v>
      </c>
      <c r="C18" s="36">
        <f>+corriente58!C23/constante58!C23*100</f>
        <v>121.46307575987842</v>
      </c>
      <c r="D18" s="36">
        <f>+corriente58!D23/constante58!D23*100</f>
        <v>103.96272355136504</v>
      </c>
      <c r="E18" s="36">
        <f>+corriente58!E23/constante58!E23*100</f>
        <v>143.07883803584639</v>
      </c>
      <c r="F18" s="36">
        <f>+corriente58!F23/constante58!F23*100</f>
        <v>132.61917981184487</v>
      </c>
      <c r="G18" s="36">
        <f>+corriente58!G23/constante58!G23*100</f>
        <v>91.497470160653691</v>
      </c>
      <c r="H18" s="36">
        <f>+corriente58!H23/constante58!H23*100</f>
        <v>79.774483447166389</v>
      </c>
      <c r="I18" s="36">
        <f>+corriente58!I23/constante58!I23*100</f>
        <v>121.24989159407109</v>
      </c>
      <c r="J18" s="36">
        <f>+corriente58!J23/constante58!J23*100</f>
        <v>136.75116272831468</v>
      </c>
      <c r="K18" s="36">
        <f>+corriente58!K23/constante58!K23*100</f>
        <v>67.374370194547367</v>
      </c>
      <c r="L18" s="36">
        <f>+corriente58!L23/constante58!L23*100</f>
        <v>68.169387438701193</v>
      </c>
      <c r="M18" s="36">
        <f>+corriente58!M23/constante58!M23*100</f>
        <v>96.071496845727395</v>
      </c>
      <c r="N18" s="36">
        <f>+corriente58!N23/constante58!N23*100</f>
        <v>101.67284383451869</v>
      </c>
      <c r="O18" s="36">
        <f>+corriente58!O23/constante58!O23*100</f>
        <v>121.03391947727491</v>
      </c>
      <c r="P18" s="36">
        <f>+corriente58!P23/constante58!P23*100</f>
        <v>126.70218078907939</v>
      </c>
      <c r="Q18" s="36">
        <f>+corriente58!Q23/constante58!Q23*100</f>
        <v>146.47877473949228</v>
      </c>
      <c r="R18" s="36">
        <f>+corriente58!R23/constante58!R23*100</f>
        <v>125.95596185982502</v>
      </c>
      <c r="S18" s="36">
        <f>+corriente58!S23/constante58!S23*100</f>
        <v>82.719808811625484</v>
      </c>
      <c r="T18" s="36">
        <f>+corriente58!T23/constante58!T23*100</f>
        <v>98.868322623957042</v>
      </c>
      <c r="U18" s="36">
        <f>+corriente58!U23/constante58!U23*100</f>
        <v>115.72870071777801</v>
      </c>
      <c r="V18" s="36">
        <f>+corriente58!V23/constante58!V23*100</f>
        <v>117.59356879283078</v>
      </c>
      <c r="W18" s="36">
        <f>+corriente58!W23/constante58!W23*100</f>
        <v>177.85226912091397</v>
      </c>
    </row>
    <row r="19" spans="1:23">
      <c r="A19" s="37" t="s">
        <v>22</v>
      </c>
      <c r="B19" s="36">
        <f>+corriente58!B24/constante58!B24*100</f>
        <v>100</v>
      </c>
      <c r="C19" s="36">
        <f>+corriente58!C24/constante58!C24*100</f>
        <v>92.804149177146044</v>
      </c>
      <c r="D19" s="36">
        <f>+corriente58!D24/constante58!D24*100</f>
        <v>64.500567827449387</v>
      </c>
      <c r="E19" s="36">
        <f>+corriente58!E24/constante58!E24*100</f>
        <v>184.66263558403003</v>
      </c>
      <c r="F19" s="36">
        <f>+corriente58!F24/constante58!F24*100</f>
        <v>256.13856982207454</v>
      </c>
      <c r="G19" s="36">
        <f>+corriente58!G24/constante58!G24*100</f>
        <v>100.89735148252277</v>
      </c>
      <c r="H19" s="36">
        <f>+corriente58!H24/constante58!H24*100</f>
        <v>150.95632046020222</v>
      </c>
      <c r="I19" s="36">
        <f>+corriente58!I24/constante58!I24*100</f>
        <v>104.23466475693226</v>
      </c>
      <c r="J19" s="36">
        <f>+corriente58!J24/constante58!J24*100</f>
        <v>103.23309308533007</v>
      </c>
      <c r="K19" s="36">
        <f>+corriente58!K24/constante58!K24*100</f>
        <v>33.74357117313042</v>
      </c>
      <c r="L19" s="36">
        <f>+corriente58!L24/constante58!L24*100</f>
        <v>178.66086038250594</v>
      </c>
      <c r="M19" s="36">
        <f>+corriente58!M24/constante58!M24*100</f>
        <v>111.14285714285714</v>
      </c>
      <c r="N19" s="36">
        <f>+corriente58!N24/constante58!N24*100</f>
        <v>63.174946004319651</v>
      </c>
      <c r="O19" s="36">
        <f>+corriente58!O24/constante58!O24*100</f>
        <v>99.32082794307891</v>
      </c>
      <c r="P19" s="36">
        <f>+corriente58!P24/constante58!P24*100</f>
        <v>121.18702553485161</v>
      </c>
      <c r="Q19" s="36">
        <f>+corriente58!Q24/constante58!Q24*100</f>
        <v>136.01694915254237</v>
      </c>
      <c r="R19" s="36">
        <f>+corriente58!R24/constante58!R24*100</f>
        <v>117.24370503597122</v>
      </c>
      <c r="S19" s="36">
        <f>+corriente58!S24/constante58!S24*100</f>
        <v>100.94848428491726</v>
      </c>
      <c r="T19" s="36">
        <f>+corriente58!T24/constante58!T24*100</f>
        <v>120.38027332144978</v>
      </c>
      <c r="U19" s="36">
        <f>+corriente58!U24/constante58!U24*100</f>
        <v>107.23125884016973</v>
      </c>
      <c r="V19" s="36">
        <f>+corriente58!V24/constante58!V24*100</f>
        <v>142.53108499403851</v>
      </c>
      <c r="W19" s="36">
        <f>+corriente58!W24/constante58!W24*100</f>
        <v>216.66459085813923</v>
      </c>
    </row>
    <row r="20" spans="1:23">
      <c r="A20" s="37" t="s">
        <v>23</v>
      </c>
      <c r="B20" s="36">
        <f>+corriente58!B25/constante58!B25*100</f>
        <v>100</v>
      </c>
      <c r="C20" s="36">
        <f>+corriente58!C25/constante58!C25*100</f>
        <v>115.00483201948852</v>
      </c>
      <c r="D20" s="36">
        <f>+corriente58!D25/constante58!D25*100</f>
        <v>96.192776587565746</v>
      </c>
      <c r="E20" s="36">
        <f>+corriente58!E25/constante58!E25*100</f>
        <v>124.84512417750307</v>
      </c>
      <c r="F20" s="36">
        <f>+corriente58!F25/constante58!F25*100</f>
        <v>107.56915702078234</v>
      </c>
      <c r="G20" s="36">
        <f>+corriente58!G25/constante58!G25*100</f>
        <v>106.43848587469529</v>
      </c>
      <c r="H20" s="36">
        <f>+corriente58!H25/constante58!H25*100</f>
        <v>109.53579946932183</v>
      </c>
      <c r="I20" s="36">
        <f>+corriente58!I25/constante58!I25*100</f>
        <v>103.24007224481093</v>
      </c>
      <c r="J20" s="36">
        <f>+corriente58!J25/constante58!J25*100</f>
        <v>93.017626173504027</v>
      </c>
      <c r="K20" s="36">
        <f>+corriente58!K25/constante58!K25*100</f>
        <v>106.71995204605315</v>
      </c>
      <c r="L20" s="36">
        <f>+corriente58!L25/constante58!L25*100</f>
        <v>98.614530427065418</v>
      </c>
      <c r="M20" s="36">
        <f>+corriente58!M25/constante58!M25*100</f>
        <v>101.92931007871584</v>
      </c>
      <c r="N20" s="36">
        <f>+corriente58!N25/constante58!N25*100</f>
        <v>100.91549295774649</v>
      </c>
      <c r="O20" s="36">
        <f>+corriente58!O25/constante58!O25*100</f>
        <v>104.97554157931516</v>
      </c>
      <c r="P20" s="36">
        <f>+corriente58!P25/constante58!P25*100</f>
        <v>104.96489054109873</v>
      </c>
      <c r="Q20" s="36">
        <f>+corriente58!Q25/constante58!Q25*100</f>
        <v>93.902636916835704</v>
      </c>
      <c r="R20" s="36">
        <f>+corriente58!R25/constante58!R25*100</f>
        <v>115.77951786028507</v>
      </c>
      <c r="S20" s="36">
        <f>+corriente58!S25/constante58!S25*100</f>
        <v>124.48946183752814</v>
      </c>
      <c r="T20" s="36">
        <f>+corriente58!T25/constante58!T25*100</f>
        <v>103.97812182437683</v>
      </c>
      <c r="U20" s="36">
        <f>+corriente58!U25/constante58!U25*100</f>
        <v>106.60508630132929</v>
      </c>
      <c r="V20" s="36">
        <f>+corriente58!V25/constante58!V25*100</f>
        <v>106.48135810036511</v>
      </c>
      <c r="W20" s="36">
        <f>+corriente58!W25/constante58!W25*100</f>
        <v>117.61181696105774</v>
      </c>
    </row>
    <row r="21" spans="1:23">
      <c r="A21" s="37" t="s">
        <v>24</v>
      </c>
      <c r="B21" s="36">
        <f>+corriente58!B26/constante58!B26*100</f>
        <v>100</v>
      </c>
      <c r="C21" s="36">
        <f>+corriente58!C26/constante58!C26*100</f>
        <v>118.74216768435907</v>
      </c>
      <c r="D21" s="36">
        <f>+corriente58!D26/constante58!D26*100</f>
        <v>110.77620843713723</v>
      </c>
      <c r="E21" s="36">
        <f>+corriente58!E26/constante58!E26*100</f>
        <v>257.84707982799659</v>
      </c>
      <c r="F21" s="36">
        <f>+corriente58!F26/constante58!F26*100</f>
        <v>227.47697328910667</v>
      </c>
      <c r="G21" s="36">
        <f>+corriente58!G26/constante58!G26*100</f>
        <v>49.721268787629484</v>
      </c>
      <c r="H21" s="36">
        <f>+corriente58!H26/constante58!H26*100</f>
        <v>92.893668754933913</v>
      </c>
      <c r="I21" s="36">
        <f>+corriente58!I26/constante58!I26*100</f>
        <v>68.567156264223968</v>
      </c>
      <c r="J21" s="36">
        <f>+corriente58!J26/constante58!J26*100</f>
        <v>135.32002342446913</v>
      </c>
      <c r="K21" s="36">
        <f>+corriente58!K26/constante58!K26*100</f>
        <v>174.76315285479868</v>
      </c>
      <c r="L21" s="36">
        <f>+corriente58!L26/constante58!L26*100</f>
        <v>49.937951148996206</v>
      </c>
      <c r="M21" s="36">
        <f>+corriente58!M26/constante58!M26*100</f>
        <v>167.74193548387098</v>
      </c>
      <c r="N21" s="36">
        <f>+corriente58!N26/constante58!N26*100</f>
        <v>91.231929604022639</v>
      </c>
      <c r="O21" s="36">
        <f>+corriente58!O26/constante58!O26*100</f>
        <v>128.2886723507917</v>
      </c>
      <c r="P21" s="36">
        <f>+corriente58!P26/constante58!P26*100</f>
        <v>142.52092050209205</v>
      </c>
      <c r="Q21" s="36">
        <f>+corriente58!Q26/constante58!Q26*100</f>
        <v>94.290559638213679</v>
      </c>
      <c r="R21" s="36">
        <f>+corriente58!R26/constante58!R26*100</f>
        <v>93.177147554459509</v>
      </c>
      <c r="S21" s="36">
        <f>+corriente58!S26/constante58!S26*100</f>
        <v>129.39387356072126</v>
      </c>
      <c r="T21" s="36">
        <f>+corriente58!T26/constante58!T26*100</f>
        <v>80.35082072738976</v>
      </c>
      <c r="U21" s="36">
        <f>+corriente58!U26/constante58!U26*100</f>
        <v>140.46364594309799</v>
      </c>
      <c r="V21" s="36">
        <f>+corriente58!V26/constante58!V26*100</f>
        <v>117.19823356231601</v>
      </c>
      <c r="W21" s="36">
        <f>+corriente58!W26/constante58!W26*100</f>
        <v>70.731225296442688</v>
      </c>
    </row>
    <row r="22" spans="1:23">
      <c r="A22" s="37" t="s">
        <v>25</v>
      </c>
      <c r="B22" s="36">
        <f>+corriente58!B27/constante58!B27*100</f>
        <v>100</v>
      </c>
      <c r="C22" s="36">
        <f>+corriente58!C27/constante58!C27*100</f>
        <v>46.46817706753248</v>
      </c>
      <c r="D22" s="36">
        <f>+corriente58!D27/constante58!D27*100</f>
        <v>144.02720832152539</v>
      </c>
      <c r="E22" s="36">
        <f>+corriente58!E27/constante58!E27*100</f>
        <v>113.94005979924088</v>
      </c>
      <c r="F22" s="36">
        <f>+corriente58!F27/constante58!F27*100</f>
        <v>109.61849053719746</v>
      </c>
      <c r="G22" s="36">
        <f>+corriente58!G27/constante58!G27*100</f>
        <v>101.52300307742523</v>
      </c>
      <c r="H22" s="36">
        <f>+corriente58!H27/constante58!H27*100</f>
        <v>127.53910367052505</v>
      </c>
      <c r="I22" s="36">
        <f>+corriente58!I27/constante58!I27*100</f>
        <v>105.86568437331285</v>
      </c>
      <c r="J22" s="36">
        <f>+corriente58!J27/constante58!J27*100</f>
        <v>116.79727776222919</v>
      </c>
      <c r="K22" s="36">
        <f>+corriente58!K27/constante58!K27*100</f>
        <v>165.3770794775217</v>
      </c>
      <c r="L22" s="36">
        <f>+corriente58!L27/constante58!L27*100</f>
        <v>84.892330059910776</v>
      </c>
      <c r="M22" s="36">
        <f>+corriente58!M27/constante58!M27*100</f>
        <v>98.830811554332882</v>
      </c>
      <c r="N22" s="36">
        <f>+corriente58!N27/constante58!N27*100</f>
        <v>84.150684931506845</v>
      </c>
      <c r="O22" s="36">
        <f>+corriente58!O27/constante58!O27*100</f>
        <v>126.60977501939487</v>
      </c>
      <c r="P22" s="36">
        <f>+corriente58!P27/constante58!P27*100</f>
        <v>98.529775142080553</v>
      </c>
      <c r="Q22" s="36">
        <f>+corriente58!Q27/constante58!Q27*100</f>
        <v>107.10459183673468</v>
      </c>
      <c r="R22" s="36">
        <f>+corriente58!R27/constante58!R27*100</f>
        <v>130.28336037947821</v>
      </c>
      <c r="S22" s="36">
        <f>+corriente58!S27/constante58!S27*100</f>
        <v>111.02783725910064</v>
      </c>
      <c r="T22" s="36">
        <f>+corriente58!T27/constante58!T27*100</f>
        <v>96.722763507528782</v>
      </c>
      <c r="U22" s="36">
        <f>+corriente58!U27/constante58!U27*100</f>
        <v>122.3570527133288</v>
      </c>
      <c r="V22" s="36">
        <f>+corriente58!V27/constante58!V27*100</f>
        <v>101.6200182537268</v>
      </c>
      <c r="W22" s="36">
        <f>+corriente58!W27/constante58!W27*100</f>
        <v>85.013869105630107</v>
      </c>
    </row>
    <row r="23" spans="1:23">
      <c r="A23" s="37" t="s">
        <v>26</v>
      </c>
      <c r="B23" s="36">
        <f>+corriente58!B28/constante58!B28*100</f>
        <v>100</v>
      </c>
      <c r="C23" s="36">
        <f>+corriente58!C28/constante58!C28*100</f>
        <v>153.44271684641598</v>
      </c>
      <c r="D23" s="36">
        <f>+corriente58!D28/constante58!D28*100</f>
        <v>114.85037929983599</v>
      </c>
      <c r="E23" s="36">
        <f>+corriente58!E28/constante58!E28*100</f>
        <v>88.049595138811341</v>
      </c>
      <c r="F23" s="36">
        <f>+corriente58!F28/constante58!F28*100</f>
        <v>106.34865284746996</v>
      </c>
      <c r="G23" s="36">
        <f>+corriente58!G28/constante58!G28*100</f>
        <v>113.15921173490678</v>
      </c>
      <c r="H23" s="36">
        <f>+corriente58!H28/constante58!H28*100</f>
        <v>107.65612585411502</v>
      </c>
      <c r="I23" s="36">
        <f>+corriente58!I28/constante58!I28*100</f>
        <v>64.334929996825167</v>
      </c>
      <c r="J23" s="36">
        <f>+corriente58!J28/constante58!J28*100</f>
        <v>102.65730618509494</v>
      </c>
      <c r="K23" s="36">
        <f>+corriente58!K28/constante58!K28*100</f>
        <v>119.70481900676926</v>
      </c>
      <c r="L23" s="36">
        <f>+corriente58!L28/constante58!L28*100</f>
        <v>116.34348443013016</v>
      </c>
      <c r="M23" s="36">
        <f>+corriente58!M28/constante58!M28*100</f>
        <v>127.02802359882006</v>
      </c>
      <c r="N23" s="36">
        <f>+corriente58!N28/constante58!N28*100</f>
        <v>106.64136622390892</v>
      </c>
      <c r="O23" s="36">
        <f>+corriente58!O28/constante58!O28*100</f>
        <v>102.33566096797495</v>
      </c>
      <c r="P23" s="36">
        <f>+corriente58!P28/constante58!P28*100</f>
        <v>90.783178040795761</v>
      </c>
      <c r="Q23" s="36">
        <f>+corriente58!Q28/constante58!Q28*100</f>
        <v>109.51219512195122</v>
      </c>
      <c r="R23" s="36">
        <f>+corriente58!R28/constante58!R28*100</f>
        <v>126.88721804511277</v>
      </c>
      <c r="S23" s="36">
        <f>+corriente58!S28/constante58!S28*100</f>
        <v>82.434740180531847</v>
      </c>
      <c r="T23" s="36">
        <f>+corriente58!T28/constante58!T28*100</f>
        <v>106.00315955766193</v>
      </c>
      <c r="U23" s="36">
        <f>+corriente58!U28/constante58!U28*100</f>
        <v>92.241634586911459</v>
      </c>
      <c r="V23" s="36">
        <f>+corriente58!V28/constante58!V28*100</f>
        <v>151.72304773948784</v>
      </c>
      <c r="W23" s="36">
        <f>+corriente58!W28/constante58!W28*100</f>
        <v>68.943374197314654</v>
      </c>
    </row>
    <row r="24" spans="1:23">
      <c r="A24" s="37" t="s">
        <v>27</v>
      </c>
      <c r="B24" s="36">
        <f>+corriente58!B29/constante58!B29*100</f>
        <v>100</v>
      </c>
      <c r="C24" s="36">
        <f>+corriente58!C29/constante58!C29*100</f>
        <v>158.72981584423948</v>
      </c>
      <c r="D24" s="36">
        <f>+corriente58!D29/constante58!D29*100</f>
        <v>101.97477336881882</v>
      </c>
      <c r="E24" s="36">
        <f>+corriente58!E29/constante58!E29*100</f>
        <v>163.67825132287015</v>
      </c>
      <c r="F24" s="36">
        <f>+corriente58!F29/constante58!F29*100</f>
        <v>110.39676399225309</v>
      </c>
      <c r="G24" s="36">
        <f>+corriente58!G29/constante58!G29*100</f>
        <v>65.254075022848127</v>
      </c>
      <c r="H24" s="36">
        <f>+corriente58!H29/constante58!H29*100</f>
        <v>123.27510131912041</v>
      </c>
      <c r="I24" s="36">
        <f>+corriente58!I29/constante58!I29*100</f>
        <v>90.055113456330588</v>
      </c>
      <c r="J24" s="36">
        <f>+corriente58!J29/constante58!J29*100</f>
        <v>121.85894541272792</v>
      </c>
      <c r="K24" s="36">
        <f>+corriente58!K29/constante58!K29*100</f>
        <v>155.50065525099228</v>
      </c>
      <c r="L24" s="36">
        <f>+corriente58!L29/constante58!L29*100</f>
        <v>139.78586495538002</v>
      </c>
      <c r="M24" s="36">
        <f>+corriente58!M29/constante58!M29*100</f>
        <v>93.9625850340136</v>
      </c>
      <c r="N24" s="36">
        <f>+corriente58!N29/constante58!N29*100</f>
        <v>99.976733364355525</v>
      </c>
      <c r="O24" s="36">
        <f>+corriente58!O29/constante58!O29*100</f>
        <v>109.76913730255164</v>
      </c>
      <c r="P24" s="36">
        <f>+corriente58!P29/constante58!P29*100</f>
        <v>139.04943873895391</v>
      </c>
      <c r="Q24" s="36">
        <f>+corriente58!Q29/constante58!Q29*100</f>
        <v>118.05631244323342</v>
      </c>
      <c r="R24" s="36">
        <f>+corriente58!R29/constante58!R29*100</f>
        <v>109.56521739130434</v>
      </c>
      <c r="S24" s="36">
        <f>+corriente58!S29/constante58!S29*100</f>
        <v>132.67716535433073</v>
      </c>
      <c r="T24" s="36">
        <f>+corriente58!T29/constante58!T29*100</f>
        <v>72.850058035243222</v>
      </c>
      <c r="U24" s="36">
        <f>+corriente58!U29/constante58!U29*100</f>
        <v>101.98475478210844</v>
      </c>
      <c r="V24" s="36">
        <f>+corriente58!V29/constante58!V29*100</f>
        <v>119.90862522497576</v>
      </c>
      <c r="W24" s="36">
        <f>+corriente58!W29/constante58!W29*100</f>
        <v>96.287854119179414</v>
      </c>
    </row>
    <row r="25" spans="1:23">
      <c r="A25" s="37" t="s">
        <v>28</v>
      </c>
      <c r="B25" s="36">
        <f>+corriente58!B30/constante58!B30*100</f>
        <v>100</v>
      </c>
      <c r="C25" s="36">
        <f>+corriente58!C30/constante58!C30*100</f>
        <v>94.964328120865815</v>
      </c>
      <c r="D25" s="36">
        <f>+corriente58!D30/constante58!D30*100</f>
        <v>99.86496451748009</v>
      </c>
      <c r="E25" s="36">
        <f>+corriente58!E30/constante58!E30*100</f>
        <v>167.61080432348032</v>
      </c>
      <c r="F25" s="36">
        <f>+corriente58!F30/constante58!F30*100</f>
        <v>106.33605777743342</v>
      </c>
      <c r="G25" s="36">
        <f>+corriente58!G30/constante58!G30*100</f>
        <v>112.57521021121073</v>
      </c>
      <c r="H25" s="36">
        <f>+corriente58!H30/constante58!H30*100</f>
        <v>98.501900167788861</v>
      </c>
      <c r="I25" s="36">
        <f>+corriente58!I30/constante58!I30*100</f>
        <v>101.24237253582116</v>
      </c>
      <c r="J25" s="36">
        <f>+corriente58!J30/constante58!J30*100</f>
        <v>109.98157564970816</v>
      </c>
      <c r="K25" s="36">
        <f>+corriente58!K30/constante58!K30*100</f>
        <v>135.78157834556842</v>
      </c>
      <c r="L25" s="36">
        <f>+corriente58!L30/constante58!L30*100</f>
        <v>106.78468387671157</v>
      </c>
      <c r="M25" s="36">
        <f>+corriente58!M30/constante58!M30*100</f>
        <v>107.23400262713454</v>
      </c>
      <c r="N25" s="36">
        <f>+corriente58!N30/constante58!N30*100</f>
        <v>106.50844363304428</v>
      </c>
      <c r="O25" s="36">
        <f>+corriente58!O30/constante58!O30*100</f>
        <v>109.18505942275043</v>
      </c>
      <c r="P25" s="36">
        <f>+corriente58!P30/constante58!P30*100</f>
        <v>114.84003281378179</v>
      </c>
      <c r="Q25" s="36">
        <f>+corriente58!Q30/constante58!Q30*100</f>
        <v>100.29229645013653</v>
      </c>
      <c r="R25" s="36">
        <f>+corriente58!R30/constante58!R30*100</f>
        <v>115.37245042780097</v>
      </c>
      <c r="S25" s="36">
        <f>+corriente58!S30/constante58!S30*100</f>
        <v>95.141305408305968</v>
      </c>
      <c r="T25" s="36">
        <f>+corriente58!T30/constante58!T30*100</f>
        <v>97.337142106645658</v>
      </c>
      <c r="U25" s="36">
        <f>+corriente58!U30/constante58!U30*100</f>
        <v>104.11267221388623</v>
      </c>
      <c r="V25" s="36">
        <f>+corriente58!V30/constante58!V30*100</f>
        <v>112.56068802885282</v>
      </c>
      <c r="W25" s="36">
        <f>+corriente58!W30/constante58!W30*100</f>
        <v>108.13474807212849</v>
      </c>
    </row>
    <row r="26" spans="1:23">
      <c r="A26" s="37" t="s">
        <v>29</v>
      </c>
      <c r="B26" s="36">
        <f>+corriente58!B31/constante58!B31*100</f>
        <v>100</v>
      </c>
      <c r="C26" s="36">
        <f>+corriente58!C31/constante58!C31*100</f>
        <v>116.40840505148931</v>
      </c>
      <c r="D26" s="36">
        <f>+corriente58!D31/constante58!D31*100</f>
        <v>98.100695624500645</v>
      </c>
      <c r="E26" s="36">
        <f>+corriente58!E31/constante58!E31*100</f>
        <v>166.32565304871866</v>
      </c>
      <c r="F26" s="36">
        <f>+corriente58!F31/constante58!F31*100</f>
        <v>83.637947093087618</v>
      </c>
      <c r="G26" s="36">
        <f>+corriente58!G31/constante58!G31*100</f>
        <v>86.375273008998192</v>
      </c>
      <c r="H26" s="36">
        <f>+corriente58!H31/constante58!H31*100</f>
        <v>142.3939029250555</v>
      </c>
      <c r="I26" s="36">
        <f>+corriente58!I31/constante58!I31*100</f>
        <v>89.148368172839042</v>
      </c>
      <c r="J26" s="36">
        <f>+corriente58!J31/constante58!J31*100</f>
        <v>118.07451333788363</v>
      </c>
      <c r="K26" s="36">
        <f>+corriente58!K31/constante58!K31*100</f>
        <v>127.98167963249414</v>
      </c>
      <c r="L26" s="36">
        <f>+corriente58!L31/constante58!L31*100</f>
        <v>110.46419673941989</v>
      </c>
      <c r="M26" s="36">
        <f>+corriente58!M31/constante58!M31*100</f>
        <v>108.31604352796714</v>
      </c>
      <c r="N26" s="36">
        <f>+corriente58!N31/constante58!N31*100</f>
        <v>110.32104541421313</v>
      </c>
      <c r="O26" s="36">
        <f>+corriente58!O31/constante58!O31*100</f>
        <v>105.057761732852</v>
      </c>
      <c r="P26" s="36">
        <f>+corriente58!P31/constante58!P31*100</f>
        <v>108.51860929239172</v>
      </c>
      <c r="Q26" s="36">
        <f>+corriente58!Q31/constante58!Q31*100</f>
        <v>95.755693581780548</v>
      </c>
      <c r="R26" s="36">
        <f>+corriente58!R31/constante58!R31*100</f>
        <v>101.18546998277864</v>
      </c>
      <c r="S26" s="36">
        <f>+corriente58!S31/constante58!S31*100</f>
        <v>90.173709106809241</v>
      </c>
      <c r="T26" s="36">
        <f>+corriente58!T31/constante58!T31*100</f>
        <v>105.87153609305508</v>
      </c>
      <c r="U26" s="36">
        <f>+corriente58!U31/constante58!U31*100</f>
        <v>100.26275365833939</v>
      </c>
      <c r="V26" s="36">
        <f>+corriente58!V31/constante58!V31*100</f>
        <v>127.12128223465567</v>
      </c>
      <c r="W26" s="36">
        <f>+corriente58!W31/constante58!W31*100</f>
        <v>125.93867702448212</v>
      </c>
    </row>
    <row r="27" spans="1:23">
      <c r="A27" s="37" t="s">
        <v>30</v>
      </c>
      <c r="B27" s="36">
        <f>+corriente58!B32/constante58!B32*100</f>
        <v>100</v>
      </c>
      <c r="C27" s="36">
        <f>+corriente58!C32/constante58!C32*100</f>
        <v>120.11710828326243</v>
      </c>
      <c r="D27" s="36">
        <f>+corriente58!D32/constante58!D32*100</f>
        <v>165.28007177475001</v>
      </c>
      <c r="E27" s="36">
        <f>+corriente58!E32/constante58!E32*100</f>
        <v>142.39607221210565</v>
      </c>
      <c r="F27" s="36">
        <f>+corriente58!F32/constante58!F32*100</f>
        <v>190.32829469871345</v>
      </c>
      <c r="G27" s="36">
        <f>+corriente58!G32/constante58!G32*100</f>
        <v>109.17658490616967</v>
      </c>
      <c r="H27" s="36">
        <f>+corriente58!H32/constante58!H32*100</f>
        <v>82.683100359439621</v>
      </c>
      <c r="I27" s="36">
        <f>+corriente58!I32/constante58!I32*100</f>
        <v>127.41315028303801</v>
      </c>
      <c r="J27" s="36">
        <f>+corriente58!J32/constante58!J32*100</f>
        <v>148.00315083283007</v>
      </c>
      <c r="K27" s="36">
        <f>+corriente58!K32/constante58!K32*100</f>
        <v>61.18193294120988</v>
      </c>
      <c r="L27" s="36">
        <f>+corriente58!L32/constante58!L32*100</f>
        <v>91.792575413316698</v>
      </c>
      <c r="M27" s="36">
        <f>+corriente58!M32/constante58!M32*100</f>
        <v>113.53515410771087</v>
      </c>
      <c r="N27" s="36">
        <f>+corriente58!N32/constante58!N32*100</f>
        <v>119.71322519957288</v>
      </c>
      <c r="O27" s="36">
        <f>+corriente58!O32/constante58!O32*100</f>
        <v>108.2607180202161</v>
      </c>
      <c r="P27" s="36">
        <f>+corriente58!P32/constante58!P32*100</f>
        <v>130.0452293775576</v>
      </c>
      <c r="Q27" s="36">
        <f>+corriente58!Q32/constante58!Q32*100</f>
        <v>78.016143497757852</v>
      </c>
      <c r="R27" s="36">
        <f>+corriente58!R32/constante58!R32*100</f>
        <v>79.061755914686657</v>
      </c>
      <c r="S27" s="36">
        <f>+corriente58!S32/constante58!S32*100</f>
        <v>110.29705228348251</v>
      </c>
      <c r="T27" s="36">
        <f>+corriente58!T32/constante58!T32*100</f>
        <v>168.30157088688628</v>
      </c>
      <c r="U27" s="36">
        <f>+corriente58!U32/constante58!U32*100</f>
        <v>70.416366690664745</v>
      </c>
      <c r="V27" s="36">
        <f>+corriente58!V32/constante58!V32*100</f>
        <v>92.928923807783676</v>
      </c>
      <c r="W27" s="36">
        <f>+corriente58!W32/constante58!W32*100</f>
        <v>415.48814263458542</v>
      </c>
    </row>
    <row r="28" spans="1:23">
      <c r="A28" s="37" t="s">
        <v>31</v>
      </c>
      <c r="B28" s="36">
        <f>+corriente58!B33/constante58!B33*100</f>
        <v>100</v>
      </c>
      <c r="C28" s="36">
        <f>+corriente58!C33/constante58!C33*100</f>
        <v>92.633176109092474</v>
      </c>
      <c r="D28" s="36">
        <f>+corriente58!D33/constante58!D33*100</f>
        <v>179.46937912184299</v>
      </c>
      <c r="E28" s="36">
        <f>+corriente58!E33/constante58!E33*100</f>
        <v>107.25035819709016</v>
      </c>
      <c r="F28" s="36">
        <f>+corriente58!F33/constante58!F33*100</f>
        <v>50.874139304358643</v>
      </c>
      <c r="G28" s="36">
        <f>+corriente58!G33/constante58!G33*100</f>
        <v>145.54518025511408</v>
      </c>
      <c r="H28" s="36">
        <f>+corriente58!H33/constante58!H33*100</f>
        <v>170.76070398104181</v>
      </c>
      <c r="I28" s="36">
        <f>+corriente58!I33/constante58!I33*100</f>
        <v>97.54372980426011</v>
      </c>
      <c r="J28" s="36">
        <f>+corriente58!J33/constante58!J33*100</f>
        <v>90.333129994623079</v>
      </c>
      <c r="K28" s="36">
        <f>+corriente58!K33/constante58!K33*100</f>
        <v>90.404086972546637</v>
      </c>
      <c r="L28" s="36">
        <f>+corriente58!L33/constante58!L33*100</f>
        <v>127.85531931514357</v>
      </c>
      <c r="M28" s="36">
        <f>+corriente58!M33/constante58!M33*100</f>
        <v>109.40065681444993</v>
      </c>
      <c r="N28" s="36">
        <f>+corriente58!N33/constante58!N33*100</f>
        <v>86.489652479500194</v>
      </c>
      <c r="O28" s="36">
        <f>+corriente58!O33/constante58!O33*100</f>
        <v>128.07237299930409</v>
      </c>
      <c r="P28" s="36">
        <f>+corriente58!P33/constante58!P33*100</f>
        <v>114.6665179567254</v>
      </c>
      <c r="Q28" s="36">
        <f>+corriente58!Q33/constante58!Q33*100</f>
        <v>128.26930935839803</v>
      </c>
      <c r="R28" s="36">
        <f>+corriente58!R33/constante58!R33*100</f>
        <v>101.24707716289944</v>
      </c>
      <c r="S28" s="36">
        <f>+corriente58!S33/constante58!S33*100</f>
        <v>99.863442846815005</v>
      </c>
      <c r="T28" s="36">
        <f>+corriente58!T33/constante58!T33*100</f>
        <v>136.93397856895956</v>
      </c>
      <c r="U28" s="36">
        <f>+corriente58!U33/constante58!U33*100</f>
        <v>93.881002718212031</v>
      </c>
      <c r="V28" s="36">
        <f>+corriente58!V33/constante58!V33*100</f>
        <v>141.35172413793106</v>
      </c>
      <c r="W28" s="36">
        <f>+corriente58!W33/constante58!W33*100</f>
        <v>144.87437927135062</v>
      </c>
    </row>
    <row r="29" spans="1:23">
      <c r="A29" s="37" t="s">
        <v>32</v>
      </c>
      <c r="B29" s="36">
        <f>+corriente58!B34/constante58!B34*100</f>
        <v>100</v>
      </c>
      <c r="C29" s="36">
        <f>+corriente58!C34/constante58!C34*100</f>
        <v>116.26466368517114</v>
      </c>
      <c r="D29" s="36">
        <f>+corriente58!D34/constante58!D34*100</f>
        <v>108.16758504790423</v>
      </c>
      <c r="E29" s="36">
        <f>+corriente58!E34/constante58!E34*100</f>
        <v>100.03653754388517</v>
      </c>
      <c r="F29" s="36">
        <f>+corriente58!F34/constante58!F34*100</f>
        <v>98.945922341893706</v>
      </c>
      <c r="G29" s="36">
        <f>+corriente58!G34/constante58!G34*100</f>
        <v>143.81100256711548</v>
      </c>
      <c r="H29" s="36">
        <f>+corriente58!H34/constante58!H34*100</f>
        <v>86.019495785247472</v>
      </c>
      <c r="I29" s="36">
        <f>+corriente58!I34/constante58!I34*100</f>
        <v>130.44959543419961</v>
      </c>
      <c r="J29" s="36">
        <f>+corriente58!J34/constante58!J34*100</f>
        <v>110.14385621305432</v>
      </c>
      <c r="K29" s="36">
        <f>+corriente58!K34/constante58!K34*100</f>
        <v>117.12019826488942</v>
      </c>
      <c r="L29" s="36">
        <f>+corriente58!L34/constante58!L34*100</f>
        <v>80.073074660444277</v>
      </c>
      <c r="M29" s="36">
        <f>+corriente58!M34/constante58!M34*100</f>
        <v>104.41511736184697</v>
      </c>
      <c r="N29" s="36">
        <f>+corriente58!N34/constante58!N34*100</f>
        <v>104.30958663148637</v>
      </c>
      <c r="O29" s="36">
        <f>+corriente58!O34/constante58!O34*100</f>
        <v>100.91228681832709</v>
      </c>
      <c r="P29" s="36">
        <f>+corriente58!P34/constante58!P34*100</f>
        <v>109.19158361018826</v>
      </c>
      <c r="Q29" s="36">
        <f>+corriente58!Q34/constante58!Q34*100</f>
        <v>105.15956957601398</v>
      </c>
      <c r="R29" s="36">
        <f>+corriente58!R34/constante58!R34*100</f>
        <v>111.19525432285751</v>
      </c>
      <c r="S29" s="36">
        <f>+corriente58!S34/constante58!S34*100</f>
        <v>91.705503931379567</v>
      </c>
      <c r="T29" s="36">
        <f>+corriente58!T34/constante58!T34*100</f>
        <v>105.49245420318283</v>
      </c>
      <c r="U29" s="36">
        <f>+corriente58!U34/constante58!U34*100</f>
        <v>110.58739866306357</v>
      </c>
      <c r="V29" s="36">
        <f>+corriente58!V34/constante58!V34*100</f>
        <v>101.46026929641569</v>
      </c>
      <c r="W29" s="36">
        <f>+corriente58!W34/constante58!W34*100</f>
        <v>124.1520327159009</v>
      </c>
    </row>
    <row r="30" spans="1:23">
      <c r="A30" s="37" t="s">
        <v>33</v>
      </c>
      <c r="B30" s="36">
        <f>+corriente58!B35/constante58!B35*100</f>
        <v>100</v>
      </c>
      <c r="C30" s="36">
        <f>+corriente58!C35/constante58!C35*100</f>
        <v>117.11539823958606</v>
      </c>
      <c r="D30" s="36">
        <f>+corriente58!D35/constante58!D35*100</f>
        <v>108.28204412485012</v>
      </c>
      <c r="E30" s="36">
        <f>+corriente58!E35/constante58!E35*100</f>
        <v>129.53884042667869</v>
      </c>
      <c r="F30" s="36">
        <f>+corriente58!F35/constante58!F35*100</f>
        <v>102.88863355798574</v>
      </c>
      <c r="G30" s="36">
        <f>+corriente58!G35/constante58!G35*100</f>
        <v>106.57807914236031</v>
      </c>
      <c r="H30" s="36">
        <f>+corriente58!H35/constante58!H35*100</f>
        <v>110.23836117615815</v>
      </c>
      <c r="I30" s="36">
        <f>+corriente58!I35/constante58!I35*100</f>
        <v>103.46278340673341</v>
      </c>
      <c r="J30" s="36">
        <f>+corriente58!J35/constante58!J35*100</f>
        <v>111.66616579481538</v>
      </c>
      <c r="K30" s="36">
        <f>+corriente58!K35/constante58!K35*100</f>
        <v>111.21572865977055</v>
      </c>
      <c r="L30" s="36">
        <f>+corriente58!L35/constante58!L35*100</f>
        <v>112.25487422391791</v>
      </c>
      <c r="M30" s="36">
        <f>+corriente58!M35/constante58!M35*100</f>
        <v>106.54340256933605</v>
      </c>
      <c r="N30" s="36">
        <f>+corriente58!N35/constante58!N35*100</f>
        <v>106.79933019198566</v>
      </c>
      <c r="O30" s="36">
        <f>+corriente58!O35/constante58!O35*100</f>
        <v>106.11383418514191</v>
      </c>
      <c r="P30" s="36">
        <f>+corriente58!P35/constante58!P35*100</f>
        <v>112.43138190869107</v>
      </c>
      <c r="Q30" s="36">
        <f>+corriente58!Q35/constante58!Q35*100</f>
        <v>103.57136674456851</v>
      </c>
      <c r="R30" s="36">
        <f>+corriente58!R35/constante58!R35*100</f>
        <v>104.2320907377988</v>
      </c>
      <c r="S30" s="36">
        <f>+corriente58!S35/constante58!S35*100</f>
        <v>106.19495397655785</v>
      </c>
      <c r="T30" s="36">
        <f>+corriente58!T35/constante58!T35*100</f>
        <v>100.36006745567525</v>
      </c>
      <c r="U30" s="36">
        <f>+corriente58!U35/constante58!U35*100</f>
        <v>111.79674721476407</v>
      </c>
      <c r="V30" s="36">
        <f>+corriente58!V35/constante58!V35*100</f>
        <v>112.54312395907684</v>
      </c>
      <c r="W30" s="36">
        <f>+corriente58!W35/constante58!W35*100</f>
        <v>110.76781397490502</v>
      </c>
    </row>
    <row r="31" spans="1:23">
      <c r="A31" s="37" t="s">
        <v>34</v>
      </c>
      <c r="B31" s="36">
        <f>+corriente58!B36/constante58!B36*100</f>
        <v>100</v>
      </c>
      <c r="C31" s="36">
        <f>+corriente58!C36/constante58!C36*100</f>
        <v>94.314482671516458</v>
      </c>
      <c r="D31" s="36">
        <f>+corriente58!D36/constante58!D36*100</f>
        <v>112.20368831065261</v>
      </c>
      <c r="E31" s="36">
        <f>+corriente58!E36/constante58!E36*100</f>
        <v>92.10597263015346</v>
      </c>
      <c r="F31" s="36">
        <f>+corriente58!F36/constante58!F36*100</f>
        <v>118.97061956394496</v>
      </c>
      <c r="G31" s="36">
        <f>+corriente58!G36/constante58!G36*100</f>
        <v>121.83067082745418</v>
      </c>
      <c r="H31" s="36">
        <f>+corriente58!H36/constante58!H36*100</f>
        <v>109.90231390728111</v>
      </c>
      <c r="I31" s="36">
        <f>+corriente58!I36/constante58!I36*100</f>
        <v>76.101423587749167</v>
      </c>
      <c r="J31" s="36">
        <f>+corriente58!J36/constante58!J36*100</f>
        <v>133.6614289281454</v>
      </c>
      <c r="K31" s="36">
        <f>+corriente58!K36/constante58!K36*100</f>
        <v>143.9133842558283</v>
      </c>
      <c r="L31" s="36">
        <f>+corriente58!L36/constante58!L36*100</f>
        <v>108.72149816107009</v>
      </c>
      <c r="M31" s="36">
        <f>+corriente58!M36/constante58!M36*100</f>
        <v>112.05859995853777</v>
      </c>
      <c r="N31" s="36">
        <f>+corriente58!N36/constante58!N36*100</f>
        <v>93.745928338762212</v>
      </c>
      <c r="O31" s="36">
        <f>+corriente58!O36/constante58!O36*100</f>
        <v>113.26638150145682</v>
      </c>
      <c r="P31" s="36">
        <f>+corriente58!P36/constante58!P36*100</f>
        <v>105.22753792298715</v>
      </c>
      <c r="Q31" s="36">
        <f>+corriente58!Q36/constante58!Q36*100</f>
        <v>101.59818713101556</v>
      </c>
      <c r="R31" s="36">
        <f>+corriente58!R36/constante58!R36*100</f>
        <v>125.1160267614972</v>
      </c>
      <c r="S31" s="36">
        <f>+corriente58!S36/constante58!S36*100</f>
        <v>84.462478812471105</v>
      </c>
      <c r="T31" s="36">
        <f>+corriente58!T36/constante58!T36*100</f>
        <v>120.23766654663306</v>
      </c>
      <c r="U31" s="36">
        <f>+corriente58!U36/constante58!U36*100</f>
        <v>108.38329287023734</v>
      </c>
      <c r="V31" s="36">
        <f>+corriente58!V36/constante58!V36*100</f>
        <v>97.249063756992925</v>
      </c>
      <c r="W31" s="36">
        <f>+corriente58!W36/constante58!W36*100</f>
        <v>133.56412345008596</v>
      </c>
    </row>
    <row r="32" spans="1:23">
      <c r="A32" s="37" t="s">
        <v>35</v>
      </c>
      <c r="B32" s="36">
        <f>+corriente58!B37/constante58!B37*100</f>
        <v>100</v>
      </c>
      <c r="C32" s="36">
        <f>+corriente58!C37/constante58!C37*100</f>
        <v>115.53243332171147</v>
      </c>
      <c r="D32" s="36">
        <f>+corriente58!D37/constante58!D37*100</f>
        <v>126.04237310294084</v>
      </c>
      <c r="E32" s="36">
        <f>+corriente58!E37/constante58!E37*100</f>
        <v>83.241140333908376</v>
      </c>
      <c r="F32" s="36">
        <f>+corriente58!F37/constante58!F37*100</f>
        <v>120.21664967994458</v>
      </c>
      <c r="G32" s="36">
        <f>+corriente58!G37/constante58!G37*100</f>
        <v>111.26408010161946</v>
      </c>
      <c r="H32" s="36">
        <f>+corriente58!H37/constante58!H37*100</f>
        <v>99.153482626010003</v>
      </c>
      <c r="I32" s="36">
        <f>+corriente58!I37/constante58!I37*100</f>
        <v>106.86611515355908</v>
      </c>
      <c r="J32" s="36">
        <f>+corriente58!J37/constante58!J37*100</f>
        <v>100.73918313021647</v>
      </c>
      <c r="K32" s="36">
        <f>+corriente58!K37/constante58!K37*100</f>
        <v>111.29221942965361</v>
      </c>
      <c r="L32" s="36">
        <f>+corriente58!L37/constante58!L37*100</f>
        <v>126.51893332794582</v>
      </c>
      <c r="M32" s="36">
        <f>+corriente58!M37/constante58!M37*100</f>
        <v>100.25043256534015</v>
      </c>
      <c r="N32" s="36">
        <f>+corriente58!N37/constante58!N37*100</f>
        <v>93.227508795443129</v>
      </c>
      <c r="O32" s="36">
        <f>+corriente58!O37/constante58!O37*100</f>
        <v>104.84149855907781</v>
      </c>
      <c r="P32" s="36">
        <f>+corriente58!P37/constante58!P37*100</f>
        <v>94.89494045361451</v>
      </c>
      <c r="Q32" s="36">
        <f>+corriente58!Q37/constante58!Q37*100</f>
        <v>93.834935366257881</v>
      </c>
      <c r="R32" s="36">
        <f>+corriente58!R37/constante58!R37*100</f>
        <v>117.21064179923204</v>
      </c>
      <c r="S32" s="36">
        <f>+corriente58!S37/constante58!S37*100</f>
        <v>90.199200487837928</v>
      </c>
      <c r="T32" s="36">
        <f>+corriente58!T37/constante58!T37*100</f>
        <v>91.609961417046648</v>
      </c>
      <c r="U32" s="36">
        <f>+corriente58!U37/constante58!U37*100</f>
        <v>108.07339449541284</v>
      </c>
      <c r="V32" s="36">
        <f>+corriente58!V37/constante58!V37*100</f>
        <v>103.79536237912031</v>
      </c>
      <c r="W32" s="36">
        <f>+corriente58!W37/constante58!W37*100</f>
        <v>119.80368520750817</v>
      </c>
    </row>
    <row r="33" spans="1:23">
      <c r="A33" s="37" t="s">
        <v>36</v>
      </c>
      <c r="B33" s="36">
        <f>+corriente58!B38/constante58!B38*100</f>
        <v>100</v>
      </c>
      <c r="C33" s="36">
        <f>+corriente58!C38/constante58!C38*100</f>
        <v>109.98348229476611</v>
      </c>
      <c r="D33" s="36">
        <f>+corriente58!D38/constante58!D38*100</f>
        <v>109.90900772820879</v>
      </c>
      <c r="E33" s="36">
        <f>+corriente58!E38/constante58!E38*100</f>
        <v>108.92391723923241</v>
      </c>
      <c r="F33" s="36">
        <f>+corriente58!F38/constante58!F38*100</f>
        <v>104.00250328605112</v>
      </c>
      <c r="G33" s="36">
        <f>+corriente58!G38/constante58!G38*100</f>
        <v>71.131608586150534</v>
      </c>
      <c r="H33" s="36">
        <f>+corriente58!H38/constante58!H38*100</f>
        <v>129.25733783144037</v>
      </c>
      <c r="I33" s="36">
        <f>+corriente58!I38/constante58!I38*100</f>
        <v>122.01465376558818</v>
      </c>
      <c r="J33" s="36">
        <f>+corriente58!J38/constante58!J38*100</f>
        <v>112.5123957849371</v>
      </c>
      <c r="K33" s="36">
        <f>+corriente58!K38/constante58!K38*100</f>
        <v>87.79054261651936</v>
      </c>
      <c r="L33" s="36">
        <f>+corriente58!L38/constante58!L38*100</f>
        <v>119.51543606683832</v>
      </c>
      <c r="M33" s="36">
        <f>+corriente58!M38/constante58!M38*100</f>
        <v>82.688546244316314</v>
      </c>
      <c r="N33" s="36">
        <f>+corriente58!N38/constante58!N38*100</f>
        <v>120.40251304440422</v>
      </c>
      <c r="O33" s="36">
        <f>+corriente58!O38/constante58!O38*100</f>
        <v>92.049286640726322</v>
      </c>
      <c r="P33" s="36">
        <f>+corriente58!P38/constante58!P38*100</f>
        <v>95.914076462136876</v>
      </c>
      <c r="Q33" s="36">
        <f>+corriente58!Q38/constante58!Q38*100</f>
        <v>116.93190712235845</v>
      </c>
      <c r="R33" s="36">
        <f>+corriente58!R38/constante58!R38*100</f>
        <v>67.622768409079669</v>
      </c>
      <c r="S33" s="36">
        <f>+corriente58!S38/constante58!S38*100</f>
        <v>123.82479950647749</v>
      </c>
      <c r="T33" s="36">
        <f>+corriente58!T38/constante58!T38*100</f>
        <v>97.677256469598149</v>
      </c>
      <c r="U33" s="36">
        <f>+corriente58!U38/constante58!U38*100</f>
        <v>101.59721026347512</v>
      </c>
      <c r="V33" s="36">
        <f>+corriente58!V38/constante58!V38*100</f>
        <v>88.734708782180022</v>
      </c>
      <c r="W33" s="36">
        <f>+corriente58!W38/constante58!W38*100</f>
        <v>139.05799074326163</v>
      </c>
    </row>
    <row r="34" spans="1:23">
      <c r="A34" s="37" t="s">
        <v>37</v>
      </c>
      <c r="B34" s="36">
        <f>+corriente58!B39/constante58!B39*100</f>
        <v>100</v>
      </c>
      <c r="C34" s="36">
        <f>+corriente58!C39/constante58!C39*100</f>
        <v>124.43575634901063</v>
      </c>
      <c r="D34" s="36">
        <f>+corriente58!D39/constante58!D39*100</f>
        <v>115.64619682727223</v>
      </c>
      <c r="E34" s="36">
        <f>+corriente58!E39/constante58!E39*100</f>
        <v>162.24674370327713</v>
      </c>
      <c r="F34" s="36">
        <f>+corriente58!F39/constante58!F39*100</f>
        <v>92.717508427061702</v>
      </c>
      <c r="G34" s="36">
        <f>+corriente58!G39/constante58!G39*100</f>
        <v>143.2223628674484</v>
      </c>
      <c r="H34" s="36">
        <f>+corriente58!H39/constante58!H39*100</f>
        <v>92.991352286217889</v>
      </c>
      <c r="I34" s="36">
        <f>+corriente58!I39/constante58!I39*100</f>
        <v>78.636793761046192</v>
      </c>
      <c r="J34" s="36">
        <f>+corriente58!J39/constante58!J39*100</f>
        <v>129.84428964576429</v>
      </c>
      <c r="K34" s="36">
        <f>+corriente58!K39/constante58!K39*100</f>
        <v>138.34499777412279</v>
      </c>
      <c r="L34" s="36">
        <f>+corriente58!L39/constante58!L39*100</f>
        <v>102.08873171877283</v>
      </c>
      <c r="M34" s="36">
        <f>+corriente58!M39/constante58!M39*100</f>
        <v>115.29627367135002</v>
      </c>
      <c r="N34" s="36">
        <f>+corriente58!N39/constante58!N39*100</f>
        <v>92.214465014119867</v>
      </c>
      <c r="O34" s="36">
        <f>+corriente58!O39/constante58!O39*100</f>
        <v>107.15869628885821</v>
      </c>
      <c r="P34" s="36">
        <f>+corriente58!P39/constante58!P39*100</f>
        <v>107.67369351761367</v>
      </c>
      <c r="Q34" s="36">
        <f>+corriente58!Q39/constante58!Q39*100</f>
        <v>95.099406145107153</v>
      </c>
      <c r="R34" s="36">
        <f>+corriente58!R39/constante58!R39*100</f>
        <v>122.73777669666748</v>
      </c>
      <c r="S34" s="36">
        <f>+corriente58!S39/constante58!S39*100</f>
        <v>107.07219909583276</v>
      </c>
      <c r="T34" s="36">
        <f>+corriente58!T39/constante58!T39*100</f>
        <v>122.30403124110158</v>
      </c>
      <c r="U34" s="36">
        <f>+corriente58!U39/constante58!U39*100</f>
        <v>102.84005017529188</v>
      </c>
      <c r="V34" s="36">
        <f>+corriente58!V39/constante58!V39*100</f>
        <v>109.31263858093125</v>
      </c>
      <c r="W34" s="36">
        <f>+corriente58!W39/constante58!W39*100</f>
        <v>118.00370760786593</v>
      </c>
    </row>
    <row r="35" spans="1:23">
      <c r="A35" s="37" t="s">
        <v>38</v>
      </c>
      <c r="B35" s="36">
        <f>+corriente58!B40/constante58!B40*100</f>
        <v>100</v>
      </c>
      <c r="C35" s="36">
        <f>+corriente58!C40/constante58!C40*100</f>
        <v>113.27455350320146</v>
      </c>
      <c r="D35" s="36">
        <f>+corriente58!D40/constante58!D40*100</f>
        <v>101.42690959770088</v>
      </c>
      <c r="E35" s="36">
        <f>+corriente58!E40/constante58!E40*100</f>
        <v>105.49615231425089</v>
      </c>
      <c r="F35" s="36">
        <f>+corriente58!F40/constante58!F40*100</f>
        <v>137.62404175114267</v>
      </c>
      <c r="G35" s="36">
        <f>+corriente58!G40/constante58!G40*100</f>
        <v>97.337413791502428</v>
      </c>
      <c r="H35" s="36">
        <f>+corriente58!H40/constante58!H40*100</f>
        <v>118.20431621160748</v>
      </c>
      <c r="I35" s="36">
        <f>+corriente58!I40/constante58!I40*100</f>
        <v>92.013092440505091</v>
      </c>
      <c r="J35" s="36">
        <f>+corriente58!J40/constante58!J40*100</f>
        <v>75.632537251962134</v>
      </c>
      <c r="K35" s="36">
        <f>+corriente58!K40/constante58!K40*100</f>
        <v>85.811317765059897</v>
      </c>
      <c r="L35" s="36">
        <f>+corriente58!L40/constante58!L40*100</f>
        <v>98.503691310384625</v>
      </c>
      <c r="M35" s="36">
        <f>+corriente58!M40/constante58!M40*100</f>
        <v>106.53025259447817</v>
      </c>
      <c r="N35" s="36">
        <f>+corriente58!N40/constante58!N40*100</f>
        <v>95.60339323177962</v>
      </c>
      <c r="O35" s="36">
        <f>+corriente58!O40/constante58!O40*100</f>
        <v>106.41014114897061</v>
      </c>
      <c r="P35" s="36">
        <f>+corriente58!P40/constante58!P40*100</f>
        <v>101.87265917602997</v>
      </c>
      <c r="Q35" s="36">
        <f>+corriente58!Q40/constante58!Q40*100</f>
        <v>108.82114187787499</v>
      </c>
      <c r="R35" s="36">
        <f>+corriente58!R40/constante58!R40*100</f>
        <v>115.63550108717138</v>
      </c>
      <c r="S35" s="36">
        <f>+corriente58!S40/constante58!S40*100</f>
        <v>125.49555707450443</v>
      </c>
      <c r="T35" s="36">
        <f>+corriente58!T40/constante58!T40*100</f>
        <v>83.671550575883415</v>
      </c>
      <c r="U35" s="36">
        <f>+corriente58!U40/constante58!U40*100</f>
        <v>112.65729993891264</v>
      </c>
      <c r="V35" s="36">
        <f>+corriente58!V40/constante58!V40*100</f>
        <v>95.368261199696278</v>
      </c>
      <c r="W35" s="36">
        <f>+corriente58!W40/constante58!W40*100</f>
        <v>89.039864122289941</v>
      </c>
    </row>
    <row r="36" spans="1:23">
      <c r="A36" s="37" t="s">
        <v>39</v>
      </c>
      <c r="B36" s="36">
        <f>+corriente58!B41/constante58!B41*100</f>
        <v>100</v>
      </c>
      <c r="C36" s="36">
        <f>+corriente58!C41/constante58!C41*100</f>
        <v>103.41523662788157</v>
      </c>
      <c r="D36" s="36">
        <f>+corriente58!D41/constante58!D41*100</f>
        <v>102.99996568505586</v>
      </c>
      <c r="E36" s="36">
        <f>+corriente58!E41/constante58!E41*100</f>
        <v>122.60943365861488</v>
      </c>
      <c r="F36" s="36">
        <f>+corriente58!F41/constante58!F41*100</f>
        <v>104.03173774687274</v>
      </c>
      <c r="G36" s="36">
        <f>+corriente58!G41/constante58!G41*100</f>
        <v>99.245715655676008</v>
      </c>
      <c r="H36" s="36">
        <f>+corriente58!H41/constante58!H41*100</f>
        <v>94.921834665982033</v>
      </c>
      <c r="I36" s="36">
        <f>+corriente58!I41/constante58!I41*100</f>
        <v>99.410802962481213</v>
      </c>
      <c r="J36" s="36">
        <f>+corriente58!J41/constante58!J41*100</f>
        <v>119.77375612245986</v>
      </c>
      <c r="K36" s="36">
        <f>+corriente58!K41/constante58!K41*100</f>
        <v>116.286344128488</v>
      </c>
      <c r="L36" s="36">
        <f>+corriente58!L41/constante58!L41*100</f>
        <v>89.467013561807079</v>
      </c>
      <c r="M36" s="36">
        <f>+corriente58!M41/constante58!M41*100</f>
        <v>110.24066112010722</v>
      </c>
      <c r="N36" s="36">
        <f>+corriente58!N41/constante58!N41*100</f>
        <v>118.04630510624803</v>
      </c>
      <c r="O36" s="36">
        <f>+corriente58!O41/constante58!O41*100</f>
        <v>99.356167911408704</v>
      </c>
      <c r="P36" s="36">
        <f>+corriente58!P41/constante58!P41*100</f>
        <v>112.6666976441615</v>
      </c>
      <c r="Q36" s="36">
        <f>+corriente58!Q41/constante58!Q41*100</f>
        <v>101.83773482167166</v>
      </c>
      <c r="R36" s="36">
        <f>+corriente58!R41/constante58!R41*100</f>
        <v>101.72504420127109</v>
      </c>
      <c r="S36" s="36">
        <f>+corriente58!S41/constante58!S41*100</f>
        <v>97.252992674647132</v>
      </c>
      <c r="T36" s="36">
        <f>+corriente58!T41/constante58!T41*100</f>
        <v>101.63364297808081</v>
      </c>
      <c r="U36" s="36">
        <f>+corriente58!U41/constante58!U41*100</f>
        <v>107.04150876883757</v>
      </c>
      <c r="V36" s="36">
        <f>+corriente58!V41/constante58!V41*100</f>
        <v>110.02926421404682</v>
      </c>
      <c r="W36" s="36">
        <f>+corriente58!W41/constante58!W41*100</f>
        <v>103.73753573669897</v>
      </c>
    </row>
    <row r="37" spans="1:23">
      <c r="A37" s="37" t="s">
        <v>40</v>
      </c>
      <c r="B37" s="36">
        <f>+corriente58!B42/constante58!B42*100</f>
        <v>100</v>
      </c>
      <c r="C37" s="36">
        <f>+corriente58!C42/constante58!C42*100</f>
        <v>124.81110465229759</v>
      </c>
      <c r="D37" s="36">
        <f>+corriente58!D42/constante58!D42*100</f>
        <v>111.13860402974707</v>
      </c>
      <c r="E37" s="36">
        <f>+corriente58!E42/constante58!E42*100</f>
        <v>107.32533234025385</v>
      </c>
      <c r="F37" s="36">
        <f>+corriente58!F42/constante58!F42*100</f>
        <v>112.49499407525059</v>
      </c>
      <c r="G37" s="36">
        <f>+corriente58!G42/constante58!G42*100</f>
        <v>105.09279495298752</v>
      </c>
      <c r="H37" s="36">
        <f>+corriente58!H42/constante58!H42*100</f>
        <v>102.25503369440602</v>
      </c>
      <c r="I37" s="36">
        <f>+corriente58!I42/constante58!I42*100</f>
        <v>99.010743274976008</v>
      </c>
      <c r="J37" s="36">
        <f>+corriente58!J42/constante58!J42*100</f>
        <v>96.446551628351386</v>
      </c>
      <c r="K37" s="36">
        <f>+corriente58!K42/constante58!K42*100</f>
        <v>110.47698139089246</v>
      </c>
      <c r="L37" s="36">
        <f>+corriente58!L42/constante58!L42*100</f>
        <v>114.11087378626431</v>
      </c>
      <c r="M37" s="36">
        <f>+corriente58!M42/constante58!M42*100</f>
        <v>101.11696544133383</v>
      </c>
      <c r="N37" s="36">
        <f>+corriente58!N42/constante58!N42*100</f>
        <v>100.33735084487867</v>
      </c>
      <c r="O37" s="36">
        <f>+corriente58!O42/constante58!O42*100</f>
        <v>91.142795420177151</v>
      </c>
      <c r="P37" s="36">
        <f>+corriente58!P42/constante58!P42*100</f>
        <v>103.25334563913245</v>
      </c>
      <c r="Q37" s="36">
        <f>+corriente58!Q42/constante58!Q42*100</f>
        <v>131.59733350426254</v>
      </c>
      <c r="R37" s="36">
        <f>+corriente58!R42/constante58!R42*100</f>
        <v>109.580267622279</v>
      </c>
      <c r="S37" s="36">
        <f>+corriente58!S42/constante58!S42*100</f>
        <v>107.71818789771592</v>
      </c>
      <c r="T37" s="36">
        <f>+corriente58!T42/constante58!T42*100</f>
        <v>105.84440040255114</v>
      </c>
      <c r="U37" s="36">
        <f>+corriente58!U42/constante58!U42*100</f>
        <v>108.53558674339784</v>
      </c>
      <c r="V37" s="36">
        <f>+corriente58!V42/constante58!V42*100</f>
        <v>110.67933416254267</v>
      </c>
      <c r="W37" s="36">
        <f>+corriente58!W42/constante58!W42*100</f>
        <v>104.06645726099262</v>
      </c>
    </row>
    <row r="38" spans="1:23">
      <c r="A38" s="37" t="s">
        <v>41</v>
      </c>
      <c r="B38" s="36">
        <f>+corriente58!B43/constante58!B43*100</f>
        <v>100</v>
      </c>
      <c r="C38" s="36">
        <f>+corriente58!C43/constante58!C43*100</f>
        <v>99.407354848220336</v>
      </c>
      <c r="D38" s="36">
        <f>+corriente58!D43/constante58!D43*100</f>
        <v>111.46595955296914</v>
      </c>
      <c r="E38" s="36">
        <f>+corriente58!E43/constante58!E43*100</f>
        <v>90.931000635360476</v>
      </c>
      <c r="F38" s="36">
        <f>+corriente58!F43/constante58!F43*100</f>
        <v>109.15918374999067</v>
      </c>
      <c r="G38" s="36">
        <f>+corriente58!G43/constante58!G43*100</f>
        <v>105.27410643612747</v>
      </c>
      <c r="H38" s="36">
        <f>+corriente58!H43/constante58!H43*100</f>
        <v>105.08141392865812</v>
      </c>
      <c r="I38" s="36">
        <f>+corriente58!I43/constante58!I43*100</f>
        <v>108.81271452896399</v>
      </c>
      <c r="J38" s="36">
        <f>+corriente58!J43/constante58!J43*100</f>
        <v>103.36314185792381</v>
      </c>
      <c r="K38" s="36">
        <f>+corriente58!K43/constante58!K43*100</f>
        <v>125.85164151670911</v>
      </c>
      <c r="L38" s="36">
        <f>+corriente58!L43/constante58!L43*100</f>
        <v>118.32399438025433</v>
      </c>
      <c r="M38" s="36">
        <f>+corriente58!M43/constante58!M43*100</f>
        <v>104.26397253485599</v>
      </c>
      <c r="N38" s="36">
        <f>+corriente58!N43/constante58!N43*100</f>
        <v>110.0659805793012</v>
      </c>
      <c r="O38" s="36">
        <f>+corriente58!O43/constante58!O43*100</f>
        <v>104.8635991355205</v>
      </c>
      <c r="P38" s="36">
        <f>+corriente58!P43/constante58!P43*100</f>
        <v>107.92035693817922</v>
      </c>
      <c r="Q38" s="36">
        <f>+corriente58!Q43/constante58!Q43*100</f>
        <v>105.98302226582219</v>
      </c>
      <c r="R38" s="36">
        <f>+corriente58!R43/constante58!R43*100</f>
        <v>103.27400051789554</v>
      </c>
      <c r="S38" s="36">
        <f>+corriente58!S43/constante58!S43*100</f>
        <v>98.020372861810486</v>
      </c>
      <c r="T38" s="36">
        <f>+corriente58!T43/constante58!T43*100</f>
        <v>102.44403644999916</v>
      </c>
      <c r="U38" s="36">
        <f>+corriente58!U43/constante58!U43*100</f>
        <v>100.28394080802133</v>
      </c>
      <c r="V38" s="36">
        <f>+corriente58!V43/constante58!V43*100</f>
        <v>110.04859174310042</v>
      </c>
      <c r="W38" s="36">
        <f>+corriente58!W43/constante58!W43*100</f>
        <v>91.179989593103599</v>
      </c>
    </row>
    <row r="39" spans="1:23">
      <c r="A39" s="37" t="s">
        <v>42</v>
      </c>
      <c r="B39" s="36">
        <f>+corriente58!B44/constante58!B44*100</f>
        <v>100</v>
      </c>
      <c r="C39" s="36">
        <f>+corriente58!C44/constante58!C44*100</f>
        <v>109.66018349560296</v>
      </c>
      <c r="D39" s="36">
        <f>+corriente58!D44/constante58!D44*100</f>
        <v>107.72630135215412</v>
      </c>
      <c r="E39" s="36">
        <f>+corriente58!E44/constante58!E44*100</f>
        <v>143.16282041212222</v>
      </c>
      <c r="F39" s="36">
        <f>+corriente58!F44/constante58!F44*100</f>
        <v>107.54533071307118</v>
      </c>
      <c r="G39" s="36">
        <f>+corriente58!G44/constante58!G44*100</f>
        <v>116.7834906078397</v>
      </c>
      <c r="H39" s="36">
        <f>+corriente58!H44/constante58!H44*100</f>
        <v>109.85537136055763</v>
      </c>
      <c r="I39" s="36">
        <f>+corriente58!I44/constante58!I44*100</f>
        <v>109.41049539500554</v>
      </c>
      <c r="J39" s="36">
        <f>+corriente58!J44/constante58!J44*100</f>
        <v>112.92953506522416</v>
      </c>
      <c r="K39" s="36">
        <f>+corriente58!K44/constante58!K44*100</f>
        <v>115.04367671236015</v>
      </c>
      <c r="L39" s="36">
        <f>+corriente58!L44/constante58!L44*100</f>
        <v>103.47125637028553</v>
      </c>
      <c r="M39" s="36">
        <f>+corriente58!M44/constante58!M44*100</f>
        <v>112.27049601735321</v>
      </c>
      <c r="N39" s="36">
        <f>+corriente58!N44/constante58!N44*100</f>
        <v>112.00878357675417</v>
      </c>
      <c r="O39" s="36">
        <f>+corriente58!O44/constante58!O44*100</f>
        <v>108.28243251821496</v>
      </c>
      <c r="P39" s="36">
        <f>+corriente58!P44/constante58!P44*100</f>
        <v>109.56469635627531</v>
      </c>
      <c r="Q39" s="36">
        <f>+corriente58!Q44/constante58!Q44*100</f>
        <v>109.33733450902416</v>
      </c>
      <c r="R39" s="36">
        <f>+corriente58!R44/constante58!R44*100</f>
        <v>109.2918031967564</v>
      </c>
      <c r="S39" s="36">
        <f>+corriente58!S44/constante58!S44*100</f>
        <v>104.2182641998553</v>
      </c>
      <c r="T39" s="36">
        <f>+corriente58!T44/constante58!T44*100</f>
        <v>102.25162051908842</v>
      </c>
      <c r="U39" s="36">
        <f>+corriente58!U44/constante58!U44*100</f>
        <v>103.36122838761561</v>
      </c>
      <c r="V39" s="36">
        <f>+corriente58!V44/constante58!V44*100</f>
        <v>101.81248943752752</v>
      </c>
      <c r="W39" s="36">
        <f>+corriente58!W44/constante58!W44*100</f>
        <v>111.97700400389141</v>
      </c>
    </row>
    <row r="40" spans="1:23">
      <c r="A40" s="37" t="s">
        <v>43</v>
      </c>
      <c r="B40" s="36">
        <f>+corriente58!B45/constante58!B45*100</f>
        <v>100</v>
      </c>
      <c r="C40" s="36">
        <f>+corriente58!C45/constante58!C45*100</f>
        <v>107.18552073796954</v>
      </c>
      <c r="D40" s="36">
        <f>+corriente58!D45/constante58!D45*100</f>
        <v>110.36472492107589</v>
      </c>
      <c r="E40" s="36">
        <f>+corriente58!E45/constante58!E45*100</f>
        <v>109.27305831300056</v>
      </c>
      <c r="F40" s="36">
        <f>+corriente58!F45/constante58!F45*100</f>
        <v>109.36086098478826</v>
      </c>
      <c r="G40" s="36">
        <f>+corriente58!G45/constante58!G45*100</f>
        <v>107.88594893147744</v>
      </c>
      <c r="H40" s="36">
        <f>+corriente58!H45/constante58!H45*100</f>
        <v>107.2221196321899</v>
      </c>
      <c r="I40" s="36">
        <f>+corriente58!I45/constante58!I45*100</f>
        <v>115.73527643910968</v>
      </c>
      <c r="J40" s="36">
        <f>+corriente58!J45/constante58!J45*100</f>
        <v>113.10826702105994</v>
      </c>
      <c r="K40" s="36">
        <f>+corriente58!K45/constante58!K45*100</f>
        <v>109.46141162386044</v>
      </c>
      <c r="L40" s="36">
        <f>+corriente58!L45/constante58!L45*100</f>
        <v>116.45462392511841</v>
      </c>
      <c r="M40" s="36">
        <f>+corriente58!M45/constante58!M45*100</f>
        <v>112.07411268540017</v>
      </c>
      <c r="N40" s="36">
        <f>+corriente58!N45/constante58!N45*100</f>
        <v>108.36105553516676</v>
      </c>
      <c r="O40" s="36">
        <f>+corriente58!O45/constante58!O45*100</f>
        <v>108.2752270138497</v>
      </c>
      <c r="P40" s="36">
        <f>+corriente58!P45/constante58!P45*100</f>
        <v>110.31852131709728</v>
      </c>
      <c r="Q40" s="36">
        <f>+corriente58!Q45/constante58!Q45*100</f>
        <v>103.9429484002423</v>
      </c>
      <c r="R40" s="36">
        <f>+corriente58!R45/constante58!R45*100</f>
        <v>110.34739140803644</v>
      </c>
      <c r="S40" s="36">
        <f>+corriente58!S45/constante58!S45*100</f>
        <v>103.27136142353535</v>
      </c>
      <c r="T40" s="36">
        <f>+corriente58!T45/constante58!T45*100</f>
        <v>105.29532054393404</v>
      </c>
      <c r="U40" s="36">
        <f>+corriente58!U45/constante58!U45*100</f>
        <v>107.4201064115006</v>
      </c>
      <c r="V40" s="36">
        <f>+corriente58!V45/constante58!V45*100</f>
        <v>110.02351557907113</v>
      </c>
      <c r="W40" s="36">
        <f>+corriente58!W45/constante58!W45*100</f>
        <v>104.52345264779088</v>
      </c>
    </row>
    <row r="41" spans="1:23">
      <c r="A41" s="37" t="s">
        <v>44</v>
      </c>
      <c r="B41" s="36">
        <f>+corriente58!B46/constante58!B46*100</f>
        <v>100</v>
      </c>
      <c r="C41" s="36">
        <f>+corriente58!C46/constante58!C46*100</f>
        <v>109.26249501740524</v>
      </c>
      <c r="D41" s="36">
        <f>+corriente58!D46/constante58!D46*100</f>
        <v>99.235486162871609</v>
      </c>
      <c r="E41" s="36">
        <f>+corriente58!E46/constante58!E46*100</f>
        <v>109.26558296792233</v>
      </c>
      <c r="F41" s="36">
        <f>+corriente58!F46/constante58!F46*100</f>
        <v>119.34730499508485</v>
      </c>
      <c r="G41" s="36">
        <f>+corriente58!G46/constante58!G46*100</f>
        <v>105.43001963763157</v>
      </c>
      <c r="H41" s="36">
        <f>+corriente58!H46/constante58!H46*100</f>
        <v>105.08592102017349</v>
      </c>
      <c r="I41" s="36">
        <f>+corriente58!I46/constante58!I46*100</f>
        <v>108.09705286391529</v>
      </c>
      <c r="J41" s="36">
        <f>+corriente58!J46/constante58!J46*100</f>
        <v>102.02275759245222</v>
      </c>
      <c r="K41" s="36">
        <f>+corriente58!K46/constante58!K46*100</f>
        <v>106.56365975980364</v>
      </c>
      <c r="L41" s="36">
        <f>+corriente58!L46/constante58!L46*100</f>
        <v>98.315693200123164</v>
      </c>
      <c r="M41" s="36">
        <f>+corriente58!M46/constante58!M46*100</f>
        <v>101.66817554430905</v>
      </c>
      <c r="N41" s="36">
        <f>+corriente58!N46/constante58!N46*100</f>
        <v>101.26538241152556</v>
      </c>
      <c r="O41" s="36">
        <f>+corriente58!O46/constante58!O46*100</f>
        <v>102.01426175039994</v>
      </c>
      <c r="P41" s="36">
        <f>+corriente58!P46/constante58!P46*100</f>
        <v>101.69665313606397</v>
      </c>
      <c r="Q41" s="36">
        <f>+corriente58!Q46/constante58!Q46*100</f>
        <v>105.38088937054313</v>
      </c>
      <c r="R41" s="36">
        <f>+corriente58!R46/constante58!R46*100</f>
        <v>103.83065100768449</v>
      </c>
      <c r="S41" s="36">
        <f>+corriente58!S46/constante58!S46*100</f>
        <v>107.14919214899933</v>
      </c>
      <c r="T41" s="36">
        <f>+corriente58!T46/constante58!T46*100</f>
        <v>104.05479092405407</v>
      </c>
      <c r="U41" s="36">
        <f>+corriente58!U46/constante58!U46*100</f>
        <v>101.66754921360423</v>
      </c>
      <c r="V41" s="36">
        <f>+corriente58!V46/constante58!V46*100</f>
        <v>106.33610541675245</v>
      </c>
      <c r="W41" s="36">
        <f>+corriente58!W46/constante58!W46*100</f>
        <v>97.727952830084121</v>
      </c>
    </row>
    <row r="42" spans="1:23">
      <c r="A42" s="37" t="s">
        <v>45</v>
      </c>
      <c r="B42" s="36">
        <f>+corriente58!B47/constante58!B47*100</f>
        <v>100</v>
      </c>
      <c r="C42" s="36">
        <f>+corriente58!C47/constante58!C47*100</f>
        <v>112.07734102426836</v>
      </c>
      <c r="D42" s="36">
        <f>+corriente58!D47/constante58!D47*100</f>
        <v>121.258521894818</v>
      </c>
      <c r="E42" s="36">
        <f>+corriente58!E47/constante58!E47*100</f>
        <v>112.48825466054075</v>
      </c>
      <c r="F42" s="36">
        <f>+corriente58!F47/constante58!F47*100</f>
        <v>95.269100926831555</v>
      </c>
      <c r="G42" s="36">
        <f>+corriente58!G47/constante58!G47*100</f>
        <v>114.75611048803789</v>
      </c>
      <c r="H42" s="36">
        <f>+corriente58!H47/constante58!H47*100</f>
        <v>103.65794532679561</v>
      </c>
      <c r="I42" s="36">
        <f>+corriente58!I47/constante58!I47*100</f>
        <v>100.25133018568451</v>
      </c>
      <c r="J42" s="36">
        <f>+corriente58!J47/constante58!J47*100</f>
        <v>88.645365580150894</v>
      </c>
      <c r="K42" s="36">
        <f>+corriente58!K47/constante58!K47*100</f>
        <v>100.8918018884649</v>
      </c>
      <c r="L42" s="36">
        <f>+corriente58!L47/constante58!L47*100</f>
        <v>109.49879802163009</v>
      </c>
      <c r="M42" s="36">
        <f>+corriente58!M47/constante58!M47*100</f>
        <v>100.38741813485841</v>
      </c>
      <c r="N42" s="36">
        <f>+corriente58!N47/constante58!N47*100</f>
        <v>107.06479939128468</v>
      </c>
      <c r="O42" s="36">
        <f>+corriente58!O47/constante58!O47*100</f>
        <v>102.85387610940046</v>
      </c>
      <c r="P42" s="36">
        <f>+corriente58!P47/constante58!P47*100</f>
        <v>117.58064575638949</v>
      </c>
      <c r="Q42" s="36">
        <f>+corriente58!Q47/constante58!Q47*100</f>
        <v>116.02325064320426</v>
      </c>
      <c r="R42" s="36">
        <f>+corriente58!R47/constante58!R47*100</f>
        <v>120.61633002454661</v>
      </c>
      <c r="S42" s="36">
        <f>+corriente58!S47/constante58!S47*100</f>
        <v>102.09412010821246</v>
      </c>
      <c r="T42" s="36">
        <f>+corriente58!T47/constante58!T47*100</f>
        <v>97.439869791846775</v>
      </c>
      <c r="U42" s="36">
        <f>+corriente58!U47/constante58!U47*100</f>
        <v>107.74398479432783</v>
      </c>
      <c r="V42" s="36">
        <f>+corriente58!V47/constante58!V47*100</f>
        <v>95.636549551956804</v>
      </c>
      <c r="W42" s="36">
        <f>+corriente58!W47/constante58!W47*100</f>
        <v>99.060686436790775</v>
      </c>
    </row>
    <row r="43" spans="1:23">
      <c r="A43" s="37" t="s">
        <v>46</v>
      </c>
      <c r="B43" s="36">
        <f>+corriente58!B48/constante58!B48*100</f>
        <v>100</v>
      </c>
      <c r="C43" s="36">
        <f>+corriente58!C48/constante58!C48*100</f>
        <v>98.448048412410458</v>
      </c>
      <c r="D43" s="36">
        <f>+corriente58!D48/constante58!D48*100</f>
        <v>102.5839349122999</v>
      </c>
      <c r="E43" s="36">
        <f>+corriente58!E48/constante58!E48*100</f>
        <v>102.96915114438569</v>
      </c>
      <c r="F43" s="36">
        <f>+corriente58!F48/constante58!F48*100</f>
        <v>102.99357466074443</v>
      </c>
      <c r="G43" s="36">
        <f>+corriente58!G48/constante58!G48*100</f>
        <v>103.97155252784087</v>
      </c>
      <c r="H43" s="36">
        <f>+corriente58!H48/constante58!H48*100</f>
        <v>101.723733959981</v>
      </c>
      <c r="I43" s="36">
        <f>+corriente58!I48/constante58!I48*100</f>
        <v>105.27860659610313</v>
      </c>
      <c r="J43" s="36">
        <f>+corriente58!J48/constante58!J48*100</f>
        <v>106.89443257894571</v>
      </c>
      <c r="K43" s="36">
        <f>+corriente58!K48/constante58!K48*100</f>
        <v>108.46494670490732</v>
      </c>
      <c r="L43" s="36">
        <f>+corriente58!L48/constante58!L48*100</f>
        <v>105.83158436315819</v>
      </c>
      <c r="M43" s="36">
        <f>+corriente58!M48/constante58!M48*100</f>
        <v>111.31846131846133</v>
      </c>
      <c r="N43" s="36">
        <f>+corriente58!N48/constante58!N48*100</f>
        <v>109.69391185297013</v>
      </c>
      <c r="O43" s="36">
        <f>+corriente58!O48/constante58!O48*100</f>
        <v>111.09691781729521</v>
      </c>
      <c r="P43" s="36">
        <f>+corriente58!P48/constante58!P48*100</f>
        <v>109.82757926593902</v>
      </c>
      <c r="Q43" s="36">
        <f>+corriente58!Q48/constante58!Q48*100</f>
        <v>107.98074508887214</v>
      </c>
      <c r="R43" s="36">
        <f>+corriente58!R48/constante58!R48*100</f>
        <v>105.46004670606197</v>
      </c>
      <c r="S43" s="36">
        <f>+corriente58!S48/constante58!S48*100</f>
        <v>104.50410298088771</v>
      </c>
      <c r="T43" s="36">
        <f>+corriente58!T48/constante58!T48*100</f>
        <v>101.99131045607098</v>
      </c>
      <c r="U43" s="36">
        <f>+corriente58!U48/constante58!U48*100</f>
        <v>102.86249340075904</v>
      </c>
      <c r="V43" s="36">
        <f>+corriente58!V48/constante58!V48*100</f>
        <v>104.0682585410427</v>
      </c>
      <c r="W43" s="36">
        <f>+corriente58!W48/constante58!W48*100</f>
        <v>104.68462832478254</v>
      </c>
    </row>
    <row r="44" spans="1:23">
      <c r="A44" s="37" t="s">
        <v>47</v>
      </c>
      <c r="B44" s="36">
        <f>+corriente58!B49/constante58!B49*100</f>
        <v>100</v>
      </c>
      <c r="C44" s="36">
        <f>+corriente58!C49/constante58!C49*100</f>
        <v>95.550321060159249</v>
      </c>
      <c r="D44" s="36">
        <f>+corriente58!D49/constante58!D49*100</f>
        <v>115.5162288990673</v>
      </c>
      <c r="E44" s="36">
        <f>+corriente58!E49/constante58!E49*100</f>
        <v>105.99518633813283</v>
      </c>
      <c r="F44" s="36">
        <f>+corriente58!F49/constante58!F49*100</f>
        <v>84.788800454587886</v>
      </c>
      <c r="G44" s="36">
        <f>+corriente58!G49/constante58!G49*100</f>
        <v>112.24247503909875</v>
      </c>
      <c r="H44" s="36">
        <f>+corriente58!H49/constante58!H49*100</f>
        <v>113.6158724238004</v>
      </c>
      <c r="I44" s="36">
        <f>+corriente58!I49/constante58!I49*100</f>
        <v>107.3614706549107</v>
      </c>
      <c r="J44" s="36">
        <f>+corriente58!J49/constante58!J49*100</f>
        <v>99.427182501554924</v>
      </c>
      <c r="K44" s="36">
        <f>+corriente58!K49/constante58!K49*100</f>
        <v>103.35468047242362</v>
      </c>
      <c r="L44" s="36">
        <f>+corriente58!L49/constante58!L49*100</f>
        <v>106.9783400021673</v>
      </c>
      <c r="M44" s="36">
        <f>+corriente58!M49/constante58!M49*100</f>
        <v>97.050964868876804</v>
      </c>
      <c r="N44" s="36">
        <f>+corriente58!N49/constante58!N49*100</f>
        <v>108.88218698316956</v>
      </c>
      <c r="O44" s="36">
        <f>+corriente58!O49/constante58!O49*100</f>
        <v>110.37395512538495</v>
      </c>
      <c r="P44" s="36">
        <f>+corriente58!P49/constante58!P49*100</f>
        <v>111.19314122410098</v>
      </c>
      <c r="Q44" s="36">
        <f>+corriente58!Q49/constante58!Q49*100</f>
        <v>103.70146090379228</v>
      </c>
      <c r="R44" s="36">
        <f>+corriente58!R49/constante58!R49*100</f>
        <v>117.7323450354321</v>
      </c>
      <c r="S44" s="36">
        <f>+corriente58!S49/constante58!S49*100</f>
        <v>99.216844267556809</v>
      </c>
      <c r="T44" s="36">
        <f>+corriente58!T49/constante58!T49*100</f>
        <v>108.61665083887306</v>
      </c>
      <c r="U44" s="36">
        <f>+corriente58!U49/constante58!U49*100</f>
        <v>102.17234691050152</v>
      </c>
      <c r="V44" s="36">
        <f>+corriente58!V49/constante58!V49*100</f>
        <v>92.117572327770404</v>
      </c>
      <c r="W44" s="36">
        <f>+corriente58!W49/constante58!W49*100</f>
        <v>94.230655203083316</v>
      </c>
    </row>
    <row r="45" spans="1:23">
      <c r="A45" s="37" t="s">
        <v>48</v>
      </c>
      <c r="B45" s="36">
        <f>+corriente58!B50/constante58!B50*100</f>
        <v>100</v>
      </c>
      <c r="C45" s="36">
        <f>+corriente58!C50/constante58!C50*100</f>
        <v>107.059787824365</v>
      </c>
      <c r="D45" s="36">
        <f>+corriente58!D50/constante58!D50*100</f>
        <v>101.252460843181</v>
      </c>
      <c r="E45" s="36">
        <f>+corriente58!E50/constante58!E50*100</f>
        <v>94.915830424304872</v>
      </c>
      <c r="F45" s="36">
        <f>+corriente58!F50/constante58!F50*100</f>
        <v>101.3573909873664</v>
      </c>
      <c r="G45" s="36">
        <f>+corriente58!G50/constante58!G50*100</f>
        <v>106.03919814909892</v>
      </c>
      <c r="H45" s="36">
        <f>+corriente58!H50/constante58!H50*100</f>
        <v>122.61627452885095</v>
      </c>
      <c r="I45" s="36">
        <f>+corriente58!I50/constante58!I50*100</f>
        <v>115.33096479390825</v>
      </c>
      <c r="J45" s="36">
        <f>+corriente58!J50/constante58!J50*100</f>
        <v>94.539537239126261</v>
      </c>
      <c r="K45" s="36">
        <f>+corriente58!K50/constante58!K50*100</f>
        <v>121.62628078967748</v>
      </c>
      <c r="L45" s="36">
        <f>+corriente58!L50/constante58!L50*100</f>
        <v>118.37411194007443</v>
      </c>
      <c r="M45" s="36">
        <f>+corriente58!M50/constante58!M50*100</f>
        <v>109.36205248061192</v>
      </c>
      <c r="N45" s="36">
        <f>+corriente58!N50/constante58!N50*100</f>
        <v>109.03200425797792</v>
      </c>
      <c r="O45" s="36">
        <f>+corriente58!O50/constante58!O50*100</f>
        <v>115.93430171433477</v>
      </c>
      <c r="P45" s="36">
        <f>+corriente58!P50/constante58!P50*100</f>
        <v>113.07495972340386</v>
      </c>
      <c r="Q45" s="36">
        <f>+corriente58!Q50/constante58!Q50*100</f>
        <v>104.93843007384969</v>
      </c>
      <c r="R45" s="36">
        <f>+corriente58!R50/constante58!R50*100</f>
        <v>107.48797551377349</v>
      </c>
      <c r="S45" s="36">
        <f>+corriente58!S50/constante58!S50*100</f>
        <v>103.34402680630789</v>
      </c>
      <c r="T45" s="36">
        <f>+corriente58!T50/constante58!T50*100</f>
        <v>100.51873318439928</v>
      </c>
      <c r="U45" s="36">
        <f>+corriente58!U50/constante58!U50*100</f>
        <v>103.32667084705021</v>
      </c>
      <c r="V45" s="36">
        <f>+corriente58!V50/constante58!V50*100</f>
        <v>101.77884448757494</v>
      </c>
      <c r="W45" s="36">
        <f>+corriente58!W50/constante58!W50*100</f>
        <v>103.9423616269727</v>
      </c>
    </row>
    <row r="46" spans="1:23">
      <c r="A46" s="37" t="s">
        <v>49</v>
      </c>
      <c r="B46" s="36">
        <f>+corriente58!B51/constante58!B51*100</f>
        <v>100</v>
      </c>
      <c r="C46" s="36">
        <f>+corriente58!C51/constante58!C51*100</f>
        <v>109.86007101189695</v>
      </c>
      <c r="D46" s="36">
        <f>+corriente58!D51/constante58!D51*100</f>
        <v>109.79170798062809</v>
      </c>
      <c r="E46" s="36">
        <f>+corriente58!E51/constante58!E51*100</f>
        <v>115.2812144964207</v>
      </c>
      <c r="F46" s="36">
        <f>+corriente58!F51/constante58!F51*100</f>
        <v>105.86263113252257</v>
      </c>
      <c r="G46" s="36">
        <f>+corriente58!G51/constante58!G51*100</f>
        <v>104.99840638303148</v>
      </c>
      <c r="H46" s="36">
        <f>+corriente58!H51/constante58!H51*100</f>
        <v>113.09710618871647</v>
      </c>
      <c r="I46" s="36">
        <f>+corriente58!I51/constante58!I51*100</f>
        <v>107.09179297527666</v>
      </c>
      <c r="J46" s="36">
        <f>+corriente58!J51/constante58!J51*100</f>
        <v>109.08461820886511</v>
      </c>
      <c r="K46" s="36">
        <f>+corriente58!K51/constante58!K51*100</f>
        <v>111.33554586950495</v>
      </c>
      <c r="L46" s="36">
        <f>+corriente58!L51/constante58!L51*100</f>
        <v>110.57915491947657</v>
      </c>
      <c r="M46" s="36">
        <f>+corriente58!M51/constante58!M51*100</f>
        <v>108.5101605478837</v>
      </c>
      <c r="N46" s="36">
        <f>+corriente58!N51/constante58!N51*100</f>
        <v>108.35821484213226</v>
      </c>
      <c r="O46" s="36">
        <f>+corriente58!O51/constante58!O51*100</f>
        <v>109.29643111107983</v>
      </c>
      <c r="P46" s="36">
        <f>+corriente58!P51/constante58!P51*100</f>
        <v>108.87871603956076</v>
      </c>
      <c r="Q46" s="36">
        <f>+corriente58!Q51/constante58!Q51*100</f>
        <v>108.69040227392568</v>
      </c>
      <c r="R46" s="36">
        <f>+corriente58!R51/constante58!R51*100</f>
        <v>106.53179527513181</v>
      </c>
      <c r="S46" s="36">
        <f>+corriente58!S51/constante58!S51*100</f>
        <v>101.98804308896052</v>
      </c>
      <c r="T46" s="36">
        <f>+corriente58!T51/constante58!T51*100</f>
        <v>104.19782763532763</v>
      </c>
      <c r="U46" s="36">
        <f>+corriente58!U51/constante58!U51*100</f>
        <v>102.94743709001293</v>
      </c>
      <c r="V46" s="36">
        <f>+corriente58!V51/constante58!V51*100</f>
        <v>105.83975014169546</v>
      </c>
      <c r="W46" s="36">
        <f>+corriente58!W51/constante58!W51*100</f>
        <v>105.57187696685534</v>
      </c>
    </row>
    <row r="47" spans="1:23">
      <c r="A47" s="37" t="s">
        <v>50</v>
      </c>
      <c r="B47" s="36">
        <f>+corriente58!B52/constante58!B52*100</f>
        <v>100</v>
      </c>
      <c r="C47" s="36">
        <f>+corriente58!C52/constante58!C52*100</f>
        <v>100.84855609161356</v>
      </c>
      <c r="D47" s="36">
        <f>+corriente58!D52/constante58!D52*100</f>
        <v>112.32006553232843</v>
      </c>
      <c r="E47" s="36">
        <f>+corriente58!E52/constante58!E52*100</f>
        <v>110.11838846667376</v>
      </c>
      <c r="F47" s="36">
        <f>+corriente58!F52/constante58!F52*100</f>
        <v>111.08348817714804</v>
      </c>
      <c r="G47" s="36">
        <f>+corriente58!G52/constante58!G52*100</f>
        <v>82.669475590395365</v>
      </c>
      <c r="H47" s="36">
        <f>+corriente58!H52/constante58!H52*100</f>
        <v>122.26965793511721</v>
      </c>
      <c r="I47" s="36">
        <f>+corriente58!I52/constante58!I52*100</f>
        <v>106.33904373034819</v>
      </c>
      <c r="J47" s="36">
        <f>+corriente58!J52/constante58!J52*100</f>
        <v>102.19699452212421</v>
      </c>
      <c r="K47" s="36">
        <f>+corriente58!K52/constante58!K52*100</f>
        <v>108.52238192998682</v>
      </c>
      <c r="L47" s="36">
        <f>+corriente58!L52/constante58!L52*100</f>
        <v>109.37422320391221</v>
      </c>
      <c r="M47" s="36">
        <f>+corriente58!M52/constante58!M52*100</f>
        <v>107.83699863994458</v>
      </c>
      <c r="N47" s="36">
        <f>+corriente58!N52/constante58!N52*100</f>
        <v>113.78415018037269</v>
      </c>
      <c r="O47" s="36">
        <f>+corriente58!O52/constante58!O52*100</f>
        <v>110.90183653112715</v>
      </c>
      <c r="P47" s="36">
        <f>+corriente58!P52/constante58!P52*100</f>
        <v>114.22641384119817</v>
      </c>
      <c r="Q47" s="36">
        <f>+corriente58!Q52/constante58!Q52*100</f>
        <v>109.8304987606207</v>
      </c>
      <c r="R47" s="36">
        <f>+corriente58!R52/constante58!R52*100</f>
        <v>111.22221194869695</v>
      </c>
      <c r="S47" s="36">
        <f>+corriente58!S52/constante58!S52*100</f>
        <v>110.96878733042377</v>
      </c>
      <c r="T47" s="36">
        <f>+corriente58!T52/constante58!T52*100</f>
        <v>108.38223055611154</v>
      </c>
      <c r="U47" s="36">
        <f>+corriente58!U52/constante58!U52*100</f>
        <v>100.54498261610811</v>
      </c>
      <c r="V47" s="36">
        <f>+corriente58!V52/constante58!V52*100</f>
        <v>99.412289066710883</v>
      </c>
      <c r="W47" s="36">
        <f>+corriente58!W52/constante58!W52*100</f>
        <v>97.154651903007377</v>
      </c>
    </row>
    <row r="48" spans="1:23">
      <c r="A48" s="37" t="s">
        <v>51</v>
      </c>
      <c r="B48" s="36">
        <f>+corriente58!B53/constante58!B53*100</f>
        <v>100</v>
      </c>
      <c r="C48" s="36">
        <f>+corriente58!C53/constante58!C53*100</f>
        <v>106.43025013535616</v>
      </c>
      <c r="D48" s="36">
        <f>+corriente58!D53/constante58!D53*100</f>
        <v>115.07568202473426</v>
      </c>
      <c r="E48" s="36">
        <f>+corriente58!E53/constante58!E53*100</f>
        <v>106.07628629850829</v>
      </c>
      <c r="F48" s="36">
        <f>+corriente58!F53/constante58!F53*100</f>
        <v>106.274858141292</v>
      </c>
      <c r="G48" s="36">
        <f>+corriente58!G53/constante58!G53*100</f>
        <v>97.175033055533319</v>
      </c>
      <c r="H48" s="36">
        <f>+corriente58!H53/constante58!H53*100</f>
        <v>118.94369526123261</v>
      </c>
      <c r="I48" s="36">
        <f>+corriente58!I53/constante58!I53*100</f>
        <v>108.35043552057699</v>
      </c>
      <c r="J48" s="36">
        <f>+corriente58!J53/constante58!J53*100</f>
        <v>104.34932100639118</v>
      </c>
      <c r="K48" s="36">
        <f>+corriente58!K53/constante58!K53*100</f>
        <v>110.36671714382736</v>
      </c>
      <c r="L48" s="36">
        <f>+corriente58!L53/constante58!L53*100</f>
        <v>105.88161092295134</v>
      </c>
      <c r="M48" s="36">
        <f>+corriente58!M53/constante58!M53*100</f>
        <v>109.10497408524793</v>
      </c>
      <c r="N48" s="36">
        <f>+corriente58!N53/constante58!N53*100</f>
        <v>125.40258048068888</v>
      </c>
      <c r="O48" s="36">
        <f>+corriente58!O53/constante58!O53*100</f>
        <v>118.34127155539893</v>
      </c>
      <c r="P48" s="36">
        <f>+corriente58!P53/constante58!P53*100</f>
        <v>117.11252450863181</v>
      </c>
      <c r="Q48" s="36">
        <f>+corriente58!Q53/constante58!Q53*100</f>
        <v>108.74105620415921</v>
      </c>
      <c r="R48" s="36">
        <f>+corriente58!R53/constante58!R53*100</f>
        <v>105.16408907905097</v>
      </c>
      <c r="S48" s="36">
        <f>+corriente58!S53/constante58!S53*100</f>
        <v>105.71306293981041</v>
      </c>
      <c r="T48" s="36">
        <f>+corriente58!T53/constante58!T53*100</f>
        <v>107.912032034577</v>
      </c>
      <c r="U48" s="36">
        <f>+corriente58!U53/constante58!U53*100</f>
        <v>106.99188431459348</v>
      </c>
      <c r="V48" s="36">
        <f>+corriente58!V53/constante58!V53*100</f>
        <v>106.63027124107212</v>
      </c>
      <c r="W48" s="36">
        <f>+corriente58!W53/constante58!W53*100</f>
        <v>111.28014582164892</v>
      </c>
    </row>
    <row r="49" spans="1:23">
      <c r="A49" s="37" t="s">
        <v>52</v>
      </c>
      <c r="B49" s="36">
        <f>+corriente58!B54/constante58!B54*100</f>
        <v>100</v>
      </c>
      <c r="C49" s="36">
        <f>+corriente58!C54/constante58!C54*100</f>
        <v>95.312662632067614</v>
      </c>
      <c r="D49" s="36">
        <f>+corriente58!D54/constante58!D54*100</f>
        <v>111.83655762482717</v>
      </c>
      <c r="E49" s="36">
        <f>+corriente58!E54/constante58!E54*100</f>
        <v>106.61556497294258</v>
      </c>
      <c r="F49" s="36">
        <f>+corriente58!F54/constante58!F54*100</f>
        <v>113.21661608239049</v>
      </c>
      <c r="G49" s="36">
        <f>+corriente58!G54/constante58!G54*100</f>
        <v>111.18353938664541</v>
      </c>
      <c r="H49" s="36">
        <f>+corriente58!H54/constante58!H54*100</f>
        <v>109.75795907989563</v>
      </c>
      <c r="I49" s="36">
        <f>+corriente58!I54/constante58!I54*100</f>
        <v>100.33013495990741</v>
      </c>
      <c r="J49" s="36">
        <f>+corriente58!J54/constante58!J54*100</f>
        <v>108.66570729470364</v>
      </c>
      <c r="K49" s="36">
        <f>+corriente58!K54/constante58!K54*100</f>
        <v>105.39534355776907</v>
      </c>
      <c r="L49" s="36">
        <f>+corriente58!L54/constante58!L54*100</f>
        <v>105.74305963626054</v>
      </c>
      <c r="M49" s="36">
        <f>+corriente58!M54/constante58!M54*100</f>
        <v>111.3661681801303</v>
      </c>
      <c r="N49" s="36">
        <f>+corriente58!N54/constante58!N54*100</f>
        <v>107.07979102808783</v>
      </c>
      <c r="O49" s="36">
        <f>+corriente58!O54/constante58!O54*100</f>
        <v>110.6597390477216</v>
      </c>
      <c r="P49" s="36">
        <f>+corriente58!P54/constante58!P54*100</f>
        <v>107.71952817824378</v>
      </c>
      <c r="Q49" s="36">
        <f>+corriente58!Q54/constante58!Q54*100</f>
        <v>106.27012307044204</v>
      </c>
      <c r="R49" s="36">
        <f>+corriente58!R54/constante58!R54*100</f>
        <v>107.3192137520853</v>
      </c>
      <c r="S49" s="36">
        <f>+corriente58!S54/constante58!S54*100</f>
        <v>104.99008813522998</v>
      </c>
      <c r="T49" s="36">
        <f>+corriente58!T54/constante58!T54*100</f>
        <v>104.11410332161762</v>
      </c>
      <c r="U49" s="36">
        <f>+corriente58!U54/constante58!U54*100</f>
        <v>105.94303203944378</v>
      </c>
      <c r="V49" s="36">
        <f>+corriente58!V54/constante58!V54*100</f>
        <v>101.64679537614234</v>
      </c>
      <c r="W49" s="36">
        <f>+corriente58!W54/constante58!W54*100</f>
        <v>100.22752999773601</v>
      </c>
    </row>
    <row r="50" spans="1:23">
      <c r="A50" s="37" t="s">
        <v>53</v>
      </c>
      <c r="B50" s="36">
        <f>+corriente58!B55/constante58!B55*100</f>
        <v>100</v>
      </c>
      <c r="C50" s="36">
        <f>+corriente58!C55/constante58!C55*100</f>
        <v>108.95293452813388</v>
      </c>
      <c r="D50" s="36">
        <f>+corriente58!D55/constante58!D55*100</f>
        <v>103.86575174943941</v>
      </c>
      <c r="E50" s="36">
        <f>+corriente58!E55/constante58!E55*100</f>
        <v>113.9681918915395</v>
      </c>
      <c r="F50" s="36">
        <f>+corriente58!F55/constante58!F55*100</f>
        <v>108.16709566709596</v>
      </c>
      <c r="G50" s="36">
        <f>+corriente58!G55/constante58!G55*100</f>
        <v>108.46642293630919</v>
      </c>
      <c r="H50" s="36">
        <f>+corriente58!H55/constante58!H55*100</f>
        <v>111.93003828750427</v>
      </c>
      <c r="I50" s="36">
        <f>+corriente58!I55/constante58!I55*100</f>
        <v>109.8513084075484</v>
      </c>
      <c r="J50" s="36">
        <f>+corriente58!J55/constante58!J55*100</f>
        <v>110.99676142497317</v>
      </c>
      <c r="K50" s="36">
        <f>+corriente58!K55/constante58!K55*100</f>
        <v>112.13193742192604</v>
      </c>
      <c r="L50" s="36">
        <f>+corriente58!L55/constante58!L55*100</f>
        <v>110.05265549407967</v>
      </c>
      <c r="M50" s="36">
        <f>+corriente58!M55/constante58!M55*100</f>
        <v>108.75226393851878</v>
      </c>
      <c r="N50" s="36">
        <f>+corriente58!N55/constante58!N55*100</f>
        <v>110.46199771449893</v>
      </c>
      <c r="O50" s="36">
        <f>+corriente58!O55/constante58!O55*100</f>
        <v>111.02925961180317</v>
      </c>
      <c r="P50" s="36">
        <f>+corriente58!P55/constante58!P55*100</f>
        <v>107.86291818114384</v>
      </c>
      <c r="Q50" s="36">
        <f>+corriente58!Q55/constante58!Q55*100</f>
        <v>104.49879481517689</v>
      </c>
      <c r="R50" s="36">
        <f>+corriente58!R55/constante58!R55*100</f>
        <v>107.97330634448731</v>
      </c>
      <c r="S50" s="36">
        <f>+corriente58!S55/constante58!S55*100</f>
        <v>104.44785500255792</v>
      </c>
      <c r="T50" s="36">
        <f>+corriente58!T55/constante58!T55*100</f>
        <v>103.36109954185756</v>
      </c>
      <c r="U50" s="36">
        <f>+corriente58!U55/constante58!U55*100</f>
        <v>99.457442303620581</v>
      </c>
      <c r="V50" s="36">
        <f>+corriente58!V55/constante58!V55*100</f>
        <v>103.23017374550882</v>
      </c>
      <c r="W50" s="36">
        <f>+corriente58!W55/constante58!W55*100</f>
        <v>96.891379854752131</v>
      </c>
    </row>
    <row r="51" spans="1:23">
      <c r="A51" s="37" t="s">
        <v>54</v>
      </c>
      <c r="B51" s="36">
        <f>+corriente58!B56/constante58!B56*100</f>
        <v>100</v>
      </c>
      <c r="C51" s="36">
        <f>+corriente58!C56/constante58!C56*100</f>
        <v>103.01079578287329</v>
      </c>
      <c r="D51" s="36">
        <f>+corriente58!D56/constante58!D56*100</f>
        <v>115.39657757396546</v>
      </c>
      <c r="E51" s="36">
        <f>+corriente58!E56/constante58!E56*100</f>
        <v>106.47969924526042</v>
      </c>
      <c r="F51" s="36">
        <f>+corriente58!F56/constante58!F56*100</f>
        <v>97.76984517462401</v>
      </c>
      <c r="G51" s="36">
        <f>+corriente58!G56/constante58!G56*100</f>
        <v>115.38959592300986</v>
      </c>
      <c r="H51" s="36">
        <f>+corriente58!H56/constante58!H56*100</f>
        <v>116.02328200761589</v>
      </c>
      <c r="I51" s="36">
        <f>+corriente58!I56/constante58!I56*100</f>
        <v>121.14965293487843</v>
      </c>
      <c r="J51" s="36">
        <f>+corriente58!J56/constante58!J56*100</f>
        <v>122.12954988230355</v>
      </c>
      <c r="K51" s="36">
        <f>+corriente58!K56/constante58!K56*100</f>
        <v>113.58073238459518</v>
      </c>
      <c r="L51" s="36">
        <f>+corriente58!L56/constante58!L56*100</f>
        <v>111.47374716898935</v>
      </c>
      <c r="M51" s="36">
        <f>+corriente58!M56/constante58!M56*100</f>
        <v>122.21721745452247</v>
      </c>
      <c r="N51" s="36">
        <f>+corriente58!N56/constante58!N56*100</f>
        <v>108.56634051137819</v>
      </c>
      <c r="O51" s="36">
        <f>+corriente58!O56/constante58!O56*100</f>
        <v>122.58352786693902</v>
      </c>
      <c r="P51" s="36">
        <f>+corriente58!P56/constante58!P56*100</f>
        <v>116.14069888595016</v>
      </c>
      <c r="Q51" s="36">
        <f>+corriente58!Q56/constante58!Q56*100</f>
        <v>111.37751767185964</v>
      </c>
      <c r="R51" s="36">
        <f>+corriente58!R56/constante58!R56*100</f>
        <v>106.42331094398239</v>
      </c>
      <c r="S51" s="36">
        <f>+corriente58!S56/constante58!S56*100</f>
        <v>103.7569938194579</v>
      </c>
      <c r="T51" s="36">
        <f>+corriente58!T56/constante58!T56*100</f>
        <v>104.38650165705209</v>
      </c>
      <c r="U51" s="36">
        <f>+corriente58!U56/constante58!U56*100</f>
        <v>110.24710403437969</v>
      </c>
      <c r="V51" s="36">
        <f>+corriente58!V56/constante58!V56*100</f>
        <v>110.2749457076943</v>
      </c>
      <c r="W51" s="36">
        <f>+corriente58!W56/constante58!W56*100</f>
        <v>97.897770912260413</v>
      </c>
    </row>
    <row r="52" spans="1:23">
      <c r="A52" s="37" t="s">
        <v>55</v>
      </c>
      <c r="B52" s="36">
        <f>+corriente58!B57/constante58!B57*100</f>
        <v>100</v>
      </c>
      <c r="C52" s="36">
        <f>+corriente58!C57/constante58!C57*100</f>
        <v>100.97609272378642</v>
      </c>
      <c r="D52" s="36">
        <f>+corriente58!D57/constante58!D57*100</f>
        <v>116.6794649449734</v>
      </c>
      <c r="E52" s="36">
        <f>+corriente58!E57/constante58!E57*100</f>
        <v>109.33512973449582</v>
      </c>
      <c r="F52" s="36">
        <f>+corriente58!F57/constante58!F57*100</f>
        <v>115.19323522675748</v>
      </c>
      <c r="G52" s="36">
        <f>+corriente58!G57/constante58!G57*100</f>
        <v>102.99013857756822</v>
      </c>
      <c r="H52" s="36">
        <f>+corriente58!H57/constante58!H57*100</f>
        <v>105.95322318091786</v>
      </c>
      <c r="I52" s="36">
        <f>+corriente58!I57/constante58!I57*100</f>
        <v>112.26906808204767</v>
      </c>
      <c r="J52" s="36">
        <f>+corriente58!J57/constante58!J57*100</f>
        <v>109.41537346591363</v>
      </c>
      <c r="K52" s="36">
        <f>+corriente58!K57/constante58!K57*100</f>
        <v>106.91702832120586</v>
      </c>
      <c r="L52" s="36">
        <f>+corriente58!L57/constante58!L57*100</f>
        <v>105.05589109584447</v>
      </c>
      <c r="M52" s="36">
        <f>+corriente58!M57/constante58!M57*100</f>
        <v>105.44221580016595</v>
      </c>
      <c r="N52" s="36">
        <f>+corriente58!N57/constante58!N57*100</f>
        <v>109.27039888781948</v>
      </c>
      <c r="O52" s="36">
        <f>+corriente58!O57/constante58!O57*100</f>
        <v>113.97498001222782</v>
      </c>
      <c r="P52" s="36">
        <f>+corriente58!P57/constante58!P57*100</f>
        <v>108.54201556496896</v>
      </c>
      <c r="Q52" s="36">
        <f>+corriente58!Q57/constante58!Q57*100</f>
        <v>105.91707559917502</v>
      </c>
      <c r="R52" s="36">
        <f>+corriente58!R57/constante58!R57*100</f>
        <v>107.01073610633858</v>
      </c>
      <c r="S52" s="36">
        <f>+corriente58!S57/constante58!S57*100</f>
        <v>98.156044454524832</v>
      </c>
      <c r="T52" s="36">
        <f>+corriente58!T57/constante58!T57*100</f>
        <v>102.45941056584762</v>
      </c>
      <c r="U52" s="36">
        <f>+corriente58!U57/constante58!U57*100</f>
        <v>102.67471578390763</v>
      </c>
      <c r="V52" s="36">
        <f>+corriente58!V57/constante58!V57*100</f>
        <v>127.5789420671826</v>
      </c>
      <c r="W52" s="36">
        <f>+corriente58!W57/constante58!W57*100</f>
        <v>91.343364339657398</v>
      </c>
    </row>
    <row r="53" spans="1:23">
      <c r="A53" s="37" t="s">
        <v>56</v>
      </c>
      <c r="B53" s="36">
        <f>+corriente58!B58/constante58!B58*100</f>
        <v>100</v>
      </c>
      <c r="C53" s="36">
        <f>+corriente58!C58/constante58!C58*100</f>
        <v>114.15847646204789</v>
      </c>
      <c r="D53" s="36">
        <f>+corriente58!D58/constante58!D58*100</f>
        <v>108.1226803685857</v>
      </c>
      <c r="E53" s="36">
        <f>+corriente58!E58/constante58!E58*100</f>
        <v>109.90948084829991</v>
      </c>
      <c r="F53" s="36">
        <f>+corriente58!F58/constante58!F58*100</f>
        <v>107.07310515362155</v>
      </c>
      <c r="G53" s="36">
        <f>+corriente58!G58/constante58!G58*100</f>
        <v>113.34388940796998</v>
      </c>
      <c r="H53" s="36">
        <f>+corriente58!H58/constante58!H58*100</f>
        <v>107.10813349688944</v>
      </c>
      <c r="I53" s="36">
        <f>+corriente58!I58/constante58!I58*100</f>
        <v>107.15399238470633</v>
      </c>
      <c r="J53" s="36">
        <f>+corriente58!J58/constante58!J58*100</f>
        <v>112.799552736218</v>
      </c>
      <c r="K53" s="36">
        <f>+corriente58!K58/constante58!K58*100</f>
        <v>107.02105371557987</v>
      </c>
      <c r="L53" s="36">
        <f>+corriente58!L58/constante58!L58*100</f>
        <v>107.34665397016585</v>
      </c>
      <c r="M53" s="36">
        <f>+corriente58!M58/constante58!M58*100</f>
        <v>105.13808588028859</v>
      </c>
      <c r="N53" s="36">
        <f>+corriente58!N58/constante58!N58*100</f>
        <v>106.86570864854028</v>
      </c>
      <c r="O53" s="36">
        <f>+corriente58!O58/constante58!O58*100</f>
        <v>107.34603919198604</v>
      </c>
      <c r="P53" s="36">
        <f>+corriente58!P58/constante58!P58*100</f>
        <v>106.50579219870247</v>
      </c>
      <c r="Q53" s="36">
        <f>+corriente58!Q58/constante58!Q58*100</f>
        <v>107.12419153260591</v>
      </c>
      <c r="R53" s="36">
        <f>+corriente58!R58/constante58!R58*100</f>
        <v>106.33034435105773</v>
      </c>
      <c r="S53" s="36">
        <f>+corriente58!S58/constante58!S58*100</f>
        <v>108.74433237716295</v>
      </c>
      <c r="T53" s="36">
        <f>+corriente58!T58/constante58!T58*100</f>
        <v>104.72787918662117</v>
      </c>
      <c r="U53" s="36">
        <f>+corriente58!U58/constante58!U58*100</f>
        <v>105.16735679779158</v>
      </c>
      <c r="V53" s="36">
        <f>+corriente58!V58/constante58!V58*100</f>
        <v>104.31313840155944</v>
      </c>
      <c r="W53" s="36">
        <f>+corriente58!W58/constante58!W58*100</f>
        <v>109.77734812189892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B760-6A8B-448F-8DA7-876D55118A80}">
  <dimension ref="A1:Z5"/>
  <sheetViews>
    <sheetView tabSelected="1" topLeftCell="C1" workbookViewId="0">
      <selection activeCell="N23" sqref="N23"/>
    </sheetView>
  </sheetViews>
  <sheetFormatPr baseColWidth="10" defaultRowHeight="14.5"/>
  <cols>
    <col min="1" max="1" width="18.90625" bestFit="1" customWidth="1"/>
  </cols>
  <sheetData>
    <row r="1" spans="1:26"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  <c r="Z1">
        <v>2024</v>
      </c>
    </row>
    <row r="2" spans="1:26">
      <c r="A2" t="s">
        <v>60</v>
      </c>
      <c r="B2">
        <v>157496.66173126956</v>
      </c>
      <c r="C2">
        <v>172226.31109883147</v>
      </c>
      <c r="D2">
        <v>183968.88531653502</v>
      </c>
      <c r="E2">
        <v>248256.96709734213</v>
      </c>
      <c r="F2">
        <v>295611.23478831735</v>
      </c>
      <c r="G2">
        <v>319906.84637190111</v>
      </c>
      <c r="H2">
        <v>339947.98527846253</v>
      </c>
      <c r="I2">
        <v>385033.21965485159</v>
      </c>
      <c r="J2">
        <v>433978.52232748433</v>
      </c>
      <c r="K2">
        <v>435277.01313932776</v>
      </c>
      <c r="L2">
        <v>494352</v>
      </c>
      <c r="M2">
        <v>515704</v>
      </c>
      <c r="N2">
        <v>514021</v>
      </c>
      <c r="O2">
        <v>558733</v>
      </c>
      <c r="P2">
        <v>597376</v>
      </c>
      <c r="Q2">
        <v>630813</v>
      </c>
      <c r="R2">
        <v>676238</v>
      </c>
      <c r="S2">
        <v>706062</v>
      </c>
      <c r="T2">
        <v>737428</v>
      </c>
      <c r="U2">
        <v>763482</v>
      </c>
      <c r="V2">
        <v>813689</v>
      </c>
      <c r="W2">
        <v>1072839</v>
      </c>
      <c r="X2">
        <v>1317825.156855148</v>
      </c>
      <c r="Y2" s="38">
        <v>1450339.3745786976</v>
      </c>
      <c r="Z2" s="38">
        <v>1454073.3961070944</v>
      </c>
    </row>
    <row r="3" spans="1:26">
      <c r="A3" t="s">
        <v>61</v>
      </c>
      <c r="B3">
        <v>157496.66173126956</v>
      </c>
      <c r="C3">
        <v>158620.22445739352</v>
      </c>
      <c r="D3">
        <v>175831.01626894856</v>
      </c>
      <c r="E3">
        <v>188861.29768887337</v>
      </c>
      <c r="F3">
        <v>270805.70214431977</v>
      </c>
      <c r="G3">
        <v>302240.93136956578</v>
      </c>
      <c r="H3">
        <v>323853.21643007244</v>
      </c>
      <c r="I3">
        <v>360825.24294574535</v>
      </c>
      <c r="J3">
        <v>401010.36275688116</v>
      </c>
      <c r="K3">
        <v>393774.94195633312</v>
      </c>
      <c r="L3">
        <v>475279.12269496801</v>
      </c>
      <c r="M3">
        <v>505461</v>
      </c>
      <c r="N3">
        <v>503437</v>
      </c>
      <c r="O3">
        <v>529510</v>
      </c>
      <c r="P3">
        <v>532545</v>
      </c>
      <c r="Q3">
        <v>546693</v>
      </c>
      <c r="R3">
        <v>600742</v>
      </c>
      <c r="S3">
        <v>691856</v>
      </c>
      <c r="T3">
        <v>715896</v>
      </c>
      <c r="U3">
        <v>734288</v>
      </c>
      <c r="V3">
        <v>727854</v>
      </c>
      <c r="W3">
        <v>844427</v>
      </c>
      <c r="X3" s="39">
        <v>1066974.5739999996</v>
      </c>
      <c r="Y3" s="38">
        <f t="shared" ref="Y3:Z3" si="0">+X3*(Y4/X4)</f>
        <v>1053393.0175200931</v>
      </c>
      <c r="Z3" s="38">
        <f t="shared" si="0"/>
        <v>1092940.2013553174</v>
      </c>
    </row>
    <row r="4" spans="1:26">
      <c r="A4" s="40" t="s">
        <v>62</v>
      </c>
      <c r="B4" s="40">
        <v>378735.8763505104</v>
      </c>
      <c r="C4" s="40">
        <v>381437.73370440694</v>
      </c>
      <c r="D4" s="40">
        <v>389421.24424927996</v>
      </c>
      <c r="E4" s="40">
        <v>399777.39393262746</v>
      </c>
      <c r="F4" s="40">
        <v>436088.45758153859</v>
      </c>
      <c r="G4" s="40">
        <v>445868.64796712896</v>
      </c>
      <c r="H4" s="40">
        <v>451368.88249530195</v>
      </c>
      <c r="I4" s="40">
        <v>479088.84222716629</v>
      </c>
      <c r="J4" s="40">
        <v>498968.86971599294</v>
      </c>
      <c r="K4" s="40">
        <v>452744.6120067758</v>
      </c>
      <c r="L4" s="40">
        <v>494352</v>
      </c>
      <c r="M4" s="40">
        <v>505461.00000000017</v>
      </c>
      <c r="N4" s="40">
        <v>493437.64922707627</v>
      </c>
      <c r="O4" s="40">
        <v>508306.41090972768</v>
      </c>
      <c r="P4" s="40">
        <v>484481.92177286983</v>
      </c>
      <c r="Q4" s="40">
        <v>443377.16155281692</v>
      </c>
      <c r="R4" s="40">
        <v>422241.27084502444</v>
      </c>
      <c r="S4" s="40">
        <v>431993.1099431786</v>
      </c>
      <c r="T4" s="40">
        <v>438009.89068365359</v>
      </c>
      <c r="U4" s="40">
        <v>436144.8258139352</v>
      </c>
      <c r="V4" s="40">
        <v>415792.06326799578</v>
      </c>
      <c r="W4" s="40">
        <v>431499.06735712086</v>
      </c>
      <c r="X4" s="40">
        <v>429140.38795735466</v>
      </c>
      <c r="Y4" s="40">
        <v>423677.84502626903</v>
      </c>
      <c r="Z4" s="40">
        <v>439583.84150193474</v>
      </c>
    </row>
    <row r="5" spans="1:26">
      <c r="A5" t="s">
        <v>63</v>
      </c>
      <c r="B5">
        <f>+B2/B3*100</f>
        <v>100</v>
      </c>
      <c r="C5">
        <f t="shared" ref="C5:Z5" si="1">+C2/C3*100</f>
        <v>108.57777543058052</v>
      </c>
      <c r="D5">
        <f t="shared" si="1"/>
        <v>104.6282329592743</v>
      </c>
      <c r="E5">
        <f t="shared" si="1"/>
        <v>131.44935999874156</v>
      </c>
      <c r="F5">
        <f t="shared" si="1"/>
        <v>109.15990041848455</v>
      </c>
      <c r="G5">
        <f t="shared" si="1"/>
        <v>105.84497768792748</v>
      </c>
      <c r="H5">
        <f t="shared" si="1"/>
        <v>104.96977273402048</v>
      </c>
      <c r="I5">
        <f t="shared" si="1"/>
        <v>106.70905852137021</v>
      </c>
      <c r="J5">
        <f t="shared" si="1"/>
        <v>108.22127372069698</v>
      </c>
      <c r="K5">
        <f t="shared" si="1"/>
        <v>110.53954093086932</v>
      </c>
      <c r="L5">
        <f t="shared" si="1"/>
        <v>104.01298445361608</v>
      </c>
      <c r="M5">
        <f t="shared" si="1"/>
        <v>102.02646692821008</v>
      </c>
      <c r="N5">
        <f t="shared" si="1"/>
        <v>102.10234845670858</v>
      </c>
      <c r="O5">
        <f t="shared" si="1"/>
        <v>105.51887594190856</v>
      </c>
      <c r="P5">
        <f t="shared" si="1"/>
        <v>112.17380690833639</v>
      </c>
      <c r="Q5">
        <f t="shared" si="1"/>
        <v>115.38706367193288</v>
      </c>
      <c r="R5">
        <f t="shared" si="1"/>
        <v>112.56712532168551</v>
      </c>
      <c r="S5">
        <f t="shared" si="1"/>
        <v>102.0533174533429</v>
      </c>
      <c r="T5">
        <f t="shared" si="1"/>
        <v>103.00769944237712</v>
      </c>
      <c r="U5">
        <f t="shared" si="1"/>
        <v>103.97582419976902</v>
      </c>
      <c r="V5">
        <f t="shared" si="1"/>
        <v>111.79288703503725</v>
      </c>
      <c r="W5">
        <f t="shared" si="1"/>
        <v>127.04934825627319</v>
      </c>
      <c r="X5">
        <f t="shared" si="1"/>
        <v>123.51045554110351</v>
      </c>
      <c r="Y5">
        <f t="shared" si="1"/>
        <v>137.6826455517143</v>
      </c>
      <c r="Z5">
        <f t="shared" si="1"/>
        <v>133.04235623357511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corriente58</vt:lpstr>
      <vt:lpstr>constante58</vt:lpstr>
      <vt:lpstr>Deflactores</vt:lpstr>
      <vt:lpstr>Deflactor C 2000-2024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Giannina Lopez</dc:creator>
  <cp:lastModifiedBy>Giannina Lopez</cp:lastModifiedBy>
  <dcterms:created xsi:type="dcterms:W3CDTF">2025-09-29T14:42:00Z</dcterms:created>
  <dcterms:modified xsi:type="dcterms:W3CDTF">2025-09-29T14:50:13Z</dcterms:modified>
</cp:coreProperties>
</file>