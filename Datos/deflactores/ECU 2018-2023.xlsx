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V:\DAT\APPL\ESTADIST\Cuentas_Nacionales\BADECON_Encuestas Industriales\09 Analisis resultados\Deflactores\"/>
    </mc:Choice>
  </mc:AlternateContent>
  <xr:revisionPtr revIDLastSave="0" documentId="8_{B430081A-E916-4300-8324-3C2C119146CA}" xr6:coauthVersionLast="47" xr6:coauthVersionMax="47" xr10:uidLastSave="{00000000-0000-0000-0000-000000000000}"/>
  <bookViews>
    <workbookView xWindow="22932" yWindow="-108" windowWidth="30936" windowHeight="16776" activeTab="2" xr2:uid="{42B714B4-4113-4723-A73A-852138FE099D}"/>
  </bookViews>
  <sheets>
    <sheet name="VAB corriente" sheetId="2" r:id="rId1"/>
    <sheet name="VAB constante" sheetId="1" r:id="rId2"/>
    <sheet name="Deflactores" sheetId="3" r:id="rId3"/>
  </sheets>
  <externalReferences>
    <externalReference r:id="rId4"/>
  </externalReferences>
  <definedNames>
    <definedName name="_xlnm.Print_Area" localSheetId="1">'VAB constante'!$A$14:$G$110</definedName>
    <definedName name="Fin_Lateral">'[1]CI_Tv (65-2007K)'!$D$123</definedName>
    <definedName name="Fin_Registro">'[1]CI_Tv (65-2007K)'!$AW$123</definedName>
    <definedName name="Fin_Superior">'[1]CI_Tv (65-2007K)'!$AW$6</definedName>
    <definedName name="Ini_Lateral">'[1]CI_Tv (65-2007K)'!$D$8</definedName>
    <definedName name="Ini_Registro">'[1]CI_Tv (65-2007K)'!$E$8</definedName>
    <definedName name="Ini_Superior">'[1]CI_Tv (65-2007K)'!$E$6</definedName>
    <definedName name="otro" hidden="1">{"página1",#N/A,FALSE,"pib";"página2",#N/A,FALSE,"pib";"página3",#N/A,FALSE,"oferuti";"página4",#N/A,FALSE,"pibrama";"página5",#N/A,FALSE,"pibrama";"página6",#N/A,FALSE,"pibrama"}</definedName>
    <definedName name="PRUEBA" hidden="1">{"página1",#N/A,FALSE,"pib";"página2",#N/A,FALSE,"pib";"página3",#N/A,FALSE,"oferuti";"página4",#N/A,FALSE,"pibrama";"página5",#N/A,FALSE,"pibrama";"página6",#N/A,FALSE,"pibrama"}</definedName>
    <definedName name="Titulo">'[1]CI_Tv (65-2007K)'!$A$2</definedName>
    <definedName name="wrn.datos." hidden="1">{"página1",#N/A,FALSE,"pib";"página2",#N/A,FALSE,"pib";"página3",#N/A,FALSE,"oferuti";"página4",#N/A,FALSE,"pibrama";"página5",#N/A,FALSE,"pibrama";"página6",#N/A,FALSE,"pibrama"}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" i="3" l="1"/>
  <c r="E15" i="3"/>
  <c r="F15" i="3"/>
  <c r="G15" i="3"/>
  <c r="H15" i="3"/>
  <c r="I15" i="3"/>
  <c r="D16" i="3"/>
  <c r="E16" i="3"/>
  <c r="F16" i="3"/>
  <c r="G16" i="3"/>
  <c r="H16" i="3"/>
  <c r="I16" i="3"/>
  <c r="D17" i="3"/>
  <c r="E17" i="3"/>
  <c r="F17" i="3"/>
  <c r="G17" i="3"/>
  <c r="H17" i="3"/>
  <c r="I17" i="3"/>
  <c r="D18" i="3"/>
  <c r="E18" i="3"/>
  <c r="F18" i="3"/>
  <c r="G18" i="3"/>
  <c r="H18" i="3"/>
  <c r="I18" i="3"/>
  <c r="D19" i="3"/>
  <c r="E19" i="3"/>
  <c r="F19" i="3"/>
  <c r="G19" i="3"/>
  <c r="H19" i="3"/>
  <c r="I19" i="3"/>
  <c r="D20" i="3"/>
  <c r="E20" i="3"/>
  <c r="F20" i="3"/>
  <c r="G20" i="3"/>
  <c r="H20" i="3"/>
  <c r="I20" i="3"/>
  <c r="D21" i="3"/>
  <c r="E21" i="3"/>
  <c r="F21" i="3"/>
  <c r="G21" i="3"/>
  <c r="H21" i="3"/>
  <c r="I21" i="3"/>
  <c r="D22" i="3"/>
  <c r="E22" i="3"/>
  <c r="F22" i="3"/>
  <c r="G22" i="3"/>
  <c r="H22" i="3"/>
  <c r="I22" i="3"/>
  <c r="D23" i="3"/>
  <c r="E23" i="3"/>
  <c r="F23" i="3"/>
  <c r="G23" i="3"/>
  <c r="H23" i="3"/>
  <c r="I23" i="3"/>
  <c r="D24" i="3"/>
  <c r="E24" i="3"/>
  <c r="F24" i="3"/>
  <c r="G24" i="3"/>
  <c r="H24" i="3"/>
  <c r="I24" i="3"/>
  <c r="D25" i="3"/>
  <c r="E25" i="3"/>
  <c r="F25" i="3"/>
  <c r="G25" i="3"/>
  <c r="H25" i="3"/>
  <c r="I25" i="3"/>
  <c r="D26" i="3"/>
  <c r="E26" i="3"/>
  <c r="F26" i="3"/>
  <c r="G26" i="3"/>
  <c r="H26" i="3"/>
  <c r="I26" i="3"/>
  <c r="D27" i="3"/>
  <c r="E27" i="3"/>
  <c r="F27" i="3"/>
  <c r="G27" i="3"/>
  <c r="H27" i="3"/>
  <c r="I27" i="3"/>
  <c r="D28" i="3"/>
  <c r="E28" i="3"/>
  <c r="F28" i="3"/>
  <c r="G28" i="3"/>
  <c r="H28" i="3"/>
  <c r="I28" i="3"/>
  <c r="D29" i="3"/>
  <c r="E29" i="3"/>
  <c r="F29" i="3"/>
  <c r="G29" i="3"/>
  <c r="H29" i="3"/>
  <c r="I29" i="3"/>
  <c r="D30" i="3"/>
  <c r="E30" i="3"/>
  <c r="F30" i="3"/>
  <c r="G30" i="3"/>
  <c r="H30" i="3"/>
  <c r="I30" i="3"/>
  <c r="D31" i="3"/>
  <c r="E31" i="3"/>
  <c r="F31" i="3"/>
  <c r="G31" i="3"/>
  <c r="H31" i="3"/>
  <c r="I31" i="3"/>
  <c r="D32" i="3"/>
  <c r="E32" i="3"/>
  <c r="F32" i="3"/>
  <c r="G32" i="3"/>
  <c r="H32" i="3"/>
  <c r="I32" i="3"/>
  <c r="D33" i="3"/>
  <c r="E33" i="3"/>
  <c r="F33" i="3"/>
  <c r="G33" i="3"/>
  <c r="H33" i="3"/>
  <c r="I33" i="3"/>
  <c r="D34" i="3"/>
  <c r="E34" i="3"/>
  <c r="F34" i="3"/>
  <c r="G34" i="3"/>
  <c r="H34" i="3"/>
  <c r="I34" i="3"/>
  <c r="D35" i="3"/>
  <c r="E35" i="3"/>
  <c r="F35" i="3"/>
  <c r="G35" i="3"/>
  <c r="H35" i="3"/>
  <c r="I35" i="3"/>
  <c r="D36" i="3"/>
  <c r="E36" i="3"/>
  <c r="F36" i="3"/>
  <c r="G36" i="3"/>
  <c r="H36" i="3"/>
  <c r="I36" i="3"/>
  <c r="D37" i="3"/>
  <c r="E37" i="3"/>
  <c r="F37" i="3"/>
  <c r="G37" i="3"/>
  <c r="H37" i="3"/>
  <c r="I37" i="3"/>
  <c r="D38" i="3"/>
  <c r="E38" i="3"/>
  <c r="F38" i="3"/>
  <c r="G38" i="3"/>
  <c r="H38" i="3"/>
  <c r="I38" i="3"/>
  <c r="D39" i="3"/>
  <c r="E39" i="3"/>
  <c r="F39" i="3"/>
  <c r="G39" i="3"/>
  <c r="H39" i="3"/>
  <c r="I39" i="3"/>
  <c r="D40" i="3"/>
  <c r="E40" i="3"/>
  <c r="F40" i="3"/>
  <c r="G40" i="3"/>
  <c r="H40" i="3"/>
  <c r="I40" i="3"/>
  <c r="D41" i="3"/>
  <c r="E41" i="3"/>
  <c r="F41" i="3"/>
  <c r="G41" i="3"/>
  <c r="H41" i="3"/>
  <c r="I41" i="3"/>
  <c r="D42" i="3"/>
  <c r="E42" i="3"/>
  <c r="F42" i="3"/>
  <c r="G42" i="3"/>
  <c r="H42" i="3"/>
  <c r="I42" i="3"/>
  <c r="D43" i="3"/>
  <c r="E43" i="3"/>
  <c r="F43" i="3"/>
  <c r="G43" i="3"/>
  <c r="H43" i="3"/>
  <c r="I43" i="3"/>
  <c r="D44" i="3"/>
  <c r="E44" i="3"/>
  <c r="F44" i="3"/>
  <c r="G44" i="3"/>
  <c r="H44" i="3"/>
  <c r="I44" i="3"/>
  <c r="D45" i="3"/>
  <c r="E45" i="3"/>
  <c r="F45" i="3"/>
  <c r="G45" i="3"/>
  <c r="H45" i="3"/>
  <c r="I45" i="3"/>
  <c r="D46" i="3"/>
  <c r="E46" i="3"/>
  <c r="F46" i="3"/>
  <c r="G46" i="3"/>
  <c r="H46" i="3"/>
  <c r="I46" i="3"/>
  <c r="D47" i="3"/>
  <c r="E47" i="3"/>
  <c r="F47" i="3"/>
  <c r="G47" i="3"/>
  <c r="H47" i="3"/>
  <c r="I47" i="3"/>
  <c r="D48" i="3"/>
  <c r="E48" i="3"/>
  <c r="F48" i="3"/>
  <c r="G48" i="3"/>
  <c r="H48" i="3"/>
  <c r="I48" i="3"/>
  <c r="D49" i="3"/>
  <c r="E49" i="3"/>
  <c r="F49" i="3"/>
  <c r="G49" i="3"/>
  <c r="H49" i="3"/>
  <c r="I49" i="3"/>
  <c r="D50" i="3"/>
  <c r="E50" i="3"/>
  <c r="F50" i="3"/>
  <c r="G50" i="3"/>
  <c r="H50" i="3"/>
  <c r="I50" i="3"/>
  <c r="D51" i="3"/>
  <c r="E51" i="3"/>
  <c r="F51" i="3"/>
  <c r="G51" i="3"/>
  <c r="H51" i="3"/>
  <c r="I51" i="3"/>
  <c r="D52" i="3"/>
  <c r="E52" i="3"/>
  <c r="F52" i="3"/>
  <c r="G52" i="3"/>
  <c r="H52" i="3"/>
  <c r="I52" i="3"/>
  <c r="D53" i="3"/>
  <c r="E53" i="3"/>
  <c r="F53" i="3"/>
  <c r="G53" i="3"/>
  <c r="H53" i="3"/>
  <c r="I53" i="3"/>
  <c r="D54" i="3"/>
  <c r="E54" i="3"/>
  <c r="F54" i="3"/>
  <c r="G54" i="3"/>
  <c r="H54" i="3"/>
  <c r="I54" i="3"/>
  <c r="D55" i="3"/>
  <c r="E55" i="3"/>
  <c r="F55" i="3"/>
  <c r="G55" i="3"/>
  <c r="H55" i="3"/>
  <c r="I55" i="3"/>
  <c r="D56" i="3"/>
  <c r="E56" i="3"/>
  <c r="F56" i="3"/>
  <c r="G56" i="3"/>
  <c r="H56" i="3"/>
  <c r="I56" i="3"/>
  <c r="D57" i="3"/>
  <c r="E57" i="3"/>
  <c r="F57" i="3"/>
  <c r="G57" i="3"/>
  <c r="H57" i="3"/>
  <c r="I57" i="3"/>
  <c r="D58" i="3"/>
  <c r="E58" i="3"/>
  <c r="F58" i="3"/>
  <c r="G58" i="3"/>
  <c r="H58" i="3"/>
  <c r="I58" i="3"/>
  <c r="D59" i="3"/>
  <c r="E59" i="3"/>
  <c r="F59" i="3"/>
  <c r="G59" i="3"/>
  <c r="H59" i="3"/>
  <c r="I59" i="3"/>
  <c r="D60" i="3"/>
  <c r="E60" i="3"/>
  <c r="F60" i="3"/>
  <c r="G60" i="3"/>
  <c r="H60" i="3"/>
  <c r="I60" i="3"/>
  <c r="D61" i="3"/>
  <c r="E61" i="3"/>
  <c r="F61" i="3"/>
  <c r="G61" i="3"/>
  <c r="H61" i="3"/>
  <c r="I61" i="3"/>
  <c r="D62" i="3"/>
  <c r="E62" i="3"/>
  <c r="F62" i="3"/>
  <c r="G62" i="3"/>
  <c r="H62" i="3"/>
  <c r="I62" i="3"/>
  <c r="D63" i="3"/>
  <c r="E63" i="3"/>
  <c r="F63" i="3"/>
  <c r="G63" i="3"/>
  <c r="H63" i="3"/>
  <c r="I63" i="3"/>
  <c r="D64" i="3"/>
  <c r="E64" i="3"/>
  <c r="F64" i="3"/>
  <c r="G64" i="3"/>
  <c r="H64" i="3"/>
  <c r="I64" i="3"/>
  <c r="D65" i="3"/>
  <c r="E65" i="3"/>
  <c r="F65" i="3"/>
  <c r="G65" i="3"/>
  <c r="H65" i="3"/>
  <c r="I65" i="3"/>
  <c r="D66" i="3"/>
  <c r="E66" i="3"/>
  <c r="F66" i="3"/>
  <c r="G66" i="3"/>
  <c r="H66" i="3"/>
  <c r="I66" i="3"/>
  <c r="D67" i="3"/>
  <c r="E67" i="3"/>
  <c r="F67" i="3"/>
  <c r="G67" i="3"/>
  <c r="H67" i="3"/>
  <c r="I67" i="3"/>
  <c r="D68" i="3"/>
  <c r="E68" i="3"/>
  <c r="F68" i="3"/>
  <c r="G68" i="3"/>
  <c r="H68" i="3"/>
  <c r="I68" i="3"/>
  <c r="D69" i="3"/>
  <c r="E69" i="3"/>
  <c r="F69" i="3"/>
  <c r="G69" i="3"/>
  <c r="H69" i="3"/>
  <c r="I69" i="3"/>
  <c r="D70" i="3"/>
  <c r="E70" i="3"/>
  <c r="F70" i="3"/>
  <c r="G70" i="3"/>
  <c r="H70" i="3"/>
  <c r="I70" i="3"/>
  <c r="D71" i="3"/>
  <c r="E71" i="3"/>
  <c r="F71" i="3"/>
  <c r="G71" i="3"/>
  <c r="H71" i="3"/>
  <c r="I71" i="3"/>
  <c r="D72" i="3"/>
  <c r="E72" i="3"/>
  <c r="F72" i="3"/>
  <c r="G72" i="3"/>
  <c r="H72" i="3"/>
  <c r="I72" i="3"/>
  <c r="D73" i="3"/>
  <c r="E73" i="3"/>
  <c r="F73" i="3"/>
  <c r="G73" i="3"/>
  <c r="H73" i="3"/>
  <c r="I73" i="3"/>
  <c r="D74" i="3"/>
  <c r="E74" i="3"/>
  <c r="F74" i="3"/>
  <c r="G74" i="3"/>
  <c r="H74" i="3"/>
  <c r="I74" i="3"/>
  <c r="D75" i="3"/>
  <c r="E75" i="3"/>
  <c r="F75" i="3"/>
  <c r="G75" i="3"/>
  <c r="H75" i="3"/>
  <c r="I75" i="3"/>
  <c r="D76" i="3"/>
  <c r="E76" i="3"/>
  <c r="F76" i="3"/>
  <c r="G76" i="3"/>
  <c r="H76" i="3"/>
  <c r="I76" i="3"/>
  <c r="D77" i="3"/>
  <c r="E77" i="3"/>
  <c r="F77" i="3"/>
  <c r="G77" i="3"/>
  <c r="H77" i="3"/>
  <c r="I77" i="3"/>
  <c r="D78" i="3"/>
  <c r="E78" i="3"/>
  <c r="F78" i="3"/>
  <c r="G78" i="3"/>
  <c r="H78" i="3"/>
  <c r="I78" i="3"/>
  <c r="D79" i="3"/>
  <c r="E79" i="3"/>
  <c r="F79" i="3"/>
  <c r="G79" i="3"/>
  <c r="H79" i="3"/>
  <c r="I79" i="3"/>
  <c r="D80" i="3"/>
  <c r="E80" i="3"/>
  <c r="F80" i="3"/>
  <c r="G80" i="3"/>
  <c r="H80" i="3"/>
  <c r="I80" i="3"/>
  <c r="D81" i="3"/>
  <c r="E81" i="3"/>
  <c r="F81" i="3"/>
  <c r="G81" i="3"/>
  <c r="H81" i="3"/>
  <c r="I81" i="3"/>
  <c r="D82" i="3"/>
  <c r="E82" i="3"/>
  <c r="F82" i="3"/>
  <c r="G82" i="3"/>
  <c r="H82" i="3"/>
  <c r="I82" i="3"/>
  <c r="D83" i="3"/>
  <c r="E83" i="3"/>
  <c r="F83" i="3"/>
  <c r="G83" i="3"/>
  <c r="H83" i="3"/>
  <c r="I83" i="3"/>
  <c r="D84" i="3"/>
  <c r="E84" i="3"/>
  <c r="F84" i="3"/>
  <c r="G84" i="3"/>
  <c r="H84" i="3"/>
  <c r="I84" i="3"/>
  <c r="D85" i="3"/>
  <c r="E85" i="3"/>
  <c r="F85" i="3"/>
  <c r="G85" i="3"/>
  <c r="H85" i="3"/>
  <c r="I85" i="3"/>
  <c r="D86" i="3"/>
  <c r="E86" i="3"/>
  <c r="F86" i="3"/>
  <c r="G86" i="3"/>
  <c r="H86" i="3"/>
  <c r="I86" i="3"/>
  <c r="D87" i="3"/>
  <c r="E87" i="3"/>
  <c r="F87" i="3"/>
  <c r="G87" i="3"/>
  <c r="H87" i="3"/>
  <c r="I87" i="3"/>
  <c r="D88" i="3"/>
  <c r="E88" i="3"/>
  <c r="F88" i="3"/>
  <c r="G88" i="3"/>
  <c r="H88" i="3"/>
  <c r="I88" i="3"/>
  <c r="D89" i="3"/>
  <c r="E89" i="3"/>
  <c r="F89" i="3"/>
  <c r="G89" i="3"/>
  <c r="H89" i="3"/>
  <c r="I89" i="3"/>
  <c r="D90" i="3"/>
  <c r="E90" i="3"/>
  <c r="F90" i="3"/>
  <c r="G90" i="3"/>
  <c r="H90" i="3"/>
  <c r="I90" i="3"/>
  <c r="D91" i="3"/>
  <c r="E91" i="3"/>
  <c r="F91" i="3"/>
  <c r="G91" i="3"/>
  <c r="H91" i="3"/>
  <c r="I91" i="3"/>
  <c r="D92" i="3"/>
  <c r="E92" i="3"/>
  <c r="F92" i="3"/>
  <c r="G92" i="3"/>
  <c r="H92" i="3"/>
  <c r="I92" i="3"/>
  <c r="D93" i="3"/>
  <c r="E93" i="3"/>
  <c r="F93" i="3"/>
  <c r="G93" i="3"/>
  <c r="H93" i="3"/>
  <c r="I93" i="3"/>
  <c r="D94" i="3"/>
  <c r="E94" i="3"/>
  <c r="F94" i="3"/>
  <c r="G94" i="3"/>
  <c r="H94" i="3"/>
  <c r="I94" i="3"/>
  <c r="D95" i="3"/>
  <c r="E95" i="3"/>
  <c r="F95" i="3"/>
  <c r="G95" i="3"/>
  <c r="H95" i="3"/>
  <c r="I95" i="3"/>
  <c r="D96" i="3"/>
  <c r="E96" i="3"/>
  <c r="F96" i="3"/>
  <c r="G96" i="3"/>
  <c r="H96" i="3"/>
  <c r="I96" i="3"/>
  <c r="D97" i="3"/>
  <c r="E97" i="3"/>
  <c r="F97" i="3"/>
  <c r="G97" i="3"/>
  <c r="H97" i="3"/>
  <c r="I97" i="3"/>
  <c r="D98" i="3"/>
  <c r="E98" i="3"/>
  <c r="F98" i="3"/>
  <c r="G98" i="3"/>
  <c r="H98" i="3"/>
  <c r="I98" i="3"/>
  <c r="D99" i="3"/>
  <c r="E99" i="3"/>
  <c r="F99" i="3"/>
  <c r="G99" i="3"/>
  <c r="H99" i="3"/>
  <c r="I99" i="3"/>
  <c r="D100" i="3"/>
  <c r="E100" i="3"/>
  <c r="F100" i="3"/>
  <c r="G100" i="3"/>
  <c r="H100" i="3"/>
  <c r="I100" i="3"/>
  <c r="D101" i="3"/>
  <c r="E101" i="3"/>
  <c r="F101" i="3"/>
  <c r="G101" i="3"/>
  <c r="H101" i="3"/>
  <c r="I101" i="3"/>
  <c r="D102" i="3"/>
  <c r="E102" i="3"/>
  <c r="F102" i="3"/>
  <c r="G102" i="3"/>
  <c r="H102" i="3"/>
  <c r="I102" i="3"/>
  <c r="D103" i="3"/>
  <c r="E103" i="3"/>
  <c r="F103" i="3"/>
  <c r="G103" i="3"/>
  <c r="H103" i="3"/>
  <c r="I103" i="3"/>
  <c r="D104" i="3"/>
  <c r="E104" i="3"/>
  <c r="F104" i="3"/>
  <c r="G104" i="3"/>
  <c r="H104" i="3"/>
  <c r="I104" i="3"/>
  <c r="D105" i="3"/>
  <c r="E105" i="3"/>
  <c r="F105" i="3"/>
  <c r="G105" i="3"/>
  <c r="H105" i="3"/>
  <c r="I105" i="3"/>
  <c r="D106" i="3"/>
  <c r="E106" i="3"/>
  <c r="F106" i="3"/>
  <c r="G106" i="3"/>
  <c r="H106" i="3"/>
  <c r="I106" i="3"/>
  <c r="D107" i="3"/>
  <c r="E107" i="3"/>
  <c r="F107" i="3"/>
  <c r="G107" i="3"/>
  <c r="H107" i="3"/>
  <c r="I107" i="3"/>
  <c r="D108" i="3"/>
  <c r="E108" i="3"/>
  <c r="F108" i="3"/>
  <c r="G108" i="3"/>
  <c r="H108" i="3"/>
  <c r="I108" i="3"/>
  <c r="D109" i="3"/>
  <c r="E109" i="3"/>
  <c r="F109" i="3"/>
  <c r="G109" i="3"/>
  <c r="H109" i="3"/>
  <c r="I109" i="3"/>
  <c r="D110" i="3"/>
  <c r="E110" i="3"/>
  <c r="F110" i="3"/>
  <c r="G110" i="3"/>
  <c r="H110" i="3"/>
  <c r="I110" i="3"/>
  <c r="E14" i="3"/>
  <c r="F14" i="3"/>
  <c r="G14" i="3"/>
  <c r="H14" i="3"/>
  <c r="I14" i="3"/>
  <c r="D14" i="3"/>
</calcChain>
</file>

<file path=xl/sharedStrings.xml><?xml version="1.0" encoding="utf-8"?>
<sst xmlns="http://schemas.openxmlformats.org/spreadsheetml/2006/main" count="607" uniqueCount="206">
  <si>
    <t>Millones de USD</t>
  </si>
  <si>
    <t>corrientes y a precios del año anterior</t>
  </si>
  <si>
    <t>CIIU</t>
  </si>
  <si>
    <t>COD.</t>
  </si>
  <si>
    <t xml:space="preserve">Industria </t>
  </si>
  <si>
    <t>2019 a precios de 2018</t>
  </si>
  <si>
    <t>2020 a precios de 2019</t>
  </si>
  <si>
    <t xml:space="preserve">2021 a precios de 2020 </t>
  </si>
  <si>
    <t xml:space="preserve">2022 a precios de 2021 </t>
  </si>
  <si>
    <t>2023 a precios de 2022 (p)</t>
  </si>
  <si>
    <t>2023 (p)</t>
  </si>
  <si>
    <t>A -Agricultura, ganadería y silvicultura</t>
  </si>
  <si>
    <t>01</t>
  </si>
  <si>
    <t>Cultivo de cereales (excepto arroz), legumbres y semillas oleaginosas</t>
  </si>
  <si>
    <t>02</t>
  </si>
  <si>
    <t>Cultivo de arroz</t>
  </si>
  <si>
    <t>03</t>
  </si>
  <si>
    <t>Cultivo de hortalizas y melones, raíces y tubérculos</t>
  </si>
  <si>
    <t>04</t>
  </si>
  <si>
    <t>Cultivo de caña de azúcar</t>
  </si>
  <si>
    <t>05</t>
  </si>
  <si>
    <t>Cultivos de frutas, y otros tipos de cultivos n.c.p.</t>
  </si>
  <si>
    <t>06</t>
  </si>
  <si>
    <t>Cultivo de otras plantas no perennes y propagación de plantas</t>
  </si>
  <si>
    <t>07</t>
  </si>
  <si>
    <t>Cultivo de frutos oleaginosos</t>
  </si>
  <si>
    <t>08</t>
  </si>
  <si>
    <t>Cultivo de plantas con las que se preparan bebidas</t>
  </si>
  <si>
    <t>09</t>
  </si>
  <si>
    <t>Actividades de apoyo a la agricultura, poscosecha y tratamiento de semillas para propagación</t>
  </si>
  <si>
    <t>10</t>
  </si>
  <si>
    <t>Ganadería</t>
  </si>
  <si>
    <t>11</t>
  </si>
  <si>
    <t>Silvicultura y extracción de madera</t>
  </si>
  <si>
    <t>Total A -Agricultura, ganadería y silvicultura</t>
  </si>
  <si>
    <t>A -Pesca y acuicultura</t>
  </si>
  <si>
    <t>12</t>
  </si>
  <si>
    <t>Pesca y acuicultura</t>
  </si>
  <si>
    <t>Total A -Pesca y acuicultura</t>
  </si>
  <si>
    <t>B -Explotación de minas y canteras</t>
  </si>
  <si>
    <t>13</t>
  </si>
  <si>
    <t>Servicios Petroleros - Explotación de otras minas y canteras, y actividades de apoyo</t>
  </si>
  <si>
    <t>14</t>
  </si>
  <si>
    <t>Extracción de petróleo crudo y gas natural</t>
  </si>
  <si>
    <t>15</t>
  </si>
  <si>
    <t>Extracción de minerales metalíferos</t>
  </si>
  <si>
    <t>16</t>
  </si>
  <si>
    <t>Explotación de otras minas y canteras, y actividades de apoyo</t>
  </si>
  <si>
    <t>Total B -Explotación de minas y canteras</t>
  </si>
  <si>
    <t>C -Manufactura de productos alimenticios</t>
  </si>
  <si>
    <t>17</t>
  </si>
  <si>
    <t>Elaboración y conservación de carne</t>
  </si>
  <si>
    <t>18</t>
  </si>
  <si>
    <t>Preparación y conservación de pescado y otros productos acuaticos elaborados</t>
  </si>
  <si>
    <t>19</t>
  </si>
  <si>
    <t>Procesamiento y conservación de camarón</t>
  </si>
  <si>
    <t>20</t>
  </si>
  <si>
    <t>Elaboración de aceites y grasas de origen vegetal y animal</t>
  </si>
  <si>
    <t>21</t>
  </si>
  <si>
    <t>Elaboración de productos lácteos</t>
  </si>
  <si>
    <t>22</t>
  </si>
  <si>
    <t>Elaboración de productos de la panadería y pastelería</t>
  </si>
  <si>
    <t>23</t>
  </si>
  <si>
    <t>Elaboración de productos de molinería</t>
  </si>
  <si>
    <t>24</t>
  </si>
  <si>
    <t>Elaboración y refinación de azúcar</t>
  </si>
  <si>
    <t>25</t>
  </si>
  <si>
    <t>Elaboración de cacao, chocolate y productos de confitería</t>
  </si>
  <si>
    <t>26</t>
  </si>
  <si>
    <t>Elaboración de  fideos y de otros productos farináceos</t>
  </si>
  <si>
    <t>27</t>
  </si>
  <si>
    <t>Elaboración de café</t>
  </si>
  <si>
    <t>28</t>
  </si>
  <si>
    <t>Elaboración de alimentos preparados para animales</t>
  </si>
  <si>
    <t>29</t>
  </si>
  <si>
    <t>Elaboración de otros productos alimenticios diversos</t>
  </si>
  <si>
    <t>30</t>
  </si>
  <si>
    <t>Elaboración bebidas no alcohólicas (jugos)</t>
  </si>
  <si>
    <t>Total C -Manufactura de productos alimenticios</t>
  </si>
  <si>
    <t>C -Manufactura de productos no alimenticios</t>
  </si>
  <si>
    <t>31</t>
  </si>
  <si>
    <t>Elaboración bebidas no alcohólicas (excepto jugos)</t>
  </si>
  <si>
    <t>32</t>
  </si>
  <si>
    <t xml:space="preserve">Elaboración bebidas alcohólicas </t>
  </si>
  <si>
    <t>33</t>
  </si>
  <si>
    <t>Elaboración de productos de tabaco</t>
  </si>
  <si>
    <t>34</t>
  </si>
  <si>
    <t>Fabricación de hilos, hilados; tejidos y confecciones</t>
  </si>
  <si>
    <t>35</t>
  </si>
  <si>
    <t>Fabricación de prendas de vestir</t>
  </si>
  <si>
    <t>36</t>
  </si>
  <si>
    <t>Fabricación de cuero, productos de cuero y calzado</t>
  </si>
  <si>
    <t>37</t>
  </si>
  <si>
    <t>Producción de madera y de productos de madera</t>
  </si>
  <si>
    <t>38</t>
  </si>
  <si>
    <t>Fabricación de papel y productos de papel</t>
  </si>
  <si>
    <t>39</t>
  </si>
  <si>
    <t>Impresión y reproducción de grabaciones</t>
  </si>
  <si>
    <t>41</t>
  </si>
  <si>
    <t>Fabricación de sustancias químicas básicas, abonos y plásticos primarios, caucho sintético y artificial</t>
  </si>
  <si>
    <t>42</t>
  </si>
  <si>
    <t>Fabricación de otros productos químicos</t>
  </si>
  <si>
    <t>43</t>
  </si>
  <si>
    <t>Fabricación de productos farmacéuticos y medicamentos</t>
  </si>
  <si>
    <t>44</t>
  </si>
  <si>
    <t>Fabricación de productos de caucho</t>
  </si>
  <si>
    <t>45</t>
  </si>
  <si>
    <t>Fabricación de productos de plástico</t>
  </si>
  <si>
    <t>46</t>
  </si>
  <si>
    <t xml:space="preserve">Fabricación de vidrio, productos refractarios y de cerámica </t>
  </si>
  <si>
    <t>47</t>
  </si>
  <si>
    <t>Fabricación de cemento, artículos de hormigón y piedra</t>
  </si>
  <si>
    <t>48</t>
  </si>
  <si>
    <t xml:space="preserve">Fabricación de metales comunes </t>
  </si>
  <si>
    <t>49</t>
  </si>
  <si>
    <t>Fabricación de productos derivados del metal, excepto maquinaria y equipo</t>
  </si>
  <si>
    <t>50</t>
  </si>
  <si>
    <t>Fabricación de productos de informática, electrónica y óptica</t>
  </si>
  <si>
    <t>51</t>
  </si>
  <si>
    <t>Fabricación de equipo eléctrico</t>
  </si>
  <si>
    <t>52</t>
  </si>
  <si>
    <t>Fabricación de maquinaria y equipo n.c.p.</t>
  </si>
  <si>
    <t>53</t>
  </si>
  <si>
    <t>Fabricación de vehículos y equipos de transporte</t>
  </si>
  <si>
    <t>54</t>
  </si>
  <si>
    <t>Fabricación de muebles</t>
  </si>
  <si>
    <t>55</t>
  </si>
  <si>
    <t>Industrias manufactureras n.c.p.</t>
  </si>
  <si>
    <t>Total C -Manufactura de productos no alimenticios</t>
  </si>
  <si>
    <t>C -Refinados de petroleo</t>
  </si>
  <si>
    <t>40</t>
  </si>
  <si>
    <t>Fabricación de productos refinados de petróleo y de otros</t>
  </si>
  <si>
    <t>Total C -Refinados de petroleo</t>
  </si>
  <si>
    <t>D-E -Suministro de electricidad y agua</t>
  </si>
  <si>
    <t>56</t>
  </si>
  <si>
    <t>Suministro de electricidad, gas, vapor y aire acondicionado</t>
  </si>
  <si>
    <t>57</t>
  </si>
  <si>
    <t>Distribución de agua; alcantarillado, gestión de desechos y actividades de saneamiento</t>
  </si>
  <si>
    <t>Total D-E -Suministro de electricidad y agua</t>
  </si>
  <si>
    <t>F -Construcción</t>
  </si>
  <si>
    <t>58</t>
  </si>
  <si>
    <t>Construcción</t>
  </si>
  <si>
    <t>Total F -Construcción</t>
  </si>
  <si>
    <t>G -Comercio</t>
  </si>
  <si>
    <t>59</t>
  </si>
  <si>
    <t>Comercio al por mayor y al por menor; reparación de vehículos automotores y motocicletas</t>
  </si>
  <si>
    <t>Total G -Comercio</t>
  </si>
  <si>
    <t>H -Transporte y almacenamiento</t>
  </si>
  <si>
    <t>60</t>
  </si>
  <si>
    <t>Transporte y almacenamiento</t>
  </si>
  <si>
    <t>61</t>
  </si>
  <si>
    <t>Actividades postales y de mensajería</t>
  </si>
  <si>
    <t>Total H -Transporte y almacenamiento</t>
  </si>
  <si>
    <t>I -Alojamiento y comidas</t>
  </si>
  <si>
    <t>62</t>
  </si>
  <si>
    <t>Actividades de alojamiento</t>
  </si>
  <si>
    <t>63</t>
  </si>
  <si>
    <t>Servicio de alimento y bebida</t>
  </si>
  <si>
    <t>Total I -Alojamiento y comidas</t>
  </si>
  <si>
    <t>J -Información y comunicación</t>
  </si>
  <si>
    <t>64</t>
  </si>
  <si>
    <t>Información y comunicación</t>
  </si>
  <si>
    <t>Total J -Información y comunicación</t>
  </si>
  <si>
    <t>K -Actividades financieras y de seguros</t>
  </si>
  <si>
    <t>65</t>
  </si>
  <si>
    <t>Actividades de servicios financieros, excepto las de seguros y fondos de pensiones</t>
  </si>
  <si>
    <t>66</t>
  </si>
  <si>
    <t>Seguros, reaseguros y fondos de pensiones, excepto los planes de seguridad social de afiliación obligatoria</t>
  </si>
  <si>
    <t>67</t>
  </si>
  <si>
    <t>Actividades auxiliares de las actividades de servicios financieros</t>
  </si>
  <si>
    <t>Total K -Actividades financieras y de seguros</t>
  </si>
  <si>
    <t>L -Actividades inmobiliarias</t>
  </si>
  <si>
    <t>68</t>
  </si>
  <si>
    <t>Actividades inmobiliarias</t>
  </si>
  <si>
    <t>Total L -Actividades inmobiliarias</t>
  </si>
  <si>
    <t>M - N -Actividades profesionales, técnicas</t>
  </si>
  <si>
    <t>69</t>
  </si>
  <si>
    <t>Actividades profesionales, científicas, técnicas y administrativas</t>
  </si>
  <si>
    <t>Total M - N -Actividades profesionales, técnicas</t>
  </si>
  <si>
    <t>O -Administración pública</t>
  </si>
  <si>
    <t>70</t>
  </si>
  <si>
    <t>Administración pública y defensa; planes de seguridad social de afiliación obligatoria</t>
  </si>
  <si>
    <t>Total O -Administración pública</t>
  </si>
  <si>
    <t>P -Enseñanza</t>
  </si>
  <si>
    <t>71</t>
  </si>
  <si>
    <t>Servicios de enseñanza privada</t>
  </si>
  <si>
    <t>72</t>
  </si>
  <si>
    <t>Servicios de enseñanza pública (no de mercado)</t>
  </si>
  <si>
    <t>Total P -Enseñanza</t>
  </si>
  <si>
    <t>Q -Salud y asistencia social</t>
  </si>
  <si>
    <t>73</t>
  </si>
  <si>
    <t>Actividades de atención de la salud humana y de asistencia social privada</t>
  </si>
  <si>
    <t>74</t>
  </si>
  <si>
    <t>Actividades de atención de la salud humana y de asistencia social no de mercado</t>
  </si>
  <si>
    <t>Total Q -Salud y asistencia social</t>
  </si>
  <si>
    <t>R - S - U -Arte, entretenimiento y otras actividades de servicios</t>
  </si>
  <si>
    <t>75</t>
  </si>
  <si>
    <t>Servicios de asociaciones, personales; esparcimiento; culturales y deportivos</t>
  </si>
  <si>
    <t>Total R - S - U -Arte, entretenimiento y otras actividades de servicios</t>
  </si>
  <si>
    <t>T -Actividades de los Hogares como empleadores</t>
  </si>
  <si>
    <t>76</t>
  </si>
  <si>
    <t>Actividades de los hogares como empleadores de personal doméstico</t>
  </si>
  <si>
    <t>Total T -Actividades de los Hogares como empleadores</t>
  </si>
  <si>
    <t>Valor Agregado Total</t>
  </si>
  <si>
    <r>
      <rPr>
        <b/>
        <sz val="10"/>
        <color theme="1"/>
        <rFont val="Arial"/>
        <family val="2"/>
      </rPr>
      <t xml:space="preserve"> (p):</t>
    </r>
    <r>
      <rPr>
        <sz val="10"/>
        <color theme="1"/>
        <rFont val="Arial"/>
        <family val="2"/>
      </rPr>
      <t xml:space="preserve"> provisional</t>
    </r>
  </si>
  <si>
    <t>Elaboración: Banco Central del Ecuador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</si>
</sst>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#,###"/>
    <numFmt numFmtId="165" formatCode="_(* #,##0.0_);_(* \(#,##0.0\);_(* &quot;-&quot;??_);_(@_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b/>
      <sz val="10"/>
      <color theme="0"/>
      <name val="Arial"/>
      <family val="2"/>
    </font>
    <font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sz val="10"/>
      <color rgb="FFFF0000"/>
      <name val="Arial"/>
      <family val="2"/>
    </font>
    <font>
      <b/>
      <sz val="10"/>
      <name val="Arial"/>
      <family val="2"/>
    </font>
    <font>
      <sz val="10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double">
        <color indexed="64"/>
      </top>
      <bottom style="double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4" fillId="0" borderId="0"/>
    <xf numFmtId="0" fontId="4" fillId="0" borderId="0"/>
  </cellStyleXfs>
  <cellXfs count="25">
    <xf numFmtId="0" fontId="0" fillId="0" borderId="0" xfId="0"/>
    <xf numFmtId="0" fontId="2" fillId="0" borderId="0" xfId="0" applyFont="1" applyAlignment="1">
      <alignment horizontal="center"/>
    </xf>
    <xf numFmtId="164" fontId="3" fillId="0" borderId="0" xfId="0" applyNumberFormat="1" applyFont="1"/>
    <xf numFmtId="164" fontId="3" fillId="0" borderId="0" xfId="0" applyNumberFormat="1" applyFont="1" applyAlignment="1">
      <alignment wrapText="1"/>
    </xf>
    <xf numFmtId="3" fontId="5" fillId="2" borderId="1" xfId="2" applyNumberFormat="1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center" vertical="center" wrapText="1"/>
    </xf>
    <xf numFmtId="164" fontId="3" fillId="0" borderId="0" xfId="0" applyNumberFormat="1" applyFont="1" applyAlignment="1">
      <alignment vertical="center" wrapText="1"/>
    </xf>
    <xf numFmtId="0" fontId="6" fillId="0" borderId="0" xfId="0" applyFont="1" applyAlignment="1">
      <alignment horizontal="center" vertical="center" wrapText="1"/>
    </xf>
    <xf numFmtId="43" fontId="3" fillId="0" borderId="0" xfId="1" applyFont="1" applyFill="1" applyAlignment="1">
      <alignment horizontal="left" vertical="center"/>
    </xf>
    <xf numFmtId="165" fontId="3" fillId="0" borderId="0" xfId="1" applyNumberFormat="1" applyFont="1" applyFill="1" applyAlignment="1">
      <alignment horizontal="right" vertical="center"/>
    </xf>
    <xf numFmtId="164" fontId="7" fillId="3" borderId="0" xfId="0" applyNumberFormat="1" applyFont="1" applyFill="1" applyAlignment="1">
      <alignment vertical="center" wrapText="1"/>
    </xf>
    <xf numFmtId="164" fontId="8" fillId="3" borderId="0" xfId="0" applyNumberFormat="1" applyFont="1" applyFill="1" applyAlignment="1">
      <alignment horizontal="left" vertical="center" wrapText="1"/>
    </xf>
    <xf numFmtId="165" fontId="7" fillId="3" borderId="0" xfId="1" applyNumberFormat="1" applyFont="1" applyFill="1" applyAlignment="1">
      <alignment horizontal="right" vertical="center"/>
    </xf>
    <xf numFmtId="164" fontId="7" fillId="0" borderId="0" xfId="0" applyNumberFormat="1" applyFont="1"/>
    <xf numFmtId="164" fontId="3" fillId="3" borderId="0" xfId="0" applyNumberFormat="1" applyFont="1" applyFill="1" applyAlignment="1">
      <alignment vertical="center" wrapText="1"/>
    </xf>
    <xf numFmtId="164" fontId="7" fillId="3" borderId="0" xfId="0" applyNumberFormat="1" applyFont="1" applyFill="1"/>
    <xf numFmtId="0" fontId="6" fillId="3" borderId="0" xfId="0" applyFont="1" applyFill="1" applyAlignment="1">
      <alignment horizontal="center" vertical="center" wrapText="1"/>
    </xf>
    <xf numFmtId="43" fontId="3" fillId="3" borderId="0" xfId="1" applyFont="1" applyFill="1" applyAlignment="1">
      <alignment horizontal="left" vertical="center"/>
    </xf>
    <xf numFmtId="165" fontId="7" fillId="3" borderId="0" xfId="1" applyNumberFormat="1" applyFont="1" applyFill="1"/>
    <xf numFmtId="43" fontId="9" fillId="0" borderId="0" xfId="1" applyFont="1" applyFill="1"/>
    <xf numFmtId="0" fontId="3" fillId="0" borderId="0" xfId="0" applyFont="1" applyAlignment="1">
      <alignment horizontal="left"/>
    </xf>
    <xf numFmtId="0" fontId="10" fillId="0" borderId="0" xfId="3" applyFont="1"/>
    <xf numFmtId="43" fontId="11" fillId="0" borderId="0" xfId="1" applyFont="1" applyFill="1"/>
    <xf numFmtId="43" fontId="3" fillId="0" borderId="0" xfId="1" applyFont="1" applyFill="1"/>
  </cellXfs>
  <cellStyles count="4">
    <cellStyle name="Millares" xfId="1" builtinId="3"/>
    <cellStyle name="Normal" xfId="0" builtinId="0"/>
    <cellStyle name="Normal 2" xfId="2" xr:uid="{6AAABDDC-0F28-4255-865E-89AADD288334}"/>
    <cellStyle name="Normal 3 2" xfId="3" xr:uid="{9B7D86EE-20A0-452E-8448-A90549B2B17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Indice!A1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4" Type="http://schemas.openxmlformats.org/officeDocument/2006/relationships/image" Target="../media/image3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Indice!A1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4" Type="http://schemas.openxmlformats.org/officeDocument/2006/relationships/image" Target="../media/image3.emf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dice!A1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4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19957</xdr:colOff>
      <xdr:row>8</xdr:row>
      <xdr:rowOff>22134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86D38895-2E96-4E81-A948-70C05F9EDB6A}"/>
            </a:ext>
          </a:extLst>
        </xdr:cNvPr>
        <xdr:cNvGrpSpPr/>
      </xdr:nvGrpSpPr>
      <xdr:grpSpPr>
        <a:xfrm>
          <a:off x="0" y="0"/>
          <a:ext cx="20262487" cy="1306104"/>
          <a:chOff x="0" y="0"/>
          <a:chExt cx="17966531" cy="1358445"/>
        </a:xfrm>
      </xdr:grpSpPr>
      <xdr:pic>
        <xdr:nvPicPr>
          <xdr:cNvPr id="3" name="Imagen 2">
            <a:extLst>
              <a:ext uri="{FF2B5EF4-FFF2-40B4-BE49-F238E27FC236}">
                <a16:creationId xmlns:a16="http://schemas.microsoft.com/office/drawing/2014/main" id="{9EC80332-6EEA-9E8B-B72F-131F179F3AE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0" y="0"/>
            <a:ext cx="17966531" cy="1273969"/>
          </a:xfrm>
          <a:prstGeom prst="rect">
            <a:avLst/>
          </a:prstGeom>
        </xdr:spPr>
      </xdr:pic>
      <xdr:sp macro="" textlink="">
        <xdr:nvSpPr>
          <xdr:cNvPr id="4" name="CuadroTexto 3">
            <a:extLst>
              <a:ext uri="{FF2B5EF4-FFF2-40B4-BE49-F238E27FC236}">
                <a16:creationId xmlns:a16="http://schemas.microsoft.com/office/drawing/2014/main" id="{249E3229-877E-E689-7AB6-41C01DA7DC2A}"/>
              </a:ext>
            </a:extLst>
          </xdr:cNvPr>
          <xdr:cNvSpPr txBox="1"/>
        </xdr:nvSpPr>
        <xdr:spPr>
          <a:xfrm>
            <a:off x="1393031" y="95251"/>
            <a:ext cx="9060656" cy="1080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s-EC" sz="1600" b="1">
                <a:solidFill>
                  <a:schemeClr val="bg1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VALOR AGREGADO POR INDUSTRIA</a:t>
            </a:r>
          </a:p>
        </xdr:txBody>
      </xdr:sp>
      <xdr:pic>
        <xdr:nvPicPr>
          <xdr:cNvPr id="5" name="Imagen 4">
            <a:extLst>
              <a:ext uri="{FF2B5EF4-FFF2-40B4-BE49-F238E27FC236}">
                <a16:creationId xmlns:a16="http://schemas.microsoft.com/office/drawing/2014/main" id="{2FB13EC5-CBEF-4838-C0D7-9BE46F4E58C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10501312" y="47625"/>
            <a:ext cx="5143500" cy="1310820"/>
          </a:xfrm>
          <a:prstGeom prst="rect">
            <a:avLst/>
          </a:prstGeom>
        </xdr:spPr>
      </xdr:pic>
      <xdr:pic>
        <xdr:nvPicPr>
          <xdr:cNvPr id="6" name="Imagen 5">
            <a:hlinkClick xmlns:r="http://schemas.openxmlformats.org/officeDocument/2006/relationships" r:id="rId3"/>
            <a:extLst>
              <a:ext uri="{FF2B5EF4-FFF2-40B4-BE49-F238E27FC236}">
                <a16:creationId xmlns:a16="http://schemas.microsoft.com/office/drawing/2014/main" id="{631369DD-99EC-749E-9BE3-5B3F55A18BD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/>
          <a:stretch>
            <a:fillRect/>
          </a:stretch>
        </xdr:blipFill>
        <xdr:spPr>
          <a:xfrm>
            <a:off x="16716374" y="130969"/>
            <a:ext cx="1170214" cy="1059942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16147</xdr:colOff>
      <xdr:row>8</xdr:row>
      <xdr:rowOff>24674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ACDDEE97-65B6-411E-B3E3-89944F77113E}"/>
            </a:ext>
          </a:extLst>
        </xdr:cNvPr>
        <xdr:cNvGrpSpPr/>
      </xdr:nvGrpSpPr>
      <xdr:grpSpPr>
        <a:xfrm>
          <a:off x="0" y="0"/>
          <a:ext cx="20244333" cy="1313052"/>
          <a:chOff x="0" y="0"/>
          <a:chExt cx="17966531" cy="1358445"/>
        </a:xfrm>
      </xdr:grpSpPr>
      <xdr:pic>
        <xdr:nvPicPr>
          <xdr:cNvPr id="3" name="Imagen 2">
            <a:extLst>
              <a:ext uri="{FF2B5EF4-FFF2-40B4-BE49-F238E27FC236}">
                <a16:creationId xmlns:a16="http://schemas.microsoft.com/office/drawing/2014/main" id="{FF2DDA95-E820-3452-3FBA-D2C5E96ACCF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0" y="0"/>
            <a:ext cx="17966531" cy="1273969"/>
          </a:xfrm>
          <a:prstGeom prst="rect">
            <a:avLst/>
          </a:prstGeom>
        </xdr:spPr>
      </xdr:pic>
      <xdr:sp macro="" textlink="">
        <xdr:nvSpPr>
          <xdr:cNvPr id="4" name="CuadroTexto 3">
            <a:extLst>
              <a:ext uri="{FF2B5EF4-FFF2-40B4-BE49-F238E27FC236}">
                <a16:creationId xmlns:a16="http://schemas.microsoft.com/office/drawing/2014/main" id="{55B37655-64AA-0767-E590-E7707A0F0E85}"/>
              </a:ext>
            </a:extLst>
          </xdr:cNvPr>
          <xdr:cNvSpPr txBox="1"/>
        </xdr:nvSpPr>
        <xdr:spPr>
          <a:xfrm>
            <a:off x="1393031" y="95251"/>
            <a:ext cx="9060656" cy="1080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s-EC" sz="1600" b="1">
                <a:solidFill>
                  <a:schemeClr val="bg1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VALOR AGREGADO POR INDUSTRIA</a:t>
            </a:r>
          </a:p>
        </xdr:txBody>
      </xdr:sp>
      <xdr:pic>
        <xdr:nvPicPr>
          <xdr:cNvPr id="5" name="Imagen 4">
            <a:extLst>
              <a:ext uri="{FF2B5EF4-FFF2-40B4-BE49-F238E27FC236}">
                <a16:creationId xmlns:a16="http://schemas.microsoft.com/office/drawing/2014/main" id="{B6319EE7-DBB3-04BB-A8DA-5B456B7DC38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10501312" y="47625"/>
            <a:ext cx="5143500" cy="1310820"/>
          </a:xfrm>
          <a:prstGeom prst="rect">
            <a:avLst/>
          </a:prstGeom>
        </xdr:spPr>
      </xdr:pic>
      <xdr:pic>
        <xdr:nvPicPr>
          <xdr:cNvPr id="6" name="Imagen 5">
            <a:hlinkClick xmlns:r="http://schemas.openxmlformats.org/officeDocument/2006/relationships" r:id="rId3"/>
            <a:extLst>
              <a:ext uri="{FF2B5EF4-FFF2-40B4-BE49-F238E27FC236}">
                <a16:creationId xmlns:a16="http://schemas.microsoft.com/office/drawing/2014/main" id="{008D6901-9171-B5FF-2AD1-ACDF01C1F92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/>
          <a:stretch>
            <a:fillRect/>
          </a:stretch>
        </xdr:blipFill>
        <xdr:spPr>
          <a:xfrm>
            <a:off x="16716374" y="130969"/>
            <a:ext cx="1170214" cy="1059942"/>
          </a:xfrm>
          <a:prstGeom prst="rect">
            <a:avLst/>
          </a:prstGeom>
        </xdr:spPr>
      </xdr:pic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23767</xdr:colOff>
      <xdr:row>8</xdr:row>
      <xdr:rowOff>25944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ED0E4646-17CE-48C0-9C6A-CC71AFECDBEA}"/>
            </a:ext>
          </a:extLst>
        </xdr:cNvPr>
        <xdr:cNvGrpSpPr/>
      </xdr:nvGrpSpPr>
      <xdr:grpSpPr>
        <a:xfrm>
          <a:off x="0" y="0"/>
          <a:ext cx="20259947" cy="1303564"/>
          <a:chOff x="0" y="0"/>
          <a:chExt cx="17966531" cy="1358445"/>
        </a:xfrm>
      </xdr:grpSpPr>
      <xdr:pic>
        <xdr:nvPicPr>
          <xdr:cNvPr id="3" name="Imagen 2">
            <a:extLst>
              <a:ext uri="{FF2B5EF4-FFF2-40B4-BE49-F238E27FC236}">
                <a16:creationId xmlns:a16="http://schemas.microsoft.com/office/drawing/2014/main" id="{78DC5CFD-D930-9463-302C-88BCCE09DE0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0" y="0"/>
            <a:ext cx="17966531" cy="1273969"/>
          </a:xfrm>
          <a:prstGeom prst="rect">
            <a:avLst/>
          </a:prstGeom>
        </xdr:spPr>
      </xdr:pic>
      <xdr:sp macro="" textlink="">
        <xdr:nvSpPr>
          <xdr:cNvPr id="4" name="CuadroTexto 3">
            <a:extLst>
              <a:ext uri="{FF2B5EF4-FFF2-40B4-BE49-F238E27FC236}">
                <a16:creationId xmlns:a16="http://schemas.microsoft.com/office/drawing/2014/main" id="{8FBCED1B-68F6-56E6-2A76-FA7F074641D7}"/>
              </a:ext>
            </a:extLst>
          </xdr:cNvPr>
          <xdr:cNvSpPr txBox="1"/>
        </xdr:nvSpPr>
        <xdr:spPr>
          <a:xfrm>
            <a:off x="1393031" y="95251"/>
            <a:ext cx="9060656" cy="1080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s-EC" sz="1600" b="1">
                <a:solidFill>
                  <a:schemeClr val="bg1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VALOR AGREGADO POR INDUSTRIA</a:t>
            </a:r>
          </a:p>
        </xdr:txBody>
      </xdr:sp>
      <xdr:pic>
        <xdr:nvPicPr>
          <xdr:cNvPr id="5" name="Imagen 4">
            <a:extLst>
              <a:ext uri="{FF2B5EF4-FFF2-40B4-BE49-F238E27FC236}">
                <a16:creationId xmlns:a16="http://schemas.microsoft.com/office/drawing/2014/main" id="{2CB6A218-659A-7B3D-71A5-E6FC2CAACF3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10501312" y="47625"/>
            <a:ext cx="5143500" cy="1310820"/>
          </a:xfrm>
          <a:prstGeom prst="rect">
            <a:avLst/>
          </a:prstGeom>
        </xdr:spPr>
      </xdr:pic>
      <xdr:pic>
        <xdr:nvPicPr>
          <xdr:cNvPr id="6" name="Imagen 5">
            <a:hlinkClick xmlns:r="http://schemas.openxmlformats.org/officeDocument/2006/relationships" r:id="rId3"/>
            <a:extLst>
              <a:ext uri="{FF2B5EF4-FFF2-40B4-BE49-F238E27FC236}">
                <a16:creationId xmlns:a16="http://schemas.microsoft.com/office/drawing/2014/main" id="{8FE41C17-8CE8-643F-C057-9E9CBE81CC4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/>
          <a:stretch>
            <a:fillRect/>
          </a:stretch>
        </xdr:blipFill>
        <xdr:spPr>
          <a:xfrm>
            <a:off x="16716374" y="130969"/>
            <a:ext cx="1170214" cy="1059942"/>
          </a:xfrm>
          <a:prstGeom prst="rect">
            <a:avLst/>
          </a:prstGeom>
        </xdr:spPr>
      </xdr:pic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is%20documentos\IMPORTAN\Publicacion%2028%20CN%20marzo%202015\Publicacion%20CN%2028%20marzo%202015%20v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ú principal"/>
      <sheetName val="OU_65-2007Kmiles"/>
      <sheetName val="OU_65-2007Cmiles"/>
      <sheetName val="OU_Tvariación 65-2007K"/>
      <sheetName val="OU_65-2007 Defl_Impl"/>
      <sheetName val="OU_65-2007K %PIB"/>
      <sheetName val="OU_65-2007K contrib PIB"/>
      <sheetName val="BOU_65-2007K miles"/>
      <sheetName val="BOU_65-2007C miles"/>
      <sheetName val="Tv65-2007K"/>
      <sheetName val="BOU_65-2007 Defl_Impl"/>
      <sheetName val="VAB (65-2007K)miles"/>
      <sheetName val="VAB (65-2007C)miles"/>
      <sheetName val="VAB_Tv (65-2007K)"/>
      <sheetName val="VAB_defl-Impli 65-2007C"/>
      <sheetName val="VAB_EstrucPorcen (65-2007K)"/>
      <sheetName val="VAB Petrolero y No Petrolero"/>
      <sheetName val="PROD (65-2007K)miles"/>
      <sheetName val="PROD (65-2007C)miles"/>
      <sheetName val="PROD_Tv (65-2007K)"/>
      <sheetName val="CI (65-2007K)miles"/>
      <sheetName val="CI (65-2007C)miles"/>
      <sheetName val="CI_Tv (65-2007K)"/>
      <sheetName val="ETIQUET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72CCE-4C29-443A-997B-76F39D056BD4}">
  <dimension ref="A10:I117"/>
  <sheetViews>
    <sheetView topLeftCell="A18" workbookViewId="0">
      <selection activeCell="C1" sqref="A1:XFD1048576"/>
    </sheetView>
  </sheetViews>
  <sheetFormatPr baseColWidth="10" defaultColWidth="11.453125" defaultRowHeight="12.5" x14ac:dyDescent="0.25"/>
  <cols>
    <col min="1" max="1" width="55" style="2" customWidth="1"/>
    <col min="2" max="2" width="19.453125" style="3" customWidth="1"/>
    <col min="3" max="3" width="93.7265625" style="2" customWidth="1"/>
    <col min="4" max="8" width="20.26953125" style="2" customWidth="1"/>
    <col min="9" max="9" width="20.1796875" style="2" customWidth="1"/>
    <col min="10" max="16384" width="11.453125" style="2"/>
  </cols>
  <sheetData>
    <row r="10" spans="1:9" ht="15.5" x14ac:dyDescent="0.35">
      <c r="A10" s="1" t="s">
        <v>0</v>
      </c>
      <c r="B10" s="1"/>
      <c r="C10" s="1"/>
      <c r="D10" s="1"/>
      <c r="E10" s="1"/>
      <c r="F10" s="1"/>
      <c r="G10" s="1"/>
      <c r="H10" s="1"/>
    </row>
    <row r="11" spans="1:9" ht="15.5" x14ac:dyDescent="0.35">
      <c r="A11" s="1" t="s">
        <v>1</v>
      </c>
      <c r="B11" s="1"/>
      <c r="C11" s="1"/>
      <c r="D11" s="1"/>
      <c r="E11" s="1"/>
      <c r="F11" s="1"/>
      <c r="G11" s="1"/>
      <c r="H11" s="1"/>
    </row>
    <row r="12" spans="1:9" ht="13" thickBot="1" x14ac:dyDescent="0.3"/>
    <row r="13" spans="1:9" ht="14" thickTop="1" thickBot="1" x14ac:dyDescent="0.3">
      <c r="A13" s="4" t="s">
        <v>2</v>
      </c>
      <c r="B13" s="4" t="s">
        <v>3</v>
      </c>
      <c r="C13" s="4" t="s">
        <v>4</v>
      </c>
      <c r="D13" s="5">
        <v>2018</v>
      </c>
      <c r="E13" s="5">
        <v>2019</v>
      </c>
      <c r="F13" s="5">
        <v>2020</v>
      </c>
      <c r="G13" s="6">
        <v>2021</v>
      </c>
      <c r="H13" s="6">
        <v>2022</v>
      </c>
      <c r="I13" s="6" t="s">
        <v>10</v>
      </c>
    </row>
    <row r="14" spans="1:9" ht="13" thickTop="1" x14ac:dyDescent="0.25">
      <c r="A14" s="7" t="s">
        <v>11</v>
      </c>
      <c r="B14" s="8" t="s">
        <v>12</v>
      </c>
      <c r="C14" s="9" t="s">
        <v>13</v>
      </c>
      <c r="D14" s="10">
        <v>389.928</v>
      </c>
      <c r="E14" s="10">
        <v>410.649</v>
      </c>
      <c r="F14" s="10">
        <v>384.71499999999997</v>
      </c>
      <c r="G14" s="10">
        <v>432.45</v>
      </c>
      <c r="H14" s="10">
        <v>463.245</v>
      </c>
      <c r="I14" s="10">
        <v>477.30900000000003</v>
      </c>
    </row>
    <row r="15" spans="1:9" x14ac:dyDescent="0.25">
      <c r="A15" s="7"/>
      <c r="B15" s="8" t="s">
        <v>14</v>
      </c>
      <c r="C15" s="9" t="s">
        <v>15</v>
      </c>
      <c r="D15" s="10">
        <v>120.352</v>
      </c>
      <c r="E15" s="10">
        <v>123.794</v>
      </c>
      <c r="F15" s="10">
        <v>133.43</v>
      </c>
      <c r="G15" s="10">
        <v>98.774000000000001</v>
      </c>
      <c r="H15" s="10">
        <v>119.297</v>
      </c>
      <c r="I15" s="10">
        <v>162.02799999999999</v>
      </c>
    </row>
    <row r="16" spans="1:9" x14ac:dyDescent="0.25">
      <c r="A16" s="7"/>
      <c r="B16" s="8" t="s">
        <v>16</v>
      </c>
      <c r="C16" s="9" t="s">
        <v>17</v>
      </c>
      <c r="D16" s="10">
        <v>450.101</v>
      </c>
      <c r="E16" s="10">
        <v>467.22300000000001</v>
      </c>
      <c r="F16" s="10">
        <v>440.726</v>
      </c>
      <c r="G16" s="10">
        <v>478.94499999999999</v>
      </c>
      <c r="H16" s="10">
        <v>450.892</v>
      </c>
      <c r="I16" s="10">
        <v>539.87800000000004</v>
      </c>
    </row>
    <row r="17" spans="1:9" x14ac:dyDescent="0.25">
      <c r="A17" s="7"/>
      <c r="B17" s="8" t="s">
        <v>18</v>
      </c>
      <c r="C17" s="9" t="s">
        <v>19</v>
      </c>
      <c r="D17" s="10">
        <v>82.613</v>
      </c>
      <c r="E17" s="10">
        <v>100.48399999999999</v>
      </c>
      <c r="F17" s="10">
        <v>85.863</v>
      </c>
      <c r="G17" s="10">
        <v>86.843000000000004</v>
      </c>
      <c r="H17" s="10">
        <v>80.554000000000002</v>
      </c>
      <c r="I17" s="10">
        <v>88.155000000000001</v>
      </c>
    </row>
    <row r="18" spans="1:9" x14ac:dyDescent="0.25">
      <c r="A18" s="7"/>
      <c r="B18" s="8" t="s">
        <v>20</v>
      </c>
      <c r="C18" s="9" t="s">
        <v>21</v>
      </c>
      <c r="D18" s="10">
        <v>2590.3870000000002</v>
      </c>
      <c r="E18" s="10">
        <v>2614.194</v>
      </c>
      <c r="F18" s="10">
        <v>2679.4949999999999</v>
      </c>
      <c r="G18" s="10">
        <v>2620.1439999999998</v>
      </c>
      <c r="H18" s="10">
        <v>2556.1210000000001</v>
      </c>
      <c r="I18" s="10">
        <v>3095.1260000000002</v>
      </c>
    </row>
    <row r="19" spans="1:9" x14ac:dyDescent="0.25">
      <c r="A19" s="7"/>
      <c r="B19" s="8" t="s">
        <v>22</v>
      </c>
      <c r="C19" s="9" t="s">
        <v>23</v>
      </c>
      <c r="D19" s="10">
        <v>767.84199999999998</v>
      </c>
      <c r="E19" s="10">
        <v>807.36199999999997</v>
      </c>
      <c r="F19" s="10">
        <v>715.60900000000004</v>
      </c>
      <c r="G19" s="10">
        <v>756.86</v>
      </c>
      <c r="H19" s="10">
        <v>782.17499999999995</v>
      </c>
      <c r="I19" s="10">
        <v>839.447</v>
      </c>
    </row>
    <row r="20" spans="1:9" x14ac:dyDescent="0.25">
      <c r="A20" s="7"/>
      <c r="B20" s="8" t="s">
        <v>24</v>
      </c>
      <c r="C20" s="9" t="s">
        <v>25</v>
      </c>
      <c r="D20" s="10">
        <v>138.994</v>
      </c>
      <c r="E20" s="10">
        <v>136.45500000000001</v>
      </c>
      <c r="F20" s="10">
        <v>147.37</v>
      </c>
      <c r="G20" s="10">
        <v>205.917</v>
      </c>
      <c r="H20" s="10">
        <v>221.22200000000001</v>
      </c>
      <c r="I20" s="10">
        <v>228.71899999999999</v>
      </c>
    </row>
    <row r="21" spans="1:9" x14ac:dyDescent="0.25">
      <c r="A21" s="7"/>
      <c r="B21" s="8" t="s">
        <v>26</v>
      </c>
      <c r="C21" s="9" t="s">
        <v>27</v>
      </c>
      <c r="D21" s="10">
        <v>512.59900000000005</v>
      </c>
      <c r="E21" s="10">
        <v>514.47400000000005</v>
      </c>
      <c r="F21" s="10">
        <v>614.78700000000003</v>
      </c>
      <c r="G21" s="10">
        <v>622.11099999999999</v>
      </c>
      <c r="H21" s="10">
        <v>674.31500000000005</v>
      </c>
      <c r="I21" s="10">
        <v>926.10900000000004</v>
      </c>
    </row>
    <row r="22" spans="1:9" x14ac:dyDescent="0.25">
      <c r="A22" s="7"/>
      <c r="B22" s="8" t="s">
        <v>28</v>
      </c>
      <c r="C22" s="9" t="s">
        <v>29</v>
      </c>
      <c r="D22" s="10">
        <v>370.69200000000001</v>
      </c>
      <c r="E22" s="10">
        <v>379.30599999999998</v>
      </c>
      <c r="F22" s="10">
        <v>357.40199999999999</v>
      </c>
      <c r="G22" s="10">
        <v>387.35500000000002</v>
      </c>
      <c r="H22" s="10">
        <v>371.91899999999998</v>
      </c>
      <c r="I22" s="10">
        <v>377.08100000000002</v>
      </c>
    </row>
    <row r="23" spans="1:9" x14ac:dyDescent="0.25">
      <c r="A23" s="7"/>
      <c r="B23" s="8" t="s">
        <v>30</v>
      </c>
      <c r="C23" s="9" t="s">
        <v>31</v>
      </c>
      <c r="D23" s="10">
        <v>1022.501</v>
      </c>
      <c r="E23" s="10">
        <v>1064.623</v>
      </c>
      <c r="F23" s="10">
        <v>961.86300000000006</v>
      </c>
      <c r="G23" s="10">
        <v>1060.096</v>
      </c>
      <c r="H23" s="10">
        <v>1114.5429999999999</v>
      </c>
      <c r="I23" s="10">
        <v>1269.6679999999999</v>
      </c>
    </row>
    <row r="24" spans="1:9" x14ac:dyDescent="0.25">
      <c r="A24" s="7"/>
      <c r="B24" s="8" t="s">
        <v>32</v>
      </c>
      <c r="C24" s="9" t="s">
        <v>33</v>
      </c>
      <c r="D24" s="10">
        <v>443.87</v>
      </c>
      <c r="E24" s="10">
        <v>391.536</v>
      </c>
      <c r="F24" s="10">
        <v>284.44299999999998</v>
      </c>
      <c r="G24" s="10">
        <v>316.33199999999999</v>
      </c>
      <c r="H24" s="10">
        <v>284.48599999999999</v>
      </c>
      <c r="I24" s="10">
        <v>270.39699999999999</v>
      </c>
    </row>
    <row r="25" spans="1:9" s="14" customFormat="1" ht="13" x14ac:dyDescent="0.3">
      <c r="A25" s="11"/>
      <c r="B25" s="12" t="s">
        <v>34</v>
      </c>
      <c r="C25" s="12"/>
      <c r="D25" s="13">
        <v>6889.8789999999999</v>
      </c>
      <c r="E25" s="13">
        <v>7010.1</v>
      </c>
      <c r="F25" s="13">
        <v>6805.7030000000004</v>
      </c>
      <c r="G25" s="13">
        <v>7065.8269999999993</v>
      </c>
      <c r="H25" s="13">
        <v>7118.7689999999993</v>
      </c>
      <c r="I25" s="13">
        <v>8273.9170000000013</v>
      </c>
    </row>
    <row r="26" spans="1:9" x14ac:dyDescent="0.25">
      <c r="A26" s="7" t="s">
        <v>35</v>
      </c>
      <c r="B26" s="8" t="s">
        <v>36</v>
      </c>
      <c r="C26" s="9" t="s">
        <v>37</v>
      </c>
      <c r="D26" s="10">
        <v>1326.952</v>
      </c>
      <c r="E26" s="10">
        <v>1368.134</v>
      </c>
      <c r="F26" s="10">
        <v>1233.335</v>
      </c>
      <c r="G26" s="10">
        <v>1594.242</v>
      </c>
      <c r="H26" s="10">
        <v>1466.999</v>
      </c>
      <c r="I26" s="10">
        <v>1412.364</v>
      </c>
    </row>
    <row r="27" spans="1:9" s="14" customFormat="1" ht="13" x14ac:dyDescent="0.3">
      <c r="A27" s="11"/>
      <c r="B27" s="12" t="s">
        <v>38</v>
      </c>
      <c r="C27" s="12"/>
      <c r="D27" s="13">
        <v>1326.952</v>
      </c>
      <c r="E27" s="13">
        <v>1368.134</v>
      </c>
      <c r="F27" s="13">
        <v>1233.335</v>
      </c>
      <c r="G27" s="13">
        <v>1594.242</v>
      </c>
      <c r="H27" s="13">
        <v>1466.999</v>
      </c>
      <c r="I27" s="13">
        <v>1412.364</v>
      </c>
    </row>
    <row r="28" spans="1:9" x14ac:dyDescent="0.25">
      <c r="A28" s="7" t="s">
        <v>39</v>
      </c>
      <c r="B28" s="8" t="s">
        <v>40</v>
      </c>
      <c r="C28" s="9" t="s">
        <v>41</v>
      </c>
      <c r="D28" s="10">
        <v>2565.5419999999999</v>
      </c>
      <c r="E28" s="10">
        <v>2498.1619999999998</v>
      </c>
      <c r="F28" s="10">
        <v>1682.067</v>
      </c>
      <c r="G28" s="10">
        <v>2633.41</v>
      </c>
      <c r="H28" s="10">
        <v>3113.2939999999999</v>
      </c>
      <c r="I28" s="10">
        <v>2680.4609999999998</v>
      </c>
    </row>
    <row r="29" spans="1:9" x14ac:dyDescent="0.25">
      <c r="A29" s="7"/>
      <c r="B29" s="8" t="s">
        <v>42</v>
      </c>
      <c r="C29" s="9" t="s">
        <v>43</v>
      </c>
      <c r="D29" s="10">
        <v>5568.5519999999997</v>
      </c>
      <c r="E29" s="10">
        <v>5053.0990000000002</v>
      </c>
      <c r="F29" s="10">
        <v>2739.4470000000001</v>
      </c>
      <c r="G29" s="10">
        <v>4965.9359999999997</v>
      </c>
      <c r="H29" s="10">
        <v>7420.29</v>
      </c>
      <c r="I29" s="10">
        <v>5332.4719999999998</v>
      </c>
    </row>
    <row r="30" spans="1:9" x14ac:dyDescent="0.25">
      <c r="A30" s="7"/>
      <c r="B30" s="8" t="s">
        <v>44</v>
      </c>
      <c r="C30" s="9" t="s">
        <v>45</v>
      </c>
      <c r="D30" s="10">
        <v>215.488</v>
      </c>
      <c r="E30" s="10">
        <v>238.804</v>
      </c>
      <c r="F30" s="10">
        <v>611.13199999999995</v>
      </c>
      <c r="G30" s="10">
        <v>1310.6849999999999</v>
      </c>
      <c r="H30" s="10">
        <v>1603.6579999999999</v>
      </c>
      <c r="I30" s="10">
        <v>1963.998</v>
      </c>
    </row>
    <row r="31" spans="1:9" x14ac:dyDescent="0.25">
      <c r="A31" s="7"/>
      <c r="B31" s="8" t="s">
        <v>46</v>
      </c>
      <c r="C31" s="9" t="s">
        <v>47</v>
      </c>
      <c r="D31" s="10">
        <v>132.209</v>
      </c>
      <c r="E31" s="10">
        <v>121.577</v>
      </c>
      <c r="F31" s="10">
        <v>98.322000000000003</v>
      </c>
      <c r="G31" s="10">
        <v>117.367</v>
      </c>
      <c r="H31" s="10">
        <v>97.667000000000002</v>
      </c>
      <c r="I31" s="10">
        <v>128.28200000000001</v>
      </c>
    </row>
    <row r="32" spans="1:9" s="14" customFormat="1" ht="13" x14ac:dyDescent="0.3">
      <c r="A32" s="11"/>
      <c r="B32" s="12" t="s">
        <v>48</v>
      </c>
      <c r="C32" s="12"/>
      <c r="D32" s="13">
        <v>8481.7909999999993</v>
      </c>
      <c r="E32" s="13">
        <v>7911.6420000000007</v>
      </c>
      <c r="F32" s="13">
        <v>5130.9679999999998</v>
      </c>
      <c r="G32" s="13">
        <v>9027.3979999999992</v>
      </c>
      <c r="H32" s="13">
        <v>12234.908999999998</v>
      </c>
      <c r="I32" s="13">
        <v>10105.212999999998</v>
      </c>
    </row>
    <row r="33" spans="1:9" x14ac:dyDescent="0.25">
      <c r="A33" s="7" t="s">
        <v>49</v>
      </c>
      <c r="B33" s="8" t="s">
        <v>50</v>
      </c>
      <c r="C33" s="9" t="s">
        <v>51</v>
      </c>
      <c r="D33" s="10">
        <v>993.327</v>
      </c>
      <c r="E33" s="10">
        <v>1026.5930000000001</v>
      </c>
      <c r="F33" s="10">
        <v>959.84500000000003</v>
      </c>
      <c r="G33" s="10">
        <v>1025.3699999999999</v>
      </c>
      <c r="H33" s="10">
        <v>1049.1969999999999</v>
      </c>
      <c r="I33" s="10">
        <v>1107.3330000000001</v>
      </c>
    </row>
    <row r="34" spans="1:9" x14ac:dyDescent="0.25">
      <c r="A34" s="7"/>
      <c r="B34" s="8" t="s">
        <v>52</v>
      </c>
      <c r="C34" s="9" t="s">
        <v>53</v>
      </c>
      <c r="D34" s="10">
        <v>474.22199999999998</v>
      </c>
      <c r="E34" s="10">
        <v>498.267</v>
      </c>
      <c r="F34" s="10">
        <v>567.70299999999997</v>
      </c>
      <c r="G34" s="10">
        <v>521.19899999999996</v>
      </c>
      <c r="H34" s="10">
        <v>565.83699999999999</v>
      </c>
      <c r="I34" s="10">
        <v>622.15</v>
      </c>
    </row>
    <row r="35" spans="1:9" x14ac:dyDescent="0.25">
      <c r="A35" s="7"/>
      <c r="B35" s="8" t="s">
        <v>54</v>
      </c>
      <c r="C35" s="9" t="s">
        <v>55</v>
      </c>
      <c r="D35" s="10">
        <v>1162.5609999999999</v>
      </c>
      <c r="E35" s="10">
        <v>1300.0409999999999</v>
      </c>
      <c r="F35" s="10">
        <v>1496.3320000000001</v>
      </c>
      <c r="G35" s="10">
        <v>1895.38</v>
      </c>
      <c r="H35" s="10">
        <v>2941.9459999999999</v>
      </c>
      <c r="I35" s="10">
        <v>2994.1509999999998</v>
      </c>
    </row>
    <row r="36" spans="1:9" x14ac:dyDescent="0.25">
      <c r="A36" s="7"/>
      <c r="B36" s="8" t="s">
        <v>56</v>
      </c>
      <c r="C36" s="9" t="s">
        <v>57</v>
      </c>
      <c r="D36" s="10">
        <v>364.37599999999998</v>
      </c>
      <c r="E36" s="10">
        <v>321.47899999999998</v>
      </c>
      <c r="F36" s="10">
        <v>289.755</v>
      </c>
      <c r="G36" s="10">
        <v>311.05099999999999</v>
      </c>
      <c r="H36" s="10">
        <v>404.08600000000001</v>
      </c>
      <c r="I36" s="10">
        <v>388.18099999999998</v>
      </c>
    </row>
    <row r="37" spans="1:9" x14ac:dyDescent="0.25">
      <c r="A37" s="7"/>
      <c r="B37" s="8" t="s">
        <v>58</v>
      </c>
      <c r="C37" s="9" t="s">
        <v>59</v>
      </c>
      <c r="D37" s="10">
        <v>713.93499999999995</v>
      </c>
      <c r="E37" s="10">
        <v>629.52099999999996</v>
      </c>
      <c r="F37" s="10">
        <v>575.822</v>
      </c>
      <c r="G37" s="10">
        <v>582.97199999999998</v>
      </c>
      <c r="H37" s="10">
        <v>541.33399999999995</v>
      </c>
      <c r="I37" s="10">
        <v>635.84699999999998</v>
      </c>
    </row>
    <row r="38" spans="1:9" x14ac:dyDescent="0.25">
      <c r="A38" s="7"/>
      <c r="B38" s="8" t="s">
        <v>60</v>
      </c>
      <c r="C38" s="9" t="s">
        <v>61</v>
      </c>
      <c r="D38" s="10">
        <v>324.01499999999999</v>
      </c>
      <c r="E38" s="10">
        <v>319.25799999999998</v>
      </c>
      <c r="F38" s="10">
        <v>298.65800000000002</v>
      </c>
      <c r="G38" s="10">
        <v>289.20499999999998</v>
      </c>
      <c r="H38" s="10">
        <v>310.83600000000001</v>
      </c>
      <c r="I38" s="10">
        <v>370.827</v>
      </c>
    </row>
    <row r="39" spans="1:9" x14ac:dyDescent="0.25">
      <c r="A39" s="7"/>
      <c r="B39" s="8" t="s">
        <v>62</v>
      </c>
      <c r="C39" s="9" t="s">
        <v>63</v>
      </c>
      <c r="D39" s="10">
        <v>701.58799999999997</v>
      </c>
      <c r="E39" s="10">
        <v>710.66600000000005</v>
      </c>
      <c r="F39" s="10">
        <v>643.47</v>
      </c>
      <c r="G39" s="10">
        <v>623.053</v>
      </c>
      <c r="H39" s="10">
        <v>603.47</v>
      </c>
      <c r="I39" s="10">
        <v>732.87599999999998</v>
      </c>
    </row>
    <row r="40" spans="1:9" x14ac:dyDescent="0.25">
      <c r="A40" s="7"/>
      <c r="B40" s="8" t="s">
        <v>64</v>
      </c>
      <c r="C40" s="9" t="s">
        <v>65</v>
      </c>
      <c r="D40" s="10">
        <v>189.374</v>
      </c>
      <c r="E40" s="10">
        <v>190.93100000000001</v>
      </c>
      <c r="F40" s="10">
        <v>158.16800000000001</v>
      </c>
      <c r="G40" s="10">
        <v>183.77099999999999</v>
      </c>
      <c r="H40" s="10">
        <v>208.38800000000001</v>
      </c>
      <c r="I40" s="10">
        <v>278.51400000000001</v>
      </c>
    </row>
    <row r="41" spans="1:9" x14ac:dyDescent="0.25">
      <c r="A41" s="7"/>
      <c r="B41" s="8" t="s">
        <v>66</v>
      </c>
      <c r="C41" s="9" t="s">
        <v>67</v>
      </c>
      <c r="D41" s="10">
        <v>118.72499999999999</v>
      </c>
      <c r="E41" s="10">
        <v>103.485</v>
      </c>
      <c r="F41" s="10">
        <v>76.233000000000004</v>
      </c>
      <c r="G41" s="10">
        <v>107.361</v>
      </c>
      <c r="H41" s="10">
        <v>111.351</v>
      </c>
      <c r="I41" s="10">
        <v>114.202</v>
      </c>
    </row>
    <row r="42" spans="1:9" x14ac:dyDescent="0.25">
      <c r="A42" s="7"/>
      <c r="B42" s="8" t="s">
        <v>68</v>
      </c>
      <c r="C42" s="9" t="s">
        <v>69</v>
      </c>
      <c r="D42" s="10">
        <v>70.703000000000003</v>
      </c>
      <c r="E42" s="10">
        <v>78.507000000000005</v>
      </c>
      <c r="F42" s="10">
        <v>76.143000000000001</v>
      </c>
      <c r="G42" s="10">
        <v>68.674999999999997</v>
      </c>
      <c r="H42" s="10">
        <v>75.346999999999994</v>
      </c>
      <c r="I42" s="10">
        <v>103.818</v>
      </c>
    </row>
    <row r="43" spans="1:9" x14ac:dyDescent="0.25">
      <c r="A43" s="7"/>
      <c r="B43" s="8" t="s">
        <v>70</v>
      </c>
      <c r="C43" s="9" t="s">
        <v>71</v>
      </c>
      <c r="D43" s="10">
        <v>63.81</v>
      </c>
      <c r="E43" s="10">
        <v>57.503</v>
      </c>
      <c r="F43" s="10">
        <v>65.709999999999994</v>
      </c>
      <c r="G43" s="10">
        <v>70.433999999999997</v>
      </c>
      <c r="H43" s="10">
        <v>69.167000000000002</v>
      </c>
      <c r="I43" s="10">
        <v>84.924000000000007</v>
      </c>
    </row>
    <row r="44" spans="1:9" x14ac:dyDescent="0.25">
      <c r="A44" s="7"/>
      <c r="B44" s="8" t="s">
        <v>72</v>
      </c>
      <c r="C44" s="9" t="s">
        <v>73</v>
      </c>
      <c r="D44" s="10">
        <v>308.63099999999997</v>
      </c>
      <c r="E44" s="10">
        <v>355.63099999999997</v>
      </c>
      <c r="F44" s="10">
        <v>406.43900000000002</v>
      </c>
      <c r="G44" s="10">
        <v>462.56099999999998</v>
      </c>
      <c r="H44" s="10">
        <v>486.70499999999998</v>
      </c>
      <c r="I44" s="10">
        <v>475.53699999999998</v>
      </c>
    </row>
    <row r="45" spans="1:9" x14ac:dyDescent="0.25">
      <c r="A45" s="7"/>
      <c r="B45" s="8" t="s">
        <v>74</v>
      </c>
      <c r="C45" s="9" t="s">
        <v>75</v>
      </c>
      <c r="D45" s="10">
        <v>355.33699999999999</v>
      </c>
      <c r="E45" s="10">
        <v>373.161</v>
      </c>
      <c r="F45" s="10">
        <v>390.60700000000003</v>
      </c>
      <c r="G45" s="10">
        <v>410.94400000000002</v>
      </c>
      <c r="H45" s="10">
        <v>445.267</v>
      </c>
      <c r="I45" s="10">
        <v>498.06200000000001</v>
      </c>
    </row>
    <row r="46" spans="1:9" x14ac:dyDescent="0.25">
      <c r="A46" s="7"/>
      <c r="B46" s="8" t="s">
        <v>76</v>
      </c>
      <c r="C46" s="9" t="s">
        <v>77</v>
      </c>
      <c r="D46" s="10">
        <v>37.670999999999999</v>
      </c>
      <c r="E46" s="10">
        <v>31.318999999999999</v>
      </c>
      <c r="F46" s="10">
        <v>30.361999999999998</v>
      </c>
      <c r="G46" s="10">
        <v>30.390999999999998</v>
      </c>
      <c r="H46" s="10">
        <v>35.494999999999997</v>
      </c>
      <c r="I46" s="10">
        <v>40.948999999999998</v>
      </c>
    </row>
    <row r="47" spans="1:9" s="14" customFormat="1" ht="13" x14ac:dyDescent="0.3">
      <c r="A47" s="11"/>
      <c r="B47" s="12" t="s">
        <v>78</v>
      </c>
      <c r="C47" s="12"/>
      <c r="D47" s="13">
        <v>5878.2750000000015</v>
      </c>
      <c r="E47" s="13">
        <v>5996.3619999999992</v>
      </c>
      <c r="F47" s="13">
        <v>6035.2470000000012</v>
      </c>
      <c r="G47" s="13">
        <v>6582.3669999999993</v>
      </c>
      <c r="H47" s="13">
        <v>7848.4259999999995</v>
      </c>
      <c r="I47" s="13">
        <v>8447.371000000001</v>
      </c>
    </row>
    <row r="48" spans="1:9" x14ac:dyDescent="0.25">
      <c r="A48" s="7" t="s">
        <v>79</v>
      </c>
      <c r="B48" s="8" t="s">
        <v>80</v>
      </c>
      <c r="C48" s="9" t="s">
        <v>81</v>
      </c>
      <c r="D48" s="10">
        <v>300.113</v>
      </c>
      <c r="E48" s="10">
        <v>256.75099999999998</v>
      </c>
      <c r="F48" s="10">
        <v>216.173</v>
      </c>
      <c r="G48" s="10">
        <v>210.66499999999999</v>
      </c>
      <c r="H48" s="10">
        <v>205.33699999999999</v>
      </c>
      <c r="I48" s="10">
        <v>248.39500000000001</v>
      </c>
    </row>
    <row r="49" spans="1:9" x14ac:dyDescent="0.25">
      <c r="A49" s="7"/>
      <c r="B49" s="8" t="s">
        <v>82</v>
      </c>
      <c r="C49" s="9" t="s">
        <v>83</v>
      </c>
      <c r="D49" s="10">
        <v>452.42599999999999</v>
      </c>
      <c r="E49" s="10">
        <v>325.887</v>
      </c>
      <c r="F49" s="10">
        <v>241.386</v>
      </c>
      <c r="G49" s="10">
        <v>299.53899999999999</v>
      </c>
      <c r="H49" s="10">
        <v>275.399</v>
      </c>
      <c r="I49" s="10">
        <v>270.15300000000002</v>
      </c>
    </row>
    <row r="50" spans="1:9" x14ac:dyDescent="0.25">
      <c r="A50" s="7"/>
      <c r="B50" s="8" t="s">
        <v>84</v>
      </c>
      <c r="C50" s="9" t="s">
        <v>85</v>
      </c>
      <c r="D50" s="10">
        <v>24.318999999999999</v>
      </c>
      <c r="E50" s="10">
        <v>18.411000000000001</v>
      </c>
      <c r="F50" s="10">
        <v>11.315</v>
      </c>
      <c r="G50" s="10">
        <v>0.89100000000000001</v>
      </c>
      <c r="H50" s="10">
        <v>0</v>
      </c>
      <c r="I50" s="10">
        <v>0</v>
      </c>
    </row>
    <row r="51" spans="1:9" x14ac:dyDescent="0.25">
      <c r="A51" s="7"/>
      <c r="B51" s="8" t="s">
        <v>86</v>
      </c>
      <c r="C51" s="9" t="s">
        <v>87</v>
      </c>
      <c r="D51" s="10">
        <v>214.1</v>
      </c>
      <c r="E51" s="10">
        <v>206.209</v>
      </c>
      <c r="F51" s="10">
        <v>154.465</v>
      </c>
      <c r="G51" s="10">
        <v>179.82900000000001</v>
      </c>
      <c r="H51" s="10">
        <v>193.352</v>
      </c>
      <c r="I51" s="10">
        <v>196.249</v>
      </c>
    </row>
    <row r="52" spans="1:9" x14ac:dyDescent="0.25">
      <c r="A52" s="7"/>
      <c r="B52" s="8" t="s">
        <v>88</v>
      </c>
      <c r="C52" s="9" t="s">
        <v>89</v>
      </c>
      <c r="D52" s="10">
        <v>493.11500000000001</v>
      </c>
      <c r="E52" s="10">
        <v>478.1</v>
      </c>
      <c r="F52" s="10">
        <v>346.73599999999999</v>
      </c>
      <c r="G52" s="10">
        <v>413.10500000000002</v>
      </c>
      <c r="H52" s="10">
        <v>425.51400000000001</v>
      </c>
      <c r="I52" s="10">
        <v>505.35500000000002</v>
      </c>
    </row>
    <row r="53" spans="1:9" x14ac:dyDescent="0.25">
      <c r="A53" s="7"/>
      <c r="B53" s="8" t="s">
        <v>90</v>
      </c>
      <c r="C53" s="9" t="s">
        <v>91</v>
      </c>
      <c r="D53" s="10">
        <v>158.91900000000001</v>
      </c>
      <c r="E53" s="10">
        <v>154.619</v>
      </c>
      <c r="F53" s="10">
        <v>90.659000000000006</v>
      </c>
      <c r="G53" s="10">
        <v>99.635000000000005</v>
      </c>
      <c r="H53" s="10">
        <v>107.328</v>
      </c>
      <c r="I53" s="10">
        <v>118.10599999999999</v>
      </c>
    </row>
    <row r="54" spans="1:9" x14ac:dyDescent="0.25">
      <c r="A54" s="7"/>
      <c r="B54" s="8" t="s">
        <v>92</v>
      </c>
      <c r="C54" s="9" t="s">
        <v>93</v>
      </c>
      <c r="D54" s="10">
        <v>400.16399999999999</v>
      </c>
      <c r="E54" s="10">
        <v>429.73200000000003</v>
      </c>
      <c r="F54" s="10">
        <v>472.73599999999999</v>
      </c>
      <c r="G54" s="10">
        <v>379.13499999999999</v>
      </c>
      <c r="H54" s="10">
        <v>395.06099999999998</v>
      </c>
      <c r="I54" s="10">
        <v>402.34199999999998</v>
      </c>
    </row>
    <row r="55" spans="1:9" x14ac:dyDescent="0.25">
      <c r="A55" s="7"/>
      <c r="B55" s="8" t="s">
        <v>94</v>
      </c>
      <c r="C55" s="9" t="s">
        <v>95</v>
      </c>
      <c r="D55" s="10">
        <v>577.35</v>
      </c>
      <c r="E55" s="10">
        <v>574.13900000000001</v>
      </c>
      <c r="F55" s="10">
        <v>520.875</v>
      </c>
      <c r="G55" s="10">
        <v>528.274</v>
      </c>
      <c r="H55" s="10">
        <v>628.22299999999996</v>
      </c>
      <c r="I55" s="10">
        <v>525.45100000000002</v>
      </c>
    </row>
    <row r="56" spans="1:9" x14ac:dyDescent="0.25">
      <c r="A56" s="7"/>
      <c r="B56" s="8" t="s">
        <v>96</v>
      </c>
      <c r="C56" s="9" t="s">
        <v>97</v>
      </c>
      <c r="D56" s="10">
        <v>323.01299999999998</v>
      </c>
      <c r="E56" s="10">
        <v>323.846</v>
      </c>
      <c r="F56" s="10">
        <v>255.57499999999999</v>
      </c>
      <c r="G56" s="10">
        <v>230.91499999999999</v>
      </c>
      <c r="H56" s="10">
        <v>232.244</v>
      </c>
      <c r="I56" s="10">
        <v>308.67200000000003</v>
      </c>
    </row>
    <row r="57" spans="1:9" x14ac:dyDescent="0.25">
      <c r="A57" s="7"/>
      <c r="B57" s="8" t="s">
        <v>98</v>
      </c>
      <c r="C57" s="9" t="s">
        <v>99</v>
      </c>
      <c r="D57" s="10">
        <v>199.97499999999999</v>
      </c>
      <c r="E57" s="10">
        <v>195.63800000000001</v>
      </c>
      <c r="F57" s="10">
        <v>209.40700000000001</v>
      </c>
      <c r="G57" s="10">
        <v>239.99700000000001</v>
      </c>
      <c r="H57" s="10">
        <v>229.63399999999999</v>
      </c>
      <c r="I57" s="10">
        <v>233.398</v>
      </c>
    </row>
    <row r="58" spans="1:9" x14ac:dyDescent="0.25">
      <c r="A58" s="7"/>
      <c r="B58" s="8" t="s">
        <v>100</v>
      </c>
      <c r="C58" s="9" t="s">
        <v>101</v>
      </c>
      <c r="D58" s="10">
        <v>446.64400000000001</v>
      </c>
      <c r="E58" s="10">
        <v>411.75700000000001</v>
      </c>
      <c r="F58" s="10">
        <v>363.99799999999999</v>
      </c>
      <c r="G58" s="10">
        <v>412.96699999999998</v>
      </c>
      <c r="H58" s="10">
        <v>434.65699999999998</v>
      </c>
      <c r="I58" s="10">
        <v>423.137</v>
      </c>
    </row>
    <row r="59" spans="1:9" x14ac:dyDescent="0.25">
      <c r="A59" s="7"/>
      <c r="B59" s="8" t="s">
        <v>102</v>
      </c>
      <c r="C59" s="9" t="s">
        <v>103</v>
      </c>
      <c r="D59" s="10">
        <v>190.45500000000001</v>
      </c>
      <c r="E59" s="10">
        <v>197.535</v>
      </c>
      <c r="F59" s="10">
        <v>218.13200000000001</v>
      </c>
      <c r="G59" s="10">
        <v>245.25</v>
      </c>
      <c r="H59" s="10">
        <v>243.34200000000001</v>
      </c>
      <c r="I59" s="10">
        <v>242.881</v>
      </c>
    </row>
    <row r="60" spans="1:9" x14ac:dyDescent="0.25">
      <c r="A60" s="7"/>
      <c r="B60" s="8" t="s">
        <v>104</v>
      </c>
      <c r="C60" s="9" t="s">
        <v>105</v>
      </c>
      <c r="D60" s="10">
        <v>82.29</v>
      </c>
      <c r="E60" s="10">
        <v>75.093999999999994</v>
      </c>
      <c r="F60" s="10">
        <v>55.194000000000003</v>
      </c>
      <c r="G60" s="10">
        <v>65.494</v>
      </c>
      <c r="H60" s="10">
        <v>75.747</v>
      </c>
      <c r="I60" s="10">
        <v>87.902000000000001</v>
      </c>
    </row>
    <row r="61" spans="1:9" x14ac:dyDescent="0.25">
      <c r="A61" s="7"/>
      <c r="B61" s="8" t="s">
        <v>106</v>
      </c>
      <c r="C61" s="9" t="s">
        <v>107</v>
      </c>
      <c r="D61" s="10">
        <v>426.70100000000002</v>
      </c>
      <c r="E61" s="10">
        <v>445.02800000000002</v>
      </c>
      <c r="F61" s="10">
        <v>393.00599999999997</v>
      </c>
      <c r="G61" s="10">
        <v>434.46600000000001</v>
      </c>
      <c r="H61" s="10">
        <v>443.40199999999999</v>
      </c>
      <c r="I61" s="10">
        <v>541.25300000000004</v>
      </c>
    </row>
    <row r="62" spans="1:9" x14ac:dyDescent="0.25">
      <c r="A62" s="7"/>
      <c r="B62" s="8" t="s">
        <v>108</v>
      </c>
      <c r="C62" s="9" t="s">
        <v>109</v>
      </c>
      <c r="D62" s="10">
        <v>154.625</v>
      </c>
      <c r="E62" s="10">
        <v>141.36600000000001</v>
      </c>
      <c r="F62" s="10">
        <v>110.399</v>
      </c>
      <c r="G62" s="10">
        <v>147.56700000000001</v>
      </c>
      <c r="H62" s="10">
        <v>152.76599999999999</v>
      </c>
      <c r="I62" s="10">
        <v>138.703</v>
      </c>
    </row>
    <row r="63" spans="1:9" x14ac:dyDescent="0.25">
      <c r="A63" s="7"/>
      <c r="B63" s="8" t="s">
        <v>110</v>
      </c>
      <c r="C63" s="9" t="s">
        <v>111</v>
      </c>
      <c r="D63" s="10">
        <v>460.22899999999998</v>
      </c>
      <c r="E63" s="10">
        <v>438.51100000000002</v>
      </c>
      <c r="F63" s="10">
        <v>359.41</v>
      </c>
      <c r="G63" s="10">
        <v>425.286</v>
      </c>
      <c r="H63" s="10">
        <v>442.44600000000003</v>
      </c>
      <c r="I63" s="10">
        <v>429.88900000000001</v>
      </c>
    </row>
    <row r="64" spans="1:9" x14ac:dyDescent="0.25">
      <c r="A64" s="7"/>
      <c r="B64" s="8" t="s">
        <v>112</v>
      </c>
      <c r="C64" s="9" t="s">
        <v>113</v>
      </c>
      <c r="D64" s="10">
        <v>288.44499999999999</v>
      </c>
      <c r="E64" s="10">
        <v>281.98399999999998</v>
      </c>
      <c r="F64" s="10">
        <v>257.47800000000001</v>
      </c>
      <c r="G64" s="10">
        <v>441.529</v>
      </c>
      <c r="H64" s="10">
        <v>360.654</v>
      </c>
      <c r="I64" s="10">
        <v>418.149</v>
      </c>
    </row>
    <row r="65" spans="1:9" x14ac:dyDescent="0.25">
      <c r="A65" s="7"/>
      <c r="B65" s="8" t="s">
        <v>114</v>
      </c>
      <c r="C65" s="9" t="s">
        <v>115</v>
      </c>
      <c r="D65" s="10">
        <v>637.84199999999998</v>
      </c>
      <c r="E65" s="10">
        <v>589.47400000000005</v>
      </c>
      <c r="F65" s="10">
        <v>538.65700000000004</v>
      </c>
      <c r="G65" s="10">
        <v>555.76</v>
      </c>
      <c r="H65" s="10">
        <v>447.47300000000001</v>
      </c>
      <c r="I65" s="10">
        <v>510.88299999999998</v>
      </c>
    </row>
    <row r="66" spans="1:9" x14ac:dyDescent="0.25">
      <c r="A66" s="7"/>
      <c r="B66" s="8" t="s">
        <v>116</v>
      </c>
      <c r="C66" s="9" t="s">
        <v>117</v>
      </c>
      <c r="D66" s="10">
        <v>76.965000000000003</v>
      </c>
      <c r="E66" s="10">
        <v>64.650999999999996</v>
      </c>
      <c r="F66" s="10">
        <v>57.682000000000002</v>
      </c>
      <c r="G66" s="10">
        <v>66.903000000000006</v>
      </c>
      <c r="H66" s="10">
        <v>65.936000000000007</v>
      </c>
      <c r="I66" s="10">
        <v>136.535</v>
      </c>
    </row>
    <row r="67" spans="1:9" x14ac:dyDescent="0.25">
      <c r="A67" s="7"/>
      <c r="B67" s="8" t="s">
        <v>118</v>
      </c>
      <c r="C67" s="9" t="s">
        <v>119</v>
      </c>
      <c r="D67" s="10">
        <v>176.52799999999999</v>
      </c>
      <c r="E67" s="10">
        <v>187.34700000000001</v>
      </c>
      <c r="F67" s="10">
        <v>165.27199999999999</v>
      </c>
      <c r="G67" s="10">
        <v>203.31100000000001</v>
      </c>
      <c r="H67" s="10">
        <v>185.25399999999999</v>
      </c>
      <c r="I67" s="10">
        <v>253.49799999999999</v>
      </c>
    </row>
    <row r="68" spans="1:9" x14ac:dyDescent="0.25">
      <c r="A68" s="7"/>
      <c r="B68" s="8" t="s">
        <v>120</v>
      </c>
      <c r="C68" s="9" t="s">
        <v>121</v>
      </c>
      <c r="D68" s="10">
        <v>127.827</v>
      </c>
      <c r="E68" s="10">
        <v>122.63800000000001</v>
      </c>
      <c r="F68" s="10">
        <v>111.146</v>
      </c>
      <c r="G68" s="10">
        <v>122.267</v>
      </c>
      <c r="H68" s="10">
        <v>136.4</v>
      </c>
      <c r="I68" s="10">
        <v>134.72</v>
      </c>
    </row>
    <row r="69" spans="1:9" x14ac:dyDescent="0.25">
      <c r="A69" s="7"/>
      <c r="B69" s="8" t="s">
        <v>122</v>
      </c>
      <c r="C69" s="9" t="s">
        <v>123</v>
      </c>
      <c r="D69" s="10">
        <v>184.20400000000001</v>
      </c>
      <c r="E69" s="10">
        <v>163.63900000000001</v>
      </c>
      <c r="F69" s="10">
        <v>70.230999999999995</v>
      </c>
      <c r="G69" s="10">
        <v>117.33199999999999</v>
      </c>
      <c r="H69" s="10">
        <v>138.703</v>
      </c>
      <c r="I69" s="10">
        <v>168.042</v>
      </c>
    </row>
    <row r="70" spans="1:9" x14ac:dyDescent="0.25">
      <c r="A70" s="7"/>
      <c r="B70" s="8" t="s">
        <v>124</v>
      </c>
      <c r="C70" s="9" t="s">
        <v>125</v>
      </c>
      <c r="D70" s="10">
        <v>308.041</v>
      </c>
      <c r="E70" s="10">
        <v>310.97000000000003</v>
      </c>
      <c r="F70" s="10">
        <v>232.83799999999999</v>
      </c>
      <c r="G70" s="10">
        <v>245.06299999999999</v>
      </c>
      <c r="H70" s="10">
        <v>256.74200000000002</v>
      </c>
      <c r="I70" s="10">
        <v>312.26</v>
      </c>
    </row>
    <row r="71" spans="1:9" x14ac:dyDescent="0.25">
      <c r="A71" s="7"/>
      <c r="B71" s="8" t="s">
        <v>126</v>
      </c>
      <c r="C71" s="9" t="s">
        <v>127</v>
      </c>
      <c r="D71" s="10">
        <v>319.06</v>
      </c>
      <c r="E71" s="10">
        <v>319.89100000000002</v>
      </c>
      <c r="F71" s="10">
        <v>251.73400000000001</v>
      </c>
      <c r="G71" s="10">
        <v>341.02</v>
      </c>
      <c r="H71" s="10">
        <v>374.774</v>
      </c>
      <c r="I71" s="10">
        <v>424.964</v>
      </c>
    </row>
    <row r="72" spans="1:9" s="14" customFormat="1" ht="13" x14ac:dyDescent="0.3">
      <c r="A72" s="11"/>
      <c r="B72" s="12" t="s">
        <v>128</v>
      </c>
      <c r="C72" s="12"/>
      <c r="D72" s="13">
        <v>7023.35</v>
      </c>
      <c r="E72" s="13">
        <v>6713.2170000000006</v>
      </c>
      <c r="F72" s="13">
        <v>5704.503999999999</v>
      </c>
      <c r="G72" s="13">
        <v>6406.2000000000007</v>
      </c>
      <c r="H72" s="13">
        <v>6450.3879999999999</v>
      </c>
      <c r="I72" s="13">
        <v>7030.9370000000008</v>
      </c>
    </row>
    <row r="73" spans="1:9" x14ac:dyDescent="0.25">
      <c r="A73" s="7" t="s">
        <v>129</v>
      </c>
      <c r="B73" s="8" t="s">
        <v>130</v>
      </c>
      <c r="C73" s="9" t="s">
        <v>131</v>
      </c>
      <c r="D73" s="10">
        <v>1464.3440000000001</v>
      </c>
      <c r="E73" s="10">
        <v>931.94299999999998</v>
      </c>
      <c r="F73" s="10">
        <v>666.97900000000004</v>
      </c>
      <c r="G73" s="10">
        <v>955.47400000000005</v>
      </c>
      <c r="H73" s="10">
        <v>664.62599999999998</v>
      </c>
      <c r="I73" s="10">
        <v>633.61</v>
      </c>
    </row>
    <row r="74" spans="1:9" s="14" customFormat="1" ht="13" x14ac:dyDescent="0.3">
      <c r="A74" s="11"/>
      <c r="B74" s="12" t="s">
        <v>132</v>
      </c>
      <c r="C74" s="12"/>
      <c r="D74" s="13">
        <v>1464.3440000000001</v>
      </c>
      <c r="E74" s="13">
        <v>931.94299999999998</v>
      </c>
      <c r="F74" s="13">
        <v>666.97900000000004</v>
      </c>
      <c r="G74" s="13">
        <v>955.47400000000005</v>
      </c>
      <c r="H74" s="13">
        <v>664.62599999999998</v>
      </c>
      <c r="I74" s="13">
        <v>633.61</v>
      </c>
    </row>
    <row r="75" spans="1:9" x14ac:dyDescent="0.25">
      <c r="A75" s="7" t="s">
        <v>133</v>
      </c>
      <c r="B75" s="8" t="s">
        <v>134</v>
      </c>
      <c r="C75" s="9" t="s">
        <v>135</v>
      </c>
      <c r="D75" s="10">
        <v>1425.173</v>
      </c>
      <c r="E75" s="10">
        <v>1608.52</v>
      </c>
      <c r="F75" s="10">
        <v>1512.4359999999999</v>
      </c>
      <c r="G75" s="10">
        <v>1601.4939999999999</v>
      </c>
      <c r="H75" s="10">
        <v>1681.6559999999999</v>
      </c>
      <c r="I75" s="10">
        <v>1549.03</v>
      </c>
    </row>
    <row r="76" spans="1:9" x14ac:dyDescent="0.25">
      <c r="A76" s="7"/>
      <c r="B76" s="8" t="s">
        <v>136</v>
      </c>
      <c r="C76" s="9" t="s">
        <v>137</v>
      </c>
      <c r="D76" s="10">
        <v>333.22199999999998</v>
      </c>
      <c r="E76" s="10">
        <v>388.52600000000001</v>
      </c>
      <c r="F76" s="10">
        <v>321.22899999999998</v>
      </c>
      <c r="G76" s="10">
        <v>414.42200000000003</v>
      </c>
      <c r="H76" s="10">
        <v>447.91199999999998</v>
      </c>
      <c r="I76" s="10">
        <v>494.07900000000001</v>
      </c>
    </row>
    <row r="77" spans="1:9" s="14" customFormat="1" ht="13" x14ac:dyDescent="0.3">
      <c r="A77" s="11"/>
      <c r="B77" s="12" t="s">
        <v>138</v>
      </c>
      <c r="C77" s="12"/>
      <c r="D77" s="13">
        <v>1758.395</v>
      </c>
      <c r="E77" s="13">
        <v>1997.046</v>
      </c>
      <c r="F77" s="13">
        <v>1833.665</v>
      </c>
      <c r="G77" s="13">
        <v>2015.9159999999999</v>
      </c>
      <c r="H77" s="13">
        <v>2129.5679999999998</v>
      </c>
      <c r="I77" s="13">
        <v>2043.1089999999999</v>
      </c>
    </row>
    <row r="78" spans="1:9" x14ac:dyDescent="0.25">
      <c r="A78" s="7" t="s">
        <v>139</v>
      </c>
      <c r="B78" s="8" t="s">
        <v>140</v>
      </c>
      <c r="C78" s="9" t="s">
        <v>141</v>
      </c>
      <c r="D78" s="10">
        <v>5503.8059999999996</v>
      </c>
      <c r="E78" s="10">
        <v>5124.5770000000002</v>
      </c>
      <c r="F78" s="10">
        <v>3618.2649999999999</v>
      </c>
      <c r="G78" s="10">
        <v>4325.5749999999998</v>
      </c>
      <c r="H78" s="10">
        <v>5028.43</v>
      </c>
      <c r="I78" s="10">
        <v>5146.5770000000002</v>
      </c>
    </row>
    <row r="79" spans="1:9" s="14" customFormat="1" ht="13" x14ac:dyDescent="0.3">
      <c r="A79" s="11"/>
      <c r="B79" s="12" t="s">
        <v>142</v>
      </c>
      <c r="C79" s="12"/>
      <c r="D79" s="13">
        <v>5503.8059999999996</v>
      </c>
      <c r="E79" s="13">
        <v>5124.5770000000002</v>
      </c>
      <c r="F79" s="13">
        <v>3618.2649999999999</v>
      </c>
      <c r="G79" s="13">
        <v>4325.5749999999998</v>
      </c>
      <c r="H79" s="13">
        <v>5028.43</v>
      </c>
      <c r="I79" s="13">
        <v>5146.5770000000002</v>
      </c>
    </row>
    <row r="80" spans="1:9" x14ac:dyDescent="0.25">
      <c r="A80" s="7" t="s">
        <v>143</v>
      </c>
      <c r="B80" s="8" t="s">
        <v>144</v>
      </c>
      <c r="C80" s="9" t="s">
        <v>145</v>
      </c>
      <c r="D80" s="10">
        <v>15248.874</v>
      </c>
      <c r="E80" s="10">
        <v>15276.686</v>
      </c>
      <c r="F80" s="10">
        <v>13602.415000000001</v>
      </c>
      <c r="G80" s="10">
        <v>16230.15</v>
      </c>
      <c r="H80" s="10">
        <v>18183.8</v>
      </c>
      <c r="I80" s="10">
        <v>18620.260999999999</v>
      </c>
    </row>
    <row r="81" spans="1:9" s="14" customFormat="1" ht="13" x14ac:dyDescent="0.3">
      <c r="A81" s="11"/>
      <c r="B81" s="12" t="s">
        <v>146</v>
      </c>
      <c r="C81" s="12"/>
      <c r="D81" s="13">
        <v>15248.874</v>
      </c>
      <c r="E81" s="13">
        <v>15276.686</v>
      </c>
      <c r="F81" s="13">
        <v>13602.415000000001</v>
      </c>
      <c r="G81" s="13">
        <v>16230.15</v>
      </c>
      <c r="H81" s="13">
        <v>18183.8</v>
      </c>
      <c r="I81" s="13">
        <v>18620.260999999999</v>
      </c>
    </row>
    <row r="82" spans="1:9" x14ac:dyDescent="0.25">
      <c r="A82" s="7" t="s">
        <v>147</v>
      </c>
      <c r="B82" s="8" t="s">
        <v>148</v>
      </c>
      <c r="C82" s="9" t="s">
        <v>149</v>
      </c>
      <c r="D82" s="10">
        <v>5190.07</v>
      </c>
      <c r="E82" s="10">
        <v>5416.8519999999999</v>
      </c>
      <c r="F82" s="10">
        <v>4707.817</v>
      </c>
      <c r="G82" s="10">
        <v>4822.491</v>
      </c>
      <c r="H82" s="10">
        <v>5105.8010000000004</v>
      </c>
      <c r="I82" s="10">
        <v>5474.6490000000003</v>
      </c>
    </row>
    <row r="83" spans="1:9" x14ac:dyDescent="0.25">
      <c r="A83" s="7"/>
      <c r="B83" s="8" t="s">
        <v>150</v>
      </c>
      <c r="C83" s="9" t="s">
        <v>151</v>
      </c>
      <c r="D83" s="10">
        <v>165.458</v>
      </c>
      <c r="E83" s="10">
        <v>168.82499999999999</v>
      </c>
      <c r="F83" s="10">
        <v>153.10900000000001</v>
      </c>
      <c r="G83" s="10">
        <v>166.17099999999999</v>
      </c>
      <c r="H83" s="10">
        <v>164.727</v>
      </c>
      <c r="I83" s="10">
        <v>158.78899999999999</v>
      </c>
    </row>
    <row r="84" spans="1:9" s="14" customFormat="1" ht="13" x14ac:dyDescent="0.3">
      <c r="A84" s="11"/>
      <c r="B84" s="12" t="s">
        <v>152</v>
      </c>
      <c r="C84" s="12"/>
      <c r="D84" s="13">
        <v>5355.5279999999993</v>
      </c>
      <c r="E84" s="13">
        <v>5585.6769999999997</v>
      </c>
      <c r="F84" s="13">
        <v>4860.9260000000004</v>
      </c>
      <c r="G84" s="13">
        <v>4988.6620000000003</v>
      </c>
      <c r="H84" s="13">
        <v>5270.5280000000002</v>
      </c>
      <c r="I84" s="13">
        <v>5633.4380000000001</v>
      </c>
    </row>
    <row r="85" spans="1:9" x14ac:dyDescent="0.25">
      <c r="A85" s="7" t="s">
        <v>153</v>
      </c>
      <c r="B85" s="8" t="s">
        <v>154</v>
      </c>
      <c r="C85" s="9" t="s">
        <v>155</v>
      </c>
      <c r="D85" s="10">
        <v>395.50200000000001</v>
      </c>
      <c r="E85" s="10">
        <v>399.86700000000002</v>
      </c>
      <c r="F85" s="10">
        <v>225.96100000000001</v>
      </c>
      <c r="G85" s="10">
        <v>275.21100000000001</v>
      </c>
      <c r="H85" s="10">
        <v>330.77600000000001</v>
      </c>
      <c r="I85" s="10">
        <v>350.709</v>
      </c>
    </row>
    <row r="86" spans="1:9" x14ac:dyDescent="0.25">
      <c r="A86" s="7"/>
      <c r="B86" s="8" t="s">
        <v>156</v>
      </c>
      <c r="C86" s="9" t="s">
        <v>157</v>
      </c>
      <c r="D86" s="10">
        <v>1035.124</v>
      </c>
      <c r="E86" s="10">
        <v>1120.7840000000001</v>
      </c>
      <c r="F86" s="10">
        <v>902.351</v>
      </c>
      <c r="G86" s="10">
        <v>1021.494</v>
      </c>
      <c r="H86" s="10">
        <v>1042.047</v>
      </c>
      <c r="I86" s="10">
        <v>1242.711</v>
      </c>
    </row>
    <row r="87" spans="1:9" s="14" customFormat="1" ht="13" x14ac:dyDescent="0.3">
      <c r="A87" s="11"/>
      <c r="B87" s="12" t="s">
        <v>158</v>
      </c>
      <c r="C87" s="12"/>
      <c r="D87" s="13">
        <v>1430.626</v>
      </c>
      <c r="E87" s="13">
        <v>1520.6510000000001</v>
      </c>
      <c r="F87" s="13">
        <v>1128.3119999999999</v>
      </c>
      <c r="G87" s="13">
        <v>1296.7049999999999</v>
      </c>
      <c r="H87" s="13">
        <v>1372.8230000000001</v>
      </c>
      <c r="I87" s="13">
        <v>1593.42</v>
      </c>
    </row>
    <row r="88" spans="1:9" x14ac:dyDescent="0.25">
      <c r="A88" s="7" t="s">
        <v>159</v>
      </c>
      <c r="B88" s="8" t="s">
        <v>160</v>
      </c>
      <c r="C88" s="9" t="s">
        <v>161</v>
      </c>
      <c r="D88" s="10">
        <v>2567.002</v>
      </c>
      <c r="E88" s="10">
        <v>2485.971</v>
      </c>
      <c r="F88" s="10">
        <v>2310.192</v>
      </c>
      <c r="G88" s="10">
        <v>2310.1120000000001</v>
      </c>
      <c r="H88" s="10">
        <v>2483.2919999999999</v>
      </c>
      <c r="I88" s="10">
        <v>2469.6010000000001</v>
      </c>
    </row>
    <row r="89" spans="1:9" s="14" customFormat="1" ht="13" x14ac:dyDescent="0.3">
      <c r="A89" s="11"/>
      <c r="B89" s="12" t="s">
        <v>162</v>
      </c>
      <c r="C89" s="12"/>
      <c r="D89" s="13">
        <v>2567.002</v>
      </c>
      <c r="E89" s="13">
        <v>2485.971</v>
      </c>
      <c r="F89" s="13">
        <v>2310.192</v>
      </c>
      <c r="G89" s="13">
        <v>2310.1120000000001</v>
      </c>
      <c r="H89" s="13">
        <v>2483.2919999999999</v>
      </c>
      <c r="I89" s="13">
        <v>2469.6010000000001</v>
      </c>
    </row>
    <row r="90" spans="1:9" x14ac:dyDescent="0.25">
      <c r="A90" s="7" t="s">
        <v>163</v>
      </c>
      <c r="B90" s="8" t="s">
        <v>164</v>
      </c>
      <c r="C90" s="9" t="s">
        <v>165</v>
      </c>
      <c r="D90" s="10">
        <v>3323.7449999999999</v>
      </c>
      <c r="E90" s="10">
        <v>3435.8609999999999</v>
      </c>
      <c r="F90" s="10">
        <v>3344.7919999999999</v>
      </c>
      <c r="G90" s="10">
        <v>3768.7730000000001</v>
      </c>
      <c r="H90" s="10">
        <v>4472.3770000000004</v>
      </c>
      <c r="I90" s="10">
        <v>4657.2550000000001</v>
      </c>
    </row>
    <row r="91" spans="1:9" x14ac:dyDescent="0.25">
      <c r="A91" s="7"/>
      <c r="B91" s="8" t="s">
        <v>166</v>
      </c>
      <c r="C91" s="9" t="s">
        <v>167</v>
      </c>
      <c r="D91" s="10">
        <v>424.72399999999999</v>
      </c>
      <c r="E91" s="10">
        <v>446.57799999999997</v>
      </c>
      <c r="F91" s="10">
        <v>391.51900000000001</v>
      </c>
      <c r="G91" s="10">
        <v>276.15300000000002</v>
      </c>
      <c r="H91" s="10">
        <v>284.85199999999998</v>
      </c>
      <c r="I91" s="10">
        <v>471.32</v>
      </c>
    </row>
    <row r="92" spans="1:9" x14ac:dyDescent="0.25">
      <c r="A92" s="7"/>
      <c r="B92" s="8" t="s">
        <v>168</v>
      </c>
      <c r="C92" s="9" t="s">
        <v>169</v>
      </c>
      <c r="D92" s="10">
        <v>268.60500000000002</v>
      </c>
      <c r="E92" s="10">
        <v>285.47000000000003</v>
      </c>
      <c r="F92" s="10">
        <v>233.94200000000001</v>
      </c>
      <c r="G92" s="10">
        <v>264.71699999999998</v>
      </c>
      <c r="H92" s="10">
        <v>286.90800000000002</v>
      </c>
      <c r="I92" s="10">
        <v>306.91199999999998</v>
      </c>
    </row>
    <row r="93" spans="1:9" s="14" customFormat="1" ht="13" x14ac:dyDescent="0.3">
      <c r="A93" s="11"/>
      <c r="B93" s="12" t="s">
        <v>170</v>
      </c>
      <c r="C93" s="12"/>
      <c r="D93" s="13">
        <v>4017.0740000000001</v>
      </c>
      <c r="E93" s="13">
        <v>4167.9089999999997</v>
      </c>
      <c r="F93" s="13">
        <v>3970.2529999999997</v>
      </c>
      <c r="G93" s="13">
        <v>4309.643</v>
      </c>
      <c r="H93" s="13">
        <v>5044.1370000000006</v>
      </c>
      <c r="I93" s="13">
        <v>5435.4870000000001</v>
      </c>
    </row>
    <row r="94" spans="1:9" x14ac:dyDescent="0.25">
      <c r="A94" s="7" t="s">
        <v>171</v>
      </c>
      <c r="B94" s="8" t="s">
        <v>172</v>
      </c>
      <c r="C94" s="9" t="s">
        <v>173</v>
      </c>
      <c r="D94" s="10">
        <v>7316.7349999999997</v>
      </c>
      <c r="E94" s="10">
        <v>7383.9880000000003</v>
      </c>
      <c r="F94" s="10">
        <v>7276.6260000000002</v>
      </c>
      <c r="G94" s="10">
        <v>7106.9480000000003</v>
      </c>
      <c r="H94" s="10">
        <v>7436.1859999999997</v>
      </c>
      <c r="I94" s="10">
        <v>7847.8950000000004</v>
      </c>
    </row>
    <row r="95" spans="1:9" s="14" customFormat="1" ht="13" x14ac:dyDescent="0.3">
      <c r="A95" s="11"/>
      <c r="B95" s="12" t="s">
        <v>174</v>
      </c>
      <c r="C95" s="12"/>
      <c r="D95" s="13">
        <v>7316.7349999999997</v>
      </c>
      <c r="E95" s="13">
        <v>7383.9880000000003</v>
      </c>
      <c r="F95" s="13">
        <v>7276.6260000000002</v>
      </c>
      <c r="G95" s="13">
        <v>7106.9480000000003</v>
      </c>
      <c r="H95" s="13">
        <v>7436.1859999999997</v>
      </c>
      <c r="I95" s="13">
        <v>7847.8950000000004</v>
      </c>
    </row>
    <row r="96" spans="1:9" x14ac:dyDescent="0.25">
      <c r="A96" s="7" t="s">
        <v>175</v>
      </c>
      <c r="B96" s="8" t="s">
        <v>176</v>
      </c>
      <c r="C96" s="9" t="s">
        <v>177</v>
      </c>
      <c r="D96" s="10">
        <v>7768.8519999999999</v>
      </c>
      <c r="E96" s="10">
        <v>7750.3440000000001</v>
      </c>
      <c r="F96" s="10">
        <v>6731.4030000000002</v>
      </c>
      <c r="G96" s="10">
        <v>7310.3239999999996</v>
      </c>
      <c r="H96" s="10">
        <v>7920.924</v>
      </c>
      <c r="I96" s="10">
        <v>8589.0120000000006</v>
      </c>
    </row>
    <row r="97" spans="1:9" s="14" customFormat="1" ht="13" x14ac:dyDescent="0.3">
      <c r="A97" s="11"/>
      <c r="B97" s="12" t="s">
        <v>178</v>
      </c>
      <c r="C97" s="12"/>
      <c r="D97" s="13">
        <v>7768.8519999999999</v>
      </c>
      <c r="E97" s="13">
        <v>7750.3440000000001</v>
      </c>
      <c r="F97" s="13">
        <v>6731.4030000000002</v>
      </c>
      <c r="G97" s="13">
        <v>7310.3239999999996</v>
      </c>
      <c r="H97" s="13">
        <v>7920.924</v>
      </c>
      <c r="I97" s="13">
        <v>8589.0120000000006</v>
      </c>
    </row>
    <row r="98" spans="1:9" x14ac:dyDescent="0.25">
      <c r="A98" s="7" t="s">
        <v>179</v>
      </c>
      <c r="B98" s="8" t="s">
        <v>180</v>
      </c>
      <c r="C98" s="9" t="s">
        <v>181</v>
      </c>
      <c r="D98" s="10">
        <v>8020.0020000000004</v>
      </c>
      <c r="E98" s="10">
        <v>8003.1549999999997</v>
      </c>
      <c r="F98" s="10">
        <v>7955.241</v>
      </c>
      <c r="G98" s="10">
        <v>7881.308</v>
      </c>
      <c r="H98" s="10">
        <v>8252.09</v>
      </c>
      <c r="I98" s="10">
        <v>8468.2139999999999</v>
      </c>
    </row>
    <row r="99" spans="1:9" s="14" customFormat="1" ht="13" x14ac:dyDescent="0.3">
      <c r="A99" s="11"/>
      <c r="B99" s="12" t="s">
        <v>182</v>
      </c>
      <c r="C99" s="12"/>
      <c r="D99" s="13">
        <v>8020.0020000000004</v>
      </c>
      <c r="E99" s="13">
        <v>8003.1549999999997</v>
      </c>
      <c r="F99" s="13">
        <v>7955.241</v>
      </c>
      <c r="G99" s="13">
        <v>7881.308</v>
      </c>
      <c r="H99" s="13">
        <v>8252.09</v>
      </c>
      <c r="I99" s="13">
        <v>8468.2139999999999</v>
      </c>
    </row>
    <row r="100" spans="1:9" x14ac:dyDescent="0.25">
      <c r="A100" s="7" t="s">
        <v>183</v>
      </c>
      <c r="B100" s="8" t="s">
        <v>184</v>
      </c>
      <c r="C100" s="9" t="s">
        <v>185</v>
      </c>
      <c r="D100" s="10">
        <v>1574.2909999999999</v>
      </c>
      <c r="E100" s="10">
        <v>1685.789</v>
      </c>
      <c r="F100" s="10">
        <v>1618.5550000000001</v>
      </c>
      <c r="G100" s="10">
        <v>1594.325</v>
      </c>
      <c r="H100" s="10">
        <v>1638.0409999999999</v>
      </c>
      <c r="I100" s="10">
        <v>1740.171</v>
      </c>
    </row>
    <row r="101" spans="1:9" x14ac:dyDescent="0.25">
      <c r="A101" s="7"/>
      <c r="B101" s="8" t="s">
        <v>186</v>
      </c>
      <c r="C101" s="9" t="s">
        <v>187</v>
      </c>
      <c r="D101" s="10">
        <v>3796.7979999999998</v>
      </c>
      <c r="E101" s="10">
        <v>3764.3359999999998</v>
      </c>
      <c r="F101" s="10">
        <v>3432.2379999999998</v>
      </c>
      <c r="G101" s="10">
        <v>3489.8890000000001</v>
      </c>
      <c r="H101" s="10">
        <v>3579.4659999999999</v>
      </c>
      <c r="I101" s="10">
        <v>3983.1889999999999</v>
      </c>
    </row>
    <row r="102" spans="1:9" s="14" customFormat="1" ht="13" x14ac:dyDescent="0.3">
      <c r="A102" s="11"/>
      <c r="B102" s="12" t="s">
        <v>188</v>
      </c>
      <c r="C102" s="12"/>
      <c r="D102" s="13">
        <v>5371.0889999999999</v>
      </c>
      <c r="E102" s="13">
        <v>5450.125</v>
      </c>
      <c r="F102" s="13">
        <v>5050.7929999999997</v>
      </c>
      <c r="G102" s="13">
        <v>5084.2139999999999</v>
      </c>
      <c r="H102" s="13">
        <v>5217.5069999999996</v>
      </c>
      <c r="I102" s="13">
        <v>5723.36</v>
      </c>
    </row>
    <row r="103" spans="1:9" x14ac:dyDescent="0.25">
      <c r="A103" s="7" t="s">
        <v>189</v>
      </c>
      <c r="B103" s="8" t="s">
        <v>190</v>
      </c>
      <c r="C103" s="9" t="s">
        <v>191</v>
      </c>
      <c r="D103" s="10">
        <v>1416.2719999999999</v>
      </c>
      <c r="E103" s="10">
        <v>1521.328</v>
      </c>
      <c r="F103" s="10">
        <v>1423.61</v>
      </c>
      <c r="G103" s="10">
        <v>1726.8109999999999</v>
      </c>
      <c r="H103" s="10">
        <v>1900.4839999999999</v>
      </c>
      <c r="I103" s="10">
        <v>1929.1379999999999</v>
      </c>
    </row>
    <row r="104" spans="1:9" x14ac:dyDescent="0.25">
      <c r="A104" s="7"/>
      <c r="B104" s="8" t="s">
        <v>192</v>
      </c>
      <c r="C104" s="9" t="s">
        <v>193</v>
      </c>
      <c r="D104" s="10">
        <v>2694.884</v>
      </c>
      <c r="E104" s="10">
        <v>2716.4360000000001</v>
      </c>
      <c r="F104" s="10">
        <v>2790.2130000000002</v>
      </c>
      <c r="G104" s="10">
        <v>2619.9340000000002</v>
      </c>
      <c r="H104" s="10">
        <v>2635.74</v>
      </c>
      <c r="I104" s="10">
        <v>2715.7809999999999</v>
      </c>
    </row>
    <row r="105" spans="1:9" s="14" customFormat="1" ht="13" x14ac:dyDescent="0.3">
      <c r="A105" s="11"/>
      <c r="B105" s="12" t="s">
        <v>194</v>
      </c>
      <c r="C105" s="12"/>
      <c r="D105" s="13">
        <v>4111.1559999999999</v>
      </c>
      <c r="E105" s="13">
        <v>4237.7640000000001</v>
      </c>
      <c r="F105" s="13">
        <v>4213.8230000000003</v>
      </c>
      <c r="G105" s="13">
        <v>4346.7449999999999</v>
      </c>
      <c r="H105" s="13">
        <v>4536.2240000000002</v>
      </c>
      <c r="I105" s="13">
        <v>4644.9189999999999</v>
      </c>
    </row>
    <row r="106" spans="1:9" x14ac:dyDescent="0.25">
      <c r="A106" s="7" t="s">
        <v>195</v>
      </c>
      <c r="B106" s="8" t="s">
        <v>196</v>
      </c>
      <c r="C106" s="9" t="s">
        <v>197</v>
      </c>
      <c r="D106" s="10">
        <v>1087.3720000000001</v>
      </c>
      <c r="E106" s="10">
        <v>1177.0709999999999</v>
      </c>
      <c r="F106" s="10">
        <v>1032.143</v>
      </c>
      <c r="G106" s="10">
        <v>1081.4169999999999</v>
      </c>
      <c r="H106" s="10">
        <v>1093.336</v>
      </c>
      <c r="I106" s="10">
        <v>1160.1980000000001</v>
      </c>
    </row>
    <row r="107" spans="1:9" s="14" customFormat="1" ht="13" x14ac:dyDescent="0.3">
      <c r="A107" s="11"/>
      <c r="B107" s="12" t="s">
        <v>198</v>
      </c>
      <c r="C107" s="12"/>
      <c r="D107" s="13">
        <v>1087.3720000000001</v>
      </c>
      <c r="E107" s="13">
        <v>1177.0709999999999</v>
      </c>
      <c r="F107" s="13">
        <v>1032.143</v>
      </c>
      <c r="G107" s="13">
        <v>1081.4169999999999</v>
      </c>
      <c r="H107" s="13">
        <v>1093.336</v>
      </c>
      <c r="I107" s="13">
        <v>1160.1980000000001</v>
      </c>
    </row>
    <row r="108" spans="1:9" x14ac:dyDescent="0.25">
      <c r="A108" s="7" t="s">
        <v>199</v>
      </c>
      <c r="B108" s="8" t="s">
        <v>200</v>
      </c>
      <c r="C108" s="9" t="s">
        <v>201</v>
      </c>
      <c r="D108" s="10">
        <v>847.04700000000003</v>
      </c>
      <c r="E108" s="10">
        <v>912.51300000000003</v>
      </c>
      <c r="F108" s="10">
        <v>653.70299999999997</v>
      </c>
      <c r="G108" s="10">
        <v>709.58699999999999</v>
      </c>
      <c r="H108" s="10">
        <v>782.32100000000003</v>
      </c>
      <c r="I108" s="10">
        <v>832.52599999999995</v>
      </c>
    </row>
    <row r="109" spans="1:9" ht="13" x14ac:dyDescent="0.25">
      <c r="A109" s="15"/>
      <c r="B109" s="12" t="s">
        <v>202</v>
      </c>
      <c r="C109" s="12"/>
      <c r="D109" s="13">
        <v>847.04700000000003</v>
      </c>
      <c r="E109" s="13">
        <v>912.51300000000003</v>
      </c>
      <c r="F109" s="13">
        <v>653.70299999999997</v>
      </c>
      <c r="G109" s="13">
        <v>709.58699999999999</v>
      </c>
      <c r="H109" s="13">
        <v>782.32100000000003</v>
      </c>
      <c r="I109" s="13">
        <v>832.52599999999995</v>
      </c>
    </row>
    <row r="110" spans="1:9" ht="13" x14ac:dyDescent="0.3">
      <c r="A110" s="16" t="s">
        <v>203</v>
      </c>
      <c r="B110" s="17"/>
      <c r="C110" s="18"/>
      <c r="D110" s="13">
        <v>101468.14900000002</v>
      </c>
      <c r="E110" s="13">
        <v>101004.87499999999</v>
      </c>
      <c r="F110" s="13">
        <v>89814.495999999999</v>
      </c>
      <c r="G110" s="19">
        <v>100628.81400000001</v>
      </c>
      <c r="H110" s="19">
        <v>110535.283</v>
      </c>
      <c r="I110" s="19">
        <v>114111.42900000002</v>
      </c>
    </row>
    <row r="111" spans="1:9" x14ac:dyDescent="0.25">
      <c r="G111" s="20"/>
      <c r="H111" s="20"/>
      <c r="I111" s="20"/>
    </row>
    <row r="112" spans="1:9" ht="13" x14ac:dyDescent="0.3">
      <c r="A112" s="21" t="s">
        <v>204</v>
      </c>
      <c r="G112" s="20"/>
      <c r="H112" s="20"/>
      <c r="I112" s="20"/>
    </row>
    <row r="113" spans="1:9" ht="13" x14ac:dyDescent="0.3">
      <c r="A113" s="22" t="s">
        <v>205</v>
      </c>
      <c r="D113" s="23">
        <v>0</v>
      </c>
      <c r="E113" s="23">
        <v>0</v>
      </c>
      <c r="F113" s="23">
        <v>0</v>
      </c>
      <c r="G113" s="23"/>
      <c r="H113" s="23"/>
      <c r="I113" s="23"/>
    </row>
    <row r="114" spans="1:9" x14ac:dyDescent="0.25">
      <c r="D114" s="24"/>
      <c r="E114" s="24"/>
      <c r="F114" s="24"/>
      <c r="G114" s="24"/>
      <c r="H114" s="24"/>
    </row>
    <row r="117" spans="1:9" x14ac:dyDescent="0.25">
      <c r="D117" s="24"/>
      <c r="E117" s="24"/>
      <c r="F117" s="24"/>
      <c r="G117" s="24"/>
      <c r="H117" s="24"/>
    </row>
  </sheetData>
  <mergeCells count="22">
    <mergeCell ref="B102:C102"/>
    <mergeCell ref="B105:C105"/>
    <mergeCell ref="B107:C107"/>
    <mergeCell ref="B109:C109"/>
    <mergeCell ref="B87:C87"/>
    <mergeCell ref="B89:C89"/>
    <mergeCell ref="B93:C93"/>
    <mergeCell ref="B95:C95"/>
    <mergeCell ref="B97:C97"/>
    <mergeCell ref="B99:C99"/>
    <mergeCell ref="B72:C72"/>
    <mergeCell ref="B74:C74"/>
    <mergeCell ref="B77:C77"/>
    <mergeCell ref="B79:C79"/>
    <mergeCell ref="B81:C81"/>
    <mergeCell ref="B84:C84"/>
    <mergeCell ref="A10:H10"/>
    <mergeCell ref="A11:H11"/>
    <mergeCell ref="B25:C25"/>
    <mergeCell ref="B27:C27"/>
    <mergeCell ref="B32:C32"/>
    <mergeCell ref="B47:C4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C95F2-8978-417A-8361-CDD30A03D82B}">
  <dimension ref="A10:I117"/>
  <sheetViews>
    <sheetView showGridLines="0" zoomScale="85" zoomScaleNormal="85" workbookViewId="0">
      <pane xSplit="3" ySplit="13" topLeftCell="D22" activePane="bottomRight" state="frozen"/>
      <selection pane="topRight" activeCell="L170" sqref="L170"/>
      <selection pane="bottomLeft" activeCell="L170" sqref="L170"/>
      <selection pane="bottomRight" activeCell="C13" sqref="C13:C14"/>
    </sheetView>
  </sheetViews>
  <sheetFormatPr baseColWidth="10" defaultColWidth="11.453125" defaultRowHeight="12.5" x14ac:dyDescent="0.25"/>
  <cols>
    <col min="1" max="1" width="55" style="2" customWidth="1"/>
    <col min="2" max="2" width="19.453125" style="3" customWidth="1"/>
    <col min="3" max="3" width="93.7265625" style="2" customWidth="1"/>
    <col min="4" max="8" width="20.26953125" style="2" customWidth="1"/>
    <col min="9" max="9" width="20.1796875" style="2" customWidth="1"/>
    <col min="10" max="16384" width="11.453125" style="2"/>
  </cols>
  <sheetData>
    <row r="10" spans="1:9" ht="15.5" x14ac:dyDescent="0.35">
      <c r="A10" s="1" t="s">
        <v>0</v>
      </c>
      <c r="B10" s="1"/>
      <c r="C10" s="1"/>
      <c r="D10" s="1"/>
      <c r="E10" s="1"/>
      <c r="F10" s="1"/>
      <c r="G10" s="1"/>
      <c r="H10" s="1"/>
    </row>
    <row r="11" spans="1:9" ht="15.5" x14ac:dyDescent="0.35">
      <c r="A11" s="1" t="s">
        <v>1</v>
      </c>
      <c r="B11" s="1"/>
      <c r="C11" s="1"/>
      <c r="D11" s="1"/>
      <c r="E11" s="1"/>
      <c r="F11" s="1"/>
      <c r="G11" s="1"/>
      <c r="H11" s="1"/>
    </row>
    <row r="12" spans="1:9" ht="13" thickBot="1" x14ac:dyDescent="0.3"/>
    <row r="13" spans="1:9" ht="27" thickTop="1" thickBot="1" x14ac:dyDescent="0.3">
      <c r="A13" s="4" t="s">
        <v>2</v>
      </c>
      <c r="B13" s="4" t="s">
        <v>3</v>
      </c>
      <c r="C13" s="4" t="s">
        <v>4</v>
      </c>
      <c r="D13" s="5">
        <v>2018</v>
      </c>
      <c r="E13" s="6" t="s">
        <v>5</v>
      </c>
      <c r="F13" s="6" t="s">
        <v>6</v>
      </c>
      <c r="G13" s="6" t="s">
        <v>7</v>
      </c>
      <c r="H13" s="6" t="s">
        <v>8</v>
      </c>
      <c r="I13" s="6" t="s">
        <v>9</v>
      </c>
    </row>
    <row r="14" spans="1:9" ht="13" thickTop="1" x14ac:dyDescent="0.25">
      <c r="A14" s="7" t="s">
        <v>11</v>
      </c>
      <c r="B14" s="8" t="s">
        <v>12</v>
      </c>
      <c r="C14" s="9" t="s">
        <v>13</v>
      </c>
      <c r="D14" s="10">
        <v>389.928</v>
      </c>
      <c r="E14" s="10">
        <v>412.39100000000002</v>
      </c>
      <c r="F14" s="10">
        <v>379.67399999999998</v>
      </c>
      <c r="G14" s="10">
        <v>432.86799999999999</v>
      </c>
      <c r="H14" s="10">
        <v>422.05799999999999</v>
      </c>
      <c r="I14" s="10">
        <v>448.65100000000001</v>
      </c>
    </row>
    <row r="15" spans="1:9" x14ac:dyDescent="0.25">
      <c r="A15" s="7"/>
      <c r="B15" s="8" t="s">
        <v>14</v>
      </c>
      <c r="C15" s="9" t="s">
        <v>15</v>
      </c>
      <c r="D15" s="10">
        <v>120.352</v>
      </c>
      <c r="E15" s="10">
        <v>109.533</v>
      </c>
      <c r="F15" s="10">
        <v>128.63999999999999</v>
      </c>
      <c r="G15" s="10">
        <v>141.90700000000001</v>
      </c>
      <c r="H15" s="10">
        <v>100.49299999999999</v>
      </c>
      <c r="I15" s="10">
        <v>119.134</v>
      </c>
    </row>
    <row r="16" spans="1:9" x14ac:dyDescent="0.25">
      <c r="A16" s="7"/>
      <c r="B16" s="8" t="s">
        <v>16</v>
      </c>
      <c r="C16" s="9" t="s">
        <v>17</v>
      </c>
      <c r="D16" s="10">
        <v>450.101</v>
      </c>
      <c r="E16" s="10">
        <v>456.31400000000002</v>
      </c>
      <c r="F16" s="10">
        <v>460.71499999999997</v>
      </c>
      <c r="G16" s="10">
        <v>495.22899999999998</v>
      </c>
      <c r="H16" s="10">
        <v>425.77499999999998</v>
      </c>
      <c r="I16" s="10">
        <v>486.05099999999999</v>
      </c>
    </row>
    <row r="17" spans="1:9" x14ac:dyDescent="0.25">
      <c r="A17" s="7"/>
      <c r="B17" s="8" t="s">
        <v>18</v>
      </c>
      <c r="C17" s="9" t="s">
        <v>19</v>
      </c>
      <c r="D17" s="10">
        <v>82.613</v>
      </c>
      <c r="E17" s="10">
        <v>100.751</v>
      </c>
      <c r="F17" s="10">
        <v>97.798000000000002</v>
      </c>
      <c r="G17" s="10">
        <v>89.603999999999999</v>
      </c>
      <c r="H17" s="10">
        <v>88.051000000000002</v>
      </c>
      <c r="I17" s="10">
        <v>80.015000000000001</v>
      </c>
    </row>
    <row r="18" spans="1:9" x14ac:dyDescent="0.25">
      <c r="A18" s="7"/>
      <c r="B18" s="8" t="s">
        <v>20</v>
      </c>
      <c r="C18" s="9" t="s">
        <v>21</v>
      </c>
      <c r="D18" s="10">
        <v>2590.3870000000002</v>
      </c>
      <c r="E18" s="10">
        <v>2535.9470000000001</v>
      </c>
      <c r="F18" s="10">
        <v>2678.692</v>
      </c>
      <c r="G18" s="10">
        <v>2728.328</v>
      </c>
      <c r="H18" s="10">
        <v>2562.134</v>
      </c>
      <c r="I18" s="10">
        <v>2653.9140000000002</v>
      </c>
    </row>
    <row r="19" spans="1:9" x14ac:dyDescent="0.25">
      <c r="A19" s="7"/>
      <c r="B19" s="8" t="s">
        <v>22</v>
      </c>
      <c r="C19" s="9" t="s">
        <v>23</v>
      </c>
      <c r="D19" s="10">
        <v>767.84199999999998</v>
      </c>
      <c r="E19" s="10">
        <v>824.78</v>
      </c>
      <c r="F19" s="10">
        <v>751.34199999999998</v>
      </c>
      <c r="G19" s="10">
        <v>764.42499999999995</v>
      </c>
      <c r="H19" s="10">
        <v>766.15499999999997</v>
      </c>
      <c r="I19" s="10">
        <v>827.17</v>
      </c>
    </row>
    <row r="20" spans="1:9" x14ac:dyDescent="0.25">
      <c r="A20" s="7"/>
      <c r="B20" s="8" t="s">
        <v>24</v>
      </c>
      <c r="C20" s="9" t="s">
        <v>25</v>
      </c>
      <c r="D20" s="10">
        <v>138.994</v>
      </c>
      <c r="E20" s="10">
        <v>130.291</v>
      </c>
      <c r="F20" s="10">
        <v>131.69300000000001</v>
      </c>
      <c r="G20" s="10">
        <v>160.363</v>
      </c>
      <c r="H20" s="10">
        <v>210.18100000000001</v>
      </c>
      <c r="I20" s="10">
        <v>226.00200000000001</v>
      </c>
    </row>
    <row r="21" spans="1:9" x14ac:dyDescent="0.25">
      <c r="A21" s="7"/>
      <c r="B21" s="8" t="s">
        <v>26</v>
      </c>
      <c r="C21" s="9" t="s">
        <v>27</v>
      </c>
      <c r="D21" s="10">
        <v>512.59900000000005</v>
      </c>
      <c r="E21" s="10">
        <v>476.267</v>
      </c>
      <c r="F21" s="10">
        <v>597.24699999999996</v>
      </c>
      <c r="G21" s="10">
        <v>636.846</v>
      </c>
      <c r="H21" s="10">
        <v>666.73199999999997</v>
      </c>
      <c r="I21" s="10">
        <v>661.63300000000004</v>
      </c>
    </row>
    <row r="22" spans="1:9" x14ac:dyDescent="0.25">
      <c r="A22" s="7"/>
      <c r="B22" s="8" t="s">
        <v>28</v>
      </c>
      <c r="C22" s="9" t="s">
        <v>29</v>
      </c>
      <c r="D22" s="10">
        <v>370.69200000000001</v>
      </c>
      <c r="E22" s="10">
        <v>374.60399999999998</v>
      </c>
      <c r="F22" s="10">
        <v>401.10300000000001</v>
      </c>
      <c r="G22" s="10">
        <v>374.7</v>
      </c>
      <c r="H22" s="10">
        <v>401.12299999999999</v>
      </c>
      <c r="I22" s="10">
        <v>381.786</v>
      </c>
    </row>
    <row r="23" spans="1:9" x14ac:dyDescent="0.25">
      <c r="A23" s="7"/>
      <c r="B23" s="8" t="s">
        <v>30</v>
      </c>
      <c r="C23" s="9" t="s">
        <v>31</v>
      </c>
      <c r="D23" s="10">
        <v>1022.501</v>
      </c>
      <c r="E23" s="10">
        <v>1039.3779999999999</v>
      </c>
      <c r="F23" s="10">
        <v>1016.193</v>
      </c>
      <c r="G23" s="10">
        <v>992.01900000000001</v>
      </c>
      <c r="H23" s="10">
        <v>1102.6890000000001</v>
      </c>
      <c r="I23" s="10">
        <v>1144.3440000000001</v>
      </c>
    </row>
    <row r="24" spans="1:9" x14ac:dyDescent="0.25">
      <c r="A24" s="7"/>
      <c r="B24" s="8" t="s">
        <v>32</v>
      </c>
      <c r="C24" s="9" t="s">
        <v>33</v>
      </c>
      <c r="D24" s="10">
        <v>443.87</v>
      </c>
      <c r="E24" s="10">
        <v>389.79899999999998</v>
      </c>
      <c r="F24" s="10">
        <v>331.59</v>
      </c>
      <c r="G24" s="10">
        <v>295.85599999999999</v>
      </c>
      <c r="H24" s="10">
        <v>316.25099999999998</v>
      </c>
      <c r="I24" s="10">
        <v>296.70299999999997</v>
      </c>
    </row>
    <row r="25" spans="1:9" s="14" customFormat="1" ht="13" x14ac:dyDescent="0.3">
      <c r="A25" s="11"/>
      <c r="B25" s="12" t="s">
        <v>34</v>
      </c>
      <c r="C25" s="12"/>
      <c r="D25" s="13">
        <v>6889.8789999999999</v>
      </c>
      <c r="E25" s="13">
        <v>6850.0550000000003</v>
      </c>
      <c r="F25" s="13">
        <v>6974.6870000000008</v>
      </c>
      <c r="G25" s="13">
        <v>7112.1449999999995</v>
      </c>
      <c r="H25" s="13">
        <v>7061.6419999999998</v>
      </c>
      <c r="I25" s="13">
        <v>7325.4030000000002</v>
      </c>
    </row>
    <row r="26" spans="1:9" x14ac:dyDescent="0.25">
      <c r="A26" s="7" t="s">
        <v>35</v>
      </c>
      <c r="B26" s="8" t="s">
        <v>36</v>
      </c>
      <c r="C26" s="9" t="s">
        <v>37</v>
      </c>
      <c r="D26" s="10">
        <v>1326.952</v>
      </c>
      <c r="E26" s="10">
        <v>1556.1289999999999</v>
      </c>
      <c r="F26" s="10">
        <v>1398.896</v>
      </c>
      <c r="G26" s="10">
        <v>1442.192</v>
      </c>
      <c r="H26" s="10">
        <v>1896.5139999999999</v>
      </c>
      <c r="I26" s="10">
        <v>1489.43</v>
      </c>
    </row>
    <row r="27" spans="1:9" s="14" customFormat="1" ht="13" x14ac:dyDescent="0.3">
      <c r="A27" s="11"/>
      <c r="B27" s="12" t="s">
        <v>38</v>
      </c>
      <c r="C27" s="12"/>
      <c r="D27" s="13">
        <v>1326.952</v>
      </c>
      <c r="E27" s="13">
        <v>1556.1289999999999</v>
      </c>
      <c r="F27" s="13">
        <v>1398.896</v>
      </c>
      <c r="G27" s="13">
        <v>1442.192</v>
      </c>
      <c r="H27" s="13">
        <v>1896.5139999999999</v>
      </c>
      <c r="I27" s="13">
        <v>1489.43</v>
      </c>
    </row>
    <row r="28" spans="1:9" x14ac:dyDescent="0.25">
      <c r="A28" s="7" t="s">
        <v>39</v>
      </c>
      <c r="B28" s="8" t="s">
        <v>40</v>
      </c>
      <c r="C28" s="9" t="s">
        <v>41</v>
      </c>
      <c r="D28" s="10">
        <v>2565.5419999999999</v>
      </c>
      <c r="E28" s="10">
        <v>2186.1129999999998</v>
      </c>
      <c r="F28" s="10">
        <v>2462.9</v>
      </c>
      <c r="G28" s="10">
        <v>1849.117</v>
      </c>
      <c r="H28" s="10">
        <v>2559.9140000000002</v>
      </c>
      <c r="I28" s="10">
        <v>3011.0140000000001</v>
      </c>
    </row>
    <row r="29" spans="1:9" x14ac:dyDescent="0.25">
      <c r="A29" s="7"/>
      <c r="B29" s="8" t="s">
        <v>42</v>
      </c>
      <c r="C29" s="9" t="s">
        <v>43</v>
      </c>
      <c r="D29" s="10">
        <v>5568.5519999999997</v>
      </c>
      <c r="E29" s="10">
        <v>6187.5749999999998</v>
      </c>
      <c r="F29" s="10">
        <v>4449.7920000000004</v>
      </c>
      <c r="G29" s="10">
        <v>2612.1680000000001</v>
      </c>
      <c r="H29" s="10">
        <v>4994.8140000000003</v>
      </c>
      <c r="I29" s="10">
        <v>7301.3429999999998</v>
      </c>
    </row>
    <row r="30" spans="1:9" x14ac:dyDescent="0.25">
      <c r="A30" s="7"/>
      <c r="B30" s="8" t="s">
        <v>44</v>
      </c>
      <c r="C30" s="9" t="s">
        <v>45</v>
      </c>
      <c r="D30" s="10">
        <v>215.488</v>
      </c>
      <c r="E30" s="10">
        <v>236.34100000000001</v>
      </c>
      <c r="F30" s="10">
        <v>517.904</v>
      </c>
      <c r="G30" s="10">
        <v>946.45100000000002</v>
      </c>
      <c r="H30" s="10">
        <v>1633.259</v>
      </c>
      <c r="I30" s="10">
        <v>1640.3230000000001</v>
      </c>
    </row>
    <row r="31" spans="1:9" x14ac:dyDescent="0.25">
      <c r="A31" s="7"/>
      <c r="B31" s="8" t="s">
        <v>46</v>
      </c>
      <c r="C31" s="9" t="s">
        <v>47</v>
      </c>
      <c r="D31" s="10">
        <v>132.209</v>
      </c>
      <c r="E31" s="10">
        <v>121.139</v>
      </c>
      <c r="F31" s="10">
        <v>98.959000000000003</v>
      </c>
      <c r="G31" s="10">
        <v>114.58499999999999</v>
      </c>
      <c r="H31" s="10">
        <v>120.511</v>
      </c>
      <c r="I31" s="10">
        <v>94.692999999999998</v>
      </c>
    </row>
    <row r="32" spans="1:9" s="14" customFormat="1" ht="13" x14ac:dyDescent="0.3">
      <c r="A32" s="11"/>
      <c r="B32" s="12" t="s">
        <v>48</v>
      </c>
      <c r="C32" s="12"/>
      <c r="D32" s="13">
        <v>8481.7909999999993</v>
      </c>
      <c r="E32" s="13">
        <v>8731.1679999999997</v>
      </c>
      <c r="F32" s="13">
        <v>7529.5550000000012</v>
      </c>
      <c r="G32" s="13">
        <v>5522.3209999999999</v>
      </c>
      <c r="H32" s="13">
        <v>9308.4980000000014</v>
      </c>
      <c r="I32" s="13">
        <v>12047.373</v>
      </c>
    </row>
    <row r="33" spans="1:9" x14ac:dyDescent="0.25">
      <c r="A33" s="7" t="s">
        <v>49</v>
      </c>
      <c r="B33" s="8" t="s">
        <v>50</v>
      </c>
      <c r="C33" s="9" t="s">
        <v>51</v>
      </c>
      <c r="D33" s="10">
        <v>993.327</v>
      </c>
      <c r="E33" s="10">
        <v>1052.1980000000001</v>
      </c>
      <c r="F33" s="10">
        <v>968.26300000000003</v>
      </c>
      <c r="G33" s="10">
        <v>1082.375</v>
      </c>
      <c r="H33" s="10">
        <v>1090.0650000000001</v>
      </c>
      <c r="I33" s="10">
        <v>1055.4269999999999</v>
      </c>
    </row>
    <row r="34" spans="1:9" x14ac:dyDescent="0.25">
      <c r="A34" s="7"/>
      <c r="B34" s="8" t="s">
        <v>52</v>
      </c>
      <c r="C34" s="9" t="s">
        <v>53</v>
      </c>
      <c r="D34" s="10">
        <v>474.22199999999998</v>
      </c>
      <c r="E34" s="10">
        <v>518.40200000000004</v>
      </c>
      <c r="F34" s="10">
        <v>513.904</v>
      </c>
      <c r="G34" s="10">
        <v>687.38300000000004</v>
      </c>
      <c r="H34" s="10">
        <v>535.38900000000001</v>
      </c>
      <c r="I34" s="10">
        <v>545.78700000000003</v>
      </c>
    </row>
    <row r="35" spans="1:9" x14ac:dyDescent="0.25">
      <c r="A35" s="7"/>
      <c r="B35" s="8" t="s">
        <v>54</v>
      </c>
      <c r="C35" s="9" t="s">
        <v>55</v>
      </c>
      <c r="D35" s="10">
        <v>1162.5609999999999</v>
      </c>
      <c r="E35" s="10">
        <v>1458.08</v>
      </c>
      <c r="F35" s="10">
        <v>1356.2090000000001</v>
      </c>
      <c r="G35" s="10">
        <v>1656.415</v>
      </c>
      <c r="H35" s="10">
        <v>2409.39</v>
      </c>
      <c r="I35" s="10">
        <v>3059.6790000000001</v>
      </c>
    </row>
    <row r="36" spans="1:9" x14ac:dyDescent="0.25">
      <c r="A36" s="7"/>
      <c r="B36" s="8" t="s">
        <v>56</v>
      </c>
      <c r="C36" s="9" t="s">
        <v>57</v>
      </c>
      <c r="D36" s="10">
        <v>364.37599999999998</v>
      </c>
      <c r="E36" s="10">
        <v>290.62299999999999</v>
      </c>
      <c r="F36" s="10">
        <v>300.14699999999999</v>
      </c>
      <c r="G36" s="10">
        <v>299.08300000000003</v>
      </c>
      <c r="H36" s="10">
        <v>315.84199999999998</v>
      </c>
      <c r="I36" s="10">
        <v>415.16699999999997</v>
      </c>
    </row>
    <row r="37" spans="1:9" x14ac:dyDescent="0.25">
      <c r="A37" s="7"/>
      <c r="B37" s="8" t="s">
        <v>58</v>
      </c>
      <c r="C37" s="9" t="s">
        <v>59</v>
      </c>
      <c r="D37" s="10">
        <v>713.93499999999995</v>
      </c>
      <c r="E37" s="10">
        <v>714.37300000000005</v>
      </c>
      <c r="F37" s="10">
        <v>570.90899999999999</v>
      </c>
      <c r="G37" s="10">
        <v>616.10299999999995</v>
      </c>
      <c r="H37" s="10">
        <v>587.75199999999995</v>
      </c>
      <c r="I37" s="10">
        <v>538.48</v>
      </c>
    </row>
    <row r="38" spans="1:9" x14ac:dyDescent="0.25">
      <c r="A38" s="7"/>
      <c r="B38" s="8" t="s">
        <v>60</v>
      </c>
      <c r="C38" s="9" t="s">
        <v>61</v>
      </c>
      <c r="D38" s="10">
        <v>324.01499999999999</v>
      </c>
      <c r="E38" s="10">
        <v>310.04700000000003</v>
      </c>
      <c r="F38" s="10">
        <v>303.5</v>
      </c>
      <c r="G38" s="10">
        <v>309.72199999999998</v>
      </c>
      <c r="H38" s="10">
        <v>312.99400000000003</v>
      </c>
      <c r="I38" s="10">
        <v>343.988</v>
      </c>
    </row>
    <row r="39" spans="1:9" x14ac:dyDescent="0.25">
      <c r="A39" s="7"/>
      <c r="B39" s="8" t="s">
        <v>62</v>
      </c>
      <c r="C39" s="9" t="s">
        <v>63</v>
      </c>
      <c r="D39" s="10">
        <v>701.58799999999997</v>
      </c>
      <c r="E39" s="10">
        <v>716.29300000000001</v>
      </c>
      <c r="F39" s="10">
        <v>661.70600000000002</v>
      </c>
      <c r="G39" s="10">
        <v>680.029</v>
      </c>
      <c r="H39" s="10">
        <v>608.03800000000001</v>
      </c>
      <c r="I39" s="10">
        <v>607.35299999999995</v>
      </c>
    </row>
    <row r="40" spans="1:9" x14ac:dyDescent="0.25">
      <c r="A40" s="7"/>
      <c r="B40" s="8" t="s">
        <v>64</v>
      </c>
      <c r="C40" s="9" t="s">
        <v>65</v>
      </c>
      <c r="D40" s="10">
        <v>189.374</v>
      </c>
      <c r="E40" s="10">
        <v>211.374</v>
      </c>
      <c r="F40" s="10">
        <v>174.947</v>
      </c>
      <c r="G40" s="10">
        <v>177.86199999999999</v>
      </c>
      <c r="H40" s="10">
        <v>188.48400000000001</v>
      </c>
      <c r="I40" s="10">
        <v>207.42400000000001</v>
      </c>
    </row>
    <row r="41" spans="1:9" x14ac:dyDescent="0.25">
      <c r="A41" s="7"/>
      <c r="B41" s="8" t="s">
        <v>66</v>
      </c>
      <c r="C41" s="9" t="s">
        <v>67</v>
      </c>
      <c r="D41" s="10">
        <v>118.72499999999999</v>
      </c>
      <c r="E41" s="10">
        <v>116.483</v>
      </c>
      <c r="F41" s="10">
        <v>93.162000000000006</v>
      </c>
      <c r="G41" s="10">
        <v>93.947999999999993</v>
      </c>
      <c r="H41" s="10">
        <v>115.361</v>
      </c>
      <c r="I41" s="10">
        <v>115.761</v>
      </c>
    </row>
    <row r="42" spans="1:9" x14ac:dyDescent="0.25">
      <c r="A42" s="7"/>
      <c r="B42" s="8" t="s">
        <v>68</v>
      </c>
      <c r="C42" s="9" t="s">
        <v>69</v>
      </c>
      <c r="D42" s="10">
        <v>70.703000000000003</v>
      </c>
      <c r="E42" s="10">
        <v>72.210999999999999</v>
      </c>
      <c r="F42" s="10">
        <v>73.131</v>
      </c>
      <c r="G42" s="10">
        <v>70.328999999999994</v>
      </c>
      <c r="H42" s="10">
        <v>71.228999999999999</v>
      </c>
      <c r="I42" s="10">
        <v>74.436000000000007</v>
      </c>
    </row>
    <row r="43" spans="1:9" x14ac:dyDescent="0.25">
      <c r="A43" s="7"/>
      <c r="B43" s="8" t="s">
        <v>70</v>
      </c>
      <c r="C43" s="9" t="s">
        <v>71</v>
      </c>
      <c r="D43" s="10">
        <v>63.81</v>
      </c>
      <c r="E43" s="10">
        <v>65.527000000000001</v>
      </c>
      <c r="F43" s="10">
        <v>55.606000000000002</v>
      </c>
      <c r="G43" s="10">
        <v>78.045000000000002</v>
      </c>
      <c r="H43" s="10">
        <v>76.543000000000006</v>
      </c>
      <c r="I43" s="10">
        <v>70.763999999999996</v>
      </c>
    </row>
    <row r="44" spans="1:9" x14ac:dyDescent="0.25">
      <c r="A44" s="7"/>
      <c r="B44" s="8" t="s">
        <v>72</v>
      </c>
      <c r="C44" s="9" t="s">
        <v>73</v>
      </c>
      <c r="D44" s="10">
        <v>308.63099999999997</v>
      </c>
      <c r="E44" s="10">
        <v>336.33800000000002</v>
      </c>
      <c r="F44" s="10">
        <v>375.392</v>
      </c>
      <c r="G44" s="10">
        <v>518.27200000000005</v>
      </c>
      <c r="H44" s="10">
        <v>562.63699999999994</v>
      </c>
      <c r="I44" s="10">
        <v>448.05799999999999</v>
      </c>
    </row>
    <row r="45" spans="1:9" x14ac:dyDescent="0.25">
      <c r="A45" s="7"/>
      <c r="B45" s="8" t="s">
        <v>74</v>
      </c>
      <c r="C45" s="9" t="s">
        <v>75</v>
      </c>
      <c r="D45" s="10">
        <v>355.33699999999999</v>
      </c>
      <c r="E45" s="10">
        <v>351.899</v>
      </c>
      <c r="F45" s="10">
        <v>361.83</v>
      </c>
      <c r="G45" s="10">
        <v>407.29599999999999</v>
      </c>
      <c r="H45" s="10">
        <v>441.45400000000001</v>
      </c>
      <c r="I45" s="10">
        <v>433.17099999999999</v>
      </c>
    </row>
    <row r="46" spans="1:9" x14ac:dyDescent="0.25">
      <c r="A46" s="7"/>
      <c r="B46" s="8" t="s">
        <v>76</v>
      </c>
      <c r="C46" s="9" t="s">
        <v>77</v>
      </c>
      <c r="D46" s="10">
        <v>37.670999999999999</v>
      </c>
      <c r="E46" s="10">
        <v>37.32</v>
      </c>
      <c r="F46" s="10">
        <v>29.241</v>
      </c>
      <c r="G46" s="10">
        <v>36.213999999999999</v>
      </c>
      <c r="H46" s="10">
        <v>30.585999999999999</v>
      </c>
      <c r="I46" s="10">
        <v>38.524000000000001</v>
      </c>
    </row>
    <row r="47" spans="1:9" s="14" customFormat="1" ht="13" x14ac:dyDescent="0.3">
      <c r="A47" s="11"/>
      <c r="B47" s="12" t="s">
        <v>78</v>
      </c>
      <c r="C47" s="12"/>
      <c r="D47" s="13">
        <v>5878.2750000000015</v>
      </c>
      <c r="E47" s="13">
        <v>6251.1679999999997</v>
      </c>
      <c r="F47" s="13">
        <v>5837.9470000000001</v>
      </c>
      <c r="G47" s="13">
        <v>6713.0759999999991</v>
      </c>
      <c r="H47" s="13">
        <v>7345.7639999999992</v>
      </c>
      <c r="I47" s="13">
        <v>7954.0190000000021</v>
      </c>
    </row>
    <row r="48" spans="1:9" x14ac:dyDescent="0.25">
      <c r="A48" s="7" t="s">
        <v>79</v>
      </c>
      <c r="B48" s="8" t="s">
        <v>80</v>
      </c>
      <c r="C48" s="9" t="s">
        <v>81</v>
      </c>
      <c r="D48" s="10">
        <v>300.113</v>
      </c>
      <c r="E48" s="10">
        <v>286.49799999999999</v>
      </c>
      <c r="F48" s="10">
        <v>212.262</v>
      </c>
      <c r="G48" s="10">
        <v>231.125</v>
      </c>
      <c r="H48" s="10">
        <v>219.148</v>
      </c>
      <c r="I48" s="10">
        <v>221.70599999999999</v>
      </c>
    </row>
    <row r="49" spans="1:9" x14ac:dyDescent="0.25">
      <c r="A49" s="7"/>
      <c r="B49" s="8" t="s">
        <v>82</v>
      </c>
      <c r="C49" s="9" t="s">
        <v>83</v>
      </c>
      <c r="D49" s="10">
        <v>452.42599999999999</v>
      </c>
      <c r="E49" s="10">
        <v>347.97199999999998</v>
      </c>
      <c r="F49" s="10">
        <v>268.5</v>
      </c>
      <c r="G49" s="10">
        <v>262.10500000000002</v>
      </c>
      <c r="H49" s="10">
        <v>309.81200000000001</v>
      </c>
      <c r="I49" s="10">
        <v>277.673</v>
      </c>
    </row>
    <row r="50" spans="1:9" x14ac:dyDescent="0.25">
      <c r="A50" s="7"/>
      <c r="B50" s="8" t="s">
        <v>84</v>
      </c>
      <c r="C50" s="9" t="s">
        <v>85</v>
      </c>
      <c r="D50" s="10">
        <v>24.318999999999999</v>
      </c>
      <c r="E50" s="10">
        <v>21.638000000000002</v>
      </c>
      <c r="F50" s="10">
        <v>10.379</v>
      </c>
      <c r="G50" s="10">
        <v>5.915</v>
      </c>
      <c r="H50" s="10">
        <v>0</v>
      </c>
      <c r="I50" s="10">
        <v>0</v>
      </c>
    </row>
    <row r="51" spans="1:9" x14ac:dyDescent="0.25">
      <c r="A51" s="7"/>
      <c r="B51" s="8" t="s">
        <v>86</v>
      </c>
      <c r="C51" s="9" t="s">
        <v>87</v>
      </c>
      <c r="D51" s="10">
        <v>214.1</v>
      </c>
      <c r="E51" s="10">
        <v>195.49600000000001</v>
      </c>
      <c r="F51" s="10">
        <v>165.28200000000001</v>
      </c>
      <c r="G51" s="10">
        <v>194.06299999999999</v>
      </c>
      <c r="H51" s="10">
        <v>189.12799999999999</v>
      </c>
      <c r="I51" s="10">
        <v>174.303</v>
      </c>
    </row>
    <row r="52" spans="1:9" x14ac:dyDescent="0.25">
      <c r="A52" s="7"/>
      <c r="B52" s="8" t="s">
        <v>88</v>
      </c>
      <c r="C52" s="9" t="s">
        <v>89</v>
      </c>
      <c r="D52" s="10">
        <v>493.11500000000001</v>
      </c>
      <c r="E52" s="10">
        <v>479.69299999999998</v>
      </c>
      <c r="F52" s="10">
        <v>348.00700000000001</v>
      </c>
      <c r="G52" s="10">
        <v>453.29399999999998</v>
      </c>
      <c r="H52" s="10">
        <v>430.279</v>
      </c>
      <c r="I52" s="10">
        <v>462.411</v>
      </c>
    </row>
    <row r="53" spans="1:9" x14ac:dyDescent="0.25">
      <c r="A53" s="7"/>
      <c r="B53" s="8" t="s">
        <v>90</v>
      </c>
      <c r="C53" s="9" t="s">
        <v>91</v>
      </c>
      <c r="D53" s="10">
        <v>158.91900000000001</v>
      </c>
      <c r="E53" s="10">
        <v>158.298</v>
      </c>
      <c r="F53" s="10">
        <v>103.47199999999999</v>
      </c>
      <c r="G53" s="10">
        <v>117.666</v>
      </c>
      <c r="H53" s="10">
        <v>106.43</v>
      </c>
      <c r="I53" s="10">
        <v>111.20699999999999</v>
      </c>
    </row>
    <row r="54" spans="1:9" x14ac:dyDescent="0.25">
      <c r="A54" s="7"/>
      <c r="B54" s="8" t="s">
        <v>92</v>
      </c>
      <c r="C54" s="9" t="s">
        <v>93</v>
      </c>
      <c r="D54" s="10">
        <v>400.16399999999999</v>
      </c>
      <c r="E54" s="10">
        <v>387.05</v>
      </c>
      <c r="F54" s="10">
        <v>390.18</v>
      </c>
      <c r="G54" s="10">
        <v>425.42099999999999</v>
      </c>
      <c r="H54" s="10">
        <v>372.17099999999999</v>
      </c>
      <c r="I54" s="10">
        <v>401.678</v>
      </c>
    </row>
    <row r="55" spans="1:9" x14ac:dyDescent="0.25">
      <c r="A55" s="7"/>
      <c r="B55" s="8" t="s">
        <v>94</v>
      </c>
      <c r="C55" s="9" t="s">
        <v>95</v>
      </c>
      <c r="D55" s="10">
        <v>577.35</v>
      </c>
      <c r="E55" s="10">
        <v>575.40800000000002</v>
      </c>
      <c r="F55" s="10">
        <v>515.15200000000004</v>
      </c>
      <c r="G55" s="10">
        <v>589.55399999999997</v>
      </c>
      <c r="H55" s="10">
        <v>594.91099999999994</v>
      </c>
      <c r="I55" s="10">
        <v>593.34299999999996</v>
      </c>
    </row>
    <row r="56" spans="1:9" x14ac:dyDescent="0.25">
      <c r="A56" s="7"/>
      <c r="B56" s="8" t="s">
        <v>96</v>
      </c>
      <c r="C56" s="9" t="s">
        <v>97</v>
      </c>
      <c r="D56" s="10">
        <v>323.01299999999998</v>
      </c>
      <c r="E56" s="10">
        <v>317.08499999999998</v>
      </c>
      <c r="F56" s="10">
        <v>261.24599999999998</v>
      </c>
      <c r="G56" s="10">
        <v>268.38299999999998</v>
      </c>
      <c r="H56" s="10">
        <v>237.43100000000001</v>
      </c>
      <c r="I56" s="10">
        <v>226.77099999999999</v>
      </c>
    </row>
    <row r="57" spans="1:9" x14ac:dyDescent="0.25">
      <c r="A57" s="7"/>
      <c r="B57" s="8" t="s">
        <v>98</v>
      </c>
      <c r="C57" s="9" t="s">
        <v>99</v>
      </c>
      <c r="D57" s="10">
        <v>199.97499999999999</v>
      </c>
      <c r="E57" s="10">
        <v>181.78800000000001</v>
      </c>
      <c r="F57" s="10">
        <v>176.54900000000001</v>
      </c>
      <c r="G57" s="10">
        <v>269.38400000000001</v>
      </c>
      <c r="H57" s="10">
        <v>228.25800000000001</v>
      </c>
      <c r="I57" s="10">
        <v>226.88</v>
      </c>
    </row>
    <row r="58" spans="1:9" x14ac:dyDescent="0.25">
      <c r="A58" s="7"/>
      <c r="B58" s="8" t="s">
        <v>100</v>
      </c>
      <c r="C58" s="9" t="s">
        <v>101</v>
      </c>
      <c r="D58" s="10">
        <v>446.64400000000001</v>
      </c>
      <c r="E58" s="10">
        <v>414.11099999999999</v>
      </c>
      <c r="F58" s="10">
        <v>357.10300000000001</v>
      </c>
      <c r="G58" s="10">
        <v>412.21100000000001</v>
      </c>
      <c r="H58" s="10">
        <v>430.33300000000003</v>
      </c>
      <c r="I58" s="10">
        <v>426.73200000000003</v>
      </c>
    </row>
    <row r="59" spans="1:9" x14ac:dyDescent="0.25">
      <c r="A59" s="7"/>
      <c r="B59" s="8" t="s">
        <v>102</v>
      </c>
      <c r="C59" s="9" t="s">
        <v>103</v>
      </c>
      <c r="D59" s="10">
        <v>190.45500000000001</v>
      </c>
      <c r="E59" s="10">
        <v>187.143</v>
      </c>
      <c r="F59" s="10">
        <v>202.77199999999999</v>
      </c>
      <c r="G59" s="10">
        <v>235.87200000000001</v>
      </c>
      <c r="H59" s="10">
        <v>248.501</v>
      </c>
      <c r="I59" s="10">
        <v>242.1</v>
      </c>
    </row>
    <row r="60" spans="1:9" x14ac:dyDescent="0.25">
      <c r="A60" s="7"/>
      <c r="B60" s="8" t="s">
        <v>104</v>
      </c>
      <c r="C60" s="9" t="s">
        <v>105</v>
      </c>
      <c r="D60" s="10">
        <v>82.29</v>
      </c>
      <c r="E60" s="10">
        <v>81.445999999999998</v>
      </c>
      <c r="F60" s="10">
        <v>59.639000000000003</v>
      </c>
      <c r="G60" s="10">
        <v>72.046000000000006</v>
      </c>
      <c r="H60" s="10">
        <v>71.424000000000007</v>
      </c>
      <c r="I60" s="10">
        <v>69.213999999999999</v>
      </c>
    </row>
    <row r="61" spans="1:9" x14ac:dyDescent="0.25">
      <c r="A61" s="7"/>
      <c r="B61" s="8" t="s">
        <v>106</v>
      </c>
      <c r="C61" s="9" t="s">
        <v>107</v>
      </c>
      <c r="D61" s="10">
        <v>426.70100000000002</v>
      </c>
      <c r="E61" s="10">
        <v>433.17399999999998</v>
      </c>
      <c r="F61" s="10">
        <v>371.00099999999998</v>
      </c>
      <c r="G61" s="10">
        <v>517.61500000000001</v>
      </c>
      <c r="H61" s="10">
        <v>449.66500000000002</v>
      </c>
      <c r="I61" s="10">
        <v>424.33100000000002</v>
      </c>
    </row>
    <row r="62" spans="1:9" x14ac:dyDescent="0.25">
      <c r="A62" s="7"/>
      <c r="B62" s="8" t="s">
        <v>108</v>
      </c>
      <c r="C62" s="9" t="s">
        <v>109</v>
      </c>
      <c r="D62" s="10">
        <v>154.625</v>
      </c>
      <c r="E62" s="10">
        <v>132.00800000000001</v>
      </c>
      <c r="F62" s="10">
        <v>113.157</v>
      </c>
      <c r="G62" s="10">
        <v>151.31299999999999</v>
      </c>
      <c r="H62" s="10">
        <v>173.55600000000001</v>
      </c>
      <c r="I62" s="10">
        <v>128.934</v>
      </c>
    </row>
    <row r="63" spans="1:9" x14ac:dyDescent="0.25">
      <c r="A63" s="7"/>
      <c r="B63" s="8" t="s">
        <v>110</v>
      </c>
      <c r="C63" s="9" t="s">
        <v>111</v>
      </c>
      <c r="D63" s="10">
        <v>460.22899999999998</v>
      </c>
      <c r="E63" s="10">
        <v>437.07799999999997</v>
      </c>
      <c r="F63" s="10">
        <v>350.452</v>
      </c>
      <c r="G63" s="10">
        <v>445.55099999999999</v>
      </c>
      <c r="H63" s="10">
        <v>446.60300000000001</v>
      </c>
      <c r="I63" s="10">
        <v>431.73700000000002</v>
      </c>
    </row>
    <row r="64" spans="1:9" x14ac:dyDescent="0.25">
      <c r="A64" s="7"/>
      <c r="B64" s="8" t="s">
        <v>112</v>
      </c>
      <c r="C64" s="9" t="s">
        <v>113</v>
      </c>
      <c r="D64" s="10">
        <v>288.44499999999999</v>
      </c>
      <c r="E64" s="10">
        <v>276.17099999999999</v>
      </c>
      <c r="F64" s="10">
        <v>228.07599999999999</v>
      </c>
      <c r="G64" s="10">
        <v>320.8</v>
      </c>
      <c r="H64" s="10">
        <v>428.06900000000002</v>
      </c>
      <c r="I64" s="10">
        <v>355.09300000000002</v>
      </c>
    </row>
    <row r="65" spans="1:9" x14ac:dyDescent="0.25">
      <c r="A65" s="7"/>
      <c r="B65" s="8" t="s">
        <v>114</v>
      </c>
      <c r="C65" s="9" t="s">
        <v>115</v>
      </c>
      <c r="D65" s="10">
        <v>637.84199999999998</v>
      </c>
      <c r="E65" s="10">
        <v>625.58100000000002</v>
      </c>
      <c r="F65" s="10">
        <v>530.56799999999998</v>
      </c>
      <c r="G65" s="10">
        <v>671.59799999999996</v>
      </c>
      <c r="H65" s="10">
        <v>516.80200000000002</v>
      </c>
      <c r="I65" s="10">
        <v>437.09399999999999</v>
      </c>
    </row>
    <row r="66" spans="1:9" x14ac:dyDescent="0.25">
      <c r="A66" s="7"/>
      <c r="B66" s="8" t="s">
        <v>116</v>
      </c>
      <c r="C66" s="9" t="s">
        <v>117</v>
      </c>
      <c r="D66" s="10">
        <v>76.965000000000003</v>
      </c>
      <c r="E66" s="10">
        <v>56.933</v>
      </c>
      <c r="F66" s="10">
        <v>54.844999999999999</v>
      </c>
      <c r="G66" s="10">
        <v>85.03</v>
      </c>
      <c r="H66" s="10">
        <v>86.203000000000003</v>
      </c>
      <c r="I66" s="10">
        <v>70.668999999999997</v>
      </c>
    </row>
    <row r="67" spans="1:9" x14ac:dyDescent="0.25">
      <c r="A67" s="7"/>
      <c r="B67" s="8" t="s">
        <v>118</v>
      </c>
      <c r="C67" s="9" t="s">
        <v>119</v>
      </c>
      <c r="D67" s="10">
        <v>176.52799999999999</v>
      </c>
      <c r="E67" s="10">
        <v>164.16</v>
      </c>
      <c r="F67" s="10">
        <v>165.42699999999999</v>
      </c>
      <c r="G67" s="10">
        <v>217.405</v>
      </c>
      <c r="H67" s="10">
        <v>188.34299999999999</v>
      </c>
      <c r="I67" s="10">
        <v>188.33699999999999</v>
      </c>
    </row>
    <row r="68" spans="1:9" x14ac:dyDescent="0.25">
      <c r="A68" s="7"/>
      <c r="B68" s="8" t="s">
        <v>120</v>
      </c>
      <c r="C68" s="9" t="s">
        <v>121</v>
      </c>
      <c r="D68" s="10">
        <v>127.827</v>
      </c>
      <c r="E68" s="10">
        <v>120.009</v>
      </c>
      <c r="F68" s="10">
        <v>117.04600000000001</v>
      </c>
      <c r="G68" s="10">
        <v>129.82300000000001</v>
      </c>
      <c r="H68" s="10">
        <v>129.83000000000001</v>
      </c>
      <c r="I68" s="10">
        <v>130.86199999999999</v>
      </c>
    </row>
    <row r="69" spans="1:9" x14ac:dyDescent="0.25">
      <c r="A69" s="7"/>
      <c r="B69" s="8" t="s">
        <v>122</v>
      </c>
      <c r="C69" s="9" t="s">
        <v>123</v>
      </c>
      <c r="D69" s="10">
        <v>184.20400000000001</v>
      </c>
      <c r="E69" s="10">
        <v>141.37</v>
      </c>
      <c r="F69" s="10">
        <v>103.29600000000001</v>
      </c>
      <c r="G69" s="10">
        <v>97.998999999999995</v>
      </c>
      <c r="H69" s="10">
        <v>136.756</v>
      </c>
      <c r="I69" s="10">
        <v>152.613</v>
      </c>
    </row>
    <row r="70" spans="1:9" x14ac:dyDescent="0.25">
      <c r="A70" s="7"/>
      <c r="B70" s="8" t="s">
        <v>124</v>
      </c>
      <c r="C70" s="9" t="s">
        <v>125</v>
      </c>
      <c r="D70" s="10">
        <v>308.041</v>
      </c>
      <c r="E70" s="10">
        <v>280.887</v>
      </c>
      <c r="F70" s="10">
        <v>239.83600000000001</v>
      </c>
      <c r="G70" s="10">
        <v>268.43900000000002</v>
      </c>
      <c r="H70" s="10">
        <v>255.23099999999999</v>
      </c>
      <c r="I70" s="10">
        <v>265.87200000000001</v>
      </c>
    </row>
    <row r="71" spans="1:9" x14ac:dyDescent="0.25">
      <c r="A71" s="7"/>
      <c r="B71" s="8" t="s">
        <v>126</v>
      </c>
      <c r="C71" s="9" t="s">
        <v>127</v>
      </c>
      <c r="D71" s="10">
        <v>319.06</v>
      </c>
      <c r="E71" s="10">
        <v>315.02300000000002</v>
      </c>
      <c r="F71" s="10">
        <v>265.14</v>
      </c>
      <c r="G71" s="10">
        <v>307.60000000000002</v>
      </c>
      <c r="H71" s="10">
        <v>361.35899999999998</v>
      </c>
      <c r="I71" s="10">
        <v>386.49799999999999</v>
      </c>
    </row>
    <row r="72" spans="1:9" s="14" customFormat="1" ht="13" x14ac:dyDescent="0.3">
      <c r="A72" s="11"/>
      <c r="B72" s="12" t="s">
        <v>128</v>
      </c>
      <c r="C72" s="12"/>
      <c r="D72" s="13">
        <v>7023.35</v>
      </c>
      <c r="E72" s="13">
        <v>6616.02</v>
      </c>
      <c r="F72" s="13">
        <v>5609.3870000000015</v>
      </c>
      <c r="G72" s="13">
        <v>6750.2120000000004</v>
      </c>
      <c r="H72" s="13">
        <v>6610.2430000000004</v>
      </c>
      <c r="I72" s="13">
        <v>6406.058</v>
      </c>
    </row>
    <row r="73" spans="1:9" x14ac:dyDescent="0.25">
      <c r="A73" s="7" t="s">
        <v>129</v>
      </c>
      <c r="B73" s="8" t="s">
        <v>130</v>
      </c>
      <c r="C73" s="9" t="s">
        <v>131</v>
      </c>
      <c r="D73" s="10">
        <v>1464.3440000000001</v>
      </c>
      <c r="E73" s="10">
        <v>1182.9949999999999</v>
      </c>
      <c r="F73" s="10">
        <v>752.32500000000005</v>
      </c>
      <c r="G73" s="10">
        <v>794.73900000000003</v>
      </c>
      <c r="H73" s="10">
        <v>910.20699999999999</v>
      </c>
      <c r="I73" s="10">
        <v>632.03899999999999</v>
      </c>
    </row>
    <row r="74" spans="1:9" s="14" customFormat="1" ht="13" x14ac:dyDescent="0.3">
      <c r="A74" s="11"/>
      <c r="B74" s="12" t="s">
        <v>132</v>
      </c>
      <c r="C74" s="12"/>
      <c r="D74" s="13">
        <v>1464.3440000000001</v>
      </c>
      <c r="E74" s="13">
        <v>1182.9949999999999</v>
      </c>
      <c r="F74" s="13">
        <v>752.32500000000005</v>
      </c>
      <c r="G74" s="13">
        <v>794.73900000000003</v>
      </c>
      <c r="H74" s="13">
        <v>910.20699999999999</v>
      </c>
      <c r="I74" s="13">
        <v>632.03899999999999</v>
      </c>
    </row>
    <row r="75" spans="1:9" x14ac:dyDescent="0.25">
      <c r="A75" s="7" t="s">
        <v>133</v>
      </c>
      <c r="B75" s="8" t="s">
        <v>134</v>
      </c>
      <c r="C75" s="9" t="s">
        <v>135</v>
      </c>
      <c r="D75" s="10">
        <v>1425.173</v>
      </c>
      <c r="E75" s="10">
        <v>1525.3050000000001</v>
      </c>
      <c r="F75" s="10">
        <v>1548.883</v>
      </c>
      <c r="G75" s="10">
        <v>1576.7829999999999</v>
      </c>
      <c r="H75" s="10">
        <v>1662.2570000000001</v>
      </c>
      <c r="I75" s="10">
        <v>1820.636</v>
      </c>
    </row>
    <row r="76" spans="1:9" x14ac:dyDescent="0.25">
      <c r="A76" s="7"/>
      <c r="B76" s="8" t="s">
        <v>136</v>
      </c>
      <c r="C76" s="9" t="s">
        <v>137</v>
      </c>
      <c r="D76" s="10">
        <v>333.22199999999998</v>
      </c>
      <c r="E76" s="10">
        <v>364.608</v>
      </c>
      <c r="F76" s="10">
        <v>379.44799999999998</v>
      </c>
      <c r="G76" s="10">
        <v>328.404</v>
      </c>
      <c r="H76" s="10">
        <v>441.947</v>
      </c>
      <c r="I76" s="10">
        <v>433.084</v>
      </c>
    </row>
    <row r="77" spans="1:9" s="14" customFormat="1" ht="13" x14ac:dyDescent="0.3">
      <c r="A77" s="11"/>
      <c r="B77" s="12" t="s">
        <v>138</v>
      </c>
      <c r="C77" s="12"/>
      <c r="D77" s="13">
        <v>1758.395</v>
      </c>
      <c r="E77" s="13">
        <v>1889.913</v>
      </c>
      <c r="F77" s="13">
        <v>1928.3310000000001</v>
      </c>
      <c r="G77" s="13">
        <v>1905.1869999999999</v>
      </c>
      <c r="H77" s="13">
        <v>2104.2040000000002</v>
      </c>
      <c r="I77" s="13">
        <v>2253.7199999999998</v>
      </c>
    </row>
    <row r="78" spans="1:9" x14ac:dyDescent="0.25">
      <c r="A78" s="7" t="s">
        <v>139</v>
      </c>
      <c r="B78" s="8" t="s">
        <v>140</v>
      </c>
      <c r="C78" s="9" t="s">
        <v>141</v>
      </c>
      <c r="D78" s="10">
        <v>5503.8059999999996</v>
      </c>
      <c r="E78" s="10">
        <v>4995.9859999999999</v>
      </c>
      <c r="F78" s="10">
        <v>3721.692</v>
      </c>
      <c r="G78" s="10">
        <v>4027.6550000000002</v>
      </c>
      <c r="H78" s="10">
        <v>4648.2910000000002</v>
      </c>
      <c r="I78" s="10">
        <v>4953.53</v>
      </c>
    </row>
    <row r="79" spans="1:9" s="14" customFormat="1" ht="13" x14ac:dyDescent="0.3">
      <c r="A79" s="11"/>
      <c r="B79" s="12" t="s">
        <v>142</v>
      </c>
      <c r="C79" s="12"/>
      <c r="D79" s="13">
        <v>5503.8059999999996</v>
      </c>
      <c r="E79" s="13">
        <v>4995.9859999999999</v>
      </c>
      <c r="F79" s="13">
        <v>3721.692</v>
      </c>
      <c r="G79" s="13">
        <v>4027.6550000000002</v>
      </c>
      <c r="H79" s="13">
        <v>4648.2910000000002</v>
      </c>
      <c r="I79" s="13">
        <v>4953.53</v>
      </c>
    </row>
    <row r="80" spans="1:9" x14ac:dyDescent="0.25">
      <c r="A80" s="7" t="s">
        <v>143</v>
      </c>
      <c r="B80" s="8" t="s">
        <v>144</v>
      </c>
      <c r="C80" s="9" t="s">
        <v>145</v>
      </c>
      <c r="D80" s="10">
        <v>15248.874</v>
      </c>
      <c r="E80" s="10">
        <v>15676.772000000001</v>
      </c>
      <c r="F80" s="10">
        <v>13396.08</v>
      </c>
      <c r="G80" s="10">
        <v>15696.924000000001</v>
      </c>
      <c r="H80" s="10">
        <v>17433.280999999999</v>
      </c>
      <c r="I80" s="10">
        <v>18599.923999999999</v>
      </c>
    </row>
    <row r="81" spans="1:9" s="14" customFormat="1" ht="13" x14ac:dyDescent="0.3">
      <c r="A81" s="11"/>
      <c r="B81" s="12" t="s">
        <v>146</v>
      </c>
      <c r="C81" s="12"/>
      <c r="D81" s="13">
        <v>15248.874</v>
      </c>
      <c r="E81" s="13">
        <v>15676.772000000001</v>
      </c>
      <c r="F81" s="13">
        <v>13396.08</v>
      </c>
      <c r="G81" s="13">
        <v>15696.924000000001</v>
      </c>
      <c r="H81" s="13">
        <v>17433.280999999999</v>
      </c>
      <c r="I81" s="13">
        <v>18599.923999999999</v>
      </c>
    </row>
    <row r="82" spans="1:9" x14ac:dyDescent="0.25">
      <c r="A82" s="7" t="s">
        <v>147</v>
      </c>
      <c r="B82" s="8" t="s">
        <v>148</v>
      </c>
      <c r="C82" s="9" t="s">
        <v>149</v>
      </c>
      <c r="D82" s="10">
        <v>5190.07</v>
      </c>
      <c r="E82" s="10">
        <v>5384.4880000000003</v>
      </c>
      <c r="F82" s="10">
        <v>4734.3320000000003</v>
      </c>
      <c r="G82" s="10">
        <v>5339.2030000000004</v>
      </c>
      <c r="H82" s="10">
        <v>4969.7150000000001</v>
      </c>
      <c r="I82" s="10">
        <v>5330.5590000000002</v>
      </c>
    </row>
    <row r="83" spans="1:9" x14ac:dyDescent="0.25">
      <c r="A83" s="7"/>
      <c r="B83" s="8" t="s">
        <v>150</v>
      </c>
      <c r="C83" s="9" t="s">
        <v>151</v>
      </c>
      <c r="D83" s="10">
        <v>165.458</v>
      </c>
      <c r="E83" s="10">
        <v>169.81700000000001</v>
      </c>
      <c r="F83" s="10">
        <v>145.01</v>
      </c>
      <c r="G83" s="10">
        <v>172.99</v>
      </c>
      <c r="H83" s="10">
        <v>144.46</v>
      </c>
      <c r="I83" s="10">
        <v>170.57599999999999</v>
      </c>
    </row>
    <row r="84" spans="1:9" s="14" customFormat="1" ht="13" x14ac:dyDescent="0.3">
      <c r="A84" s="11"/>
      <c r="B84" s="12" t="s">
        <v>152</v>
      </c>
      <c r="C84" s="12"/>
      <c r="D84" s="13">
        <v>5355.5279999999993</v>
      </c>
      <c r="E84" s="13">
        <v>5554.3050000000003</v>
      </c>
      <c r="F84" s="13">
        <v>4879.3420000000006</v>
      </c>
      <c r="G84" s="13">
        <v>5512.1930000000002</v>
      </c>
      <c r="H84" s="13">
        <v>5114.1750000000002</v>
      </c>
      <c r="I84" s="13">
        <v>5501.1350000000002</v>
      </c>
    </row>
    <row r="85" spans="1:9" x14ac:dyDescent="0.25">
      <c r="A85" s="7" t="s">
        <v>153</v>
      </c>
      <c r="B85" s="8" t="s">
        <v>154</v>
      </c>
      <c r="C85" s="9" t="s">
        <v>155</v>
      </c>
      <c r="D85" s="10">
        <v>395.50200000000001</v>
      </c>
      <c r="E85" s="10">
        <v>399.83499999999998</v>
      </c>
      <c r="F85" s="10">
        <v>314.255</v>
      </c>
      <c r="G85" s="10">
        <v>276.887</v>
      </c>
      <c r="H85" s="10">
        <v>292.94299999999998</v>
      </c>
      <c r="I85" s="10">
        <v>354.04700000000003</v>
      </c>
    </row>
    <row r="86" spans="1:9" x14ac:dyDescent="0.25">
      <c r="A86" s="7"/>
      <c r="B86" s="8" t="s">
        <v>156</v>
      </c>
      <c r="C86" s="9" t="s">
        <v>157</v>
      </c>
      <c r="D86" s="10">
        <v>1035.124</v>
      </c>
      <c r="E86" s="10">
        <v>1103.0619999999999</v>
      </c>
      <c r="F86" s="10">
        <v>906.52700000000004</v>
      </c>
      <c r="G86" s="10">
        <v>1087.3409999999999</v>
      </c>
      <c r="H86" s="10">
        <v>1079.26</v>
      </c>
      <c r="I86" s="10">
        <v>1145.605</v>
      </c>
    </row>
    <row r="87" spans="1:9" s="14" customFormat="1" ht="13" x14ac:dyDescent="0.3">
      <c r="A87" s="11"/>
      <c r="B87" s="12" t="s">
        <v>158</v>
      </c>
      <c r="C87" s="12"/>
      <c r="D87" s="13">
        <v>1430.626</v>
      </c>
      <c r="E87" s="13">
        <v>1502.8969999999999</v>
      </c>
      <c r="F87" s="13">
        <v>1220.7820000000002</v>
      </c>
      <c r="G87" s="13">
        <v>1364.2279999999998</v>
      </c>
      <c r="H87" s="13">
        <v>1372.203</v>
      </c>
      <c r="I87" s="13">
        <v>1499.652</v>
      </c>
    </row>
    <row r="88" spans="1:9" x14ac:dyDescent="0.25">
      <c r="A88" s="7" t="s">
        <v>159</v>
      </c>
      <c r="B88" s="8" t="s">
        <v>160</v>
      </c>
      <c r="C88" s="9" t="s">
        <v>161</v>
      </c>
      <c r="D88" s="10">
        <v>2567.002</v>
      </c>
      <c r="E88" s="10">
        <v>2566.3420000000001</v>
      </c>
      <c r="F88" s="10">
        <v>2230.7179999999998</v>
      </c>
      <c r="G88" s="10">
        <v>2358.1930000000002</v>
      </c>
      <c r="H88" s="10">
        <v>2444.2249999999999</v>
      </c>
      <c r="I88" s="10">
        <v>2558.75</v>
      </c>
    </row>
    <row r="89" spans="1:9" s="14" customFormat="1" ht="13" x14ac:dyDescent="0.3">
      <c r="A89" s="11"/>
      <c r="B89" s="12" t="s">
        <v>162</v>
      </c>
      <c r="C89" s="12"/>
      <c r="D89" s="13">
        <v>2567.002</v>
      </c>
      <c r="E89" s="13">
        <v>2566.3420000000001</v>
      </c>
      <c r="F89" s="13">
        <v>2230.7179999999998</v>
      </c>
      <c r="G89" s="13">
        <v>2358.1930000000002</v>
      </c>
      <c r="H89" s="13">
        <v>2444.2249999999999</v>
      </c>
      <c r="I89" s="13">
        <v>2558.75</v>
      </c>
    </row>
    <row r="90" spans="1:9" x14ac:dyDescent="0.25">
      <c r="A90" s="7" t="s">
        <v>163</v>
      </c>
      <c r="B90" s="8" t="s">
        <v>164</v>
      </c>
      <c r="C90" s="9" t="s">
        <v>165</v>
      </c>
      <c r="D90" s="10">
        <v>3323.7449999999999</v>
      </c>
      <c r="E90" s="10">
        <v>3380.4720000000002</v>
      </c>
      <c r="F90" s="10">
        <v>3525.491</v>
      </c>
      <c r="G90" s="10">
        <v>3709.4949999999999</v>
      </c>
      <c r="H90" s="10">
        <v>4390.9790000000003</v>
      </c>
      <c r="I90" s="10">
        <v>4508.3339999999998</v>
      </c>
    </row>
    <row r="91" spans="1:9" x14ac:dyDescent="0.25">
      <c r="A91" s="7"/>
      <c r="B91" s="8" t="s">
        <v>166</v>
      </c>
      <c r="C91" s="9" t="s">
        <v>167</v>
      </c>
      <c r="D91" s="10">
        <v>424.72399999999999</v>
      </c>
      <c r="E91" s="10">
        <v>432.17399999999998</v>
      </c>
      <c r="F91" s="10">
        <v>367.50299999999999</v>
      </c>
      <c r="G91" s="10">
        <v>276.20800000000003</v>
      </c>
      <c r="H91" s="10">
        <v>284.58499999999998</v>
      </c>
      <c r="I91" s="10">
        <v>472.55900000000003</v>
      </c>
    </row>
    <row r="92" spans="1:9" x14ac:dyDescent="0.25">
      <c r="A92" s="7"/>
      <c r="B92" s="8" t="s">
        <v>168</v>
      </c>
      <c r="C92" s="9" t="s">
        <v>169</v>
      </c>
      <c r="D92" s="10">
        <v>268.60500000000002</v>
      </c>
      <c r="E92" s="10">
        <v>292.99400000000003</v>
      </c>
      <c r="F92" s="10">
        <v>225.637</v>
      </c>
      <c r="G92" s="10">
        <v>259.428</v>
      </c>
      <c r="H92" s="10">
        <v>285.31200000000001</v>
      </c>
      <c r="I92" s="10">
        <v>277.47399999999999</v>
      </c>
    </row>
    <row r="93" spans="1:9" s="14" customFormat="1" ht="13" x14ac:dyDescent="0.3">
      <c r="A93" s="11"/>
      <c r="B93" s="12" t="s">
        <v>170</v>
      </c>
      <c r="C93" s="12"/>
      <c r="D93" s="13">
        <v>4017.0740000000001</v>
      </c>
      <c r="E93" s="13">
        <v>4105.6400000000003</v>
      </c>
      <c r="F93" s="13">
        <v>4118.6310000000003</v>
      </c>
      <c r="G93" s="13">
        <v>4245.1310000000003</v>
      </c>
      <c r="H93" s="13">
        <v>4960.8760000000002</v>
      </c>
      <c r="I93" s="13">
        <v>5258.3670000000002</v>
      </c>
    </row>
    <row r="94" spans="1:9" x14ac:dyDescent="0.25">
      <c r="A94" s="7" t="s">
        <v>171</v>
      </c>
      <c r="B94" s="8" t="s">
        <v>172</v>
      </c>
      <c r="C94" s="9" t="s">
        <v>173</v>
      </c>
      <c r="D94" s="10">
        <v>7316.7349999999997</v>
      </c>
      <c r="E94" s="10">
        <v>7313.5</v>
      </c>
      <c r="F94" s="10">
        <v>7294.5230000000001</v>
      </c>
      <c r="G94" s="10">
        <v>7442.9120000000003</v>
      </c>
      <c r="H94" s="10">
        <v>7470.3990000000003</v>
      </c>
      <c r="I94" s="10">
        <v>7708.15</v>
      </c>
    </row>
    <row r="95" spans="1:9" s="14" customFormat="1" ht="13" x14ac:dyDescent="0.3">
      <c r="A95" s="11"/>
      <c r="B95" s="12" t="s">
        <v>174</v>
      </c>
      <c r="C95" s="12"/>
      <c r="D95" s="13">
        <v>7316.7349999999997</v>
      </c>
      <c r="E95" s="13">
        <v>7313.5</v>
      </c>
      <c r="F95" s="13">
        <v>7294.5230000000001</v>
      </c>
      <c r="G95" s="13">
        <v>7442.9120000000003</v>
      </c>
      <c r="H95" s="13">
        <v>7470.3990000000003</v>
      </c>
      <c r="I95" s="13">
        <v>7708.15</v>
      </c>
    </row>
    <row r="96" spans="1:9" x14ac:dyDescent="0.25">
      <c r="A96" s="7" t="s">
        <v>175</v>
      </c>
      <c r="B96" s="8" t="s">
        <v>176</v>
      </c>
      <c r="C96" s="9" t="s">
        <v>177</v>
      </c>
      <c r="D96" s="10">
        <v>7768.8519999999999</v>
      </c>
      <c r="E96" s="10">
        <v>7606.75</v>
      </c>
      <c r="F96" s="10">
        <v>6647.2610000000004</v>
      </c>
      <c r="G96" s="10">
        <v>7325.1639999999998</v>
      </c>
      <c r="H96" s="10">
        <v>7842.6949999999997</v>
      </c>
      <c r="I96" s="10">
        <v>8156.3180000000002</v>
      </c>
    </row>
    <row r="97" spans="1:9" s="14" customFormat="1" ht="13" x14ac:dyDescent="0.3">
      <c r="A97" s="11"/>
      <c r="B97" s="12" t="s">
        <v>178</v>
      </c>
      <c r="C97" s="12"/>
      <c r="D97" s="13">
        <v>7768.8519999999999</v>
      </c>
      <c r="E97" s="13">
        <v>7606.75</v>
      </c>
      <c r="F97" s="13">
        <v>6647.2610000000004</v>
      </c>
      <c r="G97" s="13">
        <v>7325.1639999999998</v>
      </c>
      <c r="H97" s="13">
        <v>7842.6949999999997</v>
      </c>
      <c r="I97" s="13">
        <v>8156.3180000000002</v>
      </c>
    </row>
    <row r="98" spans="1:9" x14ac:dyDescent="0.25">
      <c r="A98" s="7" t="s">
        <v>179</v>
      </c>
      <c r="B98" s="8" t="s">
        <v>180</v>
      </c>
      <c r="C98" s="9" t="s">
        <v>181</v>
      </c>
      <c r="D98" s="10">
        <v>8020.0020000000004</v>
      </c>
      <c r="E98" s="10">
        <v>7958.6329999999998</v>
      </c>
      <c r="F98" s="10">
        <v>7739.7470000000003</v>
      </c>
      <c r="G98" s="10">
        <v>7857.8180000000002</v>
      </c>
      <c r="H98" s="10">
        <v>7985.098</v>
      </c>
      <c r="I98" s="10">
        <v>8296.9240000000009</v>
      </c>
    </row>
    <row r="99" spans="1:9" s="14" customFormat="1" ht="13" x14ac:dyDescent="0.3">
      <c r="A99" s="11"/>
      <c r="B99" s="12" t="s">
        <v>182</v>
      </c>
      <c r="C99" s="12"/>
      <c r="D99" s="13">
        <v>8020.0020000000004</v>
      </c>
      <c r="E99" s="13">
        <v>7958.6329999999998</v>
      </c>
      <c r="F99" s="13">
        <v>7739.7470000000003</v>
      </c>
      <c r="G99" s="13">
        <v>7857.8180000000002</v>
      </c>
      <c r="H99" s="13">
        <v>7985.098</v>
      </c>
      <c r="I99" s="13">
        <v>8296.9240000000009</v>
      </c>
    </row>
    <row r="100" spans="1:9" x14ac:dyDescent="0.25">
      <c r="A100" s="7" t="s">
        <v>183</v>
      </c>
      <c r="B100" s="8" t="s">
        <v>184</v>
      </c>
      <c r="C100" s="9" t="s">
        <v>185</v>
      </c>
      <c r="D100" s="10">
        <v>1574.2909999999999</v>
      </c>
      <c r="E100" s="10">
        <v>1628.8240000000001</v>
      </c>
      <c r="F100" s="10">
        <v>1566.6610000000001</v>
      </c>
      <c r="G100" s="10">
        <v>1670.0229999999999</v>
      </c>
      <c r="H100" s="10">
        <v>1705.703</v>
      </c>
      <c r="I100" s="10">
        <v>1717.896</v>
      </c>
    </row>
    <row r="101" spans="1:9" x14ac:dyDescent="0.25">
      <c r="A101" s="7"/>
      <c r="B101" s="8" t="s">
        <v>186</v>
      </c>
      <c r="C101" s="9" t="s">
        <v>187</v>
      </c>
      <c r="D101" s="10">
        <v>3796.7979999999998</v>
      </c>
      <c r="E101" s="10">
        <v>3769.143</v>
      </c>
      <c r="F101" s="10">
        <v>3646.453</v>
      </c>
      <c r="G101" s="10">
        <v>3554.8989999999999</v>
      </c>
      <c r="H101" s="10">
        <v>3464.5149999999999</v>
      </c>
      <c r="I101" s="10">
        <v>3546.1120000000001</v>
      </c>
    </row>
    <row r="102" spans="1:9" s="14" customFormat="1" ht="13" x14ac:dyDescent="0.3">
      <c r="A102" s="11"/>
      <c r="B102" s="12" t="s">
        <v>188</v>
      </c>
      <c r="C102" s="12"/>
      <c r="D102" s="13">
        <v>5371.0889999999999</v>
      </c>
      <c r="E102" s="13">
        <v>5397.9670000000006</v>
      </c>
      <c r="F102" s="13">
        <v>5213.1139999999996</v>
      </c>
      <c r="G102" s="13">
        <v>5224.9219999999996</v>
      </c>
      <c r="H102" s="13">
        <v>5170.2179999999998</v>
      </c>
      <c r="I102" s="13">
        <v>5264.0079999999998</v>
      </c>
    </row>
    <row r="103" spans="1:9" x14ac:dyDescent="0.25">
      <c r="A103" s="7" t="s">
        <v>189</v>
      </c>
      <c r="B103" s="8" t="s">
        <v>190</v>
      </c>
      <c r="C103" s="9" t="s">
        <v>191</v>
      </c>
      <c r="D103" s="10">
        <v>1416.2719999999999</v>
      </c>
      <c r="E103" s="10">
        <v>1472.318</v>
      </c>
      <c r="F103" s="10">
        <v>1424.2159999999999</v>
      </c>
      <c r="G103" s="10">
        <v>1718.6479999999999</v>
      </c>
      <c r="H103" s="10">
        <v>1840.855</v>
      </c>
      <c r="I103" s="10">
        <v>1967.8109999999999</v>
      </c>
    </row>
    <row r="104" spans="1:9" x14ac:dyDescent="0.25">
      <c r="A104" s="7"/>
      <c r="B104" s="8" t="s">
        <v>192</v>
      </c>
      <c r="C104" s="9" t="s">
        <v>193</v>
      </c>
      <c r="D104" s="10">
        <v>2694.884</v>
      </c>
      <c r="E104" s="10">
        <v>2621.047</v>
      </c>
      <c r="F104" s="10">
        <v>2748.8319999999999</v>
      </c>
      <c r="G104" s="10">
        <v>3042.585</v>
      </c>
      <c r="H104" s="10">
        <v>2939.8229999999999</v>
      </c>
      <c r="I104" s="10">
        <v>2860.8380000000002</v>
      </c>
    </row>
    <row r="105" spans="1:9" s="14" customFormat="1" ht="13" x14ac:dyDescent="0.3">
      <c r="A105" s="11"/>
      <c r="B105" s="12" t="s">
        <v>194</v>
      </c>
      <c r="C105" s="12"/>
      <c r="D105" s="13">
        <v>4111.1559999999999</v>
      </c>
      <c r="E105" s="13">
        <v>4093.3649999999998</v>
      </c>
      <c r="F105" s="13">
        <v>4173.0479999999998</v>
      </c>
      <c r="G105" s="13">
        <v>4761.2330000000002</v>
      </c>
      <c r="H105" s="13">
        <v>4780.6779999999999</v>
      </c>
      <c r="I105" s="13">
        <v>4828.6490000000003</v>
      </c>
    </row>
    <row r="106" spans="1:9" x14ac:dyDescent="0.25">
      <c r="A106" s="7" t="s">
        <v>195</v>
      </c>
      <c r="B106" s="8" t="s">
        <v>196</v>
      </c>
      <c r="C106" s="9" t="s">
        <v>197</v>
      </c>
      <c r="D106" s="10">
        <v>1087.3720000000001</v>
      </c>
      <c r="E106" s="10">
        <v>1139.095</v>
      </c>
      <c r="F106" s="10">
        <v>980.88499999999999</v>
      </c>
      <c r="G106" s="10">
        <v>1121.4069999999999</v>
      </c>
      <c r="H106" s="10">
        <v>1163.9649999999999</v>
      </c>
      <c r="I106" s="10">
        <v>1150.748</v>
      </c>
    </row>
    <row r="107" spans="1:9" s="14" customFormat="1" ht="13" x14ac:dyDescent="0.3">
      <c r="A107" s="11"/>
      <c r="B107" s="12" t="s">
        <v>198</v>
      </c>
      <c r="C107" s="12"/>
      <c r="D107" s="13">
        <v>1087.3720000000001</v>
      </c>
      <c r="E107" s="13">
        <v>1139.095</v>
      </c>
      <c r="F107" s="13">
        <v>980.88499999999999</v>
      </c>
      <c r="G107" s="13">
        <v>1121.4069999999999</v>
      </c>
      <c r="H107" s="13">
        <v>1163.9649999999999</v>
      </c>
      <c r="I107" s="13">
        <v>1150.748</v>
      </c>
    </row>
    <row r="108" spans="1:9" x14ac:dyDescent="0.25">
      <c r="A108" s="7" t="s">
        <v>199</v>
      </c>
      <c r="B108" s="8" t="s">
        <v>200</v>
      </c>
      <c r="C108" s="9" t="s">
        <v>201</v>
      </c>
      <c r="D108" s="10">
        <v>847.04700000000003</v>
      </c>
      <c r="E108" s="10">
        <v>963.46699999999998</v>
      </c>
      <c r="F108" s="10">
        <v>672.971</v>
      </c>
      <c r="G108" s="10">
        <v>734.56100000000004</v>
      </c>
      <c r="H108" s="10">
        <v>739.10900000000004</v>
      </c>
      <c r="I108" s="10">
        <v>819.5</v>
      </c>
    </row>
    <row r="109" spans="1:9" ht="13" x14ac:dyDescent="0.25">
      <c r="A109" s="15"/>
      <c r="B109" s="12" t="s">
        <v>202</v>
      </c>
      <c r="C109" s="12"/>
      <c r="D109" s="13">
        <v>847.04700000000003</v>
      </c>
      <c r="E109" s="13">
        <v>963.46699999999998</v>
      </c>
      <c r="F109" s="13">
        <v>672.971</v>
      </c>
      <c r="G109" s="13">
        <v>734.56100000000004</v>
      </c>
      <c r="H109" s="13">
        <v>739.10900000000004</v>
      </c>
      <c r="I109" s="13">
        <v>819.5</v>
      </c>
    </row>
    <row r="110" spans="1:9" ht="13" x14ac:dyDescent="0.3">
      <c r="A110" s="16" t="s">
        <v>203</v>
      </c>
      <c r="B110" s="17"/>
      <c r="C110" s="18"/>
      <c r="D110" s="13">
        <v>101468.14900000002</v>
      </c>
      <c r="E110" s="13">
        <v>101952.16699999999</v>
      </c>
      <c r="F110" s="13">
        <v>92319.921999999991</v>
      </c>
      <c r="G110" s="19">
        <v>97912.213000000003</v>
      </c>
      <c r="H110" s="19">
        <v>106362.285</v>
      </c>
      <c r="I110" s="19">
        <v>112703.697</v>
      </c>
    </row>
    <row r="111" spans="1:9" x14ac:dyDescent="0.25">
      <c r="G111" s="20"/>
      <c r="H111" s="20"/>
      <c r="I111" s="20"/>
    </row>
    <row r="112" spans="1:9" ht="13" x14ac:dyDescent="0.3">
      <c r="A112" s="21" t="s">
        <v>204</v>
      </c>
      <c r="G112" s="20"/>
      <c r="H112" s="20"/>
      <c r="I112" s="20"/>
    </row>
    <row r="113" spans="1:9" ht="13" x14ac:dyDescent="0.3">
      <c r="A113" s="22" t="s">
        <v>205</v>
      </c>
      <c r="D113" s="23">
        <v>0</v>
      </c>
      <c r="E113" s="23">
        <v>0</v>
      </c>
      <c r="F113" s="23">
        <v>0</v>
      </c>
      <c r="G113" s="23"/>
      <c r="H113" s="23"/>
      <c r="I113" s="23"/>
    </row>
    <row r="114" spans="1:9" x14ac:dyDescent="0.25">
      <c r="D114" s="24"/>
      <c r="E114" s="24"/>
      <c r="F114" s="24"/>
      <c r="G114" s="24"/>
      <c r="H114" s="24"/>
    </row>
    <row r="117" spans="1:9" x14ac:dyDescent="0.25">
      <c r="D117" s="24"/>
      <c r="E117" s="24"/>
      <c r="F117" s="24"/>
      <c r="G117" s="24"/>
      <c r="H117" s="24"/>
    </row>
  </sheetData>
  <mergeCells count="22">
    <mergeCell ref="B102:C102"/>
    <mergeCell ref="B105:C105"/>
    <mergeCell ref="B107:C107"/>
    <mergeCell ref="B109:C109"/>
    <mergeCell ref="B87:C87"/>
    <mergeCell ref="B89:C89"/>
    <mergeCell ref="B93:C93"/>
    <mergeCell ref="B95:C95"/>
    <mergeCell ref="B97:C97"/>
    <mergeCell ref="B99:C99"/>
    <mergeCell ref="B72:C72"/>
    <mergeCell ref="B74:C74"/>
    <mergeCell ref="B77:C77"/>
    <mergeCell ref="B79:C79"/>
    <mergeCell ref="B81:C81"/>
    <mergeCell ref="B84:C84"/>
    <mergeCell ref="A10:H10"/>
    <mergeCell ref="A11:H11"/>
    <mergeCell ref="B25:C25"/>
    <mergeCell ref="B27:C27"/>
    <mergeCell ref="B32:C32"/>
    <mergeCell ref="B47:C47"/>
  </mergeCells>
  <pageMargins left="0.70866141732283472" right="0.70866141732283472" top="0.74803149606299213" bottom="0.74803149606299213" header="0.31496062992125984" footer="0.31496062992125984"/>
  <pageSetup paperSize="9" scale="48" fitToHeight="3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12312-59AC-4650-8CEB-DBB50CFCFA22}">
  <dimension ref="A10:I117"/>
  <sheetViews>
    <sheetView tabSelected="1" topLeftCell="B1" workbookViewId="0">
      <selection activeCell="B50" sqref="A50:XFD50"/>
    </sheetView>
  </sheetViews>
  <sheetFormatPr baseColWidth="10" defaultColWidth="11.453125" defaultRowHeight="12.5" x14ac:dyDescent="0.25"/>
  <cols>
    <col min="1" max="1" width="55" style="2" customWidth="1"/>
    <col min="2" max="2" width="19.453125" style="3" customWidth="1"/>
    <col min="3" max="3" width="93.7265625" style="2" customWidth="1"/>
    <col min="4" max="8" width="20.26953125" style="2" customWidth="1"/>
    <col min="9" max="9" width="20.1796875" style="2" customWidth="1"/>
    <col min="10" max="16384" width="11.453125" style="2"/>
  </cols>
  <sheetData>
    <row r="10" spans="1:9" ht="15.5" x14ac:dyDescent="0.35">
      <c r="A10" s="1" t="s">
        <v>0</v>
      </c>
      <c r="B10" s="1"/>
      <c r="C10" s="1"/>
      <c r="D10" s="1"/>
      <c r="E10" s="1"/>
      <c r="F10" s="1"/>
      <c r="G10" s="1"/>
      <c r="H10" s="1"/>
    </row>
    <row r="11" spans="1:9" ht="15.5" x14ac:dyDescent="0.35">
      <c r="A11" s="1" t="s">
        <v>1</v>
      </c>
      <c r="B11" s="1"/>
      <c r="C11" s="1"/>
      <c r="D11" s="1"/>
      <c r="E11" s="1"/>
      <c r="F11" s="1"/>
      <c r="G11" s="1"/>
      <c r="H11" s="1"/>
    </row>
    <row r="12" spans="1:9" ht="13" thickBot="1" x14ac:dyDescent="0.3"/>
    <row r="13" spans="1:9" ht="14" thickTop="1" thickBot="1" x14ac:dyDescent="0.3">
      <c r="A13" s="4" t="s">
        <v>2</v>
      </c>
      <c r="B13" s="4" t="s">
        <v>3</v>
      </c>
      <c r="C13" s="4" t="s">
        <v>4</v>
      </c>
      <c r="D13" s="5">
        <v>2018</v>
      </c>
      <c r="E13" s="5">
        <v>2019</v>
      </c>
      <c r="F13" s="5">
        <v>2020</v>
      </c>
      <c r="G13" s="6">
        <v>2021</v>
      </c>
      <c r="H13" s="6">
        <v>2022</v>
      </c>
      <c r="I13" s="6" t="s">
        <v>10</v>
      </c>
    </row>
    <row r="14" spans="1:9" ht="13" thickTop="1" x14ac:dyDescent="0.25">
      <c r="A14" s="7" t="s">
        <v>11</v>
      </c>
      <c r="B14" s="8" t="s">
        <v>12</v>
      </c>
      <c r="C14" s="9" t="s">
        <v>13</v>
      </c>
      <c r="D14" s="10">
        <f>+'VAB corriente'!D14/'VAB constante'!D14*100</f>
        <v>100</v>
      </c>
      <c r="E14" s="10">
        <f>+'VAB corriente'!E14/'VAB constante'!E14*100</f>
        <v>99.577585349825767</v>
      </c>
      <c r="F14" s="10">
        <f>+'VAB corriente'!F14/'VAB constante'!F14*100</f>
        <v>101.32771798964374</v>
      </c>
      <c r="G14" s="10">
        <f>+'VAB corriente'!G14/'VAB constante'!G14*100</f>
        <v>99.903434765332619</v>
      </c>
      <c r="H14" s="10">
        <f>+'VAB corriente'!H14/'VAB constante'!H14*100</f>
        <v>109.75861137568769</v>
      </c>
      <c r="I14" s="10">
        <f>+'VAB corriente'!I14/'VAB constante'!I14*100</f>
        <v>106.38759302887992</v>
      </c>
    </row>
    <row r="15" spans="1:9" x14ac:dyDescent="0.25">
      <c r="A15" s="7"/>
      <c r="B15" s="8" t="s">
        <v>14</v>
      </c>
      <c r="C15" s="9" t="s">
        <v>15</v>
      </c>
      <c r="D15" s="10">
        <f>+'VAB corriente'!D15/'VAB constante'!D15*100</f>
        <v>100</v>
      </c>
      <c r="E15" s="10">
        <f>+'VAB corriente'!E15/'VAB constante'!E15*100</f>
        <v>113.01982051071366</v>
      </c>
      <c r="F15" s="10">
        <f>+'VAB corriente'!F15/'VAB constante'!F15*100</f>
        <v>103.72356965174131</v>
      </c>
      <c r="G15" s="10">
        <f>+'VAB corriente'!G15/'VAB constante'!G15*100</f>
        <v>69.604741133277429</v>
      </c>
      <c r="H15" s="10">
        <f>+'VAB corriente'!H15/'VAB constante'!H15*100</f>
        <v>118.71175106723852</v>
      </c>
      <c r="I15" s="10">
        <f>+'VAB corriente'!I15/'VAB constante'!I15*100</f>
        <v>136.00483489180252</v>
      </c>
    </row>
    <row r="16" spans="1:9" x14ac:dyDescent="0.25">
      <c r="A16" s="7"/>
      <c r="B16" s="8" t="s">
        <v>16</v>
      </c>
      <c r="C16" s="9" t="s">
        <v>17</v>
      </c>
      <c r="D16" s="10">
        <f>+'VAB corriente'!D16/'VAB constante'!D16*100</f>
        <v>100</v>
      </c>
      <c r="E16" s="10">
        <f>+'VAB corriente'!E16/'VAB constante'!E16*100</f>
        <v>102.39067834868094</v>
      </c>
      <c r="F16" s="10">
        <f>+'VAB corriente'!F16/'VAB constante'!F16*100</f>
        <v>95.661309052234031</v>
      </c>
      <c r="G16" s="10">
        <f>+'VAB corriente'!G16/'VAB constante'!G16*100</f>
        <v>96.711824226771853</v>
      </c>
      <c r="H16" s="10">
        <f>+'VAB corriente'!H16/'VAB constante'!H16*100</f>
        <v>105.89912512477248</v>
      </c>
      <c r="I16" s="10">
        <f>+'VAB corriente'!I16/'VAB constante'!I16*100</f>
        <v>111.07435227990479</v>
      </c>
    </row>
    <row r="17" spans="1:9" x14ac:dyDescent="0.25">
      <c r="A17" s="7"/>
      <c r="B17" s="8" t="s">
        <v>18</v>
      </c>
      <c r="C17" s="9" t="s">
        <v>19</v>
      </c>
      <c r="D17" s="10">
        <f>+'VAB corriente'!D17/'VAB constante'!D17*100</f>
        <v>100</v>
      </c>
      <c r="E17" s="10">
        <f>+'VAB corriente'!E17/'VAB constante'!E17*100</f>
        <v>99.734990223422088</v>
      </c>
      <c r="F17" s="10">
        <f>+'VAB corriente'!F17/'VAB constante'!F17*100</f>
        <v>87.796273952432557</v>
      </c>
      <c r="G17" s="10">
        <f>+'VAB corriente'!G17/'VAB constante'!G17*100</f>
        <v>96.918664345341739</v>
      </c>
      <c r="H17" s="10">
        <f>+'VAB corriente'!H17/'VAB constante'!H17*100</f>
        <v>91.48561629055888</v>
      </c>
      <c r="I17" s="10">
        <f>+'VAB corriente'!I17/'VAB constante'!I17*100</f>
        <v>110.17309254514778</v>
      </c>
    </row>
    <row r="18" spans="1:9" x14ac:dyDescent="0.25">
      <c r="A18" s="7"/>
      <c r="B18" s="8" t="s">
        <v>20</v>
      </c>
      <c r="C18" s="9" t="s">
        <v>21</v>
      </c>
      <c r="D18" s="10">
        <f>+'VAB corriente'!D18/'VAB constante'!D18*100</f>
        <v>100</v>
      </c>
      <c r="E18" s="10">
        <f>+'VAB corriente'!E18/'VAB constante'!E18*100</f>
        <v>103.08551401113665</v>
      </c>
      <c r="F18" s="10">
        <f>+'VAB corriente'!F18/'VAB constante'!F18*100</f>
        <v>100.02997731728769</v>
      </c>
      <c r="G18" s="10">
        <f>+'VAB corriente'!G18/'VAB constante'!G18*100</f>
        <v>96.034787606182235</v>
      </c>
      <c r="H18" s="10">
        <f>+'VAB corriente'!H18/'VAB constante'!H18*100</f>
        <v>99.765312821265411</v>
      </c>
      <c r="I18" s="10">
        <f>+'VAB corriente'!I18/'VAB constante'!I18*100</f>
        <v>116.62495468956418</v>
      </c>
    </row>
    <row r="19" spans="1:9" x14ac:dyDescent="0.25">
      <c r="A19" s="7"/>
      <c r="B19" s="8" t="s">
        <v>22</v>
      </c>
      <c r="C19" s="9" t="s">
        <v>23</v>
      </c>
      <c r="D19" s="10">
        <f>+'VAB corriente'!D19/'VAB constante'!D19*100</f>
        <v>100</v>
      </c>
      <c r="E19" s="10">
        <f>+'VAB corriente'!E19/'VAB constante'!E19*100</f>
        <v>97.888164116491666</v>
      </c>
      <c r="F19" s="10">
        <f>+'VAB corriente'!F19/'VAB constante'!F19*100</f>
        <v>95.244109872734398</v>
      </c>
      <c r="G19" s="10">
        <f>+'VAB corriente'!G19/'VAB constante'!G19*100</f>
        <v>99.010367269516308</v>
      </c>
      <c r="H19" s="10">
        <f>+'VAB corriente'!H19/'VAB constante'!H19*100</f>
        <v>102.09096070638448</v>
      </c>
      <c r="I19" s="10">
        <f>+'VAB corriente'!I19/'VAB constante'!I19*100</f>
        <v>101.48421727093584</v>
      </c>
    </row>
    <row r="20" spans="1:9" x14ac:dyDescent="0.25">
      <c r="A20" s="7"/>
      <c r="B20" s="8" t="s">
        <v>24</v>
      </c>
      <c r="C20" s="9" t="s">
        <v>25</v>
      </c>
      <c r="D20" s="10">
        <f>+'VAB corriente'!D20/'VAB constante'!D20*100</f>
        <v>100</v>
      </c>
      <c r="E20" s="10">
        <f>+'VAB corriente'!E20/'VAB constante'!E20*100</f>
        <v>104.73094841547</v>
      </c>
      <c r="F20" s="10">
        <f>+'VAB corriente'!F20/'VAB constante'!F20*100</f>
        <v>111.90420143819337</v>
      </c>
      <c r="G20" s="10">
        <f>+'VAB corriente'!G20/'VAB constante'!G20*100</f>
        <v>128.40680206780866</v>
      </c>
      <c r="H20" s="10">
        <f>+'VAB corriente'!H20/'VAB constante'!H20*100</f>
        <v>105.25309138314121</v>
      </c>
      <c r="I20" s="10">
        <f>+'VAB corriente'!I20/'VAB constante'!I20*100</f>
        <v>101.20220175042698</v>
      </c>
    </row>
    <row r="21" spans="1:9" x14ac:dyDescent="0.25">
      <c r="A21" s="7"/>
      <c r="B21" s="8" t="s">
        <v>26</v>
      </c>
      <c r="C21" s="9" t="s">
        <v>27</v>
      </c>
      <c r="D21" s="10">
        <f>+'VAB corriente'!D21/'VAB constante'!D21*100</f>
        <v>100</v>
      </c>
      <c r="E21" s="10">
        <f>+'VAB corriente'!E21/'VAB constante'!E21*100</f>
        <v>108.02218083553974</v>
      </c>
      <c r="F21" s="10">
        <f>+'VAB corriente'!F21/'VAB constante'!F21*100</f>
        <v>102.93680838915893</v>
      </c>
      <c r="G21" s="10">
        <f>+'VAB corriente'!G21/'VAB constante'!G21*100</f>
        <v>97.686253819604744</v>
      </c>
      <c r="H21" s="10">
        <f>+'VAB corriente'!H21/'VAB constante'!H21*100</f>
        <v>101.13733854082301</v>
      </c>
      <c r="I21" s="10">
        <f>+'VAB corriente'!I21/'VAB constante'!I21*100</f>
        <v>139.97321778085436</v>
      </c>
    </row>
    <row r="22" spans="1:9" x14ac:dyDescent="0.25">
      <c r="A22" s="7"/>
      <c r="B22" s="8" t="s">
        <v>28</v>
      </c>
      <c r="C22" s="9" t="s">
        <v>29</v>
      </c>
      <c r="D22" s="10">
        <f>+'VAB corriente'!D22/'VAB constante'!D22*100</f>
        <v>100</v>
      </c>
      <c r="E22" s="10">
        <f>+'VAB corriente'!E22/'VAB constante'!E22*100</f>
        <v>101.25519214957662</v>
      </c>
      <c r="F22" s="10">
        <f>+'VAB corriente'!F22/'VAB constante'!F22*100</f>
        <v>89.104793531835952</v>
      </c>
      <c r="G22" s="10">
        <f>+'VAB corriente'!G22/'VAB constante'!G22*100</f>
        <v>103.37736856151589</v>
      </c>
      <c r="H22" s="10">
        <f>+'VAB corriente'!H22/'VAB constante'!H22*100</f>
        <v>92.719440171717906</v>
      </c>
      <c r="I22" s="10">
        <f>+'VAB corriente'!I22/'VAB constante'!I22*100</f>
        <v>98.76763422440844</v>
      </c>
    </row>
    <row r="23" spans="1:9" x14ac:dyDescent="0.25">
      <c r="A23" s="7"/>
      <c r="B23" s="8" t="s">
        <v>30</v>
      </c>
      <c r="C23" s="9" t="s">
        <v>31</v>
      </c>
      <c r="D23" s="10">
        <f>+'VAB corriente'!D23/'VAB constante'!D23*100</f>
        <v>100</v>
      </c>
      <c r="E23" s="10">
        <f>+'VAB corriente'!E23/'VAB constante'!E23*100</f>
        <v>102.4288564891695</v>
      </c>
      <c r="F23" s="10">
        <f>+'VAB corriente'!F23/'VAB constante'!F23*100</f>
        <v>94.653574665442491</v>
      </c>
      <c r="G23" s="10">
        <f>+'VAB corriente'!G23/'VAB constante'!G23*100</f>
        <v>106.86246936802621</v>
      </c>
      <c r="H23" s="10">
        <f>+'VAB corriente'!H23/'VAB constante'!H23*100</f>
        <v>101.07500845660016</v>
      </c>
      <c r="I23" s="10">
        <f>+'VAB corriente'!I23/'VAB constante'!I23*100</f>
        <v>110.95160196584241</v>
      </c>
    </row>
    <row r="24" spans="1:9" x14ac:dyDescent="0.25">
      <c r="A24" s="7"/>
      <c r="B24" s="8" t="s">
        <v>32</v>
      </c>
      <c r="C24" s="9" t="s">
        <v>33</v>
      </c>
      <c r="D24" s="10">
        <f>+'VAB corriente'!D24/'VAB constante'!D24*100</f>
        <v>100</v>
      </c>
      <c r="E24" s="10">
        <f>+'VAB corriente'!E24/'VAB constante'!E24*100</f>
        <v>100.44561427812798</v>
      </c>
      <c r="F24" s="10">
        <f>+'VAB corriente'!F24/'VAB constante'!F24*100</f>
        <v>85.78153744081547</v>
      </c>
      <c r="G24" s="10">
        <f>+'VAB corriente'!G24/'VAB constante'!G24*100</f>
        <v>106.92093450867989</v>
      </c>
      <c r="H24" s="10">
        <f>+'VAB corriente'!H24/'VAB constante'!H24*100</f>
        <v>89.955762985729692</v>
      </c>
      <c r="I24" s="10">
        <f>+'VAB corriente'!I24/'VAB constante'!I24*100</f>
        <v>91.133894837598547</v>
      </c>
    </row>
    <row r="25" spans="1:9" s="14" customFormat="1" ht="13" x14ac:dyDescent="0.3">
      <c r="A25" s="11"/>
      <c r="B25" s="12" t="s">
        <v>34</v>
      </c>
      <c r="C25" s="12"/>
      <c r="D25" s="13">
        <f>+'VAB corriente'!D25/'VAB constante'!D25*100</f>
        <v>100</v>
      </c>
      <c r="E25" s="13">
        <f>+'VAB corriente'!E25/'VAB constante'!E25*100</f>
        <v>102.33640459821125</v>
      </c>
      <c r="F25" s="13">
        <f>+'VAB corriente'!F25/'VAB constante'!F25*100</f>
        <v>97.577181599690419</v>
      </c>
      <c r="G25" s="13">
        <f>+'VAB corriente'!G25/'VAB constante'!G25*100</f>
        <v>99.348747810962792</v>
      </c>
      <c r="H25" s="13">
        <f>+'VAB corriente'!H25/'VAB constante'!H25*100</f>
        <v>100.80897615597051</v>
      </c>
      <c r="I25" s="13">
        <f>+'VAB corriente'!I25/'VAB constante'!I25*100</f>
        <v>112.94828421043867</v>
      </c>
    </row>
    <row r="26" spans="1:9" x14ac:dyDescent="0.25">
      <c r="A26" s="7" t="s">
        <v>35</v>
      </c>
      <c r="B26" s="8" t="s">
        <v>36</v>
      </c>
      <c r="C26" s="9" t="s">
        <v>37</v>
      </c>
      <c r="D26" s="10">
        <f>+'VAB corriente'!D26/'VAB constante'!D26*100</f>
        <v>100</v>
      </c>
      <c r="E26" s="10">
        <f>+'VAB corriente'!E26/'VAB constante'!E26*100</f>
        <v>87.919060694839573</v>
      </c>
      <c r="F26" s="10">
        <f>+'VAB corriente'!F26/'VAB constante'!F26*100</f>
        <v>88.164881449371507</v>
      </c>
      <c r="G26" s="10">
        <f>+'VAB corriente'!G26/'VAB constante'!G26*100</f>
        <v>110.54297902082386</v>
      </c>
      <c r="H26" s="10">
        <f>+'VAB corriente'!H26/'VAB constante'!H26*100</f>
        <v>77.352394973092743</v>
      </c>
      <c r="I26" s="10">
        <f>+'VAB corriente'!I26/'VAB constante'!I26*100</f>
        <v>94.825805845189095</v>
      </c>
    </row>
    <row r="27" spans="1:9" s="14" customFormat="1" ht="13" x14ac:dyDescent="0.3">
      <c r="A27" s="11"/>
      <c r="B27" s="12" t="s">
        <v>38</v>
      </c>
      <c r="C27" s="12"/>
      <c r="D27" s="13">
        <f>+'VAB corriente'!D27/'VAB constante'!D27*100</f>
        <v>100</v>
      </c>
      <c r="E27" s="13">
        <f>+'VAB corriente'!E27/'VAB constante'!E27*100</f>
        <v>87.919060694839573</v>
      </c>
      <c r="F27" s="13">
        <f>+'VAB corriente'!F27/'VAB constante'!F27*100</f>
        <v>88.164881449371507</v>
      </c>
      <c r="G27" s="13">
        <f>+'VAB corriente'!G27/'VAB constante'!G27*100</f>
        <v>110.54297902082386</v>
      </c>
      <c r="H27" s="13">
        <f>+'VAB corriente'!H27/'VAB constante'!H27*100</f>
        <v>77.352394973092743</v>
      </c>
      <c r="I27" s="13">
        <f>+'VAB corriente'!I27/'VAB constante'!I27*100</f>
        <v>94.825805845189095</v>
      </c>
    </row>
    <row r="28" spans="1:9" x14ac:dyDescent="0.25">
      <c r="A28" s="7" t="s">
        <v>39</v>
      </c>
      <c r="B28" s="8" t="s">
        <v>40</v>
      </c>
      <c r="C28" s="9" t="s">
        <v>41</v>
      </c>
      <c r="D28" s="10">
        <f>+'VAB corriente'!D28/'VAB constante'!D28*100</f>
        <v>100</v>
      </c>
      <c r="E28" s="10">
        <f>+'VAB corriente'!E28/'VAB constante'!E28*100</f>
        <v>114.27414776820777</v>
      </c>
      <c r="F28" s="10">
        <f>+'VAB corriente'!F28/'VAB constante'!F28*100</f>
        <v>68.296195541840916</v>
      </c>
      <c r="G28" s="10">
        <f>+'VAB corriente'!G28/'VAB constante'!G28*100</f>
        <v>142.41446052359044</v>
      </c>
      <c r="H28" s="10">
        <f>+'VAB corriente'!H28/'VAB constante'!H28*100</f>
        <v>121.61713245054324</v>
      </c>
      <c r="I28" s="10">
        <f>+'VAB corriente'!I28/'VAB constante'!I28*100</f>
        <v>89.021871037464436</v>
      </c>
    </row>
    <row r="29" spans="1:9" x14ac:dyDescent="0.25">
      <c r="A29" s="7"/>
      <c r="B29" s="8" t="s">
        <v>42</v>
      </c>
      <c r="C29" s="9" t="s">
        <v>43</v>
      </c>
      <c r="D29" s="10">
        <f>+'VAB corriente'!D29/'VAB constante'!D29*100</f>
        <v>100</v>
      </c>
      <c r="E29" s="10">
        <f>+'VAB corriente'!E29/'VAB constante'!E29*100</f>
        <v>81.665256582748498</v>
      </c>
      <c r="F29" s="10">
        <f>+'VAB corriente'!F29/'VAB constante'!F29*100</f>
        <v>61.563484315671381</v>
      </c>
      <c r="G29" s="10">
        <f>+'VAB corriente'!G29/'VAB constante'!G29*100</f>
        <v>190.10783379935745</v>
      </c>
      <c r="H29" s="10">
        <f>+'VAB corriente'!H29/'VAB constante'!H29*100</f>
        <v>148.55988631408496</v>
      </c>
      <c r="I29" s="10">
        <f>+'VAB corriente'!I29/'VAB constante'!I29*100</f>
        <v>73.034125365703261</v>
      </c>
    </row>
    <row r="30" spans="1:9" x14ac:dyDescent="0.25">
      <c r="A30" s="7"/>
      <c r="B30" s="8" t="s">
        <v>44</v>
      </c>
      <c r="C30" s="9" t="s">
        <v>45</v>
      </c>
      <c r="D30" s="10">
        <f>+'VAB corriente'!D30/'VAB constante'!D30*100</f>
        <v>100</v>
      </c>
      <c r="E30" s="10">
        <f>+'VAB corriente'!E30/'VAB constante'!E30*100</f>
        <v>101.04213826631859</v>
      </c>
      <c r="F30" s="10">
        <f>+'VAB corriente'!F30/'VAB constante'!F30*100</f>
        <v>118.00101949396027</v>
      </c>
      <c r="G30" s="10">
        <f>+'VAB corriente'!G30/'VAB constante'!G30*100</f>
        <v>138.48418988410387</v>
      </c>
      <c r="H30" s="10">
        <f>+'VAB corriente'!H30/'VAB constante'!H30*100</f>
        <v>98.18761139537574</v>
      </c>
      <c r="I30" s="10">
        <f>+'VAB corriente'!I30/'VAB constante'!I30*100</f>
        <v>119.73239416870945</v>
      </c>
    </row>
    <row r="31" spans="1:9" x14ac:dyDescent="0.25">
      <c r="A31" s="7"/>
      <c r="B31" s="8" t="s">
        <v>46</v>
      </c>
      <c r="C31" s="9" t="s">
        <v>47</v>
      </c>
      <c r="D31" s="10">
        <f>+'VAB corriente'!D31/'VAB constante'!D31*100</f>
        <v>100</v>
      </c>
      <c r="E31" s="10">
        <f>+'VAB corriente'!E31/'VAB constante'!E31*100</f>
        <v>100.36156811596595</v>
      </c>
      <c r="F31" s="10">
        <f>+'VAB corriente'!F31/'VAB constante'!F31*100</f>
        <v>99.356299073353611</v>
      </c>
      <c r="G31" s="10">
        <f>+'VAB corriente'!G31/'VAB constante'!G31*100</f>
        <v>102.42789195793516</v>
      </c>
      <c r="H31" s="10">
        <f>+'VAB corriente'!H31/'VAB constante'!H31*100</f>
        <v>81.044054069752974</v>
      </c>
      <c r="I31" s="10">
        <f>+'VAB corriente'!I31/'VAB constante'!I31*100</f>
        <v>135.47147096406283</v>
      </c>
    </row>
    <row r="32" spans="1:9" s="14" customFormat="1" ht="13" x14ac:dyDescent="0.3">
      <c r="A32" s="11"/>
      <c r="B32" s="12" t="s">
        <v>48</v>
      </c>
      <c r="C32" s="12"/>
      <c r="D32" s="13">
        <f>+'VAB corriente'!D32/'VAB constante'!D32*100</f>
        <v>100</v>
      </c>
      <c r="E32" s="13">
        <f>+'VAB corriente'!E32/'VAB constante'!E32*100</f>
        <v>90.613787296270104</v>
      </c>
      <c r="F32" s="13">
        <f>+'VAB corriente'!F32/'VAB constante'!F32*100</f>
        <v>68.144372409790478</v>
      </c>
      <c r="G32" s="13">
        <f>+'VAB corriente'!G32/'VAB constante'!G32*100</f>
        <v>163.471083988055</v>
      </c>
      <c r="H32" s="13">
        <f>+'VAB corriente'!H32/'VAB constante'!H32*100</f>
        <v>131.43805799818614</v>
      </c>
      <c r="I32" s="13">
        <f>+'VAB corriente'!I32/'VAB constante'!I32*100</f>
        <v>83.878975109345404</v>
      </c>
    </row>
    <row r="33" spans="1:9" x14ac:dyDescent="0.25">
      <c r="A33" s="7" t="s">
        <v>49</v>
      </c>
      <c r="B33" s="8" t="s">
        <v>50</v>
      </c>
      <c r="C33" s="9" t="s">
        <v>51</v>
      </c>
      <c r="D33" s="10">
        <f>+'VAB corriente'!D33/'VAB constante'!D33*100</f>
        <v>100</v>
      </c>
      <c r="E33" s="10">
        <f>+'VAB corriente'!E33/'VAB constante'!E33*100</f>
        <v>97.566522650679815</v>
      </c>
      <c r="F33" s="10">
        <f>+'VAB corriente'!F33/'VAB constante'!F33*100</f>
        <v>99.130608109573544</v>
      </c>
      <c r="G33" s="10">
        <f>+'VAB corriente'!G33/'VAB constante'!G33*100</f>
        <v>94.733341032451776</v>
      </c>
      <c r="H33" s="10">
        <f>+'VAB corriente'!H33/'VAB constante'!H33*100</f>
        <v>96.250865774059335</v>
      </c>
      <c r="I33" s="10">
        <f>+'VAB corriente'!I33/'VAB constante'!I33*100</f>
        <v>104.91800948810292</v>
      </c>
    </row>
    <row r="34" spans="1:9" x14ac:dyDescent="0.25">
      <c r="A34" s="7"/>
      <c r="B34" s="8" t="s">
        <v>52</v>
      </c>
      <c r="C34" s="9" t="s">
        <v>53</v>
      </c>
      <c r="D34" s="10">
        <f>+'VAB corriente'!D34/'VAB constante'!D34*100</f>
        <v>100</v>
      </c>
      <c r="E34" s="10">
        <f>+'VAB corriente'!E34/'VAB constante'!E34*100</f>
        <v>96.1159486267414</v>
      </c>
      <c r="F34" s="10">
        <f>+'VAB corriente'!F34/'VAB constante'!F34*100</f>
        <v>110.46868675861639</v>
      </c>
      <c r="G34" s="10">
        <f>+'VAB corriente'!G34/'VAB constante'!G34*100</f>
        <v>75.82366744595079</v>
      </c>
      <c r="H34" s="10">
        <f>+'VAB corriente'!H34/'VAB constante'!H34*100</f>
        <v>105.6870798615586</v>
      </c>
      <c r="I34" s="10">
        <f>+'VAB corriente'!I34/'VAB constante'!I34*100</f>
        <v>113.99135560209383</v>
      </c>
    </row>
    <row r="35" spans="1:9" x14ac:dyDescent="0.25">
      <c r="A35" s="7"/>
      <c r="B35" s="8" t="s">
        <v>54</v>
      </c>
      <c r="C35" s="9" t="s">
        <v>55</v>
      </c>
      <c r="D35" s="10">
        <f>+'VAB corriente'!D35/'VAB constante'!D35*100</f>
        <v>100</v>
      </c>
      <c r="E35" s="10">
        <f>+'VAB corriente'!E35/'VAB constante'!E35*100</f>
        <v>89.161157138154294</v>
      </c>
      <c r="F35" s="10">
        <f>+'VAB corriente'!F35/'VAB constante'!F35*100</f>
        <v>110.33196210908496</v>
      </c>
      <c r="G35" s="10">
        <f>+'VAB corriente'!G35/'VAB constante'!G35*100</f>
        <v>114.42663825188737</v>
      </c>
      <c r="H35" s="10">
        <f>+'VAB corriente'!H35/'VAB constante'!H35*100</f>
        <v>122.10335396096109</v>
      </c>
      <c r="I35" s="10">
        <f>+'VAB corriente'!I35/'VAB constante'!I35*100</f>
        <v>97.858337426899993</v>
      </c>
    </row>
    <row r="36" spans="1:9" x14ac:dyDescent="0.25">
      <c r="A36" s="7"/>
      <c r="B36" s="8" t="s">
        <v>56</v>
      </c>
      <c r="C36" s="9" t="s">
        <v>57</v>
      </c>
      <c r="D36" s="10">
        <f>+'VAB corriente'!D36/'VAB constante'!D36*100</f>
        <v>100</v>
      </c>
      <c r="E36" s="10">
        <f>+'VAB corriente'!E36/'VAB constante'!E36*100</f>
        <v>110.61719134411247</v>
      </c>
      <c r="F36" s="10">
        <f>+'VAB corriente'!F36/'VAB constante'!F36*100</f>
        <v>96.537696528700934</v>
      </c>
      <c r="G36" s="10">
        <f>+'VAB corriente'!G36/'VAB constante'!G36*100</f>
        <v>104.0015647830201</v>
      </c>
      <c r="H36" s="10">
        <f>+'VAB corriente'!H36/'VAB constante'!H36*100</f>
        <v>127.93928609874558</v>
      </c>
      <c r="I36" s="10">
        <f>+'VAB corriente'!I36/'VAB constante'!I36*100</f>
        <v>93.499965074295403</v>
      </c>
    </row>
    <row r="37" spans="1:9" x14ac:dyDescent="0.25">
      <c r="A37" s="7"/>
      <c r="B37" s="8" t="s">
        <v>58</v>
      </c>
      <c r="C37" s="9" t="s">
        <v>59</v>
      </c>
      <c r="D37" s="10">
        <f>+'VAB corriente'!D37/'VAB constante'!D37*100</f>
        <v>100</v>
      </c>
      <c r="E37" s="10">
        <f>+'VAB corriente'!E37/'VAB constante'!E37*100</f>
        <v>88.122171470646265</v>
      </c>
      <c r="F37" s="10">
        <f>+'VAB corriente'!F37/'VAB constante'!F37*100</f>
        <v>100.86055746187222</v>
      </c>
      <c r="G37" s="10">
        <f>+'VAB corriente'!G37/'VAB constante'!G37*100</f>
        <v>94.622490070653782</v>
      </c>
      <c r="H37" s="10">
        <f>+'VAB corriente'!H37/'VAB constante'!H37*100</f>
        <v>92.102451374048925</v>
      </c>
      <c r="I37" s="10">
        <f>+'VAB corriente'!I37/'VAB constante'!I37*100</f>
        <v>118.08182290892884</v>
      </c>
    </row>
    <row r="38" spans="1:9" x14ac:dyDescent="0.25">
      <c r="A38" s="7"/>
      <c r="B38" s="8" t="s">
        <v>60</v>
      </c>
      <c r="C38" s="9" t="s">
        <v>61</v>
      </c>
      <c r="D38" s="10">
        <f>+'VAB corriente'!D38/'VAB constante'!D38*100</f>
        <v>100</v>
      </c>
      <c r="E38" s="10">
        <f>+'VAB corriente'!E38/'VAB constante'!E38*100</f>
        <v>102.97083990491763</v>
      </c>
      <c r="F38" s="10">
        <f>+'VAB corriente'!F38/'VAB constante'!F38*100</f>
        <v>98.404612850082373</v>
      </c>
      <c r="G38" s="10">
        <f>+'VAB corriente'!G38/'VAB constante'!G38*100</f>
        <v>93.375672377164037</v>
      </c>
      <c r="H38" s="10">
        <f>+'VAB corriente'!H38/'VAB constante'!H38*100</f>
        <v>99.310529914311445</v>
      </c>
      <c r="I38" s="10">
        <f>+'VAB corriente'!I38/'VAB constante'!I38*100</f>
        <v>107.80230705722293</v>
      </c>
    </row>
    <row r="39" spans="1:9" x14ac:dyDescent="0.25">
      <c r="A39" s="7"/>
      <c r="B39" s="8" t="s">
        <v>62</v>
      </c>
      <c r="C39" s="9" t="s">
        <v>63</v>
      </c>
      <c r="D39" s="10">
        <f>+'VAB corriente'!D39/'VAB constante'!D39*100</f>
        <v>100</v>
      </c>
      <c r="E39" s="10">
        <f>+'VAB corriente'!E39/'VAB constante'!E39*100</f>
        <v>99.214427615514893</v>
      </c>
      <c r="F39" s="10">
        <f>+'VAB corriente'!F39/'VAB constante'!F39*100</f>
        <v>97.244093298232144</v>
      </c>
      <c r="G39" s="10">
        <f>+'VAB corriente'!G39/'VAB constante'!G39*100</f>
        <v>91.621533787529657</v>
      </c>
      <c r="H39" s="10">
        <f>+'VAB corriente'!H39/'VAB constante'!H39*100</f>
        <v>99.248731164828513</v>
      </c>
      <c r="I39" s="10">
        <f>+'VAB corriente'!I39/'VAB constante'!I39*100</f>
        <v>120.66722317992998</v>
      </c>
    </row>
    <row r="40" spans="1:9" x14ac:dyDescent="0.25">
      <c r="A40" s="7"/>
      <c r="B40" s="8" t="s">
        <v>64</v>
      </c>
      <c r="C40" s="9" t="s">
        <v>65</v>
      </c>
      <c r="D40" s="10">
        <f>+'VAB corriente'!D40/'VAB constante'!D40*100</f>
        <v>100</v>
      </c>
      <c r="E40" s="10">
        <f>+'VAB corriente'!E40/'VAB constante'!E40*100</f>
        <v>90.328517225391963</v>
      </c>
      <c r="F40" s="10">
        <f>+'VAB corriente'!F40/'VAB constante'!F40*100</f>
        <v>90.409095326013016</v>
      </c>
      <c r="G40" s="10">
        <f>+'VAB corriente'!G40/'VAB constante'!G40*100</f>
        <v>103.32223858946823</v>
      </c>
      <c r="H40" s="10">
        <f>+'VAB corriente'!H40/'VAB constante'!H40*100</f>
        <v>110.56004753719148</v>
      </c>
      <c r="I40" s="10">
        <f>+'VAB corriente'!I40/'VAB constante'!I40*100</f>
        <v>134.27279389077444</v>
      </c>
    </row>
    <row r="41" spans="1:9" x14ac:dyDescent="0.25">
      <c r="A41" s="7"/>
      <c r="B41" s="8" t="s">
        <v>66</v>
      </c>
      <c r="C41" s="9" t="s">
        <v>67</v>
      </c>
      <c r="D41" s="10">
        <f>+'VAB corriente'!D41/'VAB constante'!D41*100</f>
        <v>100</v>
      </c>
      <c r="E41" s="10">
        <f>+'VAB corriente'!E41/'VAB constante'!E41*100</f>
        <v>88.841290145343095</v>
      </c>
      <c r="F41" s="10">
        <f>+'VAB corriente'!F41/'VAB constante'!F41*100</f>
        <v>81.828427899787471</v>
      </c>
      <c r="G41" s="10">
        <f>+'VAB corriente'!G41/'VAB constante'!G41*100</f>
        <v>114.2770468769958</v>
      </c>
      <c r="H41" s="10">
        <f>+'VAB corriente'!H41/'VAB constante'!H41*100</f>
        <v>96.523955236171659</v>
      </c>
      <c r="I41" s="10">
        <f>+'VAB corriente'!I41/'VAB constante'!I41*100</f>
        <v>98.653259733416263</v>
      </c>
    </row>
    <row r="42" spans="1:9" x14ac:dyDescent="0.25">
      <c r="A42" s="7"/>
      <c r="B42" s="8" t="s">
        <v>68</v>
      </c>
      <c r="C42" s="9" t="s">
        <v>69</v>
      </c>
      <c r="D42" s="10">
        <f>+'VAB corriente'!D42/'VAB constante'!D42*100</f>
        <v>100</v>
      </c>
      <c r="E42" s="10">
        <f>+'VAB corriente'!E42/'VAB constante'!E42*100</f>
        <v>108.71889324341169</v>
      </c>
      <c r="F42" s="10">
        <f>+'VAB corriente'!F42/'VAB constante'!F42*100</f>
        <v>104.11863641957584</v>
      </c>
      <c r="G42" s="10">
        <f>+'VAB corriente'!G42/'VAB constante'!G42*100</f>
        <v>97.64819633437132</v>
      </c>
      <c r="H42" s="10">
        <f>+'VAB corriente'!H42/'VAB constante'!H42*100</f>
        <v>105.78135310056295</v>
      </c>
      <c r="I42" s="10">
        <f>+'VAB corriente'!I42/'VAB constante'!I42*100</f>
        <v>139.47283572464934</v>
      </c>
    </row>
    <row r="43" spans="1:9" x14ac:dyDescent="0.25">
      <c r="A43" s="7"/>
      <c r="B43" s="8" t="s">
        <v>70</v>
      </c>
      <c r="C43" s="9" t="s">
        <v>71</v>
      </c>
      <c r="D43" s="10">
        <f>+'VAB corriente'!D43/'VAB constante'!D43*100</f>
        <v>100</v>
      </c>
      <c r="E43" s="10">
        <f>+'VAB corriente'!E43/'VAB constante'!E43*100</f>
        <v>87.754666015535577</v>
      </c>
      <c r="F43" s="10">
        <f>+'VAB corriente'!F43/'VAB constante'!F43*100</f>
        <v>118.17070100348882</v>
      </c>
      <c r="G43" s="10">
        <f>+'VAB corriente'!G43/'VAB constante'!G43*100</f>
        <v>90.24793388429751</v>
      </c>
      <c r="H43" s="10">
        <f>+'VAB corriente'!H43/'VAB constante'!H43*100</f>
        <v>90.363586480801644</v>
      </c>
      <c r="I43" s="10">
        <f>+'VAB corriente'!I43/'VAB constante'!I43*100</f>
        <v>120.01017466508397</v>
      </c>
    </row>
    <row r="44" spans="1:9" x14ac:dyDescent="0.25">
      <c r="A44" s="7"/>
      <c r="B44" s="8" t="s">
        <v>72</v>
      </c>
      <c r="C44" s="9" t="s">
        <v>73</v>
      </c>
      <c r="D44" s="10">
        <f>+'VAB corriente'!D44/'VAB constante'!D44*100</f>
        <v>100</v>
      </c>
      <c r="E44" s="10">
        <f>+'VAB corriente'!E44/'VAB constante'!E44*100</f>
        <v>105.73619394775493</v>
      </c>
      <c r="F44" s="10">
        <f>+'VAB corriente'!F44/'VAB constante'!F44*100</f>
        <v>108.2705545136817</v>
      </c>
      <c r="G44" s="10">
        <f>+'VAB corriente'!G44/'VAB constante'!G44*100</f>
        <v>89.250625154359085</v>
      </c>
      <c r="H44" s="10">
        <f>+'VAB corriente'!H44/'VAB constante'!H44*100</f>
        <v>86.504264739076888</v>
      </c>
      <c r="I44" s="10">
        <f>+'VAB corriente'!I44/'VAB constante'!I44*100</f>
        <v>106.13291136415374</v>
      </c>
    </row>
    <row r="45" spans="1:9" x14ac:dyDescent="0.25">
      <c r="A45" s="7"/>
      <c r="B45" s="8" t="s">
        <v>74</v>
      </c>
      <c r="C45" s="9" t="s">
        <v>75</v>
      </c>
      <c r="D45" s="10">
        <f>+'VAB corriente'!D45/'VAB constante'!D45*100</f>
        <v>100</v>
      </c>
      <c r="E45" s="10">
        <f>+'VAB corriente'!E45/'VAB constante'!E45*100</f>
        <v>106.04207457253361</v>
      </c>
      <c r="F45" s="10">
        <f>+'VAB corriente'!F45/'VAB constante'!F45*100</f>
        <v>107.95318243373961</v>
      </c>
      <c r="G45" s="10">
        <f>+'VAB corriente'!G45/'VAB constante'!G45*100</f>
        <v>100.89566310496542</v>
      </c>
      <c r="H45" s="10">
        <f>+'VAB corriente'!H45/'VAB constante'!H45*100</f>
        <v>100.86373665206341</v>
      </c>
      <c r="I45" s="10">
        <f>+'VAB corriente'!I45/'VAB constante'!I45*100</f>
        <v>114.98045806390549</v>
      </c>
    </row>
    <row r="46" spans="1:9" x14ac:dyDescent="0.25">
      <c r="A46" s="7"/>
      <c r="B46" s="8" t="s">
        <v>76</v>
      </c>
      <c r="C46" s="9" t="s">
        <v>77</v>
      </c>
      <c r="D46" s="10">
        <f>+'VAB corriente'!D46/'VAB constante'!D46*100</f>
        <v>100</v>
      </c>
      <c r="E46" s="10">
        <f>+'VAB corriente'!E46/'VAB constante'!E46*100</f>
        <v>83.920150053590575</v>
      </c>
      <c r="F46" s="10">
        <f>+'VAB corriente'!F46/'VAB constante'!F46*100</f>
        <v>103.83365821962313</v>
      </c>
      <c r="G46" s="10">
        <f>+'VAB corriente'!G46/'VAB constante'!G46*100</f>
        <v>83.920583199867451</v>
      </c>
      <c r="H46" s="10">
        <f>+'VAB corriente'!H46/'VAB constante'!H46*100</f>
        <v>116.04982671810633</v>
      </c>
      <c r="I46" s="10">
        <f>+'VAB corriente'!I46/'VAB constante'!I46*100</f>
        <v>106.29477728169452</v>
      </c>
    </row>
    <row r="47" spans="1:9" s="14" customFormat="1" ht="13" x14ac:dyDescent="0.3">
      <c r="A47" s="11"/>
      <c r="B47" s="12" t="s">
        <v>78</v>
      </c>
      <c r="C47" s="12"/>
      <c r="D47" s="13">
        <f>+'VAB corriente'!D47/'VAB constante'!D47*100</f>
        <v>100</v>
      </c>
      <c r="E47" s="13">
        <f>+'VAB corriente'!E47/'VAB constante'!E47*100</f>
        <v>95.923865747969003</v>
      </c>
      <c r="F47" s="13">
        <f>+'VAB corriente'!F47/'VAB constante'!F47*100</f>
        <v>103.37961273029717</v>
      </c>
      <c r="G47" s="13">
        <f>+'VAB corriente'!G47/'VAB constante'!G47*100</f>
        <v>98.052919406841227</v>
      </c>
      <c r="H47" s="13">
        <f>+'VAB corriente'!H47/'VAB constante'!H47*100</f>
        <v>106.84288251024671</v>
      </c>
      <c r="I47" s="13">
        <f>+'VAB corriente'!I47/'VAB constante'!I47*100</f>
        <v>106.20254993104743</v>
      </c>
    </row>
    <row r="48" spans="1:9" x14ac:dyDescent="0.25">
      <c r="A48" s="7" t="s">
        <v>79</v>
      </c>
      <c r="B48" s="8" t="s">
        <v>80</v>
      </c>
      <c r="C48" s="9" t="s">
        <v>81</v>
      </c>
      <c r="D48" s="10">
        <f>+'VAB corriente'!D48/'VAB constante'!D48*100</f>
        <v>100</v>
      </c>
      <c r="E48" s="10">
        <f>+'VAB corriente'!E48/'VAB constante'!E48*100</f>
        <v>89.617030485378606</v>
      </c>
      <c r="F48" s="10">
        <f>+'VAB corriente'!F48/'VAB constante'!F48*100</f>
        <v>101.84253422656906</v>
      </c>
      <c r="G48" s="10">
        <f>+'VAB corriente'!G48/'VAB constante'!G48*100</f>
        <v>91.147647376960521</v>
      </c>
      <c r="H48" s="10">
        <f>+'VAB corriente'!H48/'VAB constante'!H48*100</f>
        <v>93.697866282147231</v>
      </c>
      <c r="I48" s="10">
        <f>+'VAB corriente'!I48/'VAB constante'!I48*100</f>
        <v>112.03801430723573</v>
      </c>
    </row>
    <row r="49" spans="1:9" x14ac:dyDescent="0.25">
      <c r="A49" s="7"/>
      <c r="B49" s="8" t="s">
        <v>82</v>
      </c>
      <c r="C49" s="9" t="s">
        <v>83</v>
      </c>
      <c r="D49" s="10">
        <f>+'VAB corriente'!D49/'VAB constante'!D49*100</f>
        <v>100</v>
      </c>
      <c r="E49" s="10">
        <f>+'VAB corriente'!E49/'VAB constante'!E49*100</f>
        <v>93.653224972124207</v>
      </c>
      <c r="F49" s="10">
        <f>+'VAB corriente'!F49/'VAB constante'!F49*100</f>
        <v>89.901675977653625</v>
      </c>
      <c r="G49" s="10">
        <f>+'VAB corriente'!G49/'VAB constante'!G49*100</f>
        <v>114.28206253219129</v>
      </c>
      <c r="H49" s="10">
        <f>+'VAB corriente'!H49/'VAB constante'!H49*100</f>
        <v>88.892295973041712</v>
      </c>
      <c r="I49" s="10">
        <f>+'VAB corriente'!I49/'VAB constante'!I49*100</f>
        <v>97.291778458834671</v>
      </c>
    </row>
    <row r="50" spans="1:9" x14ac:dyDescent="0.25">
      <c r="A50" s="7"/>
      <c r="B50" s="8" t="s">
        <v>84</v>
      </c>
      <c r="C50" s="9" t="s">
        <v>85</v>
      </c>
      <c r="D50" s="10">
        <f>+'VAB corriente'!D50/'VAB constante'!D50*100</f>
        <v>100</v>
      </c>
      <c r="E50" s="10">
        <f>+'VAB corriente'!E50/'VAB constante'!E50*100</f>
        <v>85.086422035308246</v>
      </c>
      <c r="F50" s="10">
        <f>+'VAB corriente'!F50/'VAB constante'!F50*100</f>
        <v>109.01820984680606</v>
      </c>
      <c r="G50" s="10">
        <f>+'VAB corriente'!G50/'VAB constante'!G50*100</f>
        <v>15.063398140321219</v>
      </c>
      <c r="H50" s="10" t="e">
        <f>+'VAB corriente'!H50/'VAB constante'!H50*100</f>
        <v>#DIV/0!</v>
      </c>
      <c r="I50" s="10" t="e">
        <f>+'VAB corriente'!I50/'VAB constante'!I50*100</f>
        <v>#DIV/0!</v>
      </c>
    </row>
    <row r="51" spans="1:9" x14ac:dyDescent="0.25">
      <c r="A51" s="7"/>
      <c r="B51" s="8" t="s">
        <v>86</v>
      </c>
      <c r="C51" s="9" t="s">
        <v>87</v>
      </c>
      <c r="D51" s="10">
        <f>+'VAB corriente'!D51/'VAB constante'!D51*100</f>
        <v>100</v>
      </c>
      <c r="E51" s="10">
        <f>+'VAB corriente'!E51/'VAB constante'!E51*100</f>
        <v>105.47990751728935</v>
      </c>
      <c r="F51" s="10">
        <f>+'VAB corriente'!F51/'VAB constante'!F51*100</f>
        <v>93.455427693275723</v>
      </c>
      <c r="G51" s="10">
        <f>+'VAB corriente'!G51/'VAB constante'!G51*100</f>
        <v>92.665268495282476</v>
      </c>
      <c r="H51" s="10">
        <f>+'VAB corriente'!H51/'VAB constante'!H51*100</f>
        <v>102.23340806226473</v>
      </c>
      <c r="I51" s="10">
        <f>+'VAB corriente'!I51/'VAB constante'!I51*100</f>
        <v>112.59071846152963</v>
      </c>
    </row>
    <row r="52" spans="1:9" x14ac:dyDescent="0.25">
      <c r="A52" s="7"/>
      <c r="B52" s="8" t="s">
        <v>88</v>
      </c>
      <c r="C52" s="9" t="s">
        <v>89</v>
      </c>
      <c r="D52" s="10">
        <f>+'VAB corriente'!D52/'VAB constante'!D52*100</f>
        <v>100</v>
      </c>
      <c r="E52" s="10">
        <f>+'VAB corriente'!E52/'VAB constante'!E52*100</f>
        <v>99.667912602435322</v>
      </c>
      <c r="F52" s="10">
        <f>+'VAB corriente'!F52/'VAB constante'!F52*100</f>
        <v>99.634777461372906</v>
      </c>
      <c r="G52" s="10">
        <f>+'VAB corriente'!G52/'VAB constante'!G52*100</f>
        <v>91.134010156763608</v>
      </c>
      <c r="H52" s="10">
        <f>+'VAB corriente'!H52/'VAB constante'!H52*100</f>
        <v>98.89257900106675</v>
      </c>
      <c r="I52" s="10">
        <f>+'VAB corriente'!I52/'VAB constante'!I52*100</f>
        <v>109.28697630462942</v>
      </c>
    </row>
    <row r="53" spans="1:9" x14ac:dyDescent="0.25">
      <c r="A53" s="7"/>
      <c r="B53" s="8" t="s">
        <v>90</v>
      </c>
      <c r="C53" s="9" t="s">
        <v>91</v>
      </c>
      <c r="D53" s="10">
        <f>+'VAB corriente'!D53/'VAB constante'!D53*100</f>
        <v>100</v>
      </c>
      <c r="E53" s="10">
        <f>+'VAB corriente'!E53/'VAB constante'!E53*100</f>
        <v>97.675902411906662</v>
      </c>
      <c r="F53" s="10">
        <f>+'VAB corriente'!F53/'VAB constante'!F53*100</f>
        <v>87.616939848461428</v>
      </c>
      <c r="G53" s="10">
        <f>+'VAB corriente'!G53/'VAB constante'!G53*100</f>
        <v>84.676117145139642</v>
      </c>
      <c r="H53" s="10">
        <f>+'VAB corriente'!H53/'VAB constante'!H53*100</f>
        <v>100.84374706379779</v>
      </c>
      <c r="I53" s="10">
        <f>+'VAB corriente'!I53/'VAB constante'!I53*100</f>
        <v>106.20374616705783</v>
      </c>
    </row>
    <row r="54" spans="1:9" x14ac:dyDescent="0.25">
      <c r="A54" s="7"/>
      <c r="B54" s="8" t="s">
        <v>92</v>
      </c>
      <c r="C54" s="9" t="s">
        <v>93</v>
      </c>
      <c r="D54" s="10">
        <f>+'VAB corriente'!D54/'VAB constante'!D54*100</f>
        <v>100</v>
      </c>
      <c r="E54" s="10">
        <f>+'VAB corriente'!E54/'VAB constante'!E54*100</f>
        <v>111.02751582482884</v>
      </c>
      <c r="F54" s="10">
        <f>+'VAB corriente'!F54/'VAB constante'!F54*100</f>
        <v>121.15843969449998</v>
      </c>
      <c r="G54" s="10">
        <f>+'VAB corriente'!G54/'VAB constante'!G54*100</f>
        <v>89.119954116040347</v>
      </c>
      <c r="H54" s="10">
        <f>+'VAB corriente'!H54/'VAB constante'!H54*100</f>
        <v>106.1503986070919</v>
      </c>
      <c r="I54" s="10">
        <f>+'VAB corriente'!I54/'VAB constante'!I54*100</f>
        <v>100.16530653906861</v>
      </c>
    </row>
    <row r="55" spans="1:9" x14ac:dyDescent="0.25">
      <c r="A55" s="7"/>
      <c r="B55" s="8" t="s">
        <v>94</v>
      </c>
      <c r="C55" s="9" t="s">
        <v>95</v>
      </c>
      <c r="D55" s="10">
        <f>+'VAB corriente'!D55/'VAB constante'!D55*100</f>
        <v>100</v>
      </c>
      <c r="E55" s="10">
        <f>+'VAB corriente'!E55/'VAB constante'!E55*100</f>
        <v>99.779460834746828</v>
      </c>
      <c r="F55" s="10">
        <f>+'VAB corriente'!F55/'VAB constante'!F55*100</f>
        <v>101.11093424853246</v>
      </c>
      <c r="G55" s="10">
        <f>+'VAB corriente'!G55/'VAB constante'!G55*100</f>
        <v>89.605701937396759</v>
      </c>
      <c r="H55" s="10">
        <f>+'VAB corriente'!H55/'VAB constante'!H55*100</f>
        <v>105.59949303341172</v>
      </c>
      <c r="I55" s="10">
        <f>+'VAB corriente'!I55/'VAB constante'!I55*100</f>
        <v>88.55771450914564</v>
      </c>
    </row>
    <row r="56" spans="1:9" x14ac:dyDescent="0.25">
      <c r="A56" s="7"/>
      <c r="B56" s="8" t="s">
        <v>96</v>
      </c>
      <c r="C56" s="9" t="s">
        <v>97</v>
      </c>
      <c r="D56" s="10">
        <f>+'VAB corriente'!D56/'VAB constante'!D56*100</f>
        <v>100</v>
      </c>
      <c r="E56" s="10">
        <f>+'VAB corriente'!E56/'VAB constante'!E56*100</f>
        <v>102.1322358358169</v>
      </c>
      <c r="F56" s="10">
        <f>+'VAB corriente'!F56/'VAB constante'!F56*100</f>
        <v>97.829249060272687</v>
      </c>
      <c r="G56" s="10">
        <f>+'VAB corriente'!G56/'VAB constante'!G56*100</f>
        <v>86.039354206488497</v>
      </c>
      <c r="H56" s="10">
        <f>+'VAB corriente'!H56/'VAB constante'!H56*100</f>
        <v>97.815365306131042</v>
      </c>
      <c r="I56" s="10">
        <f>+'VAB corriente'!I56/'VAB constante'!I56*100</f>
        <v>136.11617005701788</v>
      </c>
    </row>
    <row r="57" spans="1:9" x14ac:dyDescent="0.25">
      <c r="A57" s="7"/>
      <c r="B57" s="8" t="s">
        <v>98</v>
      </c>
      <c r="C57" s="9" t="s">
        <v>99</v>
      </c>
      <c r="D57" s="10">
        <f>+'VAB corriente'!D57/'VAB constante'!D57*100</f>
        <v>100</v>
      </c>
      <c r="E57" s="10">
        <f>+'VAB corriente'!E57/'VAB constante'!E57*100</f>
        <v>107.61876471494267</v>
      </c>
      <c r="F57" s="10">
        <f>+'VAB corriente'!F57/'VAB constante'!F57*100</f>
        <v>118.61126372848332</v>
      </c>
      <c r="G57" s="10">
        <f>+'VAB corriente'!G57/'VAB constante'!G57*100</f>
        <v>89.091037329611268</v>
      </c>
      <c r="H57" s="10">
        <f>+'VAB corriente'!H57/'VAB constante'!H57*100</f>
        <v>100.60282662601089</v>
      </c>
      <c r="I57" s="10">
        <f>+'VAB corriente'!I57/'VAB constante'!I57*100</f>
        <v>102.87288434414667</v>
      </c>
    </row>
    <row r="58" spans="1:9" x14ac:dyDescent="0.25">
      <c r="A58" s="7"/>
      <c r="B58" s="8" t="s">
        <v>100</v>
      </c>
      <c r="C58" s="9" t="s">
        <v>101</v>
      </c>
      <c r="D58" s="10">
        <f>+'VAB corriente'!D58/'VAB constante'!D58*100</f>
        <v>100</v>
      </c>
      <c r="E58" s="10">
        <f>+'VAB corriente'!E58/'VAB constante'!E58*100</f>
        <v>99.431553375785725</v>
      </c>
      <c r="F58" s="10">
        <f>+'VAB corriente'!F58/'VAB constante'!F58*100</f>
        <v>101.93081547900744</v>
      </c>
      <c r="G58" s="10">
        <f>+'VAB corriente'!G58/'VAB constante'!G58*100</f>
        <v>100.18340121927847</v>
      </c>
      <c r="H58" s="10">
        <f>+'VAB corriente'!H58/'VAB constante'!H58*100</f>
        <v>101.00480325701258</v>
      </c>
      <c r="I58" s="10">
        <f>+'VAB corriente'!I58/'VAB constante'!I58*100</f>
        <v>99.157550875022267</v>
      </c>
    </row>
    <row r="59" spans="1:9" x14ac:dyDescent="0.25">
      <c r="A59" s="7"/>
      <c r="B59" s="8" t="s">
        <v>102</v>
      </c>
      <c r="C59" s="9" t="s">
        <v>103</v>
      </c>
      <c r="D59" s="10">
        <f>+'VAB corriente'!D59/'VAB constante'!D59*100</f>
        <v>100</v>
      </c>
      <c r="E59" s="10">
        <f>+'VAB corriente'!E59/'VAB constante'!E59*100</f>
        <v>105.55297286032605</v>
      </c>
      <c r="F59" s="10">
        <f>+'VAB corriente'!F59/'VAB constante'!F59*100</f>
        <v>107.57501035645949</v>
      </c>
      <c r="G59" s="10">
        <f>+'VAB corriente'!G59/'VAB constante'!G59*100</f>
        <v>103.97588522588521</v>
      </c>
      <c r="H59" s="10">
        <f>+'VAB corriente'!H59/'VAB constante'!H59*100</f>
        <v>97.923952016289675</v>
      </c>
      <c r="I59" s="10">
        <f>+'VAB corriente'!I59/'VAB constante'!I59*100</f>
        <v>100.32259396943412</v>
      </c>
    </row>
    <row r="60" spans="1:9" x14ac:dyDescent="0.25">
      <c r="A60" s="7"/>
      <c r="B60" s="8" t="s">
        <v>104</v>
      </c>
      <c r="C60" s="9" t="s">
        <v>105</v>
      </c>
      <c r="D60" s="10">
        <f>+'VAB corriente'!D60/'VAB constante'!D60*100</f>
        <v>100</v>
      </c>
      <c r="E60" s="10">
        <f>+'VAB corriente'!E60/'VAB constante'!E60*100</f>
        <v>92.200967512216678</v>
      </c>
      <c r="F60" s="10">
        <f>+'VAB corriente'!F60/'VAB constante'!F60*100</f>
        <v>92.546823387380741</v>
      </c>
      <c r="G60" s="10">
        <f>+'VAB corriente'!G60/'VAB constante'!G60*100</f>
        <v>90.905810176831466</v>
      </c>
      <c r="H60" s="10">
        <f>+'VAB corriente'!H60/'VAB constante'!H60*100</f>
        <v>106.05258736559138</v>
      </c>
      <c r="I60" s="10">
        <f>+'VAB corriente'!I60/'VAB constante'!I60*100</f>
        <v>127.00031785476926</v>
      </c>
    </row>
    <row r="61" spans="1:9" x14ac:dyDescent="0.25">
      <c r="A61" s="7"/>
      <c r="B61" s="8" t="s">
        <v>106</v>
      </c>
      <c r="C61" s="9" t="s">
        <v>107</v>
      </c>
      <c r="D61" s="10">
        <f>+'VAB corriente'!D61/'VAB constante'!D61*100</f>
        <v>100</v>
      </c>
      <c r="E61" s="10">
        <f>+'VAB corriente'!E61/'VAB constante'!E61*100</f>
        <v>102.73654466796253</v>
      </c>
      <c r="F61" s="10">
        <f>+'VAB corriente'!F61/'VAB constante'!F61*100</f>
        <v>105.93125085916211</v>
      </c>
      <c r="G61" s="10">
        <f>+'VAB corriente'!G61/'VAB constante'!G61*100</f>
        <v>83.936130135332249</v>
      </c>
      <c r="H61" s="10">
        <f>+'VAB corriente'!H61/'VAB constante'!H61*100</f>
        <v>98.607185349093214</v>
      </c>
      <c r="I61" s="10">
        <f>+'VAB corriente'!I61/'VAB constante'!I61*100</f>
        <v>127.55443274236387</v>
      </c>
    </row>
    <row r="62" spans="1:9" x14ac:dyDescent="0.25">
      <c r="A62" s="7"/>
      <c r="B62" s="8" t="s">
        <v>108</v>
      </c>
      <c r="C62" s="9" t="s">
        <v>109</v>
      </c>
      <c r="D62" s="10">
        <f>+'VAB corriente'!D62/'VAB constante'!D62*100</f>
        <v>100</v>
      </c>
      <c r="E62" s="10">
        <f>+'VAB corriente'!E62/'VAB constante'!E62*100</f>
        <v>107.08896430519363</v>
      </c>
      <c r="F62" s="10">
        <f>+'VAB corriente'!F62/'VAB constante'!F62*100</f>
        <v>97.562678402573425</v>
      </c>
      <c r="G62" s="10">
        <f>+'VAB corriente'!G62/'VAB constante'!G62*100</f>
        <v>97.524336970385903</v>
      </c>
      <c r="H62" s="10">
        <f>+'VAB corriente'!H62/'VAB constante'!H62*100</f>
        <v>88.021157436216541</v>
      </c>
      <c r="I62" s="10">
        <f>+'VAB corriente'!I62/'VAB constante'!I62*100</f>
        <v>107.57674469108227</v>
      </c>
    </row>
    <row r="63" spans="1:9" x14ac:dyDescent="0.25">
      <c r="A63" s="7"/>
      <c r="B63" s="8" t="s">
        <v>110</v>
      </c>
      <c r="C63" s="9" t="s">
        <v>111</v>
      </c>
      <c r="D63" s="10">
        <f>+'VAB corriente'!D63/'VAB constante'!D63*100</f>
        <v>100</v>
      </c>
      <c r="E63" s="10">
        <f>+'VAB corriente'!E63/'VAB constante'!E63*100</f>
        <v>100.32785910066397</v>
      </c>
      <c r="F63" s="10">
        <f>+'VAB corriente'!F63/'VAB constante'!F63*100</f>
        <v>102.55612751532308</v>
      </c>
      <c r="G63" s="10">
        <f>+'VAB corriente'!G63/'VAB constante'!G63*100</f>
        <v>95.451699132085892</v>
      </c>
      <c r="H63" s="10">
        <f>+'VAB corriente'!H63/'VAB constante'!H63*100</f>
        <v>99.069195683862404</v>
      </c>
      <c r="I63" s="10">
        <f>+'VAB corriente'!I63/'VAB constante'!I63*100</f>
        <v>99.571961634050353</v>
      </c>
    </row>
    <row r="64" spans="1:9" x14ac:dyDescent="0.25">
      <c r="A64" s="7"/>
      <c r="B64" s="8" t="s">
        <v>112</v>
      </c>
      <c r="C64" s="9" t="s">
        <v>113</v>
      </c>
      <c r="D64" s="10">
        <f>+'VAB corriente'!D64/'VAB constante'!D64*100</f>
        <v>100</v>
      </c>
      <c r="E64" s="10">
        <f>+'VAB corriente'!E64/'VAB constante'!E64*100</f>
        <v>102.10485532514275</v>
      </c>
      <c r="F64" s="10">
        <f>+'VAB corriente'!F64/'VAB constante'!F64*100</f>
        <v>112.89131692944459</v>
      </c>
      <c r="G64" s="10">
        <f>+'VAB corriente'!G64/'VAB constante'!G64*100</f>
        <v>137.6337281795511</v>
      </c>
      <c r="H64" s="10">
        <f>+'VAB corriente'!H64/'VAB constante'!H64*100</f>
        <v>84.251370690239185</v>
      </c>
      <c r="I64" s="10">
        <f>+'VAB corriente'!I64/'VAB constante'!I64*100</f>
        <v>117.75760152974009</v>
      </c>
    </row>
    <row r="65" spans="1:9" x14ac:dyDescent="0.25">
      <c r="A65" s="7"/>
      <c r="B65" s="8" t="s">
        <v>114</v>
      </c>
      <c r="C65" s="9" t="s">
        <v>115</v>
      </c>
      <c r="D65" s="10">
        <f>+'VAB corriente'!D65/'VAB constante'!D65*100</f>
        <v>100</v>
      </c>
      <c r="E65" s="10">
        <f>+'VAB corriente'!E65/'VAB constante'!E65*100</f>
        <v>94.22824542305473</v>
      </c>
      <c r="F65" s="10">
        <f>+'VAB corriente'!F65/'VAB constante'!F65*100</f>
        <v>101.52459251217564</v>
      </c>
      <c r="G65" s="10">
        <f>+'VAB corriente'!G65/'VAB constante'!G65*100</f>
        <v>82.751884311746011</v>
      </c>
      <c r="H65" s="10">
        <f>+'VAB corriente'!H65/'VAB constante'!H65*100</f>
        <v>86.584997736076872</v>
      </c>
      <c r="I65" s="10">
        <f>+'VAB corriente'!I65/'VAB constante'!I65*100</f>
        <v>116.88172338215578</v>
      </c>
    </row>
    <row r="66" spans="1:9" x14ac:dyDescent="0.25">
      <c r="A66" s="7"/>
      <c r="B66" s="8" t="s">
        <v>116</v>
      </c>
      <c r="C66" s="9" t="s">
        <v>117</v>
      </c>
      <c r="D66" s="10">
        <f>+'VAB corriente'!D66/'VAB constante'!D66*100</f>
        <v>100</v>
      </c>
      <c r="E66" s="10">
        <f>+'VAB corriente'!E66/'VAB constante'!E66*100</f>
        <v>113.55628545834577</v>
      </c>
      <c r="F66" s="10">
        <f>+'VAB corriente'!F66/'VAB constante'!F66*100</f>
        <v>105.1727595952229</v>
      </c>
      <c r="G66" s="10">
        <f>+'VAB corriente'!G66/'VAB constante'!G66*100</f>
        <v>78.68164177349172</v>
      </c>
      <c r="H66" s="10">
        <f>+'VAB corriente'!H66/'VAB constante'!H66*100</f>
        <v>76.489217312622543</v>
      </c>
      <c r="I66" s="10">
        <f>+'VAB corriente'!I66/'VAB constante'!I66*100</f>
        <v>193.20352629865997</v>
      </c>
    </row>
    <row r="67" spans="1:9" x14ac:dyDescent="0.25">
      <c r="A67" s="7"/>
      <c r="B67" s="8" t="s">
        <v>118</v>
      </c>
      <c r="C67" s="9" t="s">
        <v>119</v>
      </c>
      <c r="D67" s="10">
        <f>+'VAB corriente'!D67/'VAB constante'!D67*100</f>
        <v>100</v>
      </c>
      <c r="E67" s="10">
        <f>+'VAB corriente'!E67/'VAB constante'!E67*100</f>
        <v>114.12463450292398</v>
      </c>
      <c r="F67" s="10">
        <f>+'VAB corriente'!F67/'VAB constante'!F67*100</f>
        <v>99.906303082326346</v>
      </c>
      <c r="G67" s="10">
        <f>+'VAB corriente'!G67/'VAB constante'!G67*100</f>
        <v>93.517168418389645</v>
      </c>
      <c r="H67" s="10">
        <f>+'VAB corriente'!H67/'VAB constante'!H67*100</f>
        <v>98.359907190604375</v>
      </c>
      <c r="I67" s="10">
        <f>+'VAB corriente'!I67/'VAB constante'!I67*100</f>
        <v>134.59808747086339</v>
      </c>
    </row>
    <row r="68" spans="1:9" x14ac:dyDescent="0.25">
      <c r="A68" s="7"/>
      <c r="B68" s="8" t="s">
        <v>120</v>
      </c>
      <c r="C68" s="9" t="s">
        <v>121</v>
      </c>
      <c r="D68" s="10">
        <f>+'VAB corriente'!D68/'VAB constante'!D68*100</f>
        <v>100</v>
      </c>
      <c r="E68" s="10">
        <f>+'VAB corriente'!E68/'VAB constante'!E68*100</f>
        <v>102.19066903315586</v>
      </c>
      <c r="F68" s="10">
        <f>+'VAB corriente'!F68/'VAB constante'!F68*100</f>
        <v>94.959246791859613</v>
      </c>
      <c r="G68" s="10">
        <f>+'VAB corriente'!G68/'VAB constante'!G68*100</f>
        <v>94.179767837748301</v>
      </c>
      <c r="H68" s="10">
        <f>+'VAB corriente'!H68/'VAB constante'!H68*100</f>
        <v>105.06046368327813</v>
      </c>
      <c r="I68" s="10">
        <f>+'VAB corriente'!I68/'VAB constante'!I68*100</f>
        <v>102.94814384618911</v>
      </c>
    </row>
    <row r="69" spans="1:9" x14ac:dyDescent="0.25">
      <c r="A69" s="7"/>
      <c r="B69" s="8" t="s">
        <v>122</v>
      </c>
      <c r="C69" s="9" t="s">
        <v>123</v>
      </c>
      <c r="D69" s="10">
        <f>+'VAB corriente'!D69/'VAB constante'!D69*100</f>
        <v>100</v>
      </c>
      <c r="E69" s="10">
        <f>+'VAB corriente'!E69/'VAB constante'!E69*100</f>
        <v>115.75228124778948</v>
      </c>
      <c r="F69" s="10">
        <f>+'VAB corriente'!F69/'VAB constante'!F69*100</f>
        <v>67.990048017348187</v>
      </c>
      <c r="G69" s="10">
        <f>+'VAB corriente'!G69/'VAB constante'!G69*100</f>
        <v>119.7277523240033</v>
      </c>
      <c r="H69" s="10">
        <f>+'VAB corriente'!H69/'VAB constante'!H69*100</f>
        <v>101.42370353037526</v>
      </c>
      <c r="I69" s="10">
        <f>+'VAB corriente'!I69/'VAB constante'!I69*100</f>
        <v>110.1098857895461</v>
      </c>
    </row>
    <row r="70" spans="1:9" x14ac:dyDescent="0.25">
      <c r="A70" s="7"/>
      <c r="B70" s="8" t="s">
        <v>124</v>
      </c>
      <c r="C70" s="9" t="s">
        <v>125</v>
      </c>
      <c r="D70" s="10">
        <f>+'VAB corriente'!D70/'VAB constante'!D70*100</f>
        <v>100</v>
      </c>
      <c r="E70" s="10">
        <f>+'VAB corriente'!E70/'VAB constante'!E70*100</f>
        <v>110.71000081883462</v>
      </c>
      <c r="F70" s="10">
        <f>+'VAB corriente'!F70/'VAB constante'!F70*100</f>
        <v>97.08217281809236</v>
      </c>
      <c r="G70" s="10">
        <f>+'VAB corriente'!G70/'VAB constante'!G70*100</f>
        <v>91.291876366697821</v>
      </c>
      <c r="H70" s="10">
        <f>+'VAB corriente'!H70/'VAB constante'!H70*100</f>
        <v>100.5920127257269</v>
      </c>
      <c r="I70" s="10">
        <f>+'VAB corriente'!I70/'VAB constante'!I70*100</f>
        <v>117.44749353072154</v>
      </c>
    </row>
    <row r="71" spans="1:9" x14ac:dyDescent="0.25">
      <c r="A71" s="7"/>
      <c r="B71" s="8" t="s">
        <v>126</v>
      </c>
      <c r="C71" s="9" t="s">
        <v>127</v>
      </c>
      <c r="D71" s="10">
        <f>+'VAB corriente'!D71/'VAB constante'!D71*100</f>
        <v>100</v>
      </c>
      <c r="E71" s="10">
        <f>+'VAB corriente'!E71/'VAB constante'!E71*100</f>
        <v>101.54528399513687</v>
      </c>
      <c r="F71" s="10">
        <f>+'VAB corriente'!F71/'VAB constante'!F71*100</f>
        <v>94.943803273742176</v>
      </c>
      <c r="G71" s="10">
        <f>+'VAB corriente'!G71/'VAB constante'!G71*100</f>
        <v>110.86475942782835</v>
      </c>
      <c r="H71" s="10">
        <f>+'VAB corriente'!H71/'VAB constante'!H71*100</f>
        <v>103.71237467449268</v>
      </c>
      <c r="I71" s="10">
        <f>+'VAB corriente'!I71/'VAB constante'!I71*100</f>
        <v>109.95244477332353</v>
      </c>
    </row>
    <row r="72" spans="1:9" s="14" customFormat="1" ht="13" x14ac:dyDescent="0.3">
      <c r="A72" s="11"/>
      <c r="B72" s="12" t="s">
        <v>128</v>
      </c>
      <c r="C72" s="12"/>
      <c r="D72" s="13">
        <f>+'VAB corriente'!D72/'VAB constante'!D72*100</f>
        <v>100</v>
      </c>
      <c r="E72" s="13">
        <f>+'VAB corriente'!E72/'VAB constante'!E72*100</f>
        <v>101.46911587328937</v>
      </c>
      <c r="F72" s="13">
        <f>+'VAB corriente'!F72/'VAB constante'!F72*100</f>
        <v>101.6956754811176</v>
      </c>
      <c r="G72" s="13">
        <f>+'VAB corriente'!G72/'VAB constante'!G72*100</f>
        <v>94.903685987936385</v>
      </c>
      <c r="H72" s="13">
        <f>+'VAB corriente'!H72/'VAB constante'!H72*100</f>
        <v>97.581707661881708</v>
      </c>
      <c r="I72" s="13">
        <f>+'VAB corriente'!I72/'VAB constante'!I72*100</f>
        <v>109.75450113002412</v>
      </c>
    </row>
    <row r="73" spans="1:9" x14ac:dyDescent="0.25">
      <c r="A73" s="7" t="s">
        <v>129</v>
      </c>
      <c r="B73" s="8" t="s">
        <v>130</v>
      </c>
      <c r="C73" s="9" t="s">
        <v>131</v>
      </c>
      <c r="D73" s="10">
        <f>+'VAB corriente'!D73/'VAB constante'!D73*100</f>
        <v>100</v>
      </c>
      <c r="E73" s="10">
        <f>+'VAB corriente'!E73/'VAB constante'!E73*100</f>
        <v>78.778270406890996</v>
      </c>
      <c r="F73" s="10">
        <f>+'VAB corriente'!F73/'VAB constante'!F73*100</f>
        <v>88.655700661283348</v>
      </c>
      <c r="G73" s="10">
        <f>+'VAB corriente'!G73/'VAB constante'!G73*100</f>
        <v>120.22487885960045</v>
      </c>
      <c r="H73" s="10">
        <f>+'VAB corriente'!H73/'VAB constante'!H73*100</f>
        <v>73.019214310590883</v>
      </c>
      <c r="I73" s="10">
        <f>+'VAB corriente'!I73/'VAB constante'!I73*100</f>
        <v>100.24856061097496</v>
      </c>
    </row>
    <row r="74" spans="1:9" s="14" customFormat="1" ht="13" x14ac:dyDescent="0.3">
      <c r="A74" s="11"/>
      <c r="B74" s="12" t="s">
        <v>132</v>
      </c>
      <c r="C74" s="12"/>
      <c r="D74" s="13">
        <f>+'VAB corriente'!D74/'VAB constante'!D74*100</f>
        <v>100</v>
      </c>
      <c r="E74" s="13">
        <f>+'VAB corriente'!E74/'VAB constante'!E74*100</f>
        <v>78.778270406890996</v>
      </c>
      <c r="F74" s="13">
        <f>+'VAB corriente'!F74/'VAB constante'!F74*100</f>
        <v>88.655700661283348</v>
      </c>
      <c r="G74" s="13">
        <f>+'VAB corriente'!G74/'VAB constante'!G74*100</f>
        <v>120.22487885960045</v>
      </c>
      <c r="H74" s="13">
        <f>+'VAB corriente'!H74/'VAB constante'!H74*100</f>
        <v>73.019214310590883</v>
      </c>
      <c r="I74" s="13">
        <f>+'VAB corriente'!I74/'VAB constante'!I74*100</f>
        <v>100.24856061097496</v>
      </c>
    </row>
    <row r="75" spans="1:9" x14ac:dyDescent="0.25">
      <c r="A75" s="7" t="s">
        <v>133</v>
      </c>
      <c r="B75" s="8" t="s">
        <v>134</v>
      </c>
      <c r="C75" s="9" t="s">
        <v>135</v>
      </c>
      <c r="D75" s="10">
        <f>+'VAB corriente'!D75/'VAB constante'!D75*100</f>
        <v>100</v>
      </c>
      <c r="E75" s="10">
        <f>+'VAB corriente'!E75/'VAB constante'!E75*100</f>
        <v>105.45563018543831</v>
      </c>
      <c r="F75" s="10">
        <f>+'VAB corriente'!F75/'VAB constante'!F75*100</f>
        <v>97.64688488413907</v>
      </c>
      <c r="G75" s="10">
        <f>+'VAB corriente'!G75/'VAB constante'!G75*100</f>
        <v>101.5671782356862</v>
      </c>
      <c r="H75" s="10">
        <f>+'VAB corriente'!H75/'VAB constante'!H75*100</f>
        <v>101.16702772194672</v>
      </c>
      <c r="I75" s="10">
        <f>+'VAB corriente'!I75/'VAB constante'!I75*100</f>
        <v>85.081806577481714</v>
      </c>
    </row>
    <row r="76" spans="1:9" x14ac:dyDescent="0.25">
      <c r="A76" s="7"/>
      <c r="B76" s="8" t="s">
        <v>136</v>
      </c>
      <c r="C76" s="9" t="s">
        <v>137</v>
      </c>
      <c r="D76" s="10">
        <f>+'VAB corriente'!D76/'VAB constante'!D76*100</f>
        <v>100</v>
      </c>
      <c r="E76" s="10">
        <f>+'VAB corriente'!E76/'VAB constante'!E76*100</f>
        <v>106.55992188871335</v>
      </c>
      <c r="F76" s="10">
        <f>+'VAB corriente'!F76/'VAB constante'!F76*100</f>
        <v>84.656922687693708</v>
      </c>
      <c r="G76" s="10">
        <f>+'VAB corriente'!G76/'VAB constante'!G76*100</f>
        <v>126.19273821268926</v>
      </c>
      <c r="H76" s="10">
        <f>+'VAB corriente'!H76/'VAB constante'!H76*100</f>
        <v>101.34970935428909</v>
      </c>
      <c r="I76" s="10">
        <f>+'VAB corriente'!I76/'VAB constante'!I76*100</f>
        <v>114.08387287454629</v>
      </c>
    </row>
    <row r="77" spans="1:9" s="14" customFormat="1" ht="13" x14ac:dyDescent="0.3">
      <c r="A77" s="11"/>
      <c r="B77" s="12" t="s">
        <v>138</v>
      </c>
      <c r="C77" s="12"/>
      <c r="D77" s="13">
        <f>+'VAB corriente'!D77/'VAB constante'!D77*100</f>
        <v>100</v>
      </c>
      <c r="E77" s="13">
        <f>+'VAB corriente'!E77/'VAB constante'!E77*100</f>
        <v>105.6686736373579</v>
      </c>
      <c r="F77" s="13">
        <f>+'VAB corriente'!F77/'VAB constante'!F77*100</f>
        <v>95.090780576571134</v>
      </c>
      <c r="G77" s="13">
        <f>+'VAB corriente'!G77/'VAB constante'!G77*100</f>
        <v>105.81197541238734</v>
      </c>
      <c r="H77" s="13">
        <f>+'VAB corriente'!H77/'VAB constante'!H77*100</f>
        <v>101.20539643494639</v>
      </c>
      <c r="I77" s="13">
        <f>+'VAB corriente'!I77/'VAB constante'!I77*100</f>
        <v>90.65496157464105</v>
      </c>
    </row>
    <row r="78" spans="1:9" x14ac:dyDescent="0.25">
      <c r="A78" s="7" t="s">
        <v>139</v>
      </c>
      <c r="B78" s="8" t="s">
        <v>140</v>
      </c>
      <c r="C78" s="9" t="s">
        <v>141</v>
      </c>
      <c r="D78" s="10">
        <f>+'VAB corriente'!D78/'VAB constante'!D78*100</f>
        <v>100</v>
      </c>
      <c r="E78" s="10">
        <f>+'VAB corriente'!E78/'VAB constante'!E78*100</f>
        <v>102.57388631593444</v>
      </c>
      <c r="F78" s="10">
        <f>+'VAB corriente'!F78/'VAB constante'!F78*100</f>
        <v>97.220968312262272</v>
      </c>
      <c r="G78" s="10">
        <f>+'VAB corriente'!G78/'VAB constante'!G78*100</f>
        <v>107.39685995945531</v>
      </c>
      <c r="H78" s="10">
        <f>+'VAB corriente'!H78/'VAB constante'!H78*100</f>
        <v>108.178037906835</v>
      </c>
      <c r="I78" s="10">
        <f>+'VAB corriente'!I78/'VAB constante'!I78*100</f>
        <v>103.89716020696353</v>
      </c>
    </row>
    <row r="79" spans="1:9" s="14" customFormat="1" ht="13" x14ac:dyDescent="0.3">
      <c r="A79" s="11"/>
      <c r="B79" s="12" t="s">
        <v>142</v>
      </c>
      <c r="C79" s="12"/>
      <c r="D79" s="13">
        <f>+'VAB corriente'!D79/'VAB constante'!D79*100</f>
        <v>100</v>
      </c>
      <c r="E79" s="13">
        <f>+'VAB corriente'!E79/'VAB constante'!E79*100</f>
        <v>102.57388631593444</v>
      </c>
      <c r="F79" s="13">
        <f>+'VAB corriente'!F79/'VAB constante'!F79*100</f>
        <v>97.220968312262272</v>
      </c>
      <c r="G79" s="13">
        <f>+'VAB corriente'!G79/'VAB constante'!G79*100</f>
        <v>107.39685995945531</v>
      </c>
      <c r="H79" s="13">
        <f>+'VAB corriente'!H79/'VAB constante'!H79*100</f>
        <v>108.178037906835</v>
      </c>
      <c r="I79" s="13">
        <f>+'VAB corriente'!I79/'VAB constante'!I79*100</f>
        <v>103.89716020696353</v>
      </c>
    </row>
    <row r="80" spans="1:9" x14ac:dyDescent="0.25">
      <c r="A80" s="7" t="s">
        <v>143</v>
      </c>
      <c r="B80" s="8" t="s">
        <v>144</v>
      </c>
      <c r="C80" s="9" t="s">
        <v>145</v>
      </c>
      <c r="D80" s="10">
        <f>+'VAB corriente'!D80/'VAB constante'!D80*100</f>
        <v>100</v>
      </c>
      <c r="E80" s="10">
        <f>+'VAB corriente'!E80/'VAB constante'!E80*100</f>
        <v>97.447905729572383</v>
      </c>
      <c r="F80" s="10">
        <f>+'VAB corriente'!F80/'VAB constante'!F80*100</f>
        <v>101.54026401753349</v>
      </c>
      <c r="G80" s="10">
        <f>+'VAB corriente'!G80/'VAB constante'!G80*100</f>
        <v>103.39700950326318</v>
      </c>
      <c r="H80" s="10">
        <f>+'VAB corriente'!H80/'VAB constante'!H80*100</f>
        <v>104.30509322943857</v>
      </c>
      <c r="I80" s="10">
        <f>+'VAB corriente'!I80/'VAB constante'!I80*100</f>
        <v>100.10933915643956</v>
      </c>
    </row>
    <row r="81" spans="1:9" s="14" customFormat="1" ht="13" x14ac:dyDescent="0.3">
      <c r="A81" s="11"/>
      <c r="B81" s="12" t="s">
        <v>146</v>
      </c>
      <c r="C81" s="12"/>
      <c r="D81" s="13">
        <f>+'VAB corriente'!D81/'VAB constante'!D81*100</f>
        <v>100</v>
      </c>
      <c r="E81" s="13">
        <f>+'VAB corriente'!E81/'VAB constante'!E81*100</f>
        <v>97.447905729572383</v>
      </c>
      <c r="F81" s="13">
        <f>+'VAB corriente'!F81/'VAB constante'!F81*100</f>
        <v>101.54026401753349</v>
      </c>
      <c r="G81" s="13">
        <f>+'VAB corriente'!G81/'VAB constante'!G81*100</f>
        <v>103.39700950326318</v>
      </c>
      <c r="H81" s="13">
        <f>+'VAB corriente'!H81/'VAB constante'!H81*100</f>
        <v>104.30509322943857</v>
      </c>
      <c r="I81" s="13">
        <f>+'VAB corriente'!I81/'VAB constante'!I81*100</f>
        <v>100.10933915643956</v>
      </c>
    </row>
    <row r="82" spans="1:9" x14ac:dyDescent="0.25">
      <c r="A82" s="7" t="s">
        <v>147</v>
      </c>
      <c r="B82" s="8" t="s">
        <v>148</v>
      </c>
      <c r="C82" s="9" t="s">
        <v>149</v>
      </c>
      <c r="D82" s="10">
        <f>+'VAB corriente'!D82/'VAB constante'!D82*100</f>
        <v>100</v>
      </c>
      <c r="E82" s="10">
        <f>+'VAB corriente'!E82/'VAB constante'!E82*100</f>
        <v>100.60105993364643</v>
      </c>
      <c r="F82" s="10">
        <f>+'VAB corriente'!F82/'VAB constante'!F82*100</f>
        <v>99.43994210798904</v>
      </c>
      <c r="G82" s="10">
        <f>+'VAB corriente'!G82/'VAB constante'!G82*100</f>
        <v>90.322300912701763</v>
      </c>
      <c r="H82" s="10">
        <f>+'VAB corriente'!H82/'VAB constante'!H82*100</f>
        <v>102.7383059189511</v>
      </c>
      <c r="I82" s="10">
        <f>+'VAB corriente'!I82/'VAB constante'!I82*100</f>
        <v>102.70309361551011</v>
      </c>
    </row>
    <row r="83" spans="1:9" x14ac:dyDescent="0.25">
      <c r="A83" s="7"/>
      <c r="B83" s="8" t="s">
        <v>150</v>
      </c>
      <c r="C83" s="9" t="s">
        <v>151</v>
      </c>
      <c r="D83" s="10">
        <f>+'VAB corriente'!D83/'VAB constante'!D83*100</f>
        <v>100</v>
      </c>
      <c r="E83" s="10">
        <f>+'VAB corriente'!E83/'VAB constante'!E83*100</f>
        <v>99.415841759070048</v>
      </c>
      <c r="F83" s="10">
        <f>+'VAB corriente'!F83/'VAB constante'!F83*100</f>
        <v>105.58513205985795</v>
      </c>
      <c r="G83" s="10">
        <f>+'VAB corriente'!G83/'VAB constante'!G83*100</f>
        <v>96.058153650500017</v>
      </c>
      <c r="H83" s="10">
        <f>+'VAB corriente'!H83/'VAB constante'!H83*100</f>
        <v>114.02948913193964</v>
      </c>
      <c r="I83" s="10">
        <f>+'VAB corriente'!I83/'VAB constante'!I83*100</f>
        <v>93.089883688209369</v>
      </c>
    </row>
    <row r="84" spans="1:9" s="14" customFormat="1" ht="13" x14ac:dyDescent="0.3">
      <c r="A84" s="11"/>
      <c r="B84" s="12" t="s">
        <v>152</v>
      </c>
      <c r="C84" s="12"/>
      <c r="D84" s="13">
        <f>+'VAB corriente'!D84/'VAB constante'!D84*100</f>
        <v>100</v>
      </c>
      <c r="E84" s="13">
        <f>+'VAB corriente'!E84/'VAB constante'!E84*100</f>
        <v>100.56482314168917</v>
      </c>
      <c r="F84" s="13">
        <f>+'VAB corriente'!F84/'VAB constante'!F84*100</f>
        <v>99.622572059921183</v>
      </c>
      <c r="G84" s="13">
        <f>+'VAB corriente'!G84/'VAB constante'!G84*100</f>
        <v>90.502310060623785</v>
      </c>
      <c r="H84" s="13">
        <f>+'VAB corriente'!H84/'VAB constante'!H84*100</f>
        <v>103.05724774768169</v>
      </c>
      <c r="I84" s="13">
        <f>+'VAB corriente'!I84/'VAB constante'!I84*100</f>
        <v>102.40501278372554</v>
      </c>
    </row>
    <row r="85" spans="1:9" x14ac:dyDescent="0.25">
      <c r="A85" s="7" t="s">
        <v>153</v>
      </c>
      <c r="B85" s="8" t="s">
        <v>154</v>
      </c>
      <c r="C85" s="9" t="s">
        <v>155</v>
      </c>
      <c r="D85" s="10">
        <f>+'VAB corriente'!D85/'VAB constante'!D85*100</f>
        <v>100</v>
      </c>
      <c r="E85" s="10">
        <f>+'VAB corriente'!E85/'VAB constante'!E85*100</f>
        <v>100.00800330136181</v>
      </c>
      <c r="F85" s="10">
        <f>+'VAB corriente'!F85/'VAB constante'!F85*100</f>
        <v>71.903708771539044</v>
      </c>
      <c r="G85" s="10">
        <f>+'VAB corriente'!G85/'VAB constante'!G85*100</f>
        <v>99.394698920498257</v>
      </c>
      <c r="H85" s="10">
        <f>+'VAB corriente'!H85/'VAB constante'!H85*100</f>
        <v>112.91479912474442</v>
      </c>
      <c r="I85" s="10">
        <f>+'VAB corriente'!I85/'VAB constante'!I85*100</f>
        <v>99.057187322587097</v>
      </c>
    </row>
    <row r="86" spans="1:9" x14ac:dyDescent="0.25">
      <c r="A86" s="7"/>
      <c r="B86" s="8" t="s">
        <v>156</v>
      </c>
      <c r="C86" s="9" t="s">
        <v>157</v>
      </c>
      <c r="D86" s="10">
        <f>+'VAB corriente'!D86/'VAB constante'!D86*100</f>
        <v>100</v>
      </c>
      <c r="E86" s="10">
        <f>+'VAB corriente'!E86/'VAB constante'!E86*100</f>
        <v>101.60661866694711</v>
      </c>
      <c r="F86" s="10">
        <f>+'VAB corriente'!F86/'VAB constante'!F86*100</f>
        <v>99.53934080286632</v>
      </c>
      <c r="G86" s="10">
        <f>+'VAB corriente'!G86/'VAB constante'!G86*100</f>
        <v>93.944218051190944</v>
      </c>
      <c r="H86" s="10">
        <f>+'VAB corriente'!H86/'VAB constante'!H86*100</f>
        <v>96.55198932601968</v>
      </c>
      <c r="I86" s="10">
        <f>+'VAB corriente'!I86/'VAB constante'!I86*100</f>
        <v>108.47639456880862</v>
      </c>
    </row>
    <row r="87" spans="1:9" s="14" customFormat="1" ht="13" x14ac:dyDescent="0.3">
      <c r="A87" s="11"/>
      <c r="B87" s="12" t="s">
        <v>158</v>
      </c>
      <c r="C87" s="12"/>
      <c r="D87" s="13">
        <f>+'VAB corriente'!D87/'VAB constante'!D87*100</f>
        <v>100</v>
      </c>
      <c r="E87" s="13">
        <f>+'VAB corriente'!E87/'VAB constante'!E87*100</f>
        <v>101.18131848024183</v>
      </c>
      <c r="F87" s="13">
        <f>+'VAB corriente'!F87/'VAB constante'!F87*100</f>
        <v>92.425347031656742</v>
      </c>
      <c r="G87" s="13">
        <f>+'VAB corriente'!G87/'VAB constante'!G87*100</f>
        <v>95.050460773419104</v>
      </c>
      <c r="H87" s="13">
        <f>+'VAB corriente'!H87/'VAB constante'!H87*100</f>
        <v>100.04518281916015</v>
      </c>
      <c r="I87" s="13">
        <f>+'VAB corriente'!I87/'VAB constante'!I87*100</f>
        <v>106.25265061494267</v>
      </c>
    </row>
    <row r="88" spans="1:9" x14ac:dyDescent="0.25">
      <c r="A88" s="7" t="s">
        <v>159</v>
      </c>
      <c r="B88" s="8" t="s">
        <v>160</v>
      </c>
      <c r="C88" s="9" t="s">
        <v>161</v>
      </c>
      <c r="D88" s="10">
        <f>+'VAB corriente'!D88/'VAB constante'!D88*100</f>
        <v>100</v>
      </c>
      <c r="E88" s="10">
        <f>+'VAB corriente'!E88/'VAB constante'!E88*100</f>
        <v>96.868266193671772</v>
      </c>
      <c r="F88" s="10">
        <f>+'VAB corriente'!F88/'VAB constante'!F88*100</f>
        <v>103.56270940567119</v>
      </c>
      <c r="G88" s="10">
        <f>+'VAB corriente'!G88/'VAB constante'!G88*100</f>
        <v>97.961108357119201</v>
      </c>
      <c r="H88" s="10">
        <f>+'VAB corriente'!H88/'VAB constante'!H88*100</f>
        <v>101.59833894179135</v>
      </c>
      <c r="I88" s="10">
        <f>+'VAB corriente'!I88/'VAB constante'!I88*100</f>
        <v>96.515915974596979</v>
      </c>
    </row>
    <row r="89" spans="1:9" s="14" customFormat="1" ht="13" x14ac:dyDescent="0.3">
      <c r="A89" s="11"/>
      <c r="B89" s="12" t="s">
        <v>162</v>
      </c>
      <c r="C89" s="12"/>
      <c r="D89" s="13">
        <f>+'VAB corriente'!D89/'VAB constante'!D89*100</f>
        <v>100</v>
      </c>
      <c r="E89" s="13">
        <f>+'VAB corriente'!E89/'VAB constante'!E89*100</f>
        <v>96.868266193671772</v>
      </c>
      <c r="F89" s="13">
        <f>+'VAB corriente'!F89/'VAB constante'!F89*100</f>
        <v>103.56270940567119</v>
      </c>
      <c r="G89" s="13">
        <f>+'VAB corriente'!G89/'VAB constante'!G89*100</f>
        <v>97.961108357119201</v>
      </c>
      <c r="H89" s="13">
        <f>+'VAB corriente'!H89/'VAB constante'!H89*100</f>
        <v>101.59833894179135</v>
      </c>
      <c r="I89" s="13">
        <f>+'VAB corriente'!I89/'VAB constante'!I89*100</f>
        <v>96.515915974596979</v>
      </c>
    </row>
    <row r="90" spans="1:9" x14ac:dyDescent="0.25">
      <c r="A90" s="7" t="s">
        <v>163</v>
      </c>
      <c r="B90" s="8" t="s">
        <v>164</v>
      </c>
      <c r="C90" s="9" t="s">
        <v>165</v>
      </c>
      <c r="D90" s="10">
        <f>+'VAB corriente'!D90/'VAB constante'!D90*100</f>
        <v>100</v>
      </c>
      <c r="E90" s="10">
        <f>+'VAB corriente'!E90/'VAB constante'!E90*100</f>
        <v>101.63849900250614</v>
      </c>
      <c r="F90" s="10">
        <f>+'VAB corriente'!F90/'VAB constante'!F90*100</f>
        <v>94.874501168773378</v>
      </c>
      <c r="G90" s="10">
        <f>+'VAB corriente'!G90/'VAB constante'!G90*100</f>
        <v>101.59800727592301</v>
      </c>
      <c r="H90" s="10">
        <f>+'VAB corriente'!H90/'VAB constante'!H90*100</f>
        <v>101.8537551648505</v>
      </c>
      <c r="I90" s="10">
        <f>+'VAB corriente'!I90/'VAB constante'!I90*100</f>
        <v>103.30323795885576</v>
      </c>
    </row>
    <row r="91" spans="1:9" x14ac:dyDescent="0.25">
      <c r="A91" s="7"/>
      <c r="B91" s="8" t="s">
        <v>166</v>
      </c>
      <c r="C91" s="9" t="s">
        <v>167</v>
      </c>
      <c r="D91" s="10">
        <f>+'VAB corriente'!D91/'VAB constante'!D91*100</f>
        <v>100</v>
      </c>
      <c r="E91" s="10">
        <f>+'VAB corriente'!E91/'VAB constante'!E91*100</f>
        <v>103.33291683442316</v>
      </c>
      <c r="F91" s="10">
        <f>+'VAB corriente'!F91/'VAB constante'!F91*100</f>
        <v>106.53491264016893</v>
      </c>
      <c r="G91" s="10">
        <f>+'VAB corriente'!G91/'VAB constante'!G91*100</f>
        <v>99.980087470312228</v>
      </c>
      <c r="H91" s="10">
        <f>+'VAB corriente'!H91/'VAB constante'!H91*100</f>
        <v>100.09382082681799</v>
      </c>
      <c r="I91" s="10">
        <f>+'VAB corriente'!I91/'VAB constante'!I91*100</f>
        <v>99.737810516782019</v>
      </c>
    </row>
    <row r="92" spans="1:9" x14ac:dyDescent="0.25">
      <c r="A92" s="7"/>
      <c r="B92" s="8" t="s">
        <v>168</v>
      </c>
      <c r="C92" s="9" t="s">
        <v>169</v>
      </c>
      <c r="D92" s="10">
        <f>+'VAB corriente'!D92/'VAB constante'!D92*100</f>
        <v>100</v>
      </c>
      <c r="E92" s="10">
        <f>+'VAB corriente'!E92/'VAB constante'!E92*100</f>
        <v>97.432029324832598</v>
      </c>
      <c r="F92" s="10">
        <f>+'VAB corriente'!F92/'VAB constante'!F92*100</f>
        <v>103.68069066686758</v>
      </c>
      <c r="G92" s="10">
        <f>+'VAB corriente'!G92/'VAB constante'!G92*100</f>
        <v>102.03871594430825</v>
      </c>
      <c r="H92" s="10">
        <f>+'VAB corriente'!H92/'VAB constante'!H92*100</f>
        <v>100.55938761776582</v>
      </c>
      <c r="I92" s="10">
        <f>+'VAB corriente'!I92/'VAB constante'!I92*100</f>
        <v>110.60928231113544</v>
      </c>
    </row>
    <row r="93" spans="1:9" s="14" customFormat="1" ht="13" x14ac:dyDescent="0.3">
      <c r="A93" s="11"/>
      <c r="B93" s="12" t="s">
        <v>170</v>
      </c>
      <c r="C93" s="12"/>
      <c r="D93" s="13">
        <f>+'VAB corriente'!D93/'VAB constante'!D93*100</f>
        <v>100</v>
      </c>
      <c r="E93" s="13">
        <f>+'VAB corriente'!E93/'VAB constante'!E93*100</f>
        <v>101.51666975185354</v>
      </c>
      <c r="F93" s="13">
        <f>+'VAB corriente'!F93/'VAB constante'!F93*100</f>
        <v>96.397395153875138</v>
      </c>
      <c r="G93" s="13">
        <f>+'VAB corriente'!G93/'VAB constante'!G93*100</f>
        <v>101.51967041770914</v>
      </c>
      <c r="H93" s="13">
        <f>+'VAB corriente'!H93/'VAB constante'!H93*100</f>
        <v>101.6783527747922</v>
      </c>
      <c r="I93" s="13">
        <f>+'VAB corriente'!I93/'VAB constante'!I93*100</f>
        <v>103.36834610440846</v>
      </c>
    </row>
    <row r="94" spans="1:9" x14ac:dyDescent="0.25">
      <c r="A94" s="7" t="s">
        <v>171</v>
      </c>
      <c r="B94" s="8" t="s">
        <v>172</v>
      </c>
      <c r="C94" s="9" t="s">
        <v>173</v>
      </c>
      <c r="D94" s="10">
        <f>+'VAB corriente'!D94/'VAB constante'!D94*100</f>
        <v>100</v>
      </c>
      <c r="E94" s="10">
        <f>+'VAB corriente'!E94/'VAB constante'!E94*100</f>
        <v>100.96380665891844</v>
      </c>
      <c r="F94" s="10">
        <f>+'VAB corriente'!F94/'VAB constante'!F94*100</f>
        <v>99.754651537873002</v>
      </c>
      <c r="G94" s="10">
        <f>+'VAB corriente'!G94/'VAB constante'!G94*100</f>
        <v>95.486121561023424</v>
      </c>
      <c r="H94" s="10">
        <f>+'VAB corriente'!H94/'VAB constante'!H94*100</f>
        <v>99.542019107680858</v>
      </c>
      <c r="I94" s="10">
        <f>+'VAB corriente'!I94/'VAB constante'!I94*100</f>
        <v>101.81295122694812</v>
      </c>
    </row>
    <row r="95" spans="1:9" s="14" customFormat="1" ht="13" x14ac:dyDescent="0.3">
      <c r="A95" s="11"/>
      <c r="B95" s="12" t="s">
        <v>174</v>
      </c>
      <c r="C95" s="12"/>
      <c r="D95" s="13">
        <f>+'VAB corriente'!D95/'VAB constante'!D95*100</f>
        <v>100</v>
      </c>
      <c r="E95" s="13">
        <f>+'VAB corriente'!E95/'VAB constante'!E95*100</f>
        <v>100.96380665891844</v>
      </c>
      <c r="F95" s="13">
        <f>+'VAB corriente'!F95/'VAB constante'!F95*100</f>
        <v>99.754651537873002</v>
      </c>
      <c r="G95" s="13">
        <f>+'VAB corriente'!G95/'VAB constante'!G95*100</f>
        <v>95.486121561023424</v>
      </c>
      <c r="H95" s="13">
        <f>+'VAB corriente'!H95/'VAB constante'!H95*100</f>
        <v>99.542019107680858</v>
      </c>
      <c r="I95" s="13">
        <f>+'VAB corriente'!I95/'VAB constante'!I95*100</f>
        <v>101.81295122694812</v>
      </c>
    </row>
    <row r="96" spans="1:9" x14ac:dyDescent="0.25">
      <c r="A96" s="7" t="s">
        <v>175</v>
      </c>
      <c r="B96" s="8" t="s">
        <v>176</v>
      </c>
      <c r="C96" s="9" t="s">
        <v>177</v>
      </c>
      <c r="D96" s="10">
        <f>+'VAB corriente'!D96/'VAB constante'!D96*100</f>
        <v>100</v>
      </c>
      <c r="E96" s="10">
        <f>+'VAB corriente'!E96/'VAB constante'!E96*100</f>
        <v>101.88771814506852</v>
      </c>
      <c r="F96" s="10">
        <f>+'VAB corriente'!F96/'VAB constante'!F96*100</f>
        <v>101.265814596418</v>
      </c>
      <c r="G96" s="10">
        <f>+'VAB corriente'!G96/'VAB constante'!G96*100</f>
        <v>99.797410679132909</v>
      </c>
      <c r="H96" s="10">
        <f>+'VAB corriente'!H96/'VAB constante'!H96*100</f>
        <v>100.99747599517768</v>
      </c>
      <c r="I96" s="10">
        <f>+'VAB corriente'!I96/'VAB constante'!I96*100</f>
        <v>105.30501630760352</v>
      </c>
    </row>
    <row r="97" spans="1:9" s="14" customFormat="1" ht="13" x14ac:dyDescent="0.3">
      <c r="A97" s="11"/>
      <c r="B97" s="12" t="s">
        <v>178</v>
      </c>
      <c r="C97" s="12"/>
      <c r="D97" s="13">
        <f>+'VAB corriente'!D97/'VAB constante'!D97*100</f>
        <v>100</v>
      </c>
      <c r="E97" s="13">
        <f>+'VAB corriente'!E97/'VAB constante'!E97*100</f>
        <v>101.88771814506852</v>
      </c>
      <c r="F97" s="13">
        <f>+'VAB corriente'!F97/'VAB constante'!F97*100</f>
        <v>101.265814596418</v>
      </c>
      <c r="G97" s="13">
        <f>+'VAB corriente'!G97/'VAB constante'!G97*100</f>
        <v>99.797410679132909</v>
      </c>
      <c r="H97" s="13">
        <f>+'VAB corriente'!H97/'VAB constante'!H97*100</f>
        <v>100.99747599517768</v>
      </c>
      <c r="I97" s="13">
        <f>+'VAB corriente'!I97/'VAB constante'!I97*100</f>
        <v>105.30501630760352</v>
      </c>
    </row>
    <row r="98" spans="1:9" x14ac:dyDescent="0.25">
      <c r="A98" s="7" t="s">
        <v>179</v>
      </c>
      <c r="B98" s="8" t="s">
        <v>180</v>
      </c>
      <c r="C98" s="9" t="s">
        <v>181</v>
      </c>
      <c r="D98" s="10">
        <f>+'VAB corriente'!D98/'VAB constante'!D98*100</f>
        <v>100</v>
      </c>
      <c r="E98" s="10">
        <f>+'VAB corriente'!E98/'VAB constante'!E98*100</f>
        <v>100.55941767889034</v>
      </c>
      <c r="F98" s="10">
        <f>+'VAB corriente'!F98/'VAB constante'!F98*100</f>
        <v>102.78425121648034</v>
      </c>
      <c r="G98" s="10">
        <f>+'VAB corriente'!G98/'VAB constante'!G98*100</f>
        <v>100.29893794944091</v>
      </c>
      <c r="H98" s="10">
        <f>+'VAB corriente'!H98/'VAB constante'!H98*100</f>
        <v>103.34362834369722</v>
      </c>
      <c r="I98" s="10">
        <f>+'VAB corriente'!I98/'VAB constante'!I98*100</f>
        <v>102.06450004845169</v>
      </c>
    </row>
    <row r="99" spans="1:9" s="14" customFormat="1" ht="13" x14ac:dyDescent="0.3">
      <c r="A99" s="11"/>
      <c r="B99" s="12" t="s">
        <v>182</v>
      </c>
      <c r="C99" s="12"/>
      <c r="D99" s="13">
        <f>+'VAB corriente'!D99/'VAB constante'!D99*100</f>
        <v>100</v>
      </c>
      <c r="E99" s="13">
        <f>+'VAB corriente'!E99/'VAB constante'!E99*100</f>
        <v>100.55941767889034</v>
      </c>
      <c r="F99" s="13">
        <f>+'VAB corriente'!F99/'VAB constante'!F99*100</f>
        <v>102.78425121648034</v>
      </c>
      <c r="G99" s="13">
        <f>+'VAB corriente'!G99/'VAB constante'!G99*100</f>
        <v>100.29893794944091</v>
      </c>
      <c r="H99" s="13">
        <f>+'VAB corriente'!H99/'VAB constante'!H99*100</f>
        <v>103.34362834369722</v>
      </c>
      <c r="I99" s="13">
        <f>+'VAB corriente'!I99/'VAB constante'!I99*100</f>
        <v>102.06450004845169</v>
      </c>
    </row>
    <row r="100" spans="1:9" x14ac:dyDescent="0.25">
      <c r="A100" s="7" t="s">
        <v>183</v>
      </c>
      <c r="B100" s="8" t="s">
        <v>184</v>
      </c>
      <c r="C100" s="9" t="s">
        <v>185</v>
      </c>
      <c r="D100" s="10">
        <f>+'VAB corriente'!D100/'VAB constante'!D100*100</f>
        <v>100</v>
      </c>
      <c r="E100" s="10">
        <f>+'VAB corriente'!E100/'VAB constante'!E100*100</f>
        <v>103.49730848759594</v>
      </c>
      <c r="F100" s="10">
        <f>+'VAB corriente'!F100/'VAB constante'!F100*100</f>
        <v>103.31239495972646</v>
      </c>
      <c r="G100" s="10">
        <f>+'VAB corriente'!G100/'VAB constante'!G100*100</f>
        <v>95.467248055865099</v>
      </c>
      <c r="H100" s="10">
        <f>+'VAB corriente'!H100/'VAB constante'!H100*100</f>
        <v>96.033189834338089</v>
      </c>
      <c r="I100" s="10">
        <f>+'VAB corriente'!I100/'VAB constante'!I100*100</f>
        <v>101.29664426717333</v>
      </c>
    </row>
    <row r="101" spans="1:9" x14ac:dyDescent="0.25">
      <c r="A101" s="7"/>
      <c r="B101" s="8" t="s">
        <v>186</v>
      </c>
      <c r="C101" s="9" t="s">
        <v>187</v>
      </c>
      <c r="D101" s="10">
        <f>+'VAB corriente'!D101/'VAB constante'!D101*100</f>
        <v>100</v>
      </c>
      <c r="E101" s="10">
        <f>+'VAB corriente'!E101/'VAB constante'!E101*100</f>
        <v>99.872464377180691</v>
      </c>
      <c r="F101" s="10">
        <f>+'VAB corriente'!F101/'VAB constante'!F101*100</f>
        <v>94.125387054214045</v>
      </c>
      <c r="G101" s="10">
        <f>+'VAB corriente'!G101/'VAB constante'!G101*100</f>
        <v>98.171256061002026</v>
      </c>
      <c r="H101" s="10">
        <f>+'VAB corriente'!H101/'VAB constante'!H101*100</f>
        <v>103.31795359523628</v>
      </c>
      <c r="I101" s="10">
        <f>+'VAB corriente'!I101/'VAB constante'!I101*100</f>
        <v>112.32552722531042</v>
      </c>
    </row>
    <row r="102" spans="1:9" s="14" customFormat="1" ht="13" x14ac:dyDescent="0.3">
      <c r="A102" s="11"/>
      <c r="B102" s="12" t="s">
        <v>188</v>
      </c>
      <c r="C102" s="12"/>
      <c r="D102" s="13">
        <f>+'VAB corriente'!D102/'VAB constante'!D102*100</f>
        <v>100</v>
      </c>
      <c r="E102" s="13">
        <f>+'VAB corriente'!E102/'VAB constante'!E102*100</f>
        <v>100.96625266512373</v>
      </c>
      <c r="F102" s="13">
        <f>+'VAB corriente'!F102/'VAB constante'!F102*100</f>
        <v>96.886294832608684</v>
      </c>
      <c r="G102" s="13">
        <f>+'VAB corriente'!G102/'VAB constante'!G102*100</f>
        <v>97.306983721479483</v>
      </c>
      <c r="H102" s="13">
        <f>+'VAB corriente'!H102/'VAB constante'!H102*100</f>
        <v>100.91464228394238</v>
      </c>
      <c r="I102" s="13">
        <f>+'VAB corriente'!I102/'VAB constante'!I102*100</f>
        <v>108.72627853149159</v>
      </c>
    </row>
    <row r="103" spans="1:9" x14ac:dyDescent="0.25">
      <c r="A103" s="7" t="s">
        <v>189</v>
      </c>
      <c r="B103" s="8" t="s">
        <v>190</v>
      </c>
      <c r="C103" s="9" t="s">
        <v>191</v>
      </c>
      <c r="D103" s="10">
        <f>+'VAB corriente'!D103/'VAB constante'!D103*100</f>
        <v>100</v>
      </c>
      <c r="E103" s="10">
        <f>+'VAB corriente'!E103/'VAB constante'!E103*100</f>
        <v>103.32876457395753</v>
      </c>
      <c r="F103" s="10">
        <f>+'VAB corriente'!F103/'VAB constante'!F103*100</f>
        <v>99.957450274396578</v>
      </c>
      <c r="G103" s="10">
        <f>+'VAB corriente'!G103/'VAB constante'!G103*100</f>
        <v>100.47496636891324</v>
      </c>
      <c r="H103" s="10">
        <f>+'VAB corriente'!H103/'VAB constante'!H103*100</f>
        <v>103.23920134937296</v>
      </c>
      <c r="I103" s="10">
        <f>+'VAB corriente'!I103/'VAB constante'!I103*100</f>
        <v>98.034719797785471</v>
      </c>
    </row>
    <row r="104" spans="1:9" x14ac:dyDescent="0.25">
      <c r="A104" s="7"/>
      <c r="B104" s="8" t="s">
        <v>192</v>
      </c>
      <c r="C104" s="9" t="s">
        <v>193</v>
      </c>
      <c r="D104" s="10">
        <f>+'VAB corriente'!D104/'VAB constante'!D104*100</f>
        <v>100</v>
      </c>
      <c r="E104" s="10">
        <f>+'VAB corriente'!E104/'VAB constante'!E104*100</f>
        <v>103.63934717691062</v>
      </c>
      <c r="F104" s="10">
        <f>+'VAB corriente'!F104/'VAB constante'!F104*100</f>
        <v>101.50540302208357</v>
      </c>
      <c r="G104" s="10">
        <f>+'VAB corriente'!G104/'VAB constante'!G104*100</f>
        <v>86.108818652560245</v>
      </c>
      <c r="H104" s="10">
        <f>+'VAB corriente'!H104/'VAB constante'!H104*100</f>
        <v>89.656418090476876</v>
      </c>
      <c r="I104" s="10">
        <f>+'VAB corriente'!I104/'VAB constante'!I104*100</f>
        <v>94.929562596693685</v>
      </c>
    </row>
    <row r="105" spans="1:9" s="14" customFormat="1" ht="13" x14ac:dyDescent="0.3">
      <c r="A105" s="11"/>
      <c r="B105" s="12" t="s">
        <v>194</v>
      </c>
      <c r="C105" s="12"/>
      <c r="D105" s="13">
        <f>+'VAB corriente'!D105/'VAB constante'!D105*100</f>
        <v>100</v>
      </c>
      <c r="E105" s="13">
        <f>+'VAB corriente'!E105/'VAB constante'!E105*100</f>
        <v>103.52763557610916</v>
      </c>
      <c r="F105" s="13">
        <f>+'VAB corriente'!F105/'VAB constante'!F105*100</f>
        <v>100.97710354637665</v>
      </c>
      <c r="G105" s="13">
        <f>+'VAB corriente'!G105/'VAB constante'!G105*100</f>
        <v>91.294523918489176</v>
      </c>
      <c r="H105" s="13">
        <f>+'VAB corriente'!H105/'VAB constante'!H105*100</f>
        <v>94.88662486785347</v>
      </c>
      <c r="I105" s="13">
        <f>+'VAB corriente'!I105/'VAB constante'!I105*100</f>
        <v>96.19500195603365</v>
      </c>
    </row>
    <row r="106" spans="1:9" x14ac:dyDescent="0.25">
      <c r="A106" s="7" t="s">
        <v>195</v>
      </c>
      <c r="B106" s="8" t="s">
        <v>196</v>
      </c>
      <c r="C106" s="9" t="s">
        <v>197</v>
      </c>
      <c r="D106" s="10">
        <f>+'VAB corriente'!D106/'VAB constante'!D106*100</f>
        <v>100</v>
      </c>
      <c r="E106" s="10">
        <f>+'VAB corriente'!E106/'VAB constante'!E106*100</f>
        <v>103.33387469877403</v>
      </c>
      <c r="F106" s="10">
        <f>+'VAB corriente'!F106/'VAB constante'!F106*100</f>
        <v>105.22568904611651</v>
      </c>
      <c r="G106" s="10">
        <f>+'VAB corriente'!G106/'VAB constante'!G106*100</f>
        <v>96.433944143384153</v>
      </c>
      <c r="H106" s="10">
        <f>+'VAB corriente'!H106/'VAB constante'!H106*100</f>
        <v>93.932034038824199</v>
      </c>
      <c r="I106" s="10">
        <f>+'VAB corriente'!I106/'VAB constante'!I106*100</f>
        <v>100.82120499014555</v>
      </c>
    </row>
    <row r="107" spans="1:9" s="14" customFormat="1" ht="13" x14ac:dyDescent="0.3">
      <c r="A107" s="11"/>
      <c r="B107" s="12" t="s">
        <v>198</v>
      </c>
      <c r="C107" s="12"/>
      <c r="D107" s="13">
        <f>+'VAB corriente'!D107/'VAB constante'!D107*100</f>
        <v>100</v>
      </c>
      <c r="E107" s="13">
        <f>+'VAB corriente'!E107/'VAB constante'!E107*100</f>
        <v>103.33387469877403</v>
      </c>
      <c r="F107" s="13">
        <f>+'VAB corriente'!F107/'VAB constante'!F107*100</f>
        <v>105.22568904611651</v>
      </c>
      <c r="G107" s="13">
        <f>+'VAB corriente'!G107/'VAB constante'!G107*100</f>
        <v>96.433944143384153</v>
      </c>
      <c r="H107" s="13">
        <f>+'VAB corriente'!H107/'VAB constante'!H107*100</f>
        <v>93.932034038824199</v>
      </c>
      <c r="I107" s="13">
        <f>+'VAB corriente'!I107/'VAB constante'!I107*100</f>
        <v>100.82120499014555</v>
      </c>
    </row>
    <row r="108" spans="1:9" x14ac:dyDescent="0.25">
      <c r="A108" s="7" t="s">
        <v>199</v>
      </c>
      <c r="B108" s="8" t="s">
        <v>200</v>
      </c>
      <c r="C108" s="9" t="s">
        <v>201</v>
      </c>
      <c r="D108" s="10">
        <f>+'VAB corriente'!D108/'VAB constante'!D108*100</f>
        <v>100</v>
      </c>
      <c r="E108" s="10">
        <f>+'VAB corriente'!E108/'VAB constante'!E108*100</f>
        <v>94.711391256784097</v>
      </c>
      <c r="F108" s="10">
        <f>+'VAB corriente'!F108/'VAB constante'!F108*100</f>
        <v>97.136875140236342</v>
      </c>
      <c r="G108" s="10">
        <f>+'VAB corriente'!G108/'VAB constante'!G108*100</f>
        <v>96.600146209776995</v>
      </c>
      <c r="H108" s="10">
        <f>+'VAB corriente'!H108/'VAB constante'!H108*100</f>
        <v>105.84649896023454</v>
      </c>
      <c r="I108" s="10">
        <f>+'VAB corriente'!I108/'VAB constante'!I108*100</f>
        <v>101.5895057962172</v>
      </c>
    </row>
    <row r="109" spans="1:9" ht="13" x14ac:dyDescent="0.25">
      <c r="A109" s="15"/>
      <c r="B109" s="12" t="s">
        <v>202</v>
      </c>
      <c r="C109" s="12"/>
      <c r="D109" s="13">
        <f>+'VAB corriente'!D109/'VAB constante'!D109*100</f>
        <v>100</v>
      </c>
      <c r="E109" s="13">
        <f>+'VAB corriente'!E109/'VAB constante'!E109*100</f>
        <v>94.711391256784097</v>
      </c>
      <c r="F109" s="13">
        <f>+'VAB corriente'!F109/'VAB constante'!F109*100</f>
        <v>97.136875140236342</v>
      </c>
      <c r="G109" s="13">
        <f>+'VAB corriente'!G109/'VAB constante'!G109*100</f>
        <v>96.600146209776995</v>
      </c>
      <c r="H109" s="13">
        <f>+'VAB corriente'!H109/'VAB constante'!H109*100</f>
        <v>105.84649896023454</v>
      </c>
      <c r="I109" s="13">
        <f>+'VAB corriente'!I109/'VAB constante'!I109*100</f>
        <v>101.5895057962172</v>
      </c>
    </row>
    <row r="110" spans="1:9" ht="13" x14ac:dyDescent="0.3">
      <c r="A110" s="16" t="s">
        <v>203</v>
      </c>
      <c r="B110" s="17"/>
      <c r="C110" s="18"/>
      <c r="D110" s="13">
        <f>+'VAB corriente'!D110/'VAB constante'!D110*100</f>
        <v>100</v>
      </c>
      <c r="E110" s="13">
        <f>+'VAB corriente'!E110/'VAB constante'!E110*100</f>
        <v>99.070846625555305</v>
      </c>
      <c r="F110" s="13">
        <f>+'VAB corriente'!F110/'VAB constante'!F110*100</f>
        <v>97.286148053721291</v>
      </c>
      <c r="G110" s="19">
        <f>+'VAB corriente'!G110/'VAB constante'!G110*100</f>
        <v>102.774527218581</v>
      </c>
      <c r="H110" s="19">
        <f>+'VAB corriente'!H110/'VAB constante'!H110*100</f>
        <v>103.92338130005385</v>
      </c>
      <c r="I110" s="19">
        <f>+'VAB corriente'!I110/'VAB constante'!I110*100</f>
        <v>101.24905574304277</v>
      </c>
    </row>
    <row r="111" spans="1:9" x14ac:dyDescent="0.25">
      <c r="G111" s="20"/>
      <c r="H111" s="20"/>
      <c r="I111" s="20"/>
    </row>
    <row r="112" spans="1:9" ht="13" x14ac:dyDescent="0.3">
      <c r="A112" s="21" t="s">
        <v>204</v>
      </c>
      <c r="G112" s="20"/>
      <c r="H112" s="20"/>
      <c r="I112" s="20"/>
    </row>
    <row r="113" spans="1:9" ht="13" x14ac:dyDescent="0.3">
      <c r="A113" s="22" t="s">
        <v>205</v>
      </c>
      <c r="D113" s="23">
        <v>0</v>
      </c>
      <c r="E113" s="23">
        <v>0</v>
      </c>
      <c r="F113" s="23">
        <v>0</v>
      </c>
      <c r="G113" s="23"/>
      <c r="H113" s="23"/>
      <c r="I113" s="23"/>
    </row>
    <row r="114" spans="1:9" x14ac:dyDescent="0.25">
      <c r="D114" s="24"/>
      <c r="E114" s="24"/>
      <c r="F114" s="24"/>
      <c r="G114" s="24"/>
      <c r="H114" s="24"/>
    </row>
    <row r="117" spans="1:9" x14ac:dyDescent="0.25">
      <c r="D117" s="24"/>
      <c r="E117" s="24"/>
      <c r="F117" s="24"/>
      <c r="G117" s="24"/>
      <c r="H117" s="24"/>
    </row>
  </sheetData>
  <mergeCells count="22">
    <mergeCell ref="B102:C102"/>
    <mergeCell ref="B105:C105"/>
    <mergeCell ref="B107:C107"/>
    <mergeCell ref="B109:C109"/>
    <mergeCell ref="B87:C87"/>
    <mergeCell ref="B89:C89"/>
    <mergeCell ref="B93:C93"/>
    <mergeCell ref="B95:C95"/>
    <mergeCell ref="B97:C97"/>
    <mergeCell ref="B99:C99"/>
    <mergeCell ref="B72:C72"/>
    <mergeCell ref="B74:C74"/>
    <mergeCell ref="B77:C77"/>
    <mergeCell ref="B79:C79"/>
    <mergeCell ref="B81:C81"/>
    <mergeCell ref="B84:C84"/>
    <mergeCell ref="A10:H10"/>
    <mergeCell ref="A11:H11"/>
    <mergeCell ref="B25:C25"/>
    <mergeCell ref="B27:C27"/>
    <mergeCell ref="B32:C32"/>
    <mergeCell ref="B47:C4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VAB corriente</vt:lpstr>
      <vt:lpstr>VAB constante</vt:lpstr>
      <vt:lpstr>Deflactores</vt:lpstr>
      <vt:lpstr>'VAB constante'!Área_de_impresión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Giannina Lopez</dc:creator>
  <cp:lastModifiedBy>Giannina Lopez</cp:lastModifiedBy>
  <dcterms:created xsi:type="dcterms:W3CDTF">2025-09-29T15:05:58Z</dcterms:created>
  <dcterms:modified xsi:type="dcterms:W3CDTF">2025-09-29T15:09:05Z</dcterms:modified>
</cp:coreProperties>
</file>