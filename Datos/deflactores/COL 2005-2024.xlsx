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V:\DAT\APPL\ESTADIST\Cuentas_Nacionales\BADECON_Encuestas Industriales\09 Analisis resultados\Deflactores\"/>
    </mc:Choice>
  </mc:AlternateContent>
  <xr:revisionPtr revIDLastSave="0" documentId="8_{2A5E9028-5D07-4DDF-9BF0-C2A0BB962C33}" xr6:coauthVersionLast="47" xr6:coauthVersionMax="47" xr10:uidLastSave="{00000000-0000-0000-0000-000000000000}"/>
  <bookViews>
    <workbookView xWindow="22932" yWindow="-108" windowWidth="30936" windowHeight="16776" activeTab="2" xr2:uid="{75F066B8-D8D2-4003-B802-1EF71F79E04C}"/>
  </bookViews>
  <sheets>
    <sheet name="Cuadro 1" sheetId="1" r:id="rId1"/>
    <sheet name="Cuadro 2" sheetId="2" r:id="rId2"/>
    <sheet name="Deflactores" sheetId="3" r:id="rId3"/>
  </sheets>
  <externalReferences>
    <externalReference r:id="rId4"/>
  </externalReferences>
  <definedNames>
    <definedName name="FECHA">#REF!</definedName>
    <definedName name="PERIODO">#REF!</definedName>
    <definedName name="TITULO">#REF!</definedName>
    <definedName name="VA">#REF!</definedName>
    <definedName name="VA_Kt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3" l="1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B107" i="3"/>
  <c r="B108" i="3"/>
  <c r="B109" i="3"/>
  <c r="B110" i="3"/>
  <c r="B111" i="3"/>
  <c r="B112" i="3"/>
  <c r="B113" i="3"/>
  <c r="B114" i="3"/>
  <c r="B115" i="3"/>
  <c r="B116" i="3"/>
  <c r="B117" i="3"/>
  <c r="B119" i="3"/>
  <c r="B120" i="3"/>
  <c r="B121" i="3"/>
  <c r="B122" i="3"/>
  <c r="B106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B2" i="3"/>
</calcChain>
</file>

<file path=xl/sharedStrings.xml><?xml version="1.0" encoding="utf-8"?>
<sst xmlns="http://schemas.openxmlformats.org/spreadsheetml/2006/main" count="1488" uniqueCount="264">
  <si>
    <t>Actualizado el 27 de junio de 2025</t>
  </si>
  <si>
    <r>
      <rPr>
        <b/>
        <sz val="8"/>
        <rFont val="Segoe UI"/>
        <family val="2"/>
      </rPr>
      <t>(...)</t>
    </r>
    <r>
      <rPr>
        <sz val="8"/>
        <rFont val="Segoe UI"/>
        <family val="2"/>
      </rPr>
      <t xml:space="preserve"> cifra aún no disponible</t>
    </r>
  </si>
  <si>
    <r>
      <rPr>
        <b/>
        <vertAlign val="superscript"/>
        <sz val="8"/>
        <rFont val="Segoe UI"/>
        <family val="2"/>
      </rPr>
      <t>1</t>
    </r>
    <r>
      <rPr>
        <sz val="8"/>
        <rFont val="Segoe UI"/>
        <family val="2"/>
      </rPr>
      <t xml:space="preserve"> Instituciones sin fines de lucro que sirven a los hogares</t>
    </r>
  </si>
  <si>
    <r>
      <rPr>
        <b/>
        <sz val="8"/>
        <rFont val="Segoe UI"/>
        <family val="2"/>
      </rPr>
      <t>pr:</t>
    </r>
    <r>
      <rPr>
        <sz val="8"/>
        <rFont val="Segoe UI"/>
        <family val="2"/>
      </rPr>
      <t xml:space="preserve"> cifra preliminar</t>
    </r>
  </si>
  <si>
    <r>
      <rPr>
        <b/>
        <sz val="8"/>
        <rFont val="Segoe UI"/>
        <family val="2"/>
      </rPr>
      <t>p:</t>
    </r>
    <r>
      <rPr>
        <sz val="8"/>
        <rFont val="Segoe UI"/>
        <family val="2"/>
      </rPr>
      <t xml:space="preserve"> cifra provisional</t>
    </r>
  </si>
  <si>
    <r>
      <rPr>
        <b/>
        <sz val="8"/>
        <rFont val="Segoe UI"/>
        <family val="2"/>
      </rPr>
      <t>Fuente</t>
    </r>
    <r>
      <rPr>
        <sz val="8"/>
        <rFont val="Segoe UI"/>
        <family val="2"/>
      </rPr>
      <t>: DANE, Cuentas Nacionales</t>
    </r>
  </si>
  <si>
    <t>Producto interno bruto per cápita</t>
  </si>
  <si>
    <t>Población</t>
  </si>
  <si>
    <t>PIB per cápita</t>
  </si>
  <si>
    <t>Producto interno bruto</t>
  </si>
  <si>
    <t>B.1b</t>
  </si>
  <si>
    <t>Excedente de explotación bruto e ingreso mixto bruto</t>
  </si>
  <si>
    <t>B.2 + B.3</t>
  </si>
  <si>
    <t>Impuestos menos subvenciones sobre la producción y las importaciones</t>
  </si>
  <si>
    <t>D.2 - D.3</t>
  </si>
  <si>
    <t>Remuneración de los asalariados</t>
  </si>
  <si>
    <t>D.1</t>
  </si>
  <si>
    <t>PIB enfoque de los  ingresos</t>
  </si>
  <si>
    <t>Importaciones</t>
  </si>
  <si>
    <t>P.7</t>
  </si>
  <si>
    <t>Exportaciones</t>
  </si>
  <si>
    <t>P.6</t>
  </si>
  <si>
    <t>Adquisición menos disposición de objetos valiosos</t>
  </si>
  <si>
    <t>P.53</t>
  </si>
  <si>
    <t>Variación de existencias</t>
  </si>
  <si>
    <t>P.52</t>
  </si>
  <si>
    <t>Productos de propiedad intelectual</t>
  </si>
  <si>
    <t>AN117</t>
  </si>
  <si>
    <t>Recursos biológicos cultivados</t>
  </si>
  <si>
    <t>AN115</t>
  </si>
  <si>
    <t>Maquinaria y equipo; sistemas de armamento</t>
  </si>
  <si>
    <t>AN113 + AN114</t>
  </si>
  <si>
    <t>Otros edificios y estructuras</t>
  </si>
  <si>
    <t>AN112</t>
  </si>
  <si>
    <t>Vivienda</t>
  </si>
  <si>
    <t>AN111</t>
  </si>
  <si>
    <t>Formación bruta de capital fijo</t>
  </si>
  <si>
    <t>P.51</t>
  </si>
  <si>
    <t>Formación bruta de capital</t>
  </si>
  <si>
    <t>P.5</t>
  </si>
  <si>
    <t>Gasto de consumo final del gobierno general</t>
  </si>
  <si>
    <t>P.312 + P.322</t>
  </si>
  <si>
    <t>Gasto de consumo final de las ISFLH</t>
  </si>
  <si>
    <t>P.313 + P.323</t>
  </si>
  <si>
    <t>Gasto de consumo final individual de los hogares</t>
  </si>
  <si>
    <t>P.311</t>
  </si>
  <si>
    <r>
      <t>Gasto de consumo final individual de los hogares; gasto de consumo final de las ISFLH</t>
    </r>
    <r>
      <rPr>
        <b/>
        <i/>
        <vertAlign val="superscript"/>
        <sz val="9"/>
        <color theme="1"/>
        <rFont val="Segoe UI"/>
        <family val="2"/>
      </rPr>
      <t>1</t>
    </r>
  </si>
  <si>
    <t>P.311 + P.313 + P.323</t>
  </si>
  <si>
    <t>Gasto de consumo final</t>
  </si>
  <si>
    <t xml:space="preserve">P.3 </t>
  </si>
  <si>
    <t>PIB enfoque del gasto</t>
  </si>
  <si>
    <t>Impuestos menos subvenciones sobre los productos</t>
  </si>
  <si>
    <t>D.21 - D.31</t>
  </si>
  <si>
    <t>Valor agregado bruto</t>
  </si>
  <si>
    <t>Actividades de los hogares individuales en calidad de empleadores</t>
  </si>
  <si>
    <t>109</t>
  </si>
  <si>
    <t>Actividades de los hogares individuales en calidad de empleadores; actividades no diferenciadas de los hogares individuales como productores de bienes y servicios para uso propio</t>
  </si>
  <si>
    <t>T</t>
  </si>
  <si>
    <t>Actividades artísticas, de entretenimiento y recreación y otras actividades de servicios</t>
  </si>
  <si>
    <t>104 - 108</t>
  </si>
  <si>
    <t>R + S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</si>
  <si>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</si>
  <si>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R +S + T</t>
  </si>
  <si>
    <t>Actividades de atención de la salud humana y de servicios sociales</t>
  </si>
  <si>
    <t>102, 103</t>
  </si>
  <si>
    <t>Q</t>
  </si>
  <si>
    <t>Educación de no mercado</t>
  </si>
  <si>
    <t>101</t>
  </si>
  <si>
    <t>Educación de mercado</t>
  </si>
  <si>
    <t>100</t>
  </si>
  <si>
    <t>Educación</t>
  </si>
  <si>
    <t>P</t>
  </si>
  <si>
    <t>Administración pública y defensa; planes de seguridad social de afiliación obligatoria</t>
  </si>
  <si>
    <t>098, 099</t>
  </si>
  <si>
    <t>O</t>
  </si>
  <si>
    <t>Administración pública y defensa; planes de seguridad social de afiliación obligatoria; Educación; Actividades de atención de la salud humana y de servicios sociales</t>
  </si>
  <si>
    <t>O + P + Q</t>
  </si>
  <si>
    <t>Actividades de servicios administrativos y de apoyo</t>
  </si>
  <si>
    <t>094 - 097</t>
  </si>
  <si>
    <t>Actividades profesionales, científicas y técnicas</t>
  </si>
  <si>
    <t>090 - 093</t>
  </si>
  <si>
    <t>Actividades profesionales, científicas y técnicas; Actividades de servicios administrativos y de apoyo</t>
  </si>
  <si>
    <t>M + N</t>
  </si>
  <si>
    <t>Actividades inmobiliarias</t>
  </si>
  <si>
    <t>089</t>
  </si>
  <si>
    <t>L</t>
  </si>
  <si>
    <t>Actividades financieras y de seguros</t>
  </si>
  <si>
    <t>085 - 088</t>
  </si>
  <si>
    <t>K</t>
  </si>
  <si>
    <t>Información y comunicaciones</t>
  </si>
  <si>
    <t>081 - 084</t>
  </si>
  <si>
    <t>J</t>
  </si>
  <si>
    <t>Alojamiento y servicios de comida</t>
  </si>
  <si>
    <t>078 - 080</t>
  </si>
  <si>
    <t>I</t>
  </si>
  <si>
    <t>Actividades de correo y de servicios de mensajería</t>
  </si>
  <si>
    <t>077</t>
  </si>
  <si>
    <t>Almacenamiento y actividades complementarias al transporte</t>
  </si>
  <si>
    <t>076</t>
  </si>
  <si>
    <t>Transporte aéreo</t>
  </si>
  <si>
    <t>075</t>
  </si>
  <si>
    <t>Transporte acuático</t>
  </si>
  <si>
    <t>073</t>
  </si>
  <si>
    <t>Transporte terrestre y transporte por tuberías</t>
  </si>
  <si>
    <t>072, 074</t>
  </si>
  <si>
    <t>Transporte y almacenamiento</t>
  </si>
  <si>
    <t>H</t>
  </si>
  <si>
    <t>Mantenimiento y reparación de vehículos automotores y motocicletas</t>
  </si>
  <si>
    <t>071</t>
  </si>
  <si>
    <t>Comercio al por mayor y en comisión o por contrata; comercio al por menor (incluso el comercio al por menor de combustibles); comercio de vehículos automotores y motocicletas, sus partes, piezas y accesorios</t>
  </si>
  <si>
    <t>070</t>
  </si>
  <si>
    <t>Comercio al por mayor y al por menor; reparación de vehículos automotores y motocicletas</t>
  </si>
  <si>
    <t>G</t>
  </si>
  <si>
    <t>Comercio al por mayor y al por menor; reparación de vehículos automotores y motocicletas; Transporte y almacenamiento; Alojamiento y servicios de comida</t>
  </si>
  <si>
    <t>G + H + I</t>
  </si>
  <si>
    <t>Actividades especializadas para la construcción de edificaciones y obras de ingeniería civil (Alquiler de maquinaría y equipo de construcción con operadores)</t>
  </si>
  <si>
    <t>069</t>
  </si>
  <si>
    <t>F03</t>
  </si>
  <si>
    <t>Construcción de carreteras y vías de ferrocarril, de proyectos de servicio público y de otras obras de ingeniería civil</t>
  </si>
  <si>
    <t>068</t>
  </si>
  <si>
    <t>F02</t>
  </si>
  <si>
    <t>Construcción de edificaciones residenciales y no residenciales</t>
  </si>
  <si>
    <t>067</t>
  </si>
  <si>
    <t>F01</t>
  </si>
  <si>
    <t>Construcción</t>
  </si>
  <si>
    <t>F</t>
  </si>
  <si>
    <t>Recuperación de materiales (reciclaje)</t>
  </si>
  <si>
    <t>065</t>
  </si>
  <si>
    <t>Evacuación y tratamiento de aguas residuales; recolección, tratamiento y disposición de desechos y actividades de saneamiento ambiental y otros servicios de gestión de desechos</t>
  </si>
  <si>
    <t>063, 064, 066</t>
  </si>
  <si>
    <t>Captación, tratamiento y distribución de agua</t>
  </si>
  <si>
    <t>062</t>
  </si>
  <si>
    <t>Distribución de agua; evacuación y tratamiento de aguas residuales, gestión de desechos y actividades de saneamiento ambiental</t>
  </si>
  <si>
    <t>E</t>
  </si>
  <si>
    <t>Producción de gas; distribución de combustibles gaseosos por tuberías; suministro de vapor y aire acondicionado</t>
  </si>
  <si>
    <t>061</t>
  </si>
  <si>
    <t>Generación de energía eléctrica; transmisión de energía eléctrica y distribución y comercialización de energía eléctrica</t>
  </si>
  <si>
    <t>058 - 060</t>
  </si>
  <si>
    <t>Suministro de electricidad, gas, vapor y aire acondicionado</t>
  </si>
  <si>
    <t>D</t>
  </si>
  <si>
    <t>Suministro de electricidad, gas, vapor y aire acondicionado; Distribución de agua; evacuación y tratamiento de aguas residuales, gestión de desechos y actividades de saneamiento ambiental</t>
  </si>
  <si>
    <t>D + E</t>
  </si>
  <si>
    <t>Otras industrias manufactureras</t>
  </si>
  <si>
    <t>056</t>
  </si>
  <si>
    <t xml:space="preserve"> Fabricación de muebles, colchones y somieres</t>
  </si>
  <si>
    <t>055</t>
  </si>
  <si>
    <t>Fabricación de muebles, colchones y somieres; otras industrias manufactureras</t>
  </si>
  <si>
    <t>C06</t>
  </si>
  <si>
    <t>Fabricación de vehículos automotores, remolques y semirremolques; fabricación de otros tipos de equipo de transporte</t>
  </si>
  <si>
    <t>054</t>
  </si>
  <si>
    <t>Fabricación de maquinaria y equipo n.c.p.; instalación, mantenimiento y reparación especializado de maquinaria y equipo</t>
  </si>
  <si>
    <t>053, 057</t>
  </si>
  <si>
    <t>Fabricación de aparatos y equipo eléctrico; fabricación de productos informáticos, electrónicos y ópticos</t>
  </si>
  <si>
    <t>052</t>
  </si>
  <si>
    <t>Fabricación de productos metalúrgicos básicos; fabricación de productos elaborados de metal, excepto maquinaria y equipo</t>
  </si>
  <si>
    <t>050, 051</t>
  </si>
  <si>
    <t>Fabricación de productos metalúrgicos básicos; fabricación de productos elaborados de metal, excepto maquinaria y equipo; fabricación de aparatos y equipo eléctrico; fabricación de productos informáticos, electrónicos y ópticos; fabricación de maquinaria y equipo n.c.p.; fabricación de vehículos automotores, remolques y semirremolques; fabricación de otros tipos de equipo de transporte; instalación, mantenimiento y reparación especializado de maquinaria y equipo</t>
  </si>
  <si>
    <t>C05</t>
  </si>
  <si>
    <t>Fabricación de otros productos minerales no metálicos</t>
  </si>
  <si>
    <t>049</t>
  </si>
  <si>
    <t>Fabricación de productos de caucho y de plástico</t>
  </si>
  <si>
    <t>048</t>
  </si>
  <si>
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</si>
  <si>
    <t>045 - 047</t>
  </si>
  <si>
    <t>Coquización, fabricación de productos de la refinación del petróleo y actividades de mezcla de combustibles</t>
  </si>
  <si>
    <t>043, 044</t>
  </si>
  <si>
    <t>Coquización, fabricación de productos de la refinación del petróleo y actividad de mezcla de combustibles; fabricación de sustancias y productos químicos; fabricación de productos farmacéuticos, sustancias químicas medicinales y productos botánicos de uso farmacéutico; fabricación de productos de caucho y de plástico; fabricación de otros productos minerales no metálicos</t>
  </si>
  <si>
    <t>C04</t>
  </si>
  <si>
    <t>Actividades de impresión; producción de copias a partir de grabaciones originales (Copia a partir de un original en CD, DVD, Bluray)</t>
  </si>
  <si>
    <t>042</t>
  </si>
  <si>
    <t>Fabricación de papel, cartón y productos de papel y de cartón</t>
  </si>
  <si>
    <t>041</t>
  </si>
  <si>
    <t>Transformación de la madera y fabricación de productos de madera y de corcho, excepto muebles; fabricación de artículos de cestería y espartería</t>
  </si>
  <si>
    <t>040</t>
  </si>
  <si>
    <t>Transformación de la madera y fabricación de productos de madera y de corcho, excepto muebles; fabricación de artículos de cestería y espartería; fabricación de papel, cartón y productos de papel y de cartón; actividades de impresión; producción de copias a partir de grabaciones originales</t>
  </si>
  <si>
    <t>C03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</si>
  <si>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</si>
  <si>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039</t>
  </si>
  <si>
    <t>Preparación, hilatura, tejeduría y acabado de productos textiles; fabricación de otros productos textiles, Confección de prendas de vestir</t>
  </si>
  <si>
    <t>037, 038</t>
  </si>
  <si>
    <t xml:space="preserve">Fabricación de productos textiles; confección de prendas de vestir; curtido y recurtido de cueros; fabricación de calzado; fabricación de artículos de viaje, maletas, bolsos de mano y artículos similares, y fabricación de artículos de talabartería y guarnicionería; adobo y teñido de pieles </t>
  </si>
  <si>
    <t>C02</t>
  </si>
  <si>
    <t>Elaboración de bebidas (incluido el hielo) y elaboración de productos de tabaco</t>
  </si>
  <si>
    <t>036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</si>
  <si>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</si>
  <si>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034</t>
  </si>
  <si>
    <t>Elaboración de cacao, chocolate y productos de confitería</t>
  </si>
  <si>
    <t>033</t>
  </si>
  <si>
    <t>Elaboración de azúcar y elaboración de panela</t>
  </si>
  <si>
    <t>030, 031</t>
  </si>
  <si>
    <t>Elaboración de productos de café</t>
  </si>
  <si>
    <t>029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</si>
  <si>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</si>
  <si>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028, 032, 035</t>
  </si>
  <si>
    <t>Elaboración de productos lácteos</t>
  </si>
  <si>
    <t>027</t>
  </si>
  <si>
    <t>Elaboración de aceites y grasas de origen vegetal y animal</t>
  </si>
  <si>
    <t>026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</si>
  <si>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</si>
  <si>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023 - 025</t>
  </si>
  <si>
    <t>Elaboración de productos alimenticios; elaboración de bebidas; elaboración de productos de tabaco</t>
  </si>
  <si>
    <t>C01</t>
  </si>
  <si>
    <t>Industrias manufactureras</t>
  </si>
  <si>
    <t>C</t>
  </si>
  <si>
    <t>Actividades de apoyo para otras actividades de explotación de minas y canteras</t>
  </si>
  <si>
    <t>022</t>
  </si>
  <si>
    <t>Extracción de otras minas y canteras</t>
  </si>
  <si>
    <t>020</t>
  </si>
  <si>
    <t>Extracción de minerales metalíferos</t>
  </si>
  <si>
    <t>019</t>
  </si>
  <si>
    <t>Extracción de petróleo crudo y gas natural y actividades de apoyo para la extracción de petróleo y de gas natural</t>
  </si>
  <si>
    <t>018, 021</t>
  </si>
  <si>
    <t>Extracción de carbón de piedra y lignito</t>
  </si>
  <si>
    <t>017</t>
  </si>
  <si>
    <t>Explotación de minas y canteras</t>
  </si>
  <si>
    <t>B</t>
  </si>
  <si>
    <t>Pesca y acuicultura</t>
  </si>
  <si>
    <t>016</t>
  </si>
  <si>
    <t>Silvicultura y extracción de madera</t>
  </si>
  <si>
    <t>014, 015</t>
  </si>
  <si>
    <t>Ganadería</t>
  </si>
  <si>
    <t>009 - 012</t>
  </si>
  <si>
    <t>Cultivo permanente de café</t>
  </si>
  <si>
    <t>003</t>
  </si>
  <si>
    <t>Cultivos agrícolas transitorios; otros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</si>
  <si>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t>001 - 008, 013</t>
  </si>
  <si>
    <t>Agricultura, ganadería, caza, silvicultura y pesca</t>
  </si>
  <si>
    <t>A</t>
  </si>
  <si>
    <t>PIB enfoque de la producción</t>
  </si>
  <si>
    <r>
      <t>2024</t>
    </r>
    <r>
      <rPr>
        <b/>
        <vertAlign val="superscript"/>
        <sz val="10"/>
        <color theme="1"/>
        <rFont val="Segoe UI"/>
        <family val="2"/>
      </rPr>
      <t>pr</t>
    </r>
  </si>
  <si>
    <r>
      <t>2023</t>
    </r>
    <r>
      <rPr>
        <b/>
        <vertAlign val="superscript"/>
        <sz val="10"/>
        <color theme="1"/>
        <rFont val="Segoe UI"/>
        <family val="2"/>
      </rPr>
      <t>p</t>
    </r>
  </si>
  <si>
    <t>Concepto</t>
  </si>
  <si>
    <t>Divisiones CIIU Rev. 4 A.C.
61 agrupaciones</t>
  </si>
  <si>
    <t>Secciones y divisiones CIIU Rev. 4 A.C.
25 agrupaciones</t>
  </si>
  <si>
    <t>Secciones CIIU Rev. 4 A.C.
12 agrupaciones</t>
  </si>
  <si>
    <t>Clasificación Cuentas Nacionales</t>
  </si>
  <si>
    <r>
      <t>2006 - 2024</t>
    </r>
    <r>
      <rPr>
        <b/>
        <vertAlign val="superscript"/>
        <sz val="9"/>
        <rFont val="Segoe UI"/>
        <family val="2"/>
      </rPr>
      <t>pr</t>
    </r>
  </si>
  <si>
    <t>Base 2015</t>
  </si>
  <si>
    <t>Tasas de crecimiento en valor</t>
  </si>
  <si>
    <t>Producto Interno Bruto - PIB</t>
  </si>
  <si>
    <t>Producto interno bruto per cápita (pesos)</t>
  </si>
  <si>
    <t>PIB enfoque de los ingresos</t>
  </si>
  <si>
    <t>R + S + T</t>
  </si>
  <si>
    <t>Índice</t>
  </si>
  <si>
    <r>
      <t>2005 - 2024</t>
    </r>
    <r>
      <rPr>
        <b/>
        <vertAlign val="superscript"/>
        <sz val="9"/>
        <rFont val="Segoe UI"/>
        <family val="2"/>
      </rPr>
      <t>pr</t>
    </r>
  </si>
  <si>
    <t>Miles de millones de pesos</t>
  </si>
  <si>
    <t>Valores a precios corrientes</t>
  </si>
  <si>
    <t>(...) cifra aún no disponible</t>
  </si>
  <si>
    <r>
      <rPr>
        <b/>
        <sz val="8"/>
        <rFont val="Segoe UI"/>
        <family val="2"/>
      </rPr>
      <t>--</t>
    </r>
    <r>
      <rPr>
        <sz val="8"/>
        <rFont val="Segoe UI"/>
        <family val="2"/>
      </rPr>
      <t xml:space="preserve"> No aplica</t>
    </r>
  </si>
  <si>
    <r>
      <t xml:space="preserve">2 </t>
    </r>
    <r>
      <rPr>
        <sz val="8"/>
        <rFont val="Segoe UI"/>
        <family val="2"/>
      </rPr>
      <t>Los datos de variación de existencia no se obtienen por encadenamiento “Las fórmulas de números índices generalmente no son aplicables a series de tiempo que pueden tomar valores positivos, negativos y cero” (SCN 2008 para. 15.62).</t>
    </r>
  </si>
  <si>
    <t>--</t>
  </si>
  <si>
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</si>
  <si>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r>
      <t>2005 - 2023</t>
    </r>
    <r>
      <rPr>
        <b/>
        <vertAlign val="superscript"/>
        <sz val="9"/>
        <rFont val="Segoe UI"/>
        <family val="2"/>
      </rPr>
      <t>p</t>
    </r>
  </si>
  <si>
    <t>Índices de volumen, año 2015 = 100</t>
  </si>
  <si>
    <t xml:space="preserve">-- </t>
  </si>
  <si>
    <r>
      <t>Gasto de consumo final de las ISFLH</t>
    </r>
    <r>
      <rPr>
        <vertAlign val="superscript"/>
        <sz val="9"/>
        <color theme="1"/>
        <rFont val="Segoe UI"/>
        <family val="2"/>
      </rPr>
      <t>1</t>
    </r>
  </si>
  <si>
    <r>
      <t>2006 - 2023</t>
    </r>
    <r>
      <rPr>
        <b/>
        <vertAlign val="superscript"/>
        <sz val="9"/>
        <rFont val="Segoe UI"/>
        <family val="2"/>
      </rPr>
      <t>p</t>
    </r>
  </si>
  <si>
    <t>Tasas de crecimiento en volumen</t>
  </si>
  <si>
    <t>|</t>
  </si>
  <si>
    <r>
      <t xml:space="preserve">2 </t>
    </r>
    <r>
      <rPr>
        <sz val="8"/>
        <rFont val="Segoe UI"/>
        <family val="2"/>
      </rPr>
      <t>Los datos de variación de existencias no se obtienen por encadenamiento “Las fórmulas de números índices generalmente no son aplicables a series de tiempo que pueden tomar valores positivos, negativos y cero” (SCN 2008 para. 15.62).</t>
    </r>
  </si>
  <si>
    <t>Discrepancia estadística</t>
  </si>
  <si>
    <r>
      <t>Variación de existencias</t>
    </r>
    <r>
      <rPr>
        <vertAlign val="superscript"/>
        <sz val="9"/>
        <color theme="1"/>
        <rFont val="Segoe UI"/>
        <family val="2"/>
      </rPr>
      <t>2</t>
    </r>
  </si>
  <si>
    <t xml:space="preserve"> Cultivo permanente de café</t>
  </si>
  <si>
    <t>Series encadenadas de volumen con año de referencia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</si>
</sst>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-* #,##0.00_-;\-* #,##0.00_-;_-* &quot;-&quot;??_-;_-@_-"/>
    <numFmt numFmtId="166" formatCode="_-* #,##0.0_-;\-* #,##0.0_-;_-* &quot;-&quot;??_-;_-@_-"/>
    <numFmt numFmtId="167" formatCode="#,##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11"/>
      <color rgb="FF000000"/>
      <name val="Aptos Narrow"/>
      <family val="2"/>
    </font>
    <font>
      <sz val="9"/>
      <name val="Segoe UI"/>
      <family val="2"/>
    </font>
    <font>
      <b/>
      <sz val="8"/>
      <name val="Segoe UI"/>
      <family val="2"/>
    </font>
    <font>
      <sz val="8"/>
      <name val="Segoe UI"/>
      <family val="2"/>
    </font>
    <font>
      <vertAlign val="superscript"/>
      <sz val="8"/>
      <name val="Segoe UI"/>
      <family val="2"/>
    </font>
    <font>
      <b/>
      <vertAlign val="superscript"/>
      <sz val="8"/>
      <name val="Segoe UI"/>
      <family val="2"/>
    </font>
    <font>
      <b/>
      <sz val="9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i/>
      <sz val="9"/>
      <color theme="1"/>
      <name val="Segoe UI"/>
      <family val="2"/>
    </font>
    <font>
      <i/>
      <sz val="9"/>
      <color theme="1"/>
      <name val="Segoe UI"/>
      <family val="2"/>
    </font>
    <font>
      <b/>
      <i/>
      <vertAlign val="superscript"/>
      <sz val="9"/>
      <color theme="1"/>
      <name val="Segoe UI"/>
      <family val="2"/>
    </font>
    <font>
      <b/>
      <sz val="9"/>
      <color rgb="FFB6004B"/>
      <name val="Segoe UI"/>
      <family val="2"/>
    </font>
    <font>
      <b/>
      <vertAlign val="superscript"/>
      <sz val="10"/>
      <color theme="1"/>
      <name val="Segoe UI"/>
      <family val="2"/>
    </font>
    <font>
      <b/>
      <sz val="9"/>
      <name val="Segoe UI"/>
      <family val="2"/>
    </font>
    <font>
      <b/>
      <vertAlign val="superscript"/>
      <sz val="9"/>
      <name val="Segoe UI"/>
      <family val="2"/>
    </font>
    <font>
      <b/>
      <sz val="14"/>
      <color theme="0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egoe UI"/>
      <family val="2"/>
    </font>
    <font>
      <sz val="11"/>
      <color theme="1"/>
      <name val="Segoe UI"/>
      <family val="2"/>
    </font>
    <font>
      <sz val="10"/>
      <name val="Segoe UI"/>
      <family val="2"/>
    </font>
    <font>
      <i/>
      <sz val="8"/>
      <color theme="1"/>
      <name val="Segoe UI"/>
      <family val="2"/>
    </font>
    <font>
      <sz val="10"/>
      <name val="Arial"/>
      <family val="2"/>
    </font>
    <font>
      <vertAlign val="superscript"/>
      <sz val="9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auto="1"/>
      </left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990033"/>
      </right>
      <top/>
      <bottom/>
      <diagonal/>
    </border>
    <border>
      <left style="thin">
        <color rgb="FF990033"/>
      </left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theme="0" tint="-0.499984740745262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5" fillId="0" borderId="0"/>
  </cellStyleXfs>
  <cellXfs count="40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164" fontId="2" fillId="0" borderId="0" xfId="0" applyNumberFormat="1" applyFont="1"/>
    <xf numFmtId="3" fontId="3" fillId="0" borderId="0" xfId="0" applyNumberFormat="1" applyFont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3" fontId="5" fillId="0" borderId="2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/>
    </xf>
    <xf numFmtId="3" fontId="5" fillId="0" borderId="3" xfId="0" applyNumberFormat="1" applyFont="1" applyBorder="1" applyAlignment="1">
      <alignment vertical="center"/>
    </xf>
    <xf numFmtId="0" fontId="2" fillId="0" borderId="4" xfId="0" applyFont="1" applyBorder="1"/>
    <xf numFmtId="3" fontId="6" fillId="0" borderId="5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wrapText="1"/>
    </xf>
    <xf numFmtId="164" fontId="9" fillId="2" borderId="1" xfId="0" applyNumberFormat="1" applyFont="1" applyFill="1" applyBorder="1"/>
    <xf numFmtId="164" fontId="9" fillId="2" borderId="2" xfId="0" applyNumberFormat="1" applyFont="1" applyFill="1" applyBorder="1"/>
    <xf numFmtId="164" fontId="2" fillId="2" borderId="2" xfId="0" applyNumberFormat="1" applyFont="1" applyFill="1" applyBorder="1"/>
    <xf numFmtId="0" fontId="9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9" fillId="2" borderId="2" xfId="0" applyFont="1" applyFill="1" applyBorder="1"/>
    <xf numFmtId="0" fontId="2" fillId="2" borderId="3" xfId="0" applyFont="1" applyFill="1" applyBorder="1"/>
    <xf numFmtId="164" fontId="2" fillId="0" borderId="4" xfId="0" applyNumberFormat="1" applyFont="1" applyBorder="1"/>
    <xf numFmtId="0" fontId="2" fillId="0" borderId="5" xfId="0" applyFont="1" applyBorder="1"/>
    <xf numFmtId="0" fontId="10" fillId="0" borderId="0" xfId="0" applyFont="1"/>
    <xf numFmtId="0" fontId="10" fillId="3" borderId="9" xfId="0" applyFont="1" applyFill="1" applyBorder="1"/>
    <xf numFmtId="0" fontId="10" fillId="3" borderId="10" xfId="0" applyFont="1" applyFill="1" applyBorder="1"/>
    <xf numFmtId="164" fontId="10" fillId="3" borderId="10" xfId="0" applyNumberFormat="1" applyFont="1" applyFill="1" applyBorder="1"/>
    <xf numFmtId="0" fontId="11" fillId="3" borderId="10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2" fillId="0" borderId="10" xfId="0" applyFont="1" applyBorder="1"/>
    <xf numFmtId="164" fontId="9" fillId="0" borderId="12" xfId="0" applyNumberFormat="1" applyFont="1" applyBorder="1" applyAlignment="1">
      <alignment horizontal="right"/>
    </xf>
    <xf numFmtId="164" fontId="9" fillId="0" borderId="13" xfId="0" applyNumberFormat="1" applyFont="1" applyBorder="1" applyAlignment="1">
      <alignment horizontal="right"/>
    </xf>
    <xf numFmtId="164" fontId="9" fillId="0" borderId="13" xfId="0" applyNumberFormat="1" applyFont="1" applyBorder="1"/>
    <xf numFmtId="0" fontId="9" fillId="0" borderId="13" xfId="0" applyFont="1" applyBorder="1" applyAlignment="1">
      <alignment horizontal="left" wrapText="1"/>
    </xf>
    <xf numFmtId="0" fontId="9" fillId="0" borderId="13" xfId="0" applyFont="1" applyBorder="1"/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164" fontId="2" fillId="2" borderId="4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2" fillId="2" borderId="5" xfId="0" applyFont="1" applyFill="1" applyBorder="1"/>
    <xf numFmtId="164" fontId="2" fillId="0" borderId="4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5" xfId="0" applyFont="1" applyBorder="1" applyAlignment="1">
      <alignment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2" fillId="2" borderId="5" xfId="0" applyFont="1" applyFill="1" applyBorder="1" applyAlignment="1">
      <alignment horizontal="left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2" fillId="0" borderId="5" xfId="0" applyFont="1" applyBorder="1" applyAlignment="1">
      <alignment horizontal="left" indent="1"/>
    </xf>
    <xf numFmtId="166" fontId="12" fillId="0" borderId="4" xfId="1" quotePrefix="1" applyNumberFormat="1" applyFont="1" applyBorder="1" applyAlignment="1">
      <alignment horizontal="right"/>
    </xf>
    <xf numFmtId="0" fontId="9" fillId="0" borderId="13" xfId="0" applyFont="1" applyBorder="1" applyAlignment="1">
      <alignment wrapText="1"/>
    </xf>
    <xf numFmtId="0" fontId="2" fillId="0" borderId="13" xfId="0" applyFont="1" applyBorder="1"/>
    <xf numFmtId="0" fontId="9" fillId="0" borderId="14" xfId="0" applyFont="1" applyBorder="1" applyAlignment="1">
      <alignment vertical="center" wrapText="1"/>
    </xf>
    <xf numFmtId="164" fontId="9" fillId="2" borderId="4" xfId="0" applyNumberFormat="1" applyFont="1" applyFill="1" applyBorder="1"/>
    <xf numFmtId="164" fontId="9" fillId="2" borderId="0" xfId="0" applyNumberFormat="1" applyFont="1" applyFill="1"/>
    <xf numFmtId="0" fontId="9" fillId="2" borderId="0" xfId="0" applyFont="1" applyFill="1" applyAlignment="1">
      <alignment wrapText="1"/>
    </xf>
    <xf numFmtId="0" fontId="9" fillId="2" borderId="0" xfId="0" applyFont="1" applyFill="1"/>
    <xf numFmtId="0" fontId="9" fillId="2" borderId="5" xfId="0" applyFont="1" applyFill="1" applyBorder="1"/>
    <xf numFmtId="164" fontId="9" fillId="0" borderId="4" xfId="0" applyNumberFormat="1" applyFont="1" applyBorder="1"/>
    <xf numFmtId="164" fontId="9" fillId="0" borderId="0" xfId="0" applyNumberFormat="1" applyFont="1"/>
    <xf numFmtId="0" fontId="9" fillId="0" borderId="0" xfId="0" applyFont="1" applyAlignment="1">
      <alignment wrapText="1"/>
    </xf>
    <xf numFmtId="0" fontId="9" fillId="0" borderId="0" xfId="0" applyFont="1"/>
    <xf numFmtId="0" fontId="9" fillId="0" borderId="5" xfId="0" applyFont="1" applyBorder="1"/>
    <xf numFmtId="164" fontId="12" fillId="2" borderId="4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7" fontId="12" fillId="2" borderId="0" xfId="0" applyNumberFormat="1" applyFont="1" applyFill="1"/>
    <xf numFmtId="3" fontId="12" fillId="2" borderId="0" xfId="0" applyNumberFormat="1" applyFont="1" applyFill="1"/>
    <xf numFmtId="0" fontId="12" fillId="2" borderId="0" xfId="0" applyFont="1" applyFill="1" applyAlignment="1">
      <alignment horizontal="left" wrapText="1" indent="1"/>
    </xf>
    <xf numFmtId="0" fontId="12" fillId="2" borderId="0" xfId="0" applyFont="1" applyFill="1"/>
    <xf numFmtId="0" fontId="12" fillId="2" borderId="5" xfId="0" applyFont="1" applyFill="1" applyBorder="1" applyAlignment="1">
      <alignment horizontal="left" indent="1"/>
    </xf>
    <xf numFmtId="3" fontId="13" fillId="0" borderId="4" xfId="0" quotePrefix="1" applyNumberFormat="1" applyFont="1" applyBorder="1" applyAlignment="1">
      <alignment horizontal="right"/>
    </xf>
    <xf numFmtId="3" fontId="13" fillId="0" borderId="0" xfId="0" quotePrefix="1" applyNumberFormat="1" applyFont="1" applyAlignment="1">
      <alignment horizontal="right"/>
    </xf>
    <xf numFmtId="3" fontId="12" fillId="0" borderId="0" xfId="0" applyNumberFormat="1" applyFont="1"/>
    <xf numFmtId="0" fontId="12" fillId="0" borderId="0" xfId="0" applyFont="1" applyAlignment="1">
      <alignment horizontal="left" wrapText="1" indent="1"/>
    </xf>
    <xf numFmtId="0" fontId="12" fillId="0" borderId="0" xfId="0" applyFont="1"/>
    <xf numFmtId="0" fontId="12" fillId="0" borderId="5" xfId="0" applyFont="1" applyBorder="1" applyAlignment="1">
      <alignment horizontal="left" indent="1"/>
    </xf>
    <xf numFmtId="167" fontId="2" fillId="2" borderId="0" xfId="0" applyNumberFormat="1" applyFont="1" applyFill="1"/>
    <xf numFmtId="3" fontId="2" fillId="2" borderId="0" xfId="0" applyNumberFormat="1" applyFont="1" applyFill="1"/>
    <xf numFmtId="0" fontId="2" fillId="2" borderId="0" xfId="0" applyFont="1" applyFill="1" applyAlignment="1">
      <alignment horizontal="left" wrapText="1" indent="2"/>
    </xf>
    <xf numFmtId="0" fontId="2" fillId="2" borderId="5" xfId="0" applyFont="1" applyFill="1" applyBorder="1" applyAlignment="1">
      <alignment horizontal="left" vertical="center" indent="2"/>
    </xf>
    <xf numFmtId="167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left" wrapText="1" indent="2"/>
    </xf>
    <xf numFmtId="0" fontId="2" fillId="0" borderId="5" xfId="0" applyFont="1" applyBorder="1" applyAlignment="1">
      <alignment horizontal="left" indent="2"/>
    </xf>
    <xf numFmtId="0" fontId="2" fillId="2" borderId="5" xfId="0" applyFont="1" applyFill="1" applyBorder="1" applyAlignment="1">
      <alignment horizontal="left" indent="2"/>
    </xf>
    <xf numFmtId="167" fontId="12" fillId="0" borderId="4" xfId="0" applyNumberFormat="1" applyFont="1" applyBorder="1"/>
    <xf numFmtId="167" fontId="12" fillId="0" borderId="0" xfId="0" applyNumberFormat="1" applyFont="1"/>
    <xf numFmtId="167" fontId="9" fillId="2" borderId="4" xfId="0" applyNumberFormat="1" applyFont="1" applyFill="1" applyBorder="1"/>
    <xf numFmtId="167" fontId="9" fillId="2" borderId="0" xfId="0" applyNumberFormat="1" applyFont="1" applyFill="1"/>
    <xf numFmtId="3" fontId="9" fillId="2" borderId="0" xfId="0" applyNumberFormat="1" applyFont="1" applyFill="1"/>
    <xf numFmtId="0" fontId="2" fillId="0" borderId="0" xfId="0" applyFont="1" applyAlignment="1">
      <alignment horizontal="left" wrapText="1"/>
    </xf>
    <xf numFmtId="0" fontId="2" fillId="0" borderId="5" xfId="0" applyFont="1" applyBorder="1" applyAlignment="1">
      <alignment horizontal="left" vertical="center" indent="1"/>
    </xf>
    <xf numFmtId="164" fontId="12" fillId="2" borderId="4" xfId="0" applyNumberFormat="1" applyFont="1" applyFill="1" applyBorder="1"/>
    <xf numFmtId="164" fontId="12" fillId="2" borderId="0" xfId="0" applyNumberFormat="1" applyFont="1" applyFill="1"/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5" xfId="0" applyFont="1" applyBorder="1" applyAlignment="1">
      <alignment horizontal="left" vertical="center" indent="2"/>
    </xf>
    <xf numFmtId="0" fontId="2" fillId="2" borderId="0" xfId="0" applyFont="1" applyFill="1" applyAlignment="1">
      <alignment horizontal="left" indent="1"/>
    </xf>
    <xf numFmtId="0" fontId="2" fillId="2" borderId="0" xfId="0" applyFont="1" applyFill="1" applyAlignment="1">
      <alignment horizontal="left" indent="2"/>
    </xf>
    <xf numFmtId="164" fontId="12" fillId="0" borderId="4" xfId="0" applyNumberFormat="1" applyFont="1" applyBorder="1"/>
    <xf numFmtId="164" fontId="12" fillId="0" borderId="0" xfId="0" applyNumberFormat="1" applyFont="1"/>
    <xf numFmtId="0" fontId="12" fillId="0" borderId="0" xfId="0" applyFont="1" applyAlignment="1">
      <alignment horizontal="left" indent="1"/>
    </xf>
    <xf numFmtId="0" fontId="12" fillId="0" borderId="5" xfId="0" applyFont="1" applyBorder="1" applyAlignment="1">
      <alignment horizontal="left" vertical="center" indent="1"/>
    </xf>
    <xf numFmtId="164" fontId="10" fillId="3" borderId="9" xfId="0" applyNumberFormat="1" applyFont="1" applyFill="1" applyBorder="1"/>
    <xf numFmtId="164" fontId="2" fillId="0" borderId="10" xfId="0" applyNumberFormat="1" applyFont="1" applyBorder="1"/>
    <xf numFmtId="167" fontId="9" fillId="2" borderId="12" xfId="0" applyNumberFormat="1" applyFont="1" applyFill="1" applyBorder="1"/>
    <xf numFmtId="167" fontId="9" fillId="2" borderId="13" xfId="0" applyNumberFormat="1" applyFont="1" applyFill="1" applyBorder="1"/>
    <xf numFmtId="3" fontId="9" fillId="2" borderId="13" xfId="0" applyNumberFormat="1" applyFont="1" applyFill="1" applyBorder="1"/>
    <xf numFmtId="0" fontId="9" fillId="2" borderId="13" xfId="0" applyFont="1" applyFill="1" applyBorder="1" applyAlignment="1">
      <alignment vertical="center" wrapText="1"/>
    </xf>
    <xf numFmtId="0" fontId="2" fillId="2" borderId="13" xfId="0" applyFont="1" applyFill="1" applyBorder="1"/>
    <xf numFmtId="0" fontId="9" fillId="2" borderId="14" xfId="0" applyFont="1" applyFill="1" applyBorder="1" applyAlignment="1">
      <alignment vertical="center" wrapText="1"/>
    </xf>
    <xf numFmtId="167" fontId="2" fillId="4" borderId="4" xfId="0" applyNumberFormat="1" applyFont="1" applyFill="1" applyBorder="1"/>
    <xf numFmtId="167" fontId="2" fillId="4" borderId="0" xfId="0" applyNumberFormat="1" applyFont="1" applyFill="1"/>
    <xf numFmtId="3" fontId="2" fillId="4" borderId="0" xfId="0" applyNumberFormat="1" applyFont="1" applyFill="1"/>
    <xf numFmtId="0" fontId="2" fillId="4" borderId="0" xfId="0" applyFont="1" applyFill="1" applyAlignment="1">
      <alignment vertical="center" wrapText="1"/>
    </xf>
    <xf numFmtId="0" fontId="2" fillId="4" borderId="0" xfId="0" applyFont="1" applyFill="1"/>
    <xf numFmtId="0" fontId="2" fillId="4" borderId="5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167" fontId="2" fillId="4" borderId="4" xfId="0" applyNumberFormat="1" applyFont="1" applyFill="1" applyBorder="1" applyAlignment="1">
      <alignment vertical="center"/>
    </xf>
    <xf numFmtId="167" fontId="2" fillId="4" borderId="0" xfId="0" applyNumberFormat="1" applyFont="1" applyFill="1" applyAlignment="1">
      <alignment vertical="center"/>
    </xf>
    <xf numFmtId="3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left" vertical="center" wrapText="1" indent="2"/>
    </xf>
    <xf numFmtId="0" fontId="2" fillId="4" borderId="0" xfId="0" applyFont="1" applyFill="1" applyAlignment="1">
      <alignment vertical="center"/>
    </xf>
    <xf numFmtId="0" fontId="2" fillId="4" borderId="5" xfId="0" applyFont="1" applyFill="1" applyBorder="1" applyAlignment="1">
      <alignment vertical="center"/>
    </xf>
    <xf numFmtId="167" fontId="12" fillId="2" borderId="4" xfId="0" applyNumberFormat="1" applyFont="1" applyFill="1" applyBorder="1" applyAlignment="1">
      <alignment vertical="center"/>
    </xf>
    <xf numFmtId="167" fontId="12" fillId="2" borderId="0" xfId="0" applyNumberFormat="1" applyFont="1" applyFill="1" applyAlignment="1">
      <alignment vertical="center"/>
    </xf>
    <xf numFmtId="3" fontId="12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vertical="center"/>
    </xf>
    <xf numFmtId="0" fontId="9" fillId="2" borderId="5" xfId="0" applyFont="1" applyFill="1" applyBorder="1" applyAlignment="1">
      <alignment vertical="center"/>
    </xf>
    <xf numFmtId="167" fontId="9" fillId="4" borderId="4" xfId="0" applyNumberFormat="1" applyFont="1" applyFill="1" applyBorder="1" applyAlignment="1">
      <alignment vertical="center"/>
    </xf>
    <xf numFmtId="167" fontId="9" fillId="4" borderId="0" xfId="0" applyNumberFormat="1" applyFont="1" applyFill="1" applyAlignment="1">
      <alignment vertical="center"/>
    </xf>
    <xf numFmtId="3" fontId="9" fillId="4" borderId="0" xfId="0" applyNumberFormat="1" applyFont="1" applyFill="1" applyAlignment="1">
      <alignment vertical="center"/>
    </xf>
    <xf numFmtId="0" fontId="15" fillId="4" borderId="0" xfId="0" applyFont="1" applyFill="1" applyAlignment="1">
      <alignment vertical="center" wrapText="1"/>
    </xf>
    <xf numFmtId="0" fontId="15" fillId="4" borderId="0" xfId="0" applyFont="1" applyFill="1" applyAlignment="1">
      <alignment vertical="center"/>
    </xf>
    <xf numFmtId="0" fontId="15" fillId="4" borderId="5" xfId="0" applyFont="1" applyFill="1" applyBorder="1" applyAlignment="1">
      <alignment vertical="center"/>
    </xf>
    <xf numFmtId="167" fontId="2" fillId="2" borderId="4" xfId="0" applyNumberFormat="1" applyFont="1" applyFill="1" applyBorder="1" applyAlignment="1">
      <alignment vertical="center"/>
    </xf>
    <xf numFmtId="167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167" fontId="12" fillId="4" borderId="4" xfId="0" applyNumberFormat="1" applyFont="1" applyFill="1" applyBorder="1" applyAlignment="1">
      <alignment vertical="center"/>
    </xf>
    <xf numFmtId="167" fontId="12" fillId="4" borderId="0" xfId="0" applyNumberFormat="1" applyFont="1" applyFill="1" applyAlignment="1">
      <alignment vertical="center"/>
    </xf>
    <xf numFmtId="3" fontId="12" fillId="4" borderId="0" xfId="0" applyNumberFormat="1" applyFont="1" applyFill="1" applyAlignment="1">
      <alignment vertical="center"/>
    </xf>
    <xf numFmtId="0" fontId="12" fillId="4" borderId="0" xfId="0" applyFont="1" applyFill="1" applyAlignment="1">
      <alignment horizontal="left" vertical="center" wrapText="1" indent="1"/>
    </xf>
    <xf numFmtId="0" fontId="9" fillId="4" borderId="0" xfId="0" applyFont="1" applyFill="1" applyAlignment="1">
      <alignment vertical="center"/>
    </xf>
    <xf numFmtId="0" fontId="9" fillId="4" borderId="5" xfId="0" applyFont="1" applyFill="1" applyBorder="1" applyAlignment="1">
      <alignment vertical="center"/>
    </xf>
    <xf numFmtId="167" fontId="9" fillId="2" borderId="4" xfId="0" applyNumberFormat="1" applyFont="1" applyFill="1" applyBorder="1" applyAlignment="1">
      <alignment vertical="center"/>
    </xf>
    <xf numFmtId="167" fontId="9" fillId="2" borderId="0" xfId="0" applyNumberFormat="1" applyFont="1" applyFill="1" applyAlignment="1">
      <alignment vertical="center"/>
    </xf>
    <xf numFmtId="3" fontId="9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/>
    </xf>
    <xf numFmtId="0" fontId="15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  <xf numFmtId="0" fontId="2" fillId="2" borderId="0" xfId="0" quotePrefix="1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15" xfId="0" applyFont="1" applyBorder="1"/>
    <xf numFmtId="0" fontId="11" fillId="5" borderId="16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/>
    </xf>
    <xf numFmtId="0" fontId="17" fillId="6" borderId="4" xfId="0" applyFont="1" applyFill="1" applyBorder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/>
    </xf>
    <xf numFmtId="0" fontId="19" fillId="7" borderId="19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7" borderId="20" xfId="0" applyFont="1" applyFill="1" applyBorder="1" applyAlignment="1">
      <alignment horizontal="left" vertical="center"/>
    </xf>
    <xf numFmtId="3" fontId="9" fillId="2" borderId="1" xfId="0" applyNumberFormat="1" applyFont="1" applyFill="1" applyBorder="1"/>
    <xf numFmtId="3" fontId="9" fillId="2" borderId="2" xfId="0" applyNumberFormat="1" applyFont="1" applyFill="1" applyBorder="1"/>
    <xf numFmtId="3" fontId="2" fillId="0" borderId="4" xfId="0" applyNumberFormat="1" applyFont="1" applyBorder="1"/>
    <xf numFmtId="3" fontId="9" fillId="0" borderId="12" xfId="0" applyNumberFormat="1" applyFont="1" applyBorder="1" applyAlignment="1">
      <alignment horizontal="right"/>
    </xf>
    <xf numFmtId="3" fontId="9" fillId="0" borderId="13" xfId="0" applyNumberFormat="1" applyFont="1" applyBorder="1" applyAlignment="1">
      <alignment horizontal="right"/>
    </xf>
    <xf numFmtId="3" fontId="9" fillId="0" borderId="13" xfId="0" applyNumberFormat="1" applyFont="1" applyBorder="1"/>
    <xf numFmtId="3" fontId="2" fillId="2" borderId="4" xfId="0" applyNumberFormat="1" applyFont="1" applyFill="1" applyBorder="1" applyAlignment="1">
      <alignment horizontal="right"/>
    </xf>
    <xf numFmtId="3" fontId="2" fillId="2" borderId="0" xfId="0" applyNumberFormat="1" applyFont="1" applyFill="1" applyAlignment="1">
      <alignment horizontal="right"/>
    </xf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10" fillId="3" borderId="9" xfId="0" applyNumberFormat="1" applyFont="1" applyFill="1" applyBorder="1"/>
    <xf numFmtId="3" fontId="10" fillId="3" borderId="10" xfId="0" applyNumberFormat="1" applyFont="1" applyFill="1" applyBorder="1"/>
    <xf numFmtId="167" fontId="2" fillId="0" borderId="10" xfId="0" applyNumberFormat="1" applyFont="1" applyBorder="1"/>
    <xf numFmtId="167" fontId="2" fillId="0" borderId="21" xfId="0" applyNumberFormat="1" applyFont="1" applyBorder="1"/>
    <xf numFmtId="3" fontId="9" fillId="0" borderId="12" xfId="0" applyNumberFormat="1" applyFont="1" applyBorder="1"/>
    <xf numFmtId="3" fontId="9" fillId="2" borderId="4" xfId="0" applyNumberFormat="1" applyFont="1" applyFill="1" applyBorder="1"/>
    <xf numFmtId="3" fontId="9" fillId="0" borderId="4" xfId="0" applyNumberFormat="1" applyFont="1" applyBorder="1"/>
    <xf numFmtId="3" fontId="9" fillId="0" borderId="0" xfId="0" applyNumberFormat="1" applyFont="1"/>
    <xf numFmtId="0" fontId="2" fillId="2" borderId="0" xfId="0" applyFont="1" applyFill="1" applyAlignment="1">
      <alignment horizontal="left" wrapText="1" indent="1"/>
    </xf>
    <xf numFmtId="0" fontId="2" fillId="2" borderId="5" xfId="0" applyFont="1" applyFill="1" applyBorder="1" applyAlignment="1">
      <alignment horizontal="left" indent="1"/>
    </xf>
    <xf numFmtId="0" fontId="2" fillId="0" borderId="0" xfId="0" applyFont="1" applyAlignment="1">
      <alignment horizontal="left" wrapText="1" indent="1"/>
    </xf>
    <xf numFmtId="3" fontId="12" fillId="2" borderId="4" xfId="0" applyNumberFormat="1" applyFont="1" applyFill="1" applyBorder="1"/>
    <xf numFmtId="3" fontId="12" fillId="0" borderId="4" xfId="0" applyNumberFormat="1" applyFont="1" applyBorder="1"/>
    <xf numFmtId="3" fontId="2" fillId="0" borderId="10" xfId="0" applyNumberFormat="1" applyFont="1" applyBorder="1"/>
    <xf numFmtId="3" fontId="2" fillId="0" borderId="21" xfId="0" applyNumberFormat="1" applyFont="1" applyBorder="1"/>
    <xf numFmtId="3" fontId="2" fillId="0" borderId="13" xfId="0" applyNumberFormat="1" applyFont="1" applyBorder="1"/>
    <xf numFmtId="3" fontId="9" fillId="2" borderId="12" xfId="0" applyNumberFormat="1" applyFont="1" applyFill="1" applyBorder="1"/>
    <xf numFmtId="3" fontId="2" fillId="4" borderId="4" xfId="0" applyNumberFormat="1" applyFont="1" applyFill="1" applyBorder="1"/>
    <xf numFmtId="3" fontId="2" fillId="4" borderId="4" xfId="0" applyNumberFormat="1" applyFont="1" applyFill="1" applyBorder="1" applyAlignment="1">
      <alignment vertical="center"/>
    </xf>
    <xf numFmtId="3" fontId="12" fillId="2" borderId="4" xfId="0" applyNumberFormat="1" applyFont="1" applyFill="1" applyBorder="1" applyAlignment="1">
      <alignment vertical="center"/>
    </xf>
    <xf numFmtId="3" fontId="9" fillId="4" borderId="4" xfId="0" applyNumberFormat="1" applyFont="1" applyFill="1" applyBorder="1" applyAlignment="1">
      <alignment vertical="center"/>
    </xf>
    <xf numFmtId="3" fontId="2" fillId="2" borderId="4" xfId="0" applyNumberFormat="1" applyFont="1" applyFill="1" applyBorder="1" applyAlignment="1">
      <alignment vertical="center"/>
    </xf>
    <xf numFmtId="3" fontId="12" fillId="4" borderId="4" xfId="0" applyNumberFormat="1" applyFont="1" applyFill="1" applyBorder="1" applyAlignment="1">
      <alignment vertical="center"/>
    </xf>
    <xf numFmtId="3" fontId="9" fillId="2" borderId="4" xfId="0" applyNumberFormat="1" applyFont="1" applyFill="1" applyBorder="1" applyAlignment="1">
      <alignment vertical="center"/>
    </xf>
    <xf numFmtId="3" fontId="13" fillId="2" borderId="4" xfId="0" applyNumberFormat="1" applyFont="1" applyFill="1" applyBorder="1" applyAlignment="1">
      <alignment vertical="center"/>
    </xf>
    <xf numFmtId="3" fontId="13" fillId="2" borderId="0" xfId="0" applyNumberFormat="1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21" fillId="0" borderId="0" xfId="2" applyFont="1" applyFill="1" applyBorder="1" applyAlignment="1">
      <alignment horizontal="right"/>
    </xf>
    <xf numFmtId="0" fontId="22" fillId="8" borderId="0" xfId="0" applyFont="1" applyFill="1"/>
    <xf numFmtId="0" fontId="23" fillId="9" borderId="0" xfId="0" applyFont="1" applyFill="1"/>
    <xf numFmtId="0" fontId="0" fillId="0" borderId="0" xfId="0" applyAlignment="1">
      <alignment horizontal="center"/>
    </xf>
    <xf numFmtId="3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3" fontId="6" fillId="0" borderId="5" xfId="0" quotePrefix="1" applyNumberFormat="1" applyFont="1" applyBorder="1" applyAlignment="1">
      <alignment vertical="center"/>
    </xf>
    <xf numFmtId="3" fontId="7" fillId="0" borderId="5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 wrapText="1"/>
    </xf>
    <xf numFmtId="3" fontId="4" fillId="0" borderId="6" xfId="0" applyNumberFormat="1" applyFont="1" applyBorder="1" applyAlignment="1">
      <alignment vertical="center"/>
    </xf>
    <xf numFmtId="3" fontId="4" fillId="0" borderId="7" xfId="0" applyNumberFormat="1" applyFont="1" applyBorder="1" applyAlignment="1">
      <alignment vertical="center"/>
    </xf>
    <xf numFmtId="3" fontId="6" fillId="0" borderId="7" xfId="0" applyNumberFormat="1" applyFont="1" applyBorder="1" applyAlignment="1">
      <alignment vertical="center"/>
    </xf>
    <xf numFmtId="3" fontId="6" fillId="0" borderId="7" xfId="0" applyNumberFormat="1" applyFont="1" applyBorder="1" applyAlignment="1">
      <alignment vertical="center" wrapText="1"/>
    </xf>
    <xf numFmtId="3" fontId="4" fillId="0" borderId="0" xfId="0" applyNumberFormat="1" applyFont="1"/>
    <xf numFmtId="167" fontId="4" fillId="0" borderId="0" xfId="0" applyNumberFormat="1" applyFont="1"/>
    <xf numFmtId="3" fontId="4" fillId="0" borderId="0" xfId="0" applyNumberFormat="1" applyFont="1" applyAlignment="1">
      <alignment wrapText="1"/>
    </xf>
    <xf numFmtId="164" fontId="17" fillId="0" borderId="1" xfId="0" applyNumberFormat="1" applyFont="1" applyBorder="1"/>
    <xf numFmtId="164" fontId="17" fillId="0" borderId="2" xfId="0" applyNumberFormat="1" applyFont="1" applyBorder="1"/>
    <xf numFmtId="3" fontId="17" fillId="0" borderId="2" xfId="0" applyNumberFormat="1" applyFont="1" applyBorder="1" applyAlignment="1">
      <alignment wrapText="1"/>
    </xf>
    <xf numFmtId="3" fontId="4" fillId="0" borderId="2" xfId="0" applyNumberFormat="1" applyFont="1" applyBorder="1"/>
    <xf numFmtId="3" fontId="17" fillId="0" borderId="2" xfId="0" applyNumberFormat="1" applyFont="1" applyBorder="1"/>
    <xf numFmtId="3" fontId="17" fillId="0" borderId="3" xfId="0" applyNumberFormat="1" applyFont="1" applyBorder="1" applyAlignment="1">
      <alignment vertical="center" wrapText="1"/>
    </xf>
    <xf numFmtId="164" fontId="17" fillId="2" borderId="4" xfId="0" applyNumberFormat="1" applyFont="1" applyFill="1" applyBorder="1"/>
    <xf numFmtId="164" fontId="17" fillId="2" borderId="0" xfId="0" applyNumberFormat="1" applyFont="1" applyFill="1"/>
    <xf numFmtId="3" fontId="17" fillId="2" borderId="0" xfId="0" applyNumberFormat="1" applyFont="1" applyFill="1" applyAlignment="1">
      <alignment wrapText="1"/>
    </xf>
    <xf numFmtId="3" fontId="17" fillId="2" borderId="0" xfId="0" applyNumberFormat="1" applyFont="1" applyFill="1"/>
    <xf numFmtId="3" fontId="17" fillId="2" borderId="5" xfId="0" applyNumberFormat="1" applyFont="1" applyFill="1" applyBorder="1"/>
    <xf numFmtId="164" fontId="17" fillId="0" borderId="4" xfId="0" applyNumberFormat="1" applyFont="1" applyBorder="1"/>
    <xf numFmtId="164" fontId="17" fillId="0" borderId="0" xfId="0" applyNumberFormat="1" applyFont="1"/>
    <xf numFmtId="3" fontId="17" fillId="0" borderId="0" xfId="0" applyNumberFormat="1" applyFont="1" applyAlignment="1">
      <alignment wrapText="1"/>
    </xf>
    <xf numFmtId="3" fontId="17" fillId="0" borderId="0" xfId="0" applyNumberFormat="1" applyFont="1"/>
    <xf numFmtId="3" fontId="17" fillId="0" borderId="5" xfId="0" applyNumberFormat="1" applyFont="1" applyBorder="1"/>
    <xf numFmtId="167" fontId="2" fillId="2" borderId="4" xfId="0" applyNumberFormat="1" applyFont="1" applyFill="1" applyBorder="1" applyAlignment="1">
      <alignment horizontal="right"/>
    </xf>
    <xf numFmtId="167" fontId="2" fillId="2" borderId="0" xfId="0" applyNumberFormat="1" applyFont="1" applyFill="1" applyAlignment="1">
      <alignment horizontal="right"/>
    </xf>
    <xf numFmtId="167" fontId="2" fillId="0" borderId="0" xfId="0" applyNumberFormat="1" applyFont="1" applyAlignment="1">
      <alignment horizontal="right"/>
    </xf>
    <xf numFmtId="167" fontId="2" fillId="0" borderId="4" xfId="0" applyNumberFormat="1" applyFont="1" applyBorder="1" applyAlignment="1">
      <alignment horizontal="right"/>
    </xf>
    <xf numFmtId="167" fontId="2" fillId="0" borderId="4" xfId="0" applyNumberFormat="1" applyFont="1" applyBorder="1"/>
    <xf numFmtId="164" fontId="24" fillId="0" borderId="4" xfId="0" applyNumberFormat="1" applyFont="1" applyBorder="1"/>
    <xf numFmtId="164" fontId="24" fillId="0" borderId="0" xfId="0" applyNumberFormat="1" applyFont="1"/>
    <xf numFmtId="3" fontId="24" fillId="0" borderId="0" xfId="0" applyNumberFormat="1" applyFont="1" applyAlignment="1">
      <alignment horizontal="left" wrapText="1"/>
    </xf>
    <xf numFmtId="3" fontId="2" fillId="0" borderId="0" xfId="0" applyNumberFormat="1" applyFont="1" applyAlignment="1">
      <alignment horizontal="left" indent="1"/>
    </xf>
    <xf numFmtId="3" fontId="2" fillId="0" borderId="5" xfId="0" applyNumberFormat="1" applyFont="1" applyBorder="1" applyAlignment="1">
      <alignment horizontal="left" indent="1"/>
    </xf>
    <xf numFmtId="164" fontId="2" fillId="2" borderId="4" xfId="0" applyNumberFormat="1" applyFont="1" applyFill="1" applyBorder="1"/>
    <xf numFmtId="3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/>
    </xf>
    <xf numFmtId="3" fontId="9" fillId="0" borderId="5" xfId="0" applyNumberFormat="1" applyFont="1" applyBorder="1" applyAlignment="1">
      <alignment horizontal="center"/>
    </xf>
    <xf numFmtId="167" fontId="10" fillId="3" borderId="9" xfId="0" applyNumberFormat="1" applyFont="1" applyFill="1" applyBorder="1"/>
    <xf numFmtId="167" fontId="10" fillId="3" borderId="10" xfId="0" applyNumberFormat="1" applyFont="1" applyFill="1" applyBorder="1"/>
    <xf numFmtId="3" fontId="11" fillId="3" borderId="10" xfId="0" applyNumberFormat="1" applyFont="1" applyFill="1" applyBorder="1" applyAlignment="1">
      <alignment horizontal="center"/>
    </xf>
    <xf numFmtId="3" fontId="11" fillId="3" borderId="11" xfId="0" applyNumberFormat="1" applyFont="1" applyFill="1" applyBorder="1" applyAlignment="1">
      <alignment horizontal="center"/>
    </xf>
    <xf numFmtId="3" fontId="2" fillId="0" borderId="5" xfId="0" applyNumberFormat="1" applyFont="1" applyBorder="1"/>
    <xf numFmtId="3" fontId="2" fillId="0" borderId="15" xfId="0" applyNumberFormat="1" applyFont="1" applyBorder="1"/>
    <xf numFmtId="3" fontId="2" fillId="0" borderId="7" xfId="0" applyNumberFormat="1" applyFont="1" applyBorder="1"/>
    <xf numFmtId="3" fontId="11" fillId="5" borderId="17" xfId="0" applyNumberFormat="1" applyFont="1" applyFill="1" applyBorder="1" applyAlignment="1">
      <alignment horizontal="center" vertical="center" wrapText="1"/>
    </xf>
    <xf numFmtId="3" fontId="11" fillId="5" borderId="18" xfId="0" applyNumberFormat="1" applyFont="1" applyFill="1" applyBorder="1" applyAlignment="1">
      <alignment horizontal="center" vertical="center" wrapText="1"/>
    </xf>
    <xf numFmtId="3" fontId="17" fillId="6" borderId="1" xfId="0" applyNumberFormat="1" applyFont="1" applyFill="1" applyBorder="1" applyAlignment="1">
      <alignment vertical="center" wrapText="1"/>
    </xf>
    <xf numFmtId="3" fontId="17" fillId="6" borderId="2" xfId="0" applyNumberFormat="1" applyFont="1" applyFill="1" applyBorder="1" applyAlignment="1">
      <alignment vertical="center" wrapText="1"/>
    </xf>
    <xf numFmtId="3" fontId="17" fillId="6" borderId="2" xfId="0" applyNumberFormat="1" applyFont="1" applyFill="1" applyBorder="1" applyAlignment="1">
      <alignment vertical="center"/>
    </xf>
    <xf numFmtId="3" fontId="17" fillId="6" borderId="4" xfId="0" applyNumberFormat="1" applyFont="1" applyFill="1" applyBorder="1" applyAlignment="1">
      <alignment vertical="center" wrapText="1"/>
    </xf>
    <xf numFmtId="3" fontId="17" fillId="6" borderId="0" xfId="0" applyNumberFormat="1" applyFont="1" applyFill="1" applyAlignment="1">
      <alignment vertical="center" wrapText="1"/>
    </xf>
    <xf numFmtId="3" fontId="17" fillId="6" borderId="0" xfId="0" applyNumberFormat="1" applyFont="1" applyFill="1" applyAlignment="1">
      <alignment vertical="center"/>
    </xf>
    <xf numFmtId="0" fontId="19" fillId="7" borderId="19" xfId="3" applyFont="1" applyFill="1" applyBorder="1" applyAlignment="1">
      <alignment horizontal="left" vertical="center"/>
    </xf>
    <xf numFmtId="0" fontId="19" fillId="7" borderId="0" xfId="3" applyFont="1" applyFill="1" applyAlignment="1">
      <alignment horizontal="left" vertical="center"/>
    </xf>
    <xf numFmtId="0" fontId="19" fillId="7" borderId="20" xfId="3" applyFont="1" applyFill="1" applyBorder="1" applyAlignment="1">
      <alignment horizontal="left" vertical="center"/>
    </xf>
    <xf numFmtId="3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 wrapText="1"/>
    </xf>
    <xf numFmtId="164" fontId="9" fillId="0" borderId="1" xfId="0" applyNumberFormat="1" applyFont="1" applyBorder="1"/>
    <xf numFmtId="164" fontId="9" fillId="0" borderId="2" xfId="0" applyNumberFormat="1" applyFont="1" applyBorder="1"/>
    <xf numFmtId="164" fontId="2" fillId="0" borderId="2" xfId="0" applyNumberFormat="1" applyFont="1" applyBorder="1"/>
    <xf numFmtId="3" fontId="9" fillId="0" borderId="2" xfId="0" applyNumberFormat="1" applyFont="1" applyBorder="1" applyAlignment="1">
      <alignment wrapText="1"/>
    </xf>
    <xf numFmtId="3" fontId="2" fillId="0" borderId="2" xfId="0" applyNumberFormat="1" applyFont="1" applyBorder="1"/>
    <xf numFmtId="3" fontId="9" fillId="0" borderId="2" xfId="0" applyNumberFormat="1" applyFont="1" applyBorder="1"/>
    <xf numFmtId="3" fontId="9" fillId="0" borderId="3" xfId="0" applyNumberFormat="1" applyFont="1" applyBorder="1" applyAlignment="1">
      <alignment vertical="center" wrapText="1"/>
    </xf>
    <xf numFmtId="3" fontId="9" fillId="2" borderId="0" xfId="0" applyNumberFormat="1" applyFont="1" applyFill="1" applyAlignment="1">
      <alignment wrapText="1"/>
    </xf>
    <xf numFmtId="3" fontId="9" fillId="2" borderId="5" xfId="0" applyNumberFormat="1" applyFont="1" applyFill="1" applyBorder="1"/>
    <xf numFmtId="167" fontId="9" fillId="0" borderId="4" xfId="0" applyNumberFormat="1" applyFont="1" applyBorder="1"/>
    <xf numFmtId="167" fontId="9" fillId="0" borderId="0" xfId="0" applyNumberFormat="1" applyFont="1"/>
    <xf numFmtId="3" fontId="9" fillId="0" borderId="0" xfId="0" applyNumberFormat="1" applyFont="1" applyAlignment="1">
      <alignment wrapText="1"/>
    </xf>
    <xf numFmtId="3" fontId="9" fillId="0" borderId="5" xfId="0" applyNumberFormat="1" applyFont="1" applyBorder="1"/>
    <xf numFmtId="167" fontId="2" fillId="3" borderId="9" xfId="0" applyNumberFormat="1" applyFont="1" applyFill="1" applyBorder="1"/>
    <xf numFmtId="167" fontId="2" fillId="3" borderId="10" xfId="0" applyNumberFormat="1" applyFont="1" applyFill="1" applyBorder="1"/>
    <xf numFmtId="3" fontId="2" fillId="3" borderId="10" xfId="0" applyNumberFormat="1" applyFont="1" applyFill="1" applyBorder="1"/>
    <xf numFmtId="3" fontId="2" fillId="3" borderId="9" xfId="0" applyNumberFormat="1" applyFont="1" applyFill="1" applyBorder="1"/>
    <xf numFmtId="167" fontId="17" fillId="0" borderId="0" xfId="0" applyNumberFormat="1" applyFont="1"/>
    <xf numFmtId="3" fontId="24" fillId="2" borderId="1" xfId="0" applyNumberFormat="1" applyFont="1" applyFill="1" applyBorder="1"/>
    <xf numFmtId="3" fontId="24" fillId="2" borderId="2" xfId="0" applyNumberFormat="1" applyFont="1" applyFill="1" applyBorder="1"/>
    <xf numFmtId="3" fontId="24" fillId="2" borderId="2" xfId="0" applyNumberFormat="1" applyFont="1" applyFill="1" applyBorder="1" applyAlignment="1">
      <alignment wrapText="1"/>
    </xf>
    <xf numFmtId="3" fontId="2" fillId="2" borderId="2" xfId="0" applyNumberFormat="1" applyFont="1" applyFill="1" applyBorder="1"/>
    <xf numFmtId="3" fontId="9" fillId="2" borderId="3" xfId="0" applyNumberFormat="1" applyFont="1" applyFill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3" fontId="2" fillId="0" borderId="0" xfId="0" quotePrefix="1" applyNumberFormat="1" applyFont="1" applyAlignment="1">
      <alignment horizontal="right"/>
    </xf>
    <xf numFmtId="3" fontId="24" fillId="0" borderId="4" xfId="0" applyNumberFormat="1" applyFont="1" applyBorder="1"/>
    <xf numFmtId="3" fontId="24" fillId="0" borderId="0" xfId="0" applyNumberFormat="1" applyFont="1"/>
    <xf numFmtId="0" fontId="11" fillId="3" borderId="22" xfId="0" applyFont="1" applyFill="1" applyBorder="1"/>
    <xf numFmtId="0" fontId="11" fillId="3" borderId="10" xfId="0" applyFont="1" applyFill="1" applyBorder="1"/>
    <xf numFmtId="3" fontId="9" fillId="0" borderId="0" xfId="0" applyNumberFormat="1" applyFont="1" applyAlignment="1">
      <alignment vertical="center" wrapText="1"/>
    </xf>
    <xf numFmtId="3" fontId="2" fillId="2" borderId="4" xfId="0" applyNumberFormat="1" applyFont="1" applyFill="1" applyBorder="1"/>
    <xf numFmtId="3" fontId="2" fillId="2" borderId="0" xfId="0" applyNumberFormat="1" applyFont="1" applyFill="1" applyAlignment="1">
      <alignment vertical="center" wrapText="1"/>
    </xf>
    <xf numFmtId="3" fontId="2" fillId="2" borderId="5" xfId="0" applyNumberFormat="1" applyFont="1" applyFill="1" applyBorder="1" applyAlignment="1">
      <alignment vertical="center" wrapText="1"/>
    </xf>
    <xf numFmtId="3" fontId="9" fillId="2" borderId="0" xfId="0" applyNumberFormat="1" applyFont="1" applyFill="1" applyAlignment="1">
      <alignment vertical="center" wrapText="1"/>
    </xf>
    <xf numFmtId="3" fontId="2" fillId="2" borderId="0" xfId="0" applyNumberFormat="1" applyFont="1" applyFill="1" applyAlignment="1">
      <alignment horizontal="left" vertical="center" wrapText="1" indent="2"/>
    </xf>
    <xf numFmtId="3" fontId="2" fillId="2" borderId="5" xfId="0" applyNumberFormat="1" applyFont="1" applyFill="1" applyBorder="1" applyAlignment="1">
      <alignment vertical="center"/>
    </xf>
    <xf numFmtId="3" fontId="12" fillId="0" borderId="4" xfId="0" applyNumberFormat="1" applyFont="1" applyBorder="1" applyAlignment="1">
      <alignment vertical="center"/>
    </xf>
    <xf numFmtId="3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horizontal="left" vertical="center" wrapText="1" indent="1"/>
    </xf>
    <xf numFmtId="3" fontId="9" fillId="0" borderId="0" xfId="0" applyNumberFormat="1" applyFont="1" applyAlignment="1">
      <alignment vertical="center"/>
    </xf>
    <xf numFmtId="3" fontId="9" fillId="0" borderId="5" xfId="0" applyNumberFormat="1" applyFont="1" applyBorder="1" applyAlignment="1">
      <alignment vertical="center"/>
    </xf>
    <xf numFmtId="3" fontId="15" fillId="2" borderId="0" xfId="0" applyNumberFormat="1" applyFont="1" applyFill="1" applyAlignment="1">
      <alignment vertical="center" wrapText="1"/>
    </xf>
    <xf numFmtId="3" fontId="15" fillId="2" borderId="0" xfId="0" applyNumberFormat="1" applyFont="1" applyFill="1" applyAlignment="1">
      <alignment vertical="center"/>
    </xf>
    <xf numFmtId="3" fontId="15" fillId="2" borderId="5" xfId="0" applyNumberFormat="1" applyFont="1" applyFill="1" applyBorder="1" applyAlignment="1">
      <alignment vertical="center"/>
    </xf>
    <xf numFmtId="3" fontId="2" fillId="0" borderId="4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left" vertical="center" wrapText="1" indent="2"/>
    </xf>
    <xf numFmtId="3" fontId="2" fillId="0" borderId="5" xfId="0" applyNumberFormat="1" applyFont="1" applyBorder="1" applyAlignment="1">
      <alignment vertical="center"/>
    </xf>
    <xf numFmtId="3" fontId="12" fillId="2" borderId="0" xfId="0" applyNumberFormat="1" applyFont="1" applyFill="1" applyAlignment="1">
      <alignment horizontal="left" vertical="center" wrapText="1" indent="1"/>
    </xf>
    <xf numFmtId="3" fontId="9" fillId="2" borderId="5" xfId="0" applyNumberFormat="1" applyFont="1" applyFill="1" applyBorder="1" applyAlignment="1">
      <alignment vertical="center"/>
    </xf>
    <xf numFmtId="3" fontId="9" fillId="0" borderId="4" xfId="0" applyNumberFormat="1" applyFont="1" applyBorder="1" applyAlignment="1">
      <alignment vertical="center"/>
    </xf>
    <xf numFmtId="3" fontId="15" fillId="0" borderId="0" xfId="0" applyNumberFormat="1" applyFont="1" applyAlignment="1">
      <alignment vertical="center" wrapText="1"/>
    </xf>
    <xf numFmtId="3" fontId="15" fillId="0" borderId="0" xfId="0" applyNumberFormat="1" applyFont="1" applyAlignment="1">
      <alignment vertical="center"/>
    </xf>
    <xf numFmtId="3" fontId="15" fillId="0" borderId="5" xfId="0" applyNumberFormat="1" applyFont="1" applyBorder="1" applyAlignment="1">
      <alignment vertical="center"/>
    </xf>
    <xf numFmtId="3" fontId="2" fillId="6" borderId="4" xfId="0" applyNumberFormat="1" applyFont="1" applyFill="1" applyBorder="1" applyAlignment="1">
      <alignment vertical="center"/>
    </xf>
    <xf numFmtId="3" fontId="2" fillId="6" borderId="0" xfId="0" applyNumberFormat="1" applyFont="1" applyFill="1" applyAlignment="1">
      <alignment vertical="center"/>
    </xf>
    <xf numFmtId="3" fontId="2" fillId="6" borderId="0" xfId="0" applyNumberFormat="1" applyFont="1" applyFill="1" applyAlignment="1">
      <alignment horizontal="left" vertical="center" wrapText="1" indent="2"/>
    </xf>
    <xf numFmtId="3" fontId="2" fillId="6" borderId="5" xfId="0" applyNumberFormat="1" applyFont="1" applyFill="1" applyBorder="1" applyAlignment="1">
      <alignment vertical="center"/>
    </xf>
    <xf numFmtId="3" fontId="12" fillId="8" borderId="4" xfId="0" applyNumberFormat="1" applyFont="1" applyFill="1" applyBorder="1" applyAlignment="1">
      <alignment vertical="center"/>
    </xf>
    <xf numFmtId="3" fontId="12" fillId="8" borderId="0" xfId="0" applyNumberFormat="1" applyFont="1" applyFill="1" applyAlignment="1">
      <alignment vertical="center"/>
    </xf>
    <xf numFmtId="3" fontId="12" fillId="8" borderId="0" xfId="0" applyNumberFormat="1" applyFont="1" applyFill="1" applyAlignment="1">
      <alignment horizontal="left" vertical="center" wrapText="1" indent="1"/>
    </xf>
    <xf numFmtId="3" fontId="9" fillId="8" borderId="0" xfId="0" applyNumberFormat="1" applyFont="1" applyFill="1" applyAlignment="1">
      <alignment vertical="center"/>
    </xf>
    <xf numFmtId="3" fontId="9" fillId="8" borderId="5" xfId="0" applyNumberFormat="1" applyFont="1" applyFill="1" applyBorder="1" applyAlignment="1">
      <alignment vertical="center"/>
    </xf>
    <xf numFmtId="3" fontId="9" fillId="6" borderId="4" xfId="0" applyNumberFormat="1" applyFont="1" applyFill="1" applyBorder="1" applyAlignment="1">
      <alignment vertical="center"/>
    </xf>
    <xf numFmtId="3" fontId="9" fillId="6" borderId="0" xfId="0" applyNumberFormat="1" applyFont="1" applyFill="1" applyAlignment="1">
      <alignment vertical="center"/>
    </xf>
    <xf numFmtId="3" fontId="15" fillId="6" borderId="0" xfId="0" applyNumberFormat="1" applyFont="1" applyFill="1" applyAlignment="1">
      <alignment vertical="center" wrapText="1"/>
    </xf>
    <xf numFmtId="3" fontId="15" fillId="6" borderId="0" xfId="0" applyNumberFormat="1" applyFont="1" applyFill="1" applyAlignment="1">
      <alignment vertical="center"/>
    </xf>
    <xf numFmtId="3" fontId="15" fillId="6" borderId="5" xfId="0" applyNumberFormat="1" applyFont="1" applyFill="1" applyBorder="1" applyAlignment="1">
      <alignment vertical="center"/>
    </xf>
    <xf numFmtId="3" fontId="2" fillId="8" borderId="12" xfId="0" applyNumberFormat="1" applyFont="1" applyFill="1" applyBorder="1" applyAlignment="1">
      <alignment vertical="center"/>
    </xf>
    <xf numFmtId="3" fontId="2" fillId="8" borderId="13" xfId="0" applyNumberFormat="1" applyFont="1" applyFill="1" applyBorder="1" applyAlignment="1">
      <alignment vertical="center"/>
    </xf>
    <xf numFmtId="3" fontId="2" fillId="8" borderId="13" xfId="0" applyNumberFormat="1" applyFont="1" applyFill="1" applyBorder="1" applyAlignment="1">
      <alignment horizontal="left" vertical="center" wrapText="1" indent="2"/>
    </xf>
    <xf numFmtId="3" fontId="2" fillId="8" borderId="14" xfId="0" applyNumberFormat="1" applyFont="1" applyFill="1" applyBorder="1" applyAlignment="1">
      <alignment vertical="center"/>
    </xf>
    <xf numFmtId="3" fontId="13" fillId="6" borderId="4" xfId="0" applyNumberFormat="1" applyFont="1" applyFill="1" applyBorder="1" applyAlignment="1">
      <alignment vertical="center"/>
    </xf>
    <xf numFmtId="3" fontId="13" fillId="6" borderId="0" xfId="0" applyNumberFormat="1" applyFont="1" applyFill="1" applyAlignment="1">
      <alignment vertical="center"/>
    </xf>
    <xf numFmtId="3" fontId="12" fillId="6" borderId="0" xfId="0" applyNumberFormat="1" applyFont="1" applyFill="1" applyAlignment="1">
      <alignment horizontal="left" vertical="center" wrapText="1" indent="1"/>
    </xf>
    <xf numFmtId="3" fontId="9" fillId="8" borderId="4" xfId="0" applyNumberFormat="1" applyFont="1" applyFill="1" applyBorder="1" applyAlignment="1">
      <alignment vertical="center"/>
    </xf>
    <xf numFmtId="3" fontId="15" fillId="8" borderId="0" xfId="0" applyNumberFormat="1" applyFont="1" applyFill="1" applyAlignment="1">
      <alignment vertical="center" wrapText="1"/>
    </xf>
    <xf numFmtId="3" fontId="15" fillId="8" borderId="0" xfId="0" applyNumberFormat="1" applyFont="1" applyFill="1" applyAlignment="1">
      <alignment vertical="center"/>
    </xf>
    <xf numFmtId="3" fontId="15" fillId="8" borderId="5" xfId="0" applyNumberFormat="1" applyFont="1" applyFill="1" applyBorder="1" applyAlignment="1">
      <alignment vertical="center"/>
    </xf>
    <xf numFmtId="3" fontId="2" fillId="6" borderId="12" xfId="0" applyNumberFormat="1" applyFont="1" applyFill="1" applyBorder="1" applyAlignment="1">
      <alignment vertical="center"/>
    </xf>
    <xf numFmtId="3" fontId="2" fillId="6" borderId="13" xfId="0" applyNumberFormat="1" applyFont="1" applyFill="1" applyBorder="1" applyAlignment="1">
      <alignment vertical="center"/>
    </xf>
    <xf numFmtId="3" fontId="2" fillId="6" borderId="13" xfId="0" applyNumberFormat="1" applyFont="1" applyFill="1" applyBorder="1" applyAlignment="1">
      <alignment horizontal="left" vertical="center" wrapText="1" indent="2"/>
    </xf>
    <xf numFmtId="3" fontId="2" fillId="6" borderId="14" xfId="0" applyNumberFormat="1" applyFont="1" applyFill="1" applyBorder="1" applyAlignment="1">
      <alignment vertical="center"/>
    </xf>
    <xf numFmtId="3" fontId="12" fillId="6" borderId="4" xfId="0" applyNumberFormat="1" applyFont="1" applyFill="1" applyBorder="1" applyAlignment="1">
      <alignment vertical="center"/>
    </xf>
    <xf numFmtId="3" fontId="12" fillId="6" borderId="0" xfId="0" applyNumberFormat="1" applyFont="1" applyFill="1" applyAlignment="1">
      <alignment vertical="center"/>
    </xf>
    <xf numFmtId="3" fontId="9" fillId="6" borderId="5" xfId="0" applyNumberFormat="1" applyFont="1" applyFill="1" applyBorder="1" applyAlignment="1">
      <alignment vertical="center"/>
    </xf>
    <xf numFmtId="3" fontId="2" fillId="8" borderId="4" xfId="0" applyNumberFormat="1" applyFont="1" applyFill="1" applyBorder="1" applyAlignment="1">
      <alignment vertical="center"/>
    </xf>
    <xf numFmtId="3" fontId="2" fillId="8" borderId="0" xfId="0" applyNumberFormat="1" applyFont="1" applyFill="1" applyAlignment="1">
      <alignment vertical="center"/>
    </xf>
    <xf numFmtId="3" fontId="2" fillId="8" borderId="0" xfId="0" applyNumberFormat="1" applyFont="1" applyFill="1" applyAlignment="1">
      <alignment horizontal="left" vertical="center" wrapText="1" indent="2"/>
    </xf>
    <xf numFmtId="3" fontId="2" fillId="8" borderId="5" xfId="0" applyNumberFormat="1" applyFont="1" applyFill="1" applyBorder="1" applyAlignment="1">
      <alignment vertical="center"/>
    </xf>
    <xf numFmtId="3" fontId="2" fillId="8" borderId="0" xfId="0" quotePrefix="1" applyNumberFormat="1" applyFont="1" applyFill="1" applyAlignment="1">
      <alignment vertical="center"/>
    </xf>
    <xf numFmtId="3" fontId="2" fillId="8" borderId="0" xfId="0" applyNumberFormat="1" applyFont="1" applyFill="1" applyAlignment="1">
      <alignment vertical="center" wrapText="1"/>
    </xf>
    <xf numFmtId="3" fontId="2" fillId="6" borderId="0" xfId="0" applyNumberFormat="1" applyFont="1" applyFill="1" applyAlignment="1">
      <alignment vertical="center" wrapText="1"/>
    </xf>
    <xf numFmtId="0" fontId="2" fillId="0" borderId="23" xfId="0" applyFont="1" applyBorder="1"/>
    <xf numFmtId="0" fontId="2" fillId="0" borderId="21" xfId="0" applyFont="1" applyBorder="1"/>
    <xf numFmtId="0" fontId="2" fillId="0" borderId="7" xfId="0" applyFont="1" applyBorder="1"/>
    <xf numFmtId="0" fontId="11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9" fillId="2" borderId="13" xfId="0" applyFont="1" applyFill="1" applyBorder="1" applyAlignment="1">
      <alignment vertical="center"/>
    </xf>
    <xf numFmtId="164" fontId="0" fillId="0" borderId="0" xfId="0" applyNumberFormat="1"/>
  </cellXfs>
  <cellStyles count="4">
    <cellStyle name="Hipervínculo" xfId="2" builtinId="8"/>
    <cellStyle name="Millares" xfId="1" builtinId="3"/>
    <cellStyle name="Normal" xfId="0" builtinId="0"/>
    <cellStyle name="Normal 2" xfId="3" xr:uid="{C0E7BAF1-0836-44F1-A7F4-7DEAF972D39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257174</xdr:rowOff>
    </xdr:from>
    <xdr:ext cx="9471660" cy="45084"/>
    <xdr:pic>
      <xdr:nvPicPr>
        <xdr:cNvPr id="2" name="Imagen 1">
          <a:extLst>
            <a:ext uri="{FF2B5EF4-FFF2-40B4-BE49-F238E27FC236}">
              <a16:creationId xmlns:a16="http://schemas.microsoft.com/office/drawing/2014/main" id="{D317DAA2-7BBD-423B-A513-3ABE75C93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0" y="368934"/>
          <a:ext cx="9471660" cy="45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116205</xdr:colOff>
      <xdr:row>0</xdr:row>
      <xdr:rowOff>200025</xdr:rowOff>
    </xdr:from>
    <xdr:ext cx="1877060" cy="701040"/>
    <xdr:pic>
      <xdr:nvPicPr>
        <xdr:cNvPr id="3" name="Imagen 2">
          <a:extLst>
            <a:ext uri="{FF2B5EF4-FFF2-40B4-BE49-F238E27FC236}">
              <a16:creationId xmlns:a16="http://schemas.microsoft.com/office/drawing/2014/main" id="{54D75C77-3C1E-4A66-958C-87A83DE8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79705"/>
          <a:ext cx="187706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257175</xdr:rowOff>
    </xdr:from>
    <xdr:ext cx="9506585" cy="48892"/>
    <xdr:pic>
      <xdr:nvPicPr>
        <xdr:cNvPr id="2" name="Imagen 1">
          <a:extLst>
            <a:ext uri="{FF2B5EF4-FFF2-40B4-BE49-F238E27FC236}">
              <a16:creationId xmlns:a16="http://schemas.microsoft.com/office/drawing/2014/main" id="{C377FBEC-F880-48FC-A504-4EDF20913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0" y="362585"/>
          <a:ext cx="9506585" cy="48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116205</xdr:colOff>
      <xdr:row>0</xdr:row>
      <xdr:rowOff>200025</xdr:rowOff>
    </xdr:from>
    <xdr:ext cx="1877060" cy="701040"/>
    <xdr:pic>
      <xdr:nvPicPr>
        <xdr:cNvPr id="3" name="Imagen 1">
          <a:extLst>
            <a:ext uri="{FF2B5EF4-FFF2-40B4-BE49-F238E27FC236}">
              <a16:creationId xmlns:a16="http://schemas.microsoft.com/office/drawing/2014/main" id="{2D558CFA-D599-4ADF-9A80-2F920B8F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" y="179705"/>
          <a:ext cx="187706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lopez2\Downloads\anex-CuentasNalANuales-AgreMacroeconomicos-2024pr.xlsx" TargetMode="External"/><Relationship Id="rId1" Type="http://schemas.openxmlformats.org/officeDocument/2006/relationships/externalLinkPath" Target="file:///C:\Users\glopez2\Downloads\anex-CuentasNalANuales-AgreMacroeconomicos-2024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"/>
      <sheetName val="Cuadro 3"/>
      <sheetName val="Cuadro 4"/>
      <sheetName val="Cuadro 5"/>
      <sheetName val="Cuadro 6 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5985-00F3-4B64-AD55-6C31A2234821}">
  <dimension ref="A1:Y444"/>
  <sheetViews>
    <sheetView showGridLines="0" topLeftCell="A107" zoomScaleNormal="100" workbookViewId="0">
      <selection activeCell="E118" sqref="E118:E135"/>
    </sheetView>
  </sheetViews>
  <sheetFormatPr baseColWidth="10" defaultColWidth="10.81640625" defaultRowHeight="14" outlineLevelRow="2" x14ac:dyDescent="0.4"/>
  <cols>
    <col min="1" max="1" width="14" style="1" customWidth="1"/>
    <col min="2" max="3" width="15.7265625" style="1" customWidth="1"/>
    <col min="4" max="4" width="15.7265625" style="3" customWidth="1"/>
    <col min="5" max="5" width="52" style="2" customWidth="1"/>
    <col min="6" max="6" width="10.81640625" style="1"/>
    <col min="7" max="25" width="10.81640625" style="1" customWidth="1"/>
    <col min="26" max="16384" width="10.81640625" style="1"/>
  </cols>
  <sheetData>
    <row r="1" spans="1:25" s="233" customFormat="1" ht="60" customHeight="1" x14ac:dyDescent="0.45">
      <c r="A1" s="235"/>
      <c r="B1" s="235"/>
      <c r="C1" s="235"/>
      <c r="D1" s="235"/>
      <c r="E1" s="235"/>
      <c r="F1" s="235"/>
      <c r="G1" s="235"/>
      <c r="H1" s="234"/>
      <c r="I1" s="234"/>
    </row>
    <row r="2" spans="1:25" s="233" customFormat="1" ht="30.75" customHeight="1" x14ac:dyDescent="0.45">
      <c r="A2" s="235"/>
      <c r="B2" s="235"/>
      <c r="C2" s="235"/>
      <c r="D2" s="235"/>
      <c r="E2" s="235"/>
      <c r="F2" s="235"/>
      <c r="G2" s="235"/>
      <c r="H2" s="234"/>
      <c r="I2" s="234"/>
    </row>
    <row r="3" spans="1:25" s="29" customFormat="1" ht="13.5" customHeight="1" x14ac:dyDescent="0.4">
      <c r="A3" s="194" t="s">
        <v>239</v>
      </c>
      <c r="B3" s="193"/>
      <c r="C3" s="193"/>
      <c r="D3" s="193"/>
      <c r="E3" s="193"/>
      <c r="F3" s="193"/>
      <c r="G3" s="192"/>
    </row>
    <row r="4" spans="1:25" s="29" customFormat="1" ht="17.25" customHeight="1" x14ac:dyDescent="0.4">
      <c r="A4" s="194"/>
      <c r="B4" s="193"/>
      <c r="C4" s="193"/>
      <c r="D4" s="193"/>
      <c r="E4" s="193"/>
      <c r="F4" s="193"/>
      <c r="G4" s="192"/>
    </row>
    <row r="5" spans="1:25" s="29" customFormat="1" x14ac:dyDescent="0.4">
      <c r="A5" s="191" t="s">
        <v>246</v>
      </c>
      <c r="B5" s="190"/>
      <c r="C5" s="190"/>
      <c r="D5" s="190"/>
      <c r="E5" s="190"/>
      <c r="F5" s="190"/>
      <c r="G5" s="189"/>
    </row>
    <row r="6" spans="1:25" s="29" customFormat="1" x14ac:dyDescent="0.4">
      <c r="A6" s="191" t="s">
        <v>245</v>
      </c>
      <c r="B6" s="190"/>
      <c r="C6" s="190"/>
      <c r="D6" s="190"/>
      <c r="E6" s="190"/>
      <c r="F6" s="190"/>
      <c r="G6" s="189"/>
    </row>
    <row r="7" spans="1:25" s="29" customFormat="1" x14ac:dyDescent="0.4">
      <c r="A7" s="191" t="s">
        <v>237</v>
      </c>
      <c r="B7" s="190"/>
      <c r="C7" s="190"/>
      <c r="D7" s="190"/>
      <c r="E7" s="190"/>
      <c r="F7" s="190"/>
      <c r="G7" s="189"/>
    </row>
    <row r="8" spans="1:25" s="29" customFormat="1" ht="16.5" x14ac:dyDescent="0.45">
      <c r="A8" s="188" t="s">
        <v>244</v>
      </c>
      <c r="B8" s="187"/>
      <c r="C8" s="187"/>
      <c r="D8" s="187"/>
      <c r="E8" s="187"/>
      <c r="F8" s="187"/>
      <c r="G8" s="186"/>
      <c r="Q8" s="232"/>
      <c r="R8" s="232"/>
      <c r="S8" s="232"/>
      <c r="T8" s="232"/>
      <c r="U8" s="232"/>
      <c r="V8" s="232"/>
      <c r="W8" s="232"/>
      <c r="X8" s="232"/>
      <c r="Y8" s="232" t="s">
        <v>243</v>
      </c>
    </row>
    <row r="9" spans="1:25" x14ac:dyDescent="0.4">
      <c r="A9" s="231"/>
      <c r="B9" s="231"/>
      <c r="C9" s="231"/>
      <c r="D9" s="231"/>
    </row>
    <row r="10" spans="1:25" s="231" customFormat="1" ht="64" x14ac:dyDescent="0.35">
      <c r="A10" s="185" t="s">
        <v>235</v>
      </c>
      <c r="B10" s="184" t="s">
        <v>234</v>
      </c>
      <c r="C10" s="184" t="s">
        <v>233</v>
      </c>
      <c r="D10" s="184" t="s">
        <v>232</v>
      </c>
      <c r="E10" s="184" t="s">
        <v>231</v>
      </c>
      <c r="F10" s="184">
        <v>2005</v>
      </c>
      <c r="G10" s="184">
        <v>2006</v>
      </c>
      <c r="H10" s="184">
        <v>2007</v>
      </c>
      <c r="I10" s="184">
        <v>2008</v>
      </c>
      <c r="J10" s="184">
        <v>2009</v>
      </c>
      <c r="K10" s="184">
        <v>2010</v>
      </c>
      <c r="L10" s="184">
        <v>2011</v>
      </c>
      <c r="M10" s="184">
        <v>2012</v>
      </c>
      <c r="N10" s="184">
        <v>2013</v>
      </c>
      <c r="O10" s="184">
        <v>2014</v>
      </c>
      <c r="P10" s="184">
        <v>2015</v>
      </c>
      <c r="Q10" s="184">
        <v>2016</v>
      </c>
      <c r="R10" s="184">
        <v>2017</v>
      </c>
      <c r="S10" s="184">
        <v>2018</v>
      </c>
      <c r="T10" s="184">
        <v>2019</v>
      </c>
      <c r="U10" s="184">
        <v>2020</v>
      </c>
      <c r="V10" s="184">
        <v>2021</v>
      </c>
      <c r="W10" s="184">
        <v>2022</v>
      </c>
      <c r="X10" s="184" t="s">
        <v>230</v>
      </c>
      <c r="Y10" s="183" t="s">
        <v>229</v>
      </c>
    </row>
    <row r="11" spans="1:25" x14ac:dyDescent="0.4">
      <c r="A11" s="40"/>
      <c r="D11" s="1"/>
      <c r="W11" s="182"/>
      <c r="Y11" s="182"/>
    </row>
    <row r="12" spans="1:25" s="41" customFormat="1" ht="16" x14ac:dyDescent="0.45">
      <c r="A12" s="46" t="s">
        <v>228</v>
      </c>
      <c r="B12" s="45"/>
      <c r="C12" s="45"/>
      <c r="D12" s="45"/>
      <c r="E12" s="45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2"/>
    </row>
    <row r="13" spans="1:25" x14ac:dyDescent="0.4">
      <c r="A13" s="69"/>
      <c r="B13" s="68"/>
      <c r="C13" s="68"/>
      <c r="D13" s="68"/>
      <c r="E13" s="67"/>
      <c r="Y13" s="13"/>
    </row>
    <row r="14" spans="1:25" x14ac:dyDescent="0.4">
      <c r="A14" s="177"/>
      <c r="B14" s="176" t="s">
        <v>227</v>
      </c>
      <c r="C14" s="176"/>
      <c r="D14" s="176"/>
      <c r="E14" s="175" t="s">
        <v>226</v>
      </c>
      <c r="F14" s="174">
        <v>25439</v>
      </c>
      <c r="G14" s="174">
        <v>27425</v>
      </c>
      <c r="H14" s="174">
        <v>29715</v>
      </c>
      <c r="I14" s="174">
        <v>31869</v>
      </c>
      <c r="J14" s="174">
        <v>33554</v>
      </c>
      <c r="K14" s="174">
        <v>34411</v>
      </c>
      <c r="L14" s="174">
        <v>37709</v>
      </c>
      <c r="M14" s="174">
        <v>37209</v>
      </c>
      <c r="N14" s="174">
        <v>38509</v>
      </c>
      <c r="O14" s="174">
        <v>41555</v>
      </c>
      <c r="P14" s="174">
        <v>48124</v>
      </c>
      <c r="Q14" s="174">
        <v>57065</v>
      </c>
      <c r="R14" s="174">
        <v>58815</v>
      </c>
      <c r="S14" s="174">
        <v>61497</v>
      </c>
      <c r="T14" s="174">
        <v>67958</v>
      </c>
      <c r="U14" s="174">
        <v>74970</v>
      </c>
      <c r="V14" s="174">
        <v>92690</v>
      </c>
      <c r="W14" s="174">
        <v>129919</v>
      </c>
      <c r="X14" s="174">
        <v>139567</v>
      </c>
      <c r="Y14" s="228">
        <v>158406.07999999999</v>
      </c>
    </row>
    <row r="15" spans="1:25" outlineLevel="1" x14ac:dyDescent="0.4">
      <c r="A15" s="147"/>
      <c r="B15" s="146"/>
      <c r="C15" s="170" t="s">
        <v>227</v>
      </c>
      <c r="D15" s="146"/>
      <c r="E15" s="169" t="s">
        <v>226</v>
      </c>
      <c r="F15" s="168">
        <v>25439</v>
      </c>
      <c r="G15" s="168">
        <v>27425</v>
      </c>
      <c r="H15" s="168">
        <v>29715</v>
      </c>
      <c r="I15" s="168">
        <v>31869</v>
      </c>
      <c r="J15" s="168">
        <v>33554</v>
      </c>
      <c r="K15" s="168">
        <v>34411</v>
      </c>
      <c r="L15" s="168">
        <v>37709</v>
      </c>
      <c r="M15" s="168">
        <v>37209</v>
      </c>
      <c r="N15" s="168">
        <v>38509</v>
      </c>
      <c r="O15" s="168">
        <v>41555</v>
      </c>
      <c r="P15" s="168">
        <v>48124</v>
      </c>
      <c r="Q15" s="168">
        <v>57065</v>
      </c>
      <c r="R15" s="168">
        <v>58815</v>
      </c>
      <c r="S15" s="168">
        <v>61497</v>
      </c>
      <c r="T15" s="168">
        <v>67958</v>
      </c>
      <c r="U15" s="168">
        <v>74970</v>
      </c>
      <c r="V15" s="168">
        <v>92690</v>
      </c>
      <c r="W15" s="168">
        <v>129919</v>
      </c>
      <c r="X15" s="168">
        <v>139567</v>
      </c>
      <c r="Y15" s="227">
        <v>158406.076</v>
      </c>
    </row>
    <row r="16" spans="1:25" ht="84" outlineLevel="1" x14ac:dyDescent="0.4">
      <c r="A16" s="165"/>
      <c r="B16" s="164"/>
      <c r="C16" s="152"/>
      <c r="D16" s="180" t="s">
        <v>225</v>
      </c>
      <c r="E16" s="163" t="s">
        <v>224</v>
      </c>
      <c r="F16" s="162">
        <v>13312</v>
      </c>
      <c r="G16" s="162">
        <v>14490</v>
      </c>
      <c r="H16" s="162">
        <v>15675</v>
      </c>
      <c r="I16" s="162">
        <v>17044</v>
      </c>
      <c r="J16" s="162">
        <v>18522</v>
      </c>
      <c r="K16" s="162">
        <v>18653</v>
      </c>
      <c r="L16" s="162">
        <v>20760</v>
      </c>
      <c r="M16" s="162">
        <v>20538</v>
      </c>
      <c r="N16" s="162">
        <v>20723</v>
      </c>
      <c r="O16" s="162">
        <v>22133</v>
      </c>
      <c r="P16" s="162">
        <v>27339</v>
      </c>
      <c r="Q16" s="162">
        <v>33033</v>
      </c>
      <c r="R16" s="162">
        <v>33979</v>
      </c>
      <c r="S16" s="162">
        <v>36116</v>
      </c>
      <c r="T16" s="162">
        <v>40735</v>
      </c>
      <c r="U16" s="162">
        <v>44817</v>
      </c>
      <c r="V16" s="162">
        <v>53191</v>
      </c>
      <c r="W16" s="162">
        <v>80655</v>
      </c>
      <c r="X16" s="230">
        <v>87726</v>
      </c>
      <c r="Y16" s="229">
        <v>99008.74</v>
      </c>
    </row>
    <row r="17" spans="1:25" outlineLevel="2" x14ac:dyDescent="0.4">
      <c r="A17" s="147"/>
      <c r="B17" s="146"/>
      <c r="C17" s="170"/>
      <c r="D17" s="138" t="s">
        <v>223</v>
      </c>
      <c r="E17" s="145" t="s">
        <v>222</v>
      </c>
      <c r="F17" s="144">
        <v>2763</v>
      </c>
      <c r="G17" s="144">
        <v>3039</v>
      </c>
      <c r="H17" s="144">
        <v>3195</v>
      </c>
      <c r="I17" s="144">
        <v>3140</v>
      </c>
      <c r="J17" s="144">
        <v>2986</v>
      </c>
      <c r="K17" s="144">
        <v>3810</v>
      </c>
      <c r="L17" s="144">
        <v>4453</v>
      </c>
      <c r="M17" s="144">
        <v>3254</v>
      </c>
      <c r="N17" s="144">
        <v>4067</v>
      </c>
      <c r="O17" s="144">
        <v>4659</v>
      </c>
      <c r="P17" s="144">
        <v>5299</v>
      </c>
      <c r="Q17" s="144">
        <v>6299</v>
      </c>
      <c r="R17" s="144">
        <v>6482</v>
      </c>
      <c r="S17" s="144">
        <v>6173</v>
      </c>
      <c r="T17" s="144">
        <v>7310</v>
      </c>
      <c r="U17" s="144">
        <v>8105</v>
      </c>
      <c r="V17" s="144">
        <v>11273</v>
      </c>
      <c r="W17" s="144">
        <v>14406</v>
      </c>
      <c r="X17" s="144">
        <v>12865</v>
      </c>
      <c r="Y17" s="223">
        <v>19384.830000000002</v>
      </c>
    </row>
    <row r="18" spans="1:25" outlineLevel="2" x14ac:dyDescent="0.4">
      <c r="A18" s="165"/>
      <c r="B18" s="164"/>
      <c r="C18" s="152"/>
      <c r="D18" s="181" t="s">
        <v>221</v>
      </c>
      <c r="E18" s="163" t="s">
        <v>220</v>
      </c>
      <c r="F18" s="162">
        <v>7843</v>
      </c>
      <c r="G18" s="162">
        <v>8223</v>
      </c>
      <c r="H18" s="162">
        <v>9043</v>
      </c>
      <c r="I18" s="162">
        <v>9815</v>
      </c>
      <c r="J18" s="162">
        <v>10043</v>
      </c>
      <c r="K18" s="162">
        <v>9931</v>
      </c>
      <c r="L18" s="162">
        <v>10392</v>
      </c>
      <c r="M18" s="162">
        <v>11091</v>
      </c>
      <c r="N18" s="162">
        <v>11238</v>
      </c>
      <c r="O18" s="162">
        <v>11910</v>
      </c>
      <c r="P18" s="162">
        <v>12265</v>
      </c>
      <c r="Q18" s="162">
        <v>14098</v>
      </c>
      <c r="R18" s="162">
        <v>14639</v>
      </c>
      <c r="S18" s="162">
        <v>15224</v>
      </c>
      <c r="T18" s="162">
        <v>15735</v>
      </c>
      <c r="U18" s="162">
        <v>16980</v>
      </c>
      <c r="V18" s="162">
        <v>21931</v>
      </c>
      <c r="W18" s="162">
        <v>27215</v>
      </c>
      <c r="X18" s="162">
        <v>30322</v>
      </c>
      <c r="Y18" s="226">
        <v>30870.41</v>
      </c>
    </row>
    <row r="19" spans="1:25" outlineLevel="2" x14ac:dyDescent="0.4">
      <c r="A19" s="147"/>
      <c r="B19" s="146"/>
      <c r="C19" s="170"/>
      <c r="D19" s="146" t="s">
        <v>219</v>
      </c>
      <c r="E19" s="145" t="s">
        <v>218</v>
      </c>
      <c r="F19" s="144">
        <v>854</v>
      </c>
      <c r="G19" s="144">
        <v>915</v>
      </c>
      <c r="H19" s="144">
        <v>984</v>
      </c>
      <c r="I19" s="144">
        <v>1011</v>
      </c>
      <c r="J19" s="144">
        <v>1109</v>
      </c>
      <c r="K19" s="144">
        <v>1127</v>
      </c>
      <c r="L19" s="144">
        <v>1197</v>
      </c>
      <c r="M19" s="144">
        <v>1352</v>
      </c>
      <c r="N19" s="144">
        <v>1493</v>
      </c>
      <c r="O19" s="144">
        <v>1617</v>
      </c>
      <c r="P19" s="144">
        <v>1796</v>
      </c>
      <c r="Q19" s="144">
        <v>1963</v>
      </c>
      <c r="R19" s="144">
        <v>2047</v>
      </c>
      <c r="S19" s="144">
        <v>2075</v>
      </c>
      <c r="T19" s="144">
        <v>2201</v>
      </c>
      <c r="U19" s="144">
        <v>2332</v>
      </c>
      <c r="V19" s="144">
        <v>2986</v>
      </c>
      <c r="W19" s="144">
        <v>3289</v>
      </c>
      <c r="X19" s="144">
        <v>3877</v>
      </c>
      <c r="Y19" s="223">
        <v>3895.9</v>
      </c>
    </row>
    <row r="20" spans="1:25" outlineLevel="2" x14ac:dyDescent="0.4">
      <c r="A20" s="165"/>
      <c r="B20" s="164"/>
      <c r="C20" s="152"/>
      <c r="D20" s="180" t="s">
        <v>217</v>
      </c>
      <c r="E20" s="163" t="s">
        <v>216</v>
      </c>
      <c r="F20" s="162">
        <v>667</v>
      </c>
      <c r="G20" s="162">
        <v>758</v>
      </c>
      <c r="H20" s="162">
        <v>818</v>
      </c>
      <c r="I20" s="162">
        <v>859</v>
      </c>
      <c r="J20" s="162">
        <v>894</v>
      </c>
      <c r="K20" s="162">
        <v>890</v>
      </c>
      <c r="L20" s="162">
        <v>907</v>
      </c>
      <c r="M20" s="162">
        <v>974</v>
      </c>
      <c r="N20" s="162">
        <v>988</v>
      </c>
      <c r="O20" s="162">
        <v>1236</v>
      </c>
      <c r="P20" s="162">
        <v>1425</v>
      </c>
      <c r="Q20" s="162">
        <v>1672</v>
      </c>
      <c r="R20" s="162">
        <v>1668</v>
      </c>
      <c r="S20" s="162">
        <v>1909</v>
      </c>
      <c r="T20" s="162">
        <v>1977</v>
      </c>
      <c r="U20" s="162">
        <v>2736</v>
      </c>
      <c r="V20" s="162">
        <v>3309</v>
      </c>
      <c r="W20" s="162">
        <v>4354</v>
      </c>
      <c r="X20" s="162">
        <v>4777</v>
      </c>
      <c r="Y20" s="226">
        <v>5246.21</v>
      </c>
    </row>
    <row r="21" spans="1:25" x14ac:dyDescent="0.4">
      <c r="A21" s="159"/>
      <c r="B21" s="158" t="s">
        <v>215</v>
      </c>
      <c r="C21" s="158"/>
      <c r="D21" s="158"/>
      <c r="E21" s="157" t="s">
        <v>214</v>
      </c>
      <c r="F21" s="156">
        <v>22071</v>
      </c>
      <c r="G21" s="156">
        <v>26127</v>
      </c>
      <c r="H21" s="156">
        <v>26443</v>
      </c>
      <c r="I21" s="156">
        <v>38675</v>
      </c>
      <c r="J21" s="156">
        <v>37234</v>
      </c>
      <c r="K21" s="156">
        <v>47105</v>
      </c>
      <c r="L21" s="156">
        <v>70548</v>
      </c>
      <c r="M21" s="156">
        <v>74557</v>
      </c>
      <c r="N21" s="156">
        <v>73340</v>
      </c>
      <c r="O21" s="156">
        <v>64274</v>
      </c>
      <c r="P21" s="156">
        <v>47627</v>
      </c>
      <c r="Q21" s="156">
        <v>40999</v>
      </c>
      <c r="R21" s="156">
        <v>47538</v>
      </c>
      <c r="S21" s="156">
        <v>57788</v>
      </c>
      <c r="T21" s="156">
        <v>58317</v>
      </c>
      <c r="U21" s="156">
        <v>40689</v>
      </c>
      <c r="V21" s="156">
        <v>64235</v>
      </c>
      <c r="W21" s="156">
        <v>107532</v>
      </c>
      <c r="X21" s="156">
        <v>89489</v>
      </c>
      <c r="Y21" s="225">
        <v>75886.25</v>
      </c>
    </row>
    <row r="22" spans="1:25" outlineLevel="1" x14ac:dyDescent="0.4">
      <c r="A22" s="153"/>
      <c r="B22" s="152"/>
      <c r="C22" s="152" t="s">
        <v>215</v>
      </c>
      <c r="D22" s="152"/>
      <c r="E22" s="151" t="s">
        <v>214</v>
      </c>
      <c r="F22" s="150">
        <v>22071</v>
      </c>
      <c r="G22" s="150">
        <v>26127</v>
      </c>
      <c r="H22" s="150">
        <v>26443</v>
      </c>
      <c r="I22" s="150">
        <v>38675</v>
      </c>
      <c r="J22" s="150">
        <v>37234</v>
      </c>
      <c r="K22" s="150">
        <v>47105</v>
      </c>
      <c r="L22" s="150">
        <v>70548</v>
      </c>
      <c r="M22" s="150">
        <v>74557</v>
      </c>
      <c r="N22" s="150">
        <v>73340</v>
      </c>
      <c r="O22" s="150">
        <v>64274</v>
      </c>
      <c r="P22" s="150">
        <v>47627</v>
      </c>
      <c r="Q22" s="150">
        <v>40999</v>
      </c>
      <c r="R22" s="150">
        <v>47538</v>
      </c>
      <c r="S22" s="150">
        <v>57788</v>
      </c>
      <c r="T22" s="150">
        <v>58317</v>
      </c>
      <c r="U22" s="150">
        <v>40689</v>
      </c>
      <c r="V22" s="150">
        <v>64235</v>
      </c>
      <c r="W22" s="150">
        <v>107532</v>
      </c>
      <c r="X22" s="150">
        <v>89489</v>
      </c>
      <c r="Y22" s="224">
        <v>75886.25</v>
      </c>
    </row>
    <row r="23" spans="1:25" outlineLevel="2" x14ac:dyDescent="0.4">
      <c r="A23" s="147"/>
      <c r="B23" s="146"/>
      <c r="C23" s="146"/>
      <c r="D23" s="146" t="s">
        <v>213</v>
      </c>
      <c r="E23" s="145" t="s">
        <v>212</v>
      </c>
      <c r="F23" s="144">
        <v>4915</v>
      </c>
      <c r="G23" s="144">
        <v>5705</v>
      </c>
      <c r="H23" s="144">
        <v>5577</v>
      </c>
      <c r="I23" s="144">
        <v>8542</v>
      </c>
      <c r="J23" s="144">
        <v>8610</v>
      </c>
      <c r="K23" s="144">
        <v>8621</v>
      </c>
      <c r="L23" s="144">
        <v>11256</v>
      </c>
      <c r="M23" s="144">
        <v>10973</v>
      </c>
      <c r="N23" s="144">
        <v>9303</v>
      </c>
      <c r="O23" s="144">
        <v>8404</v>
      </c>
      <c r="P23" s="144">
        <v>8833</v>
      </c>
      <c r="Q23" s="144">
        <v>11027</v>
      </c>
      <c r="R23" s="144">
        <v>13634</v>
      </c>
      <c r="S23" s="144">
        <v>15167</v>
      </c>
      <c r="T23" s="144">
        <v>12226</v>
      </c>
      <c r="U23" s="144">
        <v>7429</v>
      </c>
      <c r="V23" s="144">
        <v>15146</v>
      </c>
      <c r="W23" s="144">
        <v>37050</v>
      </c>
      <c r="X23" s="144">
        <v>26365</v>
      </c>
      <c r="Y23" s="223">
        <v>16021.16</v>
      </c>
    </row>
    <row r="24" spans="1:25" ht="28" outlineLevel="2" x14ac:dyDescent="0.4">
      <c r="A24" s="165"/>
      <c r="B24" s="164"/>
      <c r="C24" s="164"/>
      <c r="D24" s="164" t="s">
        <v>211</v>
      </c>
      <c r="E24" s="163" t="s">
        <v>210</v>
      </c>
      <c r="F24" s="162">
        <v>14038</v>
      </c>
      <c r="G24" s="162">
        <v>15969</v>
      </c>
      <c r="H24" s="162">
        <v>15526</v>
      </c>
      <c r="I24" s="162">
        <v>25915</v>
      </c>
      <c r="J24" s="162">
        <v>24058</v>
      </c>
      <c r="K24" s="162">
        <v>33071</v>
      </c>
      <c r="L24" s="162">
        <v>53113</v>
      </c>
      <c r="M24" s="162">
        <v>56982</v>
      </c>
      <c r="N24" s="162">
        <v>58714</v>
      </c>
      <c r="O24" s="162">
        <v>50497</v>
      </c>
      <c r="P24" s="162">
        <v>32852</v>
      </c>
      <c r="Q24" s="162">
        <v>22289</v>
      </c>
      <c r="R24" s="162">
        <v>27822</v>
      </c>
      <c r="S24" s="162">
        <v>36871</v>
      </c>
      <c r="T24" s="162">
        <v>39127</v>
      </c>
      <c r="U24" s="162">
        <v>24320</v>
      </c>
      <c r="V24" s="162">
        <v>38429</v>
      </c>
      <c r="W24" s="162">
        <v>58383</v>
      </c>
      <c r="X24" s="162">
        <v>49629</v>
      </c>
      <c r="Y24" s="226">
        <v>45363.31</v>
      </c>
    </row>
    <row r="25" spans="1:25" outlineLevel="2" x14ac:dyDescent="0.4">
      <c r="A25" s="147"/>
      <c r="B25" s="146"/>
      <c r="C25" s="146"/>
      <c r="D25" s="146" t="s">
        <v>209</v>
      </c>
      <c r="E25" s="145" t="s">
        <v>208</v>
      </c>
      <c r="F25" s="144">
        <v>2143</v>
      </c>
      <c r="G25" s="144">
        <v>3275</v>
      </c>
      <c r="H25" s="144">
        <v>3999</v>
      </c>
      <c r="I25" s="144">
        <v>2706</v>
      </c>
      <c r="J25" s="144">
        <v>2994</v>
      </c>
      <c r="K25" s="144">
        <v>3917</v>
      </c>
      <c r="L25" s="144">
        <v>4448</v>
      </c>
      <c r="M25" s="144">
        <v>4754</v>
      </c>
      <c r="N25" s="144">
        <v>3313</v>
      </c>
      <c r="O25" s="144">
        <v>3131</v>
      </c>
      <c r="P25" s="144">
        <v>3592</v>
      </c>
      <c r="Q25" s="144">
        <v>5001</v>
      </c>
      <c r="R25" s="144">
        <v>3472</v>
      </c>
      <c r="S25" s="144">
        <v>3112</v>
      </c>
      <c r="T25" s="144">
        <v>4163</v>
      </c>
      <c r="U25" s="144">
        <v>6849</v>
      </c>
      <c r="V25" s="144">
        <v>8125</v>
      </c>
      <c r="W25" s="144">
        <v>9210</v>
      </c>
      <c r="X25" s="144">
        <v>10433</v>
      </c>
      <c r="Y25" s="223">
        <v>11217.77</v>
      </c>
    </row>
    <row r="26" spans="1:25" outlineLevel="2" x14ac:dyDescent="0.4">
      <c r="A26" s="165"/>
      <c r="B26" s="164"/>
      <c r="C26" s="164"/>
      <c r="D26" s="164" t="s">
        <v>207</v>
      </c>
      <c r="E26" s="163" t="s">
        <v>206</v>
      </c>
      <c r="F26" s="162">
        <v>865</v>
      </c>
      <c r="G26" s="162">
        <v>1046</v>
      </c>
      <c r="H26" s="162">
        <v>1197</v>
      </c>
      <c r="I26" s="162">
        <v>1352</v>
      </c>
      <c r="J26" s="162">
        <v>1406</v>
      </c>
      <c r="K26" s="162">
        <v>1317</v>
      </c>
      <c r="L26" s="162">
        <v>1511</v>
      </c>
      <c r="M26" s="162">
        <v>1625</v>
      </c>
      <c r="N26" s="162">
        <v>1825</v>
      </c>
      <c r="O26" s="162">
        <v>2067</v>
      </c>
      <c r="P26" s="162">
        <v>2156</v>
      </c>
      <c r="Q26" s="162">
        <v>2435</v>
      </c>
      <c r="R26" s="162">
        <v>2421</v>
      </c>
      <c r="S26" s="162">
        <v>2437</v>
      </c>
      <c r="T26" s="162">
        <v>2628</v>
      </c>
      <c r="U26" s="162">
        <v>1932</v>
      </c>
      <c r="V26" s="162">
        <v>2292</v>
      </c>
      <c r="W26" s="162">
        <v>2464</v>
      </c>
      <c r="X26" s="162">
        <v>2712</v>
      </c>
      <c r="Y26" s="226">
        <v>2982.66</v>
      </c>
    </row>
    <row r="27" spans="1:25" ht="28" outlineLevel="2" x14ac:dyDescent="0.4">
      <c r="A27" s="147"/>
      <c r="B27" s="146"/>
      <c r="C27" s="146"/>
      <c r="D27" s="146" t="s">
        <v>205</v>
      </c>
      <c r="E27" s="145" t="s">
        <v>204</v>
      </c>
      <c r="F27" s="144">
        <v>110</v>
      </c>
      <c r="G27" s="144">
        <v>132</v>
      </c>
      <c r="H27" s="144">
        <v>144</v>
      </c>
      <c r="I27" s="144">
        <v>160</v>
      </c>
      <c r="J27" s="144">
        <v>166</v>
      </c>
      <c r="K27" s="144">
        <v>179</v>
      </c>
      <c r="L27" s="144">
        <v>220</v>
      </c>
      <c r="M27" s="144">
        <v>223</v>
      </c>
      <c r="N27" s="144">
        <v>185</v>
      </c>
      <c r="O27" s="144">
        <v>175</v>
      </c>
      <c r="P27" s="144">
        <v>194</v>
      </c>
      <c r="Q27" s="144">
        <v>247</v>
      </c>
      <c r="R27" s="144">
        <v>189</v>
      </c>
      <c r="S27" s="144">
        <v>201</v>
      </c>
      <c r="T27" s="144">
        <v>173</v>
      </c>
      <c r="U27" s="144">
        <v>159</v>
      </c>
      <c r="V27" s="144">
        <v>243</v>
      </c>
      <c r="W27" s="144">
        <v>425</v>
      </c>
      <c r="X27" s="144">
        <v>350</v>
      </c>
      <c r="Y27" s="223">
        <v>301.35000000000002</v>
      </c>
    </row>
    <row r="28" spans="1:25" x14ac:dyDescent="0.4">
      <c r="A28" s="177"/>
      <c r="B28" s="176" t="s">
        <v>203</v>
      </c>
      <c r="C28" s="176"/>
      <c r="D28" s="176"/>
      <c r="E28" s="175" t="s">
        <v>202</v>
      </c>
      <c r="F28" s="174">
        <v>54043</v>
      </c>
      <c r="G28" s="174">
        <v>60975</v>
      </c>
      <c r="H28" s="174">
        <v>69222</v>
      </c>
      <c r="I28" s="174">
        <v>73264</v>
      </c>
      <c r="J28" s="174">
        <v>74133</v>
      </c>
      <c r="K28" s="174">
        <v>75989</v>
      </c>
      <c r="L28" s="174">
        <v>81820</v>
      </c>
      <c r="M28" s="174">
        <v>87241</v>
      </c>
      <c r="N28" s="174">
        <v>90421</v>
      </c>
      <c r="O28" s="174">
        <v>93603</v>
      </c>
      <c r="P28" s="174">
        <v>99789</v>
      </c>
      <c r="Q28" s="174">
        <v>106226</v>
      </c>
      <c r="R28" s="174">
        <v>105022</v>
      </c>
      <c r="S28" s="174">
        <v>110157</v>
      </c>
      <c r="T28" s="174">
        <v>115830</v>
      </c>
      <c r="U28" s="174">
        <v>107111</v>
      </c>
      <c r="V28" s="174">
        <v>133565</v>
      </c>
      <c r="W28" s="174">
        <v>163991</v>
      </c>
      <c r="X28" s="174">
        <v>172226</v>
      </c>
      <c r="Y28" s="228">
        <v>172275.15</v>
      </c>
    </row>
    <row r="29" spans="1:25" ht="28" outlineLevel="1" x14ac:dyDescent="0.4">
      <c r="A29" s="171"/>
      <c r="B29" s="146"/>
      <c r="C29" s="170" t="s">
        <v>201</v>
      </c>
      <c r="D29" s="170"/>
      <c r="E29" s="169" t="s">
        <v>200</v>
      </c>
      <c r="F29" s="168">
        <v>16767</v>
      </c>
      <c r="G29" s="168">
        <v>18095</v>
      </c>
      <c r="H29" s="168">
        <v>20270</v>
      </c>
      <c r="I29" s="168">
        <v>22528</v>
      </c>
      <c r="J29" s="168">
        <v>24071</v>
      </c>
      <c r="K29" s="168">
        <v>23065</v>
      </c>
      <c r="L29" s="168">
        <v>24019</v>
      </c>
      <c r="M29" s="168">
        <v>24776</v>
      </c>
      <c r="N29" s="168">
        <v>25438</v>
      </c>
      <c r="O29" s="168">
        <v>26163</v>
      </c>
      <c r="P29" s="168">
        <v>27219</v>
      </c>
      <c r="Q29" s="168">
        <v>30138</v>
      </c>
      <c r="R29" s="168">
        <v>30603</v>
      </c>
      <c r="S29" s="168">
        <v>31305</v>
      </c>
      <c r="T29" s="168">
        <v>31682</v>
      </c>
      <c r="U29" s="168">
        <v>32205</v>
      </c>
      <c r="V29" s="168">
        <v>39352</v>
      </c>
      <c r="W29" s="168">
        <v>49066</v>
      </c>
      <c r="X29" s="168">
        <v>51605</v>
      </c>
      <c r="Y29" s="227">
        <v>51899.4</v>
      </c>
    </row>
    <row r="30" spans="1:25" ht="70" outlineLevel="2" x14ac:dyDescent="0.4">
      <c r="A30" s="165"/>
      <c r="B30" s="164"/>
      <c r="C30" s="164"/>
      <c r="D30" s="164" t="s">
        <v>199</v>
      </c>
      <c r="E30" s="163" t="s">
        <v>198</v>
      </c>
      <c r="F30" s="162">
        <v>3222</v>
      </c>
      <c r="G30" s="162">
        <v>3345</v>
      </c>
      <c r="H30" s="162">
        <v>3920</v>
      </c>
      <c r="I30" s="162">
        <v>4568</v>
      </c>
      <c r="J30" s="162">
        <v>4835</v>
      </c>
      <c r="K30" s="162">
        <v>4566</v>
      </c>
      <c r="L30" s="162">
        <v>4830</v>
      </c>
      <c r="M30" s="162">
        <v>4997</v>
      </c>
      <c r="N30" s="162">
        <v>5232</v>
      </c>
      <c r="O30" s="162">
        <v>5475</v>
      </c>
      <c r="P30" s="162">
        <v>5896</v>
      </c>
      <c r="Q30" s="162">
        <v>6543</v>
      </c>
      <c r="R30" s="162">
        <v>6579</v>
      </c>
      <c r="S30" s="162">
        <v>6924</v>
      </c>
      <c r="T30" s="162">
        <v>7112</v>
      </c>
      <c r="U30" s="162">
        <v>7595</v>
      </c>
      <c r="V30" s="162">
        <v>10228</v>
      </c>
      <c r="W30" s="162">
        <v>12957</v>
      </c>
      <c r="X30" s="162">
        <v>14058</v>
      </c>
      <c r="Y30" s="226">
        <v>14783.27</v>
      </c>
    </row>
    <row r="31" spans="1:25" outlineLevel="2" x14ac:dyDescent="0.4">
      <c r="A31" s="147"/>
      <c r="B31" s="146"/>
      <c r="C31" s="146"/>
      <c r="D31" s="146" t="s">
        <v>197</v>
      </c>
      <c r="E31" s="145" t="s">
        <v>196</v>
      </c>
      <c r="F31" s="144">
        <v>1255</v>
      </c>
      <c r="G31" s="144">
        <v>1165</v>
      </c>
      <c r="H31" s="144">
        <v>1284</v>
      </c>
      <c r="I31" s="144">
        <v>1456</v>
      </c>
      <c r="J31" s="144">
        <v>1467</v>
      </c>
      <c r="K31" s="144">
        <v>1420</v>
      </c>
      <c r="L31" s="144">
        <v>1483</v>
      </c>
      <c r="M31" s="144">
        <v>1271</v>
      </c>
      <c r="N31" s="144">
        <v>1093</v>
      </c>
      <c r="O31" s="144">
        <v>1373</v>
      </c>
      <c r="P31" s="144">
        <v>1506</v>
      </c>
      <c r="Q31" s="144">
        <v>1986</v>
      </c>
      <c r="R31" s="144">
        <v>1884</v>
      </c>
      <c r="S31" s="144">
        <v>1715</v>
      </c>
      <c r="T31" s="144">
        <v>1570</v>
      </c>
      <c r="U31" s="144">
        <v>1443</v>
      </c>
      <c r="V31" s="144">
        <v>2848</v>
      </c>
      <c r="W31" s="144">
        <v>3596</v>
      </c>
      <c r="X31" s="144">
        <v>3011</v>
      </c>
      <c r="Y31" s="223">
        <v>2630.82</v>
      </c>
    </row>
    <row r="32" spans="1:25" outlineLevel="2" x14ac:dyDescent="0.4">
      <c r="A32" s="165"/>
      <c r="B32" s="164"/>
      <c r="C32" s="164"/>
      <c r="D32" s="164" t="s">
        <v>195</v>
      </c>
      <c r="E32" s="163" t="s">
        <v>194</v>
      </c>
      <c r="F32" s="162">
        <v>1916</v>
      </c>
      <c r="G32" s="162">
        <v>1989</v>
      </c>
      <c r="H32" s="162">
        <v>2188</v>
      </c>
      <c r="I32" s="162">
        <v>2460</v>
      </c>
      <c r="J32" s="162">
        <v>2464</v>
      </c>
      <c r="K32" s="162">
        <v>2528</v>
      </c>
      <c r="L32" s="162">
        <v>2722</v>
      </c>
      <c r="M32" s="162">
        <v>2962</v>
      </c>
      <c r="N32" s="162">
        <v>3095</v>
      </c>
      <c r="O32" s="162">
        <v>3131</v>
      </c>
      <c r="P32" s="162">
        <v>3217</v>
      </c>
      <c r="Q32" s="162">
        <v>3421</v>
      </c>
      <c r="R32" s="162">
        <v>3553</v>
      </c>
      <c r="S32" s="162">
        <v>3609</v>
      </c>
      <c r="T32" s="162">
        <v>3644</v>
      </c>
      <c r="U32" s="162">
        <v>3863</v>
      </c>
      <c r="V32" s="162">
        <v>3954</v>
      </c>
      <c r="W32" s="162">
        <v>4851</v>
      </c>
      <c r="X32" s="162">
        <v>5388</v>
      </c>
      <c r="Y32" s="226">
        <v>5307.38</v>
      </c>
    </row>
    <row r="33" spans="1:25" ht="70" outlineLevel="2" x14ac:dyDescent="0.4">
      <c r="A33" s="147"/>
      <c r="B33" s="146"/>
      <c r="C33" s="146"/>
      <c r="D33" s="146" t="s">
        <v>193</v>
      </c>
      <c r="E33" s="145" t="s">
        <v>192</v>
      </c>
      <c r="F33" s="144">
        <v>3057</v>
      </c>
      <c r="G33" s="144">
        <v>3110</v>
      </c>
      <c r="H33" s="144">
        <v>3581</v>
      </c>
      <c r="I33" s="144">
        <v>4238</v>
      </c>
      <c r="J33" s="144">
        <v>4290</v>
      </c>
      <c r="K33" s="144">
        <v>3893</v>
      </c>
      <c r="L33" s="144">
        <v>3961</v>
      </c>
      <c r="M33" s="144">
        <v>4139</v>
      </c>
      <c r="N33" s="144">
        <v>4229</v>
      </c>
      <c r="O33" s="144">
        <v>3970</v>
      </c>
      <c r="P33" s="144">
        <v>3922</v>
      </c>
      <c r="Q33" s="144">
        <v>4737</v>
      </c>
      <c r="R33" s="144">
        <v>4560</v>
      </c>
      <c r="S33" s="144">
        <v>4682</v>
      </c>
      <c r="T33" s="144">
        <v>5156</v>
      </c>
      <c r="U33" s="144">
        <v>6021</v>
      </c>
      <c r="V33" s="144">
        <v>6488</v>
      </c>
      <c r="W33" s="144">
        <v>8502</v>
      </c>
      <c r="X33" s="144">
        <v>8399</v>
      </c>
      <c r="Y33" s="223">
        <v>7687.59</v>
      </c>
    </row>
    <row r="34" spans="1:25" outlineLevel="2" x14ac:dyDescent="0.4">
      <c r="A34" s="165"/>
      <c r="B34" s="164"/>
      <c r="C34" s="164"/>
      <c r="D34" s="164" t="s">
        <v>191</v>
      </c>
      <c r="E34" s="163" t="s">
        <v>190</v>
      </c>
      <c r="F34" s="162">
        <v>894</v>
      </c>
      <c r="G34" s="162">
        <v>795</v>
      </c>
      <c r="H34" s="162">
        <v>637</v>
      </c>
      <c r="I34" s="162">
        <v>587</v>
      </c>
      <c r="J34" s="162">
        <v>503</v>
      </c>
      <c r="K34" s="162">
        <v>465</v>
      </c>
      <c r="L34" s="162">
        <v>373</v>
      </c>
      <c r="M34" s="162">
        <v>402</v>
      </c>
      <c r="N34" s="162">
        <v>501</v>
      </c>
      <c r="O34" s="162">
        <v>517</v>
      </c>
      <c r="P34" s="162">
        <v>702</v>
      </c>
      <c r="Q34" s="162">
        <v>625</v>
      </c>
      <c r="R34" s="162">
        <v>702</v>
      </c>
      <c r="S34" s="162">
        <v>651</v>
      </c>
      <c r="T34" s="162">
        <v>722</v>
      </c>
      <c r="U34" s="162">
        <v>282</v>
      </c>
      <c r="V34" s="162">
        <v>386</v>
      </c>
      <c r="W34" s="162">
        <v>488</v>
      </c>
      <c r="X34" s="162">
        <v>455</v>
      </c>
      <c r="Y34" s="226">
        <v>613.70000000000005</v>
      </c>
    </row>
    <row r="35" spans="1:25" outlineLevel="2" x14ac:dyDescent="0.4">
      <c r="A35" s="147"/>
      <c r="B35" s="146"/>
      <c r="C35" s="146"/>
      <c r="D35" s="146" t="s">
        <v>189</v>
      </c>
      <c r="E35" s="145" t="s">
        <v>188</v>
      </c>
      <c r="F35" s="144">
        <v>1509</v>
      </c>
      <c r="G35" s="144">
        <v>2220</v>
      </c>
      <c r="H35" s="144">
        <v>2107</v>
      </c>
      <c r="I35" s="144">
        <v>2156</v>
      </c>
      <c r="J35" s="144">
        <v>2742</v>
      </c>
      <c r="K35" s="144">
        <v>2945</v>
      </c>
      <c r="L35" s="144">
        <v>3339</v>
      </c>
      <c r="M35" s="144">
        <v>2712</v>
      </c>
      <c r="N35" s="144">
        <v>2386</v>
      </c>
      <c r="O35" s="144">
        <v>2516</v>
      </c>
      <c r="P35" s="144">
        <v>2618</v>
      </c>
      <c r="Q35" s="144">
        <v>2793</v>
      </c>
      <c r="R35" s="144">
        <v>3066</v>
      </c>
      <c r="S35" s="144">
        <v>3060</v>
      </c>
      <c r="T35" s="144">
        <v>2656</v>
      </c>
      <c r="U35" s="144">
        <v>3039</v>
      </c>
      <c r="V35" s="144">
        <v>3502</v>
      </c>
      <c r="W35" s="144">
        <v>4101</v>
      </c>
      <c r="X35" s="144">
        <v>4205</v>
      </c>
      <c r="Y35" s="223">
        <v>4228.68</v>
      </c>
    </row>
    <row r="36" spans="1:25" outlineLevel="2" x14ac:dyDescent="0.4">
      <c r="A36" s="165"/>
      <c r="B36" s="164"/>
      <c r="C36" s="164"/>
      <c r="D36" s="164" t="s">
        <v>187</v>
      </c>
      <c r="E36" s="163" t="s">
        <v>186</v>
      </c>
      <c r="F36" s="162">
        <v>620</v>
      </c>
      <c r="G36" s="162">
        <v>641</v>
      </c>
      <c r="H36" s="162">
        <v>675</v>
      </c>
      <c r="I36" s="162">
        <v>745</v>
      </c>
      <c r="J36" s="162">
        <v>748</v>
      </c>
      <c r="K36" s="162">
        <v>677</v>
      </c>
      <c r="L36" s="162">
        <v>721</v>
      </c>
      <c r="M36" s="162">
        <v>790</v>
      </c>
      <c r="N36" s="162">
        <v>760</v>
      </c>
      <c r="O36" s="162">
        <v>747</v>
      </c>
      <c r="P36" s="162">
        <v>688</v>
      </c>
      <c r="Q36" s="162">
        <v>635</v>
      </c>
      <c r="R36" s="162">
        <v>665</v>
      </c>
      <c r="S36" s="162">
        <v>702</v>
      </c>
      <c r="T36" s="162">
        <v>756</v>
      </c>
      <c r="U36" s="162">
        <v>726</v>
      </c>
      <c r="V36" s="162">
        <v>859</v>
      </c>
      <c r="W36" s="162">
        <v>1077</v>
      </c>
      <c r="X36" s="162">
        <v>1175</v>
      </c>
      <c r="Y36" s="226">
        <v>1209.29</v>
      </c>
    </row>
    <row r="37" spans="1:25" ht="70" outlineLevel="2" x14ac:dyDescent="0.4">
      <c r="A37" s="147"/>
      <c r="B37" s="146"/>
      <c r="C37" s="146"/>
      <c r="D37" s="146" t="s">
        <v>185</v>
      </c>
      <c r="E37" s="145" t="s">
        <v>184</v>
      </c>
      <c r="F37" s="144">
        <v>1064</v>
      </c>
      <c r="G37" s="144">
        <v>1179</v>
      </c>
      <c r="H37" s="144">
        <v>1397</v>
      </c>
      <c r="I37" s="144">
        <v>1531</v>
      </c>
      <c r="J37" s="144">
        <v>1657</v>
      </c>
      <c r="K37" s="144">
        <v>1548</v>
      </c>
      <c r="L37" s="144">
        <v>1483</v>
      </c>
      <c r="M37" s="144">
        <v>1795</v>
      </c>
      <c r="N37" s="144">
        <v>1997</v>
      </c>
      <c r="O37" s="144">
        <v>1986</v>
      </c>
      <c r="P37" s="144">
        <v>2276</v>
      </c>
      <c r="Q37" s="144">
        <v>2333</v>
      </c>
      <c r="R37" s="144">
        <v>2398</v>
      </c>
      <c r="S37" s="144">
        <v>2453</v>
      </c>
      <c r="T37" s="144">
        <v>2520</v>
      </c>
      <c r="U37" s="144">
        <v>2640</v>
      </c>
      <c r="V37" s="144">
        <v>2985</v>
      </c>
      <c r="W37" s="144">
        <v>3652</v>
      </c>
      <c r="X37" s="144">
        <v>3826</v>
      </c>
      <c r="Y37" s="223">
        <v>3832.14</v>
      </c>
    </row>
    <row r="38" spans="1:25" ht="28" outlineLevel="2" x14ac:dyDescent="0.4">
      <c r="A38" s="165"/>
      <c r="B38" s="164"/>
      <c r="C38" s="164"/>
      <c r="D38" s="164" t="s">
        <v>183</v>
      </c>
      <c r="E38" s="163" t="s">
        <v>182</v>
      </c>
      <c r="F38" s="162">
        <v>3230</v>
      </c>
      <c r="G38" s="162">
        <v>3651</v>
      </c>
      <c r="H38" s="162">
        <v>4481</v>
      </c>
      <c r="I38" s="162">
        <v>4787</v>
      </c>
      <c r="J38" s="162">
        <v>5365</v>
      </c>
      <c r="K38" s="162">
        <v>5023</v>
      </c>
      <c r="L38" s="162">
        <v>5107</v>
      </c>
      <c r="M38" s="162">
        <v>5708</v>
      </c>
      <c r="N38" s="162">
        <v>6145</v>
      </c>
      <c r="O38" s="162">
        <v>6448</v>
      </c>
      <c r="P38" s="162">
        <v>6394</v>
      </c>
      <c r="Q38" s="162">
        <v>7065</v>
      </c>
      <c r="R38" s="162">
        <v>7196</v>
      </c>
      <c r="S38" s="162">
        <v>7509</v>
      </c>
      <c r="T38" s="162">
        <v>7546</v>
      </c>
      <c r="U38" s="162">
        <v>6596</v>
      </c>
      <c r="V38" s="162">
        <v>8102</v>
      </c>
      <c r="W38" s="162">
        <v>9842</v>
      </c>
      <c r="X38" s="162">
        <v>11088</v>
      </c>
      <c r="Y38" s="226">
        <v>11606.53</v>
      </c>
    </row>
    <row r="39" spans="1:25" ht="70" outlineLevel="1" x14ac:dyDescent="0.4">
      <c r="A39" s="171"/>
      <c r="B39" s="146"/>
      <c r="C39" s="170" t="s">
        <v>181</v>
      </c>
      <c r="D39" s="170"/>
      <c r="E39" s="169" t="s">
        <v>180</v>
      </c>
      <c r="F39" s="168">
        <v>6783</v>
      </c>
      <c r="G39" s="168">
        <v>7663</v>
      </c>
      <c r="H39" s="168">
        <v>9159</v>
      </c>
      <c r="I39" s="168">
        <v>9358</v>
      </c>
      <c r="J39" s="168">
        <v>8140</v>
      </c>
      <c r="K39" s="168">
        <v>8263</v>
      </c>
      <c r="L39" s="168">
        <v>9078</v>
      </c>
      <c r="M39" s="168">
        <v>9671</v>
      </c>
      <c r="N39" s="168">
        <v>9964</v>
      </c>
      <c r="O39" s="168">
        <v>9996</v>
      </c>
      <c r="P39" s="168">
        <v>10343</v>
      </c>
      <c r="Q39" s="168">
        <v>10806</v>
      </c>
      <c r="R39" s="168">
        <v>10409</v>
      </c>
      <c r="S39" s="168">
        <v>10412</v>
      </c>
      <c r="T39" s="168">
        <v>11174</v>
      </c>
      <c r="U39" s="168">
        <v>8370</v>
      </c>
      <c r="V39" s="168">
        <v>12307</v>
      </c>
      <c r="W39" s="168">
        <v>14664</v>
      </c>
      <c r="X39" s="168">
        <v>14168</v>
      </c>
      <c r="Y39" s="227">
        <v>14049.38</v>
      </c>
    </row>
    <row r="40" spans="1:25" ht="42" outlineLevel="2" x14ac:dyDescent="0.4">
      <c r="A40" s="165"/>
      <c r="B40" s="164"/>
      <c r="C40" s="164"/>
      <c r="D40" s="164" t="s">
        <v>179</v>
      </c>
      <c r="E40" s="163" t="s">
        <v>178</v>
      </c>
      <c r="F40" s="162">
        <v>5597</v>
      </c>
      <c r="G40" s="162">
        <v>6382</v>
      </c>
      <c r="H40" s="162">
        <v>7553</v>
      </c>
      <c r="I40" s="162">
        <v>7511</v>
      </c>
      <c r="J40" s="162">
        <v>6618</v>
      </c>
      <c r="K40" s="162">
        <v>6799</v>
      </c>
      <c r="L40" s="162">
        <v>7455</v>
      </c>
      <c r="M40" s="162">
        <v>7958</v>
      </c>
      <c r="N40" s="162">
        <v>8243</v>
      </c>
      <c r="O40" s="162">
        <v>8280</v>
      </c>
      <c r="P40" s="162">
        <v>8584</v>
      </c>
      <c r="Q40" s="162">
        <v>8992</v>
      </c>
      <c r="R40" s="162">
        <v>8771</v>
      </c>
      <c r="S40" s="162">
        <v>8912</v>
      </c>
      <c r="T40" s="162">
        <v>9718</v>
      </c>
      <c r="U40" s="162">
        <v>7554</v>
      </c>
      <c r="V40" s="162">
        <v>11114</v>
      </c>
      <c r="W40" s="162">
        <v>13277</v>
      </c>
      <c r="X40" s="162">
        <v>12784</v>
      </c>
      <c r="Y40" s="226">
        <v>12711.32</v>
      </c>
    </row>
    <row r="41" spans="1:25" ht="56" outlineLevel="2" x14ac:dyDescent="0.4">
      <c r="A41" s="147"/>
      <c r="B41" s="146"/>
      <c r="C41" s="146"/>
      <c r="D41" s="146" t="s">
        <v>177</v>
      </c>
      <c r="E41" s="145" t="s">
        <v>176</v>
      </c>
      <c r="F41" s="144">
        <v>1186</v>
      </c>
      <c r="G41" s="144">
        <v>1281</v>
      </c>
      <c r="H41" s="144">
        <v>1606</v>
      </c>
      <c r="I41" s="144">
        <v>1847</v>
      </c>
      <c r="J41" s="144">
        <v>1522</v>
      </c>
      <c r="K41" s="144">
        <v>1464</v>
      </c>
      <c r="L41" s="144">
        <v>1623</v>
      </c>
      <c r="M41" s="144">
        <v>1713</v>
      </c>
      <c r="N41" s="144">
        <v>1721</v>
      </c>
      <c r="O41" s="144">
        <v>1716</v>
      </c>
      <c r="P41" s="144">
        <v>1759</v>
      </c>
      <c r="Q41" s="144">
        <v>1814</v>
      </c>
      <c r="R41" s="144">
        <v>1638</v>
      </c>
      <c r="S41" s="144">
        <v>1500</v>
      </c>
      <c r="T41" s="144">
        <v>1456</v>
      </c>
      <c r="U41" s="144">
        <v>816</v>
      </c>
      <c r="V41" s="144">
        <v>1193</v>
      </c>
      <c r="W41" s="144">
        <v>1387</v>
      </c>
      <c r="X41" s="144">
        <v>1384</v>
      </c>
      <c r="Y41" s="223">
        <v>1338.06</v>
      </c>
    </row>
    <row r="42" spans="1:25" ht="70" outlineLevel="1" x14ac:dyDescent="0.4">
      <c r="A42" s="153"/>
      <c r="B42" s="164"/>
      <c r="C42" s="152" t="s">
        <v>175</v>
      </c>
      <c r="D42" s="152"/>
      <c r="E42" s="151" t="s">
        <v>174</v>
      </c>
      <c r="F42" s="150">
        <v>3401</v>
      </c>
      <c r="G42" s="150">
        <v>3842</v>
      </c>
      <c r="H42" s="150">
        <v>4338</v>
      </c>
      <c r="I42" s="150">
        <v>4616</v>
      </c>
      <c r="J42" s="150">
        <v>4892</v>
      </c>
      <c r="K42" s="150">
        <v>4662</v>
      </c>
      <c r="L42" s="150">
        <v>4773</v>
      </c>
      <c r="M42" s="150">
        <v>5123</v>
      </c>
      <c r="N42" s="150">
        <v>5273</v>
      </c>
      <c r="O42" s="150">
        <v>5403</v>
      </c>
      <c r="P42" s="150">
        <v>6057</v>
      </c>
      <c r="Q42" s="150">
        <v>5931</v>
      </c>
      <c r="R42" s="150">
        <v>5798</v>
      </c>
      <c r="S42" s="150">
        <v>5961</v>
      </c>
      <c r="T42" s="150">
        <v>6293</v>
      </c>
      <c r="U42" s="150">
        <v>6124</v>
      </c>
      <c r="V42" s="150">
        <v>6721</v>
      </c>
      <c r="W42" s="150">
        <v>8706</v>
      </c>
      <c r="X42" s="150">
        <v>8875</v>
      </c>
      <c r="Y42" s="224">
        <v>8922.24</v>
      </c>
    </row>
    <row r="43" spans="1:25" ht="42" outlineLevel="2" x14ac:dyDescent="0.4">
      <c r="A43" s="147"/>
      <c r="B43" s="146"/>
      <c r="C43" s="146"/>
      <c r="D43" s="146" t="s">
        <v>173</v>
      </c>
      <c r="E43" s="145" t="s">
        <v>172</v>
      </c>
      <c r="F43" s="144">
        <v>531</v>
      </c>
      <c r="G43" s="144">
        <v>645</v>
      </c>
      <c r="H43" s="144">
        <v>834</v>
      </c>
      <c r="I43" s="144">
        <v>908</v>
      </c>
      <c r="J43" s="144">
        <v>903</v>
      </c>
      <c r="K43" s="144">
        <v>938</v>
      </c>
      <c r="L43" s="144">
        <v>961</v>
      </c>
      <c r="M43" s="144">
        <v>996</v>
      </c>
      <c r="N43" s="144">
        <v>1039</v>
      </c>
      <c r="O43" s="144">
        <v>1094</v>
      </c>
      <c r="P43" s="144">
        <v>1137</v>
      </c>
      <c r="Q43" s="144">
        <v>1170</v>
      </c>
      <c r="R43" s="144">
        <v>1092</v>
      </c>
      <c r="S43" s="144">
        <v>1036</v>
      </c>
      <c r="T43" s="144">
        <v>1010</v>
      </c>
      <c r="U43" s="144">
        <v>973</v>
      </c>
      <c r="V43" s="144">
        <v>935</v>
      </c>
      <c r="W43" s="144">
        <v>1168</v>
      </c>
      <c r="X43" s="144">
        <v>1137</v>
      </c>
      <c r="Y43" s="223">
        <v>1114.6199999999999</v>
      </c>
    </row>
    <row r="44" spans="1:25" outlineLevel="2" x14ac:dyDescent="0.4">
      <c r="A44" s="165"/>
      <c r="B44" s="164"/>
      <c r="C44" s="164"/>
      <c r="D44" s="164" t="s">
        <v>171</v>
      </c>
      <c r="E44" s="163" t="s">
        <v>170</v>
      </c>
      <c r="F44" s="162">
        <v>1977</v>
      </c>
      <c r="G44" s="162">
        <v>2187</v>
      </c>
      <c r="H44" s="162">
        <v>2356</v>
      </c>
      <c r="I44" s="162">
        <v>2478</v>
      </c>
      <c r="J44" s="162">
        <v>2653</v>
      </c>
      <c r="K44" s="162">
        <v>2350</v>
      </c>
      <c r="L44" s="162">
        <v>2318</v>
      </c>
      <c r="M44" s="162">
        <v>2523</v>
      </c>
      <c r="N44" s="162">
        <v>2581</v>
      </c>
      <c r="O44" s="162">
        <v>2655</v>
      </c>
      <c r="P44" s="162">
        <v>3219</v>
      </c>
      <c r="Q44" s="162">
        <v>3115</v>
      </c>
      <c r="R44" s="162">
        <v>3269</v>
      </c>
      <c r="S44" s="162">
        <v>3479</v>
      </c>
      <c r="T44" s="162">
        <v>3818</v>
      </c>
      <c r="U44" s="162">
        <v>3764</v>
      </c>
      <c r="V44" s="162">
        <v>4244</v>
      </c>
      <c r="W44" s="162">
        <v>5629</v>
      </c>
      <c r="X44" s="162">
        <v>5798</v>
      </c>
      <c r="Y44" s="226">
        <v>5847.87</v>
      </c>
    </row>
    <row r="45" spans="1:25" ht="42" outlineLevel="2" x14ac:dyDescent="0.4">
      <c r="A45" s="147"/>
      <c r="B45" s="146"/>
      <c r="C45" s="146"/>
      <c r="D45" s="146" t="s">
        <v>169</v>
      </c>
      <c r="E45" s="145" t="s">
        <v>168</v>
      </c>
      <c r="F45" s="144">
        <v>893</v>
      </c>
      <c r="G45" s="144">
        <v>1010</v>
      </c>
      <c r="H45" s="144">
        <v>1148</v>
      </c>
      <c r="I45" s="144">
        <v>1230</v>
      </c>
      <c r="J45" s="144">
        <v>1336</v>
      </c>
      <c r="K45" s="144">
        <v>1374</v>
      </c>
      <c r="L45" s="144">
        <v>1494</v>
      </c>
      <c r="M45" s="144">
        <v>1604</v>
      </c>
      <c r="N45" s="144">
        <v>1653</v>
      </c>
      <c r="O45" s="144">
        <v>1654</v>
      </c>
      <c r="P45" s="144">
        <v>1701</v>
      </c>
      <c r="Q45" s="144">
        <v>1646</v>
      </c>
      <c r="R45" s="144">
        <v>1437</v>
      </c>
      <c r="S45" s="144">
        <v>1446</v>
      </c>
      <c r="T45" s="144">
        <v>1465</v>
      </c>
      <c r="U45" s="144">
        <v>1387</v>
      </c>
      <c r="V45" s="144">
        <v>1542</v>
      </c>
      <c r="W45" s="144">
        <v>1909</v>
      </c>
      <c r="X45" s="144">
        <v>1940</v>
      </c>
      <c r="Y45" s="223">
        <v>1959.76</v>
      </c>
    </row>
    <row r="46" spans="1:25" ht="82.5" customHeight="1" outlineLevel="1" x14ac:dyDescent="0.4">
      <c r="A46" s="153"/>
      <c r="B46" s="164"/>
      <c r="C46" s="152" t="s">
        <v>167</v>
      </c>
      <c r="D46" s="152"/>
      <c r="E46" s="151" t="s">
        <v>166</v>
      </c>
      <c r="F46" s="150">
        <v>15277</v>
      </c>
      <c r="G46" s="150">
        <v>17718</v>
      </c>
      <c r="H46" s="150">
        <v>20014</v>
      </c>
      <c r="I46" s="150">
        <v>21641</v>
      </c>
      <c r="J46" s="150">
        <v>21960</v>
      </c>
      <c r="K46" s="150">
        <v>23509</v>
      </c>
      <c r="L46" s="150">
        <v>26517</v>
      </c>
      <c r="M46" s="150">
        <v>28334</v>
      </c>
      <c r="N46" s="150">
        <v>30322</v>
      </c>
      <c r="O46" s="150">
        <v>32235</v>
      </c>
      <c r="P46" s="150">
        <v>35555</v>
      </c>
      <c r="Q46" s="150">
        <v>38111</v>
      </c>
      <c r="R46" s="150">
        <v>39071</v>
      </c>
      <c r="S46" s="150">
        <v>42105</v>
      </c>
      <c r="T46" s="150">
        <v>44731</v>
      </c>
      <c r="U46" s="150">
        <v>40040</v>
      </c>
      <c r="V46" s="150">
        <v>50786</v>
      </c>
      <c r="W46" s="150">
        <v>61741</v>
      </c>
      <c r="X46" s="150">
        <v>67520</v>
      </c>
      <c r="Y46" s="224">
        <v>66953.100000000006</v>
      </c>
    </row>
    <row r="47" spans="1:25" ht="28" outlineLevel="2" x14ac:dyDescent="0.4">
      <c r="A47" s="147"/>
      <c r="B47" s="146"/>
      <c r="C47" s="146"/>
      <c r="D47" s="146" t="s">
        <v>165</v>
      </c>
      <c r="E47" s="145" t="s">
        <v>164</v>
      </c>
      <c r="F47" s="144">
        <v>2798</v>
      </c>
      <c r="G47" s="144">
        <v>3398</v>
      </c>
      <c r="H47" s="144">
        <v>4003</v>
      </c>
      <c r="I47" s="144">
        <v>4580</v>
      </c>
      <c r="J47" s="144">
        <v>3925</v>
      </c>
      <c r="K47" s="144">
        <v>4983</v>
      </c>
      <c r="L47" s="144">
        <v>6422</v>
      </c>
      <c r="M47" s="144">
        <v>6632</v>
      </c>
      <c r="N47" s="144">
        <v>6925</v>
      </c>
      <c r="O47" s="144">
        <v>7357</v>
      </c>
      <c r="P47" s="144">
        <v>7761</v>
      </c>
      <c r="Q47" s="144">
        <v>8485</v>
      </c>
      <c r="R47" s="144">
        <v>10669</v>
      </c>
      <c r="S47" s="144">
        <v>12991</v>
      </c>
      <c r="T47" s="144">
        <v>14360</v>
      </c>
      <c r="U47" s="144">
        <v>10282</v>
      </c>
      <c r="V47" s="144">
        <v>15096</v>
      </c>
      <c r="W47" s="144">
        <v>19424</v>
      </c>
      <c r="X47" s="144">
        <v>22810</v>
      </c>
      <c r="Y47" s="223">
        <v>22944.59</v>
      </c>
    </row>
    <row r="48" spans="1:25" ht="84" outlineLevel="2" x14ac:dyDescent="0.4">
      <c r="A48" s="165"/>
      <c r="B48" s="164"/>
      <c r="C48" s="164"/>
      <c r="D48" s="164" t="s">
        <v>163</v>
      </c>
      <c r="E48" s="163" t="s">
        <v>162</v>
      </c>
      <c r="F48" s="162">
        <v>5776</v>
      </c>
      <c r="G48" s="162">
        <v>6511</v>
      </c>
      <c r="H48" s="162">
        <v>7102</v>
      </c>
      <c r="I48" s="162">
        <v>7704</v>
      </c>
      <c r="J48" s="162">
        <v>8434</v>
      </c>
      <c r="K48" s="162">
        <v>9017</v>
      </c>
      <c r="L48" s="162">
        <v>9279</v>
      </c>
      <c r="M48" s="162">
        <v>9573</v>
      </c>
      <c r="N48" s="162">
        <v>10402</v>
      </c>
      <c r="O48" s="162">
        <v>10571</v>
      </c>
      <c r="P48" s="162">
        <v>11814</v>
      </c>
      <c r="Q48" s="162">
        <v>13456</v>
      </c>
      <c r="R48" s="162">
        <v>13597</v>
      </c>
      <c r="S48" s="162">
        <v>14233</v>
      </c>
      <c r="T48" s="162">
        <v>15085</v>
      </c>
      <c r="U48" s="162">
        <v>16079</v>
      </c>
      <c r="V48" s="162">
        <v>20226</v>
      </c>
      <c r="W48" s="162">
        <v>24107</v>
      </c>
      <c r="X48" s="162">
        <v>25644</v>
      </c>
      <c r="Y48" s="226">
        <v>25480.03</v>
      </c>
    </row>
    <row r="49" spans="1:25" outlineLevel="2" x14ac:dyDescent="0.4">
      <c r="A49" s="147"/>
      <c r="B49" s="146"/>
      <c r="C49" s="146"/>
      <c r="D49" s="146" t="s">
        <v>161</v>
      </c>
      <c r="E49" s="145" t="s">
        <v>160</v>
      </c>
      <c r="F49" s="144">
        <v>2104</v>
      </c>
      <c r="G49" s="144">
        <v>2287</v>
      </c>
      <c r="H49" s="144">
        <v>2457</v>
      </c>
      <c r="I49" s="144">
        <v>2529</v>
      </c>
      <c r="J49" s="144">
        <v>2494</v>
      </c>
      <c r="K49" s="144">
        <v>2400</v>
      </c>
      <c r="L49" s="144">
        <v>2483</v>
      </c>
      <c r="M49" s="144">
        <v>2742</v>
      </c>
      <c r="N49" s="144">
        <v>2676</v>
      </c>
      <c r="O49" s="144">
        <v>2491</v>
      </c>
      <c r="P49" s="144">
        <v>2791</v>
      </c>
      <c r="Q49" s="144">
        <v>2869</v>
      </c>
      <c r="R49" s="144">
        <v>2735</v>
      </c>
      <c r="S49" s="144">
        <v>2963</v>
      </c>
      <c r="T49" s="144">
        <v>3196</v>
      </c>
      <c r="U49" s="144">
        <v>3173</v>
      </c>
      <c r="V49" s="144">
        <v>3246</v>
      </c>
      <c r="W49" s="144">
        <v>3802</v>
      </c>
      <c r="X49" s="144">
        <v>3662</v>
      </c>
      <c r="Y49" s="223">
        <v>3634.55</v>
      </c>
    </row>
    <row r="50" spans="1:25" outlineLevel="2" x14ac:dyDescent="0.4">
      <c r="A50" s="165"/>
      <c r="B50" s="164"/>
      <c r="C50" s="164"/>
      <c r="D50" s="164" t="s">
        <v>159</v>
      </c>
      <c r="E50" s="163" t="s">
        <v>158</v>
      </c>
      <c r="F50" s="162">
        <v>4599</v>
      </c>
      <c r="G50" s="162">
        <v>5522</v>
      </c>
      <c r="H50" s="162">
        <v>6452</v>
      </c>
      <c r="I50" s="162">
        <v>6828</v>
      </c>
      <c r="J50" s="162">
        <v>7107</v>
      </c>
      <c r="K50" s="162">
        <v>7109</v>
      </c>
      <c r="L50" s="162">
        <v>8333</v>
      </c>
      <c r="M50" s="162">
        <v>9387</v>
      </c>
      <c r="N50" s="162">
        <v>10319</v>
      </c>
      <c r="O50" s="162">
        <v>11816</v>
      </c>
      <c r="P50" s="162">
        <v>13189</v>
      </c>
      <c r="Q50" s="162">
        <v>13301</v>
      </c>
      <c r="R50" s="162">
        <v>12070</v>
      </c>
      <c r="S50" s="162">
        <v>11918</v>
      </c>
      <c r="T50" s="162">
        <v>12090</v>
      </c>
      <c r="U50" s="162">
        <v>10506</v>
      </c>
      <c r="V50" s="162">
        <v>12218</v>
      </c>
      <c r="W50" s="162">
        <v>14408</v>
      </c>
      <c r="X50" s="162">
        <v>15404</v>
      </c>
      <c r="Y50" s="226">
        <v>14893.93</v>
      </c>
    </row>
    <row r="51" spans="1:25" ht="112" outlineLevel="1" x14ac:dyDescent="0.4">
      <c r="A51" s="171"/>
      <c r="B51" s="146"/>
      <c r="C51" s="170" t="s">
        <v>157</v>
      </c>
      <c r="D51" s="170"/>
      <c r="E51" s="169" t="s">
        <v>156</v>
      </c>
      <c r="F51" s="168">
        <v>8705</v>
      </c>
      <c r="G51" s="168">
        <v>10168</v>
      </c>
      <c r="H51" s="168">
        <v>11660</v>
      </c>
      <c r="I51" s="168">
        <v>11144</v>
      </c>
      <c r="J51" s="168">
        <v>11017</v>
      </c>
      <c r="K51" s="168">
        <v>12285</v>
      </c>
      <c r="L51" s="168">
        <v>13046</v>
      </c>
      <c r="M51" s="168">
        <v>14636</v>
      </c>
      <c r="N51" s="168">
        <v>14474</v>
      </c>
      <c r="O51" s="168">
        <v>14661</v>
      </c>
      <c r="P51" s="168">
        <v>15004</v>
      </c>
      <c r="Q51" s="168">
        <v>15651</v>
      </c>
      <c r="R51" s="168">
        <v>13681</v>
      </c>
      <c r="S51" s="168">
        <v>14627</v>
      </c>
      <c r="T51" s="168">
        <v>16176</v>
      </c>
      <c r="U51" s="168">
        <v>15025</v>
      </c>
      <c r="V51" s="168">
        <v>17710</v>
      </c>
      <c r="W51" s="168">
        <v>21700</v>
      </c>
      <c r="X51" s="168">
        <v>21895</v>
      </c>
      <c r="Y51" s="227">
        <v>22271.119999999999</v>
      </c>
    </row>
    <row r="52" spans="1:25" ht="28" outlineLevel="2" x14ac:dyDescent="0.4">
      <c r="A52" s="165"/>
      <c r="B52" s="164"/>
      <c r="C52" s="164"/>
      <c r="D52" s="164" t="s">
        <v>155</v>
      </c>
      <c r="E52" s="163" t="s">
        <v>154</v>
      </c>
      <c r="F52" s="162">
        <v>2221</v>
      </c>
      <c r="G52" s="162">
        <v>2742</v>
      </c>
      <c r="H52" s="162">
        <v>3074</v>
      </c>
      <c r="I52" s="162">
        <v>3553</v>
      </c>
      <c r="J52" s="162">
        <v>3701</v>
      </c>
      <c r="K52" s="162">
        <v>4319</v>
      </c>
      <c r="L52" s="162">
        <v>5185</v>
      </c>
      <c r="M52" s="162">
        <v>5739</v>
      </c>
      <c r="N52" s="162">
        <v>5375</v>
      </c>
      <c r="O52" s="162">
        <v>5703</v>
      </c>
      <c r="P52" s="162">
        <v>5946</v>
      </c>
      <c r="Q52" s="162">
        <v>6329</v>
      </c>
      <c r="R52" s="162">
        <v>6208</v>
      </c>
      <c r="S52" s="162">
        <v>6688</v>
      </c>
      <c r="T52" s="162">
        <v>7671</v>
      </c>
      <c r="U52" s="162">
        <v>8183</v>
      </c>
      <c r="V52" s="162">
        <v>9839</v>
      </c>
      <c r="W52" s="162">
        <v>11746</v>
      </c>
      <c r="X52" s="162">
        <v>11532</v>
      </c>
      <c r="Y52" s="226">
        <v>11709.61</v>
      </c>
    </row>
    <row r="53" spans="1:25" ht="28" outlineLevel="2" x14ac:dyDescent="0.4">
      <c r="A53" s="147"/>
      <c r="B53" s="146"/>
      <c r="C53" s="146"/>
      <c r="D53" s="146" t="s">
        <v>153</v>
      </c>
      <c r="E53" s="145" t="s">
        <v>152</v>
      </c>
      <c r="F53" s="144">
        <v>1263</v>
      </c>
      <c r="G53" s="144">
        <v>1523</v>
      </c>
      <c r="H53" s="144">
        <v>1776</v>
      </c>
      <c r="I53" s="144">
        <v>1777</v>
      </c>
      <c r="J53" s="144">
        <v>1727</v>
      </c>
      <c r="K53" s="144">
        <v>1827</v>
      </c>
      <c r="L53" s="144">
        <v>1717</v>
      </c>
      <c r="M53" s="144">
        <v>1718</v>
      </c>
      <c r="N53" s="144">
        <v>1792</v>
      </c>
      <c r="O53" s="144">
        <v>1729</v>
      </c>
      <c r="P53" s="144">
        <v>1920</v>
      </c>
      <c r="Q53" s="144">
        <v>2122</v>
      </c>
      <c r="R53" s="144">
        <v>1960</v>
      </c>
      <c r="S53" s="144">
        <v>2111</v>
      </c>
      <c r="T53" s="144">
        <v>2227</v>
      </c>
      <c r="U53" s="144">
        <v>2174</v>
      </c>
      <c r="V53" s="144">
        <v>2376</v>
      </c>
      <c r="W53" s="144">
        <v>2884</v>
      </c>
      <c r="X53" s="144">
        <v>3308</v>
      </c>
      <c r="Y53" s="223">
        <v>3522.08</v>
      </c>
    </row>
    <row r="54" spans="1:25" ht="42" outlineLevel="2" x14ac:dyDescent="0.4">
      <c r="A54" s="165"/>
      <c r="B54" s="164"/>
      <c r="C54" s="164"/>
      <c r="D54" s="164" t="s">
        <v>151</v>
      </c>
      <c r="E54" s="163" t="s">
        <v>150</v>
      </c>
      <c r="F54" s="162">
        <v>3273</v>
      </c>
      <c r="G54" s="162">
        <v>3615</v>
      </c>
      <c r="H54" s="162">
        <v>4002</v>
      </c>
      <c r="I54" s="162">
        <v>4043</v>
      </c>
      <c r="J54" s="162">
        <v>4025</v>
      </c>
      <c r="K54" s="162">
        <v>3893</v>
      </c>
      <c r="L54" s="162">
        <v>4048</v>
      </c>
      <c r="M54" s="162">
        <v>4439</v>
      </c>
      <c r="N54" s="162">
        <v>4691</v>
      </c>
      <c r="O54" s="162">
        <v>4504</v>
      </c>
      <c r="P54" s="162">
        <v>4635</v>
      </c>
      <c r="Q54" s="162">
        <v>4669</v>
      </c>
      <c r="R54" s="162">
        <v>3237</v>
      </c>
      <c r="S54" s="162">
        <v>3351</v>
      </c>
      <c r="T54" s="162">
        <v>3560</v>
      </c>
      <c r="U54" s="162">
        <v>3087</v>
      </c>
      <c r="V54" s="162">
        <v>3271</v>
      </c>
      <c r="W54" s="162">
        <v>4033</v>
      </c>
      <c r="X54" s="162">
        <v>4257</v>
      </c>
      <c r="Y54" s="226">
        <v>4375.88</v>
      </c>
    </row>
    <row r="55" spans="1:25" ht="42" outlineLevel="2" x14ac:dyDescent="0.4">
      <c r="A55" s="147"/>
      <c r="B55" s="146"/>
      <c r="C55" s="146"/>
      <c r="D55" s="146" t="s">
        <v>149</v>
      </c>
      <c r="E55" s="145" t="s">
        <v>148</v>
      </c>
      <c r="F55" s="144">
        <v>1948</v>
      </c>
      <c r="G55" s="144">
        <v>2288</v>
      </c>
      <c r="H55" s="144">
        <v>2808</v>
      </c>
      <c r="I55" s="144">
        <v>1771</v>
      </c>
      <c r="J55" s="144">
        <v>1564</v>
      </c>
      <c r="K55" s="144">
        <v>2246</v>
      </c>
      <c r="L55" s="144">
        <v>2096</v>
      </c>
      <c r="M55" s="144">
        <v>2740</v>
      </c>
      <c r="N55" s="144">
        <v>2616</v>
      </c>
      <c r="O55" s="144">
        <v>2725</v>
      </c>
      <c r="P55" s="144">
        <v>2503</v>
      </c>
      <c r="Q55" s="144">
        <v>2531</v>
      </c>
      <c r="R55" s="144">
        <v>2276</v>
      </c>
      <c r="S55" s="144">
        <v>2477</v>
      </c>
      <c r="T55" s="144">
        <v>2718</v>
      </c>
      <c r="U55" s="144">
        <v>1581</v>
      </c>
      <c r="V55" s="144">
        <v>2224</v>
      </c>
      <c r="W55" s="144">
        <v>3037</v>
      </c>
      <c r="X55" s="144">
        <v>2798</v>
      </c>
      <c r="Y55" s="223">
        <v>2663.55</v>
      </c>
    </row>
    <row r="56" spans="1:25" ht="28" outlineLevel="1" x14ac:dyDescent="0.4">
      <c r="A56" s="153"/>
      <c r="B56" s="164"/>
      <c r="C56" s="152" t="s">
        <v>147</v>
      </c>
      <c r="D56" s="152"/>
      <c r="E56" s="151" t="s">
        <v>146</v>
      </c>
      <c r="F56" s="150">
        <v>3110</v>
      </c>
      <c r="G56" s="150">
        <v>3489</v>
      </c>
      <c r="H56" s="150">
        <v>3781</v>
      </c>
      <c r="I56" s="150">
        <v>3977</v>
      </c>
      <c r="J56" s="150">
        <v>4053</v>
      </c>
      <c r="K56" s="150">
        <v>4205</v>
      </c>
      <c r="L56" s="150">
        <v>4387</v>
      </c>
      <c r="M56" s="150">
        <v>4701</v>
      </c>
      <c r="N56" s="150">
        <v>4950</v>
      </c>
      <c r="O56" s="150">
        <v>5145</v>
      </c>
      <c r="P56" s="150">
        <v>5611</v>
      </c>
      <c r="Q56" s="150">
        <v>5589</v>
      </c>
      <c r="R56" s="150">
        <v>5460</v>
      </c>
      <c r="S56" s="150">
        <v>5747</v>
      </c>
      <c r="T56" s="150">
        <v>5774</v>
      </c>
      <c r="U56" s="150">
        <v>5347</v>
      </c>
      <c r="V56" s="150">
        <v>6689</v>
      </c>
      <c r="W56" s="150">
        <v>8114</v>
      </c>
      <c r="X56" s="150">
        <v>8163</v>
      </c>
      <c r="Y56" s="224">
        <v>8179.91</v>
      </c>
    </row>
    <row r="57" spans="1:25" outlineLevel="2" x14ac:dyDescent="0.4">
      <c r="A57" s="147"/>
      <c r="B57" s="146"/>
      <c r="C57" s="146"/>
      <c r="D57" s="146" t="s">
        <v>145</v>
      </c>
      <c r="E57" s="179" t="s">
        <v>144</v>
      </c>
      <c r="F57" s="144">
        <v>1280</v>
      </c>
      <c r="G57" s="144">
        <v>1402</v>
      </c>
      <c r="H57" s="144">
        <v>1576</v>
      </c>
      <c r="I57" s="144">
        <v>1658</v>
      </c>
      <c r="J57" s="144">
        <v>1781</v>
      </c>
      <c r="K57" s="144">
        <v>1741</v>
      </c>
      <c r="L57" s="144">
        <v>1837</v>
      </c>
      <c r="M57" s="144">
        <v>1986</v>
      </c>
      <c r="N57" s="144">
        <v>2132</v>
      </c>
      <c r="O57" s="144">
        <v>2209</v>
      </c>
      <c r="P57" s="144">
        <v>2306</v>
      </c>
      <c r="Q57" s="144">
        <v>2321</v>
      </c>
      <c r="R57" s="144">
        <v>2195</v>
      </c>
      <c r="S57" s="144">
        <v>2259</v>
      </c>
      <c r="T57" s="144">
        <v>2295</v>
      </c>
      <c r="U57" s="144">
        <v>2035</v>
      </c>
      <c r="V57" s="144">
        <v>2730</v>
      </c>
      <c r="W57" s="144">
        <v>3099</v>
      </c>
      <c r="X57" s="144">
        <v>3092</v>
      </c>
      <c r="Y57" s="223">
        <v>3012.11</v>
      </c>
    </row>
    <row r="58" spans="1:25" outlineLevel="2" x14ac:dyDescent="0.4">
      <c r="A58" s="165"/>
      <c r="B58" s="164"/>
      <c r="C58" s="164"/>
      <c r="D58" s="164" t="s">
        <v>143</v>
      </c>
      <c r="E58" s="178" t="s">
        <v>142</v>
      </c>
      <c r="F58" s="162">
        <v>1830</v>
      </c>
      <c r="G58" s="162">
        <v>2087</v>
      </c>
      <c r="H58" s="162">
        <v>2205</v>
      </c>
      <c r="I58" s="162">
        <v>2319</v>
      </c>
      <c r="J58" s="162">
        <v>2272</v>
      </c>
      <c r="K58" s="162">
        <v>2464</v>
      </c>
      <c r="L58" s="162">
        <v>2550</v>
      </c>
      <c r="M58" s="162">
        <v>2715</v>
      </c>
      <c r="N58" s="162">
        <v>2818</v>
      </c>
      <c r="O58" s="162">
        <v>2936</v>
      </c>
      <c r="P58" s="162">
        <v>3305</v>
      </c>
      <c r="Q58" s="162">
        <v>3268</v>
      </c>
      <c r="R58" s="162">
        <v>3265</v>
      </c>
      <c r="S58" s="162">
        <v>3488</v>
      </c>
      <c r="T58" s="162">
        <v>3479</v>
      </c>
      <c r="U58" s="162">
        <v>3312</v>
      </c>
      <c r="V58" s="162">
        <v>3959</v>
      </c>
      <c r="W58" s="162">
        <v>5015</v>
      </c>
      <c r="X58" s="162">
        <v>5071</v>
      </c>
      <c r="Y58" s="226">
        <v>5167.79</v>
      </c>
    </row>
    <row r="59" spans="1:25" ht="56" x14ac:dyDescent="0.4">
      <c r="A59" s="159"/>
      <c r="B59" s="158" t="s">
        <v>141</v>
      </c>
      <c r="C59" s="158"/>
      <c r="D59" s="158"/>
      <c r="E59" s="157" t="s">
        <v>140</v>
      </c>
      <c r="F59" s="156">
        <v>12035</v>
      </c>
      <c r="G59" s="156">
        <v>13290</v>
      </c>
      <c r="H59" s="156">
        <v>14757</v>
      </c>
      <c r="I59" s="156">
        <v>15895</v>
      </c>
      <c r="J59" s="156">
        <v>16341</v>
      </c>
      <c r="K59" s="156">
        <v>17809</v>
      </c>
      <c r="L59" s="156">
        <v>19318</v>
      </c>
      <c r="M59" s="156">
        <v>20467</v>
      </c>
      <c r="N59" s="156">
        <v>21767</v>
      </c>
      <c r="O59" s="156">
        <v>22947</v>
      </c>
      <c r="P59" s="156">
        <v>24599</v>
      </c>
      <c r="Q59" s="156">
        <v>27624</v>
      </c>
      <c r="R59" s="156">
        <v>29789</v>
      </c>
      <c r="S59" s="156">
        <v>32616</v>
      </c>
      <c r="T59" s="156">
        <v>36124</v>
      </c>
      <c r="U59" s="156">
        <v>38850</v>
      </c>
      <c r="V59" s="156">
        <v>44820</v>
      </c>
      <c r="W59" s="156">
        <v>54995</v>
      </c>
      <c r="X59" s="156">
        <v>65346</v>
      </c>
      <c r="Y59" s="225">
        <v>74106.13</v>
      </c>
    </row>
    <row r="60" spans="1:25" outlineLevel="1" x14ac:dyDescent="0.4">
      <c r="A60" s="153"/>
      <c r="B60" s="152"/>
      <c r="C60" s="152" t="s">
        <v>139</v>
      </c>
      <c r="D60" s="152"/>
      <c r="E60" s="151" t="s">
        <v>138</v>
      </c>
      <c r="F60" s="150">
        <v>7381</v>
      </c>
      <c r="G60" s="150">
        <v>8177</v>
      </c>
      <c r="H60" s="150">
        <v>9188</v>
      </c>
      <c r="I60" s="150">
        <v>10139</v>
      </c>
      <c r="J60" s="150">
        <v>10357</v>
      </c>
      <c r="K60" s="150">
        <v>11414</v>
      </c>
      <c r="L60" s="150">
        <v>12551</v>
      </c>
      <c r="M60" s="150">
        <v>13579</v>
      </c>
      <c r="N60" s="150">
        <v>14622</v>
      </c>
      <c r="O60" s="150">
        <v>15611</v>
      </c>
      <c r="P60" s="150">
        <v>16842</v>
      </c>
      <c r="Q60" s="150">
        <v>19583</v>
      </c>
      <c r="R60" s="150">
        <v>20665</v>
      </c>
      <c r="S60" s="150">
        <v>22595</v>
      </c>
      <c r="T60" s="150">
        <v>25137</v>
      </c>
      <c r="U60" s="150">
        <v>27894</v>
      </c>
      <c r="V60" s="150">
        <v>31650</v>
      </c>
      <c r="W60" s="150">
        <v>39804</v>
      </c>
      <c r="X60" s="150">
        <v>49309</v>
      </c>
      <c r="Y60" s="224">
        <v>57328.68</v>
      </c>
    </row>
    <row r="61" spans="1:25" ht="24.75" customHeight="1" outlineLevel="2" x14ac:dyDescent="0.4">
      <c r="A61" s="147"/>
      <c r="B61" s="146"/>
      <c r="C61" s="146"/>
      <c r="D61" s="146" t="s">
        <v>137</v>
      </c>
      <c r="E61" s="145" t="s">
        <v>136</v>
      </c>
      <c r="F61" s="144">
        <v>6293</v>
      </c>
      <c r="G61" s="144">
        <v>6800</v>
      </c>
      <c r="H61" s="144">
        <v>7488</v>
      </c>
      <c r="I61" s="144">
        <v>8117</v>
      </c>
      <c r="J61" s="144">
        <v>8965</v>
      </c>
      <c r="K61" s="144">
        <v>9896</v>
      </c>
      <c r="L61" s="144">
        <v>10879</v>
      </c>
      <c r="M61" s="144">
        <v>11661</v>
      </c>
      <c r="N61" s="144">
        <v>12520</v>
      </c>
      <c r="O61" s="144">
        <v>13439</v>
      </c>
      <c r="P61" s="144">
        <v>14017</v>
      </c>
      <c r="Q61" s="144">
        <v>16085</v>
      </c>
      <c r="R61" s="144">
        <v>16795</v>
      </c>
      <c r="S61" s="144">
        <v>18461</v>
      </c>
      <c r="T61" s="144">
        <v>20639</v>
      </c>
      <c r="U61" s="144">
        <v>22880</v>
      </c>
      <c r="V61" s="144">
        <v>26007</v>
      </c>
      <c r="W61" s="144">
        <v>33079</v>
      </c>
      <c r="X61" s="144">
        <v>42061</v>
      </c>
      <c r="Y61" s="223">
        <v>49700.73</v>
      </c>
    </row>
    <row r="62" spans="1:25" ht="28" outlineLevel="2" x14ac:dyDescent="0.4">
      <c r="A62" s="165"/>
      <c r="B62" s="164"/>
      <c r="C62" s="164"/>
      <c r="D62" s="164" t="s">
        <v>135</v>
      </c>
      <c r="E62" s="163" t="s">
        <v>134</v>
      </c>
      <c r="F62" s="162">
        <v>1088</v>
      </c>
      <c r="G62" s="162">
        <v>1377</v>
      </c>
      <c r="H62" s="162">
        <v>1700</v>
      </c>
      <c r="I62" s="162">
        <v>2022</v>
      </c>
      <c r="J62" s="162">
        <v>1392</v>
      </c>
      <c r="K62" s="162">
        <v>1518</v>
      </c>
      <c r="L62" s="162">
        <v>1672</v>
      </c>
      <c r="M62" s="162">
        <v>1918</v>
      </c>
      <c r="N62" s="162">
        <v>2102</v>
      </c>
      <c r="O62" s="162">
        <v>2172</v>
      </c>
      <c r="P62" s="162">
        <v>2825</v>
      </c>
      <c r="Q62" s="162">
        <v>3498</v>
      </c>
      <c r="R62" s="162">
        <v>3870</v>
      </c>
      <c r="S62" s="162">
        <v>4134</v>
      </c>
      <c r="T62" s="162">
        <v>4498</v>
      </c>
      <c r="U62" s="162">
        <v>5014</v>
      </c>
      <c r="V62" s="162">
        <v>5643</v>
      </c>
      <c r="W62" s="162">
        <v>6725</v>
      </c>
      <c r="X62" s="162">
        <v>7248</v>
      </c>
      <c r="Y62" s="226">
        <v>7627.95</v>
      </c>
    </row>
    <row r="63" spans="1:25" ht="42" outlineLevel="1" x14ac:dyDescent="0.4">
      <c r="A63" s="171"/>
      <c r="B63" s="170"/>
      <c r="C63" s="170" t="s">
        <v>133</v>
      </c>
      <c r="D63" s="170"/>
      <c r="E63" s="169" t="s">
        <v>132</v>
      </c>
      <c r="F63" s="168">
        <v>4654</v>
      </c>
      <c r="G63" s="168">
        <v>5113</v>
      </c>
      <c r="H63" s="168">
        <v>5569</v>
      </c>
      <c r="I63" s="168">
        <v>5756</v>
      </c>
      <c r="J63" s="168">
        <v>5984</v>
      </c>
      <c r="K63" s="168">
        <v>6395</v>
      </c>
      <c r="L63" s="168">
        <v>6767</v>
      </c>
      <c r="M63" s="168">
        <v>6888</v>
      </c>
      <c r="N63" s="168">
        <v>7145</v>
      </c>
      <c r="O63" s="168">
        <v>7336</v>
      </c>
      <c r="P63" s="168">
        <v>7757</v>
      </c>
      <c r="Q63" s="168">
        <v>8041</v>
      </c>
      <c r="R63" s="168">
        <v>9124</v>
      </c>
      <c r="S63" s="168">
        <v>10021</v>
      </c>
      <c r="T63" s="168">
        <v>10987</v>
      </c>
      <c r="U63" s="168">
        <v>10956</v>
      </c>
      <c r="V63" s="168">
        <v>13170</v>
      </c>
      <c r="W63" s="168">
        <v>15191</v>
      </c>
      <c r="X63" s="168">
        <v>16037</v>
      </c>
      <c r="Y63" s="227">
        <v>16777.45</v>
      </c>
    </row>
    <row r="64" spans="1:25" outlineLevel="2" x14ac:dyDescent="0.4">
      <c r="A64" s="165"/>
      <c r="B64" s="164"/>
      <c r="C64" s="164"/>
      <c r="D64" s="164" t="s">
        <v>131</v>
      </c>
      <c r="E64" s="163" t="s">
        <v>130</v>
      </c>
      <c r="F64" s="162">
        <v>1463</v>
      </c>
      <c r="G64" s="162">
        <v>1488</v>
      </c>
      <c r="H64" s="162">
        <v>1578</v>
      </c>
      <c r="I64" s="162">
        <v>1736</v>
      </c>
      <c r="J64" s="162">
        <v>1785</v>
      </c>
      <c r="K64" s="162">
        <v>1854</v>
      </c>
      <c r="L64" s="162">
        <v>1962</v>
      </c>
      <c r="M64" s="162">
        <v>2079</v>
      </c>
      <c r="N64" s="162">
        <v>2178</v>
      </c>
      <c r="O64" s="162">
        <v>2268</v>
      </c>
      <c r="P64" s="162">
        <v>2376</v>
      </c>
      <c r="Q64" s="162">
        <v>2502</v>
      </c>
      <c r="R64" s="162">
        <v>2703</v>
      </c>
      <c r="S64" s="162">
        <v>3012</v>
      </c>
      <c r="T64" s="162">
        <v>3263</v>
      </c>
      <c r="U64" s="162">
        <v>3372</v>
      </c>
      <c r="V64" s="162">
        <v>3585</v>
      </c>
      <c r="W64" s="162">
        <v>3898</v>
      </c>
      <c r="X64" s="162">
        <v>4499</v>
      </c>
      <c r="Y64" s="226">
        <v>4795.5600000000004</v>
      </c>
    </row>
    <row r="65" spans="1:25" ht="42" outlineLevel="2" x14ac:dyDescent="0.4">
      <c r="A65" s="147"/>
      <c r="B65" s="146"/>
      <c r="C65" s="146"/>
      <c r="D65" s="146" t="s">
        <v>129</v>
      </c>
      <c r="E65" s="145" t="s">
        <v>128</v>
      </c>
      <c r="F65" s="144">
        <v>2227</v>
      </c>
      <c r="G65" s="144">
        <v>2561</v>
      </c>
      <c r="H65" s="144">
        <v>2831</v>
      </c>
      <c r="I65" s="144">
        <v>2980</v>
      </c>
      <c r="J65" s="144">
        <v>3175</v>
      </c>
      <c r="K65" s="144">
        <v>3391</v>
      </c>
      <c r="L65" s="144">
        <v>3520</v>
      </c>
      <c r="M65" s="144">
        <v>3600</v>
      </c>
      <c r="N65" s="144">
        <v>3739</v>
      </c>
      <c r="O65" s="144">
        <v>3913</v>
      </c>
      <c r="P65" s="144">
        <v>4068</v>
      </c>
      <c r="Q65" s="144">
        <v>4223</v>
      </c>
      <c r="R65" s="144">
        <v>4941</v>
      </c>
      <c r="S65" s="144">
        <v>5448</v>
      </c>
      <c r="T65" s="144">
        <v>6159</v>
      </c>
      <c r="U65" s="144">
        <v>5983</v>
      </c>
      <c r="V65" s="144">
        <v>6554</v>
      </c>
      <c r="W65" s="144">
        <v>7467</v>
      </c>
      <c r="X65" s="144">
        <v>8660</v>
      </c>
      <c r="Y65" s="223">
        <v>9238.73</v>
      </c>
    </row>
    <row r="66" spans="1:25" outlineLevel="2" x14ac:dyDescent="0.4">
      <c r="A66" s="165"/>
      <c r="B66" s="164"/>
      <c r="C66" s="164"/>
      <c r="D66" s="164" t="s">
        <v>127</v>
      </c>
      <c r="E66" s="163" t="s">
        <v>126</v>
      </c>
      <c r="F66" s="162">
        <v>964</v>
      </c>
      <c r="G66" s="162">
        <v>1064</v>
      </c>
      <c r="H66" s="162">
        <v>1160</v>
      </c>
      <c r="I66" s="162">
        <v>1040</v>
      </c>
      <c r="J66" s="162">
        <v>1024</v>
      </c>
      <c r="K66" s="162">
        <v>1150</v>
      </c>
      <c r="L66" s="162">
        <v>1285</v>
      </c>
      <c r="M66" s="162">
        <v>1209</v>
      </c>
      <c r="N66" s="162">
        <v>1228</v>
      </c>
      <c r="O66" s="162">
        <v>1155</v>
      </c>
      <c r="P66" s="162">
        <v>1313</v>
      </c>
      <c r="Q66" s="162">
        <v>1316</v>
      </c>
      <c r="R66" s="162">
        <v>1480</v>
      </c>
      <c r="S66" s="162">
        <v>1561</v>
      </c>
      <c r="T66" s="162">
        <v>1565</v>
      </c>
      <c r="U66" s="162">
        <v>1601</v>
      </c>
      <c r="V66" s="162">
        <v>3031</v>
      </c>
      <c r="W66" s="162">
        <v>3826</v>
      </c>
      <c r="X66" s="162">
        <v>2878</v>
      </c>
      <c r="Y66" s="226">
        <v>2743.17</v>
      </c>
    </row>
    <row r="67" spans="1:25" x14ac:dyDescent="0.4">
      <c r="A67" s="159"/>
      <c r="B67" s="158" t="s">
        <v>125</v>
      </c>
      <c r="C67" s="158"/>
      <c r="D67" s="158"/>
      <c r="E67" s="157" t="s">
        <v>124</v>
      </c>
      <c r="F67" s="156">
        <v>14415</v>
      </c>
      <c r="G67" s="156">
        <v>17575</v>
      </c>
      <c r="H67" s="156">
        <v>20611</v>
      </c>
      <c r="I67" s="156">
        <v>25288</v>
      </c>
      <c r="J67" s="156">
        <v>29019</v>
      </c>
      <c r="K67" s="156">
        <v>29776</v>
      </c>
      <c r="L67" s="156">
        <v>34462</v>
      </c>
      <c r="M67" s="156">
        <v>40385</v>
      </c>
      <c r="N67" s="156">
        <v>48320</v>
      </c>
      <c r="O67" s="156">
        <v>55568</v>
      </c>
      <c r="P67" s="156">
        <v>58042</v>
      </c>
      <c r="Q67" s="156">
        <v>64325</v>
      </c>
      <c r="R67" s="156">
        <v>64474</v>
      </c>
      <c r="S67" s="156">
        <v>65110</v>
      </c>
      <c r="T67" s="156">
        <v>65277</v>
      </c>
      <c r="U67" s="156">
        <v>47384</v>
      </c>
      <c r="V67" s="156">
        <v>50235</v>
      </c>
      <c r="W67" s="156">
        <v>57772</v>
      </c>
      <c r="X67" s="156">
        <v>64208</v>
      </c>
      <c r="Y67" s="225">
        <v>71252.62</v>
      </c>
    </row>
    <row r="68" spans="1:25" outlineLevel="1" x14ac:dyDescent="0.4">
      <c r="A68" s="153"/>
      <c r="B68" s="152"/>
      <c r="C68" s="152" t="s">
        <v>123</v>
      </c>
      <c r="D68" s="152"/>
      <c r="E68" s="151" t="s">
        <v>121</v>
      </c>
      <c r="F68" s="150">
        <v>7615</v>
      </c>
      <c r="G68" s="150">
        <v>9167</v>
      </c>
      <c r="H68" s="150">
        <v>10406</v>
      </c>
      <c r="I68" s="150">
        <v>13136</v>
      </c>
      <c r="J68" s="150">
        <v>14529</v>
      </c>
      <c r="K68" s="150">
        <v>15180</v>
      </c>
      <c r="L68" s="150">
        <v>17192</v>
      </c>
      <c r="M68" s="150">
        <v>20614</v>
      </c>
      <c r="N68" s="150">
        <v>24987</v>
      </c>
      <c r="O68" s="150">
        <v>28539</v>
      </c>
      <c r="P68" s="150">
        <v>30111</v>
      </c>
      <c r="Q68" s="150">
        <v>33869</v>
      </c>
      <c r="R68" s="150">
        <v>31692</v>
      </c>
      <c r="S68" s="150">
        <v>32115</v>
      </c>
      <c r="T68" s="150">
        <v>30015</v>
      </c>
      <c r="U68" s="150">
        <v>21637</v>
      </c>
      <c r="V68" s="150">
        <v>23788</v>
      </c>
      <c r="W68" s="150">
        <v>29057</v>
      </c>
      <c r="X68" s="150">
        <v>33644</v>
      </c>
      <c r="Y68" s="224">
        <v>36367.769999999997</v>
      </c>
    </row>
    <row r="69" spans="1:25" outlineLevel="2" x14ac:dyDescent="0.4">
      <c r="A69" s="147"/>
      <c r="B69" s="146"/>
      <c r="C69" s="146"/>
      <c r="D69" s="146" t="s">
        <v>122</v>
      </c>
      <c r="E69" s="145" t="s">
        <v>121</v>
      </c>
      <c r="F69" s="144">
        <v>7615</v>
      </c>
      <c r="G69" s="144">
        <v>9167</v>
      </c>
      <c r="H69" s="144">
        <v>10406</v>
      </c>
      <c r="I69" s="144">
        <v>13136</v>
      </c>
      <c r="J69" s="144">
        <v>14529</v>
      </c>
      <c r="K69" s="144">
        <v>15180</v>
      </c>
      <c r="L69" s="144">
        <v>17192</v>
      </c>
      <c r="M69" s="144">
        <v>20614</v>
      </c>
      <c r="N69" s="144">
        <v>24987</v>
      </c>
      <c r="O69" s="144">
        <v>28539</v>
      </c>
      <c r="P69" s="144">
        <v>30111</v>
      </c>
      <c r="Q69" s="144">
        <v>33869</v>
      </c>
      <c r="R69" s="144">
        <v>31692</v>
      </c>
      <c r="S69" s="144">
        <v>32115</v>
      </c>
      <c r="T69" s="144">
        <v>30015</v>
      </c>
      <c r="U69" s="144">
        <v>21637</v>
      </c>
      <c r="V69" s="144">
        <v>23788</v>
      </c>
      <c r="W69" s="144">
        <v>29057</v>
      </c>
      <c r="X69" s="144">
        <v>33644</v>
      </c>
      <c r="Y69" s="223">
        <v>36367.769999999997</v>
      </c>
    </row>
    <row r="70" spans="1:25" ht="28" outlineLevel="1" x14ac:dyDescent="0.4">
      <c r="A70" s="153"/>
      <c r="B70" s="152"/>
      <c r="C70" s="152" t="s">
        <v>120</v>
      </c>
      <c r="D70" s="152"/>
      <c r="E70" s="151" t="s">
        <v>118</v>
      </c>
      <c r="F70" s="150">
        <v>4321</v>
      </c>
      <c r="G70" s="150">
        <v>5324</v>
      </c>
      <c r="H70" s="150">
        <v>6617</v>
      </c>
      <c r="I70" s="150">
        <v>7476</v>
      </c>
      <c r="J70" s="150">
        <v>9233</v>
      </c>
      <c r="K70" s="150">
        <v>9014</v>
      </c>
      <c r="L70" s="150">
        <v>10844</v>
      </c>
      <c r="M70" s="150">
        <v>11809</v>
      </c>
      <c r="N70" s="150">
        <v>13444</v>
      </c>
      <c r="O70" s="150">
        <v>15449</v>
      </c>
      <c r="P70" s="150">
        <v>15906</v>
      </c>
      <c r="Q70" s="150">
        <v>15742</v>
      </c>
      <c r="R70" s="150">
        <v>17086</v>
      </c>
      <c r="S70" s="150">
        <v>16946</v>
      </c>
      <c r="T70" s="150">
        <v>20046</v>
      </c>
      <c r="U70" s="150">
        <v>15359</v>
      </c>
      <c r="V70" s="150">
        <v>14837</v>
      </c>
      <c r="W70" s="150">
        <v>15677</v>
      </c>
      <c r="X70" s="150">
        <v>15622</v>
      </c>
      <c r="Y70" s="224">
        <v>18331.93</v>
      </c>
    </row>
    <row r="71" spans="1:25" ht="28" outlineLevel="2" x14ac:dyDescent="0.4">
      <c r="A71" s="147"/>
      <c r="B71" s="146"/>
      <c r="C71" s="146"/>
      <c r="D71" s="146" t="s">
        <v>119</v>
      </c>
      <c r="E71" s="145" t="s">
        <v>118</v>
      </c>
      <c r="F71" s="144">
        <v>4321</v>
      </c>
      <c r="G71" s="144">
        <v>5324</v>
      </c>
      <c r="H71" s="144">
        <v>6617</v>
      </c>
      <c r="I71" s="144">
        <v>7476</v>
      </c>
      <c r="J71" s="144">
        <v>9233</v>
      </c>
      <c r="K71" s="144">
        <v>9014</v>
      </c>
      <c r="L71" s="144">
        <v>10844</v>
      </c>
      <c r="M71" s="144">
        <v>11809</v>
      </c>
      <c r="N71" s="144">
        <v>13444</v>
      </c>
      <c r="O71" s="144">
        <v>15449</v>
      </c>
      <c r="P71" s="144">
        <v>15906</v>
      </c>
      <c r="Q71" s="144">
        <v>15742</v>
      </c>
      <c r="R71" s="144">
        <v>17086</v>
      </c>
      <c r="S71" s="144">
        <v>16946</v>
      </c>
      <c r="T71" s="144">
        <v>20046</v>
      </c>
      <c r="U71" s="144">
        <v>15359</v>
      </c>
      <c r="V71" s="144">
        <v>14837</v>
      </c>
      <c r="W71" s="144">
        <v>15677</v>
      </c>
      <c r="X71" s="144">
        <v>15622</v>
      </c>
      <c r="Y71" s="223">
        <v>18331.93</v>
      </c>
    </row>
    <row r="72" spans="1:25" ht="42" outlineLevel="1" x14ac:dyDescent="0.4">
      <c r="A72" s="153"/>
      <c r="B72" s="152"/>
      <c r="C72" s="152" t="s">
        <v>117</v>
      </c>
      <c r="D72" s="152"/>
      <c r="E72" s="151" t="s">
        <v>115</v>
      </c>
      <c r="F72" s="150">
        <v>2479</v>
      </c>
      <c r="G72" s="150">
        <v>3084</v>
      </c>
      <c r="H72" s="150">
        <v>3588</v>
      </c>
      <c r="I72" s="150">
        <v>4676</v>
      </c>
      <c r="J72" s="150">
        <v>5257</v>
      </c>
      <c r="K72" s="150">
        <v>5582</v>
      </c>
      <c r="L72" s="150">
        <v>6426</v>
      </c>
      <c r="M72" s="150">
        <v>7962</v>
      </c>
      <c r="N72" s="150">
        <v>9889</v>
      </c>
      <c r="O72" s="150">
        <v>11580</v>
      </c>
      <c r="P72" s="150">
        <v>12025</v>
      </c>
      <c r="Q72" s="150">
        <v>14714</v>
      </c>
      <c r="R72" s="150">
        <v>15696</v>
      </c>
      <c r="S72" s="150">
        <v>16049</v>
      </c>
      <c r="T72" s="150">
        <v>15216</v>
      </c>
      <c r="U72" s="150">
        <v>10388</v>
      </c>
      <c r="V72" s="150">
        <v>11610</v>
      </c>
      <c r="W72" s="150">
        <v>13038</v>
      </c>
      <c r="X72" s="150">
        <v>14942</v>
      </c>
      <c r="Y72" s="224">
        <v>16552.919999999998</v>
      </c>
    </row>
    <row r="73" spans="1:25" ht="42" outlineLevel="2" x14ac:dyDescent="0.4">
      <c r="A73" s="147"/>
      <c r="B73" s="146"/>
      <c r="C73" s="146"/>
      <c r="D73" s="146" t="s">
        <v>116</v>
      </c>
      <c r="E73" s="145" t="s">
        <v>115</v>
      </c>
      <c r="F73" s="144">
        <v>2479</v>
      </c>
      <c r="G73" s="144">
        <v>3084</v>
      </c>
      <c r="H73" s="144">
        <v>3588</v>
      </c>
      <c r="I73" s="144">
        <v>4676</v>
      </c>
      <c r="J73" s="144">
        <v>5257</v>
      </c>
      <c r="K73" s="144">
        <v>5582</v>
      </c>
      <c r="L73" s="144">
        <v>6426</v>
      </c>
      <c r="M73" s="144">
        <v>7962</v>
      </c>
      <c r="N73" s="144">
        <v>9889</v>
      </c>
      <c r="O73" s="144">
        <v>11580</v>
      </c>
      <c r="P73" s="144">
        <v>12025</v>
      </c>
      <c r="Q73" s="144">
        <v>14714</v>
      </c>
      <c r="R73" s="144">
        <v>15696</v>
      </c>
      <c r="S73" s="144">
        <v>16049</v>
      </c>
      <c r="T73" s="144">
        <v>15216</v>
      </c>
      <c r="U73" s="144">
        <v>10388</v>
      </c>
      <c r="V73" s="144">
        <v>11610</v>
      </c>
      <c r="W73" s="144">
        <v>13038</v>
      </c>
      <c r="X73" s="144">
        <v>14942</v>
      </c>
      <c r="Y73" s="223">
        <v>16552.919999999998</v>
      </c>
    </row>
    <row r="74" spans="1:25" ht="42" x14ac:dyDescent="0.4">
      <c r="A74" s="177"/>
      <c r="B74" s="176" t="s">
        <v>114</v>
      </c>
      <c r="C74" s="176"/>
      <c r="D74" s="176"/>
      <c r="E74" s="175" t="s">
        <v>113</v>
      </c>
      <c r="F74" s="174">
        <v>54918</v>
      </c>
      <c r="G74" s="174">
        <v>62152</v>
      </c>
      <c r="H74" s="174">
        <v>71392</v>
      </c>
      <c r="I74" s="174">
        <v>75636</v>
      </c>
      <c r="J74" s="174">
        <v>79703</v>
      </c>
      <c r="K74" s="174">
        <v>84926</v>
      </c>
      <c r="L74" s="174">
        <v>93024</v>
      </c>
      <c r="M74" s="174">
        <v>98508</v>
      </c>
      <c r="N74" s="174">
        <v>109807</v>
      </c>
      <c r="O74" s="174">
        <v>120677</v>
      </c>
      <c r="P74" s="174">
        <v>135429</v>
      </c>
      <c r="Q74" s="174">
        <v>152684</v>
      </c>
      <c r="R74" s="174">
        <v>163052</v>
      </c>
      <c r="S74" s="174">
        <v>173708</v>
      </c>
      <c r="T74" s="174">
        <v>188266</v>
      </c>
      <c r="U74" s="174">
        <v>170072</v>
      </c>
      <c r="V74" s="174">
        <v>216640</v>
      </c>
      <c r="W74" s="174">
        <v>272982</v>
      </c>
      <c r="X74" s="174">
        <v>296770</v>
      </c>
      <c r="Y74" s="228">
        <v>322958.11</v>
      </c>
    </row>
    <row r="75" spans="1:25" ht="28" outlineLevel="1" x14ac:dyDescent="0.4">
      <c r="A75" s="171"/>
      <c r="B75" s="170"/>
      <c r="C75" s="170" t="s">
        <v>112</v>
      </c>
      <c r="D75" s="170"/>
      <c r="E75" s="169" t="s">
        <v>111</v>
      </c>
      <c r="F75" s="168">
        <v>30086</v>
      </c>
      <c r="G75" s="168">
        <v>33669</v>
      </c>
      <c r="H75" s="168">
        <v>37676</v>
      </c>
      <c r="I75" s="168">
        <v>39765</v>
      </c>
      <c r="J75" s="168">
        <v>40366</v>
      </c>
      <c r="K75" s="168">
        <v>42670</v>
      </c>
      <c r="L75" s="168">
        <v>47656</v>
      </c>
      <c r="M75" s="168">
        <v>49371</v>
      </c>
      <c r="N75" s="168">
        <v>53123</v>
      </c>
      <c r="O75" s="168">
        <v>56951</v>
      </c>
      <c r="P75" s="168">
        <v>64866</v>
      </c>
      <c r="Q75" s="168">
        <v>75403</v>
      </c>
      <c r="R75" s="168">
        <v>81148</v>
      </c>
      <c r="S75" s="168">
        <v>86706</v>
      </c>
      <c r="T75" s="168">
        <v>96445</v>
      </c>
      <c r="U75" s="168">
        <v>97793</v>
      </c>
      <c r="V75" s="168">
        <v>122888</v>
      </c>
      <c r="W75" s="168">
        <v>149841</v>
      </c>
      <c r="X75" s="168">
        <v>158342</v>
      </c>
      <c r="Y75" s="227">
        <v>174980.39</v>
      </c>
    </row>
    <row r="76" spans="1:25" ht="56" outlineLevel="2" x14ac:dyDescent="0.4">
      <c r="A76" s="165"/>
      <c r="B76" s="164"/>
      <c r="C76" s="164"/>
      <c r="D76" s="164" t="s">
        <v>110</v>
      </c>
      <c r="E76" s="163" t="s">
        <v>109</v>
      </c>
      <c r="F76" s="162">
        <v>27744</v>
      </c>
      <c r="G76" s="162">
        <v>31105</v>
      </c>
      <c r="H76" s="162">
        <v>34836</v>
      </c>
      <c r="I76" s="162">
        <v>36752</v>
      </c>
      <c r="J76" s="162">
        <v>36881</v>
      </c>
      <c r="K76" s="162">
        <v>38835</v>
      </c>
      <c r="L76" s="162">
        <v>43635</v>
      </c>
      <c r="M76" s="162">
        <v>44851</v>
      </c>
      <c r="N76" s="162">
        <v>48295</v>
      </c>
      <c r="O76" s="162">
        <v>51729</v>
      </c>
      <c r="P76" s="162">
        <v>59399</v>
      </c>
      <c r="Q76" s="162">
        <v>69415</v>
      </c>
      <c r="R76" s="162">
        <v>74479</v>
      </c>
      <c r="S76" s="162">
        <v>79555</v>
      </c>
      <c r="T76" s="162">
        <v>88906</v>
      </c>
      <c r="U76" s="162">
        <v>91306</v>
      </c>
      <c r="V76" s="162">
        <v>114850</v>
      </c>
      <c r="W76" s="162">
        <v>140325</v>
      </c>
      <c r="X76" s="162">
        <v>147836</v>
      </c>
      <c r="Y76" s="226">
        <v>163540.66</v>
      </c>
    </row>
    <row r="77" spans="1:25" ht="28" outlineLevel="2" x14ac:dyDescent="0.4">
      <c r="A77" s="147"/>
      <c r="B77" s="146"/>
      <c r="C77" s="146"/>
      <c r="D77" s="146" t="s">
        <v>108</v>
      </c>
      <c r="E77" s="145" t="s">
        <v>107</v>
      </c>
      <c r="F77" s="144">
        <v>2342</v>
      </c>
      <c r="G77" s="144">
        <v>2564</v>
      </c>
      <c r="H77" s="144">
        <v>2840</v>
      </c>
      <c r="I77" s="144">
        <v>3013</v>
      </c>
      <c r="J77" s="144">
        <v>3485</v>
      </c>
      <c r="K77" s="144">
        <v>3835</v>
      </c>
      <c r="L77" s="144">
        <v>4021</v>
      </c>
      <c r="M77" s="144">
        <v>4520</v>
      </c>
      <c r="N77" s="144">
        <v>4828</v>
      </c>
      <c r="O77" s="144">
        <v>5222</v>
      </c>
      <c r="P77" s="144">
        <v>5467</v>
      </c>
      <c r="Q77" s="144">
        <v>5988</v>
      </c>
      <c r="R77" s="144">
        <v>6669</v>
      </c>
      <c r="S77" s="144">
        <v>7151</v>
      </c>
      <c r="T77" s="144">
        <v>7539</v>
      </c>
      <c r="U77" s="144">
        <v>6487</v>
      </c>
      <c r="V77" s="144">
        <v>8038</v>
      </c>
      <c r="W77" s="144">
        <v>9516</v>
      </c>
      <c r="X77" s="144">
        <v>10506</v>
      </c>
      <c r="Y77" s="223">
        <v>11439.73</v>
      </c>
    </row>
    <row r="78" spans="1:25" outlineLevel="1" x14ac:dyDescent="0.4">
      <c r="A78" s="153"/>
      <c r="B78" s="152"/>
      <c r="C78" s="152" t="s">
        <v>106</v>
      </c>
      <c r="D78" s="152"/>
      <c r="E78" s="151" t="s">
        <v>105</v>
      </c>
      <c r="F78" s="150">
        <v>15707</v>
      </c>
      <c r="G78" s="150">
        <v>17967</v>
      </c>
      <c r="H78" s="150">
        <v>21054</v>
      </c>
      <c r="I78" s="150">
        <v>21696</v>
      </c>
      <c r="J78" s="150">
        <v>23593</v>
      </c>
      <c r="K78" s="150">
        <v>24337</v>
      </c>
      <c r="L78" s="150">
        <v>25612</v>
      </c>
      <c r="M78" s="150">
        <v>26657</v>
      </c>
      <c r="N78" s="150">
        <v>31562</v>
      </c>
      <c r="O78" s="150">
        <v>35968</v>
      </c>
      <c r="P78" s="150">
        <v>40703</v>
      </c>
      <c r="Q78" s="150">
        <v>44048</v>
      </c>
      <c r="R78" s="150">
        <v>45355</v>
      </c>
      <c r="S78" s="150">
        <v>48742</v>
      </c>
      <c r="T78" s="150">
        <v>51518</v>
      </c>
      <c r="U78" s="150">
        <v>42606</v>
      </c>
      <c r="V78" s="150">
        <v>51497</v>
      </c>
      <c r="W78" s="150">
        <v>66933</v>
      </c>
      <c r="X78" s="150">
        <v>74883</v>
      </c>
      <c r="Y78" s="224">
        <v>80387</v>
      </c>
    </row>
    <row r="79" spans="1:25" outlineLevel="2" x14ac:dyDescent="0.4">
      <c r="A79" s="147"/>
      <c r="B79" s="146"/>
      <c r="C79" s="146"/>
      <c r="D79" s="146" t="s">
        <v>104</v>
      </c>
      <c r="E79" s="145" t="s">
        <v>103</v>
      </c>
      <c r="F79" s="144">
        <v>11428</v>
      </c>
      <c r="G79" s="144">
        <v>12781</v>
      </c>
      <c r="H79" s="144">
        <v>15196</v>
      </c>
      <c r="I79" s="144">
        <v>15364</v>
      </c>
      <c r="J79" s="144">
        <v>16958</v>
      </c>
      <c r="K79" s="144">
        <v>17520</v>
      </c>
      <c r="L79" s="144">
        <v>17887</v>
      </c>
      <c r="M79" s="144">
        <v>18308</v>
      </c>
      <c r="N79" s="144">
        <v>22011</v>
      </c>
      <c r="O79" s="144">
        <v>25313</v>
      </c>
      <c r="P79" s="144">
        <v>27868</v>
      </c>
      <c r="Q79" s="144">
        <v>30597</v>
      </c>
      <c r="R79" s="144">
        <v>31526</v>
      </c>
      <c r="S79" s="144">
        <v>33541</v>
      </c>
      <c r="T79" s="144">
        <v>35002</v>
      </c>
      <c r="U79" s="144">
        <v>30817</v>
      </c>
      <c r="V79" s="144">
        <v>35866</v>
      </c>
      <c r="W79" s="144">
        <v>44863</v>
      </c>
      <c r="X79" s="144">
        <v>51108</v>
      </c>
      <c r="Y79" s="223">
        <v>54995.39</v>
      </c>
    </row>
    <row r="80" spans="1:25" outlineLevel="2" x14ac:dyDescent="0.4">
      <c r="A80" s="165"/>
      <c r="B80" s="164"/>
      <c r="C80" s="164"/>
      <c r="D80" s="164" t="s">
        <v>102</v>
      </c>
      <c r="E80" s="163" t="s">
        <v>101</v>
      </c>
      <c r="F80" s="162">
        <v>193</v>
      </c>
      <c r="G80" s="162">
        <v>209</v>
      </c>
      <c r="H80" s="162">
        <v>252</v>
      </c>
      <c r="I80" s="162">
        <v>289</v>
      </c>
      <c r="J80" s="162">
        <v>286</v>
      </c>
      <c r="K80" s="162">
        <v>243</v>
      </c>
      <c r="L80" s="162">
        <v>194</v>
      </c>
      <c r="M80" s="162">
        <v>166</v>
      </c>
      <c r="N80" s="162">
        <v>186</v>
      </c>
      <c r="O80" s="162">
        <v>220</v>
      </c>
      <c r="P80" s="162">
        <v>231</v>
      </c>
      <c r="Q80" s="162">
        <v>286</v>
      </c>
      <c r="R80" s="162">
        <v>309</v>
      </c>
      <c r="S80" s="162">
        <v>321</v>
      </c>
      <c r="T80" s="162">
        <v>333</v>
      </c>
      <c r="U80" s="162">
        <v>291</v>
      </c>
      <c r="V80" s="162">
        <v>304</v>
      </c>
      <c r="W80" s="162">
        <v>355</v>
      </c>
      <c r="X80" s="162">
        <v>408</v>
      </c>
      <c r="Y80" s="226">
        <v>370.93</v>
      </c>
    </row>
    <row r="81" spans="1:25" outlineLevel="2" x14ac:dyDescent="0.4">
      <c r="A81" s="147"/>
      <c r="B81" s="146"/>
      <c r="C81" s="146"/>
      <c r="D81" s="146" t="s">
        <v>100</v>
      </c>
      <c r="E81" s="145" t="s">
        <v>99</v>
      </c>
      <c r="F81" s="144">
        <v>1393</v>
      </c>
      <c r="G81" s="144">
        <v>1741</v>
      </c>
      <c r="H81" s="144">
        <v>1997</v>
      </c>
      <c r="I81" s="144">
        <v>2135</v>
      </c>
      <c r="J81" s="144">
        <v>2292</v>
      </c>
      <c r="K81" s="144">
        <v>2361</v>
      </c>
      <c r="L81" s="144">
        <v>2598</v>
      </c>
      <c r="M81" s="144">
        <v>2776</v>
      </c>
      <c r="N81" s="144">
        <v>3340</v>
      </c>
      <c r="O81" s="144">
        <v>3790</v>
      </c>
      <c r="P81" s="144">
        <v>4647</v>
      </c>
      <c r="Q81" s="144">
        <v>4498</v>
      </c>
      <c r="R81" s="144">
        <v>4231</v>
      </c>
      <c r="S81" s="144">
        <v>4875</v>
      </c>
      <c r="T81" s="144">
        <v>5303</v>
      </c>
      <c r="U81" s="144">
        <v>2571</v>
      </c>
      <c r="V81" s="144">
        <v>3397</v>
      </c>
      <c r="W81" s="144">
        <v>6488</v>
      </c>
      <c r="X81" s="144">
        <v>7698</v>
      </c>
      <c r="Y81" s="223">
        <v>7397.34</v>
      </c>
    </row>
    <row r="82" spans="1:25" ht="12" customHeight="1" outlineLevel="2" x14ac:dyDescent="0.4">
      <c r="A82" s="165"/>
      <c r="B82" s="164"/>
      <c r="C82" s="164"/>
      <c r="D82" s="164" t="s">
        <v>98</v>
      </c>
      <c r="E82" s="163" t="s">
        <v>97</v>
      </c>
      <c r="F82" s="162">
        <v>2207</v>
      </c>
      <c r="G82" s="162">
        <v>2679</v>
      </c>
      <c r="H82" s="162">
        <v>2978</v>
      </c>
      <c r="I82" s="162">
        <v>3240</v>
      </c>
      <c r="J82" s="162">
        <v>3387</v>
      </c>
      <c r="K82" s="162">
        <v>3513</v>
      </c>
      <c r="L82" s="162">
        <v>4206</v>
      </c>
      <c r="M82" s="162">
        <v>4650</v>
      </c>
      <c r="N82" s="162">
        <v>5215</v>
      </c>
      <c r="O82" s="162">
        <v>5804</v>
      </c>
      <c r="P82" s="162">
        <v>7055</v>
      </c>
      <c r="Q82" s="162">
        <v>7727</v>
      </c>
      <c r="R82" s="162">
        <v>8304</v>
      </c>
      <c r="S82" s="162">
        <v>8927</v>
      </c>
      <c r="T82" s="162">
        <v>9674</v>
      </c>
      <c r="U82" s="162">
        <v>7666</v>
      </c>
      <c r="V82" s="162">
        <v>10471</v>
      </c>
      <c r="W82" s="162">
        <v>13567</v>
      </c>
      <c r="X82" s="162">
        <v>13930</v>
      </c>
      <c r="Y82" s="226">
        <v>15666.03</v>
      </c>
    </row>
    <row r="83" spans="1:25" outlineLevel="2" x14ac:dyDescent="0.4">
      <c r="A83" s="147"/>
      <c r="B83" s="146"/>
      <c r="C83" s="146"/>
      <c r="D83" s="146" t="s">
        <v>96</v>
      </c>
      <c r="E83" s="145" t="s">
        <v>95</v>
      </c>
      <c r="F83" s="144">
        <v>486</v>
      </c>
      <c r="G83" s="144">
        <v>557</v>
      </c>
      <c r="H83" s="144">
        <v>631</v>
      </c>
      <c r="I83" s="144">
        <v>668</v>
      </c>
      <c r="J83" s="144">
        <v>670</v>
      </c>
      <c r="K83" s="144">
        <v>700</v>
      </c>
      <c r="L83" s="144">
        <v>727</v>
      </c>
      <c r="M83" s="144">
        <v>757</v>
      </c>
      <c r="N83" s="144">
        <v>810</v>
      </c>
      <c r="O83" s="144">
        <v>841</v>
      </c>
      <c r="P83" s="144">
        <v>902</v>
      </c>
      <c r="Q83" s="144">
        <v>940</v>
      </c>
      <c r="R83" s="144">
        <v>985</v>
      </c>
      <c r="S83" s="144">
        <v>1078</v>
      </c>
      <c r="T83" s="144">
        <v>1206</v>
      </c>
      <c r="U83" s="144">
        <v>1261</v>
      </c>
      <c r="V83" s="144">
        <v>1459</v>
      </c>
      <c r="W83" s="144">
        <v>1660</v>
      </c>
      <c r="X83" s="144">
        <v>1739</v>
      </c>
      <c r="Y83" s="223">
        <v>1957.31</v>
      </c>
    </row>
    <row r="84" spans="1:25" outlineLevel="1" x14ac:dyDescent="0.4">
      <c r="A84" s="153"/>
      <c r="B84" s="152"/>
      <c r="C84" s="152" t="s">
        <v>94</v>
      </c>
      <c r="D84" s="152"/>
      <c r="E84" s="151" t="s">
        <v>92</v>
      </c>
      <c r="F84" s="150">
        <v>9125</v>
      </c>
      <c r="G84" s="150">
        <v>10516</v>
      </c>
      <c r="H84" s="150">
        <v>12662</v>
      </c>
      <c r="I84" s="150">
        <v>14175</v>
      </c>
      <c r="J84" s="150">
        <v>15744</v>
      </c>
      <c r="K84" s="150">
        <v>17919</v>
      </c>
      <c r="L84" s="150">
        <v>19756</v>
      </c>
      <c r="M84" s="150">
        <v>22480</v>
      </c>
      <c r="N84" s="150">
        <v>25122</v>
      </c>
      <c r="O84" s="150">
        <v>27758</v>
      </c>
      <c r="P84" s="150">
        <v>29860</v>
      </c>
      <c r="Q84" s="150">
        <v>33233</v>
      </c>
      <c r="R84" s="150">
        <v>36549</v>
      </c>
      <c r="S84" s="150">
        <v>38260</v>
      </c>
      <c r="T84" s="150">
        <v>40303</v>
      </c>
      <c r="U84" s="150">
        <v>29673</v>
      </c>
      <c r="V84" s="150">
        <v>42255</v>
      </c>
      <c r="W84" s="150">
        <v>56208</v>
      </c>
      <c r="X84" s="150">
        <v>63545</v>
      </c>
      <c r="Y84" s="224">
        <v>67590.720000000001</v>
      </c>
    </row>
    <row r="85" spans="1:25" outlineLevel="2" x14ac:dyDescent="0.4">
      <c r="A85" s="147"/>
      <c r="B85" s="146"/>
      <c r="C85" s="146"/>
      <c r="D85" s="146" t="s">
        <v>93</v>
      </c>
      <c r="E85" s="145" t="s">
        <v>92</v>
      </c>
      <c r="F85" s="144">
        <v>9125</v>
      </c>
      <c r="G85" s="144">
        <v>10516</v>
      </c>
      <c r="H85" s="144">
        <v>12662</v>
      </c>
      <c r="I85" s="144">
        <v>14175</v>
      </c>
      <c r="J85" s="144">
        <v>15744</v>
      </c>
      <c r="K85" s="144">
        <v>17919</v>
      </c>
      <c r="L85" s="144">
        <v>19756</v>
      </c>
      <c r="M85" s="144">
        <v>22480</v>
      </c>
      <c r="N85" s="144">
        <v>25122</v>
      </c>
      <c r="O85" s="144">
        <v>27758</v>
      </c>
      <c r="P85" s="144">
        <v>29860</v>
      </c>
      <c r="Q85" s="144">
        <v>33233</v>
      </c>
      <c r="R85" s="144">
        <v>36549</v>
      </c>
      <c r="S85" s="144">
        <v>38260</v>
      </c>
      <c r="T85" s="144">
        <v>40303</v>
      </c>
      <c r="U85" s="144">
        <v>29673</v>
      </c>
      <c r="V85" s="144">
        <v>42255</v>
      </c>
      <c r="W85" s="144">
        <v>56208</v>
      </c>
      <c r="X85" s="144">
        <v>63545</v>
      </c>
      <c r="Y85" s="223">
        <v>67590.720000000001</v>
      </c>
    </row>
    <row r="86" spans="1:25" x14ac:dyDescent="0.4">
      <c r="A86" s="177"/>
      <c r="B86" s="176" t="s">
        <v>91</v>
      </c>
      <c r="C86" s="176"/>
      <c r="D86" s="176"/>
      <c r="E86" s="175" t="s">
        <v>89</v>
      </c>
      <c r="F86" s="174">
        <v>12273</v>
      </c>
      <c r="G86" s="174">
        <v>14006</v>
      </c>
      <c r="H86" s="174">
        <v>15925</v>
      </c>
      <c r="I86" s="174">
        <v>17124</v>
      </c>
      <c r="J86" s="174">
        <v>17580</v>
      </c>
      <c r="K86" s="174">
        <v>18572</v>
      </c>
      <c r="L86" s="174">
        <v>19612</v>
      </c>
      <c r="M86" s="174">
        <v>20702</v>
      </c>
      <c r="N86" s="174">
        <v>22092</v>
      </c>
      <c r="O86" s="174">
        <v>23336</v>
      </c>
      <c r="P86" s="174">
        <v>23961</v>
      </c>
      <c r="Q86" s="174">
        <v>25122</v>
      </c>
      <c r="R86" s="174">
        <v>26821</v>
      </c>
      <c r="S86" s="174">
        <v>28348</v>
      </c>
      <c r="T86" s="174">
        <v>29381</v>
      </c>
      <c r="U86" s="174">
        <v>28902</v>
      </c>
      <c r="V86" s="174">
        <v>32341</v>
      </c>
      <c r="W86" s="174">
        <v>36129</v>
      </c>
      <c r="X86" s="174">
        <v>37915</v>
      </c>
      <c r="Y86" s="228">
        <v>38682.65</v>
      </c>
    </row>
    <row r="87" spans="1:25" outlineLevel="1" x14ac:dyDescent="0.4">
      <c r="A87" s="171"/>
      <c r="B87" s="170"/>
      <c r="C87" s="170" t="s">
        <v>91</v>
      </c>
      <c r="D87" s="170"/>
      <c r="E87" s="169" t="s">
        <v>89</v>
      </c>
      <c r="F87" s="168">
        <v>12273</v>
      </c>
      <c r="G87" s="168">
        <v>14006</v>
      </c>
      <c r="H87" s="168">
        <v>15925</v>
      </c>
      <c r="I87" s="168">
        <v>17124</v>
      </c>
      <c r="J87" s="168">
        <v>17580</v>
      </c>
      <c r="K87" s="168">
        <v>18572</v>
      </c>
      <c r="L87" s="168">
        <v>19612</v>
      </c>
      <c r="M87" s="168">
        <v>20702</v>
      </c>
      <c r="N87" s="168">
        <v>22092</v>
      </c>
      <c r="O87" s="168">
        <v>23336</v>
      </c>
      <c r="P87" s="168">
        <v>23961</v>
      </c>
      <c r="Q87" s="168">
        <v>25122</v>
      </c>
      <c r="R87" s="168">
        <v>26821</v>
      </c>
      <c r="S87" s="168">
        <v>28348</v>
      </c>
      <c r="T87" s="168">
        <v>29381</v>
      </c>
      <c r="U87" s="168">
        <v>28902</v>
      </c>
      <c r="V87" s="168">
        <v>32341</v>
      </c>
      <c r="W87" s="168">
        <v>36129</v>
      </c>
      <c r="X87" s="168">
        <v>37915</v>
      </c>
      <c r="Y87" s="227">
        <v>38682.65</v>
      </c>
    </row>
    <row r="88" spans="1:25" outlineLevel="2" x14ac:dyDescent="0.4">
      <c r="A88" s="165"/>
      <c r="B88" s="164"/>
      <c r="C88" s="164"/>
      <c r="D88" s="164" t="s">
        <v>90</v>
      </c>
      <c r="E88" s="163" t="s">
        <v>89</v>
      </c>
      <c r="F88" s="162">
        <v>12273</v>
      </c>
      <c r="G88" s="162">
        <v>14006</v>
      </c>
      <c r="H88" s="162">
        <v>15925</v>
      </c>
      <c r="I88" s="162">
        <v>17124</v>
      </c>
      <c r="J88" s="162">
        <v>17580</v>
      </c>
      <c r="K88" s="162">
        <v>18572</v>
      </c>
      <c r="L88" s="162">
        <v>19612</v>
      </c>
      <c r="M88" s="162">
        <v>20702</v>
      </c>
      <c r="N88" s="162">
        <v>22092</v>
      </c>
      <c r="O88" s="162">
        <v>23336</v>
      </c>
      <c r="P88" s="162">
        <v>23961</v>
      </c>
      <c r="Q88" s="162">
        <v>25122</v>
      </c>
      <c r="R88" s="162">
        <v>26821</v>
      </c>
      <c r="S88" s="162">
        <v>28348</v>
      </c>
      <c r="T88" s="162">
        <v>29381</v>
      </c>
      <c r="U88" s="162">
        <v>28902</v>
      </c>
      <c r="V88" s="162">
        <v>32341</v>
      </c>
      <c r="W88" s="162">
        <v>36129</v>
      </c>
      <c r="X88" s="162">
        <v>37915</v>
      </c>
      <c r="Y88" s="226">
        <v>38682.65</v>
      </c>
    </row>
    <row r="89" spans="1:25" x14ac:dyDescent="0.4">
      <c r="A89" s="159"/>
      <c r="B89" s="158" t="s">
        <v>88</v>
      </c>
      <c r="C89" s="158"/>
      <c r="D89" s="158"/>
      <c r="E89" s="157" t="s">
        <v>86</v>
      </c>
      <c r="F89" s="156">
        <v>11846</v>
      </c>
      <c r="G89" s="156">
        <v>12480</v>
      </c>
      <c r="H89" s="156">
        <v>14894</v>
      </c>
      <c r="I89" s="156">
        <v>17984</v>
      </c>
      <c r="J89" s="156">
        <v>19552</v>
      </c>
      <c r="K89" s="156">
        <v>21396</v>
      </c>
      <c r="L89" s="156">
        <v>24357</v>
      </c>
      <c r="M89" s="156">
        <v>27533</v>
      </c>
      <c r="N89" s="156">
        <v>29619</v>
      </c>
      <c r="O89" s="156">
        <v>31839</v>
      </c>
      <c r="P89" s="156">
        <v>34696</v>
      </c>
      <c r="Q89" s="156">
        <v>34324</v>
      </c>
      <c r="R89" s="156">
        <v>39060</v>
      </c>
      <c r="S89" s="156">
        <v>42627</v>
      </c>
      <c r="T89" s="156">
        <v>46984</v>
      </c>
      <c r="U89" s="156">
        <v>48808</v>
      </c>
      <c r="V89" s="156">
        <v>52653</v>
      </c>
      <c r="W89" s="156">
        <v>56900</v>
      </c>
      <c r="X89" s="156">
        <v>62862</v>
      </c>
      <c r="Y89" s="225">
        <v>70547.509999999995</v>
      </c>
    </row>
    <row r="90" spans="1:25" outlineLevel="1" x14ac:dyDescent="0.4">
      <c r="A90" s="153"/>
      <c r="B90" s="152"/>
      <c r="C90" s="152" t="s">
        <v>88</v>
      </c>
      <c r="D90" s="152"/>
      <c r="E90" s="151" t="s">
        <v>86</v>
      </c>
      <c r="F90" s="150">
        <v>11846</v>
      </c>
      <c r="G90" s="150">
        <v>12480</v>
      </c>
      <c r="H90" s="150">
        <v>14894</v>
      </c>
      <c r="I90" s="150">
        <v>17984</v>
      </c>
      <c r="J90" s="150">
        <v>19552</v>
      </c>
      <c r="K90" s="150">
        <v>21396</v>
      </c>
      <c r="L90" s="150">
        <v>24357</v>
      </c>
      <c r="M90" s="150">
        <v>27533</v>
      </c>
      <c r="N90" s="150">
        <v>29619</v>
      </c>
      <c r="O90" s="150">
        <v>31839</v>
      </c>
      <c r="P90" s="150">
        <v>34696</v>
      </c>
      <c r="Q90" s="150">
        <v>34324</v>
      </c>
      <c r="R90" s="150">
        <v>39060</v>
      </c>
      <c r="S90" s="150">
        <v>42627</v>
      </c>
      <c r="T90" s="150">
        <v>46984</v>
      </c>
      <c r="U90" s="150">
        <v>48808</v>
      </c>
      <c r="V90" s="150">
        <v>52653</v>
      </c>
      <c r="W90" s="150">
        <v>56900</v>
      </c>
      <c r="X90" s="150">
        <v>62862</v>
      </c>
      <c r="Y90" s="224">
        <v>70547.509999999995</v>
      </c>
    </row>
    <row r="91" spans="1:25" outlineLevel="2" x14ac:dyDescent="0.4">
      <c r="A91" s="147"/>
      <c r="B91" s="146"/>
      <c r="C91" s="146"/>
      <c r="D91" s="146" t="s">
        <v>87</v>
      </c>
      <c r="E91" s="145" t="s">
        <v>86</v>
      </c>
      <c r="F91" s="144">
        <v>11846</v>
      </c>
      <c r="G91" s="144">
        <v>12480</v>
      </c>
      <c r="H91" s="144">
        <v>14894</v>
      </c>
      <c r="I91" s="144">
        <v>17984</v>
      </c>
      <c r="J91" s="144">
        <v>19552</v>
      </c>
      <c r="K91" s="144">
        <v>21396</v>
      </c>
      <c r="L91" s="144">
        <v>24357</v>
      </c>
      <c r="M91" s="144">
        <v>27533</v>
      </c>
      <c r="N91" s="144">
        <v>29619</v>
      </c>
      <c r="O91" s="144">
        <v>31839</v>
      </c>
      <c r="P91" s="144">
        <v>34696</v>
      </c>
      <c r="Q91" s="144">
        <v>34324</v>
      </c>
      <c r="R91" s="144">
        <v>39060</v>
      </c>
      <c r="S91" s="144">
        <v>42627</v>
      </c>
      <c r="T91" s="144">
        <v>46984</v>
      </c>
      <c r="U91" s="144">
        <v>48808</v>
      </c>
      <c r="V91" s="144">
        <v>52653</v>
      </c>
      <c r="W91" s="144">
        <v>56900</v>
      </c>
      <c r="X91" s="144">
        <v>62862</v>
      </c>
      <c r="Y91" s="223">
        <v>70547.509999999995</v>
      </c>
    </row>
    <row r="92" spans="1:25" x14ac:dyDescent="0.4">
      <c r="A92" s="177"/>
      <c r="B92" s="176" t="s">
        <v>85</v>
      </c>
      <c r="C92" s="176"/>
      <c r="D92" s="176"/>
      <c r="E92" s="175" t="s">
        <v>83</v>
      </c>
      <c r="F92" s="174">
        <v>32556</v>
      </c>
      <c r="G92" s="174">
        <v>35921</v>
      </c>
      <c r="H92" s="174">
        <v>39056</v>
      </c>
      <c r="I92" s="174">
        <v>42236</v>
      </c>
      <c r="J92" s="174">
        <v>45858</v>
      </c>
      <c r="K92" s="174">
        <v>49355</v>
      </c>
      <c r="L92" s="174">
        <v>52966</v>
      </c>
      <c r="M92" s="174">
        <v>56928</v>
      </c>
      <c r="N92" s="174">
        <v>60922</v>
      </c>
      <c r="O92" s="174">
        <v>65194</v>
      </c>
      <c r="P92" s="174">
        <v>69825</v>
      </c>
      <c r="Q92" s="174">
        <v>75645</v>
      </c>
      <c r="R92" s="174">
        <v>80976</v>
      </c>
      <c r="S92" s="174">
        <v>86825</v>
      </c>
      <c r="T92" s="174">
        <v>92388</v>
      </c>
      <c r="U92" s="174">
        <v>95042</v>
      </c>
      <c r="V92" s="174">
        <v>98900</v>
      </c>
      <c r="W92" s="174">
        <v>104886</v>
      </c>
      <c r="X92" s="174">
        <v>114270</v>
      </c>
      <c r="Y92" s="228">
        <v>126289.17</v>
      </c>
    </row>
    <row r="93" spans="1:25" outlineLevel="1" x14ac:dyDescent="0.4">
      <c r="A93" s="147"/>
      <c r="B93" s="146"/>
      <c r="C93" s="170" t="s">
        <v>85</v>
      </c>
      <c r="D93" s="146"/>
      <c r="E93" s="169" t="s">
        <v>83</v>
      </c>
      <c r="F93" s="168">
        <v>32556</v>
      </c>
      <c r="G93" s="168">
        <v>35921</v>
      </c>
      <c r="H93" s="168">
        <v>39056</v>
      </c>
      <c r="I93" s="168">
        <v>42236</v>
      </c>
      <c r="J93" s="168">
        <v>45858</v>
      </c>
      <c r="K93" s="168">
        <v>49355</v>
      </c>
      <c r="L93" s="168">
        <v>52966</v>
      </c>
      <c r="M93" s="168">
        <v>56928</v>
      </c>
      <c r="N93" s="168">
        <v>60922</v>
      </c>
      <c r="O93" s="168">
        <v>65194</v>
      </c>
      <c r="P93" s="168">
        <v>69825</v>
      </c>
      <c r="Q93" s="168">
        <v>75645</v>
      </c>
      <c r="R93" s="168">
        <v>80976</v>
      </c>
      <c r="S93" s="168">
        <v>86825</v>
      </c>
      <c r="T93" s="168">
        <v>92388</v>
      </c>
      <c r="U93" s="168">
        <v>95042</v>
      </c>
      <c r="V93" s="168">
        <v>98900</v>
      </c>
      <c r="W93" s="168">
        <v>104886</v>
      </c>
      <c r="X93" s="168">
        <v>114270</v>
      </c>
      <c r="Y93" s="227">
        <v>126289.17</v>
      </c>
    </row>
    <row r="94" spans="1:25" outlineLevel="2" x14ac:dyDescent="0.4">
      <c r="A94" s="165"/>
      <c r="B94" s="164"/>
      <c r="C94" s="164"/>
      <c r="D94" s="164" t="s">
        <v>84</v>
      </c>
      <c r="E94" s="163" t="s">
        <v>83</v>
      </c>
      <c r="F94" s="162">
        <v>32556</v>
      </c>
      <c r="G94" s="162">
        <v>35921</v>
      </c>
      <c r="H94" s="162">
        <v>39056</v>
      </c>
      <c r="I94" s="162">
        <v>42236</v>
      </c>
      <c r="J94" s="162">
        <v>45858</v>
      </c>
      <c r="K94" s="162">
        <v>49355</v>
      </c>
      <c r="L94" s="162">
        <v>52966</v>
      </c>
      <c r="M94" s="162">
        <v>56928</v>
      </c>
      <c r="N94" s="162">
        <v>60922</v>
      </c>
      <c r="O94" s="162">
        <v>65194</v>
      </c>
      <c r="P94" s="162">
        <v>69825</v>
      </c>
      <c r="Q94" s="162">
        <v>75645</v>
      </c>
      <c r="R94" s="162">
        <v>80976</v>
      </c>
      <c r="S94" s="162">
        <v>86825</v>
      </c>
      <c r="T94" s="162">
        <v>92388</v>
      </c>
      <c r="U94" s="162">
        <v>95042</v>
      </c>
      <c r="V94" s="162">
        <v>98900</v>
      </c>
      <c r="W94" s="162">
        <v>104886</v>
      </c>
      <c r="X94" s="162">
        <v>114270</v>
      </c>
      <c r="Y94" s="226">
        <v>126289.17</v>
      </c>
    </row>
    <row r="95" spans="1:25" ht="28" x14ac:dyDescent="0.4">
      <c r="A95" s="159"/>
      <c r="B95" s="158" t="s">
        <v>82</v>
      </c>
      <c r="C95" s="158"/>
      <c r="D95" s="158"/>
      <c r="E95" s="157" t="s">
        <v>81</v>
      </c>
      <c r="F95" s="156">
        <v>16684</v>
      </c>
      <c r="G95" s="156">
        <v>19444</v>
      </c>
      <c r="H95" s="156">
        <v>23068</v>
      </c>
      <c r="I95" s="156">
        <v>26411</v>
      </c>
      <c r="J95" s="156">
        <v>29840</v>
      </c>
      <c r="K95" s="156">
        <v>33567</v>
      </c>
      <c r="L95" s="156">
        <v>38275</v>
      </c>
      <c r="M95" s="156">
        <v>43078</v>
      </c>
      <c r="N95" s="156">
        <v>48022</v>
      </c>
      <c r="O95" s="156">
        <v>55216</v>
      </c>
      <c r="P95" s="156">
        <v>57392</v>
      </c>
      <c r="Q95" s="156">
        <v>59643</v>
      </c>
      <c r="R95" s="156">
        <v>62898</v>
      </c>
      <c r="S95" s="156">
        <v>67597</v>
      </c>
      <c r="T95" s="156">
        <v>72458</v>
      </c>
      <c r="U95" s="156">
        <v>69363</v>
      </c>
      <c r="V95" s="156">
        <v>79121</v>
      </c>
      <c r="W95" s="156">
        <v>93635</v>
      </c>
      <c r="X95" s="156">
        <v>103660</v>
      </c>
      <c r="Y95" s="225">
        <v>111589.32</v>
      </c>
    </row>
    <row r="96" spans="1:25" ht="28" outlineLevel="1" x14ac:dyDescent="0.4">
      <c r="A96" s="153"/>
      <c r="B96" s="152"/>
      <c r="C96" s="152" t="s">
        <v>82</v>
      </c>
      <c r="D96" s="152"/>
      <c r="E96" s="151" t="s">
        <v>81</v>
      </c>
      <c r="F96" s="150">
        <v>16684</v>
      </c>
      <c r="G96" s="150">
        <v>19444</v>
      </c>
      <c r="H96" s="150">
        <v>23068</v>
      </c>
      <c r="I96" s="150">
        <v>26411</v>
      </c>
      <c r="J96" s="150">
        <v>29840</v>
      </c>
      <c r="K96" s="150">
        <v>33567</v>
      </c>
      <c r="L96" s="150">
        <v>38275</v>
      </c>
      <c r="M96" s="150">
        <v>43078</v>
      </c>
      <c r="N96" s="150">
        <v>48022</v>
      </c>
      <c r="O96" s="150">
        <v>55216</v>
      </c>
      <c r="P96" s="150">
        <v>57392</v>
      </c>
      <c r="Q96" s="150">
        <v>59643</v>
      </c>
      <c r="R96" s="150">
        <v>62898</v>
      </c>
      <c r="S96" s="150">
        <v>67597</v>
      </c>
      <c r="T96" s="150">
        <v>72458</v>
      </c>
      <c r="U96" s="150">
        <v>69363</v>
      </c>
      <c r="V96" s="150">
        <v>79121</v>
      </c>
      <c r="W96" s="150">
        <v>93635</v>
      </c>
      <c r="X96" s="150">
        <v>103660</v>
      </c>
      <c r="Y96" s="224">
        <v>111589.32</v>
      </c>
    </row>
    <row r="97" spans="1:25" outlineLevel="2" x14ac:dyDescent="0.4">
      <c r="A97" s="147"/>
      <c r="B97" s="146"/>
      <c r="C97" s="146"/>
      <c r="D97" s="146" t="s">
        <v>80</v>
      </c>
      <c r="E97" s="145" t="s">
        <v>79</v>
      </c>
      <c r="F97" s="144">
        <v>7525</v>
      </c>
      <c r="G97" s="144">
        <v>8819</v>
      </c>
      <c r="H97" s="144">
        <v>10533</v>
      </c>
      <c r="I97" s="144">
        <v>12140</v>
      </c>
      <c r="J97" s="144">
        <v>13806</v>
      </c>
      <c r="K97" s="144">
        <v>15627</v>
      </c>
      <c r="L97" s="144">
        <v>17921</v>
      </c>
      <c r="M97" s="144">
        <v>20300</v>
      </c>
      <c r="N97" s="144">
        <v>22764</v>
      </c>
      <c r="O97" s="144">
        <v>26337</v>
      </c>
      <c r="P97" s="144">
        <v>27057</v>
      </c>
      <c r="Q97" s="144">
        <v>27899</v>
      </c>
      <c r="R97" s="144">
        <v>28877</v>
      </c>
      <c r="S97" s="144">
        <v>31007</v>
      </c>
      <c r="T97" s="144">
        <v>33073</v>
      </c>
      <c r="U97" s="144">
        <v>31452</v>
      </c>
      <c r="V97" s="144">
        <v>35959</v>
      </c>
      <c r="W97" s="144">
        <v>42276</v>
      </c>
      <c r="X97" s="144">
        <v>46605</v>
      </c>
      <c r="Y97" s="223">
        <v>50661.73</v>
      </c>
    </row>
    <row r="98" spans="1:25" outlineLevel="2" x14ac:dyDescent="0.4">
      <c r="A98" s="165"/>
      <c r="B98" s="164"/>
      <c r="C98" s="164"/>
      <c r="D98" s="164" t="s">
        <v>78</v>
      </c>
      <c r="E98" s="163" t="s">
        <v>77</v>
      </c>
      <c r="F98" s="162">
        <v>9159</v>
      </c>
      <c r="G98" s="162">
        <v>10625</v>
      </c>
      <c r="H98" s="162">
        <v>12535</v>
      </c>
      <c r="I98" s="162">
        <v>14271</v>
      </c>
      <c r="J98" s="162">
        <v>16034</v>
      </c>
      <c r="K98" s="162">
        <v>17940</v>
      </c>
      <c r="L98" s="162">
        <v>20354</v>
      </c>
      <c r="M98" s="162">
        <v>22778</v>
      </c>
      <c r="N98" s="162">
        <v>25258</v>
      </c>
      <c r="O98" s="162">
        <v>28879</v>
      </c>
      <c r="P98" s="162">
        <v>30335</v>
      </c>
      <c r="Q98" s="162">
        <v>31744</v>
      </c>
      <c r="R98" s="162">
        <v>34021</v>
      </c>
      <c r="S98" s="162">
        <v>36590</v>
      </c>
      <c r="T98" s="162">
        <v>39385</v>
      </c>
      <c r="U98" s="162">
        <v>37911</v>
      </c>
      <c r="V98" s="162">
        <v>43162</v>
      </c>
      <c r="W98" s="162">
        <v>51359</v>
      </c>
      <c r="X98" s="162">
        <v>57055</v>
      </c>
      <c r="Y98" s="226">
        <v>60927.59</v>
      </c>
    </row>
    <row r="99" spans="1:25" ht="42" x14ac:dyDescent="0.4">
      <c r="A99" s="159"/>
      <c r="B99" s="158" t="s">
        <v>76</v>
      </c>
      <c r="C99" s="158"/>
      <c r="D99" s="158"/>
      <c r="E99" s="157" t="s">
        <v>75</v>
      </c>
      <c r="F99" s="156">
        <v>43348</v>
      </c>
      <c r="G99" s="156">
        <v>47526</v>
      </c>
      <c r="H99" s="156">
        <v>52624</v>
      </c>
      <c r="I99" s="156">
        <v>57489</v>
      </c>
      <c r="J99" s="156">
        <v>63821</v>
      </c>
      <c r="K99" s="156">
        <v>69620</v>
      </c>
      <c r="L99" s="156">
        <v>75682</v>
      </c>
      <c r="M99" s="156">
        <v>84164</v>
      </c>
      <c r="N99" s="156">
        <v>93615</v>
      </c>
      <c r="O99" s="156">
        <v>102459</v>
      </c>
      <c r="P99" s="156">
        <v>112077</v>
      </c>
      <c r="Q99" s="156">
        <v>123511</v>
      </c>
      <c r="R99" s="156">
        <v>135235</v>
      </c>
      <c r="S99" s="156">
        <v>147217</v>
      </c>
      <c r="T99" s="156">
        <v>159762</v>
      </c>
      <c r="U99" s="156">
        <v>163472</v>
      </c>
      <c r="V99" s="156">
        <v>181115</v>
      </c>
      <c r="W99" s="156">
        <v>197334</v>
      </c>
      <c r="X99" s="156">
        <v>228088</v>
      </c>
      <c r="Y99" s="225">
        <v>257495.62</v>
      </c>
    </row>
    <row r="100" spans="1:25" ht="28" outlineLevel="1" x14ac:dyDescent="0.4">
      <c r="A100" s="153"/>
      <c r="B100" s="152"/>
      <c r="C100" s="152" t="s">
        <v>74</v>
      </c>
      <c r="D100" s="152"/>
      <c r="E100" s="151" t="s">
        <v>72</v>
      </c>
      <c r="F100" s="150">
        <v>17212</v>
      </c>
      <c r="G100" s="150">
        <v>18889</v>
      </c>
      <c r="H100" s="150">
        <v>21231</v>
      </c>
      <c r="I100" s="150">
        <v>23196</v>
      </c>
      <c r="J100" s="150">
        <v>26213</v>
      </c>
      <c r="K100" s="150">
        <v>28573</v>
      </c>
      <c r="L100" s="150">
        <v>30909</v>
      </c>
      <c r="M100" s="150">
        <v>33723</v>
      </c>
      <c r="N100" s="150">
        <v>38204</v>
      </c>
      <c r="O100" s="150">
        <v>41793</v>
      </c>
      <c r="P100" s="150">
        <v>45797</v>
      </c>
      <c r="Q100" s="150">
        <v>50974</v>
      </c>
      <c r="R100" s="150">
        <v>55384</v>
      </c>
      <c r="S100" s="150">
        <v>60592</v>
      </c>
      <c r="T100" s="150">
        <v>64910</v>
      </c>
      <c r="U100" s="150">
        <v>66288</v>
      </c>
      <c r="V100" s="150">
        <v>69863</v>
      </c>
      <c r="W100" s="150">
        <v>75388</v>
      </c>
      <c r="X100" s="150">
        <v>86261</v>
      </c>
      <c r="Y100" s="224">
        <v>96971.09</v>
      </c>
    </row>
    <row r="101" spans="1:25" ht="28" outlineLevel="2" x14ac:dyDescent="0.4">
      <c r="A101" s="147"/>
      <c r="B101" s="146"/>
      <c r="C101" s="146"/>
      <c r="D101" s="146" t="s">
        <v>73</v>
      </c>
      <c r="E101" s="145" t="s">
        <v>72</v>
      </c>
      <c r="F101" s="144">
        <v>17212</v>
      </c>
      <c r="G101" s="144">
        <v>18889</v>
      </c>
      <c r="H101" s="144">
        <v>21231</v>
      </c>
      <c r="I101" s="144">
        <v>23196</v>
      </c>
      <c r="J101" s="144">
        <v>26213</v>
      </c>
      <c r="K101" s="144">
        <v>28573</v>
      </c>
      <c r="L101" s="144">
        <v>30909</v>
      </c>
      <c r="M101" s="144">
        <v>33723</v>
      </c>
      <c r="N101" s="144">
        <v>38204</v>
      </c>
      <c r="O101" s="144">
        <v>41793</v>
      </c>
      <c r="P101" s="144">
        <v>45797</v>
      </c>
      <c r="Q101" s="144">
        <v>50974</v>
      </c>
      <c r="R101" s="144">
        <v>55384</v>
      </c>
      <c r="S101" s="144">
        <v>60592</v>
      </c>
      <c r="T101" s="144">
        <v>64910</v>
      </c>
      <c r="U101" s="144">
        <v>66288</v>
      </c>
      <c r="V101" s="144">
        <v>69863</v>
      </c>
      <c r="W101" s="144">
        <v>75388</v>
      </c>
      <c r="X101" s="144">
        <v>86261</v>
      </c>
      <c r="Y101" s="223">
        <v>96971.09</v>
      </c>
    </row>
    <row r="102" spans="1:25" outlineLevel="1" x14ac:dyDescent="0.4">
      <c r="A102" s="153"/>
      <c r="B102" s="152"/>
      <c r="C102" s="152" t="s">
        <v>71</v>
      </c>
      <c r="D102" s="152"/>
      <c r="E102" s="151" t="s">
        <v>70</v>
      </c>
      <c r="F102" s="150">
        <v>14933</v>
      </c>
      <c r="G102" s="150">
        <v>16056</v>
      </c>
      <c r="H102" s="150">
        <v>17713</v>
      </c>
      <c r="I102" s="150">
        <v>19740</v>
      </c>
      <c r="J102" s="150">
        <v>21725</v>
      </c>
      <c r="K102" s="150">
        <v>23395</v>
      </c>
      <c r="L102" s="150">
        <v>25451</v>
      </c>
      <c r="M102" s="150">
        <v>28402</v>
      </c>
      <c r="N102" s="150">
        <v>31076</v>
      </c>
      <c r="O102" s="150">
        <v>33602</v>
      </c>
      <c r="P102" s="150">
        <v>36860</v>
      </c>
      <c r="Q102" s="150">
        <v>40731</v>
      </c>
      <c r="R102" s="150">
        <v>44053</v>
      </c>
      <c r="S102" s="150">
        <v>47297</v>
      </c>
      <c r="T102" s="150">
        <v>52245</v>
      </c>
      <c r="U102" s="150">
        <v>55538</v>
      </c>
      <c r="V102" s="150">
        <v>59459</v>
      </c>
      <c r="W102" s="150">
        <v>65052</v>
      </c>
      <c r="X102" s="150">
        <v>74287</v>
      </c>
      <c r="Y102" s="224">
        <v>84339.24</v>
      </c>
    </row>
    <row r="103" spans="1:25" outlineLevel="2" x14ac:dyDescent="0.4">
      <c r="A103" s="147"/>
      <c r="B103" s="146"/>
      <c r="C103" s="146"/>
      <c r="D103" s="146" t="s">
        <v>69</v>
      </c>
      <c r="E103" s="145" t="s">
        <v>68</v>
      </c>
      <c r="F103" s="144">
        <v>7500</v>
      </c>
      <c r="G103" s="144">
        <v>8179</v>
      </c>
      <c r="H103" s="144">
        <v>9129</v>
      </c>
      <c r="I103" s="144">
        <v>9735</v>
      </c>
      <c r="J103" s="144">
        <v>10886</v>
      </c>
      <c r="K103" s="144">
        <v>11677</v>
      </c>
      <c r="L103" s="144">
        <v>12829</v>
      </c>
      <c r="M103" s="144">
        <v>14146</v>
      </c>
      <c r="N103" s="144">
        <v>15640</v>
      </c>
      <c r="O103" s="144">
        <v>17116</v>
      </c>
      <c r="P103" s="144">
        <v>18575</v>
      </c>
      <c r="Q103" s="144">
        <v>20228</v>
      </c>
      <c r="R103" s="144">
        <v>22259</v>
      </c>
      <c r="S103" s="144">
        <v>23668</v>
      </c>
      <c r="T103" s="144">
        <v>25231</v>
      </c>
      <c r="U103" s="144">
        <v>24264</v>
      </c>
      <c r="V103" s="144">
        <v>25829</v>
      </c>
      <c r="W103" s="144">
        <v>29599</v>
      </c>
      <c r="X103" s="144">
        <v>33960</v>
      </c>
      <c r="Y103" s="223">
        <v>37520.74</v>
      </c>
    </row>
    <row r="104" spans="1:25" outlineLevel="2" x14ac:dyDescent="0.4">
      <c r="A104" s="165"/>
      <c r="B104" s="164"/>
      <c r="C104" s="164"/>
      <c r="D104" s="164" t="s">
        <v>67</v>
      </c>
      <c r="E104" s="163" t="s">
        <v>66</v>
      </c>
      <c r="F104" s="162">
        <v>7433</v>
      </c>
      <c r="G104" s="162">
        <v>7877</v>
      </c>
      <c r="H104" s="162">
        <v>8584</v>
      </c>
      <c r="I104" s="162">
        <v>10005</v>
      </c>
      <c r="J104" s="162">
        <v>10839</v>
      </c>
      <c r="K104" s="162">
        <v>11718</v>
      </c>
      <c r="L104" s="162">
        <v>12622</v>
      </c>
      <c r="M104" s="162">
        <v>14256</v>
      </c>
      <c r="N104" s="162">
        <v>15436</v>
      </c>
      <c r="O104" s="162">
        <v>16486</v>
      </c>
      <c r="P104" s="162">
        <v>18285</v>
      </c>
      <c r="Q104" s="162">
        <v>20503</v>
      </c>
      <c r="R104" s="162">
        <v>21794</v>
      </c>
      <c r="S104" s="162">
        <v>23629</v>
      </c>
      <c r="T104" s="162">
        <v>27014</v>
      </c>
      <c r="U104" s="162">
        <v>31274</v>
      </c>
      <c r="V104" s="162">
        <v>33630</v>
      </c>
      <c r="W104" s="162">
        <v>35453</v>
      </c>
      <c r="X104" s="162">
        <v>40327</v>
      </c>
      <c r="Y104" s="226">
        <v>46818.51</v>
      </c>
    </row>
    <row r="105" spans="1:25" ht="28" outlineLevel="1" x14ac:dyDescent="0.4">
      <c r="A105" s="171"/>
      <c r="B105" s="170"/>
      <c r="C105" s="170" t="s">
        <v>65</v>
      </c>
      <c r="D105" s="170"/>
      <c r="E105" s="169" t="s">
        <v>63</v>
      </c>
      <c r="F105" s="168">
        <v>11203</v>
      </c>
      <c r="G105" s="168">
        <v>12581</v>
      </c>
      <c r="H105" s="168">
        <v>13680</v>
      </c>
      <c r="I105" s="168">
        <v>14553</v>
      </c>
      <c r="J105" s="168">
        <v>15883</v>
      </c>
      <c r="K105" s="168">
        <v>17652</v>
      </c>
      <c r="L105" s="168">
        <v>19322</v>
      </c>
      <c r="M105" s="168">
        <v>22039</v>
      </c>
      <c r="N105" s="168">
        <v>24335</v>
      </c>
      <c r="O105" s="168">
        <v>27064</v>
      </c>
      <c r="P105" s="168">
        <v>29420</v>
      </c>
      <c r="Q105" s="168">
        <v>31806</v>
      </c>
      <c r="R105" s="168">
        <v>35798</v>
      </c>
      <c r="S105" s="168">
        <v>39328</v>
      </c>
      <c r="T105" s="168">
        <v>42607</v>
      </c>
      <c r="U105" s="168">
        <v>41646</v>
      </c>
      <c r="V105" s="168">
        <v>51793</v>
      </c>
      <c r="W105" s="168">
        <v>56894</v>
      </c>
      <c r="X105" s="168">
        <v>67540</v>
      </c>
      <c r="Y105" s="227">
        <v>76185.289999999994</v>
      </c>
    </row>
    <row r="106" spans="1:25" outlineLevel="2" x14ac:dyDescent="0.4">
      <c r="A106" s="165"/>
      <c r="B106" s="164"/>
      <c r="C106" s="164"/>
      <c r="D106" s="164" t="s">
        <v>64</v>
      </c>
      <c r="E106" s="163" t="s">
        <v>63</v>
      </c>
      <c r="F106" s="162">
        <v>11203</v>
      </c>
      <c r="G106" s="162">
        <v>12581</v>
      </c>
      <c r="H106" s="162">
        <v>13680</v>
      </c>
      <c r="I106" s="162">
        <v>14553</v>
      </c>
      <c r="J106" s="162">
        <v>15883</v>
      </c>
      <c r="K106" s="162">
        <v>17652</v>
      </c>
      <c r="L106" s="162">
        <v>19322</v>
      </c>
      <c r="M106" s="162">
        <v>22039</v>
      </c>
      <c r="N106" s="162">
        <v>24335</v>
      </c>
      <c r="O106" s="162">
        <v>27064</v>
      </c>
      <c r="P106" s="162">
        <v>29420</v>
      </c>
      <c r="Q106" s="162">
        <v>31806</v>
      </c>
      <c r="R106" s="162">
        <v>35798</v>
      </c>
      <c r="S106" s="162">
        <v>39328</v>
      </c>
      <c r="T106" s="162">
        <v>42607</v>
      </c>
      <c r="U106" s="162">
        <v>41646</v>
      </c>
      <c r="V106" s="162">
        <v>51793</v>
      </c>
      <c r="W106" s="162">
        <v>56894</v>
      </c>
      <c r="X106" s="162">
        <v>67540</v>
      </c>
      <c r="Y106" s="226">
        <v>76185.289999999994</v>
      </c>
    </row>
    <row r="107" spans="1:25" ht="70" x14ac:dyDescent="0.4">
      <c r="A107" s="159"/>
      <c r="B107" s="158" t="s">
        <v>242</v>
      </c>
      <c r="C107" s="158"/>
      <c r="D107" s="158"/>
      <c r="E107" s="157" t="s">
        <v>61</v>
      </c>
      <c r="F107" s="156">
        <v>8069</v>
      </c>
      <c r="G107" s="156">
        <v>8854</v>
      </c>
      <c r="H107" s="156">
        <v>9956</v>
      </c>
      <c r="I107" s="156">
        <v>10983</v>
      </c>
      <c r="J107" s="156">
        <v>11888</v>
      </c>
      <c r="K107" s="156">
        <v>13087</v>
      </c>
      <c r="L107" s="156">
        <v>14510</v>
      </c>
      <c r="M107" s="156">
        <v>15586</v>
      </c>
      <c r="N107" s="156">
        <v>16900</v>
      </c>
      <c r="O107" s="156">
        <v>18084</v>
      </c>
      <c r="P107" s="156">
        <v>18982</v>
      </c>
      <c r="Q107" s="156">
        <v>20551</v>
      </c>
      <c r="R107" s="156">
        <v>22226</v>
      </c>
      <c r="S107" s="156">
        <v>23166</v>
      </c>
      <c r="T107" s="156">
        <v>27047</v>
      </c>
      <c r="U107" s="156">
        <v>24640</v>
      </c>
      <c r="V107" s="156">
        <v>33259</v>
      </c>
      <c r="W107" s="156">
        <v>45885</v>
      </c>
      <c r="X107" s="156">
        <v>55519</v>
      </c>
      <c r="Y107" s="225">
        <v>64616.47</v>
      </c>
    </row>
    <row r="108" spans="1:25" ht="28" outlineLevel="1" x14ac:dyDescent="0.4">
      <c r="A108" s="153"/>
      <c r="B108" s="152"/>
      <c r="C108" s="152" t="s">
        <v>60</v>
      </c>
      <c r="D108" s="152"/>
      <c r="E108" s="151" t="s">
        <v>58</v>
      </c>
      <c r="F108" s="150">
        <v>5528</v>
      </c>
      <c r="G108" s="150">
        <v>6141</v>
      </c>
      <c r="H108" s="150">
        <v>7031</v>
      </c>
      <c r="I108" s="150">
        <v>7884</v>
      </c>
      <c r="J108" s="150">
        <v>8601</v>
      </c>
      <c r="K108" s="150">
        <v>9528</v>
      </c>
      <c r="L108" s="150">
        <v>10676</v>
      </c>
      <c r="M108" s="150">
        <v>11468</v>
      </c>
      <c r="N108" s="150">
        <v>12515</v>
      </c>
      <c r="O108" s="150">
        <v>13386</v>
      </c>
      <c r="P108" s="150">
        <v>13991</v>
      </c>
      <c r="Q108" s="150">
        <v>15111</v>
      </c>
      <c r="R108" s="150">
        <v>16438</v>
      </c>
      <c r="S108" s="150">
        <v>17033</v>
      </c>
      <c r="T108" s="150">
        <v>20492</v>
      </c>
      <c r="U108" s="150">
        <v>19661</v>
      </c>
      <c r="V108" s="150">
        <v>27609</v>
      </c>
      <c r="W108" s="150">
        <v>37907</v>
      </c>
      <c r="X108" s="150">
        <v>46585</v>
      </c>
      <c r="Y108" s="224">
        <v>54338.09</v>
      </c>
    </row>
    <row r="109" spans="1:25" ht="28" outlineLevel="2" x14ac:dyDescent="0.4">
      <c r="A109" s="147"/>
      <c r="B109" s="146"/>
      <c r="C109" s="146"/>
      <c r="D109" s="146" t="s">
        <v>59</v>
      </c>
      <c r="E109" s="145" t="s">
        <v>58</v>
      </c>
      <c r="F109" s="144">
        <v>5528</v>
      </c>
      <c r="G109" s="144">
        <v>6141</v>
      </c>
      <c r="H109" s="144">
        <v>7031</v>
      </c>
      <c r="I109" s="144">
        <v>7884</v>
      </c>
      <c r="J109" s="144">
        <v>8601</v>
      </c>
      <c r="K109" s="144">
        <v>9528</v>
      </c>
      <c r="L109" s="144">
        <v>10676</v>
      </c>
      <c r="M109" s="144">
        <v>11468</v>
      </c>
      <c r="N109" s="144">
        <v>12515</v>
      </c>
      <c r="O109" s="144">
        <v>13386</v>
      </c>
      <c r="P109" s="144">
        <v>13991</v>
      </c>
      <c r="Q109" s="144">
        <v>15111</v>
      </c>
      <c r="R109" s="144">
        <v>16438</v>
      </c>
      <c r="S109" s="144">
        <v>17033</v>
      </c>
      <c r="T109" s="144">
        <v>20492</v>
      </c>
      <c r="U109" s="144">
        <v>19661</v>
      </c>
      <c r="V109" s="144">
        <v>27609</v>
      </c>
      <c r="W109" s="144">
        <v>37907</v>
      </c>
      <c r="X109" s="144">
        <v>46585</v>
      </c>
      <c r="Y109" s="223">
        <v>54338.09</v>
      </c>
    </row>
    <row r="110" spans="1:25" ht="56" outlineLevel="1" x14ac:dyDescent="0.4">
      <c r="A110" s="153"/>
      <c r="B110" s="152"/>
      <c r="C110" s="152" t="s">
        <v>57</v>
      </c>
      <c r="D110" s="152"/>
      <c r="E110" s="151" t="s">
        <v>56</v>
      </c>
      <c r="F110" s="150">
        <v>2541</v>
      </c>
      <c r="G110" s="150">
        <v>2713</v>
      </c>
      <c r="H110" s="150">
        <v>2925</v>
      </c>
      <c r="I110" s="150">
        <v>3099</v>
      </c>
      <c r="J110" s="150">
        <v>3287</v>
      </c>
      <c r="K110" s="150">
        <v>3559</v>
      </c>
      <c r="L110" s="150">
        <v>3834</v>
      </c>
      <c r="M110" s="150">
        <v>4118</v>
      </c>
      <c r="N110" s="150">
        <v>4385</v>
      </c>
      <c r="O110" s="150">
        <v>4698</v>
      </c>
      <c r="P110" s="150">
        <v>4991</v>
      </c>
      <c r="Q110" s="150">
        <v>5440</v>
      </c>
      <c r="R110" s="150">
        <v>5788</v>
      </c>
      <c r="S110" s="150">
        <v>6133</v>
      </c>
      <c r="T110" s="150">
        <v>6555</v>
      </c>
      <c r="U110" s="150">
        <v>4979</v>
      </c>
      <c r="V110" s="150">
        <v>5650</v>
      </c>
      <c r="W110" s="150">
        <v>7978</v>
      </c>
      <c r="X110" s="150">
        <v>8934</v>
      </c>
      <c r="Y110" s="224">
        <v>10278.379999999999</v>
      </c>
    </row>
    <row r="111" spans="1:25" ht="28" outlineLevel="2" x14ac:dyDescent="0.4">
      <c r="A111" s="147"/>
      <c r="B111" s="146"/>
      <c r="C111" s="146"/>
      <c r="D111" s="146" t="s">
        <v>55</v>
      </c>
      <c r="E111" s="145" t="s">
        <v>54</v>
      </c>
      <c r="F111" s="144">
        <v>2541</v>
      </c>
      <c r="G111" s="144">
        <v>2713</v>
      </c>
      <c r="H111" s="144">
        <v>2925</v>
      </c>
      <c r="I111" s="144">
        <v>3099</v>
      </c>
      <c r="J111" s="144">
        <v>3287</v>
      </c>
      <c r="K111" s="144">
        <v>3559</v>
      </c>
      <c r="L111" s="144">
        <v>3834</v>
      </c>
      <c r="M111" s="144">
        <v>4118</v>
      </c>
      <c r="N111" s="144">
        <v>4385</v>
      </c>
      <c r="O111" s="144">
        <v>4698</v>
      </c>
      <c r="P111" s="144">
        <v>4991</v>
      </c>
      <c r="Q111" s="144">
        <v>5440</v>
      </c>
      <c r="R111" s="144">
        <v>5788</v>
      </c>
      <c r="S111" s="144">
        <v>6133</v>
      </c>
      <c r="T111" s="144">
        <v>6555</v>
      </c>
      <c r="U111" s="144">
        <v>4979</v>
      </c>
      <c r="V111" s="144">
        <v>5650</v>
      </c>
      <c r="W111" s="144">
        <v>7978</v>
      </c>
      <c r="X111" s="144">
        <v>8934</v>
      </c>
      <c r="Y111" s="223">
        <v>10278.379999999999</v>
      </c>
    </row>
    <row r="112" spans="1:25" x14ac:dyDescent="0.4">
      <c r="A112" s="80" t="s">
        <v>10</v>
      </c>
      <c r="B112" s="79"/>
      <c r="C112" s="141"/>
      <c r="D112" s="59"/>
      <c r="E112" s="141" t="s">
        <v>53</v>
      </c>
      <c r="F112" s="112">
        <v>307697</v>
      </c>
      <c r="G112" s="112">
        <v>345775</v>
      </c>
      <c r="H112" s="112">
        <v>387663</v>
      </c>
      <c r="I112" s="112">
        <v>432854</v>
      </c>
      <c r="J112" s="112">
        <v>458523</v>
      </c>
      <c r="K112" s="112">
        <v>495613</v>
      </c>
      <c r="L112" s="112">
        <v>562283</v>
      </c>
      <c r="M112" s="112">
        <v>606358</v>
      </c>
      <c r="N112" s="112">
        <v>653334</v>
      </c>
      <c r="O112" s="112">
        <v>694752</v>
      </c>
      <c r="P112" s="112">
        <v>730543</v>
      </c>
      <c r="Q112" s="112">
        <v>787719</v>
      </c>
      <c r="R112" s="112">
        <v>835906</v>
      </c>
      <c r="S112" s="112">
        <v>896656</v>
      </c>
      <c r="T112" s="112">
        <v>959792</v>
      </c>
      <c r="U112" s="112">
        <v>909303</v>
      </c>
      <c r="V112" s="112">
        <v>1079574</v>
      </c>
      <c r="W112" s="112">
        <v>1321960</v>
      </c>
      <c r="X112" s="112">
        <v>1429920</v>
      </c>
      <c r="Y112" s="210">
        <v>1544105.08</v>
      </c>
    </row>
    <row r="113" spans="1:25" x14ac:dyDescent="0.4">
      <c r="A113" s="140" t="s">
        <v>52</v>
      </c>
      <c r="B113" s="138"/>
      <c r="C113" s="138"/>
      <c r="D113" s="139"/>
      <c r="E113" s="138" t="s">
        <v>51</v>
      </c>
      <c r="F113" s="137">
        <v>30261</v>
      </c>
      <c r="G113" s="137">
        <v>35829</v>
      </c>
      <c r="H113" s="137">
        <v>40843</v>
      </c>
      <c r="I113" s="137">
        <v>43700</v>
      </c>
      <c r="J113" s="137">
        <v>43051</v>
      </c>
      <c r="K113" s="137">
        <v>48447</v>
      </c>
      <c r="L113" s="137">
        <v>56740</v>
      </c>
      <c r="M113" s="137">
        <v>60149</v>
      </c>
      <c r="N113" s="137">
        <v>60759</v>
      </c>
      <c r="O113" s="137">
        <v>68151</v>
      </c>
      <c r="P113" s="137">
        <v>74149</v>
      </c>
      <c r="Q113" s="137">
        <v>76063</v>
      </c>
      <c r="R113" s="137">
        <v>84565</v>
      </c>
      <c r="S113" s="137">
        <v>91135</v>
      </c>
      <c r="T113" s="137">
        <v>100276</v>
      </c>
      <c r="U113" s="137">
        <v>89168</v>
      </c>
      <c r="V113" s="137">
        <v>113060</v>
      </c>
      <c r="W113" s="137">
        <v>149119</v>
      </c>
      <c r="X113" s="137">
        <v>154642</v>
      </c>
      <c r="Y113" s="222">
        <v>162342.10999999999</v>
      </c>
    </row>
    <row r="114" spans="1:25" x14ac:dyDescent="0.4">
      <c r="A114" s="134" t="s">
        <v>10</v>
      </c>
      <c r="B114" s="132"/>
      <c r="C114" s="132"/>
      <c r="D114" s="133"/>
      <c r="E114" s="132" t="s">
        <v>9</v>
      </c>
      <c r="F114" s="131">
        <v>337958</v>
      </c>
      <c r="G114" s="131">
        <v>381604</v>
      </c>
      <c r="H114" s="131">
        <v>428506</v>
      </c>
      <c r="I114" s="131">
        <v>476554</v>
      </c>
      <c r="J114" s="131">
        <v>501574</v>
      </c>
      <c r="K114" s="131">
        <v>544060</v>
      </c>
      <c r="L114" s="131">
        <v>619023</v>
      </c>
      <c r="M114" s="131">
        <v>666507</v>
      </c>
      <c r="N114" s="131">
        <v>714093</v>
      </c>
      <c r="O114" s="131">
        <v>762903</v>
      </c>
      <c r="P114" s="131">
        <v>804692</v>
      </c>
      <c r="Q114" s="131">
        <v>863782</v>
      </c>
      <c r="R114" s="131">
        <v>920471</v>
      </c>
      <c r="S114" s="131">
        <v>987791</v>
      </c>
      <c r="T114" s="131">
        <v>1060068</v>
      </c>
      <c r="U114" s="131">
        <v>998471</v>
      </c>
      <c r="V114" s="131">
        <v>1192634</v>
      </c>
      <c r="W114" s="131">
        <v>1471079</v>
      </c>
      <c r="X114" s="131">
        <v>1584562</v>
      </c>
      <c r="Y114" s="221">
        <v>1706447.19</v>
      </c>
    </row>
    <row r="115" spans="1:25" x14ac:dyDescent="0.4">
      <c r="A115" s="40"/>
      <c r="D115" s="1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220"/>
      <c r="R115" s="104"/>
      <c r="S115" s="104"/>
      <c r="T115" s="104"/>
      <c r="U115" s="219"/>
      <c r="V115" s="219"/>
      <c r="W115" s="219"/>
      <c r="X115" s="219"/>
      <c r="Y115" s="218"/>
    </row>
    <row r="116" spans="1:25" s="41" customFormat="1" ht="16" x14ac:dyDescent="0.45">
      <c r="A116" s="46" t="s">
        <v>50</v>
      </c>
      <c r="B116" s="45"/>
      <c r="C116" s="45"/>
      <c r="D116" s="45"/>
      <c r="E116" s="45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5"/>
    </row>
    <row r="117" spans="1:25" x14ac:dyDescent="0.4">
      <c r="A117" s="69"/>
      <c r="B117" s="68"/>
      <c r="C117" s="68"/>
      <c r="D117" s="68"/>
      <c r="E117" s="67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97"/>
    </row>
    <row r="118" spans="1:25" x14ac:dyDescent="0.4">
      <c r="A118" s="80" t="s">
        <v>49</v>
      </c>
      <c r="B118" s="79"/>
      <c r="C118" s="79"/>
      <c r="D118" s="79"/>
      <c r="E118" s="78" t="s">
        <v>48</v>
      </c>
      <c r="F118" s="112">
        <v>276532</v>
      </c>
      <c r="G118" s="112">
        <v>310035</v>
      </c>
      <c r="H118" s="112">
        <v>346140</v>
      </c>
      <c r="I118" s="112">
        <v>377562</v>
      </c>
      <c r="J118" s="112">
        <v>402862</v>
      </c>
      <c r="K118" s="112">
        <v>433584</v>
      </c>
      <c r="L118" s="112">
        <v>482354</v>
      </c>
      <c r="M118" s="112">
        <v>527261</v>
      </c>
      <c r="N118" s="112">
        <v>568641</v>
      </c>
      <c r="O118" s="112">
        <v>611960</v>
      </c>
      <c r="P118" s="112">
        <v>670201</v>
      </c>
      <c r="Q118" s="112">
        <v>722130</v>
      </c>
      <c r="R118" s="112">
        <v>767608</v>
      </c>
      <c r="S118" s="112">
        <v>825199</v>
      </c>
      <c r="T118" s="112">
        <v>895141</v>
      </c>
      <c r="U118" s="112">
        <v>877485</v>
      </c>
      <c r="V118" s="112">
        <v>1058441</v>
      </c>
      <c r="W118" s="112">
        <v>1290411</v>
      </c>
      <c r="X118" s="112">
        <v>1398932</v>
      </c>
      <c r="Y118" s="210">
        <v>1501755.93</v>
      </c>
    </row>
    <row r="119" spans="1:25" ht="28.5" x14ac:dyDescent="0.4">
      <c r="A119" s="126" t="s">
        <v>47</v>
      </c>
      <c r="B119" s="97"/>
      <c r="C119" s="125"/>
      <c r="D119" s="97"/>
      <c r="E119" s="96" t="s">
        <v>46</v>
      </c>
      <c r="F119" s="95">
        <v>229366</v>
      </c>
      <c r="G119" s="95">
        <v>257066</v>
      </c>
      <c r="H119" s="95">
        <v>287306</v>
      </c>
      <c r="I119" s="95">
        <v>314924</v>
      </c>
      <c r="J119" s="95">
        <v>333624</v>
      </c>
      <c r="K119" s="95">
        <v>358720</v>
      </c>
      <c r="L119" s="95">
        <v>399719</v>
      </c>
      <c r="M119" s="95">
        <v>437446</v>
      </c>
      <c r="N119" s="95">
        <v>467973</v>
      </c>
      <c r="O119" s="95">
        <v>503294</v>
      </c>
      <c r="P119" s="95">
        <v>551013</v>
      </c>
      <c r="Q119" s="95">
        <v>596525</v>
      </c>
      <c r="R119" s="95">
        <v>630636</v>
      </c>
      <c r="S119" s="95">
        <v>672867</v>
      </c>
      <c r="T119" s="95">
        <v>727934</v>
      </c>
      <c r="U119" s="95">
        <v>706159</v>
      </c>
      <c r="V119" s="95">
        <v>867067</v>
      </c>
      <c r="W119" s="95">
        <v>1084386</v>
      </c>
      <c r="X119" s="95">
        <v>1166729</v>
      </c>
      <c r="Y119" s="217">
        <v>1247677.92</v>
      </c>
    </row>
    <row r="120" spans="1:25" x14ac:dyDescent="0.4">
      <c r="A120" s="102" t="s">
        <v>45</v>
      </c>
      <c r="B120" s="121"/>
      <c r="C120" s="122"/>
      <c r="D120" s="121"/>
      <c r="E120" s="101" t="s">
        <v>44</v>
      </c>
      <c r="F120" s="100">
        <v>228525</v>
      </c>
      <c r="G120" s="100">
        <v>256071</v>
      </c>
      <c r="H120" s="100">
        <v>286161</v>
      </c>
      <c r="I120" s="100">
        <v>313759</v>
      </c>
      <c r="J120" s="100">
        <v>332198</v>
      </c>
      <c r="K120" s="100">
        <v>357176</v>
      </c>
      <c r="L120" s="100">
        <v>397889</v>
      </c>
      <c r="M120" s="100">
        <v>435245</v>
      </c>
      <c r="N120" s="100">
        <v>465538</v>
      </c>
      <c r="O120" s="100">
        <v>500228</v>
      </c>
      <c r="P120" s="100">
        <v>547843</v>
      </c>
      <c r="Q120" s="100">
        <v>593017</v>
      </c>
      <c r="R120" s="100">
        <v>627075</v>
      </c>
      <c r="S120" s="202">
        <v>669031</v>
      </c>
      <c r="T120" s="202">
        <v>723792</v>
      </c>
      <c r="U120" s="202">
        <v>702156</v>
      </c>
      <c r="V120" s="202">
        <v>862500</v>
      </c>
      <c r="W120" s="202">
        <v>1079137</v>
      </c>
      <c r="X120" s="202">
        <v>1160241</v>
      </c>
      <c r="Y120" s="201">
        <v>1240583</v>
      </c>
    </row>
    <row r="121" spans="1:25" x14ac:dyDescent="0.4">
      <c r="A121" s="120" t="s">
        <v>43</v>
      </c>
      <c r="B121" s="70"/>
      <c r="C121" s="119"/>
      <c r="D121" s="70"/>
      <c r="E121" s="105" t="s">
        <v>42</v>
      </c>
      <c r="F121" s="104">
        <v>841</v>
      </c>
      <c r="G121" s="104">
        <v>995</v>
      </c>
      <c r="H121" s="104">
        <v>1145</v>
      </c>
      <c r="I121" s="104">
        <v>1165</v>
      </c>
      <c r="J121" s="104">
        <v>1426</v>
      </c>
      <c r="K121" s="104">
        <v>1544</v>
      </c>
      <c r="L121" s="104">
        <v>1830</v>
      </c>
      <c r="M121" s="104">
        <v>2201</v>
      </c>
      <c r="N121" s="104">
        <v>2435</v>
      </c>
      <c r="O121" s="104">
        <v>3066</v>
      </c>
      <c r="P121" s="104">
        <v>3170</v>
      </c>
      <c r="Q121" s="104">
        <v>3508</v>
      </c>
      <c r="R121" s="104">
        <v>3561</v>
      </c>
      <c r="S121" s="204">
        <v>3836</v>
      </c>
      <c r="T121" s="204">
        <v>4142</v>
      </c>
      <c r="U121" s="204">
        <v>4003</v>
      </c>
      <c r="V121" s="204">
        <v>4567</v>
      </c>
      <c r="W121" s="204">
        <v>5249</v>
      </c>
      <c r="X121" s="204">
        <v>6488</v>
      </c>
      <c r="Y121" s="203">
        <v>7095</v>
      </c>
    </row>
    <row r="122" spans="1:25" x14ac:dyDescent="0.4">
      <c r="A122" s="92" t="s">
        <v>41</v>
      </c>
      <c r="B122" s="117"/>
      <c r="C122" s="118"/>
      <c r="D122" s="117"/>
      <c r="E122" s="90" t="s">
        <v>40</v>
      </c>
      <c r="F122" s="89">
        <v>47166</v>
      </c>
      <c r="G122" s="89">
        <v>52969</v>
      </c>
      <c r="H122" s="89">
        <v>58834</v>
      </c>
      <c r="I122" s="89">
        <v>62638</v>
      </c>
      <c r="J122" s="89">
        <v>69238</v>
      </c>
      <c r="K122" s="89">
        <v>74864</v>
      </c>
      <c r="L122" s="89">
        <v>82635</v>
      </c>
      <c r="M122" s="89">
        <v>89815</v>
      </c>
      <c r="N122" s="89">
        <v>100668</v>
      </c>
      <c r="O122" s="89">
        <v>108666</v>
      </c>
      <c r="P122" s="89">
        <v>119188</v>
      </c>
      <c r="Q122" s="89">
        <v>125605</v>
      </c>
      <c r="R122" s="89">
        <v>136972</v>
      </c>
      <c r="S122" s="89">
        <v>152332</v>
      </c>
      <c r="T122" s="89">
        <v>167207</v>
      </c>
      <c r="U122" s="89">
        <v>171326</v>
      </c>
      <c r="V122" s="89">
        <v>191374</v>
      </c>
      <c r="W122" s="89">
        <v>206025</v>
      </c>
      <c r="X122" s="89">
        <v>232203</v>
      </c>
      <c r="Y122" s="216">
        <v>254078.01</v>
      </c>
    </row>
    <row r="123" spans="1:25" x14ac:dyDescent="0.4">
      <c r="A123" s="114"/>
      <c r="C123" s="70"/>
      <c r="D123" s="1"/>
      <c r="E123" s="113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97"/>
    </row>
    <row r="124" spans="1:25" x14ac:dyDescent="0.4">
      <c r="A124" s="80" t="s">
        <v>39</v>
      </c>
      <c r="B124" s="79"/>
      <c r="C124" s="79"/>
      <c r="D124" s="79"/>
      <c r="E124" s="78" t="s">
        <v>38</v>
      </c>
      <c r="F124" s="112">
        <v>73189</v>
      </c>
      <c r="G124" s="112">
        <v>87536</v>
      </c>
      <c r="H124" s="112">
        <v>100503</v>
      </c>
      <c r="I124" s="112">
        <v>113043</v>
      </c>
      <c r="J124" s="112">
        <v>110284</v>
      </c>
      <c r="K124" s="112">
        <v>119088</v>
      </c>
      <c r="L124" s="112">
        <v>142348</v>
      </c>
      <c r="M124" s="112">
        <v>147329</v>
      </c>
      <c r="N124" s="112">
        <v>158404</v>
      </c>
      <c r="O124" s="112">
        <v>183122</v>
      </c>
      <c r="P124" s="112">
        <v>191305</v>
      </c>
      <c r="Q124" s="112">
        <v>200116</v>
      </c>
      <c r="R124" s="112">
        <v>198816</v>
      </c>
      <c r="S124" s="112">
        <v>209367</v>
      </c>
      <c r="T124" s="112">
        <v>226649</v>
      </c>
      <c r="U124" s="112">
        <v>190989</v>
      </c>
      <c r="V124" s="112">
        <v>225610</v>
      </c>
      <c r="W124" s="112">
        <v>291086</v>
      </c>
      <c r="X124" s="112">
        <v>260497</v>
      </c>
      <c r="Y124" s="210">
        <v>287059</v>
      </c>
    </row>
    <row r="125" spans="1:25" x14ac:dyDescent="0.4">
      <c r="A125" s="71" t="s">
        <v>37</v>
      </c>
      <c r="D125" s="1"/>
      <c r="E125" s="215" t="s">
        <v>36</v>
      </c>
      <c r="F125" s="104">
        <v>70823</v>
      </c>
      <c r="G125" s="104">
        <v>86157</v>
      </c>
      <c r="H125" s="104">
        <v>103173</v>
      </c>
      <c r="I125" s="104">
        <v>104431</v>
      </c>
      <c r="J125" s="104">
        <v>113590</v>
      </c>
      <c r="K125" s="104">
        <v>119927</v>
      </c>
      <c r="L125" s="104">
        <v>135664</v>
      </c>
      <c r="M125" s="104">
        <v>140801</v>
      </c>
      <c r="N125" s="104">
        <v>152376</v>
      </c>
      <c r="O125" s="104">
        <v>172954</v>
      </c>
      <c r="P125" s="104">
        <v>188095</v>
      </c>
      <c r="Q125" s="104">
        <v>191152</v>
      </c>
      <c r="R125" s="104">
        <v>199952</v>
      </c>
      <c r="S125" s="104">
        <v>209687</v>
      </c>
      <c r="T125" s="104">
        <v>225467</v>
      </c>
      <c r="U125" s="104">
        <v>183340</v>
      </c>
      <c r="V125" s="104">
        <v>226478</v>
      </c>
      <c r="W125" s="104">
        <v>280542</v>
      </c>
      <c r="X125" s="104">
        <v>261689</v>
      </c>
      <c r="Y125" s="197">
        <v>283177</v>
      </c>
    </row>
    <row r="126" spans="1:25" outlineLevel="1" x14ac:dyDescent="0.4">
      <c r="A126" s="107" t="s">
        <v>35</v>
      </c>
      <c r="B126" s="59"/>
      <c r="C126" s="59"/>
      <c r="D126" s="59"/>
      <c r="E126" s="101" t="s">
        <v>34</v>
      </c>
      <c r="F126" s="100">
        <v>10460</v>
      </c>
      <c r="G126" s="100">
        <v>12458</v>
      </c>
      <c r="H126" s="100">
        <v>17072</v>
      </c>
      <c r="I126" s="100">
        <v>15636</v>
      </c>
      <c r="J126" s="100">
        <v>20129</v>
      </c>
      <c r="K126" s="100">
        <v>20268</v>
      </c>
      <c r="L126" s="100">
        <v>22677</v>
      </c>
      <c r="M126" s="100">
        <v>27925</v>
      </c>
      <c r="N126" s="100">
        <v>34679</v>
      </c>
      <c r="O126" s="100">
        <v>38266</v>
      </c>
      <c r="P126" s="100">
        <v>42804</v>
      </c>
      <c r="Q126" s="100">
        <v>45498</v>
      </c>
      <c r="R126" s="100">
        <v>46743</v>
      </c>
      <c r="S126" s="202">
        <v>49674</v>
      </c>
      <c r="T126" s="202">
        <v>47597</v>
      </c>
      <c r="U126" s="202">
        <v>33140</v>
      </c>
      <c r="V126" s="202">
        <v>49546</v>
      </c>
      <c r="W126" s="202">
        <v>55841</v>
      </c>
      <c r="X126" s="202">
        <v>59535</v>
      </c>
      <c r="Y126" s="201">
        <v>64506</v>
      </c>
    </row>
    <row r="127" spans="1:25" outlineLevel="1" x14ac:dyDescent="0.4">
      <c r="A127" s="106" t="s">
        <v>33</v>
      </c>
      <c r="D127" s="1"/>
      <c r="E127" s="105" t="s">
        <v>32</v>
      </c>
      <c r="F127" s="104">
        <v>24766</v>
      </c>
      <c r="G127" s="104">
        <v>27963</v>
      </c>
      <c r="H127" s="104">
        <v>35394</v>
      </c>
      <c r="I127" s="104">
        <v>35756</v>
      </c>
      <c r="J127" s="104">
        <v>42495</v>
      </c>
      <c r="K127" s="104">
        <v>44815</v>
      </c>
      <c r="L127" s="104">
        <v>46484</v>
      </c>
      <c r="M127" s="104">
        <v>48192</v>
      </c>
      <c r="N127" s="104">
        <v>53368</v>
      </c>
      <c r="O127" s="104">
        <v>64363</v>
      </c>
      <c r="P127" s="104">
        <v>72608</v>
      </c>
      <c r="Q127" s="104">
        <v>75407</v>
      </c>
      <c r="R127" s="104">
        <v>80706</v>
      </c>
      <c r="S127" s="204">
        <v>82087</v>
      </c>
      <c r="T127" s="204">
        <v>86958</v>
      </c>
      <c r="U127" s="204">
        <v>63362</v>
      </c>
      <c r="V127" s="204">
        <v>65916</v>
      </c>
      <c r="W127" s="204">
        <v>68117</v>
      </c>
      <c r="X127" s="204">
        <v>71162</v>
      </c>
      <c r="Y127" s="203">
        <v>83047</v>
      </c>
    </row>
    <row r="128" spans="1:25" outlineLevel="1" x14ac:dyDescent="0.4">
      <c r="A128" s="107" t="s">
        <v>31</v>
      </c>
      <c r="B128" s="59"/>
      <c r="C128" s="59"/>
      <c r="D128" s="59"/>
      <c r="E128" s="101" t="s">
        <v>30</v>
      </c>
      <c r="F128" s="100">
        <v>30148</v>
      </c>
      <c r="G128" s="100">
        <v>40261</v>
      </c>
      <c r="H128" s="100">
        <v>44490</v>
      </c>
      <c r="I128" s="100">
        <v>45399</v>
      </c>
      <c r="J128" s="100">
        <v>42500</v>
      </c>
      <c r="K128" s="100">
        <v>45884</v>
      </c>
      <c r="L128" s="100">
        <v>55758</v>
      </c>
      <c r="M128" s="100">
        <v>54539</v>
      </c>
      <c r="N128" s="100">
        <v>53649</v>
      </c>
      <c r="O128" s="100">
        <v>59476</v>
      </c>
      <c r="P128" s="100">
        <v>60748</v>
      </c>
      <c r="Q128" s="100">
        <v>57974</v>
      </c>
      <c r="R128" s="100">
        <v>58802</v>
      </c>
      <c r="S128" s="202">
        <v>64235</v>
      </c>
      <c r="T128" s="202">
        <v>75762</v>
      </c>
      <c r="U128" s="202">
        <v>70991</v>
      </c>
      <c r="V128" s="202">
        <v>92668</v>
      </c>
      <c r="W128" s="202">
        <v>133774</v>
      </c>
      <c r="X128" s="202">
        <v>106027</v>
      </c>
      <c r="Y128" s="201">
        <v>106127</v>
      </c>
    </row>
    <row r="129" spans="1:25" outlineLevel="1" x14ac:dyDescent="0.4">
      <c r="A129" s="106" t="s">
        <v>29</v>
      </c>
      <c r="D129" s="1"/>
      <c r="E129" s="105" t="s">
        <v>28</v>
      </c>
      <c r="F129" s="104">
        <v>1738</v>
      </c>
      <c r="G129" s="104">
        <v>1826</v>
      </c>
      <c r="H129" s="104">
        <v>2023</v>
      </c>
      <c r="I129" s="104">
        <v>2421</v>
      </c>
      <c r="J129" s="104">
        <v>2930</v>
      </c>
      <c r="K129" s="104">
        <v>3086</v>
      </c>
      <c r="L129" s="104">
        <v>3397</v>
      </c>
      <c r="M129" s="104">
        <v>2908</v>
      </c>
      <c r="N129" s="104">
        <v>2823</v>
      </c>
      <c r="O129" s="104">
        <v>3023</v>
      </c>
      <c r="P129" s="104">
        <v>3530</v>
      </c>
      <c r="Q129" s="104">
        <v>4490</v>
      </c>
      <c r="R129" s="104">
        <v>5187</v>
      </c>
      <c r="S129" s="204">
        <v>4967</v>
      </c>
      <c r="T129" s="204">
        <v>5975</v>
      </c>
      <c r="U129" s="204">
        <v>6880</v>
      </c>
      <c r="V129" s="204">
        <v>8855</v>
      </c>
      <c r="W129" s="204">
        <v>10639</v>
      </c>
      <c r="X129" s="204">
        <v>12697</v>
      </c>
      <c r="Y129" s="203">
        <v>16435</v>
      </c>
    </row>
    <row r="130" spans="1:25" outlineLevel="1" x14ac:dyDescent="0.4">
      <c r="A130" s="102" t="s">
        <v>27</v>
      </c>
      <c r="B130" s="59"/>
      <c r="C130" s="59"/>
      <c r="D130" s="59"/>
      <c r="E130" s="101" t="s">
        <v>26</v>
      </c>
      <c r="F130" s="100">
        <v>3711</v>
      </c>
      <c r="G130" s="100">
        <v>3649</v>
      </c>
      <c r="H130" s="100">
        <v>4194</v>
      </c>
      <c r="I130" s="100">
        <v>5219</v>
      </c>
      <c r="J130" s="100">
        <v>5536</v>
      </c>
      <c r="K130" s="100">
        <v>5874</v>
      </c>
      <c r="L130" s="100">
        <v>7348</v>
      </c>
      <c r="M130" s="100">
        <v>7237</v>
      </c>
      <c r="N130" s="100">
        <v>7857</v>
      </c>
      <c r="O130" s="100">
        <v>7826</v>
      </c>
      <c r="P130" s="100">
        <v>8405</v>
      </c>
      <c r="Q130" s="100">
        <v>7783</v>
      </c>
      <c r="R130" s="100">
        <v>8514</v>
      </c>
      <c r="S130" s="202">
        <v>8724</v>
      </c>
      <c r="T130" s="202">
        <v>9175</v>
      </c>
      <c r="U130" s="202">
        <v>8967</v>
      </c>
      <c r="V130" s="202">
        <v>9493</v>
      </c>
      <c r="W130" s="202">
        <v>12171</v>
      </c>
      <c r="X130" s="202">
        <v>12268</v>
      </c>
      <c r="Y130" s="201">
        <v>13062</v>
      </c>
    </row>
    <row r="131" spans="1:25" x14ac:dyDescent="0.4">
      <c r="A131" s="71" t="s">
        <v>25</v>
      </c>
      <c r="D131" s="1"/>
      <c r="E131" s="215" t="s">
        <v>24</v>
      </c>
      <c r="F131" s="104">
        <v>2346</v>
      </c>
      <c r="G131" s="104">
        <v>1359</v>
      </c>
      <c r="H131" s="104">
        <v>-2691</v>
      </c>
      <c r="I131" s="104">
        <v>8592</v>
      </c>
      <c r="J131" s="104">
        <v>-3327</v>
      </c>
      <c r="K131" s="104">
        <v>-859</v>
      </c>
      <c r="L131" s="104">
        <v>6663</v>
      </c>
      <c r="M131" s="104">
        <v>6505</v>
      </c>
      <c r="N131" s="104">
        <v>6004</v>
      </c>
      <c r="O131" s="104">
        <v>10143</v>
      </c>
      <c r="P131" s="104">
        <v>3183</v>
      </c>
      <c r="Q131" s="104">
        <v>8936</v>
      </c>
      <c r="R131" s="104">
        <v>-1160</v>
      </c>
      <c r="S131" s="204">
        <v>-345</v>
      </c>
      <c r="T131" s="204">
        <v>1155</v>
      </c>
      <c r="U131" s="204">
        <v>7622</v>
      </c>
      <c r="V131" s="204">
        <v>-895</v>
      </c>
      <c r="W131" s="204">
        <v>10516</v>
      </c>
      <c r="X131" s="204">
        <v>-1221</v>
      </c>
      <c r="Y131" s="203">
        <v>3882</v>
      </c>
    </row>
    <row r="132" spans="1:25" x14ac:dyDescent="0.4">
      <c r="A132" s="214" t="s">
        <v>23</v>
      </c>
      <c r="B132" s="59"/>
      <c r="C132" s="59"/>
      <c r="D132" s="59"/>
      <c r="E132" s="213" t="s">
        <v>22</v>
      </c>
      <c r="F132" s="100">
        <v>20</v>
      </c>
      <c r="G132" s="100">
        <v>20</v>
      </c>
      <c r="H132" s="100">
        <v>21</v>
      </c>
      <c r="I132" s="100">
        <v>20</v>
      </c>
      <c r="J132" s="100">
        <v>21</v>
      </c>
      <c r="K132" s="100">
        <v>20</v>
      </c>
      <c r="L132" s="100">
        <v>21</v>
      </c>
      <c r="M132" s="100">
        <v>23</v>
      </c>
      <c r="N132" s="100">
        <v>24</v>
      </c>
      <c r="O132" s="100">
        <v>25</v>
      </c>
      <c r="P132" s="100">
        <v>27</v>
      </c>
      <c r="Q132" s="100">
        <v>28</v>
      </c>
      <c r="R132" s="100">
        <v>24</v>
      </c>
      <c r="S132" s="202">
        <v>25</v>
      </c>
      <c r="T132" s="202">
        <v>27</v>
      </c>
      <c r="U132" s="202">
        <v>27</v>
      </c>
      <c r="V132" s="202">
        <v>27</v>
      </c>
      <c r="W132" s="202">
        <v>28</v>
      </c>
      <c r="X132" s="202">
        <v>29</v>
      </c>
      <c r="Y132" s="201">
        <v>0</v>
      </c>
    </row>
    <row r="133" spans="1:25" x14ac:dyDescent="0.4">
      <c r="A133" s="85" t="s">
        <v>21</v>
      </c>
      <c r="B133" s="84"/>
      <c r="C133" s="84"/>
      <c r="D133" s="84"/>
      <c r="E133" s="83" t="s">
        <v>20</v>
      </c>
      <c r="F133" s="212">
        <v>57355</v>
      </c>
      <c r="G133" s="212">
        <v>67653</v>
      </c>
      <c r="H133" s="212">
        <v>70417</v>
      </c>
      <c r="I133" s="212">
        <v>86302</v>
      </c>
      <c r="J133" s="212">
        <v>82381</v>
      </c>
      <c r="K133" s="212">
        <v>88904</v>
      </c>
      <c r="L133" s="212">
        <v>119326</v>
      </c>
      <c r="M133" s="212">
        <v>125378</v>
      </c>
      <c r="N133" s="212">
        <v>129154</v>
      </c>
      <c r="O133" s="212">
        <v>126907</v>
      </c>
      <c r="P133" s="212">
        <v>125936</v>
      </c>
      <c r="Q133" s="212">
        <v>127124</v>
      </c>
      <c r="R133" s="212">
        <v>139408</v>
      </c>
      <c r="S133" s="212">
        <v>157056</v>
      </c>
      <c r="T133" s="212">
        <v>168212</v>
      </c>
      <c r="U133" s="212">
        <v>135016</v>
      </c>
      <c r="V133" s="212">
        <v>193171</v>
      </c>
      <c r="W133" s="212">
        <v>299929</v>
      </c>
      <c r="X133" s="212">
        <v>282554</v>
      </c>
      <c r="Y133" s="211">
        <v>274726.15000000002</v>
      </c>
    </row>
    <row r="134" spans="1:25" x14ac:dyDescent="0.4">
      <c r="A134" s="80" t="s">
        <v>19</v>
      </c>
      <c r="B134" s="79"/>
      <c r="C134" s="79"/>
      <c r="D134" s="79"/>
      <c r="E134" s="78" t="s">
        <v>18</v>
      </c>
      <c r="F134" s="112">
        <v>69118</v>
      </c>
      <c r="G134" s="112">
        <v>83620</v>
      </c>
      <c r="H134" s="112">
        <v>88554</v>
      </c>
      <c r="I134" s="112">
        <v>100353</v>
      </c>
      <c r="J134" s="112">
        <v>93953</v>
      </c>
      <c r="K134" s="112">
        <v>97516</v>
      </c>
      <c r="L134" s="112">
        <v>125005</v>
      </c>
      <c r="M134" s="112">
        <v>133461</v>
      </c>
      <c r="N134" s="112">
        <v>142106</v>
      </c>
      <c r="O134" s="112">
        <v>159086</v>
      </c>
      <c r="P134" s="112">
        <v>182750</v>
      </c>
      <c r="Q134" s="112">
        <v>185588</v>
      </c>
      <c r="R134" s="112">
        <v>185361</v>
      </c>
      <c r="S134" s="112">
        <v>203831</v>
      </c>
      <c r="T134" s="112">
        <v>229934</v>
      </c>
      <c r="U134" s="112">
        <v>205019</v>
      </c>
      <c r="V134" s="112">
        <v>284588</v>
      </c>
      <c r="W134" s="112">
        <v>410347</v>
      </c>
      <c r="X134" s="112">
        <v>357421</v>
      </c>
      <c r="Y134" s="210">
        <v>357093.78</v>
      </c>
    </row>
    <row r="135" spans="1:25" x14ac:dyDescent="0.4">
      <c r="A135" s="75" t="s">
        <v>10</v>
      </c>
      <c r="B135" s="74"/>
      <c r="C135" s="52"/>
      <c r="D135" s="74"/>
      <c r="E135" s="73" t="s">
        <v>9</v>
      </c>
      <c r="F135" s="200">
        <v>337958</v>
      </c>
      <c r="G135" s="200">
        <v>381604</v>
      </c>
      <c r="H135" s="200">
        <v>428506</v>
      </c>
      <c r="I135" s="200">
        <v>476554</v>
      </c>
      <c r="J135" s="200">
        <v>501574</v>
      </c>
      <c r="K135" s="200">
        <v>544060</v>
      </c>
      <c r="L135" s="200">
        <v>619023</v>
      </c>
      <c r="M135" s="200">
        <v>666507</v>
      </c>
      <c r="N135" s="200">
        <v>714093</v>
      </c>
      <c r="O135" s="200">
        <v>762903</v>
      </c>
      <c r="P135" s="200">
        <v>804692</v>
      </c>
      <c r="Q135" s="200">
        <v>863782</v>
      </c>
      <c r="R135" s="200">
        <v>920471</v>
      </c>
      <c r="S135" s="200">
        <v>987791</v>
      </c>
      <c r="T135" s="200">
        <v>1060068</v>
      </c>
      <c r="U135" s="200">
        <v>998471</v>
      </c>
      <c r="V135" s="200">
        <v>1192634</v>
      </c>
      <c r="W135" s="200">
        <v>1471079</v>
      </c>
      <c r="X135" s="200">
        <v>1584562</v>
      </c>
      <c r="Y135" s="209">
        <v>1706447.19</v>
      </c>
    </row>
    <row r="136" spans="1:25" x14ac:dyDescent="0.4">
      <c r="A136" s="71"/>
      <c r="C136" s="70"/>
      <c r="D136" s="1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3"/>
      <c r="R136" s="103"/>
      <c r="S136" s="103"/>
      <c r="T136" s="103"/>
      <c r="U136" s="208"/>
      <c r="V136" s="208"/>
      <c r="W136" s="208"/>
      <c r="X136" s="208"/>
      <c r="Y136" s="207"/>
    </row>
    <row r="137" spans="1:25" s="41" customFormat="1" ht="16" x14ac:dyDescent="0.45">
      <c r="A137" s="46" t="s">
        <v>241</v>
      </c>
      <c r="B137" s="45"/>
      <c r="C137" s="45"/>
      <c r="D137" s="45"/>
      <c r="E137" s="45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5"/>
    </row>
    <row r="138" spans="1:25" x14ac:dyDescent="0.4">
      <c r="A138" s="69"/>
      <c r="B138" s="68"/>
      <c r="C138" s="68"/>
      <c r="D138" s="68"/>
      <c r="E138" s="67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97"/>
    </row>
    <row r="139" spans="1:25" x14ac:dyDescent="0.4">
      <c r="A139" s="66" t="s">
        <v>16</v>
      </c>
      <c r="B139" s="59"/>
      <c r="C139" s="65"/>
      <c r="D139" s="59"/>
      <c r="E139" s="64" t="s">
        <v>15</v>
      </c>
      <c r="F139" s="100">
        <v>109918</v>
      </c>
      <c r="G139" s="100">
        <v>123755</v>
      </c>
      <c r="H139" s="100">
        <v>139696</v>
      </c>
      <c r="I139" s="100">
        <v>153281</v>
      </c>
      <c r="J139" s="100">
        <v>166961</v>
      </c>
      <c r="K139" s="100">
        <v>179636</v>
      </c>
      <c r="L139" s="100">
        <v>194443</v>
      </c>
      <c r="M139" s="100">
        <v>214608</v>
      </c>
      <c r="N139" s="100">
        <v>232284</v>
      </c>
      <c r="O139" s="100">
        <v>251074</v>
      </c>
      <c r="P139" s="100">
        <v>274307</v>
      </c>
      <c r="Q139" s="100">
        <v>291561</v>
      </c>
      <c r="R139" s="100">
        <v>312418</v>
      </c>
      <c r="S139" s="202">
        <v>336117</v>
      </c>
      <c r="T139" s="202">
        <v>365056</v>
      </c>
      <c r="U139" s="202">
        <v>372488</v>
      </c>
      <c r="V139" s="202">
        <v>405888</v>
      </c>
      <c r="W139" s="202">
        <v>459693</v>
      </c>
      <c r="X139" s="202">
        <v>524069</v>
      </c>
      <c r="Y139" s="201">
        <v>577051</v>
      </c>
    </row>
    <row r="140" spans="1:25" ht="28" x14ac:dyDescent="0.4">
      <c r="A140" s="63" t="s">
        <v>14</v>
      </c>
      <c r="D140" s="1"/>
      <c r="E140" s="2" t="s">
        <v>13</v>
      </c>
      <c r="F140" s="104">
        <v>38568</v>
      </c>
      <c r="G140" s="104">
        <v>45826</v>
      </c>
      <c r="H140" s="104">
        <v>51817</v>
      </c>
      <c r="I140" s="104">
        <v>55875</v>
      </c>
      <c r="J140" s="104">
        <v>56357</v>
      </c>
      <c r="K140" s="104">
        <v>62675</v>
      </c>
      <c r="L140" s="104">
        <v>72579</v>
      </c>
      <c r="M140" s="104">
        <v>77252</v>
      </c>
      <c r="N140" s="104">
        <v>78088</v>
      </c>
      <c r="O140" s="104">
        <v>86709</v>
      </c>
      <c r="P140" s="104">
        <v>95633</v>
      </c>
      <c r="Q140" s="104">
        <v>98768</v>
      </c>
      <c r="R140" s="104">
        <v>109178</v>
      </c>
      <c r="S140" s="204">
        <v>118093</v>
      </c>
      <c r="T140" s="204">
        <v>129665</v>
      </c>
      <c r="U140" s="204">
        <v>112609</v>
      </c>
      <c r="V140" s="204">
        <v>144323</v>
      </c>
      <c r="W140" s="204">
        <v>187765</v>
      </c>
      <c r="X140" s="204">
        <v>201358</v>
      </c>
      <c r="Y140" s="203">
        <v>212223</v>
      </c>
    </row>
    <row r="141" spans="1:25" x14ac:dyDescent="0.4">
      <c r="A141" s="66" t="s">
        <v>12</v>
      </c>
      <c r="B141" s="59"/>
      <c r="C141" s="65"/>
      <c r="D141" s="59"/>
      <c r="E141" s="64" t="s">
        <v>11</v>
      </c>
      <c r="F141" s="100">
        <v>189472</v>
      </c>
      <c r="G141" s="100">
        <v>212023</v>
      </c>
      <c r="H141" s="100">
        <v>236993</v>
      </c>
      <c r="I141" s="100">
        <v>267398</v>
      </c>
      <c r="J141" s="100">
        <v>278256</v>
      </c>
      <c r="K141" s="100">
        <v>301749</v>
      </c>
      <c r="L141" s="100">
        <v>352001</v>
      </c>
      <c r="M141" s="100">
        <v>374647</v>
      </c>
      <c r="N141" s="100">
        <v>403721</v>
      </c>
      <c r="O141" s="100">
        <v>425120</v>
      </c>
      <c r="P141" s="100">
        <v>434752</v>
      </c>
      <c r="Q141" s="100">
        <v>473453</v>
      </c>
      <c r="R141" s="100">
        <v>498875</v>
      </c>
      <c r="S141" s="202">
        <v>533581</v>
      </c>
      <c r="T141" s="202">
        <v>565347</v>
      </c>
      <c r="U141" s="202">
        <v>513374</v>
      </c>
      <c r="V141" s="202">
        <v>642423</v>
      </c>
      <c r="W141" s="202">
        <v>823621</v>
      </c>
      <c r="X141" s="202">
        <v>859135</v>
      </c>
      <c r="Y141" s="201">
        <v>917173</v>
      </c>
    </row>
    <row r="142" spans="1:25" x14ac:dyDescent="0.4">
      <c r="A142" s="75" t="s">
        <v>10</v>
      </c>
      <c r="B142" s="74"/>
      <c r="C142" s="52"/>
      <c r="D142" s="74"/>
      <c r="E142" s="73" t="s">
        <v>9</v>
      </c>
      <c r="F142" s="200">
        <v>337958</v>
      </c>
      <c r="G142" s="200">
        <v>381604</v>
      </c>
      <c r="H142" s="200">
        <v>428506</v>
      </c>
      <c r="I142" s="200">
        <v>476554</v>
      </c>
      <c r="J142" s="200">
        <v>501574</v>
      </c>
      <c r="K142" s="200">
        <v>544060</v>
      </c>
      <c r="L142" s="200">
        <v>619023</v>
      </c>
      <c r="M142" s="200">
        <v>666507</v>
      </c>
      <c r="N142" s="200">
        <v>714093</v>
      </c>
      <c r="O142" s="200">
        <v>762903</v>
      </c>
      <c r="P142" s="200">
        <v>804692</v>
      </c>
      <c r="Q142" s="200">
        <v>863782</v>
      </c>
      <c r="R142" s="200">
        <v>920471</v>
      </c>
      <c r="S142" s="199">
        <v>987791</v>
      </c>
      <c r="T142" s="199">
        <v>1060068</v>
      </c>
      <c r="U142" s="199">
        <v>998471</v>
      </c>
      <c r="V142" s="199">
        <v>1192634</v>
      </c>
      <c r="W142" s="199">
        <v>1471079</v>
      </c>
      <c r="X142" s="199">
        <v>1584562</v>
      </c>
      <c r="Y142" s="198">
        <v>1706447.19</v>
      </c>
    </row>
    <row r="143" spans="1:25" x14ac:dyDescent="0.4">
      <c r="A143" s="40"/>
      <c r="D143" s="1"/>
      <c r="Y143" s="47"/>
    </row>
    <row r="144" spans="1:25" s="41" customFormat="1" ht="16" x14ac:dyDescent="0.45">
      <c r="A144" s="46" t="s">
        <v>8</v>
      </c>
      <c r="B144" s="45"/>
      <c r="C144" s="45"/>
      <c r="D144" s="45"/>
      <c r="E144" s="45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2"/>
    </row>
    <row r="145" spans="1:25" x14ac:dyDescent="0.4">
      <c r="A145" s="40"/>
      <c r="D145" s="1"/>
      <c r="E145" s="2" t="s">
        <v>7</v>
      </c>
      <c r="F145" s="104">
        <v>41671878</v>
      </c>
      <c r="G145" s="104">
        <v>42170126</v>
      </c>
      <c r="H145" s="104">
        <v>42658630</v>
      </c>
      <c r="I145" s="104">
        <v>43134017</v>
      </c>
      <c r="J145" s="104">
        <v>43608630</v>
      </c>
      <c r="K145" s="104">
        <v>44086292</v>
      </c>
      <c r="L145" s="104">
        <v>44553416</v>
      </c>
      <c r="M145" s="104">
        <v>45001571</v>
      </c>
      <c r="N145" s="104">
        <v>45434942</v>
      </c>
      <c r="O145" s="104">
        <v>45866010</v>
      </c>
      <c r="P145" s="104">
        <v>46313898</v>
      </c>
      <c r="Q145" s="104">
        <v>46830116</v>
      </c>
      <c r="R145" s="104">
        <v>47419200</v>
      </c>
      <c r="S145" s="104">
        <v>48258494</v>
      </c>
      <c r="T145" s="104">
        <v>49395678</v>
      </c>
      <c r="U145" s="104">
        <v>50407647</v>
      </c>
      <c r="V145" s="104">
        <v>51117378</v>
      </c>
      <c r="W145" s="104">
        <v>51682692</v>
      </c>
      <c r="X145" s="104">
        <v>52215503</v>
      </c>
      <c r="Y145" s="197">
        <v>52695952</v>
      </c>
    </row>
    <row r="146" spans="1:25" x14ac:dyDescent="0.4">
      <c r="A146" s="38"/>
      <c r="B146" s="36"/>
      <c r="C146" s="37"/>
      <c r="D146" s="36"/>
      <c r="E146" s="35" t="s">
        <v>240</v>
      </c>
      <c r="F146" s="196">
        <v>8109978</v>
      </c>
      <c r="G146" s="196">
        <v>9049155</v>
      </c>
      <c r="H146" s="196">
        <v>10045001</v>
      </c>
      <c r="I146" s="196">
        <v>11048217</v>
      </c>
      <c r="J146" s="196">
        <v>11501714</v>
      </c>
      <c r="K146" s="196">
        <v>12340797</v>
      </c>
      <c r="L146" s="196">
        <v>13893951</v>
      </c>
      <c r="M146" s="196">
        <v>14810750</v>
      </c>
      <c r="N146" s="196">
        <v>15716824</v>
      </c>
      <c r="O146" s="196">
        <v>16633298</v>
      </c>
      <c r="P146" s="196">
        <v>17374741</v>
      </c>
      <c r="Q146" s="196">
        <v>18445011</v>
      </c>
      <c r="R146" s="196">
        <v>19411357</v>
      </c>
      <c r="S146" s="196">
        <v>20468749</v>
      </c>
      <c r="T146" s="196">
        <v>21460744</v>
      </c>
      <c r="U146" s="196">
        <v>19807927</v>
      </c>
      <c r="V146" s="196">
        <v>23331283</v>
      </c>
      <c r="W146" s="196">
        <v>28463668</v>
      </c>
      <c r="X146" s="196">
        <v>30346581</v>
      </c>
      <c r="Y146" s="195">
        <v>32382889.489999998</v>
      </c>
    </row>
    <row r="147" spans="1:25" s="29" customFormat="1" x14ac:dyDescent="0.4">
      <c r="E147" s="31"/>
    </row>
    <row r="148" spans="1:25" s="15" customFormat="1" ht="16.5" customHeight="1" x14ac:dyDescent="0.35">
      <c r="A148" s="28" t="s">
        <v>5</v>
      </c>
      <c r="B148" s="27"/>
      <c r="C148" s="27"/>
      <c r="D148" s="27"/>
      <c r="E148" s="26"/>
      <c r="F148" s="27"/>
      <c r="G148" s="2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2"/>
    </row>
    <row r="149" spans="1:25" s="15" customFormat="1" ht="13.5" customHeight="1" x14ac:dyDescent="0.35">
      <c r="A149" s="19" t="s">
        <v>4</v>
      </c>
      <c r="B149" s="17"/>
      <c r="C149" s="17"/>
      <c r="D149" s="17"/>
      <c r="E149" s="17"/>
      <c r="F149" s="17"/>
      <c r="G149" s="17"/>
      <c r="Y149" s="16"/>
    </row>
    <row r="150" spans="1:25" s="15" customFormat="1" ht="15" customHeight="1" x14ac:dyDescent="0.35">
      <c r="A150" s="19" t="s">
        <v>3</v>
      </c>
      <c r="Y150" s="16"/>
    </row>
    <row r="151" spans="1:25" s="15" customFormat="1" ht="16.5" customHeight="1" x14ac:dyDescent="0.35">
      <c r="A151" s="18" t="s">
        <v>2</v>
      </c>
      <c r="B151" s="17"/>
      <c r="C151" s="17"/>
      <c r="D151" s="17"/>
      <c r="E151" s="17"/>
      <c r="F151" s="17"/>
      <c r="G151" s="17"/>
      <c r="Y151" s="16"/>
    </row>
    <row r="152" spans="1:25" x14ac:dyDescent="0.4">
      <c r="A152" s="14" t="s">
        <v>1</v>
      </c>
      <c r="Y152" s="13"/>
    </row>
    <row r="153" spans="1:25" s="29" customFormat="1" x14ac:dyDescent="0.4">
      <c r="A153" s="12" t="s">
        <v>0</v>
      </c>
      <c r="B153" s="11"/>
      <c r="C153" s="11"/>
      <c r="D153" s="11"/>
      <c r="E153" s="10"/>
      <c r="F153" s="11"/>
      <c r="G153" s="1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6"/>
    </row>
    <row r="154" spans="1:25" x14ac:dyDescent="0.4">
      <c r="Q154" s="15"/>
      <c r="R154" s="15"/>
      <c r="S154" s="15"/>
      <c r="T154" s="15"/>
      <c r="U154" s="15"/>
      <c r="V154" s="15"/>
      <c r="W154" s="15"/>
      <c r="X154" s="15"/>
      <c r="Y154" s="15"/>
    </row>
    <row r="157" spans="1:25" s="29" customFormat="1" ht="13.5" customHeight="1" x14ac:dyDescent="0.4">
      <c r="A157" s="194" t="s">
        <v>239</v>
      </c>
      <c r="B157" s="193"/>
      <c r="C157" s="193"/>
      <c r="D157" s="193"/>
      <c r="E157" s="193"/>
      <c r="F157" s="193"/>
      <c r="G157" s="192"/>
    </row>
    <row r="158" spans="1:25" s="29" customFormat="1" ht="17.25" customHeight="1" x14ac:dyDescent="0.4">
      <c r="A158" s="194"/>
      <c r="B158" s="193"/>
      <c r="C158" s="193"/>
      <c r="D158" s="193"/>
      <c r="E158" s="193"/>
      <c r="F158" s="193"/>
      <c r="G158" s="192"/>
    </row>
    <row r="159" spans="1:25" s="29" customFormat="1" x14ac:dyDescent="0.4">
      <c r="A159" s="191" t="s">
        <v>238</v>
      </c>
      <c r="B159" s="190"/>
      <c r="C159" s="190"/>
      <c r="D159" s="190"/>
      <c r="E159" s="190"/>
      <c r="F159" s="190"/>
      <c r="G159" s="189"/>
    </row>
    <row r="160" spans="1:25" s="29" customFormat="1" x14ac:dyDescent="0.4">
      <c r="A160" s="191" t="s">
        <v>237</v>
      </c>
      <c r="B160" s="190"/>
      <c r="C160" s="190"/>
      <c r="D160" s="190"/>
      <c r="E160" s="190"/>
      <c r="F160" s="190"/>
      <c r="G160" s="189"/>
    </row>
    <row r="161" spans="1:25" s="29" customFormat="1" ht="14.5" x14ac:dyDescent="0.4">
      <c r="A161" s="188" t="s">
        <v>236</v>
      </c>
      <c r="B161" s="187"/>
      <c r="C161" s="187"/>
      <c r="D161" s="187"/>
      <c r="E161" s="187"/>
      <c r="F161" s="187"/>
      <c r="G161" s="186"/>
    </row>
    <row r="163" spans="1:25" ht="64" x14ac:dyDescent="0.4">
      <c r="A163" s="185" t="s">
        <v>235</v>
      </c>
      <c r="B163" s="184" t="s">
        <v>234</v>
      </c>
      <c r="C163" s="184" t="s">
        <v>233</v>
      </c>
      <c r="D163" s="184" t="s">
        <v>232</v>
      </c>
      <c r="E163" s="184" t="s">
        <v>231</v>
      </c>
      <c r="F163" s="184"/>
      <c r="G163" s="184">
        <v>2006</v>
      </c>
      <c r="H163" s="184">
        <v>2007</v>
      </c>
      <c r="I163" s="184">
        <v>2008</v>
      </c>
      <c r="J163" s="184">
        <v>2009</v>
      </c>
      <c r="K163" s="184">
        <v>2010</v>
      </c>
      <c r="L163" s="184">
        <v>2011</v>
      </c>
      <c r="M163" s="184">
        <v>2012</v>
      </c>
      <c r="N163" s="184">
        <v>2013</v>
      </c>
      <c r="O163" s="184">
        <v>2014</v>
      </c>
      <c r="P163" s="184">
        <v>2015</v>
      </c>
      <c r="Q163" s="184">
        <v>2016</v>
      </c>
      <c r="R163" s="184">
        <v>2017</v>
      </c>
      <c r="S163" s="184">
        <v>2018</v>
      </c>
      <c r="T163" s="184">
        <v>2019</v>
      </c>
      <c r="U163" s="184">
        <v>2020</v>
      </c>
      <c r="V163" s="184">
        <v>2021</v>
      </c>
      <c r="W163" s="184">
        <v>2022</v>
      </c>
      <c r="X163" s="184" t="s">
        <v>230</v>
      </c>
      <c r="Y163" s="183" t="s">
        <v>229</v>
      </c>
    </row>
    <row r="164" spans="1:25" x14ac:dyDescent="0.4">
      <c r="A164" s="40"/>
      <c r="D164" s="1"/>
      <c r="Y164" s="182"/>
    </row>
    <row r="165" spans="1:25" s="41" customFormat="1" ht="16" x14ac:dyDescent="0.45">
      <c r="A165" s="46" t="s">
        <v>228</v>
      </c>
      <c r="B165" s="45"/>
      <c r="C165" s="45"/>
      <c r="D165" s="45"/>
      <c r="E165" s="45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2"/>
    </row>
    <row r="166" spans="1:25" x14ac:dyDescent="0.4">
      <c r="A166" s="69"/>
      <c r="B166" s="68"/>
      <c r="C166" s="68"/>
      <c r="D166" s="68"/>
      <c r="E166" s="67"/>
      <c r="Y166" s="13"/>
    </row>
    <row r="167" spans="1:25" x14ac:dyDescent="0.4">
      <c r="A167" s="177"/>
      <c r="B167" s="176" t="s">
        <v>227</v>
      </c>
      <c r="C167" s="176"/>
      <c r="D167" s="176"/>
      <c r="E167" s="175" t="s">
        <v>226</v>
      </c>
      <c r="F167" s="174"/>
      <c r="G167" s="173">
        <v>7.8069106490034983</v>
      </c>
      <c r="H167" s="173">
        <v>8.3500455788514216</v>
      </c>
      <c r="I167" s="173">
        <v>7.2488642099949487</v>
      </c>
      <c r="J167" s="173">
        <v>5.287269760582376</v>
      </c>
      <c r="K167" s="173">
        <v>2.5540919115455694</v>
      </c>
      <c r="L167" s="173">
        <v>9.5841446049228551</v>
      </c>
      <c r="M167" s="173">
        <v>-1.3259434087353128</v>
      </c>
      <c r="N167" s="173">
        <v>3.4937783869494012</v>
      </c>
      <c r="O167" s="173">
        <v>7.9098392583552055</v>
      </c>
      <c r="P167" s="173">
        <v>15.80796534713032</v>
      </c>
      <c r="Q167" s="173">
        <v>18.57908735765939</v>
      </c>
      <c r="R167" s="173">
        <v>3.06667834925085</v>
      </c>
      <c r="S167" s="173">
        <v>4.5600612088752825</v>
      </c>
      <c r="T167" s="173">
        <v>10.506203554644927</v>
      </c>
      <c r="U167" s="173">
        <v>10.318137673268794</v>
      </c>
      <c r="V167" s="173">
        <v>23.636121115112701</v>
      </c>
      <c r="W167" s="173">
        <v>40.165066350199595</v>
      </c>
      <c r="X167" s="173">
        <v>7.4261655339095825</v>
      </c>
      <c r="Y167" s="172">
        <v>13.498233823181693</v>
      </c>
    </row>
    <row r="168" spans="1:25" outlineLevel="1" x14ac:dyDescent="0.4">
      <c r="A168" s="147"/>
      <c r="B168" s="146"/>
      <c r="C168" s="170" t="s">
        <v>227</v>
      </c>
      <c r="D168" s="146"/>
      <c r="E168" s="169" t="s">
        <v>226</v>
      </c>
      <c r="F168" s="168"/>
      <c r="G168" s="167">
        <v>7.8069106490034983</v>
      </c>
      <c r="H168" s="167">
        <v>8.3500455788514216</v>
      </c>
      <c r="I168" s="167">
        <v>7.2488642099949487</v>
      </c>
      <c r="J168" s="167">
        <v>5.287269760582376</v>
      </c>
      <c r="K168" s="167">
        <v>2.5540919115455694</v>
      </c>
      <c r="L168" s="167">
        <v>9.5841446049228551</v>
      </c>
      <c r="M168" s="167">
        <v>-1.3259434087353128</v>
      </c>
      <c r="N168" s="167">
        <v>3.4937783869494012</v>
      </c>
      <c r="O168" s="167">
        <v>7.9098392583552055</v>
      </c>
      <c r="P168" s="167">
        <v>15.80796534713032</v>
      </c>
      <c r="Q168" s="167">
        <v>18.57908735765939</v>
      </c>
      <c r="R168" s="167">
        <v>3.06667834925085</v>
      </c>
      <c r="S168" s="167">
        <v>4.5600612088752825</v>
      </c>
      <c r="T168" s="167">
        <v>10.506203554644927</v>
      </c>
      <c r="U168" s="167">
        <v>10.318137673268794</v>
      </c>
      <c r="V168" s="167">
        <v>23.636121115112701</v>
      </c>
      <c r="W168" s="167">
        <v>40.165066350199595</v>
      </c>
      <c r="X168" s="167">
        <v>7.4261655339095825</v>
      </c>
      <c r="Y168" s="166">
        <v>13.498230957174684</v>
      </c>
    </row>
    <row r="169" spans="1:25" ht="84" outlineLevel="1" x14ac:dyDescent="0.4">
      <c r="A169" s="165"/>
      <c r="B169" s="164"/>
      <c r="C169" s="152"/>
      <c r="D169" s="180" t="s">
        <v>225</v>
      </c>
      <c r="E169" s="163" t="s">
        <v>224</v>
      </c>
      <c r="F169" s="162"/>
      <c r="G169" s="161">
        <v>8.8491586538461462</v>
      </c>
      <c r="H169" s="161">
        <v>8.1780538302277392</v>
      </c>
      <c r="I169" s="161">
        <v>8.7336523125996877</v>
      </c>
      <c r="J169" s="161">
        <v>8.6716733161229769</v>
      </c>
      <c r="K169" s="161">
        <v>0.70726703379764899</v>
      </c>
      <c r="L169" s="161">
        <v>11.295770117407386</v>
      </c>
      <c r="M169" s="161">
        <v>-1.0693641618497054</v>
      </c>
      <c r="N169" s="161">
        <v>0.90076930567728652</v>
      </c>
      <c r="O169" s="161">
        <v>6.8040341649375051</v>
      </c>
      <c r="P169" s="161">
        <v>23.521438575882158</v>
      </c>
      <c r="Q169" s="161">
        <v>20.827389443651924</v>
      </c>
      <c r="R169" s="161">
        <v>2.8638028638028601</v>
      </c>
      <c r="S169" s="149">
        <v>6.289178610318146</v>
      </c>
      <c r="T169" s="149">
        <v>12.789345442463173</v>
      </c>
      <c r="U169" s="149">
        <v>10.020866576653972</v>
      </c>
      <c r="V169" s="149">
        <v>18.684874043331774</v>
      </c>
      <c r="W169" s="149">
        <v>51.632795021714202</v>
      </c>
      <c r="X169" s="149">
        <v>8.7669704296075963</v>
      </c>
      <c r="Y169" s="148">
        <v>12.861340993548097</v>
      </c>
    </row>
    <row r="170" spans="1:25" outlineLevel="2" x14ac:dyDescent="0.4">
      <c r="A170" s="147"/>
      <c r="B170" s="146"/>
      <c r="C170" s="170"/>
      <c r="D170" s="138" t="s">
        <v>223</v>
      </c>
      <c r="E170" s="145" t="s">
        <v>222</v>
      </c>
      <c r="F170" s="144"/>
      <c r="G170" s="143">
        <v>9.9891422366992515</v>
      </c>
      <c r="H170" s="143">
        <v>5.1332675222112556</v>
      </c>
      <c r="I170" s="143">
        <v>-1.7214397496087628</v>
      </c>
      <c r="J170" s="143">
        <v>-4.9044585987261087</v>
      </c>
      <c r="K170" s="143">
        <v>27.595445411922313</v>
      </c>
      <c r="L170" s="143">
        <v>16.876640419947492</v>
      </c>
      <c r="M170" s="143">
        <v>-26.925668088928816</v>
      </c>
      <c r="N170" s="143">
        <v>24.984634296250775</v>
      </c>
      <c r="O170" s="143">
        <v>14.556183919350872</v>
      </c>
      <c r="P170" s="143">
        <v>13.736853402017601</v>
      </c>
      <c r="Q170" s="143">
        <v>18.871485185884126</v>
      </c>
      <c r="R170" s="143">
        <v>2.9052230512779857</v>
      </c>
      <c r="S170" s="143">
        <v>-4.7670472076519701</v>
      </c>
      <c r="T170" s="143">
        <v>18.418921108051194</v>
      </c>
      <c r="U170" s="143">
        <v>10.875512995896045</v>
      </c>
      <c r="V170" s="143">
        <v>39.086983343615032</v>
      </c>
      <c r="W170" s="143">
        <v>27.792069546704525</v>
      </c>
      <c r="X170" s="143">
        <v>-10.696931833958061</v>
      </c>
      <c r="Y170" s="142">
        <v>50.678818499805686</v>
      </c>
    </row>
    <row r="171" spans="1:25" outlineLevel="2" x14ac:dyDescent="0.4">
      <c r="A171" s="165"/>
      <c r="B171" s="164"/>
      <c r="C171" s="152"/>
      <c r="D171" s="181" t="s">
        <v>221</v>
      </c>
      <c r="E171" s="163" t="s">
        <v>220</v>
      </c>
      <c r="F171" s="162"/>
      <c r="G171" s="161">
        <v>4.8450847889837974</v>
      </c>
      <c r="H171" s="161">
        <v>9.9720296728687856</v>
      </c>
      <c r="I171" s="161">
        <v>8.5369899369678279</v>
      </c>
      <c r="J171" s="161">
        <v>2.3229750382068204</v>
      </c>
      <c r="K171" s="161">
        <v>-1.1152046201334258</v>
      </c>
      <c r="L171" s="161">
        <v>4.642030007048632</v>
      </c>
      <c r="M171" s="161">
        <v>6.7263279445727449</v>
      </c>
      <c r="N171" s="161">
        <v>1.3253989721395669</v>
      </c>
      <c r="O171" s="161">
        <v>5.9797116924719802</v>
      </c>
      <c r="P171" s="161">
        <v>2.9806884970612941</v>
      </c>
      <c r="Q171" s="161">
        <v>14.944965348552785</v>
      </c>
      <c r="R171" s="161">
        <v>3.8374237480493605</v>
      </c>
      <c r="S171" s="161">
        <v>3.9961746020902922</v>
      </c>
      <c r="T171" s="161">
        <v>3.3565423016290055</v>
      </c>
      <c r="U171" s="161">
        <v>7.9122974261201193</v>
      </c>
      <c r="V171" s="161">
        <v>29.157832744405169</v>
      </c>
      <c r="W171" s="161">
        <v>24.093748575076376</v>
      </c>
      <c r="X171" s="161">
        <v>11.416498254638995</v>
      </c>
      <c r="Y171" s="160">
        <v>1.8086208033770959</v>
      </c>
    </row>
    <row r="172" spans="1:25" outlineLevel="2" x14ac:dyDescent="0.4">
      <c r="A172" s="147"/>
      <c r="B172" s="146"/>
      <c r="C172" s="170"/>
      <c r="D172" s="146" t="s">
        <v>219</v>
      </c>
      <c r="E172" s="145" t="s">
        <v>218</v>
      </c>
      <c r="F172" s="144"/>
      <c r="G172" s="143">
        <v>7.1428571428571388</v>
      </c>
      <c r="H172" s="143">
        <v>7.5409836065573757</v>
      </c>
      <c r="I172" s="143">
        <v>2.7439024390243816</v>
      </c>
      <c r="J172" s="143">
        <v>9.6933728981206713</v>
      </c>
      <c r="K172" s="143">
        <v>1.6230838593327377</v>
      </c>
      <c r="L172" s="143">
        <v>6.2111801242235885</v>
      </c>
      <c r="M172" s="143">
        <v>12.949039264828727</v>
      </c>
      <c r="N172" s="143">
        <v>10.428994082840234</v>
      </c>
      <c r="O172" s="143">
        <v>8.3054253181513786</v>
      </c>
      <c r="P172" s="143">
        <v>11.069882498453936</v>
      </c>
      <c r="Q172" s="143">
        <v>9.2984409799554442</v>
      </c>
      <c r="R172" s="143">
        <v>4.2791645440652104</v>
      </c>
      <c r="S172" s="143">
        <v>1.3678553981436323</v>
      </c>
      <c r="T172" s="143">
        <v>6.0722891566264963</v>
      </c>
      <c r="U172" s="143">
        <v>5.9518400726942247</v>
      </c>
      <c r="V172" s="143">
        <v>28.044596912521428</v>
      </c>
      <c r="W172" s="143">
        <v>10.147354320160744</v>
      </c>
      <c r="X172" s="143">
        <v>17.877774399513527</v>
      </c>
      <c r="Y172" s="142">
        <v>0.48749032757287125</v>
      </c>
    </row>
    <row r="173" spans="1:25" outlineLevel="2" x14ac:dyDescent="0.4">
      <c r="A173" s="165"/>
      <c r="B173" s="164"/>
      <c r="C173" s="152"/>
      <c r="D173" s="180" t="s">
        <v>217</v>
      </c>
      <c r="E173" s="163" t="s">
        <v>216</v>
      </c>
      <c r="F173" s="162"/>
      <c r="G173" s="161">
        <v>13.643178410794604</v>
      </c>
      <c r="H173" s="161">
        <v>7.9155672823219021</v>
      </c>
      <c r="I173" s="161">
        <v>5.012224938875292</v>
      </c>
      <c r="J173" s="161">
        <v>4.0745052386495786</v>
      </c>
      <c r="K173" s="161">
        <v>-0.44742729306487661</v>
      </c>
      <c r="L173" s="161">
        <v>1.9101123595505669</v>
      </c>
      <c r="M173" s="161">
        <v>7.386990077177515</v>
      </c>
      <c r="N173" s="161">
        <v>1.4373716632443632</v>
      </c>
      <c r="O173" s="161">
        <v>25.101214574898776</v>
      </c>
      <c r="P173" s="161">
        <v>15.291262135922338</v>
      </c>
      <c r="Q173" s="161">
        <v>17.333333333333329</v>
      </c>
      <c r="R173" s="161">
        <v>-0.23923444976075814</v>
      </c>
      <c r="S173" s="161">
        <v>14.448441247002393</v>
      </c>
      <c r="T173" s="161">
        <v>3.562074384494494</v>
      </c>
      <c r="U173" s="161">
        <v>38.391502276176027</v>
      </c>
      <c r="V173" s="161">
        <v>20.942982456140342</v>
      </c>
      <c r="W173" s="161">
        <v>31.580537926866128</v>
      </c>
      <c r="X173" s="161">
        <v>9.7152044097381633</v>
      </c>
      <c r="Y173" s="160">
        <v>9.8222733933430959</v>
      </c>
    </row>
    <row r="174" spans="1:25" x14ac:dyDescent="0.4">
      <c r="A174" s="159"/>
      <c r="B174" s="158" t="s">
        <v>215</v>
      </c>
      <c r="C174" s="158"/>
      <c r="D174" s="158"/>
      <c r="E174" s="157" t="s">
        <v>214</v>
      </c>
      <c r="F174" s="156"/>
      <c r="G174" s="155">
        <v>18.377055865162433</v>
      </c>
      <c r="H174" s="155">
        <v>1.209476786466098</v>
      </c>
      <c r="I174" s="155">
        <v>46.257988881745632</v>
      </c>
      <c r="J174" s="155">
        <v>-3.7259211376858445</v>
      </c>
      <c r="K174" s="155">
        <v>26.510716012246888</v>
      </c>
      <c r="L174" s="155">
        <v>49.76754060078548</v>
      </c>
      <c r="M174" s="155">
        <v>5.6826557804615163</v>
      </c>
      <c r="N174" s="155">
        <v>-1.6323081669058581</v>
      </c>
      <c r="O174" s="155">
        <v>-12.361603490591762</v>
      </c>
      <c r="P174" s="155">
        <v>-25.900052898528187</v>
      </c>
      <c r="Q174" s="155">
        <v>-13.916475948516592</v>
      </c>
      <c r="R174" s="155">
        <v>15.949169491938832</v>
      </c>
      <c r="S174" s="155">
        <v>21.561698010013046</v>
      </c>
      <c r="T174" s="155">
        <v>0.91541496504463282</v>
      </c>
      <c r="U174" s="155">
        <v>-30.227892381295334</v>
      </c>
      <c r="V174" s="155">
        <v>57.868219912015547</v>
      </c>
      <c r="W174" s="155">
        <v>67.4040632054176</v>
      </c>
      <c r="X174" s="155">
        <v>-16.77919131049363</v>
      </c>
      <c r="Y174" s="154">
        <v>-15.200471566337754</v>
      </c>
    </row>
    <row r="175" spans="1:25" outlineLevel="1" x14ac:dyDescent="0.4">
      <c r="A175" s="153"/>
      <c r="B175" s="152"/>
      <c r="C175" s="152" t="s">
        <v>215</v>
      </c>
      <c r="D175" s="152"/>
      <c r="E175" s="151" t="s">
        <v>214</v>
      </c>
      <c r="F175" s="150"/>
      <c r="G175" s="149">
        <v>18.377055865162433</v>
      </c>
      <c r="H175" s="149">
        <v>1.209476786466098</v>
      </c>
      <c r="I175" s="149">
        <v>46.257988881745632</v>
      </c>
      <c r="J175" s="149">
        <v>-3.7259211376858445</v>
      </c>
      <c r="K175" s="149">
        <v>26.510716012246888</v>
      </c>
      <c r="L175" s="149">
        <v>49.76754060078548</v>
      </c>
      <c r="M175" s="149">
        <v>5.6826557804615163</v>
      </c>
      <c r="N175" s="149">
        <v>-1.6323081669058581</v>
      </c>
      <c r="O175" s="149">
        <v>-12.361603490591762</v>
      </c>
      <c r="P175" s="149">
        <v>-25.900052898528187</v>
      </c>
      <c r="Q175" s="149">
        <v>-13.916475948516592</v>
      </c>
      <c r="R175" s="149">
        <v>15.949169491938832</v>
      </c>
      <c r="S175" s="149">
        <v>21.561698010013046</v>
      </c>
      <c r="T175" s="149">
        <v>0.91541496504463282</v>
      </c>
      <c r="U175" s="149">
        <v>-30.227892381295334</v>
      </c>
      <c r="V175" s="149">
        <v>57.868219912015547</v>
      </c>
      <c r="W175" s="149">
        <v>67.4040632054176</v>
      </c>
      <c r="X175" s="149">
        <v>-16.77919131049363</v>
      </c>
      <c r="Y175" s="148">
        <v>-15.200471566337754</v>
      </c>
    </row>
    <row r="176" spans="1:25" outlineLevel="2" x14ac:dyDescent="0.4">
      <c r="A176" s="147"/>
      <c r="B176" s="146"/>
      <c r="C176" s="146"/>
      <c r="D176" s="146" t="s">
        <v>213</v>
      </c>
      <c r="E176" s="145" t="s">
        <v>212</v>
      </c>
      <c r="F176" s="144"/>
      <c r="G176" s="143">
        <v>16.073245167853514</v>
      </c>
      <c r="H176" s="143">
        <v>-2.2436459246275291</v>
      </c>
      <c r="I176" s="143">
        <v>53.164783934014679</v>
      </c>
      <c r="J176" s="143">
        <v>0.7960664949660412</v>
      </c>
      <c r="K176" s="143">
        <v>0.12775842044135288</v>
      </c>
      <c r="L176" s="143">
        <v>30.564899663612124</v>
      </c>
      <c r="M176" s="143">
        <v>-2.514214641080315</v>
      </c>
      <c r="N176" s="143">
        <v>-15.219174337009022</v>
      </c>
      <c r="O176" s="143">
        <v>-9.6635493926690401</v>
      </c>
      <c r="P176" s="143">
        <v>5.1047120418848095</v>
      </c>
      <c r="Q176" s="143">
        <v>24.838673157477629</v>
      </c>
      <c r="R176" s="143">
        <v>23.641969710710072</v>
      </c>
      <c r="S176" s="143">
        <v>11.243948951151523</v>
      </c>
      <c r="T176" s="143">
        <v>-19.390782620162199</v>
      </c>
      <c r="U176" s="143">
        <v>-39.236054310485848</v>
      </c>
      <c r="V176" s="143">
        <v>103.87669942118723</v>
      </c>
      <c r="W176" s="143">
        <v>144.61904133104451</v>
      </c>
      <c r="X176" s="143">
        <v>-28.839406207827253</v>
      </c>
      <c r="Y176" s="142">
        <v>-39.233225867627539</v>
      </c>
    </row>
    <row r="177" spans="1:25" ht="28" outlineLevel="2" x14ac:dyDescent="0.4">
      <c r="A177" s="165"/>
      <c r="B177" s="164"/>
      <c r="C177" s="164"/>
      <c r="D177" s="164" t="s">
        <v>211</v>
      </c>
      <c r="E177" s="163" t="s">
        <v>210</v>
      </c>
      <c r="F177" s="162"/>
      <c r="G177" s="161">
        <v>13.755520729448634</v>
      </c>
      <c r="H177" s="161">
        <v>-2.7741248669296681</v>
      </c>
      <c r="I177" s="161">
        <v>66.913564343681571</v>
      </c>
      <c r="J177" s="161">
        <v>-7.1657341308122682</v>
      </c>
      <c r="K177" s="161">
        <v>37.463629561892077</v>
      </c>
      <c r="L177" s="161">
        <v>60.602945178555217</v>
      </c>
      <c r="M177" s="161">
        <v>7.2844689624009078</v>
      </c>
      <c r="N177" s="161">
        <v>3.0395563511284251</v>
      </c>
      <c r="O177" s="161">
        <v>-13.994958612937296</v>
      </c>
      <c r="P177" s="161">
        <v>-34.942669861575936</v>
      </c>
      <c r="Q177" s="161">
        <v>-32.153293558991848</v>
      </c>
      <c r="R177" s="161">
        <v>24.823904167975243</v>
      </c>
      <c r="S177" s="161">
        <v>32.524620803680534</v>
      </c>
      <c r="T177" s="161">
        <v>6.118629817471728</v>
      </c>
      <c r="U177" s="161">
        <v>-37.84343292355662</v>
      </c>
      <c r="V177" s="161">
        <v>58.01398026315789</v>
      </c>
      <c r="W177" s="161">
        <v>51.924327981472317</v>
      </c>
      <c r="X177" s="161">
        <v>-14.994090745593752</v>
      </c>
      <c r="Y177" s="160">
        <v>-8.5951560579499926</v>
      </c>
    </row>
    <row r="178" spans="1:25" outlineLevel="2" x14ac:dyDescent="0.4">
      <c r="A178" s="147"/>
      <c r="B178" s="146"/>
      <c r="C178" s="146"/>
      <c r="D178" s="146" t="s">
        <v>209</v>
      </c>
      <c r="E178" s="145" t="s">
        <v>208</v>
      </c>
      <c r="F178" s="144"/>
      <c r="G178" s="143">
        <v>52.823145123658435</v>
      </c>
      <c r="H178" s="143">
        <v>22.10687022900764</v>
      </c>
      <c r="I178" s="143">
        <v>-32.33308327081771</v>
      </c>
      <c r="J178" s="143">
        <v>10.643015521064299</v>
      </c>
      <c r="K178" s="143">
        <v>30.828323313293254</v>
      </c>
      <c r="L178" s="143">
        <v>13.55629308143989</v>
      </c>
      <c r="M178" s="143">
        <v>6.8794964028777059</v>
      </c>
      <c r="N178" s="143">
        <v>-30.311316785864534</v>
      </c>
      <c r="O178" s="143">
        <v>-5.4935104135224861</v>
      </c>
      <c r="P178" s="143">
        <v>14.72373043755988</v>
      </c>
      <c r="Q178" s="143">
        <v>39.226057906458777</v>
      </c>
      <c r="R178" s="143">
        <v>-30.573885222955411</v>
      </c>
      <c r="S178" s="143">
        <v>-10.36866359447005</v>
      </c>
      <c r="T178" s="143">
        <v>33.772493573264768</v>
      </c>
      <c r="U178" s="143">
        <v>64.520778284890724</v>
      </c>
      <c r="V178" s="143">
        <v>18.630457001022037</v>
      </c>
      <c r="W178" s="143">
        <v>13.353846153846163</v>
      </c>
      <c r="X178" s="143">
        <v>13.279044516829529</v>
      </c>
      <c r="Y178" s="142">
        <v>7.5219975079076136</v>
      </c>
    </row>
    <row r="179" spans="1:25" outlineLevel="2" x14ac:dyDescent="0.4">
      <c r="A179" s="165"/>
      <c r="B179" s="164"/>
      <c r="C179" s="164"/>
      <c r="D179" s="164" t="s">
        <v>207</v>
      </c>
      <c r="E179" s="163" t="s">
        <v>206</v>
      </c>
      <c r="F179" s="162"/>
      <c r="G179" s="161">
        <v>20.924855491329481</v>
      </c>
      <c r="H179" s="161">
        <v>14.435946462715108</v>
      </c>
      <c r="I179" s="161">
        <v>12.949039264828727</v>
      </c>
      <c r="J179" s="161">
        <v>3.9940828402366719</v>
      </c>
      <c r="K179" s="161">
        <v>-6.3300142247510678</v>
      </c>
      <c r="L179" s="161">
        <v>14.730447987851164</v>
      </c>
      <c r="M179" s="161">
        <v>7.5446724023825311</v>
      </c>
      <c r="N179" s="161">
        <v>12.307692307692307</v>
      </c>
      <c r="O179" s="161">
        <v>13.260273972602747</v>
      </c>
      <c r="P179" s="161">
        <v>4.3057571359458109</v>
      </c>
      <c r="Q179" s="161">
        <v>12.94063079777365</v>
      </c>
      <c r="R179" s="161">
        <v>-0.57494866529773958</v>
      </c>
      <c r="S179" s="161">
        <v>0.66088393225940933</v>
      </c>
      <c r="T179" s="161">
        <v>7.8375051292572948</v>
      </c>
      <c r="U179" s="161">
        <v>-26.484018264840188</v>
      </c>
      <c r="V179" s="161">
        <v>18.633540372670794</v>
      </c>
      <c r="W179" s="161">
        <v>7.5043630017451903</v>
      </c>
      <c r="X179" s="161">
        <v>10.064935064935071</v>
      </c>
      <c r="Y179" s="160">
        <v>9.9800884955752167</v>
      </c>
    </row>
    <row r="180" spans="1:25" ht="28" outlineLevel="2" x14ac:dyDescent="0.4">
      <c r="A180" s="147"/>
      <c r="B180" s="146"/>
      <c r="C180" s="146"/>
      <c r="D180" s="146" t="s">
        <v>205</v>
      </c>
      <c r="E180" s="145" t="s">
        <v>204</v>
      </c>
      <c r="F180" s="144"/>
      <c r="G180" s="143">
        <v>20</v>
      </c>
      <c r="H180" s="143">
        <v>9.0909090909090793</v>
      </c>
      <c r="I180" s="143">
        <v>11.111111111111114</v>
      </c>
      <c r="J180" s="143">
        <v>3.7500000000000142</v>
      </c>
      <c r="K180" s="143">
        <v>7.8313253012048278</v>
      </c>
      <c r="L180" s="143">
        <v>22.905027932960891</v>
      </c>
      <c r="M180" s="143">
        <v>1.363636363636374</v>
      </c>
      <c r="N180" s="143">
        <v>-17.040358744394624</v>
      </c>
      <c r="O180" s="143">
        <v>-5.4054054054054035</v>
      </c>
      <c r="P180" s="143">
        <v>10.857142857142861</v>
      </c>
      <c r="Q180" s="143">
        <v>27.319587628865975</v>
      </c>
      <c r="R180" s="143">
        <v>-23.481781376518214</v>
      </c>
      <c r="S180" s="143">
        <v>6.3492063492063551</v>
      </c>
      <c r="T180" s="143">
        <v>-13.930348258706474</v>
      </c>
      <c r="U180" s="143">
        <v>-8.0924855491329453</v>
      </c>
      <c r="V180" s="143">
        <v>52.830188679245282</v>
      </c>
      <c r="W180" s="143">
        <v>74.89711934156378</v>
      </c>
      <c r="X180" s="143">
        <v>-17.64705882352942</v>
      </c>
      <c r="Y180" s="142">
        <v>-13.899999999999991</v>
      </c>
    </row>
    <row r="181" spans="1:25" x14ac:dyDescent="0.4">
      <c r="A181" s="177"/>
      <c r="B181" s="176" t="s">
        <v>203</v>
      </c>
      <c r="C181" s="176"/>
      <c r="D181" s="176"/>
      <c r="E181" s="175" t="s">
        <v>202</v>
      </c>
      <c r="F181" s="174"/>
      <c r="G181" s="173">
        <v>12.826823085320953</v>
      </c>
      <c r="H181" s="173">
        <v>13.525215252152506</v>
      </c>
      <c r="I181" s="173">
        <v>5.8391840744272088</v>
      </c>
      <c r="J181" s="173">
        <v>1.1861214238916773</v>
      </c>
      <c r="K181" s="173">
        <v>2.5036083795340716</v>
      </c>
      <c r="L181" s="173">
        <v>7.6734790561791897</v>
      </c>
      <c r="M181" s="173">
        <v>6.6255194329014842</v>
      </c>
      <c r="N181" s="173">
        <v>3.6450751366903233</v>
      </c>
      <c r="O181" s="173">
        <v>3.5190940157706621</v>
      </c>
      <c r="P181" s="173">
        <v>6.6087625396621803</v>
      </c>
      <c r="Q181" s="173">
        <v>6.4506107887642941</v>
      </c>
      <c r="R181" s="173">
        <v>-1.1334324929866568</v>
      </c>
      <c r="S181" s="173">
        <v>4.8894517339224137</v>
      </c>
      <c r="T181" s="173">
        <v>5.1499223835071746</v>
      </c>
      <c r="U181" s="173">
        <v>-7.5274108607441974</v>
      </c>
      <c r="V181" s="173">
        <v>24.697743462389482</v>
      </c>
      <c r="W181" s="173">
        <v>22.779919889192527</v>
      </c>
      <c r="X181" s="173">
        <v>5.0216170399595086</v>
      </c>
      <c r="Y181" s="172">
        <v>2.8538083680757609E-2</v>
      </c>
    </row>
    <row r="182" spans="1:25" ht="28" outlineLevel="1" x14ac:dyDescent="0.4">
      <c r="A182" s="171"/>
      <c r="B182" s="146"/>
      <c r="C182" s="170" t="s">
        <v>201</v>
      </c>
      <c r="D182" s="170"/>
      <c r="E182" s="169" t="s">
        <v>200</v>
      </c>
      <c r="F182" s="168"/>
      <c r="G182" s="167">
        <v>7.9203196755531735</v>
      </c>
      <c r="H182" s="167">
        <v>12.019894998618398</v>
      </c>
      <c r="I182" s="167">
        <v>11.139615194869251</v>
      </c>
      <c r="J182" s="167">
        <v>6.8492542613636402</v>
      </c>
      <c r="K182" s="167">
        <v>-4.1793028956005145</v>
      </c>
      <c r="L182" s="167">
        <v>4.1361370041187939</v>
      </c>
      <c r="M182" s="167">
        <v>3.1516715933219501</v>
      </c>
      <c r="N182" s="167">
        <v>2.6719405876654889</v>
      </c>
      <c r="O182" s="167">
        <v>2.8500668291532349</v>
      </c>
      <c r="P182" s="167">
        <v>4.0362343767916542</v>
      </c>
      <c r="Q182" s="167">
        <v>10.724126529262648</v>
      </c>
      <c r="R182" s="167">
        <v>1.5429026478200285</v>
      </c>
      <c r="S182" s="167">
        <v>2.2938927556122053</v>
      </c>
      <c r="T182" s="167">
        <v>1.2042804663791742</v>
      </c>
      <c r="U182" s="167">
        <v>1.6507796224985753</v>
      </c>
      <c r="V182" s="167">
        <v>22.192206179164728</v>
      </c>
      <c r="W182" s="167">
        <v>24.684895303923568</v>
      </c>
      <c r="X182" s="167">
        <v>5.1746626992214715</v>
      </c>
      <c r="Y182" s="166">
        <v>0.57048735587636656</v>
      </c>
    </row>
    <row r="183" spans="1:25" ht="70" outlineLevel="2" x14ac:dyDescent="0.4">
      <c r="A183" s="165"/>
      <c r="B183" s="164"/>
      <c r="C183" s="164"/>
      <c r="D183" s="164" t="s">
        <v>199</v>
      </c>
      <c r="E183" s="163" t="s">
        <v>198</v>
      </c>
      <c r="F183" s="162"/>
      <c r="G183" s="161">
        <v>3.8175046554934795</v>
      </c>
      <c r="H183" s="161">
        <v>17.189835575485787</v>
      </c>
      <c r="I183" s="161">
        <v>16.530612244897952</v>
      </c>
      <c r="J183" s="161">
        <v>5.8450087565674096</v>
      </c>
      <c r="K183" s="161">
        <v>-5.5635987590486025</v>
      </c>
      <c r="L183" s="161">
        <v>5.7818659658344274</v>
      </c>
      <c r="M183" s="161">
        <v>3.4575569358177916</v>
      </c>
      <c r="N183" s="161">
        <v>4.7028216930158067</v>
      </c>
      <c r="O183" s="161">
        <v>4.6444954128440372</v>
      </c>
      <c r="P183" s="161">
        <v>7.6894977168949765</v>
      </c>
      <c r="Q183" s="161">
        <v>10.973541383989144</v>
      </c>
      <c r="R183" s="161">
        <v>0.55020632737277708</v>
      </c>
      <c r="S183" s="161">
        <v>5.2439580483356139</v>
      </c>
      <c r="T183" s="161">
        <v>2.7151935297515877</v>
      </c>
      <c r="U183" s="161">
        <v>6.7913385826771702</v>
      </c>
      <c r="V183" s="161">
        <v>34.667544437129692</v>
      </c>
      <c r="W183" s="161">
        <v>26.681658193195148</v>
      </c>
      <c r="X183" s="161">
        <v>8.4973373466080062</v>
      </c>
      <c r="Y183" s="160">
        <v>5.1591264760278932</v>
      </c>
    </row>
    <row r="184" spans="1:25" outlineLevel="2" x14ac:dyDescent="0.4">
      <c r="A184" s="147"/>
      <c r="B184" s="146"/>
      <c r="C184" s="146"/>
      <c r="D184" s="146" t="s">
        <v>197</v>
      </c>
      <c r="E184" s="145" t="s">
        <v>196</v>
      </c>
      <c r="F184" s="144"/>
      <c r="G184" s="143">
        <v>-7.1713147410358573</v>
      </c>
      <c r="H184" s="143">
        <v>10.214592274678111</v>
      </c>
      <c r="I184" s="143">
        <v>13.395638629283482</v>
      </c>
      <c r="J184" s="143">
        <v>0.75549450549449659</v>
      </c>
      <c r="K184" s="143">
        <v>-3.2038173142467627</v>
      </c>
      <c r="L184" s="143">
        <v>4.4366197183098706</v>
      </c>
      <c r="M184" s="143">
        <v>-14.29534726904923</v>
      </c>
      <c r="N184" s="143">
        <v>-14.00472069236821</v>
      </c>
      <c r="O184" s="143">
        <v>25.617566331198532</v>
      </c>
      <c r="P184" s="143">
        <v>9.6868171886380168</v>
      </c>
      <c r="Q184" s="143">
        <v>31.872509960159363</v>
      </c>
      <c r="R184" s="143">
        <v>-5.1359516616314238</v>
      </c>
      <c r="S184" s="143">
        <v>-8.9702760084925757</v>
      </c>
      <c r="T184" s="143">
        <v>-8.4548104956268162</v>
      </c>
      <c r="U184" s="143">
        <v>-8.0891719745222872</v>
      </c>
      <c r="V184" s="143">
        <v>97.366597366597375</v>
      </c>
      <c r="W184" s="143">
        <v>26.264044943820224</v>
      </c>
      <c r="X184" s="143">
        <v>-16.268075639599559</v>
      </c>
      <c r="Y184" s="142">
        <v>-12.626369976751903</v>
      </c>
    </row>
    <row r="185" spans="1:25" outlineLevel="2" x14ac:dyDescent="0.4">
      <c r="A185" s="165"/>
      <c r="B185" s="164"/>
      <c r="C185" s="164"/>
      <c r="D185" s="164" t="s">
        <v>195</v>
      </c>
      <c r="E185" s="163" t="s">
        <v>194</v>
      </c>
      <c r="F185" s="162"/>
      <c r="G185" s="161">
        <v>3.8100208768267123</v>
      </c>
      <c r="H185" s="161">
        <v>10.005027652086483</v>
      </c>
      <c r="I185" s="161">
        <v>12.431444241316285</v>
      </c>
      <c r="J185" s="161">
        <v>0.1626016260162686</v>
      </c>
      <c r="K185" s="161">
        <v>2.5974025974025921</v>
      </c>
      <c r="L185" s="161">
        <v>7.6740506329114027</v>
      </c>
      <c r="M185" s="161">
        <v>8.817046289493021</v>
      </c>
      <c r="N185" s="161">
        <v>4.4902093180283487</v>
      </c>
      <c r="O185" s="161">
        <v>1.163166397415182</v>
      </c>
      <c r="P185" s="161">
        <v>2.7467262855317927</v>
      </c>
      <c r="Q185" s="161">
        <v>6.3413117811625739</v>
      </c>
      <c r="R185" s="161">
        <v>3.858520900321551</v>
      </c>
      <c r="S185" s="161">
        <v>1.5761328454826753</v>
      </c>
      <c r="T185" s="161">
        <v>0.96979772790245988</v>
      </c>
      <c r="U185" s="161">
        <v>6.0098792535675045</v>
      </c>
      <c r="V185" s="161">
        <v>2.3556821123479068</v>
      </c>
      <c r="W185" s="161">
        <v>22.685887708649474</v>
      </c>
      <c r="X185" s="161">
        <v>11.069882498453936</v>
      </c>
      <c r="Y185" s="160">
        <v>-1.4962880475129907</v>
      </c>
    </row>
    <row r="186" spans="1:25" ht="70" outlineLevel="2" x14ac:dyDescent="0.4">
      <c r="A186" s="147"/>
      <c r="B186" s="146"/>
      <c r="C186" s="146"/>
      <c r="D186" s="146" t="s">
        <v>193</v>
      </c>
      <c r="E186" s="145" t="s">
        <v>192</v>
      </c>
      <c r="F186" s="144"/>
      <c r="G186" s="143">
        <v>1.7337258750408751</v>
      </c>
      <c r="H186" s="143">
        <v>15.144694533762063</v>
      </c>
      <c r="I186" s="143">
        <v>18.346830494275352</v>
      </c>
      <c r="J186" s="143">
        <v>1.2269938650306642</v>
      </c>
      <c r="K186" s="143">
        <v>-9.2540792540792438</v>
      </c>
      <c r="L186" s="143">
        <v>1.7467248908296966</v>
      </c>
      <c r="M186" s="143">
        <v>4.4938146932592673</v>
      </c>
      <c r="N186" s="143">
        <v>2.1744382701135407</v>
      </c>
      <c r="O186" s="143">
        <v>-6.1243792858831796</v>
      </c>
      <c r="P186" s="143">
        <v>-1.2090680100755691</v>
      </c>
      <c r="Q186" s="143">
        <v>20.78021417644058</v>
      </c>
      <c r="R186" s="143">
        <v>-3.7365421152628215</v>
      </c>
      <c r="S186" s="143">
        <v>2.6754385964912188</v>
      </c>
      <c r="T186" s="143">
        <v>10.123878684322946</v>
      </c>
      <c r="U186" s="143">
        <v>16.77657098525988</v>
      </c>
      <c r="V186" s="143">
        <v>7.7561866799535011</v>
      </c>
      <c r="W186" s="143">
        <v>31.041923551171379</v>
      </c>
      <c r="X186" s="143">
        <v>-1.2114796518466306</v>
      </c>
      <c r="Y186" s="142">
        <v>-8.4701750208358106</v>
      </c>
    </row>
    <row r="187" spans="1:25" outlineLevel="2" x14ac:dyDescent="0.4">
      <c r="A187" s="165"/>
      <c r="B187" s="164"/>
      <c r="C187" s="164"/>
      <c r="D187" s="164" t="s">
        <v>191</v>
      </c>
      <c r="E187" s="163" t="s">
        <v>190</v>
      </c>
      <c r="F187" s="162"/>
      <c r="G187" s="161">
        <v>-11.073825503355707</v>
      </c>
      <c r="H187" s="161">
        <v>-19.874213836477978</v>
      </c>
      <c r="I187" s="161">
        <v>-7.8492935635792804</v>
      </c>
      <c r="J187" s="161">
        <v>-14.310051107325378</v>
      </c>
      <c r="K187" s="161">
        <v>-7.5546719681908456</v>
      </c>
      <c r="L187" s="161">
        <v>-19.784946236559136</v>
      </c>
      <c r="M187" s="161">
        <v>7.7747989276139435</v>
      </c>
      <c r="N187" s="161">
        <v>24.626865671641781</v>
      </c>
      <c r="O187" s="161">
        <v>3.1936127744510969</v>
      </c>
      <c r="P187" s="161">
        <v>35.783365570599614</v>
      </c>
      <c r="Q187" s="161">
        <v>-10.96866096866097</v>
      </c>
      <c r="R187" s="161">
        <v>12.319999999999993</v>
      </c>
      <c r="S187" s="161">
        <v>-7.2649572649572605</v>
      </c>
      <c r="T187" s="161">
        <v>10.906298003072195</v>
      </c>
      <c r="U187" s="161">
        <v>-60.94182825484765</v>
      </c>
      <c r="V187" s="161">
        <v>36.879432624113491</v>
      </c>
      <c r="W187" s="161">
        <v>26.424870466321252</v>
      </c>
      <c r="X187" s="161">
        <v>-6.7622950819672241</v>
      </c>
      <c r="Y187" s="160">
        <v>34.879120879120876</v>
      </c>
    </row>
    <row r="188" spans="1:25" outlineLevel="2" x14ac:dyDescent="0.4">
      <c r="A188" s="147"/>
      <c r="B188" s="146"/>
      <c r="C188" s="146"/>
      <c r="D188" s="146" t="s">
        <v>189</v>
      </c>
      <c r="E188" s="145" t="s">
        <v>188</v>
      </c>
      <c r="F188" s="144"/>
      <c r="G188" s="143">
        <v>47.11729622266401</v>
      </c>
      <c r="H188" s="143">
        <v>-5.0900900900900865</v>
      </c>
      <c r="I188" s="143">
        <v>2.3255813953488484</v>
      </c>
      <c r="J188" s="143">
        <v>27.179962894248604</v>
      </c>
      <c r="K188" s="143">
        <v>7.4033552151714161</v>
      </c>
      <c r="L188" s="143">
        <v>13.37860780984721</v>
      </c>
      <c r="M188" s="143">
        <v>-18.778077268643315</v>
      </c>
      <c r="N188" s="143">
        <v>-12.020648967551622</v>
      </c>
      <c r="O188" s="143">
        <v>5.4484492875104706</v>
      </c>
      <c r="P188" s="143">
        <v>4.0540540540540633</v>
      </c>
      <c r="Q188" s="143">
        <v>6.6844919786096284</v>
      </c>
      <c r="R188" s="143">
        <v>9.7744360902255636</v>
      </c>
      <c r="S188" s="143">
        <v>-0.1956947162426701</v>
      </c>
      <c r="T188" s="143">
        <v>-13.202614379084963</v>
      </c>
      <c r="U188" s="143">
        <v>14.420180722891573</v>
      </c>
      <c r="V188" s="143">
        <v>15.235274761434695</v>
      </c>
      <c r="W188" s="143">
        <v>17.104511707595663</v>
      </c>
      <c r="X188" s="143">
        <v>2.535966837356753</v>
      </c>
      <c r="Y188" s="142">
        <v>0.5631391200951299</v>
      </c>
    </row>
    <row r="189" spans="1:25" outlineLevel="2" x14ac:dyDescent="0.4">
      <c r="A189" s="165"/>
      <c r="B189" s="164"/>
      <c r="C189" s="164"/>
      <c r="D189" s="164" t="s">
        <v>187</v>
      </c>
      <c r="E189" s="163" t="s">
        <v>186</v>
      </c>
      <c r="F189" s="162"/>
      <c r="G189" s="161">
        <v>3.3870967741935516</v>
      </c>
      <c r="H189" s="161">
        <v>5.3042121684867283</v>
      </c>
      <c r="I189" s="161">
        <v>10.370370370370367</v>
      </c>
      <c r="J189" s="161">
        <v>0.40268456375838468</v>
      </c>
      <c r="K189" s="161">
        <v>-9.4919786096256757</v>
      </c>
      <c r="L189" s="161">
        <v>6.4992614475627875</v>
      </c>
      <c r="M189" s="161">
        <v>9.5700416088765508</v>
      </c>
      <c r="N189" s="161">
        <v>-3.7974683544303787</v>
      </c>
      <c r="O189" s="161">
        <v>-1.7105263157894797</v>
      </c>
      <c r="P189" s="161">
        <v>-7.8982597054886128</v>
      </c>
      <c r="Q189" s="161">
        <v>-7.7034883720930196</v>
      </c>
      <c r="R189" s="161">
        <v>4.7244094488188892</v>
      </c>
      <c r="S189" s="161">
        <v>5.5639097744360839</v>
      </c>
      <c r="T189" s="161">
        <v>7.6923076923076934</v>
      </c>
      <c r="U189" s="161">
        <v>-3.9682539682539613</v>
      </c>
      <c r="V189" s="161">
        <v>18.319559228650135</v>
      </c>
      <c r="W189" s="161">
        <v>25.37834691501746</v>
      </c>
      <c r="X189" s="161">
        <v>9.0993500464252577</v>
      </c>
      <c r="Y189" s="160">
        <v>2.9182978723404176</v>
      </c>
    </row>
    <row r="190" spans="1:25" ht="70" outlineLevel="2" x14ac:dyDescent="0.4">
      <c r="A190" s="147"/>
      <c r="B190" s="146"/>
      <c r="C190" s="146"/>
      <c r="D190" s="146" t="s">
        <v>185</v>
      </c>
      <c r="E190" s="145" t="s">
        <v>184</v>
      </c>
      <c r="F190" s="144"/>
      <c r="G190" s="143">
        <v>10.80827067669172</v>
      </c>
      <c r="H190" s="143">
        <v>18.490245971161997</v>
      </c>
      <c r="I190" s="143">
        <v>9.5919828203292639</v>
      </c>
      <c r="J190" s="143">
        <v>8.2299150881776484</v>
      </c>
      <c r="K190" s="143">
        <v>-6.5781532890766528</v>
      </c>
      <c r="L190" s="143">
        <v>-4.1989664082687312</v>
      </c>
      <c r="M190" s="143">
        <v>21.0384356035064</v>
      </c>
      <c r="N190" s="143">
        <v>11.253481894150411</v>
      </c>
      <c r="O190" s="143">
        <v>-0.55082623935903996</v>
      </c>
      <c r="P190" s="143">
        <v>14.602215508559908</v>
      </c>
      <c r="Q190" s="143">
        <v>2.5043936731107266</v>
      </c>
      <c r="R190" s="143">
        <v>2.7861123017573988</v>
      </c>
      <c r="S190" s="143">
        <v>2.2935779816513673</v>
      </c>
      <c r="T190" s="143">
        <v>2.7313493681206751</v>
      </c>
      <c r="U190" s="143">
        <v>4.7619047619047734</v>
      </c>
      <c r="V190" s="143">
        <v>13.068181818181813</v>
      </c>
      <c r="W190" s="143">
        <v>22.345058626465658</v>
      </c>
      <c r="X190" s="143">
        <v>4.7645125958378998</v>
      </c>
      <c r="Y190" s="142">
        <v>0.16048092002090186</v>
      </c>
    </row>
    <row r="191" spans="1:25" ht="28" outlineLevel="2" x14ac:dyDescent="0.4">
      <c r="A191" s="165"/>
      <c r="B191" s="164"/>
      <c r="C191" s="164"/>
      <c r="D191" s="164" t="s">
        <v>183</v>
      </c>
      <c r="E191" s="163" t="s">
        <v>182</v>
      </c>
      <c r="F191" s="162"/>
      <c r="G191" s="161">
        <v>13.03405572755419</v>
      </c>
      <c r="H191" s="161">
        <v>22.733497671870722</v>
      </c>
      <c r="I191" s="161">
        <v>6.8288328498103112</v>
      </c>
      <c r="J191" s="161">
        <v>12.074368080217241</v>
      </c>
      <c r="K191" s="161">
        <v>-6.3746505125815531</v>
      </c>
      <c r="L191" s="161">
        <v>1.6723073860242863</v>
      </c>
      <c r="M191" s="161">
        <v>11.768161347170562</v>
      </c>
      <c r="N191" s="161">
        <v>7.6559215136650351</v>
      </c>
      <c r="O191" s="161">
        <v>4.9308380797396154</v>
      </c>
      <c r="P191" s="161">
        <v>-0.83746898263026992</v>
      </c>
      <c r="Q191" s="161">
        <v>10.494213324992188</v>
      </c>
      <c r="R191" s="161">
        <v>1.854210898796893</v>
      </c>
      <c r="S191" s="161">
        <v>4.3496386881600984</v>
      </c>
      <c r="T191" s="161">
        <v>0.49274204288187207</v>
      </c>
      <c r="U191" s="161">
        <v>-12.589451364961562</v>
      </c>
      <c r="V191" s="161">
        <v>22.832019405700436</v>
      </c>
      <c r="W191" s="161">
        <v>21.476178721303384</v>
      </c>
      <c r="X191" s="161">
        <v>12.660028449502136</v>
      </c>
      <c r="Y191" s="160">
        <v>4.6764971139971152</v>
      </c>
    </row>
    <row r="192" spans="1:25" ht="70" outlineLevel="1" x14ac:dyDescent="0.4">
      <c r="A192" s="171"/>
      <c r="B192" s="146"/>
      <c r="C192" s="170" t="s">
        <v>181</v>
      </c>
      <c r="D192" s="170"/>
      <c r="E192" s="169" t="s">
        <v>180</v>
      </c>
      <c r="F192" s="168"/>
      <c r="G192" s="167">
        <v>12.973610496830304</v>
      </c>
      <c r="H192" s="167">
        <v>19.522380268824222</v>
      </c>
      <c r="I192" s="167">
        <v>2.1727262801615836</v>
      </c>
      <c r="J192" s="167">
        <v>-13.015601624278688</v>
      </c>
      <c r="K192" s="167">
        <v>1.5110565110565233</v>
      </c>
      <c r="L192" s="167">
        <v>9.8632457945056444</v>
      </c>
      <c r="M192" s="167">
        <v>6.532275831680991</v>
      </c>
      <c r="N192" s="167">
        <v>3.0296763519801431</v>
      </c>
      <c r="O192" s="167">
        <v>0.32115616218386833</v>
      </c>
      <c r="P192" s="167">
        <v>3.4713885554221662</v>
      </c>
      <c r="Q192" s="167">
        <v>4.4764575074929951</v>
      </c>
      <c r="R192" s="167">
        <v>-3.6738848787710481</v>
      </c>
      <c r="S192" s="167">
        <v>2.8821212412339037E-2</v>
      </c>
      <c r="T192" s="167">
        <v>7.3184786784479456</v>
      </c>
      <c r="U192" s="167">
        <v>-25.093968140325757</v>
      </c>
      <c r="V192" s="167">
        <v>47.037037037037038</v>
      </c>
      <c r="W192" s="167">
        <v>19.151702283253428</v>
      </c>
      <c r="X192" s="167">
        <v>-3.382433169667209</v>
      </c>
      <c r="Y192" s="166">
        <v>-0.83723884810842719</v>
      </c>
    </row>
    <row r="193" spans="1:25" ht="42" outlineLevel="2" x14ac:dyDescent="0.4">
      <c r="A193" s="165"/>
      <c r="B193" s="164"/>
      <c r="C193" s="164"/>
      <c r="D193" s="164" t="s">
        <v>179</v>
      </c>
      <c r="E193" s="163" t="s">
        <v>178</v>
      </c>
      <c r="F193" s="162"/>
      <c r="G193" s="161">
        <v>14.025370734321953</v>
      </c>
      <c r="H193" s="161">
        <v>18.348480100282046</v>
      </c>
      <c r="I193" s="161">
        <v>-0.55607043558850933</v>
      </c>
      <c r="J193" s="161">
        <v>-11.889229130608442</v>
      </c>
      <c r="K193" s="161">
        <v>2.7349652462979748</v>
      </c>
      <c r="L193" s="161">
        <v>9.6484777173113656</v>
      </c>
      <c r="M193" s="161">
        <v>6.7471495640509858</v>
      </c>
      <c r="N193" s="161">
        <v>3.581301834631816</v>
      </c>
      <c r="O193" s="161">
        <v>0.44886570423389571</v>
      </c>
      <c r="P193" s="161">
        <v>3.6714975845410578</v>
      </c>
      <c r="Q193" s="161">
        <v>4.753028890959925</v>
      </c>
      <c r="R193" s="161">
        <v>-2.4577402135231239</v>
      </c>
      <c r="S193" s="161">
        <v>1.6075704024626702</v>
      </c>
      <c r="T193" s="161">
        <v>9.0439856373428995</v>
      </c>
      <c r="U193" s="161">
        <v>-22.267956369623377</v>
      </c>
      <c r="V193" s="161">
        <v>47.127349748477627</v>
      </c>
      <c r="W193" s="161">
        <v>19.46193989562714</v>
      </c>
      <c r="X193" s="161">
        <v>-3.713188220230478</v>
      </c>
      <c r="Y193" s="160">
        <v>-0.56852315394243647</v>
      </c>
    </row>
    <row r="194" spans="1:25" ht="56" outlineLevel="2" x14ac:dyDescent="0.4">
      <c r="A194" s="147"/>
      <c r="B194" s="146"/>
      <c r="C194" s="146"/>
      <c r="D194" s="146" t="s">
        <v>177</v>
      </c>
      <c r="E194" s="145" t="s">
        <v>176</v>
      </c>
      <c r="F194" s="144"/>
      <c r="G194" s="143">
        <v>8.0101180438448552</v>
      </c>
      <c r="H194" s="143">
        <v>25.370804059328663</v>
      </c>
      <c r="I194" s="143">
        <v>15.00622665006226</v>
      </c>
      <c r="J194" s="143">
        <v>-17.596101786681103</v>
      </c>
      <c r="K194" s="143">
        <v>-3.8107752956636034</v>
      </c>
      <c r="L194" s="143">
        <v>10.860655737704917</v>
      </c>
      <c r="M194" s="143">
        <v>5.5452865064695089</v>
      </c>
      <c r="N194" s="143">
        <v>0.46701692936368033</v>
      </c>
      <c r="O194" s="143">
        <v>-0.29052876234747771</v>
      </c>
      <c r="P194" s="143">
        <v>2.5058275058275115</v>
      </c>
      <c r="Q194" s="143">
        <v>3.1267765776009213</v>
      </c>
      <c r="R194" s="143">
        <v>-9.7023153252480654</v>
      </c>
      <c r="S194" s="143">
        <v>-8.4249084249084234</v>
      </c>
      <c r="T194" s="143">
        <v>-2.9333333333333371</v>
      </c>
      <c r="U194" s="143">
        <v>-43.956043956043956</v>
      </c>
      <c r="V194" s="143">
        <v>46.20098039215685</v>
      </c>
      <c r="W194" s="143">
        <v>16.261525565800497</v>
      </c>
      <c r="X194" s="143">
        <v>-0.21629416005768576</v>
      </c>
      <c r="Y194" s="142">
        <v>-3.3193641618497196</v>
      </c>
    </row>
    <row r="195" spans="1:25" ht="70" outlineLevel="1" x14ac:dyDescent="0.4">
      <c r="A195" s="153"/>
      <c r="B195" s="164"/>
      <c r="C195" s="152" t="s">
        <v>175</v>
      </c>
      <c r="D195" s="152"/>
      <c r="E195" s="151" t="s">
        <v>174</v>
      </c>
      <c r="F195" s="150"/>
      <c r="G195" s="149">
        <v>12.966774478094663</v>
      </c>
      <c r="H195" s="149">
        <v>12.909942738157227</v>
      </c>
      <c r="I195" s="149">
        <v>6.4084831719686548</v>
      </c>
      <c r="J195" s="149">
        <v>5.9792027729636033</v>
      </c>
      <c r="K195" s="149">
        <v>-4.7015535568274771</v>
      </c>
      <c r="L195" s="149">
        <v>2.3809523809523796</v>
      </c>
      <c r="M195" s="149">
        <v>7.3329143096585057</v>
      </c>
      <c r="N195" s="149">
        <v>2.927971891469852</v>
      </c>
      <c r="O195" s="149">
        <v>2.465389721221328</v>
      </c>
      <c r="P195" s="149">
        <v>12.104386451971124</v>
      </c>
      <c r="Q195" s="149">
        <v>-2.0802377414561732</v>
      </c>
      <c r="R195" s="149">
        <v>-2.2424548979935963</v>
      </c>
      <c r="S195" s="149">
        <v>2.8113142462918148</v>
      </c>
      <c r="T195" s="149">
        <v>5.5695353128669751</v>
      </c>
      <c r="U195" s="149">
        <v>-2.6855235976481708</v>
      </c>
      <c r="V195" s="149">
        <v>9.7485303723056802</v>
      </c>
      <c r="W195" s="149">
        <v>29.534295491742284</v>
      </c>
      <c r="X195" s="149">
        <v>1.9411899839191449</v>
      </c>
      <c r="Y195" s="148">
        <v>0.53228169014083448</v>
      </c>
    </row>
    <row r="196" spans="1:25" ht="42" outlineLevel="2" x14ac:dyDescent="0.4">
      <c r="A196" s="147"/>
      <c r="B196" s="146"/>
      <c r="C196" s="146"/>
      <c r="D196" s="146" t="s">
        <v>173</v>
      </c>
      <c r="E196" s="145" t="s">
        <v>172</v>
      </c>
      <c r="F196" s="144"/>
      <c r="G196" s="143">
        <v>21.468926553672318</v>
      </c>
      <c r="H196" s="143">
        <v>29.302325581395337</v>
      </c>
      <c r="I196" s="143">
        <v>8.8729016786570583</v>
      </c>
      <c r="J196" s="143">
        <v>-0.5506607929515468</v>
      </c>
      <c r="K196" s="143">
        <v>3.8759689922480618</v>
      </c>
      <c r="L196" s="143">
        <v>2.4520255863539404</v>
      </c>
      <c r="M196" s="143">
        <v>3.6420395421435927</v>
      </c>
      <c r="N196" s="143">
        <v>4.3172690763052231</v>
      </c>
      <c r="O196" s="143">
        <v>5.2935514918190449</v>
      </c>
      <c r="P196" s="143">
        <v>3.9305301645338204</v>
      </c>
      <c r="Q196" s="143">
        <v>2.9023746701846989</v>
      </c>
      <c r="R196" s="143">
        <v>-6.6666666666666714</v>
      </c>
      <c r="S196" s="143">
        <v>-5.1282051282051384</v>
      </c>
      <c r="T196" s="143">
        <v>-2.5096525096525113</v>
      </c>
      <c r="U196" s="143">
        <v>-3.6633663366336719</v>
      </c>
      <c r="V196" s="143">
        <v>-3.9054470709146898</v>
      </c>
      <c r="W196" s="143">
        <v>24.919786096256686</v>
      </c>
      <c r="X196" s="143">
        <v>-2.6541095890410986</v>
      </c>
      <c r="Y196" s="142">
        <v>-1.9683377308707151</v>
      </c>
    </row>
    <row r="197" spans="1:25" outlineLevel="2" x14ac:dyDescent="0.4">
      <c r="A197" s="165"/>
      <c r="B197" s="164"/>
      <c r="C197" s="164"/>
      <c r="D197" s="164" t="s">
        <v>171</v>
      </c>
      <c r="E197" s="163" t="s">
        <v>170</v>
      </c>
      <c r="F197" s="162"/>
      <c r="G197" s="161">
        <v>10.622154779969662</v>
      </c>
      <c r="H197" s="161">
        <v>7.7274805669867277</v>
      </c>
      <c r="I197" s="161">
        <v>5.1782682512733373</v>
      </c>
      <c r="J197" s="161">
        <v>7.0621468926553632</v>
      </c>
      <c r="K197" s="161">
        <v>-11.421032793064455</v>
      </c>
      <c r="L197" s="161">
        <v>-1.3617021276595693</v>
      </c>
      <c r="M197" s="161">
        <v>8.8438308886971555</v>
      </c>
      <c r="N197" s="161">
        <v>2.2988505747126453</v>
      </c>
      <c r="O197" s="161">
        <v>2.8671057729562079</v>
      </c>
      <c r="P197" s="161">
        <v>21.242937853107335</v>
      </c>
      <c r="Q197" s="161">
        <v>-3.2308170239204799</v>
      </c>
      <c r="R197" s="161">
        <v>4.9438202247191043</v>
      </c>
      <c r="S197" s="161">
        <v>6.4239828693790173</v>
      </c>
      <c r="T197" s="161">
        <v>9.7441793618856138</v>
      </c>
      <c r="U197" s="161">
        <v>-1.4143530644316371</v>
      </c>
      <c r="V197" s="161">
        <v>12.752391073326237</v>
      </c>
      <c r="W197" s="161">
        <v>32.634307257304442</v>
      </c>
      <c r="X197" s="161">
        <v>3.0023094688221619</v>
      </c>
      <c r="Y197" s="160">
        <v>0.86012418075198127</v>
      </c>
    </row>
    <row r="198" spans="1:25" ht="42" outlineLevel="2" x14ac:dyDescent="0.4">
      <c r="A198" s="147"/>
      <c r="B198" s="146"/>
      <c r="C198" s="146"/>
      <c r="D198" s="146" t="s">
        <v>169</v>
      </c>
      <c r="E198" s="145" t="s">
        <v>168</v>
      </c>
      <c r="F198" s="144"/>
      <c r="G198" s="143">
        <v>13.101903695408737</v>
      </c>
      <c r="H198" s="143">
        <v>13.663366336633658</v>
      </c>
      <c r="I198" s="143">
        <v>7.1428571428571388</v>
      </c>
      <c r="J198" s="143">
        <v>8.6178861788617951</v>
      </c>
      <c r="K198" s="143">
        <v>2.8443113772455035</v>
      </c>
      <c r="L198" s="143">
        <v>8.7336244541484689</v>
      </c>
      <c r="M198" s="143">
        <v>7.3627844712182053</v>
      </c>
      <c r="N198" s="143">
        <v>3.05486284289276</v>
      </c>
      <c r="O198" s="143">
        <v>6.0496067755593685E-2</v>
      </c>
      <c r="P198" s="143">
        <v>2.8415961305924924</v>
      </c>
      <c r="Q198" s="143">
        <v>-3.2333921222810034</v>
      </c>
      <c r="R198" s="143">
        <v>-12.697448359659774</v>
      </c>
      <c r="S198" s="143">
        <v>0.62630480167014468</v>
      </c>
      <c r="T198" s="143">
        <v>1.3139695712309845</v>
      </c>
      <c r="U198" s="143">
        <v>-5.3242320819112621</v>
      </c>
      <c r="V198" s="143">
        <v>11.175198269646728</v>
      </c>
      <c r="W198" s="143">
        <v>23.800259403372252</v>
      </c>
      <c r="X198" s="143">
        <v>1.6238868517548468</v>
      </c>
      <c r="Y198" s="142">
        <v>1.0185567010309313</v>
      </c>
    </row>
    <row r="199" spans="1:25" ht="98" outlineLevel="1" x14ac:dyDescent="0.4">
      <c r="A199" s="153"/>
      <c r="B199" s="164"/>
      <c r="C199" s="152" t="s">
        <v>167</v>
      </c>
      <c r="D199" s="152"/>
      <c r="E199" s="151" t="s">
        <v>166</v>
      </c>
      <c r="F199" s="150"/>
      <c r="G199" s="149">
        <v>15.978267984551934</v>
      </c>
      <c r="H199" s="149">
        <v>12.95857320239304</v>
      </c>
      <c r="I199" s="149">
        <v>8.1293094833616522</v>
      </c>
      <c r="J199" s="149">
        <v>1.4740538792107571</v>
      </c>
      <c r="K199" s="149">
        <v>7.0537340619307969</v>
      </c>
      <c r="L199" s="149">
        <v>12.795099749032275</v>
      </c>
      <c r="M199" s="149">
        <v>6.8522080174982136</v>
      </c>
      <c r="N199" s="149">
        <v>7.0163054986941376</v>
      </c>
      <c r="O199" s="149">
        <v>6.3089505969263371</v>
      </c>
      <c r="P199" s="149">
        <v>10.299364045292393</v>
      </c>
      <c r="Q199" s="149">
        <v>7.1888623259738438</v>
      </c>
      <c r="R199" s="149">
        <v>2.5189577812180204</v>
      </c>
      <c r="S199" s="149">
        <v>7.7653502597834603</v>
      </c>
      <c r="T199" s="149">
        <v>6.23678897993112</v>
      </c>
      <c r="U199" s="149">
        <v>-10.487134202231118</v>
      </c>
      <c r="V199" s="149">
        <v>26.838161838161838</v>
      </c>
      <c r="W199" s="149">
        <v>21.570905367621009</v>
      </c>
      <c r="X199" s="149">
        <v>9.3600686739767838</v>
      </c>
      <c r="Y199" s="148">
        <v>-0.83960308056870758</v>
      </c>
    </row>
    <row r="200" spans="1:25" ht="28" outlineLevel="2" x14ac:dyDescent="0.4">
      <c r="A200" s="147"/>
      <c r="B200" s="146"/>
      <c r="C200" s="146"/>
      <c r="D200" s="146" t="s">
        <v>165</v>
      </c>
      <c r="E200" s="145" t="s">
        <v>164</v>
      </c>
      <c r="F200" s="144"/>
      <c r="G200" s="143">
        <v>21.443888491779845</v>
      </c>
      <c r="H200" s="143">
        <v>17.804590935844615</v>
      </c>
      <c r="I200" s="143">
        <v>14.414189357981513</v>
      </c>
      <c r="J200" s="143">
        <v>-14.301310043668124</v>
      </c>
      <c r="K200" s="143">
        <v>26.955414012738842</v>
      </c>
      <c r="L200" s="143">
        <v>28.878185831828205</v>
      </c>
      <c r="M200" s="143">
        <v>3.2700093428838386</v>
      </c>
      <c r="N200" s="143">
        <v>4.4179734620024078</v>
      </c>
      <c r="O200" s="143">
        <v>6.2382671480144296</v>
      </c>
      <c r="P200" s="143">
        <v>5.4913687644420293</v>
      </c>
      <c r="Q200" s="143">
        <v>9.3286947558304263</v>
      </c>
      <c r="R200" s="143">
        <v>25.739540365350621</v>
      </c>
      <c r="S200" s="143">
        <v>21.76398912737838</v>
      </c>
      <c r="T200" s="143">
        <v>10.538064814102071</v>
      </c>
      <c r="U200" s="143">
        <v>-28.398328690807801</v>
      </c>
      <c r="V200" s="143">
        <v>46.819684886208904</v>
      </c>
      <c r="W200" s="143">
        <v>28.669846316905137</v>
      </c>
      <c r="X200" s="143">
        <v>17.432042833607909</v>
      </c>
      <c r="Y200" s="142">
        <v>0.59004822446296146</v>
      </c>
    </row>
    <row r="201" spans="1:25" ht="84" outlineLevel="2" x14ac:dyDescent="0.4">
      <c r="A201" s="165"/>
      <c r="B201" s="164"/>
      <c r="C201" s="164"/>
      <c r="D201" s="164" t="s">
        <v>163</v>
      </c>
      <c r="E201" s="163" t="s">
        <v>162</v>
      </c>
      <c r="F201" s="162"/>
      <c r="G201" s="161">
        <v>12.725069252077574</v>
      </c>
      <c r="H201" s="161">
        <v>9.0769467055751676</v>
      </c>
      <c r="I201" s="161">
        <v>8.4764854970431003</v>
      </c>
      <c r="J201" s="161">
        <v>9.4755970924195196</v>
      </c>
      <c r="K201" s="161">
        <v>6.9124970358074478</v>
      </c>
      <c r="L201" s="161">
        <v>2.9056227126538658</v>
      </c>
      <c r="M201" s="161">
        <v>3.1684448755253953</v>
      </c>
      <c r="N201" s="161">
        <v>8.6597722761934506</v>
      </c>
      <c r="O201" s="161">
        <v>1.6246875600846096</v>
      </c>
      <c r="P201" s="161">
        <v>11.758584807492184</v>
      </c>
      <c r="Q201" s="161">
        <v>13.898764178093785</v>
      </c>
      <c r="R201" s="161">
        <v>1.0478596908442483</v>
      </c>
      <c r="S201" s="161">
        <v>4.6775023902331441</v>
      </c>
      <c r="T201" s="161">
        <v>5.9860886671819173</v>
      </c>
      <c r="U201" s="161">
        <v>6.5893271461716836</v>
      </c>
      <c r="V201" s="161">
        <v>25.791404938118049</v>
      </c>
      <c r="W201" s="161">
        <v>19.188173637891822</v>
      </c>
      <c r="X201" s="161">
        <v>6.37574148587548</v>
      </c>
      <c r="Y201" s="160">
        <v>-0.63940882857589543</v>
      </c>
    </row>
    <row r="202" spans="1:25" outlineLevel="2" x14ac:dyDescent="0.4">
      <c r="A202" s="147"/>
      <c r="B202" s="146"/>
      <c r="C202" s="146"/>
      <c r="D202" s="146" t="s">
        <v>161</v>
      </c>
      <c r="E202" s="145" t="s">
        <v>160</v>
      </c>
      <c r="F202" s="144"/>
      <c r="G202" s="143">
        <v>8.6977186311787023</v>
      </c>
      <c r="H202" s="143">
        <v>7.4333187581985101</v>
      </c>
      <c r="I202" s="143">
        <v>2.93040293040292</v>
      </c>
      <c r="J202" s="143">
        <v>-1.3839462238038749</v>
      </c>
      <c r="K202" s="143">
        <v>-3.7690457097032919</v>
      </c>
      <c r="L202" s="143">
        <v>3.4583333333333428</v>
      </c>
      <c r="M202" s="143">
        <v>10.430930326218288</v>
      </c>
      <c r="N202" s="143">
        <v>-2.4070021881838102</v>
      </c>
      <c r="O202" s="143">
        <v>-6.9133034379671159</v>
      </c>
      <c r="P202" s="143">
        <v>12.043356081894814</v>
      </c>
      <c r="Q202" s="143">
        <v>2.7946972411322122</v>
      </c>
      <c r="R202" s="143">
        <v>-4.6706169397002384</v>
      </c>
      <c r="S202" s="143">
        <v>8.3363802559415063</v>
      </c>
      <c r="T202" s="143">
        <v>7.8636517043536998</v>
      </c>
      <c r="U202" s="143">
        <v>-0.71964956195243701</v>
      </c>
      <c r="V202" s="143">
        <v>2.3006618342262755</v>
      </c>
      <c r="W202" s="143">
        <v>17.128773875539125</v>
      </c>
      <c r="X202" s="143">
        <v>-3.6822724881641307</v>
      </c>
      <c r="Y202" s="142">
        <v>-0.74959038776624709</v>
      </c>
    </row>
    <row r="203" spans="1:25" outlineLevel="2" x14ac:dyDescent="0.4">
      <c r="A203" s="165"/>
      <c r="B203" s="164"/>
      <c r="C203" s="164"/>
      <c r="D203" s="164" t="s">
        <v>159</v>
      </c>
      <c r="E203" s="163" t="s">
        <v>158</v>
      </c>
      <c r="F203" s="162"/>
      <c r="G203" s="161">
        <v>20.069580343552957</v>
      </c>
      <c r="H203" s="161">
        <v>16.841724013038757</v>
      </c>
      <c r="I203" s="161">
        <v>5.8276503409795453</v>
      </c>
      <c r="J203" s="161">
        <v>4.0861159929701358</v>
      </c>
      <c r="K203" s="161">
        <v>2.8141269171229055E-2</v>
      </c>
      <c r="L203" s="161">
        <v>17.217611478407662</v>
      </c>
      <c r="M203" s="161">
        <v>12.648505940237612</v>
      </c>
      <c r="N203" s="161">
        <v>9.9286246937253679</v>
      </c>
      <c r="O203" s="161">
        <v>14.507219691830599</v>
      </c>
      <c r="P203" s="161">
        <v>11.619837508463092</v>
      </c>
      <c r="Q203" s="161">
        <v>0.84919250890894205</v>
      </c>
      <c r="R203" s="161">
        <v>-9.2549432373505738</v>
      </c>
      <c r="S203" s="161">
        <v>-1.2593206296603086</v>
      </c>
      <c r="T203" s="161">
        <v>1.4431951669743341</v>
      </c>
      <c r="U203" s="161">
        <v>-13.101736972704714</v>
      </c>
      <c r="V203" s="161">
        <v>16.295450218922511</v>
      </c>
      <c r="W203" s="161">
        <v>17.924373874611234</v>
      </c>
      <c r="X203" s="161">
        <v>6.9128262076624054</v>
      </c>
      <c r="Y203" s="160">
        <v>-3.3112827836925476</v>
      </c>
    </row>
    <row r="204" spans="1:25" ht="112" outlineLevel="1" x14ac:dyDescent="0.4">
      <c r="A204" s="171"/>
      <c r="B204" s="146"/>
      <c r="C204" s="170" t="s">
        <v>157</v>
      </c>
      <c r="D204" s="170"/>
      <c r="E204" s="169" t="s">
        <v>156</v>
      </c>
      <c r="F204" s="168"/>
      <c r="G204" s="167">
        <v>16.806433084434232</v>
      </c>
      <c r="H204" s="167">
        <v>14.673485444531863</v>
      </c>
      <c r="I204" s="167">
        <v>-4.4253859348198858</v>
      </c>
      <c r="J204" s="167">
        <v>-1.1396267049533293</v>
      </c>
      <c r="K204" s="167">
        <v>11.509485340836889</v>
      </c>
      <c r="L204" s="167">
        <v>6.1945461945462057</v>
      </c>
      <c r="M204" s="167">
        <v>12.187643722213707</v>
      </c>
      <c r="N204" s="167">
        <v>-1.1068597977589576</v>
      </c>
      <c r="O204" s="167">
        <v>1.291971811524121</v>
      </c>
      <c r="P204" s="167">
        <v>2.3395402769251774</v>
      </c>
      <c r="Q204" s="167">
        <v>4.31218341775525</v>
      </c>
      <c r="R204" s="167">
        <v>-12.587055140246633</v>
      </c>
      <c r="S204" s="167">
        <v>6.9146992178934283</v>
      </c>
      <c r="T204" s="167">
        <v>10.590004785670331</v>
      </c>
      <c r="U204" s="167">
        <v>-7.1154797230464908</v>
      </c>
      <c r="V204" s="167">
        <v>17.870216306156422</v>
      </c>
      <c r="W204" s="167">
        <v>22.529644268774703</v>
      </c>
      <c r="X204" s="167">
        <v>0.89861751152074021</v>
      </c>
      <c r="Y204" s="166">
        <v>1.7178351221740087</v>
      </c>
    </row>
    <row r="205" spans="1:25" ht="28" outlineLevel="2" x14ac:dyDescent="0.4">
      <c r="A205" s="165"/>
      <c r="B205" s="164"/>
      <c r="C205" s="164"/>
      <c r="D205" s="164" t="s">
        <v>155</v>
      </c>
      <c r="E205" s="163" t="s">
        <v>154</v>
      </c>
      <c r="F205" s="162"/>
      <c r="G205" s="161">
        <v>23.457901846015304</v>
      </c>
      <c r="H205" s="161">
        <v>12.107950401167031</v>
      </c>
      <c r="I205" s="161">
        <v>15.582303188028618</v>
      </c>
      <c r="J205" s="161">
        <v>4.1654939487756764</v>
      </c>
      <c r="K205" s="161">
        <v>16.698189678465283</v>
      </c>
      <c r="L205" s="161">
        <v>20.050937717064144</v>
      </c>
      <c r="M205" s="161">
        <v>10.684667309546782</v>
      </c>
      <c r="N205" s="161">
        <v>-6.3425683917058677</v>
      </c>
      <c r="O205" s="161">
        <v>6.1023255813953341</v>
      </c>
      <c r="P205" s="161">
        <v>4.2609153077327875</v>
      </c>
      <c r="Q205" s="161">
        <v>6.4413050790447528</v>
      </c>
      <c r="R205" s="161">
        <v>-1.9118344130194345</v>
      </c>
      <c r="S205" s="161">
        <v>7.7319587628865918</v>
      </c>
      <c r="T205" s="161">
        <v>14.697966507177028</v>
      </c>
      <c r="U205" s="161">
        <v>6.6744883326815341</v>
      </c>
      <c r="V205" s="161">
        <v>20.237076866674812</v>
      </c>
      <c r="W205" s="161">
        <v>19.382051021445278</v>
      </c>
      <c r="X205" s="161">
        <v>-1.8218968159373361</v>
      </c>
      <c r="Y205" s="160">
        <v>1.5401491501907856</v>
      </c>
    </row>
    <row r="206" spans="1:25" ht="28" outlineLevel="2" x14ac:dyDescent="0.4">
      <c r="A206" s="147"/>
      <c r="B206" s="146"/>
      <c r="C206" s="146"/>
      <c r="D206" s="146" t="s">
        <v>153</v>
      </c>
      <c r="E206" s="145" t="s">
        <v>152</v>
      </c>
      <c r="F206" s="144"/>
      <c r="G206" s="143">
        <v>20.585906571654803</v>
      </c>
      <c r="H206" s="143">
        <v>16.611950098489814</v>
      </c>
      <c r="I206" s="143">
        <v>5.6306306306311171E-2</v>
      </c>
      <c r="J206" s="143">
        <v>-2.8137310073156954</v>
      </c>
      <c r="K206" s="143">
        <v>5.7903879559930544</v>
      </c>
      <c r="L206" s="143">
        <v>-6.0207991242474037</v>
      </c>
      <c r="M206" s="143">
        <v>5.8241118229474864E-2</v>
      </c>
      <c r="N206" s="143">
        <v>4.3073341094295614</v>
      </c>
      <c r="O206" s="143">
        <v>-3.515625</v>
      </c>
      <c r="P206" s="143">
        <v>11.046847888953153</v>
      </c>
      <c r="Q206" s="143">
        <v>10.520833333333329</v>
      </c>
      <c r="R206" s="143">
        <v>-7.6343072573044282</v>
      </c>
      <c r="S206" s="143">
        <v>7.7040816326530575</v>
      </c>
      <c r="T206" s="143">
        <v>5.4950260540028495</v>
      </c>
      <c r="U206" s="143">
        <v>-2.3798832510103267</v>
      </c>
      <c r="V206" s="143">
        <v>9.2916283348666013</v>
      </c>
      <c r="W206" s="143">
        <v>21.380471380471391</v>
      </c>
      <c r="X206" s="143">
        <v>14.701803051317611</v>
      </c>
      <c r="Y206" s="142">
        <v>6.4715840386940755</v>
      </c>
    </row>
    <row r="207" spans="1:25" ht="42" outlineLevel="2" x14ac:dyDescent="0.4">
      <c r="A207" s="165"/>
      <c r="B207" s="164"/>
      <c r="C207" s="164"/>
      <c r="D207" s="164" t="s">
        <v>151</v>
      </c>
      <c r="E207" s="163" t="s">
        <v>150</v>
      </c>
      <c r="F207" s="162"/>
      <c r="G207" s="161">
        <v>10.449129239230075</v>
      </c>
      <c r="H207" s="161">
        <v>10.705394190871374</v>
      </c>
      <c r="I207" s="161">
        <v>1.0244877561219425</v>
      </c>
      <c r="J207" s="161">
        <v>-0.4452139500371004</v>
      </c>
      <c r="K207" s="161">
        <v>-3.2795031055900665</v>
      </c>
      <c r="L207" s="161">
        <v>3.9815052658618129</v>
      </c>
      <c r="M207" s="161">
        <v>9.6590909090909207</v>
      </c>
      <c r="N207" s="161">
        <v>5.6769542689795003</v>
      </c>
      <c r="O207" s="161">
        <v>-3.9863568535493386</v>
      </c>
      <c r="P207" s="161">
        <v>2.9085257548845362</v>
      </c>
      <c r="Q207" s="161">
        <v>0.73354908306365019</v>
      </c>
      <c r="R207" s="161">
        <v>-30.670379096166201</v>
      </c>
      <c r="S207" s="161">
        <v>3.5217794253938877</v>
      </c>
      <c r="T207" s="161">
        <v>6.2369441957624616</v>
      </c>
      <c r="U207" s="161">
        <v>-13.286516853932582</v>
      </c>
      <c r="V207" s="161">
        <v>5.9604794298671919</v>
      </c>
      <c r="W207" s="161">
        <v>23.29562824824211</v>
      </c>
      <c r="X207" s="161">
        <v>5.5541780312422588</v>
      </c>
      <c r="Y207" s="160">
        <v>2.7925769321118139</v>
      </c>
    </row>
    <row r="208" spans="1:25" ht="42" outlineLevel="2" x14ac:dyDescent="0.4">
      <c r="A208" s="147"/>
      <c r="B208" s="146"/>
      <c r="C208" s="146"/>
      <c r="D208" s="146" t="s">
        <v>149</v>
      </c>
      <c r="E208" s="145" t="s">
        <v>148</v>
      </c>
      <c r="F208" s="144"/>
      <c r="G208" s="143">
        <v>17.453798767967157</v>
      </c>
      <c r="H208" s="143">
        <v>22.727272727272734</v>
      </c>
      <c r="I208" s="143">
        <v>-36.93019943019943</v>
      </c>
      <c r="J208" s="143">
        <v>-11.688311688311686</v>
      </c>
      <c r="K208" s="143">
        <v>43.606138107416882</v>
      </c>
      <c r="L208" s="143">
        <v>-6.6785396260017791</v>
      </c>
      <c r="M208" s="143">
        <v>30.725190839694648</v>
      </c>
      <c r="N208" s="143">
        <v>-4.5255474452554694</v>
      </c>
      <c r="O208" s="143">
        <v>4.1666666666666714</v>
      </c>
      <c r="P208" s="143">
        <v>-8.1467889908256979</v>
      </c>
      <c r="Q208" s="143">
        <v>1.1186576108669612</v>
      </c>
      <c r="R208" s="143">
        <v>-10.075069142631378</v>
      </c>
      <c r="S208" s="143">
        <v>8.8312829525483352</v>
      </c>
      <c r="T208" s="143">
        <v>9.7295115058538642</v>
      </c>
      <c r="U208" s="143">
        <v>-41.832229580573951</v>
      </c>
      <c r="V208" s="143">
        <v>40.670461733080344</v>
      </c>
      <c r="W208" s="143">
        <v>36.555755395683462</v>
      </c>
      <c r="X208" s="143">
        <v>-7.8696081659532524</v>
      </c>
      <c r="Y208" s="142">
        <v>-4.8052180128663338</v>
      </c>
    </row>
    <row r="209" spans="1:25" ht="28" outlineLevel="1" x14ac:dyDescent="0.4">
      <c r="A209" s="153"/>
      <c r="B209" s="164"/>
      <c r="C209" s="152" t="s">
        <v>147</v>
      </c>
      <c r="D209" s="152"/>
      <c r="E209" s="151" t="s">
        <v>146</v>
      </c>
      <c r="F209" s="150"/>
      <c r="G209" s="149">
        <v>12.186495176848865</v>
      </c>
      <c r="H209" s="149">
        <v>8.3691602178274564</v>
      </c>
      <c r="I209" s="149">
        <v>5.1838138058714662</v>
      </c>
      <c r="J209" s="149">
        <v>1.9109881820467791</v>
      </c>
      <c r="K209" s="149">
        <v>3.7503084135208411</v>
      </c>
      <c r="L209" s="149">
        <v>4.3281807372175933</v>
      </c>
      <c r="M209" s="149">
        <v>7.1575108274447103</v>
      </c>
      <c r="N209" s="149">
        <v>5.2967453733248249</v>
      </c>
      <c r="O209" s="149">
        <v>3.9393939393939377</v>
      </c>
      <c r="P209" s="149">
        <v>9.057337220602534</v>
      </c>
      <c r="Q209" s="149">
        <v>-0.39208697201924281</v>
      </c>
      <c r="R209" s="149">
        <v>-2.3081052066559238</v>
      </c>
      <c r="S209" s="149">
        <v>5.2564102564102626</v>
      </c>
      <c r="T209" s="149">
        <v>0.46981033582737552</v>
      </c>
      <c r="U209" s="149">
        <v>-7.3952199515067605</v>
      </c>
      <c r="V209" s="149">
        <v>25.098185898634753</v>
      </c>
      <c r="W209" s="149">
        <v>21.303632830019438</v>
      </c>
      <c r="X209" s="149">
        <v>0.60389450332758088</v>
      </c>
      <c r="Y209" s="148">
        <v>0.20715423251256482</v>
      </c>
    </row>
    <row r="210" spans="1:25" outlineLevel="2" x14ac:dyDescent="0.4">
      <c r="A210" s="147"/>
      <c r="B210" s="146"/>
      <c r="C210" s="146"/>
      <c r="D210" s="146" t="s">
        <v>145</v>
      </c>
      <c r="E210" s="179" t="s">
        <v>144</v>
      </c>
      <c r="F210" s="144"/>
      <c r="G210" s="143">
        <v>9.5312499999999858</v>
      </c>
      <c r="H210" s="143">
        <v>12.410841654778878</v>
      </c>
      <c r="I210" s="143">
        <v>5.2030456852791787</v>
      </c>
      <c r="J210" s="143">
        <v>7.4185765983112191</v>
      </c>
      <c r="K210" s="143">
        <v>-2.2459292532285247</v>
      </c>
      <c r="L210" s="143">
        <v>5.5140723721998768</v>
      </c>
      <c r="M210" s="143">
        <v>8.1110506260206847</v>
      </c>
      <c r="N210" s="143">
        <v>7.351460221550866</v>
      </c>
      <c r="O210" s="143">
        <v>3.6116322701688546</v>
      </c>
      <c r="P210" s="143">
        <v>4.3911272068809524</v>
      </c>
      <c r="Q210" s="143">
        <v>0.65047701647876011</v>
      </c>
      <c r="R210" s="143">
        <v>-5.4286945282205892</v>
      </c>
      <c r="S210" s="143">
        <v>2.9157175398633228</v>
      </c>
      <c r="T210" s="143">
        <v>1.5936254980079667</v>
      </c>
      <c r="U210" s="143">
        <v>-11.328976034858385</v>
      </c>
      <c r="V210" s="143">
        <v>34.152334152334163</v>
      </c>
      <c r="W210" s="143">
        <v>13.516483516483518</v>
      </c>
      <c r="X210" s="143">
        <v>-0.22587931590835808</v>
      </c>
      <c r="Y210" s="142">
        <v>-2.5837645536869331</v>
      </c>
    </row>
    <row r="211" spans="1:25" outlineLevel="2" x14ac:dyDescent="0.4">
      <c r="A211" s="165"/>
      <c r="B211" s="164"/>
      <c r="C211" s="164"/>
      <c r="D211" s="164" t="s">
        <v>143</v>
      </c>
      <c r="E211" s="178" t="s">
        <v>142</v>
      </c>
      <c r="F211" s="162"/>
      <c r="G211" s="161">
        <v>14.04371584699453</v>
      </c>
      <c r="H211" s="161">
        <v>5.6540488739817931</v>
      </c>
      <c r="I211" s="161">
        <v>5.1700680272108883</v>
      </c>
      <c r="J211" s="161">
        <v>-2.0267356619232402</v>
      </c>
      <c r="K211" s="161">
        <v>8.4507042253521263</v>
      </c>
      <c r="L211" s="161">
        <v>3.4902597402597451</v>
      </c>
      <c r="M211" s="161">
        <v>6.470588235294116</v>
      </c>
      <c r="N211" s="161">
        <v>3.7937384898710746</v>
      </c>
      <c r="O211" s="161">
        <v>4.1873669268985196</v>
      </c>
      <c r="P211" s="161">
        <v>12.568119891008166</v>
      </c>
      <c r="Q211" s="161">
        <v>-1.1195158850226932</v>
      </c>
      <c r="R211" s="161">
        <v>-9.1799265605871483E-2</v>
      </c>
      <c r="S211" s="161">
        <v>6.8300153139356752</v>
      </c>
      <c r="T211" s="161">
        <v>-0.25802752293577669</v>
      </c>
      <c r="U211" s="161">
        <v>-4.8002299511353783</v>
      </c>
      <c r="V211" s="161">
        <v>19.535024154589365</v>
      </c>
      <c r="W211" s="161">
        <v>26.673402374336945</v>
      </c>
      <c r="X211" s="161">
        <v>1.116650049850449</v>
      </c>
      <c r="Y211" s="160">
        <v>1.9086965095641801</v>
      </c>
    </row>
    <row r="212" spans="1:25" ht="56" x14ac:dyDescent="0.4">
      <c r="A212" s="159"/>
      <c r="B212" s="158" t="s">
        <v>141</v>
      </c>
      <c r="C212" s="158"/>
      <c r="D212" s="158"/>
      <c r="E212" s="157" t="s">
        <v>140</v>
      </c>
      <c r="F212" s="156"/>
      <c r="G212" s="155">
        <v>10.427918570835075</v>
      </c>
      <c r="H212" s="155">
        <v>11.038374717832951</v>
      </c>
      <c r="I212" s="155">
        <v>7.7115944975266046</v>
      </c>
      <c r="J212" s="155">
        <v>2.805913809374033</v>
      </c>
      <c r="K212" s="155">
        <v>8.9835383391469321</v>
      </c>
      <c r="L212" s="155">
        <v>8.4732438654612849</v>
      </c>
      <c r="M212" s="155">
        <v>5.9478206853711697</v>
      </c>
      <c r="N212" s="155">
        <v>6.351688083255965</v>
      </c>
      <c r="O212" s="155">
        <v>5.4210502136261312</v>
      </c>
      <c r="P212" s="155">
        <v>7.1991981522639037</v>
      </c>
      <c r="Q212" s="155">
        <v>12.297247855603885</v>
      </c>
      <c r="R212" s="155">
        <v>7.8373877787431212</v>
      </c>
      <c r="S212" s="155">
        <v>9.4900802309577443</v>
      </c>
      <c r="T212" s="155">
        <v>10.755457444199166</v>
      </c>
      <c r="U212" s="155">
        <v>7.546229653416006</v>
      </c>
      <c r="V212" s="155">
        <v>15.366795366795373</v>
      </c>
      <c r="W212" s="155">
        <v>22.70191878625613</v>
      </c>
      <c r="X212" s="155">
        <v>18.82171106464223</v>
      </c>
      <c r="Y212" s="154">
        <v>13.405763168365326</v>
      </c>
    </row>
    <row r="213" spans="1:25" outlineLevel="1" x14ac:dyDescent="0.4">
      <c r="A213" s="153"/>
      <c r="B213" s="152"/>
      <c r="C213" s="152" t="s">
        <v>139</v>
      </c>
      <c r="D213" s="152"/>
      <c r="E213" s="151" t="s">
        <v>138</v>
      </c>
      <c r="F213" s="150"/>
      <c r="G213" s="149">
        <v>10.784446551957743</v>
      </c>
      <c r="H213" s="149">
        <v>12.3639476580653</v>
      </c>
      <c r="I213" s="149">
        <v>10.350457117979971</v>
      </c>
      <c r="J213" s="149">
        <v>2.1501134234145383</v>
      </c>
      <c r="K213" s="149">
        <v>10.205658009075975</v>
      </c>
      <c r="L213" s="149">
        <v>9.9614508498335255</v>
      </c>
      <c r="M213" s="149">
        <v>8.1905824237112625</v>
      </c>
      <c r="N213" s="149">
        <v>7.6809779807055065</v>
      </c>
      <c r="O213" s="149">
        <v>6.7637806045684528</v>
      </c>
      <c r="P213" s="149">
        <v>7.8854653769777627</v>
      </c>
      <c r="Q213" s="149">
        <v>16.274789217432613</v>
      </c>
      <c r="R213" s="149">
        <v>5.5252004289434637</v>
      </c>
      <c r="S213" s="149">
        <v>9.3394628599080534</v>
      </c>
      <c r="T213" s="149">
        <v>11.250276609869431</v>
      </c>
      <c r="U213" s="149">
        <v>10.967895930301935</v>
      </c>
      <c r="V213" s="149">
        <v>13.46526134652612</v>
      </c>
      <c r="W213" s="149">
        <v>25.763033175355446</v>
      </c>
      <c r="X213" s="149">
        <v>23.879509597025432</v>
      </c>
      <c r="Y213" s="148">
        <v>16.264130280476181</v>
      </c>
    </row>
    <row r="214" spans="1:25" ht="28" outlineLevel="2" x14ac:dyDescent="0.4">
      <c r="A214" s="147"/>
      <c r="B214" s="146"/>
      <c r="C214" s="146"/>
      <c r="D214" s="146" t="s">
        <v>137</v>
      </c>
      <c r="E214" s="145" t="s">
        <v>136</v>
      </c>
      <c r="F214" s="144"/>
      <c r="G214" s="143">
        <v>8.0565707929445551</v>
      </c>
      <c r="H214" s="143">
        <v>10.117647058823522</v>
      </c>
      <c r="I214" s="143">
        <v>8.4001068376068417</v>
      </c>
      <c r="J214" s="143">
        <v>10.44720956018233</v>
      </c>
      <c r="K214" s="143">
        <v>10.38482989403235</v>
      </c>
      <c r="L214" s="143">
        <v>9.9333063864187636</v>
      </c>
      <c r="M214" s="143">
        <v>7.1881606765327604</v>
      </c>
      <c r="N214" s="143">
        <v>7.3664351256324494</v>
      </c>
      <c r="O214" s="143">
        <v>7.3402555910543157</v>
      </c>
      <c r="P214" s="143">
        <v>4.3009152466701295</v>
      </c>
      <c r="Q214" s="143">
        <v>14.75351359063994</v>
      </c>
      <c r="R214" s="143">
        <v>4.4140503574759009</v>
      </c>
      <c r="S214" s="143">
        <v>9.9196189342066106</v>
      </c>
      <c r="T214" s="143">
        <v>11.797844103786375</v>
      </c>
      <c r="U214" s="143">
        <v>10.858084209506274</v>
      </c>
      <c r="V214" s="143">
        <v>13.666958041958026</v>
      </c>
      <c r="W214" s="143">
        <v>27.192678894143867</v>
      </c>
      <c r="X214" s="143">
        <v>27.153178753892206</v>
      </c>
      <c r="Y214" s="142">
        <v>18.163453080050402</v>
      </c>
    </row>
    <row r="215" spans="1:25" ht="28" outlineLevel="2" x14ac:dyDescent="0.4">
      <c r="A215" s="165"/>
      <c r="B215" s="164"/>
      <c r="C215" s="164"/>
      <c r="D215" s="164" t="s">
        <v>135</v>
      </c>
      <c r="E215" s="163" t="s">
        <v>134</v>
      </c>
      <c r="F215" s="162"/>
      <c r="G215" s="161">
        <v>26.5625</v>
      </c>
      <c r="H215" s="161">
        <v>23.456790123456784</v>
      </c>
      <c r="I215" s="161">
        <v>18.941176470588232</v>
      </c>
      <c r="J215" s="161">
        <v>-31.157270029673583</v>
      </c>
      <c r="K215" s="161">
        <v>9.051724137931032</v>
      </c>
      <c r="L215" s="161">
        <v>10.14492753623189</v>
      </c>
      <c r="M215" s="161">
        <v>14.712918660287073</v>
      </c>
      <c r="N215" s="161">
        <v>9.5933263816475574</v>
      </c>
      <c r="O215" s="161">
        <v>3.3301617507136143</v>
      </c>
      <c r="P215" s="161">
        <v>30.064456721915292</v>
      </c>
      <c r="Q215" s="161">
        <v>23.823008849557525</v>
      </c>
      <c r="R215" s="161">
        <v>10.63464837049743</v>
      </c>
      <c r="S215" s="161">
        <v>6.8217054263565871</v>
      </c>
      <c r="T215" s="161">
        <v>8.8050314465408803</v>
      </c>
      <c r="U215" s="161">
        <v>11.471765228990677</v>
      </c>
      <c r="V215" s="161">
        <v>12.544874351814926</v>
      </c>
      <c r="W215" s="161">
        <v>19.174198121566533</v>
      </c>
      <c r="X215" s="161">
        <v>7.7769516728624524</v>
      </c>
      <c r="Y215" s="160">
        <v>5.2421357615894095</v>
      </c>
    </row>
    <row r="216" spans="1:25" ht="42" outlineLevel="1" x14ac:dyDescent="0.4">
      <c r="A216" s="171"/>
      <c r="B216" s="170"/>
      <c r="C216" s="170" t="s">
        <v>133</v>
      </c>
      <c r="D216" s="170"/>
      <c r="E216" s="169" t="s">
        <v>132</v>
      </c>
      <c r="F216" s="168"/>
      <c r="G216" s="167">
        <v>9.8624838848302687</v>
      </c>
      <c r="H216" s="167">
        <v>8.9184431840406688</v>
      </c>
      <c r="I216" s="167">
        <v>3.3578739450529866</v>
      </c>
      <c r="J216" s="167">
        <v>3.9610840861709562</v>
      </c>
      <c r="K216" s="167">
        <v>6.8683155080213822</v>
      </c>
      <c r="L216" s="167">
        <v>5.8170445660672385</v>
      </c>
      <c r="M216" s="167">
        <v>1.7880892566868596</v>
      </c>
      <c r="N216" s="167">
        <v>3.7311265969802463</v>
      </c>
      <c r="O216" s="167">
        <v>2.6731980405878346</v>
      </c>
      <c r="P216" s="167">
        <v>5.7388222464558396</v>
      </c>
      <c r="Q216" s="167">
        <v>3.6612092303725632</v>
      </c>
      <c r="R216" s="167">
        <v>13.468474070389249</v>
      </c>
      <c r="S216" s="167">
        <v>9.8312143796580358</v>
      </c>
      <c r="T216" s="167">
        <v>9.639756511326226</v>
      </c>
      <c r="U216" s="167">
        <v>-0.2821516337489669</v>
      </c>
      <c r="V216" s="167">
        <v>20.208105147864174</v>
      </c>
      <c r="W216" s="167">
        <v>15.345482156416097</v>
      </c>
      <c r="X216" s="167">
        <v>5.5690869593838528</v>
      </c>
      <c r="Y216" s="166">
        <v>4.6171353744465904</v>
      </c>
    </row>
    <row r="217" spans="1:25" outlineLevel="2" x14ac:dyDescent="0.4">
      <c r="A217" s="165"/>
      <c r="B217" s="164"/>
      <c r="C217" s="164"/>
      <c r="D217" s="164" t="s">
        <v>131</v>
      </c>
      <c r="E217" s="163" t="s">
        <v>130</v>
      </c>
      <c r="F217" s="162"/>
      <c r="G217" s="161">
        <v>1.7088174982911966</v>
      </c>
      <c r="H217" s="161">
        <v>6.0483870967742064</v>
      </c>
      <c r="I217" s="161">
        <v>10.0126742712294</v>
      </c>
      <c r="J217" s="161">
        <v>2.8225806451612954</v>
      </c>
      <c r="K217" s="161">
        <v>3.8655462184874096</v>
      </c>
      <c r="L217" s="161">
        <v>5.8252427184466029</v>
      </c>
      <c r="M217" s="161">
        <v>5.963302752293572</v>
      </c>
      <c r="N217" s="161">
        <v>4.7619047619047734</v>
      </c>
      <c r="O217" s="161">
        <v>4.1322314049586879</v>
      </c>
      <c r="P217" s="161">
        <v>4.7619047619047734</v>
      </c>
      <c r="Q217" s="161">
        <v>5.3030303030302974</v>
      </c>
      <c r="R217" s="161">
        <v>8.0335731414868121</v>
      </c>
      <c r="S217" s="161">
        <v>11.431742508324078</v>
      </c>
      <c r="T217" s="161">
        <v>8.3333333333333286</v>
      </c>
      <c r="U217" s="161">
        <v>3.3404842169782398</v>
      </c>
      <c r="V217" s="161">
        <v>6.3167259786476961</v>
      </c>
      <c r="W217" s="161">
        <v>8.730822873082289</v>
      </c>
      <c r="X217" s="161">
        <v>15.418163160595171</v>
      </c>
      <c r="Y217" s="160">
        <v>6.5916870415648106</v>
      </c>
    </row>
    <row r="218" spans="1:25" ht="42" outlineLevel="2" x14ac:dyDescent="0.4">
      <c r="A218" s="147"/>
      <c r="B218" s="146"/>
      <c r="C218" s="146"/>
      <c r="D218" s="146" t="s">
        <v>129</v>
      </c>
      <c r="E218" s="145" t="s">
        <v>128</v>
      </c>
      <c r="F218" s="144"/>
      <c r="G218" s="143">
        <v>14.997754827121696</v>
      </c>
      <c r="H218" s="143">
        <v>10.54275673565013</v>
      </c>
      <c r="I218" s="143">
        <v>5.2631578947368354</v>
      </c>
      <c r="J218" s="143">
        <v>6.5436241610738364</v>
      </c>
      <c r="K218" s="143">
        <v>6.8031496062992147</v>
      </c>
      <c r="L218" s="143">
        <v>3.8041875552934101</v>
      </c>
      <c r="M218" s="143">
        <v>2.2727272727272663</v>
      </c>
      <c r="N218" s="143">
        <v>3.8611111111111143</v>
      </c>
      <c r="O218" s="143">
        <v>4.6536507087456584</v>
      </c>
      <c r="P218" s="143">
        <v>3.9611551239458151</v>
      </c>
      <c r="Q218" s="143">
        <v>3.8102261553589045</v>
      </c>
      <c r="R218" s="143">
        <v>17.002131186360401</v>
      </c>
      <c r="S218" s="143">
        <v>10.261080752884027</v>
      </c>
      <c r="T218" s="143">
        <v>13.050660792951547</v>
      </c>
      <c r="U218" s="143">
        <v>-2.8576067543432373</v>
      </c>
      <c r="V218" s="143">
        <v>9.5437071703158978</v>
      </c>
      <c r="W218" s="143">
        <v>13.930424168446748</v>
      </c>
      <c r="X218" s="143">
        <v>15.976965314048485</v>
      </c>
      <c r="Y218" s="142">
        <v>6.6827944572748237</v>
      </c>
    </row>
    <row r="219" spans="1:25" outlineLevel="2" x14ac:dyDescent="0.4">
      <c r="A219" s="165"/>
      <c r="B219" s="164"/>
      <c r="C219" s="164"/>
      <c r="D219" s="164" t="s">
        <v>127</v>
      </c>
      <c r="E219" s="163" t="s">
        <v>126</v>
      </c>
      <c r="F219" s="162"/>
      <c r="G219" s="161">
        <v>10.373443983402495</v>
      </c>
      <c r="H219" s="161">
        <v>9.0225563909774422</v>
      </c>
      <c r="I219" s="161">
        <v>-10.34482758620689</v>
      </c>
      <c r="J219" s="161">
        <v>-1.538461538461533</v>
      </c>
      <c r="K219" s="161">
        <v>12.3046875</v>
      </c>
      <c r="L219" s="161">
        <v>11.739130434782609</v>
      </c>
      <c r="M219" s="161">
        <v>-5.9143968871595405</v>
      </c>
      <c r="N219" s="161">
        <v>1.5715467328370636</v>
      </c>
      <c r="O219" s="161">
        <v>-5.9446254071661286</v>
      </c>
      <c r="P219" s="161">
        <v>13.679653679653669</v>
      </c>
      <c r="Q219" s="161">
        <v>0.22848438690022022</v>
      </c>
      <c r="R219" s="161">
        <v>12.462006079027361</v>
      </c>
      <c r="S219" s="161">
        <v>5.4729729729729826</v>
      </c>
      <c r="T219" s="161">
        <v>0.25624599615629506</v>
      </c>
      <c r="U219" s="161">
        <v>2.3003194888178768</v>
      </c>
      <c r="V219" s="161">
        <v>89.319175515302931</v>
      </c>
      <c r="W219" s="161">
        <v>26.228967337512358</v>
      </c>
      <c r="X219" s="161">
        <v>-24.777835859905906</v>
      </c>
      <c r="Y219" s="160">
        <v>-4.6848505906879723</v>
      </c>
    </row>
    <row r="220" spans="1:25" x14ac:dyDescent="0.4">
      <c r="A220" s="159"/>
      <c r="B220" s="158" t="s">
        <v>125</v>
      </c>
      <c r="C220" s="158"/>
      <c r="D220" s="158"/>
      <c r="E220" s="157" t="s">
        <v>124</v>
      </c>
      <c r="F220" s="156"/>
      <c r="G220" s="155">
        <v>21.921609434616713</v>
      </c>
      <c r="H220" s="155">
        <v>17.274537695590325</v>
      </c>
      <c r="I220" s="155">
        <v>22.691766532434144</v>
      </c>
      <c r="J220" s="155">
        <v>14.754033533691867</v>
      </c>
      <c r="K220" s="155">
        <v>2.6086357214238944</v>
      </c>
      <c r="L220" s="155">
        <v>15.737506716818899</v>
      </c>
      <c r="M220" s="155">
        <v>17.187046602054437</v>
      </c>
      <c r="N220" s="155">
        <v>19.648384301101899</v>
      </c>
      <c r="O220" s="155">
        <v>14.999999999999986</v>
      </c>
      <c r="P220" s="155">
        <v>4.4522027065937237</v>
      </c>
      <c r="Q220" s="155">
        <v>10.824919885600082</v>
      </c>
      <c r="R220" s="155">
        <v>0.2316362223085946</v>
      </c>
      <c r="S220" s="155">
        <v>0.9864441480286672</v>
      </c>
      <c r="T220" s="155">
        <v>0.25648901858392037</v>
      </c>
      <c r="U220" s="155">
        <v>-27.410879789206007</v>
      </c>
      <c r="V220" s="155">
        <v>6.0167989194664955</v>
      </c>
      <c r="W220" s="155">
        <v>15.003483626953312</v>
      </c>
      <c r="X220" s="155">
        <v>11.14034480371113</v>
      </c>
      <c r="Y220" s="154">
        <v>10.971561176177417</v>
      </c>
    </row>
    <row r="221" spans="1:25" outlineLevel="1" x14ac:dyDescent="0.4">
      <c r="A221" s="153"/>
      <c r="B221" s="152"/>
      <c r="C221" s="152" t="s">
        <v>123</v>
      </c>
      <c r="D221" s="152"/>
      <c r="E221" s="151" t="s">
        <v>121</v>
      </c>
      <c r="F221" s="150"/>
      <c r="G221" s="149">
        <v>20.380827314510825</v>
      </c>
      <c r="H221" s="149">
        <v>13.515872150103633</v>
      </c>
      <c r="I221" s="149">
        <v>26.234864501249277</v>
      </c>
      <c r="J221" s="149">
        <v>10.604445797807543</v>
      </c>
      <c r="K221" s="149">
        <v>4.4806937848441066</v>
      </c>
      <c r="L221" s="149">
        <v>13.254281949934125</v>
      </c>
      <c r="M221" s="149">
        <v>19.90460679385761</v>
      </c>
      <c r="N221" s="149">
        <v>21.213738236150178</v>
      </c>
      <c r="O221" s="149">
        <v>14.215392003841984</v>
      </c>
      <c r="P221" s="149">
        <v>5.5082518658677628</v>
      </c>
      <c r="Q221" s="149">
        <v>12.480488857892453</v>
      </c>
      <c r="R221" s="149">
        <v>-6.4277067524875235</v>
      </c>
      <c r="S221" s="149">
        <v>1.3347216963271507</v>
      </c>
      <c r="T221" s="149">
        <v>-6.5390004670714603</v>
      </c>
      <c r="U221" s="149">
        <v>-27.912710311510907</v>
      </c>
      <c r="V221" s="149">
        <v>9.9413042473540685</v>
      </c>
      <c r="W221" s="149">
        <v>22.149823440390122</v>
      </c>
      <c r="X221" s="149">
        <v>15.786213304883503</v>
      </c>
      <c r="Y221" s="148">
        <v>8.0958566163357375</v>
      </c>
    </row>
    <row r="222" spans="1:25" outlineLevel="2" x14ac:dyDescent="0.4">
      <c r="A222" s="147"/>
      <c r="B222" s="146"/>
      <c r="C222" s="146"/>
      <c r="D222" s="146" t="s">
        <v>122</v>
      </c>
      <c r="E222" s="145" t="s">
        <v>121</v>
      </c>
      <c r="F222" s="144"/>
      <c r="G222" s="143">
        <v>20.380827314510825</v>
      </c>
      <c r="H222" s="143">
        <v>13.515872150103633</v>
      </c>
      <c r="I222" s="143">
        <v>26.234864501249277</v>
      </c>
      <c r="J222" s="143">
        <v>10.604445797807543</v>
      </c>
      <c r="K222" s="143">
        <v>4.4806937848441066</v>
      </c>
      <c r="L222" s="143">
        <v>13.254281949934125</v>
      </c>
      <c r="M222" s="143">
        <v>19.90460679385761</v>
      </c>
      <c r="N222" s="143">
        <v>21.213738236150178</v>
      </c>
      <c r="O222" s="143">
        <v>14.215392003841984</v>
      </c>
      <c r="P222" s="143">
        <v>5.5082518658677628</v>
      </c>
      <c r="Q222" s="143">
        <v>12.480488857892453</v>
      </c>
      <c r="R222" s="143">
        <v>-6.4277067524875235</v>
      </c>
      <c r="S222" s="143">
        <v>1.3347216963271507</v>
      </c>
      <c r="T222" s="143">
        <v>-6.5390004670714603</v>
      </c>
      <c r="U222" s="143">
        <v>-27.912710311510907</v>
      </c>
      <c r="V222" s="143">
        <v>9.9413042473540685</v>
      </c>
      <c r="W222" s="143">
        <v>22.149823440390122</v>
      </c>
      <c r="X222" s="143">
        <v>15.786213304883503</v>
      </c>
      <c r="Y222" s="142">
        <v>8.0958566163357375</v>
      </c>
    </row>
    <row r="223" spans="1:25" ht="28" outlineLevel="1" x14ac:dyDescent="0.4">
      <c r="A223" s="153"/>
      <c r="B223" s="152"/>
      <c r="C223" s="152" t="s">
        <v>120</v>
      </c>
      <c r="D223" s="152"/>
      <c r="E223" s="151" t="s">
        <v>118</v>
      </c>
      <c r="F223" s="150"/>
      <c r="G223" s="149">
        <v>23.21221939365887</v>
      </c>
      <c r="H223" s="149">
        <v>24.2862509391435</v>
      </c>
      <c r="I223" s="149">
        <v>12.98171376756838</v>
      </c>
      <c r="J223" s="149">
        <v>23.50187265917603</v>
      </c>
      <c r="K223" s="149">
        <v>-2.3719267843604399</v>
      </c>
      <c r="L223" s="149">
        <v>20.301752828932763</v>
      </c>
      <c r="M223" s="149">
        <v>8.8989302840280402</v>
      </c>
      <c r="N223" s="149">
        <v>13.845372173765782</v>
      </c>
      <c r="O223" s="149">
        <v>14.913716155905973</v>
      </c>
      <c r="P223" s="149">
        <v>2.9581202666839204</v>
      </c>
      <c r="Q223" s="149">
        <v>-1.0310574625927273</v>
      </c>
      <c r="R223" s="149">
        <v>8.5376699275822716</v>
      </c>
      <c r="S223" s="149">
        <v>-0.81938429123258061</v>
      </c>
      <c r="T223" s="149">
        <v>18.293402572878549</v>
      </c>
      <c r="U223" s="149">
        <v>-23.381223186670653</v>
      </c>
      <c r="V223" s="149">
        <v>-3.3986587668467934</v>
      </c>
      <c r="W223" s="149">
        <v>5.6615218709981718</v>
      </c>
      <c r="X223" s="149">
        <v>-0.3508324296740426</v>
      </c>
      <c r="Y223" s="148">
        <v>17.346882601459484</v>
      </c>
    </row>
    <row r="224" spans="1:25" ht="28" outlineLevel="2" x14ac:dyDescent="0.4">
      <c r="A224" s="147"/>
      <c r="B224" s="146"/>
      <c r="C224" s="146"/>
      <c r="D224" s="146" t="s">
        <v>119</v>
      </c>
      <c r="E224" s="145" t="s">
        <v>118</v>
      </c>
      <c r="F224" s="144"/>
      <c r="G224" s="143">
        <v>23.21221939365887</v>
      </c>
      <c r="H224" s="143">
        <v>24.2862509391435</v>
      </c>
      <c r="I224" s="143">
        <v>12.98171376756838</v>
      </c>
      <c r="J224" s="143">
        <v>23.50187265917603</v>
      </c>
      <c r="K224" s="143">
        <v>-2.3719267843604399</v>
      </c>
      <c r="L224" s="143">
        <v>20.301752828932763</v>
      </c>
      <c r="M224" s="143">
        <v>8.8989302840280402</v>
      </c>
      <c r="N224" s="143">
        <v>13.845372173765782</v>
      </c>
      <c r="O224" s="143">
        <v>14.913716155905973</v>
      </c>
      <c r="P224" s="143">
        <v>2.9581202666839204</v>
      </c>
      <c r="Q224" s="143">
        <v>-1.0310574625927273</v>
      </c>
      <c r="R224" s="143">
        <v>8.5376699275822716</v>
      </c>
      <c r="S224" s="143">
        <v>-0.81938429123258061</v>
      </c>
      <c r="T224" s="143">
        <v>18.293402572878549</v>
      </c>
      <c r="U224" s="143">
        <v>-23.381223186670653</v>
      </c>
      <c r="V224" s="143">
        <v>-3.3986587668467934</v>
      </c>
      <c r="W224" s="143">
        <v>5.6615218709981718</v>
      </c>
      <c r="X224" s="143">
        <v>-0.3508324296740426</v>
      </c>
      <c r="Y224" s="142">
        <v>17.346882601459484</v>
      </c>
    </row>
    <row r="225" spans="1:25" ht="42" outlineLevel="1" x14ac:dyDescent="0.4">
      <c r="A225" s="153"/>
      <c r="B225" s="152"/>
      <c r="C225" s="152" t="s">
        <v>117</v>
      </c>
      <c r="D225" s="152"/>
      <c r="E225" s="151" t="s">
        <v>115</v>
      </c>
      <c r="F225" s="150"/>
      <c r="G225" s="149">
        <v>24.405002016942319</v>
      </c>
      <c r="H225" s="149">
        <v>16.342412451361881</v>
      </c>
      <c r="I225" s="149">
        <v>30.323299888517283</v>
      </c>
      <c r="J225" s="149">
        <v>12.425149700598809</v>
      </c>
      <c r="K225" s="149">
        <v>6.182233212859046</v>
      </c>
      <c r="L225" s="149">
        <v>15.120028663561456</v>
      </c>
      <c r="M225" s="149">
        <v>23.902894491129786</v>
      </c>
      <c r="N225" s="149">
        <v>24.20246169304194</v>
      </c>
      <c r="O225" s="149">
        <v>17.099807867327343</v>
      </c>
      <c r="P225" s="149">
        <v>3.8428324697754874</v>
      </c>
      <c r="Q225" s="149">
        <v>22.36174636174637</v>
      </c>
      <c r="R225" s="149">
        <v>6.673915998368912</v>
      </c>
      <c r="S225" s="149">
        <v>2.2489806320081556</v>
      </c>
      <c r="T225" s="149">
        <v>-5.1903545392236339</v>
      </c>
      <c r="U225" s="149">
        <v>-31.72975814931651</v>
      </c>
      <c r="V225" s="149">
        <v>11.763573353869859</v>
      </c>
      <c r="W225" s="149">
        <v>12.299741602067201</v>
      </c>
      <c r="X225" s="149">
        <v>14.603466789384868</v>
      </c>
      <c r="Y225" s="148">
        <v>10.781153794672733</v>
      </c>
    </row>
    <row r="226" spans="1:25" ht="42" outlineLevel="2" x14ac:dyDescent="0.4">
      <c r="A226" s="147"/>
      <c r="B226" s="146"/>
      <c r="C226" s="146"/>
      <c r="D226" s="146" t="s">
        <v>116</v>
      </c>
      <c r="E226" s="145" t="s">
        <v>115</v>
      </c>
      <c r="F226" s="144"/>
      <c r="G226" s="143">
        <v>24.405002016942319</v>
      </c>
      <c r="H226" s="143">
        <v>16.342412451361881</v>
      </c>
      <c r="I226" s="143">
        <v>30.323299888517283</v>
      </c>
      <c r="J226" s="143">
        <v>12.425149700598809</v>
      </c>
      <c r="K226" s="143">
        <v>6.182233212859046</v>
      </c>
      <c r="L226" s="143">
        <v>15.120028663561456</v>
      </c>
      <c r="M226" s="143">
        <v>23.902894491129786</v>
      </c>
      <c r="N226" s="143">
        <v>24.20246169304194</v>
      </c>
      <c r="O226" s="143">
        <v>17.099807867327343</v>
      </c>
      <c r="P226" s="143">
        <v>3.8428324697754874</v>
      </c>
      <c r="Q226" s="143">
        <v>22.36174636174637</v>
      </c>
      <c r="R226" s="143">
        <v>6.673915998368912</v>
      </c>
      <c r="S226" s="143">
        <v>2.2489806320081556</v>
      </c>
      <c r="T226" s="143">
        <v>-5.1903545392236339</v>
      </c>
      <c r="U226" s="143">
        <v>-31.72975814931651</v>
      </c>
      <c r="V226" s="143">
        <v>11.763573353869859</v>
      </c>
      <c r="W226" s="143">
        <v>12.299741602067201</v>
      </c>
      <c r="X226" s="143">
        <v>14.603466789384868</v>
      </c>
      <c r="Y226" s="142">
        <v>10.781153794672733</v>
      </c>
    </row>
    <row r="227" spans="1:25" ht="42" x14ac:dyDescent="0.4">
      <c r="A227" s="177"/>
      <c r="B227" s="176" t="s">
        <v>114</v>
      </c>
      <c r="C227" s="176"/>
      <c r="D227" s="176"/>
      <c r="E227" s="175" t="s">
        <v>113</v>
      </c>
      <c r="F227" s="174"/>
      <c r="G227" s="173">
        <v>13.172366073054363</v>
      </c>
      <c r="H227" s="173">
        <v>14.866778221135291</v>
      </c>
      <c r="I227" s="173">
        <v>5.9446436575526747</v>
      </c>
      <c r="J227" s="173">
        <v>5.3770691205246237</v>
      </c>
      <c r="K227" s="173">
        <v>6.5530783032006497</v>
      </c>
      <c r="L227" s="173">
        <v>9.5353601959352829</v>
      </c>
      <c r="M227" s="173">
        <v>5.8952528379772957</v>
      </c>
      <c r="N227" s="173">
        <v>11.470134405327485</v>
      </c>
      <c r="O227" s="173">
        <v>9.8991867549427752</v>
      </c>
      <c r="P227" s="173">
        <v>12.224367526537776</v>
      </c>
      <c r="Q227" s="173">
        <v>12.740993435674781</v>
      </c>
      <c r="R227" s="173">
        <v>6.7904954022687463</v>
      </c>
      <c r="S227" s="173">
        <v>6.5353384196452708</v>
      </c>
      <c r="T227" s="173">
        <v>8.3807308817095389</v>
      </c>
      <c r="U227" s="173">
        <v>-9.6639860622735938</v>
      </c>
      <c r="V227" s="173">
        <v>27.381344371795464</v>
      </c>
      <c r="W227" s="173">
        <v>26.007200886262922</v>
      </c>
      <c r="X227" s="173">
        <v>8.714127671421565</v>
      </c>
      <c r="Y227" s="172">
        <v>8.8243791488358028</v>
      </c>
    </row>
    <row r="228" spans="1:25" ht="28" outlineLevel="1" x14ac:dyDescent="0.4">
      <c r="A228" s="171"/>
      <c r="B228" s="170"/>
      <c r="C228" s="170" t="s">
        <v>112</v>
      </c>
      <c r="D228" s="170"/>
      <c r="E228" s="169" t="s">
        <v>111</v>
      </c>
      <c r="F228" s="168"/>
      <c r="G228" s="167">
        <v>11.909193644884681</v>
      </c>
      <c r="H228" s="167">
        <v>11.90115536546972</v>
      </c>
      <c r="I228" s="167">
        <v>5.5446438050748412</v>
      </c>
      <c r="J228" s="167">
        <v>1.5113793537030062</v>
      </c>
      <c r="K228" s="167">
        <v>5.7077738690977498</v>
      </c>
      <c r="L228" s="167">
        <v>11.685024607452533</v>
      </c>
      <c r="M228" s="167">
        <v>3.5987074030552293</v>
      </c>
      <c r="N228" s="167">
        <v>7.5996030058131225</v>
      </c>
      <c r="O228" s="167">
        <v>7.2059183404551703</v>
      </c>
      <c r="P228" s="167">
        <v>13.897912240346955</v>
      </c>
      <c r="Q228" s="167">
        <v>16.244257392162311</v>
      </c>
      <c r="R228" s="167">
        <v>7.6190602495921951</v>
      </c>
      <c r="S228" s="167">
        <v>6.8492137822250783</v>
      </c>
      <c r="T228" s="167">
        <v>11.232209997001362</v>
      </c>
      <c r="U228" s="167">
        <v>1.397687801337554</v>
      </c>
      <c r="V228" s="167">
        <v>25.661345904103555</v>
      </c>
      <c r="W228" s="167">
        <v>21.932979623722403</v>
      </c>
      <c r="X228" s="167">
        <v>5.6733470812394557</v>
      </c>
      <c r="Y228" s="166">
        <v>10.507881673845219</v>
      </c>
    </row>
    <row r="229" spans="1:25" ht="56" outlineLevel="2" x14ac:dyDescent="0.4">
      <c r="A229" s="165"/>
      <c r="B229" s="164"/>
      <c r="C229" s="164"/>
      <c r="D229" s="164" t="s">
        <v>110</v>
      </c>
      <c r="E229" s="163" t="s">
        <v>109</v>
      </c>
      <c r="F229" s="162"/>
      <c r="G229" s="161">
        <v>12.114331026528262</v>
      </c>
      <c r="H229" s="161">
        <v>11.994856132454586</v>
      </c>
      <c r="I229" s="161">
        <v>5.5000574118727883</v>
      </c>
      <c r="J229" s="161">
        <v>0.35100130605137281</v>
      </c>
      <c r="K229" s="161">
        <v>5.2981209837043508</v>
      </c>
      <c r="L229" s="161">
        <v>12.35998455001932</v>
      </c>
      <c r="M229" s="161">
        <v>2.7867537527214381</v>
      </c>
      <c r="N229" s="161">
        <v>7.6787585561079936</v>
      </c>
      <c r="O229" s="161">
        <v>7.1104669220416241</v>
      </c>
      <c r="P229" s="161">
        <v>14.827272903013778</v>
      </c>
      <c r="Q229" s="161">
        <v>16.862236737992234</v>
      </c>
      <c r="R229" s="161">
        <v>7.2952531873514488</v>
      </c>
      <c r="S229" s="161">
        <v>6.8153439224479371</v>
      </c>
      <c r="T229" s="161">
        <v>11.754132361259508</v>
      </c>
      <c r="U229" s="161">
        <v>2.6994803500326299</v>
      </c>
      <c r="V229" s="161">
        <v>25.785819113749369</v>
      </c>
      <c r="W229" s="161">
        <v>22.181105790161084</v>
      </c>
      <c r="X229" s="161">
        <v>5.352574380901487</v>
      </c>
      <c r="Y229" s="160">
        <v>10.623028220460512</v>
      </c>
    </row>
    <row r="230" spans="1:25" ht="28" outlineLevel="2" x14ac:dyDescent="0.4">
      <c r="A230" s="147"/>
      <c r="B230" s="146"/>
      <c r="C230" s="146"/>
      <c r="D230" s="146" t="s">
        <v>108</v>
      </c>
      <c r="E230" s="145" t="s">
        <v>107</v>
      </c>
      <c r="F230" s="144"/>
      <c r="G230" s="143">
        <v>9.4790777113578031</v>
      </c>
      <c r="H230" s="143">
        <v>10.764430577223095</v>
      </c>
      <c r="I230" s="143">
        <v>6.0915492957746409</v>
      </c>
      <c r="J230" s="143">
        <v>15.665449717889146</v>
      </c>
      <c r="K230" s="143">
        <v>10.043041606886646</v>
      </c>
      <c r="L230" s="143">
        <v>4.8500651890482516</v>
      </c>
      <c r="M230" s="143">
        <v>12.40984829644367</v>
      </c>
      <c r="N230" s="143">
        <v>6.8141592920353986</v>
      </c>
      <c r="O230" s="143">
        <v>8.1607290803645327</v>
      </c>
      <c r="P230" s="143">
        <v>4.6916890080428857</v>
      </c>
      <c r="Q230" s="143">
        <v>9.5299067130053032</v>
      </c>
      <c r="R230" s="143">
        <v>11.37274549098197</v>
      </c>
      <c r="S230" s="143">
        <v>7.2274703853651374</v>
      </c>
      <c r="T230" s="143">
        <v>5.4258145713886279</v>
      </c>
      <c r="U230" s="143">
        <v>-13.954105319007823</v>
      </c>
      <c r="V230" s="143">
        <v>23.90935717589025</v>
      </c>
      <c r="W230" s="143">
        <v>18.387658621547658</v>
      </c>
      <c r="X230" s="143">
        <v>10.403530895334171</v>
      </c>
      <c r="Y230" s="142">
        <v>8.8875880449267015</v>
      </c>
    </row>
    <row r="231" spans="1:25" outlineLevel="1" x14ac:dyDescent="0.4">
      <c r="A231" s="153"/>
      <c r="B231" s="152"/>
      <c r="C231" s="152" t="s">
        <v>106</v>
      </c>
      <c r="D231" s="152"/>
      <c r="E231" s="151" t="s">
        <v>105</v>
      </c>
      <c r="F231" s="150"/>
      <c r="G231" s="149">
        <v>14.388489208633089</v>
      </c>
      <c r="H231" s="149">
        <v>17.181499415595255</v>
      </c>
      <c r="I231" s="149">
        <v>3.0493017953833004</v>
      </c>
      <c r="J231" s="149">
        <v>8.743547197640126</v>
      </c>
      <c r="K231" s="149">
        <v>3.1534777264442795</v>
      </c>
      <c r="L231" s="149">
        <v>5.2389365985947336</v>
      </c>
      <c r="M231" s="149">
        <v>4.080118694362028</v>
      </c>
      <c r="N231" s="149">
        <v>18.400420152305202</v>
      </c>
      <c r="O231" s="149">
        <v>13.959825106140286</v>
      </c>
      <c r="P231" s="149">
        <v>13.164479537366546</v>
      </c>
      <c r="Q231" s="149">
        <v>8.2180674643146574</v>
      </c>
      <c r="R231" s="149">
        <v>2.9672175808209289</v>
      </c>
      <c r="S231" s="149">
        <v>7.4677543820967855</v>
      </c>
      <c r="T231" s="149">
        <v>5.6952935866398491</v>
      </c>
      <c r="U231" s="149">
        <v>-17.298808183547493</v>
      </c>
      <c r="V231" s="149">
        <v>20.867952870487727</v>
      </c>
      <c r="W231" s="149">
        <v>29.974561624949018</v>
      </c>
      <c r="X231" s="149">
        <v>11.877549190982023</v>
      </c>
      <c r="Y231" s="148">
        <v>7.3501328739500309</v>
      </c>
    </row>
    <row r="232" spans="1:25" outlineLevel="2" x14ac:dyDescent="0.4">
      <c r="A232" s="147"/>
      <c r="B232" s="146"/>
      <c r="C232" s="146"/>
      <c r="D232" s="146" t="s">
        <v>104</v>
      </c>
      <c r="E232" s="145" t="s">
        <v>103</v>
      </c>
      <c r="F232" s="144"/>
      <c r="G232" s="143">
        <v>11.839341967098349</v>
      </c>
      <c r="H232" s="143">
        <v>18.895235114623276</v>
      </c>
      <c r="I232" s="143">
        <v>1.1055540931824197</v>
      </c>
      <c r="J232" s="143">
        <v>10.374902369174691</v>
      </c>
      <c r="K232" s="143">
        <v>3.314070055431074</v>
      </c>
      <c r="L232" s="143">
        <v>2.0947488584474883</v>
      </c>
      <c r="M232" s="143">
        <v>2.3536646726673069</v>
      </c>
      <c r="N232" s="143">
        <v>20.226130653266324</v>
      </c>
      <c r="O232" s="143">
        <v>15.001590114033903</v>
      </c>
      <c r="P232" s="143">
        <v>10.093627780192008</v>
      </c>
      <c r="Q232" s="143">
        <v>9.7925936558059306</v>
      </c>
      <c r="R232" s="143">
        <v>3.0362453835343359</v>
      </c>
      <c r="S232" s="143">
        <v>6.3915498318847881</v>
      </c>
      <c r="T232" s="143">
        <v>4.3558629736740073</v>
      </c>
      <c r="U232" s="143">
        <v>-11.956459630878243</v>
      </c>
      <c r="V232" s="143">
        <v>16.383814128565405</v>
      </c>
      <c r="W232" s="143">
        <v>25.085038755367208</v>
      </c>
      <c r="X232" s="143">
        <v>13.920156922185313</v>
      </c>
      <c r="Y232" s="142">
        <v>7.6062260311497312</v>
      </c>
    </row>
    <row r="233" spans="1:25" outlineLevel="2" x14ac:dyDescent="0.4">
      <c r="A233" s="165"/>
      <c r="B233" s="164"/>
      <c r="C233" s="164"/>
      <c r="D233" s="164" t="s">
        <v>102</v>
      </c>
      <c r="E233" s="163" t="s">
        <v>101</v>
      </c>
      <c r="F233" s="162"/>
      <c r="G233" s="161">
        <v>8.2901554404145088</v>
      </c>
      <c r="H233" s="161">
        <v>20.574162679425839</v>
      </c>
      <c r="I233" s="161">
        <v>14.682539682539669</v>
      </c>
      <c r="J233" s="161">
        <v>-1.0380622837370339</v>
      </c>
      <c r="K233" s="161">
        <v>-15.034965034965026</v>
      </c>
      <c r="L233" s="161">
        <v>-20.164609053497941</v>
      </c>
      <c r="M233" s="161">
        <v>-14.432989690721655</v>
      </c>
      <c r="N233" s="161">
        <v>12.048192771084331</v>
      </c>
      <c r="O233" s="161">
        <v>18.27956989247312</v>
      </c>
      <c r="P233" s="161">
        <v>5</v>
      </c>
      <c r="Q233" s="161">
        <v>23.80952380952381</v>
      </c>
      <c r="R233" s="161">
        <v>8.0419580419580399</v>
      </c>
      <c r="S233" s="161">
        <v>3.8834951456310591</v>
      </c>
      <c r="T233" s="161">
        <v>3.7383177570093409</v>
      </c>
      <c r="U233" s="161">
        <v>-12.612612612612622</v>
      </c>
      <c r="V233" s="161">
        <v>4.4673539518900469</v>
      </c>
      <c r="W233" s="161">
        <v>16.776315789473699</v>
      </c>
      <c r="X233" s="161">
        <v>14.929577464788736</v>
      </c>
      <c r="Y233" s="160">
        <v>-9.0857843137254832</v>
      </c>
    </row>
    <row r="234" spans="1:25" outlineLevel="2" x14ac:dyDescent="0.4">
      <c r="A234" s="147"/>
      <c r="B234" s="146"/>
      <c r="C234" s="146"/>
      <c r="D234" s="146" t="s">
        <v>100</v>
      </c>
      <c r="E234" s="145" t="s">
        <v>99</v>
      </c>
      <c r="F234" s="144"/>
      <c r="G234" s="143">
        <v>24.982053122756625</v>
      </c>
      <c r="H234" s="143">
        <v>14.704192992533024</v>
      </c>
      <c r="I234" s="143">
        <v>6.9103655483224884</v>
      </c>
      <c r="J234" s="143">
        <v>7.3536299765808053</v>
      </c>
      <c r="K234" s="143">
        <v>3.0104712041884909</v>
      </c>
      <c r="L234" s="143">
        <v>10.038119440914855</v>
      </c>
      <c r="M234" s="143">
        <v>6.851424172440332</v>
      </c>
      <c r="N234" s="143">
        <v>20.317002881844374</v>
      </c>
      <c r="O234" s="143">
        <v>13.47305389221556</v>
      </c>
      <c r="P234" s="143">
        <v>22.612137203166213</v>
      </c>
      <c r="Q234" s="143">
        <v>-3.2063697008822913</v>
      </c>
      <c r="R234" s="143">
        <v>-5.9359715429079642</v>
      </c>
      <c r="S234" s="143">
        <v>15.220987946112047</v>
      </c>
      <c r="T234" s="143">
        <v>8.7794871794871767</v>
      </c>
      <c r="U234" s="143">
        <v>-51.518008674335277</v>
      </c>
      <c r="V234" s="143">
        <v>32.127576818358591</v>
      </c>
      <c r="W234" s="143">
        <v>90.992051810420946</v>
      </c>
      <c r="X234" s="143">
        <v>18.649815043156593</v>
      </c>
      <c r="Y234" s="142">
        <v>-3.9056897895557228</v>
      </c>
    </row>
    <row r="235" spans="1:25" outlineLevel="2" x14ac:dyDescent="0.4">
      <c r="A235" s="165"/>
      <c r="B235" s="164"/>
      <c r="C235" s="164"/>
      <c r="D235" s="164" t="s">
        <v>98</v>
      </c>
      <c r="E235" s="163" t="s">
        <v>97</v>
      </c>
      <c r="F235" s="162"/>
      <c r="G235" s="161">
        <v>21.38649750792932</v>
      </c>
      <c r="H235" s="161">
        <v>11.160880925718544</v>
      </c>
      <c r="I235" s="161">
        <v>8.7978509066487476</v>
      </c>
      <c r="J235" s="161">
        <v>4.5370370370370239</v>
      </c>
      <c r="K235" s="161">
        <v>3.7201062887510972</v>
      </c>
      <c r="L235" s="161">
        <v>19.726729291204094</v>
      </c>
      <c r="M235" s="161">
        <v>10.556348074179738</v>
      </c>
      <c r="N235" s="161">
        <v>12.150537634408607</v>
      </c>
      <c r="O235" s="161">
        <v>11.294343240651969</v>
      </c>
      <c r="P235" s="161">
        <v>21.554100620261892</v>
      </c>
      <c r="Q235" s="161">
        <v>9.525159461374912</v>
      </c>
      <c r="R235" s="161">
        <v>7.4673223760838567</v>
      </c>
      <c r="S235" s="161">
        <v>7.5024084778420104</v>
      </c>
      <c r="T235" s="161">
        <v>8.367872745603222</v>
      </c>
      <c r="U235" s="161">
        <v>-20.756667355799053</v>
      </c>
      <c r="V235" s="161">
        <v>36.590138272893313</v>
      </c>
      <c r="W235" s="161">
        <v>29.56737656384297</v>
      </c>
      <c r="X235" s="161">
        <v>2.6756099358738084</v>
      </c>
      <c r="Y235" s="160">
        <v>12.462526920315867</v>
      </c>
    </row>
    <row r="236" spans="1:25" outlineLevel="2" x14ac:dyDescent="0.4">
      <c r="A236" s="147"/>
      <c r="B236" s="146"/>
      <c r="C236" s="146"/>
      <c r="D236" s="146" t="s">
        <v>96</v>
      </c>
      <c r="E236" s="145" t="s">
        <v>95</v>
      </c>
      <c r="F236" s="144"/>
      <c r="G236" s="143">
        <v>14.609053497942398</v>
      </c>
      <c r="H236" s="143">
        <v>13.28545780969479</v>
      </c>
      <c r="I236" s="143">
        <v>5.8637083993660895</v>
      </c>
      <c r="J236" s="143">
        <v>0.29940119760479433</v>
      </c>
      <c r="K236" s="143">
        <v>4.4776119402985017</v>
      </c>
      <c r="L236" s="143">
        <v>3.857142857142847</v>
      </c>
      <c r="M236" s="143">
        <v>4.1265474552957215</v>
      </c>
      <c r="N236" s="143">
        <v>7.0013210039629996</v>
      </c>
      <c r="O236" s="143">
        <v>3.8271604938271651</v>
      </c>
      <c r="P236" s="143">
        <v>7.2532699167657597</v>
      </c>
      <c r="Q236" s="143">
        <v>4.2128603104212914</v>
      </c>
      <c r="R236" s="143">
        <v>4.7872340425531945</v>
      </c>
      <c r="S236" s="143">
        <v>9.4416243654822409</v>
      </c>
      <c r="T236" s="143">
        <v>11.873840445269025</v>
      </c>
      <c r="U236" s="143">
        <v>4.5605306799336773</v>
      </c>
      <c r="V236" s="143">
        <v>15.701823949246645</v>
      </c>
      <c r="W236" s="143">
        <v>13.776559287183005</v>
      </c>
      <c r="X236" s="143">
        <v>4.7590361445783174</v>
      </c>
      <c r="Y236" s="142">
        <v>12.553766532489945</v>
      </c>
    </row>
    <row r="237" spans="1:25" outlineLevel="1" x14ac:dyDescent="0.4">
      <c r="A237" s="153"/>
      <c r="B237" s="152"/>
      <c r="C237" s="152" t="s">
        <v>94</v>
      </c>
      <c r="D237" s="152"/>
      <c r="E237" s="151" t="s">
        <v>92</v>
      </c>
      <c r="F237" s="150"/>
      <c r="G237" s="149">
        <v>15.243835616438361</v>
      </c>
      <c r="H237" s="149">
        <v>20.406998858881707</v>
      </c>
      <c r="I237" s="149">
        <v>11.949139156531345</v>
      </c>
      <c r="J237" s="149">
        <v>11.068783068783077</v>
      </c>
      <c r="K237" s="149">
        <v>13.814786585365852</v>
      </c>
      <c r="L237" s="149">
        <v>10.251688152240646</v>
      </c>
      <c r="M237" s="149">
        <v>13.788216238104894</v>
      </c>
      <c r="N237" s="149">
        <v>11.752669039145914</v>
      </c>
      <c r="O237" s="149">
        <v>10.492795159621053</v>
      </c>
      <c r="P237" s="149">
        <v>7.5725916852799315</v>
      </c>
      <c r="Q237" s="149">
        <v>11.296048225050242</v>
      </c>
      <c r="R237" s="149">
        <v>9.9780338819847714</v>
      </c>
      <c r="S237" s="149">
        <v>4.6813866316451964</v>
      </c>
      <c r="T237" s="149">
        <v>5.3397804495556755</v>
      </c>
      <c r="U237" s="149">
        <v>-26.375207800908115</v>
      </c>
      <c r="V237" s="149">
        <v>42.402183803457689</v>
      </c>
      <c r="W237" s="149">
        <v>33.020944266950664</v>
      </c>
      <c r="X237" s="149">
        <v>13.053302021064624</v>
      </c>
      <c r="Y237" s="148">
        <v>6.3667007632386401</v>
      </c>
    </row>
    <row r="238" spans="1:25" outlineLevel="2" x14ac:dyDescent="0.4">
      <c r="A238" s="147"/>
      <c r="B238" s="146"/>
      <c r="C238" s="146"/>
      <c r="D238" s="146" t="s">
        <v>93</v>
      </c>
      <c r="E238" s="145" t="s">
        <v>92</v>
      </c>
      <c r="F238" s="144"/>
      <c r="G238" s="143">
        <v>15.243835616438361</v>
      </c>
      <c r="H238" s="143">
        <v>20.406998858881707</v>
      </c>
      <c r="I238" s="143">
        <v>11.949139156531345</v>
      </c>
      <c r="J238" s="143">
        <v>11.068783068783077</v>
      </c>
      <c r="K238" s="143">
        <v>13.814786585365852</v>
      </c>
      <c r="L238" s="143">
        <v>10.251688152240646</v>
      </c>
      <c r="M238" s="143">
        <v>13.788216238104894</v>
      </c>
      <c r="N238" s="143">
        <v>11.752669039145914</v>
      </c>
      <c r="O238" s="143">
        <v>10.492795159621053</v>
      </c>
      <c r="P238" s="143">
        <v>7.5725916852799315</v>
      </c>
      <c r="Q238" s="143">
        <v>11.296048225050242</v>
      </c>
      <c r="R238" s="143">
        <v>9.9780338819847714</v>
      </c>
      <c r="S238" s="143">
        <v>4.6813866316451964</v>
      </c>
      <c r="T238" s="143">
        <v>5.3397804495556755</v>
      </c>
      <c r="U238" s="143">
        <v>-26.375207800908115</v>
      </c>
      <c r="V238" s="143">
        <v>42.402183803457689</v>
      </c>
      <c r="W238" s="143">
        <v>33.020944266950664</v>
      </c>
      <c r="X238" s="143">
        <v>13.053302021064624</v>
      </c>
      <c r="Y238" s="142">
        <v>6.3667007632386401</v>
      </c>
    </row>
    <row r="239" spans="1:25" x14ac:dyDescent="0.4">
      <c r="A239" s="177"/>
      <c r="B239" s="176" t="s">
        <v>91</v>
      </c>
      <c r="C239" s="176"/>
      <c r="D239" s="176"/>
      <c r="E239" s="175" t="s">
        <v>89</v>
      </c>
      <c r="F239" s="174"/>
      <c r="G239" s="173">
        <v>14.120426953475103</v>
      </c>
      <c r="H239" s="173">
        <v>13.701270883906886</v>
      </c>
      <c r="I239" s="173">
        <v>7.5290423861852389</v>
      </c>
      <c r="J239" s="173">
        <v>2.6629292221443563</v>
      </c>
      <c r="K239" s="173">
        <v>5.6427758816837326</v>
      </c>
      <c r="L239" s="173">
        <v>5.5998276976092995</v>
      </c>
      <c r="M239" s="173">
        <v>5.5578217417907325</v>
      </c>
      <c r="N239" s="173">
        <v>6.7143271181528235</v>
      </c>
      <c r="O239" s="173">
        <v>5.6309976462067795</v>
      </c>
      <c r="P239" s="173">
        <v>2.6782653411038666</v>
      </c>
      <c r="Q239" s="173">
        <v>4.8453737323150108</v>
      </c>
      <c r="R239" s="173">
        <v>6.7629965767056746</v>
      </c>
      <c r="S239" s="173">
        <v>5.693300026098953</v>
      </c>
      <c r="T239" s="173">
        <v>3.6439960491039898</v>
      </c>
      <c r="U239" s="173">
        <v>-1.6303052993431209</v>
      </c>
      <c r="V239" s="173">
        <v>11.898830530759113</v>
      </c>
      <c r="W239" s="173">
        <v>11.7126866825392</v>
      </c>
      <c r="X239" s="173">
        <v>4.943397270890415</v>
      </c>
      <c r="Y239" s="172">
        <v>2.0246604246340496</v>
      </c>
    </row>
    <row r="240" spans="1:25" outlineLevel="1" x14ac:dyDescent="0.4">
      <c r="A240" s="171"/>
      <c r="B240" s="170"/>
      <c r="C240" s="170" t="s">
        <v>91</v>
      </c>
      <c r="D240" s="170"/>
      <c r="E240" s="169" t="s">
        <v>89</v>
      </c>
      <c r="F240" s="168"/>
      <c r="G240" s="167">
        <v>14.120426953475103</v>
      </c>
      <c r="H240" s="167">
        <v>13.701270883906886</v>
      </c>
      <c r="I240" s="167">
        <v>7.5290423861852389</v>
      </c>
      <c r="J240" s="167">
        <v>2.6629292221443563</v>
      </c>
      <c r="K240" s="167">
        <v>5.6427758816837326</v>
      </c>
      <c r="L240" s="167">
        <v>5.5998276976092995</v>
      </c>
      <c r="M240" s="167">
        <v>5.5578217417907325</v>
      </c>
      <c r="N240" s="167">
        <v>6.7143271181528235</v>
      </c>
      <c r="O240" s="167">
        <v>5.6309976462067795</v>
      </c>
      <c r="P240" s="167">
        <v>2.6782653411038666</v>
      </c>
      <c r="Q240" s="167">
        <v>4.8453737323150108</v>
      </c>
      <c r="R240" s="167">
        <v>6.7629965767056746</v>
      </c>
      <c r="S240" s="167">
        <v>5.693300026098953</v>
      </c>
      <c r="T240" s="167">
        <v>3.6439960491039898</v>
      </c>
      <c r="U240" s="167">
        <v>-1.6303052993431209</v>
      </c>
      <c r="V240" s="167">
        <v>11.898830530759113</v>
      </c>
      <c r="W240" s="167">
        <v>11.7126866825392</v>
      </c>
      <c r="X240" s="167">
        <v>4.943397270890415</v>
      </c>
      <c r="Y240" s="166">
        <v>2.0246604246340496</v>
      </c>
    </row>
    <row r="241" spans="1:25" outlineLevel="2" x14ac:dyDescent="0.4">
      <c r="A241" s="165"/>
      <c r="B241" s="164"/>
      <c r="C241" s="164"/>
      <c r="D241" s="164" t="s">
        <v>90</v>
      </c>
      <c r="E241" s="163" t="s">
        <v>89</v>
      </c>
      <c r="F241" s="162"/>
      <c r="G241" s="161">
        <v>14.120426953475103</v>
      </c>
      <c r="H241" s="161">
        <v>13.701270883906886</v>
      </c>
      <c r="I241" s="161">
        <v>7.5290423861852389</v>
      </c>
      <c r="J241" s="161">
        <v>2.6629292221443563</v>
      </c>
      <c r="K241" s="161">
        <v>5.6427758816837326</v>
      </c>
      <c r="L241" s="161">
        <v>5.5998276976092995</v>
      </c>
      <c r="M241" s="161">
        <v>5.5578217417907325</v>
      </c>
      <c r="N241" s="161">
        <v>6.7143271181528235</v>
      </c>
      <c r="O241" s="161">
        <v>5.6309976462067795</v>
      </c>
      <c r="P241" s="161">
        <v>2.6782653411038666</v>
      </c>
      <c r="Q241" s="161">
        <v>4.8453737323150108</v>
      </c>
      <c r="R241" s="161">
        <v>6.7629965767056746</v>
      </c>
      <c r="S241" s="161">
        <v>5.693300026098953</v>
      </c>
      <c r="T241" s="161">
        <v>3.6439960491039898</v>
      </c>
      <c r="U241" s="161">
        <v>-1.6303052993431209</v>
      </c>
      <c r="V241" s="161">
        <v>11.898830530759113</v>
      </c>
      <c r="W241" s="161">
        <v>11.7126866825392</v>
      </c>
      <c r="X241" s="161">
        <v>4.943397270890415</v>
      </c>
      <c r="Y241" s="160">
        <v>2.0246604246340496</v>
      </c>
    </row>
    <row r="242" spans="1:25" x14ac:dyDescent="0.4">
      <c r="A242" s="159"/>
      <c r="B242" s="158" t="s">
        <v>88</v>
      </c>
      <c r="C242" s="158"/>
      <c r="D242" s="158"/>
      <c r="E242" s="157" t="s">
        <v>86</v>
      </c>
      <c r="F242" s="156"/>
      <c r="G242" s="155">
        <v>5.3520175586695871</v>
      </c>
      <c r="H242" s="155">
        <v>19.34294871794873</v>
      </c>
      <c r="I242" s="155">
        <v>20.746609372901844</v>
      </c>
      <c r="J242" s="155">
        <v>8.718861209964416</v>
      </c>
      <c r="K242" s="155">
        <v>9.4312602291325618</v>
      </c>
      <c r="L242" s="155">
        <v>13.83903533370723</v>
      </c>
      <c r="M242" s="155">
        <v>13.039372664942306</v>
      </c>
      <c r="N242" s="155">
        <v>7.5763629099625973</v>
      </c>
      <c r="O242" s="155">
        <v>7.4951888990175206</v>
      </c>
      <c r="P242" s="155">
        <v>8.9732717736109748</v>
      </c>
      <c r="Q242" s="155">
        <v>-1.0721697025593784</v>
      </c>
      <c r="R242" s="155">
        <v>13.79792564969118</v>
      </c>
      <c r="S242" s="155">
        <v>9.1321044546851056</v>
      </c>
      <c r="T242" s="155">
        <v>10.221221291669607</v>
      </c>
      <c r="U242" s="155">
        <v>3.8821726545206872</v>
      </c>
      <c r="V242" s="155">
        <v>7.8778069168988765</v>
      </c>
      <c r="W242" s="155">
        <v>8.066017131027678</v>
      </c>
      <c r="X242" s="155">
        <v>10.47803163444641</v>
      </c>
      <c r="Y242" s="154">
        <v>12.226002990677969</v>
      </c>
    </row>
    <row r="243" spans="1:25" outlineLevel="1" x14ac:dyDescent="0.4">
      <c r="A243" s="153"/>
      <c r="B243" s="152"/>
      <c r="C243" s="152" t="s">
        <v>88</v>
      </c>
      <c r="D243" s="152"/>
      <c r="E243" s="151" t="s">
        <v>86</v>
      </c>
      <c r="F243" s="150"/>
      <c r="G243" s="149">
        <v>5.3520175586695871</v>
      </c>
      <c r="H243" s="149">
        <v>19.34294871794873</v>
      </c>
      <c r="I243" s="149">
        <v>20.746609372901844</v>
      </c>
      <c r="J243" s="149">
        <v>8.718861209964416</v>
      </c>
      <c r="K243" s="149">
        <v>9.4312602291325618</v>
      </c>
      <c r="L243" s="149">
        <v>13.83903533370723</v>
      </c>
      <c r="M243" s="149">
        <v>13.039372664942306</v>
      </c>
      <c r="N243" s="149">
        <v>7.5763629099625973</v>
      </c>
      <c r="O243" s="149">
        <v>7.4951888990175206</v>
      </c>
      <c r="P243" s="149">
        <v>8.9732717736109748</v>
      </c>
      <c r="Q243" s="149">
        <v>-1.0721697025593784</v>
      </c>
      <c r="R243" s="149">
        <v>13.79792564969118</v>
      </c>
      <c r="S243" s="149">
        <v>9.1321044546851056</v>
      </c>
      <c r="T243" s="149">
        <v>10.221221291669607</v>
      </c>
      <c r="U243" s="149">
        <v>3.8821726545206872</v>
      </c>
      <c r="V243" s="149">
        <v>7.8778069168988765</v>
      </c>
      <c r="W243" s="149">
        <v>8.066017131027678</v>
      </c>
      <c r="X243" s="149">
        <v>10.47803163444641</v>
      </c>
      <c r="Y243" s="148">
        <v>12.226002990677969</v>
      </c>
    </row>
    <row r="244" spans="1:25" outlineLevel="2" x14ac:dyDescent="0.4">
      <c r="A244" s="147"/>
      <c r="B244" s="146"/>
      <c r="C244" s="146"/>
      <c r="D244" s="146" t="s">
        <v>87</v>
      </c>
      <c r="E244" s="145" t="s">
        <v>86</v>
      </c>
      <c r="F244" s="144"/>
      <c r="G244" s="143">
        <v>5.3520175586695871</v>
      </c>
      <c r="H244" s="143">
        <v>19.34294871794873</v>
      </c>
      <c r="I244" s="143">
        <v>20.746609372901844</v>
      </c>
      <c r="J244" s="143">
        <v>8.718861209964416</v>
      </c>
      <c r="K244" s="143">
        <v>9.4312602291325618</v>
      </c>
      <c r="L244" s="143">
        <v>13.83903533370723</v>
      </c>
      <c r="M244" s="143">
        <v>13.039372664942306</v>
      </c>
      <c r="N244" s="143">
        <v>7.5763629099625973</v>
      </c>
      <c r="O244" s="143">
        <v>7.4951888990175206</v>
      </c>
      <c r="P244" s="143">
        <v>8.9732717736109748</v>
      </c>
      <c r="Q244" s="143">
        <v>-1.0721697025593784</v>
      </c>
      <c r="R244" s="143">
        <v>13.79792564969118</v>
      </c>
      <c r="S244" s="143">
        <v>9.1321044546851056</v>
      </c>
      <c r="T244" s="143">
        <v>10.221221291669607</v>
      </c>
      <c r="U244" s="143">
        <v>3.8821726545206872</v>
      </c>
      <c r="V244" s="143">
        <v>7.8778069168988765</v>
      </c>
      <c r="W244" s="143">
        <v>8.066017131027678</v>
      </c>
      <c r="X244" s="143">
        <v>10.47803163444641</v>
      </c>
      <c r="Y244" s="142">
        <v>12.226002990677969</v>
      </c>
    </row>
    <row r="245" spans="1:25" x14ac:dyDescent="0.4">
      <c r="A245" s="177"/>
      <c r="B245" s="176" t="s">
        <v>85</v>
      </c>
      <c r="C245" s="176"/>
      <c r="D245" s="176"/>
      <c r="E245" s="175" t="s">
        <v>83</v>
      </c>
      <c r="F245" s="174"/>
      <c r="G245" s="173">
        <v>10.336036368104189</v>
      </c>
      <c r="H245" s="173">
        <v>8.7274853149968123</v>
      </c>
      <c r="I245" s="173">
        <v>8.1421548545677922</v>
      </c>
      <c r="J245" s="173">
        <v>8.5756226915427476</v>
      </c>
      <c r="K245" s="173">
        <v>7.6257141611060177</v>
      </c>
      <c r="L245" s="173">
        <v>7.3163813190153064</v>
      </c>
      <c r="M245" s="173">
        <v>7.4802703621190858</v>
      </c>
      <c r="N245" s="173">
        <v>7.0158797077009467</v>
      </c>
      <c r="O245" s="173">
        <v>7.0122451659498921</v>
      </c>
      <c r="P245" s="173">
        <v>7.1034144246403059</v>
      </c>
      <c r="Q245" s="173">
        <v>8.3351235230934435</v>
      </c>
      <c r="R245" s="173">
        <v>7.0473924251437552</v>
      </c>
      <c r="S245" s="173">
        <v>7.2231278403477575</v>
      </c>
      <c r="T245" s="173">
        <v>6.4071408004606951</v>
      </c>
      <c r="U245" s="173">
        <v>2.8726674459886681</v>
      </c>
      <c r="V245" s="173">
        <v>4.059258012247227</v>
      </c>
      <c r="W245" s="173">
        <v>6.0525783619818014</v>
      </c>
      <c r="X245" s="173">
        <v>8.9468565871517711</v>
      </c>
      <c r="Y245" s="172">
        <v>10.518220005250711</v>
      </c>
    </row>
    <row r="246" spans="1:25" outlineLevel="1" x14ac:dyDescent="0.4">
      <c r="A246" s="147"/>
      <c r="B246" s="146"/>
      <c r="C246" s="170" t="s">
        <v>85</v>
      </c>
      <c r="D246" s="146"/>
      <c r="E246" s="169" t="s">
        <v>83</v>
      </c>
      <c r="F246" s="168"/>
      <c r="G246" s="167">
        <v>10.336036368104189</v>
      </c>
      <c r="H246" s="167">
        <v>8.7274853149968123</v>
      </c>
      <c r="I246" s="167">
        <v>8.1421548545677922</v>
      </c>
      <c r="J246" s="167">
        <v>8.5756226915427476</v>
      </c>
      <c r="K246" s="167">
        <v>7.6257141611060177</v>
      </c>
      <c r="L246" s="167">
        <v>7.3163813190153064</v>
      </c>
      <c r="M246" s="167">
        <v>7.4802703621190858</v>
      </c>
      <c r="N246" s="167">
        <v>7.0158797077009467</v>
      </c>
      <c r="O246" s="167">
        <v>7.0122451659498921</v>
      </c>
      <c r="P246" s="167">
        <v>7.1034144246403059</v>
      </c>
      <c r="Q246" s="167">
        <v>8.3351235230934435</v>
      </c>
      <c r="R246" s="167">
        <v>7.0473924251437552</v>
      </c>
      <c r="S246" s="167">
        <v>7.2231278403477575</v>
      </c>
      <c r="T246" s="167">
        <v>6.4071408004606951</v>
      </c>
      <c r="U246" s="167">
        <v>2.8726674459886681</v>
      </c>
      <c r="V246" s="167">
        <v>4.059258012247227</v>
      </c>
      <c r="W246" s="167">
        <v>6.0525783619818014</v>
      </c>
      <c r="X246" s="167">
        <v>8.9468565871517711</v>
      </c>
      <c r="Y246" s="166">
        <v>10.518220005250711</v>
      </c>
    </row>
    <row r="247" spans="1:25" outlineLevel="2" x14ac:dyDescent="0.4">
      <c r="A247" s="165"/>
      <c r="B247" s="164"/>
      <c r="C247" s="164"/>
      <c r="D247" s="164" t="s">
        <v>84</v>
      </c>
      <c r="E247" s="163" t="s">
        <v>83</v>
      </c>
      <c r="F247" s="162"/>
      <c r="G247" s="161">
        <v>10.336036368104189</v>
      </c>
      <c r="H247" s="161">
        <v>8.7274853149968123</v>
      </c>
      <c r="I247" s="161">
        <v>8.1421548545677922</v>
      </c>
      <c r="J247" s="161">
        <v>8.5756226915427476</v>
      </c>
      <c r="K247" s="161">
        <v>7.6257141611060177</v>
      </c>
      <c r="L247" s="161">
        <v>7.3163813190153064</v>
      </c>
      <c r="M247" s="161">
        <v>7.4802703621190858</v>
      </c>
      <c r="N247" s="161">
        <v>7.0158797077009467</v>
      </c>
      <c r="O247" s="161">
        <v>7.0122451659498921</v>
      </c>
      <c r="P247" s="161">
        <v>7.1034144246403059</v>
      </c>
      <c r="Q247" s="161">
        <v>8.3351235230934435</v>
      </c>
      <c r="R247" s="161">
        <v>7.0473924251437552</v>
      </c>
      <c r="S247" s="161">
        <v>7.2231278403477575</v>
      </c>
      <c r="T247" s="161">
        <v>6.4071408004606951</v>
      </c>
      <c r="U247" s="161">
        <v>2.8726674459886681</v>
      </c>
      <c r="V247" s="161">
        <v>4.059258012247227</v>
      </c>
      <c r="W247" s="161">
        <v>6.0525783619818014</v>
      </c>
      <c r="X247" s="161">
        <v>8.9468565871517711</v>
      </c>
      <c r="Y247" s="160">
        <v>10.518220005250711</v>
      </c>
    </row>
    <row r="248" spans="1:25" ht="28" x14ac:dyDescent="0.4">
      <c r="A248" s="159"/>
      <c r="B248" s="158" t="s">
        <v>82</v>
      </c>
      <c r="C248" s="158"/>
      <c r="D248" s="158"/>
      <c r="E248" s="157" t="s">
        <v>81</v>
      </c>
      <c r="F248" s="156"/>
      <c r="G248" s="155">
        <v>16.542795492687603</v>
      </c>
      <c r="H248" s="155">
        <v>18.638140300349718</v>
      </c>
      <c r="I248" s="155">
        <v>14.491936882261143</v>
      </c>
      <c r="J248" s="155">
        <v>12.983226685850596</v>
      </c>
      <c r="K248" s="155">
        <v>12.489946380697049</v>
      </c>
      <c r="L248" s="155">
        <v>14.025679983316934</v>
      </c>
      <c r="M248" s="155">
        <v>12.5486610058785</v>
      </c>
      <c r="N248" s="155">
        <v>11.476855935744453</v>
      </c>
      <c r="O248" s="155">
        <v>14.980633876140104</v>
      </c>
      <c r="P248" s="155">
        <v>3.9408866995073879</v>
      </c>
      <c r="Q248" s="155">
        <v>3.9221494284917782</v>
      </c>
      <c r="R248" s="155">
        <v>5.4574719581510038</v>
      </c>
      <c r="S248" s="155">
        <v>7.4708257814238834</v>
      </c>
      <c r="T248" s="155">
        <v>7.1911475361332577</v>
      </c>
      <c r="U248" s="155">
        <v>-4.2714400066245304</v>
      </c>
      <c r="V248" s="155">
        <v>14.068018972651132</v>
      </c>
      <c r="W248" s="155">
        <v>18.344055307693282</v>
      </c>
      <c r="X248" s="155">
        <v>10.706466599028147</v>
      </c>
      <c r="Y248" s="154">
        <v>7.6493536561836919</v>
      </c>
    </row>
    <row r="249" spans="1:25" ht="28" outlineLevel="1" x14ac:dyDescent="0.4">
      <c r="A249" s="153"/>
      <c r="B249" s="152"/>
      <c r="C249" s="152" t="s">
        <v>82</v>
      </c>
      <c r="D249" s="152"/>
      <c r="E249" s="151" t="s">
        <v>81</v>
      </c>
      <c r="F249" s="150"/>
      <c r="G249" s="149">
        <v>16.542795492687603</v>
      </c>
      <c r="H249" s="149">
        <v>18.638140300349718</v>
      </c>
      <c r="I249" s="149">
        <v>14.491936882261143</v>
      </c>
      <c r="J249" s="149">
        <v>12.983226685850596</v>
      </c>
      <c r="K249" s="149">
        <v>12.489946380697049</v>
      </c>
      <c r="L249" s="149">
        <v>14.025679983316934</v>
      </c>
      <c r="M249" s="149">
        <v>12.5486610058785</v>
      </c>
      <c r="N249" s="149">
        <v>11.476855935744453</v>
      </c>
      <c r="O249" s="149">
        <v>14.980633876140104</v>
      </c>
      <c r="P249" s="149">
        <v>3.9408866995073879</v>
      </c>
      <c r="Q249" s="149">
        <v>3.9221494284917782</v>
      </c>
      <c r="R249" s="149">
        <v>5.4574719581510038</v>
      </c>
      <c r="S249" s="149">
        <v>7.4708257814238834</v>
      </c>
      <c r="T249" s="149">
        <v>7.1911475361332577</v>
      </c>
      <c r="U249" s="149">
        <v>-4.2714400066245304</v>
      </c>
      <c r="V249" s="149">
        <v>14.068018972651132</v>
      </c>
      <c r="W249" s="149">
        <v>18.344055307693282</v>
      </c>
      <c r="X249" s="149">
        <v>10.706466599028147</v>
      </c>
      <c r="Y249" s="148">
        <v>7.6493536561836919</v>
      </c>
    </row>
    <row r="250" spans="1:25" outlineLevel="2" x14ac:dyDescent="0.4">
      <c r="A250" s="147"/>
      <c r="B250" s="146"/>
      <c r="C250" s="146"/>
      <c r="D250" s="146" t="s">
        <v>80</v>
      </c>
      <c r="E250" s="145" t="s">
        <v>79</v>
      </c>
      <c r="F250" s="144"/>
      <c r="G250" s="143">
        <v>17.196013289036543</v>
      </c>
      <c r="H250" s="143">
        <v>19.435310125864618</v>
      </c>
      <c r="I250" s="143">
        <v>15.256811924427979</v>
      </c>
      <c r="J250" s="143">
        <v>13.723228995057667</v>
      </c>
      <c r="K250" s="143">
        <v>13.189917427205572</v>
      </c>
      <c r="L250" s="143">
        <v>14.679720995712557</v>
      </c>
      <c r="M250" s="143">
        <v>13.274928854416615</v>
      </c>
      <c r="N250" s="143">
        <v>12.137931034482747</v>
      </c>
      <c r="O250" s="143">
        <v>15.695835529783864</v>
      </c>
      <c r="P250" s="143">
        <v>2.7337965599726601</v>
      </c>
      <c r="Q250" s="143">
        <v>3.1119488487267688</v>
      </c>
      <c r="R250" s="143">
        <v>3.5055019893186028</v>
      </c>
      <c r="S250" s="143">
        <v>7.3761124770578732</v>
      </c>
      <c r="T250" s="143">
        <v>6.6630115780307761</v>
      </c>
      <c r="U250" s="143">
        <v>-4.9012789889033286</v>
      </c>
      <c r="V250" s="143">
        <v>14.329772351519779</v>
      </c>
      <c r="W250" s="143">
        <v>17.56722934453127</v>
      </c>
      <c r="X250" s="143">
        <v>10.239852398523979</v>
      </c>
      <c r="Y250" s="142">
        <v>8.7044952258341368</v>
      </c>
    </row>
    <row r="251" spans="1:25" outlineLevel="2" x14ac:dyDescent="0.4">
      <c r="A251" s="165"/>
      <c r="B251" s="164"/>
      <c r="C251" s="164"/>
      <c r="D251" s="164" t="s">
        <v>78</v>
      </c>
      <c r="E251" s="163" t="s">
        <v>77</v>
      </c>
      <c r="F251" s="162"/>
      <c r="G251" s="161">
        <v>16.006114204607485</v>
      </c>
      <c r="H251" s="161">
        <v>17.976470588235301</v>
      </c>
      <c r="I251" s="161">
        <v>13.849222177901879</v>
      </c>
      <c r="J251" s="161">
        <v>12.353724336066136</v>
      </c>
      <c r="K251" s="161">
        <v>11.887239615816398</v>
      </c>
      <c r="L251" s="161">
        <v>13.455964325529536</v>
      </c>
      <c r="M251" s="161">
        <v>11.909207035472136</v>
      </c>
      <c r="N251" s="161">
        <v>10.887698656598459</v>
      </c>
      <c r="O251" s="161">
        <v>14.336051943938543</v>
      </c>
      <c r="P251" s="161">
        <v>5.041725821531216</v>
      </c>
      <c r="Q251" s="161">
        <v>4.6447997362782303</v>
      </c>
      <c r="R251" s="161">
        <v>7.1730090725806548</v>
      </c>
      <c r="S251" s="161">
        <v>7.5512183651274256</v>
      </c>
      <c r="T251" s="161">
        <v>7.6386990981142304</v>
      </c>
      <c r="U251" s="161">
        <v>-3.7425415767424255</v>
      </c>
      <c r="V251" s="161">
        <v>13.850861227612029</v>
      </c>
      <c r="W251" s="161">
        <v>18.991242296464478</v>
      </c>
      <c r="X251" s="161">
        <v>11.090558616795491</v>
      </c>
      <c r="Y251" s="160">
        <v>6.7874682324073206</v>
      </c>
    </row>
    <row r="252" spans="1:25" ht="42" x14ac:dyDescent="0.4">
      <c r="A252" s="159"/>
      <c r="B252" s="158" t="s">
        <v>76</v>
      </c>
      <c r="C252" s="158"/>
      <c r="D252" s="158"/>
      <c r="E252" s="157" t="s">
        <v>75</v>
      </c>
      <c r="F252" s="156"/>
      <c r="G252" s="155">
        <v>9.6382762757220632</v>
      </c>
      <c r="H252" s="155">
        <v>10.726760089214309</v>
      </c>
      <c r="I252" s="155">
        <v>9.2448312557008165</v>
      </c>
      <c r="J252" s="155">
        <v>11.014280992885588</v>
      </c>
      <c r="K252" s="155">
        <v>9.0863508876388721</v>
      </c>
      <c r="L252" s="155">
        <v>8.7072680264291762</v>
      </c>
      <c r="M252" s="155">
        <v>11.207420522713463</v>
      </c>
      <c r="N252" s="155">
        <v>11.229266669835084</v>
      </c>
      <c r="O252" s="155">
        <v>9.4472039737221678</v>
      </c>
      <c r="P252" s="155">
        <v>9.3871695019471133</v>
      </c>
      <c r="Q252" s="155">
        <v>10.201914755034494</v>
      </c>
      <c r="R252" s="155">
        <v>9.4922719433896674</v>
      </c>
      <c r="S252" s="155">
        <v>8.8601323621843449</v>
      </c>
      <c r="T252" s="155">
        <v>8.5214343452182817</v>
      </c>
      <c r="U252" s="155">
        <v>2.3222042788648025</v>
      </c>
      <c r="V252" s="155">
        <v>10.79267397474797</v>
      </c>
      <c r="W252" s="155">
        <v>8.9550837865444635</v>
      </c>
      <c r="X252" s="155">
        <v>15.584744646132947</v>
      </c>
      <c r="Y252" s="154">
        <v>12.893102662130389</v>
      </c>
    </row>
    <row r="253" spans="1:25" ht="28" outlineLevel="1" x14ac:dyDescent="0.4">
      <c r="A253" s="153"/>
      <c r="B253" s="152"/>
      <c r="C253" s="152" t="s">
        <v>74</v>
      </c>
      <c r="D253" s="152"/>
      <c r="E253" s="151" t="s">
        <v>72</v>
      </c>
      <c r="F253" s="150"/>
      <c r="G253" s="149">
        <v>9.7432024169184359</v>
      </c>
      <c r="H253" s="149">
        <v>12.39875059558473</v>
      </c>
      <c r="I253" s="149">
        <v>9.2553341811502037</v>
      </c>
      <c r="J253" s="149">
        <v>13.006552853940349</v>
      </c>
      <c r="K253" s="149">
        <v>9.0031663678327618</v>
      </c>
      <c r="L253" s="149">
        <v>8.175550344731036</v>
      </c>
      <c r="M253" s="149">
        <v>9.104144423954196</v>
      </c>
      <c r="N253" s="149">
        <v>13.287667170773659</v>
      </c>
      <c r="O253" s="149">
        <v>9.3943042613339003</v>
      </c>
      <c r="P253" s="149">
        <v>9.580551767042337</v>
      </c>
      <c r="Q253" s="149">
        <v>11.304233901783959</v>
      </c>
      <c r="R253" s="149">
        <v>8.6514693765449096</v>
      </c>
      <c r="S253" s="149">
        <v>9.403437815975721</v>
      </c>
      <c r="T253" s="149">
        <v>7.1263533139688491</v>
      </c>
      <c r="U253" s="149">
        <v>2.1229394546294884</v>
      </c>
      <c r="V253" s="149">
        <v>5.39313299541395</v>
      </c>
      <c r="W253" s="149">
        <v>7.9083348839872372</v>
      </c>
      <c r="X253" s="149">
        <v>14.422719796254043</v>
      </c>
      <c r="Y253" s="148">
        <v>12.415912173519899</v>
      </c>
    </row>
    <row r="254" spans="1:25" ht="28" outlineLevel="2" x14ac:dyDescent="0.4">
      <c r="A254" s="147"/>
      <c r="B254" s="146"/>
      <c r="C254" s="146"/>
      <c r="D254" s="146" t="s">
        <v>73</v>
      </c>
      <c r="E254" s="145" t="s">
        <v>72</v>
      </c>
      <c r="F254" s="144"/>
      <c r="G254" s="143">
        <v>9.7432024169184359</v>
      </c>
      <c r="H254" s="143">
        <v>12.39875059558473</v>
      </c>
      <c r="I254" s="143">
        <v>9.2553341811502037</v>
      </c>
      <c r="J254" s="143">
        <v>13.006552853940349</v>
      </c>
      <c r="K254" s="143">
        <v>9.0031663678327618</v>
      </c>
      <c r="L254" s="143">
        <v>8.175550344731036</v>
      </c>
      <c r="M254" s="143">
        <v>9.104144423954196</v>
      </c>
      <c r="N254" s="143">
        <v>13.287667170773659</v>
      </c>
      <c r="O254" s="143">
        <v>9.3943042613339003</v>
      </c>
      <c r="P254" s="143">
        <v>9.580551767042337</v>
      </c>
      <c r="Q254" s="143">
        <v>11.304233901783959</v>
      </c>
      <c r="R254" s="143">
        <v>8.6514693765449096</v>
      </c>
      <c r="S254" s="143">
        <v>9.403437815975721</v>
      </c>
      <c r="T254" s="143">
        <v>7.1263533139688491</v>
      </c>
      <c r="U254" s="143">
        <v>2.1229394546294884</v>
      </c>
      <c r="V254" s="143">
        <v>5.39313299541395</v>
      </c>
      <c r="W254" s="143">
        <v>7.9083348839872372</v>
      </c>
      <c r="X254" s="143">
        <v>14.422719796254043</v>
      </c>
      <c r="Y254" s="142">
        <v>12.415912173519899</v>
      </c>
    </row>
    <row r="255" spans="1:25" outlineLevel="1" x14ac:dyDescent="0.4">
      <c r="A255" s="153"/>
      <c r="B255" s="152"/>
      <c r="C255" s="152" t="s">
        <v>71</v>
      </c>
      <c r="D255" s="152"/>
      <c r="E255" s="151" t="s">
        <v>70</v>
      </c>
      <c r="F255" s="150"/>
      <c r="G255" s="149">
        <v>7.5202571485970822</v>
      </c>
      <c r="H255" s="149">
        <v>10.320129546586941</v>
      </c>
      <c r="I255" s="149">
        <v>11.443572517360124</v>
      </c>
      <c r="J255" s="149">
        <v>10.055724417426546</v>
      </c>
      <c r="K255" s="149">
        <v>7.6869965477560385</v>
      </c>
      <c r="L255" s="149">
        <v>8.7882026073947515</v>
      </c>
      <c r="M255" s="149">
        <v>11.594829279792535</v>
      </c>
      <c r="N255" s="149">
        <v>9.4148299415534069</v>
      </c>
      <c r="O255" s="149">
        <v>8.1284592611661708</v>
      </c>
      <c r="P255" s="149">
        <v>9.6958514374144471</v>
      </c>
      <c r="Q255" s="149">
        <v>10.501899077590892</v>
      </c>
      <c r="R255" s="149">
        <v>8.1559500135032152</v>
      </c>
      <c r="S255" s="149">
        <v>7.3638571720427706</v>
      </c>
      <c r="T255" s="149">
        <v>10.461551472609258</v>
      </c>
      <c r="U255" s="149">
        <v>6.3029955019619166</v>
      </c>
      <c r="V255" s="149">
        <v>7.0600309697864532</v>
      </c>
      <c r="W255" s="149">
        <v>9.4064817773591898</v>
      </c>
      <c r="X255" s="149">
        <v>14.196335239500698</v>
      </c>
      <c r="Y255" s="148">
        <v>13.531627337219177</v>
      </c>
    </row>
    <row r="256" spans="1:25" outlineLevel="2" x14ac:dyDescent="0.4">
      <c r="A256" s="147"/>
      <c r="B256" s="146"/>
      <c r="C256" s="146"/>
      <c r="D256" s="146" t="s">
        <v>69</v>
      </c>
      <c r="E256" s="145" t="s">
        <v>68</v>
      </c>
      <c r="F256" s="144"/>
      <c r="G256" s="143">
        <v>9.0533333333333417</v>
      </c>
      <c r="H256" s="143">
        <v>11.615111871866972</v>
      </c>
      <c r="I256" s="143">
        <v>6.6381860006572424</v>
      </c>
      <c r="J256" s="143">
        <v>11.82331792501283</v>
      </c>
      <c r="K256" s="143">
        <v>7.2662134852103719</v>
      </c>
      <c r="L256" s="143">
        <v>9.8655476577888237</v>
      </c>
      <c r="M256" s="143">
        <v>10.265804037727037</v>
      </c>
      <c r="N256" s="143">
        <v>10.561289410434043</v>
      </c>
      <c r="O256" s="143">
        <v>9.4373401534526806</v>
      </c>
      <c r="P256" s="143">
        <v>8.5241878943678415</v>
      </c>
      <c r="Q256" s="143">
        <v>8.8990578734858587</v>
      </c>
      <c r="R256" s="143">
        <v>10.040537868301371</v>
      </c>
      <c r="S256" s="143">
        <v>6.3300238105934596</v>
      </c>
      <c r="T256" s="143">
        <v>6.6038533040392053</v>
      </c>
      <c r="U256" s="143">
        <v>-3.8325868970710673</v>
      </c>
      <c r="V256" s="143">
        <v>6.449884602703591</v>
      </c>
      <c r="W256" s="143">
        <v>14.595996747841582</v>
      </c>
      <c r="X256" s="143">
        <v>14.733605865062998</v>
      </c>
      <c r="Y256" s="142">
        <v>10.485100117785635</v>
      </c>
    </row>
    <row r="257" spans="1:25" outlineLevel="2" x14ac:dyDescent="0.4">
      <c r="A257" s="165"/>
      <c r="B257" s="164"/>
      <c r="C257" s="164"/>
      <c r="D257" s="164" t="s">
        <v>67</v>
      </c>
      <c r="E257" s="163" t="s">
        <v>66</v>
      </c>
      <c r="F257" s="162"/>
      <c r="G257" s="161">
        <v>5.9733620341719416</v>
      </c>
      <c r="H257" s="161">
        <v>8.9754982861495449</v>
      </c>
      <c r="I257" s="161">
        <v>16.554054054054063</v>
      </c>
      <c r="J257" s="161">
        <v>8.3358320839580244</v>
      </c>
      <c r="K257" s="161">
        <v>8.1096042070301735</v>
      </c>
      <c r="L257" s="161">
        <v>7.7146270694657773</v>
      </c>
      <c r="M257" s="161">
        <v>12.945650451592456</v>
      </c>
      <c r="N257" s="161">
        <v>8.2772166105499423</v>
      </c>
      <c r="O257" s="161">
        <v>6.8022803835190473</v>
      </c>
      <c r="P257" s="161">
        <v>10.91228921509159</v>
      </c>
      <c r="Q257" s="161">
        <v>12.130161334427129</v>
      </c>
      <c r="R257" s="161">
        <v>6.2966395161683693</v>
      </c>
      <c r="S257" s="161">
        <v>8.4197485546480664</v>
      </c>
      <c r="T257" s="161">
        <v>14.325616826780646</v>
      </c>
      <c r="U257" s="161">
        <v>15.769600947656784</v>
      </c>
      <c r="V257" s="161">
        <v>7.5334143377885852</v>
      </c>
      <c r="W257" s="161">
        <v>5.4207552780255668</v>
      </c>
      <c r="X257" s="161">
        <v>13.747778749330109</v>
      </c>
      <c r="Y257" s="160">
        <v>16.097180549011838</v>
      </c>
    </row>
    <row r="258" spans="1:25" ht="28" outlineLevel="1" x14ac:dyDescent="0.4">
      <c r="A258" s="171"/>
      <c r="B258" s="170"/>
      <c r="C258" s="170" t="s">
        <v>65</v>
      </c>
      <c r="D258" s="170"/>
      <c r="E258" s="169" t="s">
        <v>63</v>
      </c>
      <c r="F258" s="168"/>
      <c r="G258" s="167">
        <v>12.300276711595103</v>
      </c>
      <c r="H258" s="167">
        <v>8.7353946427151925</v>
      </c>
      <c r="I258" s="167">
        <v>6.3815789473684106</v>
      </c>
      <c r="J258" s="167">
        <v>9.1390091390091328</v>
      </c>
      <c r="K258" s="167">
        <v>11.137694390228532</v>
      </c>
      <c r="L258" s="167">
        <v>9.460684341717652</v>
      </c>
      <c r="M258" s="167">
        <v>14.061691336300598</v>
      </c>
      <c r="N258" s="167">
        <v>10.417895548799862</v>
      </c>
      <c r="O258" s="167">
        <v>11.214300390384224</v>
      </c>
      <c r="P258" s="167">
        <v>8.7052911616908091</v>
      </c>
      <c r="Q258" s="167">
        <v>8.1101291638341308</v>
      </c>
      <c r="R258" s="167">
        <v>12.551090989121548</v>
      </c>
      <c r="S258" s="167">
        <v>9.8608860830213985</v>
      </c>
      <c r="T258" s="167">
        <v>8.3375711960944017</v>
      </c>
      <c r="U258" s="167">
        <v>-2.2554979228765291</v>
      </c>
      <c r="V258" s="167">
        <v>24.364884982951551</v>
      </c>
      <c r="W258" s="167">
        <v>9.8488212692835049</v>
      </c>
      <c r="X258" s="167">
        <v>18.711990719583781</v>
      </c>
      <c r="Y258" s="166">
        <v>12.800251702694695</v>
      </c>
    </row>
    <row r="259" spans="1:25" outlineLevel="2" x14ac:dyDescent="0.4">
      <c r="A259" s="165"/>
      <c r="B259" s="164"/>
      <c r="C259" s="164"/>
      <c r="D259" s="164" t="s">
        <v>64</v>
      </c>
      <c r="E259" s="163" t="s">
        <v>63</v>
      </c>
      <c r="F259" s="162"/>
      <c r="G259" s="161">
        <v>12.300276711595103</v>
      </c>
      <c r="H259" s="161">
        <v>8.7353946427151925</v>
      </c>
      <c r="I259" s="161">
        <v>6.3815789473684106</v>
      </c>
      <c r="J259" s="161">
        <v>9.1390091390091328</v>
      </c>
      <c r="K259" s="161">
        <v>11.137694390228532</v>
      </c>
      <c r="L259" s="161">
        <v>9.460684341717652</v>
      </c>
      <c r="M259" s="161">
        <v>14.061691336300598</v>
      </c>
      <c r="N259" s="161">
        <v>10.417895548799862</v>
      </c>
      <c r="O259" s="161">
        <v>11.214300390384224</v>
      </c>
      <c r="P259" s="161">
        <v>8.7052911616908091</v>
      </c>
      <c r="Q259" s="161">
        <v>8.1101291638341308</v>
      </c>
      <c r="R259" s="161">
        <v>12.551090989121548</v>
      </c>
      <c r="S259" s="161">
        <v>9.8608860830213985</v>
      </c>
      <c r="T259" s="161">
        <v>8.3375711960944017</v>
      </c>
      <c r="U259" s="161">
        <v>-2.2554979228765291</v>
      </c>
      <c r="V259" s="161">
        <v>24.364884982951551</v>
      </c>
      <c r="W259" s="161">
        <v>9.8488212692835049</v>
      </c>
      <c r="X259" s="161">
        <v>18.711990719583781</v>
      </c>
      <c r="Y259" s="160">
        <v>12.800251702694695</v>
      </c>
    </row>
    <row r="260" spans="1:25" ht="70" x14ac:dyDescent="0.4">
      <c r="A260" s="159"/>
      <c r="B260" s="158" t="s">
        <v>62</v>
      </c>
      <c r="C260" s="158"/>
      <c r="D260" s="158"/>
      <c r="E260" s="157" t="s">
        <v>61</v>
      </c>
      <c r="F260" s="156"/>
      <c r="G260" s="155">
        <v>9.7285909034576719</v>
      </c>
      <c r="H260" s="155">
        <v>12.446351931330483</v>
      </c>
      <c r="I260" s="155">
        <v>10.315387705905991</v>
      </c>
      <c r="J260" s="155">
        <v>8.2400072839843261</v>
      </c>
      <c r="K260" s="155">
        <v>10.085800807536998</v>
      </c>
      <c r="L260" s="155">
        <v>10.873385802704988</v>
      </c>
      <c r="M260" s="155">
        <v>7.4155754651964259</v>
      </c>
      <c r="N260" s="155">
        <v>8.4306428846400649</v>
      </c>
      <c r="O260" s="155">
        <v>7.0059171597633139</v>
      </c>
      <c r="P260" s="155">
        <v>4.9657155496571477</v>
      </c>
      <c r="Q260" s="155">
        <v>8.2657254240859714</v>
      </c>
      <c r="R260" s="155">
        <v>8.1504549656951042</v>
      </c>
      <c r="S260" s="155">
        <v>4.2292810222262176</v>
      </c>
      <c r="T260" s="155">
        <v>16.753000086333429</v>
      </c>
      <c r="U260" s="155">
        <v>-8.899323400007404</v>
      </c>
      <c r="V260" s="155">
        <v>34.97970779220779</v>
      </c>
      <c r="W260" s="155">
        <v>37.962656724495645</v>
      </c>
      <c r="X260" s="155">
        <v>20.99596818132288</v>
      </c>
      <c r="Y260" s="154">
        <v>16.386228138114873</v>
      </c>
    </row>
    <row r="261" spans="1:25" ht="28" outlineLevel="1" x14ac:dyDescent="0.4">
      <c r="A261" s="153"/>
      <c r="B261" s="152"/>
      <c r="C261" s="152" t="s">
        <v>60</v>
      </c>
      <c r="D261" s="152"/>
      <c r="E261" s="151" t="s">
        <v>58</v>
      </c>
      <c r="F261" s="150"/>
      <c r="G261" s="149">
        <v>11.089001447177992</v>
      </c>
      <c r="H261" s="149">
        <v>14.492753623188406</v>
      </c>
      <c r="I261" s="149">
        <v>12.131986915090323</v>
      </c>
      <c r="J261" s="149">
        <v>9.0943683409436744</v>
      </c>
      <c r="K261" s="149">
        <v>10.777816532961282</v>
      </c>
      <c r="L261" s="149">
        <v>12.048698572628041</v>
      </c>
      <c r="M261" s="149">
        <v>7.4185088047957919</v>
      </c>
      <c r="N261" s="149">
        <v>9.129752354377402</v>
      </c>
      <c r="O261" s="149">
        <v>6.959648421893732</v>
      </c>
      <c r="P261" s="149">
        <v>4.5196473927984471</v>
      </c>
      <c r="Q261" s="149">
        <v>8.0051461653920342</v>
      </c>
      <c r="R261" s="149">
        <v>8.7816822182516034</v>
      </c>
      <c r="S261" s="149">
        <v>3.6196617593381291</v>
      </c>
      <c r="T261" s="149">
        <v>20.307638114248803</v>
      </c>
      <c r="U261" s="149">
        <v>-4.0552410696857351</v>
      </c>
      <c r="V261" s="149">
        <v>40.425207263109712</v>
      </c>
      <c r="W261" s="149">
        <v>37.299431344851314</v>
      </c>
      <c r="X261" s="149">
        <v>22.892869390877664</v>
      </c>
      <c r="Y261" s="148">
        <v>16.642889342062887</v>
      </c>
    </row>
    <row r="262" spans="1:25" ht="28" outlineLevel="2" x14ac:dyDescent="0.4">
      <c r="A262" s="147"/>
      <c r="B262" s="146"/>
      <c r="C262" s="146"/>
      <c r="D262" s="146" t="s">
        <v>59</v>
      </c>
      <c r="E262" s="145" t="s">
        <v>58</v>
      </c>
      <c r="F262" s="144"/>
      <c r="G262" s="143">
        <v>11.089001447177992</v>
      </c>
      <c r="H262" s="143">
        <v>14.492753623188406</v>
      </c>
      <c r="I262" s="143">
        <v>12.131986915090323</v>
      </c>
      <c r="J262" s="143">
        <v>9.0943683409436744</v>
      </c>
      <c r="K262" s="143">
        <v>10.777816532961282</v>
      </c>
      <c r="L262" s="143">
        <v>12.048698572628041</v>
      </c>
      <c r="M262" s="143">
        <v>7.4185088047957919</v>
      </c>
      <c r="N262" s="143">
        <v>9.129752354377402</v>
      </c>
      <c r="O262" s="143">
        <v>6.959648421893732</v>
      </c>
      <c r="P262" s="143">
        <v>4.5196473927984471</v>
      </c>
      <c r="Q262" s="143">
        <v>8.0051461653920342</v>
      </c>
      <c r="R262" s="143">
        <v>8.7816822182516034</v>
      </c>
      <c r="S262" s="143">
        <v>3.6196617593381291</v>
      </c>
      <c r="T262" s="143">
        <v>20.307638114248803</v>
      </c>
      <c r="U262" s="143">
        <v>-4.0552410696857351</v>
      </c>
      <c r="V262" s="143">
        <v>40.425207263109712</v>
      </c>
      <c r="W262" s="143">
        <v>37.299431344851314</v>
      </c>
      <c r="X262" s="143">
        <v>22.892869390877664</v>
      </c>
      <c r="Y262" s="142">
        <v>16.642889342062887</v>
      </c>
    </row>
    <row r="263" spans="1:25" ht="56" outlineLevel="1" x14ac:dyDescent="0.4">
      <c r="A263" s="153"/>
      <c r="B263" s="152"/>
      <c r="C263" s="152" t="s">
        <v>57</v>
      </c>
      <c r="D263" s="152"/>
      <c r="E263" s="151" t="s">
        <v>56</v>
      </c>
      <c r="F263" s="150"/>
      <c r="G263" s="149">
        <v>6.7689885871704121</v>
      </c>
      <c r="H263" s="149">
        <v>7.8142277921120495</v>
      </c>
      <c r="I263" s="149">
        <v>5.9487179487179418</v>
      </c>
      <c r="J263" s="149">
        <v>6.0664730558244599</v>
      </c>
      <c r="K263" s="149">
        <v>8.2750228171585007</v>
      </c>
      <c r="L263" s="149">
        <v>7.7268895757235185</v>
      </c>
      <c r="M263" s="149">
        <v>7.407407407407419</v>
      </c>
      <c r="N263" s="149">
        <v>6.4837299660028975</v>
      </c>
      <c r="O263" s="149">
        <v>7.137970353477769</v>
      </c>
      <c r="P263" s="149">
        <v>6.2366964665815203</v>
      </c>
      <c r="Q263" s="149">
        <v>8.9961931476657924</v>
      </c>
      <c r="R263" s="149">
        <v>6.3970588235294059</v>
      </c>
      <c r="S263" s="149">
        <v>5.9606081548030403</v>
      </c>
      <c r="T263" s="149">
        <v>6.8808087396054134</v>
      </c>
      <c r="U263" s="149">
        <v>-24.042715484363086</v>
      </c>
      <c r="V263" s="149">
        <v>13.476601727254462</v>
      </c>
      <c r="W263" s="149">
        <v>41.203539823008839</v>
      </c>
      <c r="X263" s="149">
        <v>11.982953121082971</v>
      </c>
      <c r="Y263" s="148">
        <v>15.047906872621425</v>
      </c>
    </row>
    <row r="264" spans="1:25" ht="28" outlineLevel="2" x14ac:dyDescent="0.4">
      <c r="A264" s="147"/>
      <c r="B264" s="146"/>
      <c r="C264" s="146"/>
      <c r="D264" s="146" t="s">
        <v>55</v>
      </c>
      <c r="E264" s="145" t="s">
        <v>54</v>
      </c>
      <c r="F264" s="144"/>
      <c r="G264" s="143">
        <v>6.7689885871704121</v>
      </c>
      <c r="H264" s="143">
        <v>7.8142277921120495</v>
      </c>
      <c r="I264" s="143">
        <v>5.9487179487179418</v>
      </c>
      <c r="J264" s="143">
        <v>6.0664730558244599</v>
      </c>
      <c r="K264" s="143">
        <v>8.2750228171585007</v>
      </c>
      <c r="L264" s="143">
        <v>7.7268895757235185</v>
      </c>
      <c r="M264" s="143">
        <v>7.407407407407419</v>
      </c>
      <c r="N264" s="143">
        <v>6.4837299660028975</v>
      </c>
      <c r="O264" s="143">
        <v>7.137970353477769</v>
      </c>
      <c r="P264" s="143">
        <v>6.2366964665815203</v>
      </c>
      <c r="Q264" s="143">
        <v>8.9961931476657924</v>
      </c>
      <c r="R264" s="143">
        <v>6.3970588235294059</v>
      </c>
      <c r="S264" s="143">
        <v>5.9606081548030403</v>
      </c>
      <c r="T264" s="143">
        <v>6.8808087396054134</v>
      </c>
      <c r="U264" s="143">
        <v>-24.042715484363086</v>
      </c>
      <c r="V264" s="143">
        <v>13.476601727254462</v>
      </c>
      <c r="W264" s="143">
        <v>41.203539823008839</v>
      </c>
      <c r="X264" s="143">
        <v>11.982953121082971</v>
      </c>
      <c r="Y264" s="142">
        <v>15.047906872621425</v>
      </c>
    </row>
    <row r="265" spans="1:25" x14ac:dyDescent="0.4">
      <c r="A265" s="80" t="s">
        <v>10</v>
      </c>
      <c r="B265" s="79"/>
      <c r="C265" s="141"/>
      <c r="D265" s="59"/>
      <c r="E265" s="141" t="s">
        <v>53</v>
      </c>
      <c r="F265" s="112"/>
      <c r="G265" s="111">
        <v>12.3751612787905</v>
      </c>
      <c r="H265" s="111">
        <v>12.114236136215737</v>
      </c>
      <c r="I265" s="111">
        <v>11.657289965769252</v>
      </c>
      <c r="J265" s="111">
        <v>5.9301750705780734</v>
      </c>
      <c r="K265" s="111">
        <v>8.0890162543645516</v>
      </c>
      <c r="L265" s="111">
        <v>13.452028094501145</v>
      </c>
      <c r="M265" s="111">
        <v>7.8385795053380605</v>
      </c>
      <c r="N265" s="111">
        <v>7.7472384301023425</v>
      </c>
      <c r="O265" s="111">
        <v>6.3394833270578204</v>
      </c>
      <c r="P265" s="111">
        <v>5.1516224494495759</v>
      </c>
      <c r="Q265" s="111">
        <v>7.8265071323659186</v>
      </c>
      <c r="R265" s="111">
        <v>6.1172829397285113</v>
      </c>
      <c r="S265" s="111">
        <v>7.2675635777228536</v>
      </c>
      <c r="T265" s="111">
        <v>7.0412733534376741</v>
      </c>
      <c r="U265" s="111">
        <v>-5.2604105889609372</v>
      </c>
      <c r="V265" s="111">
        <v>18.725441354531981</v>
      </c>
      <c r="W265" s="111">
        <v>22.452004216477974</v>
      </c>
      <c r="X265" s="111">
        <v>8.1666616236497447</v>
      </c>
      <c r="Y265" s="110">
        <v>7.9854173660064873</v>
      </c>
    </row>
    <row r="266" spans="1:25" x14ac:dyDescent="0.4">
      <c r="A266" s="140" t="s">
        <v>52</v>
      </c>
      <c r="B266" s="138"/>
      <c r="C266" s="138"/>
      <c r="D266" s="139"/>
      <c r="E266" s="138" t="s">
        <v>51</v>
      </c>
      <c r="F266" s="137"/>
      <c r="G266" s="136">
        <v>18.399920689997032</v>
      </c>
      <c r="H266" s="136">
        <v>13.994250467498404</v>
      </c>
      <c r="I266" s="136">
        <v>6.9950787160590409</v>
      </c>
      <c r="J266" s="136">
        <v>-1.4851258581235669</v>
      </c>
      <c r="K266" s="136">
        <v>12.53397133632204</v>
      </c>
      <c r="L266" s="136">
        <v>17.117674985035208</v>
      </c>
      <c r="M266" s="136">
        <v>6.0081071554458845</v>
      </c>
      <c r="N266" s="136">
        <v>1.0141481986400578</v>
      </c>
      <c r="O266" s="136">
        <v>12.166098849553151</v>
      </c>
      <c r="P266" s="136">
        <v>8.801044738888649</v>
      </c>
      <c r="Q266" s="136">
        <v>2.5812890261500456</v>
      </c>
      <c r="R266" s="136">
        <v>11.17757648265254</v>
      </c>
      <c r="S266" s="136">
        <v>7.7691716431147739</v>
      </c>
      <c r="T266" s="136">
        <v>10.030175015087522</v>
      </c>
      <c r="U266" s="136">
        <v>-11.077426303402603</v>
      </c>
      <c r="V266" s="136">
        <v>26.794365691727975</v>
      </c>
      <c r="W266" s="136">
        <v>31.893684769149132</v>
      </c>
      <c r="X266" s="136">
        <v>3.7037533781744827</v>
      </c>
      <c r="Y266" s="135">
        <v>4.9793135112065272</v>
      </c>
    </row>
    <row r="267" spans="1:25" x14ac:dyDescent="0.4">
      <c r="A267" s="134" t="s">
        <v>10</v>
      </c>
      <c r="B267" s="132"/>
      <c r="C267" s="132"/>
      <c r="D267" s="133"/>
      <c r="E267" s="132" t="s">
        <v>9</v>
      </c>
      <c r="F267" s="131"/>
      <c r="G267" s="130">
        <v>12.914622527059578</v>
      </c>
      <c r="H267" s="130">
        <v>12.290751669269724</v>
      </c>
      <c r="I267" s="130">
        <v>11.212911837873918</v>
      </c>
      <c r="J267" s="130">
        <v>5.250192003424587</v>
      </c>
      <c r="K267" s="130">
        <v>8.470534756586261</v>
      </c>
      <c r="L267" s="130">
        <v>13.778443554019788</v>
      </c>
      <c r="M267" s="130">
        <v>7.6707973694030755</v>
      </c>
      <c r="N267" s="130">
        <v>7.1396099365798023</v>
      </c>
      <c r="O267" s="130">
        <v>6.8352441488713538</v>
      </c>
      <c r="P267" s="130">
        <v>5.4776295282624261</v>
      </c>
      <c r="Q267" s="130">
        <v>7.3431822361847736</v>
      </c>
      <c r="R267" s="130">
        <v>6.5628827644011949</v>
      </c>
      <c r="S267" s="130">
        <v>7.3136470350505363</v>
      </c>
      <c r="T267" s="130">
        <v>7.31703366400383</v>
      </c>
      <c r="U267" s="130">
        <v>-5.8106649762090683</v>
      </c>
      <c r="V267" s="130">
        <v>19.446032984433188</v>
      </c>
      <c r="W267" s="130">
        <v>23.347062049212084</v>
      </c>
      <c r="X267" s="130">
        <v>7.7142695939511157</v>
      </c>
      <c r="Y267" s="129">
        <v>7.6920429746516703</v>
      </c>
    </row>
    <row r="268" spans="1:25" x14ac:dyDescent="0.4">
      <c r="A268" s="40"/>
      <c r="D268" s="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128"/>
    </row>
    <row r="269" spans="1:25" s="41" customFormat="1" ht="16" x14ac:dyDescent="0.45">
      <c r="A269" s="46" t="s">
        <v>50</v>
      </c>
      <c r="B269" s="45"/>
      <c r="C269" s="45"/>
      <c r="D269" s="45"/>
      <c r="E269" s="45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127"/>
    </row>
    <row r="270" spans="1:25" x14ac:dyDescent="0.4">
      <c r="A270" s="69"/>
      <c r="B270" s="68"/>
      <c r="C270" s="68"/>
      <c r="D270" s="68"/>
      <c r="E270" s="6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39"/>
    </row>
    <row r="271" spans="1:25" x14ac:dyDescent="0.4">
      <c r="A271" s="80" t="s">
        <v>49</v>
      </c>
      <c r="B271" s="79"/>
      <c r="C271" s="79"/>
      <c r="D271" s="79"/>
      <c r="E271" s="78" t="s">
        <v>48</v>
      </c>
      <c r="F271" s="77"/>
      <c r="G271" s="77">
        <v>12.115415214152421</v>
      </c>
      <c r="H271" s="77">
        <v>11.64545938361799</v>
      </c>
      <c r="I271" s="77">
        <v>9.0778297798578649</v>
      </c>
      <c r="J271" s="77">
        <v>6.7008862120658392</v>
      </c>
      <c r="K271" s="77">
        <v>7.6259364248799812</v>
      </c>
      <c r="L271" s="77">
        <v>11.248108786302069</v>
      </c>
      <c r="M271" s="77">
        <v>9.3099673683643118</v>
      </c>
      <c r="N271" s="77">
        <v>7.8481055871759935</v>
      </c>
      <c r="O271" s="77">
        <v>7.6179874472646247</v>
      </c>
      <c r="P271" s="77">
        <v>9.517125302307349</v>
      </c>
      <c r="Q271" s="77">
        <v>7.7482725331654336</v>
      </c>
      <c r="R271" s="77">
        <v>6.2977580214088817</v>
      </c>
      <c r="S271" s="77">
        <v>7.5026576064866504</v>
      </c>
      <c r="T271" s="77">
        <v>8.4757737224596639</v>
      </c>
      <c r="U271" s="77">
        <v>-1.9724266903202903</v>
      </c>
      <c r="V271" s="77">
        <v>20.622118896619313</v>
      </c>
      <c r="W271" s="77">
        <v>21.916195612225906</v>
      </c>
      <c r="X271" s="77">
        <v>8.4098012183715127</v>
      </c>
      <c r="Y271" s="76">
        <v>7.3501735609736443</v>
      </c>
    </row>
    <row r="272" spans="1:25" ht="28.5" x14ac:dyDescent="0.4">
      <c r="A272" s="126" t="s">
        <v>47</v>
      </c>
      <c r="B272" s="97"/>
      <c r="C272" s="125"/>
      <c r="D272" s="97"/>
      <c r="E272" s="96" t="s">
        <v>46</v>
      </c>
      <c r="F272" s="82"/>
      <c r="G272" s="124">
        <v>12.076768134771498</v>
      </c>
      <c r="H272" s="124">
        <v>11.763515984221968</v>
      </c>
      <c r="I272" s="124">
        <v>9.6127473843219349</v>
      </c>
      <c r="J272" s="124">
        <v>5.9379405824897589</v>
      </c>
      <c r="K272" s="124">
        <v>7.5222406061914029</v>
      </c>
      <c r="L272" s="124">
        <v>11.429248438893836</v>
      </c>
      <c r="M272" s="124">
        <v>9.4383804622747363</v>
      </c>
      <c r="N272" s="124">
        <v>6.9784613415141479</v>
      </c>
      <c r="O272" s="124">
        <v>7.5476576640105293</v>
      </c>
      <c r="P272" s="124">
        <v>9.4813369521591824</v>
      </c>
      <c r="Q272" s="124">
        <v>8.259696232212292</v>
      </c>
      <c r="R272" s="124">
        <v>5.7182850676836665</v>
      </c>
      <c r="S272" s="124">
        <v>6.6965729834643071</v>
      </c>
      <c r="T272" s="124">
        <v>8.1839353096525826</v>
      </c>
      <c r="U272" s="124">
        <v>-2.991342621721202</v>
      </c>
      <c r="V272" s="124">
        <v>22.786369641964484</v>
      </c>
      <c r="W272" s="124">
        <v>25.063691733164802</v>
      </c>
      <c r="X272" s="124">
        <v>7.5935137487942512</v>
      </c>
      <c r="Y272" s="123">
        <v>6.938108163935226</v>
      </c>
    </row>
    <row r="273" spans="1:25" x14ac:dyDescent="0.4">
      <c r="A273" s="102" t="s">
        <v>45</v>
      </c>
      <c r="B273" s="121"/>
      <c r="C273" s="122"/>
      <c r="D273" s="121"/>
      <c r="E273" s="101" t="s">
        <v>44</v>
      </c>
      <c r="F273" s="57"/>
      <c r="G273" s="57">
        <v>12.053823432884812</v>
      </c>
      <c r="H273" s="57">
        <v>11.75064728141804</v>
      </c>
      <c r="I273" s="57">
        <v>9.6442212600599078</v>
      </c>
      <c r="J273" s="57">
        <v>5.8768035339225264</v>
      </c>
      <c r="K273" s="57">
        <v>7.5190097471989645</v>
      </c>
      <c r="L273" s="57">
        <v>11.398582211570769</v>
      </c>
      <c r="M273" s="57">
        <v>9.3885480623993089</v>
      </c>
      <c r="N273" s="57">
        <v>6.9599880527059383</v>
      </c>
      <c r="O273" s="57">
        <v>7.4515936400465677</v>
      </c>
      <c r="P273" s="57">
        <v>9.5186594912719755</v>
      </c>
      <c r="Q273" s="57">
        <v>8.2457930465480018</v>
      </c>
      <c r="R273" s="57">
        <v>5.743174310348607</v>
      </c>
      <c r="S273" s="56">
        <v>6.6907467208866507</v>
      </c>
      <c r="T273" s="56">
        <v>8.1851214667182859</v>
      </c>
      <c r="U273" s="56">
        <v>-2.9892565820014596</v>
      </c>
      <c r="V273" s="56">
        <v>22.835950985251131</v>
      </c>
      <c r="W273" s="56">
        <v>25.11733333333332</v>
      </c>
      <c r="X273" s="56">
        <v>7.5156351788512552</v>
      </c>
      <c r="Y273" s="55">
        <v>6.924595838278421</v>
      </c>
    </row>
    <row r="274" spans="1:25" x14ac:dyDescent="0.4">
      <c r="A274" s="120" t="s">
        <v>43</v>
      </c>
      <c r="B274" s="70"/>
      <c r="C274" s="119"/>
      <c r="D274" s="70"/>
      <c r="E274" s="105" t="s">
        <v>42</v>
      </c>
      <c r="F274" s="4"/>
      <c r="G274" s="4">
        <v>18.311533888228297</v>
      </c>
      <c r="H274" s="4">
        <v>15.075376884422113</v>
      </c>
      <c r="I274" s="4">
        <v>1.7467248908296966</v>
      </c>
      <c r="J274" s="4">
        <v>22.403433476394838</v>
      </c>
      <c r="K274" s="4">
        <v>8.2748948106591911</v>
      </c>
      <c r="L274" s="4">
        <v>18.523316062176164</v>
      </c>
      <c r="M274" s="4">
        <v>20.273224043715857</v>
      </c>
      <c r="N274" s="4">
        <v>10.631531122217169</v>
      </c>
      <c r="O274" s="4">
        <v>25.913757700205338</v>
      </c>
      <c r="P274" s="4">
        <v>3.3920417482061254</v>
      </c>
      <c r="Q274" s="4">
        <v>10.662460567823345</v>
      </c>
      <c r="R274" s="4">
        <v>1.5108323831242814</v>
      </c>
      <c r="S274" s="62">
        <v>7.7225498455490111</v>
      </c>
      <c r="T274" s="62">
        <v>7.97705943691345</v>
      </c>
      <c r="U274" s="62">
        <v>-3.3558667310478114</v>
      </c>
      <c r="V274" s="62">
        <v>14.089432925306028</v>
      </c>
      <c r="W274" s="62">
        <v>14.933216553536226</v>
      </c>
      <c r="X274" s="62">
        <v>23.604496094494195</v>
      </c>
      <c r="Y274" s="61">
        <v>9.3557336621455107</v>
      </c>
    </row>
    <row r="275" spans="1:25" x14ac:dyDescent="0.4">
      <c r="A275" s="92" t="s">
        <v>41</v>
      </c>
      <c r="B275" s="117"/>
      <c r="C275" s="118"/>
      <c r="D275" s="117"/>
      <c r="E275" s="90" t="s">
        <v>40</v>
      </c>
      <c r="F275" s="57"/>
      <c r="G275" s="116">
        <v>12.303354111012183</v>
      </c>
      <c r="H275" s="116">
        <v>11.07251411202779</v>
      </c>
      <c r="I275" s="116">
        <v>6.4656491144576194</v>
      </c>
      <c r="J275" s="116">
        <v>10.536734889364283</v>
      </c>
      <c r="K275" s="116">
        <v>8.1255957711083369</v>
      </c>
      <c r="L275" s="116">
        <v>10.380156016242779</v>
      </c>
      <c r="M275" s="116">
        <v>8.688812246626739</v>
      </c>
      <c r="N275" s="116">
        <v>12.083727662417189</v>
      </c>
      <c r="O275" s="116">
        <v>7.9449278817499192</v>
      </c>
      <c r="P275" s="116">
        <v>9.6828814900704856</v>
      </c>
      <c r="Q275" s="116">
        <v>5.3839312682484746</v>
      </c>
      <c r="R275" s="116">
        <v>9.0497989729708195</v>
      </c>
      <c r="S275" s="116">
        <v>11.213970738545115</v>
      </c>
      <c r="T275" s="116">
        <v>9.764855709896807</v>
      </c>
      <c r="U275" s="116">
        <v>2.4634136130664359</v>
      </c>
      <c r="V275" s="116">
        <v>11.701668164785261</v>
      </c>
      <c r="W275" s="116">
        <v>7.6556899056298136</v>
      </c>
      <c r="X275" s="116">
        <v>12.706224972697484</v>
      </c>
      <c r="Y275" s="115">
        <v>9.4206405601994874</v>
      </c>
    </row>
    <row r="276" spans="1:25" x14ac:dyDescent="0.4">
      <c r="A276" s="114"/>
      <c r="C276" s="70"/>
      <c r="D276" s="1"/>
      <c r="E276" s="11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39"/>
    </row>
    <row r="277" spans="1:25" x14ac:dyDescent="0.4">
      <c r="A277" s="80" t="s">
        <v>39</v>
      </c>
      <c r="B277" s="79"/>
      <c r="C277" s="79"/>
      <c r="D277" s="79"/>
      <c r="E277" s="78" t="s">
        <v>38</v>
      </c>
      <c r="F277" s="112"/>
      <c r="G277" s="111">
        <v>19.602672532757651</v>
      </c>
      <c r="H277" s="111">
        <v>14.813333942606462</v>
      </c>
      <c r="I277" s="111">
        <v>12.477239485388509</v>
      </c>
      <c r="J277" s="111">
        <v>-2.4406641720407265</v>
      </c>
      <c r="K277" s="111">
        <v>7.9830256428856501</v>
      </c>
      <c r="L277" s="111">
        <v>19.531774821980392</v>
      </c>
      <c r="M277" s="111">
        <v>3.499171045606559</v>
      </c>
      <c r="N277" s="111">
        <v>7.51718941959831</v>
      </c>
      <c r="O277" s="111">
        <v>15.604403929193708</v>
      </c>
      <c r="P277" s="111">
        <v>4.4686056290342009</v>
      </c>
      <c r="Q277" s="111">
        <v>4.6057342986330667</v>
      </c>
      <c r="R277" s="111">
        <v>-0.64962321853325022</v>
      </c>
      <c r="S277" s="111">
        <v>5.3069169483341341</v>
      </c>
      <c r="T277" s="111">
        <v>8.2544049444277334</v>
      </c>
      <c r="U277" s="111">
        <v>-15.73357923485213</v>
      </c>
      <c r="V277" s="111">
        <v>18.127221986606571</v>
      </c>
      <c r="W277" s="111">
        <v>29.021763219715439</v>
      </c>
      <c r="X277" s="111">
        <v>-10.508578220869438</v>
      </c>
      <c r="Y277" s="110">
        <v>10.196616467752023</v>
      </c>
    </row>
    <row r="278" spans="1:25" x14ac:dyDescent="0.4">
      <c r="A278" s="98" t="s">
        <v>37</v>
      </c>
      <c r="B278" s="97"/>
      <c r="C278" s="97"/>
      <c r="D278" s="97"/>
      <c r="E278" s="96" t="s">
        <v>36</v>
      </c>
      <c r="F278" s="95"/>
      <c r="G278" s="109">
        <v>21.651158521949071</v>
      </c>
      <c r="H278" s="109">
        <v>19.749991294961532</v>
      </c>
      <c r="I278" s="109">
        <v>1.2193112539133182</v>
      </c>
      <c r="J278" s="109">
        <v>8.7703842728691654</v>
      </c>
      <c r="K278" s="109">
        <v>5.5788361651553799</v>
      </c>
      <c r="L278" s="109">
        <v>13.122149307495405</v>
      </c>
      <c r="M278" s="109">
        <v>3.7865609152022586</v>
      </c>
      <c r="N278" s="109">
        <v>8.2208222952961876</v>
      </c>
      <c r="O278" s="109">
        <v>13.504751404420645</v>
      </c>
      <c r="P278" s="109">
        <v>8.7543508678608219</v>
      </c>
      <c r="Q278" s="109">
        <v>1.625242563598178</v>
      </c>
      <c r="R278" s="109">
        <v>4.6036661923495501</v>
      </c>
      <c r="S278" s="109">
        <v>4.8686684804353035</v>
      </c>
      <c r="T278" s="109">
        <v>7.5255022962796829</v>
      </c>
      <c r="U278" s="109">
        <v>-18.684330744632248</v>
      </c>
      <c r="V278" s="109">
        <v>23.52896258317881</v>
      </c>
      <c r="W278" s="109">
        <v>23.871634330928387</v>
      </c>
      <c r="X278" s="109">
        <v>-6.7202058871755384</v>
      </c>
      <c r="Y278" s="108">
        <v>8.2112087248604269</v>
      </c>
    </row>
    <row r="279" spans="1:25" outlineLevel="1" x14ac:dyDescent="0.4">
      <c r="A279" s="107" t="s">
        <v>35</v>
      </c>
      <c r="B279" s="59"/>
      <c r="C279" s="59"/>
      <c r="D279" s="59"/>
      <c r="E279" s="101" t="s">
        <v>34</v>
      </c>
      <c r="F279" s="100"/>
      <c r="G279" s="99">
        <v>19.101338432122361</v>
      </c>
      <c r="H279" s="99">
        <v>37.03644244662064</v>
      </c>
      <c r="I279" s="99">
        <v>-8.4114339268978426</v>
      </c>
      <c r="J279" s="99">
        <v>28.734970580711177</v>
      </c>
      <c r="K279" s="99">
        <v>0.69054597843907572</v>
      </c>
      <c r="L279" s="99">
        <v>11.885731201894629</v>
      </c>
      <c r="M279" s="99">
        <v>23.142390968823051</v>
      </c>
      <c r="N279" s="99">
        <v>24.186213070725145</v>
      </c>
      <c r="O279" s="99">
        <v>10.343435508521011</v>
      </c>
      <c r="P279" s="99">
        <v>11.859091621805248</v>
      </c>
      <c r="Q279" s="99">
        <v>6.2938043173535192</v>
      </c>
      <c r="R279" s="99">
        <v>2.7363840168798532</v>
      </c>
      <c r="S279" s="56">
        <v>6.2704576086259038</v>
      </c>
      <c r="T279" s="56">
        <v>-4.1812618271127633</v>
      </c>
      <c r="U279" s="56">
        <v>-30.373763052293214</v>
      </c>
      <c r="V279" s="56">
        <v>49.505129752564869</v>
      </c>
      <c r="W279" s="56">
        <v>12.70536471158114</v>
      </c>
      <c r="X279" s="56">
        <v>6.615211045647456</v>
      </c>
      <c r="Y279" s="55">
        <v>8.3497102544721571</v>
      </c>
    </row>
    <row r="280" spans="1:25" outlineLevel="1" x14ac:dyDescent="0.4">
      <c r="A280" s="106" t="s">
        <v>33</v>
      </c>
      <c r="D280" s="1"/>
      <c r="E280" s="105" t="s">
        <v>32</v>
      </c>
      <c r="F280" s="104"/>
      <c r="G280" s="103">
        <v>12.908826617136398</v>
      </c>
      <c r="H280" s="103">
        <v>26.574401888209408</v>
      </c>
      <c r="I280" s="103">
        <v>1.022772221280448</v>
      </c>
      <c r="J280" s="103">
        <v>18.847186486184128</v>
      </c>
      <c r="K280" s="103">
        <v>5.459465819508182</v>
      </c>
      <c r="L280" s="103">
        <v>3.7241994867789856</v>
      </c>
      <c r="M280" s="103">
        <v>3.6743825832544559</v>
      </c>
      <c r="N280" s="103">
        <v>10.740371845949539</v>
      </c>
      <c r="O280" s="103">
        <v>20.602233548193681</v>
      </c>
      <c r="P280" s="103">
        <v>12.810154902661466</v>
      </c>
      <c r="Q280" s="103">
        <v>3.8549471132657516</v>
      </c>
      <c r="R280" s="103">
        <v>7.0271990663996746</v>
      </c>
      <c r="S280" s="62">
        <v>1.7111491091120712</v>
      </c>
      <c r="T280" s="62">
        <v>5.9339481282054436</v>
      </c>
      <c r="U280" s="62">
        <v>-27.134938706041993</v>
      </c>
      <c r="V280" s="62">
        <v>4.030807108361472</v>
      </c>
      <c r="W280" s="62">
        <v>3.3390982462528029</v>
      </c>
      <c r="X280" s="62">
        <v>4.4702497173980049</v>
      </c>
      <c r="Y280" s="61">
        <v>16.701329361175894</v>
      </c>
    </row>
    <row r="281" spans="1:25" outlineLevel="1" x14ac:dyDescent="0.4">
      <c r="A281" s="107" t="s">
        <v>31</v>
      </c>
      <c r="B281" s="59"/>
      <c r="C281" s="59"/>
      <c r="D281" s="59"/>
      <c r="E281" s="101" t="s">
        <v>30</v>
      </c>
      <c r="F281" s="100"/>
      <c r="G281" s="99">
        <v>33.544513732254217</v>
      </c>
      <c r="H281" s="99">
        <v>10.503961650232242</v>
      </c>
      <c r="I281" s="99">
        <v>2.0431557653405292</v>
      </c>
      <c r="J281" s="99">
        <v>-6.3856032071190896</v>
      </c>
      <c r="K281" s="99">
        <v>7.9623529411764622</v>
      </c>
      <c r="L281" s="99">
        <v>21.519483915961985</v>
      </c>
      <c r="M281" s="99">
        <v>-2.186233365615692</v>
      </c>
      <c r="N281" s="99">
        <v>-1.6318597700727935</v>
      </c>
      <c r="O281" s="99">
        <v>10.861339447147202</v>
      </c>
      <c r="P281" s="99">
        <v>2.1386777859977286</v>
      </c>
      <c r="Q281" s="99">
        <v>-4.5664054783696599</v>
      </c>
      <c r="R281" s="99">
        <v>1.4282264463380159</v>
      </c>
      <c r="S281" s="56">
        <v>9.2394816502840058</v>
      </c>
      <c r="T281" s="56">
        <v>17.945045535922773</v>
      </c>
      <c r="U281" s="56">
        <v>-6.2973522346294999</v>
      </c>
      <c r="V281" s="56">
        <v>30.534856531109568</v>
      </c>
      <c r="W281" s="56">
        <v>44.358354556049562</v>
      </c>
      <c r="X281" s="56">
        <v>-20.741698685843289</v>
      </c>
      <c r="Y281" s="55">
        <v>9.4315598856880456E-2</v>
      </c>
    </row>
    <row r="282" spans="1:25" outlineLevel="1" x14ac:dyDescent="0.4">
      <c r="A282" s="106" t="s">
        <v>29</v>
      </c>
      <c r="D282" s="1"/>
      <c r="E282" s="105" t="s">
        <v>28</v>
      </c>
      <c r="F282" s="104"/>
      <c r="G282" s="103">
        <v>5.0632911392405049</v>
      </c>
      <c r="H282" s="103">
        <v>10.788608981380079</v>
      </c>
      <c r="I282" s="103">
        <v>19.67375185368266</v>
      </c>
      <c r="J282" s="103">
        <v>21.02437009500207</v>
      </c>
      <c r="K282" s="103">
        <v>5.3242320819112621</v>
      </c>
      <c r="L282" s="103">
        <v>10.077770576798443</v>
      </c>
      <c r="M282" s="103">
        <v>-14.395054459817487</v>
      </c>
      <c r="N282" s="103">
        <v>-2.9229711141678223</v>
      </c>
      <c r="O282" s="103">
        <v>7.0846617074034697</v>
      </c>
      <c r="P282" s="103">
        <v>16.7714191200794</v>
      </c>
      <c r="Q282" s="103">
        <v>27.195467422096314</v>
      </c>
      <c r="R282" s="103">
        <v>15.523385300668153</v>
      </c>
      <c r="S282" s="62">
        <v>-4.2413726624252917</v>
      </c>
      <c r="T282" s="62">
        <v>20.293940004026581</v>
      </c>
      <c r="U282" s="62">
        <v>15.146443514644361</v>
      </c>
      <c r="V282" s="62">
        <v>28.706395348837219</v>
      </c>
      <c r="W282" s="62">
        <v>20.146809712027107</v>
      </c>
      <c r="X282" s="62">
        <v>19.343923301062134</v>
      </c>
      <c r="Y282" s="61">
        <v>29.44002520280381</v>
      </c>
    </row>
    <row r="283" spans="1:25" outlineLevel="1" x14ac:dyDescent="0.4">
      <c r="A283" s="102" t="s">
        <v>27</v>
      </c>
      <c r="B283" s="59"/>
      <c r="C283" s="59"/>
      <c r="D283" s="59"/>
      <c r="E283" s="101" t="s">
        <v>26</v>
      </c>
      <c r="F283" s="100"/>
      <c r="G283" s="99">
        <v>-1.670708703853407</v>
      </c>
      <c r="H283" s="99">
        <v>14.935598794190199</v>
      </c>
      <c r="I283" s="99">
        <v>24.439675727229385</v>
      </c>
      <c r="J283" s="99">
        <v>6.0739605288369489</v>
      </c>
      <c r="K283" s="99">
        <v>6.1054913294797757</v>
      </c>
      <c r="L283" s="99">
        <v>25.093632958801493</v>
      </c>
      <c r="M283" s="99">
        <v>-1.5106151333696261</v>
      </c>
      <c r="N283" s="99">
        <v>8.5670858090368824</v>
      </c>
      <c r="O283" s="99">
        <v>-0.39455262822960435</v>
      </c>
      <c r="P283" s="99">
        <v>7.3984155379504273</v>
      </c>
      <c r="Q283" s="99">
        <v>-7.4003569303985728</v>
      </c>
      <c r="R283" s="99">
        <v>9.3922651933701786</v>
      </c>
      <c r="S283" s="56">
        <v>2.4665257223396679</v>
      </c>
      <c r="T283" s="56">
        <v>5.169646950939935</v>
      </c>
      <c r="U283" s="56">
        <v>-2.2670299727520415</v>
      </c>
      <c r="V283" s="56">
        <v>5.865952938552482</v>
      </c>
      <c r="W283" s="56">
        <v>28.210260191720209</v>
      </c>
      <c r="X283" s="56">
        <v>0.79697641935749175</v>
      </c>
      <c r="Y283" s="55">
        <v>6.4721225953700667</v>
      </c>
    </row>
    <row r="284" spans="1:25" x14ac:dyDescent="0.4">
      <c r="A284" s="98" t="s">
        <v>25</v>
      </c>
      <c r="B284" s="97"/>
      <c r="C284" s="97"/>
      <c r="D284" s="97"/>
      <c r="E284" s="96" t="s">
        <v>24</v>
      </c>
      <c r="F284" s="95"/>
      <c r="G284" s="94">
        <v>-42.071611253196927</v>
      </c>
      <c r="H284" s="94">
        <v>-298.01324503311258</v>
      </c>
      <c r="I284" s="94">
        <v>-419.28651059085837</v>
      </c>
      <c r="J284" s="94">
        <v>-138.72206703910615</v>
      </c>
      <c r="K284" s="94">
        <v>-74.180943793207092</v>
      </c>
      <c r="L284" s="94">
        <v>-875.6693830034925</v>
      </c>
      <c r="M284" s="94">
        <v>-2.3713042173195191</v>
      </c>
      <c r="N284" s="94">
        <v>-7.7017678708685651</v>
      </c>
      <c r="O284" s="94">
        <v>68.937375083277828</v>
      </c>
      <c r="P284" s="94">
        <v>-68.618751848565509</v>
      </c>
      <c r="Q284" s="94">
        <v>180.74143889412505</v>
      </c>
      <c r="R284" s="94">
        <v>-112.98119964189794</v>
      </c>
      <c r="S284" s="94">
        <v>-70.258620689655174</v>
      </c>
      <c r="T284" s="94">
        <v>-434.78260869565219</v>
      </c>
      <c r="U284" s="94">
        <v>559.91341991341994</v>
      </c>
      <c r="V284" s="94">
        <v>-111.74232484912096</v>
      </c>
      <c r="W284" s="94">
        <v>-1274.9720670391062</v>
      </c>
      <c r="X284" s="94">
        <v>-111.61087866108787</v>
      </c>
      <c r="Y284" s="93">
        <v>-417.93611793611791</v>
      </c>
    </row>
    <row r="285" spans="1:25" x14ac:dyDescent="0.4">
      <c r="A285" s="92" t="s">
        <v>23</v>
      </c>
      <c r="B285" s="91"/>
      <c r="C285" s="91"/>
      <c r="D285" s="91"/>
      <c r="E285" s="90" t="s">
        <v>22</v>
      </c>
      <c r="F285" s="89"/>
      <c r="G285" s="88">
        <v>0</v>
      </c>
      <c r="H285" s="88">
        <v>5</v>
      </c>
      <c r="I285" s="88">
        <v>-4.7619047619047734</v>
      </c>
      <c r="J285" s="88">
        <v>5</v>
      </c>
      <c r="K285" s="88">
        <v>-4.7619047619047734</v>
      </c>
      <c r="L285" s="88">
        <v>5</v>
      </c>
      <c r="M285" s="88">
        <v>9.5238095238095326</v>
      </c>
      <c r="N285" s="88">
        <v>4.3478260869565162</v>
      </c>
      <c r="O285" s="88">
        <v>4.1666666666666714</v>
      </c>
      <c r="P285" s="88">
        <v>8</v>
      </c>
      <c r="Q285" s="88">
        <v>3.7037037037036953</v>
      </c>
      <c r="R285" s="88">
        <v>-14.285714285714292</v>
      </c>
      <c r="S285" s="87">
        <v>4.1666666666666714</v>
      </c>
      <c r="T285" s="87">
        <v>8</v>
      </c>
      <c r="U285" s="87">
        <v>0</v>
      </c>
      <c r="V285" s="87">
        <v>0</v>
      </c>
      <c r="W285" s="87">
        <v>3.7037037037036953</v>
      </c>
      <c r="X285" s="87">
        <v>3.5714285714285836</v>
      </c>
      <c r="Y285" s="86">
        <v>-100</v>
      </c>
    </row>
    <row r="286" spans="1:25" x14ac:dyDescent="0.4">
      <c r="A286" s="85" t="s">
        <v>21</v>
      </c>
      <c r="B286" s="84"/>
      <c r="C286" s="84"/>
      <c r="D286" s="84"/>
      <c r="E286" s="83" t="s">
        <v>20</v>
      </c>
      <c r="F286" s="82"/>
      <c r="G286" s="82">
        <v>17.954842646674223</v>
      </c>
      <c r="H286" s="82">
        <v>4.0855542252376154</v>
      </c>
      <c r="I286" s="82">
        <v>22.558473095985349</v>
      </c>
      <c r="J286" s="82">
        <v>-4.5433477787305065</v>
      </c>
      <c r="K286" s="82">
        <v>7.9180879086196967</v>
      </c>
      <c r="L286" s="82">
        <v>34.218932781427156</v>
      </c>
      <c r="M286" s="82">
        <v>5.0718200559811066</v>
      </c>
      <c r="N286" s="82">
        <v>3.0116926414522425</v>
      </c>
      <c r="O286" s="82">
        <v>-1.7397835142542988</v>
      </c>
      <c r="P286" s="82">
        <v>-0.76512721914471626</v>
      </c>
      <c r="Q286" s="82">
        <v>0.94333629780206252</v>
      </c>
      <c r="R286" s="82">
        <v>9.66300619867215</v>
      </c>
      <c r="S286" s="82">
        <v>12.659244806610801</v>
      </c>
      <c r="T286" s="82">
        <v>7.1031988590057011</v>
      </c>
      <c r="U286" s="82">
        <v>-19.734620597817042</v>
      </c>
      <c r="V286" s="82">
        <v>43.072672868400787</v>
      </c>
      <c r="W286" s="82">
        <v>55.266059605220249</v>
      </c>
      <c r="X286" s="82">
        <v>-5.7930376855855883</v>
      </c>
      <c r="Y286" s="81">
        <v>-2.770390792556455</v>
      </c>
    </row>
    <row r="287" spans="1:25" x14ac:dyDescent="0.4">
      <c r="A287" s="80" t="s">
        <v>19</v>
      </c>
      <c r="B287" s="79"/>
      <c r="C287" s="79"/>
      <c r="D287" s="79"/>
      <c r="E287" s="78" t="s">
        <v>18</v>
      </c>
      <c r="F287" s="77"/>
      <c r="G287" s="77">
        <v>20.981509881651661</v>
      </c>
      <c r="H287" s="77">
        <v>5.9005022721836866</v>
      </c>
      <c r="I287" s="77">
        <v>13.324073446710472</v>
      </c>
      <c r="J287" s="77">
        <v>-6.3774874692335999</v>
      </c>
      <c r="K287" s="77">
        <v>3.7923216927612629</v>
      </c>
      <c r="L287" s="77">
        <v>28.189220230526274</v>
      </c>
      <c r="M287" s="77">
        <v>6.7645294188232441</v>
      </c>
      <c r="N287" s="77">
        <v>6.4775477480312702</v>
      </c>
      <c r="O287" s="77">
        <v>11.948826932008501</v>
      </c>
      <c r="P287" s="77">
        <v>14.874973284889933</v>
      </c>
      <c r="Q287" s="77">
        <v>1.5529411764705827</v>
      </c>
      <c r="R287" s="77">
        <v>-0.12231394271181273</v>
      </c>
      <c r="S287" s="77">
        <v>9.9643398557409739</v>
      </c>
      <c r="T287" s="77">
        <v>12.806197290892939</v>
      </c>
      <c r="U287" s="77">
        <v>-10.835718075621699</v>
      </c>
      <c r="V287" s="77">
        <v>38.810549266165594</v>
      </c>
      <c r="W287" s="77">
        <v>44.189846374407921</v>
      </c>
      <c r="X287" s="77">
        <v>-12.897864490297238</v>
      </c>
      <c r="Y287" s="76">
        <v>-9.1550300625868886E-2</v>
      </c>
    </row>
    <row r="288" spans="1:25" x14ac:dyDescent="0.4">
      <c r="A288" s="75" t="s">
        <v>10</v>
      </c>
      <c r="B288" s="74"/>
      <c r="C288" s="52"/>
      <c r="D288" s="74"/>
      <c r="E288" s="73" t="s">
        <v>9</v>
      </c>
      <c r="F288" s="50"/>
      <c r="G288" s="50">
        <v>12.914622527059578</v>
      </c>
      <c r="H288" s="50">
        <v>12.290751669269724</v>
      </c>
      <c r="I288" s="50">
        <v>11.212911837873918</v>
      </c>
      <c r="J288" s="50">
        <v>5.250192003424587</v>
      </c>
      <c r="K288" s="50">
        <v>8.470534756586261</v>
      </c>
      <c r="L288" s="50">
        <v>13.778443554019788</v>
      </c>
      <c r="M288" s="50">
        <v>7.6707973694030755</v>
      </c>
      <c r="N288" s="50">
        <v>7.1396099365798023</v>
      </c>
      <c r="O288" s="50">
        <v>6.8352441488713538</v>
      </c>
      <c r="P288" s="50">
        <v>5.4776295282624261</v>
      </c>
      <c r="Q288" s="50">
        <v>7.3431822361847736</v>
      </c>
      <c r="R288" s="50">
        <v>6.5628827644011949</v>
      </c>
      <c r="S288" s="50">
        <v>7.3136470350505363</v>
      </c>
      <c r="T288" s="50">
        <v>7.31703366400383</v>
      </c>
      <c r="U288" s="50">
        <v>-5.8106649762090683</v>
      </c>
      <c r="V288" s="50">
        <v>19.446032984433188</v>
      </c>
      <c r="W288" s="50">
        <v>23.347062049212084</v>
      </c>
      <c r="X288" s="50">
        <v>7.7142695939511157</v>
      </c>
      <c r="Y288" s="72">
        <v>7.6920429746516703</v>
      </c>
    </row>
    <row r="289" spans="1:25" x14ac:dyDescent="0.4">
      <c r="A289" s="71"/>
      <c r="C289" s="70"/>
      <c r="D289" s="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Y289" s="47"/>
    </row>
    <row r="290" spans="1:25" s="41" customFormat="1" ht="16" x14ac:dyDescent="0.45">
      <c r="A290" s="46" t="s">
        <v>17</v>
      </c>
      <c r="B290" s="45"/>
      <c r="C290" s="45"/>
      <c r="D290" s="45"/>
      <c r="E290" s="45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3"/>
      <c r="R290" s="43"/>
      <c r="S290" s="43"/>
      <c r="T290" s="43"/>
      <c r="U290" s="43"/>
      <c r="V290" s="43"/>
      <c r="W290" s="43"/>
      <c r="X290" s="43"/>
      <c r="Y290" s="42"/>
    </row>
    <row r="291" spans="1:25" x14ac:dyDescent="0.4">
      <c r="A291" s="69"/>
      <c r="B291" s="68"/>
      <c r="C291" s="68"/>
      <c r="D291" s="68"/>
      <c r="E291" s="6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Y291" s="13"/>
    </row>
    <row r="292" spans="1:25" x14ac:dyDescent="0.4">
      <c r="A292" s="66" t="s">
        <v>16</v>
      </c>
      <c r="B292" s="59"/>
      <c r="C292" s="65"/>
      <c r="D292" s="59"/>
      <c r="E292" s="64" t="s">
        <v>15</v>
      </c>
      <c r="F292" s="57"/>
      <c r="G292" s="57">
        <v>12.588475045033576</v>
      </c>
      <c r="H292" s="57">
        <v>12.881095713304518</v>
      </c>
      <c r="I292" s="57">
        <v>9.7246878937120584</v>
      </c>
      <c r="J292" s="57">
        <v>8.9247851984264059</v>
      </c>
      <c r="K292" s="57">
        <v>7.5915932463269939</v>
      </c>
      <c r="L292" s="57">
        <v>8.2427798436838913</v>
      </c>
      <c r="M292" s="57">
        <v>10.370648467674329</v>
      </c>
      <c r="N292" s="57">
        <v>8.2364124356967068</v>
      </c>
      <c r="O292" s="57">
        <v>8.0892355909145692</v>
      </c>
      <c r="P292" s="57">
        <v>9.2534471908680302</v>
      </c>
      <c r="Q292" s="57">
        <v>6.2900327005873038</v>
      </c>
      <c r="R292" s="57">
        <v>7.1535630622751256</v>
      </c>
      <c r="S292" s="56">
        <v>7.5856704799339241</v>
      </c>
      <c r="T292" s="56">
        <v>8.6097995638423583</v>
      </c>
      <c r="U292" s="56">
        <v>2.0358520336605892</v>
      </c>
      <c r="V292" s="56">
        <v>8.9667318141792407</v>
      </c>
      <c r="W292" s="56">
        <v>13.256119914853357</v>
      </c>
      <c r="X292" s="56">
        <v>14.004128842510099</v>
      </c>
      <c r="Y292" s="55">
        <v>10.109737458235472</v>
      </c>
    </row>
    <row r="293" spans="1:25" ht="28" x14ac:dyDescent="0.4">
      <c r="A293" s="63" t="s">
        <v>14</v>
      </c>
      <c r="D293" s="1"/>
      <c r="E293" s="2" t="s">
        <v>13</v>
      </c>
      <c r="F293" s="4"/>
      <c r="G293" s="4">
        <v>18.818709811242471</v>
      </c>
      <c r="H293" s="4">
        <v>13.073364465587218</v>
      </c>
      <c r="I293" s="4">
        <v>7.83140668120501</v>
      </c>
      <c r="J293" s="4">
        <v>0.86263982102907732</v>
      </c>
      <c r="K293" s="4">
        <v>11.21067480525933</v>
      </c>
      <c r="L293" s="4">
        <v>15.802153968887112</v>
      </c>
      <c r="M293" s="4">
        <v>6.4385014949227752</v>
      </c>
      <c r="N293" s="4">
        <v>1.0821726298348295</v>
      </c>
      <c r="O293" s="4">
        <v>11.04010859543078</v>
      </c>
      <c r="P293" s="4">
        <v>10.291895881627042</v>
      </c>
      <c r="Q293" s="4">
        <v>3.2781571214957239</v>
      </c>
      <c r="R293" s="4">
        <v>10.539850963874926</v>
      </c>
      <c r="S293" s="62">
        <v>8.1655644910146634</v>
      </c>
      <c r="T293" s="62">
        <v>9.7990566756708688</v>
      </c>
      <c r="U293" s="62">
        <v>-13.153896579647551</v>
      </c>
      <c r="V293" s="62">
        <v>28.16293546696977</v>
      </c>
      <c r="W293" s="62">
        <v>30.100538375726671</v>
      </c>
      <c r="X293" s="62">
        <v>7.2393683593854092</v>
      </c>
      <c r="Y293" s="61">
        <v>5.3958620963656614</v>
      </c>
    </row>
    <row r="294" spans="1:25" x14ac:dyDescent="0.4">
      <c r="A294" s="60" t="s">
        <v>12</v>
      </c>
      <c r="B294" s="59"/>
      <c r="C294" s="59"/>
      <c r="D294" s="59"/>
      <c r="E294" s="58" t="s">
        <v>11</v>
      </c>
      <c r="F294" s="57"/>
      <c r="G294" s="57">
        <v>11.902022462421897</v>
      </c>
      <c r="H294" s="57">
        <v>11.777024190771755</v>
      </c>
      <c r="I294" s="57">
        <v>12.829492854219325</v>
      </c>
      <c r="J294" s="57">
        <v>4.0606137667446944</v>
      </c>
      <c r="K294" s="57">
        <v>8.4429446265309736</v>
      </c>
      <c r="L294" s="57">
        <v>16.653576316740072</v>
      </c>
      <c r="M294" s="57">
        <v>6.4335044502714425</v>
      </c>
      <c r="N294" s="57">
        <v>7.7603717632864999</v>
      </c>
      <c r="O294" s="57">
        <v>5.3004426324119862</v>
      </c>
      <c r="P294" s="57">
        <v>2.2657132103876592</v>
      </c>
      <c r="Q294" s="57">
        <v>8.9018566907110142</v>
      </c>
      <c r="R294" s="57">
        <v>5.3694875732121119</v>
      </c>
      <c r="S294" s="56">
        <v>6.9568529190679129</v>
      </c>
      <c r="T294" s="56">
        <v>5.9533604082604228</v>
      </c>
      <c r="U294" s="56">
        <v>-9.1931150249315863</v>
      </c>
      <c r="V294" s="56">
        <v>25.137424178084601</v>
      </c>
      <c r="W294" s="56">
        <v>28.205403604789979</v>
      </c>
      <c r="X294" s="56">
        <v>4.3119347369724608</v>
      </c>
      <c r="Y294" s="55">
        <v>6.7553993260663248</v>
      </c>
    </row>
    <row r="295" spans="1:25" x14ac:dyDescent="0.4">
      <c r="A295" s="54" t="s">
        <v>10</v>
      </c>
      <c r="B295" s="52"/>
      <c r="C295" s="53"/>
      <c r="D295" s="52"/>
      <c r="E295" s="51" t="s">
        <v>9</v>
      </c>
      <c r="F295" s="50"/>
      <c r="G295" s="50">
        <v>12.914622527059578</v>
      </c>
      <c r="H295" s="50">
        <v>12.290751669269724</v>
      </c>
      <c r="I295" s="50">
        <v>11.212911837873918</v>
      </c>
      <c r="J295" s="50">
        <v>5.250192003424587</v>
      </c>
      <c r="K295" s="50">
        <v>8.470534756586261</v>
      </c>
      <c r="L295" s="50">
        <v>13.778443554019788</v>
      </c>
      <c r="M295" s="50">
        <v>7.6707973694030755</v>
      </c>
      <c r="N295" s="50">
        <v>7.1396099365798023</v>
      </c>
      <c r="O295" s="50">
        <v>6.8352441488713538</v>
      </c>
      <c r="P295" s="50">
        <v>5.4776295282624261</v>
      </c>
      <c r="Q295" s="50">
        <v>7.3431822361847736</v>
      </c>
      <c r="R295" s="50">
        <v>6.5628827644011949</v>
      </c>
      <c r="S295" s="49">
        <v>7.3136470350505363</v>
      </c>
      <c r="T295" s="49">
        <v>7.31703366400383</v>
      </c>
      <c r="U295" s="49">
        <v>-5.8106649762090683</v>
      </c>
      <c r="V295" s="49">
        <v>19.446032984433188</v>
      </c>
      <c r="W295" s="49">
        <v>23.347062049212084</v>
      </c>
      <c r="X295" s="49">
        <v>7.7142695939511157</v>
      </c>
      <c r="Y295" s="48">
        <v>7.6920429746516703</v>
      </c>
    </row>
    <row r="296" spans="1:25" x14ac:dyDescent="0.4">
      <c r="A296" s="40"/>
      <c r="D296" s="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Y296" s="47"/>
    </row>
    <row r="297" spans="1:25" s="41" customFormat="1" ht="16" x14ac:dyDescent="0.45">
      <c r="A297" s="46" t="s">
        <v>8</v>
      </c>
      <c r="B297" s="45"/>
      <c r="C297" s="45"/>
      <c r="D297" s="45"/>
      <c r="E297" s="45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3"/>
      <c r="R297" s="43"/>
      <c r="S297" s="43"/>
      <c r="T297" s="43"/>
      <c r="U297" s="43"/>
      <c r="V297" s="43"/>
      <c r="W297" s="43"/>
      <c r="X297" s="43"/>
      <c r="Y297" s="42"/>
    </row>
    <row r="298" spans="1:25" x14ac:dyDescent="0.4">
      <c r="A298" s="40"/>
      <c r="D298" s="1"/>
      <c r="E298" s="2" t="s">
        <v>7</v>
      </c>
      <c r="F298" s="4"/>
      <c r="G298" s="4">
        <v>1.1956456582062458</v>
      </c>
      <c r="H298" s="4">
        <v>1.1584124742714863</v>
      </c>
      <c r="I298" s="4">
        <v>1.1143981885963115</v>
      </c>
      <c r="J298" s="4">
        <v>1.100321817928517</v>
      </c>
      <c r="K298" s="4">
        <v>1.09533823924302</v>
      </c>
      <c r="L298" s="4">
        <v>1.0595674501271191</v>
      </c>
      <c r="M298" s="4">
        <v>1.0058824670144304</v>
      </c>
      <c r="N298" s="4">
        <v>0.96301304681118438</v>
      </c>
      <c r="O298" s="4">
        <v>0.94875877689027277</v>
      </c>
      <c r="P298" s="4">
        <v>0.9765139806143992</v>
      </c>
      <c r="Q298" s="4">
        <v>1.1146071099435346</v>
      </c>
      <c r="R298" s="4">
        <v>1.2579170207479393</v>
      </c>
      <c r="S298" s="4">
        <v>1.769945507305053</v>
      </c>
      <c r="T298" s="4">
        <v>2.3564431994085737</v>
      </c>
      <c r="U298" s="4">
        <v>2.048699483383956</v>
      </c>
      <c r="V298" s="4">
        <v>1.407982800704815</v>
      </c>
      <c r="W298" s="4">
        <v>1.1059135310109269</v>
      </c>
      <c r="X298" s="4">
        <v>1.0309273363701834</v>
      </c>
      <c r="Y298" s="39">
        <v>0.92012711244015577</v>
      </c>
    </row>
    <row r="299" spans="1:25" x14ac:dyDescent="0.4">
      <c r="A299" s="38"/>
      <c r="B299" s="36"/>
      <c r="C299" s="37"/>
      <c r="D299" s="36"/>
      <c r="E299" s="35" t="s">
        <v>6</v>
      </c>
      <c r="F299" s="34"/>
      <c r="G299" s="33">
        <v>11.580512302252856</v>
      </c>
      <c r="H299" s="33">
        <v>11.004850729156487</v>
      </c>
      <c r="I299" s="33">
        <v>9.987216526907261</v>
      </c>
      <c r="J299" s="33">
        <v>4.104707574081857</v>
      </c>
      <c r="K299" s="33">
        <v>7.2952865981539787</v>
      </c>
      <c r="L299" s="33">
        <v>12.585524257468947</v>
      </c>
      <c r="M299" s="33">
        <v>6.5985478140811153</v>
      </c>
      <c r="N299" s="33">
        <v>6.1176780379116593</v>
      </c>
      <c r="O299" s="33">
        <v>5.8311653804865387</v>
      </c>
      <c r="P299" s="33">
        <v>4.4575826153057534</v>
      </c>
      <c r="Q299" s="33">
        <v>6.159919160809352</v>
      </c>
      <c r="R299" s="33">
        <v>5.2390643735587901</v>
      </c>
      <c r="S299" s="33">
        <v>5.447285318589536</v>
      </c>
      <c r="T299" s="33">
        <v>4.8463880230296326</v>
      </c>
      <c r="U299" s="33">
        <v>-7.701582946052568</v>
      </c>
      <c r="V299" s="33">
        <v>17.787605941802994</v>
      </c>
      <c r="W299" s="33">
        <v>21.997868698433763</v>
      </c>
      <c r="X299" s="33">
        <v>6.6151453143705936</v>
      </c>
      <c r="Y299" s="32">
        <v>6.7101743356195556</v>
      </c>
    </row>
    <row r="300" spans="1:25" x14ac:dyDescent="0.4">
      <c r="A300" s="29"/>
      <c r="B300" s="29"/>
      <c r="C300" s="29"/>
      <c r="D300" s="29"/>
      <c r="E300" s="31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6.5" customHeight="1" x14ac:dyDescent="0.4">
      <c r="A301" s="28" t="s">
        <v>5</v>
      </c>
      <c r="B301" s="27"/>
      <c r="C301" s="27"/>
      <c r="D301" s="27"/>
      <c r="E301" s="26"/>
      <c r="F301" s="25"/>
      <c r="G301" s="25"/>
      <c r="H301" s="24"/>
      <c r="I301" s="24"/>
      <c r="J301" s="24"/>
      <c r="K301" s="24"/>
      <c r="L301" s="24"/>
      <c r="M301" s="24"/>
      <c r="N301" s="24"/>
      <c r="O301" s="24"/>
      <c r="P301" s="24"/>
      <c r="Q301" s="23"/>
      <c r="R301" s="23"/>
      <c r="S301" s="23"/>
      <c r="T301" s="23"/>
      <c r="U301" s="23"/>
      <c r="V301" s="23"/>
      <c r="W301" s="23"/>
      <c r="X301" s="23"/>
      <c r="Y301" s="22"/>
    </row>
    <row r="302" spans="1:25" ht="16.5" customHeight="1" x14ac:dyDescent="0.4">
      <c r="A302" s="19" t="s">
        <v>4</v>
      </c>
      <c r="B302" s="17"/>
      <c r="C302" s="17"/>
      <c r="D302" s="17"/>
      <c r="E302" s="17"/>
      <c r="F302" s="21"/>
      <c r="G302" s="21"/>
      <c r="H302" s="20"/>
      <c r="I302" s="20"/>
      <c r="J302" s="20"/>
      <c r="K302" s="20"/>
      <c r="L302" s="20"/>
      <c r="M302" s="20"/>
      <c r="N302" s="20"/>
      <c r="O302" s="20"/>
      <c r="P302" s="20"/>
      <c r="Q302" s="15"/>
      <c r="R302" s="15"/>
      <c r="S302" s="15"/>
      <c r="T302" s="15"/>
      <c r="U302" s="15"/>
      <c r="V302" s="15"/>
      <c r="W302" s="15"/>
      <c r="X302" s="15"/>
      <c r="Y302" s="16"/>
    </row>
    <row r="303" spans="1:25" s="15" customFormat="1" ht="15" customHeight="1" x14ac:dyDescent="0.35">
      <c r="A303" s="19" t="s">
        <v>3</v>
      </c>
      <c r="Y303" s="16"/>
    </row>
    <row r="304" spans="1:25" s="15" customFormat="1" ht="16.5" customHeight="1" x14ac:dyDescent="0.35">
      <c r="A304" s="18" t="s">
        <v>2</v>
      </c>
      <c r="B304" s="17"/>
      <c r="C304" s="17"/>
      <c r="D304" s="17"/>
      <c r="E304" s="17"/>
      <c r="F304" s="17"/>
      <c r="G304" s="17"/>
      <c r="Y304" s="16"/>
    </row>
    <row r="305" spans="1:25" x14ac:dyDescent="0.4">
      <c r="A305" s="14" t="s">
        <v>1</v>
      </c>
      <c r="Y305" s="13"/>
    </row>
    <row r="306" spans="1:25" ht="16.5" customHeight="1" x14ac:dyDescent="0.4">
      <c r="A306" s="12" t="s">
        <v>0</v>
      </c>
      <c r="B306" s="11"/>
      <c r="C306" s="11"/>
      <c r="D306" s="11"/>
      <c r="E306" s="10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7"/>
      <c r="R306" s="7"/>
      <c r="S306" s="7"/>
      <c r="T306" s="7"/>
      <c r="U306" s="7"/>
      <c r="V306" s="7"/>
      <c r="W306" s="7"/>
      <c r="X306" s="7"/>
      <c r="Y306" s="6"/>
    </row>
    <row r="307" spans="1:25" x14ac:dyDescent="0.4">
      <c r="D307" s="1"/>
      <c r="E307" s="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25" x14ac:dyDescent="0.4">
      <c r="D308" s="1"/>
      <c r="E308" s="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25" x14ac:dyDescent="0.4">
      <c r="D309" s="1"/>
      <c r="E309" s="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25" x14ac:dyDescent="0.4">
      <c r="D310" s="1"/>
      <c r="E310" s="1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25" x14ac:dyDescent="0.4">
      <c r="D311" s="1"/>
      <c r="E311" s="1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25" x14ac:dyDescent="0.4">
      <c r="D312" s="1"/>
      <c r="E312" s="1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25" x14ac:dyDescent="0.4">
      <c r="D313" s="1"/>
      <c r="E313" s="1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25" x14ac:dyDescent="0.4">
      <c r="D314" s="1"/>
      <c r="E314" s="1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25" x14ac:dyDescent="0.4">
      <c r="D315" s="1"/>
      <c r="E315" s="1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25" x14ac:dyDescent="0.4">
      <c r="D316" s="1"/>
      <c r="E316" s="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25" x14ac:dyDescent="0.4">
      <c r="D317" s="1"/>
      <c r="E317" s="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x14ac:dyDescent="0.4">
      <c r="D318" s="1"/>
      <c r="E318" s="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25" ht="15" x14ac:dyDescent="0.4">
      <c r="D319" s="1"/>
      <c r="E319" s="1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x14ac:dyDescent="0.4">
      <c r="D320" s="1"/>
      <c r="E320" s="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4:25" x14ac:dyDescent="0.4">
      <c r="D321" s="1"/>
      <c r="E321" s="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4:25" x14ac:dyDescent="0.4">
      <c r="D322" s="1"/>
      <c r="E322" s="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4:25" x14ac:dyDescent="0.4">
      <c r="D323" s="1"/>
      <c r="E323" s="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4:25" x14ac:dyDescent="0.4">
      <c r="D324" s="1"/>
      <c r="E324" s="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4:25" x14ac:dyDescent="0.4">
      <c r="D325" s="1"/>
      <c r="E325" s="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4:25" x14ac:dyDescent="0.4">
      <c r="D326" s="1"/>
      <c r="E326" s="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4:25" x14ac:dyDescent="0.4">
      <c r="D327" s="1"/>
      <c r="E327" s="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4:25" x14ac:dyDescent="0.4">
      <c r="D328" s="1"/>
      <c r="E328" s="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4:25" x14ac:dyDescent="0.4">
      <c r="D329" s="1"/>
      <c r="E329" s="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4:25" x14ac:dyDescent="0.4">
      <c r="D330" s="1"/>
      <c r="E330" s="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4:25" x14ac:dyDescent="0.4">
      <c r="D331" s="1"/>
      <c r="E331" s="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4:25" x14ac:dyDescent="0.4">
      <c r="D332" s="1"/>
      <c r="E332" s="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4:25" x14ac:dyDescent="0.4">
      <c r="D333" s="1"/>
      <c r="E333" s="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4:25" x14ac:dyDescent="0.4">
      <c r="D334" s="1"/>
      <c r="E334" s="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4:25" x14ac:dyDescent="0.4">
      <c r="D335" s="1"/>
      <c r="E335" s="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4:25" x14ac:dyDescent="0.4">
      <c r="D336" s="1"/>
      <c r="E336" s="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4:16" x14ac:dyDescent="0.4">
      <c r="D337" s="1"/>
      <c r="E337" s="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4:16" x14ac:dyDescent="0.4">
      <c r="D338" s="1"/>
      <c r="E338" s="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4:16" x14ac:dyDescent="0.4">
      <c r="D339" s="1"/>
      <c r="E339" s="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4:16" x14ac:dyDescent="0.4">
      <c r="D340" s="1"/>
      <c r="E340" s="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4:16" x14ac:dyDescent="0.4">
      <c r="D341" s="1"/>
      <c r="E341" s="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4:16" x14ac:dyDescent="0.4">
      <c r="D342" s="1"/>
      <c r="E342" s="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4:16" x14ac:dyDescent="0.4">
      <c r="D343" s="1"/>
      <c r="E343" s="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4:16" x14ac:dyDescent="0.4">
      <c r="D344" s="1"/>
      <c r="E344" s="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4:16" x14ac:dyDescent="0.4">
      <c r="D345" s="1"/>
      <c r="E345" s="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4:16" x14ac:dyDescent="0.4">
      <c r="D346" s="1"/>
      <c r="E346" s="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4:16" x14ac:dyDescent="0.4">
      <c r="D347" s="1"/>
      <c r="E347" s="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4:16" x14ac:dyDescent="0.4">
      <c r="D348" s="1"/>
      <c r="E348" s="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4:16" x14ac:dyDescent="0.4">
      <c r="D349" s="1"/>
      <c r="E349" s="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4:16" x14ac:dyDescent="0.4">
      <c r="D350" s="1"/>
      <c r="E350" s="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4:16" x14ac:dyDescent="0.4">
      <c r="D351" s="1"/>
      <c r="E351" s="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4:16" x14ac:dyDescent="0.4">
      <c r="D352" s="1"/>
      <c r="E352" s="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4:16" x14ac:dyDescent="0.4">
      <c r="D353" s="1"/>
      <c r="E353" s="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4:16" x14ac:dyDescent="0.4">
      <c r="D354" s="1"/>
      <c r="E354" s="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4:16" x14ac:dyDescent="0.4">
      <c r="D355" s="1"/>
      <c r="E355" s="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4:16" x14ac:dyDescent="0.4">
      <c r="D356" s="1"/>
      <c r="E356" s="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4:16" x14ac:dyDescent="0.4">
      <c r="D357" s="1"/>
      <c r="E357" s="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4:16" x14ac:dyDescent="0.4">
      <c r="D358" s="1"/>
      <c r="E358" s="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4:16" x14ac:dyDescent="0.4">
      <c r="D359" s="1"/>
      <c r="E359" s="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4:16" x14ac:dyDescent="0.4">
      <c r="D360" s="1"/>
      <c r="E360" s="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4:16" x14ac:dyDescent="0.4">
      <c r="D361" s="1"/>
      <c r="E361" s="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4:16" x14ac:dyDescent="0.4">
      <c r="D362" s="1"/>
      <c r="E362" s="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4:16" x14ac:dyDescent="0.4">
      <c r="D363" s="1"/>
      <c r="E363" s="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4:16" x14ac:dyDescent="0.4">
      <c r="D364" s="1"/>
      <c r="E364" s="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4:16" x14ac:dyDescent="0.4">
      <c r="D365" s="1"/>
      <c r="E365" s="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4:16" x14ac:dyDescent="0.4">
      <c r="D366" s="1"/>
      <c r="E366" s="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4:16" x14ac:dyDescent="0.4">
      <c r="D367" s="1"/>
      <c r="E367" s="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4:16" x14ac:dyDescent="0.4">
      <c r="D368" s="1"/>
      <c r="E368" s="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4:16" x14ac:dyDescent="0.4">
      <c r="D369" s="1"/>
      <c r="E369" s="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4:16" x14ac:dyDescent="0.4">
      <c r="D370" s="1"/>
      <c r="E370" s="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4:16" x14ac:dyDescent="0.4">
      <c r="D371" s="1"/>
      <c r="E371" s="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4:16" x14ac:dyDescent="0.4">
      <c r="D372" s="1"/>
      <c r="E372" s="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4:16" x14ac:dyDescent="0.4">
      <c r="D373" s="1"/>
      <c r="E373" s="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4:16" x14ac:dyDescent="0.4">
      <c r="D374" s="1"/>
      <c r="E374" s="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4:16" x14ac:dyDescent="0.4">
      <c r="D375" s="1"/>
      <c r="E375" s="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4:16" x14ac:dyDescent="0.4">
      <c r="D376" s="1"/>
      <c r="E376" s="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4:16" x14ac:dyDescent="0.4">
      <c r="D377" s="1"/>
      <c r="E377" s="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4:16" x14ac:dyDescent="0.4">
      <c r="D378" s="1"/>
      <c r="E378" s="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4:16" x14ac:dyDescent="0.4">
      <c r="D379" s="1"/>
      <c r="E379" s="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4:16" x14ac:dyDescent="0.4">
      <c r="D380" s="1"/>
      <c r="E380" s="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4:16" x14ac:dyDescent="0.4">
      <c r="D381" s="1"/>
      <c r="E381" s="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4:16" x14ac:dyDescent="0.4">
      <c r="D382" s="1"/>
      <c r="E382" s="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4:16" x14ac:dyDescent="0.4">
      <c r="D383" s="1"/>
      <c r="E383" s="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4:16" x14ac:dyDescent="0.4">
      <c r="D384" s="1"/>
      <c r="E384" s="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4:16" x14ac:dyDescent="0.4">
      <c r="D385" s="1"/>
      <c r="E385" s="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4:16" x14ac:dyDescent="0.4">
      <c r="D386" s="1"/>
      <c r="E386" s="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4:16" x14ac:dyDescent="0.4">
      <c r="D387" s="1"/>
      <c r="E387" s="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4:16" x14ac:dyDescent="0.4">
      <c r="D388" s="1"/>
      <c r="E388" s="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4:16" x14ac:dyDescent="0.4">
      <c r="D389" s="1"/>
      <c r="E389" s="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4:16" x14ac:dyDescent="0.4">
      <c r="D390" s="1"/>
      <c r="E390" s="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4:16" x14ac:dyDescent="0.4">
      <c r="D391" s="1"/>
      <c r="E391" s="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4:16" x14ac:dyDescent="0.4">
      <c r="D392" s="1"/>
      <c r="E392" s="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4:16" x14ac:dyDescent="0.4">
      <c r="D393" s="1"/>
      <c r="E393" s="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4:16" x14ac:dyDescent="0.4">
      <c r="D394" s="1"/>
      <c r="E394" s="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4:16" x14ac:dyDescent="0.4">
      <c r="D395" s="1"/>
      <c r="E395" s="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4:16" x14ac:dyDescent="0.4">
      <c r="D396" s="1"/>
      <c r="E396" s="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4:16" x14ac:dyDescent="0.4">
      <c r="D397" s="1"/>
      <c r="E397" s="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4:16" x14ac:dyDescent="0.4">
      <c r="D398" s="1"/>
      <c r="E398" s="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4:16" x14ac:dyDescent="0.4">
      <c r="D399" s="1"/>
      <c r="E399" s="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4:16" x14ac:dyDescent="0.4">
      <c r="D400" s="1"/>
      <c r="E400" s="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4:16" x14ac:dyDescent="0.4">
      <c r="D401" s="1"/>
      <c r="E401" s="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4:16" x14ac:dyDescent="0.4">
      <c r="D402" s="1"/>
      <c r="E402" s="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4:16" x14ac:dyDescent="0.4">
      <c r="D403" s="1"/>
      <c r="E403" s="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4:16" x14ac:dyDescent="0.4">
      <c r="D404" s="1"/>
      <c r="E404" s="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4:16" x14ac:dyDescent="0.4">
      <c r="D405" s="1"/>
      <c r="E405" s="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4:16" x14ac:dyDescent="0.4">
      <c r="D406" s="1"/>
      <c r="E406" s="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4:16" x14ac:dyDescent="0.4">
      <c r="D407" s="1"/>
      <c r="E407" s="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4:16" x14ac:dyDescent="0.4">
      <c r="D408" s="1"/>
      <c r="E408" s="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4:16" x14ac:dyDescent="0.4">
      <c r="D409" s="1"/>
      <c r="E409" s="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4:16" x14ac:dyDescent="0.4">
      <c r="D410" s="1"/>
      <c r="E410" s="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4:16" x14ac:dyDescent="0.4">
      <c r="D411" s="1"/>
      <c r="E411" s="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4:16" x14ac:dyDescent="0.4">
      <c r="D412" s="1"/>
      <c r="E412" s="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4:16" x14ac:dyDescent="0.4">
      <c r="D413" s="1"/>
      <c r="E413" s="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4:16" x14ac:dyDescent="0.4">
      <c r="D414" s="1"/>
      <c r="E414" s="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4:16" x14ac:dyDescent="0.4">
      <c r="D415" s="1"/>
      <c r="E415" s="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4:16" x14ac:dyDescent="0.4">
      <c r="D416" s="1"/>
      <c r="E416" s="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4:16" x14ac:dyDescent="0.4">
      <c r="D417" s="1"/>
      <c r="E417" s="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4:16" x14ac:dyDescent="0.4">
      <c r="D418" s="1"/>
      <c r="E418" s="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4:16" x14ac:dyDescent="0.4">
      <c r="D419" s="1"/>
      <c r="E419" s="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4:16" x14ac:dyDescent="0.4">
      <c r="D420" s="1"/>
      <c r="E420" s="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4:16" x14ac:dyDescent="0.4">
      <c r="D421" s="1"/>
      <c r="E421" s="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4:16" x14ac:dyDescent="0.4">
      <c r="D422" s="1"/>
      <c r="E422" s="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4:16" x14ac:dyDescent="0.4">
      <c r="D423" s="1"/>
      <c r="E423" s="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4:16" x14ac:dyDescent="0.4">
      <c r="D424" s="1"/>
      <c r="E424" s="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4:16" x14ac:dyDescent="0.4">
      <c r="D425" s="1"/>
      <c r="E425" s="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4:16" x14ac:dyDescent="0.4">
      <c r="D426" s="1"/>
      <c r="E426" s="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4:16" x14ac:dyDescent="0.4">
      <c r="D427" s="1"/>
      <c r="E427" s="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4:16" x14ac:dyDescent="0.4">
      <c r="D428" s="1"/>
      <c r="E428" s="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4:16" x14ac:dyDescent="0.4">
      <c r="D429" s="1"/>
      <c r="E429" s="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4:16" x14ac:dyDescent="0.4">
      <c r="D430" s="1"/>
      <c r="E430" s="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4:16" x14ac:dyDescent="0.4">
      <c r="D431" s="1"/>
      <c r="E431" s="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4:16" x14ac:dyDescent="0.4">
      <c r="D432" s="1"/>
      <c r="E432" s="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4:16" x14ac:dyDescent="0.4">
      <c r="D433" s="1"/>
      <c r="E433" s="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4:16" x14ac:dyDescent="0.4">
      <c r="D434" s="1"/>
      <c r="E434" s="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4:16" x14ac:dyDescent="0.4">
      <c r="D435" s="1"/>
      <c r="E435" s="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4:16" x14ac:dyDescent="0.4">
      <c r="D436" s="1"/>
      <c r="E436" s="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4:16" x14ac:dyDescent="0.4">
      <c r="D437" s="1"/>
      <c r="E437" s="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4:16" x14ac:dyDescent="0.4">
      <c r="D438" s="1"/>
      <c r="E438" s="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4:16" x14ac:dyDescent="0.4">
      <c r="D439" s="1"/>
      <c r="E439" s="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4:16" x14ac:dyDescent="0.4">
      <c r="D440" s="1"/>
      <c r="E440" s="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4:16" x14ac:dyDescent="0.4">
      <c r="D441" s="1"/>
      <c r="E441" s="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4:16" x14ac:dyDescent="0.4">
      <c r="D442" s="1"/>
      <c r="E442" s="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4:16" x14ac:dyDescent="0.4">
      <c r="D443" s="1"/>
      <c r="E443" s="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4:16" x14ac:dyDescent="0.4">
      <c r="D444" s="1"/>
      <c r="E444" s="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</sheetData>
  <mergeCells count="11">
    <mergeCell ref="A1:G2"/>
    <mergeCell ref="A3:G4"/>
    <mergeCell ref="A12:E12"/>
    <mergeCell ref="A116:E116"/>
    <mergeCell ref="A290:E290"/>
    <mergeCell ref="A297:E297"/>
    <mergeCell ref="A137:E137"/>
    <mergeCell ref="A144:E144"/>
    <mergeCell ref="A157:G158"/>
    <mergeCell ref="A165:E165"/>
    <mergeCell ref="A269:E269"/>
  </mergeCells>
  <conditionalFormatting sqref="Z116:XFD151 Z153:XFD304 Z306:XFD306">
    <cfRule type="cellIs" dxfId="3" priority="1" operator="lessThan">
      <formula>0</formula>
    </cfRule>
    <cfRule type="cellIs" dxfId="2" priority="2" operator="greaterThan">
      <formula>0</formula>
    </cfRule>
  </conditionalFormatting>
  <hyperlinks>
    <hyperlink ref="Y8" location="Índice!A1" display="Índice" xr:uid="{6F172463-9C69-46DE-A486-BDE7FC067B2C}"/>
  </hyperlinks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8535-61B8-4254-9A3B-7CA47201DF93}">
  <dimension ref="A1:Y445"/>
  <sheetViews>
    <sheetView showGridLines="0" topLeftCell="A109" zoomScaleNormal="100" workbookViewId="0">
      <selection activeCell="E117" sqref="E117:E134"/>
    </sheetView>
  </sheetViews>
  <sheetFormatPr baseColWidth="10" defaultColWidth="10.81640625" defaultRowHeight="14" outlineLevelRow="2" x14ac:dyDescent="0.4"/>
  <cols>
    <col min="1" max="1" width="14" style="1" customWidth="1"/>
    <col min="2" max="3" width="15.7265625" style="1" customWidth="1"/>
    <col min="4" max="4" width="15.7265625" style="3" customWidth="1"/>
    <col min="5" max="5" width="52.453125" style="2" customWidth="1"/>
    <col min="6" max="16384" width="10.81640625" style="1"/>
  </cols>
  <sheetData>
    <row r="1" spans="1:25" s="233" customFormat="1" ht="60" customHeight="1" x14ac:dyDescent="0.45">
      <c r="A1" s="235"/>
      <c r="B1" s="235"/>
      <c r="C1" s="235"/>
      <c r="D1" s="235"/>
      <c r="E1" s="235"/>
      <c r="F1" s="235"/>
      <c r="G1" s="235"/>
      <c r="H1" s="234"/>
      <c r="I1" s="234"/>
    </row>
    <row r="2" spans="1:25" s="233" customFormat="1" ht="30.75" customHeight="1" x14ac:dyDescent="0.45">
      <c r="A2" s="235"/>
      <c r="B2" s="235"/>
      <c r="C2" s="235"/>
      <c r="D2" s="235"/>
      <c r="E2" s="235"/>
      <c r="F2" s="235"/>
      <c r="G2" s="235"/>
      <c r="H2" s="234"/>
      <c r="I2" s="234"/>
    </row>
    <row r="3" spans="1:25" s="29" customFormat="1" ht="13.5" customHeight="1" x14ac:dyDescent="0.4">
      <c r="A3" s="194" t="s">
        <v>239</v>
      </c>
      <c r="B3" s="193"/>
      <c r="C3" s="193"/>
      <c r="D3" s="193"/>
      <c r="E3" s="193"/>
      <c r="F3" s="193"/>
      <c r="G3" s="192"/>
    </row>
    <row r="4" spans="1:25" s="29" customFormat="1" ht="17.25" customHeight="1" x14ac:dyDescent="0.4">
      <c r="A4" s="194"/>
      <c r="B4" s="193"/>
      <c r="C4" s="193"/>
      <c r="D4" s="193"/>
      <c r="E4" s="193"/>
      <c r="F4" s="193"/>
      <c r="G4" s="192"/>
    </row>
    <row r="5" spans="1:25" s="29" customFormat="1" x14ac:dyDescent="0.4">
      <c r="A5" s="191" t="s">
        <v>263</v>
      </c>
      <c r="B5" s="190"/>
      <c r="C5" s="190"/>
      <c r="D5" s="190"/>
      <c r="E5" s="190"/>
      <c r="F5" s="190"/>
      <c r="G5" s="189"/>
    </row>
    <row r="6" spans="1:25" s="29" customFormat="1" x14ac:dyDescent="0.4">
      <c r="A6" s="191" t="s">
        <v>245</v>
      </c>
      <c r="B6" s="190"/>
      <c r="C6" s="190"/>
      <c r="D6" s="190"/>
      <c r="E6" s="190"/>
      <c r="F6" s="190"/>
      <c r="G6" s="189"/>
    </row>
    <row r="7" spans="1:25" s="29" customFormat="1" ht="16.5" x14ac:dyDescent="0.45">
      <c r="A7" s="188" t="s">
        <v>244</v>
      </c>
      <c r="B7" s="187"/>
      <c r="C7" s="187"/>
      <c r="D7" s="187"/>
      <c r="E7" s="187"/>
      <c r="F7" s="187"/>
      <c r="G7" s="186"/>
      <c r="S7" s="232"/>
      <c r="T7" s="232"/>
      <c r="U7" s="232"/>
      <c r="V7" s="232"/>
      <c r="W7" s="232"/>
      <c r="X7" s="232"/>
      <c r="Y7" s="232" t="s">
        <v>243</v>
      </c>
    </row>
    <row r="8" spans="1:25" x14ac:dyDescent="0.4">
      <c r="A8" s="231"/>
      <c r="B8" s="231"/>
      <c r="C8" s="231"/>
      <c r="D8" s="231"/>
    </row>
    <row r="9" spans="1:25" s="397" customFormat="1" ht="64" x14ac:dyDescent="0.35">
      <c r="A9" s="185" t="s">
        <v>235</v>
      </c>
      <c r="B9" s="184" t="s">
        <v>234</v>
      </c>
      <c r="C9" s="184" t="s">
        <v>233</v>
      </c>
      <c r="D9" s="184" t="s">
        <v>232</v>
      </c>
      <c r="E9" s="184" t="s">
        <v>231</v>
      </c>
      <c r="F9" s="184">
        <v>2005</v>
      </c>
      <c r="G9" s="184">
        <v>2006</v>
      </c>
      <c r="H9" s="184">
        <v>2007</v>
      </c>
      <c r="I9" s="184">
        <v>2008</v>
      </c>
      <c r="J9" s="184">
        <v>2009</v>
      </c>
      <c r="K9" s="184">
        <v>2010</v>
      </c>
      <c r="L9" s="184">
        <v>2011</v>
      </c>
      <c r="M9" s="184">
        <v>2012</v>
      </c>
      <c r="N9" s="184">
        <v>2013</v>
      </c>
      <c r="O9" s="184">
        <v>2014</v>
      </c>
      <c r="P9" s="184">
        <v>2015</v>
      </c>
      <c r="Q9" s="184">
        <v>2016</v>
      </c>
      <c r="R9" s="184">
        <v>2017</v>
      </c>
      <c r="S9" s="184">
        <v>2018</v>
      </c>
      <c r="T9" s="184">
        <v>2019</v>
      </c>
      <c r="U9" s="184">
        <v>2020</v>
      </c>
      <c r="V9" s="184">
        <v>2021</v>
      </c>
      <c r="W9" s="184">
        <v>2022</v>
      </c>
      <c r="X9" s="184" t="s">
        <v>230</v>
      </c>
      <c r="Y9" s="183" t="s">
        <v>229</v>
      </c>
    </row>
    <row r="10" spans="1:25" x14ac:dyDescent="0.4">
      <c r="A10" s="40"/>
      <c r="D10" s="1"/>
      <c r="S10" s="396"/>
      <c r="T10" s="396"/>
      <c r="U10" s="396"/>
      <c r="V10" s="396"/>
      <c r="W10" s="396"/>
      <c r="X10" s="396"/>
      <c r="Y10" s="182"/>
    </row>
    <row r="11" spans="1:25" ht="16" x14ac:dyDescent="0.45">
      <c r="A11" s="46" t="s">
        <v>228</v>
      </c>
      <c r="B11" s="45"/>
      <c r="C11" s="45"/>
      <c r="D11" s="45"/>
      <c r="E11" s="45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2"/>
    </row>
    <row r="12" spans="1:25" x14ac:dyDescent="0.4">
      <c r="A12" s="69"/>
      <c r="B12" s="68"/>
      <c r="C12" s="68"/>
      <c r="D12" s="68"/>
      <c r="E12" s="67"/>
      <c r="S12" s="395"/>
      <c r="T12" s="395"/>
      <c r="U12" s="395"/>
      <c r="V12" s="395"/>
      <c r="W12" s="395"/>
      <c r="X12" s="395"/>
      <c r="Y12" s="394"/>
    </row>
    <row r="13" spans="1:25" x14ac:dyDescent="0.4">
      <c r="A13" s="368"/>
      <c r="B13" s="367" t="s">
        <v>227</v>
      </c>
      <c r="C13" s="367"/>
      <c r="D13" s="367"/>
      <c r="E13" s="366" t="s">
        <v>226</v>
      </c>
      <c r="F13" s="365">
        <v>37909</v>
      </c>
      <c r="G13" s="365">
        <v>38717</v>
      </c>
      <c r="H13" s="365">
        <v>40239</v>
      </c>
      <c r="I13" s="365">
        <v>39915</v>
      </c>
      <c r="J13" s="365">
        <v>39822</v>
      </c>
      <c r="K13" s="365">
        <v>39943</v>
      </c>
      <c r="L13" s="365">
        <v>40706</v>
      </c>
      <c r="M13" s="365">
        <v>41725</v>
      </c>
      <c r="N13" s="365">
        <v>44835</v>
      </c>
      <c r="O13" s="365">
        <v>46140</v>
      </c>
      <c r="P13" s="365">
        <v>48124</v>
      </c>
      <c r="Q13" s="365">
        <v>49441</v>
      </c>
      <c r="R13" s="365">
        <v>52198</v>
      </c>
      <c r="S13" s="365">
        <v>53030</v>
      </c>
      <c r="T13" s="365">
        <v>54471</v>
      </c>
      <c r="U13" s="365">
        <v>55539</v>
      </c>
      <c r="V13" s="365">
        <v>57968</v>
      </c>
      <c r="W13" s="365">
        <v>57442</v>
      </c>
      <c r="X13" s="365">
        <v>58406</v>
      </c>
      <c r="Y13" s="364">
        <v>63061.23</v>
      </c>
    </row>
    <row r="14" spans="1:25" outlineLevel="1" x14ac:dyDescent="0.4">
      <c r="A14" s="390"/>
      <c r="B14" s="388"/>
      <c r="C14" s="362" t="s">
        <v>227</v>
      </c>
      <c r="D14" s="388"/>
      <c r="E14" s="361" t="s">
        <v>226</v>
      </c>
      <c r="F14" s="360">
        <v>37909</v>
      </c>
      <c r="G14" s="360">
        <v>38717</v>
      </c>
      <c r="H14" s="360">
        <v>40239</v>
      </c>
      <c r="I14" s="360">
        <v>39915</v>
      </c>
      <c r="J14" s="360">
        <v>39822</v>
      </c>
      <c r="K14" s="360">
        <v>39943</v>
      </c>
      <c r="L14" s="360">
        <v>40706</v>
      </c>
      <c r="M14" s="360">
        <v>41725</v>
      </c>
      <c r="N14" s="360">
        <v>44835</v>
      </c>
      <c r="O14" s="360">
        <v>46140</v>
      </c>
      <c r="P14" s="360">
        <v>48124</v>
      </c>
      <c r="Q14" s="360">
        <v>49441</v>
      </c>
      <c r="R14" s="360">
        <v>52198</v>
      </c>
      <c r="S14" s="360">
        <v>53030</v>
      </c>
      <c r="T14" s="360">
        <v>54471</v>
      </c>
      <c r="U14" s="360">
        <v>55539</v>
      </c>
      <c r="V14" s="360">
        <v>57968</v>
      </c>
      <c r="W14" s="360">
        <v>57442</v>
      </c>
      <c r="X14" s="360">
        <v>58406</v>
      </c>
      <c r="Y14" s="359">
        <v>63061.23</v>
      </c>
    </row>
    <row r="15" spans="1:25" ht="84" outlineLevel="1" x14ac:dyDescent="0.4">
      <c r="A15" s="390"/>
      <c r="B15" s="388"/>
      <c r="C15" s="362"/>
      <c r="D15" s="391" t="s">
        <v>225</v>
      </c>
      <c r="E15" s="389" t="s">
        <v>224</v>
      </c>
      <c r="F15" s="388">
        <v>21844</v>
      </c>
      <c r="G15" s="388">
        <v>21729</v>
      </c>
      <c r="H15" s="388">
        <v>22630</v>
      </c>
      <c r="I15" s="388">
        <v>22152</v>
      </c>
      <c r="J15" s="388">
        <v>23060</v>
      </c>
      <c r="K15" s="388">
        <v>22863</v>
      </c>
      <c r="L15" s="388">
        <v>23482</v>
      </c>
      <c r="M15" s="388">
        <v>24221</v>
      </c>
      <c r="N15" s="388">
        <v>25727</v>
      </c>
      <c r="O15" s="388">
        <v>26164</v>
      </c>
      <c r="P15" s="388">
        <v>27339</v>
      </c>
      <c r="Q15" s="388">
        <v>28339</v>
      </c>
      <c r="R15" s="388">
        <v>30612</v>
      </c>
      <c r="S15" s="388">
        <v>30933</v>
      </c>
      <c r="T15" s="360">
        <v>31344</v>
      </c>
      <c r="U15" s="360">
        <v>32005</v>
      </c>
      <c r="V15" s="360">
        <v>33477</v>
      </c>
      <c r="W15" s="360">
        <v>33829</v>
      </c>
      <c r="X15" s="360">
        <v>34677</v>
      </c>
      <c r="Y15" s="359">
        <v>37349.47</v>
      </c>
    </row>
    <row r="16" spans="1:25" outlineLevel="2" x14ac:dyDescent="0.4">
      <c r="A16" s="358"/>
      <c r="B16" s="356"/>
      <c r="C16" s="365"/>
      <c r="D16" s="393" t="s">
        <v>223</v>
      </c>
      <c r="E16" s="357" t="s">
        <v>262</v>
      </c>
      <c r="F16" s="356">
        <v>3845</v>
      </c>
      <c r="G16" s="356">
        <v>4153</v>
      </c>
      <c r="H16" s="356">
        <v>4336</v>
      </c>
      <c r="I16" s="356">
        <v>3972</v>
      </c>
      <c r="J16" s="356">
        <v>3066</v>
      </c>
      <c r="K16" s="356">
        <v>3415</v>
      </c>
      <c r="L16" s="356">
        <v>3134</v>
      </c>
      <c r="M16" s="356">
        <v>3066</v>
      </c>
      <c r="N16" s="356">
        <v>4167</v>
      </c>
      <c r="O16" s="356">
        <v>4810</v>
      </c>
      <c r="P16" s="356">
        <v>5299</v>
      </c>
      <c r="Q16" s="356">
        <v>5489</v>
      </c>
      <c r="R16" s="356">
        <v>5470</v>
      </c>
      <c r="S16" s="356">
        <v>5393</v>
      </c>
      <c r="T16" s="356">
        <v>5981</v>
      </c>
      <c r="U16" s="356">
        <v>5327</v>
      </c>
      <c r="V16" s="356">
        <v>5140</v>
      </c>
      <c r="W16" s="356">
        <v>4232</v>
      </c>
      <c r="X16" s="356">
        <v>4403</v>
      </c>
      <c r="Y16" s="355">
        <v>5384.5</v>
      </c>
    </row>
    <row r="17" spans="1:25" outlineLevel="2" x14ac:dyDescent="0.4">
      <c r="A17" s="390"/>
      <c r="B17" s="388"/>
      <c r="C17" s="362"/>
      <c r="D17" s="392" t="s">
        <v>221</v>
      </c>
      <c r="E17" s="389" t="s">
        <v>220</v>
      </c>
      <c r="F17" s="388">
        <v>9857</v>
      </c>
      <c r="G17" s="388">
        <v>10271</v>
      </c>
      <c r="H17" s="388">
        <v>10633</v>
      </c>
      <c r="I17" s="388">
        <v>11033</v>
      </c>
      <c r="J17" s="388">
        <v>10996</v>
      </c>
      <c r="K17" s="388">
        <v>10902</v>
      </c>
      <c r="L17" s="388">
        <v>11348</v>
      </c>
      <c r="M17" s="388">
        <v>11652</v>
      </c>
      <c r="N17" s="388">
        <v>11930</v>
      </c>
      <c r="O17" s="388">
        <v>11959</v>
      </c>
      <c r="P17" s="388">
        <v>12265</v>
      </c>
      <c r="Q17" s="388">
        <v>12418</v>
      </c>
      <c r="R17" s="388">
        <v>12956</v>
      </c>
      <c r="S17" s="388">
        <v>13400</v>
      </c>
      <c r="T17" s="388">
        <v>13729</v>
      </c>
      <c r="U17" s="388">
        <v>14259</v>
      </c>
      <c r="V17" s="388">
        <v>15223</v>
      </c>
      <c r="W17" s="388">
        <v>15300</v>
      </c>
      <c r="X17" s="388">
        <v>15068</v>
      </c>
      <c r="Y17" s="387">
        <v>15920.56</v>
      </c>
    </row>
    <row r="18" spans="1:25" outlineLevel="2" x14ac:dyDescent="0.4">
      <c r="A18" s="358"/>
      <c r="B18" s="356"/>
      <c r="C18" s="365"/>
      <c r="D18" s="356" t="s">
        <v>219</v>
      </c>
      <c r="E18" s="357" t="s">
        <v>218</v>
      </c>
      <c r="F18" s="356">
        <v>1332</v>
      </c>
      <c r="G18" s="356">
        <v>1351</v>
      </c>
      <c r="H18" s="356">
        <v>1366</v>
      </c>
      <c r="I18" s="356">
        <v>1367</v>
      </c>
      <c r="J18" s="356">
        <v>1394</v>
      </c>
      <c r="K18" s="356">
        <v>1423</v>
      </c>
      <c r="L18" s="356">
        <v>1494</v>
      </c>
      <c r="M18" s="356">
        <v>1593</v>
      </c>
      <c r="N18" s="356">
        <v>1652</v>
      </c>
      <c r="O18" s="356">
        <v>1759</v>
      </c>
      <c r="P18" s="356">
        <v>1796</v>
      </c>
      <c r="Q18" s="356">
        <v>1837</v>
      </c>
      <c r="R18" s="356">
        <v>1856</v>
      </c>
      <c r="S18" s="356">
        <v>1877</v>
      </c>
      <c r="T18" s="356">
        <v>1963</v>
      </c>
      <c r="U18" s="356">
        <v>2029</v>
      </c>
      <c r="V18" s="356">
        <v>2107</v>
      </c>
      <c r="W18" s="356">
        <v>2143</v>
      </c>
      <c r="X18" s="356">
        <v>2129</v>
      </c>
      <c r="Y18" s="355">
        <v>2086.4499999999998</v>
      </c>
    </row>
    <row r="19" spans="1:25" outlineLevel="2" x14ac:dyDescent="0.4">
      <c r="A19" s="390"/>
      <c r="B19" s="388"/>
      <c r="C19" s="362"/>
      <c r="D19" s="391" t="s">
        <v>217</v>
      </c>
      <c r="E19" s="389" t="s">
        <v>216</v>
      </c>
      <c r="F19" s="388">
        <v>1252</v>
      </c>
      <c r="G19" s="388">
        <v>1346</v>
      </c>
      <c r="H19" s="388">
        <v>1422</v>
      </c>
      <c r="I19" s="388">
        <v>1455</v>
      </c>
      <c r="J19" s="388">
        <v>1380</v>
      </c>
      <c r="K19" s="388">
        <v>1354</v>
      </c>
      <c r="L19" s="388">
        <v>1359</v>
      </c>
      <c r="M19" s="388">
        <v>1405</v>
      </c>
      <c r="N19" s="388">
        <v>1424</v>
      </c>
      <c r="O19" s="388">
        <v>1448</v>
      </c>
      <c r="P19" s="388">
        <v>1425</v>
      </c>
      <c r="Q19" s="388">
        <v>1358</v>
      </c>
      <c r="R19" s="388">
        <v>1295</v>
      </c>
      <c r="S19" s="388">
        <v>1410</v>
      </c>
      <c r="T19" s="388">
        <v>1446</v>
      </c>
      <c r="U19" s="388">
        <v>1878</v>
      </c>
      <c r="V19" s="388">
        <v>2059</v>
      </c>
      <c r="W19" s="388">
        <v>2325</v>
      </c>
      <c r="X19" s="388">
        <v>2331</v>
      </c>
      <c r="Y19" s="387">
        <v>2261.38</v>
      </c>
    </row>
    <row r="20" spans="1:25" x14ac:dyDescent="0.4">
      <c r="A20" s="379"/>
      <c r="B20" s="378" t="s">
        <v>215</v>
      </c>
      <c r="C20" s="378"/>
      <c r="D20" s="378"/>
      <c r="E20" s="377" t="s">
        <v>214</v>
      </c>
      <c r="F20" s="362">
        <v>27430</v>
      </c>
      <c r="G20" s="362">
        <v>28059</v>
      </c>
      <c r="H20" s="362">
        <v>28434</v>
      </c>
      <c r="I20" s="362">
        <v>31101</v>
      </c>
      <c r="J20" s="362">
        <v>34659</v>
      </c>
      <c r="K20" s="362">
        <v>38427</v>
      </c>
      <c r="L20" s="362">
        <v>43974</v>
      </c>
      <c r="M20" s="362">
        <v>46335</v>
      </c>
      <c r="N20" s="362">
        <v>48794</v>
      </c>
      <c r="O20" s="362">
        <v>48136</v>
      </c>
      <c r="P20" s="362">
        <v>47627</v>
      </c>
      <c r="Q20" s="362">
        <v>46253</v>
      </c>
      <c r="R20" s="362">
        <v>43592</v>
      </c>
      <c r="S20" s="362">
        <v>42868</v>
      </c>
      <c r="T20" s="362">
        <v>43693</v>
      </c>
      <c r="U20" s="362">
        <v>37056</v>
      </c>
      <c r="V20" s="362">
        <v>36980</v>
      </c>
      <c r="W20" s="362">
        <v>37518</v>
      </c>
      <c r="X20" s="362">
        <v>38496</v>
      </c>
      <c r="Y20" s="376">
        <v>36555</v>
      </c>
    </row>
    <row r="21" spans="1:25" outlineLevel="1" x14ac:dyDescent="0.4">
      <c r="A21" s="386"/>
      <c r="B21" s="365"/>
      <c r="C21" s="365" t="s">
        <v>215</v>
      </c>
      <c r="D21" s="365"/>
      <c r="E21" s="375" t="s">
        <v>214</v>
      </c>
      <c r="F21" s="385">
        <v>27430</v>
      </c>
      <c r="G21" s="385">
        <v>28059</v>
      </c>
      <c r="H21" s="385">
        <v>28434</v>
      </c>
      <c r="I21" s="385">
        <v>31101</v>
      </c>
      <c r="J21" s="385">
        <v>34659</v>
      </c>
      <c r="K21" s="385">
        <v>38427</v>
      </c>
      <c r="L21" s="385">
        <v>43974</v>
      </c>
      <c r="M21" s="385">
        <v>46335</v>
      </c>
      <c r="N21" s="385">
        <v>48794</v>
      </c>
      <c r="O21" s="385">
        <v>48136</v>
      </c>
      <c r="P21" s="385">
        <v>47627</v>
      </c>
      <c r="Q21" s="385">
        <v>46253</v>
      </c>
      <c r="R21" s="385">
        <v>43592</v>
      </c>
      <c r="S21" s="385">
        <v>42868</v>
      </c>
      <c r="T21" s="385">
        <v>43693</v>
      </c>
      <c r="U21" s="385">
        <v>37056</v>
      </c>
      <c r="V21" s="385">
        <v>36980</v>
      </c>
      <c r="W21" s="385">
        <v>37518</v>
      </c>
      <c r="X21" s="385">
        <v>38496</v>
      </c>
      <c r="Y21" s="384">
        <v>36555</v>
      </c>
    </row>
    <row r="22" spans="1:25" outlineLevel="2" x14ac:dyDescent="0.4">
      <c r="A22" s="390"/>
      <c r="B22" s="388"/>
      <c r="C22" s="388"/>
      <c r="D22" s="388" t="s">
        <v>213</v>
      </c>
      <c r="E22" s="389" t="s">
        <v>212</v>
      </c>
      <c r="F22" s="388">
        <v>6106</v>
      </c>
      <c r="G22" s="388">
        <v>6772</v>
      </c>
      <c r="H22" s="388">
        <v>7240</v>
      </c>
      <c r="I22" s="388">
        <v>7606</v>
      </c>
      <c r="J22" s="388">
        <v>7578</v>
      </c>
      <c r="K22" s="388">
        <v>7721</v>
      </c>
      <c r="L22" s="388">
        <v>8857</v>
      </c>
      <c r="M22" s="388">
        <v>9199</v>
      </c>
      <c r="N22" s="388">
        <v>8829</v>
      </c>
      <c r="O22" s="388">
        <v>9099</v>
      </c>
      <c r="P22" s="388">
        <v>8833</v>
      </c>
      <c r="Q22" s="388">
        <v>10031</v>
      </c>
      <c r="R22" s="388">
        <v>9996</v>
      </c>
      <c r="S22" s="388">
        <v>9447</v>
      </c>
      <c r="T22" s="388">
        <v>9329</v>
      </c>
      <c r="U22" s="388">
        <v>6021</v>
      </c>
      <c r="V22" s="388">
        <v>6490</v>
      </c>
      <c r="W22" s="388">
        <v>6539</v>
      </c>
      <c r="X22" s="388">
        <v>6687</v>
      </c>
      <c r="Y22" s="387">
        <v>5820.33</v>
      </c>
    </row>
    <row r="23" spans="1:25" ht="28" outlineLevel="2" x14ac:dyDescent="0.4">
      <c r="A23" s="358"/>
      <c r="B23" s="356"/>
      <c r="C23" s="356"/>
      <c r="D23" s="356" t="s">
        <v>211</v>
      </c>
      <c r="E23" s="357" t="s">
        <v>210</v>
      </c>
      <c r="F23" s="356">
        <v>16418</v>
      </c>
      <c r="G23" s="356">
        <v>16323</v>
      </c>
      <c r="H23" s="356">
        <v>16367</v>
      </c>
      <c r="I23" s="356">
        <v>18886</v>
      </c>
      <c r="J23" s="356">
        <v>21756</v>
      </c>
      <c r="K23" s="356">
        <v>25403</v>
      </c>
      <c r="L23" s="356">
        <v>29921</v>
      </c>
      <c r="M23" s="356">
        <v>31308</v>
      </c>
      <c r="N23" s="356">
        <v>33967</v>
      </c>
      <c r="O23" s="356">
        <v>33135</v>
      </c>
      <c r="P23" s="356">
        <v>32852</v>
      </c>
      <c r="Q23" s="356">
        <v>29705</v>
      </c>
      <c r="R23" s="356">
        <v>28532</v>
      </c>
      <c r="S23" s="356">
        <v>29011</v>
      </c>
      <c r="T23" s="356">
        <v>29826</v>
      </c>
      <c r="U23" s="356">
        <v>26499</v>
      </c>
      <c r="V23" s="356">
        <v>24776</v>
      </c>
      <c r="W23" s="356">
        <v>25259</v>
      </c>
      <c r="X23" s="356">
        <v>25946</v>
      </c>
      <c r="Y23" s="355">
        <v>25776.61</v>
      </c>
    </row>
    <row r="24" spans="1:25" outlineLevel="2" x14ac:dyDescent="0.4">
      <c r="A24" s="390"/>
      <c r="B24" s="388"/>
      <c r="C24" s="388"/>
      <c r="D24" s="388" t="s">
        <v>209</v>
      </c>
      <c r="E24" s="389" t="s">
        <v>208</v>
      </c>
      <c r="F24" s="388">
        <v>4157</v>
      </c>
      <c r="G24" s="388">
        <v>4077</v>
      </c>
      <c r="H24" s="388">
        <v>3834</v>
      </c>
      <c r="I24" s="388">
        <v>3574</v>
      </c>
      <c r="J24" s="388">
        <v>4174</v>
      </c>
      <c r="K24" s="388">
        <v>4203</v>
      </c>
      <c r="L24" s="388">
        <v>3733</v>
      </c>
      <c r="M24" s="388">
        <v>4432</v>
      </c>
      <c r="N24" s="388">
        <v>3876</v>
      </c>
      <c r="O24" s="388">
        <v>3820</v>
      </c>
      <c r="P24" s="388">
        <v>3592</v>
      </c>
      <c r="Q24" s="388">
        <v>4064</v>
      </c>
      <c r="R24" s="388">
        <v>2982</v>
      </c>
      <c r="S24" s="388">
        <v>2574</v>
      </c>
      <c r="T24" s="388">
        <v>2710</v>
      </c>
      <c r="U24" s="388">
        <v>3185</v>
      </c>
      <c r="V24" s="388">
        <v>3511</v>
      </c>
      <c r="W24" s="388">
        <v>3557</v>
      </c>
      <c r="X24" s="388">
        <v>3710</v>
      </c>
      <c r="Y24" s="387">
        <v>3412.09</v>
      </c>
    </row>
    <row r="25" spans="1:25" outlineLevel="2" x14ac:dyDescent="0.4">
      <c r="A25" s="358"/>
      <c r="B25" s="356"/>
      <c r="C25" s="356"/>
      <c r="D25" s="356" t="s">
        <v>207</v>
      </c>
      <c r="E25" s="357" t="s">
        <v>206</v>
      </c>
      <c r="F25" s="356">
        <v>1267</v>
      </c>
      <c r="G25" s="356">
        <v>1391</v>
      </c>
      <c r="H25" s="356">
        <v>1529</v>
      </c>
      <c r="I25" s="356">
        <v>1629</v>
      </c>
      <c r="J25" s="356">
        <v>1696</v>
      </c>
      <c r="K25" s="356">
        <v>1492</v>
      </c>
      <c r="L25" s="356">
        <v>1581</v>
      </c>
      <c r="M25" s="356">
        <v>1621</v>
      </c>
      <c r="N25" s="356">
        <v>1786</v>
      </c>
      <c r="O25" s="356">
        <v>1990</v>
      </c>
      <c r="P25" s="356">
        <v>2156</v>
      </c>
      <c r="Q25" s="356">
        <v>2232</v>
      </c>
      <c r="R25" s="356">
        <v>2175</v>
      </c>
      <c r="S25" s="356">
        <v>2144</v>
      </c>
      <c r="T25" s="356">
        <v>2235</v>
      </c>
      <c r="U25" s="356">
        <v>1504</v>
      </c>
      <c r="V25" s="356">
        <v>1661</v>
      </c>
      <c r="W25" s="356">
        <v>1634</v>
      </c>
      <c r="X25" s="356">
        <v>1619</v>
      </c>
      <c r="Y25" s="355">
        <v>1664.9</v>
      </c>
    </row>
    <row r="26" spans="1:25" ht="28" outlineLevel="2" x14ac:dyDescent="0.4">
      <c r="A26" s="390"/>
      <c r="B26" s="388"/>
      <c r="C26" s="388"/>
      <c r="D26" s="388" t="s">
        <v>205</v>
      </c>
      <c r="E26" s="389" t="s">
        <v>204</v>
      </c>
      <c r="F26" s="388">
        <v>143</v>
      </c>
      <c r="G26" s="388">
        <v>152</v>
      </c>
      <c r="H26" s="388">
        <v>155</v>
      </c>
      <c r="I26" s="388">
        <v>156</v>
      </c>
      <c r="J26" s="388">
        <v>164</v>
      </c>
      <c r="K26" s="388">
        <v>164</v>
      </c>
      <c r="L26" s="388">
        <v>172</v>
      </c>
      <c r="M26" s="388">
        <v>186</v>
      </c>
      <c r="N26" s="388">
        <v>177</v>
      </c>
      <c r="O26" s="388">
        <v>182</v>
      </c>
      <c r="P26" s="388">
        <v>194</v>
      </c>
      <c r="Q26" s="388">
        <v>221</v>
      </c>
      <c r="R26" s="388">
        <v>179</v>
      </c>
      <c r="S26" s="388">
        <v>181</v>
      </c>
      <c r="T26" s="388">
        <v>178</v>
      </c>
      <c r="U26" s="388">
        <v>148</v>
      </c>
      <c r="V26" s="388">
        <v>162</v>
      </c>
      <c r="W26" s="388">
        <v>163</v>
      </c>
      <c r="X26" s="388">
        <v>163</v>
      </c>
      <c r="Y26" s="387">
        <v>158.27000000000001</v>
      </c>
    </row>
    <row r="27" spans="1:25" x14ac:dyDescent="0.4">
      <c r="A27" s="379"/>
      <c r="B27" s="378" t="s">
        <v>203</v>
      </c>
      <c r="C27" s="378"/>
      <c r="D27" s="378"/>
      <c r="E27" s="377" t="s">
        <v>202</v>
      </c>
      <c r="F27" s="362">
        <v>77252</v>
      </c>
      <c r="G27" s="362">
        <v>82885</v>
      </c>
      <c r="H27" s="362">
        <v>89320</v>
      </c>
      <c r="I27" s="362">
        <v>89639</v>
      </c>
      <c r="J27" s="362">
        <v>86354</v>
      </c>
      <c r="K27" s="362">
        <v>87980</v>
      </c>
      <c r="L27" s="362">
        <v>92896</v>
      </c>
      <c r="M27" s="362">
        <v>93667</v>
      </c>
      <c r="N27" s="362">
        <v>95081</v>
      </c>
      <c r="O27" s="362">
        <v>97829</v>
      </c>
      <c r="P27" s="362">
        <v>99789</v>
      </c>
      <c r="Q27" s="362">
        <v>103006</v>
      </c>
      <c r="R27" s="362">
        <v>101135</v>
      </c>
      <c r="S27" s="362">
        <v>102627</v>
      </c>
      <c r="T27" s="362">
        <v>103860</v>
      </c>
      <c r="U27" s="362">
        <v>94254</v>
      </c>
      <c r="V27" s="362">
        <v>107066</v>
      </c>
      <c r="W27" s="362">
        <v>115802</v>
      </c>
      <c r="X27" s="362">
        <v>112628</v>
      </c>
      <c r="Y27" s="376">
        <v>110281.94</v>
      </c>
    </row>
    <row r="28" spans="1:25" ht="28" outlineLevel="1" x14ac:dyDescent="0.4">
      <c r="A28" s="386"/>
      <c r="B28" s="356"/>
      <c r="C28" s="365" t="s">
        <v>201</v>
      </c>
      <c r="D28" s="365"/>
      <c r="E28" s="375" t="s">
        <v>200</v>
      </c>
      <c r="F28" s="385">
        <v>21322</v>
      </c>
      <c r="G28" s="385">
        <v>22235</v>
      </c>
      <c r="H28" s="385">
        <v>23431</v>
      </c>
      <c r="I28" s="385">
        <v>24041</v>
      </c>
      <c r="J28" s="385">
        <v>24387</v>
      </c>
      <c r="K28" s="385">
        <v>23932</v>
      </c>
      <c r="L28" s="385">
        <v>24803</v>
      </c>
      <c r="M28" s="385">
        <v>25068</v>
      </c>
      <c r="N28" s="385">
        <v>25935</v>
      </c>
      <c r="O28" s="385">
        <v>26660</v>
      </c>
      <c r="P28" s="385">
        <v>27219</v>
      </c>
      <c r="Q28" s="385">
        <v>27871</v>
      </c>
      <c r="R28" s="385">
        <v>27924</v>
      </c>
      <c r="S28" s="385">
        <v>28594</v>
      </c>
      <c r="T28" s="385">
        <v>29391</v>
      </c>
      <c r="U28" s="385">
        <v>28425</v>
      </c>
      <c r="V28" s="385">
        <v>30075</v>
      </c>
      <c r="W28" s="385">
        <v>32252</v>
      </c>
      <c r="X28" s="385">
        <v>31968</v>
      </c>
      <c r="Y28" s="384">
        <v>31721.05</v>
      </c>
    </row>
    <row r="29" spans="1:25" ht="70" outlineLevel="2" x14ac:dyDescent="0.4">
      <c r="A29" s="390"/>
      <c r="B29" s="388"/>
      <c r="C29" s="388"/>
      <c r="D29" s="388" t="s">
        <v>199</v>
      </c>
      <c r="E29" s="389" t="s">
        <v>198</v>
      </c>
      <c r="F29" s="388">
        <v>4355</v>
      </c>
      <c r="G29" s="388">
        <v>4578</v>
      </c>
      <c r="H29" s="388">
        <v>4901</v>
      </c>
      <c r="I29" s="388">
        <v>5176</v>
      </c>
      <c r="J29" s="388">
        <v>5202</v>
      </c>
      <c r="K29" s="388">
        <v>5217</v>
      </c>
      <c r="L29" s="388">
        <v>5407</v>
      </c>
      <c r="M29" s="388">
        <v>5626</v>
      </c>
      <c r="N29" s="388">
        <v>5646</v>
      </c>
      <c r="O29" s="388">
        <v>5742</v>
      </c>
      <c r="P29" s="388">
        <v>5896</v>
      </c>
      <c r="Q29" s="388">
        <v>6033</v>
      </c>
      <c r="R29" s="388">
        <v>6013</v>
      </c>
      <c r="S29" s="388">
        <v>6313</v>
      </c>
      <c r="T29" s="388">
        <v>6650</v>
      </c>
      <c r="U29" s="388">
        <v>6752</v>
      </c>
      <c r="V29" s="388">
        <v>7094</v>
      </c>
      <c r="W29" s="388">
        <v>7491</v>
      </c>
      <c r="X29" s="388">
        <v>7660</v>
      </c>
      <c r="Y29" s="387">
        <v>7842.24</v>
      </c>
    </row>
    <row r="30" spans="1:25" outlineLevel="2" x14ac:dyDescent="0.4">
      <c r="A30" s="358"/>
      <c r="B30" s="356"/>
      <c r="C30" s="356"/>
      <c r="D30" s="356" t="s">
        <v>197</v>
      </c>
      <c r="E30" s="357" t="s">
        <v>196</v>
      </c>
      <c r="F30" s="356">
        <v>978</v>
      </c>
      <c r="G30" s="356">
        <v>987</v>
      </c>
      <c r="H30" s="356">
        <v>1038</v>
      </c>
      <c r="I30" s="356">
        <v>1059</v>
      </c>
      <c r="J30" s="356">
        <v>1129</v>
      </c>
      <c r="K30" s="356">
        <v>1173</v>
      </c>
      <c r="L30" s="356">
        <v>1237</v>
      </c>
      <c r="M30" s="356">
        <v>1250</v>
      </c>
      <c r="N30" s="356">
        <v>1314</v>
      </c>
      <c r="O30" s="356">
        <v>1392</v>
      </c>
      <c r="P30" s="356">
        <v>1506</v>
      </c>
      <c r="Q30" s="356">
        <v>1508</v>
      </c>
      <c r="R30" s="356">
        <v>1570</v>
      </c>
      <c r="S30" s="356">
        <v>1494</v>
      </c>
      <c r="T30" s="356">
        <v>1522</v>
      </c>
      <c r="U30" s="356">
        <v>1435</v>
      </c>
      <c r="V30" s="356">
        <v>1655</v>
      </c>
      <c r="W30" s="356">
        <v>1720</v>
      </c>
      <c r="X30" s="356">
        <v>1690</v>
      </c>
      <c r="Y30" s="355">
        <v>1569.08</v>
      </c>
    </row>
    <row r="31" spans="1:25" outlineLevel="2" x14ac:dyDescent="0.4">
      <c r="A31" s="390"/>
      <c r="B31" s="388"/>
      <c r="C31" s="388"/>
      <c r="D31" s="388" t="s">
        <v>195</v>
      </c>
      <c r="E31" s="389" t="s">
        <v>194</v>
      </c>
      <c r="F31" s="388">
        <v>2609</v>
      </c>
      <c r="G31" s="388">
        <v>2659</v>
      </c>
      <c r="H31" s="388">
        <v>2726</v>
      </c>
      <c r="I31" s="388">
        <v>2880</v>
      </c>
      <c r="J31" s="388">
        <v>2855</v>
      </c>
      <c r="K31" s="388">
        <v>2838</v>
      </c>
      <c r="L31" s="388">
        <v>2947</v>
      </c>
      <c r="M31" s="388">
        <v>2981</v>
      </c>
      <c r="N31" s="388">
        <v>3139</v>
      </c>
      <c r="O31" s="388">
        <v>3177</v>
      </c>
      <c r="P31" s="388">
        <v>3217</v>
      </c>
      <c r="Q31" s="388">
        <v>3271</v>
      </c>
      <c r="R31" s="388">
        <v>3301</v>
      </c>
      <c r="S31" s="388">
        <v>3312</v>
      </c>
      <c r="T31" s="388">
        <v>3371</v>
      </c>
      <c r="U31" s="388">
        <v>3405</v>
      </c>
      <c r="V31" s="388">
        <v>3127</v>
      </c>
      <c r="W31" s="388">
        <v>3159</v>
      </c>
      <c r="X31" s="388">
        <v>3019</v>
      </c>
      <c r="Y31" s="387">
        <v>2914.95</v>
      </c>
    </row>
    <row r="32" spans="1:25" ht="70" outlineLevel="2" x14ac:dyDescent="0.4">
      <c r="A32" s="358"/>
      <c r="B32" s="356"/>
      <c r="C32" s="356"/>
      <c r="D32" s="356" t="s">
        <v>193</v>
      </c>
      <c r="E32" s="357" t="s">
        <v>192</v>
      </c>
      <c r="F32" s="356">
        <v>3401</v>
      </c>
      <c r="G32" s="356">
        <v>3504</v>
      </c>
      <c r="H32" s="356">
        <v>3762</v>
      </c>
      <c r="I32" s="356">
        <v>3883</v>
      </c>
      <c r="J32" s="356">
        <v>3817</v>
      </c>
      <c r="K32" s="356">
        <v>3908</v>
      </c>
      <c r="L32" s="356">
        <v>4030</v>
      </c>
      <c r="M32" s="356">
        <v>3966</v>
      </c>
      <c r="N32" s="356">
        <v>3918</v>
      </c>
      <c r="O32" s="356">
        <v>3825</v>
      </c>
      <c r="P32" s="356">
        <v>3922</v>
      </c>
      <c r="Q32" s="356">
        <v>4237</v>
      </c>
      <c r="R32" s="356">
        <v>4336</v>
      </c>
      <c r="S32" s="356">
        <v>4398</v>
      </c>
      <c r="T32" s="356">
        <v>4585</v>
      </c>
      <c r="U32" s="356">
        <v>4801</v>
      </c>
      <c r="V32" s="356">
        <v>4615</v>
      </c>
      <c r="W32" s="356">
        <v>4917</v>
      </c>
      <c r="X32" s="356">
        <v>4735</v>
      </c>
      <c r="Y32" s="355">
        <v>4521.6400000000003</v>
      </c>
    </row>
    <row r="33" spans="1:25" outlineLevel="2" x14ac:dyDescent="0.4">
      <c r="A33" s="390"/>
      <c r="B33" s="388"/>
      <c r="C33" s="388"/>
      <c r="D33" s="388" t="s">
        <v>191</v>
      </c>
      <c r="E33" s="389" t="s">
        <v>190</v>
      </c>
      <c r="F33" s="388">
        <v>616</v>
      </c>
      <c r="G33" s="388">
        <v>638</v>
      </c>
      <c r="H33" s="388">
        <v>633</v>
      </c>
      <c r="I33" s="388">
        <v>609</v>
      </c>
      <c r="J33" s="388">
        <v>471</v>
      </c>
      <c r="K33" s="388">
        <v>486</v>
      </c>
      <c r="L33" s="388">
        <v>453</v>
      </c>
      <c r="M33" s="388">
        <v>418</v>
      </c>
      <c r="N33" s="388">
        <v>564</v>
      </c>
      <c r="O33" s="388">
        <v>631</v>
      </c>
      <c r="P33" s="388">
        <v>702</v>
      </c>
      <c r="Q33" s="388">
        <v>715</v>
      </c>
      <c r="R33" s="388">
        <v>736</v>
      </c>
      <c r="S33" s="388">
        <v>713</v>
      </c>
      <c r="T33" s="388">
        <v>793</v>
      </c>
      <c r="U33" s="388">
        <v>649</v>
      </c>
      <c r="V33" s="388">
        <v>640</v>
      </c>
      <c r="W33" s="388">
        <v>608</v>
      </c>
      <c r="X33" s="388">
        <v>606</v>
      </c>
      <c r="Y33" s="387">
        <v>693.47</v>
      </c>
    </row>
    <row r="34" spans="1:25" outlineLevel="2" x14ac:dyDescent="0.4">
      <c r="A34" s="358"/>
      <c r="B34" s="356"/>
      <c r="C34" s="356"/>
      <c r="D34" s="356" t="s">
        <v>189</v>
      </c>
      <c r="E34" s="357" t="s">
        <v>188</v>
      </c>
      <c r="F34" s="356">
        <v>2056</v>
      </c>
      <c r="G34" s="356">
        <v>2256</v>
      </c>
      <c r="H34" s="356">
        <v>2194</v>
      </c>
      <c r="I34" s="356">
        <v>2097</v>
      </c>
      <c r="J34" s="356">
        <v>2398</v>
      </c>
      <c r="K34" s="356">
        <v>2104</v>
      </c>
      <c r="L34" s="356">
        <v>2328</v>
      </c>
      <c r="M34" s="356">
        <v>2297</v>
      </c>
      <c r="N34" s="356">
        <v>2411</v>
      </c>
      <c r="O34" s="356">
        <v>2721</v>
      </c>
      <c r="P34" s="356">
        <v>2618</v>
      </c>
      <c r="Q34" s="356">
        <v>2381</v>
      </c>
      <c r="R34" s="356">
        <v>2424</v>
      </c>
      <c r="S34" s="356">
        <v>2465</v>
      </c>
      <c r="T34" s="356">
        <v>2439</v>
      </c>
      <c r="U34" s="356">
        <v>2448</v>
      </c>
      <c r="V34" s="356">
        <v>2489</v>
      </c>
      <c r="W34" s="356">
        <v>2546</v>
      </c>
      <c r="X34" s="356">
        <v>2439</v>
      </c>
      <c r="Y34" s="355">
        <v>2565.0300000000002</v>
      </c>
    </row>
    <row r="35" spans="1:25" outlineLevel="2" x14ac:dyDescent="0.4">
      <c r="A35" s="390"/>
      <c r="B35" s="388"/>
      <c r="C35" s="388"/>
      <c r="D35" s="388" t="s">
        <v>187</v>
      </c>
      <c r="E35" s="389" t="s">
        <v>186</v>
      </c>
      <c r="F35" s="388">
        <v>615</v>
      </c>
      <c r="G35" s="388">
        <v>619</v>
      </c>
      <c r="H35" s="388">
        <v>641</v>
      </c>
      <c r="I35" s="388">
        <v>691</v>
      </c>
      <c r="J35" s="388">
        <v>683</v>
      </c>
      <c r="K35" s="388">
        <v>658</v>
      </c>
      <c r="L35" s="388">
        <v>662</v>
      </c>
      <c r="M35" s="388">
        <v>670</v>
      </c>
      <c r="N35" s="388">
        <v>663</v>
      </c>
      <c r="O35" s="388">
        <v>704</v>
      </c>
      <c r="P35" s="388">
        <v>688</v>
      </c>
      <c r="Q35" s="388">
        <v>702</v>
      </c>
      <c r="R35" s="388">
        <v>723</v>
      </c>
      <c r="S35" s="388">
        <v>781</v>
      </c>
      <c r="T35" s="388">
        <v>828</v>
      </c>
      <c r="U35" s="388">
        <v>813</v>
      </c>
      <c r="V35" s="388">
        <v>915</v>
      </c>
      <c r="W35" s="388">
        <v>1032</v>
      </c>
      <c r="X35" s="388">
        <v>997</v>
      </c>
      <c r="Y35" s="387">
        <v>958.52</v>
      </c>
    </row>
    <row r="36" spans="1:25" ht="70" outlineLevel="2" x14ac:dyDescent="0.4">
      <c r="A36" s="358"/>
      <c r="B36" s="356"/>
      <c r="C36" s="356"/>
      <c r="D36" s="356" t="s">
        <v>185</v>
      </c>
      <c r="E36" s="357" t="s">
        <v>184</v>
      </c>
      <c r="F36" s="356">
        <v>1597</v>
      </c>
      <c r="G36" s="356">
        <v>1719</v>
      </c>
      <c r="H36" s="356">
        <v>1948</v>
      </c>
      <c r="I36" s="356">
        <v>1991</v>
      </c>
      <c r="J36" s="356">
        <v>2022</v>
      </c>
      <c r="K36" s="356">
        <v>1983</v>
      </c>
      <c r="L36" s="356">
        <v>2016</v>
      </c>
      <c r="M36" s="356">
        <v>2030</v>
      </c>
      <c r="N36" s="356">
        <v>2143</v>
      </c>
      <c r="O36" s="356">
        <v>2187</v>
      </c>
      <c r="P36" s="356">
        <v>2276</v>
      </c>
      <c r="Q36" s="356">
        <v>2329</v>
      </c>
      <c r="R36" s="356">
        <v>2308</v>
      </c>
      <c r="S36" s="356">
        <v>2365</v>
      </c>
      <c r="T36" s="356">
        <v>2361</v>
      </c>
      <c r="U36" s="356">
        <v>2411</v>
      </c>
      <c r="V36" s="356">
        <v>2506</v>
      </c>
      <c r="W36" s="356">
        <v>2769</v>
      </c>
      <c r="X36" s="356">
        <v>2620</v>
      </c>
      <c r="Y36" s="355">
        <v>2542.27</v>
      </c>
    </row>
    <row r="37" spans="1:25" ht="28" outlineLevel="2" x14ac:dyDescent="0.4">
      <c r="A37" s="390"/>
      <c r="B37" s="388"/>
      <c r="C37" s="388"/>
      <c r="D37" s="388" t="s">
        <v>183</v>
      </c>
      <c r="E37" s="389" t="s">
        <v>182</v>
      </c>
      <c r="F37" s="388">
        <v>4977</v>
      </c>
      <c r="G37" s="388">
        <v>5204</v>
      </c>
      <c r="H37" s="388">
        <v>5610</v>
      </c>
      <c r="I37" s="388">
        <v>5705</v>
      </c>
      <c r="J37" s="388">
        <v>5833</v>
      </c>
      <c r="K37" s="388">
        <v>5585</v>
      </c>
      <c r="L37" s="388">
        <v>5657</v>
      </c>
      <c r="M37" s="388">
        <v>5804</v>
      </c>
      <c r="N37" s="388">
        <v>6110</v>
      </c>
      <c r="O37" s="388">
        <v>6274</v>
      </c>
      <c r="P37" s="388">
        <v>6394</v>
      </c>
      <c r="Q37" s="388">
        <v>6695</v>
      </c>
      <c r="R37" s="388">
        <v>6495</v>
      </c>
      <c r="S37" s="388">
        <v>6746</v>
      </c>
      <c r="T37" s="388">
        <v>6862</v>
      </c>
      <c r="U37" s="388">
        <v>5718</v>
      </c>
      <c r="V37" s="388">
        <v>7078</v>
      </c>
      <c r="W37" s="388">
        <v>8140</v>
      </c>
      <c r="X37" s="388">
        <v>8367</v>
      </c>
      <c r="Y37" s="387">
        <v>8308.44</v>
      </c>
    </row>
    <row r="38" spans="1:25" ht="70" outlineLevel="1" x14ac:dyDescent="0.4">
      <c r="A38" s="386"/>
      <c r="B38" s="356"/>
      <c r="C38" s="365" t="s">
        <v>181</v>
      </c>
      <c r="D38" s="365"/>
      <c r="E38" s="375" t="s">
        <v>180</v>
      </c>
      <c r="F38" s="385">
        <v>8833</v>
      </c>
      <c r="G38" s="385">
        <v>9638</v>
      </c>
      <c r="H38" s="385">
        <v>10852</v>
      </c>
      <c r="I38" s="385">
        <v>10760</v>
      </c>
      <c r="J38" s="385">
        <v>9324</v>
      </c>
      <c r="K38" s="385">
        <v>9642</v>
      </c>
      <c r="L38" s="385">
        <v>10422</v>
      </c>
      <c r="M38" s="385">
        <v>10355</v>
      </c>
      <c r="N38" s="385">
        <v>10128</v>
      </c>
      <c r="O38" s="385">
        <v>10303</v>
      </c>
      <c r="P38" s="385">
        <v>10343</v>
      </c>
      <c r="Q38" s="385">
        <v>10815</v>
      </c>
      <c r="R38" s="385">
        <v>10510</v>
      </c>
      <c r="S38" s="385">
        <v>10397</v>
      </c>
      <c r="T38" s="385">
        <v>10473</v>
      </c>
      <c r="U38" s="385">
        <v>8241</v>
      </c>
      <c r="V38" s="385">
        <v>11683</v>
      </c>
      <c r="W38" s="385">
        <v>13106</v>
      </c>
      <c r="X38" s="385">
        <v>11464</v>
      </c>
      <c r="Y38" s="384">
        <v>11045.48</v>
      </c>
    </row>
    <row r="39" spans="1:25" ht="42" outlineLevel="2" x14ac:dyDescent="0.4">
      <c r="A39" s="390"/>
      <c r="B39" s="388"/>
      <c r="C39" s="388"/>
      <c r="D39" s="388" t="s">
        <v>179</v>
      </c>
      <c r="E39" s="389" t="s">
        <v>178</v>
      </c>
      <c r="F39" s="388">
        <v>7341</v>
      </c>
      <c r="G39" s="388">
        <v>8075</v>
      </c>
      <c r="H39" s="388">
        <v>9064</v>
      </c>
      <c r="I39" s="388">
        <v>8826</v>
      </c>
      <c r="J39" s="388">
        <v>7734</v>
      </c>
      <c r="K39" s="388">
        <v>7967</v>
      </c>
      <c r="L39" s="388">
        <v>8555</v>
      </c>
      <c r="M39" s="388">
        <v>8552</v>
      </c>
      <c r="N39" s="388">
        <v>8428</v>
      </c>
      <c r="O39" s="388">
        <v>8552</v>
      </c>
      <c r="P39" s="388">
        <v>8584</v>
      </c>
      <c r="Q39" s="388">
        <v>9004</v>
      </c>
      <c r="R39" s="388">
        <v>8693</v>
      </c>
      <c r="S39" s="388">
        <v>8729</v>
      </c>
      <c r="T39" s="388">
        <v>8892</v>
      </c>
      <c r="U39" s="388">
        <v>7272</v>
      </c>
      <c r="V39" s="388">
        <v>10245</v>
      </c>
      <c r="W39" s="388">
        <v>11560</v>
      </c>
      <c r="X39" s="388">
        <v>10064</v>
      </c>
      <c r="Y39" s="387">
        <v>9721.5</v>
      </c>
    </row>
    <row r="40" spans="1:25" ht="56" outlineLevel="2" x14ac:dyDescent="0.4">
      <c r="A40" s="358"/>
      <c r="B40" s="356"/>
      <c r="C40" s="356"/>
      <c r="D40" s="356" t="s">
        <v>177</v>
      </c>
      <c r="E40" s="357" t="s">
        <v>176</v>
      </c>
      <c r="F40" s="356">
        <v>1496</v>
      </c>
      <c r="G40" s="356">
        <v>1569</v>
      </c>
      <c r="H40" s="356">
        <v>1793</v>
      </c>
      <c r="I40" s="356">
        <v>1927</v>
      </c>
      <c r="J40" s="356">
        <v>1593</v>
      </c>
      <c r="K40" s="356">
        <v>1676</v>
      </c>
      <c r="L40" s="356">
        <v>1866</v>
      </c>
      <c r="M40" s="356">
        <v>1803</v>
      </c>
      <c r="N40" s="356">
        <v>1701</v>
      </c>
      <c r="O40" s="356">
        <v>1751</v>
      </c>
      <c r="P40" s="356">
        <v>1759</v>
      </c>
      <c r="Q40" s="356">
        <v>1811</v>
      </c>
      <c r="R40" s="356">
        <v>1817</v>
      </c>
      <c r="S40" s="356">
        <v>1653</v>
      </c>
      <c r="T40" s="356">
        <v>1554</v>
      </c>
      <c r="U40" s="356">
        <v>902</v>
      </c>
      <c r="V40" s="356">
        <v>1353</v>
      </c>
      <c r="W40" s="356">
        <v>1436</v>
      </c>
      <c r="X40" s="356">
        <v>1313</v>
      </c>
      <c r="Y40" s="355">
        <v>1235.06</v>
      </c>
    </row>
    <row r="41" spans="1:25" ht="70" outlineLevel="1" x14ac:dyDescent="0.4">
      <c r="A41" s="363"/>
      <c r="B41" s="388"/>
      <c r="C41" s="362" t="s">
        <v>175</v>
      </c>
      <c r="D41" s="362"/>
      <c r="E41" s="361" t="s">
        <v>174</v>
      </c>
      <c r="F41" s="360">
        <v>4590</v>
      </c>
      <c r="G41" s="360">
        <v>4917</v>
      </c>
      <c r="H41" s="360">
        <v>5249</v>
      </c>
      <c r="I41" s="360">
        <v>5345</v>
      </c>
      <c r="J41" s="360">
        <v>5274</v>
      </c>
      <c r="K41" s="360">
        <v>5406</v>
      </c>
      <c r="L41" s="360">
        <v>5541</v>
      </c>
      <c r="M41" s="360">
        <v>5671</v>
      </c>
      <c r="N41" s="360">
        <v>5660</v>
      </c>
      <c r="O41" s="360">
        <v>5782</v>
      </c>
      <c r="P41" s="360">
        <v>6057</v>
      </c>
      <c r="Q41" s="360">
        <v>6414</v>
      </c>
      <c r="R41" s="360">
        <v>6404</v>
      </c>
      <c r="S41" s="360">
        <v>6431</v>
      </c>
      <c r="T41" s="360">
        <v>6389</v>
      </c>
      <c r="U41" s="360">
        <v>5921</v>
      </c>
      <c r="V41" s="360">
        <v>6192</v>
      </c>
      <c r="W41" s="360">
        <v>6689</v>
      </c>
      <c r="X41" s="360">
        <v>6656</v>
      </c>
      <c r="Y41" s="359">
        <v>6641.05</v>
      </c>
    </row>
    <row r="42" spans="1:25" ht="42" outlineLevel="2" x14ac:dyDescent="0.4">
      <c r="A42" s="358"/>
      <c r="B42" s="356"/>
      <c r="C42" s="356"/>
      <c r="D42" s="356" t="s">
        <v>173</v>
      </c>
      <c r="E42" s="357" t="s">
        <v>172</v>
      </c>
      <c r="F42" s="356">
        <v>1002</v>
      </c>
      <c r="G42" s="356">
        <v>1093</v>
      </c>
      <c r="H42" s="356">
        <v>1210</v>
      </c>
      <c r="I42" s="356">
        <v>1162</v>
      </c>
      <c r="J42" s="356">
        <v>1056</v>
      </c>
      <c r="K42" s="356">
        <v>1052</v>
      </c>
      <c r="L42" s="356">
        <v>1027</v>
      </c>
      <c r="M42" s="356">
        <v>1009</v>
      </c>
      <c r="N42" s="356">
        <v>1032</v>
      </c>
      <c r="O42" s="356">
        <v>1059</v>
      </c>
      <c r="P42" s="356">
        <v>1137</v>
      </c>
      <c r="Q42" s="356">
        <v>1161</v>
      </c>
      <c r="R42" s="356">
        <v>1121</v>
      </c>
      <c r="S42" s="356">
        <v>1028</v>
      </c>
      <c r="T42" s="356">
        <v>965</v>
      </c>
      <c r="U42" s="356">
        <v>884</v>
      </c>
      <c r="V42" s="356">
        <v>921</v>
      </c>
      <c r="W42" s="356">
        <v>1086</v>
      </c>
      <c r="X42" s="356">
        <v>955</v>
      </c>
      <c r="Y42" s="355">
        <v>888.78</v>
      </c>
    </row>
    <row r="43" spans="1:25" outlineLevel="2" x14ac:dyDescent="0.4">
      <c r="A43" s="390"/>
      <c r="B43" s="388"/>
      <c r="C43" s="388"/>
      <c r="D43" s="388" t="s">
        <v>171</v>
      </c>
      <c r="E43" s="389" t="s">
        <v>170</v>
      </c>
      <c r="F43" s="388">
        <v>2181</v>
      </c>
      <c r="G43" s="388">
        <v>2355</v>
      </c>
      <c r="H43" s="388">
        <v>2481</v>
      </c>
      <c r="I43" s="388">
        <v>2581</v>
      </c>
      <c r="J43" s="388">
        <v>2589</v>
      </c>
      <c r="K43" s="388">
        <v>2769</v>
      </c>
      <c r="L43" s="388">
        <v>2881</v>
      </c>
      <c r="M43" s="388">
        <v>2989</v>
      </c>
      <c r="N43" s="388">
        <v>2995</v>
      </c>
      <c r="O43" s="388">
        <v>3131</v>
      </c>
      <c r="P43" s="388">
        <v>3219</v>
      </c>
      <c r="Q43" s="388">
        <v>3468</v>
      </c>
      <c r="R43" s="388">
        <v>3567</v>
      </c>
      <c r="S43" s="388">
        <v>3707</v>
      </c>
      <c r="T43" s="388">
        <v>3769</v>
      </c>
      <c r="U43" s="388">
        <v>3525</v>
      </c>
      <c r="V43" s="388">
        <v>3621</v>
      </c>
      <c r="W43" s="388">
        <v>3797</v>
      </c>
      <c r="X43" s="388">
        <v>3888</v>
      </c>
      <c r="Y43" s="387">
        <v>3917.22</v>
      </c>
    </row>
    <row r="44" spans="1:25" ht="42" outlineLevel="2" x14ac:dyDescent="0.4">
      <c r="A44" s="358"/>
      <c r="B44" s="356"/>
      <c r="C44" s="356"/>
      <c r="D44" s="356" t="s">
        <v>169</v>
      </c>
      <c r="E44" s="357" t="s">
        <v>168</v>
      </c>
      <c r="F44" s="356">
        <v>1442</v>
      </c>
      <c r="G44" s="356">
        <v>1500</v>
      </c>
      <c r="H44" s="356">
        <v>1608</v>
      </c>
      <c r="I44" s="356">
        <v>1632</v>
      </c>
      <c r="J44" s="356">
        <v>1651</v>
      </c>
      <c r="K44" s="356">
        <v>1578</v>
      </c>
      <c r="L44" s="356">
        <v>1627</v>
      </c>
      <c r="M44" s="356">
        <v>1673</v>
      </c>
      <c r="N44" s="356">
        <v>1633</v>
      </c>
      <c r="O44" s="356">
        <v>1603</v>
      </c>
      <c r="P44" s="356">
        <v>1701</v>
      </c>
      <c r="Q44" s="356">
        <v>1785</v>
      </c>
      <c r="R44" s="356">
        <v>1722</v>
      </c>
      <c r="S44" s="356">
        <v>1706</v>
      </c>
      <c r="T44" s="356">
        <v>1666</v>
      </c>
      <c r="U44" s="356">
        <v>1519</v>
      </c>
      <c r="V44" s="356">
        <v>1669</v>
      </c>
      <c r="W44" s="356">
        <v>1849</v>
      </c>
      <c r="X44" s="356">
        <v>1813</v>
      </c>
      <c r="Y44" s="355">
        <v>1827.33</v>
      </c>
    </row>
    <row r="45" spans="1:25" ht="98" outlineLevel="1" x14ac:dyDescent="0.4">
      <c r="A45" s="363"/>
      <c r="B45" s="388"/>
      <c r="C45" s="362" t="s">
        <v>167</v>
      </c>
      <c r="D45" s="362"/>
      <c r="E45" s="361" t="s">
        <v>166</v>
      </c>
      <c r="F45" s="360">
        <v>26681</v>
      </c>
      <c r="G45" s="360">
        <v>28964</v>
      </c>
      <c r="H45" s="360">
        <v>30971</v>
      </c>
      <c r="I45" s="360">
        <v>31407</v>
      </c>
      <c r="J45" s="360">
        <v>30481</v>
      </c>
      <c r="K45" s="360">
        <v>30822</v>
      </c>
      <c r="L45" s="360">
        <v>32688</v>
      </c>
      <c r="M45" s="360">
        <v>32768</v>
      </c>
      <c r="N45" s="360">
        <v>33774</v>
      </c>
      <c r="O45" s="360">
        <v>34786</v>
      </c>
      <c r="P45" s="360">
        <v>35555</v>
      </c>
      <c r="Q45" s="360">
        <v>37081</v>
      </c>
      <c r="R45" s="360">
        <v>37118</v>
      </c>
      <c r="S45" s="360">
        <v>37535</v>
      </c>
      <c r="T45" s="360">
        <v>37685</v>
      </c>
      <c r="U45" s="360">
        <v>33901</v>
      </c>
      <c r="V45" s="360">
        <v>38222</v>
      </c>
      <c r="W45" s="360">
        <v>40657</v>
      </c>
      <c r="X45" s="360">
        <v>40114</v>
      </c>
      <c r="Y45" s="359">
        <v>38706.5</v>
      </c>
    </row>
    <row r="46" spans="1:25" ht="28" outlineLevel="2" x14ac:dyDescent="0.4">
      <c r="A46" s="358"/>
      <c r="B46" s="356"/>
      <c r="C46" s="356"/>
      <c r="D46" s="356" t="s">
        <v>165</v>
      </c>
      <c r="E46" s="357" t="s">
        <v>164</v>
      </c>
      <c r="F46" s="356">
        <v>7974</v>
      </c>
      <c r="G46" s="356">
        <v>8211</v>
      </c>
      <c r="H46" s="356">
        <v>8477</v>
      </c>
      <c r="I46" s="356">
        <v>8483</v>
      </c>
      <c r="J46" s="356">
        <v>8266</v>
      </c>
      <c r="K46" s="356">
        <v>8555</v>
      </c>
      <c r="L46" s="356">
        <v>8677</v>
      </c>
      <c r="M46" s="356">
        <v>8332</v>
      </c>
      <c r="N46" s="356">
        <v>8860</v>
      </c>
      <c r="O46" s="356">
        <v>8147</v>
      </c>
      <c r="P46" s="356">
        <v>7761</v>
      </c>
      <c r="Q46" s="356">
        <v>9223</v>
      </c>
      <c r="R46" s="356">
        <v>9836</v>
      </c>
      <c r="S46" s="356">
        <v>10282</v>
      </c>
      <c r="T46" s="356">
        <v>10214</v>
      </c>
      <c r="U46" s="356">
        <v>9036</v>
      </c>
      <c r="V46" s="356">
        <v>10625</v>
      </c>
      <c r="W46" s="356">
        <v>11170</v>
      </c>
      <c r="X46" s="356">
        <v>11961</v>
      </c>
      <c r="Y46" s="355">
        <v>11540.04</v>
      </c>
    </row>
    <row r="47" spans="1:25" ht="69.75" customHeight="1" outlineLevel="2" x14ac:dyDescent="0.4">
      <c r="A47" s="390"/>
      <c r="B47" s="388"/>
      <c r="C47" s="388"/>
      <c r="D47" s="388" t="s">
        <v>163</v>
      </c>
      <c r="E47" s="389" t="s">
        <v>162</v>
      </c>
      <c r="F47" s="388">
        <v>8743</v>
      </c>
      <c r="G47" s="388">
        <v>9448</v>
      </c>
      <c r="H47" s="388">
        <v>10100</v>
      </c>
      <c r="I47" s="388">
        <v>10440</v>
      </c>
      <c r="J47" s="388">
        <v>10086</v>
      </c>
      <c r="K47" s="388">
        <v>10240</v>
      </c>
      <c r="L47" s="388">
        <v>10686</v>
      </c>
      <c r="M47" s="388">
        <v>10818</v>
      </c>
      <c r="N47" s="388">
        <v>11155</v>
      </c>
      <c r="O47" s="388">
        <v>11255</v>
      </c>
      <c r="P47" s="388">
        <v>11814</v>
      </c>
      <c r="Q47" s="388">
        <v>12062</v>
      </c>
      <c r="R47" s="388">
        <v>12032</v>
      </c>
      <c r="S47" s="388">
        <v>12245</v>
      </c>
      <c r="T47" s="388">
        <v>12514</v>
      </c>
      <c r="U47" s="388">
        <v>12103</v>
      </c>
      <c r="V47" s="388">
        <v>13567</v>
      </c>
      <c r="W47" s="388">
        <v>14531</v>
      </c>
      <c r="X47" s="388">
        <v>13897</v>
      </c>
      <c r="Y47" s="387">
        <v>13673.26</v>
      </c>
    </row>
    <row r="48" spans="1:25" outlineLevel="2" x14ac:dyDescent="0.4">
      <c r="A48" s="358"/>
      <c r="B48" s="356"/>
      <c r="C48" s="356"/>
      <c r="D48" s="356" t="s">
        <v>161</v>
      </c>
      <c r="E48" s="357" t="s">
        <v>160</v>
      </c>
      <c r="F48" s="356">
        <v>2140</v>
      </c>
      <c r="G48" s="356">
        <v>2247</v>
      </c>
      <c r="H48" s="356">
        <v>2416</v>
      </c>
      <c r="I48" s="356">
        <v>2422</v>
      </c>
      <c r="J48" s="356">
        <v>2408</v>
      </c>
      <c r="K48" s="356">
        <v>2476</v>
      </c>
      <c r="L48" s="356">
        <v>2640</v>
      </c>
      <c r="M48" s="356">
        <v>2616</v>
      </c>
      <c r="N48" s="356">
        <v>2626</v>
      </c>
      <c r="O48" s="356">
        <v>2660</v>
      </c>
      <c r="P48" s="356">
        <v>2791</v>
      </c>
      <c r="Q48" s="356">
        <v>2866</v>
      </c>
      <c r="R48" s="356">
        <v>2831</v>
      </c>
      <c r="S48" s="356">
        <v>2942</v>
      </c>
      <c r="T48" s="356">
        <v>3048</v>
      </c>
      <c r="U48" s="356">
        <v>2954</v>
      </c>
      <c r="V48" s="356">
        <v>3051</v>
      </c>
      <c r="W48" s="356">
        <v>3397</v>
      </c>
      <c r="X48" s="356">
        <v>3120</v>
      </c>
      <c r="Y48" s="355">
        <v>3107.21</v>
      </c>
    </row>
    <row r="49" spans="1:25" outlineLevel="2" x14ac:dyDescent="0.4">
      <c r="A49" s="390"/>
      <c r="B49" s="388"/>
      <c r="C49" s="388"/>
      <c r="D49" s="388" t="s">
        <v>159</v>
      </c>
      <c r="E49" s="389" t="s">
        <v>158</v>
      </c>
      <c r="F49" s="388">
        <v>8161</v>
      </c>
      <c r="G49" s="388">
        <v>9320</v>
      </c>
      <c r="H49" s="388">
        <v>10159</v>
      </c>
      <c r="I49" s="388">
        <v>10213</v>
      </c>
      <c r="J49" s="388">
        <v>9847</v>
      </c>
      <c r="K49" s="388">
        <v>9722</v>
      </c>
      <c r="L49" s="388">
        <v>10816</v>
      </c>
      <c r="M49" s="388">
        <v>11112</v>
      </c>
      <c r="N49" s="388">
        <v>11280</v>
      </c>
      <c r="O49" s="388">
        <v>12743</v>
      </c>
      <c r="P49" s="388">
        <v>13189</v>
      </c>
      <c r="Q49" s="388">
        <v>12930</v>
      </c>
      <c r="R49" s="388">
        <v>12485</v>
      </c>
      <c r="S49" s="388">
        <v>12078</v>
      </c>
      <c r="T49" s="388">
        <v>11910</v>
      </c>
      <c r="U49" s="388">
        <v>9702</v>
      </c>
      <c r="V49" s="388">
        <v>10853</v>
      </c>
      <c r="W49" s="388">
        <v>11435</v>
      </c>
      <c r="X49" s="388">
        <v>10770</v>
      </c>
      <c r="Y49" s="387">
        <v>9974.0400000000009</v>
      </c>
    </row>
    <row r="50" spans="1:25" ht="112" outlineLevel="1" x14ac:dyDescent="0.4">
      <c r="A50" s="386"/>
      <c r="B50" s="356"/>
      <c r="C50" s="365" t="s">
        <v>157</v>
      </c>
      <c r="D50" s="365"/>
      <c r="E50" s="375" t="s">
        <v>156</v>
      </c>
      <c r="F50" s="385">
        <v>11299</v>
      </c>
      <c r="G50" s="385">
        <v>12393</v>
      </c>
      <c r="H50" s="385">
        <v>13734</v>
      </c>
      <c r="I50" s="385">
        <v>12946</v>
      </c>
      <c r="J50" s="385">
        <v>12020</v>
      </c>
      <c r="K50" s="385">
        <v>13136</v>
      </c>
      <c r="L50" s="385">
        <v>14287</v>
      </c>
      <c r="M50" s="385">
        <v>14502</v>
      </c>
      <c r="N50" s="385">
        <v>14298</v>
      </c>
      <c r="O50" s="385">
        <v>14852</v>
      </c>
      <c r="P50" s="385">
        <v>15004</v>
      </c>
      <c r="Q50" s="385">
        <v>15267</v>
      </c>
      <c r="R50" s="385">
        <v>13725</v>
      </c>
      <c r="S50" s="385">
        <v>14032</v>
      </c>
      <c r="T50" s="385">
        <v>14297</v>
      </c>
      <c r="U50" s="385">
        <v>12818</v>
      </c>
      <c r="V50" s="385">
        <v>15196</v>
      </c>
      <c r="W50" s="385">
        <v>17042</v>
      </c>
      <c r="X50" s="385">
        <v>16232</v>
      </c>
      <c r="Y50" s="384">
        <v>16137.1</v>
      </c>
    </row>
    <row r="51" spans="1:25" ht="24" customHeight="1" outlineLevel="2" x14ac:dyDescent="0.4">
      <c r="A51" s="390"/>
      <c r="B51" s="388"/>
      <c r="C51" s="388"/>
      <c r="D51" s="388" t="s">
        <v>155</v>
      </c>
      <c r="E51" s="389" t="s">
        <v>154</v>
      </c>
      <c r="F51" s="388">
        <v>4503</v>
      </c>
      <c r="G51" s="388">
        <v>4833</v>
      </c>
      <c r="H51" s="388">
        <v>5048</v>
      </c>
      <c r="I51" s="388">
        <v>5127</v>
      </c>
      <c r="J51" s="388">
        <v>5144</v>
      </c>
      <c r="K51" s="388">
        <v>5320</v>
      </c>
      <c r="L51" s="388">
        <v>5617</v>
      </c>
      <c r="M51" s="388">
        <v>5784</v>
      </c>
      <c r="N51" s="388">
        <v>5573</v>
      </c>
      <c r="O51" s="388">
        <v>5841</v>
      </c>
      <c r="P51" s="388">
        <v>5946</v>
      </c>
      <c r="Q51" s="388">
        <v>6172</v>
      </c>
      <c r="R51" s="388">
        <v>5707</v>
      </c>
      <c r="S51" s="388">
        <v>5627</v>
      </c>
      <c r="T51" s="388">
        <v>5671</v>
      </c>
      <c r="U51" s="388">
        <v>5517</v>
      </c>
      <c r="V51" s="388">
        <v>6687</v>
      </c>
      <c r="W51" s="388">
        <v>7293</v>
      </c>
      <c r="X51" s="388">
        <v>6986</v>
      </c>
      <c r="Y51" s="387">
        <v>6851.62</v>
      </c>
    </row>
    <row r="52" spans="1:25" ht="28" outlineLevel="2" x14ac:dyDescent="0.4">
      <c r="A52" s="358"/>
      <c r="B52" s="356"/>
      <c r="C52" s="356"/>
      <c r="D52" s="356" t="s">
        <v>153</v>
      </c>
      <c r="E52" s="357" t="s">
        <v>152</v>
      </c>
      <c r="F52" s="356">
        <v>1440</v>
      </c>
      <c r="G52" s="356">
        <v>1589</v>
      </c>
      <c r="H52" s="356">
        <v>1681</v>
      </c>
      <c r="I52" s="356">
        <v>1581</v>
      </c>
      <c r="J52" s="356">
        <v>1489</v>
      </c>
      <c r="K52" s="356">
        <v>1653</v>
      </c>
      <c r="L52" s="356">
        <v>1814</v>
      </c>
      <c r="M52" s="356">
        <v>1718</v>
      </c>
      <c r="N52" s="356">
        <v>1834</v>
      </c>
      <c r="O52" s="356">
        <v>1857</v>
      </c>
      <c r="P52" s="356">
        <v>1920</v>
      </c>
      <c r="Q52" s="356">
        <v>2043</v>
      </c>
      <c r="R52" s="356">
        <v>1940</v>
      </c>
      <c r="S52" s="356">
        <v>2041</v>
      </c>
      <c r="T52" s="356">
        <v>2114</v>
      </c>
      <c r="U52" s="356">
        <v>2007</v>
      </c>
      <c r="V52" s="356">
        <v>2318</v>
      </c>
      <c r="W52" s="356">
        <v>2618</v>
      </c>
      <c r="X52" s="356">
        <v>2643</v>
      </c>
      <c r="Y52" s="355">
        <v>2790.62</v>
      </c>
    </row>
    <row r="53" spans="1:25" ht="28" outlineLevel="2" x14ac:dyDescent="0.4">
      <c r="A53" s="390"/>
      <c r="B53" s="388"/>
      <c r="C53" s="388"/>
      <c r="D53" s="388" t="s">
        <v>151</v>
      </c>
      <c r="E53" s="389" t="s">
        <v>150</v>
      </c>
      <c r="F53" s="388">
        <v>3705</v>
      </c>
      <c r="G53" s="388">
        <v>3954</v>
      </c>
      <c r="H53" s="388">
        <v>4356</v>
      </c>
      <c r="I53" s="388">
        <v>4396</v>
      </c>
      <c r="J53" s="388">
        <v>3869</v>
      </c>
      <c r="K53" s="388">
        <v>4118</v>
      </c>
      <c r="L53" s="388">
        <v>4310</v>
      </c>
      <c r="M53" s="388">
        <v>4312</v>
      </c>
      <c r="N53" s="388">
        <v>4450</v>
      </c>
      <c r="O53" s="388">
        <v>4547</v>
      </c>
      <c r="P53" s="388">
        <v>4635</v>
      </c>
      <c r="Q53" s="388">
        <v>4628</v>
      </c>
      <c r="R53" s="388">
        <v>3793</v>
      </c>
      <c r="S53" s="388">
        <v>3902</v>
      </c>
      <c r="T53" s="388">
        <v>3994</v>
      </c>
      <c r="U53" s="388">
        <v>3564</v>
      </c>
      <c r="V53" s="388">
        <v>3795</v>
      </c>
      <c r="W53" s="388">
        <v>4249</v>
      </c>
      <c r="X53" s="388">
        <v>4502</v>
      </c>
      <c r="Y53" s="387">
        <v>4613.96</v>
      </c>
    </row>
    <row r="54" spans="1:25" ht="42" outlineLevel="2" x14ac:dyDescent="0.4">
      <c r="A54" s="358"/>
      <c r="B54" s="356"/>
      <c r="C54" s="356"/>
      <c r="D54" s="356" t="s">
        <v>149</v>
      </c>
      <c r="E54" s="357" t="s">
        <v>148</v>
      </c>
      <c r="F54" s="356">
        <v>1675</v>
      </c>
      <c r="G54" s="356">
        <v>1958</v>
      </c>
      <c r="H54" s="356">
        <v>2405</v>
      </c>
      <c r="I54" s="356">
        <v>1850</v>
      </c>
      <c r="J54" s="356">
        <v>1619</v>
      </c>
      <c r="K54" s="356">
        <v>2082</v>
      </c>
      <c r="L54" s="356">
        <v>2522</v>
      </c>
      <c r="M54" s="356">
        <v>2680</v>
      </c>
      <c r="N54" s="356">
        <v>2431</v>
      </c>
      <c r="O54" s="356">
        <v>2597</v>
      </c>
      <c r="P54" s="356">
        <v>2503</v>
      </c>
      <c r="Q54" s="356">
        <v>2424</v>
      </c>
      <c r="R54" s="356">
        <v>2276</v>
      </c>
      <c r="S54" s="356">
        <v>2474</v>
      </c>
      <c r="T54" s="356">
        <v>2544</v>
      </c>
      <c r="U54" s="356">
        <v>1637</v>
      </c>
      <c r="V54" s="356">
        <v>2171</v>
      </c>
      <c r="W54" s="356">
        <v>2718</v>
      </c>
      <c r="X54" s="356">
        <v>1998</v>
      </c>
      <c r="Y54" s="355">
        <v>1857.44</v>
      </c>
    </row>
    <row r="55" spans="1:25" ht="28" outlineLevel="1" x14ac:dyDescent="0.4">
      <c r="A55" s="363"/>
      <c r="B55" s="388"/>
      <c r="C55" s="362" t="s">
        <v>147</v>
      </c>
      <c r="D55" s="362"/>
      <c r="E55" s="361" t="s">
        <v>146</v>
      </c>
      <c r="F55" s="360">
        <v>4398</v>
      </c>
      <c r="G55" s="360">
        <v>4699</v>
      </c>
      <c r="H55" s="360">
        <v>4981</v>
      </c>
      <c r="I55" s="360">
        <v>5119</v>
      </c>
      <c r="J55" s="360">
        <v>4779</v>
      </c>
      <c r="K55" s="360">
        <v>4987</v>
      </c>
      <c r="L55" s="360">
        <v>5134</v>
      </c>
      <c r="M55" s="360">
        <v>5259</v>
      </c>
      <c r="N55" s="360">
        <v>5279</v>
      </c>
      <c r="O55" s="360">
        <v>5435</v>
      </c>
      <c r="P55" s="360">
        <v>5611</v>
      </c>
      <c r="Q55" s="360">
        <v>5558</v>
      </c>
      <c r="R55" s="360">
        <v>5429</v>
      </c>
      <c r="S55" s="360">
        <v>5586</v>
      </c>
      <c r="T55" s="360">
        <v>5557</v>
      </c>
      <c r="U55" s="360">
        <v>4916</v>
      </c>
      <c r="V55" s="360">
        <v>5857</v>
      </c>
      <c r="W55" s="360">
        <v>6403</v>
      </c>
      <c r="X55" s="360">
        <v>6145</v>
      </c>
      <c r="Y55" s="359">
        <v>6028.65</v>
      </c>
    </row>
    <row r="56" spans="1:25" outlineLevel="2" x14ac:dyDescent="0.4">
      <c r="A56" s="358"/>
      <c r="B56" s="356"/>
      <c r="C56" s="356"/>
      <c r="D56" s="356" t="s">
        <v>145</v>
      </c>
      <c r="E56" s="357" t="s">
        <v>144</v>
      </c>
      <c r="F56" s="356">
        <v>1654</v>
      </c>
      <c r="G56" s="356">
        <v>1721</v>
      </c>
      <c r="H56" s="356">
        <v>1851</v>
      </c>
      <c r="I56" s="356">
        <v>1889</v>
      </c>
      <c r="J56" s="356">
        <v>1851</v>
      </c>
      <c r="K56" s="356">
        <v>1912</v>
      </c>
      <c r="L56" s="356">
        <v>2068</v>
      </c>
      <c r="M56" s="356">
        <v>2114</v>
      </c>
      <c r="N56" s="356">
        <v>2175</v>
      </c>
      <c r="O56" s="356">
        <v>2204</v>
      </c>
      <c r="P56" s="356">
        <v>2306</v>
      </c>
      <c r="Q56" s="356">
        <v>2358</v>
      </c>
      <c r="R56" s="356">
        <v>2348</v>
      </c>
      <c r="S56" s="356">
        <v>2353</v>
      </c>
      <c r="T56" s="356">
        <v>2399</v>
      </c>
      <c r="U56" s="356">
        <v>2003</v>
      </c>
      <c r="V56" s="356">
        <v>2501</v>
      </c>
      <c r="W56" s="356">
        <v>2511</v>
      </c>
      <c r="X56" s="356">
        <v>2297</v>
      </c>
      <c r="Y56" s="355">
        <v>2142.59</v>
      </c>
    </row>
    <row r="57" spans="1:25" outlineLevel="2" x14ac:dyDescent="0.4">
      <c r="A57" s="390"/>
      <c r="B57" s="388"/>
      <c r="C57" s="388"/>
      <c r="D57" s="388" t="s">
        <v>143</v>
      </c>
      <c r="E57" s="389" t="s">
        <v>142</v>
      </c>
      <c r="F57" s="388">
        <v>2768</v>
      </c>
      <c r="G57" s="388">
        <v>3012</v>
      </c>
      <c r="H57" s="388">
        <v>3161</v>
      </c>
      <c r="I57" s="388">
        <v>3266</v>
      </c>
      <c r="J57" s="388">
        <v>2941</v>
      </c>
      <c r="K57" s="388">
        <v>3092</v>
      </c>
      <c r="L57" s="388">
        <v>3069</v>
      </c>
      <c r="M57" s="388">
        <v>3148</v>
      </c>
      <c r="N57" s="388">
        <v>3103</v>
      </c>
      <c r="O57" s="388">
        <v>3233</v>
      </c>
      <c r="P57" s="388">
        <v>3305</v>
      </c>
      <c r="Q57" s="388">
        <v>3200</v>
      </c>
      <c r="R57" s="388">
        <v>3082</v>
      </c>
      <c r="S57" s="388">
        <v>3226</v>
      </c>
      <c r="T57" s="388">
        <v>3158</v>
      </c>
      <c r="U57" s="388">
        <v>2897</v>
      </c>
      <c r="V57" s="388">
        <v>3350</v>
      </c>
      <c r="W57" s="388">
        <v>3869</v>
      </c>
      <c r="X57" s="388">
        <v>3820</v>
      </c>
      <c r="Y57" s="387">
        <v>3860.15</v>
      </c>
    </row>
    <row r="58" spans="1:25" ht="56" x14ac:dyDescent="0.4">
      <c r="A58" s="379"/>
      <c r="B58" s="378" t="s">
        <v>141</v>
      </c>
      <c r="C58" s="378"/>
      <c r="D58" s="378"/>
      <c r="E58" s="377" t="s">
        <v>140</v>
      </c>
      <c r="F58" s="362">
        <v>18685</v>
      </c>
      <c r="G58" s="362">
        <v>19679</v>
      </c>
      <c r="H58" s="362">
        <v>20511</v>
      </c>
      <c r="I58" s="362">
        <v>20619</v>
      </c>
      <c r="J58" s="362">
        <v>21113</v>
      </c>
      <c r="K58" s="362">
        <v>21935</v>
      </c>
      <c r="L58" s="362">
        <v>22608</v>
      </c>
      <c r="M58" s="362">
        <v>23094</v>
      </c>
      <c r="N58" s="362">
        <v>23950</v>
      </c>
      <c r="O58" s="362">
        <v>24773</v>
      </c>
      <c r="P58" s="362">
        <v>24599</v>
      </c>
      <c r="Q58" s="362">
        <v>24597</v>
      </c>
      <c r="R58" s="362">
        <v>25307</v>
      </c>
      <c r="S58" s="362">
        <v>25952</v>
      </c>
      <c r="T58" s="362">
        <v>26606</v>
      </c>
      <c r="U58" s="362">
        <v>25587</v>
      </c>
      <c r="V58" s="362">
        <v>27079</v>
      </c>
      <c r="W58" s="362">
        <v>28327</v>
      </c>
      <c r="X58" s="362">
        <v>28958</v>
      </c>
      <c r="Y58" s="376">
        <v>29494.53</v>
      </c>
    </row>
    <row r="59" spans="1:25" outlineLevel="1" x14ac:dyDescent="0.4">
      <c r="A59" s="386"/>
      <c r="B59" s="365"/>
      <c r="C59" s="365" t="s">
        <v>139</v>
      </c>
      <c r="D59" s="365"/>
      <c r="E59" s="375" t="s">
        <v>138</v>
      </c>
      <c r="F59" s="385">
        <v>12577</v>
      </c>
      <c r="G59" s="385">
        <v>13131</v>
      </c>
      <c r="H59" s="385">
        <v>13760</v>
      </c>
      <c r="I59" s="385">
        <v>13742</v>
      </c>
      <c r="J59" s="385">
        <v>14204</v>
      </c>
      <c r="K59" s="385">
        <v>14888</v>
      </c>
      <c r="L59" s="385">
        <v>15386</v>
      </c>
      <c r="M59" s="385">
        <v>15748</v>
      </c>
      <c r="N59" s="385">
        <v>16384</v>
      </c>
      <c r="O59" s="385">
        <v>17031</v>
      </c>
      <c r="P59" s="385">
        <v>16842</v>
      </c>
      <c r="Q59" s="385">
        <v>16990</v>
      </c>
      <c r="R59" s="385">
        <v>17519</v>
      </c>
      <c r="S59" s="385">
        <v>18004</v>
      </c>
      <c r="T59" s="385">
        <v>18549</v>
      </c>
      <c r="U59" s="385">
        <v>18287</v>
      </c>
      <c r="V59" s="385">
        <v>19492</v>
      </c>
      <c r="W59" s="385">
        <v>20362</v>
      </c>
      <c r="X59" s="385">
        <v>21011</v>
      </c>
      <c r="Y59" s="384">
        <v>21551.54</v>
      </c>
    </row>
    <row r="60" spans="1:25" ht="28" outlineLevel="2" x14ac:dyDescent="0.4">
      <c r="A60" s="390"/>
      <c r="B60" s="388"/>
      <c r="C60" s="388"/>
      <c r="D60" s="388" t="s">
        <v>137</v>
      </c>
      <c r="E60" s="389" t="s">
        <v>136</v>
      </c>
      <c r="F60" s="388">
        <v>10917</v>
      </c>
      <c r="G60" s="388">
        <v>11384</v>
      </c>
      <c r="H60" s="388">
        <v>11811</v>
      </c>
      <c r="I60" s="388">
        <v>11988</v>
      </c>
      <c r="J60" s="388">
        <v>12152</v>
      </c>
      <c r="K60" s="388">
        <v>12705</v>
      </c>
      <c r="L60" s="388">
        <v>13046</v>
      </c>
      <c r="M60" s="388">
        <v>13301</v>
      </c>
      <c r="N60" s="388">
        <v>13758</v>
      </c>
      <c r="O60" s="388">
        <v>14207</v>
      </c>
      <c r="P60" s="388">
        <v>14017</v>
      </c>
      <c r="Q60" s="388">
        <v>14140</v>
      </c>
      <c r="R60" s="388">
        <v>14635</v>
      </c>
      <c r="S60" s="388">
        <v>15065</v>
      </c>
      <c r="T60" s="388">
        <v>15513</v>
      </c>
      <c r="U60" s="388">
        <v>15442</v>
      </c>
      <c r="V60" s="388">
        <v>16295</v>
      </c>
      <c r="W60" s="388">
        <v>16930</v>
      </c>
      <c r="X60" s="388">
        <v>17700</v>
      </c>
      <c r="Y60" s="387">
        <v>18209.07</v>
      </c>
    </row>
    <row r="61" spans="1:25" ht="28" outlineLevel="2" x14ac:dyDescent="0.4">
      <c r="A61" s="358"/>
      <c r="B61" s="356"/>
      <c r="C61" s="356"/>
      <c r="D61" s="356" t="s">
        <v>135</v>
      </c>
      <c r="E61" s="357" t="s">
        <v>134</v>
      </c>
      <c r="F61" s="356">
        <v>1686</v>
      </c>
      <c r="G61" s="356">
        <v>1773</v>
      </c>
      <c r="H61" s="356">
        <v>1949</v>
      </c>
      <c r="I61" s="356">
        <v>1807</v>
      </c>
      <c r="J61" s="356">
        <v>2013</v>
      </c>
      <c r="K61" s="356">
        <v>2145</v>
      </c>
      <c r="L61" s="356">
        <v>2309</v>
      </c>
      <c r="M61" s="356">
        <v>2422</v>
      </c>
      <c r="N61" s="356">
        <v>2608</v>
      </c>
      <c r="O61" s="356">
        <v>2816</v>
      </c>
      <c r="P61" s="356">
        <v>2825</v>
      </c>
      <c r="Q61" s="356">
        <v>2850</v>
      </c>
      <c r="R61" s="356">
        <v>2888</v>
      </c>
      <c r="S61" s="356">
        <v>2946</v>
      </c>
      <c r="T61" s="356">
        <v>3042</v>
      </c>
      <c r="U61" s="356">
        <v>2866</v>
      </c>
      <c r="V61" s="356">
        <v>3194</v>
      </c>
      <c r="W61" s="356">
        <v>3420</v>
      </c>
      <c r="X61" s="356">
        <v>3300</v>
      </c>
      <c r="Y61" s="355">
        <v>3326.8</v>
      </c>
    </row>
    <row r="62" spans="1:25" ht="42" outlineLevel="1" x14ac:dyDescent="0.4">
      <c r="A62" s="363"/>
      <c r="B62" s="362"/>
      <c r="C62" s="362" t="s">
        <v>133</v>
      </c>
      <c r="D62" s="362"/>
      <c r="E62" s="361" t="s">
        <v>132</v>
      </c>
      <c r="F62" s="360">
        <v>6089</v>
      </c>
      <c r="G62" s="360">
        <v>6501</v>
      </c>
      <c r="H62" s="360">
        <v>6717</v>
      </c>
      <c r="I62" s="360">
        <v>6826</v>
      </c>
      <c r="J62" s="360">
        <v>6873</v>
      </c>
      <c r="K62" s="360">
        <v>7030</v>
      </c>
      <c r="L62" s="360">
        <v>7210</v>
      </c>
      <c r="M62" s="360">
        <v>7338</v>
      </c>
      <c r="N62" s="360">
        <v>7563</v>
      </c>
      <c r="O62" s="360">
        <v>7744</v>
      </c>
      <c r="P62" s="360">
        <v>7757</v>
      </c>
      <c r="Q62" s="360">
        <v>7607</v>
      </c>
      <c r="R62" s="360">
        <v>7784</v>
      </c>
      <c r="S62" s="360">
        <v>7944</v>
      </c>
      <c r="T62" s="360">
        <v>8053</v>
      </c>
      <c r="U62" s="360">
        <v>7299</v>
      </c>
      <c r="V62" s="360">
        <v>7583</v>
      </c>
      <c r="W62" s="360">
        <v>7959</v>
      </c>
      <c r="X62" s="360">
        <v>7936</v>
      </c>
      <c r="Y62" s="359">
        <v>7907.37</v>
      </c>
    </row>
    <row r="63" spans="1:25" outlineLevel="2" x14ac:dyDescent="0.4">
      <c r="A63" s="358"/>
      <c r="B63" s="356"/>
      <c r="C63" s="356"/>
      <c r="D63" s="356" t="s">
        <v>131</v>
      </c>
      <c r="E63" s="357" t="s">
        <v>130</v>
      </c>
      <c r="F63" s="356">
        <v>1958</v>
      </c>
      <c r="G63" s="356">
        <v>1985</v>
      </c>
      <c r="H63" s="356">
        <v>2012</v>
      </c>
      <c r="I63" s="356">
        <v>2031</v>
      </c>
      <c r="J63" s="356">
        <v>2057</v>
      </c>
      <c r="K63" s="356">
        <v>2073</v>
      </c>
      <c r="L63" s="356">
        <v>2128</v>
      </c>
      <c r="M63" s="356">
        <v>2218</v>
      </c>
      <c r="N63" s="356">
        <v>2311</v>
      </c>
      <c r="O63" s="356">
        <v>2366</v>
      </c>
      <c r="P63" s="356">
        <v>2376</v>
      </c>
      <c r="Q63" s="356">
        <v>2349</v>
      </c>
      <c r="R63" s="356">
        <v>2370</v>
      </c>
      <c r="S63" s="356">
        <v>2430</v>
      </c>
      <c r="T63" s="356">
        <v>2523</v>
      </c>
      <c r="U63" s="356">
        <v>2358</v>
      </c>
      <c r="V63" s="356">
        <v>2324</v>
      </c>
      <c r="W63" s="356">
        <v>2368</v>
      </c>
      <c r="X63" s="356">
        <v>2421</v>
      </c>
      <c r="Y63" s="355">
        <v>2394.86</v>
      </c>
    </row>
    <row r="64" spans="1:25" ht="42" outlineLevel="2" x14ac:dyDescent="0.4">
      <c r="A64" s="390"/>
      <c r="B64" s="388"/>
      <c r="C64" s="388"/>
      <c r="D64" s="388" t="s">
        <v>129</v>
      </c>
      <c r="E64" s="389" t="s">
        <v>128</v>
      </c>
      <c r="F64" s="388">
        <v>3148</v>
      </c>
      <c r="G64" s="388">
        <v>3506</v>
      </c>
      <c r="H64" s="388">
        <v>3657</v>
      </c>
      <c r="I64" s="388">
        <v>3731</v>
      </c>
      <c r="J64" s="388">
        <v>3737</v>
      </c>
      <c r="K64" s="388">
        <v>3828</v>
      </c>
      <c r="L64" s="388">
        <v>3923</v>
      </c>
      <c r="M64" s="388">
        <v>3936</v>
      </c>
      <c r="N64" s="388">
        <v>4031</v>
      </c>
      <c r="O64" s="388">
        <v>4116</v>
      </c>
      <c r="P64" s="388">
        <v>4068</v>
      </c>
      <c r="Q64" s="388">
        <v>3969</v>
      </c>
      <c r="R64" s="388">
        <v>3992</v>
      </c>
      <c r="S64" s="388">
        <v>4057</v>
      </c>
      <c r="T64" s="388">
        <v>4151</v>
      </c>
      <c r="U64" s="388">
        <v>3902</v>
      </c>
      <c r="V64" s="388">
        <v>3791</v>
      </c>
      <c r="W64" s="388">
        <v>3987</v>
      </c>
      <c r="X64" s="388">
        <v>4228</v>
      </c>
      <c r="Y64" s="387">
        <v>4181.87</v>
      </c>
    </row>
    <row r="65" spans="1:25" outlineLevel="2" x14ac:dyDescent="0.4">
      <c r="A65" s="358"/>
      <c r="B65" s="356"/>
      <c r="C65" s="356"/>
      <c r="D65" s="356" t="s">
        <v>127</v>
      </c>
      <c r="E65" s="357" t="s">
        <v>126</v>
      </c>
      <c r="F65" s="356">
        <v>973</v>
      </c>
      <c r="G65" s="356">
        <v>1015</v>
      </c>
      <c r="H65" s="356">
        <v>1053</v>
      </c>
      <c r="I65" s="356">
        <v>1069</v>
      </c>
      <c r="J65" s="356">
        <v>1082</v>
      </c>
      <c r="K65" s="356">
        <v>1131</v>
      </c>
      <c r="L65" s="356">
        <v>1162</v>
      </c>
      <c r="M65" s="356">
        <v>1185</v>
      </c>
      <c r="N65" s="356">
        <v>1221</v>
      </c>
      <c r="O65" s="356">
        <v>1261</v>
      </c>
      <c r="P65" s="356">
        <v>1313</v>
      </c>
      <c r="Q65" s="356">
        <v>1289</v>
      </c>
      <c r="R65" s="356">
        <v>1426</v>
      </c>
      <c r="S65" s="356">
        <v>1462</v>
      </c>
      <c r="T65" s="356">
        <v>1366</v>
      </c>
      <c r="U65" s="356">
        <v>977</v>
      </c>
      <c r="V65" s="356">
        <v>1371</v>
      </c>
      <c r="W65" s="356">
        <v>1483</v>
      </c>
      <c r="X65" s="356">
        <v>1257</v>
      </c>
      <c r="Y65" s="355">
        <v>1294.22</v>
      </c>
    </row>
    <row r="66" spans="1:25" x14ac:dyDescent="0.4">
      <c r="A66" s="368"/>
      <c r="B66" s="367" t="s">
        <v>125</v>
      </c>
      <c r="C66" s="367"/>
      <c r="D66" s="367"/>
      <c r="E66" s="366" t="s">
        <v>124</v>
      </c>
      <c r="F66" s="365">
        <v>29808</v>
      </c>
      <c r="G66" s="365">
        <v>33427</v>
      </c>
      <c r="H66" s="365">
        <v>35747</v>
      </c>
      <c r="I66" s="365">
        <v>39289</v>
      </c>
      <c r="J66" s="365">
        <v>40316</v>
      </c>
      <c r="K66" s="365">
        <v>40048</v>
      </c>
      <c r="L66" s="365">
        <v>42536</v>
      </c>
      <c r="M66" s="365">
        <v>45051</v>
      </c>
      <c r="N66" s="365">
        <v>50131</v>
      </c>
      <c r="O66" s="365">
        <v>54602</v>
      </c>
      <c r="P66" s="365">
        <v>58042</v>
      </c>
      <c r="Q66" s="365">
        <v>60125</v>
      </c>
      <c r="R66" s="365">
        <v>58907</v>
      </c>
      <c r="S66" s="365">
        <v>58156</v>
      </c>
      <c r="T66" s="365">
        <v>55893</v>
      </c>
      <c r="U66" s="365">
        <v>39359</v>
      </c>
      <c r="V66" s="365">
        <v>41039</v>
      </c>
      <c r="W66" s="365">
        <v>43765</v>
      </c>
      <c r="X66" s="365">
        <v>42389</v>
      </c>
      <c r="Y66" s="364">
        <v>43194.86</v>
      </c>
    </row>
    <row r="67" spans="1:25" outlineLevel="1" x14ac:dyDescent="0.4">
      <c r="A67" s="363"/>
      <c r="B67" s="362"/>
      <c r="C67" s="362" t="s">
        <v>123</v>
      </c>
      <c r="D67" s="362"/>
      <c r="E67" s="361" t="s">
        <v>121</v>
      </c>
      <c r="F67" s="360">
        <v>17573</v>
      </c>
      <c r="G67" s="360">
        <v>19701</v>
      </c>
      <c r="H67" s="360">
        <v>20410</v>
      </c>
      <c r="I67" s="360">
        <v>22928</v>
      </c>
      <c r="J67" s="360">
        <v>22324</v>
      </c>
      <c r="K67" s="360">
        <v>22035</v>
      </c>
      <c r="L67" s="360">
        <v>22711</v>
      </c>
      <c r="M67" s="360">
        <v>24045</v>
      </c>
      <c r="N67" s="360">
        <v>26444</v>
      </c>
      <c r="O67" s="360">
        <v>28294</v>
      </c>
      <c r="P67" s="360">
        <v>30111</v>
      </c>
      <c r="Q67" s="360">
        <v>31906</v>
      </c>
      <c r="R67" s="360">
        <v>30260</v>
      </c>
      <c r="S67" s="360">
        <v>30166</v>
      </c>
      <c r="T67" s="360">
        <v>26055</v>
      </c>
      <c r="U67" s="360">
        <v>18202</v>
      </c>
      <c r="V67" s="360">
        <v>20121</v>
      </c>
      <c r="W67" s="360">
        <v>22528</v>
      </c>
      <c r="X67" s="360">
        <v>22599</v>
      </c>
      <c r="Y67" s="359">
        <v>22042.91</v>
      </c>
    </row>
    <row r="68" spans="1:25" outlineLevel="2" x14ac:dyDescent="0.4">
      <c r="A68" s="358"/>
      <c r="B68" s="356"/>
      <c r="C68" s="356"/>
      <c r="D68" s="356" t="s">
        <v>122</v>
      </c>
      <c r="E68" s="357" t="s">
        <v>121</v>
      </c>
      <c r="F68" s="356">
        <v>17573</v>
      </c>
      <c r="G68" s="356">
        <v>19701</v>
      </c>
      <c r="H68" s="356">
        <v>20410</v>
      </c>
      <c r="I68" s="356">
        <v>22928</v>
      </c>
      <c r="J68" s="356">
        <v>22324</v>
      </c>
      <c r="K68" s="356">
        <v>22035</v>
      </c>
      <c r="L68" s="356">
        <v>22711</v>
      </c>
      <c r="M68" s="356">
        <v>24045</v>
      </c>
      <c r="N68" s="356">
        <v>26444</v>
      </c>
      <c r="O68" s="356">
        <v>28294</v>
      </c>
      <c r="P68" s="356">
        <v>30111</v>
      </c>
      <c r="Q68" s="356">
        <v>31906</v>
      </c>
      <c r="R68" s="356">
        <v>30260</v>
      </c>
      <c r="S68" s="356">
        <v>30166</v>
      </c>
      <c r="T68" s="356">
        <v>26055</v>
      </c>
      <c r="U68" s="356">
        <v>18202</v>
      </c>
      <c r="V68" s="356">
        <v>20121</v>
      </c>
      <c r="W68" s="356">
        <v>22528</v>
      </c>
      <c r="X68" s="356">
        <v>22599</v>
      </c>
      <c r="Y68" s="355">
        <v>22042.91</v>
      </c>
    </row>
    <row r="69" spans="1:25" ht="28" outlineLevel="1" x14ac:dyDescent="0.4">
      <c r="A69" s="363"/>
      <c r="B69" s="362"/>
      <c r="C69" s="362" t="s">
        <v>120</v>
      </c>
      <c r="D69" s="362"/>
      <c r="E69" s="361" t="s">
        <v>118</v>
      </c>
      <c r="F69" s="360">
        <v>6311</v>
      </c>
      <c r="G69" s="360">
        <v>7081</v>
      </c>
      <c r="H69" s="360">
        <v>8199</v>
      </c>
      <c r="I69" s="360">
        <v>8547</v>
      </c>
      <c r="J69" s="360">
        <v>9742</v>
      </c>
      <c r="K69" s="360">
        <v>9751</v>
      </c>
      <c r="L69" s="360">
        <v>11003</v>
      </c>
      <c r="M69" s="360">
        <v>11662</v>
      </c>
      <c r="N69" s="360">
        <v>13177</v>
      </c>
      <c r="O69" s="360">
        <v>14914</v>
      </c>
      <c r="P69" s="360">
        <v>15906</v>
      </c>
      <c r="Q69" s="360">
        <v>15492</v>
      </c>
      <c r="R69" s="360">
        <v>16505</v>
      </c>
      <c r="S69" s="360">
        <v>16106</v>
      </c>
      <c r="T69" s="360">
        <v>18250</v>
      </c>
      <c r="U69" s="360">
        <v>13290</v>
      </c>
      <c r="V69" s="360">
        <v>12318</v>
      </c>
      <c r="W69" s="360">
        <v>11793</v>
      </c>
      <c r="X69" s="360">
        <v>10312</v>
      </c>
      <c r="Y69" s="359">
        <v>11515.75</v>
      </c>
    </row>
    <row r="70" spans="1:25" ht="28" outlineLevel="2" x14ac:dyDescent="0.4">
      <c r="A70" s="358"/>
      <c r="B70" s="356"/>
      <c r="C70" s="356"/>
      <c r="D70" s="356" t="s">
        <v>119</v>
      </c>
      <c r="E70" s="357" t="s">
        <v>118</v>
      </c>
      <c r="F70" s="356">
        <v>6311</v>
      </c>
      <c r="G70" s="356">
        <v>7081</v>
      </c>
      <c r="H70" s="356">
        <v>8199</v>
      </c>
      <c r="I70" s="356">
        <v>8547</v>
      </c>
      <c r="J70" s="356">
        <v>9742</v>
      </c>
      <c r="K70" s="356">
        <v>9751</v>
      </c>
      <c r="L70" s="356">
        <v>11003</v>
      </c>
      <c r="M70" s="356">
        <v>11662</v>
      </c>
      <c r="N70" s="356">
        <v>13177</v>
      </c>
      <c r="O70" s="356">
        <v>14914</v>
      </c>
      <c r="P70" s="356">
        <v>15906</v>
      </c>
      <c r="Q70" s="356">
        <v>15492</v>
      </c>
      <c r="R70" s="356">
        <v>16505</v>
      </c>
      <c r="S70" s="356">
        <v>16106</v>
      </c>
      <c r="T70" s="356">
        <v>18250</v>
      </c>
      <c r="U70" s="356">
        <v>13290</v>
      </c>
      <c r="V70" s="356">
        <v>12318</v>
      </c>
      <c r="W70" s="356">
        <v>11793</v>
      </c>
      <c r="X70" s="356">
        <v>10312</v>
      </c>
      <c r="Y70" s="355">
        <v>11515.75</v>
      </c>
    </row>
    <row r="71" spans="1:25" ht="42" outlineLevel="1" x14ac:dyDescent="0.4">
      <c r="A71" s="363"/>
      <c r="B71" s="362"/>
      <c r="C71" s="362" t="s">
        <v>117</v>
      </c>
      <c r="D71" s="362"/>
      <c r="E71" s="361" t="s">
        <v>115</v>
      </c>
      <c r="F71" s="360">
        <v>6691</v>
      </c>
      <c r="G71" s="360">
        <v>7503</v>
      </c>
      <c r="H71" s="360">
        <v>7622</v>
      </c>
      <c r="I71" s="360">
        <v>8635</v>
      </c>
      <c r="J71" s="360">
        <v>8565</v>
      </c>
      <c r="K71" s="360">
        <v>8542</v>
      </c>
      <c r="L71" s="360">
        <v>8889</v>
      </c>
      <c r="M71" s="360">
        <v>9413</v>
      </c>
      <c r="N71" s="360">
        <v>10552</v>
      </c>
      <c r="O71" s="360">
        <v>11395</v>
      </c>
      <c r="P71" s="360">
        <v>12025</v>
      </c>
      <c r="Q71" s="360">
        <v>12727</v>
      </c>
      <c r="R71" s="360">
        <v>12221</v>
      </c>
      <c r="S71" s="360">
        <v>11979</v>
      </c>
      <c r="T71" s="360">
        <v>11671</v>
      </c>
      <c r="U71" s="360">
        <v>7978</v>
      </c>
      <c r="V71" s="360">
        <v>8642</v>
      </c>
      <c r="W71" s="360">
        <v>9478</v>
      </c>
      <c r="X71" s="360">
        <v>9523</v>
      </c>
      <c r="Y71" s="359">
        <v>9666.35</v>
      </c>
    </row>
    <row r="72" spans="1:25" ht="42" outlineLevel="2" x14ac:dyDescent="0.4">
      <c r="A72" s="358"/>
      <c r="B72" s="356"/>
      <c r="C72" s="356"/>
      <c r="D72" s="356" t="s">
        <v>116</v>
      </c>
      <c r="E72" s="357" t="s">
        <v>115</v>
      </c>
      <c r="F72" s="356">
        <v>6691</v>
      </c>
      <c r="G72" s="356">
        <v>7503</v>
      </c>
      <c r="H72" s="356">
        <v>7622</v>
      </c>
      <c r="I72" s="356">
        <v>8635</v>
      </c>
      <c r="J72" s="356">
        <v>8565</v>
      </c>
      <c r="K72" s="356">
        <v>8542</v>
      </c>
      <c r="L72" s="356">
        <v>8889</v>
      </c>
      <c r="M72" s="356">
        <v>9413</v>
      </c>
      <c r="N72" s="356">
        <v>10552</v>
      </c>
      <c r="O72" s="356">
        <v>11395</v>
      </c>
      <c r="P72" s="356">
        <v>12025</v>
      </c>
      <c r="Q72" s="356">
        <v>12727</v>
      </c>
      <c r="R72" s="356">
        <v>12221</v>
      </c>
      <c r="S72" s="356">
        <v>11979</v>
      </c>
      <c r="T72" s="356">
        <v>11671</v>
      </c>
      <c r="U72" s="356">
        <v>7978</v>
      </c>
      <c r="V72" s="356">
        <v>8642</v>
      </c>
      <c r="W72" s="356">
        <v>9478</v>
      </c>
      <c r="X72" s="356">
        <v>9523</v>
      </c>
      <c r="Y72" s="355">
        <v>9666.35</v>
      </c>
    </row>
    <row r="73" spans="1:25" ht="42" x14ac:dyDescent="0.4">
      <c r="A73" s="368"/>
      <c r="B73" s="367" t="s">
        <v>114</v>
      </c>
      <c r="C73" s="367"/>
      <c r="D73" s="367"/>
      <c r="E73" s="366" t="s">
        <v>113</v>
      </c>
      <c r="F73" s="365">
        <v>85427</v>
      </c>
      <c r="G73" s="365">
        <v>91926</v>
      </c>
      <c r="H73" s="365">
        <v>99343</v>
      </c>
      <c r="I73" s="365">
        <v>102346</v>
      </c>
      <c r="J73" s="365">
        <v>102185</v>
      </c>
      <c r="K73" s="365">
        <v>107647</v>
      </c>
      <c r="L73" s="365">
        <v>115063</v>
      </c>
      <c r="M73" s="365">
        <v>119453</v>
      </c>
      <c r="N73" s="365">
        <v>125149</v>
      </c>
      <c r="O73" s="365">
        <v>131063</v>
      </c>
      <c r="P73" s="365">
        <v>135429</v>
      </c>
      <c r="Q73" s="365">
        <v>139066</v>
      </c>
      <c r="R73" s="365">
        <v>141652</v>
      </c>
      <c r="S73" s="365">
        <v>145438</v>
      </c>
      <c r="T73" s="365">
        <v>150890</v>
      </c>
      <c r="U73" s="365">
        <v>130235</v>
      </c>
      <c r="V73" s="365">
        <v>156815</v>
      </c>
      <c r="W73" s="365">
        <v>175451</v>
      </c>
      <c r="X73" s="365">
        <v>169078</v>
      </c>
      <c r="Y73" s="364">
        <v>171424.43</v>
      </c>
    </row>
    <row r="74" spans="1:25" ht="28" outlineLevel="1" x14ac:dyDescent="0.4">
      <c r="A74" s="363"/>
      <c r="B74" s="362"/>
      <c r="C74" s="362" t="s">
        <v>112</v>
      </c>
      <c r="D74" s="362"/>
      <c r="E74" s="361" t="s">
        <v>111</v>
      </c>
      <c r="F74" s="360">
        <v>40676</v>
      </c>
      <c r="G74" s="360">
        <v>43932</v>
      </c>
      <c r="H74" s="360">
        <v>47673</v>
      </c>
      <c r="I74" s="360">
        <v>49047</v>
      </c>
      <c r="J74" s="360">
        <v>48605</v>
      </c>
      <c r="K74" s="360">
        <v>51171</v>
      </c>
      <c r="L74" s="360">
        <v>55266</v>
      </c>
      <c r="M74" s="360">
        <v>57437</v>
      </c>
      <c r="N74" s="360">
        <v>60130</v>
      </c>
      <c r="O74" s="360">
        <v>63124</v>
      </c>
      <c r="P74" s="360">
        <v>64866</v>
      </c>
      <c r="Q74" s="360">
        <v>67212</v>
      </c>
      <c r="R74" s="360">
        <v>68291</v>
      </c>
      <c r="S74" s="360">
        <v>70201</v>
      </c>
      <c r="T74" s="360">
        <v>73036</v>
      </c>
      <c r="U74" s="360">
        <v>70334</v>
      </c>
      <c r="V74" s="360">
        <v>81200</v>
      </c>
      <c r="W74" s="360">
        <v>86702</v>
      </c>
      <c r="X74" s="360">
        <v>82358</v>
      </c>
      <c r="Y74" s="359">
        <v>84934.36</v>
      </c>
    </row>
    <row r="75" spans="1:25" ht="56" outlineLevel="2" x14ac:dyDescent="0.4">
      <c r="A75" s="358"/>
      <c r="B75" s="356"/>
      <c r="C75" s="356"/>
      <c r="D75" s="356" t="s">
        <v>110</v>
      </c>
      <c r="E75" s="357" t="s">
        <v>109</v>
      </c>
      <c r="F75" s="356">
        <v>37007</v>
      </c>
      <c r="G75" s="356">
        <v>40046</v>
      </c>
      <c r="H75" s="356">
        <v>43574</v>
      </c>
      <c r="I75" s="356">
        <v>44861</v>
      </c>
      <c r="J75" s="356">
        <v>44304</v>
      </c>
      <c r="K75" s="356">
        <v>46676</v>
      </c>
      <c r="L75" s="356">
        <v>50641</v>
      </c>
      <c r="M75" s="356">
        <v>52609</v>
      </c>
      <c r="N75" s="356">
        <v>55024</v>
      </c>
      <c r="O75" s="356">
        <v>57696</v>
      </c>
      <c r="P75" s="356">
        <v>59399</v>
      </c>
      <c r="Q75" s="356">
        <v>61637</v>
      </c>
      <c r="R75" s="356">
        <v>62619</v>
      </c>
      <c r="S75" s="356">
        <v>64470</v>
      </c>
      <c r="T75" s="356">
        <v>67126</v>
      </c>
      <c r="U75" s="356">
        <v>65269</v>
      </c>
      <c r="V75" s="356">
        <v>75348</v>
      </c>
      <c r="W75" s="356">
        <v>80232</v>
      </c>
      <c r="X75" s="356">
        <v>75933</v>
      </c>
      <c r="Y75" s="355">
        <v>78496.259999999995</v>
      </c>
    </row>
    <row r="76" spans="1:25" ht="28" outlineLevel="2" x14ac:dyDescent="0.4">
      <c r="A76" s="390"/>
      <c r="B76" s="388"/>
      <c r="C76" s="388"/>
      <c r="D76" s="388" t="s">
        <v>108</v>
      </c>
      <c r="E76" s="389" t="s">
        <v>107</v>
      </c>
      <c r="F76" s="388">
        <v>3684</v>
      </c>
      <c r="G76" s="388">
        <v>3888</v>
      </c>
      <c r="H76" s="388">
        <v>4081</v>
      </c>
      <c r="I76" s="388">
        <v>4163</v>
      </c>
      <c r="J76" s="388">
        <v>4298</v>
      </c>
      <c r="K76" s="388">
        <v>4490</v>
      </c>
      <c r="L76" s="388">
        <v>4626</v>
      </c>
      <c r="M76" s="388">
        <v>4829</v>
      </c>
      <c r="N76" s="388">
        <v>5103</v>
      </c>
      <c r="O76" s="388">
        <v>5420</v>
      </c>
      <c r="P76" s="388">
        <v>5467</v>
      </c>
      <c r="Q76" s="388">
        <v>5575</v>
      </c>
      <c r="R76" s="388">
        <v>5673</v>
      </c>
      <c r="S76" s="388">
        <v>5730</v>
      </c>
      <c r="T76" s="388">
        <v>5910</v>
      </c>
      <c r="U76" s="388">
        <v>5041</v>
      </c>
      <c r="V76" s="388">
        <v>5824</v>
      </c>
      <c r="W76" s="388">
        <v>6463</v>
      </c>
      <c r="X76" s="388">
        <v>6470</v>
      </c>
      <c r="Y76" s="387">
        <v>6447.13</v>
      </c>
    </row>
    <row r="77" spans="1:25" outlineLevel="1" x14ac:dyDescent="0.4">
      <c r="A77" s="386"/>
      <c r="B77" s="365"/>
      <c r="C77" s="365" t="s">
        <v>106</v>
      </c>
      <c r="D77" s="365"/>
      <c r="E77" s="375" t="s">
        <v>105</v>
      </c>
      <c r="F77" s="385">
        <v>26666</v>
      </c>
      <c r="G77" s="385">
        <v>28455</v>
      </c>
      <c r="H77" s="385">
        <v>30515</v>
      </c>
      <c r="I77" s="385">
        <v>31322</v>
      </c>
      <c r="J77" s="385">
        <v>31075</v>
      </c>
      <c r="K77" s="385">
        <v>32835</v>
      </c>
      <c r="L77" s="385">
        <v>35146</v>
      </c>
      <c r="M77" s="385">
        <v>36429</v>
      </c>
      <c r="N77" s="385">
        <v>37733</v>
      </c>
      <c r="O77" s="385">
        <v>39278</v>
      </c>
      <c r="P77" s="385">
        <v>40703</v>
      </c>
      <c r="Q77" s="385">
        <v>40789</v>
      </c>
      <c r="R77" s="385">
        <v>41621</v>
      </c>
      <c r="S77" s="385">
        <v>42647</v>
      </c>
      <c r="T77" s="385">
        <v>44127</v>
      </c>
      <c r="U77" s="385">
        <v>34287</v>
      </c>
      <c r="V77" s="385">
        <v>40654</v>
      </c>
      <c r="W77" s="385">
        <v>48072</v>
      </c>
      <c r="X77" s="385">
        <v>48057</v>
      </c>
      <c r="Y77" s="384">
        <v>49073.07</v>
      </c>
    </row>
    <row r="78" spans="1:25" outlineLevel="2" x14ac:dyDescent="0.4">
      <c r="A78" s="390"/>
      <c r="B78" s="388"/>
      <c r="C78" s="388"/>
      <c r="D78" s="388" t="s">
        <v>104</v>
      </c>
      <c r="E78" s="389" t="s">
        <v>103</v>
      </c>
      <c r="F78" s="388">
        <v>20186</v>
      </c>
      <c r="G78" s="388">
        <v>21060</v>
      </c>
      <c r="H78" s="388">
        <v>22665</v>
      </c>
      <c r="I78" s="388">
        <v>23112</v>
      </c>
      <c r="J78" s="388">
        <v>23028</v>
      </c>
      <c r="K78" s="388">
        <v>24131</v>
      </c>
      <c r="L78" s="388">
        <v>25187</v>
      </c>
      <c r="M78" s="388">
        <v>25846</v>
      </c>
      <c r="N78" s="388">
        <v>26271</v>
      </c>
      <c r="O78" s="388">
        <v>27166</v>
      </c>
      <c r="P78" s="388">
        <v>27868</v>
      </c>
      <c r="Q78" s="388">
        <v>27602</v>
      </c>
      <c r="R78" s="388">
        <v>27862</v>
      </c>
      <c r="S78" s="388">
        <v>28300</v>
      </c>
      <c r="T78" s="388">
        <v>28988</v>
      </c>
      <c r="U78" s="388">
        <v>23680</v>
      </c>
      <c r="V78" s="388">
        <v>26795</v>
      </c>
      <c r="W78" s="388">
        <v>30626</v>
      </c>
      <c r="X78" s="388">
        <v>31106</v>
      </c>
      <c r="Y78" s="387">
        <v>31613.759999999998</v>
      </c>
    </row>
    <row r="79" spans="1:25" outlineLevel="2" x14ac:dyDescent="0.4">
      <c r="A79" s="358"/>
      <c r="B79" s="356"/>
      <c r="C79" s="356"/>
      <c r="D79" s="356" t="s">
        <v>102</v>
      </c>
      <c r="E79" s="357" t="s">
        <v>101</v>
      </c>
      <c r="F79" s="356">
        <v>209</v>
      </c>
      <c r="G79" s="356">
        <v>212</v>
      </c>
      <c r="H79" s="356">
        <v>229</v>
      </c>
      <c r="I79" s="356">
        <v>247</v>
      </c>
      <c r="J79" s="356">
        <v>225</v>
      </c>
      <c r="K79" s="356">
        <v>231</v>
      </c>
      <c r="L79" s="356">
        <v>234</v>
      </c>
      <c r="M79" s="356">
        <v>230</v>
      </c>
      <c r="N79" s="356">
        <v>227</v>
      </c>
      <c r="O79" s="356">
        <v>232</v>
      </c>
      <c r="P79" s="356">
        <v>231</v>
      </c>
      <c r="Q79" s="356">
        <v>235</v>
      </c>
      <c r="R79" s="356">
        <v>241</v>
      </c>
      <c r="S79" s="356">
        <v>243</v>
      </c>
      <c r="T79" s="356">
        <v>248</v>
      </c>
      <c r="U79" s="356">
        <v>229</v>
      </c>
      <c r="V79" s="356">
        <v>233</v>
      </c>
      <c r="W79" s="356">
        <v>252</v>
      </c>
      <c r="X79" s="356">
        <v>257</v>
      </c>
      <c r="Y79" s="355">
        <v>216.58</v>
      </c>
    </row>
    <row r="80" spans="1:25" outlineLevel="2" x14ac:dyDescent="0.4">
      <c r="A80" s="390"/>
      <c r="B80" s="388"/>
      <c r="C80" s="388"/>
      <c r="D80" s="388" t="s">
        <v>100</v>
      </c>
      <c r="E80" s="389" t="s">
        <v>99</v>
      </c>
      <c r="F80" s="388">
        <v>2076</v>
      </c>
      <c r="G80" s="388">
        <v>2410</v>
      </c>
      <c r="H80" s="388">
        <v>2445</v>
      </c>
      <c r="I80" s="388">
        <v>2451</v>
      </c>
      <c r="J80" s="388">
        <v>2554</v>
      </c>
      <c r="K80" s="388">
        <v>2884</v>
      </c>
      <c r="L80" s="388">
        <v>3332</v>
      </c>
      <c r="M80" s="388">
        <v>3519</v>
      </c>
      <c r="N80" s="388">
        <v>3899</v>
      </c>
      <c r="O80" s="388">
        <v>4169</v>
      </c>
      <c r="P80" s="388">
        <v>4647</v>
      </c>
      <c r="Q80" s="388">
        <v>5016</v>
      </c>
      <c r="R80" s="388">
        <v>5309</v>
      </c>
      <c r="S80" s="388">
        <v>5659</v>
      </c>
      <c r="T80" s="388">
        <v>5981</v>
      </c>
      <c r="U80" s="388">
        <v>2613</v>
      </c>
      <c r="V80" s="388">
        <v>4133</v>
      </c>
      <c r="W80" s="388">
        <v>6856</v>
      </c>
      <c r="X80" s="388">
        <v>7078</v>
      </c>
      <c r="Y80" s="387">
        <v>7333.26</v>
      </c>
    </row>
    <row r="81" spans="1:25" ht="12" customHeight="1" outlineLevel="2" x14ac:dyDescent="0.4">
      <c r="A81" s="358"/>
      <c r="B81" s="356"/>
      <c r="C81" s="356"/>
      <c r="D81" s="356" t="s">
        <v>98</v>
      </c>
      <c r="E81" s="357" t="s">
        <v>97</v>
      </c>
      <c r="F81" s="356">
        <v>3929</v>
      </c>
      <c r="G81" s="356">
        <v>4358</v>
      </c>
      <c r="H81" s="356">
        <v>4661</v>
      </c>
      <c r="I81" s="356">
        <v>4943</v>
      </c>
      <c r="J81" s="356">
        <v>4679</v>
      </c>
      <c r="K81" s="356">
        <v>4917</v>
      </c>
      <c r="L81" s="356">
        <v>5663</v>
      </c>
      <c r="M81" s="356">
        <v>6055</v>
      </c>
      <c r="N81" s="356">
        <v>6466</v>
      </c>
      <c r="O81" s="356">
        <v>6793</v>
      </c>
      <c r="P81" s="356">
        <v>7055</v>
      </c>
      <c r="Q81" s="356">
        <v>7065</v>
      </c>
      <c r="R81" s="356">
        <v>7380</v>
      </c>
      <c r="S81" s="356">
        <v>7645</v>
      </c>
      <c r="T81" s="356">
        <v>8091</v>
      </c>
      <c r="U81" s="356">
        <v>6335</v>
      </c>
      <c r="V81" s="356">
        <v>8147</v>
      </c>
      <c r="W81" s="356">
        <v>9639</v>
      </c>
      <c r="X81" s="356">
        <v>9055</v>
      </c>
      <c r="Y81" s="355">
        <v>9352.41</v>
      </c>
    </row>
    <row r="82" spans="1:25" outlineLevel="2" x14ac:dyDescent="0.4">
      <c r="A82" s="390"/>
      <c r="B82" s="388"/>
      <c r="C82" s="388"/>
      <c r="D82" s="388" t="s">
        <v>96</v>
      </c>
      <c r="E82" s="389" t="s">
        <v>95</v>
      </c>
      <c r="F82" s="388">
        <v>461</v>
      </c>
      <c r="G82" s="388">
        <v>547</v>
      </c>
      <c r="H82" s="388">
        <v>644</v>
      </c>
      <c r="I82" s="388">
        <v>697</v>
      </c>
      <c r="J82" s="388">
        <v>691</v>
      </c>
      <c r="K82" s="388">
        <v>741</v>
      </c>
      <c r="L82" s="388">
        <v>786</v>
      </c>
      <c r="M82" s="388">
        <v>822</v>
      </c>
      <c r="N82" s="388">
        <v>864</v>
      </c>
      <c r="O82" s="388">
        <v>910</v>
      </c>
      <c r="P82" s="388">
        <v>902</v>
      </c>
      <c r="Q82" s="388">
        <v>871</v>
      </c>
      <c r="R82" s="388">
        <v>867</v>
      </c>
      <c r="S82" s="388">
        <v>904</v>
      </c>
      <c r="T82" s="388">
        <v>964</v>
      </c>
      <c r="U82" s="388">
        <v>990</v>
      </c>
      <c r="V82" s="388">
        <v>1119</v>
      </c>
      <c r="W82" s="388">
        <v>1186</v>
      </c>
      <c r="X82" s="388">
        <v>1101</v>
      </c>
      <c r="Y82" s="387">
        <v>1150.3800000000001</v>
      </c>
    </row>
    <row r="83" spans="1:25" outlineLevel="1" x14ac:dyDescent="0.4">
      <c r="A83" s="386"/>
      <c r="B83" s="365"/>
      <c r="C83" s="365" t="s">
        <v>94</v>
      </c>
      <c r="D83" s="365"/>
      <c r="E83" s="375" t="s">
        <v>92</v>
      </c>
      <c r="F83" s="385">
        <v>18155</v>
      </c>
      <c r="G83" s="385">
        <v>19580</v>
      </c>
      <c r="H83" s="385">
        <v>21157</v>
      </c>
      <c r="I83" s="385">
        <v>22018</v>
      </c>
      <c r="J83" s="385">
        <v>22655</v>
      </c>
      <c r="K83" s="385">
        <v>23796</v>
      </c>
      <c r="L83" s="385">
        <v>24756</v>
      </c>
      <c r="M83" s="385">
        <v>25686</v>
      </c>
      <c r="N83" s="385">
        <v>27318</v>
      </c>
      <c r="O83" s="385">
        <v>28679</v>
      </c>
      <c r="P83" s="385">
        <v>29860</v>
      </c>
      <c r="Q83" s="385">
        <v>31065</v>
      </c>
      <c r="R83" s="385">
        <v>31746</v>
      </c>
      <c r="S83" s="385">
        <v>32589</v>
      </c>
      <c r="T83" s="385">
        <v>33712</v>
      </c>
      <c r="U83" s="385">
        <v>24749</v>
      </c>
      <c r="V83" s="385">
        <v>34499</v>
      </c>
      <c r="W83" s="385">
        <v>41050</v>
      </c>
      <c r="X83" s="385">
        <v>39307</v>
      </c>
      <c r="Y83" s="384">
        <v>37811.25</v>
      </c>
    </row>
    <row r="84" spans="1:25" outlineLevel="2" x14ac:dyDescent="0.4">
      <c r="A84" s="390"/>
      <c r="B84" s="388"/>
      <c r="C84" s="388"/>
      <c r="D84" s="388" t="s">
        <v>93</v>
      </c>
      <c r="E84" s="389" t="s">
        <v>92</v>
      </c>
      <c r="F84" s="388">
        <v>18155</v>
      </c>
      <c r="G84" s="388">
        <v>19580</v>
      </c>
      <c r="H84" s="388">
        <v>21157</v>
      </c>
      <c r="I84" s="388">
        <v>22018</v>
      </c>
      <c r="J84" s="388">
        <v>22655</v>
      </c>
      <c r="K84" s="388">
        <v>23796</v>
      </c>
      <c r="L84" s="388">
        <v>24756</v>
      </c>
      <c r="M84" s="388">
        <v>25686</v>
      </c>
      <c r="N84" s="388">
        <v>27318</v>
      </c>
      <c r="O84" s="388">
        <v>28679</v>
      </c>
      <c r="P84" s="388">
        <v>29860</v>
      </c>
      <c r="Q84" s="388">
        <v>31065</v>
      </c>
      <c r="R84" s="388">
        <v>31746</v>
      </c>
      <c r="S84" s="388">
        <v>32589</v>
      </c>
      <c r="T84" s="388">
        <v>33712</v>
      </c>
      <c r="U84" s="388">
        <v>24749</v>
      </c>
      <c r="V84" s="388">
        <v>34499</v>
      </c>
      <c r="W84" s="388">
        <v>41050</v>
      </c>
      <c r="X84" s="388">
        <v>39307</v>
      </c>
      <c r="Y84" s="387">
        <v>37811.25</v>
      </c>
    </row>
    <row r="85" spans="1:25" x14ac:dyDescent="0.4">
      <c r="A85" s="379"/>
      <c r="B85" s="378" t="s">
        <v>91</v>
      </c>
      <c r="C85" s="378"/>
      <c r="D85" s="378"/>
      <c r="E85" s="377" t="s">
        <v>89</v>
      </c>
      <c r="F85" s="362">
        <v>12730</v>
      </c>
      <c r="G85" s="362">
        <v>14629</v>
      </c>
      <c r="H85" s="362">
        <v>16761</v>
      </c>
      <c r="I85" s="362">
        <v>17120</v>
      </c>
      <c r="J85" s="362">
        <v>15669</v>
      </c>
      <c r="K85" s="362">
        <v>18256</v>
      </c>
      <c r="L85" s="362">
        <v>20153</v>
      </c>
      <c r="M85" s="362">
        <v>20415</v>
      </c>
      <c r="N85" s="362">
        <v>22218</v>
      </c>
      <c r="O85" s="362">
        <v>23654</v>
      </c>
      <c r="P85" s="362">
        <v>23961</v>
      </c>
      <c r="Q85" s="362">
        <v>23804</v>
      </c>
      <c r="R85" s="362">
        <v>23758</v>
      </c>
      <c r="S85" s="362">
        <v>24595</v>
      </c>
      <c r="T85" s="362">
        <v>24821</v>
      </c>
      <c r="U85" s="362">
        <v>24133</v>
      </c>
      <c r="V85" s="362">
        <v>27210</v>
      </c>
      <c r="W85" s="362">
        <v>30564</v>
      </c>
      <c r="X85" s="362">
        <v>31102</v>
      </c>
      <c r="Y85" s="376">
        <v>30863.200000000001</v>
      </c>
    </row>
    <row r="86" spans="1:25" outlineLevel="1" x14ac:dyDescent="0.4">
      <c r="A86" s="386"/>
      <c r="B86" s="365"/>
      <c r="C86" s="365" t="s">
        <v>91</v>
      </c>
      <c r="D86" s="365"/>
      <c r="E86" s="375" t="s">
        <v>89</v>
      </c>
      <c r="F86" s="385">
        <v>12730</v>
      </c>
      <c r="G86" s="385">
        <v>14629</v>
      </c>
      <c r="H86" s="385">
        <v>16761</v>
      </c>
      <c r="I86" s="385">
        <v>17120</v>
      </c>
      <c r="J86" s="385">
        <v>15669</v>
      </c>
      <c r="K86" s="385">
        <v>18256</v>
      </c>
      <c r="L86" s="385">
        <v>20153</v>
      </c>
      <c r="M86" s="385">
        <v>20415</v>
      </c>
      <c r="N86" s="385">
        <v>22218</v>
      </c>
      <c r="O86" s="385">
        <v>23654</v>
      </c>
      <c r="P86" s="385">
        <v>23961</v>
      </c>
      <c r="Q86" s="385">
        <v>23804</v>
      </c>
      <c r="R86" s="385">
        <v>23758</v>
      </c>
      <c r="S86" s="385">
        <v>24595</v>
      </c>
      <c r="T86" s="385">
        <v>24821</v>
      </c>
      <c r="U86" s="385">
        <v>24133</v>
      </c>
      <c r="V86" s="385">
        <v>27210</v>
      </c>
      <c r="W86" s="385">
        <v>30564</v>
      </c>
      <c r="X86" s="385">
        <v>31102</v>
      </c>
      <c r="Y86" s="384">
        <v>30863.200000000001</v>
      </c>
    </row>
    <row r="87" spans="1:25" outlineLevel="2" x14ac:dyDescent="0.4">
      <c r="A87" s="372"/>
      <c r="B87" s="370"/>
      <c r="C87" s="370"/>
      <c r="D87" s="370" t="s">
        <v>90</v>
      </c>
      <c r="E87" s="371" t="s">
        <v>89</v>
      </c>
      <c r="F87" s="370">
        <v>12730</v>
      </c>
      <c r="G87" s="370">
        <v>14629</v>
      </c>
      <c r="H87" s="370">
        <v>16761</v>
      </c>
      <c r="I87" s="370">
        <v>17120</v>
      </c>
      <c r="J87" s="370">
        <v>15669</v>
      </c>
      <c r="K87" s="370">
        <v>18256</v>
      </c>
      <c r="L87" s="370">
        <v>20153</v>
      </c>
      <c r="M87" s="370">
        <v>20415</v>
      </c>
      <c r="N87" s="370">
        <v>22218</v>
      </c>
      <c r="O87" s="370">
        <v>23654</v>
      </c>
      <c r="P87" s="370">
        <v>23961</v>
      </c>
      <c r="Q87" s="370">
        <v>23804</v>
      </c>
      <c r="R87" s="370">
        <v>23758</v>
      </c>
      <c r="S87" s="370">
        <v>24595</v>
      </c>
      <c r="T87" s="370">
        <v>24821</v>
      </c>
      <c r="U87" s="370">
        <v>24133</v>
      </c>
      <c r="V87" s="370">
        <v>27210</v>
      </c>
      <c r="W87" s="370">
        <v>30564</v>
      </c>
      <c r="X87" s="370">
        <v>31102</v>
      </c>
      <c r="Y87" s="369">
        <v>30863.200000000001</v>
      </c>
    </row>
    <row r="88" spans="1:25" x14ac:dyDescent="0.4">
      <c r="A88" s="368"/>
      <c r="B88" s="367" t="s">
        <v>88</v>
      </c>
      <c r="C88" s="367"/>
      <c r="D88" s="367"/>
      <c r="E88" s="366" t="s">
        <v>86</v>
      </c>
      <c r="F88" s="365">
        <v>15424</v>
      </c>
      <c r="G88" s="365">
        <v>16440</v>
      </c>
      <c r="H88" s="365">
        <v>18702</v>
      </c>
      <c r="I88" s="365">
        <v>20598</v>
      </c>
      <c r="J88" s="365">
        <v>21315</v>
      </c>
      <c r="K88" s="365">
        <v>22312</v>
      </c>
      <c r="L88" s="365">
        <v>24754</v>
      </c>
      <c r="M88" s="365">
        <v>26626</v>
      </c>
      <c r="N88" s="365">
        <v>29160</v>
      </c>
      <c r="O88" s="365">
        <v>32139</v>
      </c>
      <c r="P88" s="365">
        <v>34696</v>
      </c>
      <c r="Q88" s="365">
        <v>35726</v>
      </c>
      <c r="R88" s="365">
        <v>37651</v>
      </c>
      <c r="S88" s="365">
        <v>39057</v>
      </c>
      <c r="T88" s="365">
        <v>41505</v>
      </c>
      <c r="U88" s="365">
        <v>42433</v>
      </c>
      <c r="V88" s="365">
        <v>44003</v>
      </c>
      <c r="W88" s="365">
        <v>46940</v>
      </c>
      <c r="X88" s="365">
        <v>51134</v>
      </c>
      <c r="Y88" s="364">
        <v>51334.96</v>
      </c>
    </row>
    <row r="89" spans="1:25" outlineLevel="1" x14ac:dyDescent="0.4">
      <c r="A89" s="363"/>
      <c r="B89" s="362"/>
      <c r="C89" s="362" t="s">
        <v>88</v>
      </c>
      <c r="D89" s="362"/>
      <c r="E89" s="361" t="s">
        <v>86</v>
      </c>
      <c r="F89" s="360">
        <v>15424</v>
      </c>
      <c r="G89" s="360">
        <v>16440</v>
      </c>
      <c r="H89" s="360">
        <v>18702</v>
      </c>
      <c r="I89" s="360">
        <v>20598</v>
      </c>
      <c r="J89" s="360">
        <v>21315</v>
      </c>
      <c r="K89" s="360">
        <v>22312</v>
      </c>
      <c r="L89" s="360">
        <v>24754</v>
      </c>
      <c r="M89" s="360">
        <v>26626</v>
      </c>
      <c r="N89" s="360">
        <v>29160</v>
      </c>
      <c r="O89" s="360">
        <v>32139</v>
      </c>
      <c r="P89" s="360">
        <v>34696</v>
      </c>
      <c r="Q89" s="360">
        <v>35726</v>
      </c>
      <c r="R89" s="360">
        <v>37651</v>
      </c>
      <c r="S89" s="360">
        <v>39057</v>
      </c>
      <c r="T89" s="360">
        <v>41505</v>
      </c>
      <c r="U89" s="360">
        <v>42433</v>
      </c>
      <c r="V89" s="360">
        <v>44003</v>
      </c>
      <c r="W89" s="360">
        <v>46940</v>
      </c>
      <c r="X89" s="360">
        <v>51134</v>
      </c>
      <c r="Y89" s="359">
        <v>51334.96</v>
      </c>
    </row>
    <row r="90" spans="1:25" outlineLevel="2" x14ac:dyDescent="0.4">
      <c r="A90" s="383"/>
      <c r="B90" s="381"/>
      <c r="C90" s="381"/>
      <c r="D90" s="381" t="s">
        <v>87</v>
      </c>
      <c r="E90" s="382" t="s">
        <v>86</v>
      </c>
      <c r="F90" s="381">
        <v>15424</v>
      </c>
      <c r="G90" s="381">
        <v>16440</v>
      </c>
      <c r="H90" s="381">
        <v>18702</v>
      </c>
      <c r="I90" s="381">
        <v>20598</v>
      </c>
      <c r="J90" s="381">
        <v>21315</v>
      </c>
      <c r="K90" s="381">
        <v>22312</v>
      </c>
      <c r="L90" s="381">
        <v>24754</v>
      </c>
      <c r="M90" s="381">
        <v>26626</v>
      </c>
      <c r="N90" s="381">
        <v>29160</v>
      </c>
      <c r="O90" s="381">
        <v>32139</v>
      </c>
      <c r="P90" s="381">
        <v>34696</v>
      </c>
      <c r="Q90" s="381">
        <v>35726</v>
      </c>
      <c r="R90" s="381">
        <v>37651</v>
      </c>
      <c r="S90" s="381">
        <v>39057</v>
      </c>
      <c r="T90" s="381">
        <v>41505</v>
      </c>
      <c r="U90" s="381">
        <v>42433</v>
      </c>
      <c r="V90" s="381">
        <v>44003</v>
      </c>
      <c r="W90" s="381">
        <v>46940</v>
      </c>
      <c r="X90" s="381">
        <v>51134</v>
      </c>
      <c r="Y90" s="380">
        <v>51334.96</v>
      </c>
    </row>
    <row r="91" spans="1:25" x14ac:dyDescent="0.4">
      <c r="A91" s="379"/>
      <c r="B91" s="378" t="s">
        <v>85</v>
      </c>
      <c r="C91" s="378"/>
      <c r="D91" s="378"/>
      <c r="E91" s="377" t="s">
        <v>83</v>
      </c>
      <c r="F91" s="362">
        <v>50233</v>
      </c>
      <c r="G91" s="362">
        <v>52265</v>
      </c>
      <c r="H91" s="362">
        <v>54225</v>
      </c>
      <c r="I91" s="362">
        <v>55731</v>
      </c>
      <c r="J91" s="362">
        <v>57866</v>
      </c>
      <c r="K91" s="362">
        <v>59932</v>
      </c>
      <c r="L91" s="362">
        <v>61628</v>
      </c>
      <c r="M91" s="362">
        <v>63579</v>
      </c>
      <c r="N91" s="362">
        <v>65625</v>
      </c>
      <c r="O91" s="362">
        <v>67664</v>
      </c>
      <c r="P91" s="362">
        <v>69825</v>
      </c>
      <c r="Q91" s="362">
        <v>72289</v>
      </c>
      <c r="R91" s="362">
        <v>74495</v>
      </c>
      <c r="S91" s="362">
        <v>77449</v>
      </c>
      <c r="T91" s="362">
        <v>79964</v>
      </c>
      <c r="U91" s="362">
        <v>81118</v>
      </c>
      <c r="V91" s="362">
        <v>83143</v>
      </c>
      <c r="W91" s="362">
        <v>84843</v>
      </c>
      <c r="X91" s="362">
        <v>86490</v>
      </c>
      <c r="Y91" s="376">
        <v>88148.17</v>
      </c>
    </row>
    <row r="92" spans="1:25" outlineLevel="1" x14ac:dyDescent="0.4">
      <c r="A92" s="358"/>
      <c r="B92" s="356"/>
      <c r="C92" s="365" t="s">
        <v>85</v>
      </c>
      <c r="D92" s="356"/>
      <c r="E92" s="375" t="s">
        <v>83</v>
      </c>
      <c r="F92" s="374">
        <v>50233</v>
      </c>
      <c r="G92" s="374">
        <v>52265</v>
      </c>
      <c r="H92" s="374">
        <v>54225</v>
      </c>
      <c r="I92" s="374">
        <v>55731</v>
      </c>
      <c r="J92" s="374">
        <v>57866</v>
      </c>
      <c r="K92" s="374">
        <v>59932</v>
      </c>
      <c r="L92" s="374">
        <v>61628</v>
      </c>
      <c r="M92" s="374">
        <v>63579</v>
      </c>
      <c r="N92" s="374">
        <v>65625</v>
      </c>
      <c r="O92" s="374">
        <v>67664</v>
      </c>
      <c r="P92" s="374">
        <v>69825</v>
      </c>
      <c r="Q92" s="374">
        <v>72289</v>
      </c>
      <c r="R92" s="374">
        <v>74495</v>
      </c>
      <c r="S92" s="374">
        <v>77449</v>
      </c>
      <c r="T92" s="374">
        <v>79964</v>
      </c>
      <c r="U92" s="374">
        <v>81118</v>
      </c>
      <c r="V92" s="374">
        <v>83143</v>
      </c>
      <c r="W92" s="374">
        <v>84843</v>
      </c>
      <c r="X92" s="374">
        <v>86490</v>
      </c>
      <c r="Y92" s="373">
        <v>88148.17</v>
      </c>
    </row>
    <row r="93" spans="1:25" outlineLevel="2" x14ac:dyDescent="0.4">
      <c r="A93" s="372"/>
      <c r="B93" s="370"/>
      <c r="C93" s="370"/>
      <c r="D93" s="370" t="s">
        <v>84</v>
      </c>
      <c r="E93" s="371" t="s">
        <v>83</v>
      </c>
      <c r="F93" s="370">
        <v>50233</v>
      </c>
      <c r="G93" s="370">
        <v>52265</v>
      </c>
      <c r="H93" s="370">
        <v>54225</v>
      </c>
      <c r="I93" s="370">
        <v>55731</v>
      </c>
      <c r="J93" s="370">
        <v>57866</v>
      </c>
      <c r="K93" s="370">
        <v>59932</v>
      </c>
      <c r="L93" s="370">
        <v>61628</v>
      </c>
      <c r="M93" s="370">
        <v>63579</v>
      </c>
      <c r="N93" s="370">
        <v>65625</v>
      </c>
      <c r="O93" s="370">
        <v>67664</v>
      </c>
      <c r="P93" s="370">
        <v>69825</v>
      </c>
      <c r="Q93" s="370">
        <v>72289</v>
      </c>
      <c r="R93" s="370">
        <v>74495</v>
      </c>
      <c r="S93" s="370">
        <v>77449</v>
      </c>
      <c r="T93" s="370">
        <v>79964</v>
      </c>
      <c r="U93" s="370">
        <v>81118</v>
      </c>
      <c r="V93" s="370">
        <v>83143</v>
      </c>
      <c r="W93" s="370">
        <v>84843</v>
      </c>
      <c r="X93" s="370">
        <v>86490</v>
      </c>
      <c r="Y93" s="369">
        <v>88148.17</v>
      </c>
    </row>
    <row r="94" spans="1:25" ht="28" x14ac:dyDescent="0.4">
      <c r="A94" s="368"/>
      <c r="B94" s="367" t="s">
        <v>82</v>
      </c>
      <c r="C94" s="367"/>
      <c r="D94" s="367"/>
      <c r="E94" s="366" t="s">
        <v>81</v>
      </c>
      <c r="F94" s="365">
        <v>36057</v>
      </c>
      <c r="G94" s="365">
        <v>38592</v>
      </c>
      <c r="H94" s="365">
        <v>41246</v>
      </c>
      <c r="I94" s="365">
        <v>42800</v>
      </c>
      <c r="J94" s="365">
        <v>43998</v>
      </c>
      <c r="K94" s="365">
        <v>45354</v>
      </c>
      <c r="L94" s="365">
        <v>48568</v>
      </c>
      <c r="M94" s="365">
        <v>50907</v>
      </c>
      <c r="N94" s="365">
        <v>53593</v>
      </c>
      <c r="O94" s="365">
        <v>57500</v>
      </c>
      <c r="P94" s="365">
        <v>57392</v>
      </c>
      <c r="Q94" s="365">
        <v>55995</v>
      </c>
      <c r="R94" s="365">
        <v>56810</v>
      </c>
      <c r="S94" s="365">
        <v>59066</v>
      </c>
      <c r="T94" s="365">
        <v>61102</v>
      </c>
      <c r="U94" s="365">
        <v>57564</v>
      </c>
      <c r="V94" s="365">
        <v>63167</v>
      </c>
      <c r="W94" s="365">
        <v>68132</v>
      </c>
      <c r="X94" s="365">
        <v>69464</v>
      </c>
      <c r="Y94" s="364">
        <v>69425.570000000007</v>
      </c>
    </row>
    <row r="95" spans="1:25" ht="28" outlineLevel="1" x14ac:dyDescent="0.4">
      <c r="A95" s="363"/>
      <c r="B95" s="362"/>
      <c r="C95" s="362" t="s">
        <v>82</v>
      </c>
      <c r="D95" s="362"/>
      <c r="E95" s="361" t="s">
        <v>81</v>
      </c>
      <c r="F95" s="360">
        <v>36057</v>
      </c>
      <c r="G95" s="360">
        <v>38592</v>
      </c>
      <c r="H95" s="360">
        <v>41246</v>
      </c>
      <c r="I95" s="360">
        <v>42800</v>
      </c>
      <c r="J95" s="360">
        <v>43998</v>
      </c>
      <c r="K95" s="360">
        <v>45354</v>
      </c>
      <c r="L95" s="360">
        <v>48568</v>
      </c>
      <c r="M95" s="360">
        <v>50907</v>
      </c>
      <c r="N95" s="360">
        <v>53593</v>
      </c>
      <c r="O95" s="360">
        <v>57500</v>
      </c>
      <c r="P95" s="360">
        <v>57392</v>
      </c>
      <c r="Q95" s="360">
        <v>55995</v>
      </c>
      <c r="R95" s="360">
        <v>56810</v>
      </c>
      <c r="S95" s="360">
        <v>59066</v>
      </c>
      <c r="T95" s="360">
        <v>61102</v>
      </c>
      <c r="U95" s="360">
        <v>57564</v>
      </c>
      <c r="V95" s="360">
        <v>63167</v>
      </c>
      <c r="W95" s="360">
        <v>68132</v>
      </c>
      <c r="X95" s="360">
        <v>69464</v>
      </c>
      <c r="Y95" s="359">
        <v>69425.570000000007</v>
      </c>
    </row>
    <row r="96" spans="1:25" outlineLevel="2" x14ac:dyDescent="0.4">
      <c r="A96" s="358"/>
      <c r="B96" s="356"/>
      <c r="C96" s="356"/>
      <c r="D96" s="356" t="s">
        <v>80</v>
      </c>
      <c r="E96" s="357" t="s">
        <v>79</v>
      </c>
      <c r="F96" s="356">
        <v>17311</v>
      </c>
      <c r="G96" s="356">
        <v>18519</v>
      </c>
      <c r="H96" s="356">
        <v>19787</v>
      </c>
      <c r="I96" s="356">
        <v>20529</v>
      </c>
      <c r="J96" s="356">
        <v>21116</v>
      </c>
      <c r="K96" s="356">
        <v>21757</v>
      </c>
      <c r="L96" s="356">
        <v>23283</v>
      </c>
      <c r="M96" s="356">
        <v>24399</v>
      </c>
      <c r="N96" s="356">
        <v>25690</v>
      </c>
      <c r="O96" s="356">
        <v>27555</v>
      </c>
      <c r="P96" s="356">
        <v>27057</v>
      </c>
      <c r="Q96" s="356">
        <v>26369</v>
      </c>
      <c r="R96" s="356">
        <v>26193</v>
      </c>
      <c r="S96" s="356">
        <v>27282</v>
      </c>
      <c r="T96" s="356">
        <v>28160</v>
      </c>
      <c r="U96" s="356">
        <v>26277</v>
      </c>
      <c r="V96" s="356">
        <v>28986</v>
      </c>
      <c r="W96" s="356">
        <v>30867</v>
      </c>
      <c r="X96" s="356">
        <v>31397</v>
      </c>
      <c r="Y96" s="355">
        <v>31620.94</v>
      </c>
    </row>
    <row r="97" spans="1:25" outlineLevel="2" x14ac:dyDescent="0.4">
      <c r="A97" s="348"/>
      <c r="B97" s="237"/>
      <c r="C97" s="237"/>
      <c r="D97" s="237" t="s">
        <v>78</v>
      </c>
      <c r="E97" s="347" t="s">
        <v>77</v>
      </c>
      <c r="F97" s="237">
        <v>18749</v>
      </c>
      <c r="G97" s="237">
        <v>20076</v>
      </c>
      <c r="H97" s="237">
        <v>21461</v>
      </c>
      <c r="I97" s="237">
        <v>22273</v>
      </c>
      <c r="J97" s="237">
        <v>22885</v>
      </c>
      <c r="K97" s="237">
        <v>23600</v>
      </c>
      <c r="L97" s="237">
        <v>25288</v>
      </c>
      <c r="M97" s="237">
        <v>26511</v>
      </c>
      <c r="N97" s="237">
        <v>27907</v>
      </c>
      <c r="O97" s="237">
        <v>29949</v>
      </c>
      <c r="P97" s="237">
        <v>30335</v>
      </c>
      <c r="Q97" s="237">
        <v>29626</v>
      </c>
      <c r="R97" s="237">
        <v>30610</v>
      </c>
      <c r="S97" s="237">
        <v>31777</v>
      </c>
      <c r="T97" s="237">
        <v>32934</v>
      </c>
      <c r="U97" s="237">
        <v>31276</v>
      </c>
      <c r="V97" s="237">
        <v>34172</v>
      </c>
      <c r="W97" s="237">
        <v>37248</v>
      </c>
      <c r="X97" s="237">
        <v>38049</v>
      </c>
      <c r="Y97" s="346">
        <v>37789.07</v>
      </c>
    </row>
    <row r="98" spans="1:25" ht="42" x14ac:dyDescent="0.4">
      <c r="A98" s="354"/>
      <c r="B98" s="353" t="s">
        <v>76</v>
      </c>
      <c r="C98" s="353"/>
      <c r="D98" s="353"/>
      <c r="E98" s="352" t="s">
        <v>75</v>
      </c>
      <c r="F98" s="341">
        <v>71182</v>
      </c>
      <c r="G98" s="341">
        <v>74469</v>
      </c>
      <c r="H98" s="341">
        <v>77514</v>
      </c>
      <c r="I98" s="341">
        <v>79167</v>
      </c>
      <c r="J98" s="341">
        <v>81581</v>
      </c>
      <c r="K98" s="341">
        <v>85362</v>
      </c>
      <c r="L98" s="341">
        <v>90265</v>
      </c>
      <c r="M98" s="341">
        <v>95283</v>
      </c>
      <c r="N98" s="341">
        <v>100531</v>
      </c>
      <c r="O98" s="341">
        <v>106408</v>
      </c>
      <c r="P98" s="341">
        <v>112077</v>
      </c>
      <c r="Q98" s="341">
        <v>116198</v>
      </c>
      <c r="R98" s="341">
        <v>120222</v>
      </c>
      <c r="S98" s="341">
        <v>125916</v>
      </c>
      <c r="T98" s="341">
        <v>132333</v>
      </c>
      <c r="U98" s="341">
        <v>132742</v>
      </c>
      <c r="V98" s="341">
        <v>143974</v>
      </c>
      <c r="W98" s="341">
        <v>145589</v>
      </c>
      <c r="X98" s="341">
        <v>152886</v>
      </c>
      <c r="Y98" s="351">
        <v>157880</v>
      </c>
    </row>
    <row r="99" spans="1:25" ht="28" outlineLevel="1" x14ac:dyDescent="0.4">
      <c r="A99" s="350"/>
      <c r="B99" s="174"/>
      <c r="C99" s="174" t="s">
        <v>74</v>
      </c>
      <c r="D99" s="174"/>
      <c r="E99" s="349" t="s">
        <v>72</v>
      </c>
      <c r="F99" s="150">
        <v>25183</v>
      </c>
      <c r="G99" s="150">
        <v>26561</v>
      </c>
      <c r="H99" s="150">
        <v>27777</v>
      </c>
      <c r="I99" s="150">
        <v>28152</v>
      </c>
      <c r="J99" s="150">
        <v>29086</v>
      </c>
      <c r="K99" s="150">
        <v>31284</v>
      </c>
      <c r="L99" s="150">
        <v>34831</v>
      </c>
      <c r="M99" s="150">
        <v>37543</v>
      </c>
      <c r="N99" s="150">
        <v>39212</v>
      </c>
      <c r="O99" s="150">
        <v>43522</v>
      </c>
      <c r="P99" s="150">
        <v>45797</v>
      </c>
      <c r="Q99" s="150">
        <v>47413</v>
      </c>
      <c r="R99" s="150">
        <v>49286</v>
      </c>
      <c r="S99" s="150">
        <v>52157</v>
      </c>
      <c r="T99" s="150">
        <v>54352</v>
      </c>
      <c r="U99" s="150">
        <v>54180</v>
      </c>
      <c r="V99" s="150">
        <v>56352</v>
      </c>
      <c r="W99" s="150">
        <v>56962</v>
      </c>
      <c r="X99" s="150">
        <v>59066</v>
      </c>
      <c r="Y99" s="224">
        <v>60435.28</v>
      </c>
    </row>
    <row r="100" spans="1:25" ht="28" outlineLevel="2" x14ac:dyDescent="0.4">
      <c r="A100" s="348"/>
      <c r="B100" s="237"/>
      <c r="C100" s="237"/>
      <c r="D100" s="237" t="s">
        <v>73</v>
      </c>
      <c r="E100" s="347" t="s">
        <v>72</v>
      </c>
      <c r="F100" s="237">
        <v>25183</v>
      </c>
      <c r="G100" s="237">
        <v>26561</v>
      </c>
      <c r="H100" s="237">
        <v>27777</v>
      </c>
      <c r="I100" s="237">
        <v>28152</v>
      </c>
      <c r="J100" s="237">
        <v>29086</v>
      </c>
      <c r="K100" s="237">
        <v>31284</v>
      </c>
      <c r="L100" s="237">
        <v>34831</v>
      </c>
      <c r="M100" s="237">
        <v>37543</v>
      </c>
      <c r="N100" s="237">
        <v>39212</v>
      </c>
      <c r="O100" s="237">
        <v>43522</v>
      </c>
      <c r="P100" s="237">
        <v>45797</v>
      </c>
      <c r="Q100" s="237">
        <v>47413</v>
      </c>
      <c r="R100" s="237">
        <v>49286</v>
      </c>
      <c r="S100" s="237">
        <v>52157</v>
      </c>
      <c r="T100" s="237">
        <v>54352</v>
      </c>
      <c r="U100" s="237">
        <v>54180</v>
      </c>
      <c r="V100" s="237">
        <v>56352</v>
      </c>
      <c r="W100" s="237">
        <v>56962</v>
      </c>
      <c r="X100" s="237">
        <v>59066</v>
      </c>
      <c r="Y100" s="346">
        <v>60435.28</v>
      </c>
    </row>
    <row r="101" spans="1:25" outlineLevel="1" x14ac:dyDescent="0.4">
      <c r="A101" s="350"/>
      <c r="B101" s="174"/>
      <c r="C101" s="174" t="s">
        <v>71</v>
      </c>
      <c r="D101" s="174"/>
      <c r="E101" s="349" t="s">
        <v>70</v>
      </c>
      <c r="F101" s="150">
        <v>26883</v>
      </c>
      <c r="G101" s="150">
        <v>27466</v>
      </c>
      <c r="H101" s="150">
        <v>28751</v>
      </c>
      <c r="I101" s="150">
        <v>29668</v>
      </c>
      <c r="J101" s="150">
        <v>30428</v>
      </c>
      <c r="K101" s="150">
        <v>31079</v>
      </c>
      <c r="L101" s="150">
        <v>31864</v>
      </c>
      <c r="M101" s="150">
        <v>33081</v>
      </c>
      <c r="N101" s="150">
        <v>34420</v>
      </c>
      <c r="O101" s="150">
        <v>35131</v>
      </c>
      <c r="P101" s="150">
        <v>36860</v>
      </c>
      <c r="Q101" s="150">
        <v>38468</v>
      </c>
      <c r="R101" s="150">
        <v>39046</v>
      </c>
      <c r="S101" s="150">
        <v>40259</v>
      </c>
      <c r="T101" s="150">
        <v>42231</v>
      </c>
      <c r="U101" s="150">
        <v>44108</v>
      </c>
      <c r="V101" s="150">
        <v>46569</v>
      </c>
      <c r="W101" s="150">
        <v>47457</v>
      </c>
      <c r="X101" s="150">
        <v>48873</v>
      </c>
      <c r="Y101" s="224">
        <v>50027.99</v>
      </c>
    </row>
    <row r="102" spans="1:25" outlineLevel="2" x14ac:dyDescent="0.4">
      <c r="A102" s="348"/>
      <c r="B102" s="237"/>
      <c r="C102" s="237"/>
      <c r="D102" s="237" t="s">
        <v>69</v>
      </c>
      <c r="E102" s="347" t="s">
        <v>68</v>
      </c>
      <c r="F102" s="237">
        <v>14084</v>
      </c>
      <c r="G102" s="237">
        <v>14482</v>
      </c>
      <c r="H102" s="237">
        <v>15040</v>
      </c>
      <c r="I102" s="237">
        <v>15197</v>
      </c>
      <c r="J102" s="237">
        <v>15465</v>
      </c>
      <c r="K102" s="237">
        <v>15573</v>
      </c>
      <c r="L102" s="237">
        <v>16056</v>
      </c>
      <c r="M102" s="237">
        <v>16568</v>
      </c>
      <c r="N102" s="237">
        <v>17287</v>
      </c>
      <c r="O102" s="237">
        <v>17925</v>
      </c>
      <c r="P102" s="237">
        <v>18575</v>
      </c>
      <c r="Q102" s="237">
        <v>19120</v>
      </c>
      <c r="R102" s="237">
        <v>19421</v>
      </c>
      <c r="S102" s="237">
        <v>19733</v>
      </c>
      <c r="T102" s="237">
        <v>20157</v>
      </c>
      <c r="U102" s="237">
        <v>19419</v>
      </c>
      <c r="V102" s="237">
        <v>20074</v>
      </c>
      <c r="W102" s="237">
        <v>21243</v>
      </c>
      <c r="X102" s="237">
        <v>21955</v>
      </c>
      <c r="Y102" s="346">
        <v>21979.23</v>
      </c>
    </row>
    <row r="103" spans="1:25" outlineLevel="2" x14ac:dyDescent="0.4">
      <c r="A103" s="337"/>
      <c r="B103" s="162"/>
      <c r="C103" s="162"/>
      <c r="D103" s="162" t="s">
        <v>67</v>
      </c>
      <c r="E103" s="336" t="s">
        <v>66</v>
      </c>
      <c r="F103" s="162">
        <v>12820</v>
      </c>
      <c r="G103" s="162">
        <v>13013</v>
      </c>
      <c r="H103" s="162">
        <v>13733</v>
      </c>
      <c r="I103" s="162">
        <v>14485</v>
      </c>
      <c r="J103" s="162">
        <v>14969</v>
      </c>
      <c r="K103" s="162">
        <v>15506</v>
      </c>
      <c r="L103" s="162">
        <v>15809</v>
      </c>
      <c r="M103" s="162">
        <v>16514</v>
      </c>
      <c r="N103" s="162">
        <v>17135</v>
      </c>
      <c r="O103" s="162">
        <v>17207</v>
      </c>
      <c r="P103" s="162">
        <v>18285</v>
      </c>
      <c r="Q103" s="162">
        <v>19348</v>
      </c>
      <c r="R103" s="162">
        <v>19625</v>
      </c>
      <c r="S103" s="162">
        <v>20535</v>
      </c>
      <c r="T103" s="162">
        <v>22107</v>
      </c>
      <c r="U103" s="162">
        <v>24763</v>
      </c>
      <c r="V103" s="162">
        <v>26568</v>
      </c>
      <c r="W103" s="162">
        <v>26276</v>
      </c>
      <c r="X103" s="162">
        <v>26979</v>
      </c>
      <c r="Y103" s="226">
        <v>28128.42</v>
      </c>
    </row>
    <row r="104" spans="1:25" ht="28" outlineLevel="1" x14ac:dyDescent="0.4">
      <c r="A104" s="342"/>
      <c r="B104" s="341"/>
      <c r="C104" s="341" t="s">
        <v>65</v>
      </c>
      <c r="D104" s="341"/>
      <c r="E104" s="340" t="s">
        <v>63</v>
      </c>
      <c r="F104" s="339">
        <v>19832</v>
      </c>
      <c r="G104" s="339">
        <v>21135</v>
      </c>
      <c r="H104" s="339">
        <v>21684</v>
      </c>
      <c r="I104" s="339">
        <v>22112</v>
      </c>
      <c r="J104" s="339">
        <v>22837</v>
      </c>
      <c r="K104" s="339">
        <v>23573</v>
      </c>
      <c r="L104" s="339">
        <v>23797</v>
      </c>
      <c r="M104" s="339">
        <v>24817</v>
      </c>
      <c r="N104" s="339">
        <v>27055</v>
      </c>
      <c r="O104" s="339">
        <v>27758</v>
      </c>
      <c r="P104" s="339">
        <v>29420</v>
      </c>
      <c r="Q104" s="339">
        <v>30317</v>
      </c>
      <c r="R104" s="339">
        <v>31891</v>
      </c>
      <c r="S104" s="339">
        <v>33503</v>
      </c>
      <c r="T104" s="339">
        <v>35748</v>
      </c>
      <c r="U104" s="339">
        <v>34386</v>
      </c>
      <c r="V104" s="339">
        <v>41054</v>
      </c>
      <c r="W104" s="339">
        <v>41167</v>
      </c>
      <c r="X104" s="339">
        <v>44904</v>
      </c>
      <c r="Y104" s="338">
        <v>47360.73</v>
      </c>
    </row>
    <row r="105" spans="1:25" outlineLevel="2" x14ac:dyDescent="0.4">
      <c r="A105" s="337"/>
      <c r="B105" s="162"/>
      <c r="C105" s="162"/>
      <c r="D105" s="162" t="s">
        <v>64</v>
      </c>
      <c r="E105" s="336" t="s">
        <v>63</v>
      </c>
      <c r="F105" s="162">
        <v>19832</v>
      </c>
      <c r="G105" s="162">
        <v>21135</v>
      </c>
      <c r="H105" s="162">
        <v>21684</v>
      </c>
      <c r="I105" s="162">
        <v>22112</v>
      </c>
      <c r="J105" s="162">
        <v>22837</v>
      </c>
      <c r="K105" s="162">
        <v>23573</v>
      </c>
      <c r="L105" s="162">
        <v>23797</v>
      </c>
      <c r="M105" s="162">
        <v>24817</v>
      </c>
      <c r="N105" s="162">
        <v>27055</v>
      </c>
      <c r="O105" s="162">
        <v>27758</v>
      </c>
      <c r="P105" s="162">
        <v>29420</v>
      </c>
      <c r="Q105" s="162">
        <v>30317</v>
      </c>
      <c r="R105" s="162">
        <v>31891</v>
      </c>
      <c r="S105" s="162">
        <v>33503</v>
      </c>
      <c r="T105" s="162">
        <v>35748</v>
      </c>
      <c r="U105" s="162">
        <v>34386</v>
      </c>
      <c r="V105" s="162">
        <v>41054</v>
      </c>
      <c r="W105" s="162">
        <v>41167</v>
      </c>
      <c r="X105" s="162">
        <v>44904</v>
      </c>
      <c r="Y105" s="226">
        <v>47360.73</v>
      </c>
    </row>
    <row r="106" spans="1:25" ht="70" x14ac:dyDescent="0.4">
      <c r="A106" s="345"/>
      <c r="B106" s="344" t="s">
        <v>242</v>
      </c>
      <c r="C106" s="344"/>
      <c r="D106" s="344"/>
      <c r="E106" s="343" t="s">
        <v>61</v>
      </c>
      <c r="F106" s="174">
        <v>12776</v>
      </c>
      <c r="G106" s="174">
        <v>13424</v>
      </c>
      <c r="H106" s="174">
        <v>14135</v>
      </c>
      <c r="I106" s="174">
        <v>14558</v>
      </c>
      <c r="J106" s="174">
        <v>14897</v>
      </c>
      <c r="K106" s="174">
        <v>15259</v>
      </c>
      <c r="L106" s="174">
        <v>16188</v>
      </c>
      <c r="M106" s="174">
        <v>16677</v>
      </c>
      <c r="N106" s="174">
        <v>17718</v>
      </c>
      <c r="O106" s="174">
        <v>18210</v>
      </c>
      <c r="P106" s="174">
        <v>18982</v>
      </c>
      <c r="Q106" s="174">
        <v>20034</v>
      </c>
      <c r="R106" s="174">
        <v>20456</v>
      </c>
      <c r="S106" s="174">
        <v>20925</v>
      </c>
      <c r="T106" s="174">
        <v>23653</v>
      </c>
      <c r="U106" s="174">
        <v>20865</v>
      </c>
      <c r="V106" s="174">
        <v>28048</v>
      </c>
      <c r="W106" s="174">
        <v>35932</v>
      </c>
      <c r="X106" s="174">
        <v>39690</v>
      </c>
      <c r="Y106" s="228">
        <v>42953.63</v>
      </c>
    </row>
    <row r="107" spans="1:25" ht="28" outlineLevel="1" x14ac:dyDescent="0.4">
      <c r="A107" s="342"/>
      <c r="B107" s="341"/>
      <c r="C107" s="341" t="s">
        <v>60</v>
      </c>
      <c r="D107" s="341"/>
      <c r="E107" s="340" t="s">
        <v>58</v>
      </c>
      <c r="F107" s="339">
        <v>8840</v>
      </c>
      <c r="G107" s="339">
        <v>9405</v>
      </c>
      <c r="H107" s="339">
        <v>10011</v>
      </c>
      <c r="I107" s="339">
        <v>10458</v>
      </c>
      <c r="J107" s="339">
        <v>10711</v>
      </c>
      <c r="K107" s="339">
        <v>10994</v>
      </c>
      <c r="L107" s="339">
        <v>11773</v>
      </c>
      <c r="M107" s="339">
        <v>12139</v>
      </c>
      <c r="N107" s="339">
        <v>13051</v>
      </c>
      <c r="O107" s="339">
        <v>13368</v>
      </c>
      <c r="P107" s="339">
        <v>13991</v>
      </c>
      <c r="Q107" s="339">
        <v>14843</v>
      </c>
      <c r="R107" s="339">
        <v>15150</v>
      </c>
      <c r="S107" s="339">
        <v>15476</v>
      </c>
      <c r="T107" s="339">
        <v>18057</v>
      </c>
      <c r="U107" s="339">
        <v>16756</v>
      </c>
      <c r="V107" s="339">
        <v>23576</v>
      </c>
      <c r="W107" s="339">
        <v>29915</v>
      </c>
      <c r="X107" s="339">
        <v>33549</v>
      </c>
      <c r="Y107" s="338">
        <v>36448.639999999999</v>
      </c>
    </row>
    <row r="108" spans="1:25" ht="28" outlineLevel="2" x14ac:dyDescent="0.4">
      <c r="A108" s="337"/>
      <c r="B108" s="162"/>
      <c r="C108" s="162"/>
      <c r="D108" s="162" t="s">
        <v>59</v>
      </c>
      <c r="E108" s="336" t="s">
        <v>58</v>
      </c>
      <c r="F108" s="162">
        <v>8840</v>
      </c>
      <c r="G108" s="162">
        <v>9405</v>
      </c>
      <c r="H108" s="162">
        <v>10011</v>
      </c>
      <c r="I108" s="162">
        <v>10458</v>
      </c>
      <c r="J108" s="162">
        <v>10711</v>
      </c>
      <c r="K108" s="162">
        <v>10994</v>
      </c>
      <c r="L108" s="162">
        <v>11773</v>
      </c>
      <c r="M108" s="162">
        <v>12139</v>
      </c>
      <c r="N108" s="162">
        <v>13051</v>
      </c>
      <c r="O108" s="162">
        <v>13368</v>
      </c>
      <c r="P108" s="162">
        <v>13991</v>
      </c>
      <c r="Q108" s="162">
        <v>14843</v>
      </c>
      <c r="R108" s="162">
        <v>15150</v>
      </c>
      <c r="S108" s="162">
        <v>15476</v>
      </c>
      <c r="T108" s="162">
        <v>18057</v>
      </c>
      <c r="U108" s="162">
        <v>16756</v>
      </c>
      <c r="V108" s="162">
        <v>23576</v>
      </c>
      <c r="W108" s="162">
        <v>29915</v>
      </c>
      <c r="X108" s="162">
        <v>33549</v>
      </c>
      <c r="Y108" s="226">
        <v>36448.639999999999</v>
      </c>
    </row>
    <row r="109" spans="1:25" ht="56" outlineLevel="1" x14ac:dyDescent="0.4">
      <c r="A109" s="342"/>
      <c r="B109" s="341"/>
      <c r="C109" s="341" t="s">
        <v>57</v>
      </c>
      <c r="D109" s="341"/>
      <c r="E109" s="340" t="s">
        <v>56</v>
      </c>
      <c r="F109" s="339">
        <v>3939</v>
      </c>
      <c r="G109" s="339">
        <v>4026</v>
      </c>
      <c r="H109" s="339">
        <v>4134</v>
      </c>
      <c r="I109" s="339">
        <v>4111</v>
      </c>
      <c r="J109" s="339">
        <v>4197</v>
      </c>
      <c r="K109" s="339">
        <v>4276</v>
      </c>
      <c r="L109" s="339">
        <v>4423</v>
      </c>
      <c r="M109" s="339">
        <v>4545</v>
      </c>
      <c r="N109" s="339">
        <v>4668</v>
      </c>
      <c r="O109" s="339">
        <v>4844</v>
      </c>
      <c r="P109" s="339">
        <v>4991</v>
      </c>
      <c r="Q109" s="339">
        <v>5191</v>
      </c>
      <c r="R109" s="339">
        <v>5306</v>
      </c>
      <c r="S109" s="339">
        <v>5449</v>
      </c>
      <c r="T109" s="339">
        <v>5608</v>
      </c>
      <c r="U109" s="339">
        <v>4143</v>
      </c>
      <c r="V109" s="339">
        <v>4542</v>
      </c>
      <c r="W109" s="339">
        <v>6090</v>
      </c>
      <c r="X109" s="339">
        <v>6238</v>
      </c>
      <c r="Y109" s="338">
        <v>6614.26</v>
      </c>
    </row>
    <row r="110" spans="1:25" outlineLevel="2" x14ac:dyDescent="0.4">
      <c r="A110" s="337"/>
      <c r="B110" s="162"/>
      <c r="C110" s="162"/>
      <c r="D110" s="162" t="s">
        <v>55</v>
      </c>
      <c r="E110" s="336" t="s">
        <v>54</v>
      </c>
      <c r="F110" s="162">
        <v>3939</v>
      </c>
      <c r="G110" s="162">
        <v>4026</v>
      </c>
      <c r="H110" s="162">
        <v>4134</v>
      </c>
      <c r="I110" s="162">
        <v>4111</v>
      </c>
      <c r="J110" s="162">
        <v>4197</v>
      </c>
      <c r="K110" s="162">
        <v>4276</v>
      </c>
      <c r="L110" s="162">
        <v>4423</v>
      </c>
      <c r="M110" s="162">
        <v>4545</v>
      </c>
      <c r="N110" s="162">
        <v>4668</v>
      </c>
      <c r="O110" s="162">
        <v>4844</v>
      </c>
      <c r="P110" s="162">
        <v>4991</v>
      </c>
      <c r="Q110" s="162">
        <v>5191</v>
      </c>
      <c r="R110" s="162">
        <v>5306</v>
      </c>
      <c r="S110" s="162">
        <v>5449</v>
      </c>
      <c r="T110" s="162">
        <v>5608</v>
      </c>
      <c r="U110" s="162">
        <v>4143</v>
      </c>
      <c r="V110" s="162">
        <v>4542</v>
      </c>
      <c r="W110" s="162">
        <v>6090</v>
      </c>
      <c r="X110" s="162">
        <v>6238</v>
      </c>
      <c r="Y110" s="226">
        <v>6614.26</v>
      </c>
    </row>
    <row r="111" spans="1:25" x14ac:dyDescent="0.4">
      <c r="A111" s="310" t="s">
        <v>10</v>
      </c>
      <c r="B111" s="112"/>
      <c r="C111" s="335"/>
      <c r="D111" s="100"/>
      <c r="E111" s="335" t="s">
        <v>53</v>
      </c>
      <c r="F111" s="112">
        <v>472695</v>
      </c>
      <c r="G111" s="112">
        <v>501990</v>
      </c>
      <c r="H111" s="112">
        <v>533656</v>
      </c>
      <c r="I111" s="112">
        <v>550163</v>
      </c>
      <c r="J111" s="112">
        <v>557953</v>
      </c>
      <c r="K111" s="112">
        <v>582133</v>
      </c>
      <c r="L111" s="112">
        <v>620652</v>
      </c>
      <c r="M111" s="112">
        <v>644576</v>
      </c>
      <c r="N111" s="112">
        <v>678826</v>
      </c>
      <c r="O111" s="112">
        <v>708731</v>
      </c>
      <c r="P111" s="112">
        <v>730543</v>
      </c>
      <c r="Q111" s="112">
        <v>746534</v>
      </c>
      <c r="R111" s="112">
        <v>756875</v>
      </c>
      <c r="S111" s="112">
        <v>775908</v>
      </c>
      <c r="T111" s="112">
        <v>799714</v>
      </c>
      <c r="U111" s="112">
        <v>741369</v>
      </c>
      <c r="V111" s="112">
        <v>817749</v>
      </c>
      <c r="W111" s="112">
        <v>870212</v>
      </c>
      <c r="X111" s="112">
        <v>879599</v>
      </c>
      <c r="Y111" s="210">
        <v>894165.15</v>
      </c>
    </row>
    <row r="112" spans="1:25" x14ac:dyDescent="0.4">
      <c r="A112" s="334" t="s">
        <v>52</v>
      </c>
      <c r="B112" s="333"/>
      <c r="C112" s="333"/>
      <c r="D112" s="100"/>
      <c r="E112" s="333" t="s">
        <v>51</v>
      </c>
      <c r="F112" s="100">
        <v>42525</v>
      </c>
      <c r="G112" s="100">
        <v>47627</v>
      </c>
      <c r="H112" s="100">
        <v>52813</v>
      </c>
      <c r="I112" s="100">
        <v>55501</v>
      </c>
      <c r="J112" s="100">
        <v>54615</v>
      </c>
      <c r="K112" s="100">
        <v>58006</v>
      </c>
      <c r="L112" s="100">
        <v>64001</v>
      </c>
      <c r="M112" s="100">
        <v>66873</v>
      </c>
      <c r="N112" s="100">
        <v>69095</v>
      </c>
      <c r="O112" s="100">
        <v>72899</v>
      </c>
      <c r="P112" s="100">
        <v>74149</v>
      </c>
      <c r="Q112" s="100">
        <v>74955</v>
      </c>
      <c r="R112" s="100">
        <v>75773</v>
      </c>
      <c r="S112" s="100">
        <v>78088</v>
      </c>
      <c r="T112" s="100">
        <v>81489</v>
      </c>
      <c r="U112" s="100">
        <v>76490</v>
      </c>
      <c r="V112" s="100">
        <v>88640</v>
      </c>
      <c r="W112" s="100">
        <v>102860</v>
      </c>
      <c r="X112" s="100">
        <v>100252</v>
      </c>
      <c r="Y112" s="332">
        <v>101319.27</v>
      </c>
    </row>
    <row r="113" spans="1:25" x14ac:dyDescent="0.4">
      <c r="A113" s="325" t="s">
        <v>10</v>
      </c>
      <c r="B113" s="331"/>
      <c r="C113" s="331"/>
      <c r="D113" s="104"/>
      <c r="E113" s="331" t="s">
        <v>9</v>
      </c>
      <c r="F113" s="212">
        <v>514853</v>
      </c>
      <c r="G113" s="212">
        <v>549435</v>
      </c>
      <c r="H113" s="212">
        <v>586457</v>
      </c>
      <c r="I113" s="212">
        <v>605713</v>
      </c>
      <c r="J113" s="212">
        <v>612616</v>
      </c>
      <c r="K113" s="212">
        <v>640151</v>
      </c>
      <c r="L113" s="212">
        <v>684628</v>
      </c>
      <c r="M113" s="212">
        <v>711415</v>
      </c>
      <c r="N113" s="212">
        <v>747939</v>
      </c>
      <c r="O113" s="212">
        <v>781589</v>
      </c>
      <c r="P113" s="212">
        <v>804692</v>
      </c>
      <c r="Q113" s="212">
        <v>821489</v>
      </c>
      <c r="R113" s="212">
        <v>832656</v>
      </c>
      <c r="S113" s="212">
        <v>854008</v>
      </c>
      <c r="T113" s="212">
        <v>881224</v>
      </c>
      <c r="U113" s="212">
        <v>817900</v>
      </c>
      <c r="V113" s="212">
        <v>906243</v>
      </c>
      <c r="W113" s="212">
        <v>972655</v>
      </c>
      <c r="X113" s="212">
        <v>979584</v>
      </c>
      <c r="Y113" s="211">
        <v>995240.51</v>
      </c>
    </row>
    <row r="114" spans="1:25" x14ac:dyDescent="0.4">
      <c r="A114" s="286"/>
      <c r="B114" s="104"/>
      <c r="C114" s="104"/>
      <c r="D114" s="104"/>
      <c r="E114" s="236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218"/>
    </row>
    <row r="115" spans="1:25" ht="16" x14ac:dyDescent="0.45">
      <c r="A115" s="46" t="s">
        <v>50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330"/>
      <c r="L115" s="330"/>
      <c r="M115" s="330"/>
      <c r="N115" s="330"/>
      <c r="O115" s="330"/>
      <c r="P115" s="330"/>
      <c r="Q115" s="330"/>
      <c r="R115" s="330"/>
      <c r="S115" s="330"/>
      <c r="T115" s="330"/>
      <c r="U115" s="330"/>
      <c r="V115" s="330"/>
      <c r="W115" s="330"/>
      <c r="X115" s="330"/>
      <c r="Y115" s="329"/>
    </row>
    <row r="116" spans="1:25" x14ac:dyDescent="0.4">
      <c r="A116" s="281"/>
      <c r="B116" s="280"/>
      <c r="C116" s="280"/>
      <c r="D116" s="280"/>
      <c r="E116" s="279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97"/>
    </row>
    <row r="117" spans="1:25" s="84" customFormat="1" x14ac:dyDescent="0.4">
      <c r="A117" s="80" t="s">
        <v>49</v>
      </c>
      <c r="B117" s="79"/>
      <c r="C117" s="79"/>
      <c r="D117" s="79"/>
      <c r="E117" s="78" t="s">
        <v>48</v>
      </c>
      <c r="F117" s="112">
        <v>419077</v>
      </c>
      <c r="G117" s="112">
        <v>444943</v>
      </c>
      <c r="H117" s="112">
        <v>472591</v>
      </c>
      <c r="I117" s="112">
        <v>492507</v>
      </c>
      <c r="J117" s="112">
        <v>503416</v>
      </c>
      <c r="K117" s="112">
        <v>529002</v>
      </c>
      <c r="L117" s="112">
        <v>558993</v>
      </c>
      <c r="M117" s="112">
        <v>589694</v>
      </c>
      <c r="N117" s="112">
        <v>621266</v>
      </c>
      <c r="O117" s="112">
        <v>648134</v>
      </c>
      <c r="P117" s="112">
        <v>670201</v>
      </c>
      <c r="Q117" s="112">
        <v>681101</v>
      </c>
      <c r="R117" s="112">
        <v>696973</v>
      </c>
      <c r="S117" s="112">
        <v>724648</v>
      </c>
      <c r="T117" s="112">
        <v>755756</v>
      </c>
      <c r="U117" s="112">
        <v>723908</v>
      </c>
      <c r="V117" s="112">
        <v>823563</v>
      </c>
      <c r="W117" s="112">
        <v>897827</v>
      </c>
      <c r="X117" s="112">
        <v>902936</v>
      </c>
      <c r="Y117" s="210">
        <v>915963.28</v>
      </c>
    </row>
    <row r="118" spans="1:25" ht="28.5" x14ac:dyDescent="0.4">
      <c r="A118" s="126" t="s">
        <v>47</v>
      </c>
      <c r="B118" s="97"/>
      <c r="C118" s="125"/>
      <c r="D118" s="97"/>
      <c r="E118" s="96" t="s">
        <v>46</v>
      </c>
      <c r="F118" s="95">
        <v>348741</v>
      </c>
      <c r="G118" s="95">
        <v>370953</v>
      </c>
      <c r="H118" s="95">
        <v>395261</v>
      </c>
      <c r="I118" s="95">
        <v>411526</v>
      </c>
      <c r="J118" s="95">
        <v>418556</v>
      </c>
      <c r="K118" s="95">
        <v>439704</v>
      </c>
      <c r="L118" s="95">
        <v>463891</v>
      </c>
      <c r="M118" s="95">
        <v>490026</v>
      </c>
      <c r="N118" s="95">
        <v>512699</v>
      </c>
      <c r="O118" s="95">
        <v>534484</v>
      </c>
      <c r="P118" s="95">
        <v>551013</v>
      </c>
      <c r="Q118" s="95">
        <v>559739</v>
      </c>
      <c r="R118" s="95">
        <v>571235</v>
      </c>
      <c r="S118" s="95">
        <v>589723</v>
      </c>
      <c r="T118" s="95">
        <v>613728</v>
      </c>
      <c r="U118" s="95">
        <v>582997</v>
      </c>
      <c r="V118" s="95">
        <v>668838</v>
      </c>
      <c r="W118" s="95">
        <v>741004</v>
      </c>
      <c r="X118" s="95">
        <v>743819</v>
      </c>
      <c r="Y118" s="217">
        <v>755685.21</v>
      </c>
    </row>
    <row r="119" spans="1:25" x14ac:dyDescent="0.4">
      <c r="A119" s="102" t="s">
        <v>45</v>
      </c>
      <c r="B119" s="121"/>
      <c r="C119" s="122"/>
      <c r="D119" s="121"/>
      <c r="E119" s="101" t="s">
        <v>44</v>
      </c>
      <c r="F119" s="100">
        <v>347487</v>
      </c>
      <c r="G119" s="100">
        <v>369529</v>
      </c>
      <c r="H119" s="100">
        <v>393708</v>
      </c>
      <c r="I119" s="100">
        <v>410046</v>
      </c>
      <c r="J119" s="100">
        <v>416773</v>
      </c>
      <c r="K119" s="100">
        <v>437815</v>
      </c>
      <c r="L119" s="100">
        <v>461726</v>
      </c>
      <c r="M119" s="100">
        <v>487510</v>
      </c>
      <c r="N119" s="100">
        <v>509963</v>
      </c>
      <c r="O119" s="100">
        <v>531284</v>
      </c>
      <c r="P119" s="100">
        <v>547843</v>
      </c>
      <c r="Q119" s="100">
        <v>556389</v>
      </c>
      <c r="R119" s="100">
        <v>568018</v>
      </c>
      <c r="S119" s="100">
        <v>586407</v>
      </c>
      <c r="T119" s="202">
        <v>610318</v>
      </c>
      <c r="U119" s="202">
        <v>579892</v>
      </c>
      <c r="V119" s="202">
        <v>665634</v>
      </c>
      <c r="W119" s="202">
        <v>737636</v>
      </c>
      <c r="X119" s="202">
        <v>740008</v>
      </c>
      <c r="Y119" s="201"/>
    </row>
    <row r="120" spans="1:25" x14ac:dyDescent="0.4">
      <c r="A120" s="120" t="s">
        <v>43</v>
      </c>
      <c r="B120" s="70"/>
      <c r="C120" s="119"/>
      <c r="D120" s="70"/>
      <c r="E120" s="105" t="s">
        <v>42</v>
      </c>
      <c r="F120" s="104">
        <v>1251</v>
      </c>
      <c r="G120" s="104">
        <v>1419</v>
      </c>
      <c r="H120" s="104">
        <v>1547</v>
      </c>
      <c r="I120" s="104">
        <v>1477</v>
      </c>
      <c r="J120" s="104">
        <v>1772</v>
      </c>
      <c r="K120" s="104">
        <v>1878</v>
      </c>
      <c r="L120" s="104">
        <v>2152</v>
      </c>
      <c r="M120" s="104">
        <v>2506</v>
      </c>
      <c r="N120" s="104">
        <v>2727</v>
      </c>
      <c r="O120" s="104">
        <v>3198</v>
      </c>
      <c r="P120" s="104">
        <v>3170</v>
      </c>
      <c r="Q120" s="104">
        <v>3350</v>
      </c>
      <c r="R120" s="104">
        <v>3213</v>
      </c>
      <c r="S120" s="104">
        <v>3311</v>
      </c>
      <c r="T120" s="204">
        <v>3405</v>
      </c>
      <c r="U120" s="204">
        <v>3103</v>
      </c>
      <c r="V120" s="204">
        <v>3223</v>
      </c>
      <c r="W120" s="204">
        <v>3404</v>
      </c>
      <c r="X120" s="204">
        <v>3826</v>
      </c>
      <c r="Y120" s="203"/>
    </row>
    <row r="121" spans="1:25" x14ac:dyDescent="0.4">
      <c r="A121" s="92" t="s">
        <v>41</v>
      </c>
      <c r="B121" s="117"/>
      <c r="C121" s="118"/>
      <c r="D121" s="117"/>
      <c r="E121" s="90" t="s">
        <v>40</v>
      </c>
      <c r="F121" s="89">
        <v>70375</v>
      </c>
      <c r="G121" s="89">
        <v>74044</v>
      </c>
      <c r="H121" s="89">
        <v>77427</v>
      </c>
      <c r="I121" s="89">
        <v>81064</v>
      </c>
      <c r="J121" s="89">
        <v>84925</v>
      </c>
      <c r="K121" s="89">
        <v>89363</v>
      </c>
      <c r="L121" s="89">
        <v>95151</v>
      </c>
      <c r="M121" s="89">
        <v>99725</v>
      </c>
      <c r="N121" s="89">
        <v>108596</v>
      </c>
      <c r="O121" s="89">
        <v>113674</v>
      </c>
      <c r="P121" s="89">
        <v>119188</v>
      </c>
      <c r="Q121" s="89">
        <v>121362</v>
      </c>
      <c r="R121" s="89">
        <v>125783</v>
      </c>
      <c r="S121" s="89">
        <v>135030</v>
      </c>
      <c r="T121" s="89">
        <v>142152</v>
      </c>
      <c r="U121" s="89">
        <v>141071</v>
      </c>
      <c r="V121" s="89">
        <v>154922</v>
      </c>
      <c r="W121" s="89">
        <v>156452</v>
      </c>
      <c r="X121" s="89">
        <v>158899</v>
      </c>
      <c r="Y121" s="216">
        <v>159973.66</v>
      </c>
    </row>
    <row r="122" spans="1:25" x14ac:dyDescent="0.4">
      <c r="A122" s="277"/>
      <c r="B122" s="104"/>
      <c r="C122" s="276"/>
      <c r="D122" s="104"/>
      <c r="E122" s="275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7"/>
    </row>
    <row r="123" spans="1:25" x14ac:dyDescent="0.4">
      <c r="A123" s="80" t="s">
        <v>39</v>
      </c>
      <c r="B123" s="79"/>
      <c r="C123" s="79"/>
      <c r="D123" s="79"/>
      <c r="E123" s="78" t="s">
        <v>38</v>
      </c>
      <c r="F123" s="112">
        <v>86720</v>
      </c>
      <c r="G123" s="112">
        <v>101405</v>
      </c>
      <c r="H123" s="112">
        <v>117424</v>
      </c>
      <c r="I123" s="112">
        <v>128090</v>
      </c>
      <c r="J123" s="112">
        <v>120026</v>
      </c>
      <c r="K123" s="112">
        <v>131503</v>
      </c>
      <c r="L123" s="112">
        <v>155852</v>
      </c>
      <c r="M123" s="112">
        <v>160351</v>
      </c>
      <c r="N123" s="112">
        <v>172869</v>
      </c>
      <c r="O123" s="112">
        <v>193533</v>
      </c>
      <c r="P123" s="112">
        <v>191305</v>
      </c>
      <c r="Q123" s="112">
        <v>190994</v>
      </c>
      <c r="R123" s="112">
        <v>184828</v>
      </c>
      <c r="S123" s="112">
        <v>187608</v>
      </c>
      <c r="T123" s="112">
        <v>193147</v>
      </c>
      <c r="U123" s="112">
        <v>153203</v>
      </c>
      <c r="V123" s="112">
        <v>170923</v>
      </c>
      <c r="W123" s="112">
        <v>198344</v>
      </c>
      <c r="X123" s="112">
        <v>166571</v>
      </c>
      <c r="Y123" s="210">
        <v>175282.47</v>
      </c>
    </row>
    <row r="124" spans="1:25" x14ac:dyDescent="0.4">
      <c r="A124" s="71" t="s">
        <v>37</v>
      </c>
      <c r="D124" s="1"/>
      <c r="E124" s="215" t="s">
        <v>36</v>
      </c>
      <c r="F124" s="104">
        <v>85938</v>
      </c>
      <c r="G124" s="104">
        <v>102070</v>
      </c>
      <c r="H124" s="104">
        <v>122373</v>
      </c>
      <c r="I124" s="104">
        <v>119050</v>
      </c>
      <c r="J124" s="104">
        <v>124354</v>
      </c>
      <c r="K124" s="104">
        <v>133189</v>
      </c>
      <c r="L124" s="104">
        <v>149454</v>
      </c>
      <c r="M124" s="104">
        <v>154437</v>
      </c>
      <c r="N124" s="104">
        <v>167533</v>
      </c>
      <c r="O124" s="104">
        <v>182957</v>
      </c>
      <c r="P124" s="104">
        <v>188095</v>
      </c>
      <c r="Q124" s="104">
        <v>182659</v>
      </c>
      <c r="R124" s="104">
        <v>186046</v>
      </c>
      <c r="S124" s="104">
        <v>187975</v>
      </c>
      <c r="T124" s="104">
        <v>192179</v>
      </c>
      <c r="U124" s="104">
        <v>146783</v>
      </c>
      <c r="V124" s="104">
        <v>171290</v>
      </c>
      <c r="W124" s="104">
        <v>190985</v>
      </c>
      <c r="X124" s="104">
        <v>166707</v>
      </c>
      <c r="Y124" s="197">
        <v>171969.57</v>
      </c>
    </row>
    <row r="125" spans="1:25" outlineLevel="1" x14ac:dyDescent="0.4">
      <c r="A125" s="107" t="s">
        <v>35</v>
      </c>
      <c r="B125" s="59"/>
      <c r="C125" s="59"/>
      <c r="D125" s="59"/>
      <c r="E125" s="101" t="s">
        <v>34</v>
      </c>
      <c r="F125" s="100">
        <v>26727</v>
      </c>
      <c r="G125" s="100">
        <v>30721</v>
      </c>
      <c r="H125" s="100">
        <v>38252</v>
      </c>
      <c r="I125" s="100">
        <v>29511</v>
      </c>
      <c r="J125" s="100">
        <v>34059</v>
      </c>
      <c r="K125" s="100">
        <v>32748</v>
      </c>
      <c r="L125" s="100">
        <v>33532</v>
      </c>
      <c r="M125" s="100">
        <v>33281</v>
      </c>
      <c r="N125" s="100">
        <v>35425</v>
      </c>
      <c r="O125" s="100">
        <v>39095</v>
      </c>
      <c r="P125" s="100">
        <v>42804</v>
      </c>
      <c r="Q125" s="100">
        <v>42703</v>
      </c>
      <c r="R125" s="100">
        <v>41895</v>
      </c>
      <c r="S125" s="100">
        <v>41742</v>
      </c>
      <c r="T125" s="202">
        <v>38040</v>
      </c>
      <c r="U125" s="202">
        <v>25608</v>
      </c>
      <c r="V125" s="202">
        <v>35808</v>
      </c>
      <c r="W125" s="202">
        <v>36534</v>
      </c>
      <c r="X125" s="202">
        <v>34933</v>
      </c>
      <c r="Y125" s="201">
        <v>34111.575203801716</v>
      </c>
    </row>
    <row r="126" spans="1:25" outlineLevel="1" x14ac:dyDescent="0.4">
      <c r="A126" s="106" t="s">
        <v>33</v>
      </c>
      <c r="D126" s="1"/>
      <c r="E126" s="105" t="s">
        <v>32</v>
      </c>
      <c r="F126" s="104">
        <v>35727</v>
      </c>
      <c r="G126" s="104">
        <v>38837</v>
      </c>
      <c r="H126" s="104">
        <v>46373</v>
      </c>
      <c r="I126" s="104">
        <v>42191</v>
      </c>
      <c r="J126" s="104">
        <v>49229</v>
      </c>
      <c r="K126" s="104">
        <v>51734</v>
      </c>
      <c r="L126" s="104">
        <v>51250</v>
      </c>
      <c r="M126" s="104">
        <v>53523</v>
      </c>
      <c r="N126" s="104">
        <v>60087</v>
      </c>
      <c r="O126" s="104">
        <v>65871</v>
      </c>
      <c r="P126" s="104">
        <v>72608</v>
      </c>
      <c r="Q126" s="104">
        <v>72594</v>
      </c>
      <c r="R126" s="104">
        <v>75953</v>
      </c>
      <c r="S126" s="104">
        <v>73312</v>
      </c>
      <c r="T126" s="204">
        <v>74107</v>
      </c>
      <c r="U126" s="204">
        <v>51288</v>
      </c>
      <c r="V126" s="204">
        <v>51771</v>
      </c>
      <c r="W126" s="204">
        <v>49551</v>
      </c>
      <c r="X126" s="204">
        <v>46820</v>
      </c>
      <c r="Y126" s="203">
        <v>51302.916721970279</v>
      </c>
    </row>
    <row r="127" spans="1:25" outlineLevel="1" x14ac:dyDescent="0.4">
      <c r="A127" s="107" t="s">
        <v>31</v>
      </c>
      <c r="B127" s="59"/>
      <c r="C127" s="59"/>
      <c r="D127" s="59"/>
      <c r="E127" s="101" t="s">
        <v>30</v>
      </c>
      <c r="F127" s="100">
        <v>24129</v>
      </c>
      <c r="G127" s="100">
        <v>31891</v>
      </c>
      <c r="H127" s="100">
        <v>38139</v>
      </c>
      <c r="I127" s="100">
        <v>41544</v>
      </c>
      <c r="J127" s="100">
        <v>37623</v>
      </c>
      <c r="K127" s="100">
        <v>43492</v>
      </c>
      <c r="L127" s="100">
        <v>56256</v>
      </c>
      <c r="M127" s="100">
        <v>58511</v>
      </c>
      <c r="N127" s="100">
        <v>61325</v>
      </c>
      <c r="O127" s="100">
        <v>66970</v>
      </c>
      <c r="P127" s="100">
        <v>60748</v>
      </c>
      <c r="Q127" s="100">
        <v>55972</v>
      </c>
      <c r="R127" s="100">
        <v>56755</v>
      </c>
      <c r="S127" s="100">
        <v>61658</v>
      </c>
      <c r="T127" s="202">
        <v>69215</v>
      </c>
      <c r="U127" s="202">
        <v>60030</v>
      </c>
      <c r="V127" s="202">
        <v>74045</v>
      </c>
      <c r="W127" s="202">
        <v>96632</v>
      </c>
      <c r="X127" s="202">
        <v>74789</v>
      </c>
      <c r="Y127" s="201">
        <v>76087.521131438974</v>
      </c>
    </row>
    <row r="128" spans="1:25" outlineLevel="1" x14ac:dyDescent="0.4">
      <c r="A128" s="106" t="s">
        <v>29</v>
      </c>
      <c r="D128" s="1"/>
      <c r="E128" s="105" t="s">
        <v>28</v>
      </c>
      <c r="F128" s="104">
        <v>2651</v>
      </c>
      <c r="G128" s="104">
        <v>2801</v>
      </c>
      <c r="H128" s="104">
        <v>2775</v>
      </c>
      <c r="I128" s="104">
        <v>2824</v>
      </c>
      <c r="J128" s="104">
        <v>3042</v>
      </c>
      <c r="K128" s="104">
        <v>3127</v>
      </c>
      <c r="L128" s="104">
        <v>3477</v>
      </c>
      <c r="M128" s="104">
        <v>3279</v>
      </c>
      <c r="N128" s="104">
        <v>3495</v>
      </c>
      <c r="O128" s="104">
        <v>3450</v>
      </c>
      <c r="P128" s="104">
        <v>3530</v>
      </c>
      <c r="Q128" s="104">
        <v>3994</v>
      </c>
      <c r="R128" s="104">
        <v>4005</v>
      </c>
      <c r="S128" s="104">
        <v>3881</v>
      </c>
      <c r="T128" s="204">
        <v>4187</v>
      </c>
      <c r="U128" s="204">
        <v>4110</v>
      </c>
      <c r="V128" s="204">
        <v>4071</v>
      </c>
      <c r="W128" s="204">
        <v>3564</v>
      </c>
      <c r="X128" s="204">
        <v>3743</v>
      </c>
      <c r="Y128" s="203">
        <v>4051.072135405801</v>
      </c>
    </row>
    <row r="129" spans="1:25" outlineLevel="1" x14ac:dyDescent="0.4">
      <c r="A129" s="102" t="s">
        <v>27</v>
      </c>
      <c r="B129" s="59"/>
      <c r="C129" s="59"/>
      <c r="D129" s="59"/>
      <c r="E129" s="101" t="s">
        <v>26</v>
      </c>
      <c r="F129" s="100">
        <v>4157</v>
      </c>
      <c r="G129" s="100">
        <v>3909</v>
      </c>
      <c r="H129" s="100">
        <v>4752</v>
      </c>
      <c r="I129" s="100">
        <v>5073</v>
      </c>
      <c r="J129" s="100">
        <v>5438</v>
      </c>
      <c r="K129" s="100">
        <v>5410</v>
      </c>
      <c r="L129" s="100">
        <v>6117</v>
      </c>
      <c r="M129" s="100">
        <v>6607</v>
      </c>
      <c r="N129" s="100">
        <v>7900</v>
      </c>
      <c r="O129" s="100">
        <v>8299</v>
      </c>
      <c r="P129" s="100">
        <v>8405</v>
      </c>
      <c r="Q129" s="100">
        <v>7396</v>
      </c>
      <c r="R129" s="100">
        <v>7484</v>
      </c>
      <c r="S129" s="100">
        <v>7598</v>
      </c>
      <c r="T129" s="202">
        <v>7547</v>
      </c>
      <c r="U129" s="202">
        <v>6919</v>
      </c>
      <c r="V129" s="202">
        <v>7154</v>
      </c>
      <c r="W129" s="202">
        <v>7679</v>
      </c>
      <c r="X129" s="202">
        <v>7833</v>
      </c>
      <c r="Y129" s="201">
        <v>7808.3020368500829</v>
      </c>
    </row>
    <row r="130" spans="1:25" ht="14.5" x14ac:dyDescent="0.4">
      <c r="A130" s="71" t="s">
        <v>25</v>
      </c>
      <c r="D130" s="1"/>
      <c r="E130" s="215" t="s">
        <v>261</v>
      </c>
      <c r="F130" s="326" t="s">
        <v>250</v>
      </c>
      <c r="G130" s="326" t="s">
        <v>250</v>
      </c>
      <c r="H130" s="204" t="s">
        <v>250</v>
      </c>
      <c r="I130" s="204" t="s">
        <v>250</v>
      </c>
      <c r="J130" s="204" t="s">
        <v>250</v>
      </c>
      <c r="K130" s="204" t="s">
        <v>250</v>
      </c>
      <c r="L130" s="204" t="s">
        <v>250</v>
      </c>
      <c r="M130" s="204" t="s">
        <v>250</v>
      </c>
      <c r="N130" s="204" t="s">
        <v>250</v>
      </c>
      <c r="O130" s="204" t="s">
        <v>250</v>
      </c>
      <c r="P130" s="204" t="s">
        <v>250</v>
      </c>
      <c r="Q130" s="204" t="s">
        <v>250</v>
      </c>
      <c r="R130" s="204" t="s">
        <v>250</v>
      </c>
      <c r="S130" s="204" t="s">
        <v>250</v>
      </c>
      <c r="T130" s="204" t="s">
        <v>250</v>
      </c>
      <c r="U130" s="204" t="s">
        <v>250</v>
      </c>
      <c r="V130" s="204" t="s">
        <v>250</v>
      </c>
      <c r="W130" s="204" t="s">
        <v>250</v>
      </c>
      <c r="X130" s="204" t="s">
        <v>250</v>
      </c>
      <c r="Y130" s="203" t="s">
        <v>250</v>
      </c>
    </row>
    <row r="131" spans="1:25" x14ac:dyDescent="0.4">
      <c r="A131" s="214" t="s">
        <v>23</v>
      </c>
      <c r="B131" s="59"/>
      <c r="C131" s="59"/>
      <c r="D131" s="59"/>
      <c r="E131" s="213" t="s">
        <v>22</v>
      </c>
      <c r="F131" s="100">
        <v>14</v>
      </c>
      <c r="G131" s="100">
        <v>16</v>
      </c>
      <c r="H131" s="100">
        <v>18</v>
      </c>
      <c r="I131" s="100">
        <v>19</v>
      </c>
      <c r="J131" s="100">
        <v>19</v>
      </c>
      <c r="K131" s="100">
        <v>20</v>
      </c>
      <c r="L131" s="100">
        <v>23</v>
      </c>
      <c r="M131" s="100">
        <v>25</v>
      </c>
      <c r="N131" s="100">
        <v>26</v>
      </c>
      <c r="O131" s="100">
        <v>27</v>
      </c>
      <c r="P131" s="100">
        <v>27</v>
      </c>
      <c r="Q131" s="100">
        <v>27</v>
      </c>
      <c r="R131" s="100">
        <v>22</v>
      </c>
      <c r="S131" s="100">
        <v>22</v>
      </c>
      <c r="T131" s="202">
        <v>22</v>
      </c>
      <c r="U131" s="202">
        <v>22</v>
      </c>
      <c r="V131" s="202">
        <v>22</v>
      </c>
      <c r="W131" s="202">
        <v>23</v>
      </c>
      <c r="X131" s="202">
        <v>24</v>
      </c>
      <c r="Y131" s="201">
        <v>0</v>
      </c>
    </row>
    <row r="132" spans="1:25" s="84" customFormat="1" x14ac:dyDescent="0.4">
      <c r="A132" s="314" t="s">
        <v>21</v>
      </c>
      <c r="B132" s="212"/>
      <c r="C132" s="212"/>
      <c r="D132" s="212"/>
      <c r="E132" s="313" t="s">
        <v>20</v>
      </c>
      <c r="F132" s="212">
        <v>88125</v>
      </c>
      <c r="G132" s="212">
        <v>96513</v>
      </c>
      <c r="H132" s="212">
        <v>102516</v>
      </c>
      <c r="I132" s="212">
        <v>104604</v>
      </c>
      <c r="J132" s="212">
        <v>99158</v>
      </c>
      <c r="K132" s="212">
        <v>101203</v>
      </c>
      <c r="L132" s="212">
        <v>113608</v>
      </c>
      <c r="M132" s="212">
        <v>118690</v>
      </c>
      <c r="N132" s="212">
        <v>124241</v>
      </c>
      <c r="O132" s="212">
        <v>123882</v>
      </c>
      <c r="P132" s="212">
        <v>125936</v>
      </c>
      <c r="Q132" s="212">
        <v>125673</v>
      </c>
      <c r="R132" s="212">
        <v>128902</v>
      </c>
      <c r="S132" s="212">
        <v>129730</v>
      </c>
      <c r="T132" s="212">
        <v>133731</v>
      </c>
      <c r="U132" s="212">
        <v>103696</v>
      </c>
      <c r="V132" s="212">
        <v>118871</v>
      </c>
      <c r="W132" s="212">
        <v>133683</v>
      </c>
      <c r="X132" s="212">
        <v>137800</v>
      </c>
      <c r="Y132" s="211">
        <v>141310.15</v>
      </c>
    </row>
    <row r="133" spans="1:25" s="84" customFormat="1" x14ac:dyDescent="0.4">
      <c r="A133" s="310" t="s">
        <v>19</v>
      </c>
      <c r="B133" s="112"/>
      <c r="C133" s="112"/>
      <c r="D133" s="112"/>
      <c r="E133" s="309" t="s">
        <v>18</v>
      </c>
      <c r="F133" s="112">
        <v>78708</v>
      </c>
      <c r="G133" s="112">
        <v>92625</v>
      </c>
      <c r="H133" s="112">
        <v>105461</v>
      </c>
      <c r="I133" s="112">
        <v>118656</v>
      </c>
      <c r="J133" s="112">
        <v>108395</v>
      </c>
      <c r="K133" s="112">
        <v>120134</v>
      </c>
      <c r="L133" s="112">
        <v>144436</v>
      </c>
      <c r="M133" s="112">
        <v>157977</v>
      </c>
      <c r="N133" s="112">
        <v>171443</v>
      </c>
      <c r="O133" s="112">
        <v>184747</v>
      </c>
      <c r="P133" s="112">
        <v>182750</v>
      </c>
      <c r="Q133" s="112">
        <v>176279</v>
      </c>
      <c r="R133" s="112">
        <v>178075</v>
      </c>
      <c r="S133" s="112">
        <v>188413</v>
      </c>
      <c r="T133" s="112">
        <v>202250</v>
      </c>
      <c r="U133" s="112">
        <v>161613</v>
      </c>
      <c r="V133" s="112">
        <v>204810</v>
      </c>
      <c r="W133" s="112">
        <v>253971</v>
      </c>
      <c r="X133" s="112">
        <v>228887</v>
      </c>
      <c r="Y133" s="210">
        <v>238927.41</v>
      </c>
    </row>
    <row r="134" spans="1:25" x14ac:dyDescent="0.4">
      <c r="A134" s="325" t="s">
        <v>10</v>
      </c>
      <c r="B134" s="104"/>
      <c r="C134" s="212"/>
      <c r="D134" s="104"/>
      <c r="E134" s="313" t="s">
        <v>9</v>
      </c>
      <c r="F134" s="212">
        <v>514853</v>
      </c>
      <c r="G134" s="212">
        <v>549435</v>
      </c>
      <c r="H134" s="212">
        <v>586457</v>
      </c>
      <c r="I134" s="212">
        <v>605713</v>
      </c>
      <c r="J134" s="212">
        <v>612616</v>
      </c>
      <c r="K134" s="212">
        <v>640151</v>
      </c>
      <c r="L134" s="212">
        <v>684628</v>
      </c>
      <c r="M134" s="212">
        <v>711415</v>
      </c>
      <c r="N134" s="212">
        <v>747939</v>
      </c>
      <c r="O134" s="212">
        <v>781589</v>
      </c>
      <c r="P134" s="212">
        <v>804692</v>
      </c>
      <c r="Q134" s="212">
        <v>821489</v>
      </c>
      <c r="R134" s="212">
        <v>832656</v>
      </c>
      <c r="S134" s="212">
        <v>854008</v>
      </c>
      <c r="T134" s="212">
        <v>881224</v>
      </c>
      <c r="U134" s="212">
        <v>817900</v>
      </c>
      <c r="V134" s="212">
        <v>906243</v>
      </c>
      <c r="W134" s="212">
        <v>972655</v>
      </c>
      <c r="X134" s="212">
        <v>979584</v>
      </c>
      <c r="Y134" s="211">
        <v>995240.51</v>
      </c>
    </row>
    <row r="135" spans="1:25" x14ac:dyDescent="0.4">
      <c r="A135" s="324"/>
      <c r="B135" s="323"/>
      <c r="C135" s="196"/>
      <c r="D135" s="323"/>
      <c r="E135" s="322" t="s">
        <v>260</v>
      </c>
      <c r="F135" s="321">
        <v>-361</v>
      </c>
      <c r="G135" s="321">
        <v>-801</v>
      </c>
      <c r="H135" s="321">
        <v>-613</v>
      </c>
      <c r="I135" s="321">
        <v>-832</v>
      </c>
      <c r="J135" s="321">
        <v>-1589</v>
      </c>
      <c r="K135" s="321">
        <v>-1423</v>
      </c>
      <c r="L135" s="321">
        <v>611</v>
      </c>
      <c r="M135" s="321">
        <v>657</v>
      </c>
      <c r="N135" s="321">
        <v>1006</v>
      </c>
      <c r="O135" s="321">
        <v>787</v>
      </c>
      <c r="P135" s="321">
        <v>0</v>
      </c>
      <c r="Q135" s="321">
        <v>0</v>
      </c>
      <c r="R135" s="321">
        <v>28</v>
      </c>
      <c r="S135" s="321">
        <v>435</v>
      </c>
      <c r="T135" s="321">
        <v>840</v>
      </c>
      <c r="U135" s="321">
        <v>-1294</v>
      </c>
      <c r="V135" s="321">
        <v>-2304</v>
      </c>
      <c r="W135" s="321">
        <v>-3228</v>
      </c>
      <c r="X135" s="321">
        <v>1164</v>
      </c>
      <c r="Y135" s="320">
        <v>1612.020000000135</v>
      </c>
    </row>
    <row r="136" spans="1:25" s="29" customFormat="1" x14ac:dyDescent="0.4">
      <c r="A136" s="249"/>
      <c r="B136" s="249"/>
      <c r="C136" s="249"/>
      <c r="D136" s="249"/>
      <c r="E136" s="251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319"/>
      <c r="U136" s="319"/>
      <c r="V136" s="319"/>
      <c r="W136" s="319"/>
      <c r="X136" s="319"/>
      <c r="Y136" s="319"/>
    </row>
    <row r="137" spans="1:25" s="15" customFormat="1" ht="16.5" customHeight="1" x14ac:dyDescent="0.35">
      <c r="A137" s="28" t="s">
        <v>5</v>
      </c>
      <c r="B137" s="247"/>
      <c r="C137" s="247"/>
      <c r="D137" s="247"/>
      <c r="E137" s="248"/>
      <c r="F137" s="247"/>
      <c r="G137" s="247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5"/>
    </row>
    <row r="138" spans="1:25" s="15" customFormat="1" ht="16.5" customHeight="1" x14ac:dyDescent="0.35">
      <c r="A138" s="14" t="s">
        <v>4</v>
      </c>
      <c r="B138" s="244"/>
      <c r="C138" s="244"/>
      <c r="D138" s="244"/>
      <c r="E138" s="244"/>
      <c r="F138" s="244"/>
      <c r="G138" s="244"/>
      <c r="H138" s="243"/>
      <c r="I138" s="243"/>
      <c r="J138" s="243"/>
      <c r="K138" s="243"/>
      <c r="L138" s="243"/>
      <c r="M138" s="243"/>
      <c r="N138" s="243"/>
      <c r="O138" s="243"/>
      <c r="P138" s="243"/>
      <c r="Q138" s="243"/>
      <c r="R138" s="243"/>
      <c r="S138" s="243"/>
      <c r="T138" s="243"/>
      <c r="U138" s="243"/>
      <c r="V138" s="243"/>
      <c r="W138" s="243"/>
      <c r="X138" s="243"/>
      <c r="Y138" s="240"/>
    </row>
    <row r="139" spans="1:25" x14ac:dyDescent="0.4">
      <c r="A139" s="19" t="s">
        <v>3</v>
      </c>
      <c r="Y139" s="13"/>
    </row>
    <row r="140" spans="1:25" s="15" customFormat="1" ht="16.5" customHeight="1" x14ac:dyDescent="0.35">
      <c r="A140" s="242" t="s">
        <v>2</v>
      </c>
      <c r="B140" s="244"/>
      <c r="C140" s="244"/>
      <c r="D140" s="244"/>
      <c r="E140" s="244"/>
      <c r="F140" s="244"/>
      <c r="G140" s="244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0"/>
    </row>
    <row r="141" spans="1:25" s="15" customFormat="1" ht="16.5" customHeight="1" x14ac:dyDescent="0.35">
      <c r="A141" s="242" t="s">
        <v>259</v>
      </c>
      <c r="B141" s="244"/>
      <c r="C141" s="244"/>
      <c r="D141" s="244"/>
      <c r="E141" s="244"/>
      <c r="F141" s="244"/>
      <c r="G141" s="244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0"/>
    </row>
    <row r="142" spans="1:25" s="15" customFormat="1" ht="16.5" customHeight="1" x14ac:dyDescent="0.35">
      <c r="A142" s="241" t="s">
        <v>248</v>
      </c>
      <c r="B142" s="244"/>
      <c r="C142" s="244"/>
      <c r="D142" s="244"/>
      <c r="E142" s="244"/>
      <c r="F142" s="244"/>
      <c r="G142" s="244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0"/>
    </row>
    <row r="143" spans="1:25" x14ac:dyDescent="0.4">
      <c r="A143" s="14" t="s">
        <v>247</v>
      </c>
      <c r="C143" s="1" t="s">
        <v>258</v>
      </c>
      <c r="Y143" s="13"/>
    </row>
    <row r="144" spans="1:25" s="15" customFormat="1" ht="16.5" customHeight="1" x14ac:dyDescent="0.35">
      <c r="A144" s="12" t="s">
        <v>0</v>
      </c>
      <c r="B144" s="11"/>
      <c r="C144" s="11"/>
      <c r="D144" s="11"/>
      <c r="E144" s="10"/>
      <c r="F144" s="11"/>
      <c r="G144" s="11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8"/>
    </row>
    <row r="145" spans="1:25" x14ac:dyDescent="0.4">
      <c r="A145" s="104"/>
      <c r="B145" s="104"/>
      <c r="C145" s="104"/>
      <c r="D145" s="237"/>
      <c r="E145" s="236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243"/>
      <c r="R145" s="243"/>
      <c r="S145" s="243"/>
      <c r="T145" s="104"/>
      <c r="U145" s="104"/>
      <c r="V145" s="104"/>
      <c r="W145" s="104"/>
      <c r="X145" s="104"/>
      <c r="Y145" s="104"/>
    </row>
    <row r="146" spans="1:25" ht="12.75" customHeight="1" x14ac:dyDescent="0.4">
      <c r="A146" s="104"/>
      <c r="B146" s="104"/>
      <c r="C146" s="104"/>
      <c r="D146" s="237"/>
      <c r="E146" s="236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</row>
    <row r="147" spans="1:25" x14ac:dyDescent="0.4">
      <c r="A147" s="104"/>
      <c r="B147" s="104"/>
      <c r="C147" s="104"/>
      <c r="D147" s="237"/>
      <c r="E147" s="236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</row>
    <row r="148" spans="1:25" s="29" customFormat="1" ht="13.5" customHeight="1" x14ac:dyDescent="0.4">
      <c r="A148" s="299" t="s">
        <v>239</v>
      </c>
      <c r="B148" s="298"/>
      <c r="C148" s="298"/>
      <c r="D148" s="298"/>
      <c r="E148" s="298"/>
      <c r="F148" s="298"/>
      <c r="G148" s="297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</row>
    <row r="149" spans="1:25" s="29" customFormat="1" ht="17.25" customHeight="1" x14ac:dyDescent="0.4">
      <c r="A149" s="299"/>
      <c r="B149" s="298"/>
      <c r="C149" s="298"/>
      <c r="D149" s="298"/>
      <c r="E149" s="298"/>
      <c r="F149" s="298"/>
      <c r="G149" s="297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  <c r="Y149" s="249"/>
    </row>
    <row r="150" spans="1:25" s="29" customFormat="1" x14ac:dyDescent="0.4">
      <c r="A150" s="296" t="s">
        <v>257</v>
      </c>
      <c r="B150" s="295"/>
      <c r="C150" s="295"/>
      <c r="D150" s="295"/>
      <c r="E150" s="295"/>
      <c r="F150" s="295"/>
      <c r="G150" s="294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</row>
    <row r="151" spans="1:25" s="29" customFormat="1" x14ac:dyDescent="0.4">
      <c r="A151" s="296" t="s">
        <v>237</v>
      </c>
      <c r="B151" s="295"/>
      <c r="C151" s="295"/>
      <c r="D151" s="295"/>
      <c r="E151" s="295"/>
      <c r="F151" s="295"/>
      <c r="G151" s="294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  <c r="X151" s="249"/>
      <c r="Y151" s="249"/>
    </row>
    <row r="152" spans="1:25" s="29" customFormat="1" ht="14.5" x14ac:dyDescent="0.4">
      <c r="A152" s="293" t="s">
        <v>256</v>
      </c>
      <c r="B152" s="292"/>
      <c r="C152" s="292"/>
      <c r="D152" s="292"/>
      <c r="E152" s="292"/>
      <c r="F152" s="292"/>
      <c r="G152" s="291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  <c r="X152" s="249"/>
      <c r="Y152" s="249"/>
    </row>
    <row r="153" spans="1:25" x14ac:dyDescent="0.4">
      <c r="A153" s="104"/>
      <c r="B153" s="104"/>
      <c r="C153" s="104"/>
      <c r="D153" s="237"/>
      <c r="E153" s="236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</row>
    <row r="154" spans="1:25" ht="64" x14ac:dyDescent="0.4">
      <c r="A154" s="290" t="s">
        <v>235</v>
      </c>
      <c r="B154" s="289" t="s">
        <v>234</v>
      </c>
      <c r="C154" s="289" t="s">
        <v>233</v>
      </c>
      <c r="D154" s="289" t="s">
        <v>232</v>
      </c>
      <c r="E154" s="289" t="s">
        <v>231</v>
      </c>
      <c r="F154" s="184"/>
      <c r="G154" s="184">
        <v>2006</v>
      </c>
      <c r="H154" s="184">
        <v>2007</v>
      </c>
      <c r="I154" s="184">
        <v>2008</v>
      </c>
      <c r="J154" s="184">
        <v>2009</v>
      </c>
      <c r="K154" s="184">
        <v>2010</v>
      </c>
      <c r="L154" s="184">
        <v>2011</v>
      </c>
      <c r="M154" s="184">
        <v>2012</v>
      </c>
      <c r="N154" s="184">
        <v>2013</v>
      </c>
      <c r="O154" s="184">
        <v>2014</v>
      </c>
      <c r="P154" s="184">
        <v>2015</v>
      </c>
      <c r="Q154" s="184">
        <v>2016</v>
      </c>
      <c r="R154" s="184">
        <v>2017</v>
      </c>
      <c r="S154" s="184">
        <v>2018</v>
      </c>
      <c r="T154" s="184">
        <v>2019</v>
      </c>
      <c r="U154" s="184">
        <v>2020</v>
      </c>
      <c r="V154" s="184">
        <v>2021</v>
      </c>
      <c r="W154" s="184">
        <v>2022</v>
      </c>
      <c r="X154" s="184" t="s">
        <v>230</v>
      </c>
      <c r="Y154" s="183" t="s">
        <v>229</v>
      </c>
    </row>
    <row r="155" spans="1:25" x14ac:dyDescent="0.4">
      <c r="A155" s="286"/>
      <c r="B155" s="104"/>
      <c r="C155" s="104"/>
      <c r="D155" s="104"/>
      <c r="E155" s="236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288"/>
      <c r="U155" s="288"/>
      <c r="V155" s="288"/>
      <c r="W155" s="288"/>
      <c r="X155" s="288"/>
      <c r="Y155" s="287"/>
    </row>
    <row r="156" spans="1:25" ht="16" x14ac:dyDescent="0.45">
      <c r="A156" s="285" t="s">
        <v>228</v>
      </c>
      <c r="B156" s="284"/>
      <c r="C156" s="284"/>
      <c r="D156" s="284"/>
      <c r="E156" s="284"/>
      <c r="F156" s="317"/>
      <c r="G156" s="317"/>
      <c r="H156" s="317"/>
      <c r="I156" s="317"/>
      <c r="J156" s="317"/>
      <c r="K156" s="317"/>
      <c r="L156" s="317"/>
      <c r="M156" s="317"/>
      <c r="N156" s="317"/>
      <c r="O156" s="317"/>
      <c r="P156" s="317"/>
      <c r="Q156" s="317"/>
      <c r="R156" s="317"/>
      <c r="S156" s="317"/>
      <c r="T156" s="317"/>
      <c r="U156" s="317"/>
      <c r="V156" s="317"/>
      <c r="W156" s="317"/>
      <c r="X156" s="317"/>
      <c r="Y156" s="318"/>
    </row>
    <row r="157" spans="1:25" x14ac:dyDescent="0.4">
      <c r="A157" s="281"/>
      <c r="B157" s="280"/>
      <c r="C157" s="280"/>
      <c r="D157" s="280"/>
      <c r="E157" s="279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97"/>
    </row>
    <row r="158" spans="1:25" x14ac:dyDescent="0.4">
      <c r="A158" s="177"/>
      <c r="B158" s="176" t="s">
        <v>227</v>
      </c>
      <c r="C158" s="176"/>
      <c r="D158" s="176"/>
      <c r="E158" s="175" t="s">
        <v>226</v>
      </c>
      <c r="F158" s="174"/>
      <c r="G158" s="173">
        <v>2.1314199794244075</v>
      </c>
      <c r="H158" s="173">
        <v>3.931089702197994</v>
      </c>
      <c r="I158" s="173">
        <v>-0.80518899575039882</v>
      </c>
      <c r="J158" s="173">
        <v>-0.23299511461856071</v>
      </c>
      <c r="K158" s="173">
        <v>0.30385214203204214</v>
      </c>
      <c r="L158" s="173">
        <v>1.9102220664446889</v>
      </c>
      <c r="M158" s="173">
        <v>2.5033164644032695</v>
      </c>
      <c r="N158" s="173">
        <v>7.453565008987411</v>
      </c>
      <c r="O158" s="173">
        <v>2.9106724657075915</v>
      </c>
      <c r="P158" s="173">
        <v>4.2999566536627611</v>
      </c>
      <c r="Q158" s="173">
        <v>2.7366802427063419</v>
      </c>
      <c r="R158" s="173">
        <v>5.5763435205598739</v>
      </c>
      <c r="S158" s="173">
        <v>1.5939308019464278</v>
      </c>
      <c r="T158" s="173">
        <v>2.7173298133132278</v>
      </c>
      <c r="U158" s="173">
        <v>1.9606763231811328</v>
      </c>
      <c r="V158" s="173">
        <v>4.3735033039845774</v>
      </c>
      <c r="W158" s="173">
        <v>-0.90739718465360397</v>
      </c>
      <c r="X158" s="173">
        <v>1.6782145468472436</v>
      </c>
      <c r="Y158" s="172">
        <v>7.9704653631476248</v>
      </c>
    </row>
    <row r="159" spans="1:25" outlineLevel="1" x14ac:dyDescent="0.4">
      <c r="A159" s="147"/>
      <c r="B159" s="146"/>
      <c r="C159" s="170" t="s">
        <v>227</v>
      </c>
      <c r="D159" s="146"/>
      <c r="E159" s="169" t="s">
        <v>226</v>
      </c>
      <c r="F159" s="168"/>
      <c r="G159" s="167">
        <v>2.1314199794244075</v>
      </c>
      <c r="H159" s="167">
        <v>3.931089702197994</v>
      </c>
      <c r="I159" s="167">
        <v>-0.80518899575039882</v>
      </c>
      <c r="J159" s="167">
        <v>-0.23299511461856071</v>
      </c>
      <c r="K159" s="167">
        <v>0.30385214203204214</v>
      </c>
      <c r="L159" s="167">
        <v>1.9102220664446889</v>
      </c>
      <c r="M159" s="167">
        <v>2.5033164644032695</v>
      </c>
      <c r="N159" s="167">
        <v>7.453565008987411</v>
      </c>
      <c r="O159" s="167">
        <v>2.9106724657075915</v>
      </c>
      <c r="P159" s="167">
        <v>4.2999566536627611</v>
      </c>
      <c r="Q159" s="167">
        <v>2.7366802427063419</v>
      </c>
      <c r="R159" s="167">
        <v>5.5763435205598739</v>
      </c>
      <c r="S159" s="167">
        <v>1.5939308019464278</v>
      </c>
      <c r="T159" s="167">
        <v>2.7173298133132278</v>
      </c>
      <c r="U159" s="167">
        <v>1.9606763231811328</v>
      </c>
      <c r="V159" s="167">
        <v>4.3735033039845774</v>
      </c>
      <c r="W159" s="167">
        <v>-0.90739718465360397</v>
      </c>
      <c r="X159" s="167">
        <v>1.6782145468472436</v>
      </c>
      <c r="Y159" s="166">
        <v>7.9704653631476248</v>
      </c>
    </row>
    <row r="160" spans="1:25" ht="84" outlineLevel="2" x14ac:dyDescent="0.4">
      <c r="A160" s="165"/>
      <c r="B160" s="164"/>
      <c r="C160" s="152"/>
      <c r="D160" s="180" t="s">
        <v>225</v>
      </c>
      <c r="E160" s="163" t="s">
        <v>251</v>
      </c>
      <c r="F160" s="162"/>
      <c r="G160" s="161">
        <v>-0.52646035524630008</v>
      </c>
      <c r="H160" s="161">
        <v>4.1465322840443548</v>
      </c>
      <c r="I160" s="161">
        <v>-2.1122403888643362</v>
      </c>
      <c r="J160" s="161">
        <v>4.0989526905019744</v>
      </c>
      <c r="K160" s="161">
        <v>-0.85429314830875569</v>
      </c>
      <c r="L160" s="161">
        <v>2.7074312207496831</v>
      </c>
      <c r="M160" s="161">
        <v>3.147091389149125</v>
      </c>
      <c r="N160" s="161">
        <v>6.2177449320837326</v>
      </c>
      <c r="O160" s="161">
        <v>1.6986045788471245</v>
      </c>
      <c r="P160" s="161">
        <v>4.4909035315700834</v>
      </c>
      <c r="Q160" s="161">
        <v>3.6577782654815536</v>
      </c>
      <c r="R160" s="161">
        <v>8.0207487914181854</v>
      </c>
      <c r="S160" s="149">
        <v>1.0486083888671089</v>
      </c>
      <c r="T160" s="149">
        <v>1.3286781107555043</v>
      </c>
      <c r="U160" s="149">
        <v>2.1088565594691033</v>
      </c>
      <c r="V160" s="149">
        <v>4.5992813622871296</v>
      </c>
      <c r="W160" s="149">
        <v>1.0514681721779198</v>
      </c>
      <c r="X160" s="149">
        <v>2.5067249992609959</v>
      </c>
      <c r="Y160" s="148">
        <v>7.7067508723361442</v>
      </c>
    </row>
    <row r="161" spans="1:25" outlineLevel="2" x14ac:dyDescent="0.4">
      <c r="A161" s="147"/>
      <c r="B161" s="146"/>
      <c r="C161" s="170"/>
      <c r="D161" s="138" t="s">
        <v>223</v>
      </c>
      <c r="E161" s="145" t="s">
        <v>222</v>
      </c>
      <c r="F161" s="144"/>
      <c r="G161" s="143">
        <v>8.0104031209362887</v>
      </c>
      <c r="H161" s="143">
        <v>4.4064531663857451</v>
      </c>
      <c r="I161" s="143">
        <v>-8.3948339483394818</v>
      </c>
      <c r="J161" s="143">
        <v>-22.809667673716021</v>
      </c>
      <c r="K161" s="143">
        <v>11.382909328114806</v>
      </c>
      <c r="L161" s="143">
        <v>-8.2284040995607626</v>
      </c>
      <c r="M161" s="143">
        <v>-2.1697511167836581</v>
      </c>
      <c r="N161" s="143">
        <v>35.909980430528378</v>
      </c>
      <c r="O161" s="143">
        <v>15.430765538756901</v>
      </c>
      <c r="P161" s="143">
        <v>10.166320166320176</v>
      </c>
      <c r="Q161" s="143">
        <v>3.585582185317989</v>
      </c>
      <c r="R161" s="143">
        <v>-0.34614683913281397</v>
      </c>
      <c r="S161" s="143">
        <v>-1.4076782449725727</v>
      </c>
      <c r="T161" s="143">
        <v>10.903022436491753</v>
      </c>
      <c r="U161" s="143">
        <v>-10.934626316669451</v>
      </c>
      <c r="V161" s="143">
        <v>-3.510418622113761</v>
      </c>
      <c r="W161" s="143">
        <v>-17.665369649805456</v>
      </c>
      <c r="X161" s="143">
        <v>4.0406427221171981</v>
      </c>
      <c r="Y161" s="142">
        <v>22.291619350442886</v>
      </c>
    </row>
    <row r="162" spans="1:25" outlineLevel="2" x14ac:dyDescent="0.4">
      <c r="A162" s="165"/>
      <c r="B162" s="164"/>
      <c r="C162" s="152"/>
      <c r="D162" s="181" t="s">
        <v>221</v>
      </c>
      <c r="E162" s="163" t="s">
        <v>220</v>
      </c>
      <c r="F162" s="162"/>
      <c r="G162" s="161">
        <v>4.2000608704474018</v>
      </c>
      <c r="H162" s="161">
        <v>3.5244864180703104</v>
      </c>
      <c r="I162" s="161">
        <v>3.7618734129596589</v>
      </c>
      <c r="J162" s="161">
        <v>-0.33535756367261627</v>
      </c>
      <c r="K162" s="161">
        <v>-0.85485631138595863</v>
      </c>
      <c r="L162" s="161">
        <v>4.0909924784443348</v>
      </c>
      <c r="M162" s="161">
        <v>2.67888614733873</v>
      </c>
      <c r="N162" s="161">
        <v>2.385856505320973</v>
      </c>
      <c r="O162" s="161">
        <v>0.24308466051969901</v>
      </c>
      <c r="P162" s="161">
        <v>2.5587423697633653</v>
      </c>
      <c r="Q162" s="161">
        <v>1.2474520994700384</v>
      </c>
      <c r="R162" s="161">
        <v>4.3324206796585543</v>
      </c>
      <c r="S162" s="161">
        <v>3.4269836369249731</v>
      </c>
      <c r="T162" s="161">
        <v>2.4552238805970177</v>
      </c>
      <c r="U162" s="161">
        <v>3.8604414014130555</v>
      </c>
      <c r="V162" s="161">
        <v>6.7606424012904114</v>
      </c>
      <c r="W162" s="161">
        <v>0.50581357156933393</v>
      </c>
      <c r="X162" s="161">
        <v>-1.5163398692810404</v>
      </c>
      <c r="Y162" s="160">
        <v>5.6580833554552612</v>
      </c>
    </row>
    <row r="163" spans="1:25" outlineLevel="2" x14ac:dyDescent="0.4">
      <c r="A163" s="147"/>
      <c r="B163" s="146"/>
      <c r="C163" s="170"/>
      <c r="D163" s="146" t="s">
        <v>219</v>
      </c>
      <c r="E163" s="145" t="s">
        <v>218</v>
      </c>
      <c r="F163" s="144"/>
      <c r="G163" s="143">
        <v>1.4264264264264312</v>
      </c>
      <c r="H163" s="143">
        <v>1.1102886750555143</v>
      </c>
      <c r="I163" s="143">
        <v>7.3206442166906527E-2</v>
      </c>
      <c r="J163" s="143">
        <v>1.975128017556699</v>
      </c>
      <c r="K163" s="143">
        <v>2.0803443328550912</v>
      </c>
      <c r="L163" s="143">
        <v>4.9894588896697059</v>
      </c>
      <c r="M163" s="143">
        <v>6.6265060240963862</v>
      </c>
      <c r="N163" s="143">
        <v>3.7037037037036953</v>
      </c>
      <c r="O163" s="143">
        <v>6.4769975786924903</v>
      </c>
      <c r="P163" s="143">
        <v>2.1034678794769661</v>
      </c>
      <c r="Q163" s="143">
        <v>2.2828507795100279</v>
      </c>
      <c r="R163" s="143">
        <v>1.0342950462710832</v>
      </c>
      <c r="S163" s="143">
        <v>1.1314655172413666</v>
      </c>
      <c r="T163" s="143">
        <v>4.5817794352690555</v>
      </c>
      <c r="U163" s="143">
        <v>3.3622007131940848</v>
      </c>
      <c r="V163" s="143">
        <v>3.8442582552981719</v>
      </c>
      <c r="W163" s="143">
        <v>1.708590412909345</v>
      </c>
      <c r="X163" s="143">
        <v>-0.65328978068129118</v>
      </c>
      <c r="Y163" s="142">
        <v>-1.9985908877407326</v>
      </c>
    </row>
    <row r="164" spans="1:25" outlineLevel="2" x14ac:dyDescent="0.4">
      <c r="A164" s="165"/>
      <c r="B164" s="164"/>
      <c r="C164" s="152"/>
      <c r="D164" s="180" t="s">
        <v>217</v>
      </c>
      <c r="E164" s="163" t="s">
        <v>216</v>
      </c>
      <c r="F164" s="162"/>
      <c r="G164" s="161">
        <v>7.5079872204472764</v>
      </c>
      <c r="H164" s="161">
        <v>5.6463595839524601</v>
      </c>
      <c r="I164" s="161">
        <v>2.3206751054852361</v>
      </c>
      <c r="J164" s="161">
        <v>-5.1546391752577421</v>
      </c>
      <c r="K164" s="161">
        <v>-1.8840579710144993</v>
      </c>
      <c r="L164" s="161">
        <v>0.36927621861151749</v>
      </c>
      <c r="M164" s="161">
        <v>3.3848417954378363</v>
      </c>
      <c r="N164" s="161">
        <v>1.3523131672597941</v>
      </c>
      <c r="O164" s="161">
        <v>1.6853932584269558</v>
      </c>
      <c r="P164" s="161">
        <v>-1.5883977900552537</v>
      </c>
      <c r="Q164" s="161">
        <v>-4.7017543859649038</v>
      </c>
      <c r="R164" s="161">
        <v>-4.6391752577319494</v>
      </c>
      <c r="S164" s="161">
        <v>8.8803088803088883</v>
      </c>
      <c r="T164" s="161">
        <v>2.5531914893617085</v>
      </c>
      <c r="U164" s="161">
        <v>29.875518672199178</v>
      </c>
      <c r="V164" s="161">
        <v>9.6379126730564479</v>
      </c>
      <c r="W164" s="161">
        <v>12.91889266634287</v>
      </c>
      <c r="X164" s="161">
        <v>0.25806451612903913</v>
      </c>
      <c r="Y164" s="160">
        <v>-2.9867009867009813</v>
      </c>
    </row>
    <row r="165" spans="1:25" x14ac:dyDescent="0.4">
      <c r="A165" s="159"/>
      <c r="B165" s="158" t="s">
        <v>215</v>
      </c>
      <c r="C165" s="158"/>
      <c r="D165" s="158"/>
      <c r="E165" s="157" t="s">
        <v>214</v>
      </c>
      <c r="F165" s="156"/>
      <c r="G165" s="155">
        <v>2.2931097338680217</v>
      </c>
      <c r="H165" s="155">
        <v>1.3364695819523007</v>
      </c>
      <c r="I165" s="155">
        <v>9.3796159527326495</v>
      </c>
      <c r="J165" s="155">
        <v>11.440146619079769</v>
      </c>
      <c r="K165" s="155">
        <v>10.871635073141178</v>
      </c>
      <c r="L165" s="155">
        <v>14.435162776173001</v>
      </c>
      <c r="M165" s="155">
        <v>5.3690817301132512</v>
      </c>
      <c r="N165" s="155">
        <v>5.3070033452034266</v>
      </c>
      <c r="O165" s="155">
        <v>-1.3485264581710794</v>
      </c>
      <c r="P165" s="155">
        <v>-1.057420641515705</v>
      </c>
      <c r="Q165" s="155">
        <v>-2.8849182186574893</v>
      </c>
      <c r="R165" s="155">
        <v>-5.7531403368430034</v>
      </c>
      <c r="S165" s="155">
        <v>-1.6608552027895058</v>
      </c>
      <c r="T165" s="155">
        <v>1.9245124568442691</v>
      </c>
      <c r="U165" s="155">
        <v>-15.190076213581122</v>
      </c>
      <c r="V165" s="155">
        <v>-0.20509499136441889</v>
      </c>
      <c r="W165" s="155">
        <v>1.454840454299628</v>
      </c>
      <c r="X165" s="155">
        <v>2.6067487605949253</v>
      </c>
      <c r="Y165" s="154">
        <v>-5.0420822942643326</v>
      </c>
    </row>
    <row r="166" spans="1:25" outlineLevel="1" x14ac:dyDescent="0.4">
      <c r="A166" s="153"/>
      <c r="B166" s="152"/>
      <c r="C166" s="152" t="s">
        <v>215</v>
      </c>
      <c r="D166" s="152"/>
      <c r="E166" s="151" t="s">
        <v>214</v>
      </c>
      <c r="F166" s="150"/>
      <c r="G166" s="149">
        <v>2.2931097338680217</v>
      </c>
      <c r="H166" s="149">
        <v>1.3364695819523007</v>
      </c>
      <c r="I166" s="149">
        <v>9.3796159527326495</v>
      </c>
      <c r="J166" s="149">
        <v>11.440146619079769</v>
      </c>
      <c r="K166" s="149">
        <v>10.871635073141178</v>
      </c>
      <c r="L166" s="149">
        <v>14.435162776173001</v>
      </c>
      <c r="M166" s="149">
        <v>5.3690817301132512</v>
      </c>
      <c r="N166" s="149">
        <v>5.3070033452034266</v>
      </c>
      <c r="O166" s="149">
        <v>-1.3485264581710794</v>
      </c>
      <c r="P166" s="149">
        <v>-1.057420641515705</v>
      </c>
      <c r="Q166" s="149">
        <v>-2.8849182186574893</v>
      </c>
      <c r="R166" s="149">
        <v>-5.7531403368430034</v>
      </c>
      <c r="S166" s="149">
        <v>-1.6608552027895058</v>
      </c>
      <c r="T166" s="149">
        <v>1.9245124568442691</v>
      </c>
      <c r="U166" s="149">
        <v>-15.190076213581122</v>
      </c>
      <c r="V166" s="149">
        <v>-0.20509499136441889</v>
      </c>
      <c r="W166" s="149">
        <v>1.454840454299628</v>
      </c>
      <c r="X166" s="149">
        <v>2.6067487605949253</v>
      </c>
      <c r="Y166" s="148">
        <v>-5.0420822942643326</v>
      </c>
    </row>
    <row r="167" spans="1:25" outlineLevel="2" x14ac:dyDescent="0.4">
      <c r="A167" s="147"/>
      <c r="B167" s="146"/>
      <c r="C167" s="146"/>
      <c r="D167" s="146" t="s">
        <v>213</v>
      </c>
      <c r="E167" s="145" t="s">
        <v>212</v>
      </c>
      <c r="F167" s="144"/>
      <c r="G167" s="143">
        <v>10.907304290861447</v>
      </c>
      <c r="H167" s="143">
        <v>6.9108092144122963</v>
      </c>
      <c r="I167" s="143">
        <v>5.0552486187845318</v>
      </c>
      <c r="J167" s="143">
        <v>-0.36813042334998158</v>
      </c>
      <c r="K167" s="143">
        <v>1.8870414357350143</v>
      </c>
      <c r="L167" s="143">
        <v>14.713120062168116</v>
      </c>
      <c r="M167" s="143">
        <v>3.8613526024613236</v>
      </c>
      <c r="N167" s="143">
        <v>-4.0221763235134205</v>
      </c>
      <c r="O167" s="143">
        <v>3.0581039755351611</v>
      </c>
      <c r="P167" s="143">
        <v>-2.9233981756236886</v>
      </c>
      <c r="Q167" s="143">
        <v>13.562775953809563</v>
      </c>
      <c r="R167" s="143">
        <v>-0.34891835310537545</v>
      </c>
      <c r="S167" s="143">
        <v>-5.4921968787514999</v>
      </c>
      <c r="T167" s="143">
        <v>-1.2490737800359852</v>
      </c>
      <c r="U167" s="143">
        <v>-35.45932039875656</v>
      </c>
      <c r="V167" s="143">
        <v>7.7894037535293279</v>
      </c>
      <c r="W167" s="143">
        <v>0.75500770416023499</v>
      </c>
      <c r="X167" s="143">
        <v>2.2633430188102182</v>
      </c>
      <c r="Y167" s="142">
        <v>-12.960520412741133</v>
      </c>
    </row>
    <row r="168" spans="1:25" ht="28" outlineLevel="2" x14ac:dyDescent="0.4">
      <c r="A168" s="165"/>
      <c r="B168" s="164"/>
      <c r="C168" s="164"/>
      <c r="D168" s="164" t="s">
        <v>211</v>
      </c>
      <c r="E168" s="163" t="s">
        <v>210</v>
      </c>
      <c r="F168" s="162"/>
      <c r="G168" s="161">
        <v>-0.57863320745524049</v>
      </c>
      <c r="H168" s="161">
        <v>0.26955829198062986</v>
      </c>
      <c r="I168" s="161">
        <v>15.390725239811815</v>
      </c>
      <c r="J168" s="161">
        <v>15.196441808747224</v>
      </c>
      <c r="K168" s="161">
        <v>16.76319176319177</v>
      </c>
      <c r="L168" s="161">
        <v>17.785300948706848</v>
      </c>
      <c r="M168" s="161">
        <v>4.6355402560074737</v>
      </c>
      <c r="N168" s="161">
        <v>8.4930369234700294</v>
      </c>
      <c r="O168" s="161">
        <v>-2.4494362175052231</v>
      </c>
      <c r="P168" s="161">
        <v>-0.85408178663045931</v>
      </c>
      <c r="Q168" s="161">
        <v>-9.5793254596371611</v>
      </c>
      <c r="R168" s="161">
        <v>-3.9488301632721772</v>
      </c>
      <c r="S168" s="161">
        <v>1.678816767138656</v>
      </c>
      <c r="T168" s="161">
        <v>2.8092792389093972</v>
      </c>
      <c r="U168" s="161">
        <v>-11.154697244015281</v>
      </c>
      <c r="V168" s="161">
        <v>-6.5021321559304113</v>
      </c>
      <c r="W168" s="161">
        <v>1.9494672263480766</v>
      </c>
      <c r="X168" s="161">
        <v>2.7198226374757439</v>
      </c>
      <c r="Y168" s="160">
        <v>-0.65285593155014965</v>
      </c>
    </row>
    <row r="169" spans="1:25" outlineLevel="2" x14ac:dyDescent="0.4">
      <c r="A169" s="147"/>
      <c r="B169" s="146"/>
      <c r="C169" s="146"/>
      <c r="D169" s="146" t="s">
        <v>209</v>
      </c>
      <c r="E169" s="145" t="s">
        <v>208</v>
      </c>
      <c r="F169" s="144"/>
      <c r="G169" s="143">
        <v>-1.9244647582391252</v>
      </c>
      <c r="H169" s="143">
        <v>-5.9602649006622528</v>
      </c>
      <c r="I169" s="143">
        <v>-6.7814293166405832</v>
      </c>
      <c r="J169" s="143">
        <v>16.78791270285393</v>
      </c>
      <c r="K169" s="143">
        <v>0.69477719214184219</v>
      </c>
      <c r="L169" s="143">
        <v>-11.182488698548653</v>
      </c>
      <c r="M169" s="143">
        <v>18.724886150549153</v>
      </c>
      <c r="N169" s="143">
        <v>-12.545126353790607</v>
      </c>
      <c r="O169" s="143">
        <v>-1.4447884416924666</v>
      </c>
      <c r="P169" s="143">
        <v>-5.9685863874345557</v>
      </c>
      <c r="Q169" s="143">
        <v>13.140311804008917</v>
      </c>
      <c r="R169" s="143">
        <v>-26.624015748031496</v>
      </c>
      <c r="S169" s="143">
        <v>-13.682092555331991</v>
      </c>
      <c r="T169" s="143">
        <v>5.2836052836052687</v>
      </c>
      <c r="U169" s="143">
        <v>17.52767527675276</v>
      </c>
      <c r="V169" s="143">
        <v>10.235478806907381</v>
      </c>
      <c r="W169" s="143">
        <v>1.3101680432925207</v>
      </c>
      <c r="X169" s="143">
        <v>4.3013775653640636</v>
      </c>
      <c r="Y169" s="142">
        <v>-8.0299191374663081</v>
      </c>
    </row>
    <row r="170" spans="1:25" outlineLevel="2" x14ac:dyDescent="0.4">
      <c r="A170" s="165"/>
      <c r="B170" s="164"/>
      <c r="C170" s="164"/>
      <c r="D170" s="164" t="s">
        <v>207</v>
      </c>
      <c r="E170" s="163" t="s">
        <v>206</v>
      </c>
      <c r="F170" s="162"/>
      <c r="G170" s="161">
        <v>9.7868981846882264</v>
      </c>
      <c r="H170" s="161">
        <v>9.9209202012940239</v>
      </c>
      <c r="I170" s="161">
        <v>6.5402223675604887</v>
      </c>
      <c r="J170" s="161">
        <v>4.1129527317372663</v>
      </c>
      <c r="K170" s="161">
        <v>-12.028301886792448</v>
      </c>
      <c r="L170" s="161">
        <v>5.9651474530831194</v>
      </c>
      <c r="M170" s="161">
        <v>2.5300442757748272</v>
      </c>
      <c r="N170" s="161">
        <v>10.178901912399766</v>
      </c>
      <c r="O170" s="161">
        <v>11.422172452407622</v>
      </c>
      <c r="P170" s="161">
        <v>8.3417085427135618</v>
      </c>
      <c r="Q170" s="161">
        <v>3.5250463821892453</v>
      </c>
      <c r="R170" s="161">
        <v>-2.5537634408602088</v>
      </c>
      <c r="S170" s="161">
        <v>-1.4252873563218316</v>
      </c>
      <c r="T170" s="161">
        <v>4.244402985074629</v>
      </c>
      <c r="U170" s="161">
        <v>-32.706935123042499</v>
      </c>
      <c r="V170" s="161">
        <v>10.438829787234056</v>
      </c>
      <c r="W170" s="161">
        <v>-1.6255267910896976</v>
      </c>
      <c r="X170" s="161">
        <v>-0.91799265605875746</v>
      </c>
      <c r="Y170" s="160">
        <v>2.8350833848054435</v>
      </c>
    </row>
    <row r="171" spans="1:25" ht="28" outlineLevel="2" x14ac:dyDescent="0.4">
      <c r="A171" s="147"/>
      <c r="B171" s="146"/>
      <c r="C171" s="146"/>
      <c r="D171" s="146" t="s">
        <v>205</v>
      </c>
      <c r="E171" s="145" t="s">
        <v>204</v>
      </c>
      <c r="F171" s="144"/>
      <c r="G171" s="143">
        <v>6.2937062937062933</v>
      </c>
      <c r="H171" s="143">
        <v>1.9736842105263008</v>
      </c>
      <c r="I171" s="143">
        <v>0.64516129032257652</v>
      </c>
      <c r="J171" s="143">
        <v>5.1282051282051384</v>
      </c>
      <c r="K171" s="143">
        <v>0</v>
      </c>
      <c r="L171" s="143">
        <v>4.8780487804878021</v>
      </c>
      <c r="M171" s="143">
        <v>8.1395348837209269</v>
      </c>
      <c r="N171" s="143">
        <v>-4.8387096774193452</v>
      </c>
      <c r="O171" s="143">
        <v>2.8248587570621595</v>
      </c>
      <c r="P171" s="143">
        <v>6.5934065934065984</v>
      </c>
      <c r="Q171" s="143">
        <v>13.917525773195877</v>
      </c>
      <c r="R171" s="143">
        <v>-19.004524886877832</v>
      </c>
      <c r="S171" s="143">
        <v>1.1173184357541999</v>
      </c>
      <c r="T171" s="143">
        <v>-1.6574585635359114</v>
      </c>
      <c r="U171" s="143">
        <v>-16.853932584269657</v>
      </c>
      <c r="V171" s="143">
        <v>9.4594594594594525</v>
      </c>
      <c r="W171" s="143">
        <v>0.61728395061729202</v>
      </c>
      <c r="X171" s="143">
        <v>0</v>
      </c>
      <c r="Y171" s="142">
        <v>-2.9018404907975395</v>
      </c>
    </row>
    <row r="172" spans="1:25" x14ac:dyDescent="0.4">
      <c r="A172" s="177"/>
      <c r="B172" s="176" t="s">
        <v>203</v>
      </c>
      <c r="C172" s="176"/>
      <c r="D172" s="176"/>
      <c r="E172" s="175" t="s">
        <v>202</v>
      </c>
      <c r="F172" s="174"/>
      <c r="G172" s="173">
        <v>7.2917206027028385</v>
      </c>
      <c r="H172" s="173">
        <v>7.76376907763769</v>
      </c>
      <c r="I172" s="173">
        <v>0.3571428571428612</v>
      </c>
      <c r="J172" s="173">
        <v>-3.6646995169513303</v>
      </c>
      <c r="K172" s="173">
        <v>1.8829469393427019</v>
      </c>
      <c r="L172" s="173">
        <v>5.5876335530802521</v>
      </c>
      <c r="M172" s="173">
        <v>0.8299603858077802</v>
      </c>
      <c r="N172" s="173">
        <v>1.5096031686719869</v>
      </c>
      <c r="O172" s="173">
        <v>2.8901673310125062</v>
      </c>
      <c r="P172" s="173">
        <v>2.003495895899988</v>
      </c>
      <c r="Q172" s="173">
        <v>3.2238022226898693</v>
      </c>
      <c r="R172" s="173">
        <v>-1.8163990447158369</v>
      </c>
      <c r="S172" s="173">
        <v>1.4752558461462542</v>
      </c>
      <c r="T172" s="173">
        <v>1.2014382180127967</v>
      </c>
      <c r="U172" s="173">
        <v>-9.2489890236857235</v>
      </c>
      <c r="V172" s="173">
        <v>13.593057058586382</v>
      </c>
      <c r="W172" s="173">
        <v>8.1594530476528462</v>
      </c>
      <c r="X172" s="173">
        <v>-2.7408853042261825</v>
      </c>
      <c r="Y172" s="172">
        <v>-2.0830166566040447</v>
      </c>
    </row>
    <row r="173" spans="1:25" ht="28" outlineLevel="1" x14ac:dyDescent="0.4">
      <c r="A173" s="171"/>
      <c r="B173" s="146"/>
      <c r="C173" s="170" t="s">
        <v>201</v>
      </c>
      <c r="D173" s="170"/>
      <c r="E173" s="169" t="s">
        <v>200</v>
      </c>
      <c r="F173" s="168"/>
      <c r="G173" s="167">
        <v>4.2819622924678669</v>
      </c>
      <c r="H173" s="167">
        <v>5.3789071284011669</v>
      </c>
      <c r="I173" s="167">
        <v>2.6033886731253517</v>
      </c>
      <c r="J173" s="167">
        <v>1.4392080196331278</v>
      </c>
      <c r="K173" s="167">
        <v>-1.8657481445032147</v>
      </c>
      <c r="L173" s="167">
        <v>3.6394785224803599</v>
      </c>
      <c r="M173" s="167">
        <v>1.0684191428456273</v>
      </c>
      <c r="N173" s="167">
        <v>3.4585926280517043</v>
      </c>
      <c r="O173" s="167">
        <v>2.7954501638712088</v>
      </c>
      <c r="P173" s="167">
        <v>2.0967741935483843</v>
      </c>
      <c r="Q173" s="167">
        <v>2.3953855762518685</v>
      </c>
      <c r="R173" s="167">
        <v>0.1901618169423358</v>
      </c>
      <c r="S173" s="167">
        <v>2.3993697178054845</v>
      </c>
      <c r="T173" s="167">
        <v>2.7872980345527054</v>
      </c>
      <c r="U173" s="167">
        <v>-3.2867204246197872</v>
      </c>
      <c r="V173" s="167">
        <v>5.8047493403693835</v>
      </c>
      <c r="W173" s="167">
        <v>7.2385702410639965</v>
      </c>
      <c r="X173" s="167">
        <v>-0.880565546322714</v>
      </c>
      <c r="Y173" s="166">
        <v>-0.7724912412412408</v>
      </c>
    </row>
    <row r="174" spans="1:25" ht="70" outlineLevel="2" x14ac:dyDescent="0.4">
      <c r="A174" s="165"/>
      <c r="B174" s="164"/>
      <c r="C174" s="164"/>
      <c r="D174" s="164" t="s">
        <v>199</v>
      </c>
      <c r="E174" s="163" t="s">
        <v>198</v>
      </c>
      <c r="F174" s="162"/>
      <c r="G174" s="161">
        <v>5.12055109070036</v>
      </c>
      <c r="H174" s="161">
        <v>7.0554827435561407</v>
      </c>
      <c r="I174" s="161">
        <v>5.6110997755559993</v>
      </c>
      <c r="J174" s="161">
        <v>0.50231839258114519</v>
      </c>
      <c r="K174" s="161">
        <v>0.28835063437139752</v>
      </c>
      <c r="L174" s="161">
        <v>3.6419398121525717</v>
      </c>
      <c r="M174" s="161">
        <v>4.0503051599777962</v>
      </c>
      <c r="N174" s="161">
        <v>0.35549235691432557</v>
      </c>
      <c r="O174" s="161">
        <v>1.7003188097768316</v>
      </c>
      <c r="P174" s="161">
        <v>2.6819923371647576</v>
      </c>
      <c r="Q174" s="161">
        <v>2.3236092265942858</v>
      </c>
      <c r="R174" s="161">
        <v>-0.33151002817834296</v>
      </c>
      <c r="S174" s="161">
        <v>4.9891900881423652</v>
      </c>
      <c r="T174" s="161">
        <v>5.3381910343735228</v>
      </c>
      <c r="U174" s="161">
        <v>1.5338345864661704</v>
      </c>
      <c r="V174" s="161">
        <v>5.0651658767772574</v>
      </c>
      <c r="W174" s="161">
        <v>5.5962785452495041</v>
      </c>
      <c r="X174" s="161">
        <v>2.2560405820317726</v>
      </c>
      <c r="Y174" s="160">
        <v>2.379112271540464</v>
      </c>
    </row>
    <row r="175" spans="1:25" outlineLevel="2" x14ac:dyDescent="0.4">
      <c r="A175" s="147"/>
      <c r="B175" s="146"/>
      <c r="C175" s="146"/>
      <c r="D175" s="146" t="s">
        <v>197</v>
      </c>
      <c r="E175" s="145" t="s">
        <v>196</v>
      </c>
      <c r="F175" s="144"/>
      <c r="G175" s="143">
        <v>0.92024539877300526</v>
      </c>
      <c r="H175" s="143">
        <v>5.167173252279639</v>
      </c>
      <c r="I175" s="143">
        <v>2.0231213872832399</v>
      </c>
      <c r="J175" s="143">
        <v>6.61000944287062</v>
      </c>
      <c r="K175" s="143">
        <v>3.8972542072630603</v>
      </c>
      <c r="L175" s="143">
        <v>5.4560954816709142</v>
      </c>
      <c r="M175" s="143">
        <v>1.0509296685529534</v>
      </c>
      <c r="N175" s="143">
        <v>5.1199999999999903</v>
      </c>
      <c r="O175" s="143">
        <v>5.9360730593607229</v>
      </c>
      <c r="P175" s="143">
        <v>8.1896551724137936</v>
      </c>
      <c r="Q175" s="143">
        <v>0.13280212483400078</v>
      </c>
      <c r="R175" s="143">
        <v>4.1114058355437635</v>
      </c>
      <c r="S175" s="143">
        <v>-4.8407643312101953</v>
      </c>
      <c r="T175" s="143">
        <v>1.8741633199464474</v>
      </c>
      <c r="U175" s="143">
        <v>-5.7161629434953909</v>
      </c>
      <c r="V175" s="143">
        <v>15.331010452961678</v>
      </c>
      <c r="W175" s="143">
        <v>3.9274924471299073</v>
      </c>
      <c r="X175" s="143">
        <v>-1.7441860465116292</v>
      </c>
      <c r="Y175" s="142">
        <v>-7.1550295857988289</v>
      </c>
    </row>
    <row r="176" spans="1:25" outlineLevel="2" x14ac:dyDescent="0.4">
      <c r="A176" s="165"/>
      <c r="B176" s="164"/>
      <c r="C176" s="164"/>
      <c r="D176" s="164" t="s">
        <v>195</v>
      </c>
      <c r="E176" s="163" t="s">
        <v>194</v>
      </c>
      <c r="F176" s="162"/>
      <c r="G176" s="161">
        <v>1.9164430816404661</v>
      </c>
      <c r="H176" s="161">
        <v>2.5197442647611865</v>
      </c>
      <c r="I176" s="161">
        <v>5.649303008070433</v>
      </c>
      <c r="J176" s="161">
        <v>-0.86805555555555713</v>
      </c>
      <c r="K176" s="161">
        <v>-0.59544658493871339</v>
      </c>
      <c r="L176" s="161">
        <v>3.8407329105003498</v>
      </c>
      <c r="M176" s="161">
        <v>1.1537156430267999</v>
      </c>
      <c r="N176" s="161">
        <v>5.3002348205300081</v>
      </c>
      <c r="O176" s="161">
        <v>1.2105766167569243</v>
      </c>
      <c r="P176" s="161">
        <v>1.2590494176896385</v>
      </c>
      <c r="Q176" s="161">
        <v>1.6785825303077502</v>
      </c>
      <c r="R176" s="161">
        <v>0.91715071843472629</v>
      </c>
      <c r="S176" s="161">
        <v>0.3332323538321873</v>
      </c>
      <c r="T176" s="161">
        <v>1.7814009661835826</v>
      </c>
      <c r="U176" s="161">
        <v>1.0086027884900659</v>
      </c>
      <c r="V176" s="161">
        <v>-8.1644640234948582</v>
      </c>
      <c r="W176" s="161">
        <v>1.0233450591621249</v>
      </c>
      <c r="X176" s="161">
        <v>-4.4317822095599837</v>
      </c>
      <c r="Y176" s="160">
        <v>-3.4465054653858971</v>
      </c>
    </row>
    <row r="177" spans="1:25" ht="70" outlineLevel="2" x14ac:dyDescent="0.4">
      <c r="A177" s="147"/>
      <c r="B177" s="146"/>
      <c r="C177" s="146"/>
      <c r="D177" s="146" t="s">
        <v>193</v>
      </c>
      <c r="E177" s="145" t="s">
        <v>192</v>
      </c>
      <c r="F177" s="144"/>
      <c r="G177" s="143">
        <v>3.0285210232284641</v>
      </c>
      <c r="H177" s="143">
        <v>7.3630136986301267</v>
      </c>
      <c r="I177" s="143">
        <v>3.2163742690058541</v>
      </c>
      <c r="J177" s="143">
        <v>-1.699716713881017</v>
      </c>
      <c r="K177" s="143">
        <v>2.3840712601519414</v>
      </c>
      <c r="L177" s="143">
        <v>3.121801432958037</v>
      </c>
      <c r="M177" s="143">
        <v>-1.5880893300248147</v>
      </c>
      <c r="N177" s="143">
        <v>-1.2102874432677737</v>
      </c>
      <c r="O177" s="143">
        <v>-2.3736600306278604</v>
      </c>
      <c r="P177" s="143">
        <v>2.5359477124182916</v>
      </c>
      <c r="Q177" s="143">
        <v>8.0316165221825599</v>
      </c>
      <c r="R177" s="143">
        <v>2.336558886004255</v>
      </c>
      <c r="S177" s="143">
        <v>1.4298892988929879</v>
      </c>
      <c r="T177" s="143">
        <v>4.2519326966803135</v>
      </c>
      <c r="U177" s="143">
        <v>4.711014176663042</v>
      </c>
      <c r="V177" s="143">
        <v>-3.8741928764840594</v>
      </c>
      <c r="W177" s="143">
        <v>6.5438786565546962</v>
      </c>
      <c r="X177" s="143">
        <v>-3.701443969900339</v>
      </c>
      <c r="Y177" s="142">
        <v>-4.5060190073917568</v>
      </c>
    </row>
    <row r="178" spans="1:25" outlineLevel="2" x14ac:dyDescent="0.4">
      <c r="A178" s="165"/>
      <c r="B178" s="164"/>
      <c r="C178" s="164"/>
      <c r="D178" s="164" t="s">
        <v>191</v>
      </c>
      <c r="E178" s="163" t="s">
        <v>190</v>
      </c>
      <c r="F178" s="162"/>
      <c r="G178" s="161">
        <v>3.5714285714285836</v>
      </c>
      <c r="H178" s="161">
        <v>-0.78369905956112973</v>
      </c>
      <c r="I178" s="161">
        <v>-3.7914691943127963</v>
      </c>
      <c r="J178" s="161">
        <v>-22.660098522167488</v>
      </c>
      <c r="K178" s="161">
        <v>3.1847133757961785</v>
      </c>
      <c r="L178" s="161">
        <v>-6.790123456790127</v>
      </c>
      <c r="M178" s="161">
        <v>-7.726269315673278</v>
      </c>
      <c r="N178" s="161">
        <v>34.928229665071768</v>
      </c>
      <c r="O178" s="161">
        <v>11.879432624113491</v>
      </c>
      <c r="P178" s="161">
        <v>11.251980982567346</v>
      </c>
      <c r="Q178" s="161">
        <v>1.8518518518518619</v>
      </c>
      <c r="R178" s="161">
        <v>2.9370629370629331</v>
      </c>
      <c r="S178" s="161">
        <v>-3.125</v>
      </c>
      <c r="T178" s="161">
        <v>11.220196353436179</v>
      </c>
      <c r="U178" s="161">
        <v>-18.158890290037832</v>
      </c>
      <c r="V178" s="161">
        <v>-1.3867488443759584</v>
      </c>
      <c r="W178" s="161">
        <v>-5</v>
      </c>
      <c r="X178" s="161">
        <v>-0.32894736842105488</v>
      </c>
      <c r="Y178" s="160">
        <v>14.433993399339926</v>
      </c>
    </row>
    <row r="179" spans="1:25" outlineLevel="2" x14ac:dyDescent="0.4">
      <c r="A179" s="147"/>
      <c r="B179" s="146"/>
      <c r="C179" s="146"/>
      <c r="D179" s="146" t="s">
        <v>189</v>
      </c>
      <c r="E179" s="145" t="s">
        <v>188</v>
      </c>
      <c r="F179" s="144"/>
      <c r="G179" s="143">
        <v>9.7276264591439769</v>
      </c>
      <c r="H179" s="143">
        <v>-2.7482269503546206</v>
      </c>
      <c r="I179" s="143">
        <v>-4.4211485870555975</v>
      </c>
      <c r="J179" s="143">
        <v>14.353838817358124</v>
      </c>
      <c r="K179" s="143">
        <v>-12.260216847372803</v>
      </c>
      <c r="L179" s="143">
        <v>10.646387832699617</v>
      </c>
      <c r="M179" s="143">
        <v>-1.331615120274904</v>
      </c>
      <c r="N179" s="143">
        <v>4.9629952111449853</v>
      </c>
      <c r="O179" s="143">
        <v>12.857735379510586</v>
      </c>
      <c r="P179" s="143">
        <v>-3.7853730246232971</v>
      </c>
      <c r="Q179" s="143">
        <v>-9.0527119938884653</v>
      </c>
      <c r="R179" s="143">
        <v>1.8059638807223877</v>
      </c>
      <c r="S179" s="143">
        <v>1.6914191419141957</v>
      </c>
      <c r="T179" s="143">
        <v>-1.054766734279923</v>
      </c>
      <c r="U179" s="143">
        <v>0.36900369003689093</v>
      </c>
      <c r="V179" s="143">
        <v>1.6748366013071774</v>
      </c>
      <c r="W179" s="143">
        <v>2.2900763358778562</v>
      </c>
      <c r="X179" s="143">
        <v>-4.2026708562450921</v>
      </c>
      <c r="Y179" s="142">
        <v>5.1672816728167277</v>
      </c>
    </row>
    <row r="180" spans="1:25" outlineLevel="2" x14ac:dyDescent="0.4">
      <c r="A180" s="165"/>
      <c r="B180" s="164"/>
      <c r="C180" s="164"/>
      <c r="D180" s="164" t="s">
        <v>187</v>
      </c>
      <c r="E180" s="163" t="s">
        <v>186</v>
      </c>
      <c r="F180" s="162"/>
      <c r="G180" s="161">
        <v>0.65040650406504597</v>
      </c>
      <c r="H180" s="161">
        <v>3.5541195476575211</v>
      </c>
      <c r="I180" s="161">
        <v>7.8003120124805037</v>
      </c>
      <c r="J180" s="161">
        <v>-1.1577424023154919</v>
      </c>
      <c r="K180" s="161">
        <v>-3.6603221083455395</v>
      </c>
      <c r="L180" s="161">
        <v>0.60790273556230545</v>
      </c>
      <c r="M180" s="161">
        <v>1.2084592145015023</v>
      </c>
      <c r="N180" s="161">
        <v>-1.0447761194029965</v>
      </c>
      <c r="O180" s="161">
        <v>6.184012066365014</v>
      </c>
      <c r="P180" s="161">
        <v>-2.2727272727272663</v>
      </c>
      <c r="Q180" s="161">
        <v>2.0348837209302388</v>
      </c>
      <c r="R180" s="161">
        <v>2.9914529914529737</v>
      </c>
      <c r="S180" s="161">
        <v>8.0221300138312586</v>
      </c>
      <c r="T180" s="161">
        <v>6.0179257362355827</v>
      </c>
      <c r="U180" s="161">
        <v>-1.8115942028985472</v>
      </c>
      <c r="V180" s="161">
        <v>12.546125461254618</v>
      </c>
      <c r="W180" s="161">
        <v>12.78688524590163</v>
      </c>
      <c r="X180" s="161">
        <v>-3.3914728682170505</v>
      </c>
      <c r="Y180" s="160">
        <v>-3.8595787362086185</v>
      </c>
    </row>
    <row r="181" spans="1:25" ht="70" outlineLevel="2" x14ac:dyDescent="0.4">
      <c r="A181" s="147"/>
      <c r="B181" s="146"/>
      <c r="C181" s="146"/>
      <c r="D181" s="146" t="s">
        <v>185</v>
      </c>
      <c r="E181" s="145" t="s">
        <v>184</v>
      </c>
      <c r="F181" s="144"/>
      <c r="G181" s="143">
        <v>7.6393237319974929</v>
      </c>
      <c r="H181" s="143">
        <v>13.321698662012807</v>
      </c>
      <c r="I181" s="143">
        <v>2.2073921971252446</v>
      </c>
      <c r="J181" s="143">
        <v>1.5570065293822211</v>
      </c>
      <c r="K181" s="143">
        <v>-1.9287833827893195</v>
      </c>
      <c r="L181" s="143">
        <v>1.6641452344931906</v>
      </c>
      <c r="M181" s="143">
        <v>0.69444444444444287</v>
      </c>
      <c r="N181" s="143">
        <v>5.5665024630541922</v>
      </c>
      <c r="O181" s="143">
        <v>2.0531964535697682</v>
      </c>
      <c r="P181" s="143">
        <v>4.0695016003657827</v>
      </c>
      <c r="Q181" s="143">
        <v>2.3286467486818907</v>
      </c>
      <c r="R181" s="143">
        <v>-0.90167453842850875</v>
      </c>
      <c r="S181" s="143">
        <v>2.4696707105719184</v>
      </c>
      <c r="T181" s="143">
        <v>-0.1691331923889976</v>
      </c>
      <c r="U181" s="143">
        <v>2.1177467174925795</v>
      </c>
      <c r="V181" s="143">
        <v>3.940273745333883</v>
      </c>
      <c r="W181" s="143">
        <v>10.494812450119724</v>
      </c>
      <c r="X181" s="143">
        <v>-5.3810039725532732</v>
      </c>
      <c r="Y181" s="142">
        <v>-2.9667938931297755</v>
      </c>
    </row>
    <row r="182" spans="1:25" ht="28" outlineLevel="2" x14ac:dyDescent="0.4">
      <c r="A182" s="165"/>
      <c r="B182" s="164"/>
      <c r="C182" s="164"/>
      <c r="D182" s="164" t="s">
        <v>183</v>
      </c>
      <c r="E182" s="163" t="s">
        <v>182</v>
      </c>
      <c r="F182" s="162"/>
      <c r="G182" s="161">
        <v>4.5609805103475907</v>
      </c>
      <c r="H182" s="161">
        <v>7.8016910069177641</v>
      </c>
      <c r="I182" s="161">
        <v>1.6934046345810998</v>
      </c>
      <c r="J182" s="161">
        <v>2.2436459246275149</v>
      </c>
      <c r="K182" s="161">
        <v>-4.2516715240870866</v>
      </c>
      <c r="L182" s="161">
        <v>1.2891674127126294</v>
      </c>
      <c r="M182" s="161">
        <v>2.5985504684461773</v>
      </c>
      <c r="N182" s="161">
        <v>5.2722260509993077</v>
      </c>
      <c r="O182" s="161">
        <v>2.6841243862520514</v>
      </c>
      <c r="P182" s="161">
        <v>1.9126554032515202</v>
      </c>
      <c r="Q182" s="161">
        <v>4.7075383171723502</v>
      </c>
      <c r="R182" s="161">
        <v>-2.9873039581777476</v>
      </c>
      <c r="S182" s="161">
        <v>3.8645111624326489</v>
      </c>
      <c r="T182" s="161">
        <v>1.719537503705908</v>
      </c>
      <c r="U182" s="161">
        <v>-16.671524336928016</v>
      </c>
      <c r="V182" s="161">
        <v>23.784540048968168</v>
      </c>
      <c r="W182" s="161">
        <v>15.004238485447871</v>
      </c>
      <c r="X182" s="161">
        <v>2.7886977886977888</v>
      </c>
      <c r="Y182" s="160">
        <v>-0.69989243456434735</v>
      </c>
    </row>
    <row r="183" spans="1:25" ht="70" outlineLevel="1" x14ac:dyDescent="0.4">
      <c r="A183" s="171"/>
      <c r="B183" s="146"/>
      <c r="C183" s="170" t="s">
        <v>181</v>
      </c>
      <c r="D183" s="170"/>
      <c r="E183" s="169" t="s">
        <v>180</v>
      </c>
      <c r="F183" s="168"/>
      <c r="G183" s="167">
        <v>9.1135514547718799</v>
      </c>
      <c r="H183" s="167">
        <v>12.595974268520436</v>
      </c>
      <c r="I183" s="167">
        <v>-0.84776999631404237</v>
      </c>
      <c r="J183" s="167">
        <v>-13.3457249070632</v>
      </c>
      <c r="K183" s="167">
        <v>3.4105534105534048</v>
      </c>
      <c r="L183" s="167">
        <v>8.0896079651524531</v>
      </c>
      <c r="M183" s="167">
        <v>-0.6428708501247371</v>
      </c>
      <c r="N183" s="167">
        <v>-2.1921776919362657</v>
      </c>
      <c r="O183" s="167">
        <v>1.7278830963665115</v>
      </c>
      <c r="P183" s="167">
        <v>0.38823643598951207</v>
      </c>
      <c r="Q183" s="167">
        <v>4.5634728802088347</v>
      </c>
      <c r="R183" s="167">
        <v>-2.8201571890892296</v>
      </c>
      <c r="S183" s="167">
        <v>-1.0751665080875341</v>
      </c>
      <c r="T183" s="167">
        <v>0.73098009041071066</v>
      </c>
      <c r="U183" s="167">
        <v>-21.31194500143225</v>
      </c>
      <c r="V183" s="167">
        <v>41.766775876714007</v>
      </c>
      <c r="W183" s="167">
        <v>12.180090730120696</v>
      </c>
      <c r="X183" s="167">
        <v>-12.528612849076765</v>
      </c>
      <c r="Y183" s="166">
        <v>-3.6507327285415272</v>
      </c>
    </row>
    <row r="184" spans="1:25" ht="42" outlineLevel="2" x14ac:dyDescent="0.4">
      <c r="A184" s="165"/>
      <c r="B184" s="164"/>
      <c r="C184" s="164"/>
      <c r="D184" s="164" t="s">
        <v>179</v>
      </c>
      <c r="E184" s="163" t="s">
        <v>178</v>
      </c>
      <c r="F184" s="162"/>
      <c r="G184" s="161">
        <v>9.998637787767322</v>
      </c>
      <c r="H184" s="161">
        <v>12.24767801857584</v>
      </c>
      <c r="I184" s="161">
        <v>-2.6257722859664625</v>
      </c>
      <c r="J184" s="161">
        <v>-12.372535690006799</v>
      </c>
      <c r="K184" s="161">
        <v>3.0126713214378071</v>
      </c>
      <c r="L184" s="161">
        <v>7.3804443328731111</v>
      </c>
      <c r="M184" s="161">
        <v>-3.5067212156633332E-2</v>
      </c>
      <c r="N184" s="161">
        <v>-1.4499532273152482</v>
      </c>
      <c r="O184" s="161">
        <v>1.4712861888941546</v>
      </c>
      <c r="P184" s="161">
        <v>0.37418147801685109</v>
      </c>
      <c r="Q184" s="161">
        <v>4.8928238583410888</v>
      </c>
      <c r="R184" s="161">
        <v>-3.4540204353620538</v>
      </c>
      <c r="S184" s="161">
        <v>0.41412630852410359</v>
      </c>
      <c r="T184" s="161">
        <v>1.8673387558712449</v>
      </c>
      <c r="U184" s="161">
        <v>-18.218623481781378</v>
      </c>
      <c r="V184" s="161">
        <v>40.882838283828391</v>
      </c>
      <c r="W184" s="161">
        <v>12.83552952659835</v>
      </c>
      <c r="X184" s="161">
        <v>-12.941176470588232</v>
      </c>
      <c r="Y184" s="160">
        <v>-3.4032193958664578</v>
      </c>
    </row>
    <row r="185" spans="1:25" ht="56" outlineLevel="2" x14ac:dyDescent="0.4">
      <c r="A185" s="147"/>
      <c r="B185" s="146"/>
      <c r="C185" s="146"/>
      <c r="D185" s="146" t="s">
        <v>177</v>
      </c>
      <c r="E185" s="145" t="s">
        <v>176</v>
      </c>
      <c r="F185" s="144"/>
      <c r="G185" s="143">
        <v>4.8796791443850225</v>
      </c>
      <c r="H185" s="143">
        <v>14.276609305289995</v>
      </c>
      <c r="I185" s="143">
        <v>7.4735080870050155</v>
      </c>
      <c r="J185" s="143">
        <v>-17.332641411520498</v>
      </c>
      <c r="K185" s="143">
        <v>5.2102950408035298</v>
      </c>
      <c r="L185" s="143">
        <v>11.336515513126486</v>
      </c>
      <c r="M185" s="143">
        <v>-3.3762057877813447</v>
      </c>
      <c r="N185" s="143">
        <v>-5.6572379367720487</v>
      </c>
      <c r="O185" s="143">
        <v>2.9394473838918316</v>
      </c>
      <c r="P185" s="143">
        <v>0.456881781838959</v>
      </c>
      <c r="Q185" s="143">
        <v>2.9562251279135836</v>
      </c>
      <c r="R185" s="143">
        <v>0.3313086692435121</v>
      </c>
      <c r="S185" s="143">
        <v>-9.0258668134287348</v>
      </c>
      <c r="T185" s="143">
        <v>-5.989110707803988</v>
      </c>
      <c r="U185" s="143">
        <v>-41.956241956241961</v>
      </c>
      <c r="V185" s="143">
        <v>50</v>
      </c>
      <c r="W185" s="143">
        <v>6.1345158906134429</v>
      </c>
      <c r="X185" s="143">
        <v>-8.5654596100278582</v>
      </c>
      <c r="Y185" s="142">
        <v>-5.9360243716679406</v>
      </c>
    </row>
    <row r="186" spans="1:25" ht="70" outlineLevel="1" x14ac:dyDescent="0.4">
      <c r="A186" s="153"/>
      <c r="B186" s="164"/>
      <c r="C186" s="152" t="s">
        <v>175</v>
      </c>
      <c r="D186" s="152"/>
      <c r="E186" s="151" t="s">
        <v>174</v>
      </c>
      <c r="F186" s="150"/>
      <c r="G186" s="149">
        <v>7.1241830065359437</v>
      </c>
      <c r="H186" s="149">
        <v>6.7520846044335912</v>
      </c>
      <c r="I186" s="149">
        <v>1.8289197942465307</v>
      </c>
      <c r="J186" s="149">
        <v>-1.328344246959773</v>
      </c>
      <c r="K186" s="149">
        <v>2.5028441410694029</v>
      </c>
      <c r="L186" s="149">
        <v>2.4972253052164319</v>
      </c>
      <c r="M186" s="149">
        <v>2.3461469048908157</v>
      </c>
      <c r="N186" s="149">
        <v>-0.19396931758068092</v>
      </c>
      <c r="O186" s="149">
        <v>2.1554770318021212</v>
      </c>
      <c r="P186" s="149">
        <v>4.75613974403322</v>
      </c>
      <c r="Q186" s="149">
        <v>5.8940069341258123</v>
      </c>
      <c r="R186" s="149">
        <v>-0.15590894917367848</v>
      </c>
      <c r="S186" s="149">
        <v>0.42161149281699295</v>
      </c>
      <c r="T186" s="149">
        <v>-0.65308661172446136</v>
      </c>
      <c r="U186" s="149">
        <v>-7.3250899984348052</v>
      </c>
      <c r="V186" s="149">
        <v>4.5769295727073285</v>
      </c>
      <c r="W186" s="149">
        <v>8.0264857881136891</v>
      </c>
      <c r="X186" s="149">
        <v>-0.49334728658992333</v>
      </c>
      <c r="Y186" s="148">
        <v>-0.224609375</v>
      </c>
    </row>
    <row r="187" spans="1:25" ht="42" outlineLevel="2" x14ac:dyDescent="0.4">
      <c r="A187" s="147"/>
      <c r="B187" s="146"/>
      <c r="C187" s="146"/>
      <c r="D187" s="146" t="s">
        <v>173</v>
      </c>
      <c r="E187" s="145" t="s">
        <v>172</v>
      </c>
      <c r="F187" s="144"/>
      <c r="G187" s="143">
        <v>9.0818363273453144</v>
      </c>
      <c r="H187" s="143">
        <v>10.704483074107969</v>
      </c>
      <c r="I187" s="143">
        <v>-3.9669421487603387</v>
      </c>
      <c r="J187" s="143">
        <v>-9.1222030981067093</v>
      </c>
      <c r="K187" s="143">
        <v>-0.37878787878787534</v>
      </c>
      <c r="L187" s="143">
        <v>-2.376425855513304</v>
      </c>
      <c r="M187" s="143">
        <v>-1.7526777020447923</v>
      </c>
      <c r="N187" s="143">
        <v>2.2794846382556955</v>
      </c>
      <c r="O187" s="143">
        <v>2.6162790697674438</v>
      </c>
      <c r="P187" s="143">
        <v>7.3654390934844116</v>
      </c>
      <c r="Q187" s="143">
        <v>2.1108179419525186</v>
      </c>
      <c r="R187" s="143">
        <v>-3.4453057708871597</v>
      </c>
      <c r="S187" s="143">
        <v>-8.296164139161462</v>
      </c>
      <c r="T187" s="143">
        <v>-6.1284046692607035</v>
      </c>
      <c r="U187" s="143">
        <v>-8.3937823834196905</v>
      </c>
      <c r="V187" s="143">
        <v>4.1855203619909531</v>
      </c>
      <c r="W187" s="143">
        <v>17.915309446254085</v>
      </c>
      <c r="X187" s="143">
        <v>-12.062615101289126</v>
      </c>
      <c r="Y187" s="142">
        <v>-6.9340314136125727</v>
      </c>
    </row>
    <row r="188" spans="1:25" outlineLevel="2" x14ac:dyDescent="0.4">
      <c r="A188" s="165"/>
      <c r="B188" s="164"/>
      <c r="C188" s="164"/>
      <c r="D188" s="164" t="s">
        <v>171</v>
      </c>
      <c r="E188" s="163" t="s">
        <v>170</v>
      </c>
      <c r="F188" s="162"/>
      <c r="G188" s="161">
        <v>7.9779917469051043</v>
      </c>
      <c r="H188" s="161">
        <v>5.3503184713375731</v>
      </c>
      <c r="I188" s="161">
        <v>4.0306328093510757</v>
      </c>
      <c r="J188" s="161">
        <v>0.30995738086012636</v>
      </c>
      <c r="K188" s="161">
        <v>6.9524913093858629</v>
      </c>
      <c r="L188" s="161">
        <v>4.0447815095702424</v>
      </c>
      <c r="M188" s="161">
        <v>3.7486983686220157</v>
      </c>
      <c r="N188" s="161">
        <v>0.20073603211776003</v>
      </c>
      <c r="O188" s="161">
        <v>4.5409015025041697</v>
      </c>
      <c r="P188" s="161">
        <v>2.8106036410092656</v>
      </c>
      <c r="Q188" s="161">
        <v>7.7353215284249757</v>
      </c>
      <c r="R188" s="161">
        <v>2.8546712802768042</v>
      </c>
      <c r="S188" s="161">
        <v>3.924866834875246</v>
      </c>
      <c r="T188" s="161">
        <v>1.6725114647963153</v>
      </c>
      <c r="U188" s="161">
        <v>-6.4738657468824528</v>
      </c>
      <c r="V188" s="161">
        <v>2.7234042553191387</v>
      </c>
      <c r="W188" s="161">
        <v>4.8605357636012201</v>
      </c>
      <c r="X188" s="161">
        <v>2.3966289175664883</v>
      </c>
      <c r="Y188" s="160">
        <v>0.75154320987653023</v>
      </c>
    </row>
    <row r="189" spans="1:25" ht="42" outlineLevel="2" x14ac:dyDescent="0.4">
      <c r="A189" s="147"/>
      <c r="B189" s="146"/>
      <c r="C189" s="146"/>
      <c r="D189" s="146" t="s">
        <v>169</v>
      </c>
      <c r="E189" s="145" t="s">
        <v>168</v>
      </c>
      <c r="F189" s="144"/>
      <c r="G189" s="143">
        <v>4.0221914008321704</v>
      </c>
      <c r="H189" s="143">
        <v>7.2000000000000028</v>
      </c>
      <c r="I189" s="143">
        <v>1.4925373134328339</v>
      </c>
      <c r="J189" s="143">
        <v>1.1642156862745168</v>
      </c>
      <c r="K189" s="143">
        <v>-4.4215626892792272</v>
      </c>
      <c r="L189" s="143">
        <v>3.1051964512040655</v>
      </c>
      <c r="M189" s="143">
        <v>2.8272894898586429</v>
      </c>
      <c r="N189" s="143">
        <v>-2.3909145248057371</v>
      </c>
      <c r="O189" s="143">
        <v>-1.8371096142069803</v>
      </c>
      <c r="P189" s="143">
        <v>6.1135371179039169</v>
      </c>
      <c r="Q189" s="143">
        <v>4.9382716049382651</v>
      </c>
      <c r="R189" s="143">
        <v>-3.529411764705884</v>
      </c>
      <c r="S189" s="143">
        <v>-0.92915214866434326</v>
      </c>
      <c r="T189" s="143">
        <v>-2.3446658851113682</v>
      </c>
      <c r="U189" s="143">
        <v>-8.8235294117647101</v>
      </c>
      <c r="V189" s="143">
        <v>9.8749177090190869</v>
      </c>
      <c r="W189" s="143">
        <v>10.784901138406227</v>
      </c>
      <c r="X189" s="143">
        <v>-1.9469983775013588</v>
      </c>
      <c r="Y189" s="142">
        <v>0.79040264754550549</v>
      </c>
    </row>
    <row r="190" spans="1:25" ht="98" outlineLevel="1" x14ac:dyDescent="0.4">
      <c r="A190" s="153"/>
      <c r="B190" s="164"/>
      <c r="C190" s="152" t="s">
        <v>167</v>
      </c>
      <c r="D190" s="152"/>
      <c r="E190" s="151" t="s">
        <v>166</v>
      </c>
      <c r="F190" s="150"/>
      <c r="G190" s="149">
        <v>8.5566508001949018</v>
      </c>
      <c r="H190" s="149">
        <v>6.929291534318466</v>
      </c>
      <c r="I190" s="149">
        <v>1.407768557682985</v>
      </c>
      <c r="J190" s="149">
        <v>-2.9483873021937796</v>
      </c>
      <c r="K190" s="149">
        <v>1.1187297004691317</v>
      </c>
      <c r="L190" s="149">
        <v>6.054117189020829</v>
      </c>
      <c r="M190" s="149">
        <v>0.24473813020068746</v>
      </c>
      <c r="N190" s="149">
        <v>3.070068359375</v>
      </c>
      <c r="O190" s="149">
        <v>2.9963877538935293</v>
      </c>
      <c r="P190" s="149">
        <v>2.2106594607025727</v>
      </c>
      <c r="Q190" s="149">
        <v>4.2919420615947104</v>
      </c>
      <c r="R190" s="149">
        <v>9.978155928911292E-2</v>
      </c>
      <c r="S190" s="149">
        <v>1.1234441510857209</v>
      </c>
      <c r="T190" s="149">
        <v>0.39962701478619067</v>
      </c>
      <c r="U190" s="149">
        <v>-10.04113042324532</v>
      </c>
      <c r="V190" s="149">
        <v>12.745936698032494</v>
      </c>
      <c r="W190" s="149">
        <v>6.3706765737010045</v>
      </c>
      <c r="X190" s="149">
        <v>-1.3355633716211202</v>
      </c>
      <c r="Y190" s="148">
        <v>-3.5087500623223917</v>
      </c>
    </row>
    <row r="191" spans="1:25" ht="28" outlineLevel="2" x14ac:dyDescent="0.4">
      <c r="A191" s="147"/>
      <c r="B191" s="146"/>
      <c r="C191" s="146"/>
      <c r="D191" s="146" t="s">
        <v>165</v>
      </c>
      <c r="E191" s="145" t="s">
        <v>164</v>
      </c>
      <c r="F191" s="144"/>
      <c r="G191" s="143">
        <v>2.972159518434907</v>
      </c>
      <c r="H191" s="143">
        <v>3.2395566922421182</v>
      </c>
      <c r="I191" s="143">
        <v>7.0779756989509224E-2</v>
      </c>
      <c r="J191" s="143">
        <v>-2.5580572910526911</v>
      </c>
      <c r="K191" s="143">
        <v>3.4962496975562658</v>
      </c>
      <c r="L191" s="143">
        <v>1.4260666277031078</v>
      </c>
      <c r="M191" s="143">
        <v>-3.9760285813069061</v>
      </c>
      <c r="N191" s="143">
        <v>6.3370139222275697</v>
      </c>
      <c r="O191" s="143">
        <v>-8.0474040632054198</v>
      </c>
      <c r="P191" s="143">
        <v>-4.7379403461396805</v>
      </c>
      <c r="Q191" s="143">
        <v>18.837778636773606</v>
      </c>
      <c r="R191" s="143">
        <v>6.6464274097365319</v>
      </c>
      <c r="S191" s="143">
        <v>4.5343635624237635</v>
      </c>
      <c r="T191" s="143">
        <v>-0.66134993191985814</v>
      </c>
      <c r="U191" s="143">
        <v>-11.533189739573132</v>
      </c>
      <c r="V191" s="143">
        <v>17.585214696768475</v>
      </c>
      <c r="W191" s="143">
        <v>5.1294117647058926</v>
      </c>
      <c r="X191" s="143">
        <v>7.0814682184422679</v>
      </c>
      <c r="Y191" s="142">
        <v>-3.5194381740656979</v>
      </c>
    </row>
    <row r="192" spans="1:25" ht="84" outlineLevel="2" x14ac:dyDescent="0.4">
      <c r="A192" s="165"/>
      <c r="B192" s="164"/>
      <c r="C192" s="164"/>
      <c r="D192" s="164" t="s">
        <v>163</v>
      </c>
      <c r="E192" s="163" t="s">
        <v>162</v>
      </c>
      <c r="F192" s="162"/>
      <c r="G192" s="161">
        <v>8.0635937321285525</v>
      </c>
      <c r="H192" s="161">
        <v>6.9009314140558757</v>
      </c>
      <c r="I192" s="161">
        <v>3.3663366336633658</v>
      </c>
      <c r="J192" s="161">
        <v>-3.3908045977011483</v>
      </c>
      <c r="K192" s="161">
        <v>1.5268689272258626</v>
      </c>
      <c r="L192" s="161">
        <v>4.3554687499999858</v>
      </c>
      <c r="M192" s="161">
        <v>1.2352610892756957</v>
      </c>
      <c r="N192" s="161">
        <v>3.1151784063597745</v>
      </c>
      <c r="O192" s="161">
        <v>0.89645898700135263</v>
      </c>
      <c r="P192" s="161">
        <v>4.9666814749000423</v>
      </c>
      <c r="Q192" s="161">
        <v>2.0992043338412145</v>
      </c>
      <c r="R192" s="161">
        <v>-0.24871497264135201</v>
      </c>
      <c r="S192" s="161">
        <v>1.7702792553191387</v>
      </c>
      <c r="T192" s="161">
        <v>2.1968150265414579</v>
      </c>
      <c r="U192" s="161">
        <v>-3.2843215598529696</v>
      </c>
      <c r="V192" s="161">
        <v>12.096174502189541</v>
      </c>
      <c r="W192" s="161">
        <v>7.1054765239183268</v>
      </c>
      <c r="X192" s="161">
        <v>-4.3630858165301731</v>
      </c>
      <c r="Y192" s="160">
        <v>-1.6099877671439771</v>
      </c>
    </row>
    <row r="193" spans="1:25" outlineLevel="2" x14ac:dyDescent="0.4">
      <c r="A193" s="147"/>
      <c r="B193" s="146"/>
      <c r="C193" s="146"/>
      <c r="D193" s="146" t="s">
        <v>161</v>
      </c>
      <c r="E193" s="145" t="s">
        <v>160</v>
      </c>
      <c r="F193" s="144"/>
      <c r="G193" s="143">
        <v>5</v>
      </c>
      <c r="H193" s="143">
        <v>7.5211392968402464</v>
      </c>
      <c r="I193" s="143">
        <v>0.24834437086092009</v>
      </c>
      <c r="J193" s="143">
        <v>-0.57803468208092568</v>
      </c>
      <c r="K193" s="143">
        <v>2.8239202657807283</v>
      </c>
      <c r="L193" s="143">
        <v>6.6235864297253642</v>
      </c>
      <c r="M193" s="143">
        <v>-0.90909090909090651</v>
      </c>
      <c r="N193" s="143">
        <v>0.38226299694190402</v>
      </c>
      <c r="O193" s="143">
        <v>1.2947448591013</v>
      </c>
      <c r="P193" s="143">
        <v>4.9248120300752021</v>
      </c>
      <c r="Q193" s="143">
        <v>2.6872088857040382</v>
      </c>
      <c r="R193" s="143">
        <v>-1.2212142358687998</v>
      </c>
      <c r="S193" s="143">
        <v>3.9208760155422056</v>
      </c>
      <c r="T193" s="143">
        <v>3.6029911624745097</v>
      </c>
      <c r="U193" s="143">
        <v>-3.0839895013123311</v>
      </c>
      <c r="V193" s="143">
        <v>3.2836831415030474</v>
      </c>
      <c r="W193" s="143">
        <v>11.34054408390692</v>
      </c>
      <c r="X193" s="143">
        <v>-8.1542537533117496</v>
      </c>
      <c r="Y193" s="142">
        <v>-0.40993589743590064</v>
      </c>
    </row>
    <row r="194" spans="1:25" outlineLevel="2" x14ac:dyDescent="0.4">
      <c r="A194" s="165"/>
      <c r="B194" s="164"/>
      <c r="C194" s="164"/>
      <c r="D194" s="164" t="s">
        <v>159</v>
      </c>
      <c r="E194" s="163" t="s">
        <v>158</v>
      </c>
      <c r="F194" s="162"/>
      <c r="G194" s="161">
        <v>14.20169096924397</v>
      </c>
      <c r="H194" s="161">
        <v>9.0021459227467773</v>
      </c>
      <c r="I194" s="161">
        <v>0.53154838074614474</v>
      </c>
      <c r="J194" s="161">
        <v>-3.5836678742778787</v>
      </c>
      <c r="K194" s="161">
        <v>-1.269422159033212</v>
      </c>
      <c r="L194" s="161">
        <v>11.252828636083095</v>
      </c>
      <c r="M194" s="161">
        <v>2.7366863905325545</v>
      </c>
      <c r="N194" s="161">
        <v>1.5118790496760255</v>
      </c>
      <c r="O194" s="161">
        <v>12.96985815602838</v>
      </c>
      <c r="P194" s="161">
        <v>3.4999607627717211</v>
      </c>
      <c r="Q194" s="161">
        <v>-1.9637576768519125</v>
      </c>
      <c r="R194" s="161">
        <v>-3.4416086620262973</v>
      </c>
      <c r="S194" s="161">
        <v>-3.2599118942731309</v>
      </c>
      <c r="T194" s="161">
        <v>-1.3909587680079483</v>
      </c>
      <c r="U194" s="161">
        <v>-18.539042821158688</v>
      </c>
      <c r="V194" s="161">
        <v>11.863533292104719</v>
      </c>
      <c r="W194" s="161">
        <v>5.362572560582322</v>
      </c>
      <c r="X194" s="161">
        <v>-5.8154787931788405</v>
      </c>
      <c r="Y194" s="160">
        <v>-7.3905292479108624</v>
      </c>
    </row>
    <row r="195" spans="1:25" ht="112" outlineLevel="1" x14ac:dyDescent="0.4">
      <c r="A195" s="171"/>
      <c r="B195" s="146"/>
      <c r="C195" s="170" t="s">
        <v>157</v>
      </c>
      <c r="D195" s="170"/>
      <c r="E195" s="169" t="s">
        <v>156</v>
      </c>
      <c r="F195" s="168"/>
      <c r="G195" s="167">
        <v>9.6822727675015585</v>
      </c>
      <c r="H195" s="167">
        <v>10.820624546114743</v>
      </c>
      <c r="I195" s="167">
        <v>-5.7375855540993115</v>
      </c>
      <c r="J195" s="167">
        <v>-7.1527885061022687</v>
      </c>
      <c r="K195" s="167">
        <v>9.28452579034942</v>
      </c>
      <c r="L195" s="167">
        <v>8.7621802679658884</v>
      </c>
      <c r="M195" s="167">
        <v>1.504864562189411</v>
      </c>
      <c r="N195" s="167">
        <v>-1.4067025237898321</v>
      </c>
      <c r="O195" s="167">
        <v>3.8746677857042897</v>
      </c>
      <c r="P195" s="167">
        <v>1.0234311877188134</v>
      </c>
      <c r="Q195" s="167">
        <v>1.7528659024260236</v>
      </c>
      <c r="R195" s="167">
        <v>-10.100216152485757</v>
      </c>
      <c r="S195" s="167">
        <v>2.2367941712203958</v>
      </c>
      <c r="T195" s="167">
        <v>1.8885404789053695</v>
      </c>
      <c r="U195" s="167">
        <v>-10.34482758620689</v>
      </c>
      <c r="V195" s="167">
        <v>18.552036199095028</v>
      </c>
      <c r="W195" s="167">
        <v>12.147933666754412</v>
      </c>
      <c r="X195" s="167">
        <v>-4.7529632672221567</v>
      </c>
      <c r="Y195" s="166">
        <v>-0.58464760965992468</v>
      </c>
    </row>
    <row r="196" spans="1:25" ht="28" outlineLevel="2" x14ac:dyDescent="0.4">
      <c r="A196" s="165"/>
      <c r="B196" s="164"/>
      <c r="C196" s="164"/>
      <c r="D196" s="164" t="s">
        <v>155</v>
      </c>
      <c r="E196" s="163" t="s">
        <v>154</v>
      </c>
      <c r="F196" s="162"/>
      <c r="G196" s="161">
        <v>7.328447701532312</v>
      </c>
      <c r="H196" s="161">
        <v>4.4485826608731571</v>
      </c>
      <c r="I196" s="161">
        <v>1.5649762282091899</v>
      </c>
      <c r="J196" s="161">
        <v>0.33157792081139803</v>
      </c>
      <c r="K196" s="161">
        <v>3.4214618973561528</v>
      </c>
      <c r="L196" s="161">
        <v>5.5827067669172976</v>
      </c>
      <c r="M196" s="161">
        <v>2.9731173224140974</v>
      </c>
      <c r="N196" s="161">
        <v>-3.6479944674965452</v>
      </c>
      <c r="O196" s="161">
        <v>4.8089000538309676</v>
      </c>
      <c r="P196" s="161">
        <v>1.7976373908577159</v>
      </c>
      <c r="Q196" s="161">
        <v>3.8008745375041997</v>
      </c>
      <c r="R196" s="161">
        <v>-7.534024627349325</v>
      </c>
      <c r="S196" s="161">
        <v>-1.4017872787804464</v>
      </c>
      <c r="T196" s="161">
        <v>0.78194419761862832</v>
      </c>
      <c r="U196" s="161">
        <v>-2.7155704461294334</v>
      </c>
      <c r="V196" s="161">
        <v>21.207177814029365</v>
      </c>
      <c r="W196" s="161">
        <v>9.0623598026020602</v>
      </c>
      <c r="X196" s="161">
        <v>-4.2095159742218584</v>
      </c>
      <c r="Y196" s="160">
        <v>-1.9235614085313557</v>
      </c>
    </row>
    <row r="197" spans="1:25" ht="28" outlineLevel="2" x14ac:dyDescent="0.4">
      <c r="A197" s="147"/>
      <c r="B197" s="146"/>
      <c r="C197" s="146"/>
      <c r="D197" s="146" t="s">
        <v>153</v>
      </c>
      <c r="E197" s="145" t="s">
        <v>152</v>
      </c>
      <c r="F197" s="144"/>
      <c r="G197" s="143">
        <v>10.347222222222214</v>
      </c>
      <c r="H197" s="143">
        <v>5.7898049087476267</v>
      </c>
      <c r="I197" s="143">
        <v>-5.9488399762046384</v>
      </c>
      <c r="J197" s="143">
        <v>-5.8191018342821081</v>
      </c>
      <c r="K197" s="143">
        <v>11.014103425117526</v>
      </c>
      <c r="L197" s="143">
        <v>9.7398669086509386</v>
      </c>
      <c r="M197" s="143">
        <v>-5.2921719955898539</v>
      </c>
      <c r="N197" s="143">
        <v>6.7520372526193313</v>
      </c>
      <c r="O197" s="143">
        <v>1.2540894220283576</v>
      </c>
      <c r="P197" s="143">
        <v>3.392568659127619</v>
      </c>
      <c r="Q197" s="143">
        <v>6.4062499999999858</v>
      </c>
      <c r="R197" s="143">
        <v>-5.0416054821341163</v>
      </c>
      <c r="S197" s="143">
        <v>5.2061855670103085</v>
      </c>
      <c r="T197" s="143">
        <v>3.5766780989710867</v>
      </c>
      <c r="U197" s="143">
        <v>-5.0614947965941326</v>
      </c>
      <c r="V197" s="143">
        <v>15.495764823119075</v>
      </c>
      <c r="W197" s="143">
        <v>12.942191544434849</v>
      </c>
      <c r="X197" s="143">
        <v>0.95492742551566323</v>
      </c>
      <c r="Y197" s="142">
        <v>5.5853197124479834</v>
      </c>
    </row>
    <row r="198" spans="1:25" ht="28" outlineLevel="2" x14ac:dyDescent="0.4">
      <c r="A198" s="165"/>
      <c r="B198" s="164"/>
      <c r="C198" s="164"/>
      <c r="D198" s="164" t="s">
        <v>151</v>
      </c>
      <c r="E198" s="163" t="s">
        <v>150</v>
      </c>
      <c r="F198" s="162"/>
      <c r="G198" s="161">
        <v>6.7206477732793388</v>
      </c>
      <c r="H198" s="161">
        <v>10.166919575113823</v>
      </c>
      <c r="I198" s="161">
        <v>0.91827364554637825</v>
      </c>
      <c r="J198" s="161">
        <v>-11.988171064604174</v>
      </c>
      <c r="K198" s="161">
        <v>6.4357715171879022</v>
      </c>
      <c r="L198" s="161">
        <v>4.6624575036425426</v>
      </c>
      <c r="M198" s="161">
        <v>4.6403712296978483E-2</v>
      </c>
      <c r="N198" s="161">
        <v>3.2003710575139195</v>
      </c>
      <c r="O198" s="161">
        <v>2.1797752808988804</v>
      </c>
      <c r="P198" s="161">
        <v>1.9353419837255359</v>
      </c>
      <c r="Q198" s="161">
        <v>-0.15102481121897426</v>
      </c>
      <c r="R198" s="161">
        <v>-18.042350907519449</v>
      </c>
      <c r="S198" s="161">
        <v>2.8737147376746606</v>
      </c>
      <c r="T198" s="161">
        <v>2.3577652485904537</v>
      </c>
      <c r="U198" s="161">
        <v>-10.766149223835754</v>
      </c>
      <c r="V198" s="161">
        <v>6.4814814814814952</v>
      </c>
      <c r="W198" s="161">
        <v>11.963109354413689</v>
      </c>
      <c r="X198" s="161">
        <v>5.9543421981642695</v>
      </c>
      <c r="Y198" s="160">
        <v>2.4868947134606856</v>
      </c>
    </row>
    <row r="199" spans="1:25" ht="42" outlineLevel="2" x14ac:dyDescent="0.4">
      <c r="A199" s="147"/>
      <c r="B199" s="146"/>
      <c r="C199" s="146"/>
      <c r="D199" s="146" t="s">
        <v>149</v>
      </c>
      <c r="E199" s="145" t="s">
        <v>148</v>
      </c>
      <c r="F199" s="144"/>
      <c r="G199" s="143">
        <v>16.895522388059689</v>
      </c>
      <c r="H199" s="143">
        <v>22.829417773237992</v>
      </c>
      <c r="I199" s="143">
        <v>-23.076923076923066</v>
      </c>
      <c r="J199" s="143">
        <v>-12.486486486486484</v>
      </c>
      <c r="K199" s="143">
        <v>28.597899938233468</v>
      </c>
      <c r="L199" s="143">
        <v>21.133525456292034</v>
      </c>
      <c r="M199" s="143">
        <v>6.2648691514670958</v>
      </c>
      <c r="N199" s="143">
        <v>-9.2910447761194064</v>
      </c>
      <c r="O199" s="143">
        <v>6.8284656519950602</v>
      </c>
      <c r="P199" s="143">
        <v>-3.6195610319599467</v>
      </c>
      <c r="Q199" s="143">
        <v>-3.1562125449460723</v>
      </c>
      <c r="R199" s="143">
        <v>-6.1056105610561104</v>
      </c>
      <c r="S199" s="143">
        <v>8.6994727592267083</v>
      </c>
      <c r="T199" s="143">
        <v>2.8294260307194747</v>
      </c>
      <c r="U199" s="143">
        <v>-35.65251572327044</v>
      </c>
      <c r="V199" s="143">
        <v>32.620647525962113</v>
      </c>
      <c r="W199" s="143">
        <v>25.195762321510813</v>
      </c>
      <c r="X199" s="143">
        <v>-26.490066225165563</v>
      </c>
      <c r="Y199" s="142">
        <v>-7.0350350350350368</v>
      </c>
    </row>
    <row r="200" spans="1:25" ht="28" outlineLevel="1" x14ac:dyDescent="0.4">
      <c r="A200" s="153"/>
      <c r="B200" s="164"/>
      <c r="C200" s="152" t="s">
        <v>147</v>
      </c>
      <c r="D200" s="152"/>
      <c r="E200" s="151" t="s">
        <v>146</v>
      </c>
      <c r="F200" s="150"/>
      <c r="G200" s="149">
        <v>6.8440200090950469</v>
      </c>
      <c r="H200" s="149">
        <v>6.0012768674185963</v>
      </c>
      <c r="I200" s="149">
        <v>2.7705280064244135</v>
      </c>
      <c r="J200" s="149">
        <v>-6.641922250439535</v>
      </c>
      <c r="K200" s="149">
        <v>4.3523749738439079</v>
      </c>
      <c r="L200" s="149">
        <v>2.9476639262081363</v>
      </c>
      <c r="M200" s="149">
        <v>2.434748733930661</v>
      </c>
      <c r="N200" s="149">
        <v>0.38030043734549679</v>
      </c>
      <c r="O200" s="149">
        <v>2.9551051335480167</v>
      </c>
      <c r="P200" s="149">
        <v>3.2382704691812307</v>
      </c>
      <c r="Q200" s="149">
        <v>-0.9445731598645466</v>
      </c>
      <c r="R200" s="149">
        <v>-2.3209787693414796</v>
      </c>
      <c r="S200" s="149">
        <v>2.8918769570823315</v>
      </c>
      <c r="T200" s="149">
        <v>-0.51915503043322531</v>
      </c>
      <c r="U200" s="149">
        <v>-11.535000899766061</v>
      </c>
      <c r="V200" s="149">
        <v>19.141578519121239</v>
      </c>
      <c r="W200" s="149">
        <v>9.3221785897217018</v>
      </c>
      <c r="X200" s="149">
        <v>-4.0293612369201952</v>
      </c>
      <c r="Y200" s="148">
        <v>-1.8934092758340171</v>
      </c>
    </row>
    <row r="201" spans="1:25" outlineLevel="2" x14ac:dyDescent="0.4">
      <c r="A201" s="147"/>
      <c r="B201" s="146"/>
      <c r="C201" s="146"/>
      <c r="D201" s="146" t="s">
        <v>145</v>
      </c>
      <c r="E201" s="179" t="s">
        <v>144</v>
      </c>
      <c r="F201" s="144"/>
      <c r="G201" s="143">
        <v>4.0507859733978364</v>
      </c>
      <c r="H201" s="143">
        <v>7.5537478210342783</v>
      </c>
      <c r="I201" s="143">
        <v>2.0529443544030244</v>
      </c>
      <c r="J201" s="143">
        <v>-2.011646373742721</v>
      </c>
      <c r="K201" s="143">
        <v>3.2955159373311744</v>
      </c>
      <c r="L201" s="143">
        <v>8.158995815899587</v>
      </c>
      <c r="M201" s="143">
        <v>2.2243713733075481</v>
      </c>
      <c r="N201" s="143">
        <v>2.8855250709555378</v>
      </c>
      <c r="O201" s="143">
        <v>1.3333333333333428</v>
      </c>
      <c r="P201" s="143">
        <v>4.6279491833030875</v>
      </c>
      <c r="Q201" s="143">
        <v>2.2549869904596704</v>
      </c>
      <c r="R201" s="143">
        <v>-0.42408821034774746</v>
      </c>
      <c r="S201" s="143">
        <v>0.21294718909710753</v>
      </c>
      <c r="T201" s="143">
        <v>1.9549511262218431</v>
      </c>
      <c r="U201" s="143">
        <v>-16.506877865777398</v>
      </c>
      <c r="V201" s="143">
        <v>24.862705941088365</v>
      </c>
      <c r="W201" s="143">
        <v>0.39984006397439487</v>
      </c>
      <c r="X201" s="143">
        <v>-8.5225009956192821</v>
      </c>
      <c r="Y201" s="142">
        <v>-6.7222464083587283</v>
      </c>
    </row>
    <row r="202" spans="1:25" outlineLevel="2" x14ac:dyDescent="0.4">
      <c r="A202" s="165"/>
      <c r="B202" s="164"/>
      <c r="C202" s="164"/>
      <c r="D202" s="164" t="s">
        <v>143</v>
      </c>
      <c r="E202" s="178" t="s">
        <v>142</v>
      </c>
      <c r="F202" s="162"/>
      <c r="G202" s="161">
        <v>8.8150289017341095</v>
      </c>
      <c r="H202" s="161">
        <v>4.946879150066394</v>
      </c>
      <c r="I202" s="161">
        <v>3.321733628598551</v>
      </c>
      <c r="J202" s="161">
        <v>-9.9510104102878074</v>
      </c>
      <c r="K202" s="161">
        <v>5.1343080584835121</v>
      </c>
      <c r="L202" s="161">
        <v>-0.74385510996118853</v>
      </c>
      <c r="M202" s="161">
        <v>2.5741283805799924</v>
      </c>
      <c r="N202" s="161">
        <v>-1.429479034307505</v>
      </c>
      <c r="O202" s="161">
        <v>4.1894940380277035</v>
      </c>
      <c r="P202" s="161">
        <v>2.2270337148159598</v>
      </c>
      <c r="Q202" s="161">
        <v>-3.1770045385779042</v>
      </c>
      <c r="R202" s="161">
        <v>-3.6875</v>
      </c>
      <c r="S202" s="161">
        <v>4.6722907203114801</v>
      </c>
      <c r="T202" s="161">
        <v>-2.1078735275883389</v>
      </c>
      <c r="U202" s="161">
        <v>-8.2647245091830257</v>
      </c>
      <c r="V202" s="161">
        <v>15.63686572316189</v>
      </c>
      <c r="W202" s="161">
        <v>15.492537313432834</v>
      </c>
      <c r="X202" s="161">
        <v>-1.2664771258723277</v>
      </c>
      <c r="Y202" s="160">
        <v>1.0510471204188576</v>
      </c>
    </row>
    <row r="203" spans="1:25" ht="56" x14ac:dyDescent="0.4">
      <c r="A203" s="159"/>
      <c r="B203" s="158" t="s">
        <v>141</v>
      </c>
      <c r="C203" s="158"/>
      <c r="D203" s="158"/>
      <c r="E203" s="157" t="s">
        <v>140</v>
      </c>
      <c r="F203" s="156"/>
      <c r="G203" s="155">
        <v>5.3197752207653224</v>
      </c>
      <c r="H203" s="155">
        <v>4.227857106560279</v>
      </c>
      <c r="I203" s="155">
        <v>0.52654673102236416</v>
      </c>
      <c r="J203" s="155">
        <v>2.3958484892574887</v>
      </c>
      <c r="K203" s="155">
        <v>3.8933358594231038</v>
      </c>
      <c r="L203" s="155">
        <v>3.0681559152040165</v>
      </c>
      <c r="M203" s="155">
        <v>2.1496815286624127</v>
      </c>
      <c r="N203" s="155">
        <v>3.7065904563956025</v>
      </c>
      <c r="O203" s="155">
        <v>3.4363256784968712</v>
      </c>
      <c r="P203" s="155">
        <v>-0.70237758850360876</v>
      </c>
      <c r="Q203" s="155">
        <v>-8.1304118053679986E-3</v>
      </c>
      <c r="R203" s="155">
        <v>2.8865308777493226</v>
      </c>
      <c r="S203" s="155">
        <v>2.5487019401746522</v>
      </c>
      <c r="T203" s="155">
        <v>2.5200369913686842</v>
      </c>
      <c r="U203" s="155">
        <v>-3.8299631662031146</v>
      </c>
      <c r="V203" s="155">
        <v>5.8310860984093438</v>
      </c>
      <c r="W203" s="155">
        <v>4.6087373979836883</v>
      </c>
      <c r="X203" s="155">
        <v>2.2275567479789657</v>
      </c>
      <c r="Y203" s="154">
        <v>1.852786794668134</v>
      </c>
    </row>
    <row r="204" spans="1:25" outlineLevel="1" x14ac:dyDescent="0.4">
      <c r="A204" s="153"/>
      <c r="B204" s="152"/>
      <c r="C204" s="152" t="s">
        <v>139</v>
      </c>
      <c r="D204" s="152"/>
      <c r="E204" s="151" t="s">
        <v>138</v>
      </c>
      <c r="F204" s="150"/>
      <c r="G204" s="149">
        <v>4.4048660252842495</v>
      </c>
      <c r="H204" s="149">
        <v>4.7901911507120616</v>
      </c>
      <c r="I204" s="149">
        <v>-0.13081395348837077</v>
      </c>
      <c r="J204" s="149">
        <v>3.3619560471547061</v>
      </c>
      <c r="K204" s="149">
        <v>4.8155449169248215</v>
      </c>
      <c r="L204" s="149">
        <v>3.3449758194519035</v>
      </c>
      <c r="M204" s="149">
        <v>2.352788249057582</v>
      </c>
      <c r="N204" s="149">
        <v>4.0386080772161392</v>
      </c>
      <c r="O204" s="149">
        <v>3.948974609375</v>
      </c>
      <c r="P204" s="149">
        <v>-1.109741060419239</v>
      </c>
      <c r="Q204" s="149">
        <v>0.87875549222182769</v>
      </c>
      <c r="R204" s="149">
        <v>3.1135962330782689</v>
      </c>
      <c r="S204" s="149">
        <v>2.7684228551857899</v>
      </c>
      <c r="T204" s="149">
        <v>3.0271050877582724</v>
      </c>
      <c r="U204" s="149">
        <v>-1.4124750660412957</v>
      </c>
      <c r="V204" s="149">
        <v>6.5893804341882145</v>
      </c>
      <c r="W204" s="149">
        <v>4.4633695875230899</v>
      </c>
      <c r="X204" s="149">
        <v>3.1873096945290342</v>
      </c>
      <c r="Y204" s="148">
        <v>2.572652420160864</v>
      </c>
    </row>
    <row r="205" spans="1:25" ht="28" outlineLevel="2" x14ac:dyDescent="0.4">
      <c r="A205" s="147"/>
      <c r="B205" s="146"/>
      <c r="C205" s="146"/>
      <c r="D205" s="146" t="s">
        <v>137</v>
      </c>
      <c r="E205" s="145" t="s">
        <v>136</v>
      </c>
      <c r="F205" s="144"/>
      <c r="G205" s="143">
        <v>4.2777319776495375</v>
      </c>
      <c r="H205" s="143">
        <v>3.7508784258608614</v>
      </c>
      <c r="I205" s="143">
        <v>1.4986029972059924</v>
      </c>
      <c r="J205" s="143">
        <v>1.3680347013680318</v>
      </c>
      <c r="K205" s="143">
        <v>4.5506912442396299</v>
      </c>
      <c r="L205" s="143">
        <v>2.6839826839826912</v>
      </c>
      <c r="M205" s="143">
        <v>1.9546221063927618</v>
      </c>
      <c r="N205" s="143">
        <v>3.4358318923389106</v>
      </c>
      <c r="O205" s="143">
        <v>3.2635557493821779</v>
      </c>
      <c r="P205" s="143">
        <v>-1.3373689026536226</v>
      </c>
      <c r="Q205" s="143">
        <v>0.87750588571020671</v>
      </c>
      <c r="R205" s="143">
        <v>3.5007072135784938</v>
      </c>
      <c r="S205" s="143">
        <v>2.9381619405534707</v>
      </c>
      <c r="T205" s="143">
        <v>2.973780285429811</v>
      </c>
      <c r="U205" s="143">
        <v>-0.45768065493456334</v>
      </c>
      <c r="V205" s="143">
        <v>5.5238958684108184</v>
      </c>
      <c r="W205" s="143">
        <v>3.8969008898435078</v>
      </c>
      <c r="X205" s="143">
        <v>4.5481393975191935</v>
      </c>
      <c r="Y205" s="142">
        <v>2.8761016949152634</v>
      </c>
    </row>
    <row r="206" spans="1:25" ht="28" outlineLevel="2" x14ac:dyDescent="0.4">
      <c r="A206" s="165"/>
      <c r="B206" s="164"/>
      <c r="C206" s="164"/>
      <c r="D206" s="164" t="s">
        <v>135</v>
      </c>
      <c r="E206" s="163" t="s">
        <v>134</v>
      </c>
      <c r="F206" s="162"/>
      <c r="G206" s="161">
        <v>5.1601423487544338</v>
      </c>
      <c r="H206" s="161">
        <v>9.9266779469825224</v>
      </c>
      <c r="I206" s="161">
        <v>-7.2857875833760914</v>
      </c>
      <c r="J206" s="161">
        <v>11.400110680686225</v>
      </c>
      <c r="K206" s="161">
        <v>6.5573770491803316</v>
      </c>
      <c r="L206" s="161">
        <v>7.6456876456876444</v>
      </c>
      <c r="M206" s="161">
        <v>4.8938934603724533</v>
      </c>
      <c r="N206" s="161">
        <v>7.6796036333608697</v>
      </c>
      <c r="O206" s="161">
        <v>7.9754601226993884</v>
      </c>
      <c r="P206" s="161">
        <v>0.31960227272726627</v>
      </c>
      <c r="Q206" s="161">
        <v>0.88495575221239164</v>
      </c>
      <c r="R206" s="161">
        <v>1.3333333333333428</v>
      </c>
      <c r="S206" s="161">
        <v>2.0083102493074705</v>
      </c>
      <c r="T206" s="161">
        <v>3.2586558044806537</v>
      </c>
      <c r="U206" s="161">
        <v>-5.7856673241288661</v>
      </c>
      <c r="V206" s="161">
        <v>11.444521981856241</v>
      </c>
      <c r="W206" s="161">
        <v>7.0757670632435747</v>
      </c>
      <c r="X206" s="161">
        <v>-3.5087719298245617</v>
      </c>
      <c r="Y206" s="160">
        <v>0.81212121212121247</v>
      </c>
    </row>
    <row r="207" spans="1:25" ht="42" outlineLevel="1" x14ac:dyDescent="0.4">
      <c r="A207" s="171"/>
      <c r="B207" s="170"/>
      <c r="C207" s="170" t="s">
        <v>133</v>
      </c>
      <c r="D207" s="170"/>
      <c r="E207" s="169" t="s">
        <v>132</v>
      </c>
      <c r="F207" s="168"/>
      <c r="G207" s="167">
        <v>6.7662998850385918</v>
      </c>
      <c r="H207" s="167">
        <v>3.322565759113985</v>
      </c>
      <c r="I207" s="167">
        <v>1.6227482507071613</v>
      </c>
      <c r="J207" s="167">
        <v>0.68854380310577312</v>
      </c>
      <c r="K207" s="167">
        <v>2.2843008875309039</v>
      </c>
      <c r="L207" s="167">
        <v>2.5604551920341407</v>
      </c>
      <c r="M207" s="167">
        <v>1.7753120665742017</v>
      </c>
      <c r="N207" s="167">
        <v>3.0662305805396528</v>
      </c>
      <c r="O207" s="167">
        <v>2.3932301996562302</v>
      </c>
      <c r="P207" s="167">
        <v>0.16787190082645509</v>
      </c>
      <c r="Q207" s="167">
        <v>-1.9337372695629682</v>
      </c>
      <c r="R207" s="167">
        <v>2.3268042592349047</v>
      </c>
      <c r="S207" s="167">
        <v>2.0554984583761637</v>
      </c>
      <c r="T207" s="167">
        <v>1.3721047331319198</v>
      </c>
      <c r="U207" s="167">
        <v>-9.3629703216192723</v>
      </c>
      <c r="V207" s="167">
        <v>3.8909439649267057</v>
      </c>
      <c r="W207" s="167">
        <v>4.9584597125148235</v>
      </c>
      <c r="X207" s="167">
        <v>-0.28898102776730639</v>
      </c>
      <c r="Y207" s="166">
        <v>-0.36076108870967971</v>
      </c>
    </row>
    <row r="208" spans="1:25" outlineLevel="2" x14ac:dyDescent="0.4">
      <c r="A208" s="165"/>
      <c r="B208" s="164"/>
      <c r="C208" s="164"/>
      <c r="D208" s="164" t="s">
        <v>131</v>
      </c>
      <c r="E208" s="163" t="s">
        <v>130</v>
      </c>
      <c r="F208" s="162"/>
      <c r="G208" s="161">
        <v>1.3789581205311521</v>
      </c>
      <c r="H208" s="161">
        <v>1.3602015113350063</v>
      </c>
      <c r="I208" s="161">
        <v>0.94433399602384327</v>
      </c>
      <c r="J208" s="161">
        <v>1.280157557853272</v>
      </c>
      <c r="K208" s="161">
        <v>0.7778317938745829</v>
      </c>
      <c r="L208" s="161">
        <v>2.6531596719729862</v>
      </c>
      <c r="M208" s="161">
        <v>4.2293233082706791</v>
      </c>
      <c r="N208" s="161">
        <v>4.1929666366095546</v>
      </c>
      <c r="O208" s="161">
        <v>2.3799221116399707</v>
      </c>
      <c r="P208" s="161">
        <v>0.42265426880811674</v>
      </c>
      <c r="Q208" s="161">
        <v>-1.1363636363636402</v>
      </c>
      <c r="R208" s="161">
        <v>0.89399744572158113</v>
      </c>
      <c r="S208" s="161">
        <v>2.5316455696202382</v>
      </c>
      <c r="T208" s="161">
        <v>3.8271604938271651</v>
      </c>
      <c r="U208" s="161">
        <v>-6.5398335315101122</v>
      </c>
      <c r="V208" s="161">
        <v>-1.4418999151823471</v>
      </c>
      <c r="W208" s="161">
        <v>1.8932874354561164</v>
      </c>
      <c r="X208" s="161">
        <v>2.2381756756756772</v>
      </c>
      <c r="Y208" s="160">
        <v>-1.0797191243287756</v>
      </c>
    </row>
    <row r="209" spans="1:25" ht="42" outlineLevel="2" x14ac:dyDescent="0.4">
      <c r="A209" s="147"/>
      <c r="B209" s="146"/>
      <c r="C209" s="146"/>
      <c r="D209" s="146" t="s">
        <v>129</v>
      </c>
      <c r="E209" s="145" t="s">
        <v>128</v>
      </c>
      <c r="F209" s="144"/>
      <c r="G209" s="143">
        <v>11.372299872935201</v>
      </c>
      <c r="H209" s="143">
        <v>4.3069024529378055</v>
      </c>
      <c r="I209" s="143">
        <v>2.0235165436149884</v>
      </c>
      <c r="J209" s="143">
        <v>0.16081479496112649</v>
      </c>
      <c r="K209" s="143">
        <v>2.4351083757024412</v>
      </c>
      <c r="L209" s="143">
        <v>2.4817136886102276</v>
      </c>
      <c r="M209" s="143">
        <v>0.33137904664796736</v>
      </c>
      <c r="N209" s="143">
        <v>2.4136178861788693</v>
      </c>
      <c r="O209" s="143">
        <v>2.1086579012652038</v>
      </c>
      <c r="P209" s="143">
        <v>-1.1661807580174894</v>
      </c>
      <c r="Q209" s="143">
        <v>-2.4336283185840699</v>
      </c>
      <c r="R209" s="143">
        <v>0.57949105568152959</v>
      </c>
      <c r="S209" s="143">
        <v>1.6282565130260451</v>
      </c>
      <c r="T209" s="143">
        <v>2.316982992358902</v>
      </c>
      <c r="U209" s="143">
        <v>-5.9985545651650085</v>
      </c>
      <c r="V209" s="143">
        <v>-2.8446950281906709</v>
      </c>
      <c r="W209" s="143">
        <v>5.1701398048008542</v>
      </c>
      <c r="X209" s="143">
        <v>6.0446450965638405</v>
      </c>
      <c r="Y209" s="142">
        <v>-1.0910596026490111</v>
      </c>
    </row>
    <row r="210" spans="1:25" outlineLevel="2" x14ac:dyDescent="0.4">
      <c r="A210" s="165"/>
      <c r="B210" s="164"/>
      <c r="C210" s="164"/>
      <c r="D210" s="164" t="s">
        <v>127</v>
      </c>
      <c r="E210" s="163" t="s">
        <v>126</v>
      </c>
      <c r="F210" s="162"/>
      <c r="G210" s="161">
        <v>4.3165467625899225</v>
      </c>
      <c r="H210" s="161">
        <v>3.7438423645320285</v>
      </c>
      <c r="I210" s="161">
        <v>1.5194681861348442</v>
      </c>
      <c r="J210" s="161">
        <v>1.2160898035547234</v>
      </c>
      <c r="K210" s="161">
        <v>4.5286506469500978</v>
      </c>
      <c r="L210" s="161">
        <v>2.7409372236958376</v>
      </c>
      <c r="M210" s="161">
        <v>1.9793459552495847</v>
      </c>
      <c r="N210" s="161">
        <v>3.0379746835442916</v>
      </c>
      <c r="O210" s="161">
        <v>3.27600327600328</v>
      </c>
      <c r="P210" s="161">
        <v>4.1237113402061993</v>
      </c>
      <c r="Q210" s="161">
        <v>-1.8278750952018186</v>
      </c>
      <c r="R210" s="161">
        <v>10.628394103956552</v>
      </c>
      <c r="S210" s="161">
        <v>2.5245441795231471</v>
      </c>
      <c r="T210" s="161">
        <v>-6.566347469220247</v>
      </c>
      <c r="U210" s="161">
        <v>-28.477306002928259</v>
      </c>
      <c r="V210" s="161">
        <v>40.32753326509723</v>
      </c>
      <c r="W210" s="161">
        <v>8.1692195477753415</v>
      </c>
      <c r="X210" s="161">
        <v>-15.239379635873235</v>
      </c>
      <c r="Y210" s="160">
        <v>2.961018297533812</v>
      </c>
    </row>
    <row r="211" spans="1:25" x14ac:dyDescent="0.4">
      <c r="A211" s="159"/>
      <c r="B211" s="158" t="s">
        <v>125</v>
      </c>
      <c r="C211" s="158"/>
      <c r="D211" s="158"/>
      <c r="E211" s="157" t="s">
        <v>124</v>
      </c>
      <c r="F211" s="156"/>
      <c r="G211" s="155">
        <v>12.141035963499732</v>
      </c>
      <c r="H211" s="155">
        <v>6.9404972028599587</v>
      </c>
      <c r="I211" s="155">
        <v>9.9085237922063527</v>
      </c>
      <c r="J211" s="155">
        <v>2.6139631958054395</v>
      </c>
      <c r="K211" s="155">
        <v>-0.66474848695307287</v>
      </c>
      <c r="L211" s="155">
        <v>6.2125449460647104</v>
      </c>
      <c r="M211" s="155">
        <v>5.9126387060372423</v>
      </c>
      <c r="N211" s="155">
        <v>11.276109298350761</v>
      </c>
      <c r="O211" s="155">
        <v>8.9186331810656014</v>
      </c>
      <c r="P211" s="155">
        <v>6.3001355261712177</v>
      </c>
      <c r="Q211" s="155">
        <v>3.5887805382309352</v>
      </c>
      <c r="R211" s="155">
        <v>-2.0257796257796201</v>
      </c>
      <c r="S211" s="155">
        <v>-1.274890929770649</v>
      </c>
      <c r="T211" s="155">
        <v>-3.8912579957356144</v>
      </c>
      <c r="U211" s="155">
        <v>-29.581521836365908</v>
      </c>
      <c r="V211" s="155">
        <v>4.2684011280774428</v>
      </c>
      <c r="W211" s="155">
        <v>6.6424620482955277</v>
      </c>
      <c r="X211" s="155">
        <v>-3.144064892037008</v>
      </c>
      <c r="Y211" s="154">
        <v>1.9011064191181646</v>
      </c>
    </row>
    <row r="212" spans="1:25" outlineLevel="1" x14ac:dyDescent="0.4">
      <c r="A212" s="153"/>
      <c r="B212" s="152"/>
      <c r="C212" s="152" t="s">
        <v>123</v>
      </c>
      <c r="D212" s="152"/>
      <c r="E212" s="151" t="s">
        <v>121</v>
      </c>
      <c r="F212" s="150"/>
      <c r="G212" s="149">
        <v>12.10948614351561</v>
      </c>
      <c r="H212" s="149">
        <v>3.5988020912644032</v>
      </c>
      <c r="I212" s="149">
        <v>12.337089661930435</v>
      </c>
      <c r="J212" s="149">
        <v>-2.6343335659455676</v>
      </c>
      <c r="K212" s="149">
        <v>-1.2945708654363131</v>
      </c>
      <c r="L212" s="149">
        <v>3.0678466076696083</v>
      </c>
      <c r="M212" s="149">
        <v>5.8738056448416955</v>
      </c>
      <c r="N212" s="149">
        <v>9.977126221667703</v>
      </c>
      <c r="O212" s="149">
        <v>6.9959158977461726</v>
      </c>
      <c r="P212" s="149">
        <v>6.4218562239344124</v>
      </c>
      <c r="Q212" s="149">
        <v>5.9612766098767906</v>
      </c>
      <c r="R212" s="149">
        <v>-5.1589042813263859</v>
      </c>
      <c r="S212" s="149">
        <v>-0.3106411103767357</v>
      </c>
      <c r="T212" s="149">
        <v>-13.627925479016113</v>
      </c>
      <c r="U212" s="149">
        <v>-30.140088274803304</v>
      </c>
      <c r="V212" s="149">
        <v>10.5427974947808</v>
      </c>
      <c r="W212" s="149">
        <v>11.962626112022264</v>
      </c>
      <c r="X212" s="149">
        <v>0.31516335227273373</v>
      </c>
      <c r="Y212" s="148">
        <v>-2.4606841010664198</v>
      </c>
    </row>
    <row r="213" spans="1:25" outlineLevel="2" x14ac:dyDescent="0.4">
      <c r="A213" s="147"/>
      <c r="B213" s="146"/>
      <c r="C213" s="146"/>
      <c r="D213" s="146" t="s">
        <v>122</v>
      </c>
      <c r="E213" s="145" t="s">
        <v>121</v>
      </c>
      <c r="F213" s="144"/>
      <c r="G213" s="143">
        <v>12.10948614351561</v>
      </c>
      <c r="H213" s="143">
        <v>3.5988020912644032</v>
      </c>
      <c r="I213" s="143">
        <v>12.337089661930435</v>
      </c>
      <c r="J213" s="143">
        <v>-2.6343335659455676</v>
      </c>
      <c r="K213" s="143">
        <v>-1.2945708654363131</v>
      </c>
      <c r="L213" s="143">
        <v>3.0678466076696083</v>
      </c>
      <c r="M213" s="143">
        <v>5.8738056448416955</v>
      </c>
      <c r="N213" s="143">
        <v>9.977126221667703</v>
      </c>
      <c r="O213" s="143">
        <v>6.9959158977461726</v>
      </c>
      <c r="P213" s="143">
        <v>6.4218562239344124</v>
      </c>
      <c r="Q213" s="143">
        <v>5.9612766098767906</v>
      </c>
      <c r="R213" s="143">
        <v>-5.1589042813263859</v>
      </c>
      <c r="S213" s="143">
        <v>-0.3106411103767357</v>
      </c>
      <c r="T213" s="143">
        <v>-13.627925479016113</v>
      </c>
      <c r="U213" s="143">
        <v>-30.140088274803304</v>
      </c>
      <c r="V213" s="143">
        <v>10.5427974947808</v>
      </c>
      <c r="W213" s="143">
        <v>11.962626112022264</v>
      </c>
      <c r="X213" s="143">
        <v>0.31516335227273373</v>
      </c>
      <c r="Y213" s="142">
        <v>-2.4606841010664198</v>
      </c>
    </row>
    <row r="214" spans="1:25" ht="28" outlineLevel="1" x14ac:dyDescent="0.4">
      <c r="A214" s="153"/>
      <c r="B214" s="152"/>
      <c r="C214" s="152" t="s">
        <v>120</v>
      </c>
      <c r="D214" s="152"/>
      <c r="E214" s="151" t="s">
        <v>118</v>
      </c>
      <c r="F214" s="150"/>
      <c r="G214" s="149">
        <v>12.200919030264615</v>
      </c>
      <c r="H214" s="149">
        <v>15.788730405309991</v>
      </c>
      <c r="I214" s="149">
        <v>4.2444200512257595</v>
      </c>
      <c r="J214" s="149">
        <v>13.98151398151397</v>
      </c>
      <c r="K214" s="149">
        <v>9.2383494149032686E-2</v>
      </c>
      <c r="L214" s="149">
        <v>12.839708747820737</v>
      </c>
      <c r="M214" s="149">
        <v>5.9892756520948893</v>
      </c>
      <c r="N214" s="149">
        <v>12.990910649974282</v>
      </c>
      <c r="O214" s="149">
        <v>13.182059649389075</v>
      </c>
      <c r="P214" s="149">
        <v>6.6514684189352238</v>
      </c>
      <c r="Q214" s="149">
        <v>-2.6027913994718972</v>
      </c>
      <c r="R214" s="149">
        <v>6.5388587658146093</v>
      </c>
      <c r="S214" s="149">
        <v>-2.4174492578006692</v>
      </c>
      <c r="T214" s="149">
        <v>13.311809263628476</v>
      </c>
      <c r="U214" s="149">
        <v>-27.178082191780817</v>
      </c>
      <c r="V214" s="149">
        <v>-7.3137697516930018</v>
      </c>
      <c r="W214" s="149">
        <v>-4.2620555284948836</v>
      </c>
      <c r="X214" s="149">
        <v>-12.558297295005517</v>
      </c>
      <c r="Y214" s="148">
        <v>11.673293250581835</v>
      </c>
    </row>
    <row r="215" spans="1:25" ht="28" outlineLevel="2" x14ac:dyDescent="0.4">
      <c r="A215" s="147"/>
      <c r="B215" s="146"/>
      <c r="C215" s="146"/>
      <c r="D215" s="146" t="s">
        <v>119</v>
      </c>
      <c r="E215" s="145" t="s">
        <v>118</v>
      </c>
      <c r="F215" s="144"/>
      <c r="G215" s="143">
        <v>12.200919030264615</v>
      </c>
      <c r="H215" s="143">
        <v>15.788730405309991</v>
      </c>
      <c r="I215" s="143">
        <v>4.2444200512257595</v>
      </c>
      <c r="J215" s="143">
        <v>13.98151398151397</v>
      </c>
      <c r="K215" s="143">
        <v>9.2383494149032686E-2</v>
      </c>
      <c r="L215" s="143">
        <v>12.839708747820737</v>
      </c>
      <c r="M215" s="143">
        <v>5.9892756520948893</v>
      </c>
      <c r="N215" s="143">
        <v>12.990910649974282</v>
      </c>
      <c r="O215" s="143">
        <v>13.182059649389075</v>
      </c>
      <c r="P215" s="143">
        <v>6.6514684189352238</v>
      </c>
      <c r="Q215" s="143">
        <v>-2.6027913994718972</v>
      </c>
      <c r="R215" s="143">
        <v>6.5388587658146093</v>
      </c>
      <c r="S215" s="143">
        <v>-2.4174492578006692</v>
      </c>
      <c r="T215" s="143">
        <v>13.311809263628476</v>
      </c>
      <c r="U215" s="143">
        <v>-27.178082191780817</v>
      </c>
      <c r="V215" s="143">
        <v>-7.3137697516930018</v>
      </c>
      <c r="W215" s="143">
        <v>-4.2620555284948836</v>
      </c>
      <c r="X215" s="143">
        <v>-12.558297295005517</v>
      </c>
      <c r="Y215" s="142">
        <v>11.673293250581835</v>
      </c>
    </row>
    <row r="216" spans="1:25" ht="42" outlineLevel="1" x14ac:dyDescent="0.4">
      <c r="A216" s="153"/>
      <c r="B216" s="152"/>
      <c r="C216" s="152" t="s">
        <v>117</v>
      </c>
      <c r="D216" s="152"/>
      <c r="E216" s="151" t="s">
        <v>115</v>
      </c>
      <c r="F216" s="150"/>
      <c r="G216" s="149">
        <v>12.135704677925574</v>
      </c>
      <c r="H216" s="149">
        <v>1.5860322537651683</v>
      </c>
      <c r="I216" s="149">
        <v>13.29047494096038</v>
      </c>
      <c r="J216" s="149">
        <v>-0.81065431383903785</v>
      </c>
      <c r="K216" s="149">
        <v>-0.26853473438411868</v>
      </c>
      <c r="L216" s="149">
        <v>4.0622804963708745</v>
      </c>
      <c r="M216" s="149">
        <v>5.894926313421081</v>
      </c>
      <c r="N216" s="149">
        <v>12.100286837352598</v>
      </c>
      <c r="O216" s="149">
        <v>7.9890068233510192</v>
      </c>
      <c r="P216" s="149">
        <v>5.5287406757349657</v>
      </c>
      <c r="Q216" s="149">
        <v>5.8378378378378386</v>
      </c>
      <c r="R216" s="149">
        <v>-3.975799481417468</v>
      </c>
      <c r="S216" s="149">
        <v>-1.9801980198019749</v>
      </c>
      <c r="T216" s="149">
        <v>-2.571166207529842</v>
      </c>
      <c r="U216" s="149">
        <v>-31.642532773541248</v>
      </c>
      <c r="V216" s="149">
        <v>8.3228879418400652</v>
      </c>
      <c r="W216" s="149">
        <v>9.6736866466095961</v>
      </c>
      <c r="X216" s="149">
        <v>0.47478370964337557</v>
      </c>
      <c r="Y216" s="148">
        <v>1.5053029507508171</v>
      </c>
    </row>
    <row r="217" spans="1:25" ht="42" outlineLevel="2" x14ac:dyDescent="0.4">
      <c r="A217" s="147"/>
      <c r="B217" s="146"/>
      <c r="C217" s="146"/>
      <c r="D217" s="146" t="s">
        <v>116</v>
      </c>
      <c r="E217" s="145" t="s">
        <v>115</v>
      </c>
      <c r="F217" s="144"/>
      <c r="G217" s="143">
        <v>12.135704677925574</v>
      </c>
      <c r="H217" s="143">
        <v>1.5860322537651683</v>
      </c>
      <c r="I217" s="143">
        <v>13.29047494096038</v>
      </c>
      <c r="J217" s="143">
        <v>-0.81065431383903785</v>
      </c>
      <c r="K217" s="143">
        <v>-0.26853473438411868</v>
      </c>
      <c r="L217" s="143">
        <v>4.0622804963708745</v>
      </c>
      <c r="M217" s="143">
        <v>5.894926313421081</v>
      </c>
      <c r="N217" s="143">
        <v>12.100286837352598</v>
      </c>
      <c r="O217" s="143">
        <v>7.9890068233510192</v>
      </c>
      <c r="P217" s="143">
        <v>5.5287406757349657</v>
      </c>
      <c r="Q217" s="143">
        <v>5.8378378378378386</v>
      </c>
      <c r="R217" s="143">
        <v>-3.975799481417468</v>
      </c>
      <c r="S217" s="143">
        <v>-1.9801980198019749</v>
      </c>
      <c r="T217" s="143">
        <v>-2.571166207529842</v>
      </c>
      <c r="U217" s="143">
        <v>-31.642532773541248</v>
      </c>
      <c r="V217" s="143">
        <v>8.3228879418400652</v>
      </c>
      <c r="W217" s="143">
        <v>9.6736866466095961</v>
      </c>
      <c r="X217" s="143">
        <v>0.47478370964337557</v>
      </c>
      <c r="Y217" s="142">
        <v>1.5053029507508171</v>
      </c>
    </row>
    <row r="218" spans="1:25" ht="42" x14ac:dyDescent="0.4">
      <c r="A218" s="177"/>
      <c r="B218" s="176" t="s">
        <v>114</v>
      </c>
      <c r="C218" s="176"/>
      <c r="D218" s="176"/>
      <c r="E218" s="175" t="s">
        <v>113</v>
      </c>
      <c r="F218" s="174"/>
      <c r="G218" s="173">
        <v>7.6076650239385657</v>
      </c>
      <c r="H218" s="173">
        <v>8.0684463590279023</v>
      </c>
      <c r="I218" s="173">
        <v>3.0228601914578803</v>
      </c>
      <c r="J218" s="173">
        <v>-0.15730951869149123</v>
      </c>
      <c r="K218" s="173">
        <v>5.3452072221950431</v>
      </c>
      <c r="L218" s="173">
        <v>6.8891840924503214</v>
      </c>
      <c r="M218" s="173">
        <v>3.8153011828302681</v>
      </c>
      <c r="N218" s="173">
        <v>4.7684026353461206</v>
      </c>
      <c r="O218" s="173">
        <v>4.7255671239882133</v>
      </c>
      <c r="P218" s="173">
        <v>3.3312223892326642</v>
      </c>
      <c r="Q218" s="173">
        <v>2.6855400246623731</v>
      </c>
      <c r="R218" s="173">
        <v>1.8595487034933029</v>
      </c>
      <c r="S218" s="173">
        <v>2.6727472961906642</v>
      </c>
      <c r="T218" s="173">
        <v>3.7486764119418581</v>
      </c>
      <c r="U218" s="173">
        <v>-13.688779905891707</v>
      </c>
      <c r="V218" s="173">
        <v>20.409260183514405</v>
      </c>
      <c r="W218" s="173">
        <v>11.884067212957945</v>
      </c>
      <c r="X218" s="173">
        <v>-3.6323531926292816</v>
      </c>
      <c r="Y218" s="172">
        <v>1.3877796046794799</v>
      </c>
    </row>
    <row r="219" spans="1:25" ht="28" outlineLevel="1" x14ac:dyDescent="0.4">
      <c r="A219" s="171"/>
      <c r="B219" s="170"/>
      <c r="C219" s="170" t="s">
        <v>112</v>
      </c>
      <c r="D219" s="170"/>
      <c r="E219" s="169" t="s">
        <v>111</v>
      </c>
      <c r="F219" s="168"/>
      <c r="G219" s="167">
        <v>8.0047202281443504</v>
      </c>
      <c r="H219" s="167">
        <v>8.515432941819185</v>
      </c>
      <c r="I219" s="167">
        <v>2.8821345415644117</v>
      </c>
      <c r="J219" s="167">
        <v>-0.90117642261505182</v>
      </c>
      <c r="K219" s="167">
        <v>5.2792922538833551</v>
      </c>
      <c r="L219" s="167">
        <v>8.0025795860936881</v>
      </c>
      <c r="M219" s="167">
        <v>3.9282741649476947</v>
      </c>
      <c r="N219" s="167">
        <v>4.6886153524731355</v>
      </c>
      <c r="O219" s="167">
        <v>4.9792117079660727</v>
      </c>
      <c r="P219" s="167">
        <v>2.7596476775869689</v>
      </c>
      <c r="Q219" s="167">
        <v>3.6166867079826091</v>
      </c>
      <c r="R219" s="167">
        <v>1.6053680890317139</v>
      </c>
      <c r="S219" s="167">
        <v>2.7968546367749667</v>
      </c>
      <c r="T219" s="167">
        <v>4.0384040113388835</v>
      </c>
      <c r="U219" s="167">
        <v>-3.6995454296511241</v>
      </c>
      <c r="V219" s="167">
        <v>15.44914266215487</v>
      </c>
      <c r="W219" s="167">
        <v>6.7758620689655231</v>
      </c>
      <c r="X219" s="167">
        <v>-5.0102650457890263</v>
      </c>
      <c r="Y219" s="166">
        <v>3.1282449792369817</v>
      </c>
    </row>
    <row r="220" spans="1:25" ht="56" outlineLevel="2" x14ac:dyDescent="0.4">
      <c r="A220" s="165"/>
      <c r="B220" s="164"/>
      <c r="C220" s="164"/>
      <c r="D220" s="164" t="s">
        <v>110</v>
      </c>
      <c r="E220" s="163" t="s">
        <v>109</v>
      </c>
      <c r="F220" s="162"/>
      <c r="G220" s="161">
        <v>8.2119598994784724</v>
      </c>
      <c r="H220" s="161">
        <v>8.8098686510512891</v>
      </c>
      <c r="I220" s="161">
        <v>2.9535961812089795</v>
      </c>
      <c r="J220" s="161">
        <v>-1.2416129823231756</v>
      </c>
      <c r="K220" s="161">
        <v>5.3539183820873859</v>
      </c>
      <c r="L220" s="161">
        <v>8.4947296255034672</v>
      </c>
      <c r="M220" s="161">
        <v>3.886179182875523</v>
      </c>
      <c r="N220" s="161">
        <v>4.5904693113345587</v>
      </c>
      <c r="O220" s="161">
        <v>4.8560628089560964</v>
      </c>
      <c r="P220" s="161">
        <v>2.9516777592900638</v>
      </c>
      <c r="Q220" s="161">
        <v>3.7677401976464324</v>
      </c>
      <c r="R220" s="161">
        <v>1.5931988902769376</v>
      </c>
      <c r="S220" s="161">
        <v>2.9559718296363542</v>
      </c>
      <c r="T220" s="161">
        <v>4.1197456181169372</v>
      </c>
      <c r="U220" s="161">
        <v>-2.7664392336799466</v>
      </c>
      <c r="V220" s="161">
        <v>15.442246702109742</v>
      </c>
      <c r="W220" s="161">
        <v>6.4819238732282116</v>
      </c>
      <c r="X220" s="161">
        <v>-5.3582111875560798</v>
      </c>
      <c r="Y220" s="160">
        <v>3.3756864604322203</v>
      </c>
    </row>
    <row r="221" spans="1:25" ht="28" outlineLevel="2" x14ac:dyDescent="0.4">
      <c r="A221" s="147"/>
      <c r="B221" s="146"/>
      <c r="C221" s="146"/>
      <c r="D221" s="146" t="s">
        <v>108</v>
      </c>
      <c r="E221" s="145" t="s">
        <v>107</v>
      </c>
      <c r="F221" s="144"/>
      <c r="G221" s="143">
        <v>5.5374592833876193</v>
      </c>
      <c r="H221" s="143">
        <v>4.9639917695473201</v>
      </c>
      <c r="I221" s="143">
        <v>2.0093114432737025</v>
      </c>
      <c r="J221" s="143">
        <v>3.2428537112659086</v>
      </c>
      <c r="K221" s="143">
        <v>4.4671940437412729</v>
      </c>
      <c r="L221" s="143">
        <v>3.0289532293986667</v>
      </c>
      <c r="M221" s="143">
        <v>4.388240380458285</v>
      </c>
      <c r="N221" s="143">
        <v>5.6740525988817581</v>
      </c>
      <c r="O221" s="143">
        <v>6.2120321379580616</v>
      </c>
      <c r="P221" s="143">
        <v>0.8671586715867079</v>
      </c>
      <c r="Q221" s="143">
        <v>1.9754892994329651</v>
      </c>
      <c r="R221" s="143">
        <v>1.7578475336322867</v>
      </c>
      <c r="S221" s="143">
        <v>1.0047593865679403</v>
      </c>
      <c r="T221" s="143">
        <v>3.1413612565444993</v>
      </c>
      <c r="U221" s="143">
        <v>-14.703891708967859</v>
      </c>
      <c r="V221" s="143">
        <v>15.532632414203533</v>
      </c>
      <c r="W221" s="143">
        <v>10.971840659340671</v>
      </c>
      <c r="X221" s="143">
        <v>0.10830883490639565</v>
      </c>
      <c r="Y221" s="142">
        <v>-0.3534775888717121</v>
      </c>
    </row>
    <row r="222" spans="1:25" outlineLevel="1" x14ac:dyDescent="0.4">
      <c r="A222" s="153"/>
      <c r="B222" s="152"/>
      <c r="C222" s="152" t="s">
        <v>106</v>
      </c>
      <c r="D222" s="152"/>
      <c r="E222" s="151" t="s">
        <v>105</v>
      </c>
      <c r="F222" s="150"/>
      <c r="G222" s="149">
        <v>6.7089177229430703</v>
      </c>
      <c r="H222" s="149">
        <v>7.2395009664382428</v>
      </c>
      <c r="I222" s="149">
        <v>2.6446010158938265</v>
      </c>
      <c r="J222" s="149">
        <v>-0.78858310452717717</v>
      </c>
      <c r="K222" s="149">
        <v>5.6637168141592866</v>
      </c>
      <c r="L222" s="149">
        <v>7.038221410080709</v>
      </c>
      <c r="M222" s="149">
        <v>3.6504865418539794</v>
      </c>
      <c r="N222" s="149">
        <v>3.5795657305992563</v>
      </c>
      <c r="O222" s="149">
        <v>4.094559139215022</v>
      </c>
      <c r="P222" s="149">
        <v>3.6279851316258487</v>
      </c>
      <c r="Q222" s="149">
        <v>0.21128663734859288</v>
      </c>
      <c r="R222" s="149">
        <v>2.0397656230846621</v>
      </c>
      <c r="S222" s="149">
        <v>2.4651017515196543</v>
      </c>
      <c r="T222" s="149">
        <v>3.470349614275321</v>
      </c>
      <c r="U222" s="149">
        <v>-22.299272554218504</v>
      </c>
      <c r="V222" s="149">
        <v>18.569720302155332</v>
      </c>
      <c r="W222" s="149">
        <v>18.246666994637678</v>
      </c>
      <c r="X222" s="149">
        <v>-3.1203195207183398E-2</v>
      </c>
      <c r="Y222" s="148">
        <v>2.1143017666521047</v>
      </c>
    </row>
    <row r="223" spans="1:25" outlineLevel="2" x14ac:dyDescent="0.4">
      <c r="A223" s="147"/>
      <c r="B223" s="146"/>
      <c r="C223" s="146"/>
      <c r="D223" s="146" t="s">
        <v>104</v>
      </c>
      <c r="E223" s="145" t="s">
        <v>103</v>
      </c>
      <c r="F223" s="144"/>
      <c r="G223" s="143">
        <v>4.3297334786485777</v>
      </c>
      <c r="H223" s="143">
        <v>7.6210826210826355</v>
      </c>
      <c r="I223" s="143">
        <v>1.9722038385175296</v>
      </c>
      <c r="J223" s="143">
        <v>-0.36344755970924325</v>
      </c>
      <c r="K223" s="143">
        <v>4.7898210873718909</v>
      </c>
      <c r="L223" s="143">
        <v>4.3761137126517866</v>
      </c>
      <c r="M223" s="143">
        <v>2.6164291102552824</v>
      </c>
      <c r="N223" s="143">
        <v>1.6443550259227777</v>
      </c>
      <c r="O223" s="143">
        <v>3.4067983708271612</v>
      </c>
      <c r="P223" s="143">
        <v>2.5841124935581234</v>
      </c>
      <c r="Q223" s="143">
        <v>-0.9544997846992942</v>
      </c>
      <c r="R223" s="143">
        <v>0.94196072748351867</v>
      </c>
      <c r="S223" s="143">
        <v>1.5720335941425532</v>
      </c>
      <c r="T223" s="143">
        <v>2.4310954063604129</v>
      </c>
      <c r="U223" s="143">
        <v>-18.31102525182834</v>
      </c>
      <c r="V223" s="143">
        <v>13.154560810810807</v>
      </c>
      <c r="W223" s="143">
        <v>14.297443552901655</v>
      </c>
      <c r="X223" s="143">
        <v>1.5672957617710352</v>
      </c>
      <c r="Y223" s="142">
        <v>1.6323538867099501</v>
      </c>
    </row>
    <row r="224" spans="1:25" outlineLevel="2" x14ac:dyDescent="0.4">
      <c r="A224" s="165"/>
      <c r="B224" s="164"/>
      <c r="C224" s="164"/>
      <c r="D224" s="164" t="s">
        <v>102</v>
      </c>
      <c r="E224" s="163" t="s">
        <v>101</v>
      </c>
      <c r="F224" s="162"/>
      <c r="G224" s="161">
        <v>1.4354066985645915</v>
      </c>
      <c r="H224" s="161">
        <v>8.0188679245283083</v>
      </c>
      <c r="I224" s="161">
        <v>7.8602620087336277</v>
      </c>
      <c r="J224" s="161">
        <v>-8.9068825910931082</v>
      </c>
      <c r="K224" s="161">
        <v>2.6666666666666572</v>
      </c>
      <c r="L224" s="161">
        <v>1.2987012987012889</v>
      </c>
      <c r="M224" s="161">
        <v>-1.7094017094017175</v>
      </c>
      <c r="N224" s="161">
        <v>-1.3043478260869534</v>
      </c>
      <c r="O224" s="161">
        <v>2.2026431718061588</v>
      </c>
      <c r="P224" s="161">
        <v>-0.43103448275861922</v>
      </c>
      <c r="Q224" s="161">
        <v>1.7316017316017422</v>
      </c>
      <c r="R224" s="161">
        <v>2.5531914893617085</v>
      </c>
      <c r="S224" s="161">
        <v>0.82987551867219622</v>
      </c>
      <c r="T224" s="161">
        <v>2.0576131687242878</v>
      </c>
      <c r="U224" s="161">
        <v>-7.6612903225806548</v>
      </c>
      <c r="V224" s="161">
        <v>1.7467248908296966</v>
      </c>
      <c r="W224" s="161">
        <v>8.1545064377682479</v>
      </c>
      <c r="X224" s="161">
        <v>1.9841269841269735</v>
      </c>
      <c r="Y224" s="160">
        <v>-15.727626459143963</v>
      </c>
    </row>
    <row r="225" spans="1:25" outlineLevel="2" x14ac:dyDescent="0.4">
      <c r="A225" s="147"/>
      <c r="B225" s="146"/>
      <c r="C225" s="146"/>
      <c r="D225" s="146" t="s">
        <v>100</v>
      </c>
      <c r="E225" s="145" t="s">
        <v>99</v>
      </c>
      <c r="F225" s="144"/>
      <c r="G225" s="143">
        <v>16.088631984585746</v>
      </c>
      <c r="H225" s="143">
        <v>1.4522821576763363</v>
      </c>
      <c r="I225" s="143">
        <v>0.24539877300613</v>
      </c>
      <c r="J225" s="143">
        <v>4.2023663810689413</v>
      </c>
      <c r="K225" s="143">
        <v>12.920908379013312</v>
      </c>
      <c r="L225" s="143">
        <v>15.533980582524265</v>
      </c>
      <c r="M225" s="143">
        <v>5.6122448979591724</v>
      </c>
      <c r="N225" s="143">
        <v>10.798522307473718</v>
      </c>
      <c r="O225" s="143">
        <v>6.9248525262887881</v>
      </c>
      <c r="P225" s="143">
        <v>11.465579275605648</v>
      </c>
      <c r="Q225" s="143">
        <v>7.9406068431245842</v>
      </c>
      <c r="R225" s="143">
        <v>5.8413078149920352</v>
      </c>
      <c r="S225" s="143">
        <v>6.592578640045204</v>
      </c>
      <c r="T225" s="143">
        <v>5.6900512458031471</v>
      </c>
      <c r="U225" s="143">
        <v>-56.31165356963718</v>
      </c>
      <c r="V225" s="143">
        <v>58.170685036356673</v>
      </c>
      <c r="W225" s="143">
        <v>65.884345511734807</v>
      </c>
      <c r="X225" s="143">
        <v>3.2380396732788768</v>
      </c>
      <c r="Y225" s="142">
        <v>3.6063859847414506</v>
      </c>
    </row>
    <row r="226" spans="1:25" outlineLevel="2" x14ac:dyDescent="0.4">
      <c r="A226" s="165"/>
      <c r="B226" s="164"/>
      <c r="C226" s="164"/>
      <c r="D226" s="164" t="s">
        <v>98</v>
      </c>
      <c r="E226" s="163" t="s">
        <v>97</v>
      </c>
      <c r="F226" s="162"/>
      <c r="G226" s="161">
        <v>10.918808857215566</v>
      </c>
      <c r="H226" s="161">
        <v>6.9527306103717308</v>
      </c>
      <c r="I226" s="161">
        <v>6.0502038189229808</v>
      </c>
      <c r="J226" s="161">
        <v>-5.3408861015577571</v>
      </c>
      <c r="K226" s="161">
        <v>5.0865569566146576</v>
      </c>
      <c r="L226" s="161">
        <v>15.171852755745377</v>
      </c>
      <c r="M226" s="161">
        <v>6.9221260815822063</v>
      </c>
      <c r="N226" s="161">
        <v>6.7877786952931416</v>
      </c>
      <c r="O226" s="161">
        <v>5.0572223940612275</v>
      </c>
      <c r="P226" s="161">
        <v>3.8569115265714657</v>
      </c>
      <c r="Q226" s="161">
        <v>0.14174344436570152</v>
      </c>
      <c r="R226" s="161">
        <v>4.4585987261146443</v>
      </c>
      <c r="S226" s="161">
        <v>3.590785907859086</v>
      </c>
      <c r="T226" s="161">
        <v>5.8338783518639588</v>
      </c>
      <c r="U226" s="161">
        <v>-21.703126931158081</v>
      </c>
      <c r="V226" s="161">
        <v>28.602999210734026</v>
      </c>
      <c r="W226" s="161">
        <v>18.313489628083971</v>
      </c>
      <c r="X226" s="161">
        <v>-6.0587197842099698</v>
      </c>
      <c r="Y226" s="160">
        <v>3.2844837106570992</v>
      </c>
    </row>
    <row r="227" spans="1:25" outlineLevel="2" x14ac:dyDescent="0.4">
      <c r="A227" s="147"/>
      <c r="B227" s="146"/>
      <c r="C227" s="146"/>
      <c r="D227" s="146" t="s">
        <v>96</v>
      </c>
      <c r="E227" s="145" t="s">
        <v>95</v>
      </c>
      <c r="F227" s="144"/>
      <c r="G227" s="143">
        <v>18.655097613882859</v>
      </c>
      <c r="H227" s="143">
        <v>17.733089579524687</v>
      </c>
      <c r="I227" s="143">
        <v>8.2298136645962785</v>
      </c>
      <c r="J227" s="143">
        <v>-0.86083213773314071</v>
      </c>
      <c r="K227" s="143">
        <v>7.2358900144717779</v>
      </c>
      <c r="L227" s="143">
        <v>6.0728744939271309</v>
      </c>
      <c r="M227" s="143">
        <v>4.5801526717557266</v>
      </c>
      <c r="N227" s="143">
        <v>5.1094890510948971</v>
      </c>
      <c r="O227" s="143">
        <v>5.3240740740740762</v>
      </c>
      <c r="P227" s="143">
        <v>-0.879120879120876</v>
      </c>
      <c r="Q227" s="143">
        <v>-3.4368070953436813</v>
      </c>
      <c r="R227" s="143">
        <v>-0.45924225028703347</v>
      </c>
      <c r="S227" s="143">
        <v>4.2675893886966492</v>
      </c>
      <c r="T227" s="143">
        <v>6.6371681415929231</v>
      </c>
      <c r="U227" s="143">
        <v>2.6970954356846448</v>
      </c>
      <c r="V227" s="143">
        <v>13.030303030303031</v>
      </c>
      <c r="W227" s="143">
        <v>5.9874888293118858</v>
      </c>
      <c r="X227" s="143">
        <v>-7.1669477234401313</v>
      </c>
      <c r="Y227" s="142">
        <v>4.4850136239782188</v>
      </c>
    </row>
    <row r="228" spans="1:25" outlineLevel="1" x14ac:dyDescent="0.4">
      <c r="A228" s="153"/>
      <c r="B228" s="152"/>
      <c r="C228" s="152" t="s">
        <v>94</v>
      </c>
      <c r="D228" s="152"/>
      <c r="E228" s="151" t="s">
        <v>92</v>
      </c>
      <c r="F228" s="150"/>
      <c r="G228" s="149">
        <v>7.849077389148988</v>
      </c>
      <c r="H228" s="149">
        <v>8.0541368743615891</v>
      </c>
      <c r="I228" s="149">
        <v>4.0695750815332872</v>
      </c>
      <c r="J228" s="149">
        <v>2.8930874738849894</v>
      </c>
      <c r="K228" s="149">
        <v>5.036415802251156</v>
      </c>
      <c r="L228" s="149">
        <v>4.0342914775592504</v>
      </c>
      <c r="M228" s="149">
        <v>3.756665050896757</v>
      </c>
      <c r="N228" s="149">
        <v>6.3536556879233927</v>
      </c>
      <c r="O228" s="149">
        <v>4.9820631085731009</v>
      </c>
      <c r="P228" s="149">
        <v>4.1179957460162626</v>
      </c>
      <c r="Q228" s="149">
        <v>4.0354989953114568</v>
      </c>
      <c r="R228" s="149">
        <v>2.1921776919362657</v>
      </c>
      <c r="S228" s="149">
        <v>2.6554526554526632</v>
      </c>
      <c r="T228" s="149">
        <v>3.4459480192702898</v>
      </c>
      <c r="U228" s="149">
        <v>-26.586971998101575</v>
      </c>
      <c r="V228" s="149">
        <v>39.395531132571023</v>
      </c>
      <c r="W228" s="149">
        <v>18.988956201629037</v>
      </c>
      <c r="X228" s="149">
        <v>-4.2460414129110831</v>
      </c>
      <c r="Y228" s="148">
        <v>-3.8053018546314945</v>
      </c>
    </row>
    <row r="229" spans="1:25" outlineLevel="2" x14ac:dyDescent="0.4">
      <c r="A229" s="147"/>
      <c r="B229" s="146"/>
      <c r="C229" s="146"/>
      <c r="D229" s="146" t="s">
        <v>93</v>
      </c>
      <c r="E229" s="145" t="s">
        <v>92</v>
      </c>
      <c r="F229" s="144"/>
      <c r="G229" s="143">
        <v>7.849077389148988</v>
      </c>
      <c r="H229" s="143">
        <v>8.0541368743615891</v>
      </c>
      <c r="I229" s="143">
        <v>4.0695750815332872</v>
      </c>
      <c r="J229" s="143">
        <v>2.8930874738849894</v>
      </c>
      <c r="K229" s="143">
        <v>5.036415802251156</v>
      </c>
      <c r="L229" s="143">
        <v>4.0342914775592504</v>
      </c>
      <c r="M229" s="143">
        <v>3.756665050896757</v>
      </c>
      <c r="N229" s="143">
        <v>6.3536556879233927</v>
      </c>
      <c r="O229" s="143">
        <v>4.9820631085731009</v>
      </c>
      <c r="P229" s="143">
        <v>4.1179957460162626</v>
      </c>
      <c r="Q229" s="143">
        <v>4.0354989953114568</v>
      </c>
      <c r="R229" s="143">
        <v>2.1921776919362657</v>
      </c>
      <c r="S229" s="143">
        <v>2.6554526554526632</v>
      </c>
      <c r="T229" s="143">
        <v>3.4459480192702898</v>
      </c>
      <c r="U229" s="143">
        <v>-26.586971998101575</v>
      </c>
      <c r="V229" s="143">
        <v>39.395531132571023</v>
      </c>
      <c r="W229" s="143">
        <v>18.988956201629037</v>
      </c>
      <c r="X229" s="143">
        <v>-4.2460414129110831</v>
      </c>
      <c r="Y229" s="142">
        <v>-3.8053018546314945</v>
      </c>
    </row>
    <row r="230" spans="1:25" x14ac:dyDescent="0.4">
      <c r="A230" s="177"/>
      <c r="B230" s="176" t="s">
        <v>91</v>
      </c>
      <c r="C230" s="176"/>
      <c r="D230" s="176"/>
      <c r="E230" s="175" t="s">
        <v>89</v>
      </c>
      <c r="F230" s="174"/>
      <c r="G230" s="173">
        <v>14.91751767478398</v>
      </c>
      <c r="H230" s="173">
        <v>14.573791783443852</v>
      </c>
      <c r="I230" s="173">
        <v>2.1418769763140659</v>
      </c>
      <c r="J230" s="173">
        <v>-8.4754672897196315</v>
      </c>
      <c r="K230" s="173">
        <v>16.510306975556816</v>
      </c>
      <c r="L230" s="173">
        <v>10.391104294478538</v>
      </c>
      <c r="M230" s="173">
        <v>1.3000545824443037</v>
      </c>
      <c r="N230" s="173">
        <v>8.8317413666421771</v>
      </c>
      <c r="O230" s="173">
        <v>6.463228013322535</v>
      </c>
      <c r="P230" s="173">
        <v>1.2978777373805741</v>
      </c>
      <c r="Q230" s="173">
        <v>-0.6552314177204579</v>
      </c>
      <c r="R230" s="173">
        <v>-0.19324483280121285</v>
      </c>
      <c r="S230" s="173">
        <v>3.5230238235541549</v>
      </c>
      <c r="T230" s="173">
        <v>0.91888595242934912</v>
      </c>
      <c r="U230" s="173">
        <v>-2.7718464203698545</v>
      </c>
      <c r="V230" s="173">
        <v>12.750176107404812</v>
      </c>
      <c r="W230" s="173">
        <v>12.326350606394712</v>
      </c>
      <c r="X230" s="173">
        <v>1.7602408061772081</v>
      </c>
      <c r="Y230" s="172">
        <v>-0.76779628319721382</v>
      </c>
    </row>
    <row r="231" spans="1:25" outlineLevel="1" x14ac:dyDescent="0.4">
      <c r="A231" s="171"/>
      <c r="B231" s="170"/>
      <c r="C231" s="170" t="s">
        <v>91</v>
      </c>
      <c r="D231" s="170"/>
      <c r="E231" s="169" t="s">
        <v>89</v>
      </c>
      <c r="F231" s="168"/>
      <c r="G231" s="167">
        <v>14.91751767478398</v>
      </c>
      <c r="H231" s="167">
        <v>14.573791783443852</v>
      </c>
      <c r="I231" s="167">
        <v>2.1418769763140659</v>
      </c>
      <c r="J231" s="167">
        <v>-8.4754672897196315</v>
      </c>
      <c r="K231" s="167">
        <v>16.510306975556816</v>
      </c>
      <c r="L231" s="167">
        <v>10.391104294478538</v>
      </c>
      <c r="M231" s="167">
        <v>1.3000545824443037</v>
      </c>
      <c r="N231" s="167">
        <v>8.8317413666421771</v>
      </c>
      <c r="O231" s="167">
        <v>6.463228013322535</v>
      </c>
      <c r="P231" s="167">
        <v>1.2978777373805741</v>
      </c>
      <c r="Q231" s="167">
        <v>-0.6552314177204579</v>
      </c>
      <c r="R231" s="167">
        <v>-0.19324483280121285</v>
      </c>
      <c r="S231" s="167">
        <v>3.5230238235541549</v>
      </c>
      <c r="T231" s="167">
        <v>0.91888595242934912</v>
      </c>
      <c r="U231" s="167">
        <v>-2.7718464203698545</v>
      </c>
      <c r="V231" s="167">
        <v>12.750176107404812</v>
      </c>
      <c r="W231" s="167">
        <v>12.326350606394712</v>
      </c>
      <c r="X231" s="167">
        <v>1.7602408061772081</v>
      </c>
      <c r="Y231" s="166">
        <v>-0.76779628319721382</v>
      </c>
    </row>
    <row r="232" spans="1:25" outlineLevel="2" x14ac:dyDescent="0.4">
      <c r="A232" s="165"/>
      <c r="B232" s="164"/>
      <c r="C232" s="164"/>
      <c r="D232" s="164" t="s">
        <v>90</v>
      </c>
      <c r="E232" s="163" t="s">
        <v>89</v>
      </c>
      <c r="F232" s="162"/>
      <c r="G232" s="161">
        <v>14.91751767478398</v>
      </c>
      <c r="H232" s="161">
        <v>14.573791783443852</v>
      </c>
      <c r="I232" s="161">
        <v>2.1418769763140659</v>
      </c>
      <c r="J232" s="161">
        <v>-8.4754672897196315</v>
      </c>
      <c r="K232" s="161">
        <v>16.510306975556816</v>
      </c>
      <c r="L232" s="161">
        <v>10.391104294478538</v>
      </c>
      <c r="M232" s="161">
        <v>1.3000545824443037</v>
      </c>
      <c r="N232" s="161">
        <v>8.8317413666421771</v>
      </c>
      <c r="O232" s="161">
        <v>6.463228013322535</v>
      </c>
      <c r="P232" s="161">
        <v>1.2978777373805741</v>
      </c>
      <c r="Q232" s="161">
        <v>-0.6552314177204579</v>
      </c>
      <c r="R232" s="161">
        <v>-0.19324483280121285</v>
      </c>
      <c r="S232" s="161">
        <v>3.5230238235541549</v>
      </c>
      <c r="T232" s="161">
        <v>0.91888595242934912</v>
      </c>
      <c r="U232" s="161">
        <v>-2.7718464203698545</v>
      </c>
      <c r="V232" s="161">
        <v>12.750176107404812</v>
      </c>
      <c r="W232" s="161">
        <v>12.326350606394712</v>
      </c>
      <c r="X232" s="161">
        <v>1.7602408061772081</v>
      </c>
      <c r="Y232" s="160">
        <v>-0.76779628319721382</v>
      </c>
    </row>
    <row r="233" spans="1:25" x14ac:dyDescent="0.4">
      <c r="A233" s="159"/>
      <c r="B233" s="158" t="s">
        <v>88</v>
      </c>
      <c r="C233" s="158"/>
      <c r="D233" s="158"/>
      <c r="E233" s="157" t="s">
        <v>86</v>
      </c>
      <c r="F233" s="156"/>
      <c r="G233" s="155">
        <v>6.5871369294605842</v>
      </c>
      <c r="H233" s="155">
        <v>13.759124087591232</v>
      </c>
      <c r="I233" s="155">
        <v>10.137953160089836</v>
      </c>
      <c r="J233" s="155">
        <v>3.4809204777162819</v>
      </c>
      <c r="K233" s="155">
        <v>4.6774571897724542</v>
      </c>
      <c r="L233" s="155">
        <v>10.944783076371451</v>
      </c>
      <c r="M233" s="155">
        <v>7.5624141552880388</v>
      </c>
      <c r="N233" s="155">
        <v>9.5170134455044035</v>
      </c>
      <c r="O233" s="155">
        <v>10.216049382716051</v>
      </c>
      <c r="P233" s="155">
        <v>7.9560658390117851</v>
      </c>
      <c r="Q233" s="155">
        <v>2.9686419183767612</v>
      </c>
      <c r="R233" s="155">
        <v>5.3882326596876169</v>
      </c>
      <c r="S233" s="155">
        <v>3.7342965658282594</v>
      </c>
      <c r="T233" s="155">
        <v>6.2677625009601314</v>
      </c>
      <c r="U233" s="155">
        <v>2.2358751957595473</v>
      </c>
      <c r="V233" s="155">
        <v>3.6999505102160981</v>
      </c>
      <c r="W233" s="155">
        <v>6.6745449173919837</v>
      </c>
      <c r="X233" s="155">
        <v>8.9348103962505263</v>
      </c>
      <c r="Y233" s="154">
        <v>0.39300661008330451</v>
      </c>
    </row>
    <row r="234" spans="1:25" outlineLevel="1" x14ac:dyDescent="0.4">
      <c r="A234" s="153"/>
      <c r="B234" s="152"/>
      <c r="C234" s="152" t="s">
        <v>88</v>
      </c>
      <c r="D234" s="152"/>
      <c r="E234" s="151" t="s">
        <v>86</v>
      </c>
      <c r="F234" s="150"/>
      <c r="G234" s="149">
        <v>6.5871369294605842</v>
      </c>
      <c r="H234" s="149">
        <v>13.759124087591232</v>
      </c>
      <c r="I234" s="149">
        <v>10.137953160089836</v>
      </c>
      <c r="J234" s="149">
        <v>3.4809204777162819</v>
      </c>
      <c r="K234" s="149">
        <v>4.6774571897724542</v>
      </c>
      <c r="L234" s="149">
        <v>10.944783076371451</v>
      </c>
      <c r="M234" s="149">
        <v>7.5624141552880388</v>
      </c>
      <c r="N234" s="149">
        <v>9.5170134455044035</v>
      </c>
      <c r="O234" s="149">
        <v>10.216049382716051</v>
      </c>
      <c r="P234" s="149">
        <v>7.9560658390117851</v>
      </c>
      <c r="Q234" s="149">
        <v>2.9686419183767612</v>
      </c>
      <c r="R234" s="149">
        <v>5.3882326596876169</v>
      </c>
      <c r="S234" s="149">
        <v>3.7342965658282594</v>
      </c>
      <c r="T234" s="149">
        <v>6.2677625009601314</v>
      </c>
      <c r="U234" s="149">
        <v>2.2358751957595473</v>
      </c>
      <c r="V234" s="149">
        <v>3.6999505102160981</v>
      </c>
      <c r="W234" s="149">
        <v>6.6745449173919837</v>
      </c>
      <c r="X234" s="149">
        <v>8.9348103962505263</v>
      </c>
      <c r="Y234" s="148">
        <v>0.39300661008330451</v>
      </c>
    </row>
    <row r="235" spans="1:25" outlineLevel="2" x14ac:dyDescent="0.4">
      <c r="A235" s="147"/>
      <c r="B235" s="146"/>
      <c r="C235" s="146"/>
      <c r="D235" s="146" t="s">
        <v>87</v>
      </c>
      <c r="E235" s="145" t="s">
        <v>86</v>
      </c>
      <c r="F235" s="144"/>
      <c r="G235" s="143">
        <v>6.5871369294605842</v>
      </c>
      <c r="H235" s="143">
        <v>13.759124087591232</v>
      </c>
      <c r="I235" s="143">
        <v>10.137953160089836</v>
      </c>
      <c r="J235" s="143">
        <v>3.4809204777162819</v>
      </c>
      <c r="K235" s="143">
        <v>4.6774571897724542</v>
      </c>
      <c r="L235" s="143">
        <v>10.944783076371451</v>
      </c>
      <c r="M235" s="143">
        <v>7.5624141552880388</v>
      </c>
      <c r="N235" s="143">
        <v>9.5170134455044035</v>
      </c>
      <c r="O235" s="143">
        <v>10.216049382716051</v>
      </c>
      <c r="P235" s="143">
        <v>7.9560658390117851</v>
      </c>
      <c r="Q235" s="143">
        <v>2.9686419183767612</v>
      </c>
      <c r="R235" s="143">
        <v>5.3882326596876169</v>
      </c>
      <c r="S235" s="143">
        <v>3.7342965658282594</v>
      </c>
      <c r="T235" s="143">
        <v>6.2677625009601314</v>
      </c>
      <c r="U235" s="143">
        <v>2.2358751957595473</v>
      </c>
      <c r="V235" s="143">
        <v>3.6999505102160981</v>
      </c>
      <c r="W235" s="143">
        <v>6.6745449173919837</v>
      </c>
      <c r="X235" s="143">
        <v>8.9348103962505263</v>
      </c>
      <c r="Y235" s="142">
        <v>0.39300661008330451</v>
      </c>
    </row>
    <row r="236" spans="1:25" x14ac:dyDescent="0.4">
      <c r="A236" s="177"/>
      <c r="B236" s="176" t="s">
        <v>85</v>
      </c>
      <c r="C236" s="176"/>
      <c r="D236" s="176"/>
      <c r="E236" s="175" t="s">
        <v>83</v>
      </c>
      <c r="F236" s="174"/>
      <c r="G236" s="173">
        <v>4.0451496028507137</v>
      </c>
      <c r="H236" s="173">
        <v>3.7501195828948681</v>
      </c>
      <c r="I236" s="173">
        <v>2.77731673582295</v>
      </c>
      <c r="J236" s="173">
        <v>3.8309020114478471</v>
      </c>
      <c r="K236" s="173">
        <v>3.57031763038745</v>
      </c>
      <c r="L236" s="173">
        <v>2.8298738570379669</v>
      </c>
      <c r="M236" s="173">
        <v>3.1657688063867084</v>
      </c>
      <c r="N236" s="173">
        <v>3.2180436936724419</v>
      </c>
      <c r="O236" s="173">
        <v>3.1070476190476057</v>
      </c>
      <c r="P236" s="173">
        <v>3.1937219200756743</v>
      </c>
      <c r="Q236" s="173">
        <v>3.5288220551378515</v>
      </c>
      <c r="R236" s="173">
        <v>3.0516399452198897</v>
      </c>
      <c r="S236" s="173">
        <v>3.9653668031411513</v>
      </c>
      <c r="T236" s="173">
        <v>3.2472982220558038</v>
      </c>
      <c r="U236" s="173">
        <v>1.4431494172377484</v>
      </c>
      <c r="V236" s="173">
        <v>2.4963633225671344</v>
      </c>
      <c r="W236" s="173">
        <v>2.0446700263401709</v>
      </c>
      <c r="X236" s="173">
        <v>1.9412326296807123</v>
      </c>
      <c r="Y236" s="172">
        <v>1.9171811770146689</v>
      </c>
    </row>
    <row r="237" spans="1:25" outlineLevel="1" x14ac:dyDescent="0.4">
      <c r="A237" s="147"/>
      <c r="B237" s="146"/>
      <c r="C237" s="170" t="s">
        <v>85</v>
      </c>
      <c r="D237" s="146"/>
      <c r="E237" s="169" t="s">
        <v>83</v>
      </c>
      <c r="F237" s="168"/>
      <c r="G237" s="167">
        <v>4.0451496028507137</v>
      </c>
      <c r="H237" s="167">
        <v>3.7501195828948681</v>
      </c>
      <c r="I237" s="167">
        <v>2.77731673582295</v>
      </c>
      <c r="J237" s="167">
        <v>3.8309020114478471</v>
      </c>
      <c r="K237" s="167">
        <v>3.57031763038745</v>
      </c>
      <c r="L237" s="167">
        <v>2.8298738570379669</v>
      </c>
      <c r="M237" s="167">
        <v>3.1657688063867084</v>
      </c>
      <c r="N237" s="167">
        <v>3.2180436936724419</v>
      </c>
      <c r="O237" s="167">
        <v>3.1070476190476057</v>
      </c>
      <c r="P237" s="167">
        <v>3.1937219200756743</v>
      </c>
      <c r="Q237" s="167">
        <v>3.5288220551378515</v>
      </c>
      <c r="R237" s="167">
        <v>3.0516399452198897</v>
      </c>
      <c r="S237" s="167">
        <v>3.9653668031411513</v>
      </c>
      <c r="T237" s="167">
        <v>3.2472982220558038</v>
      </c>
      <c r="U237" s="167">
        <v>1.4431494172377484</v>
      </c>
      <c r="V237" s="167">
        <v>2.4963633225671344</v>
      </c>
      <c r="W237" s="167">
        <v>2.0446700263401709</v>
      </c>
      <c r="X237" s="167">
        <v>1.9412326296807123</v>
      </c>
      <c r="Y237" s="166">
        <v>1.9171811770146689</v>
      </c>
    </row>
    <row r="238" spans="1:25" outlineLevel="2" x14ac:dyDescent="0.4">
      <c r="A238" s="165"/>
      <c r="B238" s="164"/>
      <c r="C238" s="164"/>
      <c r="D238" s="164" t="s">
        <v>84</v>
      </c>
      <c r="E238" s="163" t="s">
        <v>83</v>
      </c>
      <c r="F238" s="162"/>
      <c r="G238" s="161">
        <v>4.0451496028507137</v>
      </c>
      <c r="H238" s="161">
        <v>3.7501195828948681</v>
      </c>
      <c r="I238" s="161">
        <v>2.77731673582295</v>
      </c>
      <c r="J238" s="161">
        <v>3.8309020114478471</v>
      </c>
      <c r="K238" s="161">
        <v>3.57031763038745</v>
      </c>
      <c r="L238" s="161">
        <v>2.8298738570379669</v>
      </c>
      <c r="M238" s="161">
        <v>3.1657688063867084</v>
      </c>
      <c r="N238" s="161">
        <v>3.2180436936724419</v>
      </c>
      <c r="O238" s="161">
        <v>3.1070476190476057</v>
      </c>
      <c r="P238" s="161">
        <v>3.1937219200756743</v>
      </c>
      <c r="Q238" s="161">
        <v>3.5288220551378515</v>
      </c>
      <c r="R238" s="161">
        <v>3.0516399452198897</v>
      </c>
      <c r="S238" s="161">
        <v>3.9653668031411513</v>
      </c>
      <c r="T238" s="161">
        <v>3.2472982220558038</v>
      </c>
      <c r="U238" s="161">
        <v>1.4431494172377484</v>
      </c>
      <c r="V238" s="161">
        <v>2.4963633225671344</v>
      </c>
      <c r="W238" s="161">
        <v>2.0446700263401709</v>
      </c>
      <c r="X238" s="161">
        <v>1.9412326296807123</v>
      </c>
      <c r="Y238" s="160">
        <v>1.9171811770146689</v>
      </c>
    </row>
    <row r="239" spans="1:25" ht="28" x14ac:dyDescent="0.4">
      <c r="A239" s="159"/>
      <c r="B239" s="158" t="s">
        <v>82</v>
      </c>
      <c r="C239" s="158"/>
      <c r="D239" s="158"/>
      <c r="E239" s="157" t="s">
        <v>81</v>
      </c>
      <c r="F239" s="156"/>
      <c r="G239" s="155">
        <v>7.0305349862717321</v>
      </c>
      <c r="H239" s="155">
        <v>6.8770729684908645</v>
      </c>
      <c r="I239" s="155">
        <v>3.7676380739950446</v>
      </c>
      <c r="J239" s="155">
        <v>2.799065420560737</v>
      </c>
      <c r="K239" s="155">
        <v>3.0819582708304836</v>
      </c>
      <c r="L239" s="155">
        <v>7.0864752833267062</v>
      </c>
      <c r="M239" s="155">
        <v>4.8159281831658802</v>
      </c>
      <c r="N239" s="155">
        <v>5.276288133262625</v>
      </c>
      <c r="O239" s="155">
        <v>7.2901311738473424</v>
      </c>
      <c r="P239" s="155">
        <v>-0.18782608695651959</v>
      </c>
      <c r="Q239" s="155">
        <v>-2.4341371619737942</v>
      </c>
      <c r="R239" s="155">
        <v>1.455487097062246</v>
      </c>
      <c r="S239" s="155">
        <v>3.9711318429853861</v>
      </c>
      <c r="T239" s="155">
        <v>3.4469915010327412</v>
      </c>
      <c r="U239" s="155">
        <v>-5.7903178292036301</v>
      </c>
      <c r="V239" s="155">
        <v>9.7335140018066824</v>
      </c>
      <c r="W239" s="155">
        <v>7.8601168331565532</v>
      </c>
      <c r="X239" s="155">
        <v>1.9550284741384445</v>
      </c>
      <c r="Y239" s="154">
        <v>-5.5323620868350076E-2</v>
      </c>
    </row>
    <row r="240" spans="1:25" ht="28" outlineLevel="1" x14ac:dyDescent="0.4">
      <c r="A240" s="153"/>
      <c r="B240" s="152"/>
      <c r="C240" s="152" t="s">
        <v>82</v>
      </c>
      <c r="D240" s="152"/>
      <c r="E240" s="151" t="s">
        <v>81</v>
      </c>
      <c r="F240" s="150"/>
      <c r="G240" s="149">
        <v>7.0305349862717321</v>
      </c>
      <c r="H240" s="149">
        <v>6.8770729684908645</v>
      </c>
      <c r="I240" s="149">
        <v>3.7676380739950446</v>
      </c>
      <c r="J240" s="149">
        <v>2.799065420560737</v>
      </c>
      <c r="K240" s="149">
        <v>3.0819582708304836</v>
      </c>
      <c r="L240" s="149">
        <v>7.0864752833267062</v>
      </c>
      <c r="M240" s="149">
        <v>4.8159281831658802</v>
      </c>
      <c r="N240" s="149">
        <v>5.276288133262625</v>
      </c>
      <c r="O240" s="149">
        <v>7.2901311738473424</v>
      </c>
      <c r="P240" s="149">
        <v>-0.18782608695651959</v>
      </c>
      <c r="Q240" s="149">
        <v>-2.4341371619737942</v>
      </c>
      <c r="R240" s="149">
        <v>1.455487097062246</v>
      </c>
      <c r="S240" s="149">
        <v>3.9711318429853861</v>
      </c>
      <c r="T240" s="149">
        <v>3.4469915010327412</v>
      </c>
      <c r="U240" s="149">
        <v>-5.7903178292036301</v>
      </c>
      <c r="V240" s="149">
        <v>9.7335140018066824</v>
      </c>
      <c r="W240" s="149">
        <v>7.8601168331565532</v>
      </c>
      <c r="X240" s="149">
        <v>1.9550284741384445</v>
      </c>
      <c r="Y240" s="148">
        <v>-5.5323620868350076E-2</v>
      </c>
    </row>
    <row r="241" spans="1:25" outlineLevel="2" x14ac:dyDescent="0.4">
      <c r="A241" s="147"/>
      <c r="B241" s="146"/>
      <c r="C241" s="146"/>
      <c r="D241" s="146" t="s">
        <v>80</v>
      </c>
      <c r="E241" s="145" t="s">
        <v>79</v>
      </c>
      <c r="F241" s="144"/>
      <c r="G241" s="143">
        <v>6.9782219398070566</v>
      </c>
      <c r="H241" s="143">
        <v>6.8470219774285965</v>
      </c>
      <c r="I241" s="143">
        <v>3.7499368272097939</v>
      </c>
      <c r="J241" s="143">
        <v>2.8593696721710842</v>
      </c>
      <c r="K241" s="143">
        <v>3.0356128054555853</v>
      </c>
      <c r="L241" s="143">
        <v>7.0138346279358359</v>
      </c>
      <c r="M241" s="143">
        <v>4.7931967529957404</v>
      </c>
      <c r="N241" s="143">
        <v>5.291200459035224</v>
      </c>
      <c r="O241" s="143">
        <v>7.2596340988711603</v>
      </c>
      <c r="P241" s="143">
        <v>-1.8072945019052753</v>
      </c>
      <c r="Q241" s="143">
        <v>-2.5427800569168824</v>
      </c>
      <c r="R241" s="143">
        <v>-0.66745041526033333</v>
      </c>
      <c r="S241" s="143">
        <v>4.1575993586072713</v>
      </c>
      <c r="T241" s="143">
        <v>3.2182391320284296</v>
      </c>
      <c r="U241" s="143">
        <v>-6.6867897727272805</v>
      </c>
      <c r="V241" s="143">
        <v>10.309396049777362</v>
      </c>
      <c r="W241" s="143">
        <v>6.4893396812254309</v>
      </c>
      <c r="X241" s="143">
        <v>1.7170440923964065</v>
      </c>
      <c r="Y241" s="142">
        <v>0.71325285855337484</v>
      </c>
    </row>
    <row r="242" spans="1:25" outlineLevel="2" x14ac:dyDescent="0.4">
      <c r="A242" s="165"/>
      <c r="B242" s="164"/>
      <c r="C242" s="164"/>
      <c r="D242" s="164" t="s">
        <v>78</v>
      </c>
      <c r="E242" s="163" t="s">
        <v>77</v>
      </c>
      <c r="F242" s="162"/>
      <c r="G242" s="161">
        <v>7.0777108112432643</v>
      </c>
      <c r="H242" s="161">
        <v>6.8987846184498807</v>
      </c>
      <c r="I242" s="161">
        <v>3.7836074740226451</v>
      </c>
      <c r="J242" s="161">
        <v>2.7477214564719503</v>
      </c>
      <c r="K242" s="161">
        <v>3.124317238365748</v>
      </c>
      <c r="L242" s="161">
        <v>7.1525423728813706</v>
      </c>
      <c r="M242" s="161">
        <v>4.8362859854476596</v>
      </c>
      <c r="N242" s="161">
        <v>5.2657387499528454</v>
      </c>
      <c r="O242" s="161">
        <v>7.3171605690328647</v>
      </c>
      <c r="P242" s="161">
        <v>1.2888577247988309</v>
      </c>
      <c r="Q242" s="161">
        <v>-2.337234217900118</v>
      </c>
      <c r="R242" s="161">
        <v>3.3214068723418535</v>
      </c>
      <c r="S242" s="161">
        <v>3.8124795818359871</v>
      </c>
      <c r="T242" s="161">
        <v>3.6409982062498187</v>
      </c>
      <c r="U242" s="161">
        <v>-5.0343110463350911</v>
      </c>
      <c r="V242" s="161">
        <v>9.2594960992454389</v>
      </c>
      <c r="W242" s="161">
        <v>9.0015217136837151</v>
      </c>
      <c r="X242" s="161">
        <v>2.1504510309278402</v>
      </c>
      <c r="Y242" s="160">
        <v>-0.68314541775079363</v>
      </c>
    </row>
    <row r="243" spans="1:25" ht="42" x14ac:dyDescent="0.4">
      <c r="A243" s="159"/>
      <c r="B243" s="158" t="s">
        <v>76</v>
      </c>
      <c r="C243" s="158"/>
      <c r="D243" s="158"/>
      <c r="E243" s="157" t="s">
        <v>75</v>
      </c>
      <c r="F243" s="156"/>
      <c r="G243" s="155">
        <v>4.6177404399988689</v>
      </c>
      <c r="H243" s="155">
        <v>4.0889497643314741</v>
      </c>
      <c r="I243" s="155">
        <v>2.1325179967489873</v>
      </c>
      <c r="J243" s="155">
        <v>3.0492503189460223</v>
      </c>
      <c r="K243" s="155">
        <v>4.6346575795834752</v>
      </c>
      <c r="L243" s="155">
        <v>5.7437735760642852</v>
      </c>
      <c r="M243" s="155">
        <v>5.5591868387525665</v>
      </c>
      <c r="N243" s="155">
        <v>5.5078030708521055</v>
      </c>
      <c r="O243" s="155">
        <v>5.8459579632153265</v>
      </c>
      <c r="P243" s="155">
        <v>5.3276069468461031</v>
      </c>
      <c r="Q243" s="155">
        <v>3.676936391944821</v>
      </c>
      <c r="R243" s="155">
        <v>3.4630544415566504</v>
      </c>
      <c r="S243" s="155">
        <v>4.736237959774428</v>
      </c>
      <c r="T243" s="155">
        <v>5.0962546459544456</v>
      </c>
      <c r="U243" s="155">
        <v>0.30906878858635878</v>
      </c>
      <c r="V243" s="155">
        <v>8.461526871675872</v>
      </c>
      <c r="W243" s="155">
        <v>1.1217303124175118</v>
      </c>
      <c r="X243" s="155">
        <v>5.0120544821380832</v>
      </c>
      <c r="Y243" s="154">
        <v>3.266486139999742</v>
      </c>
    </row>
    <row r="244" spans="1:25" ht="28" outlineLevel="1" x14ac:dyDescent="0.4">
      <c r="A244" s="153"/>
      <c r="B244" s="152"/>
      <c r="C244" s="152" t="s">
        <v>74</v>
      </c>
      <c r="D244" s="152"/>
      <c r="E244" s="151" t="s">
        <v>72</v>
      </c>
      <c r="F244" s="150"/>
      <c r="G244" s="149">
        <v>5.4719453599650478</v>
      </c>
      <c r="H244" s="149">
        <v>4.5781408832498869</v>
      </c>
      <c r="I244" s="149">
        <v>1.35003780105842</v>
      </c>
      <c r="J244" s="149">
        <v>3.3177038931514744</v>
      </c>
      <c r="K244" s="149">
        <v>7.5569002269132852</v>
      </c>
      <c r="L244" s="149">
        <v>11.338064186165454</v>
      </c>
      <c r="M244" s="149">
        <v>7.7861674944733181</v>
      </c>
      <c r="N244" s="149">
        <v>4.4455690807873651</v>
      </c>
      <c r="O244" s="149">
        <v>10.991533204121183</v>
      </c>
      <c r="P244" s="149">
        <v>5.2272413951564687</v>
      </c>
      <c r="Q244" s="149">
        <v>3.528615411489838</v>
      </c>
      <c r="R244" s="149">
        <v>3.95039335203424</v>
      </c>
      <c r="S244" s="149">
        <v>5.8251836221239159</v>
      </c>
      <c r="T244" s="149">
        <v>4.2084475717545189</v>
      </c>
      <c r="U244" s="149">
        <v>-0.31645569620253866</v>
      </c>
      <c r="V244" s="149">
        <v>4.008859357696565</v>
      </c>
      <c r="W244" s="149">
        <v>1.0824815445769502</v>
      </c>
      <c r="X244" s="149">
        <v>3.6936905305291248</v>
      </c>
      <c r="Y244" s="148">
        <v>2.3182202959401366</v>
      </c>
    </row>
    <row r="245" spans="1:25" ht="28" outlineLevel="2" x14ac:dyDescent="0.4">
      <c r="A245" s="147"/>
      <c r="B245" s="146"/>
      <c r="C245" s="146"/>
      <c r="D245" s="146" t="s">
        <v>73</v>
      </c>
      <c r="E245" s="145" t="s">
        <v>72</v>
      </c>
      <c r="F245" s="144"/>
      <c r="G245" s="143">
        <v>5.4719453599650478</v>
      </c>
      <c r="H245" s="143">
        <v>4.5781408832498869</v>
      </c>
      <c r="I245" s="143">
        <v>1.35003780105842</v>
      </c>
      <c r="J245" s="143">
        <v>3.3177038931514744</v>
      </c>
      <c r="K245" s="143">
        <v>7.5569002269132852</v>
      </c>
      <c r="L245" s="143">
        <v>11.338064186165454</v>
      </c>
      <c r="M245" s="143">
        <v>7.7861674944733181</v>
      </c>
      <c r="N245" s="143">
        <v>4.4455690807873651</v>
      </c>
      <c r="O245" s="143">
        <v>10.991533204121183</v>
      </c>
      <c r="P245" s="143">
        <v>5.2272413951564687</v>
      </c>
      <c r="Q245" s="143">
        <v>3.528615411489838</v>
      </c>
      <c r="R245" s="143">
        <v>3.95039335203424</v>
      </c>
      <c r="S245" s="143">
        <v>5.8251836221239159</v>
      </c>
      <c r="T245" s="143">
        <v>4.2084475717545189</v>
      </c>
      <c r="U245" s="143">
        <v>-0.31645569620253866</v>
      </c>
      <c r="V245" s="143">
        <v>4.008859357696565</v>
      </c>
      <c r="W245" s="143">
        <v>1.0824815445769502</v>
      </c>
      <c r="X245" s="143">
        <v>3.6936905305291248</v>
      </c>
      <c r="Y245" s="142">
        <v>2.3182202959401366</v>
      </c>
    </row>
    <row r="246" spans="1:25" outlineLevel="1" x14ac:dyDescent="0.4">
      <c r="A246" s="153"/>
      <c r="B246" s="152"/>
      <c r="C246" s="152" t="s">
        <v>71</v>
      </c>
      <c r="D246" s="152"/>
      <c r="E246" s="151" t="s">
        <v>70</v>
      </c>
      <c r="F246" s="150"/>
      <c r="G246" s="149">
        <v>2.1686567719376484</v>
      </c>
      <c r="H246" s="149">
        <v>4.6785116143595644</v>
      </c>
      <c r="I246" s="149">
        <v>3.1894542798511338</v>
      </c>
      <c r="J246" s="149">
        <v>2.5616826210058008</v>
      </c>
      <c r="K246" s="149">
        <v>2.139476797686342</v>
      </c>
      <c r="L246" s="149">
        <v>2.5258212941214282</v>
      </c>
      <c r="M246" s="149">
        <v>3.8193572683906609</v>
      </c>
      <c r="N246" s="149">
        <v>4.047640639642097</v>
      </c>
      <c r="O246" s="149">
        <v>2.0656595002905362</v>
      </c>
      <c r="P246" s="149">
        <v>4.921579232017308</v>
      </c>
      <c r="Q246" s="149">
        <v>4.3624525230602273</v>
      </c>
      <c r="R246" s="149">
        <v>1.5025475720078987</v>
      </c>
      <c r="S246" s="149">
        <v>3.106592224555655</v>
      </c>
      <c r="T246" s="149">
        <v>4.8982836136019188</v>
      </c>
      <c r="U246" s="149">
        <v>4.4446023063626399</v>
      </c>
      <c r="V246" s="149">
        <v>5.5794867144282279</v>
      </c>
      <c r="W246" s="149">
        <v>1.9068479031115118</v>
      </c>
      <c r="X246" s="149">
        <v>2.9837537138883761</v>
      </c>
      <c r="Y246" s="148">
        <v>2.3632476009248364</v>
      </c>
    </row>
    <row r="247" spans="1:25" outlineLevel="2" x14ac:dyDescent="0.4">
      <c r="A247" s="147"/>
      <c r="B247" s="146"/>
      <c r="C247" s="146"/>
      <c r="D247" s="146" t="s">
        <v>69</v>
      </c>
      <c r="E247" s="145" t="s">
        <v>68</v>
      </c>
      <c r="F247" s="144"/>
      <c r="G247" s="143">
        <v>2.8259017324623699</v>
      </c>
      <c r="H247" s="143">
        <v>3.8530589697555655</v>
      </c>
      <c r="I247" s="143">
        <v>1.0438829787234027</v>
      </c>
      <c r="J247" s="143">
        <v>1.7635059551227101</v>
      </c>
      <c r="K247" s="143">
        <v>0.69835111542191441</v>
      </c>
      <c r="L247" s="143">
        <v>3.1015218647659282</v>
      </c>
      <c r="M247" s="143">
        <v>3.1888390632785217</v>
      </c>
      <c r="N247" s="143">
        <v>4.3396909705456324</v>
      </c>
      <c r="O247" s="143">
        <v>3.69063458089893</v>
      </c>
      <c r="P247" s="143">
        <v>3.6262203626220355</v>
      </c>
      <c r="Q247" s="143">
        <v>2.9340511440107804</v>
      </c>
      <c r="R247" s="143">
        <v>1.574267782426773</v>
      </c>
      <c r="S247" s="143">
        <v>1.6065084187220009</v>
      </c>
      <c r="T247" s="143">
        <v>2.1486849440024258</v>
      </c>
      <c r="U247" s="143">
        <v>-3.6612591159398704</v>
      </c>
      <c r="V247" s="143">
        <v>3.3729852206601834</v>
      </c>
      <c r="W247" s="143">
        <v>5.8234532230746225</v>
      </c>
      <c r="X247" s="143">
        <v>3.3516923221767172</v>
      </c>
      <c r="Y247" s="142">
        <v>0.11036210430425797</v>
      </c>
    </row>
    <row r="248" spans="1:25" outlineLevel="2" x14ac:dyDescent="0.4">
      <c r="A248" s="165"/>
      <c r="B248" s="164"/>
      <c r="C248" s="164"/>
      <c r="D248" s="164" t="s">
        <v>67</v>
      </c>
      <c r="E248" s="163" t="s">
        <v>66</v>
      </c>
      <c r="F248" s="162"/>
      <c r="G248" s="161">
        <v>1.5054602184087429</v>
      </c>
      <c r="H248" s="161">
        <v>5.5329286098516803</v>
      </c>
      <c r="I248" s="161">
        <v>5.4758610645889547</v>
      </c>
      <c r="J248" s="161">
        <v>3.3413876423886677</v>
      </c>
      <c r="K248" s="161">
        <v>3.5874139889103986</v>
      </c>
      <c r="L248" s="161">
        <v>1.954082290726177</v>
      </c>
      <c r="M248" s="161">
        <v>4.4594851034221108</v>
      </c>
      <c r="N248" s="161">
        <v>3.7604456824512624</v>
      </c>
      <c r="O248" s="161">
        <v>0.42019258826961448</v>
      </c>
      <c r="P248" s="161">
        <v>6.264892195036893</v>
      </c>
      <c r="Q248" s="161">
        <v>5.813508340169534</v>
      </c>
      <c r="R248" s="161">
        <v>1.4316725242919262</v>
      </c>
      <c r="S248" s="161">
        <v>4.6369426751592329</v>
      </c>
      <c r="T248" s="161">
        <v>7.6552227903579251</v>
      </c>
      <c r="U248" s="161">
        <v>12.0142941149862</v>
      </c>
      <c r="V248" s="161">
        <v>7.2891006743932536</v>
      </c>
      <c r="W248" s="161">
        <v>-1.0990665462210103</v>
      </c>
      <c r="X248" s="161">
        <v>2.6754452732531604</v>
      </c>
      <c r="Y248" s="160">
        <v>4.2604247748248696</v>
      </c>
    </row>
    <row r="249" spans="1:25" ht="28" outlineLevel="1" x14ac:dyDescent="0.4">
      <c r="A249" s="171"/>
      <c r="B249" s="170"/>
      <c r="C249" s="170" t="s">
        <v>65</v>
      </c>
      <c r="D249" s="170"/>
      <c r="E249" s="169" t="s">
        <v>63</v>
      </c>
      <c r="F249" s="168"/>
      <c r="G249" s="167">
        <v>6.5701895925776483</v>
      </c>
      <c r="H249" s="167">
        <v>2.5975869410929704</v>
      </c>
      <c r="I249" s="167">
        <v>1.9738055709278797</v>
      </c>
      <c r="J249" s="167">
        <v>3.2787626628075373</v>
      </c>
      <c r="K249" s="167">
        <v>3.2228401278626677</v>
      </c>
      <c r="L249" s="167">
        <v>0.95023968099097544</v>
      </c>
      <c r="M249" s="167">
        <v>4.2862545699037753</v>
      </c>
      <c r="N249" s="167">
        <v>9.0180118467179824</v>
      </c>
      <c r="O249" s="167">
        <v>2.5984106449824509</v>
      </c>
      <c r="P249" s="167">
        <v>5.9874630737084829</v>
      </c>
      <c r="Q249" s="167">
        <v>3.048946295037382</v>
      </c>
      <c r="R249" s="167">
        <v>5.191806577167938</v>
      </c>
      <c r="S249" s="167">
        <v>5.0547176319337694</v>
      </c>
      <c r="T249" s="167">
        <v>6.7008924573918733</v>
      </c>
      <c r="U249" s="167">
        <v>-3.810003356831146</v>
      </c>
      <c r="V249" s="167">
        <v>19.391612865701148</v>
      </c>
      <c r="W249" s="167">
        <v>0.27524723534857287</v>
      </c>
      <c r="X249" s="167">
        <v>9.0776592902081887</v>
      </c>
      <c r="Y249" s="166">
        <v>5.4710716194548326</v>
      </c>
    </row>
    <row r="250" spans="1:25" outlineLevel="2" x14ac:dyDescent="0.4">
      <c r="A250" s="165"/>
      <c r="B250" s="164"/>
      <c r="C250" s="164"/>
      <c r="D250" s="164" t="s">
        <v>64</v>
      </c>
      <c r="E250" s="163" t="s">
        <v>63</v>
      </c>
      <c r="F250" s="162"/>
      <c r="G250" s="161">
        <v>6.5701895925776483</v>
      </c>
      <c r="H250" s="161">
        <v>2.5975869410929704</v>
      </c>
      <c r="I250" s="161">
        <v>1.9738055709278797</v>
      </c>
      <c r="J250" s="161">
        <v>3.2787626628075373</v>
      </c>
      <c r="K250" s="161">
        <v>3.2228401278626677</v>
      </c>
      <c r="L250" s="161">
        <v>0.95023968099097544</v>
      </c>
      <c r="M250" s="161">
        <v>4.2862545699037753</v>
      </c>
      <c r="N250" s="161">
        <v>9.0180118467179824</v>
      </c>
      <c r="O250" s="161">
        <v>2.5984106449824509</v>
      </c>
      <c r="P250" s="161">
        <v>5.9874630737084829</v>
      </c>
      <c r="Q250" s="161">
        <v>3.048946295037382</v>
      </c>
      <c r="R250" s="161">
        <v>5.191806577167938</v>
      </c>
      <c r="S250" s="161">
        <v>5.0547176319337694</v>
      </c>
      <c r="T250" s="161">
        <v>6.7008924573918733</v>
      </c>
      <c r="U250" s="161">
        <v>-3.810003356831146</v>
      </c>
      <c r="V250" s="161">
        <v>19.391612865701148</v>
      </c>
      <c r="W250" s="161">
        <v>0.27524723534857287</v>
      </c>
      <c r="X250" s="161">
        <v>9.0776592902081887</v>
      </c>
      <c r="Y250" s="160">
        <v>5.4710716194548326</v>
      </c>
    </row>
    <row r="251" spans="1:25" ht="70" x14ac:dyDescent="0.4">
      <c r="A251" s="159"/>
      <c r="B251" s="158" t="s">
        <v>242</v>
      </c>
      <c r="C251" s="158"/>
      <c r="D251" s="158"/>
      <c r="E251" s="157" t="s">
        <v>61</v>
      </c>
      <c r="F251" s="156"/>
      <c r="G251" s="155">
        <v>5.0720100187852069</v>
      </c>
      <c r="H251" s="155">
        <v>5.2964839094159686</v>
      </c>
      <c r="I251" s="155">
        <v>2.992571630703921</v>
      </c>
      <c r="J251" s="155">
        <v>2.3286165682099238</v>
      </c>
      <c r="K251" s="155">
        <v>2.4300194670067867</v>
      </c>
      <c r="L251" s="155">
        <v>6.0882102365816877</v>
      </c>
      <c r="M251" s="155">
        <v>3.0207561156412055</v>
      </c>
      <c r="N251" s="155">
        <v>6.2421298794747173</v>
      </c>
      <c r="O251" s="155">
        <v>2.7768371147984965</v>
      </c>
      <c r="P251" s="155">
        <v>4.2394288852279089</v>
      </c>
      <c r="Q251" s="155">
        <v>5.5420925086924484</v>
      </c>
      <c r="R251" s="155">
        <v>2.1064190875511599</v>
      </c>
      <c r="S251" s="155">
        <v>2.2927258506061747</v>
      </c>
      <c r="T251" s="155">
        <v>13.037037037037052</v>
      </c>
      <c r="U251" s="155">
        <v>-11.787088318606521</v>
      </c>
      <c r="V251" s="155">
        <v>34.426072369997598</v>
      </c>
      <c r="W251" s="155">
        <v>28.108956075299488</v>
      </c>
      <c r="X251" s="155">
        <v>10.45864410553267</v>
      </c>
      <c r="Y251" s="154">
        <v>8.2228017132778888</v>
      </c>
    </row>
    <row r="252" spans="1:25" ht="28" outlineLevel="1" x14ac:dyDescent="0.4">
      <c r="A252" s="153"/>
      <c r="B252" s="152"/>
      <c r="C252" s="152" t="s">
        <v>60</v>
      </c>
      <c r="D252" s="152"/>
      <c r="E252" s="151" t="s">
        <v>58</v>
      </c>
      <c r="F252" s="150"/>
      <c r="G252" s="149">
        <v>6.3914027149321271</v>
      </c>
      <c r="H252" s="149">
        <v>6.4433811802232981</v>
      </c>
      <c r="I252" s="149">
        <v>4.4650884027569617</v>
      </c>
      <c r="J252" s="149">
        <v>2.4192006119716893</v>
      </c>
      <c r="K252" s="149">
        <v>2.6421435907011386</v>
      </c>
      <c r="L252" s="149">
        <v>7.0856830998726537</v>
      </c>
      <c r="M252" s="149">
        <v>3.1088082901554515</v>
      </c>
      <c r="N252" s="149">
        <v>7.5129747096136441</v>
      </c>
      <c r="O252" s="149">
        <v>2.4289326488391652</v>
      </c>
      <c r="P252" s="149">
        <v>4.6603830041891143</v>
      </c>
      <c r="Q252" s="149">
        <v>6.0896290472446566</v>
      </c>
      <c r="R252" s="149">
        <v>2.0683150306541904</v>
      </c>
      <c r="S252" s="149">
        <v>2.1518151815181454</v>
      </c>
      <c r="T252" s="149">
        <v>16.677436029981905</v>
      </c>
      <c r="U252" s="149">
        <v>-7.2049620645732944</v>
      </c>
      <c r="V252" s="149">
        <v>40.70183814752923</v>
      </c>
      <c r="W252" s="149">
        <v>26.887512724804893</v>
      </c>
      <c r="X252" s="149">
        <v>12.147751963897704</v>
      </c>
      <c r="Y252" s="148">
        <v>8.6429997913499648</v>
      </c>
    </row>
    <row r="253" spans="1:25" ht="28" outlineLevel="2" x14ac:dyDescent="0.4">
      <c r="A253" s="147"/>
      <c r="B253" s="146"/>
      <c r="C253" s="146"/>
      <c r="D253" s="146" t="s">
        <v>59</v>
      </c>
      <c r="E253" s="145" t="s">
        <v>58</v>
      </c>
      <c r="F253" s="144"/>
      <c r="G253" s="143">
        <v>6.3914027149321271</v>
      </c>
      <c r="H253" s="143">
        <v>6.4433811802232981</v>
      </c>
      <c r="I253" s="143">
        <v>4.4650884027569617</v>
      </c>
      <c r="J253" s="143">
        <v>2.4192006119716893</v>
      </c>
      <c r="K253" s="143">
        <v>2.6421435907011386</v>
      </c>
      <c r="L253" s="143">
        <v>7.0856830998726537</v>
      </c>
      <c r="M253" s="143">
        <v>3.1088082901554515</v>
      </c>
      <c r="N253" s="143">
        <v>7.5129747096136441</v>
      </c>
      <c r="O253" s="143">
        <v>2.4289326488391652</v>
      </c>
      <c r="P253" s="143">
        <v>4.6603830041891143</v>
      </c>
      <c r="Q253" s="143">
        <v>6.0896290472446566</v>
      </c>
      <c r="R253" s="143">
        <v>2.0683150306541904</v>
      </c>
      <c r="S253" s="143">
        <v>2.1518151815181454</v>
      </c>
      <c r="T253" s="143">
        <v>16.677436029981905</v>
      </c>
      <c r="U253" s="143">
        <v>-7.2049620645732944</v>
      </c>
      <c r="V253" s="143">
        <v>40.70183814752923</v>
      </c>
      <c r="W253" s="143">
        <v>26.887512724804893</v>
      </c>
      <c r="X253" s="143">
        <v>12.147751963897704</v>
      </c>
      <c r="Y253" s="142">
        <v>8.6429997913499648</v>
      </c>
    </row>
    <row r="254" spans="1:25" ht="56" outlineLevel="1" x14ac:dyDescent="0.4">
      <c r="A254" s="153"/>
      <c r="B254" s="152"/>
      <c r="C254" s="152" t="s">
        <v>57</v>
      </c>
      <c r="D254" s="152"/>
      <c r="E254" s="151" t="s">
        <v>56</v>
      </c>
      <c r="F254" s="150"/>
      <c r="G254" s="149">
        <v>2.2086824067021951</v>
      </c>
      <c r="H254" s="149">
        <v>2.682563338301037</v>
      </c>
      <c r="I254" s="149">
        <v>-0.55636187711660057</v>
      </c>
      <c r="J254" s="149">
        <v>2.0919484310386878</v>
      </c>
      <c r="K254" s="149">
        <v>1.8822968787228973</v>
      </c>
      <c r="L254" s="149">
        <v>3.4377923292797021</v>
      </c>
      <c r="M254" s="149">
        <v>2.758308840153731</v>
      </c>
      <c r="N254" s="149">
        <v>2.7062706270627075</v>
      </c>
      <c r="O254" s="149">
        <v>3.7703513281919498</v>
      </c>
      <c r="P254" s="149">
        <v>3.0346820809248527</v>
      </c>
      <c r="Q254" s="149">
        <v>4.0072129833700529</v>
      </c>
      <c r="R254" s="149">
        <v>2.2153727605471119</v>
      </c>
      <c r="S254" s="149">
        <v>2.6950621937429418</v>
      </c>
      <c r="T254" s="149">
        <v>2.9179665993760437</v>
      </c>
      <c r="U254" s="149">
        <v>-26.12339514978602</v>
      </c>
      <c r="V254" s="149">
        <v>9.6307023895727752</v>
      </c>
      <c r="W254" s="149">
        <v>34.081902245706743</v>
      </c>
      <c r="X254" s="149">
        <v>2.430213464696223</v>
      </c>
      <c r="Y254" s="148">
        <v>6.0317409426098152</v>
      </c>
    </row>
    <row r="255" spans="1:25" outlineLevel="2" x14ac:dyDescent="0.4">
      <c r="A255" s="147"/>
      <c r="B255" s="146"/>
      <c r="C255" s="146"/>
      <c r="D255" s="146" t="s">
        <v>55</v>
      </c>
      <c r="E255" s="145" t="s">
        <v>54</v>
      </c>
      <c r="F255" s="144"/>
      <c r="G255" s="143">
        <v>2.2086824067021951</v>
      </c>
      <c r="H255" s="143">
        <v>2.682563338301037</v>
      </c>
      <c r="I255" s="143">
        <v>-0.55636187711660057</v>
      </c>
      <c r="J255" s="143">
        <v>2.0919484310386878</v>
      </c>
      <c r="K255" s="143">
        <v>1.8822968787228973</v>
      </c>
      <c r="L255" s="143">
        <v>3.4377923292797021</v>
      </c>
      <c r="M255" s="143">
        <v>2.758308840153731</v>
      </c>
      <c r="N255" s="143">
        <v>2.7062706270627075</v>
      </c>
      <c r="O255" s="143">
        <v>3.7703513281919498</v>
      </c>
      <c r="P255" s="143">
        <v>3.0346820809248527</v>
      </c>
      <c r="Q255" s="143">
        <v>4.0072129833700529</v>
      </c>
      <c r="R255" s="143">
        <v>2.2153727605471119</v>
      </c>
      <c r="S255" s="143">
        <v>2.6950621937429418</v>
      </c>
      <c r="T255" s="143">
        <v>2.9179665993760437</v>
      </c>
      <c r="U255" s="143">
        <v>-26.12339514978602</v>
      </c>
      <c r="V255" s="143">
        <v>9.6307023895727752</v>
      </c>
      <c r="W255" s="143">
        <v>34.081902245706743</v>
      </c>
      <c r="X255" s="143">
        <v>2.430213464696223</v>
      </c>
      <c r="Y255" s="142">
        <v>6.0317409426098152</v>
      </c>
    </row>
    <row r="256" spans="1:25" x14ac:dyDescent="0.4">
      <c r="A256" s="80" t="s">
        <v>10</v>
      </c>
      <c r="B256" s="79"/>
      <c r="C256" s="141"/>
      <c r="D256" s="59"/>
      <c r="E256" s="141" t="s">
        <v>53</v>
      </c>
      <c r="F256" s="112"/>
      <c r="G256" s="111">
        <v>6.1974423253895168</v>
      </c>
      <c r="H256" s="111">
        <v>6.3080937867288327</v>
      </c>
      <c r="I256" s="111">
        <v>3.0931911193727899</v>
      </c>
      <c r="J256" s="111">
        <v>1.4159440020502956</v>
      </c>
      <c r="K256" s="111">
        <v>4.3336983581054369</v>
      </c>
      <c r="L256" s="111">
        <v>6.6168727764960948</v>
      </c>
      <c r="M256" s="111">
        <v>3.8546560713572262</v>
      </c>
      <c r="N256" s="111">
        <v>5.3135704711314133</v>
      </c>
      <c r="O256" s="111">
        <v>4.4053999110228403</v>
      </c>
      <c r="P256" s="111">
        <v>3.07761336811852</v>
      </c>
      <c r="Q256" s="111">
        <v>2.1889197487348468</v>
      </c>
      <c r="R256" s="111">
        <v>1.3852014777625783</v>
      </c>
      <c r="S256" s="111">
        <v>2.5146820809248425</v>
      </c>
      <c r="T256" s="111">
        <v>3.0681472545714144</v>
      </c>
      <c r="U256" s="111">
        <v>-7.2957332246278099</v>
      </c>
      <c r="V256" s="111">
        <v>10.302561882139671</v>
      </c>
      <c r="W256" s="111">
        <v>6.4155382641861962</v>
      </c>
      <c r="X256" s="111">
        <v>1.0787026609607722</v>
      </c>
      <c r="Y256" s="110">
        <v>1.6559989267836812</v>
      </c>
    </row>
    <row r="257" spans="1:25" x14ac:dyDescent="0.4">
      <c r="A257" s="140" t="s">
        <v>52</v>
      </c>
      <c r="B257" s="138"/>
      <c r="C257" s="138"/>
      <c r="D257" s="139"/>
      <c r="E257" s="138" t="s">
        <v>51</v>
      </c>
      <c r="F257" s="137"/>
      <c r="G257" s="136">
        <v>11.997648442092881</v>
      </c>
      <c r="H257" s="136">
        <v>10.888781573477232</v>
      </c>
      <c r="I257" s="136">
        <v>5.0896559559199517</v>
      </c>
      <c r="J257" s="136">
        <v>-1.5963676330156176</v>
      </c>
      <c r="K257" s="136">
        <v>6.2089169642039792</v>
      </c>
      <c r="L257" s="136">
        <v>10.335137744371266</v>
      </c>
      <c r="M257" s="136">
        <v>4.4874298839080637</v>
      </c>
      <c r="N257" s="136">
        <v>3.3227161933814955</v>
      </c>
      <c r="O257" s="136">
        <v>5.5054634922932166</v>
      </c>
      <c r="P257" s="136">
        <v>1.7147011618815071</v>
      </c>
      <c r="Q257" s="136">
        <v>1.0870004989952662</v>
      </c>
      <c r="R257" s="136">
        <v>1.0913214595423852</v>
      </c>
      <c r="S257" s="136">
        <v>3.0551779657661768</v>
      </c>
      <c r="T257" s="136">
        <v>4.35534269029813</v>
      </c>
      <c r="U257" s="136">
        <v>-6.1345703101032001</v>
      </c>
      <c r="V257" s="136">
        <v>15.884429337168243</v>
      </c>
      <c r="W257" s="136">
        <v>16.042418772563181</v>
      </c>
      <c r="X257" s="136">
        <v>-2.5354851254131887</v>
      </c>
      <c r="Y257" s="135">
        <v>1.0645872401548075</v>
      </c>
    </row>
    <row r="258" spans="1:25" x14ac:dyDescent="0.4">
      <c r="A258" s="134" t="s">
        <v>10</v>
      </c>
      <c r="B258" s="132"/>
      <c r="C258" s="132"/>
      <c r="D258" s="133"/>
      <c r="E258" s="132" t="s">
        <v>9</v>
      </c>
      <c r="F258" s="131"/>
      <c r="G258" s="130">
        <v>6.7168686984440171</v>
      </c>
      <c r="H258" s="130">
        <v>6.7381946909097508</v>
      </c>
      <c r="I258" s="130">
        <v>3.2834461861654063</v>
      </c>
      <c r="J258" s="130">
        <v>1.1396486454806194</v>
      </c>
      <c r="K258" s="130">
        <v>4.4946589707092244</v>
      </c>
      <c r="L258" s="130">
        <v>6.9478919817355518</v>
      </c>
      <c r="M258" s="130">
        <v>3.9126357671611487</v>
      </c>
      <c r="N258" s="130">
        <v>5.1339935199567179</v>
      </c>
      <c r="O258" s="130">
        <v>4.4990300011097162</v>
      </c>
      <c r="P258" s="130">
        <v>2.9559013752752321</v>
      </c>
      <c r="Q258" s="130">
        <v>2.0873825016279426</v>
      </c>
      <c r="R258" s="130">
        <v>1.3593608678874602</v>
      </c>
      <c r="S258" s="130">
        <v>2.5643242827770365</v>
      </c>
      <c r="T258" s="130">
        <v>3.1868553924553282</v>
      </c>
      <c r="U258" s="130">
        <v>-7.1859141376085915</v>
      </c>
      <c r="V258" s="130">
        <v>10.801198190487838</v>
      </c>
      <c r="W258" s="130">
        <v>7.3282772942797862</v>
      </c>
      <c r="X258" s="130">
        <v>0.71238003197433386</v>
      </c>
      <c r="Y258" s="129">
        <v>1.5982815154187904</v>
      </c>
    </row>
    <row r="259" spans="1:25" x14ac:dyDescent="0.4">
      <c r="A259" s="286"/>
      <c r="B259" s="104"/>
      <c r="C259" s="104"/>
      <c r="D259" s="104"/>
      <c r="E259" s="236"/>
      <c r="F259" s="104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207"/>
    </row>
    <row r="260" spans="1:25" ht="16" x14ac:dyDescent="0.45">
      <c r="A260" s="285" t="s">
        <v>50</v>
      </c>
      <c r="B260" s="284"/>
      <c r="C260" s="284"/>
      <c r="D260" s="284"/>
      <c r="E260" s="284"/>
      <c r="F260" s="317"/>
      <c r="G260" s="316"/>
      <c r="H260" s="316"/>
      <c r="I260" s="316"/>
      <c r="J260" s="316"/>
      <c r="K260" s="316"/>
      <c r="L260" s="316"/>
      <c r="M260" s="316"/>
      <c r="N260" s="316"/>
      <c r="O260" s="316"/>
      <c r="P260" s="316"/>
      <c r="Q260" s="316"/>
      <c r="R260" s="316"/>
      <c r="S260" s="316"/>
      <c r="T260" s="316"/>
      <c r="U260" s="316"/>
      <c r="V260" s="316"/>
      <c r="W260" s="316"/>
      <c r="X260" s="316"/>
      <c r="Y260" s="315"/>
    </row>
    <row r="261" spans="1:25" x14ac:dyDescent="0.4">
      <c r="A261" s="281"/>
      <c r="B261" s="280"/>
      <c r="C261" s="280"/>
      <c r="D261" s="280"/>
      <c r="E261" s="279"/>
      <c r="F261" s="104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272"/>
    </row>
    <row r="262" spans="1:25" s="84" customFormat="1" x14ac:dyDescent="0.4">
      <c r="A262" s="310" t="s">
        <v>49</v>
      </c>
      <c r="B262" s="112"/>
      <c r="C262" s="112"/>
      <c r="D262" s="112"/>
      <c r="E262" s="309" t="s">
        <v>48</v>
      </c>
      <c r="F262" s="77"/>
      <c r="G262" s="77">
        <v>6.1721354309589742</v>
      </c>
      <c r="H262" s="77">
        <v>6.2138296366051264</v>
      </c>
      <c r="I262" s="77">
        <v>4.2142148284668934</v>
      </c>
      <c r="J262" s="77">
        <v>2.2149938985638755</v>
      </c>
      <c r="K262" s="77">
        <v>5.0824765204125413</v>
      </c>
      <c r="L262" s="77">
        <v>5.6693547472410444</v>
      </c>
      <c r="M262" s="77">
        <v>5.4921975767138349</v>
      </c>
      <c r="N262" s="77">
        <v>5.3539632419526129</v>
      </c>
      <c r="O262" s="77">
        <v>4.3247175927863424</v>
      </c>
      <c r="P262" s="77">
        <v>3.4046971768183738</v>
      </c>
      <c r="Q262" s="77">
        <v>1.6263777583142911</v>
      </c>
      <c r="R262" s="77">
        <v>2.3303445450821698</v>
      </c>
      <c r="S262" s="77">
        <v>3.9707420517007108</v>
      </c>
      <c r="T262" s="77">
        <v>4.2928428699175356</v>
      </c>
      <c r="U262" s="77">
        <v>-4.2140585056552595</v>
      </c>
      <c r="V262" s="77">
        <v>13.766252065179557</v>
      </c>
      <c r="W262" s="77">
        <v>9.0174036473226664</v>
      </c>
      <c r="X262" s="77">
        <v>0.56904058354226095</v>
      </c>
      <c r="Y262" s="76">
        <v>1.4427689227143503</v>
      </c>
    </row>
    <row r="263" spans="1:25" s="84" customFormat="1" ht="28.5" x14ac:dyDescent="0.4">
      <c r="A263" s="126" t="s">
        <v>47</v>
      </c>
      <c r="B263" s="97"/>
      <c r="C263" s="125"/>
      <c r="D263" s="97"/>
      <c r="E263" s="96" t="s">
        <v>46</v>
      </c>
      <c r="F263" s="82"/>
      <c r="G263" s="82">
        <v>6.3691966244290086</v>
      </c>
      <c r="H263" s="82">
        <v>6.5528517089766183</v>
      </c>
      <c r="I263" s="82">
        <v>4.1150024920242601</v>
      </c>
      <c r="J263" s="82">
        <v>1.7082760263021015</v>
      </c>
      <c r="K263" s="82">
        <v>5.0526094477202577</v>
      </c>
      <c r="L263" s="82">
        <v>5.5007459563706504</v>
      </c>
      <c r="M263" s="82">
        <v>5.6338665764155849</v>
      </c>
      <c r="N263" s="82">
        <v>4.6268973483039701</v>
      </c>
      <c r="O263" s="82">
        <v>4.2490818199372455</v>
      </c>
      <c r="P263" s="82">
        <v>3.0925153980287519</v>
      </c>
      <c r="Q263" s="82">
        <v>1.5836286984154668</v>
      </c>
      <c r="R263" s="82">
        <v>2.0538143670532065</v>
      </c>
      <c r="S263" s="82">
        <v>3.2364963631430044</v>
      </c>
      <c r="T263" s="82">
        <v>4.0705551589474993</v>
      </c>
      <c r="U263" s="82">
        <v>-5.0072670629334226</v>
      </c>
      <c r="V263" s="82">
        <v>14.724089489311282</v>
      </c>
      <c r="W263" s="82">
        <v>10.789757758979007</v>
      </c>
      <c r="X263" s="82">
        <v>0.37988998709859345</v>
      </c>
      <c r="Y263" s="81">
        <v>1.5953088049646311</v>
      </c>
    </row>
    <row r="264" spans="1:25" x14ac:dyDescent="0.4">
      <c r="A264" s="102" t="s">
        <v>45</v>
      </c>
      <c r="B264" s="121"/>
      <c r="C264" s="122"/>
      <c r="D264" s="121"/>
      <c r="E264" s="101" t="s">
        <v>44</v>
      </c>
      <c r="F264" s="57"/>
      <c r="G264" s="57">
        <v>6.3432588845050191</v>
      </c>
      <c r="H264" s="57">
        <v>6.5431941742055528</v>
      </c>
      <c r="I264" s="57">
        <v>4.1497759761041095</v>
      </c>
      <c r="J264" s="57">
        <v>1.6405476458738661</v>
      </c>
      <c r="K264" s="57">
        <v>5.0487915483968635</v>
      </c>
      <c r="L264" s="57">
        <v>5.4614391923529411</v>
      </c>
      <c r="M264" s="57">
        <v>5.5842642606221062</v>
      </c>
      <c r="N264" s="57">
        <v>4.6056491148899426</v>
      </c>
      <c r="O264" s="57">
        <v>4.1808915548775047</v>
      </c>
      <c r="P264" s="57">
        <v>3.1167887608134208</v>
      </c>
      <c r="Q264" s="57">
        <v>1.559935967056262</v>
      </c>
      <c r="R264" s="57">
        <v>2.0900844553001718</v>
      </c>
      <c r="S264" s="57">
        <v>3.2373974064202145</v>
      </c>
      <c r="T264" s="56">
        <v>4.0775434126809671</v>
      </c>
      <c r="U264" s="56">
        <v>-4.9852699740135478</v>
      </c>
      <c r="V264" s="56">
        <v>14.785856676760488</v>
      </c>
      <c r="W264" s="56">
        <v>10.817055619154075</v>
      </c>
      <c r="X264" s="56">
        <v>0.32156781935806578</v>
      </c>
      <c r="Y264" s="55"/>
    </row>
    <row r="265" spans="1:25" ht="14.5" x14ac:dyDescent="0.4">
      <c r="A265" s="120" t="s">
        <v>43</v>
      </c>
      <c r="B265" s="70"/>
      <c r="C265" s="119"/>
      <c r="D265" s="70"/>
      <c r="E265" s="105" t="s">
        <v>255</v>
      </c>
      <c r="F265" s="4"/>
      <c r="G265" s="4">
        <v>13.429256594724222</v>
      </c>
      <c r="H265" s="4">
        <v>9.0204369274136837</v>
      </c>
      <c r="I265" s="4">
        <v>-4.5248868778280524</v>
      </c>
      <c r="J265" s="4">
        <v>19.972918077183493</v>
      </c>
      <c r="K265" s="4">
        <v>5.9819413092550917</v>
      </c>
      <c r="L265" s="4">
        <v>14.589989350372747</v>
      </c>
      <c r="M265" s="4">
        <v>16.44981412639406</v>
      </c>
      <c r="N265" s="4">
        <v>8.8188347964884173</v>
      </c>
      <c r="O265" s="4">
        <v>17.271727172717277</v>
      </c>
      <c r="P265" s="4">
        <v>-0.87554721701063443</v>
      </c>
      <c r="Q265" s="4">
        <v>5.6782334384858189</v>
      </c>
      <c r="R265" s="4">
        <v>-4.0895522388059646</v>
      </c>
      <c r="S265" s="4">
        <v>3.0501089324618675</v>
      </c>
      <c r="T265" s="62">
        <v>2.8390214436726069</v>
      </c>
      <c r="U265" s="62">
        <v>-8.8693098384728444</v>
      </c>
      <c r="V265" s="62">
        <v>3.8672252658717383</v>
      </c>
      <c r="W265" s="62">
        <v>5.6158858206639621</v>
      </c>
      <c r="X265" s="62">
        <v>12.397179788484138</v>
      </c>
      <c r="Y265" s="61"/>
    </row>
    <row r="266" spans="1:25" x14ac:dyDescent="0.4">
      <c r="A266" s="92" t="s">
        <v>41</v>
      </c>
      <c r="B266" s="117"/>
      <c r="C266" s="118"/>
      <c r="D266" s="117"/>
      <c r="E266" s="90" t="s">
        <v>40</v>
      </c>
      <c r="F266" s="57"/>
      <c r="G266" s="57">
        <v>5.2134991119005463</v>
      </c>
      <c r="H266" s="57">
        <v>4.5689049754200255</v>
      </c>
      <c r="I266" s="57">
        <v>4.6973278055458536</v>
      </c>
      <c r="J266" s="57">
        <v>4.7629033849797793</v>
      </c>
      <c r="K266" s="57">
        <v>5.2257874595231186</v>
      </c>
      <c r="L266" s="57">
        <v>6.4769535490079733</v>
      </c>
      <c r="M266" s="57">
        <v>4.8070960893737293</v>
      </c>
      <c r="N266" s="57">
        <v>8.8954625219353147</v>
      </c>
      <c r="O266" s="57">
        <v>4.6760469998895076</v>
      </c>
      <c r="P266" s="57">
        <v>4.8507134437074484</v>
      </c>
      <c r="Q266" s="57">
        <v>1.8240091284357476</v>
      </c>
      <c r="R266" s="57">
        <v>3.6428206522634667</v>
      </c>
      <c r="S266" s="57">
        <v>7.3515498914797632</v>
      </c>
      <c r="T266" s="57">
        <v>5.2743834703399273</v>
      </c>
      <c r="U266" s="57">
        <v>-0.76045359896448872</v>
      </c>
      <c r="V266" s="57">
        <v>9.8184602079803796</v>
      </c>
      <c r="W266" s="57">
        <v>0.98759375685828843</v>
      </c>
      <c r="X266" s="57">
        <v>1.564057985835916</v>
      </c>
      <c r="Y266" s="278">
        <v>0.67631640224293221</v>
      </c>
    </row>
    <row r="267" spans="1:25" x14ac:dyDescent="0.4">
      <c r="A267" s="277"/>
      <c r="B267" s="104"/>
      <c r="C267" s="276"/>
      <c r="D267" s="104"/>
      <c r="E267" s="275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3"/>
    </row>
    <row r="268" spans="1:25" x14ac:dyDescent="0.4">
      <c r="A268" s="80" t="s">
        <v>39</v>
      </c>
      <c r="B268" s="79"/>
      <c r="C268" s="79"/>
      <c r="D268" s="79"/>
      <c r="E268" s="78" t="s">
        <v>38</v>
      </c>
      <c r="F268" s="112"/>
      <c r="G268" s="77">
        <v>16.933809963099634</v>
      </c>
      <c r="H268" s="111">
        <v>15.797051427444416</v>
      </c>
      <c r="I268" s="111">
        <v>9.0833219784711758</v>
      </c>
      <c r="J268" s="111">
        <v>-6.295573424935597</v>
      </c>
      <c r="K268" s="111">
        <v>9.562094879442796</v>
      </c>
      <c r="L268" s="111">
        <v>18.515927393291392</v>
      </c>
      <c r="M268" s="111">
        <v>2.8867130354438757</v>
      </c>
      <c r="N268" s="111">
        <v>7.8066242181214989</v>
      </c>
      <c r="O268" s="111">
        <v>11.953560210332668</v>
      </c>
      <c r="P268" s="111">
        <v>-1.1512248557093585</v>
      </c>
      <c r="Q268" s="111">
        <v>-0.16256762761035759</v>
      </c>
      <c r="R268" s="111">
        <v>-3.2283736661884603</v>
      </c>
      <c r="S268" s="111">
        <v>1.5041011102213844</v>
      </c>
      <c r="T268" s="111">
        <v>2.9524327320796573</v>
      </c>
      <c r="U268" s="111">
        <v>-20.680621495544855</v>
      </c>
      <c r="V268" s="111">
        <v>11.56635313929884</v>
      </c>
      <c r="W268" s="111">
        <v>16.042896508954314</v>
      </c>
      <c r="X268" s="111">
        <v>-16.019138466502653</v>
      </c>
      <c r="Y268" s="110">
        <v>5.2298839533892334</v>
      </c>
    </row>
    <row r="269" spans="1:25" x14ac:dyDescent="0.4">
      <c r="A269" s="71" t="s">
        <v>37</v>
      </c>
      <c r="D269" s="1"/>
      <c r="E269" s="215" t="s">
        <v>36</v>
      </c>
      <c r="F269" s="104"/>
      <c r="G269" s="103">
        <v>18.771672601177599</v>
      </c>
      <c r="H269" s="103">
        <v>19.891251102184768</v>
      </c>
      <c r="I269" s="103">
        <v>-2.7154682814019395</v>
      </c>
      <c r="J269" s="103">
        <v>4.4552708945821138</v>
      </c>
      <c r="K269" s="103">
        <v>7.104717178377868</v>
      </c>
      <c r="L269" s="103">
        <v>12.21196945693714</v>
      </c>
      <c r="M269" s="103">
        <v>3.3341362559717425</v>
      </c>
      <c r="N269" s="103">
        <v>8.4798332005931059</v>
      </c>
      <c r="O269" s="103">
        <v>9.2065443823007911</v>
      </c>
      <c r="P269" s="103">
        <v>2.8083101493793663</v>
      </c>
      <c r="Q269" s="103">
        <v>-2.8900289747202095</v>
      </c>
      <c r="R269" s="103">
        <v>1.8542749056986025</v>
      </c>
      <c r="S269" s="103">
        <v>1.0368403513109712</v>
      </c>
      <c r="T269" s="103">
        <v>2.2364676153743943</v>
      </c>
      <c r="U269" s="103">
        <v>-23.621727660150171</v>
      </c>
      <c r="V269" s="103">
        <v>16.69607515856741</v>
      </c>
      <c r="W269" s="103">
        <v>11.498044252437396</v>
      </c>
      <c r="X269" s="103">
        <v>-12.711993088462449</v>
      </c>
      <c r="Y269" s="272">
        <v>3.1567780597095521</v>
      </c>
    </row>
    <row r="270" spans="1:25" outlineLevel="1" x14ac:dyDescent="0.4">
      <c r="A270" s="107" t="s">
        <v>35</v>
      </c>
      <c r="B270" s="59"/>
      <c r="C270" s="59"/>
      <c r="D270" s="59"/>
      <c r="E270" s="101" t="s">
        <v>34</v>
      </c>
      <c r="F270" s="100"/>
      <c r="G270" s="99">
        <v>14.943689901597651</v>
      </c>
      <c r="H270" s="99">
        <v>24.514175970834273</v>
      </c>
      <c r="I270" s="99">
        <v>-22.851092753320088</v>
      </c>
      <c r="J270" s="99">
        <v>15.411202602419436</v>
      </c>
      <c r="K270" s="99">
        <v>-3.8492028538712191</v>
      </c>
      <c r="L270" s="99">
        <v>2.3940393306461516</v>
      </c>
      <c r="M270" s="99">
        <v>-0.74853870929261745</v>
      </c>
      <c r="N270" s="99">
        <v>6.442114119167087</v>
      </c>
      <c r="O270" s="99">
        <v>10.359915314043747</v>
      </c>
      <c r="P270" s="99">
        <v>9.4871466939506348</v>
      </c>
      <c r="Q270" s="99">
        <v>-0.23595925614428381</v>
      </c>
      <c r="R270" s="99">
        <v>-1.8921387256164621</v>
      </c>
      <c r="S270" s="99">
        <v>-0.36519871106337121</v>
      </c>
      <c r="T270" s="269">
        <v>-8.8687652723875203</v>
      </c>
      <c r="U270" s="269">
        <v>-32.681388012618299</v>
      </c>
      <c r="V270" s="269">
        <v>39.831302717900655</v>
      </c>
      <c r="W270" s="269">
        <v>2.0274798927613915</v>
      </c>
      <c r="X270" s="269">
        <v>-4.3822193025674636</v>
      </c>
      <c r="Y270" s="268">
        <v>-2.3514292966486749</v>
      </c>
    </row>
    <row r="271" spans="1:25" outlineLevel="1" x14ac:dyDescent="0.4">
      <c r="A271" s="106" t="s">
        <v>33</v>
      </c>
      <c r="D271" s="1"/>
      <c r="E271" s="105" t="s">
        <v>32</v>
      </c>
      <c r="F271" s="104"/>
      <c r="G271" s="103">
        <v>8.7049010552243402</v>
      </c>
      <c r="H271" s="103">
        <v>19.404176429693337</v>
      </c>
      <c r="I271" s="103">
        <v>-9.0181786815603999</v>
      </c>
      <c r="J271" s="103">
        <v>16.681282738024692</v>
      </c>
      <c r="K271" s="103">
        <v>5.0884641166792051</v>
      </c>
      <c r="L271" s="103">
        <v>-0.93555495418873136</v>
      </c>
      <c r="M271" s="103">
        <v>4.4351219512195144</v>
      </c>
      <c r="N271" s="103">
        <v>12.263886553444308</v>
      </c>
      <c r="O271" s="103">
        <v>9.6260422387538114</v>
      </c>
      <c r="P271" s="103">
        <v>10.227566000212533</v>
      </c>
      <c r="Q271" s="103">
        <v>-1.9281621859846609E-2</v>
      </c>
      <c r="R271" s="103">
        <v>4.6271041683885699</v>
      </c>
      <c r="S271" s="103">
        <v>-3.4771503429752642</v>
      </c>
      <c r="T271" s="270">
        <v>1.0844063727629987</v>
      </c>
      <c r="U271" s="270">
        <v>-30.791962972458748</v>
      </c>
      <c r="V271" s="270">
        <v>0.94174075807207203</v>
      </c>
      <c r="W271" s="270">
        <v>-4.2881149678391353</v>
      </c>
      <c r="X271" s="270">
        <v>-5.5114932090169759</v>
      </c>
      <c r="Y271" s="271">
        <v>9.5747900939134638</v>
      </c>
    </row>
    <row r="272" spans="1:25" outlineLevel="1" x14ac:dyDescent="0.4">
      <c r="A272" s="107" t="s">
        <v>31</v>
      </c>
      <c r="B272" s="59"/>
      <c r="C272" s="59"/>
      <c r="D272" s="59"/>
      <c r="E272" s="101" t="s">
        <v>30</v>
      </c>
      <c r="F272" s="100"/>
      <c r="G272" s="99">
        <v>32.168759583903181</v>
      </c>
      <c r="H272" s="99">
        <v>19.591734345113025</v>
      </c>
      <c r="I272" s="99">
        <v>8.9278691103594809</v>
      </c>
      <c r="J272" s="99">
        <v>-9.4381860196418188</v>
      </c>
      <c r="K272" s="99">
        <v>15.59950030566408</v>
      </c>
      <c r="L272" s="99">
        <v>29.347926055366514</v>
      </c>
      <c r="M272" s="99">
        <v>4.0084613196814729</v>
      </c>
      <c r="N272" s="99">
        <v>4.809352087641642</v>
      </c>
      <c r="O272" s="99">
        <v>9.2050550346514513</v>
      </c>
      <c r="P272" s="99">
        <v>-9.2907271912796858</v>
      </c>
      <c r="Q272" s="99">
        <v>-7.8619872259169057</v>
      </c>
      <c r="R272" s="99">
        <v>1.3989137425855773</v>
      </c>
      <c r="S272" s="99">
        <v>8.6388864417231872</v>
      </c>
      <c r="T272" s="269">
        <v>12.256317104025442</v>
      </c>
      <c r="U272" s="269">
        <v>-13.270244889113641</v>
      </c>
      <c r="V272" s="269">
        <v>23.346660003331678</v>
      </c>
      <c r="W272" s="269">
        <v>30.504422986022007</v>
      </c>
      <c r="X272" s="269">
        <v>-22.604313270966131</v>
      </c>
      <c r="Y272" s="268">
        <v>1.7362461477476359</v>
      </c>
    </row>
    <row r="273" spans="1:25" outlineLevel="1" x14ac:dyDescent="0.4">
      <c r="A273" s="106" t="s">
        <v>29</v>
      </c>
      <c r="D273" s="1"/>
      <c r="E273" s="105" t="s">
        <v>28</v>
      </c>
      <c r="F273" s="104"/>
      <c r="G273" s="103">
        <v>5.6582421727650001</v>
      </c>
      <c r="H273" s="103">
        <v>-0.9282399143163218</v>
      </c>
      <c r="I273" s="103">
        <v>1.7657657657657637</v>
      </c>
      <c r="J273" s="103">
        <v>7.71954674220963</v>
      </c>
      <c r="K273" s="103">
        <v>2.7942143326758782</v>
      </c>
      <c r="L273" s="103">
        <v>11.192836584585876</v>
      </c>
      <c r="M273" s="103">
        <v>-5.6945642795513436</v>
      </c>
      <c r="N273" s="103">
        <v>6.5873741994510624</v>
      </c>
      <c r="O273" s="103">
        <v>-1.2875536480686662</v>
      </c>
      <c r="P273" s="103">
        <v>2.318840579710141</v>
      </c>
      <c r="Q273" s="103">
        <v>13.144475920679895</v>
      </c>
      <c r="R273" s="103">
        <v>0.27541311967951287</v>
      </c>
      <c r="S273" s="103">
        <v>-3.0961298377028754</v>
      </c>
      <c r="T273" s="270">
        <v>7.8845658335480664</v>
      </c>
      <c r="U273" s="270">
        <v>-1.839025555290192</v>
      </c>
      <c r="V273" s="270">
        <v>-0.94890510948904705</v>
      </c>
      <c r="W273" s="270">
        <v>-12.453942520265286</v>
      </c>
      <c r="X273" s="270">
        <v>5.0224466891133517</v>
      </c>
      <c r="Y273" s="271">
        <v>8.230620769591269</v>
      </c>
    </row>
    <row r="274" spans="1:25" outlineLevel="1" x14ac:dyDescent="0.4">
      <c r="A274" s="102" t="s">
        <v>27</v>
      </c>
      <c r="B274" s="59"/>
      <c r="C274" s="59"/>
      <c r="D274" s="59"/>
      <c r="E274" s="101" t="s">
        <v>26</v>
      </c>
      <c r="F274" s="100"/>
      <c r="G274" s="99">
        <v>-5.965840750541247</v>
      </c>
      <c r="H274" s="99">
        <v>21.56561780506523</v>
      </c>
      <c r="I274" s="99">
        <v>6.755050505050491</v>
      </c>
      <c r="J274" s="99">
        <v>7.1949536763256532</v>
      </c>
      <c r="K274" s="99">
        <v>-0.51489518205222851</v>
      </c>
      <c r="L274" s="99">
        <v>13.068391866913132</v>
      </c>
      <c r="M274" s="99">
        <v>8.0104626450874719</v>
      </c>
      <c r="N274" s="99">
        <v>19.570152868170126</v>
      </c>
      <c r="O274" s="99">
        <v>5.0506329113923982</v>
      </c>
      <c r="P274" s="99">
        <v>1.2772623207615368</v>
      </c>
      <c r="Q274" s="99">
        <v>-12.00475907198097</v>
      </c>
      <c r="R274" s="99">
        <v>1.1898323418063796</v>
      </c>
      <c r="S274" s="99">
        <v>1.5232495991448474</v>
      </c>
      <c r="T274" s="269">
        <v>-0.67122927086074924</v>
      </c>
      <c r="U274" s="269">
        <v>-8.3211872267125955</v>
      </c>
      <c r="V274" s="269">
        <v>3.396444572915172</v>
      </c>
      <c r="W274" s="269">
        <v>7.3385518590997947</v>
      </c>
      <c r="X274" s="269">
        <v>2.0054694621695575</v>
      </c>
      <c r="Y274" s="268">
        <v>-0.31530656389527678</v>
      </c>
    </row>
    <row r="275" spans="1:25" x14ac:dyDescent="0.4">
      <c r="A275" s="71" t="s">
        <v>25</v>
      </c>
      <c r="D275" s="1"/>
      <c r="E275" s="215" t="s">
        <v>24</v>
      </c>
      <c r="F275" s="104"/>
      <c r="G275" s="270" t="s">
        <v>254</v>
      </c>
      <c r="H275" s="270" t="s">
        <v>254</v>
      </c>
      <c r="I275" s="270" t="s">
        <v>254</v>
      </c>
      <c r="J275" s="270" t="s">
        <v>254</v>
      </c>
      <c r="K275" s="270" t="s">
        <v>254</v>
      </c>
      <c r="L275" s="270" t="s">
        <v>254</v>
      </c>
      <c r="M275" s="270" t="s">
        <v>254</v>
      </c>
      <c r="N275" s="270" t="s">
        <v>254</v>
      </c>
      <c r="O275" s="270" t="s">
        <v>254</v>
      </c>
      <c r="P275" s="270" t="s">
        <v>254</v>
      </c>
      <c r="Q275" s="270" t="s">
        <v>254</v>
      </c>
      <c r="R275" s="270" t="s">
        <v>254</v>
      </c>
      <c r="S275" s="270" t="s">
        <v>254</v>
      </c>
      <c r="T275" s="270" t="s">
        <v>254</v>
      </c>
      <c r="U275" s="270" t="s">
        <v>254</v>
      </c>
      <c r="V275" s="270" t="s">
        <v>254</v>
      </c>
      <c r="W275" s="270" t="s">
        <v>254</v>
      </c>
      <c r="X275" s="270" t="s">
        <v>254</v>
      </c>
      <c r="Y275" s="271" t="s">
        <v>254</v>
      </c>
    </row>
    <row r="276" spans="1:25" x14ac:dyDescent="0.4">
      <c r="A276" s="214" t="s">
        <v>23</v>
      </c>
      <c r="B276" s="59"/>
      <c r="C276" s="59"/>
      <c r="D276" s="59"/>
      <c r="E276" s="213" t="s">
        <v>22</v>
      </c>
      <c r="F276" s="100"/>
      <c r="G276" s="99">
        <v>14.285714285714278</v>
      </c>
      <c r="H276" s="99">
        <v>12.5</v>
      </c>
      <c r="I276" s="99">
        <v>5.5555555555555571</v>
      </c>
      <c r="J276" s="99">
        <v>0</v>
      </c>
      <c r="K276" s="99">
        <v>5.2631578947368354</v>
      </c>
      <c r="L276" s="99">
        <v>14.999999999999986</v>
      </c>
      <c r="M276" s="99">
        <v>8.6956521739130324</v>
      </c>
      <c r="N276" s="99">
        <v>4</v>
      </c>
      <c r="O276" s="99">
        <v>3.8461538461538538</v>
      </c>
      <c r="P276" s="99">
        <v>0</v>
      </c>
      <c r="Q276" s="99">
        <v>0</v>
      </c>
      <c r="R276" s="99">
        <v>-18.518518518518519</v>
      </c>
      <c r="S276" s="99">
        <v>0</v>
      </c>
      <c r="T276" s="269">
        <v>0</v>
      </c>
      <c r="U276" s="269">
        <v>0</v>
      </c>
      <c r="V276" s="269">
        <v>0</v>
      </c>
      <c r="W276" s="269">
        <v>4.5454545454545467</v>
      </c>
      <c r="X276" s="269">
        <v>4.3478260869565162</v>
      </c>
      <c r="Y276" s="268">
        <v>-100</v>
      </c>
    </row>
    <row r="277" spans="1:25" s="84" customFormat="1" x14ac:dyDescent="0.4">
      <c r="A277" s="314" t="s">
        <v>21</v>
      </c>
      <c r="B277" s="212"/>
      <c r="C277" s="212"/>
      <c r="D277" s="212"/>
      <c r="E277" s="313" t="s">
        <v>20</v>
      </c>
      <c r="F277" s="212"/>
      <c r="G277" s="312">
        <v>9.5182978723404261</v>
      </c>
      <c r="H277" s="312">
        <v>6.2198874762985383</v>
      </c>
      <c r="I277" s="312">
        <v>2.0367552382067231</v>
      </c>
      <c r="J277" s="312">
        <v>-5.2063018622614834</v>
      </c>
      <c r="K277" s="312">
        <v>2.0623651142620787</v>
      </c>
      <c r="L277" s="312">
        <v>12.257541772477111</v>
      </c>
      <c r="M277" s="312">
        <v>4.4732765298218311</v>
      </c>
      <c r="N277" s="312">
        <v>4.6768893756845529</v>
      </c>
      <c r="O277" s="312">
        <v>-0.28895453191780973</v>
      </c>
      <c r="P277" s="312">
        <v>1.6580294150885493</v>
      </c>
      <c r="Q277" s="312">
        <v>-0.20883623427772591</v>
      </c>
      <c r="R277" s="312">
        <v>2.5693665305992539</v>
      </c>
      <c r="S277" s="312">
        <v>0.64234845076103397</v>
      </c>
      <c r="T277" s="312">
        <v>3.084097741463026</v>
      </c>
      <c r="U277" s="312">
        <v>-22.459265241417469</v>
      </c>
      <c r="V277" s="312">
        <v>14.634122820552392</v>
      </c>
      <c r="W277" s="312">
        <v>12.460566496454135</v>
      </c>
      <c r="X277" s="312">
        <v>3.0796735560991237</v>
      </c>
      <c r="Y277" s="311">
        <v>2.5472786647314933</v>
      </c>
    </row>
    <row r="278" spans="1:25" s="84" customFormat="1" x14ac:dyDescent="0.4">
      <c r="A278" s="310" t="s">
        <v>19</v>
      </c>
      <c r="B278" s="112"/>
      <c r="C278" s="112"/>
      <c r="D278" s="112"/>
      <c r="E278" s="309" t="s">
        <v>18</v>
      </c>
      <c r="F278" s="112"/>
      <c r="G278" s="111">
        <v>17.681811251715203</v>
      </c>
      <c r="H278" s="111">
        <v>13.858029689608628</v>
      </c>
      <c r="I278" s="111">
        <v>12.511734195579407</v>
      </c>
      <c r="J278" s="111">
        <v>-8.6476874325782092</v>
      </c>
      <c r="K278" s="111">
        <v>10.829835324507584</v>
      </c>
      <c r="L278" s="111">
        <v>20.229077530091402</v>
      </c>
      <c r="M278" s="111">
        <v>9.3750865435210216</v>
      </c>
      <c r="N278" s="111">
        <v>8.5240256493033968</v>
      </c>
      <c r="O278" s="111">
        <v>7.7600135321943782</v>
      </c>
      <c r="P278" s="111">
        <v>-1.0809377148208057</v>
      </c>
      <c r="Q278" s="111">
        <v>-3.5409028727770249</v>
      </c>
      <c r="R278" s="111">
        <v>1.0188394533665388</v>
      </c>
      <c r="S278" s="111">
        <v>5.8054190650006916</v>
      </c>
      <c r="T278" s="111">
        <v>7.3439730804137753</v>
      </c>
      <c r="U278" s="111">
        <v>-20.09245982694685</v>
      </c>
      <c r="V278" s="111">
        <v>26.728666629540939</v>
      </c>
      <c r="W278" s="111">
        <v>24.003222498901408</v>
      </c>
      <c r="X278" s="111">
        <v>-9.876718207984382</v>
      </c>
      <c r="Y278" s="110">
        <v>4.3866230934915649</v>
      </c>
    </row>
    <row r="279" spans="1:25" x14ac:dyDescent="0.4">
      <c r="A279" s="308" t="s">
        <v>10</v>
      </c>
      <c r="B279" s="306"/>
      <c r="C279" s="307"/>
      <c r="D279" s="306"/>
      <c r="E279" s="305" t="s">
        <v>9</v>
      </c>
      <c r="F279" s="304"/>
      <c r="G279" s="303">
        <v>6.7168686984440171</v>
      </c>
      <c r="H279" s="303">
        <v>6.7381946909097508</v>
      </c>
      <c r="I279" s="303">
        <v>3.2834461861654063</v>
      </c>
      <c r="J279" s="303">
        <v>1.1396486454806194</v>
      </c>
      <c r="K279" s="303">
        <v>4.4946589707092244</v>
      </c>
      <c r="L279" s="303">
        <v>6.9478919817355518</v>
      </c>
      <c r="M279" s="303">
        <v>3.9126357671611487</v>
      </c>
      <c r="N279" s="303">
        <v>5.1339935199567179</v>
      </c>
      <c r="O279" s="303">
        <v>4.4990300011097162</v>
      </c>
      <c r="P279" s="303">
        <v>2.9559013752752321</v>
      </c>
      <c r="Q279" s="303">
        <v>2.0873825016279426</v>
      </c>
      <c r="R279" s="303">
        <v>1.3593608678874602</v>
      </c>
      <c r="S279" s="303">
        <v>2.5643242827770365</v>
      </c>
      <c r="T279" s="303">
        <v>3.1868553924553282</v>
      </c>
      <c r="U279" s="303">
        <v>-7.1859141376085915</v>
      </c>
      <c r="V279" s="303">
        <v>10.801198190487838</v>
      </c>
      <c r="W279" s="303">
        <v>7.3282772942797862</v>
      </c>
      <c r="X279" s="303">
        <v>0.71238003197433386</v>
      </c>
      <c r="Y279" s="302">
        <v>1.5982815154187904</v>
      </c>
    </row>
    <row r="280" spans="1:25" x14ac:dyDescent="0.4">
      <c r="A280" s="249"/>
      <c r="B280" s="249"/>
      <c r="C280" s="249"/>
      <c r="D280" s="249"/>
      <c r="E280" s="251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  <c r="W280" s="249"/>
      <c r="X280" s="249"/>
      <c r="Y280" s="249"/>
    </row>
    <row r="281" spans="1:25" ht="16.5" customHeight="1" x14ac:dyDescent="0.4">
      <c r="A281" s="28" t="s">
        <v>5</v>
      </c>
      <c r="B281" s="247"/>
      <c r="C281" s="247"/>
      <c r="D281" s="247"/>
      <c r="E281" s="248"/>
      <c r="F281" s="247"/>
      <c r="G281" s="247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246"/>
      <c r="S281" s="246"/>
      <c r="T281" s="246"/>
      <c r="U281" s="246"/>
      <c r="V281" s="246"/>
      <c r="W281" s="246"/>
      <c r="X281" s="246"/>
      <c r="Y281" s="245"/>
    </row>
    <row r="282" spans="1:25" ht="16.5" customHeight="1" x14ac:dyDescent="0.4">
      <c r="A282" s="14" t="s">
        <v>4</v>
      </c>
      <c r="B282" s="244"/>
      <c r="C282" s="244"/>
      <c r="D282" s="244"/>
      <c r="E282" s="244"/>
      <c r="F282" s="244"/>
      <c r="G282" s="244"/>
      <c r="H282" s="243"/>
      <c r="I282" s="243"/>
      <c r="J282" s="243"/>
      <c r="K282" s="243"/>
      <c r="L282" s="243"/>
      <c r="M282" s="243"/>
      <c r="N282" s="243"/>
      <c r="O282" s="243"/>
      <c r="P282" s="243"/>
      <c r="Q282" s="243"/>
      <c r="R282" s="243"/>
      <c r="S282" s="243"/>
      <c r="T282" s="243"/>
      <c r="U282" s="243"/>
      <c r="V282" s="243"/>
      <c r="W282" s="243"/>
      <c r="X282" s="243"/>
      <c r="Y282" s="240"/>
    </row>
    <row r="283" spans="1:25" x14ac:dyDescent="0.4">
      <c r="A283" s="19" t="s">
        <v>3</v>
      </c>
      <c r="Y283" s="13"/>
    </row>
    <row r="284" spans="1:25" ht="16.5" customHeight="1" x14ac:dyDescent="0.4">
      <c r="A284" s="242" t="s">
        <v>2</v>
      </c>
      <c r="B284" s="244"/>
      <c r="C284" s="244"/>
      <c r="D284" s="244"/>
      <c r="E284" s="244"/>
      <c r="F284" s="244"/>
      <c r="G284" s="244"/>
      <c r="H284" s="243"/>
      <c r="I284" s="243"/>
      <c r="J284" s="243"/>
      <c r="K284" s="243"/>
      <c r="L284" s="243"/>
      <c r="M284" s="243"/>
      <c r="N284" s="243"/>
      <c r="O284" s="243"/>
      <c r="P284" s="243"/>
      <c r="Q284" s="243"/>
      <c r="R284" s="243"/>
      <c r="S284" s="243"/>
      <c r="T284" s="243"/>
      <c r="U284" s="243"/>
      <c r="V284" s="243"/>
      <c r="W284" s="243"/>
      <c r="X284" s="243"/>
      <c r="Y284" s="240"/>
    </row>
    <row r="285" spans="1:25" x14ac:dyDescent="0.4">
      <c r="A285" s="242" t="s">
        <v>249</v>
      </c>
      <c r="Y285" s="13"/>
    </row>
    <row r="286" spans="1:25" x14ac:dyDescent="0.4">
      <c r="A286" s="241" t="s">
        <v>248</v>
      </c>
      <c r="Y286" s="240"/>
    </row>
    <row r="287" spans="1:25" x14ac:dyDescent="0.4">
      <c r="A287" s="14" t="s">
        <v>247</v>
      </c>
      <c r="Y287" s="13"/>
    </row>
    <row r="288" spans="1:25" ht="16.5" customHeight="1" x14ac:dyDescent="0.4">
      <c r="A288" s="12" t="s">
        <v>0</v>
      </c>
      <c r="B288" s="11"/>
      <c r="C288" s="11"/>
      <c r="D288" s="11"/>
      <c r="E288" s="10"/>
      <c r="F288" s="11"/>
      <c r="G288" s="11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8"/>
    </row>
    <row r="289" spans="1:25" ht="16.5" customHeight="1" x14ac:dyDescent="0.4">
      <c r="A289" s="300"/>
      <c r="B289" s="300"/>
      <c r="C289" s="300"/>
      <c r="D289" s="300"/>
      <c r="E289" s="301"/>
      <c r="F289" s="300"/>
      <c r="G289" s="300"/>
      <c r="H289" s="243"/>
      <c r="I289" s="243"/>
      <c r="J289" s="243"/>
      <c r="K289" s="243"/>
      <c r="L289" s="243"/>
      <c r="M289" s="243"/>
      <c r="N289" s="243"/>
      <c r="O289" s="243"/>
      <c r="P289" s="243"/>
      <c r="Q289" s="243"/>
      <c r="R289" s="243"/>
      <c r="S289" s="243"/>
      <c r="T289" s="243"/>
      <c r="U289" s="243"/>
      <c r="V289" s="243"/>
      <c r="W289" s="243"/>
      <c r="X289" s="243"/>
      <c r="Y289" s="243"/>
    </row>
    <row r="290" spans="1:25" x14ac:dyDescent="0.4">
      <c r="A290" s="104"/>
      <c r="B290" s="104"/>
      <c r="C290" s="104"/>
      <c r="D290" s="237"/>
      <c r="E290" s="236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</row>
    <row r="291" spans="1:25" ht="13.5" customHeight="1" x14ac:dyDescent="0.4">
      <c r="A291" s="299" t="s">
        <v>239</v>
      </c>
      <c r="B291" s="298"/>
      <c r="C291" s="298"/>
      <c r="D291" s="298"/>
      <c r="E291" s="298"/>
      <c r="F291" s="298"/>
      <c r="G291" s="297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  <c r="W291" s="249"/>
      <c r="X291" s="249"/>
      <c r="Y291" s="249"/>
    </row>
    <row r="292" spans="1:25" ht="16.5" customHeight="1" x14ac:dyDescent="0.4">
      <c r="A292" s="299"/>
      <c r="B292" s="298"/>
      <c r="C292" s="298"/>
      <c r="D292" s="298"/>
      <c r="E292" s="298"/>
      <c r="F292" s="298"/>
      <c r="G292" s="297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  <c r="W292" s="249"/>
      <c r="X292" s="249"/>
      <c r="Y292" s="249"/>
    </row>
    <row r="293" spans="1:25" x14ac:dyDescent="0.4">
      <c r="A293" s="296" t="s">
        <v>253</v>
      </c>
      <c r="B293" s="295"/>
      <c r="C293" s="295"/>
      <c r="D293" s="295"/>
      <c r="E293" s="295"/>
      <c r="F293" s="295"/>
      <c r="G293" s="294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  <c r="W293" s="249"/>
      <c r="X293" s="249"/>
      <c r="Y293" s="249"/>
    </row>
    <row r="294" spans="1:25" x14ac:dyDescent="0.4">
      <c r="A294" s="296" t="s">
        <v>237</v>
      </c>
      <c r="B294" s="295"/>
      <c r="C294" s="295"/>
      <c r="D294" s="295"/>
      <c r="E294" s="295"/>
      <c r="F294" s="295"/>
      <c r="G294" s="294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249"/>
      <c r="X294" s="249"/>
      <c r="Y294" s="249"/>
    </row>
    <row r="295" spans="1:25" ht="14.5" x14ac:dyDescent="0.4">
      <c r="A295" s="293" t="s">
        <v>252</v>
      </c>
      <c r="B295" s="292"/>
      <c r="C295" s="292"/>
      <c r="D295" s="292"/>
      <c r="E295" s="292"/>
      <c r="F295" s="292"/>
      <c r="G295" s="291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49"/>
      <c r="W295" s="249"/>
      <c r="X295" s="249"/>
      <c r="Y295" s="249"/>
    </row>
    <row r="296" spans="1:25" x14ac:dyDescent="0.4">
      <c r="A296" s="104"/>
      <c r="B296" s="104"/>
      <c r="C296" s="104"/>
      <c r="D296" s="237"/>
      <c r="E296" s="236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</row>
    <row r="297" spans="1:25" ht="64" x14ac:dyDescent="0.4">
      <c r="A297" s="290" t="s">
        <v>235</v>
      </c>
      <c r="B297" s="289" t="s">
        <v>234</v>
      </c>
      <c r="C297" s="289" t="s">
        <v>233</v>
      </c>
      <c r="D297" s="289" t="s">
        <v>232</v>
      </c>
      <c r="E297" s="289" t="s">
        <v>231</v>
      </c>
      <c r="F297" s="184">
        <v>2005</v>
      </c>
      <c r="G297" s="184">
        <v>2006</v>
      </c>
      <c r="H297" s="184">
        <v>2007</v>
      </c>
      <c r="I297" s="184">
        <v>2008</v>
      </c>
      <c r="J297" s="184">
        <v>2009</v>
      </c>
      <c r="K297" s="184">
        <v>2010</v>
      </c>
      <c r="L297" s="184">
        <v>2011</v>
      </c>
      <c r="M297" s="184">
        <v>2012</v>
      </c>
      <c r="N297" s="184">
        <v>2013</v>
      </c>
      <c r="O297" s="184">
        <v>2014</v>
      </c>
      <c r="P297" s="184">
        <v>2015</v>
      </c>
      <c r="Q297" s="184">
        <v>2016</v>
      </c>
      <c r="R297" s="184">
        <v>2017</v>
      </c>
      <c r="S297" s="184">
        <v>2018</v>
      </c>
      <c r="T297" s="184">
        <v>2019</v>
      </c>
      <c r="U297" s="184">
        <v>2020</v>
      </c>
      <c r="V297" s="184">
        <v>2021</v>
      </c>
      <c r="W297" s="184">
        <v>2022</v>
      </c>
      <c r="X297" s="184" t="s">
        <v>230</v>
      </c>
      <c r="Y297" s="183"/>
    </row>
    <row r="298" spans="1:25" x14ac:dyDescent="0.4">
      <c r="A298" s="286"/>
      <c r="B298" s="104"/>
      <c r="C298" s="104"/>
      <c r="D298" s="104"/>
      <c r="E298" s="236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288"/>
      <c r="U298" s="288"/>
      <c r="V298" s="288"/>
      <c r="W298" s="288"/>
      <c r="X298" s="288"/>
      <c r="Y298" s="287"/>
    </row>
    <row r="299" spans="1:25" ht="16" x14ac:dyDescent="0.45">
      <c r="A299" s="285" t="s">
        <v>228</v>
      </c>
      <c r="B299" s="284"/>
      <c r="C299" s="284"/>
      <c r="D299" s="284"/>
      <c r="E299" s="284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5"/>
    </row>
    <row r="300" spans="1:25" x14ac:dyDescent="0.4">
      <c r="A300" s="281"/>
      <c r="B300" s="280"/>
      <c r="C300" s="280"/>
      <c r="D300" s="280"/>
      <c r="E300" s="279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97"/>
    </row>
    <row r="301" spans="1:25" x14ac:dyDescent="0.4">
      <c r="A301" s="177"/>
      <c r="B301" s="176" t="s">
        <v>227</v>
      </c>
      <c r="C301" s="176"/>
      <c r="D301" s="176"/>
      <c r="E301" s="175" t="s">
        <v>226</v>
      </c>
      <c r="F301" s="173">
        <v>78.773584905660371</v>
      </c>
      <c r="G301" s="173">
        <v>80.452580832848469</v>
      </c>
      <c r="H301" s="173">
        <v>83.615243953121094</v>
      </c>
      <c r="I301" s="173">
        <v>82.941983210040732</v>
      </c>
      <c r="J301" s="173">
        <v>82.748732441193582</v>
      </c>
      <c r="K301" s="173">
        <v>83.000166237220512</v>
      </c>
      <c r="L301" s="173">
        <v>84.585653727869669</v>
      </c>
      <c r="M301" s="173">
        <v>86.703100324162591</v>
      </c>
      <c r="N301" s="173">
        <v>93.165572271631618</v>
      </c>
      <c r="O301" s="173">
        <v>95.877316931260907</v>
      </c>
      <c r="P301" s="173">
        <v>100</v>
      </c>
      <c r="Q301" s="173">
        <v>102.73668024270634</v>
      </c>
      <c r="R301" s="173">
        <v>108.46563045465881</v>
      </c>
      <c r="S301" s="173">
        <v>110.194497548001</v>
      </c>
      <c r="T301" s="173">
        <v>113.18884548250354</v>
      </c>
      <c r="U301" s="173">
        <v>115.40811237636106</v>
      </c>
      <c r="V301" s="173">
        <v>120.45548998420745</v>
      </c>
      <c r="W301" s="173">
        <v>119.36248025933007</v>
      </c>
      <c r="X301" s="173">
        <v>121.36563876651982</v>
      </c>
      <c r="Y301" s="172">
        <v>131.03904496716817</v>
      </c>
    </row>
    <row r="302" spans="1:25" outlineLevel="1" x14ac:dyDescent="0.4">
      <c r="A302" s="147"/>
      <c r="B302" s="146"/>
      <c r="C302" s="170" t="s">
        <v>227</v>
      </c>
      <c r="D302" s="146"/>
      <c r="E302" s="169" t="s">
        <v>226</v>
      </c>
      <c r="F302" s="167">
        <v>78.773584905660371</v>
      </c>
      <c r="G302" s="167">
        <v>80.452580832848469</v>
      </c>
      <c r="H302" s="167">
        <v>83.615243953121094</v>
      </c>
      <c r="I302" s="167">
        <v>82.941983210040732</v>
      </c>
      <c r="J302" s="167">
        <v>82.748732441193582</v>
      </c>
      <c r="K302" s="167">
        <v>83.000166237220512</v>
      </c>
      <c r="L302" s="167">
        <v>84.585653727869669</v>
      </c>
      <c r="M302" s="167">
        <v>86.703100324162591</v>
      </c>
      <c r="N302" s="167">
        <v>93.165572271631618</v>
      </c>
      <c r="O302" s="167">
        <v>95.877316931260907</v>
      </c>
      <c r="P302" s="167">
        <v>100</v>
      </c>
      <c r="Q302" s="167">
        <v>102.73668024270634</v>
      </c>
      <c r="R302" s="167">
        <v>108.46563045465881</v>
      </c>
      <c r="S302" s="167">
        <v>110.194497548001</v>
      </c>
      <c r="T302" s="167">
        <v>113.18884548250354</v>
      </c>
      <c r="U302" s="167">
        <v>115.40811237636106</v>
      </c>
      <c r="V302" s="167">
        <v>120.45548998420745</v>
      </c>
      <c r="W302" s="167">
        <v>119.36248025933007</v>
      </c>
      <c r="X302" s="167">
        <v>121.36563876651982</v>
      </c>
      <c r="Y302" s="166">
        <v>131.03904496716817</v>
      </c>
    </row>
    <row r="303" spans="1:25" ht="84" outlineLevel="2" x14ac:dyDescent="0.4">
      <c r="A303" s="165"/>
      <c r="B303" s="164"/>
      <c r="C303" s="152"/>
      <c r="D303" s="180" t="s">
        <v>225</v>
      </c>
      <c r="E303" s="163" t="s">
        <v>251</v>
      </c>
      <c r="F303" s="161">
        <v>79.900508431178906</v>
      </c>
      <c r="G303" s="161">
        <v>79.47986393064852</v>
      </c>
      <c r="H303" s="161">
        <v>82.775522147847397</v>
      </c>
      <c r="I303" s="161">
        <v>81.027104136947216</v>
      </c>
      <c r="J303" s="161">
        <v>84.348366802004463</v>
      </c>
      <c r="K303" s="161">
        <v>83.627784483704588</v>
      </c>
      <c r="L303" s="161">
        <v>85.891949230037682</v>
      </c>
      <c r="M303" s="161">
        <v>88.595047368228535</v>
      </c>
      <c r="N303" s="161">
        <v>94.103661436043751</v>
      </c>
      <c r="O303" s="161">
        <v>95.702110538059188</v>
      </c>
      <c r="P303" s="161">
        <v>100</v>
      </c>
      <c r="Q303" s="161">
        <v>103.65777826548155</v>
      </c>
      <c r="R303" s="161">
        <v>111.97190826292109</v>
      </c>
      <c r="S303" s="149">
        <v>113.14605508614068</v>
      </c>
      <c r="T303" s="149">
        <v>114.64940195325359</v>
      </c>
      <c r="U303" s="149">
        <v>117.0671933867369</v>
      </c>
      <c r="V303" s="149">
        <v>122.45144299352573</v>
      </c>
      <c r="W303" s="149">
        <v>123.73898094297525</v>
      </c>
      <c r="X303" s="149">
        <v>126.84077691210358</v>
      </c>
      <c r="Y303" s="148">
        <v>136.61607959325505</v>
      </c>
    </row>
    <row r="304" spans="1:25" outlineLevel="2" x14ac:dyDescent="0.4">
      <c r="A304" s="147"/>
      <c r="B304" s="146"/>
      <c r="C304" s="170"/>
      <c r="D304" s="138" t="s">
        <v>223</v>
      </c>
      <c r="E304" s="145" t="s">
        <v>222</v>
      </c>
      <c r="F304" s="143">
        <v>72.560860539724487</v>
      </c>
      <c r="G304" s="143">
        <v>78.37327797697678</v>
      </c>
      <c r="H304" s="143">
        <v>81.826759765993586</v>
      </c>
      <c r="I304" s="143">
        <v>74.95753915833177</v>
      </c>
      <c r="J304" s="143">
        <v>57.859973579920741</v>
      </c>
      <c r="K304" s="143">
        <v>64.4461219097943</v>
      </c>
      <c r="L304" s="143">
        <v>59.143234572560864</v>
      </c>
      <c r="M304" s="143">
        <v>57.859973579920741</v>
      </c>
      <c r="N304" s="143">
        <v>78.637478769579161</v>
      </c>
      <c r="O304" s="143">
        <v>90.771843744102668</v>
      </c>
      <c r="P304" s="143">
        <v>100</v>
      </c>
      <c r="Q304" s="143">
        <v>103.58558218531799</v>
      </c>
      <c r="R304" s="143">
        <v>103.22702396678618</v>
      </c>
      <c r="S304" s="143">
        <v>101.7739196074731</v>
      </c>
      <c r="T304" s="143">
        <v>112.87035289677299</v>
      </c>
      <c r="U304" s="143">
        <v>100.52840158520475</v>
      </c>
      <c r="V304" s="143">
        <v>96.999433855444423</v>
      </c>
      <c r="W304" s="143">
        <v>79.864125306661634</v>
      </c>
      <c r="X304" s="143">
        <v>83.091149273447812</v>
      </c>
      <c r="Y304" s="142">
        <v>101.6135119833931</v>
      </c>
    </row>
    <row r="305" spans="1:25" outlineLevel="2" x14ac:dyDescent="0.4">
      <c r="A305" s="165"/>
      <c r="B305" s="164"/>
      <c r="C305" s="152"/>
      <c r="D305" s="181" t="s">
        <v>221</v>
      </c>
      <c r="E305" s="163" t="s">
        <v>220</v>
      </c>
      <c r="F305" s="161">
        <v>80.366897676314721</v>
      </c>
      <c r="G305" s="161">
        <v>83.742356298410115</v>
      </c>
      <c r="H305" s="161">
        <v>86.693844272319609</v>
      </c>
      <c r="I305" s="161">
        <v>89.955156950672645</v>
      </c>
      <c r="J305" s="161">
        <v>89.653485527924985</v>
      </c>
      <c r="K305" s="161">
        <v>88.887077048512026</v>
      </c>
      <c r="L305" s="161">
        <v>92.523440684875652</v>
      </c>
      <c r="M305" s="161">
        <v>95.002038320423978</v>
      </c>
      <c r="N305" s="161">
        <v>97.268650631879325</v>
      </c>
      <c r="O305" s="161">
        <v>97.505095801059923</v>
      </c>
      <c r="P305" s="161">
        <v>100</v>
      </c>
      <c r="Q305" s="161">
        <v>101.24745209947004</v>
      </c>
      <c r="R305" s="161">
        <v>105.63391765185489</v>
      </c>
      <c r="S305" s="161">
        <v>109.25397472482675</v>
      </c>
      <c r="T305" s="161">
        <v>111.9364044027721</v>
      </c>
      <c r="U305" s="161">
        <v>116.25764370158988</v>
      </c>
      <c r="V305" s="161">
        <v>124.11740725642071</v>
      </c>
      <c r="W305" s="161">
        <v>124.74520994700367</v>
      </c>
      <c r="X305" s="161">
        <v>122.85364859355892</v>
      </c>
      <c r="Y305" s="160">
        <v>129.80481043620057</v>
      </c>
    </row>
    <row r="306" spans="1:25" outlineLevel="2" x14ac:dyDescent="0.4">
      <c r="A306" s="147"/>
      <c r="B306" s="146"/>
      <c r="C306" s="170"/>
      <c r="D306" s="146" t="s">
        <v>219</v>
      </c>
      <c r="E306" s="145" t="s">
        <v>218</v>
      </c>
      <c r="F306" s="143">
        <v>74.164810690423167</v>
      </c>
      <c r="G306" s="143">
        <v>75.222717149220486</v>
      </c>
      <c r="H306" s="143">
        <v>76.057906458797333</v>
      </c>
      <c r="I306" s="143">
        <v>76.113585746102459</v>
      </c>
      <c r="J306" s="143">
        <v>77.61692650334075</v>
      </c>
      <c r="K306" s="143">
        <v>79.231625835189305</v>
      </c>
      <c r="L306" s="143">
        <v>83.184855233853</v>
      </c>
      <c r="M306" s="143">
        <v>88.697104677060139</v>
      </c>
      <c r="N306" s="143">
        <v>91.982182628062361</v>
      </c>
      <c r="O306" s="143">
        <v>97.939866369710472</v>
      </c>
      <c r="P306" s="143">
        <v>100</v>
      </c>
      <c r="Q306" s="143">
        <v>102.28285077951003</v>
      </c>
      <c r="R306" s="143">
        <v>103.34075723830736</v>
      </c>
      <c r="S306" s="143">
        <v>104.51002227171493</v>
      </c>
      <c r="T306" s="143">
        <v>109.29844097995544</v>
      </c>
      <c r="U306" s="143">
        <v>112.97327394209353</v>
      </c>
      <c r="V306" s="143">
        <v>117.3162583518931</v>
      </c>
      <c r="W306" s="143">
        <v>119.3207126948775</v>
      </c>
      <c r="X306" s="143">
        <v>118.54120267260579</v>
      </c>
      <c r="Y306" s="142">
        <v>116.17204899777282</v>
      </c>
    </row>
    <row r="307" spans="1:25" outlineLevel="2" x14ac:dyDescent="0.4">
      <c r="A307" s="165"/>
      <c r="B307" s="164"/>
      <c r="C307" s="152"/>
      <c r="D307" s="180" t="s">
        <v>217</v>
      </c>
      <c r="E307" s="163" t="s">
        <v>216</v>
      </c>
      <c r="F307" s="161">
        <v>87.859649122807014</v>
      </c>
      <c r="G307" s="161">
        <v>94.456140350877192</v>
      </c>
      <c r="H307" s="161">
        <v>99.789473684210535</v>
      </c>
      <c r="I307" s="161">
        <v>102.10526315789474</v>
      </c>
      <c r="J307" s="161">
        <v>96.84210526315789</v>
      </c>
      <c r="K307" s="161">
        <v>95.017543859649123</v>
      </c>
      <c r="L307" s="161">
        <v>95.368421052631575</v>
      </c>
      <c r="M307" s="161">
        <v>98.596491228070164</v>
      </c>
      <c r="N307" s="161">
        <v>99.929824561403507</v>
      </c>
      <c r="O307" s="161">
        <v>101.61403508771929</v>
      </c>
      <c r="P307" s="161">
        <v>100</v>
      </c>
      <c r="Q307" s="161">
        <v>95.298245614035096</v>
      </c>
      <c r="R307" s="161">
        <v>90.877192982456151</v>
      </c>
      <c r="S307" s="161">
        <v>98.94736842105263</v>
      </c>
      <c r="T307" s="161">
        <v>101.47368421052632</v>
      </c>
      <c r="U307" s="161">
        <v>131.78947368421052</v>
      </c>
      <c r="V307" s="161">
        <v>144.49122807017545</v>
      </c>
      <c r="W307" s="161">
        <v>163.15789473684211</v>
      </c>
      <c r="X307" s="161">
        <v>163.57894736842104</v>
      </c>
      <c r="Y307" s="160">
        <v>158.69333333333333</v>
      </c>
    </row>
    <row r="308" spans="1:25" x14ac:dyDescent="0.4">
      <c r="A308" s="159"/>
      <c r="B308" s="158" t="s">
        <v>215</v>
      </c>
      <c r="C308" s="158"/>
      <c r="D308" s="158"/>
      <c r="E308" s="157" t="s">
        <v>214</v>
      </c>
      <c r="F308" s="155">
        <v>57.593381905221833</v>
      </c>
      <c r="G308" s="155">
        <v>58.914061351754256</v>
      </c>
      <c r="H308" s="155">
        <v>59.701429861213171</v>
      </c>
      <c r="I308" s="155">
        <v>65.301194700485027</v>
      </c>
      <c r="J308" s="155">
        <v>72.771747118231261</v>
      </c>
      <c r="K308" s="155">
        <v>80.683225901274497</v>
      </c>
      <c r="L308" s="155">
        <v>92.329980893190836</v>
      </c>
      <c r="M308" s="155">
        <v>97.287253028744203</v>
      </c>
      <c r="N308" s="155">
        <v>102.45029080143615</v>
      </c>
      <c r="O308" s="155">
        <v>101.06872152350557</v>
      </c>
      <c r="P308" s="155">
        <v>100</v>
      </c>
      <c r="Q308" s="155">
        <v>97.115081781342511</v>
      </c>
      <c r="R308" s="155">
        <v>91.527914838222017</v>
      </c>
      <c r="S308" s="155">
        <v>90.007768702626663</v>
      </c>
      <c r="T308" s="155">
        <v>91.739979423436296</v>
      </c>
      <c r="U308" s="155">
        <v>77.804606630692675</v>
      </c>
      <c r="V308" s="155">
        <v>77.64503327944233</v>
      </c>
      <c r="W308" s="155">
        <v>78.774644634346075</v>
      </c>
      <c r="X308" s="155">
        <v>80.828101707014937</v>
      </c>
      <c r="Y308" s="154">
        <v>76.752682302055547</v>
      </c>
    </row>
    <row r="309" spans="1:25" outlineLevel="1" x14ac:dyDescent="0.4">
      <c r="A309" s="153"/>
      <c r="B309" s="152"/>
      <c r="C309" s="152" t="s">
        <v>215</v>
      </c>
      <c r="D309" s="152"/>
      <c r="E309" s="151" t="s">
        <v>214</v>
      </c>
      <c r="F309" s="149">
        <v>57.593381905221833</v>
      </c>
      <c r="G309" s="149">
        <v>58.914061351754256</v>
      </c>
      <c r="H309" s="149">
        <v>59.701429861213171</v>
      </c>
      <c r="I309" s="149">
        <v>65.301194700485027</v>
      </c>
      <c r="J309" s="149">
        <v>72.771747118231261</v>
      </c>
      <c r="K309" s="149">
        <v>80.683225901274497</v>
      </c>
      <c r="L309" s="149">
        <v>92.329980893190836</v>
      </c>
      <c r="M309" s="149">
        <v>97.287253028744203</v>
      </c>
      <c r="N309" s="149">
        <v>102.45029080143615</v>
      </c>
      <c r="O309" s="149">
        <v>101.06872152350557</v>
      </c>
      <c r="P309" s="149">
        <v>100</v>
      </c>
      <c r="Q309" s="149">
        <v>97.115081781342511</v>
      </c>
      <c r="R309" s="149">
        <v>91.527914838222017</v>
      </c>
      <c r="S309" s="149">
        <v>90.007768702626663</v>
      </c>
      <c r="T309" s="149">
        <v>91.739979423436296</v>
      </c>
      <c r="U309" s="149">
        <v>77.804606630692675</v>
      </c>
      <c r="V309" s="149">
        <v>77.64503327944233</v>
      </c>
      <c r="W309" s="149">
        <v>78.774644634346075</v>
      </c>
      <c r="X309" s="149">
        <v>80.828101707014937</v>
      </c>
      <c r="Y309" s="148">
        <v>76.752682302055547</v>
      </c>
    </row>
    <row r="310" spans="1:25" outlineLevel="2" x14ac:dyDescent="0.4">
      <c r="A310" s="147"/>
      <c r="B310" s="146"/>
      <c r="C310" s="146"/>
      <c r="D310" s="146" t="s">
        <v>213</v>
      </c>
      <c r="E310" s="145" t="s">
        <v>212</v>
      </c>
      <c r="F310" s="143">
        <v>69.12713687308954</v>
      </c>
      <c r="G310" s="143">
        <v>76.667044039397709</v>
      </c>
      <c r="H310" s="143">
        <v>81.965357183289939</v>
      </c>
      <c r="I310" s="143">
        <v>86.108909770180006</v>
      </c>
      <c r="J310" s="143">
        <v>85.791916676100982</v>
      </c>
      <c r="K310" s="143">
        <v>87.41084569229028</v>
      </c>
      <c r="L310" s="143">
        <v>100.27170836635344</v>
      </c>
      <c r="M310" s="143">
        <v>104.14355258689008</v>
      </c>
      <c r="N310" s="143">
        <v>99.954715272274427</v>
      </c>
      <c r="O310" s="143">
        <v>103.0114343937507</v>
      </c>
      <c r="P310" s="143">
        <v>100</v>
      </c>
      <c r="Q310" s="143">
        <v>113.56277595380956</v>
      </c>
      <c r="R310" s="143">
        <v>113.1665345862108</v>
      </c>
      <c r="S310" s="143">
        <v>106.95120570587568</v>
      </c>
      <c r="T310" s="143">
        <v>105.61530623797124</v>
      </c>
      <c r="U310" s="143">
        <v>68.16483640892109</v>
      </c>
      <c r="V310" s="143">
        <v>73.474470734744713</v>
      </c>
      <c r="W310" s="143">
        <v>74.029208649382994</v>
      </c>
      <c r="X310" s="143">
        <v>75.704743575229244</v>
      </c>
      <c r="Y310" s="142">
        <v>65.893014830748328</v>
      </c>
    </row>
    <row r="311" spans="1:25" ht="28" outlineLevel="2" x14ac:dyDescent="0.4">
      <c r="A311" s="165"/>
      <c r="B311" s="164"/>
      <c r="C311" s="164"/>
      <c r="D311" s="164" t="s">
        <v>211</v>
      </c>
      <c r="E311" s="163" t="s">
        <v>210</v>
      </c>
      <c r="F311" s="161">
        <v>49.975648362352374</v>
      </c>
      <c r="G311" s="161">
        <v>49.686472665286743</v>
      </c>
      <c r="H311" s="161">
        <v>49.820406672348717</v>
      </c>
      <c r="I311" s="161">
        <v>57.48812857664678</v>
      </c>
      <c r="J311" s="161">
        <v>66.224278582734684</v>
      </c>
      <c r="K311" s="161">
        <v>77.325581395348848</v>
      </c>
      <c r="L311" s="161">
        <v>91.078168756848896</v>
      </c>
      <c r="M311" s="161">
        <v>95.300133934007064</v>
      </c>
      <c r="N311" s="161">
        <v>103.39400949713868</v>
      </c>
      <c r="O311" s="161">
        <v>100.86143918178499</v>
      </c>
      <c r="P311" s="161">
        <v>100</v>
      </c>
      <c r="Q311" s="161">
        <v>90.420674540362839</v>
      </c>
      <c r="R311" s="161">
        <v>86.850115670278825</v>
      </c>
      <c r="S311" s="161">
        <v>88.308169974430783</v>
      </c>
      <c r="T311" s="161">
        <v>90.78899305978328</v>
      </c>
      <c r="U311" s="161">
        <v>80.661755753074388</v>
      </c>
      <c r="V311" s="161">
        <v>75.417021794715694</v>
      </c>
      <c r="W311" s="161">
        <v>76.887251917691472</v>
      </c>
      <c r="X311" s="161">
        <v>78.978448800681846</v>
      </c>
      <c r="Y311" s="160">
        <v>78.462833313040306</v>
      </c>
    </row>
    <row r="312" spans="1:25" outlineLevel="2" x14ac:dyDescent="0.4">
      <c r="A312" s="147"/>
      <c r="B312" s="146"/>
      <c r="C312" s="146"/>
      <c r="D312" s="146" t="s">
        <v>209</v>
      </c>
      <c r="E312" s="145" t="s">
        <v>208</v>
      </c>
      <c r="F312" s="143">
        <v>115.72939866369711</v>
      </c>
      <c r="G312" s="143">
        <v>113.50222717149221</v>
      </c>
      <c r="H312" s="143">
        <v>106.73719376391982</v>
      </c>
      <c r="I312" s="143">
        <v>99.498886414253889</v>
      </c>
      <c r="J312" s="143">
        <v>116.20267260579065</v>
      </c>
      <c r="K312" s="143">
        <v>117.01002227171493</v>
      </c>
      <c r="L312" s="143">
        <v>103.92538975501114</v>
      </c>
      <c r="M312" s="143">
        <v>123.38530066815146</v>
      </c>
      <c r="N312" s="143">
        <v>107.90645879732739</v>
      </c>
      <c r="O312" s="143">
        <v>106.34743875278396</v>
      </c>
      <c r="P312" s="143">
        <v>100</v>
      </c>
      <c r="Q312" s="143">
        <v>113.14031180400892</v>
      </c>
      <c r="R312" s="143">
        <v>83.017817371937639</v>
      </c>
      <c r="S312" s="143">
        <v>71.659242761692653</v>
      </c>
      <c r="T312" s="143">
        <v>75.445434298440986</v>
      </c>
      <c r="U312" s="143">
        <v>88.669265033407569</v>
      </c>
      <c r="V312" s="143">
        <v>97.744988864142528</v>
      </c>
      <c r="W312" s="143">
        <v>99.025612472160347</v>
      </c>
      <c r="X312" s="143">
        <v>103.28507795100224</v>
      </c>
      <c r="Y312" s="142">
        <v>94.991369710467708</v>
      </c>
    </row>
    <row r="313" spans="1:25" outlineLevel="2" x14ac:dyDescent="0.4">
      <c r="A313" s="165"/>
      <c r="B313" s="164"/>
      <c r="C313" s="164"/>
      <c r="D313" s="164" t="s">
        <v>207</v>
      </c>
      <c r="E313" s="163" t="s">
        <v>206</v>
      </c>
      <c r="F313" s="161">
        <v>58.766233766233768</v>
      </c>
      <c r="G313" s="161">
        <v>64.517625231910941</v>
      </c>
      <c r="H313" s="161">
        <v>70.918367346938766</v>
      </c>
      <c r="I313" s="161">
        <v>75.556586270871989</v>
      </c>
      <c r="J313" s="161">
        <v>78.664192949907232</v>
      </c>
      <c r="K313" s="161">
        <v>69.202226345083488</v>
      </c>
      <c r="L313" s="161">
        <v>73.330241187384047</v>
      </c>
      <c r="M313" s="161">
        <v>75.185528756957325</v>
      </c>
      <c r="N313" s="161">
        <v>82.838589981447114</v>
      </c>
      <c r="O313" s="161">
        <v>92.300556586270872</v>
      </c>
      <c r="P313" s="161">
        <v>100</v>
      </c>
      <c r="Q313" s="161">
        <v>103.52504638218925</v>
      </c>
      <c r="R313" s="161">
        <v>100.88126159554731</v>
      </c>
      <c r="S313" s="161">
        <v>99.443413729128011</v>
      </c>
      <c r="T313" s="161">
        <v>103.66419294990723</v>
      </c>
      <c r="U313" s="161">
        <v>69.758812615955463</v>
      </c>
      <c r="V313" s="161">
        <v>77.040816326530617</v>
      </c>
      <c r="W313" s="161">
        <v>75.788497217068652</v>
      </c>
      <c r="X313" s="161">
        <v>75.092764378478662</v>
      </c>
      <c r="Y313" s="160">
        <v>77.221706864564013</v>
      </c>
    </row>
    <row r="314" spans="1:25" ht="28" outlineLevel="2" x14ac:dyDescent="0.4">
      <c r="A314" s="147"/>
      <c r="B314" s="146"/>
      <c r="C314" s="146"/>
      <c r="D314" s="146" t="s">
        <v>205</v>
      </c>
      <c r="E314" s="145" t="s">
        <v>204</v>
      </c>
      <c r="F314" s="143">
        <v>73.711340206185568</v>
      </c>
      <c r="G314" s="143">
        <v>78.350515463917532</v>
      </c>
      <c r="H314" s="143">
        <v>79.896907216494853</v>
      </c>
      <c r="I314" s="143">
        <v>80.412371134020617</v>
      </c>
      <c r="J314" s="143">
        <v>84.536082474226802</v>
      </c>
      <c r="K314" s="143">
        <v>84.536082474226802</v>
      </c>
      <c r="L314" s="143">
        <v>88.659793814432987</v>
      </c>
      <c r="M314" s="143">
        <v>95.876288659793815</v>
      </c>
      <c r="N314" s="143">
        <v>91.237113402061851</v>
      </c>
      <c r="O314" s="143">
        <v>93.814432989690715</v>
      </c>
      <c r="P314" s="143">
        <v>100</v>
      </c>
      <c r="Q314" s="143">
        <v>113.91752577319588</v>
      </c>
      <c r="R314" s="143">
        <v>92.268041237113408</v>
      </c>
      <c r="S314" s="143">
        <v>93.298969072164951</v>
      </c>
      <c r="T314" s="143">
        <v>91.75257731958763</v>
      </c>
      <c r="U314" s="143">
        <v>76.288659793814432</v>
      </c>
      <c r="V314" s="143">
        <v>83.505154639175259</v>
      </c>
      <c r="W314" s="143">
        <v>84.020618556701038</v>
      </c>
      <c r="X314" s="143">
        <v>84.020618556701038</v>
      </c>
      <c r="Y314" s="142">
        <v>81.582474226804123</v>
      </c>
    </row>
    <row r="315" spans="1:25" x14ac:dyDescent="0.4">
      <c r="A315" s="177"/>
      <c r="B315" s="176" t="s">
        <v>203</v>
      </c>
      <c r="C315" s="176"/>
      <c r="D315" s="176"/>
      <c r="E315" s="175" t="s">
        <v>202</v>
      </c>
      <c r="F315" s="173">
        <v>77.415346380863625</v>
      </c>
      <c r="G315" s="173">
        <v>83.060257142570819</v>
      </c>
      <c r="H315" s="173">
        <v>89.508863702412086</v>
      </c>
      <c r="I315" s="173">
        <v>89.828538215634993</v>
      </c>
      <c r="J315" s="173">
        <v>86.536592209562173</v>
      </c>
      <c r="K315" s="173">
        <v>88.166030323983605</v>
      </c>
      <c r="L315" s="173">
        <v>93.092425016785413</v>
      </c>
      <c r="M315" s="173">
        <v>93.865055266612558</v>
      </c>
      <c r="N315" s="173">
        <v>95.282045115193057</v>
      </c>
      <c r="O315" s="173">
        <v>98.035855655432968</v>
      </c>
      <c r="P315" s="173">
        <v>100</v>
      </c>
      <c r="Q315" s="173">
        <v>103.22380222268987</v>
      </c>
      <c r="R315" s="173">
        <v>101.34884606519756</v>
      </c>
      <c r="S315" s="173">
        <v>102.84400084177614</v>
      </c>
      <c r="T315" s="173">
        <v>104.07960797282266</v>
      </c>
      <c r="U315" s="173">
        <v>94.453296455521155</v>
      </c>
      <c r="V315" s="173">
        <v>107.29238693643588</v>
      </c>
      <c r="W315" s="173">
        <v>116.0468588722204</v>
      </c>
      <c r="X315" s="173">
        <v>112.86614757137561</v>
      </c>
      <c r="Y315" s="172">
        <v>110.51512691779655</v>
      </c>
    </row>
    <row r="316" spans="1:25" ht="28" outlineLevel="1" x14ac:dyDescent="0.4">
      <c r="A316" s="171"/>
      <c r="B316" s="146"/>
      <c r="C316" s="170" t="s">
        <v>201</v>
      </c>
      <c r="D316" s="170"/>
      <c r="E316" s="169" t="s">
        <v>200</v>
      </c>
      <c r="F316" s="167">
        <v>78.334986590249457</v>
      </c>
      <c r="G316" s="167">
        <v>81.689261177853695</v>
      </c>
      <c r="H316" s="167">
        <v>86.08325067048753</v>
      </c>
      <c r="I316" s="167">
        <v>88.324332267901099</v>
      </c>
      <c r="J316" s="167">
        <v>89.595503141188132</v>
      </c>
      <c r="K316" s="167">
        <v>87.92387670377309</v>
      </c>
      <c r="L316" s="167">
        <v>91.123847312539027</v>
      </c>
      <c r="M316" s="167">
        <v>92.097431940923627</v>
      </c>
      <c r="N316" s="167">
        <v>95.282706932657334</v>
      </c>
      <c r="O316" s="167">
        <v>97.94628751974723</v>
      </c>
      <c r="P316" s="167">
        <v>100</v>
      </c>
      <c r="Q316" s="167">
        <v>102.39538557625187</v>
      </c>
      <c r="R316" s="167">
        <v>102.5901025019288</v>
      </c>
      <c r="S316" s="167">
        <v>105.05161835482568</v>
      </c>
      <c r="T316" s="167">
        <v>107.97972004849554</v>
      </c>
      <c r="U316" s="167">
        <v>104.43072853521439</v>
      </c>
      <c r="V316" s="167">
        <v>110.49267056100518</v>
      </c>
      <c r="W316" s="167">
        <v>118.49076013079099</v>
      </c>
      <c r="X316" s="167">
        <v>117.44737132150335</v>
      </c>
      <c r="Y316" s="166">
        <v>116.54010066497666</v>
      </c>
    </row>
    <row r="317" spans="1:25" ht="70" outlineLevel="2" x14ac:dyDescent="0.4">
      <c r="A317" s="165"/>
      <c r="B317" s="164"/>
      <c r="C317" s="164"/>
      <c r="D317" s="164" t="s">
        <v>199</v>
      </c>
      <c r="E317" s="163" t="s">
        <v>198</v>
      </c>
      <c r="F317" s="161">
        <v>73.86363636363636</v>
      </c>
      <c r="G317" s="161">
        <v>77.645861601085485</v>
      </c>
      <c r="H317" s="161">
        <v>83.124151967435552</v>
      </c>
      <c r="I317" s="161">
        <v>87.788331071913163</v>
      </c>
      <c r="J317" s="161">
        <v>88.229308005427413</v>
      </c>
      <c r="K317" s="161">
        <v>88.483717774762553</v>
      </c>
      <c r="L317" s="161">
        <v>91.706241519674364</v>
      </c>
      <c r="M317" s="161">
        <v>95.420624151967431</v>
      </c>
      <c r="N317" s="161">
        <v>95.759837177747627</v>
      </c>
      <c r="O317" s="161">
        <v>97.388059701492537</v>
      </c>
      <c r="P317" s="161">
        <v>100</v>
      </c>
      <c r="Q317" s="161">
        <v>102.32360922659429</v>
      </c>
      <c r="R317" s="161">
        <v>101.98439620081412</v>
      </c>
      <c r="S317" s="161">
        <v>107.07259158751697</v>
      </c>
      <c r="T317" s="161">
        <v>112.78833107191315</v>
      </c>
      <c r="U317" s="161">
        <v>114.51831750339213</v>
      </c>
      <c r="V317" s="161">
        <v>120.31886024423338</v>
      </c>
      <c r="W317" s="161">
        <v>127.05223880597015</v>
      </c>
      <c r="X317" s="161">
        <v>129.91858887381275</v>
      </c>
      <c r="Y317" s="160">
        <v>133.00949796472185</v>
      </c>
    </row>
    <row r="318" spans="1:25" outlineLevel="2" x14ac:dyDescent="0.4">
      <c r="A318" s="147"/>
      <c r="B318" s="146"/>
      <c r="C318" s="146"/>
      <c r="D318" s="146" t="s">
        <v>197</v>
      </c>
      <c r="E318" s="145" t="s">
        <v>196</v>
      </c>
      <c r="F318" s="143">
        <v>64.940239043824704</v>
      </c>
      <c r="G318" s="143">
        <v>65.537848605577693</v>
      </c>
      <c r="H318" s="143">
        <v>68.924302788844628</v>
      </c>
      <c r="I318" s="143">
        <v>70.318725099601593</v>
      </c>
      <c r="J318" s="143">
        <v>74.966799468791507</v>
      </c>
      <c r="K318" s="143">
        <v>77.888446215139439</v>
      </c>
      <c r="L318" s="143">
        <v>82.138114209827364</v>
      </c>
      <c r="M318" s="143">
        <v>83.001328021248341</v>
      </c>
      <c r="N318" s="143">
        <v>87.250996015936252</v>
      </c>
      <c r="O318" s="143">
        <v>92.43027888446214</v>
      </c>
      <c r="P318" s="143">
        <v>100</v>
      </c>
      <c r="Q318" s="143">
        <v>100.132802124834</v>
      </c>
      <c r="R318" s="143">
        <v>104.24966799468791</v>
      </c>
      <c r="S318" s="143">
        <v>99.203187250996024</v>
      </c>
      <c r="T318" s="143">
        <v>101.06241699867198</v>
      </c>
      <c r="U318" s="143">
        <v>95.2855245683931</v>
      </c>
      <c r="V318" s="143">
        <v>109.89375830013279</v>
      </c>
      <c r="W318" s="143">
        <v>114.20982735723773</v>
      </c>
      <c r="X318" s="143">
        <v>112.21779548472774</v>
      </c>
      <c r="Y318" s="142">
        <v>104.18857901726429</v>
      </c>
    </row>
    <row r="319" spans="1:25" outlineLevel="2" x14ac:dyDescent="0.4">
      <c r="A319" s="165"/>
      <c r="B319" s="164"/>
      <c r="C319" s="164"/>
      <c r="D319" s="164" t="s">
        <v>195</v>
      </c>
      <c r="E319" s="163" t="s">
        <v>194</v>
      </c>
      <c r="F319" s="161">
        <v>81.10040410320174</v>
      </c>
      <c r="G319" s="161">
        <v>82.654647186820014</v>
      </c>
      <c r="H319" s="161">
        <v>84.737332918868518</v>
      </c>
      <c r="I319" s="161">
        <v>89.524401616412803</v>
      </c>
      <c r="J319" s="161">
        <v>88.747280074603665</v>
      </c>
      <c r="K319" s="161">
        <v>88.218837426173451</v>
      </c>
      <c r="L319" s="161">
        <v>91.607087348461306</v>
      </c>
      <c r="M319" s="161">
        <v>92.663972645321721</v>
      </c>
      <c r="N319" s="161">
        <v>97.575380789555481</v>
      </c>
      <c r="O319" s="161">
        <v>98.756605533105386</v>
      </c>
      <c r="P319" s="161">
        <v>100</v>
      </c>
      <c r="Q319" s="161">
        <v>101.67858253030775</v>
      </c>
      <c r="R319" s="161">
        <v>102.6111283804787</v>
      </c>
      <c r="S319" s="161">
        <v>102.95306185887472</v>
      </c>
      <c r="T319" s="161">
        <v>104.7870686975443</v>
      </c>
      <c r="U319" s="161">
        <v>105.84395399440471</v>
      </c>
      <c r="V319" s="161">
        <v>97.202362449487097</v>
      </c>
      <c r="W319" s="161">
        <v>98.197078023002788</v>
      </c>
      <c r="X319" s="161">
        <v>93.845197388871611</v>
      </c>
      <c r="Y319" s="160">
        <v>90.610817531861983</v>
      </c>
    </row>
    <row r="320" spans="1:25" ht="70" outlineLevel="2" x14ac:dyDescent="0.4">
      <c r="A320" s="147"/>
      <c r="B320" s="146"/>
      <c r="C320" s="146"/>
      <c r="D320" s="146" t="s">
        <v>193</v>
      </c>
      <c r="E320" s="145" t="s">
        <v>192</v>
      </c>
      <c r="F320" s="143">
        <v>86.715961244263127</v>
      </c>
      <c r="G320" s="143">
        <v>89.342172361040284</v>
      </c>
      <c r="H320" s="143">
        <v>95.920448750637433</v>
      </c>
      <c r="I320" s="143">
        <v>99.005609382967876</v>
      </c>
      <c r="J320" s="143">
        <v>97.322794492605809</v>
      </c>
      <c r="K320" s="143">
        <v>99.643039265680784</v>
      </c>
      <c r="L320" s="143">
        <v>102.75369709331974</v>
      </c>
      <c r="M320" s="143">
        <v>101.1218765935747</v>
      </c>
      <c r="N320" s="143">
        <v>99.89801121876593</v>
      </c>
      <c r="O320" s="143">
        <v>97.526772055073934</v>
      </c>
      <c r="P320" s="143">
        <v>100</v>
      </c>
      <c r="Q320" s="143">
        <v>108.03161652218256</v>
      </c>
      <c r="R320" s="143">
        <v>110.55583885772565</v>
      </c>
      <c r="S320" s="143">
        <v>112.13666496685364</v>
      </c>
      <c r="T320" s="143">
        <v>116.90464048954614</v>
      </c>
      <c r="U320" s="143">
        <v>122.41203467618563</v>
      </c>
      <c r="V320" s="143">
        <v>117.66955634880163</v>
      </c>
      <c r="W320" s="143">
        <v>125.3697093319735</v>
      </c>
      <c r="X320" s="143">
        <v>120.72921978582356</v>
      </c>
      <c r="Y320" s="142">
        <v>115.28913819479858</v>
      </c>
    </row>
    <row r="321" spans="1:25" outlineLevel="2" x14ac:dyDescent="0.4">
      <c r="A321" s="165"/>
      <c r="B321" s="164"/>
      <c r="C321" s="164"/>
      <c r="D321" s="164" t="s">
        <v>191</v>
      </c>
      <c r="E321" s="163" t="s">
        <v>190</v>
      </c>
      <c r="F321" s="161">
        <v>87.749287749287745</v>
      </c>
      <c r="G321" s="161">
        <v>90.883190883190878</v>
      </c>
      <c r="H321" s="161">
        <v>90.17094017094017</v>
      </c>
      <c r="I321" s="161">
        <v>86.752136752136749</v>
      </c>
      <c r="J321" s="161">
        <v>67.09401709401709</v>
      </c>
      <c r="K321" s="161">
        <v>69.230769230769226</v>
      </c>
      <c r="L321" s="161">
        <v>64.529914529914535</v>
      </c>
      <c r="M321" s="161">
        <v>59.544159544159548</v>
      </c>
      <c r="N321" s="161">
        <v>80.341880341880341</v>
      </c>
      <c r="O321" s="161">
        <v>89.886039886039882</v>
      </c>
      <c r="P321" s="161">
        <v>100</v>
      </c>
      <c r="Q321" s="161">
        <v>101.85185185185186</v>
      </c>
      <c r="R321" s="161">
        <v>104.84330484330484</v>
      </c>
      <c r="S321" s="161">
        <v>101.56695156695157</v>
      </c>
      <c r="T321" s="161">
        <v>112.96296296296295</v>
      </c>
      <c r="U321" s="161">
        <v>92.450142450142451</v>
      </c>
      <c r="V321" s="161">
        <v>91.168091168091166</v>
      </c>
      <c r="W321" s="161">
        <v>86.609686609686605</v>
      </c>
      <c r="X321" s="161">
        <v>86.324786324786331</v>
      </c>
      <c r="Y321" s="160">
        <v>98.784900284900289</v>
      </c>
    </row>
    <row r="322" spans="1:25" outlineLevel="2" x14ac:dyDescent="0.4">
      <c r="A322" s="147"/>
      <c r="B322" s="146"/>
      <c r="C322" s="146"/>
      <c r="D322" s="146" t="s">
        <v>189</v>
      </c>
      <c r="E322" s="145" t="s">
        <v>188</v>
      </c>
      <c r="F322" s="143">
        <v>78.533231474407955</v>
      </c>
      <c r="G322" s="143">
        <v>86.172650878533233</v>
      </c>
      <c r="H322" s="143">
        <v>83.804430863254396</v>
      </c>
      <c r="I322" s="143">
        <v>80.099312452253628</v>
      </c>
      <c r="J322" s="143">
        <v>91.596638655462186</v>
      </c>
      <c r="K322" s="143">
        <v>80.366692131398011</v>
      </c>
      <c r="L322" s="143">
        <v>88.922841864018338</v>
      </c>
      <c r="M322" s="143">
        <v>87.738731856378919</v>
      </c>
      <c r="N322" s="143">
        <v>92.093200916730339</v>
      </c>
      <c r="O322" s="143">
        <v>103.93430099312452</v>
      </c>
      <c r="P322" s="143">
        <v>100</v>
      </c>
      <c r="Q322" s="143">
        <v>90.947288006111535</v>
      </c>
      <c r="R322" s="143">
        <v>92.589763177998478</v>
      </c>
      <c r="S322" s="143">
        <v>94.155844155844164</v>
      </c>
      <c r="T322" s="143">
        <v>93.162719633307873</v>
      </c>
      <c r="U322" s="143">
        <v>93.506493506493499</v>
      </c>
      <c r="V322" s="143">
        <v>95.072574484339185</v>
      </c>
      <c r="W322" s="143">
        <v>97.249809014514895</v>
      </c>
      <c r="X322" s="143">
        <v>93.162719633307873</v>
      </c>
      <c r="Y322" s="142">
        <v>97.976699770817419</v>
      </c>
    </row>
    <row r="323" spans="1:25" outlineLevel="2" x14ac:dyDescent="0.4">
      <c r="A323" s="165"/>
      <c r="B323" s="164"/>
      <c r="C323" s="164"/>
      <c r="D323" s="164" t="s">
        <v>187</v>
      </c>
      <c r="E323" s="163" t="s">
        <v>186</v>
      </c>
      <c r="F323" s="161">
        <v>89.389534883720927</v>
      </c>
      <c r="G323" s="161">
        <v>89.970930232558146</v>
      </c>
      <c r="H323" s="161">
        <v>93.168604651162795</v>
      </c>
      <c r="I323" s="161">
        <v>100.43604651162789</v>
      </c>
      <c r="J323" s="161">
        <v>99.273255813953483</v>
      </c>
      <c r="K323" s="161">
        <v>95.639534883720927</v>
      </c>
      <c r="L323" s="161">
        <v>96.220930232558146</v>
      </c>
      <c r="M323" s="161">
        <v>97.383720930232556</v>
      </c>
      <c r="N323" s="161">
        <v>96.366279069767444</v>
      </c>
      <c r="O323" s="161">
        <v>102.32558139534885</v>
      </c>
      <c r="P323" s="161">
        <v>100</v>
      </c>
      <c r="Q323" s="161">
        <v>102.03488372093024</v>
      </c>
      <c r="R323" s="161">
        <v>105.08720930232558</v>
      </c>
      <c r="S323" s="161">
        <v>113.51744186046511</v>
      </c>
      <c r="T323" s="161">
        <v>120.34883720930232</v>
      </c>
      <c r="U323" s="161">
        <v>118.16860465116279</v>
      </c>
      <c r="V323" s="161">
        <v>132.99418604651163</v>
      </c>
      <c r="W323" s="161">
        <v>150</v>
      </c>
      <c r="X323" s="161">
        <v>144.91279069767441</v>
      </c>
      <c r="Y323" s="160">
        <v>139.31976744186045</v>
      </c>
    </row>
    <row r="324" spans="1:25" ht="70" outlineLevel="2" x14ac:dyDescent="0.4">
      <c r="A324" s="147"/>
      <c r="B324" s="146"/>
      <c r="C324" s="146"/>
      <c r="D324" s="146" t="s">
        <v>185</v>
      </c>
      <c r="E324" s="145" t="s">
        <v>184</v>
      </c>
      <c r="F324" s="143">
        <v>70.166959578207383</v>
      </c>
      <c r="G324" s="143">
        <v>75.527240773286465</v>
      </c>
      <c r="H324" s="143">
        <v>85.588752196836566</v>
      </c>
      <c r="I324" s="143">
        <v>87.478031634446396</v>
      </c>
      <c r="J324" s="143">
        <v>88.840070298769774</v>
      </c>
      <c r="K324" s="143">
        <v>87.126537785588752</v>
      </c>
      <c r="L324" s="143">
        <v>88.576449912126549</v>
      </c>
      <c r="M324" s="143">
        <v>89.191564147627417</v>
      </c>
      <c r="N324" s="143">
        <v>94.156414762741647</v>
      </c>
      <c r="O324" s="143">
        <v>96.0896309314587</v>
      </c>
      <c r="P324" s="143">
        <v>100</v>
      </c>
      <c r="Q324" s="143">
        <v>102.32864674868189</v>
      </c>
      <c r="R324" s="143">
        <v>101.40597539543057</v>
      </c>
      <c r="S324" s="143">
        <v>103.9103690685413</v>
      </c>
      <c r="T324" s="143">
        <v>103.73462214411249</v>
      </c>
      <c r="U324" s="143">
        <v>105.93145869947276</v>
      </c>
      <c r="V324" s="143">
        <v>110.10544815465731</v>
      </c>
      <c r="W324" s="143">
        <v>121.66080843585236</v>
      </c>
      <c r="X324" s="143">
        <v>115.11423550087873</v>
      </c>
      <c r="Y324" s="142">
        <v>111.69903339191565</v>
      </c>
    </row>
    <row r="325" spans="1:25" ht="28" outlineLevel="2" x14ac:dyDescent="0.4">
      <c r="A325" s="165"/>
      <c r="B325" s="164"/>
      <c r="C325" s="164"/>
      <c r="D325" s="164" t="s">
        <v>183</v>
      </c>
      <c r="E325" s="163" t="s">
        <v>182</v>
      </c>
      <c r="F325" s="161">
        <v>77.838598686268384</v>
      </c>
      <c r="G325" s="161">
        <v>81.388802001876755</v>
      </c>
      <c r="H325" s="161">
        <v>87.738504848295278</v>
      </c>
      <c r="I325" s="161">
        <v>89.224272755708483</v>
      </c>
      <c r="J325" s="161">
        <v>91.226149515170476</v>
      </c>
      <c r="K325" s="161">
        <v>87.347513293712851</v>
      </c>
      <c r="L325" s="161">
        <v>88.473568970910236</v>
      </c>
      <c r="M325" s="161">
        <v>90.772599311854862</v>
      </c>
      <c r="N325" s="161">
        <v>95.558335939943689</v>
      </c>
      <c r="O325" s="161">
        <v>98.123240538004382</v>
      </c>
      <c r="P325" s="161">
        <v>100</v>
      </c>
      <c r="Q325" s="161">
        <v>104.70753831717235</v>
      </c>
      <c r="R325" s="161">
        <v>101.57960588051299</v>
      </c>
      <c r="S325" s="161">
        <v>105.50516108852048</v>
      </c>
      <c r="T325" s="161">
        <v>107.31936190178293</v>
      </c>
      <c r="U325" s="161">
        <v>89.427588364091335</v>
      </c>
      <c r="V325" s="161">
        <v>110.69752893337504</v>
      </c>
      <c r="W325" s="161">
        <v>127.30685017203629</v>
      </c>
      <c r="X325" s="161">
        <v>130.85705348764466</v>
      </c>
      <c r="Y325" s="160">
        <v>129.9411948701908</v>
      </c>
    </row>
    <row r="326" spans="1:25" ht="70" outlineLevel="1" x14ac:dyDescent="0.4">
      <c r="A326" s="171"/>
      <c r="B326" s="146"/>
      <c r="C326" s="170" t="s">
        <v>181</v>
      </c>
      <c r="D326" s="170"/>
      <c r="E326" s="169" t="s">
        <v>180</v>
      </c>
      <c r="F326" s="167">
        <v>85.400754133230208</v>
      </c>
      <c r="G326" s="167">
        <v>93.183795803925364</v>
      </c>
      <c r="H326" s="167">
        <v>104.92120274581842</v>
      </c>
      <c r="I326" s="167">
        <v>104.03171226916754</v>
      </c>
      <c r="J326" s="167">
        <v>90.147926133616934</v>
      </c>
      <c r="K326" s="167">
        <v>93.222469302910184</v>
      </c>
      <c r="L326" s="167">
        <v>100.7638016049502</v>
      </c>
      <c r="M326" s="167">
        <v>100.11602049695448</v>
      </c>
      <c r="N326" s="167">
        <v>97.921299429565892</v>
      </c>
      <c r="O326" s="167">
        <v>99.613265010151792</v>
      </c>
      <c r="P326" s="167">
        <v>100</v>
      </c>
      <c r="Q326" s="167">
        <v>104.56347288020883</v>
      </c>
      <c r="R326" s="167">
        <v>101.61461858261627</v>
      </c>
      <c r="S326" s="167">
        <v>100.52209223629507</v>
      </c>
      <c r="T326" s="167">
        <v>101.25688871700666</v>
      </c>
      <c r="U326" s="167">
        <v>79.677076283476751</v>
      </c>
      <c r="V326" s="167">
        <v>112.95562215991492</v>
      </c>
      <c r="W326" s="167">
        <v>126.71371942376486</v>
      </c>
      <c r="X326" s="167">
        <v>110.83824809049598</v>
      </c>
      <c r="Y326" s="166">
        <v>106.79183989171419</v>
      </c>
    </row>
    <row r="327" spans="1:25" ht="42" outlineLevel="2" x14ac:dyDescent="0.4">
      <c r="A327" s="165"/>
      <c r="B327" s="164"/>
      <c r="C327" s="164"/>
      <c r="D327" s="164" t="s">
        <v>179</v>
      </c>
      <c r="E327" s="163" t="s">
        <v>178</v>
      </c>
      <c r="F327" s="161">
        <v>85.519571295433366</v>
      </c>
      <c r="G327" s="161">
        <v>94.070363466915182</v>
      </c>
      <c r="H327" s="161">
        <v>105.59179869524698</v>
      </c>
      <c r="I327" s="161">
        <v>102.81919850885369</v>
      </c>
      <c r="J327" s="161">
        <v>90.097856477166829</v>
      </c>
      <c r="K327" s="161">
        <v>92.812208760484623</v>
      </c>
      <c r="L327" s="161">
        <v>99.662162162162161</v>
      </c>
      <c r="M327" s="161">
        <v>99.627213420316878</v>
      </c>
      <c r="N327" s="161">
        <v>98.182665424044728</v>
      </c>
      <c r="O327" s="161">
        <v>99.627213420316878</v>
      </c>
      <c r="P327" s="161">
        <v>100</v>
      </c>
      <c r="Q327" s="161">
        <v>104.89282385834109</v>
      </c>
      <c r="R327" s="161">
        <v>101.26980428704566</v>
      </c>
      <c r="S327" s="161">
        <v>101.68918918918919</v>
      </c>
      <c r="T327" s="161">
        <v>103.58807082945015</v>
      </c>
      <c r="U327" s="161">
        <v>84.71575023299161</v>
      </c>
      <c r="V327" s="161">
        <v>119.34995340167754</v>
      </c>
      <c r="W327" s="161">
        <v>134.66915191053121</v>
      </c>
      <c r="X327" s="161">
        <v>117.24137931034481</v>
      </c>
      <c r="Y327" s="160">
        <v>113.2513979496738</v>
      </c>
    </row>
    <row r="328" spans="1:25" ht="56" outlineLevel="2" x14ac:dyDescent="0.4">
      <c r="A328" s="147"/>
      <c r="B328" s="146"/>
      <c r="C328" s="146"/>
      <c r="D328" s="146" t="s">
        <v>177</v>
      </c>
      <c r="E328" s="145" t="s">
        <v>176</v>
      </c>
      <c r="F328" s="143">
        <v>85.048322910744744</v>
      </c>
      <c r="G328" s="143">
        <v>89.198408186469578</v>
      </c>
      <c r="H328" s="143">
        <v>101.93291642978966</v>
      </c>
      <c r="I328" s="143">
        <v>109.55088118249006</v>
      </c>
      <c r="J328" s="143">
        <v>90.562819783968166</v>
      </c>
      <c r="K328" s="143">
        <v>95.281409891984083</v>
      </c>
      <c r="L328" s="143">
        <v>106.0830017055145</v>
      </c>
      <c r="M328" s="143">
        <v>102.50142126208073</v>
      </c>
      <c r="N328" s="143">
        <v>96.702671972711769</v>
      </c>
      <c r="O328" s="143">
        <v>99.545196134167142</v>
      </c>
      <c r="P328" s="143">
        <v>100</v>
      </c>
      <c r="Q328" s="143">
        <v>102.95622512791358</v>
      </c>
      <c r="R328" s="143">
        <v>103.29732802728824</v>
      </c>
      <c r="S328" s="143">
        <v>93.973848777714608</v>
      </c>
      <c r="T328" s="143">
        <v>88.345650938032975</v>
      </c>
      <c r="U328" s="143">
        <v>51.279135872654912</v>
      </c>
      <c r="V328" s="143">
        <v>76.918703808982386</v>
      </c>
      <c r="W328" s="143">
        <v>81.637293916998303</v>
      </c>
      <c r="X328" s="143">
        <v>74.644684479818082</v>
      </c>
      <c r="Y328" s="142">
        <v>70.213757816941438</v>
      </c>
    </row>
    <row r="329" spans="1:25" ht="70" outlineLevel="1" x14ac:dyDescent="0.4">
      <c r="A329" s="153"/>
      <c r="B329" s="164"/>
      <c r="C329" s="152" t="s">
        <v>175</v>
      </c>
      <c r="D329" s="152"/>
      <c r="E329" s="151" t="s">
        <v>174</v>
      </c>
      <c r="F329" s="149">
        <v>75.780089153046063</v>
      </c>
      <c r="G329" s="149">
        <v>81.178801386825157</v>
      </c>
      <c r="H329" s="149">
        <v>86.660062737328715</v>
      </c>
      <c r="I329" s="149">
        <v>88.24500577843817</v>
      </c>
      <c r="J329" s="149">
        <v>87.072808320950969</v>
      </c>
      <c r="K329" s="149">
        <v>89.252105002476483</v>
      </c>
      <c r="L329" s="149">
        <v>91.480931154036654</v>
      </c>
      <c r="M329" s="149">
        <v>93.627208188872373</v>
      </c>
      <c r="N329" s="149">
        <v>93.445600132078582</v>
      </c>
      <c r="O329" s="149">
        <v>95.459798580155194</v>
      </c>
      <c r="P329" s="149">
        <v>100</v>
      </c>
      <c r="Q329" s="149">
        <v>105.89400693412581</v>
      </c>
      <c r="R329" s="149">
        <v>105.72890870067691</v>
      </c>
      <c r="S329" s="149">
        <v>106.17467393098894</v>
      </c>
      <c r="T329" s="149">
        <v>105.48126135050356</v>
      </c>
      <c r="U329" s="149">
        <v>97.754664025094925</v>
      </c>
      <c r="V329" s="149">
        <v>102.22882615156017</v>
      </c>
      <c r="W329" s="149">
        <v>110.43420835397062</v>
      </c>
      <c r="X329" s="149">
        <v>109.88938418358924</v>
      </c>
      <c r="Y329" s="148">
        <v>109.64256232458314</v>
      </c>
    </row>
    <row r="330" spans="1:25" ht="42" outlineLevel="2" x14ac:dyDescent="0.4">
      <c r="A330" s="147"/>
      <c r="B330" s="146"/>
      <c r="C330" s="146"/>
      <c r="D330" s="146" t="s">
        <v>173</v>
      </c>
      <c r="E330" s="145" t="s">
        <v>172</v>
      </c>
      <c r="F330" s="143">
        <v>88.126649076517154</v>
      </c>
      <c r="G330" s="143">
        <v>96.130167106420402</v>
      </c>
      <c r="H330" s="143">
        <v>106.42040457343886</v>
      </c>
      <c r="I330" s="143">
        <v>102.19876868953386</v>
      </c>
      <c r="J330" s="143">
        <v>92.875989445910292</v>
      </c>
      <c r="K330" s="143">
        <v>92.524186455584868</v>
      </c>
      <c r="L330" s="143">
        <v>90.325417766051004</v>
      </c>
      <c r="M330" s="143">
        <v>88.742304309586629</v>
      </c>
      <c r="N330" s="143">
        <v>90.765171503957788</v>
      </c>
      <c r="O330" s="143">
        <v>93.139841688654357</v>
      </c>
      <c r="P330" s="143">
        <v>100</v>
      </c>
      <c r="Q330" s="143">
        <v>102.11081794195252</v>
      </c>
      <c r="R330" s="143">
        <v>98.59278803869833</v>
      </c>
      <c r="S330" s="143">
        <v>90.413368513632363</v>
      </c>
      <c r="T330" s="143">
        <v>84.872471416007031</v>
      </c>
      <c r="U330" s="143">
        <v>77.748460861917323</v>
      </c>
      <c r="V330" s="143">
        <v>81.002638522427446</v>
      </c>
      <c r="W330" s="143">
        <v>95.514511873350926</v>
      </c>
      <c r="X330" s="143">
        <v>83.992963940193491</v>
      </c>
      <c r="Y330" s="142">
        <v>78.168865435356196</v>
      </c>
    </row>
    <row r="331" spans="1:25" outlineLevel="2" x14ac:dyDescent="0.4">
      <c r="A331" s="165"/>
      <c r="B331" s="164"/>
      <c r="C331" s="164"/>
      <c r="D331" s="164" t="s">
        <v>171</v>
      </c>
      <c r="E331" s="163" t="s">
        <v>170</v>
      </c>
      <c r="F331" s="161">
        <v>67.75396085740914</v>
      </c>
      <c r="G331" s="161">
        <v>73.159366262814544</v>
      </c>
      <c r="H331" s="161">
        <v>77.073625349487415</v>
      </c>
      <c r="I331" s="161">
        <v>80.180180180180187</v>
      </c>
      <c r="J331" s="161">
        <v>80.428704566635602</v>
      </c>
      <c r="K331" s="161">
        <v>86.020503261882581</v>
      </c>
      <c r="L331" s="161">
        <v>89.499844672258462</v>
      </c>
      <c r="M331" s="161">
        <v>92.854923889406649</v>
      </c>
      <c r="N331" s="161">
        <v>93.04131717924821</v>
      </c>
      <c r="O331" s="161">
        <v>97.266231748990378</v>
      </c>
      <c r="P331" s="161">
        <v>100</v>
      </c>
      <c r="Q331" s="161">
        <v>107.73532152842498</v>
      </c>
      <c r="R331" s="161">
        <v>110.81081081081081</v>
      </c>
      <c r="S331" s="161">
        <v>115.15998757378068</v>
      </c>
      <c r="T331" s="161">
        <v>117.08605156881018</v>
      </c>
      <c r="U331" s="161">
        <v>109.50605778191984</v>
      </c>
      <c r="V331" s="161">
        <v>112.4883504193849</v>
      </c>
      <c r="W331" s="161">
        <v>117.95588692140417</v>
      </c>
      <c r="X331" s="161">
        <v>120.78285181733457</v>
      </c>
      <c r="Y331" s="160">
        <v>121.69058713886301</v>
      </c>
    </row>
    <row r="332" spans="1:25" ht="42" outlineLevel="2" x14ac:dyDescent="0.4">
      <c r="A332" s="147"/>
      <c r="B332" s="146"/>
      <c r="C332" s="146"/>
      <c r="D332" s="146" t="s">
        <v>169</v>
      </c>
      <c r="E332" s="145" t="s">
        <v>168</v>
      </c>
      <c r="F332" s="143">
        <v>84.773662551440339</v>
      </c>
      <c r="G332" s="143">
        <v>88.183421516754848</v>
      </c>
      <c r="H332" s="143">
        <v>94.532627865961189</v>
      </c>
      <c r="I332" s="143">
        <v>95.943562610229264</v>
      </c>
      <c r="J332" s="143">
        <v>97.060552616108168</v>
      </c>
      <c r="K332" s="143">
        <v>92.768959435626101</v>
      </c>
      <c r="L332" s="143">
        <v>95.649617871840093</v>
      </c>
      <c r="M332" s="143">
        <v>98.353909465020578</v>
      </c>
      <c r="N332" s="143">
        <v>96.002351557907119</v>
      </c>
      <c r="O332" s="143">
        <v>94.238683127572017</v>
      </c>
      <c r="P332" s="143">
        <v>100</v>
      </c>
      <c r="Q332" s="143">
        <v>104.93827160493827</v>
      </c>
      <c r="R332" s="143">
        <v>101.23456790123457</v>
      </c>
      <c r="S332" s="143">
        <v>100.29394473838917</v>
      </c>
      <c r="T332" s="143">
        <v>97.942386831275712</v>
      </c>
      <c r="U332" s="143">
        <v>89.300411522633752</v>
      </c>
      <c r="V332" s="143">
        <v>98.118753674309232</v>
      </c>
      <c r="W332" s="143">
        <v>108.7007642563198</v>
      </c>
      <c r="X332" s="143">
        <v>106.58436213991769</v>
      </c>
      <c r="Y332" s="142">
        <v>107.42680776014109</v>
      </c>
    </row>
    <row r="333" spans="1:25" ht="98" outlineLevel="1" x14ac:dyDescent="0.4">
      <c r="A333" s="153"/>
      <c r="B333" s="164"/>
      <c r="C333" s="152" t="s">
        <v>167</v>
      </c>
      <c r="D333" s="152"/>
      <c r="E333" s="151" t="s">
        <v>166</v>
      </c>
      <c r="F333" s="149">
        <v>75.041485023203492</v>
      </c>
      <c r="G333" s="149">
        <v>81.462522851919559</v>
      </c>
      <c r="H333" s="149">
        <v>87.10729855153987</v>
      </c>
      <c r="I333" s="149">
        <v>88.333567711995499</v>
      </c>
      <c r="J333" s="149">
        <v>85.729152018000278</v>
      </c>
      <c r="K333" s="149">
        <v>86.688229503585987</v>
      </c>
      <c r="L333" s="149">
        <v>91.936436506820414</v>
      </c>
      <c r="M333" s="149">
        <v>92.161440022500358</v>
      </c>
      <c r="N333" s="149">
        <v>94.990859232175509</v>
      </c>
      <c r="O333" s="149">
        <v>97.837153705526646</v>
      </c>
      <c r="P333" s="149">
        <v>100</v>
      </c>
      <c r="Q333" s="149">
        <v>104.29194206159471</v>
      </c>
      <c r="R333" s="149">
        <v>104.39600618759668</v>
      </c>
      <c r="S333" s="149">
        <v>105.56883701307834</v>
      </c>
      <c r="T333" s="149">
        <v>105.9907186049782</v>
      </c>
      <c r="U333" s="149">
        <v>95.348052313317396</v>
      </c>
      <c r="V333" s="149">
        <v>107.50105470397975</v>
      </c>
      <c r="W333" s="149">
        <v>114.34959921248769</v>
      </c>
      <c r="X333" s="149">
        <v>112.82238784981016</v>
      </c>
      <c r="Y333" s="148">
        <v>108.86373224581634</v>
      </c>
    </row>
    <row r="334" spans="1:25" ht="28" outlineLevel="2" x14ac:dyDescent="0.4">
      <c r="A334" s="147"/>
      <c r="B334" s="146"/>
      <c r="C334" s="146"/>
      <c r="D334" s="146" t="s">
        <v>165</v>
      </c>
      <c r="E334" s="145" t="s">
        <v>164</v>
      </c>
      <c r="F334" s="143">
        <v>102.74449168921531</v>
      </c>
      <c r="G334" s="143">
        <v>105.79822187862389</v>
      </c>
      <c r="H334" s="143">
        <v>109.22561525576602</v>
      </c>
      <c r="I334" s="143">
        <v>109.30292488081432</v>
      </c>
      <c r="J334" s="143">
        <v>106.5068934415668</v>
      </c>
      <c r="K334" s="143">
        <v>110.23064038139414</v>
      </c>
      <c r="L334" s="143">
        <v>111.80260275737663</v>
      </c>
      <c r="M334" s="143">
        <v>107.35729931709832</v>
      </c>
      <c r="N334" s="143">
        <v>114.16054632135032</v>
      </c>
      <c r="O334" s="143">
        <v>104.97358587810849</v>
      </c>
      <c r="P334" s="143">
        <v>100</v>
      </c>
      <c r="Q334" s="143">
        <v>118.83777863677361</v>
      </c>
      <c r="R334" s="143">
        <v>126.73624532921015</v>
      </c>
      <c r="S334" s="143">
        <v>132.48292745780185</v>
      </c>
      <c r="T334" s="143">
        <v>131.60675170725423</v>
      </c>
      <c r="U334" s="143">
        <v>116.42829532276768</v>
      </c>
      <c r="V334" s="143">
        <v>136.90246102306403</v>
      </c>
      <c r="W334" s="143">
        <v>143.92475196495297</v>
      </c>
      <c r="X334" s="143">
        <v>154.11673753382297</v>
      </c>
      <c r="Y334" s="142">
        <v>148.69269424043296</v>
      </c>
    </row>
    <row r="335" spans="1:25" ht="84" outlineLevel="2" x14ac:dyDescent="0.4">
      <c r="A335" s="165"/>
      <c r="B335" s="164"/>
      <c r="C335" s="164"/>
      <c r="D335" s="164" t="s">
        <v>163</v>
      </c>
      <c r="E335" s="163" t="s">
        <v>162</v>
      </c>
      <c r="F335" s="161">
        <v>74.005417301506682</v>
      </c>
      <c r="G335" s="161">
        <v>79.972913492466574</v>
      </c>
      <c r="H335" s="161">
        <v>85.491789402403924</v>
      </c>
      <c r="I335" s="161">
        <v>88.36973082783139</v>
      </c>
      <c r="J335" s="161">
        <v>85.373285931945148</v>
      </c>
      <c r="K335" s="161">
        <v>86.676824106991702</v>
      </c>
      <c r="L335" s="161">
        <v>90.452006094464195</v>
      </c>
      <c r="M335" s="161">
        <v>91.569324530218381</v>
      </c>
      <c r="N335" s="161">
        <v>94.421872354833241</v>
      </c>
      <c r="O335" s="161">
        <v>95.268325715253084</v>
      </c>
      <c r="P335" s="161">
        <v>100</v>
      </c>
      <c r="Q335" s="161">
        <v>102.09920433384121</v>
      </c>
      <c r="R335" s="161">
        <v>101.84526832571525</v>
      </c>
      <c r="S335" s="161">
        <v>103.64821398340951</v>
      </c>
      <c r="T335" s="161">
        <v>105.92517352293889</v>
      </c>
      <c r="U335" s="161">
        <v>102.44625021161333</v>
      </c>
      <c r="V335" s="161">
        <v>114.8383274081598</v>
      </c>
      <c r="W335" s="161">
        <v>122.99813780260706</v>
      </c>
      <c r="X335" s="161">
        <v>117.63162349754528</v>
      </c>
      <c r="Y335" s="160">
        <v>115.73776874894193</v>
      </c>
    </row>
    <row r="336" spans="1:25" outlineLevel="2" x14ac:dyDescent="0.4">
      <c r="A336" s="147"/>
      <c r="B336" s="146"/>
      <c r="C336" s="146"/>
      <c r="D336" s="146" t="s">
        <v>161</v>
      </c>
      <c r="E336" s="145" t="s">
        <v>160</v>
      </c>
      <c r="F336" s="143">
        <v>76.675026872088864</v>
      </c>
      <c r="G336" s="143">
        <v>80.508778215693297</v>
      </c>
      <c r="H336" s="143">
        <v>86.563955571479752</v>
      </c>
      <c r="I336" s="143">
        <v>86.778932282336086</v>
      </c>
      <c r="J336" s="143">
        <v>86.277319957004664</v>
      </c>
      <c r="K336" s="143">
        <v>88.713722680042991</v>
      </c>
      <c r="L336" s="143">
        <v>94.589752776782504</v>
      </c>
      <c r="M336" s="143">
        <v>93.729845933357211</v>
      </c>
      <c r="N336" s="143">
        <v>94.088140451451096</v>
      </c>
      <c r="O336" s="143">
        <v>95.30634181297026</v>
      </c>
      <c r="P336" s="143">
        <v>100</v>
      </c>
      <c r="Q336" s="143">
        <v>102.68720888570404</v>
      </c>
      <c r="R336" s="143">
        <v>101.43317807237548</v>
      </c>
      <c r="S336" s="143">
        <v>105.41024722321748</v>
      </c>
      <c r="T336" s="143">
        <v>109.20816911501254</v>
      </c>
      <c r="U336" s="143">
        <v>105.84020064493014</v>
      </c>
      <c r="V336" s="143">
        <v>109.3156574704407</v>
      </c>
      <c r="W336" s="143">
        <v>121.71264779648871</v>
      </c>
      <c r="X336" s="143">
        <v>111.78788964528843</v>
      </c>
      <c r="Y336" s="142">
        <v>111.32963095664637</v>
      </c>
    </row>
    <row r="337" spans="1:25" outlineLevel="2" x14ac:dyDescent="0.4">
      <c r="A337" s="165"/>
      <c r="B337" s="164"/>
      <c r="C337" s="164"/>
      <c r="D337" s="164" t="s">
        <v>159</v>
      </c>
      <c r="E337" s="163" t="s">
        <v>158</v>
      </c>
      <c r="F337" s="161">
        <v>61.877322010766548</v>
      </c>
      <c r="G337" s="161">
        <v>70.664948062779587</v>
      </c>
      <c r="H337" s="161">
        <v>77.026309803624244</v>
      </c>
      <c r="I337" s="161">
        <v>77.435741906133899</v>
      </c>
      <c r="J337" s="161">
        <v>74.660702100235042</v>
      </c>
      <c r="K337" s="161">
        <v>73.71294260368488</v>
      </c>
      <c r="L337" s="161">
        <v>82.007733717491845</v>
      </c>
      <c r="M337" s="161">
        <v>84.252028205322617</v>
      </c>
      <c r="N337" s="161">
        <v>85.52581696868603</v>
      </c>
      <c r="O337" s="161">
        <v>96.618394116309048</v>
      </c>
      <c r="P337" s="161">
        <v>100</v>
      </c>
      <c r="Q337" s="161">
        <v>98.036242323148088</v>
      </c>
      <c r="R337" s="161">
        <v>94.662218515429515</v>
      </c>
      <c r="S337" s="161">
        <v>91.576313594662224</v>
      </c>
      <c r="T337" s="161">
        <v>90.302524831298811</v>
      </c>
      <c r="U337" s="161">
        <v>73.56130108423686</v>
      </c>
      <c r="V337" s="161">
        <v>82.28827052847069</v>
      </c>
      <c r="W337" s="161">
        <v>86.701038744408223</v>
      </c>
      <c r="X337" s="161">
        <v>81.658958222761385</v>
      </c>
      <c r="Y337" s="160">
        <v>75.623929031768895</v>
      </c>
    </row>
    <row r="338" spans="1:25" ht="112" outlineLevel="1" x14ac:dyDescent="0.4">
      <c r="A338" s="171"/>
      <c r="B338" s="146"/>
      <c r="C338" s="170" t="s">
        <v>157</v>
      </c>
      <c r="D338" s="170"/>
      <c r="E338" s="169" t="s">
        <v>156</v>
      </c>
      <c r="F338" s="167">
        <v>75.306584910690475</v>
      </c>
      <c r="G338" s="167">
        <v>82.597973873633705</v>
      </c>
      <c r="H338" s="167">
        <v>91.535590509197547</v>
      </c>
      <c r="I338" s="167">
        <v>86.283657691282329</v>
      </c>
      <c r="J338" s="167">
        <v>80.111970141295657</v>
      </c>
      <c r="K338" s="167">
        <v>87.549986670221273</v>
      </c>
      <c r="L338" s="167">
        <v>95.221274326846171</v>
      </c>
      <c r="M338" s="167">
        <v>96.654225539856043</v>
      </c>
      <c r="N338" s="167">
        <v>95.294588109837377</v>
      </c>
      <c r="O338" s="167">
        <v>98.986936816848839</v>
      </c>
      <c r="P338" s="167">
        <v>100</v>
      </c>
      <c r="Q338" s="167">
        <v>101.75286590242602</v>
      </c>
      <c r="R338" s="167">
        <v>91.475606504932017</v>
      </c>
      <c r="S338" s="167">
        <v>93.521727539322853</v>
      </c>
      <c r="T338" s="167">
        <v>95.287923220474539</v>
      </c>
      <c r="U338" s="167">
        <v>85.430551852839244</v>
      </c>
      <c r="V338" s="167">
        <v>101.27965875766462</v>
      </c>
      <c r="W338" s="167">
        <v>113.58304452146095</v>
      </c>
      <c r="X338" s="167">
        <v>108.18448413756332</v>
      </c>
      <c r="Y338" s="166">
        <v>107.55198613703013</v>
      </c>
    </row>
    <row r="339" spans="1:25" ht="28" outlineLevel="2" x14ac:dyDescent="0.4">
      <c r="A339" s="165"/>
      <c r="B339" s="164"/>
      <c r="C339" s="164"/>
      <c r="D339" s="164" t="s">
        <v>155</v>
      </c>
      <c r="E339" s="163" t="s">
        <v>154</v>
      </c>
      <c r="F339" s="161">
        <v>75.731584258324929</v>
      </c>
      <c r="G339" s="161">
        <v>81.281533804238151</v>
      </c>
      <c r="H339" s="161">
        <v>84.897410023545234</v>
      </c>
      <c r="I339" s="161">
        <v>86.226034308779006</v>
      </c>
      <c r="J339" s="161">
        <v>86.511940800538184</v>
      </c>
      <c r="K339" s="161">
        <v>89.471913891691884</v>
      </c>
      <c r="L339" s="161">
        <v>94.466868483013783</v>
      </c>
      <c r="M339" s="161">
        <v>97.27547931382442</v>
      </c>
      <c r="N339" s="161">
        <v>93.726875210225359</v>
      </c>
      <c r="O339" s="161">
        <v>98.234106962663986</v>
      </c>
      <c r="P339" s="161">
        <v>100</v>
      </c>
      <c r="Q339" s="161">
        <v>103.8008745375042</v>
      </c>
      <c r="R339" s="161">
        <v>95.980491086444658</v>
      </c>
      <c r="S339" s="161">
        <v>94.635048772283895</v>
      </c>
      <c r="T339" s="161">
        <v>95.37504204507232</v>
      </c>
      <c r="U339" s="161">
        <v>92.785065590312826</v>
      </c>
      <c r="V339" s="161">
        <v>112.46215943491423</v>
      </c>
      <c r="W339" s="161">
        <v>122.65388496468215</v>
      </c>
      <c r="X339" s="161">
        <v>117.49075008409014</v>
      </c>
      <c r="Y339" s="160">
        <v>115.23074335687858</v>
      </c>
    </row>
    <row r="340" spans="1:25" ht="28" outlineLevel="2" x14ac:dyDescent="0.4">
      <c r="A340" s="147"/>
      <c r="B340" s="146"/>
      <c r="C340" s="146"/>
      <c r="D340" s="146" t="s">
        <v>153</v>
      </c>
      <c r="E340" s="145" t="s">
        <v>152</v>
      </c>
      <c r="F340" s="143">
        <v>75</v>
      </c>
      <c r="G340" s="143">
        <v>82.760416666666671</v>
      </c>
      <c r="H340" s="143">
        <v>87.552083333333329</v>
      </c>
      <c r="I340" s="143">
        <v>82.34375</v>
      </c>
      <c r="J340" s="143">
        <v>77.552083333333329</v>
      </c>
      <c r="K340" s="143">
        <v>86.09375</v>
      </c>
      <c r="L340" s="143">
        <v>94.479166666666671</v>
      </c>
      <c r="M340" s="143">
        <v>89.479166666666671</v>
      </c>
      <c r="N340" s="143">
        <v>95.520833333333329</v>
      </c>
      <c r="O340" s="143">
        <v>96.71875</v>
      </c>
      <c r="P340" s="143">
        <v>100</v>
      </c>
      <c r="Q340" s="143">
        <v>106.40624999999999</v>
      </c>
      <c r="R340" s="143">
        <v>101.04166666666667</v>
      </c>
      <c r="S340" s="143">
        <v>106.30208333333333</v>
      </c>
      <c r="T340" s="143">
        <v>110.10416666666667</v>
      </c>
      <c r="U340" s="143">
        <v>104.53125000000001</v>
      </c>
      <c r="V340" s="143">
        <v>120.72916666666667</v>
      </c>
      <c r="W340" s="143">
        <v>136.35416666666666</v>
      </c>
      <c r="X340" s="143">
        <v>137.65625</v>
      </c>
      <c r="Y340" s="142">
        <v>145.34479166666665</v>
      </c>
    </row>
    <row r="341" spans="1:25" ht="28" outlineLevel="2" x14ac:dyDescent="0.4">
      <c r="A341" s="165"/>
      <c r="B341" s="164"/>
      <c r="C341" s="164"/>
      <c r="D341" s="164" t="s">
        <v>151</v>
      </c>
      <c r="E341" s="163" t="s">
        <v>150</v>
      </c>
      <c r="F341" s="161">
        <v>79.935275080906152</v>
      </c>
      <c r="G341" s="161">
        <v>85.307443365695789</v>
      </c>
      <c r="H341" s="161">
        <v>93.980582524271853</v>
      </c>
      <c r="I341" s="161">
        <v>94.843581445523199</v>
      </c>
      <c r="J341" s="161">
        <v>83.473570658036678</v>
      </c>
      <c r="K341" s="161">
        <v>88.84573894282633</v>
      </c>
      <c r="L341" s="161">
        <v>92.988133764832796</v>
      </c>
      <c r="M341" s="161">
        <v>93.031283710895366</v>
      </c>
      <c r="N341" s="161">
        <v>96.008629989212508</v>
      </c>
      <c r="O341" s="161">
        <v>98.101402373247041</v>
      </c>
      <c r="P341" s="161">
        <v>100</v>
      </c>
      <c r="Q341" s="161">
        <v>99.848975188781026</v>
      </c>
      <c r="R341" s="161">
        <v>81.833872707659111</v>
      </c>
      <c r="S341" s="161">
        <v>84.185544768069036</v>
      </c>
      <c r="T341" s="161">
        <v>86.17044228694715</v>
      </c>
      <c r="U341" s="161">
        <v>76.893203883495147</v>
      </c>
      <c r="V341" s="161">
        <v>81.877022653721681</v>
      </c>
      <c r="W341" s="161">
        <v>91.672060409924484</v>
      </c>
      <c r="X341" s="161">
        <v>97.130528586839276</v>
      </c>
      <c r="Y341" s="160">
        <v>99.546062567421785</v>
      </c>
    </row>
    <row r="342" spans="1:25" ht="42" outlineLevel="2" x14ac:dyDescent="0.4">
      <c r="A342" s="147"/>
      <c r="B342" s="146"/>
      <c r="C342" s="146"/>
      <c r="D342" s="146" t="s">
        <v>149</v>
      </c>
      <c r="E342" s="145" t="s">
        <v>148</v>
      </c>
      <c r="F342" s="143">
        <v>66.919696364362764</v>
      </c>
      <c r="G342" s="143">
        <v>78.226128645625252</v>
      </c>
      <c r="H342" s="143">
        <v>96.084698361965636</v>
      </c>
      <c r="I342" s="143">
        <v>73.911306432281265</v>
      </c>
      <c r="J342" s="143">
        <v>64.682381142628842</v>
      </c>
      <c r="K342" s="143">
        <v>83.180183779464642</v>
      </c>
      <c r="L342" s="143">
        <v>100.75908909308828</v>
      </c>
      <c r="M342" s="143">
        <v>107.07151418298042</v>
      </c>
      <c r="N342" s="143">
        <v>97.123451857770675</v>
      </c>
      <c r="O342" s="143">
        <v>103.75549340791051</v>
      </c>
      <c r="P342" s="143">
        <v>100</v>
      </c>
      <c r="Q342" s="143">
        <v>96.843787455053928</v>
      </c>
      <c r="R342" s="143">
        <v>90.930882940471434</v>
      </c>
      <c r="S342" s="143">
        <v>98.841390331602071</v>
      </c>
      <c r="T342" s="143">
        <v>101.63803435876947</v>
      </c>
      <c r="U342" s="143">
        <v>65.40151817818618</v>
      </c>
      <c r="V342" s="143">
        <v>86.735916899720337</v>
      </c>
      <c r="W342" s="143">
        <v>108.58969236915701</v>
      </c>
      <c r="X342" s="143">
        <v>79.824210946863758</v>
      </c>
      <c r="Y342" s="142">
        <v>74.208549740311625</v>
      </c>
    </row>
    <row r="343" spans="1:25" ht="28" outlineLevel="1" x14ac:dyDescent="0.4">
      <c r="A343" s="153"/>
      <c r="B343" s="164"/>
      <c r="C343" s="152" t="s">
        <v>147</v>
      </c>
      <c r="D343" s="152"/>
      <c r="E343" s="151" t="s">
        <v>146</v>
      </c>
      <c r="F343" s="149">
        <v>78.381750133666017</v>
      </c>
      <c r="G343" s="149">
        <v>83.746212796292994</v>
      </c>
      <c r="H343" s="149">
        <v>88.772054892176072</v>
      </c>
      <c r="I343" s="149">
        <v>91.231509534842274</v>
      </c>
      <c r="J343" s="149">
        <v>85.171983603635709</v>
      </c>
      <c r="K343" s="149">
        <v>88.878987702726789</v>
      </c>
      <c r="L343" s="149">
        <v>91.498841561219038</v>
      </c>
      <c r="M343" s="149">
        <v>93.72660844769203</v>
      </c>
      <c r="N343" s="149">
        <v>94.083051149527719</v>
      </c>
      <c r="O343" s="149">
        <v>96.863304223846015</v>
      </c>
      <c r="P343" s="149">
        <v>100</v>
      </c>
      <c r="Q343" s="149">
        <v>99.055426840135453</v>
      </c>
      <c r="R343" s="149">
        <v>96.756371413295312</v>
      </c>
      <c r="S343" s="149">
        <v>99.554446622705399</v>
      </c>
      <c r="T343" s="149">
        <v>99.037604705043663</v>
      </c>
      <c r="U343" s="149">
        <v>87.613616111210121</v>
      </c>
      <c r="V343" s="149">
        <v>104.38424523257885</v>
      </c>
      <c r="W343" s="149">
        <v>114.11513099269293</v>
      </c>
      <c r="X343" s="149">
        <v>109.51702013901266</v>
      </c>
      <c r="Y343" s="148">
        <v>107.44341472108358</v>
      </c>
    </row>
    <row r="344" spans="1:25" outlineLevel="2" x14ac:dyDescent="0.4">
      <c r="A344" s="147"/>
      <c r="B344" s="146"/>
      <c r="C344" s="146"/>
      <c r="D344" s="146" t="s">
        <v>145</v>
      </c>
      <c r="E344" s="179" t="s">
        <v>144</v>
      </c>
      <c r="F344" s="143">
        <v>71.725932350390281</v>
      </c>
      <c r="G344" s="143">
        <v>74.631396357328711</v>
      </c>
      <c r="H344" s="143">
        <v>80.268863833477894</v>
      </c>
      <c r="I344" s="143">
        <v>81.916738941890728</v>
      </c>
      <c r="J344" s="143">
        <v>80.268863833477894</v>
      </c>
      <c r="K344" s="143">
        <v>82.914137033824815</v>
      </c>
      <c r="L344" s="143">
        <v>89.679098005203812</v>
      </c>
      <c r="M344" s="143">
        <v>91.673894189071987</v>
      </c>
      <c r="N344" s="143">
        <v>94.319167389418908</v>
      </c>
      <c r="O344" s="143">
        <v>95.576756287944491</v>
      </c>
      <c r="P344" s="143">
        <v>100</v>
      </c>
      <c r="Q344" s="143">
        <v>102.25498699045967</v>
      </c>
      <c r="R344" s="143">
        <v>101.82133564614051</v>
      </c>
      <c r="S344" s="143">
        <v>102.03816131830008</v>
      </c>
      <c r="T344" s="143">
        <v>104.03295750216826</v>
      </c>
      <c r="U344" s="143">
        <v>86.860364267129228</v>
      </c>
      <c r="V344" s="143">
        <v>108.45620121422377</v>
      </c>
      <c r="W344" s="143">
        <v>108.88985255854293</v>
      </c>
      <c r="X344" s="143">
        <v>99.60971379011275</v>
      </c>
      <c r="Y344" s="142">
        <v>92.913703382480492</v>
      </c>
    </row>
    <row r="345" spans="1:25" outlineLevel="2" x14ac:dyDescent="0.4">
      <c r="A345" s="165"/>
      <c r="B345" s="164"/>
      <c r="C345" s="164"/>
      <c r="D345" s="164" t="s">
        <v>143</v>
      </c>
      <c r="E345" s="178" t="s">
        <v>142</v>
      </c>
      <c r="F345" s="161">
        <v>83.7518910741301</v>
      </c>
      <c r="G345" s="161">
        <v>91.134644478063535</v>
      </c>
      <c r="H345" s="161">
        <v>95.642965204236006</v>
      </c>
      <c r="I345" s="161">
        <v>98.819969742813925</v>
      </c>
      <c r="J345" s="161">
        <v>88.986384266263244</v>
      </c>
      <c r="K345" s="161">
        <v>93.555219364599097</v>
      </c>
      <c r="L345" s="161">
        <v>92.859304084720122</v>
      </c>
      <c r="M345" s="161">
        <v>95.249621785173971</v>
      </c>
      <c r="N345" s="161">
        <v>93.888048411497721</v>
      </c>
      <c r="O345" s="161">
        <v>97.82148260211801</v>
      </c>
      <c r="P345" s="161">
        <v>100</v>
      </c>
      <c r="Q345" s="161">
        <v>96.822995461422096</v>
      </c>
      <c r="R345" s="161">
        <v>93.252647503782143</v>
      </c>
      <c r="S345" s="161">
        <v>97.609682299546137</v>
      </c>
      <c r="T345" s="161">
        <v>95.552193645990926</v>
      </c>
      <c r="U345" s="161">
        <v>87.655068078668691</v>
      </c>
      <c r="V345" s="161">
        <v>101.36157337367624</v>
      </c>
      <c r="W345" s="161">
        <v>117.06505295007562</v>
      </c>
      <c r="X345" s="161">
        <v>115.58245083207261</v>
      </c>
      <c r="Y345" s="160">
        <v>116.79727685325265</v>
      </c>
    </row>
    <row r="346" spans="1:25" ht="56" x14ac:dyDescent="0.4">
      <c r="A346" s="159"/>
      <c r="B346" s="158" t="s">
        <v>141</v>
      </c>
      <c r="C346" s="158"/>
      <c r="D346" s="158"/>
      <c r="E346" s="157" t="s">
        <v>140</v>
      </c>
      <c r="F346" s="155">
        <v>75.958372291556557</v>
      </c>
      <c r="G346" s="155">
        <v>79.999186958819465</v>
      </c>
      <c r="H346" s="155">
        <v>83.38143826984836</v>
      </c>
      <c r="I346" s="155">
        <v>83.820480507337692</v>
      </c>
      <c r="J346" s="155">
        <v>85.8286922232611</v>
      </c>
      <c r="K346" s="155">
        <v>89.170291475263213</v>
      </c>
      <c r="L346" s="155">
        <v>91.906175047766169</v>
      </c>
      <c r="M346" s="155">
        <v>93.881865116468148</v>
      </c>
      <c r="N346" s="155">
        <v>97.361681369161346</v>
      </c>
      <c r="O346" s="155">
        <v>100.70734582706613</v>
      </c>
      <c r="P346" s="155">
        <v>100</v>
      </c>
      <c r="Q346" s="155">
        <v>99.991869588194632</v>
      </c>
      <c r="R346" s="155">
        <v>102.87816577909672</v>
      </c>
      <c r="S346" s="155">
        <v>105.50022358632465</v>
      </c>
      <c r="T346" s="155">
        <v>108.15886824667669</v>
      </c>
      <c r="U346" s="155">
        <v>104.01642343184683</v>
      </c>
      <c r="V346" s="155">
        <v>110.08171063864384</v>
      </c>
      <c r="W346" s="155">
        <v>115.15508760518721</v>
      </c>
      <c r="X346" s="155">
        <v>117.72023252977763</v>
      </c>
      <c r="Y346" s="154">
        <v>119.90133745274198</v>
      </c>
    </row>
    <row r="347" spans="1:25" outlineLevel="1" x14ac:dyDescent="0.4">
      <c r="A347" s="153"/>
      <c r="B347" s="152"/>
      <c r="C347" s="152" t="s">
        <v>139</v>
      </c>
      <c r="D347" s="152"/>
      <c r="E347" s="151" t="s">
        <v>138</v>
      </c>
      <c r="F347" s="149">
        <v>74.676404227526433</v>
      </c>
      <c r="G347" s="149">
        <v>77.965799786248667</v>
      </c>
      <c r="H347" s="149">
        <v>81.700510628191424</v>
      </c>
      <c r="I347" s="149">
        <v>81.593634960218495</v>
      </c>
      <c r="J347" s="149">
        <v>84.336777104856907</v>
      </c>
      <c r="K347" s="149">
        <v>88.398052487828053</v>
      </c>
      <c r="L347" s="149">
        <v>91.354945968412309</v>
      </c>
      <c r="M347" s="149">
        <v>93.504334402090024</v>
      </c>
      <c r="N347" s="149">
        <v>97.280608003800026</v>
      </c>
      <c r="O347" s="149">
        <v>101.12219451371571</v>
      </c>
      <c r="P347" s="149">
        <v>100</v>
      </c>
      <c r="Q347" s="149">
        <v>100.87875549222183</v>
      </c>
      <c r="R347" s="149">
        <v>104.01971262320389</v>
      </c>
      <c r="S347" s="149">
        <v>106.89941812136325</v>
      </c>
      <c r="T347" s="149">
        <v>110.13537584609905</v>
      </c>
      <c r="U347" s="149">
        <v>108.57974112338202</v>
      </c>
      <c r="V347" s="149">
        <v>115.73447334045839</v>
      </c>
      <c r="W347" s="149">
        <v>120.90013062581642</v>
      </c>
      <c r="X347" s="149">
        <v>124.75359220995131</v>
      </c>
      <c r="Y347" s="148">
        <v>127.96306851917825</v>
      </c>
    </row>
    <row r="348" spans="1:25" ht="28" outlineLevel="2" x14ac:dyDescent="0.4">
      <c r="A348" s="147"/>
      <c r="B348" s="146"/>
      <c r="C348" s="146"/>
      <c r="D348" s="146" t="s">
        <v>137</v>
      </c>
      <c r="E348" s="145" t="s">
        <v>136</v>
      </c>
      <c r="F348" s="143">
        <v>77.883998002425628</v>
      </c>
      <c r="G348" s="143">
        <v>81.215666690447321</v>
      </c>
      <c r="H348" s="143">
        <v>84.261967610758376</v>
      </c>
      <c r="I348" s="143">
        <v>85.52471998287794</v>
      </c>
      <c r="J348" s="143">
        <v>86.694727830491544</v>
      </c>
      <c r="K348" s="143">
        <v>90.639937219091109</v>
      </c>
      <c r="L348" s="143">
        <v>93.072697438824278</v>
      </c>
      <c r="M348" s="143">
        <v>94.891916957979589</v>
      </c>
      <c r="N348" s="143">
        <v>98.152243704073626</v>
      </c>
      <c r="O348" s="143">
        <v>101.35549689662552</v>
      </c>
      <c r="P348" s="143">
        <v>100</v>
      </c>
      <c r="Q348" s="143">
        <v>100.87750588571021</v>
      </c>
      <c r="R348" s="143">
        <v>104.40893201112935</v>
      </c>
      <c r="S348" s="143">
        <v>107.4766355140187</v>
      </c>
      <c r="T348" s="143">
        <v>110.67275451237784</v>
      </c>
      <c r="U348" s="143">
        <v>110.16622672469146</v>
      </c>
      <c r="V348" s="143">
        <v>116.25169437112078</v>
      </c>
      <c r="W348" s="143">
        <v>120.78190768352715</v>
      </c>
      <c r="X348" s="143">
        <v>126.27523721195691</v>
      </c>
      <c r="Y348" s="142">
        <v>129.90704144966824</v>
      </c>
    </row>
    <row r="349" spans="1:25" ht="28" outlineLevel="2" x14ac:dyDescent="0.4">
      <c r="A349" s="165"/>
      <c r="B349" s="164"/>
      <c r="C349" s="164"/>
      <c r="D349" s="164" t="s">
        <v>135</v>
      </c>
      <c r="E349" s="163" t="s">
        <v>134</v>
      </c>
      <c r="F349" s="161">
        <v>59.681415929203538</v>
      </c>
      <c r="G349" s="161">
        <v>62.76106194690265</v>
      </c>
      <c r="H349" s="161">
        <v>68.991150442477874</v>
      </c>
      <c r="I349" s="161">
        <v>63.964601769911496</v>
      </c>
      <c r="J349" s="161">
        <v>71.256637168141594</v>
      </c>
      <c r="K349" s="161">
        <v>75.929203539823007</v>
      </c>
      <c r="L349" s="161">
        <v>81.73451327433628</v>
      </c>
      <c r="M349" s="161">
        <v>85.734513274336294</v>
      </c>
      <c r="N349" s="161">
        <v>92.318584070796462</v>
      </c>
      <c r="O349" s="161">
        <v>99.681415929203538</v>
      </c>
      <c r="P349" s="161">
        <v>100</v>
      </c>
      <c r="Q349" s="161">
        <v>100.88495575221239</v>
      </c>
      <c r="R349" s="161">
        <v>102.23008849557522</v>
      </c>
      <c r="S349" s="161">
        <v>104.28318584070797</v>
      </c>
      <c r="T349" s="161">
        <v>107.68141592920355</v>
      </c>
      <c r="U349" s="161">
        <v>101.45132743362832</v>
      </c>
      <c r="V349" s="161">
        <v>113.06194690265488</v>
      </c>
      <c r="W349" s="161">
        <v>121.06194690265485</v>
      </c>
      <c r="X349" s="161">
        <v>116.8141592920354</v>
      </c>
      <c r="Y349" s="160">
        <v>117.76283185840708</v>
      </c>
    </row>
    <row r="350" spans="1:25" ht="42" outlineLevel="1" x14ac:dyDescent="0.4">
      <c r="A350" s="171"/>
      <c r="B350" s="170"/>
      <c r="C350" s="170" t="s">
        <v>133</v>
      </c>
      <c r="D350" s="170"/>
      <c r="E350" s="169" t="s">
        <v>132</v>
      </c>
      <c r="F350" s="167">
        <v>78.496841562459721</v>
      </c>
      <c r="G350" s="167">
        <v>83.808173262859356</v>
      </c>
      <c r="H350" s="167">
        <v>86.592754931030029</v>
      </c>
      <c r="I350" s="167">
        <v>87.997937346912465</v>
      </c>
      <c r="J350" s="167">
        <v>88.603841691375536</v>
      </c>
      <c r="K350" s="167">
        <v>90.62782003351812</v>
      </c>
      <c r="L350" s="167">
        <v>92.948304756993679</v>
      </c>
      <c r="M350" s="167">
        <v>94.59842722702075</v>
      </c>
      <c r="N350" s="167">
        <v>97.499033131365223</v>
      </c>
      <c r="O350" s="167">
        <v>99.832409436637874</v>
      </c>
      <c r="P350" s="167">
        <v>100</v>
      </c>
      <c r="Q350" s="167">
        <v>98.066262730437032</v>
      </c>
      <c r="R350" s="167">
        <v>100.34807270852133</v>
      </c>
      <c r="S350" s="167">
        <v>102.41072579605517</v>
      </c>
      <c r="T350" s="167">
        <v>103.8159082119376</v>
      </c>
      <c r="U350" s="167">
        <v>94.095655536934387</v>
      </c>
      <c r="V350" s="167">
        <v>97.756864767306951</v>
      </c>
      <c r="W350" s="167">
        <v>102.60409952301148</v>
      </c>
      <c r="X350" s="167">
        <v>102.30759314167848</v>
      </c>
      <c r="Y350" s="166">
        <v>101.9385071548279</v>
      </c>
    </row>
    <row r="351" spans="1:25" outlineLevel="2" x14ac:dyDescent="0.4">
      <c r="A351" s="165"/>
      <c r="B351" s="164"/>
      <c r="C351" s="164"/>
      <c r="D351" s="164" t="s">
        <v>131</v>
      </c>
      <c r="E351" s="163" t="s">
        <v>130</v>
      </c>
      <c r="F351" s="161">
        <v>82.407407407407405</v>
      </c>
      <c r="G351" s="161">
        <v>83.543771043771045</v>
      </c>
      <c r="H351" s="161">
        <v>84.680134680134671</v>
      </c>
      <c r="I351" s="161">
        <v>85.479797979797979</v>
      </c>
      <c r="J351" s="161">
        <v>86.574074074074076</v>
      </c>
      <c r="K351" s="161">
        <v>87.247474747474755</v>
      </c>
      <c r="L351" s="161">
        <v>89.562289562289564</v>
      </c>
      <c r="M351" s="161">
        <v>93.350168350168346</v>
      </c>
      <c r="N351" s="161">
        <v>97.264309764309758</v>
      </c>
      <c r="O351" s="161">
        <v>99.579124579124581</v>
      </c>
      <c r="P351" s="161">
        <v>100</v>
      </c>
      <c r="Q351" s="161">
        <v>98.86363636363636</v>
      </c>
      <c r="R351" s="161">
        <v>99.747474747474755</v>
      </c>
      <c r="S351" s="161">
        <v>102.27272727272727</v>
      </c>
      <c r="T351" s="161">
        <v>106.18686868686868</v>
      </c>
      <c r="U351" s="161">
        <v>99.242424242424249</v>
      </c>
      <c r="V351" s="161">
        <v>97.81144781144782</v>
      </c>
      <c r="W351" s="161">
        <v>99.663299663299668</v>
      </c>
      <c r="X351" s="161">
        <v>101.89393939393941</v>
      </c>
      <c r="Y351" s="160">
        <v>100.79377104377105</v>
      </c>
    </row>
    <row r="352" spans="1:25" ht="42" outlineLevel="2" x14ac:dyDescent="0.4">
      <c r="A352" s="147"/>
      <c r="B352" s="146"/>
      <c r="C352" s="146"/>
      <c r="D352" s="146" t="s">
        <v>129</v>
      </c>
      <c r="E352" s="145" t="s">
        <v>128</v>
      </c>
      <c r="F352" s="143">
        <v>77.384464110127823</v>
      </c>
      <c r="G352" s="143">
        <v>86.184857423795478</v>
      </c>
      <c r="H352" s="143">
        <v>89.896755162241888</v>
      </c>
      <c r="I352" s="143">
        <v>91.715830875122904</v>
      </c>
      <c r="J352" s="143">
        <v>91.863323500491646</v>
      </c>
      <c r="K352" s="143">
        <v>94.100294985250727</v>
      </c>
      <c r="L352" s="143">
        <v>96.435594886922317</v>
      </c>
      <c r="M352" s="143">
        <v>96.755162241887902</v>
      </c>
      <c r="N352" s="143">
        <v>99.090462143559492</v>
      </c>
      <c r="O352" s="143">
        <v>101.17994100294985</v>
      </c>
      <c r="P352" s="143">
        <v>100</v>
      </c>
      <c r="Q352" s="143">
        <v>97.56637168141593</v>
      </c>
      <c r="R352" s="143">
        <v>98.131760078662737</v>
      </c>
      <c r="S352" s="143">
        <v>99.729596853490648</v>
      </c>
      <c r="T352" s="143">
        <v>102.04031465093412</v>
      </c>
      <c r="U352" s="143">
        <v>95.919370698131758</v>
      </c>
      <c r="V352" s="143">
        <v>93.190757128810233</v>
      </c>
      <c r="W352" s="143">
        <v>98.008849557522126</v>
      </c>
      <c r="X352" s="143">
        <v>103.9331366764995</v>
      </c>
      <c r="Y352" s="142">
        <v>102.79916420845625</v>
      </c>
    </row>
    <row r="353" spans="1:25" outlineLevel="2" x14ac:dyDescent="0.4">
      <c r="A353" s="165"/>
      <c r="B353" s="164"/>
      <c r="C353" s="164"/>
      <c r="D353" s="164" t="s">
        <v>127</v>
      </c>
      <c r="E353" s="163" t="s">
        <v>126</v>
      </c>
      <c r="F353" s="161">
        <v>74.1051028179741</v>
      </c>
      <c r="G353" s="161">
        <v>77.303884234577296</v>
      </c>
      <c r="H353" s="161">
        <v>80.198019801980209</v>
      </c>
      <c r="I353" s="161">
        <v>81.416603198781416</v>
      </c>
      <c r="J353" s="161">
        <v>82.406702208682404</v>
      </c>
      <c r="K353" s="161">
        <v>86.138613861386133</v>
      </c>
      <c r="L353" s="161">
        <v>88.499619192688499</v>
      </c>
      <c r="M353" s="161">
        <v>90.251332825590254</v>
      </c>
      <c r="N353" s="161">
        <v>92.993145468392996</v>
      </c>
      <c r="O353" s="161">
        <v>96.039603960396036</v>
      </c>
      <c r="P353" s="161">
        <v>100</v>
      </c>
      <c r="Q353" s="161">
        <v>98.172124904798181</v>
      </c>
      <c r="R353" s="161">
        <v>108.6062452399086</v>
      </c>
      <c r="S353" s="161">
        <v>111.34805788271134</v>
      </c>
      <c r="T353" s="161">
        <v>104.03655750190404</v>
      </c>
      <c r="U353" s="161">
        <v>74.409748667174412</v>
      </c>
      <c r="V353" s="161">
        <v>104.41736481340442</v>
      </c>
      <c r="W353" s="161">
        <v>112.94744859101296</v>
      </c>
      <c r="X353" s="161">
        <v>95.734958111195738</v>
      </c>
      <c r="Y353" s="160">
        <v>98.569687738004575</v>
      </c>
    </row>
    <row r="354" spans="1:25" x14ac:dyDescent="0.4">
      <c r="A354" s="159"/>
      <c r="B354" s="158" t="s">
        <v>125</v>
      </c>
      <c r="C354" s="158"/>
      <c r="D354" s="158"/>
      <c r="E354" s="157" t="s">
        <v>124</v>
      </c>
      <c r="F354" s="155">
        <v>51.355914682471315</v>
      </c>
      <c r="G354" s="155">
        <v>57.591054753454394</v>
      </c>
      <c r="H354" s="155">
        <v>61.588160297715447</v>
      </c>
      <c r="I354" s="155">
        <v>67.690637813996759</v>
      </c>
      <c r="J354" s="155">
        <v>69.460046173460597</v>
      </c>
      <c r="K354" s="155">
        <v>68.998311567485615</v>
      </c>
      <c r="L354" s="155">
        <v>73.284862685641428</v>
      </c>
      <c r="M354" s="155">
        <v>77.617931842458916</v>
      </c>
      <c r="N354" s="155">
        <v>86.370214672133969</v>
      </c>
      <c r="O354" s="155">
        <v>94.073257296440502</v>
      </c>
      <c r="P354" s="155">
        <v>100</v>
      </c>
      <c r="Q354" s="155">
        <v>103.58878053823094</v>
      </c>
      <c r="R354" s="155">
        <v>101.4903001274939</v>
      </c>
      <c r="S354" s="155">
        <v>100.19640949657145</v>
      </c>
      <c r="T354" s="155">
        <v>96.297508700596126</v>
      </c>
      <c r="U354" s="155">
        <v>67.811240136452909</v>
      </c>
      <c r="V354" s="155">
        <v>70.705695875400579</v>
      </c>
      <c r="W354" s="155">
        <v>75.40229488990731</v>
      </c>
      <c r="X354" s="155">
        <v>73.031597808483511</v>
      </c>
      <c r="Y354" s="154">
        <v>74.420006202405148</v>
      </c>
    </row>
    <row r="355" spans="1:25" outlineLevel="1" x14ac:dyDescent="0.4">
      <c r="A355" s="153"/>
      <c r="B355" s="152"/>
      <c r="C355" s="152" t="s">
        <v>123</v>
      </c>
      <c r="D355" s="152"/>
      <c r="E355" s="151" t="s">
        <v>121</v>
      </c>
      <c r="F355" s="149">
        <v>58.360731958420509</v>
      </c>
      <c r="G355" s="149">
        <v>65.427916708179737</v>
      </c>
      <c r="H355" s="149">
        <v>67.782537942944444</v>
      </c>
      <c r="I355" s="149">
        <v>76.144930424097495</v>
      </c>
      <c r="J355" s="149">
        <v>74.139018963169605</v>
      </c>
      <c r="K355" s="149">
        <v>73.17923682375212</v>
      </c>
      <c r="L355" s="149">
        <v>75.424263558168121</v>
      </c>
      <c r="M355" s="149">
        <v>79.854538208628085</v>
      </c>
      <c r="N355" s="149">
        <v>87.821726279432767</v>
      </c>
      <c r="O355" s="149">
        <v>93.965660389890743</v>
      </c>
      <c r="P355" s="149">
        <v>100</v>
      </c>
      <c r="Q355" s="149">
        <v>105.96127660987679</v>
      </c>
      <c r="R355" s="149">
        <v>100.49483577430176</v>
      </c>
      <c r="S355" s="149">
        <v>100.18265750058117</v>
      </c>
      <c r="T355" s="149">
        <v>86.529839593504036</v>
      </c>
      <c r="U355" s="149">
        <v>60.449669555976229</v>
      </c>
      <c r="V355" s="149">
        <v>66.822755803526945</v>
      </c>
      <c r="W355" s="149">
        <v>74.816512238052539</v>
      </c>
      <c r="X355" s="149">
        <v>75.052306466075521</v>
      </c>
      <c r="Y355" s="148">
        <v>73.205506293381148</v>
      </c>
    </row>
    <row r="356" spans="1:25" outlineLevel="2" x14ac:dyDescent="0.4">
      <c r="A356" s="147"/>
      <c r="B356" s="146"/>
      <c r="C356" s="146"/>
      <c r="D356" s="146" t="s">
        <v>122</v>
      </c>
      <c r="E356" s="145" t="s">
        <v>121</v>
      </c>
      <c r="F356" s="143">
        <v>58.360731958420509</v>
      </c>
      <c r="G356" s="143">
        <v>65.427916708179737</v>
      </c>
      <c r="H356" s="143">
        <v>67.782537942944444</v>
      </c>
      <c r="I356" s="143">
        <v>76.144930424097495</v>
      </c>
      <c r="J356" s="143">
        <v>74.139018963169605</v>
      </c>
      <c r="K356" s="143">
        <v>73.17923682375212</v>
      </c>
      <c r="L356" s="143">
        <v>75.424263558168121</v>
      </c>
      <c r="M356" s="143">
        <v>79.854538208628085</v>
      </c>
      <c r="N356" s="143">
        <v>87.821726279432767</v>
      </c>
      <c r="O356" s="143">
        <v>93.965660389890743</v>
      </c>
      <c r="P356" s="143">
        <v>100</v>
      </c>
      <c r="Q356" s="143">
        <v>105.96127660987679</v>
      </c>
      <c r="R356" s="143">
        <v>100.49483577430176</v>
      </c>
      <c r="S356" s="143">
        <v>100.18265750058117</v>
      </c>
      <c r="T356" s="143">
        <v>86.529839593504036</v>
      </c>
      <c r="U356" s="143">
        <v>60.449669555976229</v>
      </c>
      <c r="V356" s="143">
        <v>66.822755803526945</v>
      </c>
      <c r="W356" s="143">
        <v>74.816512238052539</v>
      </c>
      <c r="X356" s="143">
        <v>75.052306466075521</v>
      </c>
      <c r="Y356" s="142">
        <v>73.205506293381148</v>
      </c>
    </row>
    <row r="357" spans="1:25" ht="28" outlineLevel="1" x14ac:dyDescent="0.4">
      <c r="A357" s="153"/>
      <c r="B357" s="152"/>
      <c r="C357" s="152" t="s">
        <v>120</v>
      </c>
      <c r="D357" s="152"/>
      <c r="E357" s="151" t="s">
        <v>118</v>
      </c>
      <c r="F357" s="149">
        <v>39.676851502577641</v>
      </c>
      <c r="G357" s="149">
        <v>44.517792028165474</v>
      </c>
      <c r="H357" s="149">
        <v>51.546586193889098</v>
      </c>
      <c r="I357" s="149">
        <v>53.734439834024897</v>
      </c>
      <c r="J357" s="149">
        <v>61.247328052307303</v>
      </c>
      <c r="K357" s="149">
        <v>61.30391047403495</v>
      </c>
      <c r="L357" s="149">
        <v>69.175154029925807</v>
      </c>
      <c r="M357" s="149">
        <v>73.318244687539291</v>
      </c>
      <c r="N357" s="149">
        <v>82.84295234502703</v>
      </c>
      <c r="O357" s="149">
        <v>93.763359738463464</v>
      </c>
      <c r="P357" s="149">
        <v>100</v>
      </c>
      <c r="Q357" s="149">
        <v>97.397208600528103</v>
      </c>
      <c r="R357" s="149">
        <v>103.76587451276249</v>
      </c>
      <c r="S357" s="149">
        <v>101.25738714950334</v>
      </c>
      <c r="T357" s="149">
        <v>114.73657739217906</v>
      </c>
      <c r="U357" s="149">
        <v>83.553376084496406</v>
      </c>
      <c r="V357" s="149">
        <v>77.442474537910215</v>
      </c>
      <c r="W357" s="149">
        <v>74.141833270463977</v>
      </c>
      <c r="X357" s="149">
        <v>64.830881428391805</v>
      </c>
      <c r="Y357" s="148">
        <v>72.398780334464988</v>
      </c>
    </row>
    <row r="358" spans="1:25" ht="28" outlineLevel="2" x14ac:dyDescent="0.4">
      <c r="A358" s="147"/>
      <c r="B358" s="146"/>
      <c r="C358" s="146"/>
      <c r="D358" s="146" t="s">
        <v>119</v>
      </c>
      <c r="E358" s="145" t="s">
        <v>118</v>
      </c>
      <c r="F358" s="143">
        <v>39.676851502577641</v>
      </c>
      <c r="G358" s="143">
        <v>44.517792028165474</v>
      </c>
      <c r="H358" s="143">
        <v>51.546586193889098</v>
      </c>
      <c r="I358" s="143">
        <v>53.734439834024897</v>
      </c>
      <c r="J358" s="143">
        <v>61.247328052307303</v>
      </c>
      <c r="K358" s="143">
        <v>61.30391047403495</v>
      </c>
      <c r="L358" s="143">
        <v>69.175154029925807</v>
      </c>
      <c r="M358" s="143">
        <v>73.318244687539291</v>
      </c>
      <c r="N358" s="143">
        <v>82.84295234502703</v>
      </c>
      <c r="O358" s="143">
        <v>93.763359738463464</v>
      </c>
      <c r="P358" s="143">
        <v>100</v>
      </c>
      <c r="Q358" s="143">
        <v>97.397208600528103</v>
      </c>
      <c r="R358" s="143">
        <v>103.76587451276249</v>
      </c>
      <c r="S358" s="143">
        <v>101.25738714950334</v>
      </c>
      <c r="T358" s="143">
        <v>114.73657739217906</v>
      </c>
      <c r="U358" s="143">
        <v>83.553376084496406</v>
      </c>
      <c r="V358" s="143">
        <v>77.442474537910215</v>
      </c>
      <c r="W358" s="143">
        <v>74.141833270463977</v>
      </c>
      <c r="X358" s="143">
        <v>64.830881428391805</v>
      </c>
      <c r="Y358" s="142">
        <v>72.398780334464988</v>
      </c>
    </row>
    <row r="359" spans="1:25" ht="42" outlineLevel="1" x14ac:dyDescent="0.4">
      <c r="A359" s="153"/>
      <c r="B359" s="152"/>
      <c r="C359" s="152" t="s">
        <v>117</v>
      </c>
      <c r="D359" s="152"/>
      <c r="E359" s="151" t="s">
        <v>115</v>
      </c>
      <c r="F359" s="149">
        <v>55.642411642411638</v>
      </c>
      <c r="G359" s="149">
        <v>62.395010395010395</v>
      </c>
      <c r="H359" s="149">
        <v>63.384615384615387</v>
      </c>
      <c r="I359" s="149">
        <v>71.808731808731807</v>
      </c>
      <c r="J359" s="149">
        <v>71.226611226611226</v>
      </c>
      <c r="K359" s="149">
        <v>71.035343035343033</v>
      </c>
      <c r="L359" s="149">
        <v>73.92099792099792</v>
      </c>
      <c r="M359" s="149">
        <v>78.278586278586289</v>
      </c>
      <c r="N359" s="149">
        <v>87.750519750519757</v>
      </c>
      <c r="O359" s="149">
        <v>94.760914760914758</v>
      </c>
      <c r="P359" s="149">
        <v>100</v>
      </c>
      <c r="Q359" s="149">
        <v>105.83783783783784</v>
      </c>
      <c r="R359" s="149">
        <v>101.62993762993764</v>
      </c>
      <c r="S359" s="149">
        <v>99.617463617463613</v>
      </c>
      <c r="T359" s="149">
        <v>97.056133056133049</v>
      </c>
      <c r="U359" s="149">
        <v>66.345114345114339</v>
      </c>
      <c r="V359" s="149">
        <v>71.86694386694387</v>
      </c>
      <c r="W359" s="149">
        <v>78.819126819126822</v>
      </c>
      <c r="X359" s="149">
        <v>79.193347193347194</v>
      </c>
      <c r="Y359" s="148">
        <v>80.38544698544699</v>
      </c>
    </row>
    <row r="360" spans="1:25" ht="42" outlineLevel="2" x14ac:dyDescent="0.4">
      <c r="A360" s="147"/>
      <c r="B360" s="146"/>
      <c r="C360" s="146"/>
      <c r="D360" s="146" t="s">
        <v>116</v>
      </c>
      <c r="E360" s="145" t="s">
        <v>115</v>
      </c>
      <c r="F360" s="143">
        <v>55.642411642411638</v>
      </c>
      <c r="G360" s="143">
        <v>62.395010395010395</v>
      </c>
      <c r="H360" s="143">
        <v>63.384615384615387</v>
      </c>
      <c r="I360" s="143">
        <v>71.808731808731807</v>
      </c>
      <c r="J360" s="143">
        <v>71.226611226611226</v>
      </c>
      <c r="K360" s="143">
        <v>71.035343035343033</v>
      </c>
      <c r="L360" s="143">
        <v>73.92099792099792</v>
      </c>
      <c r="M360" s="143">
        <v>78.278586278586289</v>
      </c>
      <c r="N360" s="143">
        <v>87.750519750519757</v>
      </c>
      <c r="O360" s="143">
        <v>94.760914760914758</v>
      </c>
      <c r="P360" s="143">
        <v>100</v>
      </c>
      <c r="Q360" s="143">
        <v>105.83783783783784</v>
      </c>
      <c r="R360" s="143">
        <v>101.62993762993764</v>
      </c>
      <c r="S360" s="143">
        <v>99.617463617463613</v>
      </c>
      <c r="T360" s="143">
        <v>97.056133056133049</v>
      </c>
      <c r="U360" s="143">
        <v>66.345114345114339</v>
      </c>
      <c r="V360" s="143">
        <v>71.86694386694387</v>
      </c>
      <c r="W360" s="143">
        <v>78.819126819126822</v>
      </c>
      <c r="X360" s="143">
        <v>79.193347193347194</v>
      </c>
      <c r="Y360" s="142">
        <v>80.38544698544699</v>
      </c>
    </row>
    <row r="361" spans="1:25" ht="42" x14ac:dyDescent="0.4">
      <c r="A361" s="177"/>
      <c r="B361" s="176" t="s">
        <v>114</v>
      </c>
      <c r="C361" s="176"/>
      <c r="D361" s="176"/>
      <c r="E361" s="175" t="s">
        <v>113</v>
      </c>
      <c r="F361" s="173">
        <v>63.078808822334956</v>
      </c>
      <c r="G361" s="173">
        <v>67.877633298628808</v>
      </c>
      <c r="H361" s="173">
        <v>73.354303731106342</v>
      </c>
      <c r="I361" s="173">
        <v>75.571701777315042</v>
      </c>
      <c r="J361" s="173">
        <v>75.452820296982182</v>
      </c>
      <c r="K361" s="173">
        <v>79.485929896846315</v>
      </c>
      <c r="L361" s="173">
        <v>84.961861935036069</v>
      </c>
      <c r="M361" s="173">
        <v>88.203412858398124</v>
      </c>
      <c r="N361" s="173">
        <v>92.409306721603201</v>
      </c>
      <c r="O361" s="173">
        <v>96.776170539544708</v>
      </c>
      <c r="P361" s="173">
        <v>100</v>
      </c>
      <c r="Q361" s="173">
        <v>102.68554002466237</v>
      </c>
      <c r="R361" s="173">
        <v>104.59502765286608</v>
      </c>
      <c r="S361" s="173">
        <v>107.39058842640794</v>
      </c>
      <c r="T361" s="173">
        <v>111.41631408339425</v>
      </c>
      <c r="U361" s="173">
        <v>96.164780069261383</v>
      </c>
      <c r="V361" s="173">
        <v>115.79130023850135</v>
      </c>
      <c r="W361" s="173">
        <v>129.55201618560278</v>
      </c>
      <c r="X361" s="173">
        <v>124.84622938956944</v>
      </c>
      <c r="Y361" s="172">
        <v>126.57881989824926</v>
      </c>
    </row>
    <row r="362" spans="1:25" ht="28" outlineLevel="1" x14ac:dyDescent="0.4">
      <c r="A362" s="171"/>
      <c r="B362" s="170"/>
      <c r="C362" s="170" t="s">
        <v>112</v>
      </c>
      <c r="D362" s="170"/>
      <c r="E362" s="169" t="s">
        <v>111</v>
      </c>
      <c r="F362" s="167">
        <v>62.707735947954248</v>
      </c>
      <c r="G362" s="167">
        <v>67.727314771991487</v>
      </c>
      <c r="H362" s="167">
        <v>73.494588844695215</v>
      </c>
      <c r="I362" s="167">
        <v>75.612801775968919</v>
      </c>
      <c r="J362" s="167">
        <v>74.931397033885233</v>
      </c>
      <c r="K362" s="167">
        <v>78.887244473221713</v>
      </c>
      <c r="L362" s="167">
        <v>85.200258995467578</v>
      </c>
      <c r="M362" s="167">
        <v>88.547158758055062</v>
      </c>
      <c r="N362" s="167">
        <v>92.698794437764008</v>
      </c>
      <c r="O362" s="167">
        <v>97.314463663552559</v>
      </c>
      <c r="P362" s="167">
        <v>100</v>
      </c>
      <c r="Q362" s="167">
        <v>103.61668670798261</v>
      </c>
      <c r="R362" s="167">
        <v>105.28011593130454</v>
      </c>
      <c r="S362" s="167">
        <v>108.22464773533129</v>
      </c>
      <c r="T362" s="167">
        <v>112.59519625073229</v>
      </c>
      <c r="U362" s="167">
        <v>108.42968581383158</v>
      </c>
      <c r="V362" s="167">
        <v>125.18114266333673</v>
      </c>
      <c r="W362" s="167">
        <v>133.66324422655939</v>
      </c>
      <c r="X362" s="167">
        <v>126.96636142200846</v>
      </c>
      <c r="Y362" s="166">
        <v>130.93818024851231</v>
      </c>
    </row>
    <row r="363" spans="1:25" ht="56" outlineLevel="2" x14ac:dyDescent="0.4">
      <c r="A363" s="165"/>
      <c r="B363" s="164"/>
      <c r="C363" s="164"/>
      <c r="D363" s="164" t="s">
        <v>110</v>
      </c>
      <c r="E363" s="163" t="s">
        <v>109</v>
      </c>
      <c r="F363" s="161">
        <v>62.302395663226648</v>
      </c>
      <c r="G363" s="161">
        <v>67.418643411505244</v>
      </c>
      <c r="H363" s="161">
        <v>73.358137342379507</v>
      </c>
      <c r="I363" s="161">
        <v>75.524840485530063</v>
      </c>
      <c r="J363" s="161">
        <v>74.587114261182847</v>
      </c>
      <c r="K363" s="161">
        <v>78.580447482280846</v>
      </c>
      <c r="L363" s="161">
        <v>85.255644034411347</v>
      </c>
      <c r="M363" s="161">
        <v>88.568831125103117</v>
      </c>
      <c r="N363" s="161">
        <v>92.634556137308707</v>
      </c>
      <c r="O363" s="161">
        <v>97.132948366134116</v>
      </c>
      <c r="P363" s="161">
        <v>100</v>
      </c>
      <c r="Q363" s="161">
        <v>103.76774019764643</v>
      </c>
      <c r="R363" s="161">
        <v>105.42096668294079</v>
      </c>
      <c r="S363" s="161">
        <v>108.53718076061887</v>
      </c>
      <c r="T363" s="161">
        <v>113.00863650903214</v>
      </c>
      <c r="U363" s="161">
        <v>109.88232125119953</v>
      </c>
      <c r="V363" s="161">
        <v>126.85062038081449</v>
      </c>
      <c r="W363" s="161">
        <v>135.07298102661659</v>
      </c>
      <c r="X363" s="161">
        <v>127.83548544588292</v>
      </c>
      <c r="Y363" s="160">
        <v>132.15081061970739</v>
      </c>
    </row>
    <row r="364" spans="1:25" ht="28" outlineLevel="2" x14ac:dyDescent="0.4">
      <c r="A364" s="147"/>
      <c r="B364" s="146"/>
      <c r="C364" s="146"/>
      <c r="D364" s="146" t="s">
        <v>108</v>
      </c>
      <c r="E364" s="145" t="s">
        <v>107</v>
      </c>
      <c r="F364" s="143">
        <v>67.386134991768799</v>
      </c>
      <c r="G364" s="143">
        <v>71.117614779586617</v>
      </c>
      <c r="H364" s="143">
        <v>74.647887323943664</v>
      </c>
      <c r="I364" s="143">
        <v>76.147795866105724</v>
      </c>
      <c r="J364" s="143">
        <v>78.61715749039692</v>
      </c>
      <c r="K364" s="143">
        <v>82.129138467166641</v>
      </c>
      <c r="L364" s="143">
        <v>84.616791659045177</v>
      </c>
      <c r="M364" s="143">
        <v>88.329979879275655</v>
      </c>
      <c r="N364" s="143">
        <v>93.341869398207422</v>
      </c>
      <c r="O364" s="143">
        <v>99.140296323394921</v>
      </c>
      <c r="P364" s="143">
        <v>100</v>
      </c>
      <c r="Q364" s="143">
        <v>101.97548929943297</v>
      </c>
      <c r="R364" s="143">
        <v>103.7680629229925</v>
      </c>
      <c r="S364" s="143">
        <v>104.81068227547101</v>
      </c>
      <c r="T364" s="143">
        <v>108.10316444119262</v>
      </c>
      <c r="U364" s="143">
        <v>92.20779220779221</v>
      </c>
      <c r="V364" s="143">
        <v>106.53008962868118</v>
      </c>
      <c r="W364" s="143">
        <v>118.21840131699287</v>
      </c>
      <c r="X364" s="143">
        <v>118.34644229010426</v>
      </c>
      <c r="Y364" s="142">
        <v>117.92811413938176</v>
      </c>
    </row>
    <row r="365" spans="1:25" outlineLevel="1" x14ac:dyDescent="0.4">
      <c r="A365" s="153"/>
      <c r="B365" s="152"/>
      <c r="C365" s="152" t="s">
        <v>106</v>
      </c>
      <c r="D365" s="152"/>
      <c r="E365" s="151" t="s">
        <v>105</v>
      </c>
      <c r="F365" s="149">
        <v>65.513598506252606</v>
      </c>
      <c r="G365" s="149">
        <v>69.908851927376361</v>
      </c>
      <c r="H365" s="149">
        <v>74.969903938284645</v>
      </c>
      <c r="I365" s="149">
        <v>76.952558779451138</v>
      </c>
      <c r="J365" s="149">
        <v>76.345723902415045</v>
      </c>
      <c r="K365" s="149">
        <v>80.669729503967773</v>
      </c>
      <c r="L365" s="149">
        <v>86.347443677370222</v>
      </c>
      <c r="M365" s="149">
        <v>89.499545488047559</v>
      </c>
      <c r="N365" s="149">
        <v>92.703240547379792</v>
      </c>
      <c r="O365" s="149">
        <v>96.499029555561009</v>
      </c>
      <c r="P365" s="149">
        <v>100</v>
      </c>
      <c r="Q365" s="149">
        <v>100.21128663734859</v>
      </c>
      <c r="R365" s="149">
        <v>102.25536201262805</v>
      </c>
      <c r="S365" s="149">
        <v>104.77606073262413</v>
      </c>
      <c r="T365" s="149">
        <v>108.41215635211164</v>
      </c>
      <c r="U365" s="149">
        <v>84.237034125248755</v>
      </c>
      <c r="V365" s="149">
        <v>99.87961575313858</v>
      </c>
      <c r="W365" s="149">
        <v>118.10431663513745</v>
      </c>
      <c r="X365" s="149">
        <v>118.06746431466968</v>
      </c>
      <c r="Y365" s="148">
        <v>120.56376679851608</v>
      </c>
    </row>
    <row r="366" spans="1:25" outlineLevel="2" x14ac:dyDescent="0.4">
      <c r="A366" s="147"/>
      <c r="B366" s="146"/>
      <c r="C366" s="146"/>
      <c r="D366" s="146" t="s">
        <v>104</v>
      </c>
      <c r="E366" s="145" t="s">
        <v>103</v>
      </c>
      <c r="F366" s="143">
        <v>72.434333285488734</v>
      </c>
      <c r="G366" s="143">
        <v>75.570546863786419</v>
      </c>
      <c r="H366" s="143">
        <v>81.329840677479552</v>
      </c>
      <c r="I366" s="143">
        <v>82.933830917180998</v>
      </c>
      <c r="J366" s="143">
        <v>82.632409932539105</v>
      </c>
      <c r="K366" s="143">
        <v>86.59035452849146</v>
      </c>
      <c r="L366" s="143">
        <v>90.379646906846574</v>
      </c>
      <c r="M366" s="143">
        <v>92.74436629826323</v>
      </c>
      <c r="N366" s="143">
        <v>94.269412946748957</v>
      </c>
      <c r="O366" s="143">
        <v>97.480981771207126</v>
      </c>
      <c r="P366" s="143">
        <v>100</v>
      </c>
      <c r="Q366" s="143">
        <v>99.045500215300706</v>
      </c>
      <c r="R366" s="143">
        <v>99.978469929668435</v>
      </c>
      <c r="S366" s="143">
        <v>101.55016506387253</v>
      </c>
      <c r="T366" s="143">
        <v>104.01894646189179</v>
      </c>
      <c r="U366" s="143">
        <v>84.972010908568976</v>
      </c>
      <c r="V366" s="143">
        <v>96.149705755705469</v>
      </c>
      <c r="W366" s="143">
        <v>109.89665566240849</v>
      </c>
      <c r="X366" s="143">
        <v>111.61906128893355</v>
      </c>
      <c r="Y366" s="142">
        <v>113.44107937419261</v>
      </c>
    </row>
    <row r="367" spans="1:25" outlineLevel="2" x14ac:dyDescent="0.4">
      <c r="A367" s="165"/>
      <c r="B367" s="164"/>
      <c r="C367" s="164"/>
      <c r="D367" s="164" t="s">
        <v>102</v>
      </c>
      <c r="E367" s="163" t="s">
        <v>101</v>
      </c>
      <c r="F367" s="161">
        <v>90.476190476190482</v>
      </c>
      <c r="G367" s="161">
        <v>91.774891774891771</v>
      </c>
      <c r="H367" s="161">
        <v>99.134199134199136</v>
      </c>
      <c r="I367" s="161">
        <v>106.92640692640694</v>
      </c>
      <c r="J367" s="161">
        <v>97.402597402597408</v>
      </c>
      <c r="K367" s="161">
        <v>100</v>
      </c>
      <c r="L367" s="161">
        <v>101.29870129870129</v>
      </c>
      <c r="M367" s="161">
        <v>99.567099567099575</v>
      </c>
      <c r="N367" s="161">
        <v>98.268398268398272</v>
      </c>
      <c r="O367" s="161">
        <v>100.43290043290042</v>
      </c>
      <c r="P367" s="161">
        <v>100</v>
      </c>
      <c r="Q367" s="161">
        <v>101.73160173160174</v>
      </c>
      <c r="R367" s="161">
        <v>104.32900432900433</v>
      </c>
      <c r="S367" s="161">
        <v>105.1948051948052</v>
      </c>
      <c r="T367" s="161">
        <v>107.35930735930737</v>
      </c>
      <c r="U367" s="161">
        <v>99.134199134199136</v>
      </c>
      <c r="V367" s="161">
        <v>100.86580086580086</v>
      </c>
      <c r="W367" s="161">
        <v>109.09090909090908</v>
      </c>
      <c r="X367" s="161">
        <v>111.25541125541125</v>
      </c>
      <c r="Y367" s="160">
        <v>93.757575757575765</v>
      </c>
    </row>
    <row r="368" spans="1:25" outlineLevel="2" x14ac:dyDescent="0.4">
      <c r="A368" s="147"/>
      <c r="B368" s="146"/>
      <c r="C368" s="146"/>
      <c r="D368" s="146" t="s">
        <v>100</v>
      </c>
      <c r="E368" s="145" t="s">
        <v>99</v>
      </c>
      <c r="F368" s="143">
        <v>44.673983214977405</v>
      </c>
      <c r="G368" s="143">
        <v>51.861415967290725</v>
      </c>
      <c r="H368" s="143">
        <v>52.61459005810201</v>
      </c>
      <c r="I368" s="143">
        <v>52.743705616526796</v>
      </c>
      <c r="J368" s="143">
        <v>54.96018936948569</v>
      </c>
      <c r="K368" s="143">
        <v>62.061545082849143</v>
      </c>
      <c r="L368" s="143">
        <v>71.702173445233484</v>
      </c>
      <c r="M368" s="143">
        <v>75.726275016139439</v>
      </c>
      <c r="N368" s="143">
        <v>83.90359371637615</v>
      </c>
      <c r="O368" s="143">
        <v>89.713793845491722</v>
      </c>
      <c r="P368" s="143">
        <v>100</v>
      </c>
      <c r="Q368" s="143">
        <v>107.94060684312458</v>
      </c>
      <c r="R368" s="143">
        <v>114.24574994620184</v>
      </c>
      <c r="S368" s="143">
        <v>121.77749085431462</v>
      </c>
      <c r="T368" s="143">
        <v>128.70669248977836</v>
      </c>
      <c r="U368" s="143">
        <v>56.229825693996126</v>
      </c>
      <c r="V368" s="143">
        <v>88.939100494942963</v>
      </c>
      <c r="W368" s="143">
        <v>147.53604476006026</v>
      </c>
      <c r="X368" s="143">
        <v>152.31332042177749</v>
      </c>
      <c r="Y368" s="142">
        <v>157.80632666236284</v>
      </c>
    </row>
    <row r="369" spans="1:25" outlineLevel="2" x14ac:dyDescent="0.4">
      <c r="A369" s="165"/>
      <c r="B369" s="164"/>
      <c r="C369" s="164"/>
      <c r="D369" s="164" t="s">
        <v>98</v>
      </c>
      <c r="E369" s="163" t="s">
        <v>97</v>
      </c>
      <c r="F369" s="161">
        <v>55.690999291282786</v>
      </c>
      <c r="G369" s="161">
        <v>61.771793054571219</v>
      </c>
      <c r="H369" s="161">
        <v>66.066619418851886</v>
      </c>
      <c r="I369" s="161">
        <v>70.063784549964566</v>
      </c>
      <c r="J369" s="161">
        <v>66.321757618710137</v>
      </c>
      <c r="K369" s="161">
        <v>69.695251594613751</v>
      </c>
      <c r="L369" s="161">
        <v>80.26931254429482</v>
      </c>
      <c r="M369" s="161">
        <v>85.825655563430189</v>
      </c>
      <c r="N369" s="161">
        <v>91.651311126860378</v>
      </c>
      <c r="O369" s="161">
        <v>96.286321757618708</v>
      </c>
      <c r="P369" s="161">
        <v>100</v>
      </c>
      <c r="Q369" s="161">
        <v>100.1417434443657</v>
      </c>
      <c r="R369" s="161">
        <v>104.60666194188519</v>
      </c>
      <c r="S369" s="161">
        <v>108.36286321757618</v>
      </c>
      <c r="T369" s="161">
        <v>114.68462083628633</v>
      </c>
      <c r="U369" s="161">
        <v>89.794472005669732</v>
      </c>
      <c r="V369" s="161">
        <v>115.47838412473423</v>
      </c>
      <c r="W369" s="161">
        <v>136.62650602409639</v>
      </c>
      <c r="X369" s="161">
        <v>128.34868887313962</v>
      </c>
      <c r="Y369" s="160">
        <v>132.56428065201985</v>
      </c>
    </row>
    <row r="370" spans="1:25" outlineLevel="2" x14ac:dyDescent="0.4">
      <c r="A370" s="147"/>
      <c r="B370" s="146"/>
      <c r="C370" s="146"/>
      <c r="D370" s="146" t="s">
        <v>96</v>
      </c>
      <c r="E370" s="145" t="s">
        <v>95</v>
      </c>
      <c r="F370" s="143">
        <v>51.108647450110865</v>
      </c>
      <c r="G370" s="143">
        <v>60.643015521064299</v>
      </c>
      <c r="H370" s="143">
        <v>71.396895787139698</v>
      </c>
      <c r="I370" s="143">
        <v>77.272727272727266</v>
      </c>
      <c r="J370" s="143">
        <v>76.607538802660756</v>
      </c>
      <c r="K370" s="143">
        <v>82.150776053215083</v>
      </c>
      <c r="L370" s="143">
        <v>87.13968957871397</v>
      </c>
      <c r="M370" s="143">
        <v>91.130820399113077</v>
      </c>
      <c r="N370" s="143">
        <v>95.787139689578709</v>
      </c>
      <c r="O370" s="143">
        <v>100.88691796008868</v>
      </c>
      <c r="P370" s="143">
        <v>100</v>
      </c>
      <c r="Q370" s="143">
        <v>96.563192904656319</v>
      </c>
      <c r="R370" s="143">
        <v>96.119733924611978</v>
      </c>
      <c r="S370" s="143">
        <v>100.22172949002217</v>
      </c>
      <c r="T370" s="143">
        <v>106.87361419068738</v>
      </c>
      <c r="U370" s="143">
        <v>109.75609756097562</v>
      </c>
      <c r="V370" s="143">
        <v>124.05764966740576</v>
      </c>
      <c r="W370" s="143">
        <v>131.48558758314857</v>
      </c>
      <c r="X370" s="143">
        <v>122.06208425720621</v>
      </c>
      <c r="Y370" s="142">
        <v>127.53658536585365</v>
      </c>
    </row>
    <row r="371" spans="1:25" outlineLevel="1" x14ac:dyDescent="0.4">
      <c r="A371" s="153"/>
      <c r="B371" s="152"/>
      <c r="C371" s="152" t="s">
        <v>94</v>
      </c>
      <c r="D371" s="152"/>
      <c r="E371" s="151" t="s">
        <v>92</v>
      </c>
      <c r="F371" s="149">
        <v>60.800401875418622</v>
      </c>
      <c r="G371" s="149">
        <v>65.572672471533821</v>
      </c>
      <c r="H371" s="149">
        <v>70.853985264567982</v>
      </c>
      <c r="I371" s="149">
        <v>73.737441393168112</v>
      </c>
      <c r="J371" s="149">
        <v>75.870730073677166</v>
      </c>
      <c r="K371" s="149">
        <v>79.691895512391156</v>
      </c>
      <c r="L371" s="149">
        <v>82.906898861352985</v>
      </c>
      <c r="M371" s="149">
        <v>86.021433355659752</v>
      </c>
      <c r="N371" s="149">
        <v>91.48693904889484</v>
      </c>
      <c r="O371" s="149">
        <v>96.044876088412593</v>
      </c>
      <c r="P371" s="149">
        <v>100</v>
      </c>
      <c r="Q371" s="149">
        <v>104.03549899531146</v>
      </c>
      <c r="R371" s="149">
        <v>106.31614199598125</v>
      </c>
      <c r="S371" s="149">
        <v>109.13931681178835</v>
      </c>
      <c r="T371" s="149">
        <v>112.90020093770931</v>
      </c>
      <c r="U371" s="149">
        <v>82.88345612860013</v>
      </c>
      <c r="V371" s="149">
        <v>115.53583389149364</v>
      </c>
      <c r="W371" s="149">
        <v>137.47488278633625</v>
      </c>
      <c r="X371" s="149">
        <v>131.63764233087741</v>
      </c>
      <c r="Y371" s="148">
        <v>126.62843268586738</v>
      </c>
    </row>
    <row r="372" spans="1:25" outlineLevel="2" x14ac:dyDescent="0.4">
      <c r="A372" s="147"/>
      <c r="B372" s="146"/>
      <c r="C372" s="146"/>
      <c r="D372" s="146" t="s">
        <v>93</v>
      </c>
      <c r="E372" s="145" t="s">
        <v>92</v>
      </c>
      <c r="F372" s="143">
        <v>60.800401875418622</v>
      </c>
      <c r="G372" s="143">
        <v>65.572672471533821</v>
      </c>
      <c r="H372" s="143">
        <v>70.853985264567982</v>
      </c>
      <c r="I372" s="143">
        <v>73.737441393168112</v>
      </c>
      <c r="J372" s="143">
        <v>75.870730073677166</v>
      </c>
      <c r="K372" s="143">
        <v>79.691895512391156</v>
      </c>
      <c r="L372" s="143">
        <v>82.906898861352985</v>
      </c>
      <c r="M372" s="143">
        <v>86.021433355659752</v>
      </c>
      <c r="N372" s="143">
        <v>91.48693904889484</v>
      </c>
      <c r="O372" s="143">
        <v>96.044876088412593</v>
      </c>
      <c r="P372" s="143">
        <v>100</v>
      </c>
      <c r="Q372" s="143">
        <v>104.03549899531146</v>
      </c>
      <c r="R372" s="143">
        <v>106.31614199598125</v>
      </c>
      <c r="S372" s="143">
        <v>109.13931681178835</v>
      </c>
      <c r="T372" s="143">
        <v>112.90020093770931</v>
      </c>
      <c r="U372" s="143">
        <v>82.88345612860013</v>
      </c>
      <c r="V372" s="143">
        <v>115.53583389149364</v>
      </c>
      <c r="W372" s="143">
        <v>137.47488278633625</v>
      </c>
      <c r="X372" s="143">
        <v>131.63764233087741</v>
      </c>
      <c r="Y372" s="142">
        <v>126.62843268586738</v>
      </c>
    </row>
    <row r="373" spans="1:25" x14ac:dyDescent="0.4">
      <c r="A373" s="177"/>
      <c r="B373" s="176" t="s">
        <v>91</v>
      </c>
      <c r="C373" s="176"/>
      <c r="D373" s="176"/>
      <c r="E373" s="175" t="s">
        <v>89</v>
      </c>
      <c r="F373" s="173">
        <v>53.127999666124111</v>
      </c>
      <c r="G373" s="173">
        <v>61.053378406577352</v>
      </c>
      <c r="H373" s="173">
        <v>69.951170652309997</v>
      </c>
      <c r="I373" s="173">
        <v>71.449438671173993</v>
      </c>
      <c r="J373" s="173">
        <v>65.393764867910349</v>
      </c>
      <c r="K373" s="173">
        <v>76.19047619047619</v>
      </c>
      <c r="L373" s="173">
        <v>84.107508033888394</v>
      </c>
      <c r="M373" s="173">
        <v>85.200951546262687</v>
      </c>
      <c r="N373" s="173">
        <v>92.725679228746714</v>
      </c>
      <c r="O373" s="173">
        <v>98.718751304202669</v>
      </c>
      <c r="P373" s="173">
        <v>100</v>
      </c>
      <c r="Q373" s="173">
        <v>99.344768582279542</v>
      </c>
      <c r="R373" s="173">
        <v>99.152789950335958</v>
      </c>
      <c r="S373" s="173">
        <v>102.64596636200491</v>
      </c>
      <c r="T373" s="173">
        <v>103.58916572764075</v>
      </c>
      <c r="U373" s="173">
        <v>100.71783314552816</v>
      </c>
      <c r="V373" s="173">
        <v>113.55953424314511</v>
      </c>
      <c r="W373" s="173">
        <v>127.55728058094404</v>
      </c>
      <c r="X373" s="173">
        <v>129.80259588497975</v>
      </c>
      <c r="Y373" s="172">
        <v>128.80597637828137</v>
      </c>
    </row>
    <row r="374" spans="1:25" outlineLevel="1" x14ac:dyDescent="0.4">
      <c r="A374" s="171"/>
      <c r="B374" s="170"/>
      <c r="C374" s="170" t="s">
        <v>91</v>
      </c>
      <c r="D374" s="170"/>
      <c r="E374" s="169" t="s">
        <v>89</v>
      </c>
      <c r="F374" s="167">
        <v>53.127999666124111</v>
      </c>
      <c r="G374" s="167">
        <v>61.053378406577352</v>
      </c>
      <c r="H374" s="167">
        <v>69.951170652309997</v>
      </c>
      <c r="I374" s="167">
        <v>71.449438671173993</v>
      </c>
      <c r="J374" s="167">
        <v>65.393764867910349</v>
      </c>
      <c r="K374" s="167">
        <v>76.19047619047619</v>
      </c>
      <c r="L374" s="167">
        <v>84.107508033888394</v>
      </c>
      <c r="M374" s="167">
        <v>85.200951546262687</v>
      </c>
      <c r="N374" s="167">
        <v>92.725679228746714</v>
      </c>
      <c r="O374" s="167">
        <v>98.718751304202669</v>
      </c>
      <c r="P374" s="167">
        <v>100</v>
      </c>
      <c r="Q374" s="167">
        <v>99.344768582279542</v>
      </c>
      <c r="R374" s="167">
        <v>99.152789950335958</v>
      </c>
      <c r="S374" s="167">
        <v>102.64596636200491</v>
      </c>
      <c r="T374" s="167">
        <v>103.58916572764075</v>
      </c>
      <c r="U374" s="167">
        <v>100.71783314552816</v>
      </c>
      <c r="V374" s="167">
        <v>113.55953424314511</v>
      </c>
      <c r="W374" s="167">
        <v>127.55728058094404</v>
      </c>
      <c r="X374" s="167">
        <v>129.80259588497975</v>
      </c>
      <c r="Y374" s="166">
        <v>128.80597637828137</v>
      </c>
    </row>
    <row r="375" spans="1:25" outlineLevel="2" x14ac:dyDescent="0.4">
      <c r="A375" s="165"/>
      <c r="B375" s="164"/>
      <c r="C375" s="164"/>
      <c r="D375" s="164" t="s">
        <v>90</v>
      </c>
      <c r="E375" s="163" t="s">
        <v>89</v>
      </c>
      <c r="F375" s="161">
        <v>53.127999666124111</v>
      </c>
      <c r="G375" s="161">
        <v>61.053378406577352</v>
      </c>
      <c r="H375" s="161">
        <v>69.951170652309997</v>
      </c>
      <c r="I375" s="161">
        <v>71.449438671173993</v>
      </c>
      <c r="J375" s="161">
        <v>65.393764867910349</v>
      </c>
      <c r="K375" s="161">
        <v>76.19047619047619</v>
      </c>
      <c r="L375" s="161">
        <v>84.107508033888394</v>
      </c>
      <c r="M375" s="161">
        <v>85.200951546262687</v>
      </c>
      <c r="N375" s="161">
        <v>92.725679228746714</v>
      </c>
      <c r="O375" s="161">
        <v>98.718751304202669</v>
      </c>
      <c r="P375" s="161">
        <v>100</v>
      </c>
      <c r="Q375" s="161">
        <v>99.344768582279542</v>
      </c>
      <c r="R375" s="161">
        <v>99.152789950335958</v>
      </c>
      <c r="S375" s="161">
        <v>102.64596636200491</v>
      </c>
      <c r="T375" s="161">
        <v>103.58916572764075</v>
      </c>
      <c r="U375" s="161">
        <v>100.71783314552816</v>
      </c>
      <c r="V375" s="161">
        <v>113.55953424314511</v>
      </c>
      <c r="W375" s="161">
        <v>127.55728058094404</v>
      </c>
      <c r="X375" s="161">
        <v>129.80259588497975</v>
      </c>
      <c r="Y375" s="160">
        <v>128.80597637828137</v>
      </c>
    </row>
    <row r="376" spans="1:25" x14ac:dyDescent="0.4">
      <c r="A376" s="159"/>
      <c r="B376" s="158" t="s">
        <v>88</v>
      </c>
      <c r="C376" s="158"/>
      <c r="D376" s="158"/>
      <c r="E376" s="157" t="s">
        <v>86</v>
      </c>
      <c r="F376" s="155">
        <v>44.454692183537006</v>
      </c>
      <c r="G376" s="155">
        <v>47.382983629236804</v>
      </c>
      <c r="H376" s="155">
        <v>53.902467143186541</v>
      </c>
      <c r="I376" s="155">
        <v>59.367074014295596</v>
      </c>
      <c r="J376" s="155">
        <v>61.433594650680192</v>
      </c>
      <c r="K376" s="155">
        <v>64.30712474060411</v>
      </c>
      <c r="L376" s="155">
        <v>71.345400046114833</v>
      </c>
      <c r="M376" s="155">
        <v>76.740834678349088</v>
      </c>
      <c r="N376" s="155">
        <v>84.044270232879867</v>
      </c>
      <c r="O376" s="155">
        <v>92.6302743832142</v>
      </c>
      <c r="P376" s="155">
        <v>100</v>
      </c>
      <c r="Q376" s="155">
        <v>102.96864191837676</v>
      </c>
      <c r="R376" s="155">
        <v>108.51683191145953</v>
      </c>
      <c r="S376" s="155">
        <v>112.5691722388748</v>
      </c>
      <c r="T376" s="155">
        <v>119.62474060410422</v>
      </c>
      <c r="U376" s="155">
        <v>122.29940050726309</v>
      </c>
      <c r="V376" s="155">
        <v>126.82441780032281</v>
      </c>
      <c r="W376" s="155">
        <v>135.28937053262624</v>
      </c>
      <c r="X376" s="155">
        <v>147.37721927599722</v>
      </c>
      <c r="Y376" s="154">
        <v>147.95642148950887</v>
      </c>
    </row>
    <row r="377" spans="1:25" outlineLevel="1" x14ac:dyDescent="0.4">
      <c r="A377" s="153"/>
      <c r="B377" s="152"/>
      <c r="C377" s="152" t="s">
        <v>88</v>
      </c>
      <c r="D377" s="152"/>
      <c r="E377" s="151" t="s">
        <v>86</v>
      </c>
      <c r="F377" s="149">
        <v>44.454692183537006</v>
      </c>
      <c r="G377" s="149">
        <v>47.382983629236804</v>
      </c>
      <c r="H377" s="149">
        <v>53.902467143186541</v>
      </c>
      <c r="I377" s="149">
        <v>59.367074014295596</v>
      </c>
      <c r="J377" s="149">
        <v>61.433594650680192</v>
      </c>
      <c r="K377" s="149">
        <v>64.30712474060411</v>
      </c>
      <c r="L377" s="149">
        <v>71.345400046114833</v>
      </c>
      <c r="M377" s="149">
        <v>76.740834678349088</v>
      </c>
      <c r="N377" s="149">
        <v>84.044270232879867</v>
      </c>
      <c r="O377" s="149">
        <v>92.6302743832142</v>
      </c>
      <c r="P377" s="149">
        <v>100</v>
      </c>
      <c r="Q377" s="149">
        <v>102.96864191837676</v>
      </c>
      <c r="R377" s="149">
        <v>108.51683191145953</v>
      </c>
      <c r="S377" s="149">
        <v>112.5691722388748</v>
      </c>
      <c r="T377" s="149">
        <v>119.62474060410422</v>
      </c>
      <c r="U377" s="149">
        <v>122.29940050726309</v>
      </c>
      <c r="V377" s="149">
        <v>126.82441780032281</v>
      </c>
      <c r="W377" s="149">
        <v>135.28937053262624</v>
      </c>
      <c r="X377" s="149">
        <v>147.37721927599722</v>
      </c>
      <c r="Y377" s="148">
        <v>147.95642148950887</v>
      </c>
    </row>
    <row r="378" spans="1:25" outlineLevel="2" x14ac:dyDescent="0.4">
      <c r="A378" s="147"/>
      <c r="B378" s="146"/>
      <c r="C378" s="146"/>
      <c r="D378" s="146" t="s">
        <v>87</v>
      </c>
      <c r="E378" s="145" t="s">
        <v>86</v>
      </c>
      <c r="F378" s="143">
        <v>44.454692183537006</v>
      </c>
      <c r="G378" s="143">
        <v>47.382983629236804</v>
      </c>
      <c r="H378" s="143">
        <v>53.902467143186541</v>
      </c>
      <c r="I378" s="143">
        <v>59.367074014295596</v>
      </c>
      <c r="J378" s="143">
        <v>61.433594650680192</v>
      </c>
      <c r="K378" s="143">
        <v>64.30712474060411</v>
      </c>
      <c r="L378" s="143">
        <v>71.345400046114833</v>
      </c>
      <c r="M378" s="143">
        <v>76.740834678349088</v>
      </c>
      <c r="N378" s="143">
        <v>84.044270232879867</v>
      </c>
      <c r="O378" s="143">
        <v>92.6302743832142</v>
      </c>
      <c r="P378" s="143">
        <v>100</v>
      </c>
      <c r="Q378" s="143">
        <v>102.96864191837676</v>
      </c>
      <c r="R378" s="143">
        <v>108.51683191145953</v>
      </c>
      <c r="S378" s="143">
        <v>112.5691722388748</v>
      </c>
      <c r="T378" s="143">
        <v>119.62474060410422</v>
      </c>
      <c r="U378" s="143">
        <v>122.29940050726309</v>
      </c>
      <c r="V378" s="143">
        <v>126.82441780032281</v>
      </c>
      <c r="W378" s="143">
        <v>135.28937053262624</v>
      </c>
      <c r="X378" s="143">
        <v>147.37721927599722</v>
      </c>
      <c r="Y378" s="142">
        <v>147.95642148950887</v>
      </c>
    </row>
    <row r="379" spans="1:25" x14ac:dyDescent="0.4">
      <c r="A379" s="177"/>
      <c r="B379" s="176" t="s">
        <v>85</v>
      </c>
      <c r="C379" s="176"/>
      <c r="D379" s="176"/>
      <c r="E379" s="175" t="s">
        <v>83</v>
      </c>
      <c r="F379" s="173">
        <v>71.941281775868234</v>
      </c>
      <c r="G379" s="173">
        <v>74.851414249910491</v>
      </c>
      <c r="H379" s="173">
        <v>77.658431793770148</v>
      </c>
      <c r="I379" s="173">
        <v>79.815252416756181</v>
      </c>
      <c r="J379" s="173">
        <v>82.87289652703187</v>
      </c>
      <c r="K379" s="173">
        <v>85.831722162549227</v>
      </c>
      <c r="L379" s="173">
        <v>88.260651629072683</v>
      </c>
      <c r="M379" s="173">
        <v>91.054779806659496</v>
      </c>
      <c r="N379" s="173">
        <v>93.984962406015043</v>
      </c>
      <c r="O379" s="173">
        <v>96.905119942713924</v>
      </c>
      <c r="P379" s="173">
        <v>100</v>
      </c>
      <c r="Q379" s="173">
        <v>103.52882205513785</v>
      </c>
      <c r="R379" s="173">
        <v>106.68814894378804</v>
      </c>
      <c r="S379" s="173">
        <v>110.91872538489081</v>
      </c>
      <c r="T379" s="173">
        <v>114.52058718224131</v>
      </c>
      <c r="U379" s="173">
        <v>116.17329036877908</v>
      </c>
      <c r="V379" s="173">
        <v>119.0733977801647</v>
      </c>
      <c r="W379" s="173">
        <v>121.50805585392051</v>
      </c>
      <c r="X379" s="173">
        <v>123.86680988184749</v>
      </c>
      <c r="Y379" s="172">
        <v>126.24156104547082</v>
      </c>
    </row>
    <row r="380" spans="1:25" outlineLevel="1" x14ac:dyDescent="0.4">
      <c r="A380" s="147"/>
      <c r="B380" s="146"/>
      <c r="C380" s="170" t="s">
        <v>85</v>
      </c>
      <c r="D380" s="146"/>
      <c r="E380" s="169" t="s">
        <v>83</v>
      </c>
      <c r="F380" s="167">
        <v>71.941281775868234</v>
      </c>
      <c r="G380" s="167">
        <v>74.851414249910491</v>
      </c>
      <c r="H380" s="167">
        <v>77.658431793770148</v>
      </c>
      <c r="I380" s="167">
        <v>79.815252416756181</v>
      </c>
      <c r="J380" s="167">
        <v>82.87289652703187</v>
      </c>
      <c r="K380" s="167">
        <v>85.831722162549227</v>
      </c>
      <c r="L380" s="167">
        <v>88.260651629072683</v>
      </c>
      <c r="M380" s="167">
        <v>91.054779806659496</v>
      </c>
      <c r="N380" s="167">
        <v>93.984962406015043</v>
      </c>
      <c r="O380" s="167">
        <v>96.905119942713924</v>
      </c>
      <c r="P380" s="167">
        <v>100</v>
      </c>
      <c r="Q380" s="167">
        <v>103.52882205513785</v>
      </c>
      <c r="R380" s="167">
        <v>106.68814894378804</v>
      </c>
      <c r="S380" s="167">
        <v>110.91872538489081</v>
      </c>
      <c r="T380" s="167">
        <v>114.52058718224131</v>
      </c>
      <c r="U380" s="167">
        <v>116.17329036877908</v>
      </c>
      <c r="V380" s="167">
        <v>119.0733977801647</v>
      </c>
      <c r="W380" s="167">
        <v>121.50805585392051</v>
      </c>
      <c r="X380" s="167">
        <v>123.86680988184749</v>
      </c>
      <c r="Y380" s="166">
        <v>126.24156104547082</v>
      </c>
    </row>
    <row r="381" spans="1:25" outlineLevel="2" x14ac:dyDescent="0.4">
      <c r="A381" s="165"/>
      <c r="B381" s="164"/>
      <c r="C381" s="164"/>
      <c r="D381" s="164" t="s">
        <v>84</v>
      </c>
      <c r="E381" s="163" t="s">
        <v>83</v>
      </c>
      <c r="F381" s="161">
        <v>71.941281775868234</v>
      </c>
      <c r="G381" s="161">
        <v>74.851414249910491</v>
      </c>
      <c r="H381" s="161">
        <v>77.658431793770148</v>
      </c>
      <c r="I381" s="161">
        <v>79.815252416756181</v>
      </c>
      <c r="J381" s="161">
        <v>82.87289652703187</v>
      </c>
      <c r="K381" s="161">
        <v>85.831722162549227</v>
      </c>
      <c r="L381" s="161">
        <v>88.260651629072683</v>
      </c>
      <c r="M381" s="161">
        <v>91.054779806659496</v>
      </c>
      <c r="N381" s="161">
        <v>93.984962406015043</v>
      </c>
      <c r="O381" s="161">
        <v>96.905119942713924</v>
      </c>
      <c r="P381" s="161">
        <v>100</v>
      </c>
      <c r="Q381" s="161">
        <v>103.52882205513785</v>
      </c>
      <c r="R381" s="161">
        <v>106.68814894378804</v>
      </c>
      <c r="S381" s="161">
        <v>110.91872538489081</v>
      </c>
      <c r="T381" s="161">
        <v>114.52058718224131</v>
      </c>
      <c r="U381" s="161">
        <v>116.17329036877908</v>
      </c>
      <c r="V381" s="161">
        <v>119.0733977801647</v>
      </c>
      <c r="W381" s="161">
        <v>121.50805585392051</v>
      </c>
      <c r="X381" s="161">
        <v>123.86680988184749</v>
      </c>
      <c r="Y381" s="160">
        <v>126.24156104547082</v>
      </c>
    </row>
    <row r="382" spans="1:25" ht="28" x14ac:dyDescent="0.4">
      <c r="A382" s="159"/>
      <c r="B382" s="158" t="s">
        <v>82</v>
      </c>
      <c r="C382" s="158"/>
      <c r="D382" s="158"/>
      <c r="E382" s="157" t="s">
        <v>81</v>
      </c>
      <c r="F382" s="155">
        <v>62.825829383886258</v>
      </c>
      <c r="G382" s="155">
        <v>67.24282129913577</v>
      </c>
      <c r="H382" s="155">
        <v>71.867159185949262</v>
      </c>
      <c r="I382" s="155">
        <v>74.574853638137711</v>
      </c>
      <c r="J382" s="155">
        <v>76.662252578756622</v>
      </c>
      <c r="K382" s="155">
        <v>79.024951212712566</v>
      </c>
      <c r="L382" s="155">
        <v>84.625034848062455</v>
      </c>
      <c r="M382" s="155">
        <v>88.700515751324232</v>
      </c>
      <c r="N382" s="155">
        <v>93.380610538054086</v>
      </c>
      <c r="O382" s="155">
        <v>100.18817953721772</v>
      </c>
      <c r="P382" s="155">
        <v>100</v>
      </c>
      <c r="Q382" s="155">
        <v>97.565862838026206</v>
      </c>
      <c r="R382" s="155">
        <v>98.98592138277111</v>
      </c>
      <c r="S382" s="155">
        <v>102.91678282687482</v>
      </c>
      <c r="T382" s="155">
        <v>106.46431558405354</v>
      </c>
      <c r="U382" s="155">
        <v>100.29969333705047</v>
      </c>
      <c r="V382" s="155">
        <v>110.06237803178142</v>
      </c>
      <c r="W382" s="155">
        <v>118.71340953442989</v>
      </c>
      <c r="X382" s="155">
        <v>121.03429049344857</v>
      </c>
      <c r="Y382" s="154">
        <v>120.96732994145528</v>
      </c>
    </row>
    <row r="383" spans="1:25" ht="28" outlineLevel="1" x14ac:dyDescent="0.4">
      <c r="A383" s="153"/>
      <c r="B383" s="152"/>
      <c r="C383" s="152" t="s">
        <v>82</v>
      </c>
      <c r="D383" s="152"/>
      <c r="E383" s="151" t="s">
        <v>81</v>
      </c>
      <c r="F383" s="149">
        <v>62.825829383886258</v>
      </c>
      <c r="G383" s="149">
        <v>67.24282129913577</v>
      </c>
      <c r="H383" s="149">
        <v>71.867159185949262</v>
      </c>
      <c r="I383" s="149">
        <v>74.574853638137711</v>
      </c>
      <c r="J383" s="149">
        <v>76.662252578756622</v>
      </c>
      <c r="K383" s="149">
        <v>79.024951212712566</v>
      </c>
      <c r="L383" s="149">
        <v>84.625034848062455</v>
      </c>
      <c r="M383" s="149">
        <v>88.700515751324232</v>
      </c>
      <c r="N383" s="149">
        <v>93.380610538054086</v>
      </c>
      <c r="O383" s="149">
        <v>100.18817953721772</v>
      </c>
      <c r="P383" s="149">
        <v>100</v>
      </c>
      <c r="Q383" s="149">
        <v>97.565862838026206</v>
      </c>
      <c r="R383" s="149">
        <v>98.98592138277111</v>
      </c>
      <c r="S383" s="149">
        <v>102.91678282687482</v>
      </c>
      <c r="T383" s="149">
        <v>106.46431558405354</v>
      </c>
      <c r="U383" s="149">
        <v>100.29969333705047</v>
      </c>
      <c r="V383" s="149">
        <v>110.06237803178142</v>
      </c>
      <c r="W383" s="149">
        <v>118.71340953442989</v>
      </c>
      <c r="X383" s="149">
        <v>121.03429049344857</v>
      </c>
      <c r="Y383" s="148">
        <v>120.96732994145528</v>
      </c>
    </row>
    <row r="384" spans="1:25" outlineLevel="2" x14ac:dyDescent="0.4">
      <c r="A384" s="147"/>
      <c r="B384" s="146"/>
      <c r="C384" s="146"/>
      <c r="D384" s="146" t="s">
        <v>80</v>
      </c>
      <c r="E384" s="145" t="s">
        <v>79</v>
      </c>
      <c r="F384" s="143">
        <v>63.979746461174557</v>
      </c>
      <c r="G384" s="143">
        <v>68.444395165761179</v>
      </c>
      <c r="H384" s="143">
        <v>73.130797945078911</v>
      </c>
      <c r="I384" s="143">
        <v>75.873156669253788</v>
      </c>
      <c r="J384" s="143">
        <v>78.042650700373287</v>
      </c>
      <c r="K384" s="143">
        <v>80.411723398750794</v>
      </c>
      <c r="L384" s="143">
        <v>86.05166869941236</v>
      </c>
      <c r="M384" s="143">
        <v>90.176294489411248</v>
      </c>
      <c r="N384" s="143">
        <v>94.947702997375899</v>
      </c>
      <c r="O384" s="143">
        <v>101.84055882026833</v>
      </c>
      <c r="P384" s="143">
        <v>100</v>
      </c>
      <c r="Q384" s="143">
        <v>97.457219943083118</v>
      </c>
      <c r="R384" s="143">
        <v>96.806741323871819</v>
      </c>
      <c r="S384" s="143">
        <v>100.83157778024172</v>
      </c>
      <c r="T384" s="143">
        <v>104.07657907380714</v>
      </c>
      <c r="U384" s="143">
        <v>97.117197028495397</v>
      </c>
      <c r="V384" s="143">
        <v>107.12939350260562</v>
      </c>
      <c r="W384" s="143">
        <v>114.08138374542631</v>
      </c>
      <c r="X384" s="143">
        <v>116.04021140555125</v>
      </c>
      <c r="Y384" s="142">
        <v>116.86787153047271</v>
      </c>
    </row>
    <row r="385" spans="1:25" outlineLevel="2" x14ac:dyDescent="0.4">
      <c r="A385" s="165"/>
      <c r="B385" s="164"/>
      <c r="C385" s="164"/>
      <c r="D385" s="164" t="s">
        <v>78</v>
      </c>
      <c r="E385" s="163" t="s">
        <v>77</v>
      </c>
      <c r="F385" s="161">
        <v>61.806494148673153</v>
      </c>
      <c r="G385" s="161">
        <v>66.180979067084223</v>
      </c>
      <c r="H385" s="161">
        <v>70.746662271303776</v>
      </c>
      <c r="I385" s="161">
        <v>73.423438272622391</v>
      </c>
      <c r="J385" s="161">
        <v>75.440909840118678</v>
      </c>
      <c r="K385" s="161">
        <v>77.797923191033462</v>
      </c>
      <c r="L385" s="161">
        <v>83.362452612493826</v>
      </c>
      <c r="M385" s="161">
        <v>87.394099225317291</v>
      </c>
      <c r="N385" s="161">
        <v>91.996044173397067</v>
      </c>
      <c r="O385" s="161">
        <v>98.727542442722921</v>
      </c>
      <c r="P385" s="161">
        <v>100</v>
      </c>
      <c r="Q385" s="161">
        <v>97.662765782099882</v>
      </c>
      <c r="R385" s="161">
        <v>100.90654359650568</v>
      </c>
      <c r="S385" s="161">
        <v>104.75358496785891</v>
      </c>
      <c r="T385" s="161">
        <v>108.56766111752101</v>
      </c>
      <c r="U385" s="161">
        <v>103.10202736113401</v>
      </c>
      <c r="V385" s="161">
        <v>112.64875556288116</v>
      </c>
      <c r="W385" s="161">
        <v>122.78885775506841</v>
      </c>
      <c r="X385" s="161">
        <v>125.42937201252677</v>
      </c>
      <c r="Y385" s="160">
        <v>124.5725070051096</v>
      </c>
    </row>
    <row r="386" spans="1:25" ht="42" x14ac:dyDescent="0.4">
      <c r="A386" s="159"/>
      <c r="B386" s="158" t="s">
        <v>76</v>
      </c>
      <c r="C386" s="158"/>
      <c r="D386" s="158"/>
      <c r="E386" s="157" t="s">
        <v>75</v>
      </c>
      <c r="F386" s="155">
        <v>63.511692854020005</v>
      </c>
      <c r="G386" s="155">
        <v>66.444497979067961</v>
      </c>
      <c r="H386" s="155">
        <v>69.161380122594281</v>
      </c>
      <c r="I386" s="155">
        <v>70.636259000508588</v>
      </c>
      <c r="J386" s="155">
        <v>72.790135353373131</v>
      </c>
      <c r="K386" s="155">
        <v>76.163708878717301</v>
      </c>
      <c r="L386" s="155">
        <v>80.538379863843616</v>
      </c>
      <c r="M386" s="155">
        <v>85.015658877378939</v>
      </c>
      <c r="N386" s="155">
        <v>89.698153947732365</v>
      </c>
      <c r="O386" s="155">
        <v>94.94187032129696</v>
      </c>
      <c r="P386" s="155">
        <v>100</v>
      </c>
      <c r="Q386" s="155">
        <v>103.67693639194482</v>
      </c>
      <c r="R386" s="155">
        <v>107.26732514253594</v>
      </c>
      <c r="S386" s="155">
        <v>112.34776091437138</v>
      </c>
      <c r="T386" s="155">
        <v>118.07328889959581</v>
      </c>
      <c r="U386" s="155">
        <v>118.43821658324187</v>
      </c>
      <c r="V386" s="155">
        <v>128.45989810576657</v>
      </c>
      <c r="W386" s="155">
        <v>129.9008717221196</v>
      </c>
      <c r="X386" s="155">
        <v>136.41157418560454</v>
      </c>
      <c r="Y386" s="154">
        <v>140.86743934973279</v>
      </c>
    </row>
    <row r="387" spans="1:25" ht="28" outlineLevel="1" x14ac:dyDescent="0.4">
      <c r="A387" s="153"/>
      <c r="B387" s="152"/>
      <c r="C387" s="152" t="s">
        <v>74</v>
      </c>
      <c r="D387" s="152"/>
      <c r="E387" s="151" t="s">
        <v>72</v>
      </c>
      <c r="F387" s="149">
        <v>54.988318012096862</v>
      </c>
      <c r="G387" s="149">
        <v>57.997248728082631</v>
      </c>
      <c r="H387" s="149">
        <v>60.652444483263089</v>
      </c>
      <c r="I387" s="149">
        <v>61.471275411053128</v>
      </c>
      <c r="J387" s="149">
        <v>63.510710308535486</v>
      </c>
      <c r="K387" s="149">
        <v>68.310151319955452</v>
      </c>
      <c r="L387" s="149">
        <v>76.055200122278748</v>
      </c>
      <c r="M387" s="149">
        <v>81.97698539205625</v>
      </c>
      <c r="N387" s="149">
        <v>85.621328908007072</v>
      </c>
      <c r="O387" s="149">
        <v>95.03242570474049</v>
      </c>
      <c r="P387" s="149">
        <v>100</v>
      </c>
      <c r="Q387" s="149">
        <v>103.52861541148984</v>
      </c>
      <c r="R387" s="149">
        <v>107.61840295215843</v>
      </c>
      <c r="S387" s="149">
        <v>113.8873725353189</v>
      </c>
      <c r="T387" s="149">
        <v>118.68026289931655</v>
      </c>
      <c r="U387" s="149">
        <v>118.30469244710353</v>
      </c>
      <c r="V387" s="149">
        <v>123.04736118086336</v>
      </c>
      <c r="W387" s="149">
        <v>124.37932615673515</v>
      </c>
      <c r="X387" s="149">
        <v>128.97351354892243</v>
      </c>
      <c r="Y387" s="148">
        <v>131.96340371640062</v>
      </c>
    </row>
    <row r="388" spans="1:25" ht="28" outlineLevel="2" x14ac:dyDescent="0.4">
      <c r="A388" s="147"/>
      <c r="B388" s="146"/>
      <c r="C388" s="146"/>
      <c r="D388" s="146" t="s">
        <v>73</v>
      </c>
      <c r="E388" s="145" t="s">
        <v>72</v>
      </c>
      <c r="F388" s="143">
        <v>54.988318012096862</v>
      </c>
      <c r="G388" s="143">
        <v>57.997248728082631</v>
      </c>
      <c r="H388" s="143">
        <v>60.652444483263089</v>
      </c>
      <c r="I388" s="143">
        <v>61.471275411053128</v>
      </c>
      <c r="J388" s="143">
        <v>63.510710308535486</v>
      </c>
      <c r="K388" s="143">
        <v>68.310151319955452</v>
      </c>
      <c r="L388" s="143">
        <v>76.055200122278748</v>
      </c>
      <c r="M388" s="143">
        <v>81.97698539205625</v>
      </c>
      <c r="N388" s="143">
        <v>85.621328908007072</v>
      </c>
      <c r="O388" s="143">
        <v>95.03242570474049</v>
      </c>
      <c r="P388" s="143">
        <v>100</v>
      </c>
      <c r="Q388" s="143">
        <v>103.52861541148984</v>
      </c>
      <c r="R388" s="143">
        <v>107.61840295215843</v>
      </c>
      <c r="S388" s="143">
        <v>113.8873725353189</v>
      </c>
      <c r="T388" s="143">
        <v>118.68026289931655</v>
      </c>
      <c r="U388" s="143">
        <v>118.30469244710353</v>
      </c>
      <c r="V388" s="143">
        <v>123.04736118086336</v>
      </c>
      <c r="W388" s="143">
        <v>124.37932615673515</v>
      </c>
      <c r="X388" s="143">
        <v>128.97351354892243</v>
      </c>
      <c r="Y388" s="142">
        <v>131.96340371640062</v>
      </c>
    </row>
    <row r="389" spans="1:25" outlineLevel="1" x14ac:dyDescent="0.4">
      <c r="A389" s="153"/>
      <c r="B389" s="152"/>
      <c r="C389" s="152" t="s">
        <v>71</v>
      </c>
      <c r="D389" s="152"/>
      <c r="E389" s="151" t="s">
        <v>70</v>
      </c>
      <c r="F389" s="149">
        <v>72.93271839392294</v>
      </c>
      <c r="G389" s="149">
        <v>74.514378730330975</v>
      </c>
      <c r="H389" s="149">
        <v>78.000542593597402</v>
      </c>
      <c r="I389" s="149">
        <v>80.488334237656005</v>
      </c>
      <c r="J389" s="149">
        <v>82.550189907759091</v>
      </c>
      <c r="K389" s="149">
        <v>84.316332067281607</v>
      </c>
      <c r="L389" s="149">
        <v>86.44601193705914</v>
      </c>
      <c r="M389" s="149">
        <v>89.747693977211071</v>
      </c>
      <c r="N389" s="149">
        <v>93.380358111774285</v>
      </c>
      <c r="O389" s="149">
        <v>95.309278350515456</v>
      </c>
      <c r="P389" s="149">
        <v>100</v>
      </c>
      <c r="Q389" s="149">
        <v>104.36245252306023</v>
      </c>
      <c r="R389" s="149">
        <v>105.93054801953336</v>
      </c>
      <c r="S389" s="149">
        <v>109.22137818773739</v>
      </c>
      <c r="T389" s="149">
        <v>114.57135105805752</v>
      </c>
      <c r="U389" s="149">
        <v>119.66359196961476</v>
      </c>
      <c r="V389" s="149">
        <v>126.34020618556701</v>
      </c>
      <c r="W389" s="149">
        <v>128.74932175800328</v>
      </c>
      <c r="X389" s="149">
        <v>132.59088442756374</v>
      </c>
      <c r="Y389" s="148">
        <v>135.72433532284319</v>
      </c>
    </row>
    <row r="390" spans="1:25" outlineLevel="2" x14ac:dyDescent="0.4">
      <c r="A390" s="147"/>
      <c r="B390" s="146"/>
      <c r="C390" s="146"/>
      <c r="D390" s="146" t="s">
        <v>69</v>
      </c>
      <c r="E390" s="145" t="s">
        <v>68</v>
      </c>
      <c r="F390" s="143">
        <v>75.822341857335132</v>
      </c>
      <c r="G390" s="143">
        <v>77.965006729475107</v>
      </c>
      <c r="H390" s="143">
        <v>80.969044414535659</v>
      </c>
      <c r="I390" s="143">
        <v>81.814266487213999</v>
      </c>
      <c r="J390" s="143">
        <v>83.257065948855995</v>
      </c>
      <c r="K390" s="143">
        <v>83.838492597577385</v>
      </c>
      <c r="L390" s="143">
        <v>86.43876177658143</v>
      </c>
      <c r="M390" s="143">
        <v>89.195154777927314</v>
      </c>
      <c r="N390" s="143">
        <v>93.065948855989234</v>
      </c>
      <c r="O390" s="143">
        <v>96.500672947510097</v>
      </c>
      <c r="P390" s="143">
        <v>100</v>
      </c>
      <c r="Q390" s="143">
        <v>102.93405114401078</v>
      </c>
      <c r="R390" s="143">
        <v>104.55450874831762</v>
      </c>
      <c r="S390" s="143">
        <v>106.23418573351277</v>
      </c>
      <c r="T390" s="143">
        <v>108.51682368775235</v>
      </c>
      <c r="U390" s="143">
        <v>104.54374158815611</v>
      </c>
      <c r="V390" s="143">
        <v>108.0699865410498</v>
      </c>
      <c r="W390" s="143">
        <v>114.36339165545088</v>
      </c>
      <c r="X390" s="143">
        <v>118.19650067294751</v>
      </c>
      <c r="Y390" s="142">
        <v>118.32694481830417</v>
      </c>
    </row>
    <row r="391" spans="1:25" outlineLevel="2" x14ac:dyDescent="0.4">
      <c r="A391" s="165"/>
      <c r="B391" s="164"/>
      <c r="C391" s="164"/>
      <c r="D391" s="164" t="s">
        <v>67</v>
      </c>
      <c r="E391" s="163" t="s">
        <v>66</v>
      </c>
      <c r="F391" s="161">
        <v>70.112113754443527</v>
      </c>
      <c r="G391" s="161">
        <v>71.167623735302172</v>
      </c>
      <c r="H391" s="161">
        <v>75.105277549904287</v>
      </c>
      <c r="I391" s="161">
        <v>79.217938200710975</v>
      </c>
      <c r="J391" s="161">
        <v>81.864916598304632</v>
      </c>
      <c r="K391" s="161">
        <v>84.801750068362054</v>
      </c>
      <c r="L391" s="161">
        <v>86.458846048673777</v>
      </c>
      <c r="M391" s="161">
        <v>90.314465408805034</v>
      </c>
      <c r="N391" s="161">
        <v>93.710691823899367</v>
      </c>
      <c r="O391" s="161">
        <v>94.10445720535958</v>
      </c>
      <c r="P391" s="161">
        <v>100</v>
      </c>
      <c r="Q391" s="161">
        <v>105.81350834016953</v>
      </c>
      <c r="R391" s="161">
        <v>107.32841126606507</v>
      </c>
      <c r="S391" s="161">
        <v>112.30516817063167</v>
      </c>
      <c r="T391" s="161">
        <v>120.90237899917966</v>
      </c>
      <c r="U391" s="161">
        <v>135.42794640415642</v>
      </c>
      <c r="V391" s="161">
        <v>145.2994257588187</v>
      </c>
      <c r="W391" s="161">
        <v>143.70248837845227</v>
      </c>
      <c r="X391" s="161">
        <v>147.54716981132074</v>
      </c>
      <c r="Y391" s="160">
        <v>153.83330598851518</v>
      </c>
    </row>
    <row r="392" spans="1:25" ht="28" outlineLevel="1" x14ac:dyDescent="0.4">
      <c r="A392" s="171"/>
      <c r="B392" s="170"/>
      <c r="C392" s="170" t="s">
        <v>65</v>
      </c>
      <c r="D392" s="170"/>
      <c r="E392" s="169" t="s">
        <v>63</v>
      </c>
      <c r="F392" s="167">
        <v>67.409925220938135</v>
      </c>
      <c r="G392" s="167">
        <v>71.838885112168597</v>
      </c>
      <c r="H392" s="167">
        <v>73.704962610469067</v>
      </c>
      <c r="I392" s="167">
        <v>75.159755268524805</v>
      </c>
      <c r="J392" s="167">
        <v>77.624065261726713</v>
      </c>
      <c r="K392" s="167">
        <v>80.125764785859957</v>
      </c>
      <c r="L392" s="167">
        <v>80.887151597552688</v>
      </c>
      <c r="M392" s="167">
        <v>84.354180829367778</v>
      </c>
      <c r="N392" s="167">
        <v>91.961250849762067</v>
      </c>
      <c r="O392" s="167">
        <v>94.35078178110129</v>
      </c>
      <c r="P392" s="167">
        <v>100</v>
      </c>
      <c r="Q392" s="167">
        <v>103.04894629503738</v>
      </c>
      <c r="R392" s="167">
        <v>108.39904826648538</v>
      </c>
      <c r="S392" s="167">
        <v>113.87831407205982</v>
      </c>
      <c r="T392" s="167">
        <v>121.50917743031951</v>
      </c>
      <c r="U392" s="167">
        <v>116.87967369136642</v>
      </c>
      <c r="V392" s="167">
        <v>139.54452753229097</v>
      </c>
      <c r="W392" s="167">
        <v>139.92861998640379</v>
      </c>
      <c r="X392" s="167">
        <v>152.63086335825969</v>
      </c>
      <c r="Y392" s="166">
        <v>160.98140720598232</v>
      </c>
    </row>
    <row r="393" spans="1:25" outlineLevel="2" x14ac:dyDescent="0.4">
      <c r="A393" s="165"/>
      <c r="B393" s="164"/>
      <c r="C393" s="164"/>
      <c r="D393" s="164" t="s">
        <v>64</v>
      </c>
      <c r="E393" s="163" t="s">
        <v>63</v>
      </c>
      <c r="F393" s="161">
        <v>67.409925220938135</v>
      </c>
      <c r="G393" s="161">
        <v>71.838885112168597</v>
      </c>
      <c r="H393" s="161">
        <v>73.704962610469067</v>
      </c>
      <c r="I393" s="161">
        <v>75.159755268524805</v>
      </c>
      <c r="J393" s="161">
        <v>77.624065261726713</v>
      </c>
      <c r="K393" s="161">
        <v>80.125764785859957</v>
      </c>
      <c r="L393" s="161">
        <v>80.887151597552688</v>
      </c>
      <c r="M393" s="161">
        <v>84.354180829367778</v>
      </c>
      <c r="N393" s="161">
        <v>91.961250849762067</v>
      </c>
      <c r="O393" s="161">
        <v>94.35078178110129</v>
      </c>
      <c r="P393" s="161">
        <v>100</v>
      </c>
      <c r="Q393" s="161">
        <v>103.04894629503738</v>
      </c>
      <c r="R393" s="161">
        <v>108.39904826648538</v>
      </c>
      <c r="S393" s="161">
        <v>113.87831407205982</v>
      </c>
      <c r="T393" s="161">
        <v>121.50917743031951</v>
      </c>
      <c r="U393" s="161">
        <v>116.87967369136642</v>
      </c>
      <c r="V393" s="161">
        <v>139.54452753229097</v>
      </c>
      <c r="W393" s="161">
        <v>139.92861998640379</v>
      </c>
      <c r="X393" s="161">
        <v>152.63086335825969</v>
      </c>
      <c r="Y393" s="160">
        <v>160.98140720598232</v>
      </c>
    </row>
    <row r="394" spans="1:25" ht="70" x14ac:dyDescent="0.4">
      <c r="A394" s="159"/>
      <c r="B394" s="158" t="s">
        <v>242</v>
      </c>
      <c r="C394" s="158"/>
      <c r="D394" s="158"/>
      <c r="E394" s="157" t="s">
        <v>61</v>
      </c>
      <c r="F394" s="155">
        <v>67.305868717732579</v>
      </c>
      <c r="G394" s="155">
        <v>70.71962912232641</v>
      </c>
      <c r="H394" s="155">
        <v>74.465282899589084</v>
      </c>
      <c r="I394" s="155">
        <v>76.693709830365606</v>
      </c>
      <c r="J394" s="155">
        <v>78.479612264250349</v>
      </c>
      <c r="K394" s="155">
        <v>80.386682119903057</v>
      </c>
      <c r="L394" s="155">
        <v>85.280792329575377</v>
      </c>
      <c r="M394" s="155">
        <v>87.856917079338331</v>
      </c>
      <c r="N394" s="155">
        <v>93.34105995153304</v>
      </c>
      <c r="O394" s="155">
        <v>95.932989147613526</v>
      </c>
      <c r="P394" s="155">
        <v>100</v>
      </c>
      <c r="Q394" s="155">
        <v>105.54209250869245</v>
      </c>
      <c r="R394" s="155">
        <v>107.76525129069645</v>
      </c>
      <c r="S394" s="155">
        <v>110.23601306500896</v>
      </c>
      <c r="T394" s="155">
        <v>124.60752291644717</v>
      </c>
      <c r="U394" s="155">
        <v>109.91992413865768</v>
      </c>
      <c r="V394" s="155">
        <v>147.76103677167842</v>
      </c>
      <c r="W394" s="155">
        <v>189.29512169423663</v>
      </c>
      <c r="X394" s="155">
        <v>209.09282478137183</v>
      </c>
      <c r="Y394" s="154">
        <v>226.28611315983562</v>
      </c>
    </row>
    <row r="395" spans="1:25" ht="28" outlineLevel="1" x14ac:dyDescent="0.4">
      <c r="A395" s="153"/>
      <c r="B395" s="152"/>
      <c r="C395" s="152" t="s">
        <v>60</v>
      </c>
      <c r="D395" s="152"/>
      <c r="E395" s="151" t="s">
        <v>58</v>
      </c>
      <c r="F395" s="149">
        <v>63.183475091130013</v>
      </c>
      <c r="G395" s="149">
        <v>67.221785433492968</v>
      </c>
      <c r="H395" s="149">
        <v>71.553141305124726</v>
      </c>
      <c r="I395" s="149">
        <v>74.748052319348162</v>
      </c>
      <c r="J395" s="149">
        <v>76.556357658494747</v>
      </c>
      <c r="K395" s="149">
        <v>78.579086555642917</v>
      </c>
      <c r="L395" s="149">
        <v>84.14695161175041</v>
      </c>
      <c r="M395" s="149">
        <v>86.762919019369605</v>
      </c>
      <c r="N395" s="149">
        <v>93.281395182617402</v>
      </c>
      <c r="O395" s="149">
        <v>95.547137445500681</v>
      </c>
      <c r="P395" s="149">
        <v>100</v>
      </c>
      <c r="Q395" s="149">
        <v>106.08962904724466</v>
      </c>
      <c r="R395" s="149">
        <v>108.28389679079409</v>
      </c>
      <c r="S395" s="149">
        <v>110.61396612107784</v>
      </c>
      <c r="T395" s="149">
        <v>129.06153956114645</v>
      </c>
      <c r="U395" s="149">
        <v>119.7627045958116</v>
      </c>
      <c r="V395" s="149">
        <v>168.5083267815024</v>
      </c>
      <c r="W395" s="149">
        <v>213.81602458723466</v>
      </c>
      <c r="X395" s="149">
        <v>239.78986491315845</v>
      </c>
      <c r="Y395" s="148">
        <v>260.51490243728114</v>
      </c>
    </row>
    <row r="396" spans="1:25" ht="28" outlineLevel="2" x14ac:dyDescent="0.4">
      <c r="A396" s="147"/>
      <c r="B396" s="146"/>
      <c r="C396" s="146"/>
      <c r="D396" s="146" t="s">
        <v>59</v>
      </c>
      <c r="E396" s="145" t="s">
        <v>58</v>
      </c>
      <c r="F396" s="143">
        <v>63.183475091130013</v>
      </c>
      <c r="G396" s="143">
        <v>67.221785433492968</v>
      </c>
      <c r="H396" s="143">
        <v>71.553141305124726</v>
      </c>
      <c r="I396" s="143">
        <v>74.748052319348162</v>
      </c>
      <c r="J396" s="143">
        <v>76.556357658494747</v>
      </c>
      <c r="K396" s="143">
        <v>78.579086555642917</v>
      </c>
      <c r="L396" s="143">
        <v>84.14695161175041</v>
      </c>
      <c r="M396" s="143">
        <v>86.762919019369605</v>
      </c>
      <c r="N396" s="143">
        <v>93.281395182617402</v>
      </c>
      <c r="O396" s="143">
        <v>95.547137445500681</v>
      </c>
      <c r="P396" s="143">
        <v>100</v>
      </c>
      <c r="Q396" s="143">
        <v>106.08962904724466</v>
      </c>
      <c r="R396" s="143">
        <v>108.28389679079409</v>
      </c>
      <c r="S396" s="143">
        <v>110.61396612107784</v>
      </c>
      <c r="T396" s="143">
        <v>129.06153956114645</v>
      </c>
      <c r="U396" s="143">
        <v>119.7627045958116</v>
      </c>
      <c r="V396" s="143">
        <v>168.5083267815024</v>
      </c>
      <c r="W396" s="143">
        <v>213.81602458723466</v>
      </c>
      <c r="X396" s="143">
        <v>239.78986491315845</v>
      </c>
      <c r="Y396" s="142">
        <v>260.51490243728114</v>
      </c>
    </row>
    <row r="397" spans="1:25" ht="56" outlineLevel="1" x14ac:dyDescent="0.4">
      <c r="A397" s="153"/>
      <c r="B397" s="152"/>
      <c r="C397" s="152" t="s">
        <v>57</v>
      </c>
      <c r="D397" s="152"/>
      <c r="E397" s="151" t="s">
        <v>56</v>
      </c>
      <c r="F397" s="149">
        <v>78.922059707473451</v>
      </c>
      <c r="G397" s="149">
        <v>80.665197355239428</v>
      </c>
      <c r="H397" s="149">
        <v>82.829092366259275</v>
      </c>
      <c r="I397" s="149">
        <v>82.368262873171702</v>
      </c>
      <c r="J397" s="149">
        <v>84.091364456020841</v>
      </c>
      <c r="K397" s="149">
        <v>85.674213584452019</v>
      </c>
      <c r="L397" s="149">
        <v>88.619515127229008</v>
      </c>
      <c r="M397" s="149">
        <v>91.063915047084748</v>
      </c>
      <c r="N397" s="149">
        <v>93.528351031857355</v>
      </c>
      <c r="O397" s="149">
        <v>97.054698457222997</v>
      </c>
      <c r="P397" s="149">
        <v>100</v>
      </c>
      <c r="Q397" s="149">
        <v>104.00721298337005</v>
      </c>
      <c r="R397" s="149">
        <v>106.31136044880785</v>
      </c>
      <c r="S397" s="149">
        <v>109.17651773191746</v>
      </c>
      <c r="T397" s="149">
        <v>112.36225205369665</v>
      </c>
      <c r="U397" s="149">
        <v>83.009416950510911</v>
      </c>
      <c r="V397" s="149">
        <v>91.003806852334208</v>
      </c>
      <c r="W397" s="149">
        <v>122.0196353436185</v>
      </c>
      <c r="X397" s="149">
        <v>124.98497295131237</v>
      </c>
      <c r="Y397" s="148">
        <v>132.52374273692647</v>
      </c>
    </row>
    <row r="398" spans="1:25" outlineLevel="2" x14ac:dyDescent="0.4">
      <c r="A398" s="147"/>
      <c r="B398" s="146"/>
      <c r="C398" s="146"/>
      <c r="D398" s="146" t="s">
        <v>55</v>
      </c>
      <c r="E398" s="145" t="s">
        <v>54</v>
      </c>
      <c r="F398" s="143">
        <v>78.922059707473451</v>
      </c>
      <c r="G398" s="143">
        <v>80.665197355239428</v>
      </c>
      <c r="H398" s="143">
        <v>82.829092366259275</v>
      </c>
      <c r="I398" s="143">
        <v>82.368262873171702</v>
      </c>
      <c r="J398" s="143">
        <v>84.091364456020841</v>
      </c>
      <c r="K398" s="143">
        <v>85.674213584452019</v>
      </c>
      <c r="L398" s="143">
        <v>88.619515127229008</v>
      </c>
      <c r="M398" s="143">
        <v>91.063915047084748</v>
      </c>
      <c r="N398" s="143">
        <v>93.528351031857355</v>
      </c>
      <c r="O398" s="143">
        <v>97.054698457222997</v>
      </c>
      <c r="P398" s="143">
        <v>100</v>
      </c>
      <c r="Q398" s="143">
        <v>104.00721298337005</v>
      </c>
      <c r="R398" s="143">
        <v>106.31136044880785</v>
      </c>
      <c r="S398" s="143">
        <v>109.17651773191746</v>
      </c>
      <c r="T398" s="143">
        <v>112.36225205369665</v>
      </c>
      <c r="U398" s="143">
        <v>83.009416950510911</v>
      </c>
      <c r="V398" s="143">
        <v>91.003806852334208</v>
      </c>
      <c r="W398" s="143">
        <v>122.0196353436185</v>
      </c>
      <c r="X398" s="143">
        <v>124.98497295131237</v>
      </c>
      <c r="Y398" s="142">
        <v>132.52374273692647</v>
      </c>
    </row>
    <row r="399" spans="1:25" x14ac:dyDescent="0.4">
      <c r="A399" s="80" t="s">
        <v>10</v>
      </c>
      <c r="B399" s="79"/>
      <c r="C399" s="141"/>
      <c r="D399" s="59"/>
      <c r="E399" s="141" t="s">
        <v>53</v>
      </c>
      <c r="F399" s="111">
        <v>64.704610132463117</v>
      </c>
      <c r="G399" s="111">
        <v>68.714641027290654</v>
      </c>
      <c r="H399" s="111">
        <v>73.049225028506186</v>
      </c>
      <c r="I399" s="111">
        <v>75.308777169858587</v>
      </c>
      <c r="J399" s="111">
        <v>76.375107283212628</v>
      </c>
      <c r="K399" s="111">
        <v>79.684974053546469</v>
      </c>
      <c r="L399" s="111">
        <v>84.957627408653565</v>
      </c>
      <c r="M399" s="111">
        <v>88.232451751642273</v>
      </c>
      <c r="N399" s="111">
        <v>92.920745253872809</v>
      </c>
      <c r="O399" s="111">
        <v>97.014275682608684</v>
      </c>
      <c r="P399" s="111">
        <v>100</v>
      </c>
      <c r="Q399" s="111">
        <v>102.18891974873485</v>
      </c>
      <c r="R399" s="111">
        <v>103.60444217520393</v>
      </c>
      <c r="S399" s="111">
        <v>106.20976451762594</v>
      </c>
      <c r="T399" s="111">
        <v>109.46843649176023</v>
      </c>
      <c r="U399" s="111">
        <v>101.48191140015031</v>
      </c>
      <c r="V399" s="111">
        <v>111.93714812132893</v>
      </c>
      <c r="W399" s="111">
        <v>119.11851869089156</v>
      </c>
      <c r="X399" s="111">
        <v>120.40345332170727</v>
      </c>
      <c r="Y399" s="110">
        <v>122.39733321652524</v>
      </c>
    </row>
    <row r="400" spans="1:25" x14ac:dyDescent="0.4">
      <c r="A400" s="140" t="s">
        <v>52</v>
      </c>
      <c r="B400" s="138"/>
      <c r="C400" s="138"/>
      <c r="D400" s="139"/>
      <c r="E400" s="138" t="s">
        <v>51</v>
      </c>
      <c r="F400" s="136">
        <v>57.350739726766378</v>
      </c>
      <c r="G400" s="136">
        <v>64.231479858123507</v>
      </c>
      <c r="H400" s="136">
        <v>71.225505401286597</v>
      </c>
      <c r="I400" s="136">
        <v>74.85063857907727</v>
      </c>
      <c r="J400" s="136">
        <v>73.65574721169537</v>
      </c>
      <c r="K400" s="136">
        <v>78.228971395433518</v>
      </c>
      <c r="L400" s="136">
        <v>86.314043345156378</v>
      </c>
      <c r="M400" s="136">
        <v>90.187325520236286</v>
      </c>
      <c r="N400" s="136">
        <v>93.183994389674837</v>
      </c>
      <c r="O400" s="136">
        <v>98.314205181458959</v>
      </c>
      <c r="P400" s="136">
        <v>100</v>
      </c>
      <c r="Q400" s="136">
        <v>101.08700049899527</v>
      </c>
      <c r="R400" s="136">
        <v>102.19018462824853</v>
      </c>
      <c r="S400" s="136">
        <v>105.31227663218654</v>
      </c>
      <c r="T400" s="136">
        <v>109.89898717447302</v>
      </c>
      <c r="U400" s="136">
        <v>103.15715653616367</v>
      </c>
      <c r="V400" s="136">
        <v>119.54308217238263</v>
      </c>
      <c r="W400" s="136">
        <v>138.72068402810558</v>
      </c>
      <c r="X400" s="136">
        <v>135.20344171870153</v>
      </c>
      <c r="Y400" s="135">
        <v>136.64280030748898</v>
      </c>
    </row>
    <row r="401" spans="1:25" x14ac:dyDescent="0.4">
      <c r="A401" s="134" t="s">
        <v>10</v>
      </c>
      <c r="B401" s="132"/>
      <c r="C401" s="132"/>
      <c r="D401" s="133"/>
      <c r="E401" s="132" t="s">
        <v>9</v>
      </c>
      <c r="F401" s="130">
        <v>63.981374240081919</v>
      </c>
      <c r="G401" s="130">
        <v>68.278919139248302</v>
      </c>
      <c r="H401" s="130">
        <v>72.879685643699702</v>
      </c>
      <c r="I401" s="130">
        <v>75.272650902457087</v>
      </c>
      <c r="J401" s="130">
        <v>76.130494648884294</v>
      </c>
      <c r="K401" s="130">
        <v>79.552300756065677</v>
      </c>
      <c r="L401" s="130">
        <v>85.07950868158251</v>
      </c>
      <c r="M401" s="130">
        <v>88.408359968783088</v>
      </c>
      <c r="N401" s="130">
        <v>92.947239440680406</v>
      </c>
      <c r="O401" s="130">
        <v>97.128963628319909</v>
      </c>
      <c r="P401" s="130">
        <v>100</v>
      </c>
      <c r="Q401" s="130">
        <v>102.08738250162794</v>
      </c>
      <c r="R401" s="130">
        <v>103.47511843040567</v>
      </c>
      <c r="S401" s="130">
        <v>106.12855601894886</v>
      </c>
      <c r="T401" s="130">
        <v>109.51071962937374</v>
      </c>
      <c r="U401" s="130">
        <v>101.64137334532964</v>
      </c>
      <c r="V401" s="130">
        <v>112.61985952389237</v>
      </c>
      <c r="W401" s="130">
        <v>120.87295511823157</v>
      </c>
      <c r="X401" s="130">
        <v>121.73402991455116</v>
      </c>
      <c r="Y401" s="129">
        <v>123.67968241264981</v>
      </c>
    </row>
    <row r="402" spans="1:25" x14ac:dyDescent="0.4">
      <c r="A402" s="286"/>
      <c r="B402" s="104"/>
      <c r="C402" s="104"/>
      <c r="D402" s="104"/>
      <c r="E402" s="236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207"/>
    </row>
    <row r="403" spans="1:25" s="41" customFormat="1" ht="16" x14ac:dyDescent="0.45">
      <c r="A403" s="285" t="s">
        <v>50</v>
      </c>
      <c r="B403" s="284"/>
      <c r="C403" s="284"/>
      <c r="D403" s="284"/>
      <c r="E403" s="284"/>
      <c r="F403" s="283"/>
      <c r="G403" s="283"/>
      <c r="H403" s="283"/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  <c r="S403" s="283"/>
      <c r="T403" s="283"/>
      <c r="U403" s="283"/>
      <c r="V403" s="283"/>
      <c r="W403" s="283"/>
      <c r="X403" s="283"/>
      <c r="Y403" s="282"/>
    </row>
    <row r="404" spans="1:25" x14ac:dyDescent="0.4">
      <c r="A404" s="281"/>
      <c r="B404" s="280"/>
      <c r="C404" s="280"/>
      <c r="D404" s="280"/>
      <c r="E404" s="279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272"/>
    </row>
    <row r="405" spans="1:25" s="84" customFormat="1" x14ac:dyDescent="0.4">
      <c r="A405" s="80" t="s">
        <v>49</v>
      </c>
      <c r="B405" s="79"/>
      <c r="C405" s="79"/>
      <c r="D405" s="79"/>
      <c r="E405" s="78" t="s">
        <v>48</v>
      </c>
      <c r="F405" s="77">
        <v>62.530046956062435</v>
      </c>
      <c r="G405" s="77">
        <v>66.389486139232858</v>
      </c>
      <c r="H405" s="77">
        <v>70.514815704542372</v>
      </c>
      <c r="I405" s="77">
        <v>73.486461524229298</v>
      </c>
      <c r="J405" s="77">
        <v>75.114182163261461</v>
      </c>
      <c r="K405" s="77">
        <v>78.931842835209139</v>
      </c>
      <c r="L405" s="77">
        <v>83.406769014071898</v>
      </c>
      <c r="M405" s="77">
        <v>87.987633560678063</v>
      </c>
      <c r="N405" s="77">
        <v>92.698459118980722</v>
      </c>
      <c r="O405" s="77">
        <v>96.707405688741147</v>
      </c>
      <c r="P405" s="77">
        <v>100</v>
      </c>
      <c r="Q405" s="77">
        <v>101.62637775831429</v>
      </c>
      <c r="R405" s="77">
        <v>103.99462250876977</v>
      </c>
      <c r="S405" s="77">
        <v>108.12398071623288</v>
      </c>
      <c r="T405" s="77">
        <v>112.76557331308071</v>
      </c>
      <c r="U405" s="77">
        <v>108.01356607942991</v>
      </c>
      <c r="V405" s="77">
        <v>122.88298585051349</v>
      </c>
      <c r="W405" s="77">
        <v>133.9638406985367</v>
      </c>
      <c r="X405" s="77">
        <v>134.7261493193833</v>
      </c>
      <c r="Y405" s="76">
        <v>136.66993633253307</v>
      </c>
    </row>
    <row r="406" spans="1:25" s="84" customFormat="1" ht="28.5" x14ac:dyDescent="0.4">
      <c r="A406" s="126" t="s">
        <v>47</v>
      </c>
      <c r="B406" s="97"/>
      <c r="C406" s="125"/>
      <c r="D406" s="97"/>
      <c r="E406" s="96" t="s">
        <v>46</v>
      </c>
      <c r="F406" s="124">
        <v>63.290884244110387</v>
      </c>
      <c r="G406" s="124">
        <v>67.322005106957548</v>
      </c>
      <c r="H406" s="124">
        <v>71.733516269126142</v>
      </c>
      <c r="I406" s="124">
        <v>74.68535225121731</v>
      </c>
      <c r="J406" s="124">
        <v>75.961184218884128</v>
      </c>
      <c r="K406" s="124">
        <v>79.799206189327649</v>
      </c>
      <c r="L406" s="124">
        <v>84.188757797002978</v>
      </c>
      <c r="M406" s="124">
        <v>88.93184008362779</v>
      </c>
      <c r="N406" s="124">
        <v>93.046625034255086</v>
      </c>
      <c r="O406" s="124">
        <v>97.00025226265079</v>
      </c>
      <c r="P406" s="124">
        <v>100</v>
      </c>
      <c r="Q406" s="124">
        <v>101.58362869841547</v>
      </c>
      <c r="R406" s="124">
        <v>103.66996785919751</v>
      </c>
      <c r="S406" s="124">
        <v>107.02524259863198</v>
      </c>
      <c r="T406" s="124">
        <v>111.38176413260668</v>
      </c>
      <c r="U406" s="124">
        <v>105.80458174308048</v>
      </c>
      <c r="V406" s="124">
        <v>121.38334304272314</v>
      </c>
      <c r="W406" s="124">
        <v>134.48031171678346</v>
      </c>
      <c r="X406" s="124">
        <v>134.99118895561449</v>
      </c>
      <c r="Y406" s="123">
        <v>137.14471527894986</v>
      </c>
    </row>
    <row r="407" spans="1:25" x14ac:dyDescent="0.4">
      <c r="A407" s="102" t="s">
        <v>45</v>
      </c>
      <c r="B407" s="121"/>
      <c r="C407" s="122"/>
      <c r="D407" s="121"/>
      <c r="E407" s="101" t="s">
        <v>44</v>
      </c>
      <c r="F407" s="57">
        <v>63.428208446580506</v>
      </c>
      <c r="G407" s="57">
        <v>67.451623914150588</v>
      </c>
      <c r="H407" s="57">
        <v>71.865114640508324</v>
      </c>
      <c r="I407" s="57">
        <v>74.847355903059821</v>
      </c>
      <c r="J407" s="57">
        <v>76.075262438326305</v>
      </c>
      <c r="K407" s="57">
        <v>79.91614385873325</v>
      </c>
      <c r="L407" s="57">
        <v>84.280715460451262</v>
      </c>
      <c r="M407" s="57">
        <v>88.987173332505847</v>
      </c>
      <c r="N407" s="57">
        <v>93.085610293459979</v>
      </c>
      <c r="O407" s="57">
        <v>96.977418713025443</v>
      </c>
      <c r="P407" s="57">
        <v>100</v>
      </c>
      <c r="Q407" s="57">
        <v>101.55993596705626</v>
      </c>
      <c r="R407" s="57">
        <v>103.68262440151651</v>
      </c>
      <c r="S407" s="57">
        <v>107.03924299479961</v>
      </c>
      <c r="T407" s="56">
        <v>111.40381459651762</v>
      </c>
      <c r="U407" s="56">
        <v>105.8500336775317</v>
      </c>
      <c r="V407" s="56">
        <v>121.50086794939425</v>
      </c>
      <c r="W407" s="56">
        <v>134.64368441323518</v>
      </c>
      <c r="X407" s="56">
        <v>135.07665517310616</v>
      </c>
      <c r="Y407" s="55">
        <v>0</v>
      </c>
    </row>
    <row r="408" spans="1:25" x14ac:dyDescent="0.4">
      <c r="A408" s="120" t="s">
        <v>43</v>
      </c>
      <c r="B408" s="70"/>
      <c r="C408" s="119"/>
      <c r="D408" s="70"/>
      <c r="E408" s="105" t="s">
        <v>42</v>
      </c>
      <c r="F408" s="4">
        <v>39.463722397476339</v>
      </c>
      <c r="G408" s="4">
        <v>44.763406940063092</v>
      </c>
      <c r="H408" s="4">
        <v>48.801261829653001</v>
      </c>
      <c r="I408" s="4">
        <v>46.593059936908517</v>
      </c>
      <c r="J408" s="4">
        <v>55.899053627760253</v>
      </c>
      <c r="K408" s="4">
        <v>59.242902208201897</v>
      </c>
      <c r="L408" s="4">
        <v>67.886435331230288</v>
      </c>
      <c r="M408" s="4">
        <v>79.053627760252368</v>
      </c>
      <c r="N408" s="4">
        <v>86.025236593059944</v>
      </c>
      <c r="O408" s="4">
        <v>100.88328075709778</v>
      </c>
      <c r="P408" s="4">
        <v>100</v>
      </c>
      <c r="Q408" s="4">
        <v>105.67823343848582</v>
      </c>
      <c r="R408" s="4">
        <v>101.35646687697162</v>
      </c>
      <c r="S408" s="4">
        <v>104.44794952681389</v>
      </c>
      <c r="T408" s="62">
        <v>107.41324921135646</v>
      </c>
      <c r="U408" s="62">
        <v>97.886435331230288</v>
      </c>
      <c r="V408" s="62">
        <v>101.67192429022083</v>
      </c>
      <c r="W408" s="62">
        <v>107.38170347003155</v>
      </c>
      <c r="X408" s="62">
        <v>120.69400630914826</v>
      </c>
      <c r="Y408" s="61">
        <v>0</v>
      </c>
    </row>
    <row r="409" spans="1:25" x14ac:dyDescent="0.4">
      <c r="A409" s="92" t="s">
        <v>41</v>
      </c>
      <c r="B409" s="117"/>
      <c r="C409" s="118"/>
      <c r="D409" s="117"/>
      <c r="E409" s="90" t="s">
        <v>40</v>
      </c>
      <c r="F409" s="57">
        <v>59.045373695338455</v>
      </c>
      <c r="G409" s="57">
        <v>62.123703728563271</v>
      </c>
      <c r="H409" s="57">
        <v>64.962076719132796</v>
      </c>
      <c r="I409" s="57">
        <v>68.013558411920656</v>
      </c>
      <c r="J409" s="57">
        <v>71.252978487767223</v>
      </c>
      <c r="K409" s="57">
        <v>74.976507702117672</v>
      </c>
      <c r="L409" s="57">
        <v>79.832701278652223</v>
      </c>
      <c r="M409" s="57">
        <v>83.670335939859726</v>
      </c>
      <c r="N409" s="57">
        <v>91.113199315367325</v>
      </c>
      <c r="O409" s="57">
        <v>95.373695338456884</v>
      </c>
      <c r="P409" s="57">
        <v>100</v>
      </c>
      <c r="Q409" s="57">
        <v>101.82400912843575</v>
      </c>
      <c r="R409" s="57">
        <v>105.53327516192905</v>
      </c>
      <c r="S409" s="57">
        <v>113.29160653757089</v>
      </c>
      <c r="T409" s="57">
        <v>119.26704030607107</v>
      </c>
      <c r="U409" s="57">
        <v>118.36006980568514</v>
      </c>
      <c r="V409" s="57">
        <v>129.98120616169413</v>
      </c>
      <c r="W409" s="57">
        <v>131.26489243883611</v>
      </c>
      <c r="X409" s="57">
        <v>133.31795147162467</v>
      </c>
      <c r="Y409" s="278">
        <v>134.21960264456155</v>
      </c>
    </row>
    <row r="410" spans="1:25" x14ac:dyDescent="0.4">
      <c r="A410" s="277"/>
      <c r="B410" s="104"/>
      <c r="C410" s="276"/>
      <c r="D410" s="104"/>
      <c r="E410" s="275"/>
      <c r="F410" s="274">
        <v>0</v>
      </c>
      <c r="G410" s="274">
        <v>0</v>
      </c>
      <c r="H410" s="274">
        <v>0</v>
      </c>
      <c r="I410" s="274">
        <v>0</v>
      </c>
      <c r="J410" s="274">
        <v>0</v>
      </c>
      <c r="K410" s="274">
        <v>0</v>
      </c>
      <c r="L410" s="274">
        <v>0</v>
      </c>
      <c r="M410" s="274">
        <v>0</v>
      </c>
      <c r="N410" s="274">
        <v>0</v>
      </c>
      <c r="O410" s="274">
        <v>0</v>
      </c>
      <c r="P410" s="274">
        <v>0</v>
      </c>
      <c r="Q410" s="274">
        <v>0</v>
      </c>
      <c r="R410" s="274">
        <v>0</v>
      </c>
      <c r="S410" s="274">
        <v>0</v>
      </c>
      <c r="T410" s="274">
        <v>0</v>
      </c>
      <c r="U410" s="274">
        <v>0</v>
      </c>
      <c r="V410" s="274">
        <v>0</v>
      </c>
      <c r="W410" s="274">
        <v>0</v>
      </c>
      <c r="X410" s="274">
        <v>0</v>
      </c>
      <c r="Y410" s="273"/>
    </row>
    <row r="411" spans="1:25" x14ac:dyDescent="0.4">
      <c r="A411" s="80" t="s">
        <v>39</v>
      </c>
      <c r="B411" s="79"/>
      <c r="C411" s="79"/>
      <c r="D411" s="79"/>
      <c r="E411" s="78" t="s">
        <v>38</v>
      </c>
      <c r="F411" s="77">
        <v>45.330754554245836</v>
      </c>
      <c r="G411" s="77">
        <v>53.006978385300961</v>
      </c>
      <c r="H411" s="77">
        <v>61.380518020961297</v>
      </c>
      <c r="I411" s="77">
        <v>66.955908104858736</v>
      </c>
      <c r="J411" s="77">
        <v>62.74064974778495</v>
      </c>
      <c r="K411" s="77">
        <v>68.739970204647022</v>
      </c>
      <c r="L411" s="77">
        <v>81.467813177909619</v>
      </c>
      <c r="M411" s="77">
        <v>83.819555160607408</v>
      </c>
      <c r="N411" s="77">
        <v>90.363032853297085</v>
      </c>
      <c r="O411" s="77">
        <v>101.16463239329867</v>
      </c>
      <c r="P411" s="111">
        <v>100</v>
      </c>
      <c r="Q411" s="111">
        <v>99.837432372389642</v>
      </c>
      <c r="R411" s="111">
        <v>96.614306996680682</v>
      </c>
      <c r="S411" s="111">
        <v>98.067483860850473</v>
      </c>
      <c r="T411" s="111">
        <v>100.96286035388515</v>
      </c>
      <c r="U411" s="111">
        <v>80.083113353022668</v>
      </c>
      <c r="V411" s="111">
        <v>89.345809048378243</v>
      </c>
      <c r="W411" s="111">
        <v>103.6794647290975</v>
      </c>
      <c r="X411" s="111">
        <v>87.070907712814616</v>
      </c>
      <c r="Y411" s="110">
        <v>91.624615143357474</v>
      </c>
    </row>
    <row r="412" spans="1:25" x14ac:dyDescent="0.4">
      <c r="A412" s="71" t="s">
        <v>37</v>
      </c>
      <c r="D412" s="1"/>
      <c r="E412" s="215" t="s">
        <v>36</v>
      </c>
      <c r="F412" s="4">
        <v>45.688614795714933</v>
      </c>
      <c r="G412" s="4">
        <v>54.265131981179728</v>
      </c>
      <c r="H412" s="4">
        <v>65.059145644488154</v>
      </c>
      <c r="I412" s="4">
        <v>63.292485180360991</v>
      </c>
      <c r="J412" s="4">
        <v>66.112336851059311</v>
      </c>
      <c r="K412" s="4">
        <v>70.809431404343542</v>
      </c>
      <c r="L412" s="4">
        <v>79.45665754007284</v>
      </c>
      <c r="M412" s="4">
        <v>82.105850766899707</v>
      </c>
      <c r="N412" s="4">
        <v>89.068289959860721</v>
      </c>
      <c r="O412" s="4">
        <v>97.268401605571654</v>
      </c>
      <c r="P412" s="103">
        <v>100</v>
      </c>
      <c r="Q412" s="103">
        <v>97.109971025279791</v>
      </c>
      <c r="R412" s="103">
        <v>98.910656848932717</v>
      </c>
      <c r="S412" s="103">
        <v>99.936202450889184</v>
      </c>
      <c r="T412" s="103">
        <v>102.1712432547383</v>
      </c>
      <c r="U412" s="103">
        <v>78.036630426114456</v>
      </c>
      <c r="V412" s="103">
        <v>91.065684893272021</v>
      </c>
      <c r="W412" s="103">
        <v>101.53645764108563</v>
      </c>
      <c r="X412" s="103">
        <v>88.629150163481214</v>
      </c>
      <c r="Y412" s="272">
        <v>91.426975730349028</v>
      </c>
    </row>
    <row r="413" spans="1:25" outlineLevel="1" x14ac:dyDescent="0.4">
      <c r="A413" s="107" t="s">
        <v>35</v>
      </c>
      <c r="B413" s="59"/>
      <c r="C413" s="59"/>
      <c r="D413" s="59"/>
      <c r="E413" s="101" t="s">
        <v>34</v>
      </c>
      <c r="F413" s="57">
        <v>62.440426128399217</v>
      </c>
      <c r="G413" s="57">
        <v>71.771329782263336</v>
      </c>
      <c r="H413" s="57">
        <v>89.365479861695178</v>
      </c>
      <c r="I413" s="57">
        <v>68.944491169049627</v>
      </c>
      <c r="J413" s="57">
        <v>79.569666386319042</v>
      </c>
      <c r="K413" s="57">
        <v>76.506868516961035</v>
      </c>
      <c r="L413" s="57">
        <v>78.338473039902809</v>
      </c>
      <c r="M413" s="57">
        <v>77.752079244930385</v>
      </c>
      <c r="N413" s="57">
        <v>82.760956919914037</v>
      </c>
      <c r="O413" s="57">
        <v>91.33492196990936</v>
      </c>
      <c r="P413" s="99">
        <v>100</v>
      </c>
      <c r="Q413" s="99">
        <v>99.764040743855716</v>
      </c>
      <c r="R413" s="99">
        <v>97.876366694701431</v>
      </c>
      <c r="S413" s="99">
        <v>97.518923465096719</v>
      </c>
      <c r="T413" s="269">
        <v>88.870199046818058</v>
      </c>
      <c r="U413" s="269">
        <v>59.826184468741239</v>
      </c>
      <c r="V413" s="269">
        <v>83.655733109055234</v>
      </c>
      <c r="W413" s="269">
        <v>85.351836276983462</v>
      </c>
      <c r="X413" s="269">
        <v>81.611531632557714</v>
      </c>
      <c r="Y413" s="268">
        <v>0</v>
      </c>
    </row>
    <row r="414" spans="1:25" outlineLevel="1" x14ac:dyDescent="0.4">
      <c r="A414" s="106" t="s">
        <v>33</v>
      </c>
      <c r="D414" s="1"/>
      <c r="E414" s="105" t="s">
        <v>32</v>
      </c>
      <c r="F414" s="4">
        <v>49.205321727633319</v>
      </c>
      <c r="G414" s="4">
        <v>53.488596297928602</v>
      </c>
      <c r="H414" s="4">
        <v>63.867617893345084</v>
      </c>
      <c r="I414" s="4">
        <v>58.107921992066991</v>
      </c>
      <c r="J414" s="4">
        <v>67.801068752754517</v>
      </c>
      <c r="K414" s="4">
        <v>71.251101806963419</v>
      </c>
      <c r="L414" s="4">
        <v>70.584508594094316</v>
      </c>
      <c r="M414" s="4">
        <v>73.715017628911411</v>
      </c>
      <c r="N414" s="4">
        <v>82.755343763772586</v>
      </c>
      <c r="O414" s="4">
        <v>90.721408109299247</v>
      </c>
      <c r="P414" s="103">
        <v>100</v>
      </c>
      <c r="Q414" s="103">
        <v>99.980718378140153</v>
      </c>
      <c r="R414" s="103">
        <v>104.60693036579991</v>
      </c>
      <c r="S414" s="103">
        <v>100.96959012780961</v>
      </c>
      <c r="T414" s="270">
        <v>102.06451079770824</v>
      </c>
      <c r="U414" s="270">
        <v>70.636844424856776</v>
      </c>
      <c r="V414" s="270">
        <v>71.302060379021597</v>
      </c>
      <c r="W414" s="270">
        <v>68.244546055531075</v>
      </c>
      <c r="X414" s="270">
        <v>64.483252534156009</v>
      </c>
      <c r="Y414" s="271">
        <v>0</v>
      </c>
    </row>
    <row r="415" spans="1:25" outlineLevel="1" x14ac:dyDescent="0.4">
      <c r="A415" s="107" t="s">
        <v>31</v>
      </c>
      <c r="B415" s="59"/>
      <c r="C415" s="59"/>
      <c r="D415" s="59"/>
      <c r="E415" s="101" t="s">
        <v>30</v>
      </c>
      <c r="F415" s="57">
        <v>39.719826167116615</v>
      </c>
      <c r="G415" s="57">
        <v>52.497201553960629</v>
      </c>
      <c r="H415" s="57">
        <v>62.782313821031146</v>
      </c>
      <c r="I415" s="57">
        <v>68.387436623427931</v>
      </c>
      <c r="J415" s="57">
        <v>61.93290314084414</v>
      </c>
      <c r="K415" s="57">
        <v>71.594126555606778</v>
      </c>
      <c r="L415" s="57">
        <v>92.60551787713176</v>
      </c>
      <c r="M415" s="57">
        <v>96.317574241127275</v>
      </c>
      <c r="N415" s="57">
        <v>100.94982550865872</v>
      </c>
      <c r="O415" s="57">
        <v>110.24231250411536</v>
      </c>
      <c r="P415" s="99">
        <v>100</v>
      </c>
      <c r="Q415" s="99">
        <v>92.138012774083094</v>
      </c>
      <c r="R415" s="99">
        <v>93.426944096924998</v>
      </c>
      <c r="S415" s="99">
        <v>101.49799170343057</v>
      </c>
      <c r="T415" s="269">
        <v>113.93790742082044</v>
      </c>
      <c r="U415" s="269">
        <v>98.818068084545999</v>
      </c>
      <c r="V415" s="269">
        <v>121.88878646210574</v>
      </c>
      <c r="W415" s="269">
        <v>159.07025745703564</v>
      </c>
      <c r="X415" s="269">
        <v>123.11351814051493</v>
      </c>
      <c r="Y415" s="268">
        <v>0</v>
      </c>
    </row>
    <row r="416" spans="1:25" outlineLevel="1" x14ac:dyDescent="0.4">
      <c r="A416" s="106" t="s">
        <v>29</v>
      </c>
      <c r="D416" s="1"/>
      <c r="E416" s="105" t="s">
        <v>28</v>
      </c>
      <c r="F416" s="4">
        <v>75.099150141643051</v>
      </c>
      <c r="G416" s="4">
        <v>79.348441926345615</v>
      </c>
      <c r="H416" s="4">
        <v>78.611898016997173</v>
      </c>
      <c r="I416" s="4">
        <v>80</v>
      </c>
      <c r="J416" s="4">
        <v>86.175637393767701</v>
      </c>
      <c r="K416" s="4">
        <v>88.583569405099155</v>
      </c>
      <c r="L416" s="4">
        <v>98.498583569405099</v>
      </c>
      <c r="M416" s="4">
        <v>92.889518413597742</v>
      </c>
      <c r="N416" s="4">
        <v>99.008498583569406</v>
      </c>
      <c r="O416" s="4">
        <v>97.733711048158639</v>
      </c>
      <c r="P416" s="103">
        <v>100</v>
      </c>
      <c r="Q416" s="103">
        <v>113.14447592067989</v>
      </c>
      <c r="R416" s="103">
        <v>113.45609065155809</v>
      </c>
      <c r="S416" s="103">
        <v>109.94334277620396</v>
      </c>
      <c r="T416" s="270">
        <v>118.61189801699716</v>
      </c>
      <c r="U416" s="270">
        <v>116.43059490084985</v>
      </c>
      <c r="V416" s="270">
        <v>115.32577903682719</v>
      </c>
      <c r="W416" s="270">
        <v>100.96317280453258</v>
      </c>
      <c r="X416" s="270">
        <v>106.03399433427762</v>
      </c>
      <c r="Y416" s="271">
        <v>0</v>
      </c>
    </row>
    <row r="417" spans="1:25" outlineLevel="1" x14ac:dyDescent="0.4">
      <c r="A417" s="102" t="s">
        <v>27</v>
      </c>
      <c r="B417" s="59"/>
      <c r="C417" s="59"/>
      <c r="D417" s="59"/>
      <c r="E417" s="101" t="s">
        <v>26</v>
      </c>
      <c r="F417" s="57">
        <v>49.458655562165376</v>
      </c>
      <c r="G417" s="57">
        <v>46.508030933967873</v>
      </c>
      <c r="H417" s="57">
        <v>56.537775133848896</v>
      </c>
      <c r="I417" s="57">
        <v>60.356930398572281</v>
      </c>
      <c r="J417" s="57">
        <v>64.699583581201665</v>
      </c>
      <c r="K417" s="57">
        <v>64.366448542534201</v>
      </c>
      <c r="L417" s="57">
        <v>72.778108268887564</v>
      </c>
      <c r="M417" s="57">
        <v>78.607971445568111</v>
      </c>
      <c r="N417" s="57">
        <v>93.991671624033316</v>
      </c>
      <c r="O417" s="57">
        <v>98.738845925044615</v>
      </c>
      <c r="P417" s="99">
        <v>100</v>
      </c>
      <c r="Q417" s="99">
        <v>87.99524092801903</v>
      </c>
      <c r="R417" s="99">
        <v>89.042236763831056</v>
      </c>
      <c r="S417" s="99">
        <v>90.398572278405709</v>
      </c>
      <c r="T417" s="269">
        <v>89.791790600832826</v>
      </c>
      <c r="U417" s="269">
        <v>82.32004759071981</v>
      </c>
      <c r="V417" s="269">
        <v>85.116002379535999</v>
      </c>
      <c r="W417" s="269">
        <v>91.362284354550866</v>
      </c>
      <c r="X417" s="269">
        <v>93.194527067221884</v>
      </c>
      <c r="Y417" s="268">
        <v>0</v>
      </c>
    </row>
    <row r="418" spans="1:25" x14ac:dyDescent="0.4">
      <c r="A418" s="71" t="s">
        <v>25</v>
      </c>
      <c r="D418" s="1"/>
      <c r="E418" s="215" t="s">
        <v>24</v>
      </c>
      <c r="F418" s="270" t="s">
        <v>250</v>
      </c>
      <c r="G418" s="270" t="s">
        <v>250</v>
      </c>
      <c r="H418" s="270" t="s">
        <v>250</v>
      </c>
      <c r="I418" s="270" t="s">
        <v>250</v>
      </c>
      <c r="J418" s="270" t="s">
        <v>250</v>
      </c>
      <c r="K418" s="270" t="s">
        <v>250</v>
      </c>
      <c r="L418" s="270" t="s">
        <v>250</v>
      </c>
      <c r="M418" s="270" t="s">
        <v>250</v>
      </c>
      <c r="N418" s="270" t="s">
        <v>250</v>
      </c>
      <c r="O418" s="270" t="s">
        <v>250</v>
      </c>
      <c r="P418" s="270" t="s">
        <v>250</v>
      </c>
      <c r="Q418" s="270" t="s">
        <v>250</v>
      </c>
      <c r="R418" s="270" t="s">
        <v>250</v>
      </c>
      <c r="S418" s="270" t="s">
        <v>250</v>
      </c>
      <c r="T418" s="270" t="s">
        <v>250</v>
      </c>
      <c r="U418" s="270" t="s">
        <v>250</v>
      </c>
      <c r="V418" s="270" t="s">
        <v>250</v>
      </c>
      <c r="W418" s="270" t="s">
        <v>250</v>
      </c>
      <c r="X418" s="270" t="s">
        <v>250</v>
      </c>
      <c r="Y418" s="270" t="s">
        <v>250</v>
      </c>
    </row>
    <row r="419" spans="1:25" x14ac:dyDescent="0.4">
      <c r="A419" s="214" t="s">
        <v>23</v>
      </c>
      <c r="B419" s="59"/>
      <c r="C419" s="59"/>
      <c r="D419" s="59"/>
      <c r="E419" s="213" t="s">
        <v>22</v>
      </c>
      <c r="F419" s="57">
        <v>51.851851851851848</v>
      </c>
      <c r="G419" s="57">
        <v>59.259259259259252</v>
      </c>
      <c r="H419" s="57">
        <v>66.666666666666657</v>
      </c>
      <c r="I419" s="57">
        <v>70.370370370370367</v>
      </c>
      <c r="J419" s="57">
        <v>70.370370370370367</v>
      </c>
      <c r="K419" s="57">
        <v>74.074074074074076</v>
      </c>
      <c r="L419" s="57">
        <v>85.18518518518519</v>
      </c>
      <c r="M419" s="57">
        <v>92.592592592592595</v>
      </c>
      <c r="N419" s="57">
        <v>96.296296296296291</v>
      </c>
      <c r="O419" s="57">
        <v>100</v>
      </c>
      <c r="P419" s="99">
        <v>100</v>
      </c>
      <c r="Q419" s="99">
        <v>100</v>
      </c>
      <c r="R419" s="99">
        <v>81.481481481481481</v>
      </c>
      <c r="S419" s="99">
        <v>81.481481481481481</v>
      </c>
      <c r="T419" s="269">
        <v>81.481481481481481</v>
      </c>
      <c r="U419" s="269">
        <v>81.481481481481481</v>
      </c>
      <c r="V419" s="269">
        <v>81.481481481481481</v>
      </c>
      <c r="W419" s="269">
        <v>85.18518518518519</v>
      </c>
      <c r="X419" s="269">
        <v>88.888888888888886</v>
      </c>
      <c r="Y419" s="268">
        <v>0</v>
      </c>
    </row>
    <row r="420" spans="1:25" s="84" customFormat="1" x14ac:dyDescent="0.4">
      <c r="A420" s="267" t="s">
        <v>21</v>
      </c>
      <c r="B420" s="266"/>
      <c r="C420" s="266"/>
      <c r="D420" s="266"/>
      <c r="E420" s="265" t="s">
        <v>20</v>
      </c>
      <c r="F420" s="264">
        <v>69.976019565493587</v>
      </c>
      <c r="G420" s="264">
        <v>76.636545546944475</v>
      </c>
      <c r="H420" s="264">
        <v>81.403252445686704</v>
      </c>
      <c r="I420" s="264">
        <v>83.061237453944855</v>
      </c>
      <c r="J420" s="264">
        <v>78.736818701562697</v>
      </c>
      <c r="K420" s="264">
        <v>80.360659382543503</v>
      </c>
      <c r="L420" s="264">
        <v>90.21090077499683</v>
      </c>
      <c r="M420" s="264">
        <v>94.246283826705621</v>
      </c>
      <c r="N420" s="264">
        <v>98.654078261974334</v>
      </c>
      <c r="O420" s="264">
        <v>98.369012831914631</v>
      </c>
      <c r="P420" s="264">
        <v>100</v>
      </c>
      <c r="Q420" s="264">
        <v>99.791163765722274</v>
      </c>
      <c r="R420" s="264">
        <v>102.35516452801423</v>
      </c>
      <c r="S420" s="264">
        <v>103.01264134163384</v>
      </c>
      <c r="T420" s="264">
        <v>106.18965188667259</v>
      </c>
      <c r="U420" s="264">
        <v>82.340236310506924</v>
      </c>
      <c r="V420" s="264">
        <v>94.390007622919583</v>
      </c>
      <c r="W420" s="264">
        <v>106.1515372887816</v>
      </c>
      <c r="X420" s="264">
        <v>109.42065811205693</v>
      </c>
      <c r="Y420" s="263">
        <v>112.20790719095413</v>
      </c>
    </row>
    <row r="421" spans="1:25" s="84" customFormat="1" x14ac:dyDescent="0.4">
      <c r="A421" s="262" t="s">
        <v>19</v>
      </c>
      <c r="B421" s="261"/>
      <c r="C421" s="261"/>
      <c r="D421" s="261"/>
      <c r="E421" s="260" t="s">
        <v>18</v>
      </c>
      <c r="F421" s="259">
        <v>43.068673050615594</v>
      </c>
      <c r="G421" s="259">
        <v>50.683994528043776</v>
      </c>
      <c r="H421" s="259">
        <v>57.707797537619697</v>
      </c>
      <c r="I421" s="259">
        <v>64.928043775649797</v>
      </c>
      <c r="J421" s="259">
        <v>59.313269493844047</v>
      </c>
      <c r="K421" s="259">
        <v>65.736798905608751</v>
      </c>
      <c r="L421" s="259">
        <v>79.034746922024624</v>
      </c>
      <c r="M421" s="259">
        <v>86.444322845417233</v>
      </c>
      <c r="N421" s="259">
        <v>93.812859097127216</v>
      </c>
      <c r="O421" s="259">
        <v>101.09274965800275</v>
      </c>
      <c r="P421" s="259">
        <v>100</v>
      </c>
      <c r="Q421" s="259">
        <v>96.459097127222975</v>
      </c>
      <c r="R421" s="259">
        <v>97.441860465116278</v>
      </c>
      <c r="S421" s="259">
        <v>103.09876880984952</v>
      </c>
      <c r="T421" s="259">
        <v>110.67031463748289</v>
      </c>
      <c r="U421" s="259">
        <v>88.433926128590969</v>
      </c>
      <c r="V421" s="259">
        <v>112.07113543091656</v>
      </c>
      <c r="W421" s="259">
        <v>138.97181942544458</v>
      </c>
      <c r="X421" s="259">
        <v>125.24596443228455</v>
      </c>
      <c r="Y421" s="258">
        <v>130.74003283173735</v>
      </c>
    </row>
    <row r="422" spans="1:25" x14ac:dyDescent="0.4">
      <c r="A422" s="257" t="s">
        <v>10</v>
      </c>
      <c r="B422" s="255"/>
      <c r="C422" s="256"/>
      <c r="D422" s="255"/>
      <c r="E422" s="254" t="s">
        <v>9</v>
      </c>
      <c r="F422" s="253">
        <v>63.981374240081919</v>
      </c>
      <c r="G422" s="253">
        <v>68.278919139248302</v>
      </c>
      <c r="H422" s="253">
        <v>72.879685643699702</v>
      </c>
      <c r="I422" s="253">
        <v>75.272650902457087</v>
      </c>
      <c r="J422" s="253">
        <v>76.130494648884294</v>
      </c>
      <c r="K422" s="253">
        <v>79.552300756065677</v>
      </c>
      <c r="L422" s="253">
        <v>85.07950868158251</v>
      </c>
      <c r="M422" s="253">
        <v>88.408359968783088</v>
      </c>
      <c r="N422" s="253">
        <v>92.947239440680406</v>
      </c>
      <c r="O422" s="253">
        <v>97.128963628319909</v>
      </c>
      <c r="P422" s="253">
        <v>100</v>
      </c>
      <c r="Q422" s="253">
        <v>102.08738250162794</v>
      </c>
      <c r="R422" s="253">
        <v>103.47511843040567</v>
      </c>
      <c r="S422" s="253">
        <v>106.12855601894886</v>
      </c>
      <c r="T422" s="253">
        <v>109.51071962937374</v>
      </c>
      <c r="U422" s="253">
        <v>101.64137334532964</v>
      </c>
      <c r="V422" s="253">
        <v>112.61985952389237</v>
      </c>
      <c r="W422" s="253">
        <v>120.87295511823157</v>
      </c>
      <c r="X422" s="253">
        <v>121.73402991455116</v>
      </c>
      <c r="Y422" s="252">
        <v>123.67968241264981</v>
      </c>
    </row>
    <row r="423" spans="1:25" x14ac:dyDescent="0.4">
      <c r="A423" s="249"/>
      <c r="B423" s="249"/>
      <c r="C423" s="249"/>
      <c r="D423" s="249"/>
      <c r="E423" s="251"/>
      <c r="F423" s="250"/>
      <c r="G423" s="250"/>
      <c r="H423" s="250"/>
      <c r="I423" s="250"/>
      <c r="J423" s="250"/>
      <c r="K423" s="250"/>
      <c r="L423" s="250"/>
      <c r="M423" s="250"/>
      <c r="N423" s="250"/>
      <c r="O423" s="250"/>
      <c r="P423" s="250"/>
      <c r="Q423" s="250"/>
      <c r="R423" s="250"/>
      <c r="S423" s="249"/>
      <c r="T423" s="249"/>
      <c r="U423" s="249"/>
      <c r="V423" s="249"/>
      <c r="W423" s="249"/>
      <c r="X423" s="249"/>
      <c r="Y423" s="249"/>
    </row>
    <row r="424" spans="1:25" ht="16.5" customHeight="1" x14ac:dyDescent="0.4">
      <c r="A424" s="28" t="s">
        <v>5</v>
      </c>
      <c r="B424" s="247"/>
      <c r="C424" s="247"/>
      <c r="D424" s="247"/>
      <c r="E424" s="248"/>
      <c r="F424" s="247"/>
      <c r="G424" s="247"/>
      <c r="H424" s="246"/>
      <c r="I424" s="246"/>
      <c r="J424" s="246"/>
      <c r="K424" s="246"/>
      <c r="L424" s="246"/>
      <c r="M424" s="246"/>
      <c r="N424" s="246"/>
      <c r="O424" s="246"/>
      <c r="P424" s="246"/>
      <c r="Q424" s="246"/>
      <c r="R424" s="246"/>
      <c r="S424" s="246"/>
      <c r="T424" s="246"/>
      <c r="U424" s="246"/>
      <c r="V424" s="246"/>
      <c r="W424" s="246"/>
      <c r="X424" s="246"/>
      <c r="Y424" s="245"/>
    </row>
    <row r="425" spans="1:25" ht="12.75" customHeight="1" x14ac:dyDescent="0.4">
      <c r="A425" s="14" t="s">
        <v>4</v>
      </c>
      <c r="B425" s="244"/>
      <c r="C425" s="244"/>
      <c r="D425" s="244"/>
      <c r="E425" s="244"/>
      <c r="F425" s="244"/>
      <c r="G425" s="244"/>
      <c r="H425" s="243"/>
      <c r="I425" s="243"/>
      <c r="J425" s="243"/>
      <c r="K425" s="243"/>
      <c r="L425" s="243"/>
      <c r="M425" s="243"/>
      <c r="N425" s="243"/>
      <c r="O425" s="243"/>
      <c r="P425" s="243"/>
      <c r="Q425" s="243"/>
      <c r="R425" s="243"/>
      <c r="S425" s="243"/>
      <c r="T425" s="243"/>
      <c r="U425" s="243"/>
      <c r="V425" s="243"/>
      <c r="W425" s="243"/>
      <c r="X425" s="243"/>
      <c r="Y425" s="240"/>
    </row>
    <row r="426" spans="1:25" x14ac:dyDescent="0.4">
      <c r="A426" s="19" t="s">
        <v>3</v>
      </c>
      <c r="Y426" s="13"/>
    </row>
    <row r="427" spans="1:25" ht="16.5" customHeight="1" x14ac:dyDescent="0.4">
      <c r="A427" s="242" t="s">
        <v>2</v>
      </c>
      <c r="B427" s="244"/>
      <c r="C427" s="244"/>
      <c r="D427" s="244"/>
      <c r="E427" s="244"/>
      <c r="F427" s="244"/>
      <c r="G427" s="244"/>
      <c r="H427" s="243"/>
      <c r="I427" s="243"/>
      <c r="J427" s="243"/>
      <c r="K427" s="243"/>
      <c r="L427" s="243"/>
      <c r="M427" s="243"/>
      <c r="N427" s="243"/>
      <c r="O427" s="243"/>
      <c r="P427" s="243"/>
      <c r="Q427" s="243"/>
      <c r="R427" s="243"/>
      <c r="S427" s="243"/>
      <c r="T427" s="243"/>
      <c r="U427" s="243"/>
      <c r="V427" s="243"/>
      <c r="W427" s="243"/>
      <c r="X427" s="243"/>
      <c r="Y427" s="240"/>
    </row>
    <row r="428" spans="1:25" x14ac:dyDescent="0.4">
      <c r="A428" s="242" t="s">
        <v>249</v>
      </c>
      <c r="Y428" s="13"/>
    </row>
    <row r="429" spans="1:25" x14ac:dyDescent="0.4">
      <c r="A429" s="241" t="s">
        <v>248</v>
      </c>
      <c r="Y429" s="240"/>
    </row>
    <row r="430" spans="1:25" x14ac:dyDescent="0.4">
      <c r="A430" s="14" t="s">
        <v>247</v>
      </c>
      <c r="Y430" s="13"/>
    </row>
    <row r="431" spans="1:25" ht="16.5" customHeight="1" x14ac:dyDescent="0.4">
      <c r="A431" s="12" t="s">
        <v>0</v>
      </c>
      <c r="B431" s="11"/>
      <c r="C431" s="11"/>
      <c r="D431" s="11"/>
      <c r="E431" s="10"/>
      <c r="F431" s="11"/>
      <c r="G431" s="11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8"/>
    </row>
    <row r="432" spans="1:25" x14ac:dyDescent="0.4">
      <c r="A432" s="104"/>
      <c r="B432" s="104"/>
      <c r="C432" s="104"/>
      <c r="D432" s="237"/>
      <c r="E432" s="236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</row>
    <row r="433" spans="1:25" x14ac:dyDescent="0.4">
      <c r="A433" s="104"/>
      <c r="B433" s="104"/>
      <c r="C433" s="104"/>
      <c r="D433" s="237"/>
      <c r="E433" s="236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</row>
    <row r="434" spans="1:25" x14ac:dyDescent="0.4">
      <c r="A434" s="104"/>
      <c r="B434" s="104"/>
      <c r="C434" s="104"/>
      <c r="D434" s="237"/>
      <c r="E434" s="236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</row>
    <row r="435" spans="1:25" x14ac:dyDescent="0.4">
      <c r="A435" s="104"/>
      <c r="B435" s="104"/>
      <c r="C435" s="104"/>
      <c r="D435" s="237"/>
      <c r="E435" s="236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</row>
    <row r="436" spans="1:25" x14ac:dyDescent="0.4">
      <c r="A436" s="104"/>
      <c r="B436" s="104"/>
      <c r="C436" s="104"/>
      <c r="D436" s="237"/>
      <c r="E436" s="236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</row>
    <row r="437" spans="1:25" x14ac:dyDescent="0.4">
      <c r="A437" s="104"/>
      <c r="B437" s="104"/>
      <c r="C437" s="104"/>
      <c r="D437" s="237"/>
      <c r="E437" s="236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</row>
    <row r="438" spans="1:25" x14ac:dyDescent="0.4">
      <c r="A438" s="104"/>
      <c r="B438" s="104"/>
      <c r="C438" s="104"/>
      <c r="D438" s="237"/>
      <c r="E438" s="236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</row>
    <row r="439" spans="1:25" x14ac:dyDescent="0.4">
      <c r="A439" s="104"/>
      <c r="B439" s="104"/>
      <c r="C439" s="104"/>
      <c r="D439" s="237"/>
      <c r="E439" s="236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</row>
    <row r="440" spans="1:25" x14ac:dyDescent="0.4">
      <c r="A440" s="104"/>
      <c r="B440" s="104"/>
      <c r="C440" s="104"/>
      <c r="D440" s="237"/>
      <c r="E440" s="236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</row>
    <row r="441" spans="1:25" x14ac:dyDescent="0.4">
      <c r="A441" s="104"/>
      <c r="B441" s="104"/>
      <c r="C441" s="104"/>
      <c r="D441" s="237"/>
      <c r="E441" s="236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</row>
    <row r="442" spans="1:25" x14ac:dyDescent="0.4">
      <c r="A442" s="104"/>
      <c r="B442" s="104"/>
      <c r="C442" s="104"/>
      <c r="D442" s="237"/>
      <c r="E442" s="236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</row>
    <row r="443" spans="1:25" x14ac:dyDescent="0.4">
      <c r="A443" s="104"/>
      <c r="B443" s="104"/>
      <c r="C443" s="104"/>
      <c r="D443" s="237"/>
      <c r="E443" s="236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</row>
    <row r="444" spans="1:25" x14ac:dyDescent="0.4">
      <c r="A444" s="104"/>
      <c r="B444" s="104"/>
      <c r="C444" s="104"/>
      <c r="D444" s="237"/>
      <c r="E444" s="236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</row>
    <row r="445" spans="1:25" x14ac:dyDescent="0.4">
      <c r="A445" s="104"/>
      <c r="B445" s="104"/>
      <c r="C445" s="104"/>
      <c r="D445" s="237"/>
      <c r="E445" s="236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</row>
  </sheetData>
  <mergeCells count="11">
    <mergeCell ref="A1:G2"/>
    <mergeCell ref="A3:G4"/>
    <mergeCell ref="A11:E11"/>
    <mergeCell ref="A115:E115"/>
    <mergeCell ref="F115:J115"/>
    <mergeCell ref="A403:E403"/>
    <mergeCell ref="A148:G149"/>
    <mergeCell ref="A156:E156"/>
    <mergeCell ref="A260:E260"/>
    <mergeCell ref="A291:G292"/>
    <mergeCell ref="A299:E299"/>
  </mergeCells>
  <conditionalFormatting sqref="T136:Y136 Z142:XFD142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Y7" location="Índice!A1" display="Índice" xr:uid="{E9158537-504E-4AFC-94AC-A99CAC021837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4AFF-0AEA-4741-8474-6EA9E90355E4}">
  <dimension ref="A1:U122"/>
  <sheetViews>
    <sheetView tabSelected="1" zoomScale="93" zoomScaleNormal="93" workbookViewId="0">
      <selection activeCell="U119" sqref="U119"/>
    </sheetView>
  </sheetViews>
  <sheetFormatPr baseColWidth="10" defaultRowHeight="14.5" x14ac:dyDescent="0.35"/>
  <cols>
    <col min="1" max="1" width="70.1796875" customWidth="1"/>
    <col min="2" max="10" width="14.7265625" bestFit="1" customWidth="1"/>
    <col min="11" max="11" width="17" bestFit="1" customWidth="1"/>
    <col min="12" max="13" width="13.08984375" bestFit="1" customWidth="1"/>
    <col min="14" max="15" width="17" bestFit="1" customWidth="1"/>
    <col min="16" max="16" width="16.26953125" bestFit="1" customWidth="1"/>
    <col min="17" max="17" width="15.26953125" bestFit="1" customWidth="1"/>
    <col min="18" max="18" width="18.08984375" bestFit="1" customWidth="1"/>
    <col min="19" max="19" width="16.26953125" bestFit="1" customWidth="1"/>
    <col min="20" max="21" width="15.26953125" bestFit="1" customWidth="1"/>
  </cols>
  <sheetData>
    <row r="1" spans="1:21" ht="16.5" x14ac:dyDescent="0.35">
      <c r="B1" s="184">
        <v>2005</v>
      </c>
      <c r="C1" s="184">
        <v>2006</v>
      </c>
      <c r="D1" s="184">
        <v>2007</v>
      </c>
      <c r="E1" s="184">
        <v>2008</v>
      </c>
      <c r="F1" s="184">
        <v>2009</v>
      </c>
      <c r="G1" s="184">
        <v>2010</v>
      </c>
      <c r="H1" s="184">
        <v>2011</v>
      </c>
      <c r="I1" s="184">
        <v>2012</v>
      </c>
      <c r="J1" s="184">
        <v>2013</v>
      </c>
      <c r="K1" s="184">
        <v>2014</v>
      </c>
      <c r="L1" s="184">
        <v>2015</v>
      </c>
      <c r="M1" s="184">
        <v>2016</v>
      </c>
      <c r="N1" s="184">
        <v>2017</v>
      </c>
      <c r="O1" s="184">
        <v>2018</v>
      </c>
      <c r="P1" s="184">
        <v>2019</v>
      </c>
      <c r="Q1" s="184">
        <v>2020</v>
      </c>
      <c r="R1" s="184">
        <v>2021</v>
      </c>
      <c r="S1" s="184">
        <v>2022</v>
      </c>
      <c r="T1" s="184" t="s">
        <v>230</v>
      </c>
      <c r="U1" s="183" t="s">
        <v>229</v>
      </c>
    </row>
    <row r="2" spans="1:21" x14ac:dyDescent="0.35">
      <c r="A2" s="176" t="s">
        <v>226</v>
      </c>
      <c r="B2" s="403">
        <f>+'Cuadro 1'!F14/'Cuadro 2'!F13*100</f>
        <v>67.105436703685143</v>
      </c>
      <c r="C2" s="403">
        <f>+'Cuadro 1'!G14/'Cuadro 2'!G13*100</f>
        <v>70.834517137174885</v>
      </c>
      <c r="D2" s="403">
        <f>+'Cuadro 1'!H14/'Cuadro 2'!H13*100</f>
        <v>73.846268545440978</v>
      </c>
      <c r="E2" s="403">
        <f>+'Cuadro 1'!I14/'Cuadro 2'!I13*100</f>
        <v>79.84216459977452</v>
      </c>
      <c r="F2" s="403">
        <f>+'Cuadro 1'!J14/'Cuadro 2'!J13*100</f>
        <v>84.259956807794694</v>
      </c>
      <c r="G2" s="403">
        <f>+'Cuadro 1'!K14/'Cuadro 2'!K13*100</f>
        <v>86.150264126380094</v>
      </c>
      <c r="H2" s="403">
        <f>+'Cuadro 1'!L14/'Cuadro 2'!L13*100</f>
        <v>92.637449024713803</v>
      </c>
      <c r="I2" s="403">
        <f>+'Cuadro 1'!M14/'Cuadro 2'!M13*100</f>
        <v>89.176752546434983</v>
      </c>
      <c r="J2" s="403">
        <f>+'Cuadro 1'!N14/'Cuadro 2'!N13*100</f>
        <v>85.890487342477968</v>
      </c>
      <c r="K2" s="403">
        <f>+'Cuadro 1'!O14/'Cuadro 2'!O13*100</f>
        <v>90.062852188990021</v>
      </c>
      <c r="L2" s="403">
        <f>+'Cuadro 1'!P14/'Cuadro 2'!P13*100</f>
        <v>100</v>
      </c>
      <c r="M2" s="403">
        <f>+'Cuadro 1'!Q14/'Cuadro 2'!Q13*100</f>
        <v>115.42040007281406</v>
      </c>
      <c r="N2" s="403">
        <f>+'Cuadro 1'!R14/'Cuadro 2'!R13*100</f>
        <v>112.67673090923024</v>
      </c>
      <c r="O2" s="403">
        <f>+'Cuadro 1'!S14/'Cuadro 2'!S13*100</f>
        <v>115.9664340939091</v>
      </c>
      <c r="P2" s="403">
        <f>+'Cuadro 1'!T14/'Cuadro 2'!T13*100</f>
        <v>124.75996401755063</v>
      </c>
      <c r="Q2" s="403">
        <f>+'Cuadro 1'!U14/'Cuadro 2'!U13*100</f>
        <v>134.98622589531681</v>
      </c>
      <c r="R2" s="403">
        <f>+'Cuadro 1'!V14/'Cuadro 2'!V13*100</f>
        <v>159.89856472536573</v>
      </c>
      <c r="S2" s="403">
        <f>+'Cuadro 1'!W14/'Cuadro 2'!W13*100</f>
        <v>226.17422791685527</v>
      </c>
      <c r="T2" s="403">
        <f>+'Cuadro 1'!X14/'Cuadro 2'!X13*100</f>
        <v>238.96003835222407</v>
      </c>
      <c r="U2" s="403">
        <f>+'Cuadro 1'!Y14/'Cuadro 2'!Y13*100</f>
        <v>251.1940854943679</v>
      </c>
    </row>
    <row r="3" spans="1:21" x14ac:dyDescent="0.35">
      <c r="A3" s="398" t="s">
        <v>226</v>
      </c>
      <c r="B3" s="403">
        <f>+'Cuadro 1'!F15/'Cuadro 2'!F14*100</f>
        <v>67.105436703685143</v>
      </c>
      <c r="C3" s="403">
        <f>+'Cuadro 1'!G15/'Cuadro 2'!G14*100</f>
        <v>70.834517137174885</v>
      </c>
      <c r="D3" s="403">
        <f>+'Cuadro 1'!H15/'Cuadro 2'!H14*100</f>
        <v>73.846268545440978</v>
      </c>
      <c r="E3" s="403">
        <f>+'Cuadro 1'!I15/'Cuadro 2'!I14*100</f>
        <v>79.84216459977452</v>
      </c>
      <c r="F3" s="403">
        <f>+'Cuadro 1'!J15/'Cuadro 2'!J14*100</f>
        <v>84.259956807794694</v>
      </c>
      <c r="G3" s="403">
        <f>+'Cuadro 1'!K15/'Cuadro 2'!K14*100</f>
        <v>86.150264126380094</v>
      </c>
      <c r="H3" s="403">
        <f>+'Cuadro 1'!L15/'Cuadro 2'!L14*100</f>
        <v>92.637449024713803</v>
      </c>
      <c r="I3" s="403">
        <f>+'Cuadro 1'!M15/'Cuadro 2'!M14*100</f>
        <v>89.176752546434983</v>
      </c>
      <c r="J3" s="403">
        <f>+'Cuadro 1'!N15/'Cuadro 2'!N14*100</f>
        <v>85.890487342477968</v>
      </c>
      <c r="K3" s="403">
        <f>+'Cuadro 1'!O15/'Cuadro 2'!O14*100</f>
        <v>90.062852188990021</v>
      </c>
      <c r="L3" s="403">
        <f>+'Cuadro 1'!P15/'Cuadro 2'!P14*100</f>
        <v>100</v>
      </c>
      <c r="M3" s="403">
        <f>+'Cuadro 1'!Q15/'Cuadro 2'!Q14*100</f>
        <v>115.42040007281406</v>
      </c>
      <c r="N3" s="403">
        <f>+'Cuadro 1'!R15/'Cuadro 2'!R14*100</f>
        <v>112.67673090923024</v>
      </c>
      <c r="O3" s="403">
        <f>+'Cuadro 1'!S15/'Cuadro 2'!S14*100</f>
        <v>115.9664340939091</v>
      </c>
      <c r="P3" s="403">
        <f>+'Cuadro 1'!T15/'Cuadro 2'!T14*100</f>
        <v>124.75996401755063</v>
      </c>
      <c r="Q3" s="403">
        <f>+'Cuadro 1'!U15/'Cuadro 2'!U14*100</f>
        <v>134.98622589531681</v>
      </c>
      <c r="R3" s="403">
        <f>+'Cuadro 1'!V15/'Cuadro 2'!V14*100</f>
        <v>159.89856472536573</v>
      </c>
      <c r="S3" s="403">
        <f>+'Cuadro 1'!W15/'Cuadro 2'!W14*100</f>
        <v>226.17422791685527</v>
      </c>
      <c r="T3" s="403">
        <f>+'Cuadro 1'!X15/'Cuadro 2'!X14*100</f>
        <v>238.96003835222407</v>
      </c>
      <c r="U3" s="403">
        <f>+'Cuadro 1'!Y15/'Cuadro 2'!Y14*100</f>
        <v>251.19407915132638</v>
      </c>
    </row>
    <row r="4" spans="1:21" x14ac:dyDescent="0.35">
      <c r="A4" s="399" t="s">
        <v>224</v>
      </c>
      <c r="B4" s="403">
        <f>+'Cuadro 1'!F16/'Cuadro 2'!F15*100</f>
        <v>60.941219556857718</v>
      </c>
      <c r="C4" s="403">
        <f>+'Cuadro 1'!G16/'Cuadro 2'!G15*100</f>
        <v>66.685075245064198</v>
      </c>
      <c r="D4" s="403">
        <f>+'Cuadro 1'!H16/'Cuadro 2'!H15*100</f>
        <v>69.266460450729113</v>
      </c>
      <c r="E4" s="403">
        <f>+'Cuadro 1'!I16/'Cuadro 2'!I15*100</f>
        <v>76.941133983387502</v>
      </c>
      <c r="F4" s="403">
        <f>+'Cuadro 1'!J16/'Cuadro 2'!J15*100</f>
        <v>80.320901994796174</v>
      </c>
      <c r="G4" s="403">
        <f>+'Cuadro 1'!K16/'Cuadro 2'!K15*100</f>
        <v>81.585968595547385</v>
      </c>
      <c r="H4" s="403">
        <f>+'Cuadro 1'!L16/'Cuadro 2'!L15*100</f>
        <v>88.408142406950006</v>
      </c>
      <c r="I4" s="403">
        <f>+'Cuadro 1'!M16/'Cuadro 2'!M15*100</f>
        <v>84.794186862639847</v>
      </c>
      <c r="J4" s="403">
        <f>+'Cuadro 1'!N16/'Cuadro 2'!N15*100</f>
        <v>80.549617133750544</v>
      </c>
      <c r="K4" s="403">
        <f>+'Cuadro 1'!O16/'Cuadro 2'!O15*100</f>
        <v>84.593334352545483</v>
      </c>
      <c r="L4" s="403">
        <f>+'Cuadro 1'!P16/'Cuadro 2'!P15*100</f>
        <v>100</v>
      </c>
      <c r="M4" s="403">
        <f>+'Cuadro 1'!Q16/'Cuadro 2'!Q15*100</f>
        <v>116.56374607431455</v>
      </c>
      <c r="N4" s="403">
        <f>+'Cuadro 1'!R16/'Cuadro 2'!R15*100</f>
        <v>110.99895465830394</v>
      </c>
      <c r="O4" s="403">
        <f>+'Cuadro 1'!S16/'Cuadro 2'!S15*100</f>
        <v>116.75556848672939</v>
      </c>
      <c r="P4" s="403">
        <f>+'Cuadro 1'!T16/'Cuadro 2'!T15*100</f>
        <v>129.96107708014293</v>
      </c>
      <c r="Q4" s="403">
        <f>+'Cuadro 1'!U16/'Cuadro 2'!U15*100</f>
        <v>140.03124511795031</v>
      </c>
      <c r="R4" s="403">
        <f>+'Cuadro 1'!V16/'Cuadro 2'!V15*100</f>
        <v>158.88819189294142</v>
      </c>
      <c r="S4" s="403">
        <f>+'Cuadro 1'!W16/'Cuadro 2'!W15*100</f>
        <v>238.41969907475834</v>
      </c>
      <c r="T4" s="403">
        <f>+'Cuadro 1'!X16/'Cuadro 2'!X15*100</f>
        <v>252.98036162297777</v>
      </c>
      <c r="U4" s="403">
        <f>+'Cuadro 1'!Y16/'Cuadro 2'!Y15*100</f>
        <v>265.08740284668033</v>
      </c>
    </row>
    <row r="5" spans="1:21" x14ac:dyDescent="0.35">
      <c r="A5" s="400" t="s">
        <v>222</v>
      </c>
      <c r="B5" s="403">
        <f>+'Cuadro 1'!F17/'Cuadro 2'!F16*100</f>
        <v>71.859557867360209</v>
      </c>
      <c r="C5" s="403">
        <f>+'Cuadro 1'!G17/'Cuadro 2'!G16*100</f>
        <v>73.176017336864916</v>
      </c>
      <c r="D5" s="403">
        <f>+'Cuadro 1'!H17/'Cuadro 2'!H16*100</f>
        <v>73.685424354243551</v>
      </c>
      <c r="E5" s="403">
        <f>+'Cuadro 1'!I17/'Cuadro 2'!I16*100</f>
        <v>79.053373615307152</v>
      </c>
      <c r="F5" s="403">
        <f>+'Cuadro 1'!J17/'Cuadro 2'!J16*100</f>
        <v>97.390737116764512</v>
      </c>
      <c r="G5" s="403">
        <f>+'Cuadro 1'!K17/'Cuadro 2'!K16*100</f>
        <v>111.5666178623719</v>
      </c>
      <c r="H5" s="403">
        <f>+'Cuadro 1'!L17/'Cuadro 2'!L16*100</f>
        <v>142.08679004467135</v>
      </c>
      <c r="I5" s="403">
        <f>+'Cuadro 1'!M17/'Cuadro 2'!M16*100</f>
        <v>106.13176777560341</v>
      </c>
      <c r="J5" s="403">
        <f>+'Cuadro 1'!N17/'Cuadro 2'!N16*100</f>
        <v>97.600191984641228</v>
      </c>
      <c r="K5" s="403">
        <f>+'Cuadro 1'!O17/'Cuadro 2'!O16*100</f>
        <v>96.860706860706856</v>
      </c>
      <c r="L5" s="403">
        <f>+'Cuadro 1'!P17/'Cuadro 2'!P16*100</f>
        <v>100</v>
      </c>
      <c r="M5" s="403">
        <f>+'Cuadro 1'!Q17/'Cuadro 2'!Q16*100</f>
        <v>114.75678629987247</v>
      </c>
      <c r="N5" s="403">
        <f>+'Cuadro 1'!R17/'Cuadro 2'!R16*100</f>
        <v>118.50091407678245</v>
      </c>
      <c r="O5" s="403">
        <f>+'Cuadro 1'!S17/'Cuadro 2'!S16*100</f>
        <v>114.46319302799925</v>
      </c>
      <c r="P5" s="403">
        <f>+'Cuadro 1'!T17/'Cuadro 2'!T16*100</f>
        <v>122.2203644875439</v>
      </c>
      <c r="Q5" s="403">
        <f>+'Cuadro 1'!U17/'Cuadro 2'!U16*100</f>
        <v>152.14942744509105</v>
      </c>
      <c r="R5" s="403">
        <f>+'Cuadro 1'!V17/'Cuadro 2'!V16*100</f>
        <v>219.31906614785993</v>
      </c>
      <c r="S5" s="403">
        <f>+'Cuadro 1'!W17/'Cuadro 2'!W16*100</f>
        <v>340.40642722117201</v>
      </c>
      <c r="T5" s="403">
        <f>+'Cuadro 1'!X17/'Cuadro 2'!X16*100</f>
        <v>292.18714512832162</v>
      </c>
      <c r="U5" s="403">
        <f>+'Cuadro 1'!Y17/'Cuadro 2'!Y16*100</f>
        <v>360.01170025071974</v>
      </c>
    </row>
    <row r="6" spans="1:21" x14ac:dyDescent="0.35">
      <c r="A6" s="399" t="s">
        <v>220</v>
      </c>
      <c r="B6" s="403">
        <f>+'Cuadro 1'!F18/'Cuadro 2'!F17*100</f>
        <v>79.567819823475702</v>
      </c>
      <c r="C6" s="403">
        <f>+'Cuadro 1'!G18/'Cuadro 2'!G17*100</f>
        <v>80.060364132022201</v>
      </c>
      <c r="D6" s="403">
        <f>+'Cuadro 1'!H18/'Cuadro 2'!H17*100</f>
        <v>85.046553183485372</v>
      </c>
      <c r="E6" s="403">
        <f>+'Cuadro 1'!I18/'Cuadro 2'!I17*100</f>
        <v>88.96039155261488</v>
      </c>
      <c r="F6" s="403">
        <f>+'Cuadro 1'!J18/'Cuadro 2'!J17*100</f>
        <v>91.333212077118958</v>
      </c>
      <c r="G6" s="403">
        <f>+'Cuadro 1'!K18/'Cuadro 2'!K17*100</f>
        <v>91.093377361951937</v>
      </c>
      <c r="H6" s="403">
        <f>+'Cuadro 1'!L18/'Cuadro 2'!L17*100</f>
        <v>91.575608036658437</v>
      </c>
      <c r="I6" s="403">
        <f>+'Cuadro 1'!M18/'Cuadro 2'!M17*100</f>
        <v>95.185375901132858</v>
      </c>
      <c r="J6" s="403">
        <f>+'Cuadro 1'!N18/'Cuadro 2'!N17*100</f>
        <v>94.199497066219621</v>
      </c>
      <c r="K6" s="403">
        <f>+'Cuadro 1'!O18/'Cuadro 2'!O17*100</f>
        <v>99.590266744711101</v>
      </c>
      <c r="L6" s="403">
        <f>+'Cuadro 1'!P18/'Cuadro 2'!P17*100</f>
        <v>100</v>
      </c>
      <c r="M6" s="403">
        <f>+'Cuadro 1'!Q18/'Cuadro 2'!Q17*100</f>
        <v>113.52874859075534</v>
      </c>
      <c r="N6" s="403">
        <f>+'Cuadro 1'!R18/'Cuadro 2'!R17*100</f>
        <v>112.99012040753318</v>
      </c>
      <c r="O6" s="403">
        <f>+'Cuadro 1'!S18/'Cuadro 2'!S17*100</f>
        <v>113.61194029850745</v>
      </c>
      <c r="P6" s="403">
        <f>+'Cuadro 1'!T18/'Cuadro 2'!T17*100</f>
        <v>114.61140651176342</v>
      </c>
      <c r="Q6" s="403">
        <f>+'Cuadro 1'!U18/'Cuadro 2'!U17*100</f>
        <v>119.08268462023986</v>
      </c>
      <c r="R6" s="403">
        <f>+'Cuadro 1'!V18/'Cuadro 2'!V17*100</f>
        <v>144.064901793339</v>
      </c>
      <c r="S6" s="403">
        <f>+'Cuadro 1'!W18/'Cuadro 2'!W17*100</f>
        <v>177.87581699346404</v>
      </c>
      <c r="T6" s="403">
        <f>+'Cuadro 1'!X18/'Cuadro 2'!X17*100</f>
        <v>201.23440403504117</v>
      </c>
      <c r="U6" s="403">
        <f>+'Cuadro 1'!Y18/'Cuadro 2'!Y17*100</f>
        <v>193.90278985161328</v>
      </c>
    </row>
    <row r="7" spans="1:21" x14ac:dyDescent="0.35">
      <c r="A7" s="400" t="s">
        <v>218</v>
      </c>
      <c r="B7" s="403">
        <f>+'Cuadro 1'!F19/'Cuadro 2'!F18*100</f>
        <v>64.114114114114116</v>
      </c>
      <c r="C7" s="403">
        <f>+'Cuadro 1'!G19/'Cuadro 2'!G18*100</f>
        <v>67.727609178386388</v>
      </c>
      <c r="D7" s="403">
        <f>+'Cuadro 1'!H19/'Cuadro 2'!H18*100</f>
        <v>72.035139092240115</v>
      </c>
      <c r="E7" s="403">
        <f>+'Cuadro 1'!I19/'Cuadro 2'!I18*100</f>
        <v>73.957571324067302</v>
      </c>
      <c r="F7" s="403">
        <f>+'Cuadro 1'!J19/'Cuadro 2'!J18*100</f>
        <v>79.555236728837869</v>
      </c>
      <c r="G7" s="403">
        <f>+'Cuadro 1'!K19/'Cuadro 2'!K18*100</f>
        <v>79.1988756148981</v>
      </c>
      <c r="H7" s="403">
        <f>+'Cuadro 1'!L19/'Cuadro 2'!L18*100</f>
        <v>80.120481927710841</v>
      </c>
      <c r="I7" s="403">
        <f>+'Cuadro 1'!M19/'Cuadro 2'!M18*100</f>
        <v>84.871311989956055</v>
      </c>
      <c r="J7" s="403">
        <f>+'Cuadro 1'!N19/'Cuadro 2'!N18*100</f>
        <v>90.375302663438262</v>
      </c>
      <c r="K7" s="403">
        <f>+'Cuadro 1'!O19/'Cuadro 2'!O18*100</f>
        <v>91.92723138146674</v>
      </c>
      <c r="L7" s="403">
        <f>+'Cuadro 1'!P19/'Cuadro 2'!P18*100</f>
        <v>100</v>
      </c>
      <c r="M7" s="403">
        <f>+'Cuadro 1'!Q19/'Cuadro 2'!Q18*100</f>
        <v>106.85900925421883</v>
      </c>
      <c r="N7" s="403">
        <f>+'Cuadro 1'!R19/'Cuadro 2'!R18*100</f>
        <v>110.29094827586208</v>
      </c>
      <c r="O7" s="403">
        <f>+'Cuadro 1'!S19/'Cuadro 2'!S18*100</f>
        <v>110.54874800213106</v>
      </c>
      <c r="P7" s="403">
        <f>+'Cuadro 1'!T19/'Cuadro 2'!T18*100</f>
        <v>112.12429954151808</v>
      </c>
      <c r="Q7" s="403">
        <f>+'Cuadro 1'!U19/'Cuadro 2'!U18*100</f>
        <v>114.933464760966</v>
      </c>
      <c r="R7" s="403">
        <f>+'Cuadro 1'!V19/'Cuadro 2'!V18*100</f>
        <v>141.71808258186996</v>
      </c>
      <c r="S7" s="403">
        <f>+'Cuadro 1'!W19/'Cuadro 2'!W18*100</f>
        <v>153.4764349043397</v>
      </c>
      <c r="T7" s="403">
        <f>+'Cuadro 1'!X19/'Cuadro 2'!X18*100</f>
        <v>182.10427430718647</v>
      </c>
      <c r="U7" s="403">
        <f>+'Cuadro 1'!Y19/'Cuadro 2'!Y18*100</f>
        <v>186.72386110378875</v>
      </c>
    </row>
    <row r="8" spans="1:21" x14ac:dyDescent="0.35">
      <c r="A8" s="399" t="s">
        <v>216</v>
      </c>
      <c r="B8" s="403">
        <f>+'Cuadro 1'!F20/'Cuadro 2'!F19*100</f>
        <v>53.274760383386578</v>
      </c>
      <c r="C8" s="403">
        <f>+'Cuadro 1'!G20/'Cuadro 2'!G19*100</f>
        <v>56.315007429420504</v>
      </c>
      <c r="D8" s="403">
        <f>+'Cuadro 1'!H20/'Cuadro 2'!H19*100</f>
        <v>57.524613220815759</v>
      </c>
      <c r="E8" s="403">
        <f>+'Cuadro 1'!I20/'Cuadro 2'!I19*100</f>
        <v>59.037800687285227</v>
      </c>
      <c r="F8" s="403">
        <f>+'Cuadro 1'!J20/'Cuadro 2'!J19*100</f>
        <v>64.782608695652172</v>
      </c>
      <c r="G8" s="403">
        <f>+'Cuadro 1'!K20/'Cuadro 2'!K19*100</f>
        <v>65.73116691285081</v>
      </c>
      <c r="H8" s="403">
        <f>+'Cuadro 1'!L20/'Cuadro 2'!L19*100</f>
        <v>66.740250183958793</v>
      </c>
      <c r="I8" s="403">
        <f>+'Cuadro 1'!M20/'Cuadro 2'!M19*100</f>
        <v>69.32384341637011</v>
      </c>
      <c r="J8" s="403">
        <f>+'Cuadro 1'!N20/'Cuadro 2'!N19*100</f>
        <v>69.382022471910105</v>
      </c>
      <c r="K8" s="403">
        <f>+'Cuadro 1'!O20/'Cuadro 2'!O19*100</f>
        <v>85.359116022099442</v>
      </c>
      <c r="L8" s="403">
        <f>+'Cuadro 1'!P20/'Cuadro 2'!P19*100</f>
        <v>100</v>
      </c>
      <c r="M8" s="403">
        <f>+'Cuadro 1'!Q20/'Cuadro 2'!Q19*100</f>
        <v>123.12223858615612</v>
      </c>
      <c r="N8" s="403">
        <f>+'Cuadro 1'!R20/'Cuadro 2'!R19*100</f>
        <v>128.8030888030888</v>
      </c>
      <c r="O8" s="403">
        <f>+'Cuadro 1'!S20/'Cuadro 2'!S19*100</f>
        <v>135.3900709219858</v>
      </c>
      <c r="P8" s="403">
        <f>+'Cuadro 1'!T20/'Cuadro 2'!T19*100</f>
        <v>136.7219917012448</v>
      </c>
      <c r="Q8" s="403">
        <f>+'Cuadro 1'!U20/'Cuadro 2'!U19*100</f>
        <v>145.68690095846645</v>
      </c>
      <c r="R8" s="403">
        <f>+'Cuadro 1'!V20/'Cuadro 2'!V19*100</f>
        <v>160.70908207867899</v>
      </c>
      <c r="S8" s="403">
        <f>+'Cuadro 1'!W20/'Cuadro 2'!W19*100</f>
        <v>187.26881720430109</v>
      </c>
      <c r="T8" s="403">
        <f>+'Cuadro 1'!X20/'Cuadro 2'!X19*100</f>
        <v>204.93350493350496</v>
      </c>
      <c r="U8" s="403">
        <f>+'Cuadro 1'!Y20/'Cuadro 2'!Y19*100</f>
        <v>231.99152729749088</v>
      </c>
    </row>
    <row r="9" spans="1:21" x14ac:dyDescent="0.35">
      <c r="A9" s="158" t="s">
        <v>214</v>
      </c>
      <c r="B9" s="403">
        <f>+'Cuadro 1'!F21/'Cuadro 2'!F20*100</f>
        <v>80.462996718920891</v>
      </c>
      <c r="C9" s="403">
        <f>+'Cuadro 1'!G21/'Cuadro 2'!G20*100</f>
        <v>93.114508713781674</v>
      </c>
      <c r="D9" s="403">
        <f>+'Cuadro 1'!H21/'Cuadro 2'!H20*100</f>
        <v>92.997819511852015</v>
      </c>
      <c r="E9" s="403">
        <f>+'Cuadro 1'!I21/'Cuadro 2'!I20*100</f>
        <v>124.3529146972766</v>
      </c>
      <c r="F9" s="403">
        <f>+'Cuadro 1'!J21/'Cuadro 2'!J20*100</f>
        <v>107.42952768400704</v>
      </c>
      <c r="G9" s="403">
        <f>+'Cuadro 1'!K21/'Cuadro 2'!K20*100</f>
        <v>122.58307960548574</v>
      </c>
      <c r="H9" s="403">
        <f>+'Cuadro 1'!L21/'Cuadro 2'!L20*100</f>
        <v>160.4311638695593</v>
      </c>
      <c r="I9" s="403">
        <f>+'Cuadro 1'!M21/'Cuadro 2'!M20*100</f>
        <v>160.9086004100572</v>
      </c>
      <c r="J9" s="403">
        <f>+'Cuadro 1'!N21/'Cuadro 2'!N20*100</f>
        <v>150.30536541378038</v>
      </c>
      <c r="K9" s="403">
        <f>+'Cuadro 1'!O21/'Cuadro 2'!O20*100</f>
        <v>133.52584344357655</v>
      </c>
      <c r="L9" s="403">
        <f>+'Cuadro 1'!P21/'Cuadro 2'!P20*100</f>
        <v>100</v>
      </c>
      <c r="M9" s="403">
        <f>+'Cuadro 1'!Q21/'Cuadro 2'!Q20*100</f>
        <v>88.640736817071328</v>
      </c>
      <c r="N9" s="403">
        <f>+'Cuadro 1'!R21/'Cuadro 2'!R20*100</f>
        <v>109.05211965498256</v>
      </c>
      <c r="O9" s="403">
        <f>+'Cuadro 1'!S21/'Cuadro 2'!S20*100</f>
        <v>134.80451618923206</v>
      </c>
      <c r="P9" s="403">
        <f>+'Cuadro 1'!T21/'Cuadro 2'!T20*100</f>
        <v>133.46989220241227</v>
      </c>
      <c r="Q9" s="403">
        <f>+'Cuadro 1'!U21/'Cuadro 2'!U20*100</f>
        <v>109.80408031088082</v>
      </c>
      <c r="R9" s="403">
        <f>+'Cuadro 1'!V21/'Cuadro 2'!V20*100</f>
        <v>173.70200108166577</v>
      </c>
      <c r="S9" s="403">
        <f>+'Cuadro 1'!W21/'Cuadro 2'!W20*100</f>
        <v>286.61442507596354</v>
      </c>
      <c r="T9" s="403">
        <f>+'Cuadro 1'!X21/'Cuadro 2'!X20*100</f>
        <v>232.46311305070657</v>
      </c>
      <c r="U9" s="403">
        <f>+'Cuadro 1'!Y21/'Cuadro 2'!Y20*100</f>
        <v>207.59472028450281</v>
      </c>
    </row>
    <row r="10" spans="1:21" x14ac:dyDescent="0.35">
      <c r="A10" s="401" t="s">
        <v>214</v>
      </c>
      <c r="B10" s="403">
        <f>+'Cuadro 1'!F22/'Cuadro 2'!F21*100</f>
        <v>80.462996718920891</v>
      </c>
      <c r="C10" s="403">
        <f>+'Cuadro 1'!G22/'Cuadro 2'!G21*100</f>
        <v>93.114508713781674</v>
      </c>
      <c r="D10" s="403">
        <f>+'Cuadro 1'!H22/'Cuadro 2'!H21*100</f>
        <v>92.997819511852015</v>
      </c>
      <c r="E10" s="403">
        <f>+'Cuadro 1'!I22/'Cuadro 2'!I21*100</f>
        <v>124.3529146972766</v>
      </c>
      <c r="F10" s="403">
        <f>+'Cuadro 1'!J22/'Cuadro 2'!J21*100</f>
        <v>107.42952768400704</v>
      </c>
      <c r="G10" s="403">
        <f>+'Cuadro 1'!K22/'Cuadro 2'!K21*100</f>
        <v>122.58307960548574</v>
      </c>
      <c r="H10" s="403">
        <f>+'Cuadro 1'!L22/'Cuadro 2'!L21*100</f>
        <v>160.4311638695593</v>
      </c>
      <c r="I10" s="403">
        <f>+'Cuadro 1'!M22/'Cuadro 2'!M21*100</f>
        <v>160.9086004100572</v>
      </c>
      <c r="J10" s="403">
        <f>+'Cuadro 1'!N22/'Cuadro 2'!N21*100</f>
        <v>150.30536541378038</v>
      </c>
      <c r="K10" s="403">
        <f>+'Cuadro 1'!O22/'Cuadro 2'!O21*100</f>
        <v>133.52584344357655</v>
      </c>
      <c r="L10" s="403">
        <f>+'Cuadro 1'!P22/'Cuadro 2'!P21*100</f>
        <v>100</v>
      </c>
      <c r="M10" s="403">
        <f>+'Cuadro 1'!Q22/'Cuadro 2'!Q21*100</f>
        <v>88.640736817071328</v>
      </c>
      <c r="N10" s="403">
        <f>+'Cuadro 1'!R22/'Cuadro 2'!R21*100</f>
        <v>109.05211965498256</v>
      </c>
      <c r="O10" s="403">
        <f>+'Cuadro 1'!S22/'Cuadro 2'!S21*100</f>
        <v>134.80451618923206</v>
      </c>
      <c r="P10" s="403">
        <f>+'Cuadro 1'!T22/'Cuadro 2'!T21*100</f>
        <v>133.46989220241227</v>
      </c>
      <c r="Q10" s="403">
        <f>+'Cuadro 1'!U22/'Cuadro 2'!U21*100</f>
        <v>109.80408031088082</v>
      </c>
      <c r="R10" s="403">
        <f>+'Cuadro 1'!V22/'Cuadro 2'!V21*100</f>
        <v>173.70200108166577</v>
      </c>
      <c r="S10" s="403">
        <f>+'Cuadro 1'!W22/'Cuadro 2'!W21*100</f>
        <v>286.61442507596354</v>
      </c>
      <c r="T10" s="403">
        <f>+'Cuadro 1'!X22/'Cuadro 2'!X21*100</f>
        <v>232.46311305070657</v>
      </c>
      <c r="U10" s="403">
        <f>+'Cuadro 1'!Y22/'Cuadro 2'!Y21*100</f>
        <v>207.59472028450281</v>
      </c>
    </row>
    <row r="11" spans="1:21" x14ac:dyDescent="0.35">
      <c r="A11" s="400" t="s">
        <v>212</v>
      </c>
      <c r="B11" s="403">
        <f>+'Cuadro 1'!F23/'Cuadro 2'!F22*100</f>
        <v>80.494595479855874</v>
      </c>
      <c r="C11" s="403">
        <f>+'Cuadro 1'!G23/'Cuadro 2'!G22*100</f>
        <v>84.243945658594214</v>
      </c>
      <c r="D11" s="403">
        <f>+'Cuadro 1'!H23/'Cuadro 2'!H22*100</f>
        <v>77.030386740331494</v>
      </c>
      <c r="E11" s="403">
        <f>+'Cuadro 1'!I23/'Cuadro 2'!I22*100</f>
        <v>112.30607415198529</v>
      </c>
      <c r="F11" s="403">
        <f>+'Cuadro 1'!J23/'Cuadro 2'!J22*100</f>
        <v>113.618368962787</v>
      </c>
      <c r="G11" s="403">
        <f>+'Cuadro 1'!K23/'Cuadro 2'!K22*100</f>
        <v>111.65652117601348</v>
      </c>
      <c r="H11" s="403">
        <f>+'Cuadro 1'!L23/'Cuadro 2'!L22*100</f>
        <v>127.0859207406571</v>
      </c>
      <c r="I11" s="403">
        <f>+'Cuadro 1'!M23/'Cuadro 2'!M22*100</f>
        <v>119.28470485922382</v>
      </c>
      <c r="J11" s="403">
        <f>+'Cuadro 1'!N23/'Cuadro 2'!N22*100</f>
        <v>105.36867142371729</v>
      </c>
      <c r="K11" s="403">
        <f>+'Cuadro 1'!O23/'Cuadro 2'!O22*100</f>
        <v>92.361797999780194</v>
      </c>
      <c r="L11" s="403">
        <f>+'Cuadro 1'!P23/'Cuadro 2'!P22*100</f>
        <v>100</v>
      </c>
      <c r="M11" s="403">
        <f>+'Cuadro 1'!Q23/'Cuadro 2'!Q22*100</f>
        <v>109.92921941979863</v>
      </c>
      <c r="N11" s="403">
        <f>+'Cuadro 1'!R23/'Cuadro 2'!R22*100</f>
        <v>136.39455782312925</v>
      </c>
      <c r="O11" s="403">
        <f>+'Cuadro 1'!S23/'Cuadro 2'!S22*100</f>
        <v>160.54832221869378</v>
      </c>
      <c r="P11" s="403">
        <f>+'Cuadro 1'!T23/'Cuadro 2'!T22*100</f>
        <v>131.05370350519885</v>
      </c>
      <c r="Q11" s="403">
        <f>+'Cuadro 1'!U23/'Cuadro 2'!U22*100</f>
        <v>123.38481979737585</v>
      </c>
      <c r="R11" s="403">
        <f>+'Cuadro 1'!V23/'Cuadro 2'!V22*100</f>
        <v>233.37442218798151</v>
      </c>
      <c r="S11" s="403">
        <f>+'Cuadro 1'!W23/'Cuadro 2'!W22*100</f>
        <v>566.60039761431415</v>
      </c>
      <c r="T11" s="403">
        <f>+'Cuadro 1'!X23/'Cuadro 2'!X22*100</f>
        <v>394.2724689696426</v>
      </c>
      <c r="U11" s="403">
        <f>+'Cuadro 1'!Y23/'Cuadro 2'!Y22*100</f>
        <v>275.26205558791344</v>
      </c>
    </row>
    <row r="12" spans="1:21" x14ac:dyDescent="0.35">
      <c r="A12" s="399" t="s">
        <v>210</v>
      </c>
      <c r="B12" s="403">
        <f>+'Cuadro 1'!F24/'Cuadro 2'!F23*100</f>
        <v>85.503715434279442</v>
      </c>
      <c r="C12" s="403">
        <f>+'Cuadro 1'!G24/'Cuadro 2'!G23*100</f>
        <v>97.831281014519391</v>
      </c>
      <c r="D12" s="403">
        <f>+'Cuadro 1'!H24/'Cuadro 2'!H23*100</f>
        <v>94.86161177980081</v>
      </c>
      <c r="E12" s="403">
        <f>+'Cuadro 1'!I24/'Cuadro 2'!I23*100</f>
        <v>137.21804511278194</v>
      </c>
      <c r="F12" s="403">
        <f>+'Cuadro 1'!J24/'Cuadro 2'!J23*100</f>
        <v>110.58098915241771</v>
      </c>
      <c r="G12" s="403">
        <f>+'Cuadro 1'!K24/'Cuadro 2'!K23*100</f>
        <v>130.18541117190884</v>
      </c>
      <c r="H12" s="403">
        <f>+'Cuadro 1'!L24/'Cuadro 2'!L23*100</f>
        <v>177.51077838307543</v>
      </c>
      <c r="I12" s="403">
        <f>+'Cuadro 1'!M24/'Cuadro 2'!M23*100</f>
        <v>182.00459946339592</v>
      </c>
      <c r="J12" s="403">
        <f>+'Cuadro 1'!N24/'Cuadro 2'!N23*100</f>
        <v>172.85600730120413</v>
      </c>
      <c r="K12" s="403">
        <f>+'Cuadro 1'!O24/'Cuadro 2'!O23*100</f>
        <v>152.39776671193601</v>
      </c>
      <c r="L12" s="403">
        <f>+'Cuadro 1'!P24/'Cuadro 2'!P23*100</f>
        <v>100</v>
      </c>
      <c r="M12" s="403">
        <f>+'Cuadro 1'!Q24/'Cuadro 2'!Q23*100</f>
        <v>75.03450597542502</v>
      </c>
      <c r="N12" s="403">
        <f>+'Cuadro 1'!R24/'Cuadro 2'!R23*100</f>
        <v>97.511565961026207</v>
      </c>
      <c r="O12" s="403">
        <f>+'Cuadro 1'!S24/'Cuadro 2'!S23*100</f>
        <v>127.09317155561683</v>
      </c>
      <c r="P12" s="403">
        <f>+'Cuadro 1'!T24/'Cuadro 2'!T23*100</f>
        <v>131.18420170321195</v>
      </c>
      <c r="Q12" s="403">
        <f>+'Cuadro 1'!U24/'Cuadro 2'!U23*100</f>
        <v>91.777048190497752</v>
      </c>
      <c r="R12" s="403">
        <f>+'Cuadro 1'!V24/'Cuadro 2'!V23*100</f>
        <v>155.10574749757831</v>
      </c>
      <c r="S12" s="403">
        <f>+'Cuadro 1'!W24/'Cuadro 2'!W23*100</f>
        <v>231.13741636644366</v>
      </c>
      <c r="T12" s="403">
        <f>+'Cuadro 1'!X24/'Cuadro 2'!X23*100</f>
        <v>191.2780390040854</v>
      </c>
      <c r="U12" s="403">
        <f>+'Cuadro 1'!Y24/'Cuadro 2'!Y23*100</f>
        <v>175.98633024280539</v>
      </c>
    </row>
    <row r="13" spans="1:21" x14ac:dyDescent="0.35">
      <c r="A13" s="400" t="s">
        <v>208</v>
      </c>
      <c r="B13" s="403">
        <f>+'Cuadro 1'!F25/'Cuadro 2'!F24*100</f>
        <v>51.55159971133029</v>
      </c>
      <c r="C13" s="403">
        <f>+'Cuadro 1'!G25/'Cuadro 2'!G24*100</f>
        <v>80.328673043904828</v>
      </c>
      <c r="D13" s="403">
        <f>+'Cuadro 1'!H25/'Cuadro 2'!H24*100</f>
        <v>104.30359937402191</v>
      </c>
      <c r="E13" s="403">
        <f>+'Cuadro 1'!I25/'Cuadro 2'!I24*100</f>
        <v>75.713486289871284</v>
      </c>
      <c r="F13" s="403">
        <f>+'Cuadro 1'!J25/'Cuadro 2'!J24*100</f>
        <v>71.729755630091034</v>
      </c>
      <c r="G13" s="403">
        <f>+'Cuadro 1'!K25/'Cuadro 2'!K24*100</f>
        <v>93.19533666428741</v>
      </c>
      <c r="H13" s="403">
        <f>+'Cuadro 1'!L25/'Cuadro 2'!L24*100</f>
        <v>119.15349584784356</v>
      </c>
      <c r="I13" s="403">
        <f>+'Cuadro 1'!M25/'Cuadro 2'!M24*100</f>
        <v>107.26534296028881</v>
      </c>
      <c r="J13" s="403">
        <f>+'Cuadro 1'!N25/'Cuadro 2'!N24*100</f>
        <v>85.474716202270386</v>
      </c>
      <c r="K13" s="403">
        <f>+'Cuadro 1'!O25/'Cuadro 2'!O24*100</f>
        <v>81.96335078534031</v>
      </c>
      <c r="L13" s="403">
        <f>+'Cuadro 1'!P25/'Cuadro 2'!P24*100</f>
        <v>100</v>
      </c>
      <c r="M13" s="403">
        <f>+'Cuadro 1'!Q25/'Cuadro 2'!Q24*100</f>
        <v>123.05610236220473</v>
      </c>
      <c r="N13" s="403">
        <f>+'Cuadro 1'!R25/'Cuadro 2'!R24*100</f>
        <v>116.4319248826291</v>
      </c>
      <c r="O13" s="403">
        <f>+'Cuadro 1'!S25/'Cuadro 2'!S24*100</f>
        <v>120.9013209013209</v>
      </c>
      <c r="P13" s="403">
        <f>+'Cuadro 1'!T25/'Cuadro 2'!T24*100</f>
        <v>153.61623616236162</v>
      </c>
      <c r="Q13" s="403">
        <f>+'Cuadro 1'!U25/'Cuadro 2'!U24*100</f>
        <v>215.03924646781792</v>
      </c>
      <c r="R13" s="403">
        <f>+'Cuadro 1'!V25/'Cuadro 2'!V24*100</f>
        <v>231.41555112503562</v>
      </c>
      <c r="S13" s="403">
        <f>+'Cuadro 1'!W25/'Cuadro 2'!W24*100</f>
        <v>258.9260612876019</v>
      </c>
      <c r="T13" s="403">
        <f>+'Cuadro 1'!X25/'Cuadro 2'!X24*100</f>
        <v>281.21293800539087</v>
      </c>
      <c r="U13" s="403">
        <f>+'Cuadro 1'!Y25/'Cuadro 2'!Y24*100</f>
        <v>328.76536081990804</v>
      </c>
    </row>
    <row r="14" spans="1:21" x14ac:dyDescent="0.35">
      <c r="A14" s="399" t="s">
        <v>206</v>
      </c>
      <c r="B14" s="403">
        <f>+'Cuadro 1'!F26/'Cuadro 2'!F25*100</f>
        <v>68.271507498026835</v>
      </c>
      <c r="C14" s="403">
        <f>+'Cuadro 1'!G26/'Cuadro 2'!G25*100</f>
        <v>75.197699496764912</v>
      </c>
      <c r="D14" s="403">
        <f>+'Cuadro 1'!H26/'Cuadro 2'!H25*100</f>
        <v>78.286461739699149</v>
      </c>
      <c r="E14" s="403">
        <f>+'Cuadro 1'!I26/'Cuadro 2'!I25*100</f>
        <v>82.995702885205645</v>
      </c>
      <c r="F14" s="403">
        <f>+'Cuadro 1'!J26/'Cuadro 2'!J25*100</f>
        <v>82.90094339622641</v>
      </c>
      <c r="G14" s="403">
        <f>+'Cuadro 1'!K26/'Cuadro 2'!K25*100</f>
        <v>88.270777479892757</v>
      </c>
      <c r="H14" s="403">
        <f>+'Cuadro 1'!L26/'Cuadro 2'!L25*100</f>
        <v>95.572422517394045</v>
      </c>
      <c r="I14" s="403">
        <f>+'Cuadro 1'!M26/'Cuadro 2'!M25*100</f>
        <v>100.24676125848242</v>
      </c>
      <c r="J14" s="403">
        <f>+'Cuadro 1'!N26/'Cuadro 2'!N25*100</f>
        <v>102.18365061590147</v>
      </c>
      <c r="K14" s="403">
        <f>+'Cuadro 1'!O26/'Cuadro 2'!O25*100</f>
        <v>103.86934673366835</v>
      </c>
      <c r="L14" s="403">
        <f>+'Cuadro 1'!P26/'Cuadro 2'!P25*100</f>
        <v>100</v>
      </c>
      <c r="M14" s="403">
        <f>+'Cuadro 1'!Q26/'Cuadro 2'!Q25*100</f>
        <v>109.09498207885304</v>
      </c>
      <c r="N14" s="403">
        <f>+'Cuadro 1'!R26/'Cuadro 2'!R25*100</f>
        <v>111.31034482758622</v>
      </c>
      <c r="O14" s="403">
        <f>+'Cuadro 1'!S26/'Cuadro 2'!S25*100</f>
        <v>113.66604477611941</v>
      </c>
      <c r="P14" s="403">
        <f>+'Cuadro 1'!T26/'Cuadro 2'!T25*100</f>
        <v>117.58389261744966</v>
      </c>
      <c r="Q14" s="403">
        <f>+'Cuadro 1'!U26/'Cuadro 2'!U25*100</f>
        <v>128.45744680851064</v>
      </c>
      <c r="R14" s="403">
        <f>+'Cuadro 1'!V26/'Cuadro 2'!V25*100</f>
        <v>137.98916315472607</v>
      </c>
      <c r="S14" s="403">
        <f>+'Cuadro 1'!W26/'Cuadro 2'!W25*100</f>
        <v>150.79559363525092</v>
      </c>
      <c r="T14" s="403">
        <f>+'Cuadro 1'!X26/'Cuadro 2'!X25*100</f>
        <v>167.51080914144535</v>
      </c>
      <c r="U14" s="403">
        <f>+'Cuadro 1'!Y26/'Cuadro 2'!Y25*100</f>
        <v>179.14949846837646</v>
      </c>
    </row>
    <row r="15" spans="1:21" x14ac:dyDescent="0.35">
      <c r="A15" s="400" t="s">
        <v>204</v>
      </c>
      <c r="B15" s="403">
        <f>+'Cuadro 1'!F27/'Cuadro 2'!F26*100</f>
        <v>76.923076923076934</v>
      </c>
      <c r="C15" s="403">
        <f>+'Cuadro 1'!G27/'Cuadro 2'!G26*100</f>
        <v>86.842105263157904</v>
      </c>
      <c r="D15" s="403">
        <f>+'Cuadro 1'!H27/'Cuadro 2'!H26*100</f>
        <v>92.903225806451616</v>
      </c>
      <c r="E15" s="403">
        <f>+'Cuadro 1'!I27/'Cuadro 2'!I26*100</f>
        <v>102.56410256410255</v>
      </c>
      <c r="F15" s="403">
        <f>+'Cuadro 1'!J27/'Cuadro 2'!J26*100</f>
        <v>101.21951219512195</v>
      </c>
      <c r="G15" s="403">
        <f>+'Cuadro 1'!K27/'Cuadro 2'!K26*100</f>
        <v>109.14634146341464</v>
      </c>
      <c r="H15" s="403">
        <f>+'Cuadro 1'!L27/'Cuadro 2'!L26*100</f>
        <v>127.90697674418605</v>
      </c>
      <c r="I15" s="403">
        <f>+'Cuadro 1'!M27/'Cuadro 2'!M26*100</f>
        <v>119.89247311827957</v>
      </c>
      <c r="J15" s="403">
        <f>+'Cuadro 1'!N27/'Cuadro 2'!N26*100</f>
        <v>104.51977401129943</v>
      </c>
      <c r="K15" s="403">
        <f>+'Cuadro 1'!O27/'Cuadro 2'!O26*100</f>
        <v>96.15384615384616</v>
      </c>
      <c r="L15" s="403">
        <f>+'Cuadro 1'!P27/'Cuadro 2'!P26*100</f>
        <v>100</v>
      </c>
      <c r="M15" s="403">
        <f>+'Cuadro 1'!Q27/'Cuadro 2'!Q26*100</f>
        <v>111.76470588235294</v>
      </c>
      <c r="N15" s="403">
        <f>+'Cuadro 1'!R27/'Cuadro 2'!R26*100</f>
        <v>105.58659217877096</v>
      </c>
      <c r="O15" s="403">
        <f>+'Cuadro 1'!S27/'Cuadro 2'!S26*100</f>
        <v>111.04972375690608</v>
      </c>
      <c r="P15" s="403">
        <f>+'Cuadro 1'!T27/'Cuadro 2'!T26*100</f>
        <v>97.19101123595506</v>
      </c>
      <c r="Q15" s="403">
        <f>+'Cuadro 1'!U27/'Cuadro 2'!U26*100</f>
        <v>107.43243243243244</v>
      </c>
      <c r="R15" s="403">
        <f>+'Cuadro 1'!V27/'Cuadro 2'!V26*100</f>
        <v>150</v>
      </c>
      <c r="S15" s="403">
        <f>+'Cuadro 1'!W27/'Cuadro 2'!W26*100</f>
        <v>260.7361963190184</v>
      </c>
      <c r="T15" s="403">
        <f>+'Cuadro 1'!X27/'Cuadro 2'!X26*100</f>
        <v>214.72392638036811</v>
      </c>
      <c r="U15" s="403">
        <f>+'Cuadro 1'!Y27/'Cuadro 2'!Y26*100</f>
        <v>190.40247678018576</v>
      </c>
    </row>
    <row r="16" spans="1:21" x14ac:dyDescent="0.35">
      <c r="A16" s="176" t="s">
        <v>202</v>
      </c>
      <c r="B16" s="403">
        <f>+'Cuadro 1'!F28/'Cuadro 2'!F27*100</f>
        <v>69.95676487340134</v>
      </c>
      <c r="C16" s="403">
        <f>+'Cuadro 1'!G28/'Cuadro 2'!G27*100</f>
        <v>73.565783917476026</v>
      </c>
      <c r="D16" s="403">
        <f>+'Cuadro 1'!H28/'Cuadro 2'!H27*100</f>
        <v>77.498880429914919</v>
      </c>
      <c r="E16" s="403">
        <f>+'Cuadro 1'!I28/'Cuadro 2'!I27*100</f>
        <v>81.732281707738821</v>
      </c>
      <c r="F16" s="403">
        <f>+'Cuadro 1'!J28/'Cuadro 2'!J27*100</f>
        <v>85.847789332283384</v>
      </c>
      <c r="G16" s="403">
        <f>+'Cuadro 1'!K28/'Cuadro 2'!K27*100</f>
        <v>86.370766083200721</v>
      </c>
      <c r="H16" s="403">
        <f>+'Cuadro 1'!L28/'Cuadro 2'!L27*100</f>
        <v>88.076989321391665</v>
      </c>
      <c r="I16" s="403">
        <f>+'Cuadro 1'!M28/'Cuadro 2'!M27*100</f>
        <v>93.139526193856952</v>
      </c>
      <c r="J16" s="403">
        <f>+'Cuadro 1'!N28/'Cuadro 2'!N27*100</f>
        <v>95.098915661383458</v>
      </c>
      <c r="K16" s="403">
        <f>+'Cuadro 1'!O28/'Cuadro 2'!O27*100</f>
        <v>95.680217522411553</v>
      </c>
      <c r="L16" s="403">
        <f>+'Cuadro 1'!P28/'Cuadro 2'!P27*100</f>
        <v>100</v>
      </c>
      <c r="M16" s="403">
        <f>+'Cuadro 1'!Q28/'Cuadro 2'!Q27*100</f>
        <v>103.12603149331107</v>
      </c>
      <c r="N16" s="403">
        <f>+'Cuadro 1'!R28/'Cuadro 2'!R27*100</f>
        <v>103.84337766351905</v>
      </c>
      <c r="O16" s="403">
        <f>+'Cuadro 1'!S28/'Cuadro 2'!S27*100</f>
        <v>107.33725043117308</v>
      </c>
      <c r="P16" s="403">
        <f>+'Cuadro 1'!T28/'Cuadro 2'!T27*100</f>
        <v>111.52512998266897</v>
      </c>
      <c r="Q16" s="403">
        <f>+'Cuadro 1'!U28/'Cuadro 2'!U27*100</f>
        <v>113.64080039043436</v>
      </c>
      <c r="R16" s="403">
        <f>+'Cuadro 1'!V28/'Cuadro 2'!V27*100</f>
        <v>124.75015411054864</v>
      </c>
      <c r="S16" s="403">
        <f>+'Cuadro 1'!W28/'Cuadro 2'!W27*100</f>
        <v>141.61327092796324</v>
      </c>
      <c r="T16" s="403">
        <f>+'Cuadro 1'!X28/'Cuadro 2'!X27*100</f>
        <v>152.91579358596442</v>
      </c>
      <c r="U16" s="403">
        <f>+'Cuadro 1'!Y28/'Cuadro 2'!Y27*100</f>
        <v>156.21338362382815</v>
      </c>
    </row>
    <row r="17" spans="1:21" x14ac:dyDescent="0.35">
      <c r="A17" s="398" t="s">
        <v>200</v>
      </c>
      <c r="B17" s="403">
        <f>+'Cuadro 1'!F29/'Cuadro 2'!F28*100</f>
        <v>78.637088453240793</v>
      </c>
      <c r="C17" s="403">
        <f>+'Cuadro 1'!G29/'Cuadro 2'!G28*100</f>
        <v>81.38070609399594</v>
      </c>
      <c r="D17" s="403">
        <f>+'Cuadro 1'!H29/'Cuadro 2'!H28*100</f>
        <v>86.509325252870127</v>
      </c>
      <c r="E17" s="403">
        <f>+'Cuadro 1'!I29/'Cuadro 2'!I28*100</f>
        <v>93.706584584667866</v>
      </c>
      <c r="F17" s="403">
        <f>+'Cuadro 1'!J29/'Cuadro 2'!J28*100</f>
        <v>98.704227662279081</v>
      </c>
      <c r="G17" s="403">
        <f>+'Cuadro 1'!K29/'Cuadro 2'!K28*100</f>
        <v>96.377235500584987</v>
      </c>
      <c r="H17" s="403">
        <f>+'Cuadro 1'!L29/'Cuadro 2'!L28*100</f>
        <v>96.839092045317102</v>
      </c>
      <c r="I17" s="403">
        <f>+'Cuadro 1'!M29/'Cuadro 2'!M28*100</f>
        <v>98.835168342109455</v>
      </c>
      <c r="J17" s="403">
        <f>+'Cuadro 1'!N29/'Cuadro 2'!N28*100</f>
        <v>98.083670715249667</v>
      </c>
      <c r="K17" s="403">
        <f>+'Cuadro 1'!O29/'Cuadro 2'!O28*100</f>
        <v>98.135783945986503</v>
      </c>
      <c r="L17" s="403">
        <f>+'Cuadro 1'!P29/'Cuadro 2'!P28*100</f>
        <v>100</v>
      </c>
      <c r="M17" s="403">
        <f>+'Cuadro 1'!Q29/'Cuadro 2'!Q28*100</f>
        <v>108.13390262279789</v>
      </c>
      <c r="N17" s="403">
        <f>+'Cuadro 1'!R29/'Cuadro 2'!R28*100</f>
        <v>109.59389772238934</v>
      </c>
      <c r="O17" s="403">
        <f>+'Cuadro 1'!S29/'Cuadro 2'!S28*100</f>
        <v>109.48101000209833</v>
      </c>
      <c r="P17" s="403">
        <f>+'Cuadro 1'!T29/'Cuadro 2'!T28*100</f>
        <v>107.79490320166036</v>
      </c>
      <c r="Q17" s="403">
        <f>+'Cuadro 1'!U29/'Cuadro 2'!U28*100</f>
        <v>113.2981530343008</v>
      </c>
      <c r="R17" s="403">
        <f>+'Cuadro 1'!V29/'Cuadro 2'!V28*100</f>
        <v>130.8462177888612</v>
      </c>
      <c r="S17" s="403">
        <f>+'Cuadro 1'!W29/'Cuadro 2'!W28*100</f>
        <v>152.13320104179587</v>
      </c>
      <c r="T17" s="403">
        <f>+'Cuadro 1'!X29/'Cuadro 2'!X28*100</f>
        <v>161.42705205205206</v>
      </c>
      <c r="U17" s="403">
        <f>+'Cuadro 1'!Y29/'Cuadro 2'!Y28*100</f>
        <v>163.6118602631376</v>
      </c>
    </row>
    <row r="18" spans="1:21" x14ac:dyDescent="0.35">
      <c r="A18" s="399" t="s">
        <v>198</v>
      </c>
      <c r="B18" s="403">
        <f>+'Cuadro 1'!F30/'Cuadro 2'!F29*100</f>
        <v>73.983926521239951</v>
      </c>
      <c r="C18" s="403">
        <f>+'Cuadro 1'!G30/'Cuadro 2'!G29*100</f>
        <v>73.066841415465262</v>
      </c>
      <c r="D18" s="403">
        <f>+'Cuadro 1'!H30/'Cuadro 2'!H29*100</f>
        <v>79.98367680065293</v>
      </c>
      <c r="E18" s="403">
        <f>+'Cuadro 1'!I30/'Cuadro 2'!I29*100</f>
        <v>88.253477588871718</v>
      </c>
      <c r="F18" s="403">
        <f>+'Cuadro 1'!J30/'Cuadro 2'!J29*100</f>
        <v>92.945021145713184</v>
      </c>
      <c r="G18" s="403">
        <f>+'Cuadro 1'!K30/'Cuadro 2'!K29*100</f>
        <v>87.521564117308799</v>
      </c>
      <c r="H18" s="403">
        <f>+'Cuadro 1'!L30/'Cuadro 2'!L29*100</f>
        <v>89.328648048825599</v>
      </c>
      <c r="I18" s="403">
        <f>+'Cuadro 1'!M30/'Cuadro 2'!M29*100</f>
        <v>88.81976537504444</v>
      </c>
      <c r="J18" s="403">
        <f>+'Cuadro 1'!N30/'Cuadro 2'!N29*100</f>
        <v>92.667375132837407</v>
      </c>
      <c r="K18" s="403">
        <f>+'Cuadro 1'!O30/'Cuadro 2'!O29*100</f>
        <v>95.350052246603966</v>
      </c>
      <c r="L18" s="403">
        <f>+'Cuadro 1'!P30/'Cuadro 2'!P29*100</f>
        <v>100</v>
      </c>
      <c r="M18" s="403">
        <f>+'Cuadro 1'!Q30/'Cuadro 2'!Q29*100</f>
        <v>108.45350571854799</v>
      </c>
      <c r="N18" s="403">
        <f>+'Cuadro 1'!R30/'Cuadro 2'!R29*100</f>
        <v>109.41293863296191</v>
      </c>
      <c r="O18" s="403">
        <f>+'Cuadro 1'!S30/'Cuadro 2'!S29*100</f>
        <v>109.67844131157929</v>
      </c>
      <c r="P18" s="403">
        <f>+'Cuadro 1'!T30/'Cuadro 2'!T29*100</f>
        <v>106.94736842105263</v>
      </c>
      <c r="Q18" s="403">
        <f>+'Cuadro 1'!U30/'Cuadro 2'!U29*100</f>
        <v>112.48518957345972</v>
      </c>
      <c r="R18" s="403">
        <f>+'Cuadro 1'!V30/'Cuadro 2'!V29*100</f>
        <v>144.17817874259939</v>
      </c>
      <c r="S18" s="403">
        <f>+'Cuadro 1'!W30/'Cuadro 2'!W29*100</f>
        <v>172.96756107328795</v>
      </c>
      <c r="T18" s="403">
        <f>+'Cuadro 1'!X30/'Cuadro 2'!X29*100</f>
        <v>183.52480417754569</v>
      </c>
      <c r="U18" s="403">
        <f>+'Cuadro 1'!Y30/'Cuadro 2'!Y29*100</f>
        <v>188.50825784469745</v>
      </c>
    </row>
    <row r="19" spans="1:21" x14ac:dyDescent="0.35">
      <c r="A19" s="400" t="s">
        <v>196</v>
      </c>
      <c r="B19" s="403">
        <f>+'Cuadro 1'!F31/'Cuadro 2'!F30*100</f>
        <v>128.3231083844581</v>
      </c>
      <c r="C19" s="403">
        <f>+'Cuadro 1'!G31/'Cuadro 2'!G30*100</f>
        <v>118.03444782168187</v>
      </c>
      <c r="D19" s="403">
        <f>+'Cuadro 1'!H31/'Cuadro 2'!H30*100</f>
        <v>123.69942196531791</v>
      </c>
      <c r="E19" s="403">
        <f>+'Cuadro 1'!I31/'Cuadro 2'!I30*100</f>
        <v>137.48819641170914</v>
      </c>
      <c r="F19" s="403">
        <f>+'Cuadro 1'!J31/'Cuadro 2'!J30*100</f>
        <v>129.93799822852083</v>
      </c>
      <c r="G19" s="403">
        <f>+'Cuadro 1'!K31/'Cuadro 2'!K30*100</f>
        <v>121.05711849957375</v>
      </c>
      <c r="H19" s="403">
        <f>+'Cuadro 1'!L31/'Cuadro 2'!L30*100</f>
        <v>119.88682295877122</v>
      </c>
      <c r="I19" s="403">
        <f>+'Cuadro 1'!M31/'Cuadro 2'!M30*100</f>
        <v>101.67999999999999</v>
      </c>
      <c r="J19" s="403">
        <f>+'Cuadro 1'!N31/'Cuadro 2'!N30*100</f>
        <v>83.181126331811257</v>
      </c>
      <c r="K19" s="403">
        <f>+'Cuadro 1'!O31/'Cuadro 2'!O30*100</f>
        <v>98.635057471264361</v>
      </c>
      <c r="L19" s="403">
        <f>+'Cuadro 1'!P31/'Cuadro 2'!P30*100</f>
        <v>100</v>
      </c>
      <c r="M19" s="403">
        <f>+'Cuadro 1'!Q31/'Cuadro 2'!Q30*100</f>
        <v>131.69761273209548</v>
      </c>
      <c r="N19" s="403">
        <f>+'Cuadro 1'!R31/'Cuadro 2'!R30*100</f>
        <v>120</v>
      </c>
      <c r="O19" s="403">
        <f>+'Cuadro 1'!S31/'Cuadro 2'!S30*100</f>
        <v>114.79250334672022</v>
      </c>
      <c r="P19" s="403">
        <f>+'Cuadro 1'!T31/'Cuadro 2'!T30*100</f>
        <v>103.15374507227332</v>
      </c>
      <c r="Q19" s="403">
        <f>+'Cuadro 1'!U31/'Cuadro 2'!U30*100</f>
        <v>100.55749128919859</v>
      </c>
      <c r="R19" s="403">
        <f>+'Cuadro 1'!V31/'Cuadro 2'!V30*100</f>
        <v>172.08459214501511</v>
      </c>
      <c r="S19" s="403">
        <f>+'Cuadro 1'!W31/'Cuadro 2'!W30*100</f>
        <v>209.06976744186045</v>
      </c>
      <c r="T19" s="403">
        <f>+'Cuadro 1'!X31/'Cuadro 2'!X30*100</f>
        <v>178.16568047337279</v>
      </c>
      <c r="U19" s="403">
        <f>+'Cuadro 1'!Y31/'Cuadro 2'!Y30*100</f>
        <v>167.6664032426645</v>
      </c>
    </row>
    <row r="20" spans="1:21" x14ac:dyDescent="0.35">
      <c r="A20" s="399" t="s">
        <v>194</v>
      </c>
      <c r="B20" s="403">
        <f>+'Cuadro 1'!F32/'Cuadro 2'!F31*100</f>
        <v>73.438098888463017</v>
      </c>
      <c r="C20" s="403">
        <f>+'Cuadro 1'!G32/'Cuadro 2'!G31*100</f>
        <v>74.802557352388106</v>
      </c>
      <c r="D20" s="403">
        <f>+'Cuadro 1'!H32/'Cuadro 2'!H31*100</f>
        <v>80.264123257520183</v>
      </c>
      <c r="E20" s="403">
        <f>+'Cuadro 1'!I32/'Cuadro 2'!I31*100</f>
        <v>85.416666666666657</v>
      </c>
      <c r="F20" s="403">
        <f>+'Cuadro 1'!J32/'Cuadro 2'!J31*100</f>
        <v>86.304728546409805</v>
      </c>
      <c r="G20" s="403">
        <f>+'Cuadro 1'!K32/'Cuadro 2'!K31*100</f>
        <v>89.076814658209997</v>
      </c>
      <c r="H20" s="403">
        <f>+'Cuadro 1'!L32/'Cuadro 2'!L31*100</f>
        <v>92.365117068204952</v>
      </c>
      <c r="I20" s="403">
        <f>+'Cuadro 1'!M32/'Cuadro 2'!M31*100</f>
        <v>99.362629989936252</v>
      </c>
      <c r="J20" s="403">
        <f>+'Cuadro 1'!N32/'Cuadro 2'!N31*100</f>
        <v>98.598279706913033</v>
      </c>
      <c r="K20" s="403">
        <f>+'Cuadro 1'!O32/'Cuadro 2'!O31*100</f>
        <v>98.552093169656914</v>
      </c>
      <c r="L20" s="403">
        <f>+'Cuadro 1'!P32/'Cuadro 2'!P31*100</f>
        <v>100</v>
      </c>
      <c r="M20" s="403">
        <f>+'Cuadro 1'!Q32/'Cuadro 2'!Q31*100</f>
        <v>104.58575359217366</v>
      </c>
      <c r="N20" s="403">
        <f>+'Cuadro 1'!R32/'Cuadro 2'!R31*100</f>
        <v>107.63405028779158</v>
      </c>
      <c r="O20" s="403">
        <f>+'Cuadro 1'!S32/'Cuadro 2'!S31*100</f>
        <v>108.96739130434783</v>
      </c>
      <c r="P20" s="403">
        <f>+'Cuadro 1'!T32/'Cuadro 2'!T31*100</f>
        <v>108.09848709581726</v>
      </c>
      <c r="Q20" s="403">
        <f>+'Cuadro 1'!U32/'Cuadro 2'!U31*100</f>
        <v>113.45080763582966</v>
      </c>
      <c r="R20" s="403">
        <f>+'Cuadro 1'!V32/'Cuadro 2'!V31*100</f>
        <v>126.44707387272145</v>
      </c>
      <c r="S20" s="403">
        <f>+'Cuadro 1'!W32/'Cuadro 2'!W31*100</f>
        <v>153.56125356125355</v>
      </c>
      <c r="T20" s="403">
        <f>+'Cuadro 1'!X32/'Cuadro 2'!X31*100</f>
        <v>178.46969195097714</v>
      </c>
      <c r="U20" s="403">
        <f>+'Cuadro 1'!Y32/'Cuadro 2'!Y31*100</f>
        <v>182.07447812140862</v>
      </c>
    </row>
    <row r="21" spans="1:21" x14ac:dyDescent="0.35">
      <c r="A21" s="400" t="s">
        <v>192</v>
      </c>
      <c r="B21" s="403">
        <f>+'Cuadro 1'!F33/'Cuadro 2'!F32*100</f>
        <v>89.885327844751544</v>
      </c>
      <c r="C21" s="403">
        <f>+'Cuadro 1'!G33/'Cuadro 2'!G32*100</f>
        <v>88.75570776255708</v>
      </c>
      <c r="D21" s="403">
        <f>+'Cuadro 1'!H33/'Cuadro 2'!H32*100</f>
        <v>95.188729399255706</v>
      </c>
      <c r="E21" s="403">
        <f>+'Cuadro 1'!I33/'Cuadro 2'!I32*100</f>
        <v>109.14241565799641</v>
      </c>
      <c r="F21" s="403">
        <f>+'Cuadro 1'!J33/'Cuadro 2'!J32*100</f>
        <v>112.39193083573487</v>
      </c>
      <c r="G21" s="403">
        <f>+'Cuadro 1'!K33/'Cuadro 2'!K32*100</f>
        <v>99.616171954964173</v>
      </c>
      <c r="H21" s="403">
        <f>+'Cuadro 1'!L33/'Cuadro 2'!L32*100</f>
        <v>98.287841191066988</v>
      </c>
      <c r="I21" s="403">
        <f>+'Cuadro 1'!M33/'Cuadro 2'!M32*100</f>
        <v>104.36207766011094</v>
      </c>
      <c r="J21" s="403">
        <f>+'Cuadro 1'!N33/'Cuadro 2'!N32*100</f>
        <v>107.93772332822869</v>
      </c>
      <c r="K21" s="403">
        <f>+'Cuadro 1'!O33/'Cuadro 2'!O32*100</f>
        <v>103.79084967320263</v>
      </c>
      <c r="L21" s="403">
        <f>+'Cuadro 1'!P33/'Cuadro 2'!P32*100</f>
        <v>100</v>
      </c>
      <c r="M21" s="403">
        <f>+'Cuadro 1'!Q33/'Cuadro 2'!Q32*100</f>
        <v>111.80080245456692</v>
      </c>
      <c r="N21" s="403">
        <f>+'Cuadro 1'!R33/'Cuadro 2'!R32*100</f>
        <v>105.1660516605166</v>
      </c>
      <c r="O21" s="403">
        <f>+'Cuadro 1'!S33/'Cuadro 2'!S32*100</f>
        <v>106.4574806730332</v>
      </c>
      <c r="P21" s="403">
        <f>+'Cuadro 1'!T33/'Cuadro 2'!T32*100</f>
        <v>112.45365321701199</v>
      </c>
      <c r="Q21" s="403">
        <f>+'Cuadro 1'!U33/'Cuadro 2'!U32*100</f>
        <v>125.41137263070195</v>
      </c>
      <c r="R21" s="403">
        <f>+'Cuadro 1'!V33/'Cuadro 2'!V32*100</f>
        <v>140.58504875406283</v>
      </c>
      <c r="S21" s="403">
        <f>+'Cuadro 1'!W33/'Cuadro 2'!W32*100</f>
        <v>172.91031116534472</v>
      </c>
      <c r="T21" s="403">
        <f>+'Cuadro 1'!X33/'Cuadro 2'!X32*100</f>
        <v>177.38120380147834</v>
      </c>
      <c r="U21" s="403">
        <f>+'Cuadro 1'!Y33/'Cuadro 2'!Y32*100</f>
        <v>170.01773692730956</v>
      </c>
    </row>
    <row r="22" spans="1:21" x14ac:dyDescent="0.35">
      <c r="A22" s="399" t="s">
        <v>190</v>
      </c>
      <c r="B22" s="403">
        <f>+'Cuadro 1'!F34/'Cuadro 2'!F33*100</f>
        <v>145.12987012987014</v>
      </c>
      <c r="C22" s="403">
        <f>+'Cuadro 1'!G34/'Cuadro 2'!G33*100</f>
        <v>124.60815047021943</v>
      </c>
      <c r="D22" s="403">
        <f>+'Cuadro 1'!H34/'Cuadro 2'!H33*100</f>
        <v>100.63191153238546</v>
      </c>
      <c r="E22" s="403">
        <f>+'Cuadro 1'!I34/'Cuadro 2'!I33*100</f>
        <v>96.387520525451563</v>
      </c>
      <c r="F22" s="403">
        <f>+'Cuadro 1'!J34/'Cuadro 2'!J33*100</f>
        <v>106.79405520169851</v>
      </c>
      <c r="G22" s="403">
        <f>+'Cuadro 1'!K34/'Cuadro 2'!K33*100</f>
        <v>95.679012345679013</v>
      </c>
      <c r="H22" s="403">
        <f>+'Cuadro 1'!L34/'Cuadro 2'!L33*100</f>
        <v>82.33995584988962</v>
      </c>
      <c r="I22" s="403">
        <f>+'Cuadro 1'!M34/'Cuadro 2'!M33*100</f>
        <v>96.172248803827756</v>
      </c>
      <c r="J22" s="403">
        <f>+'Cuadro 1'!N34/'Cuadro 2'!N33*100</f>
        <v>88.829787234042556</v>
      </c>
      <c r="K22" s="403">
        <f>+'Cuadro 1'!O34/'Cuadro 2'!O33*100</f>
        <v>81.933438985736927</v>
      </c>
      <c r="L22" s="403">
        <f>+'Cuadro 1'!P34/'Cuadro 2'!P33*100</f>
        <v>100</v>
      </c>
      <c r="M22" s="403">
        <f>+'Cuadro 1'!Q34/'Cuadro 2'!Q33*100</f>
        <v>87.412587412587413</v>
      </c>
      <c r="N22" s="403">
        <f>+'Cuadro 1'!R34/'Cuadro 2'!R33*100</f>
        <v>95.380434782608688</v>
      </c>
      <c r="O22" s="403">
        <f>+'Cuadro 1'!S34/'Cuadro 2'!S33*100</f>
        <v>91.304347826086953</v>
      </c>
      <c r="P22" s="403">
        <f>+'Cuadro 1'!T34/'Cuadro 2'!T33*100</f>
        <v>91.046658259773011</v>
      </c>
      <c r="Q22" s="403">
        <f>+'Cuadro 1'!U34/'Cuadro 2'!U33*100</f>
        <v>43.451463790446844</v>
      </c>
      <c r="R22" s="403">
        <f>+'Cuadro 1'!V34/'Cuadro 2'!V33*100</f>
        <v>60.3125</v>
      </c>
      <c r="S22" s="403">
        <f>+'Cuadro 1'!W34/'Cuadro 2'!W33*100</f>
        <v>80.26315789473685</v>
      </c>
      <c r="T22" s="403">
        <f>+'Cuadro 1'!X34/'Cuadro 2'!X33*100</f>
        <v>75.082508250825086</v>
      </c>
      <c r="U22" s="403">
        <f>+'Cuadro 1'!Y34/'Cuadro 2'!Y33*100</f>
        <v>88.496978960877897</v>
      </c>
    </row>
    <row r="23" spans="1:21" x14ac:dyDescent="0.35">
      <c r="A23" s="400" t="s">
        <v>188</v>
      </c>
      <c r="B23" s="403">
        <f>+'Cuadro 1'!F35/'Cuadro 2'!F34*100</f>
        <v>73.394941634241235</v>
      </c>
      <c r="C23" s="403">
        <f>+'Cuadro 1'!G35/'Cuadro 2'!G34*100</f>
        <v>98.40425531914893</v>
      </c>
      <c r="D23" s="403">
        <f>+'Cuadro 1'!H35/'Cuadro 2'!H34*100</f>
        <v>96.03463992707384</v>
      </c>
      <c r="E23" s="403">
        <f>+'Cuadro 1'!I35/'Cuadro 2'!I34*100</f>
        <v>102.8135431568908</v>
      </c>
      <c r="F23" s="403">
        <f>+'Cuadro 1'!J35/'Cuadro 2'!J34*100</f>
        <v>114.34528773978316</v>
      </c>
      <c r="G23" s="403">
        <f>+'Cuadro 1'!K35/'Cuadro 2'!K34*100</f>
        <v>139.97148288973384</v>
      </c>
      <c r="H23" s="403">
        <f>+'Cuadro 1'!L35/'Cuadro 2'!L34*100</f>
        <v>143.4278350515464</v>
      </c>
      <c r="I23" s="403">
        <f>+'Cuadro 1'!M35/'Cuadro 2'!M34*100</f>
        <v>118.06704397039618</v>
      </c>
      <c r="J23" s="403">
        <f>+'Cuadro 1'!N35/'Cuadro 2'!N34*100</f>
        <v>98.963085856491091</v>
      </c>
      <c r="K23" s="403">
        <f>+'Cuadro 1'!O35/'Cuadro 2'!O34*100</f>
        <v>92.466005145167216</v>
      </c>
      <c r="L23" s="403">
        <f>+'Cuadro 1'!P35/'Cuadro 2'!P34*100</f>
        <v>100</v>
      </c>
      <c r="M23" s="403">
        <f>+'Cuadro 1'!Q35/'Cuadro 2'!Q34*100</f>
        <v>117.30365392692146</v>
      </c>
      <c r="N23" s="403">
        <f>+'Cuadro 1'!R35/'Cuadro 2'!R34*100</f>
        <v>126.48514851485149</v>
      </c>
      <c r="O23" s="403">
        <f>+'Cuadro 1'!S35/'Cuadro 2'!S34*100</f>
        <v>124.13793103448276</v>
      </c>
      <c r="P23" s="403">
        <f>+'Cuadro 1'!T35/'Cuadro 2'!T34*100</f>
        <v>108.8970889708897</v>
      </c>
      <c r="Q23" s="403">
        <f>+'Cuadro 1'!U35/'Cuadro 2'!U34*100</f>
        <v>124.1421568627451</v>
      </c>
      <c r="R23" s="403">
        <f>+'Cuadro 1'!V35/'Cuadro 2'!V34*100</f>
        <v>140.69907593411008</v>
      </c>
      <c r="S23" s="403">
        <f>+'Cuadro 1'!W35/'Cuadro 2'!W34*100</f>
        <v>161.07619795758052</v>
      </c>
      <c r="T23" s="403">
        <f>+'Cuadro 1'!X35/'Cuadro 2'!X34*100</f>
        <v>172.40672406724067</v>
      </c>
      <c r="U23" s="403">
        <f>+'Cuadro 1'!Y35/'Cuadro 2'!Y34*100</f>
        <v>164.85889053929193</v>
      </c>
    </row>
    <row r="24" spans="1:21" x14ac:dyDescent="0.35">
      <c r="A24" s="399" t="s">
        <v>186</v>
      </c>
      <c r="B24" s="403">
        <f>+'Cuadro 1'!F36/'Cuadro 2'!F35*100</f>
        <v>100.8130081300813</v>
      </c>
      <c r="C24" s="403">
        <f>+'Cuadro 1'!G36/'Cuadro 2'!G35*100</f>
        <v>103.55411954765752</v>
      </c>
      <c r="D24" s="403">
        <f>+'Cuadro 1'!H36/'Cuadro 2'!H35*100</f>
        <v>105.30421216848673</v>
      </c>
      <c r="E24" s="403">
        <f>+'Cuadro 1'!I36/'Cuadro 2'!I35*100</f>
        <v>107.81476121562952</v>
      </c>
      <c r="F24" s="403">
        <f>+'Cuadro 1'!J36/'Cuadro 2'!J35*100</f>
        <v>109.51683748169839</v>
      </c>
      <c r="G24" s="403">
        <f>+'Cuadro 1'!K36/'Cuadro 2'!K35*100</f>
        <v>102.88753799392096</v>
      </c>
      <c r="H24" s="403">
        <f>+'Cuadro 1'!L36/'Cuadro 2'!L35*100</f>
        <v>108.91238670694865</v>
      </c>
      <c r="I24" s="403">
        <f>+'Cuadro 1'!M36/'Cuadro 2'!M35*100</f>
        <v>117.91044776119404</v>
      </c>
      <c r="J24" s="403">
        <f>+'Cuadro 1'!N36/'Cuadro 2'!N35*100</f>
        <v>114.63046757164403</v>
      </c>
      <c r="K24" s="403">
        <f>+'Cuadro 1'!O36/'Cuadro 2'!O35*100</f>
        <v>106.10795454545455</v>
      </c>
      <c r="L24" s="403">
        <f>+'Cuadro 1'!P36/'Cuadro 2'!P35*100</f>
        <v>100</v>
      </c>
      <c r="M24" s="403">
        <f>+'Cuadro 1'!Q36/'Cuadro 2'!Q35*100</f>
        <v>90.455840455840459</v>
      </c>
      <c r="N24" s="403">
        <f>+'Cuadro 1'!R36/'Cuadro 2'!R35*100</f>
        <v>91.977869986168741</v>
      </c>
      <c r="O24" s="403">
        <f>+'Cuadro 1'!S36/'Cuadro 2'!S35*100</f>
        <v>89.884763124199736</v>
      </c>
      <c r="P24" s="403">
        <f>+'Cuadro 1'!T36/'Cuadro 2'!T35*100</f>
        <v>91.304347826086953</v>
      </c>
      <c r="Q24" s="403">
        <f>+'Cuadro 1'!U36/'Cuadro 2'!U35*100</f>
        <v>89.298892988929893</v>
      </c>
      <c r="R24" s="403">
        <f>+'Cuadro 1'!V36/'Cuadro 2'!V35*100</f>
        <v>93.879781420765028</v>
      </c>
      <c r="S24" s="403">
        <f>+'Cuadro 1'!W36/'Cuadro 2'!W35*100</f>
        <v>104.36046511627907</v>
      </c>
      <c r="T24" s="403">
        <f>+'Cuadro 1'!X36/'Cuadro 2'!X35*100</f>
        <v>117.85356068204614</v>
      </c>
      <c r="U24" s="403">
        <f>+'Cuadro 1'!Y36/'Cuadro 2'!Y35*100</f>
        <v>126.1622084046238</v>
      </c>
    </row>
    <row r="25" spans="1:21" x14ac:dyDescent="0.35">
      <c r="A25" s="400" t="s">
        <v>184</v>
      </c>
      <c r="B25" s="403">
        <f>+'Cuadro 1'!F37/'Cuadro 2'!F36*100</f>
        <v>66.624921728240452</v>
      </c>
      <c r="C25" s="403">
        <f>+'Cuadro 1'!G37/'Cuadro 2'!G36*100</f>
        <v>68.586387434554979</v>
      </c>
      <c r="D25" s="403">
        <f>+'Cuadro 1'!H37/'Cuadro 2'!H36*100</f>
        <v>71.714579055441476</v>
      </c>
      <c r="E25" s="403">
        <f>+'Cuadro 1'!I37/'Cuadro 2'!I36*100</f>
        <v>76.896032144650931</v>
      </c>
      <c r="F25" s="403">
        <f>+'Cuadro 1'!J37/'Cuadro 2'!J36*100</f>
        <v>81.948565776458949</v>
      </c>
      <c r="G25" s="403">
        <f>+'Cuadro 1'!K37/'Cuadro 2'!K36*100</f>
        <v>78.063540090771554</v>
      </c>
      <c r="H25" s="403">
        <f>+'Cuadro 1'!L37/'Cuadro 2'!L36*100</f>
        <v>73.561507936507937</v>
      </c>
      <c r="I25" s="403">
        <f>+'Cuadro 1'!M37/'Cuadro 2'!M36*100</f>
        <v>88.423645320197039</v>
      </c>
      <c r="J25" s="403">
        <f>+'Cuadro 1'!N37/'Cuadro 2'!N36*100</f>
        <v>93.187120858609433</v>
      </c>
      <c r="K25" s="403">
        <f>+'Cuadro 1'!O37/'Cuadro 2'!O36*100</f>
        <v>90.80932784636488</v>
      </c>
      <c r="L25" s="403">
        <f>+'Cuadro 1'!P37/'Cuadro 2'!P36*100</f>
        <v>100</v>
      </c>
      <c r="M25" s="403">
        <f>+'Cuadro 1'!Q37/'Cuadro 2'!Q36*100</f>
        <v>100.17174753112923</v>
      </c>
      <c r="N25" s="403">
        <f>+'Cuadro 1'!R37/'Cuadro 2'!R36*100</f>
        <v>103.89948006932408</v>
      </c>
      <c r="O25" s="403">
        <f>+'Cuadro 1'!S37/'Cuadro 2'!S36*100</f>
        <v>103.72093023255815</v>
      </c>
      <c r="P25" s="403">
        <f>+'Cuadro 1'!T37/'Cuadro 2'!T36*100</f>
        <v>106.73443456162643</v>
      </c>
      <c r="Q25" s="403">
        <f>+'Cuadro 1'!U37/'Cuadro 2'!U36*100</f>
        <v>109.49813355454168</v>
      </c>
      <c r="R25" s="403">
        <f>+'Cuadro 1'!V37/'Cuadro 2'!V36*100</f>
        <v>119.11412609736631</v>
      </c>
      <c r="S25" s="403">
        <f>+'Cuadro 1'!W37/'Cuadro 2'!W36*100</f>
        <v>131.88876850848681</v>
      </c>
      <c r="T25" s="403">
        <f>+'Cuadro 1'!X37/'Cuadro 2'!X36*100</f>
        <v>146.03053435114504</v>
      </c>
      <c r="U25" s="403">
        <f>+'Cuadro 1'!Y37/'Cuadro 2'!Y36*100</f>
        <v>150.73693982149811</v>
      </c>
    </row>
    <row r="26" spans="1:21" x14ac:dyDescent="0.35">
      <c r="A26" s="399" t="s">
        <v>182</v>
      </c>
      <c r="B26" s="403">
        <f>+'Cuadro 1'!F38/'Cuadro 2'!F37*100</f>
        <v>64.898533252963631</v>
      </c>
      <c r="C26" s="403">
        <f>+'Cuadro 1'!G38/'Cuadro 2'!G37*100</f>
        <v>70.157571099154495</v>
      </c>
      <c r="D26" s="403">
        <f>+'Cuadro 1'!H38/'Cuadro 2'!H37*100</f>
        <v>79.875222816399287</v>
      </c>
      <c r="E26" s="403">
        <f>+'Cuadro 1'!I38/'Cuadro 2'!I37*100</f>
        <v>83.908851884312014</v>
      </c>
      <c r="F26" s="403">
        <f>+'Cuadro 1'!J38/'Cuadro 2'!J37*100</f>
        <v>91.976684381964674</v>
      </c>
      <c r="G26" s="403">
        <f>+'Cuadro 1'!K38/'Cuadro 2'!K37*100</f>
        <v>89.937332139659802</v>
      </c>
      <c r="H26" s="403">
        <f>+'Cuadro 1'!L38/'Cuadro 2'!L37*100</f>
        <v>90.277532260915677</v>
      </c>
      <c r="I26" s="403">
        <f>+'Cuadro 1'!M38/'Cuadro 2'!M37*100</f>
        <v>98.345968297725705</v>
      </c>
      <c r="J26" s="403">
        <f>+'Cuadro 1'!N38/'Cuadro 2'!N37*100</f>
        <v>100.57283142389525</v>
      </c>
      <c r="K26" s="403">
        <f>+'Cuadro 1'!O38/'Cuadro 2'!O37*100</f>
        <v>102.77335033471469</v>
      </c>
      <c r="L26" s="403">
        <f>+'Cuadro 1'!P38/'Cuadro 2'!P37*100</f>
        <v>100</v>
      </c>
      <c r="M26" s="403">
        <f>+'Cuadro 1'!Q38/'Cuadro 2'!Q37*100</f>
        <v>105.52651232262882</v>
      </c>
      <c r="N26" s="403">
        <f>+'Cuadro 1'!R38/'Cuadro 2'!R37*100</f>
        <v>110.79291762894535</v>
      </c>
      <c r="O26" s="403">
        <f>+'Cuadro 1'!S38/'Cuadro 2'!S37*100</f>
        <v>111.31040616661724</v>
      </c>
      <c r="P26" s="403">
        <f>+'Cuadro 1'!T38/'Cuadro 2'!T37*100</f>
        <v>109.96793937627514</v>
      </c>
      <c r="Q26" s="403">
        <f>+'Cuadro 1'!U38/'Cuadro 2'!U37*100</f>
        <v>115.35501923749563</v>
      </c>
      <c r="R26" s="403">
        <f>+'Cuadro 1'!V38/'Cuadro 2'!V37*100</f>
        <v>114.46736366205144</v>
      </c>
      <c r="S26" s="403">
        <f>+'Cuadro 1'!W38/'Cuadro 2'!W37*100</f>
        <v>120.90909090909091</v>
      </c>
      <c r="T26" s="403">
        <f>+'Cuadro 1'!X38/'Cuadro 2'!X37*100</f>
        <v>132.52061670849767</v>
      </c>
      <c r="U26" s="403">
        <f>+'Cuadro 1'!Y38/'Cuadro 2'!Y37*100</f>
        <v>139.69565887218297</v>
      </c>
    </row>
    <row r="27" spans="1:21" x14ac:dyDescent="0.35">
      <c r="A27" s="398" t="s">
        <v>180</v>
      </c>
      <c r="B27" s="403">
        <f>+'Cuadro 1'!F39/'Cuadro 2'!F38*100</f>
        <v>76.791577040643048</v>
      </c>
      <c r="C27" s="403">
        <f>+'Cuadro 1'!G39/'Cuadro 2'!G38*100</f>
        <v>79.508196721311478</v>
      </c>
      <c r="D27" s="403">
        <f>+'Cuadro 1'!H39/'Cuadro 2'!H38*100</f>
        <v>84.399189089568736</v>
      </c>
      <c r="E27" s="403">
        <f>+'Cuadro 1'!I39/'Cuadro 2'!I38*100</f>
        <v>86.970260223048328</v>
      </c>
      <c r="F27" s="403">
        <f>+'Cuadro 1'!J39/'Cuadro 2'!J38*100</f>
        <v>87.301587301587304</v>
      </c>
      <c r="G27" s="403">
        <f>+'Cuadro 1'!K39/'Cuadro 2'!K38*100</f>
        <v>85.697987969300968</v>
      </c>
      <c r="H27" s="403">
        <f>+'Cuadro 1'!L39/'Cuadro 2'!L38*100</f>
        <v>87.104202648244097</v>
      </c>
      <c r="I27" s="403">
        <f>+'Cuadro 1'!M39/'Cuadro 2'!M38*100</f>
        <v>93.394495412844037</v>
      </c>
      <c r="J27" s="403">
        <f>+'Cuadro 1'!N39/'Cuadro 2'!N38*100</f>
        <v>98.380726698262251</v>
      </c>
      <c r="K27" s="403">
        <f>+'Cuadro 1'!O39/'Cuadro 2'!O38*100</f>
        <v>97.020285353780451</v>
      </c>
      <c r="L27" s="403">
        <f>+'Cuadro 1'!P39/'Cuadro 2'!P38*100</f>
        <v>100</v>
      </c>
      <c r="M27" s="403">
        <f>+'Cuadro 1'!Q39/'Cuadro 2'!Q38*100</f>
        <v>99.916782246879336</v>
      </c>
      <c r="N27" s="403">
        <f>+'Cuadro 1'!R39/'Cuadro 2'!R38*100</f>
        <v>99.039010466222649</v>
      </c>
      <c r="O27" s="403">
        <f>+'Cuadro 1'!S39/'Cuadro 2'!S38*100</f>
        <v>100.14427238626527</v>
      </c>
      <c r="P27" s="403">
        <f>+'Cuadro 1'!T39/'Cuadro 2'!T38*100</f>
        <v>106.69340208154301</v>
      </c>
      <c r="Q27" s="403">
        <f>+'Cuadro 1'!U39/'Cuadro 2'!U38*100</f>
        <v>101.56534401164907</v>
      </c>
      <c r="R27" s="403">
        <f>+'Cuadro 1'!V39/'Cuadro 2'!V38*100</f>
        <v>105.34109389711546</v>
      </c>
      <c r="S27" s="403">
        <f>+'Cuadro 1'!W39/'Cuadro 2'!W38*100</f>
        <v>111.88768502975736</v>
      </c>
      <c r="T27" s="403">
        <f>+'Cuadro 1'!X39/'Cuadro 2'!X38*100</f>
        <v>123.58688066992323</v>
      </c>
      <c r="U27" s="403">
        <f>+'Cuadro 1'!Y39/'Cuadro 2'!Y38*100</f>
        <v>127.19573979582599</v>
      </c>
    </row>
    <row r="28" spans="1:21" x14ac:dyDescent="0.35">
      <c r="A28" s="399" t="s">
        <v>178</v>
      </c>
      <c r="B28" s="403">
        <f>+'Cuadro 1'!F40/'Cuadro 2'!F39*100</f>
        <v>76.243018662307577</v>
      </c>
      <c r="C28" s="403">
        <f>+'Cuadro 1'!G40/'Cuadro 2'!G39*100</f>
        <v>79.034055727554176</v>
      </c>
      <c r="D28" s="403">
        <f>+'Cuadro 1'!H40/'Cuadro 2'!H39*100</f>
        <v>83.329655781112095</v>
      </c>
      <c r="E28" s="403">
        <f>+'Cuadro 1'!I40/'Cuadro 2'!I39*100</f>
        <v>85.100838431905728</v>
      </c>
      <c r="F28" s="403">
        <f>+'Cuadro 1'!J40/'Cuadro 2'!J39*100</f>
        <v>85.570209464701321</v>
      </c>
      <c r="G28" s="403">
        <f>+'Cuadro 1'!K40/'Cuadro 2'!K39*100</f>
        <v>85.339525542864308</v>
      </c>
      <c r="H28" s="403">
        <f>+'Cuadro 1'!L40/'Cuadro 2'!L39*100</f>
        <v>87.142022209234369</v>
      </c>
      <c r="I28" s="403">
        <f>+'Cuadro 1'!M40/'Cuadro 2'!M39*100</f>
        <v>93.05425631431244</v>
      </c>
      <c r="J28" s="403">
        <f>+'Cuadro 1'!N40/'Cuadro 2'!N39*100</f>
        <v>97.804935927859518</v>
      </c>
      <c r="K28" s="403">
        <f>+'Cuadro 1'!O40/'Cuadro 2'!O39*100</f>
        <v>96.819457436856865</v>
      </c>
      <c r="L28" s="403">
        <f>+'Cuadro 1'!P40/'Cuadro 2'!P39*100</f>
        <v>100</v>
      </c>
      <c r="M28" s="403">
        <f>+'Cuadro 1'!Q40/'Cuadro 2'!Q39*100</f>
        <v>99.866725899600169</v>
      </c>
      <c r="N28" s="403">
        <f>+'Cuadro 1'!R40/'Cuadro 2'!R39*100</f>
        <v>100.89727366846888</v>
      </c>
      <c r="O28" s="403">
        <f>+'Cuadro 1'!S40/'Cuadro 2'!S39*100</f>
        <v>102.09646007561004</v>
      </c>
      <c r="P28" s="403">
        <f>+'Cuadro 1'!T40/'Cuadro 2'!T39*100</f>
        <v>109.28924876293297</v>
      </c>
      <c r="Q28" s="403">
        <f>+'Cuadro 1'!U40/'Cuadro 2'!U39*100</f>
        <v>103.87788778877889</v>
      </c>
      <c r="R28" s="403">
        <f>+'Cuadro 1'!V40/'Cuadro 2'!V39*100</f>
        <v>108.48218643240605</v>
      </c>
      <c r="S28" s="403">
        <f>+'Cuadro 1'!W40/'Cuadro 2'!W39*100</f>
        <v>114.85294117647058</v>
      </c>
      <c r="T28" s="403">
        <f>+'Cuadro 1'!X40/'Cuadro 2'!X39*100</f>
        <v>127.02702702702702</v>
      </c>
      <c r="U28" s="403">
        <f>+'Cuadro 1'!Y40/'Cuadro 2'!Y39*100</f>
        <v>130.75471892197706</v>
      </c>
    </row>
    <row r="29" spans="1:21" x14ac:dyDescent="0.35">
      <c r="A29" s="400" t="s">
        <v>176</v>
      </c>
      <c r="B29" s="403">
        <f>+'Cuadro 1'!F41/'Cuadro 2'!F40*100</f>
        <v>79.278074866310149</v>
      </c>
      <c r="C29" s="403">
        <f>+'Cuadro 1'!G41/'Cuadro 2'!G40*100</f>
        <v>81.644359464627144</v>
      </c>
      <c r="D29" s="403">
        <f>+'Cuadro 1'!H41/'Cuadro 2'!H40*100</f>
        <v>89.570552147239269</v>
      </c>
      <c r="E29" s="403">
        <f>+'Cuadro 1'!I41/'Cuadro 2'!I40*100</f>
        <v>95.848469122989101</v>
      </c>
      <c r="F29" s="403">
        <f>+'Cuadro 1'!J41/'Cuadro 2'!J40*100</f>
        <v>95.543000627746395</v>
      </c>
      <c r="G29" s="403">
        <f>+'Cuadro 1'!K41/'Cuadro 2'!K40*100</f>
        <v>87.350835322195707</v>
      </c>
      <c r="H29" s="403">
        <f>+'Cuadro 1'!L41/'Cuadro 2'!L40*100</f>
        <v>86.977491961414785</v>
      </c>
      <c r="I29" s="403">
        <f>+'Cuadro 1'!M41/'Cuadro 2'!M40*100</f>
        <v>95.008319467554088</v>
      </c>
      <c r="J29" s="403">
        <f>+'Cuadro 1'!N41/'Cuadro 2'!N40*100</f>
        <v>101.17577895355674</v>
      </c>
      <c r="K29" s="403">
        <f>+'Cuadro 1'!O41/'Cuadro 2'!O40*100</f>
        <v>98.001142204454595</v>
      </c>
      <c r="L29" s="403">
        <f>+'Cuadro 1'!P41/'Cuadro 2'!P40*100</f>
        <v>100</v>
      </c>
      <c r="M29" s="403">
        <f>+'Cuadro 1'!Q41/'Cuadro 2'!Q40*100</f>
        <v>100.16565433462175</v>
      </c>
      <c r="N29" s="403">
        <f>+'Cuadro 1'!R41/'Cuadro 2'!R40*100</f>
        <v>90.148596587782066</v>
      </c>
      <c r="O29" s="403">
        <f>+'Cuadro 1'!S41/'Cuadro 2'!S40*100</f>
        <v>90.744101633393825</v>
      </c>
      <c r="P29" s="403">
        <f>+'Cuadro 1'!T41/'Cuadro 2'!T40*100</f>
        <v>93.693693693693689</v>
      </c>
      <c r="Q29" s="403">
        <f>+'Cuadro 1'!U41/'Cuadro 2'!U40*100</f>
        <v>90.465631929046566</v>
      </c>
      <c r="R29" s="403">
        <f>+'Cuadro 1'!V41/'Cuadro 2'!V40*100</f>
        <v>88.17442719881744</v>
      </c>
      <c r="S29" s="403">
        <f>+'Cuadro 1'!W41/'Cuadro 2'!W40*100</f>
        <v>96.587743732590525</v>
      </c>
      <c r="T29" s="403">
        <f>+'Cuadro 1'!X41/'Cuadro 2'!X40*100</f>
        <v>105.40746382330542</v>
      </c>
      <c r="U29" s="403">
        <f>+'Cuadro 1'!Y41/'Cuadro 2'!Y40*100</f>
        <v>108.33967580522403</v>
      </c>
    </row>
    <row r="30" spans="1:21" x14ac:dyDescent="0.35">
      <c r="A30" s="401" t="s">
        <v>174</v>
      </c>
      <c r="B30" s="403">
        <f>+'Cuadro 1'!F42/'Cuadro 2'!F41*100</f>
        <v>74.095860566448806</v>
      </c>
      <c r="C30" s="403">
        <f>+'Cuadro 1'!G42/'Cuadro 2'!G41*100</f>
        <v>78.137075452511695</v>
      </c>
      <c r="D30" s="403">
        <f>+'Cuadro 1'!H42/'Cuadro 2'!H41*100</f>
        <v>82.644313202514766</v>
      </c>
      <c r="E30" s="403">
        <f>+'Cuadro 1'!I42/'Cuadro 2'!I41*100</f>
        <v>86.361085126286255</v>
      </c>
      <c r="F30" s="403">
        <f>+'Cuadro 1'!J42/'Cuadro 2'!J41*100</f>
        <v>92.756920743268864</v>
      </c>
      <c r="G30" s="403">
        <f>+'Cuadro 1'!K42/'Cuadro 2'!K41*100</f>
        <v>86.237513873473915</v>
      </c>
      <c r="H30" s="403">
        <f>+'Cuadro 1'!L42/'Cuadro 2'!L41*100</f>
        <v>86.139685977260427</v>
      </c>
      <c r="I30" s="403">
        <f>+'Cuadro 1'!M42/'Cuadro 2'!M41*100</f>
        <v>90.336801269617354</v>
      </c>
      <c r="J30" s="403">
        <f>+'Cuadro 1'!N42/'Cuadro 2'!N41*100</f>
        <v>93.162544169611309</v>
      </c>
      <c r="K30" s="403">
        <f>+'Cuadro 1'!O42/'Cuadro 2'!O41*100</f>
        <v>93.445174680041504</v>
      </c>
      <c r="L30" s="403">
        <f>+'Cuadro 1'!P42/'Cuadro 2'!P41*100</f>
        <v>100</v>
      </c>
      <c r="M30" s="403">
        <f>+'Cuadro 1'!Q42/'Cuadro 2'!Q41*100</f>
        <v>92.469597754911135</v>
      </c>
      <c r="N30" s="403">
        <f>+'Cuadro 1'!R42/'Cuadro 2'!R41*100</f>
        <v>90.53716427232979</v>
      </c>
      <c r="O30" s="403">
        <f>+'Cuadro 1'!S42/'Cuadro 2'!S41*100</f>
        <v>92.691649821178672</v>
      </c>
      <c r="P30" s="403">
        <f>+'Cuadro 1'!T42/'Cuadro 2'!T41*100</f>
        <v>98.497417436218498</v>
      </c>
      <c r="Q30" s="403">
        <f>+'Cuadro 1'!U42/'Cuadro 2'!U41*100</f>
        <v>103.42847491977707</v>
      </c>
      <c r="R30" s="403">
        <f>+'Cuadro 1'!V42/'Cuadro 2'!V41*100</f>
        <v>108.54328165374676</v>
      </c>
      <c r="S30" s="403">
        <f>+'Cuadro 1'!W42/'Cuadro 2'!W41*100</f>
        <v>130.15398415308715</v>
      </c>
      <c r="T30" s="403">
        <f>+'Cuadro 1'!X42/'Cuadro 2'!X41*100</f>
        <v>133.33834134615387</v>
      </c>
      <c r="U30" s="403">
        <f>+'Cuadro 1'!Y42/'Cuadro 2'!Y41*100</f>
        <v>134.34983925734633</v>
      </c>
    </row>
    <row r="31" spans="1:21" x14ac:dyDescent="0.35">
      <c r="A31" s="400" t="s">
        <v>172</v>
      </c>
      <c r="B31" s="403">
        <f>+'Cuadro 1'!F43/'Cuadro 2'!F42*100</f>
        <v>52.994011976047908</v>
      </c>
      <c r="C31" s="403">
        <f>+'Cuadro 1'!G43/'Cuadro 2'!G42*100</f>
        <v>59.011893870082346</v>
      </c>
      <c r="D31" s="403">
        <f>+'Cuadro 1'!H43/'Cuadro 2'!H42*100</f>
        <v>68.925619834710744</v>
      </c>
      <c r="E31" s="403">
        <f>+'Cuadro 1'!I43/'Cuadro 2'!I42*100</f>
        <v>78.141135972461271</v>
      </c>
      <c r="F31" s="403">
        <f>+'Cuadro 1'!J43/'Cuadro 2'!J42*100</f>
        <v>85.51136363636364</v>
      </c>
      <c r="G31" s="403">
        <f>+'Cuadro 1'!K43/'Cuadro 2'!K42*100</f>
        <v>89.163498098859321</v>
      </c>
      <c r="H31" s="403">
        <f>+'Cuadro 1'!L43/'Cuadro 2'!L42*100</f>
        <v>93.573515092502433</v>
      </c>
      <c r="I31" s="403">
        <f>+'Cuadro 1'!M43/'Cuadro 2'!M42*100</f>
        <v>98.711595639246781</v>
      </c>
      <c r="J31" s="403">
        <f>+'Cuadro 1'!N43/'Cuadro 2'!N42*100</f>
        <v>100.67829457364341</v>
      </c>
      <c r="K31" s="403">
        <f>+'Cuadro 1'!O43/'Cuadro 2'!O42*100</f>
        <v>103.30500472143531</v>
      </c>
      <c r="L31" s="403">
        <f>+'Cuadro 1'!P43/'Cuadro 2'!P42*100</f>
        <v>100</v>
      </c>
      <c r="M31" s="403">
        <f>+'Cuadro 1'!Q43/'Cuadro 2'!Q42*100</f>
        <v>100.77519379844961</v>
      </c>
      <c r="N31" s="403">
        <f>+'Cuadro 1'!R43/'Cuadro 2'!R42*100</f>
        <v>97.413024085637829</v>
      </c>
      <c r="O31" s="403">
        <f>+'Cuadro 1'!S43/'Cuadro 2'!S42*100</f>
        <v>100.77821011673151</v>
      </c>
      <c r="P31" s="403">
        <f>+'Cuadro 1'!T43/'Cuadro 2'!T42*100</f>
        <v>104.66321243523315</v>
      </c>
      <c r="Q31" s="403">
        <f>+'Cuadro 1'!U43/'Cuadro 2'!U42*100</f>
        <v>110.06787330316743</v>
      </c>
      <c r="R31" s="403">
        <f>+'Cuadro 1'!V43/'Cuadro 2'!V42*100</f>
        <v>101.52008686210641</v>
      </c>
      <c r="S31" s="403">
        <f>+'Cuadro 1'!W43/'Cuadro 2'!W42*100</f>
        <v>107.55064456721914</v>
      </c>
      <c r="T31" s="403">
        <f>+'Cuadro 1'!X43/'Cuadro 2'!X42*100</f>
        <v>119.05759162303664</v>
      </c>
      <c r="U31" s="403">
        <f>+'Cuadro 1'!Y43/'Cuadro 2'!Y42*100</f>
        <v>125.41011273881048</v>
      </c>
    </row>
    <row r="32" spans="1:21" x14ac:dyDescent="0.35">
      <c r="A32" s="399" t="s">
        <v>170</v>
      </c>
      <c r="B32" s="403">
        <f>+'Cuadro 1'!F44/'Cuadro 2'!F43*100</f>
        <v>90.646492434662989</v>
      </c>
      <c r="C32" s="403">
        <f>+'Cuadro 1'!G44/'Cuadro 2'!G43*100</f>
        <v>92.866242038216569</v>
      </c>
      <c r="D32" s="403">
        <f>+'Cuadro 1'!H44/'Cuadro 2'!H43*100</f>
        <v>94.961708988311173</v>
      </c>
      <c r="E32" s="403">
        <f>+'Cuadro 1'!I44/'Cuadro 2'!I43*100</f>
        <v>96.009298721425807</v>
      </c>
      <c r="F32" s="403">
        <f>+'Cuadro 1'!J44/'Cuadro 2'!J43*100</f>
        <v>102.47199691000387</v>
      </c>
      <c r="G32" s="403">
        <f>+'Cuadro 1'!K44/'Cuadro 2'!K43*100</f>
        <v>84.868183459732762</v>
      </c>
      <c r="H32" s="403">
        <f>+'Cuadro 1'!L44/'Cuadro 2'!L43*100</f>
        <v>80.458174245053797</v>
      </c>
      <c r="I32" s="403">
        <f>+'Cuadro 1'!M44/'Cuadro 2'!M43*100</f>
        <v>84.40950150552024</v>
      </c>
      <c r="J32" s="403">
        <f>+'Cuadro 1'!N44/'Cuadro 2'!N43*100</f>
        <v>86.176961602671128</v>
      </c>
      <c r="K32" s="403">
        <f>+'Cuadro 1'!O44/'Cuadro 2'!O43*100</f>
        <v>84.797189396359002</v>
      </c>
      <c r="L32" s="403">
        <f>+'Cuadro 1'!P44/'Cuadro 2'!P43*100</f>
        <v>100</v>
      </c>
      <c r="M32" s="403">
        <f>+'Cuadro 1'!Q44/'Cuadro 2'!Q43*100</f>
        <v>89.82122260668973</v>
      </c>
      <c r="N32" s="403">
        <f>+'Cuadro 1'!R44/'Cuadro 2'!R43*100</f>
        <v>91.645640594336982</v>
      </c>
      <c r="O32" s="403">
        <f>+'Cuadro 1'!S44/'Cuadro 2'!S43*100</f>
        <v>93.849473968168326</v>
      </c>
      <c r="P32" s="403">
        <f>+'Cuadro 1'!T44/'Cuadro 2'!T43*100</f>
        <v>101.30007959671002</v>
      </c>
      <c r="Q32" s="403">
        <f>+'Cuadro 1'!U44/'Cuadro 2'!U43*100</f>
        <v>106.78014184397162</v>
      </c>
      <c r="R32" s="403">
        <f>+'Cuadro 1'!V44/'Cuadro 2'!V43*100</f>
        <v>117.20519193592931</v>
      </c>
      <c r="S32" s="403">
        <f>+'Cuadro 1'!W44/'Cuadro 2'!W43*100</f>
        <v>148.24861732947062</v>
      </c>
      <c r="T32" s="403">
        <f>+'Cuadro 1'!X44/'Cuadro 2'!X43*100</f>
        <v>149.12551440329219</v>
      </c>
      <c r="U32" s="403">
        <f>+'Cuadro 1'!Y44/'Cuadro 2'!Y43*100</f>
        <v>149.28622849878229</v>
      </c>
    </row>
    <row r="33" spans="1:21" x14ac:dyDescent="0.35">
      <c r="A33" s="400" t="s">
        <v>168</v>
      </c>
      <c r="B33" s="403">
        <f>+'Cuadro 1'!F45/'Cuadro 2'!F44*100</f>
        <v>61.927877947295414</v>
      </c>
      <c r="C33" s="403">
        <f>+'Cuadro 1'!G45/'Cuadro 2'!G44*100</f>
        <v>67.333333333333329</v>
      </c>
      <c r="D33" s="403">
        <f>+'Cuadro 1'!H45/'Cuadro 2'!H44*100</f>
        <v>71.393034825870643</v>
      </c>
      <c r="E33" s="403">
        <f>+'Cuadro 1'!I45/'Cuadro 2'!I44*100</f>
        <v>75.367647058823522</v>
      </c>
      <c r="F33" s="403">
        <f>+'Cuadro 1'!J45/'Cuadro 2'!J44*100</f>
        <v>80.920654149000597</v>
      </c>
      <c r="G33" s="403">
        <f>+'Cuadro 1'!K45/'Cuadro 2'!K44*100</f>
        <v>87.07224334600761</v>
      </c>
      <c r="H33" s="403">
        <f>+'Cuadro 1'!L45/'Cuadro 2'!L44*100</f>
        <v>91.825445605408731</v>
      </c>
      <c r="I33" s="403">
        <f>+'Cuadro 1'!M45/'Cuadro 2'!M44*100</f>
        <v>95.875672444710105</v>
      </c>
      <c r="J33" s="403">
        <f>+'Cuadro 1'!N45/'Cuadro 2'!N44*100</f>
        <v>101.22473974280466</v>
      </c>
      <c r="K33" s="403">
        <f>+'Cuadro 1'!O45/'Cuadro 2'!O44*100</f>
        <v>103.18153462258266</v>
      </c>
      <c r="L33" s="403">
        <f>+'Cuadro 1'!P45/'Cuadro 2'!P44*100</f>
        <v>100</v>
      </c>
      <c r="M33" s="403">
        <f>+'Cuadro 1'!Q45/'Cuadro 2'!Q44*100</f>
        <v>92.212885154061624</v>
      </c>
      <c r="N33" s="403">
        <f>+'Cuadro 1'!R45/'Cuadro 2'!R44*100</f>
        <v>83.449477351916386</v>
      </c>
      <c r="O33" s="403">
        <f>+'Cuadro 1'!S45/'Cuadro 2'!S44*100</f>
        <v>84.759671746776093</v>
      </c>
      <c r="P33" s="403">
        <f>+'Cuadro 1'!T45/'Cuadro 2'!T44*100</f>
        <v>87.935174069627848</v>
      </c>
      <c r="Q33" s="403">
        <f>+'Cuadro 1'!U45/'Cuadro 2'!U44*100</f>
        <v>91.310072416063207</v>
      </c>
      <c r="R33" s="403">
        <f>+'Cuadro 1'!V45/'Cuadro 2'!V44*100</f>
        <v>92.390653085680057</v>
      </c>
      <c r="S33" s="403">
        <f>+'Cuadro 1'!W45/'Cuadro 2'!W44*100</f>
        <v>103.24499729583559</v>
      </c>
      <c r="T33" s="403">
        <f>+'Cuadro 1'!X45/'Cuadro 2'!X44*100</f>
        <v>107.00496414782128</v>
      </c>
      <c r="U33" s="403">
        <f>+'Cuadro 1'!Y45/'Cuadro 2'!Y44*100</f>
        <v>107.24718578472417</v>
      </c>
    </row>
    <row r="34" spans="1:21" x14ac:dyDescent="0.35">
      <c r="A34" s="401" t="s">
        <v>166</v>
      </c>
      <c r="B34" s="403">
        <f>+'Cuadro 1'!F46/'Cuadro 2'!F45*100</f>
        <v>57.257973839061506</v>
      </c>
      <c r="C34" s="403">
        <f>+'Cuadro 1'!G46/'Cuadro 2'!G45*100</f>
        <v>61.172489987570778</v>
      </c>
      <c r="D34" s="403">
        <f>+'Cuadro 1'!H46/'Cuadro 2'!H45*100</f>
        <v>64.621742920796876</v>
      </c>
      <c r="E34" s="403">
        <f>+'Cuadro 1'!I46/'Cuadro 2'!I45*100</f>
        <v>68.905021173623709</v>
      </c>
      <c r="F34" s="403">
        <f>+'Cuadro 1'!J46/'Cuadro 2'!J45*100</f>
        <v>72.044880417309145</v>
      </c>
      <c r="G34" s="403">
        <f>+'Cuadro 1'!K46/'Cuadro 2'!K45*100</f>
        <v>76.273441048601654</v>
      </c>
      <c r="H34" s="403">
        <f>+'Cuadro 1'!L46/'Cuadro 2'!L45*100</f>
        <v>81.121512481644643</v>
      </c>
      <c r="I34" s="403">
        <f>+'Cuadro 1'!M46/'Cuadro 2'!M45*100</f>
        <v>86.468505859375</v>
      </c>
      <c r="J34" s="403">
        <f>+'Cuadro 1'!N46/'Cuadro 2'!N45*100</f>
        <v>89.779120033161604</v>
      </c>
      <c r="K34" s="403">
        <f>+'Cuadro 1'!O46/'Cuadro 2'!O45*100</f>
        <v>92.666590007474269</v>
      </c>
      <c r="L34" s="403">
        <f>+'Cuadro 1'!P46/'Cuadro 2'!P45*100</f>
        <v>100</v>
      </c>
      <c r="M34" s="403">
        <f>+'Cuadro 1'!Q46/'Cuadro 2'!Q45*100</f>
        <v>102.77770286669723</v>
      </c>
      <c r="N34" s="403">
        <f>+'Cuadro 1'!R46/'Cuadro 2'!R45*100</f>
        <v>105.26159814645186</v>
      </c>
      <c r="O34" s="403">
        <f>+'Cuadro 1'!S46/'Cuadro 2'!S45*100</f>
        <v>112.17530305048622</v>
      </c>
      <c r="P34" s="403">
        <f>+'Cuadro 1'!T46/'Cuadro 2'!T45*100</f>
        <v>118.69709433461591</v>
      </c>
      <c r="Q34" s="403">
        <f>+'Cuadro 1'!U46/'Cuadro 2'!U45*100</f>
        <v>118.10861036547595</v>
      </c>
      <c r="R34" s="403">
        <f>+'Cuadro 1'!V46/'Cuadro 2'!V45*100</f>
        <v>132.87112134372873</v>
      </c>
      <c r="S34" s="403">
        <f>+'Cuadro 1'!W46/'Cuadro 2'!W45*100</f>
        <v>151.85822859532183</v>
      </c>
      <c r="T34" s="403">
        <f>+'Cuadro 1'!X46/'Cuadro 2'!X45*100</f>
        <v>168.32028718153262</v>
      </c>
      <c r="U34" s="403">
        <f>+'Cuadro 1'!Y46/'Cuadro 2'!Y45*100</f>
        <v>172.97637347732297</v>
      </c>
    </row>
    <row r="35" spans="1:21" x14ac:dyDescent="0.35">
      <c r="A35" s="400" t="s">
        <v>164</v>
      </c>
      <c r="B35" s="403">
        <f>+'Cuadro 1'!F47/'Cuadro 2'!F46*100</f>
        <v>35.08903937797843</v>
      </c>
      <c r="C35" s="403">
        <f>+'Cuadro 1'!G47/'Cuadro 2'!G46*100</f>
        <v>41.383509925709419</v>
      </c>
      <c r="D35" s="403">
        <f>+'Cuadro 1'!H47/'Cuadro 2'!H46*100</f>
        <v>47.221894538162083</v>
      </c>
      <c r="E35" s="403">
        <f>+'Cuadro 1'!I47/'Cuadro 2'!I46*100</f>
        <v>53.990333608393257</v>
      </c>
      <c r="F35" s="403">
        <f>+'Cuadro 1'!J47/'Cuadro 2'!J46*100</f>
        <v>47.483668037744984</v>
      </c>
      <c r="G35" s="403">
        <f>+'Cuadro 1'!K47/'Cuadro 2'!K46*100</f>
        <v>58.246639392168319</v>
      </c>
      <c r="H35" s="403">
        <f>+'Cuadro 1'!L47/'Cuadro 2'!L46*100</f>
        <v>74.011755214936031</v>
      </c>
      <c r="I35" s="403">
        <f>+'Cuadro 1'!M47/'Cuadro 2'!M46*100</f>
        <v>79.596735477676432</v>
      </c>
      <c r="J35" s="403">
        <f>+'Cuadro 1'!N47/'Cuadro 2'!N46*100</f>
        <v>78.160270880361168</v>
      </c>
      <c r="K35" s="403">
        <f>+'Cuadro 1'!O47/'Cuadro 2'!O46*100</f>
        <v>90.303179084325507</v>
      </c>
      <c r="L35" s="403">
        <f>+'Cuadro 1'!P47/'Cuadro 2'!P46*100</f>
        <v>100</v>
      </c>
      <c r="M35" s="403">
        <f>+'Cuadro 1'!Q47/'Cuadro 2'!Q46*100</f>
        <v>91.998265206548851</v>
      </c>
      <c r="N35" s="403">
        <f>+'Cuadro 1'!R47/'Cuadro 2'!R46*100</f>
        <v>108.46888979259862</v>
      </c>
      <c r="O35" s="403">
        <f>+'Cuadro 1'!S47/'Cuadro 2'!S46*100</f>
        <v>126.34701419957206</v>
      </c>
      <c r="P35" s="403">
        <f>+'Cuadro 1'!T47/'Cuadro 2'!T46*100</f>
        <v>140.59134521245349</v>
      </c>
      <c r="Q35" s="403">
        <f>+'Cuadro 1'!U47/'Cuadro 2'!U46*100</f>
        <v>113.78928729526339</v>
      </c>
      <c r="R35" s="403">
        <f>+'Cuadro 1'!V47/'Cuadro 2'!V46*100</f>
        <v>142.08000000000001</v>
      </c>
      <c r="S35" s="403">
        <f>+'Cuadro 1'!W47/'Cuadro 2'!W46*100</f>
        <v>173.89435989256938</v>
      </c>
      <c r="T35" s="403">
        <f>+'Cuadro 1'!X47/'Cuadro 2'!X46*100</f>
        <v>190.70311846835548</v>
      </c>
      <c r="U35" s="403">
        <f>+'Cuadro 1'!Y47/'Cuadro 2'!Y46*100</f>
        <v>198.82591394830519</v>
      </c>
    </row>
    <row r="36" spans="1:21" x14ac:dyDescent="0.35">
      <c r="A36" s="399" t="s">
        <v>162</v>
      </c>
      <c r="B36" s="403">
        <f>+'Cuadro 1'!F48/'Cuadro 2'!F47*100</f>
        <v>66.064279995424911</v>
      </c>
      <c r="C36" s="403">
        <f>+'Cuadro 1'!G48/'Cuadro 2'!G47*100</f>
        <v>68.91405588484335</v>
      </c>
      <c r="D36" s="403">
        <f>+'Cuadro 1'!H48/'Cuadro 2'!H47*100</f>
        <v>70.316831683168317</v>
      </c>
      <c r="E36" s="403">
        <f>+'Cuadro 1'!I48/'Cuadro 2'!I47*100</f>
        <v>73.793103448275872</v>
      </c>
      <c r="F36" s="403">
        <f>+'Cuadro 1'!J48/'Cuadro 2'!J47*100</f>
        <v>83.620860598849887</v>
      </c>
      <c r="G36" s="403">
        <f>+'Cuadro 1'!K48/'Cuadro 2'!K47*100</f>
        <v>88.056640625</v>
      </c>
      <c r="H36" s="403">
        <f>+'Cuadro 1'!L48/'Cuadro 2'!L47*100</f>
        <v>86.833239752947776</v>
      </c>
      <c r="I36" s="403">
        <f>+'Cuadro 1'!M48/'Cuadro 2'!M47*100</f>
        <v>88.491403216860789</v>
      </c>
      <c r="J36" s="403">
        <f>+'Cuadro 1'!N48/'Cuadro 2'!N47*100</f>
        <v>93.249663827879871</v>
      </c>
      <c r="K36" s="403">
        <f>+'Cuadro 1'!O48/'Cuadro 2'!O47*100</f>
        <v>93.922701021768106</v>
      </c>
      <c r="L36" s="403">
        <f>+'Cuadro 1'!P48/'Cuadro 2'!P47*100</f>
        <v>100</v>
      </c>
      <c r="M36" s="403">
        <f>+'Cuadro 1'!Q48/'Cuadro 2'!Q47*100</f>
        <v>111.55695572873488</v>
      </c>
      <c r="N36" s="403">
        <f>+'Cuadro 1'!R48/'Cuadro 2'!R47*100</f>
        <v>113.00698138297874</v>
      </c>
      <c r="O36" s="403">
        <f>+'Cuadro 1'!S48/'Cuadro 2'!S47*100</f>
        <v>116.23519804001634</v>
      </c>
      <c r="P36" s="403">
        <f>+'Cuadro 1'!T48/'Cuadro 2'!T47*100</f>
        <v>120.54498961163497</v>
      </c>
      <c r="Q36" s="403">
        <f>+'Cuadro 1'!U48/'Cuadro 2'!U47*100</f>
        <v>132.85135916714864</v>
      </c>
      <c r="R36" s="403">
        <f>+'Cuadro 1'!V48/'Cuadro 2'!V47*100</f>
        <v>149.08233212943171</v>
      </c>
      <c r="S36" s="403">
        <f>+'Cuadro 1'!W48/'Cuadro 2'!W47*100</f>
        <v>165.90048861055675</v>
      </c>
      <c r="T36" s="403">
        <f>+'Cuadro 1'!X48/'Cuadro 2'!X47*100</f>
        <v>184.52903504353458</v>
      </c>
      <c r="U36" s="403">
        <f>+'Cuadro 1'!Y48/'Cuadro 2'!Y47*100</f>
        <v>186.34934170782972</v>
      </c>
    </row>
    <row r="37" spans="1:21" x14ac:dyDescent="0.35">
      <c r="A37" s="400" t="s">
        <v>160</v>
      </c>
      <c r="B37" s="403">
        <f>+'Cuadro 1'!F49/'Cuadro 2'!F48*100</f>
        <v>98.317757009345797</v>
      </c>
      <c r="C37" s="403">
        <f>+'Cuadro 1'!G49/'Cuadro 2'!G48*100</f>
        <v>101.78015131286161</v>
      </c>
      <c r="D37" s="403">
        <f>+'Cuadro 1'!H49/'Cuadro 2'!H48*100</f>
        <v>101.69701986754967</v>
      </c>
      <c r="E37" s="403">
        <f>+'Cuadro 1'!I49/'Cuadro 2'!I48*100</f>
        <v>104.41783649876135</v>
      </c>
      <c r="F37" s="403">
        <f>+'Cuadro 1'!J49/'Cuadro 2'!J48*100</f>
        <v>103.57142857142858</v>
      </c>
      <c r="G37" s="403">
        <f>+'Cuadro 1'!K49/'Cuadro 2'!K48*100</f>
        <v>96.930533117932143</v>
      </c>
      <c r="H37" s="403">
        <f>+'Cuadro 1'!L49/'Cuadro 2'!L48*100</f>
        <v>94.053030303030312</v>
      </c>
      <c r="I37" s="403">
        <f>+'Cuadro 1'!M49/'Cuadro 2'!M48*100</f>
        <v>104.8165137614679</v>
      </c>
      <c r="J37" s="403">
        <f>+'Cuadro 1'!N49/'Cuadro 2'!N48*100</f>
        <v>101.90403655750191</v>
      </c>
      <c r="K37" s="403">
        <f>+'Cuadro 1'!O49/'Cuadro 2'!O48*100</f>
        <v>93.646616541353382</v>
      </c>
      <c r="L37" s="403">
        <f>+'Cuadro 1'!P49/'Cuadro 2'!P48*100</f>
        <v>100</v>
      </c>
      <c r="M37" s="403">
        <f>+'Cuadro 1'!Q49/'Cuadro 2'!Q48*100</f>
        <v>100.10467550593161</v>
      </c>
      <c r="N37" s="403">
        <f>+'Cuadro 1'!R49/'Cuadro 2'!R48*100</f>
        <v>96.6089720946662</v>
      </c>
      <c r="O37" s="403">
        <f>+'Cuadro 1'!S49/'Cuadro 2'!S48*100</f>
        <v>100.71380013596195</v>
      </c>
      <c r="P37" s="403">
        <f>+'Cuadro 1'!T49/'Cuadro 2'!T48*100</f>
        <v>104.85564304461943</v>
      </c>
      <c r="Q37" s="403">
        <f>+'Cuadro 1'!U49/'Cuadro 2'!U48*100</f>
        <v>107.41367637102235</v>
      </c>
      <c r="R37" s="403">
        <f>+'Cuadro 1'!V49/'Cuadro 2'!V48*100</f>
        <v>106.3913470993117</v>
      </c>
      <c r="S37" s="403">
        <f>+'Cuadro 1'!W49/'Cuadro 2'!W48*100</f>
        <v>111.92228436856048</v>
      </c>
      <c r="T37" s="403">
        <f>+'Cuadro 1'!X49/'Cuadro 2'!X48*100</f>
        <v>117.37179487179488</v>
      </c>
      <c r="U37" s="403">
        <f>+'Cuadro 1'!Y49/'Cuadro 2'!Y48*100</f>
        <v>116.97149532860669</v>
      </c>
    </row>
    <row r="38" spans="1:21" x14ac:dyDescent="0.35">
      <c r="A38" s="399" t="s">
        <v>158</v>
      </c>
      <c r="B38" s="403">
        <f>+'Cuadro 1'!F50/'Cuadro 2'!F49*100</f>
        <v>56.353388065188092</v>
      </c>
      <c r="C38" s="403">
        <f>+'Cuadro 1'!G50/'Cuadro 2'!G49*100</f>
        <v>59.248927038626611</v>
      </c>
      <c r="D38" s="403">
        <f>+'Cuadro 1'!H50/'Cuadro 2'!H49*100</f>
        <v>63.510188010630962</v>
      </c>
      <c r="E38" s="403">
        <f>+'Cuadro 1'!I50/'Cuadro 2'!I49*100</f>
        <v>66.855967884069329</v>
      </c>
      <c r="F38" s="403">
        <f>+'Cuadro 1'!J50/'Cuadro 2'!J49*100</f>
        <v>72.174266273992089</v>
      </c>
      <c r="G38" s="403">
        <f>+'Cuadro 1'!K50/'Cuadro 2'!K49*100</f>
        <v>73.122814235753964</v>
      </c>
      <c r="H38" s="403">
        <f>+'Cuadro 1'!L50/'Cuadro 2'!L49*100</f>
        <v>77.043269230769226</v>
      </c>
      <c r="I38" s="403">
        <f>+'Cuadro 1'!M50/'Cuadro 2'!M49*100</f>
        <v>84.476241900647949</v>
      </c>
      <c r="J38" s="403">
        <f>+'Cuadro 1'!N50/'Cuadro 2'!N49*100</f>
        <v>91.480496453900713</v>
      </c>
      <c r="K38" s="403">
        <f>+'Cuadro 1'!O50/'Cuadro 2'!O49*100</f>
        <v>92.725417876481202</v>
      </c>
      <c r="L38" s="403">
        <f>+'Cuadro 1'!P50/'Cuadro 2'!P49*100</f>
        <v>100</v>
      </c>
      <c r="M38" s="403">
        <f>+'Cuadro 1'!Q50/'Cuadro 2'!Q49*100</f>
        <v>102.86929621036349</v>
      </c>
      <c r="N38" s="403">
        <f>+'Cuadro 1'!R50/'Cuadro 2'!R49*100</f>
        <v>96.67601121345615</v>
      </c>
      <c r="O38" s="403">
        <f>+'Cuadro 1'!S50/'Cuadro 2'!S49*100</f>
        <v>98.675277363801953</v>
      </c>
      <c r="P38" s="403">
        <f>+'Cuadro 1'!T50/'Cuadro 2'!T49*100</f>
        <v>101.51133501259446</v>
      </c>
      <c r="Q38" s="403">
        <f>+'Cuadro 1'!U50/'Cuadro 2'!U49*100</f>
        <v>108.28695114409399</v>
      </c>
      <c r="R38" s="403">
        <f>+'Cuadro 1'!V50/'Cuadro 2'!V49*100</f>
        <v>112.57716760342763</v>
      </c>
      <c r="S38" s="403">
        <f>+'Cuadro 1'!W50/'Cuadro 2'!W49*100</f>
        <v>125.99912549191079</v>
      </c>
      <c r="T38" s="403">
        <f>+'Cuadro 1'!X50/'Cuadro 2'!X49*100</f>
        <v>143.02692664809658</v>
      </c>
      <c r="U38" s="403">
        <f>+'Cuadro 1'!Y50/'Cuadro 2'!Y49*100</f>
        <v>149.32695276938932</v>
      </c>
    </row>
    <row r="39" spans="1:21" x14ac:dyDescent="0.35">
      <c r="A39" s="398" t="s">
        <v>156</v>
      </c>
      <c r="B39" s="403">
        <f>+'Cuadro 1'!F51/'Cuadro 2'!F50*100</f>
        <v>77.042216125320834</v>
      </c>
      <c r="C39" s="403">
        <f>+'Cuadro 1'!G51/'Cuadro 2'!G50*100</f>
        <v>82.046316468974425</v>
      </c>
      <c r="D39" s="403">
        <f>+'Cuadro 1'!H51/'Cuadro 2'!H50*100</f>
        <v>84.898791320809678</v>
      </c>
      <c r="E39" s="403">
        <f>+'Cuadro 1'!I51/'Cuadro 2'!I50*100</f>
        <v>86.080642669550443</v>
      </c>
      <c r="F39" s="403">
        <f>+'Cuadro 1'!J51/'Cuadro 2'!J50*100</f>
        <v>91.65557404326124</v>
      </c>
      <c r="G39" s="403">
        <f>+'Cuadro 1'!K51/'Cuadro 2'!K50*100</f>
        <v>93.521619975639467</v>
      </c>
      <c r="H39" s="403">
        <f>+'Cuadro 1'!L51/'Cuadro 2'!L50*100</f>
        <v>91.313781759641628</v>
      </c>
      <c r="I39" s="403">
        <f>+'Cuadro 1'!M51/'Cuadro 2'!M50*100</f>
        <v>100.92401048131292</v>
      </c>
      <c r="J39" s="403">
        <f>+'Cuadro 1'!N51/'Cuadro 2'!N50*100</f>
        <v>101.23094139040425</v>
      </c>
      <c r="K39" s="403">
        <f>+'Cuadro 1'!O51/'Cuadro 2'!O50*100</f>
        <v>98.713977915432267</v>
      </c>
      <c r="L39" s="403">
        <f>+'Cuadro 1'!P51/'Cuadro 2'!P50*100</f>
        <v>100</v>
      </c>
      <c r="M39" s="403">
        <f>+'Cuadro 1'!Q51/'Cuadro 2'!Q50*100</f>
        <v>102.51522892513263</v>
      </c>
      <c r="N39" s="403">
        <f>+'Cuadro 1'!R51/'Cuadro 2'!R50*100</f>
        <v>99.679417122040064</v>
      </c>
      <c r="O39" s="403">
        <f>+'Cuadro 1'!S51/'Cuadro 2'!S50*100</f>
        <v>104.24030786773091</v>
      </c>
      <c r="P39" s="403">
        <f>+'Cuadro 1'!T51/'Cuadro 2'!T50*100</f>
        <v>113.14261733230748</v>
      </c>
      <c r="Q39" s="403">
        <f>+'Cuadro 1'!U51/'Cuadro 2'!U50*100</f>
        <v>117.21797472304571</v>
      </c>
      <c r="R39" s="403">
        <f>+'Cuadro 1'!V51/'Cuadro 2'!V50*100</f>
        <v>116.54382732297972</v>
      </c>
      <c r="S39" s="403">
        <f>+'Cuadro 1'!W51/'Cuadro 2'!W50*100</f>
        <v>127.33247271447013</v>
      </c>
      <c r="T39" s="403">
        <f>+'Cuadro 1'!X51/'Cuadro 2'!X50*100</f>
        <v>134.88787580088714</v>
      </c>
      <c r="U39" s="403">
        <f>+'Cuadro 1'!Y51/'Cuadro 2'!Y50*100</f>
        <v>138.01191044239673</v>
      </c>
    </row>
    <row r="40" spans="1:21" x14ac:dyDescent="0.35">
      <c r="A40" s="399" t="s">
        <v>154</v>
      </c>
      <c r="B40" s="403">
        <f>+'Cuadro 1'!F52/'Cuadro 2'!F51*100</f>
        <v>49.322673773040194</v>
      </c>
      <c r="C40" s="403">
        <f>+'Cuadro 1'!G52/'Cuadro 2'!G51*100</f>
        <v>56.734947237740528</v>
      </c>
      <c r="D40" s="403">
        <f>+'Cuadro 1'!H52/'Cuadro 2'!H51*100</f>
        <v>60.895404120443743</v>
      </c>
      <c r="E40" s="403">
        <f>+'Cuadro 1'!I52/'Cuadro 2'!I51*100</f>
        <v>69.299785449580654</v>
      </c>
      <c r="F40" s="403">
        <f>+'Cuadro 1'!J52/'Cuadro 2'!J51*100</f>
        <v>71.947900466562984</v>
      </c>
      <c r="G40" s="403">
        <f>+'Cuadro 1'!K52/'Cuadro 2'!K51*100</f>
        <v>81.184210526315795</v>
      </c>
      <c r="H40" s="403">
        <f>+'Cuadro 1'!L52/'Cuadro 2'!L51*100</f>
        <v>92.309061776749161</v>
      </c>
      <c r="I40" s="403">
        <f>+'Cuadro 1'!M52/'Cuadro 2'!M51*100</f>
        <v>99.221991701244818</v>
      </c>
      <c r="J40" s="403">
        <f>+'Cuadro 1'!N52/'Cuadro 2'!N51*100</f>
        <v>96.447155930378614</v>
      </c>
      <c r="K40" s="403">
        <f>+'Cuadro 1'!O52/'Cuadro 2'!O51*100</f>
        <v>97.637390857729841</v>
      </c>
      <c r="L40" s="403">
        <f>+'Cuadro 1'!P52/'Cuadro 2'!P51*100</f>
        <v>100</v>
      </c>
      <c r="M40" s="403">
        <f>+'Cuadro 1'!Q52/'Cuadro 2'!Q51*100</f>
        <v>102.54374594944913</v>
      </c>
      <c r="N40" s="403">
        <f>+'Cuadro 1'!R52/'Cuadro 2'!R51*100</f>
        <v>108.77869283336254</v>
      </c>
      <c r="O40" s="403">
        <f>+'Cuadro 1'!S52/'Cuadro 2'!S51*100</f>
        <v>118.85551803803092</v>
      </c>
      <c r="P40" s="403">
        <f>+'Cuadro 1'!T52/'Cuadro 2'!T51*100</f>
        <v>135.26714865103156</v>
      </c>
      <c r="Q40" s="403">
        <f>+'Cuadro 1'!U52/'Cuadro 2'!U51*100</f>
        <v>148.32336414718142</v>
      </c>
      <c r="R40" s="403">
        <f>+'Cuadro 1'!V52/'Cuadro 2'!V51*100</f>
        <v>147.1362344848213</v>
      </c>
      <c r="S40" s="403">
        <f>+'Cuadro 1'!W52/'Cuadro 2'!W51*100</f>
        <v>161.05854929384341</v>
      </c>
      <c r="T40" s="403">
        <f>+'Cuadro 1'!X52/'Cuadro 2'!X51*100</f>
        <v>165.07300314915545</v>
      </c>
      <c r="U40" s="403">
        <f>+'Cuadro 1'!Y52/'Cuadro 2'!Y51*100</f>
        <v>170.90279379183318</v>
      </c>
    </row>
    <row r="41" spans="1:21" x14ac:dyDescent="0.35">
      <c r="A41" s="400" t="s">
        <v>152</v>
      </c>
      <c r="B41" s="403">
        <f>+'Cuadro 1'!F53/'Cuadro 2'!F52*100</f>
        <v>87.708333333333329</v>
      </c>
      <c r="C41" s="403">
        <f>+'Cuadro 1'!G53/'Cuadro 2'!G52*100</f>
        <v>95.846444304594087</v>
      </c>
      <c r="D41" s="403">
        <f>+'Cuadro 1'!H53/'Cuadro 2'!H52*100</f>
        <v>105.6513979773944</v>
      </c>
      <c r="E41" s="403">
        <f>+'Cuadro 1'!I53/'Cuadro 2'!I52*100</f>
        <v>112.39721695129666</v>
      </c>
      <c r="F41" s="403">
        <f>+'Cuadro 1'!J53/'Cuadro 2'!J52*100</f>
        <v>115.98388179986567</v>
      </c>
      <c r="G41" s="403">
        <f>+'Cuadro 1'!K53/'Cuadro 2'!K52*100</f>
        <v>110.5263157894737</v>
      </c>
      <c r="H41" s="403">
        <f>+'Cuadro 1'!L53/'Cuadro 2'!L52*100</f>
        <v>94.65270121278941</v>
      </c>
      <c r="I41" s="403">
        <f>+'Cuadro 1'!M53/'Cuadro 2'!M52*100</f>
        <v>100</v>
      </c>
      <c r="J41" s="403">
        <f>+'Cuadro 1'!N53/'Cuadro 2'!N52*100</f>
        <v>97.70992366412213</v>
      </c>
      <c r="K41" s="403">
        <f>+'Cuadro 1'!O53/'Cuadro 2'!O52*100</f>
        <v>93.107162089391494</v>
      </c>
      <c r="L41" s="403">
        <f>+'Cuadro 1'!P53/'Cuadro 2'!P52*100</f>
        <v>100</v>
      </c>
      <c r="M41" s="403">
        <f>+'Cuadro 1'!Q53/'Cuadro 2'!Q52*100</f>
        <v>103.86686245717082</v>
      </c>
      <c r="N41" s="403">
        <f>+'Cuadro 1'!R53/'Cuadro 2'!R52*100</f>
        <v>101.03092783505154</v>
      </c>
      <c r="O41" s="403">
        <f>+'Cuadro 1'!S53/'Cuadro 2'!S52*100</f>
        <v>103.4296913277805</v>
      </c>
      <c r="P41" s="403">
        <f>+'Cuadro 1'!T53/'Cuadro 2'!T52*100</f>
        <v>105.34531693472091</v>
      </c>
      <c r="Q41" s="403">
        <f>+'Cuadro 1'!U53/'Cuadro 2'!U52*100</f>
        <v>108.3208769307424</v>
      </c>
      <c r="R41" s="403">
        <f>+'Cuadro 1'!V53/'Cuadro 2'!V52*100</f>
        <v>102.50215703192407</v>
      </c>
      <c r="S41" s="403">
        <f>+'Cuadro 1'!W53/'Cuadro 2'!W52*100</f>
        <v>110.16042780748663</v>
      </c>
      <c r="T41" s="403">
        <f>+'Cuadro 1'!X53/'Cuadro 2'!X52*100</f>
        <v>125.16080211880438</v>
      </c>
      <c r="U41" s="403">
        <f>+'Cuadro 1'!Y53/'Cuadro 2'!Y52*100</f>
        <v>126.21137955006414</v>
      </c>
    </row>
    <row r="42" spans="1:21" x14ac:dyDescent="0.35">
      <c r="A42" s="399" t="s">
        <v>150</v>
      </c>
      <c r="B42" s="403">
        <f>+'Cuadro 1'!F54/'Cuadro 2'!F53*100</f>
        <v>88.340080971659916</v>
      </c>
      <c r="C42" s="403">
        <f>+'Cuadro 1'!G54/'Cuadro 2'!G53*100</f>
        <v>91.426403641881635</v>
      </c>
      <c r="D42" s="403">
        <f>+'Cuadro 1'!H54/'Cuadro 2'!H53*100</f>
        <v>91.873278236914601</v>
      </c>
      <c r="E42" s="403">
        <f>+'Cuadro 1'!I54/'Cuadro 2'!I53*100</f>
        <v>91.969972702456786</v>
      </c>
      <c r="F42" s="403">
        <f>+'Cuadro 1'!J54/'Cuadro 2'!J53*100</f>
        <v>104.03204962522616</v>
      </c>
      <c r="G42" s="403">
        <f>+'Cuadro 1'!K54/'Cuadro 2'!K53*100</f>
        <v>94.536182612918893</v>
      </c>
      <c r="H42" s="403">
        <f>+'Cuadro 1'!L54/'Cuadro 2'!L53*100</f>
        <v>93.921113689095122</v>
      </c>
      <c r="I42" s="403">
        <f>+'Cuadro 1'!M54/'Cuadro 2'!M53*100</f>
        <v>102.94526901669758</v>
      </c>
      <c r="J42" s="403">
        <f>+'Cuadro 1'!N54/'Cuadro 2'!N53*100</f>
        <v>105.41573033707866</v>
      </c>
      <c r="K42" s="403">
        <f>+'Cuadro 1'!O54/'Cuadro 2'!O53*100</f>
        <v>99.054321530679573</v>
      </c>
      <c r="L42" s="403">
        <f>+'Cuadro 1'!P54/'Cuadro 2'!P53*100</f>
        <v>100</v>
      </c>
      <c r="M42" s="403">
        <f>+'Cuadro 1'!Q54/'Cuadro 2'!Q53*100</f>
        <v>100.88591184096802</v>
      </c>
      <c r="N42" s="403">
        <f>+'Cuadro 1'!R54/'Cuadro 2'!R53*100</f>
        <v>85.341418402320073</v>
      </c>
      <c r="O42" s="403">
        <f>+'Cuadro 1'!S54/'Cuadro 2'!S53*100</f>
        <v>85.879036391594056</v>
      </c>
      <c r="P42" s="403">
        <f>+'Cuadro 1'!T54/'Cuadro 2'!T53*100</f>
        <v>89.133700550826248</v>
      </c>
      <c r="Q42" s="403">
        <f>+'Cuadro 1'!U54/'Cuadro 2'!U53*100</f>
        <v>86.616161616161619</v>
      </c>
      <c r="R42" s="403">
        <f>+'Cuadro 1'!V54/'Cuadro 2'!V53*100</f>
        <v>86.192358366271407</v>
      </c>
      <c r="S42" s="403">
        <f>+'Cuadro 1'!W54/'Cuadro 2'!W53*100</f>
        <v>94.9164509296305</v>
      </c>
      <c r="T42" s="403">
        <f>+'Cuadro 1'!X54/'Cuadro 2'!X53*100</f>
        <v>94.557974233673932</v>
      </c>
      <c r="U42" s="403">
        <f>+'Cuadro 1'!Y54/'Cuadro 2'!Y53*100</f>
        <v>94.840007282247782</v>
      </c>
    </row>
    <row r="43" spans="1:21" x14ac:dyDescent="0.35">
      <c r="A43" s="400" t="s">
        <v>148</v>
      </c>
      <c r="B43" s="403">
        <f>+'Cuadro 1'!F55/'Cuadro 2'!F54*100</f>
        <v>116.29850746268657</v>
      </c>
      <c r="C43" s="403">
        <f>+'Cuadro 1'!G55/'Cuadro 2'!G54*100</f>
        <v>116.85393258426966</v>
      </c>
      <c r="D43" s="403">
        <f>+'Cuadro 1'!H55/'Cuadro 2'!H54*100</f>
        <v>116.75675675675676</v>
      </c>
      <c r="E43" s="403">
        <f>+'Cuadro 1'!I55/'Cuadro 2'!I54*100</f>
        <v>95.729729729729726</v>
      </c>
      <c r="F43" s="403">
        <f>+'Cuadro 1'!J55/'Cuadro 2'!J54*100</f>
        <v>96.602841260037067</v>
      </c>
      <c r="G43" s="403">
        <f>+'Cuadro 1'!K55/'Cuadro 2'!K54*100</f>
        <v>107.87704130643611</v>
      </c>
      <c r="H43" s="403">
        <f>+'Cuadro 1'!L55/'Cuadro 2'!L54*100</f>
        <v>83.108643933386205</v>
      </c>
      <c r="I43" s="403">
        <f>+'Cuadro 1'!M55/'Cuadro 2'!M54*100</f>
        <v>102.23880597014924</v>
      </c>
      <c r="J43" s="403">
        <f>+'Cuadro 1'!N55/'Cuadro 2'!N54*100</f>
        <v>107.61003702180172</v>
      </c>
      <c r="K43" s="403">
        <f>+'Cuadro 1'!O55/'Cuadro 2'!O54*100</f>
        <v>104.92876395841355</v>
      </c>
      <c r="L43" s="403">
        <f>+'Cuadro 1'!P55/'Cuadro 2'!P54*100</f>
        <v>100</v>
      </c>
      <c r="M43" s="403">
        <f>+'Cuadro 1'!Q55/'Cuadro 2'!Q54*100</f>
        <v>104.41419141914193</v>
      </c>
      <c r="N43" s="403">
        <f>+'Cuadro 1'!R55/'Cuadro 2'!R54*100</f>
        <v>100</v>
      </c>
      <c r="O43" s="403">
        <f>+'Cuadro 1'!S55/'Cuadro 2'!S54*100</f>
        <v>100.12126111560227</v>
      </c>
      <c r="P43" s="403">
        <f>+'Cuadro 1'!T55/'Cuadro 2'!T54*100</f>
        <v>106.83962264150944</v>
      </c>
      <c r="Q43" s="403">
        <f>+'Cuadro 1'!U55/'Cuadro 2'!U54*100</f>
        <v>96.579108124618202</v>
      </c>
      <c r="R43" s="403">
        <f>+'Cuadro 1'!V55/'Cuadro 2'!V54*100</f>
        <v>102.44127130354674</v>
      </c>
      <c r="S43" s="403">
        <f>+'Cuadro 1'!W55/'Cuadro 2'!W54*100</f>
        <v>111.73657100809417</v>
      </c>
      <c r="T43" s="403">
        <f>+'Cuadro 1'!X55/'Cuadro 2'!X54*100</f>
        <v>140.04004004004005</v>
      </c>
      <c r="U43" s="403">
        <f>+'Cuadro 1'!Y55/'Cuadro 2'!Y54*100</f>
        <v>143.39897924024464</v>
      </c>
    </row>
    <row r="44" spans="1:21" x14ac:dyDescent="0.35">
      <c r="A44" s="401" t="s">
        <v>146</v>
      </c>
      <c r="B44" s="403">
        <f>+'Cuadro 1'!F56/'Cuadro 2'!F55*100</f>
        <v>70.71396089131423</v>
      </c>
      <c r="C44" s="403">
        <f>+'Cuadro 1'!G56/'Cuadro 2'!G55*100</f>
        <v>74.249840391572675</v>
      </c>
      <c r="D44" s="403">
        <f>+'Cuadro 1'!H56/'Cuadro 2'!H55*100</f>
        <v>75.908452118048586</v>
      </c>
      <c r="E44" s="403">
        <f>+'Cuadro 1'!I56/'Cuadro 2'!I55*100</f>
        <v>77.690955264700136</v>
      </c>
      <c r="F44" s="403">
        <f>+'Cuadro 1'!J56/'Cuadro 2'!J55*100</f>
        <v>84.808537350910228</v>
      </c>
      <c r="G44" s="403">
        <f>+'Cuadro 1'!K56/'Cuadro 2'!K55*100</f>
        <v>84.319229997994782</v>
      </c>
      <c r="H44" s="403">
        <f>+'Cuadro 1'!L56/'Cuadro 2'!L55*100</f>
        <v>85.44994156603039</v>
      </c>
      <c r="I44" s="403">
        <f>+'Cuadro 1'!M56/'Cuadro 2'!M55*100</f>
        <v>89.38961779806047</v>
      </c>
      <c r="J44" s="403">
        <f>+'Cuadro 1'!N56/'Cuadro 2'!N55*100</f>
        <v>93.767759045273721</v>
      </c>
      <c r="K44" s="403">
        <f>+'Cuadro 1'!O56/'Cuadro 2'!O55*100</f>
        <v>94.664213431462741</v>
      </c>
      <c r="L44" s="403">
        <f>+'Cuadro 1'!P56/'Cuadro 2'!P55*100</f>
        <v>100</v>
      </c>
      <c r="M44" s="403">
        <f>+'Cuadro 1'!Q56/'Cuadro 2'!Q55*100</f>
        <v>100.55775458798128</v>
      </c>
      <c r="N44" s="403">
        <f>+'Cuadro 1'!R56/'Cuadro 2'!R55*100</f>
        <v>100.57100755203537</v>
      </c>
      <c r="O44" s="403">
        <f>+'Cuadro 1'!S56/'Cuadro 2'!S55*100</f>
        <v>102.88220551378447</v>
      </c>
      <c r="P44" s="403">
        <f>+'Cuadro 1'!T56/'Cuadro 2'!T55*100</f>
        <v>103.90498470397698</v>
      </c>
      <c r="Q44" s="403">
        <f>+'Cuadro 1'!U56/'Cuadro 2'!U55*100</f>
        <v>108.7672904800651</v>
      </c>
      <c r="R44" s="403">
        <f>+'Cuadro 1'!V56/'Cuadro 2'!V55*100</f>
        <v>114.20522451767117</v>
      </c>
      <c r="S44" s="403">
        <f>+'Cuadro 1'!W56/'Cuadro 2'!W55*100</f>
        <v>126.7218491332188</v>
      </c>
      <c r="T44" s="403">
        <f>+'Cuadro 1'!X56/'Cuadro 2'!X55*100</f>
        <v>132.83970707892595</v>
      </c>
      <c r="U44" s="403">
        <f>+'Cuadro 1'!Y56/'Cuadro 2'!Y55*100</f>
        <v>135.68394250785832</v>
      </c>
    </row>
    <row r="45" spans="1:21" x14ac:dyDescent="0.35">
      <c r="A45" s="400" t="s">
        <v>144</v>
      </c>
      <c r="B45" s="403">
        <f>+'Cuadro 1'!F57/'Cuadro 2'!F56*100</f>
        <v>77.388149939540511</v>
      </c>
      <c r="C45" s="403">
        <f>+'Cuadro 1'!G57/'Cuadro 2'!G56*100</f>
        <v>81.464264962231255</v>
      </c>
      <c r="D45" s="403">
        <f>+'Cuadro 1'!H57/'Cuadro 2'!H56*100</f>
        <v>85.143165856293891</v>
      </c>
      <c r="E45" s="403">
        <f>+'Cuadro 1'!I57/'Cuadro 2'!I56*100</f>
        <v>87.771307570142937</v>
      </c>
      <c r="F45" s="403">
        <f>+'Cuadro 1'!J57/'Cuadro 2'!J56*100</f>
        <v>96.218260399783901</v>
      </c>
      <c r="G45" s="403">
        <f>+'Cuadro 1'!K57/'Cuadro 2'!K56*100</f>
        <v>91.056485355648533</v>
      </c>
      <c r="H45" s="403">
        <f>+'Cuadro 1'!L57/'Cuadro 2'!L56*100</f>
        <v>88.829787234042556</v>
      </c>
      <c r="I45" s="403">
        <f>+'Cuadro 1'!M57/'Cuadro 2'!M56*100</f>
        <v>93.945127719962159</v>
      </c>
      <c r="J45" s="403">
        <f>+'Cuadro 1'!N57/'Cuadro 2'!N56*100</f>
        <v>98.022988505747122</v>
      </c>
      <c r="K45" s="403">
        <f>+'Cuadro 1'!O57/'Cuadro 2'!O56*100</f>
        <v>100.22686025408349</v>
      </c>
      <c r="L45" s="403">
        <f>+'Cuadro 1'!P57/'Cuadro 2'!P56*100</f>
        <v>100</v>
      </c>
      <c r="M45" s="403">
        <f>+'Cuadro 1'!Q57/'Cuadro 2'!Q56*100</f>
        <v>98.430873621713317</v>
      </c>
      <c r="N45" s="403">
        <f>+'Cuadro 1'!R57/'Cuadro 2'!R56*100</f>
        <v>93.483816013628612</v>
      </c>
      <c r="O45" s="403">
        <f>+'Cuadro 1'!S57/'Cuadro 2'!S56*100</f>
        <v>96.00509987250318</v>
      </c>
      <c r="P45" s="403">
        <f>+'Cuadro 1'!T57/'Cuadro 2'!T56*100</f>
        <v>95.664860358482713</v>
      </c>
      <c r="Q45" s="403">
        <f>+'Cuadro 1'!U57/'Cuadro 2'!U56*100</f>
        <v>101.59760359460807</v>
      </c>
      <c r="R45" s="403">
        <f>+'Cuadro 1'!V57/'Cuadro 2'!V56*100</f>
        <v>109.15633746501399</v>
      </c>
      <c r="S45" s="403">
        <f>+'Cuadro 1'!W57/'Cuadro 2'!W56*100</f>
        <v>123.41696535244921</v>
      </c>
      <c r="T45" s="403">
        <f>+'Cuadro 1'!X57/'Cuadro 2'!X56*100</f>
        <v>134.61036134087939</v>
      </c>
      <c r="U45" s="403">
        <f>+'Cuadro 1'!Y57/'Cuadro 2'!Y56*100</f>
        <v>140.58265930486002</v>
      </c>
    </row>
    <row r="46" spans="1:21" x14ac:dyDescent="0.35">
      <c r="A46" s="399" t="s">
        <v>142</v>
      </c>
      <c r="B46" s="403">
        <f>+'Cuadro 1'!F58/'Cuadro 2'!F57*100</f>
        <v>66.112716763005778</v>
      </c>
      <c r="C46" s="403">
        <f>+'Cuadro 1'!G58/'Cuadro 2'!G57*100</f>
        <v>69.289508632138123</v>
      </c>
      <c r="D46" s="403">
        <f>+'Cuadro 1'!H58/'Cuadro 2'!H57*100</f>
        <v>69.756406200569444</v>
      </c>
      <c r="E46" s="403">
        <f>+'Cuadro 1'!I58/'Cuadro 2'!I57*100</f>
        <v>71.00428658909982</v>
      </c>
      <c r="F46" s="403">
        <f>+'Cuadro 1'!J58/'Cuadro 2'!J57*100</f>
        <v>77.252635158109484</v>
      </c>
      <c r="G46" s="403">
        <f>+'Cuadro 1'!K58/'Cuadro 2'!K57*100</f>
        <v>79.689521345407499</v>
      </c>
      <c r="H46" s="403">
        <f>+'Cuadro 1'!L58/'Cuadro 2'!L57*100</f>
        <v>83.088954056695997</v>
      </c>
      <c r="I46" s="403">
        <f>+'Cuadro 1'!M58/'Cuadro 2'!M57*100</f>
        <v>86.245235069885638</v>
      </c>
      <c r="J46" s="403">
        <f>+'Cuadro 1'!N58/'Cuadro 2'!N57*100</f>
        <v>90.815339993554616</v>
      </c>
      <c r="K46" s="403">
        <f>+'Cuadro 1'!O58/'Cuadro 2'!O57*100</f>
        <v>90.813485926384161</v>
      </c>
      <c r="L46" s="403">
        <f>+'Cuadro 1'!P58/'Cuadro 2'!P57*100</f>
        <v>100</v>
      </c>
      <c r="M46" s="403">
        <f>+'Cuadro 1'!Q58/'Cuadro 2'!Q57*100</f>
        <v>102.125</v>
      </c>
      <c r="N46" s="403">
        <f>+'Cuadro 1'!R58/'Cuadro 2'!R57*100</f>
        <v>105.93770279039585</v>
      </c>
      <c r="O46" s="403">
        <f>+'Cuadro 1'!S58/'Cuadro 2'!S57*100</f>
        <v>108.12151270923745</v>
      </c>
      <c r="P46" s="403">
        <f>+'Cuadro 1'!T58/'Cuadro 2'!T57*100</f>
        <v>110.16466117796074</v>
      </c>
      <c r="Q46" s="403">
        <f>+'Cuadro 1'!U58/'Cuadro 2'!U57*100</f>
        <v>114.32516396272005</v>
      </c>
      <c r="R46" s="403">
        <f>+'Cuadro 1'!V58/'Cuadro 2'!V57*100</f>
        <v>118.17910447761193</v>
      </c>
      <c r="S46" s="403">
        <f>+'Cuadro 1'!W58/'Cuadro 2'!W57*100</f>
        <v>129.6200568622383</v>
      </c>
      <c r="T46" s="403">
        <f>+'Cuadro 1'!X58/'Cuadro 2'!X57*100</f>
        <v>132.74869109947645</v>
      </c>
      <c r="U46" s="403">
        <f>+'Cuadro 1'!Y58/'Cuadro 2'!Y57*100</f>
        <v>133.87536753753093</v>
      </c>
    </row>
    <row r="47" spans="1:21" x14ac:dyDescent="0.35">
      <c r="A47" s="158" t="s">
        <v>140</v>
      </c>
      <c r="B47" s="403">
        <f>+'Cuadro 1'!F59/'Cuadro 2'!F58*100</f>
        <v>64.409954508964404</v>
      </c>
      <c r="C47" s="403">
        <f>+'Cuadro 1'!G59/'Cuadro 2'!G58*100</f>
        <v>67.533919406473913</v>
      </c>
      <c r="D47" s="403">
        <f>+'Cuadro 1'!H59/'Cuadro 2'!H58*100</f>
        <v>71.946760274974409</v>
      </c>
      <c r="E47" s="403">
        <f>+'Cuadro 1'!I59/'Cuadro 2'!I58*100</f>
        <v>77.08909258450943</v>
      </c>
      <c r="F47" s="403">
        <f>+'Cuadro 1'!J59/'Cuadro 2'!J58*100</f>
        <v>77.397811774735942</v>
      </c>
      <c r="G47" s="403">
        <f>+'Cuadro 1'!K59/'Cuadro 2'!K58*100</f>
        <v>81.189879188511512</v>
      </c>
      <c r="H47" s="403">
        <f>+'Cuadro 1'!L59/'Cuadro 2'!L58*100</f>
        <v>85.447629157820231</v>
      </c>
      <c r="I47" s="403">
        <f>+'Cuadro 1'!M59/'Cuadro 2'!M58*100</f>
        <v>88.624751017580323</v>
      </c>
      <c r="J47" s="403">
        <f>+'Cuadro 1'!N59/'Cuadro 2'!N58*100</f>
        <v>90.88517745302714</v>
      </c>
      <c r="K47" s="403">
        <f>+'Cuadro 1'!O59/'Cuadro 2'!O58*100</f>
        <v>92.629071973519558</v>
      </c>
      <c r="L47" s="403">
        <f>+'Cuadro 1'!P59/'Cuadro 2'!P58*100</f>
        <v>100</v>
      </c>
      <c r="M47" s="403">
        <f>+'Cuadro 1'!Q59/'Cuadro 2'!Q58*100</f>
        <v>112.30637882668617</v>
      </c>
      <c r="N47" s="403">
        <f>+'Cuadro 1'!R59/'Cuadro 2'!R58*100</f>
        <v>117.71051487730668</v>
      </c>
      <c r="O47" s="403">
        <f>+'Cuadro 1'!S59/'Cuadro 2'!S58*100</f>
        <v>125.67817509247843</v>
      </c>
      <c r="P47" s="403">
        <f>+'Cuadro 1'!T59/'Cuadro 2'!T58*100</f>
        <v>135.77388558971663</v>
      </c>
      <c r="Q47" s="403">
        <f>+'Cuadro 1'!U59/'Cuadro 2'!U58*100</f>
        <v>151.83491616836676</v>
      </c>
      <c r="R47" s="403">
        <f>+'Cuadro 1'!V59/'Cuadro 2'!V58*100</f>
        <v>165.51571328335609</v>
      </c>
      <c r="S47" s="403">
        <f>+'Cuadro 1'!W59/'Cuadro 2'!W58*100</f>
        <v>194.14339675927562</v>
      </c>
      <c r="T47" s="403">
        <f>+'Cuadro 1'!X59/'Cuadro 2'!X58*100</f>
        <v>225.65784929898473</v>
      </c>
      <c r="U47" s="403">
        <f>+'Cuadro 1'!Y59/'Cuadro 2'!Y58*100</f>
        <v>251.25380875708143</v>
      </c>
    </row>
    <row r="48" spans="1:21" x14ac:dyDescent="0.35">
      <c r="A48" s="401" t="s">
        <v>138</v>
      </c>
      <c r="B48" s="403">
        <f>+'Cuadro 1'!F60/'Cuadro 2'!F59*100</f>
        <v>58.68649121412102</v>
      </c>
      <c r="C48" s="403">
        <f>+'Cuadro 1'!G60/'Cuadro 2'!G59*100</f>
        <v>62.272484959256722</v>
      </c>
      <c r="D48" s="403">
        <f>+'Cuadro 1'!H60/'Cuadro 2'!H59*100</f>
        <v>66.773255813953497</v>
      </c>
      <c r="E48" s="403">
        <f>+'Cuadro 1'!I60/'Cuadro 2'!I59*100</f>
        <v>73.781109008877891</v>
      </c>
      <c r="F48" s="403">
        <f>+'Cuadro 1'!J60/'Cuadro 2'!J59*100</f>
        <v>72.916079977471142</v>
      </c>
      <c r="G48" s="403">
        <f>+'Cuadro 1'!K60/'Cuadro 2'!K59*100</f>
        <v>76.66577109081139</v>
      </c>
      <c r="H48" s="403">
        <f>+'Cuadro 1'!L60/'Cuadro 2'!L59*100</f>
        <v>81.574158325750673</v>
      </c>
      <c r="I48" s="403">
        <f>+'Cuadro 1'!M60/'Cuadro 2'!M59*100</f>
        <v>86.2268224536449</v>
      </c>
      <c r="J48" s="403">
        <f>+'Cuadro 1'!N60/'Cuadro 2'!N59*100</f>
        <v>89.24560546875</v>
      </c>
      <c r="K48" s="403">
        <f>+'Cuadro 1'!O60/'Cuadro 2'!O59*100</f>
        <v>91.662262932299925</v>
      </c>
      <c r="L48" s="403">
        <f>+'Cuadro 1'!P60/'Cuadro 2'!P59*100</f>
        <v>100</v>
      </c>
      <c r="M48" s="403">
        <f>+'Cuadro 1'!Q60/'Cuadro 2'!Q59*100</f>
        <v>115.26191877575044</v>
      </c>
      <c r="N48" s="403">
        <f>+'Cuadro 1'!R60/'Cuadro 2'!R59*100</f>
        <v>117.95764598435983</v>
      </c>
      <c r="O48" s="403">
        <f>+'Cuadro 1'!S60/'Cuadro 2'!S59*100</f>
        <v>125.49988891357475</v>
      </c>
      <c r="P48" s="403">
        <f>+'Cuadro 1'!T60/'Cuadro 2'!T59*100</f>
        <v>135.51673944687047</v>
      </c>
      <c r="Q48" s="403">
        <f>+'Cuadro 1'!U60/'Cuadro 2'!U59*100</f>
        <v>152.5345874118226</v>
      </c>
      <c r="R48" s="403">
        <f>+'Cuadro 1'!V60/'Cuadro 2'!V59*100</f>
        <v>162.37430740816745</v>
      </c>
      <c r="S48" s="403">
        <f>+'Cuadro 1'!W60/'Cuadro 2'!W59*100</f>
        <v>195.48177978587563</v>
      </c>
      <c r="T48" s="403">
        <f>+'Cuadro 1'!X60/'Cuadro 2'!X59*100</f>
        <v>234.68183332540099</v>
      </c>
      <c r="U48" s="403">
        <f>+'Cuadro 1'!Y60/'Cuadro 2'!Y59*100</f>
        <v>266.00734796678103</v>
      </c>
    </row>
    <row r="49" spans="1:21" x14ac:dyDescent="0.35">
      <c r="A49" s="400" t="s">
        <v>136</v>
      </c>
      <c r="B49" s="403">
        <f>+'Cuadro 1'!F61/'Cuadro 2'!F60*100</f>
        <v>57.644041403315924</v>
      </c>
      <c r="C49" s="403">
        <f>+'Cuadro 1'!G61/'Cuadro 2'!G60*100</f>
        <v>59.732958538299364</v>
      </c>
      <c r="D49" s="403">
        <f>+'Cuadro 1'!H61/'Cuadro 2'!H60*100</f>
        <v>63.398526797053592</v>
      </c>
      <c r="E49" s="403">
        <f>+'Cuadro 1'!I61/'Cuadro 2'!I60*100</f>
        <v>67.70937604270938</v>
      </c>
      <c r="F49" s="403">
        <f>+'Cuadro 1'!J61/'Cuadro 2'!J60*100</f>
        <v>73.773864384463465</v>
      </c>
      <c r="G49" s="403">
        <f>+'Cuadro 1'!K61/'Cuadro 2'!K60*100</f>
        <v>77.890594254230621</v>
      </c>
      <c r="H49" s="403">
        <f>+'Cuadro 1'!L61/'Cuadro 2'!L60*100</f>
        <v>83.389544688026987</v>
      </c>
      <c r="I49" s="403">
        <f>+'Cuadro 1'!M61/'Cuadro 2'!M60*100</f>
        <v>87.670099992481767</v>
      </c>
      <c r="J49" s="403">
        <f>+'Cuadro 1'!N61/'Cuadro 2'!N60*100</f>
        <v>91.001599069632206</v>
      </c>
      <c r="K49" s="403">
        <f>+'Cuadro 1'!O61/'Cuadro 2'!O60*100</f>
        <v>94.5942141198001</v>
      </c>
      <c r="L49" s="403">
        <f>+'Cuadro 1'!P61/'Cuadro 2'!P60*100</f>
        <v>100</v>
      </c>
      <c r="M49" s="403">
        <f>+'Cuadro 1'!Q61/'Cuadro 2'!Q60*100</f>
        <v>113.75530410183876</v>
      </c>
      <c r="N49" s="403">
        <f>+'Cuadro 1'!R61/'Cuadro 2'!R60*100</f>
        <v>114.75913905022207</v>
      </c>
      <c r="O49" s="403">
        <f>+'Cuadro 1'!S61/'Cuadro 2'!S60*100</f>
        <v>122.54231662794557</v>
      </c>
      <c r="P49" s="403">
        <f>+'Cuadro 1'!T61/'Cuadro 2'!T60*100</f>
        <v>133.04325404499454</v>
      </c>
      <c r="Q49" s="403">
        <f>+'Cuadro 1'!U61/'Cuadro 2'!U60*100</f>
        <v>148.16733583732679</v>
      </c>
      <c r="R49" s="403">
        <f>+'Cuadro 1'!V61/'Cuadro 2'!V60*100</f>
        <v>159.6011046333231</v>
      </c>
      <c r="S49" s="403">
        <f>+'Cuadro 1'!W61/'Cuadro 2'!W60*100</f>
        <v>195.38688718251623</v>
      </c>
      <c r="T49" s="403">
        <f>+'Cuadro 1'!X61/'Cuadro 2'!X60*100</f>
        <v>237.63276836158192</v>
      </c>
      <c r="U49" s="403">
        <f>+'Cuadro 1'!Y61/'Cuadro 2'!Y60*100</f>
        <v>272.94491151936921</v>
      </c>
    </row>
    <row r="50" spans="1:21" x14ac:dyDescent="0.35">
      <c r="A50" s="399" t="s">
        <v>134</v>
      </c>
      <c r="B50" s="403">
        <f>+'Cuadro 1'!F62/'Cuadro 2'!F61*100</f>
        <v>64.531435349940693</v>
      </c>
      <c r="C50" s="403">
        <f>+'Cuadro 1'!G62/'Cuadro 2'!G61*100</f>
        <v>77.664974619289339</v>
      </c>
      <c r="D50" s="403">
        <f>+'Cuadro 1'!H62/'Cuadro 2'!H61*100</f>
        <v>87.224217547460242</v>
      </c>
      <c r="E50" s="403">
        <f>+'Cuadro 1'!I62/'Cuadro 2'!I61*100</f>
        <v>111.89817376867737</v>
      </c>
      <c r="F50" s="403">
        <f>+'Cuadro 1'!J62/'Cuadro 2'!J61*100</f>
        <v>69.150521609538004</v>
      </c>
      <c r="G50" s="403">
        <f>+'Cuadro 1'!K62/'Cuadro 2'!K61*100</f>
        <v>70.769230769230774</v>
      </c>
      <c r="H50" s="403">
        <f>+'Cuadro 1'!L62/'Cuadro 2'!L61*100</f>
        <v>72.41229969683846</v>
      </c>
      <c r="I50" s="403">
        <f>+'Cuadro 1'!M62/'Cuadro 2'!M61*100</f>
        <v>79.190751445086704</v>
      </c>
      <c r="J50" s="403">
        <f>+'Cuadro 1'!N62/'Cuadro 2'!N61*100</f>
        <v>80.598159509202446</v>
      </c>
      <c r="K50" s="403">
        <f>+'Cuadro 1'!O62/'Cuadro 2'!O61*100</f>
        <v>77.130681818181827</v>
      </c>
      <c r="L50" s="403">
        <f>+'Cuadro 1'!P62/'Cuadro 2'!P61*100</f>
        <v>100</v>
      </c>
      <c r="M50" s="403">
        <f>+'Cuadro 1'!Q62/'Cuadro 2'!Q61*100</f>
        <v>122.73684210526316</v>
      </c>
      <c r="N50" s="403">
        <f>+'Cuadro 1'!R62/'Cuadro 2'!R61*100</f>
        <v>134.00277008310249</v>
      </c>
      <c r="O50" s="403">
        <f>+'Cuadro 1'!S62/'Cuadro 2'!S61*100</f>
        <v>140.32586558044807</v>
      </c>
      <c r="P50" s="403">
        <f>+'Cuadro 1'!T62/'Cuadro 2'!T61*100</f>
        <v>147.86324786324786</v>
      </c>
      <c r="Q50" s="403">
        <f>+'Cuadro 1'!U62/'Cuadro 2'!U61*100</f>
        <v>174.9476622470342</v>
      </c>
      <c r="R50" s="403">
        <f>+'Cuadro 1'!V62/'Cuadro 2'!V61*100</f>
        <v>176.67501565435191</v>
      </c>
      <c r="S50" s="403">
        <f>+'Cuadro 1'!W62/'Cuadro 2'!W61*100</f>
        <v>196.63742690058479</v>
      </c>
      <c r="T50" s="403">
        <f>+'Cuadro 1'!X62/'Cuadro 2'!X61*100</f>
        <v>219.63636363636363</v>
      </c>
      <c r="U50" s="403">
        <f>+'Cuadro 1'!Y62/'Cuadro 2'!Y61*100</f>
        <v>229.28790429241309</v>
      </c>
    </row>
    <row r="51" spans="1:21" x14ac:dyDescent="0.35">
      <c r="A51" s="398" t="s">
        <v>132</v>
      </c>
      <c r="B51" s="403">
        <f>+'Cuadro 1'!F63/'Cuadro 2'!F62*100</f>
        <v>76.432911808178687</v>
      </c>
      <c r="C51" s="403">
        <f>+'Cuadro 1'!G63/'Cuadro 2'!G62*100</f>
        <v>78.649438547915707</v>
      </c>
      <c r="D51" s="403">
        <f>+'Cuadro 1'!H63/'Cuadro 2'!H62*100</f>
        <v>82.909036772368623</v>
      </c>
      <c r="E51" s="403">
        <f>+'Cuadro 1'!I63/'Cuadro 2'!I62*100</f>
        <v>84.3246410782303</v>
      </c>
      <c r="F51" s="403">
        <f>+'Cuadro 1'!J63/'Cuadro 2'!J62*100</f>
        <v>87.065328095445949</v>
      </c>
      <c r="G51" s="403">
        <f>+'Cuadro 1'!K63/'Cuadro 2'!K62*100</f>
        <v>90.967283072546238</v>
      </c>
      <c r="H51" s="403">
        <f>+'Cuadro 1'!L63/'Cuadro 2'!L62*100</f>
        <v>93.855755894590843</v>
      </c>
      <c r="I51" s="403">
        <f>+'Cuadro 1'!M63/'Cuadro 2'!M62*100</f>
        <v>93.86753883892068</v>
      </c>
      <c r="J51" s="403">
        <f>+'Cuadro 1'!N63/'Cuadro 2'!N62*100</f>
        <v>94.473092688086737</v>
      </c>
      <c r="K51" s="403">
        <f>+'Cuadro 1'!O63/'Cuadro 2'!O62*100</f>
        <v>94.731404958677686</v>
      </c>
      <c r="L51" s="403">
        <f>+'Cuadro 1'!P63/'Cuadro 2'!P62*100</f>
        <v>100</v>
      </c>
      <c r="M51" s="403">
        <f>+'Cuadro 1'!Q63/'Cuadro 2'!Q62*100</f>
        <v>105.7052714604969</v>
      </c>
      <c r="N51" s="403">
        <f>+'Cuadro 1'!R63/'Cuadro 2'!R62*100</f>
        <v>117.21479958890031</v>
      </c>
      <c r="O51" s="403">
        <f>+'Cuadro 1'!S63/'Cuadro 2'!S62*100</f>
        <v>126.14551863041289</v>
      </c>
      <c r="P51" s="403">
        <f>+'Cuadro 1'!T63/'Cuadro 2'!T62*100</f>
        <v>136.43362721966969</v>
      </c>
      <c r="Q51" s="403">
        <f>+'Cuadro 1'!U63/'Cuadro 2'!U62*100</f>
        <v>150.10275380189066</v>
      </c>
      <c r="R51" s="403">
        <f>+'Cuadro 1'!V63/'Cuadro 2'!V62*100</f>
        <v>173.67796386654359</v>
      </c>
      <c r="S51" s="403">
        <f>+'Cuadro 1'!W63/'Cuadro 2'!W62*100</f>
        <v>190.86568664405078</v>
      </c>
      <c r="T51" s="403">
        <f>+'Cuadro 1'!X63/'Cuadro 2'!X62*100</f>
        <v>202.07913306451616</v>
      </c>
      <c r="U51" s="403">
        <f>+'Cuadro 1'!Y63/'Cuadro 2'!Y62*100</f>
        <v>212.17484448052892</v>
      </c>
    </row>
    <row r="52" spans="1:21" x14ac:dyDescent="0.35">
      <c r="A52" s="399" t="s">
        <v>130</v>
      </c>
      <c r="B52" s="403">
        <f>+'Cuadro 1'!F64/'Cuadro 2'!F63*100</f>
        <v>74.719101123595507</v>
      </c>
      <c r="C52" s="403">
        <f>+'Cuadro 1'!G64/'Cuadro 2'!G63*100</f>
        <v>74.962216624685141</v>
      </c>
      <c r="D52" s="403">
        <f>+'Cuadro 1'!H64/'Cuadro 2'!H63*100</f>
        <v>78.429423459244532</v>
      </c>
      <c r="E52" s="403">
        <f>+'Cuadro 1'!I64/'Cuadro 2'!I63*100</f>
        <v>85.475135401280156</v>
      </c>
      <c r="F52" s="403">
        <f>+'Cuadro 1'!J64/'Cuadro 2'!J63*100</f>
        <v>86.776859504132233</v>
      </c>
      <c r="G52" s="403">
        <f>+'Cuadro 1'!K64/'Cuadro 2'!K63*100</f>
        <v>89.435600578871203</v>
      </c>
      <c r="H52" s="403">
        <f>+'Cuadro 1'!L64/'Cuadro 2'!L63*100</f>
        <v>92.199248120300751</v>
      </c>
      <c r="I52" s="403">
        <f>+'Cuadro 1'!M64/'Cuadro 2'!M63*100</f>
        <v>93.733092876465278</v>
      </c>
      <c r="J52" s="403">
        <f>+'Cuadro 1'!N64/'Cuadro 2'!N63*100</f>
        <v>94.244915620943317</v>
      </c>
      <c r="K52" s="403">
        <f>+'Cuadro 1'!O64/'Cuadro 2'!O63*100</f>
        <v>95.857988165680467</v>
      </c>
      <c r="L52" s="403">
        <f>+'Cuadro 1'!P64/'Cuadro 2'!P63*100</f>
        <v>100</v>
      </c>
      <c r="M52" s="403">
        <f>+'Cuadro 1'!Q64/'Cuadro 2'!Q63*100</f>
        <v>106.51340996168584</v>
      </c>
      <c r="N52" s="403">
        <f>+'Cuadro 1'!R64/'Cuadro 2'!R63*100</f>
        <v>114.05063291139241</v>
      </c>
      <c r="O52" s="403">
        <f>+'Cuadro 1'!S64/'Cuadro 2'!S63*100</f>
        <v>123.95061728395062</v>
      </c>
      <c r="P52" s="403">
        <f>+'Cuadro 1'!T64/'Cuadro 2'!T63*100</f>
        <v>129.33016250495442</v>
      </c>
      <c r="Q52" s="403">
        <f>+'Cuadro 1'!U64/'Cuadro 2'!U63*100</f>
        <v>143.00254452926208</v>
      </c>
      <c r="R52" s="403">
        <f>+'Cuadro 1'!V64/'Cuadro 2'!V63*100</f>
        <v>154.25989672977624</v>
      </c>
      <c r="S52" s="403">
        <f>+'Cuadro 1'!W64/'Cuadro 2'!W63*100</f>
        <v>164.61148648648648</v>
      </c>
      <c r="T52" s="403">
        <f>+'Cuadro 1'!X64/'Cuadro 2'!X63*100</f>
        <v>185.83230070218917</v>
      </c>
      <c r="U52" s="403">
        <f>+'Cuadro 1'!Y64/'Cuadro 2'!Y63*100</f>
        <v>200.24385559072346</v>
      </c>
    </row>
    <row r="53" spans="1:21" x14ac:dyDescent="0.35">
      <c r="A53" s="400" t="s">
        <v>128</v>
      </c>
      <c r="B53" s="403">
        <f>+'Cuadro 1'!F65/'Cuadro 2'!F64*100</f>
        <v>70.743329097839904</v>
      </c>
      <c r="C53" s="403">
        <f>+'Cuadro 1'!G65/'Cuadro 2'!G64*100</f>
        <v>73.046206503137483</v>
      </c>
      <c r="D53" s="403">
        <f>+'Cuadro 1'!H65/'Cuadro 2'!H64*100</f>
        <v>77.413180202351654</v>
      </c>
      <c r="E53" s="403">
        <f>+'Cuadro 1'!I65/'Cuadro 2'!I64*100</f>
        <v>79.87134816403109</v>
      </c>
      <c r="F53" s="403">
        <f>+'Cuadro 1'!J65/'Cuadro 2'!J64*100</f>
        <v>84.961198822584961</v>
      </c>
      <c r="G53" s="403">
        <f>+'Cuadro 1'!K65/'Cuadro 2'!K64*100</f>
        <v>88.584117032392896</v>
      </c>
      <c r="H53" s="403">
        <f>+'Cuadro 1'!L65/'Cuadro 2'!L64*100</f>
        <v>89.727249553912827</v>
      </c>
      <c r="I53" s="403">
        <f>+'Cuadro 1'!M65/'Cuadro 2'!M64*100</f>
        <v>91.463414634146346</v>
      </c>
      <c r="J53" s="403">
        <f>+'Cuadro 1'!N65/'Cuadro 2'!N64*100</f>
        <v>92.756139915653677</v>
      </c>
      <c r="K53" s="403">
        <f>+'Cuadro 1'!O65/'Cuadro 2'!O64*100</f>
        <v>95.068027210884352</v>
      </c>
      <c r="L53" s="403">
        <f>+'Cuadro 1'!P65/'Cuadro 2'!P64*100</f>
        <v>100</v>
      </c>
      <c r="M53" s="403">
        <f>+'Cuadro 1'!Q65/'Cuadro 2'!Q64*100</f>
        <v>106.39959687578735</v>
      </c>
      <c r="N53" s="403">
        <f>+'Cuadro 1'!R65/'Cuadro 2'!R64*100</f>
        <v>123.77254509018036</v>
      </c>
      <c r="O53" s="403">
        <f>+'Cuadro 1'!S65/'Cuadro 2'!S64*100</f>
        <v>134.28641853586393</v>
      </c>
      <c r="P53" s="403">
        <f>+'Cuadro 1'!T65/'Cuadro 2'!T64*100</f>
        <v>148.37388581064803</v>
      </c>
      <c r="Q53" s="403">
        <f>+'Cuadro 1'!U65/'Cuadro 2'!U64*100</f>
        <v>153.33162480779089</v>
      </c>
      <c r="R53" s="403">
        <f>+'Cuadro 1'!V65/'Cuadro 2'!V64*100</f>
        <v>172.88314428910579</v>
      </c>
      <c r="S53" s="403">
        <f>+'Cuadro 1'!W65/'Cuadro 2'!W64*100</f>
        <v>187.2836719337848</v>
      </c>
      <c r="T53" s="403">
        <f>+'Cuadro 1'!X65/'Cuadro 2'!X64*100</f>
        <v>204.82497634815516</v>
      </c>
      <c r="U53" s="403">
        <f>+'Cuadro 1'!Y65/'Cuadro 2'!Y64*100</f>
        <v>220.92341464464459</v>
      </c>
    </row>
    <row r="54" spans="1:21" x14ac:dyDescent="0.35">
      <c r="A54" s="399" t="s">
        <v>126</v>
      </c>
      <c r="B54" s="403">
        <f>+'Cuadro 1'!F66/'Cuadro 2'!F65*100</f>
        <v>99.075025693730737</v>
      </c>
      <c r="C54" s="403">
        <f>+'Cuadro 1'!G66/'Cuadro 2'!G65*100</f>
        <v>104.82758620689656</v>
      </c>
      <c r="D54" s="403">
        <f>+'Cuadro 1'!H66/'Cuadro 2'!H65*100</f>
        <v>110.16144349477683</v>
      </c>
      <c r="E54" s="403">
        <f>+'Cuadro 1'!I66/'Cuadro 2'!I65*100</f>
        <v>97.287184284377929</v>
      </c>
      <c r="F54" s="403">
        <f>+'Cuadro 1'!J66/'Cuadro 2'!J65*100</f>
        <v>94.639556377079487</v>
      </c>
      <c r="G54" s="403">
        <f>+'Cuadro 1'!K66/'Cuadro 2'!K65*100</f>
        <v>101.67992926613616</v>
      </c>
      <c r="H54" s="403">
        <f>+'Cuadro 1'!L66/'Cuadro 2'!L65*100</f>
        <v>110.58519793459554</v>
      </c>
      <c r="I54" s="403">
        <f>+'Cuadro 1'!M66/'Cuadro 2'!M65*100</f>
        <v>102.02531645569621</v>
      </c>
      <c r="J54" s="403">
        <f>+'Cuadro 1'!N66/'Cuadro 2'!N65*100</f>
        <v>100.57330057330059</v>
      </c>
      <c r="K54" s="403">
        <f>+'Cuadro 1'!O66/'Cuadro 2'!O65*100</f>
        <v>91.593973037272008</v>
      </c>
      <c r="L54" s="403">
        <f>+'Cuadro 1'!P66/'Cuadro 2'!P65*100</f>
        <v>100</v>
      </c>
      <c r="M54" s="403">
        <f>+'Cuadro 1'!Q66/'Cuadro 2'!Q65*100</f>
        <v>102.09464701318851</v>
      </c>
      <c r="N54" s="403">
        <f>+'Cuadro 1'!R66/'Cuadro 2'!R65*100</f>
        <v>103.78681626928471</v>
      </c>
      <c r="O54" s="403">
        <f>+'Cuadro 1'!S66/'Cuadro 2'!S65*100</f>
        <v>106.77154582763337</v>
      </c>
      <c r="P54" s="403">
        <f>+'Cuadro 1'!T66/'Cuadro 2'!T65*100</f>
        <v>114.56808199121522</v>
      </c>
      <c r="Q54" s="403">
        <f>+'Cuadro 1'!U66/'Cuadro 2'!U65*100</f>
        <v>163.86898669396112</v>
      </c>
      <c r="R54" s="403">
        <f>+'Cuadro 1'!V66/'Cuadro 2'!V65*100</f>
        <v>221.07950401167034</v>
      </c>
      <c r="S54" s="403">
        <f>+'Cuadro 1'!W66/'Cuadro 2'!W65*100</f>
        <v>257.99055967633177</v>
      </c>
      <c r="T54" s="403">
        <f>+'Cuadro 1'!X66/'Cuadro 2'!X65*100</f>
        <v>228.95783611774064</v>
      </c>
      <c r="U54" s="403">
        <f>+'Cuadro 1'!Y66/'Cuadro 2'!Y65*100</f>
        <v>211.95546352243051</v>
      </c>
    </row>
    <row r="55" spans="1:21" x14ac:dyDescent="0.35">
      <c r="A55" s="158" t="s">
        <v>124</v>
      </c>
      <c r="B55" s="403">
        <f>+'Cuadro 1'!F67/'Cuadro 2'!F66*100</f>
        <v>48.359500805152976</v>
      </c>
      <c r="C55" s="403">
        <f>+'Cuadro 1'!G67/'Cuadro 2'!G66*100</f>
        <v>52.577257905286146</v>
      </c>
      <c r="D55" s="403">
        <f>+'Cuadro 1'!H67/'Cuadro 2'!H66*100</f>
        <v>57.657985285478496</v>
      </c>
      <c r="E55" s="403">
        <f>+'Cuadro 1'!I67/'Cuadro 2'!I66*100</f>
        <v>64.364071368576447</v>
      </c>
      <c r="F55" s="403">
        <f>+'Cuadro 1'!J67/'Cuadro 2'!J66*100</f>
        <v>71.978866951086417</v>
      </c>
      <c r="G55" s="403">
        <f>+'Cuadro 1'!K67/'Cuadro 2'!K66*100</f>
        <v>74.350779065121856</v>
      </c>
      <c r="H55" s="403">
        <f>+'Cuadro 1'!L67/'Cuadro 2'!L66*100</f>
        <v>81.018431446304305</v>
      </c>
      <c r="I55" s="403">
        <f>+'Cuadro 1'!M67/'Cuadro 2'!M66*100</f>
        <v>89.642849215333726</v>
      </c>
      <c r="J55" s="403">
        <f>+'Cuadro 1'!N67/'Cuadro 2'!N66*100</f>
        <v>96.387464842113658</v>
      </c>
      <c r="K55" s="403">
        <f>+'Cuadro 1'!O67/'Cuadro 2'!O66*100</f>
        <v>101.76916596461668</v>
      </c>
      <c r="L55" s="403">
        <f>+'Cuadro 1'!P67/'Cuadro 2'!P66*100</f>
        <v>100</v>
      </c>
      <c r="M55" s="403">
        <f>+'Cuadro 1'!Q67/'Cuadro 2'!Q66*100</f>
        <v>106.98544698544698</v>
      </c>
      <c r="N55" s="403">
        <f>+'Cuadro 1'!R67/'Cuadro 2'!R66*100</f>
        <v>109.45048975503759</v>
      </c>
      <c r="O55" s="403">
        <f>+'Cuadro 1'!S67/'Cuadro 2'!S66*100</f>
        <v>111.95749363780176</v>
      </c>
      <c r="P55" s="403">
        <f>+'Cuadro 1'!T67/'Cuadro 2'!T66*100</f>
        <v>116.78922226396867</v>
      </c>
      <c r="Q55" s="403">
        <f>+'Cuadro 1'!U67/'Cuadro 2'!U66*100</f>
        <v>120.38923753144135</v>
      </c>
      <c r="R55" s="403">
        <f>+'Cuadro 1'!V67/'Cuadro 2'!V66*100</f>
        <v>122.4079534101708</v>
      </c>
      <c r="S55" s="403">
        <f>+'Cuadro 1'!W67/'Cuadro 2'!W66*100</f>
        <v>132.00502684793784</v>
      </c>
      <c r="T55" s="403">
        <f>+'Cuadro 1'!X67/'Cuadro 2'!X66*100</f>
        <v>151.47325957205879</v>
      </c>
      <c r="U55" s="403">
        <f>+'Cuadro 1'!Y67/'Cuadro 2'!Y66*100</f>
        <v>164.95624710903101</v>
      </c>
    </row>
    <row r="56" spans="1:21" x14ac:dyDescent="0.35">
      <c r="A56" s="401" t="s">
        <v>121</v>
      </c>
      <c r="B56" s="403">
        <f>+'Cuadro 1'!F68/'Cuadro 2'!F67*100</f>
        <v>43.333523018266654</v>
      </c>
      <c r="C56" s="403">
        <f>+'Cuadro 1'!G68/'Cuadro 2'!G67*100</f>
        <v>46.530632962793767</v>
      </c>
      <c r="D56" s="403">
        <f>+'Cuadro 1'!H68/'Cuadro 2'!H67*100</f>
        <v>50.98481136697697</v>
      </c>
      <c r="E56" s="403">
        <f>+'Cuadro 1'!I68/'Cuadro 2'!I67*100</f>
        <v>57.292393579902303</v>
      </c>
      <c r="F56" s="403">
        <f>+'Cuadro 1'!J68/'Cuadro 2'!J67*100</f>
        <v>65.082422504927422</v>
      </c>
      <c r="G56" s="403">
        <f>+'Cuadro 1'!K68/'Cuadro 2'!K67*100</f>
        <v>68.890401633764469</v>
      </c>
      <c r="H56" s="403">
        <f>+'Cuadro 1'!L68/'Cuadro 2'!L67*100</f>
        <v>75.699000484346783</v>
      </c>
      <c r="I56" s="403">
        <f>+'Cuadro 1'!M68/'Cuadro 2'!M67*100</f>
        <v>85.730921189436472</v>
      </c>
      <c r="J56" s="403">
        <f>+'Cuadro 1'!N68/'Cuadro 2'!N67*100</f>
        <v>94.490243533504767</v>
      </c>
      <c r="K56" s="403">
        <f>+'Cuadro 1'!O68/'Cuadro 2'!O67*100</f>
        <v>100.86590796635329</v>
      </c>
      <c r="L56" s="403">
        <f>+'Cuadro 1'!P68/'Cuadro 2'!P67*100</f>
        <v>100</v>
      </c>
      <c r="M56" s="403">
        <f>+'Cuadro 1'!Q68/'Cuadro 2'!Q67*100</f>
        <v>106.15244781545792</v>
      </c>
      <c r="N56" s="403">
        <f>+'Cuadro 1'!R68/'Cuadro 2'!R67*100</f>
        <v>104.73231989424983</v>
      </c>
      <c r="O56" s="403">
        <f>+'Cuadro 1'!S68/'Cuadro 2'!S67*100</f>
        <v>106.46091626334284</v>
      </c>
      <c r="P56" s="403">
        <f>+'Cuadro 1'!T68/'Cuadro 2'!T67*100</f>
        <v>115.19861830742659</v>
      </c>
      <c r="Q56" s="403">
        <f>+'Cuadro 1'!U68/'Cuadro 2'!U67*100</f>
        <v>118.87155257663993</v>
      </c>
      <c r="R56" s="403">
        <f>+'Cuadro 1'!V68/'Cuadro 2'!V67*100</f>
        <v>118.22474032105761</v>
      </c>
      <c r="S56" s="403">
        <f>+'Cuadro 1'!W68/'Cuadro 2'!W67*100</f>
        <v>128.98171164772728</v>
      </c>
      <c r="T56" s="403">
        <f>+'Cuadro 1'!X68/'Cuadro 2'!X67*100</f>
        <v>148.87384397539714</v>
      </c>
      <c r="U56" s="403">
        <f>+'Cuadro 1'!Y68/'Cuadro 2'!Y67*100</f>
        <v>164.9862472786034</v>
      </c>
    </row>
    <row r="57" spans="1:21" x14ac:dyDescent="0.35">
      <c r="A57" s="400" t="s">
        <v>121</v>
      </c>
      <c r="B57" s="403">
        <f>+'Cuadro 1'!F69/'Cuadro 2'!F68*100</f>
        <v>43.333523018266654</v>
      </c>
      <c r="C57" s="403">
        <f>+'Cuadro 1'!G69/'Cuadro 2'!G68*100</f>
        <v>46.530632962793767</v>
      </c>
      <c r="D57" s="403">
        <f>+'Cuadro 1'!H69/'Cuadro 2'!H68*100</f>
        <v>50.98481136697697</v>
      </c>
      <c r="E57" s="403">
        <f>+'Cuadro 1'!I69/'Cuadro 2'!I68*100</f>
        <v>57.292393579902303</v>
      </c>
      <c r="F57" s="403">
        <f>+'Cuadro 1'!J69/'Cuadro 2'!J68*100</f>
        <v>65.082422504927422</v>
      </c>
      <c r="G57" s="403">
        <f>+'Cuadro 1'!K69/'Cuadro 2'!K68*100</f>
        <v>68.890401633764469</v>
      </c>
      <c r="H57" s="403">
        <f>+'Cuadro 1'!L69/'Cuadro 2'!L68*100</f>
        <v>75.699000484346783</v>
      </c>
      <c r="I57" s="403">
        <f>+'Cuadro 1'!M69/'Cuadro 2'!M68*100</f>
        <v>85.730921189436472</v>
      </c>
      <c r="J57" s="403">
        <f>+'Cuadro 1'!N69/'Cuadro 2'!N68*100</f>
        <v>94.490243533504767</v>
      </c>
      <c r="K57" s="403">
        <f>+'Cuadro 1'!O69/'Cuadro 2'!O68*100</f>
        <v>100.86590796635329</v>
      </c>
      <c r="L57" s="403">
        <f>+'Cuadro 1'!P69/'Cuadro 2'!P68*100</f>
        <v>100</v>
      </c>
      <c r="M57" s="403">
        <f>+'Cuadro 1'!Q69/'Cuadro 2'!Q68*100</f>
        <v>106.15244781545792</v>
      </c>
      <c r="N57" s="403">
        <f>+'Cuadro 1'!R69/'Cuadro 2'!R68*100</f>
        <v>104.73231989424983</v>
      </c>
      <c r="O57" s="403">
        <f>+'Cuadro 1'!S69/'Cuadro 2'!S68*100</f>
        <v>106.46091626334284</v>
      </c>
      <c r="P57" s="403">
        <f>+'Cuadro 1'!T69/'Cuadro 2'!T68*100</f>
        <v>115.19861830742659</v>
      </c>
      <c r="Q57" s="403">
        <f>+'Cuadro 1'!U69/'Cuadro 2'!U68*100</f>
        <v>118.87155257663993</v>
      </c>
      <c r="R57" s="403">
        <f>+'Cuadro 1'!V69/'Cuadro 2'!V68*100</f>
        <v>118.22474032105761</v>
      </c>
      <c r="S57" s="403">
        <f>+'Cuadro 1'!W69/'Cuadro 2'!W68*100</f>
        <v>128.98171164772728</v>
      </c>
      <c r="T57" s="403">
        <f>+'Cuadro 1'!X69/'Cuadro 2'!X68*100</f>
        <v>148.87384397539714</v>
      </c>
      <c r="U57" s="403">
        <f>+'Cuadro 1'!Y69/'Cuadro 2'!Y68*100</f>
        <v>164.9862472786034</v>
      </c>
    </row>
    <row r="58" spans="1:21" x14ac:dyDescent="0.35">
      <c r="A58" s="401" t="s">
        <v>118</v>
      </c>
      <c r="B58" s="403">
        <f>+'Cuadro 1'!F70/'Cuadro 2'!F69*100</f>
        <v>68.46775471399144</v>
      </c>
      <c r="C58" s="403">
        <f>+'Cuadro 1'!G70/'Cuadro 2'!G69*100</f>
        <v>75.187120463211414</v>
      </c>
      <c r="D58" s="403">
        <f>+'Cuadro 1'!H70/'Cuadro 2'!H69*100</f>
        <v>80.704964020002436</v>
      </c>
      <c r="E58" s="403">
        <f>+'Cuadro 1'!I70/'Cuadro 2'!I69*100</f>
        <v>87.469287469287465</v>
      </c>
      <c r="F58" s="403">
        <f>+'Cuadro 1'!J70/'Cuadro 2'!J69*100</f>
        <v>94.775200164237333</v>
      </c>
      <c r="G58" s="403">
        <f>+'Cuadro 1'!K70/'Cuadro 2'!K69*100</f>
        <v>92.441800840939393</v>
      </c>
      <c r="H58" s="403">
        <f>+'Cuadro 1'!L70/'Cuadro 2'!L69*100</f>
        <v>98.554939561937644</v>
      </c>
      <c r="I58" s="403">
        <f>+'Cuadro 1'!M70/'Cuadro 2'!M69*100</f>
        <v>101.26050420168067</v>
      </c>
      <c r="J58" s="403">
        <f>+'Cuadro 1'!N70/'Cuadro 2'!N69*100</f>
        <v>102.02625787356759</v>
      </c>
      <c r="K58" s="403">
        <f>+'Cuadro 1'!O70/'Cuadro 2'!O69*100</f>
        <v>103.58723347190559</v>
      </c>
      <c r="L58" s="403">
        <f>+'Cuadro 1'!P70/'Cuadro 2'!P69*100</f>
        <v>100</v>
      </c>
      <c r="M58" s="403">
        <f>+'Cuadro 1'!Q70/'Cuadro 2'!Q69*100</f>
        <v>101.61373612186935</v>
      </c>
      <c r="N58" s="403">
        <f>+'Cuadro 1'!R70/'Cuadro 2'!R69*100</f>
        <v>103.52014541048166</v>
      </c>
      <c r="O58" s="403">
        <f>+'Cuadro 1'!S70/'Cuadro 2'!S69*100</f>
        <v>105.21544765925741</v>
      </c>
      <c r="P58" s="403">
        <f>+'Cuadro 1'!T70/'Cuadro 2'!T69*100</f>
        <v>109.84109589041095</v>
      </c>
      <c r="Q58" s="403">
        <f>+'Cuadro 1'!U70/'Cuadro 2'!U69*100</f>
        <v>115.56809631301729</v>
      </c>
      <c r="R58" s="403">
        <f>+'Cuadro 1'!V70/'Cuadro 2'!V69*100</f>
        <v>120.4497483357688</v>
      </c>
      <c r="S58" s="403">
        <f>+'Cuadro 1'!W70/'Cuadro 2'!W69*100</f>
        <v>132.93479182565929</v>
      </c>
      <c r="T58" s="403">
        <f>+'Cuadro 1'!X70/'Cuadro 2'!X69*100</f>
        <v>151.49340574088441</v>
      </c>
      <c r="U58" s="403">
        <f>+'Cuadro 1'!Y70/'Cuadro 2'!Y69*100</f>
        <v>159.19006577947593</v>
      </c>
    </row>
    <row r="59" spans="1:21" x14ac:dyDescent="0.35">
      <c r="A59" s="400" t="s">
        <v>118</v>
      </c>
      <c r="B59" s="403">
        <f>+'Cuadro 1'!F71/'Cuadro 2'!F70*100</f>
        <v>68.46775471399144</v>
      </c>
      <c r="C59" s="403">
        <f>+'Cuadro 1'!G71/'Cuadro 2'!G70*100</f>
        <v>75.187120463211414</v>
      </c>
      <c r="D59" s="403">
        <f>+'Cuadro 1'!H71/'Cuadro 2'!H70*100</f>
        <v>80.704964020002436</v>
      </c>
      <c r="E59" s="403">
        <f>+'Cuadro 1'!I71/'Cuadro 2'!I70*100</f>
        <v>87.469287469287465</v>
      </c>
      <c r="F59" s="403">
        <f>+'Cuadro 1'!J71/'Cuadro 2'!J70*100</f>
        <v>94.775200164237333</v>
      </c>
      <c r="G59" s="403">
        <f>+'Cuadro 1'!K71/'Cuadro 2'!K70*100</f>
        <v>92.441800840939393</v>
      </c>
      <c r="H59" s="403">
        <f>+'Cuadro 1'!L71/'Cuadro 2'!L70*100</f>
        <v>98.554939561937644</v>
      </c>
      <c r="I59" s="403">
        <f>+'Cuadro 1'!M71/'Cuadro 2'!M70*100</f>
        <v>101.26050420168067</v>
      </c>
      <c r="J59" s="403">
        <f>+'Cuadro 1'!N71/'Cuadro 2'!N70*100</f>
        <v>102.02625787356759</v>
      </c>
      <c r="K59" s="403">
        <f>+'Cuadro 1'!O71/'Cuadro 2'!O70*100</f>
        <v>103.58723347190559</v>
      </c>
      <c r="L59" s="403">
        <f>+'Cuadro 1'!P71/'Cuadro 2'!P70*100</f>
        <v>100</v>
      </c>
      <c r="M59" s="403">
        <f>+'Cuadro 1'!Q71/'Cuadro 2'!Q70*100</f>
        <v>101.61373612186935</v>
      </c>
      <c r="N59" s="403">
        <f>+'Cuadro 1'!R71/'Cuadro 2'!R70*100</f>
        <v>103.52014541048166</v>
      </c>
      <c r="O59" s="403">
        <f>+'Cuadro 1'!S71/'Cuadro 2'!S70*100</f>
        <v>105.21544765925741</v>
      </c>
      <c r="P59" s="403">
        <f>+'Cuadro 1'!T71/'Cuadro 2'!T70*100</f>
        <v>109.84109589041095</v>
      </c>
      <c r="Q59" s="403">
        <f>+'Cuadro 1'!U71/'Cuadro 2'!U70*100</f>
        <v>115.56809631301729</v>
      </c>
      <c r="R59" s="403">
        <f>+'Cuadro 1'!V71/'Cuadro 2'!V70*100</f>
        <v>120.4497483357688</v>
      </c>
      <c r="S59" s="403">
        <f>+'Cuadro 1'!W71/'Cuadro 2'!W70*100</f>
        <v>132.93479182565929</v>
      </c>
      <c r="T59" s="403">
        <f>+'Cuadro 1'!X71/'Cuadro 2'!X70*100</f>
        <v>151.49340574088441</v>
      </c>
      <c r="U59" s="403">
        <f>+'Cuadro 1'!Y71/'Cuadro 2'!Y70*100</f>
        <v>159.19006577947593</v>
      </c>
    </row>
    <row r="60" spans="1:21" x14ac:dyDescent="0.35">
      <c r="A60" s="401" t="s">
        <v>115</v>
      </c>
      <c r="B60" s="403">
        <f>+'Cuadro 1'!F72/'Cuadro 2'!F71*100</f>
        <v>37.049768345538787</v>
      </c>
      <c r="C60" s="403">
        <f>+'Cuadro 1'!G72/'Cuadro 2'!G71*100</f>
        <v>41.10355857656937</v>
      </c>
      <c r="D60" s="403">
        <f>+'Cuadro 1'!H72/'Cuadro 2'!H71*100</f>
        <v>47.074258724744162</v>
      </c>
      <c r="E60" s="403">
        <f>+'Cuadro 1'!I72/'Cuadro 2'!I71*100</f>
        <v>54.151708164447022</v>
      </c>
      <c r="F60" s="403">
        <f>+'Cuadro 1'!J72/'Cuadro 2'!J71*100</f>
        <v>61.377699941622886</v>
      </c>
      <c r="G60" s="403">
        <f>+'Cuadro 1'!K72/'Cuadro 2'!K71*100</f>
        <v>65.347693748536642</v>
      </c>
      <c r="H60" s="403">
        <f>+'Cuadro 1'!L72/'Cuadro 2'!L71*100</f>
        <v>72.291596355045556</v>
      </c>
      <c r="I60" s="403">
        <f>+'Cuadro 1'!M72/'Cuadro 2'!M71*100</f>
        <v>84.585148199298843</v>
      </c>
      <c r="J60" s="403">
        <f>+'Cuadro 1'!N72/'Cuadro 2'!N71*100</f>
        <v>93.716830932524644</v>
      </c>
      <c r="K60" s="403">
        <f>+'Cuadro 1'!O72/'Cuadro 2'!O71*100</f>
        <v>101.623519087319</v>
      </c>
      <c r="L60" s="403">
        <f>+'Cuadro 1'!P72/'Cuadro 2'!P71*100</f>
        <v>100</v>
      </c>
      <c r="M60" s="403">
        <f>+'Cuadro 1'!Q72/'Cuadro 2'!Q71*100</f>
        <v>115.61247741023021</v>
      </c>
      <c r="N60" s="403">
        <f>+'Cuadro 1'!R72/'Cuadro 2'!R71*100</f>
        <v>128.43466164798298</v>
      </c>
      <c r="O60" s="403">
        <f>+'Cuadro 1'!S72/'Cuadro 2'!S71*100</f>
        <v>133.9761248852158</v>
      </c>
      <c r="P60" s="403">
        <f>+'Cuadro 1'!T72/'Cuadro 2'!T71*100</f>
        <v>130.37443235369719</v>
      </c>
      <c r="Q60" s="403">
        <f>+'Cuadro 1'!U72/'Cuadro 2'!U71*100</f>
        <v>130.20807219854601</v>
      </c>
      <c r="R60" s="403">
        <f>+'Cuadro 1'!V72/'Cuadro 2'!V71*100</f>
        <v>134.34390187456606</v>
      </c>
      <c r="S60" s="403">
        <f>+'Cuadro 1'!W72/'Cuadro 2'!W71*100</f>
        <v>137.56066680734332</v>
      </c>
      <c r="T60" s="403">
        <f>+'Cuadro 1'!X72/'Cuadro 2'!X71*100</f>
        <v>156.90433686863383</v>
      </c>
      <c r="U60" s="403">
        <f>+'Cuadro 1'!Y72/'Cuadro 2'!Y71*100</f>
        <v>171.24271312336091</v>
      </c>
    </row>
    <row r="61" spans="1:21" x14ac:dyDescent="0.35">
      <c r="A61" s="400" t="s">
        <v>115</v>
      </c>
      <c r="B61" s="403">
        <f>+'Cuadro 1'!F73/'Cuadro 2'!F72*100</f>
        <v>37.049768345538787</v>
      </c>
      <c r="C61" s="403">
        <f>+'Cuadro 1'!G73/'Cuadro 2'!G72*100</f>
        <v>41.10355857656937</v>
      </c>
      <c r="D61" s="403">
        <f>+'Cuadro 1'!H73/'Cuadro 2'!H72*100</f>
        <v>47.074258724744162</v>
      </c>
      <c r="E61" s="403">
        <f>+'Cuadro 1'!I73/'Cuadro 2'!I72*100</f>
        <v>54.151708164447022</v>
      </c>
      <c r="F61" s="403">
        <f>+'Cuadro 1'!J73/'Cuadro 2'!J72*100</f>
        <v>61.377699941622886</v>
      </c>
      <c r="G61" s="403">
        <f>+'Cuadro 1'!K73/'Cuadro 2'!K72*100</f>
        <v>65.347693748536642</v>
      </c>
      <c r="H61" s="403">
        <f>+'Cuadro 1'!L73/'Cuadro 2'!L72*100</f>
        <v>72.291596355045556</v>
      </c>
      <c r="I61" s="403">
        <f>+'Cuadro 1'!M73/'Cuadro 2'!M72*100</f>
        <v>84.585148199298843</v>
      </c>
      <c r="J61" s="403">
        <f>+'Cuadro 1'!N73/'Cuadro 2'!N72*100</f>
        <v>93.716830932524644</v>
      </c>
      <c r="K61" s="403">
        <f>+'Cuadro 1'!O73/'Cuadro 2'!O72*100</f>
        <v>101.623519087319</v>
      </c>
      <c r="L61" s="403">
        <f>+'Cuadro 1'!P73/'Cuadro 2'!P72*100</f>
        <v>100</v>
      </c>
      <c r="M61" s="403">
        <f>+'Cuadro 1'!Q73/'Cuadro 2'!Q72*100</f>
        <v>115.61247741023021</v>
      </c>
      <c r="N61" s="403">
        <f>+'Cuadro 1'!R73/'Cuadro 2'!R72*100</f>
        <v>128.43466164798298</v>
      </c>
      <c r="O61" s="403">
        <f>+'Cuadro 1'!S73/'Cuadro 2'!S72*100</f>
        <v>133.9761248852158</v>
      </c>
      <c r="P61" s="403">
        <f>+'Cuadro 1'!T73/'Cuadro 2'!T72*100</f>
        <v>130.37443235369719</v>
      </c>
      <c r="Q61" s="403">
        <f>+'Cuadro 1'!U73/'Cuadro 2'!U72*100</f>
        <v>130.20807219854601</v>
      </c>
      <c r="R61" s="403">
        <f>+'Cuadro 1'!V73/'Cuadro 2'!V72*100</f>
        <v>134.34390187456606</v>
      </c>
      <c r="S61" s="403">
        <f>+'Cuadro 1'!W73/'Cuadro 2'!W72*100</f>
        <v>137.56066680734332</v>
      </c>
      <c r="T61" s="403">
        <f>+'Cuadro 1'!X73/'Cuadro 2'!X72*100</f>
        <v>156.90433686863383</v>
      </c>
      <c r="U61" s="403">
        <f>+'Cuadro 1'!Y73/'Cuadro 2'!Y72*100</f>
        <v>171.24271312336091</v>
      </c>
    </row>
    <row r="62" spans="1:21" x14ac:dyDescent="0.35">
      <c r="A62" s="176" t="s">
        <v>113</v>
      </c>
      <c r="B62" s="403">
        <f>+'Cuadro 1'!F74/'Cuadro 2'!F73*100</f>
        <v>64.286466807917876</v>
      </c>
      <c r="C62" s="403">
        <f>+'Cuadro 1'!G74/'Cuadro 2'!G73*100</f>
        <v>67.610904423122946</v>
      </c>
      <c r="D62" s="403">
        <f>+'Cuadro 1'!H74/'Cuadro 2'!H73*100</f>
        <v>71.864147448738208</v>
      </c>
      <c r="E62" s="403">
        <f>+'Cuadro 1'!I74/'Cuadro 2'!I73*100</f>
        <v>73.902253141304982</v>
      </c>
      <c r="F62" s="403">
        <f>+'Cuadro 1'!J74/'Cuadro 2'!J73*100</f>
        <v>77.998727797621953</v>
      </c>
      <c r="G62" s="403">
        <f>+'Cuadro 1'!K74/'Cuadro 2'!K73*100</f>
        <v>78.893048575436381</v>
      </c>
      <c r="H62" s="403">
        <f>+'Cuadro 1'!L74/'Cuadro 2'!L73*100</f>
        <v>80.846145155262775</v>
      </c>
      <c r="I62" s="403">
        <f>+'Cuadro 1'!M74/'Cuadro 2'!M73*100</f>
        <v>82.465907093166351</v>
      </c>
      <c r="J62" s="403">
        <f>+'Cuadro 1'!N74/'Cuadro 2'!N73*100</f>
        <v>87.741012712846285</v>
      </c>
      <c r="K62" s="403">
        <f>+'Cuadro 1'!O74/'Cuadro 2'!O73*100</f>
        <v>92.075566712191844</v>
      </c>
      <c r="L62" s="403">
        <f>+'Cuadro 1'!P74/'Cuadro 2'!P73*100</f>
        <v>100</v>
      </c>
      <c r="M62" s="403">
        <f>+'Cuadro 1'!Q74/'Cuadro 2'!Q73*100</f>
        <v>109.7924726388909</v>
      </c>
      <c r="N62" s="403">
        <f>+'Cuadro 1'!R74/'Cuadro 2'!R73*100</f>
        <v>115.10744641798209</v>
      </c>
      <c r="O62" s="403">
        <f>+'Cuadro 1'!S74/'Cuadro 2'!S73*100</f>
        <v>119.43783605385111</v>
      </c>
      <c r="P62" s="403">
        <f>+'Cuadro 1'!T74/'Cuadro 2'!T73*100</f>
        <v>124.77036251573995</v>
      </c>
      <c r="Q62" s="403">
        <f>+'Cuadro 1'!U74/'Cuadro 2'!U73*100</f>
        <v>130.58855146466004</v>
      </c>
      <c r="R62" s="403">
        <f>+'Cuadro 1'!V74/'Cuadro 2'!V73*100</f>
        <v>138.15004942129261</v>
      </c>
      <c r="S62" s="403">
        <f>+'Cuadro 1'!W74/'Cuadro 2'!W73*100</f>
        <v>155.58873987609076</v>
      </c>
      <c r="T62" s="403">
        <f>+'Cuadro 1'!X74/'Cuadro 2'!X73*100</f>
        <v>175.52253989283054</v>
      </c>
      <c r="U62" s="403">
        <f>+'Cuadro 1'!Y74/'Cuadro 2'!Y73*100</f>
        <v>188.39678218559629</v>
      </c>
    </row>
    <row r="63" spans="1:21" x14ac:dyDescent="0.35">
      <c r="A63" s="398" t="s">
        <v>111</v>
      </c>
      <c r="B63" s="403">
        <f>+'Cuadro 1'!F75/'Cuadro 2'!F74*100</f>
        <v>73.964991641262657</v>
      </c>
      <c r="C63" s="403">
        <f>+'Cuadro 1'!G75/'Cuadro 2'!G74*100</f>
        <v>76.63889647637258</v>
      </c>
      <c r="D63" s="403">
        <f>+'Cuadro 1'!H75/'Cuadro 2'!H74*100</f>
        <v>79.030058943217327</v>
      </c>
      <c r="E63" s="403">
        <f>+'Cuadro 1'!I75/'Cuadro 2'!I74*100</f>
        <v>81.075295125084097</v>
      </c>
      <c r="F63" s="403">
        <f>+'Cuadro 1'!J75/'Cuadro 2'!J74*100</f>
        <v>83.049069025820387</v>
      </c>
      <c r="G63" s="403">
        <f>+'Cuadro 1'!K75/'Cuadro 2'!K74*100</f>
        <v>83.38707471028512</v>
      </c>
      <c r="H63" s="403">
        <f>+'Cuadro 1'!L75/'Cuadro 2'!L74*100</f>
        <v>86.23023196902254</v>
      </c>
      <c r="I63" s="403">
        <f>+'Cuadro 1'!M75/'Cuadro 2'!M74*100</f>
        <v>85.956787436669742</v>
      </c>
      <c r="J63" s="403">
        <f>+'Cuadro 1'!N75/'Cuadro 2'!N74*100</f>
        <v>88.346915017462166</v>
      </c>
      <c r="K63" s="403">
        <f>+'Cuadro 1'!O75/'Cuadro 2'!O74*100</f>
        <v>90.220835181547429</v>
      </c>
      <c r="L63" s="403">
        <f>+'Cuadro 1'!P75/'Cuadro 2'!P74*100</f>
        <v>100</v>
      </c>
      <c r="M63" s="403">
        <f>+'Cuadro 1'!Q75/'Cuadro 2'!Q74*100</f>
        <v>112.18681187883118</v>
      </c>
      <c r="N63" s="403">
        <f>+'Cuadro 1'!R75/'Cuadro 2'!R74*100</f>
        <v>118.82678537435388</v>
      </c>
      <c r="O63" s="403">
        <f>+'Cuadro 1'!S75/'Cuadro 2'!S74*100</f>
        <v>123.51106109599579</v>
      </c>
      <c r="P63" s="403">
        <f>+'Cuadro 1'!T75/'Cuadro 2'!T74*100</f>
        <v>132.05131715866148</v>
      </c>
      <c r="Q63" s="403">
        <f>+'Cuadro 1'!U75/'Cuadro 2'!U74*100</f>
        <v>139.04086217192253</v>
      </c>
      <c r="R63" s="403">
        <f>+'Cuadro 1'!V75/'Cuadro 2'!V74*100</f>
        <v>151.33990147783251</v>
      </c>
      <c r="S63" s="403">
        <f>+'Cuadro 1'!W75/'Cuadro 2'!W74*100</f>
        <v>172.82300292957487</v>
      </c>
      <c r="T63" s="403">
        <f>+'Cuadro 1'!X75/'Cuadro 2'!X74*100</f>
        <v>192.26061827630591</v>
      </c>
      <c r="U63" s="403">
        <f>+'Cuadro 1'!Y75/'Cuadro 2'!Y74*100</f>
        <v>206.01837701490894</v>
      </c>
    </row>
    <row r="64" spans="1:21" x14ac:dyDescent="0.35">
      <c r="A64" s="399" t="s">
        <v>109</v>
      </c>
      <c r="B64" s="403">
        <f>+'Cuadro 1'!F76/'Cuadro 2'!F75*100</f>
        <v>74.969600345880508</v>
      </c>
      <c r="C64" s="403">
        <f>+'Cuadro 1'!G76/'Cuadro 2'!G75*100</f>
        <v>77.673175847775056</v>
      </c>
      <c r="D64" s="403">
        <f>+'Cuadro 1'!H76/'Cuadro 2'!H75*100</f>
        <v>79.946757240556295</v>
      </c>
      <c r="E64" s="403">
        <f>+'Cuadro 1'!I76/'Cuadro 2'!I75*100</f>
        <v>81.924165756447692</v>
      </c>
      <c r="F64" s="403">
        <f>+'Cuadro 1'!J76/'Cuadro 2'!J75*100</f>
        <v>83.245305164319248</v>
      </c>
      <c r="G64" s="403">
        <f>+'Cuadro 1'!K76/'Cuadro 2'!K75*100</f>
        <v>83.201216899477245</v>
      </c>
      <c r="H64" s="403">
        <f>+'Cuadro 1'!L76/'Cuadro 2'!L75*100</f>
        <v>86.165360083726625</v>
      </c>
      <c r="I64" s="403">
        <f>+'Cuadro 1'!M76/'Cuadro 2'!M75*100</f>
        <v>85.253473740234568</v>
      </c>
      <c r="J64" s="403">
        <f>+'Cuadro 1'!N76/'Cuadro 2'!N75*100</f>
        <v>87.770790927595229</v>
      </c>
      <c r="K64" s="403">
        <f>+'Cuadro 1'!O76/'Cuadro 2'!O75*100</f>
        <v>89.657861896838597</v>
      </c>
      <c r="L64" s="403">
        <f>+'Cuadro 1'!P76/'Cuadro 2'!P75*100</f>
        <v>100</v>
      </c>
      <c r="M64" s="403">
        <f>+'Cuadro 1'!Q76/'Cuadro 2'!Q75*100</f>
        <v>112.61904375618541</v>
      </c>
      <c r="N64" s="403">
        <f>+'Cuadro 1'!R76/'Cuadro 2'!R75*100</f>
        <v>118.93993835736758</v>
      </c>
      <c r="O64" s="403">
        <f>+'Cuadro 1'!S76/'Cuadro 2'!S75*100</f>
        <v>123.3984799131379</v>
      </c>
      <c r="P64" s="403">
        <f>+'Cuadro 1'!T76/'Cuadro 2'!T75*100</f>
        <v>132.44644400083425</v>
      </c>
      <c r="Q64" s="403">
        <f>+'Cuadro 1'!U76/'Cuadro 2'!U75*100</f>
        <v>139.89183226340222</v>
      </c>
      <c r="R64" s="403">
        <f>+'Cuadro 1'!V76/'Cuadro 2'!V75*100</f>
        <v>152.42607633911982</v>
      </c>
      <c r="S64" s="403">
        <f>+'Cuadro 1'!W76/'Cuadro 2'!W75*100</f>
        <v>174.89904277594974</v>
      </c>
      <c r="T64" s="403">
        <f>+'Cuadro 1'!X76/'Cuadro 2'!X75*100</f>
        <v>194.69268960794383</v>
      </c>
      <c r="U64" s="403">
        <f>+'Cuadro 1'!Y76/'Cuadro 2'!Y75*100</f>
        <v>208.34197705725092</v>
      </c>
    </row>
    <row r="65" spans="1:21" x14ac:dyDescent="0.35">
      <c r="A65" s="400" t="s">
        <v>107</v>
      </c>
      <c r="B65" s="403">
        <f>+'Cuadro 1'!F77/'Cuadro 2'!F76*100</f>
        <v>63.572204125950051</v>
      </c>
      <c r="C65" s="403">
        <f>+'Cuadro 1'!G77/'Cuadro 2'!G76*100</f>
        <v>65.946502057613159</v>
      </c>
      <c r="D65" s="403">
        <f>+'Cuadro 1'!H77/'Cuadro 2'!H76*100</f>
        <v>69.590786571918656</v>
      </c>
      <c r="E65" s="403">
        <f>+'Cuadro 1'!I77/'Cuadro 2'!I76*100</f>
        <v>72.375690607734811</v>
      </c>
      <c r="F65" s="403">
        <f>+'Cuadro 1'!J77/'Cuadro 2'!J76*100</f>
        <v>81.084225221033037</v>
      </c>
      <c r="G65" s="403">
        <f>+'Cuadro 1'!K77/'Cuadro 2'!K76*100</f>
        <v>85.412026726057917</v>
      </c>
      <c r="H65" s="403">
        <f>+'Cuadro 1'!L77/'Cuadro 2'!L76*100</f>
        <v>86.921746649373105</v>
      </c>
      <c r="I65" s="403">
        <f>+'Cuadro 1'!M77/'Cuadro 2'!M76*100</f>
        <v>93.601159660385164</v>
      </c>
      <c r="J65" s="403">
        <f>+'Cuadro 1'!N77/'Cuadro 2'!N76*100</f>
        <v>94.611013129531656</v>
      </c>
      <c r="K65" s="403">
        <f>+'Cuadro 1'!O77/'Cuadro 2'!O76*100</f>
        <v>96.346863468634695</v>
      </c>
      <c r="L65" s="403">
        <f>+'Cuadro 1'!P77/'Cuadro 2'!P76*100</f>
        <v>100</v>
      </c>
      <c r="M65" s="403">
        <f>+'Cuadro 1'!Q77/'Cuadro 2'!Q76*100</f>
        <v>107.40807174887892</v>
      </c>
      <c r="N65" s="403">
        <f>+'Cuadro 1'!R77/'Cuadro 2'!R76*100</f>
        <v>117.55684822845056</v>
      </c>
      <c r="O65" s="403">
        <f>+'Cuadro 1'!S77/'Cuadro 2'!S76*100</f>
        <v>124.79930191972078</v>
      </c>
      <c r="P65" s="403">
        <f>+'Cuadro 1'!T77/'Cuadro 2'!T76*100</f>
        <v>127.56345177664974</v>
      </c>
      <c r="Q65" s="403">
        <f>+'Cuadro 1'!U77/'Cuadro 2'!U76*100</f>
        <v>128.6847847649276</v>
      </c>
      <c r="R65" s="403">
        <f>+'Cuadro 1'!V77/'Cuadro 2'!V76*100</f>
        <v>138.0151098901099</v>
      </c>
      <c r="S65" s="403">
        <f>+'Cuadro 1'!W77/'Cuadro 2'!W76*100</f>
        <v>147.23812470988705</v>
      </c>
      <c r="T65" s="403">
        <f>+'Cuadro 1'!X77/'Cuadro 2'!X76*100</f>
        <v>162.38021638330758</v>
      </c>
      <c r="U65" s="403">
        <f>+'Cuadro 1'!Y77/'Cuadro 2'!Y76*100</f>
        <v>177.43910856458609</v>
      </c>
    </row>
    <row r="66" spans="1:21" x14ac:dyDescent="0.35">
      <c r="A66" s="401" t="s">
        <v>105</v>
      </c>
      <c r="B66" s="403">
        <f>+'Cuadro 1'!F78/'Cuadro 2'!F77*100</f>
        <v>58.902722568064206</v>
      </c>
      <c r="C66" s="403">
        <f>+'Cuadro 1'!G78/'Cuadro 2'!G77*100</f>
        <v>63.141802846599894</v>
      </c>
      <c r="D66" s="403">
        <f>+'Cuadro 1'!H78/'Cuadro 2'!H77*100</f>
        <v>68.99557594625594</v>
      </c>
      <c r="E66" s="403">
        <f>+'Cuadro 1'!I78/'Cuadro 2'!I77*100</f>
        <v>69.267607432475572</v>
      </c>
      <c r="F66" s="403">
        <f>+'Cuadro 1'!J78/'Cuadro 2'!J77*100</f>
        <v>75.922767497988744</v>
      </c>
      <c r="G66" s="403">
        <f>+'Cuadro 1'!K78/'Cuadro 2'!K77*100</f>
        <v>74.119080249733514</v>
      </c>
      <c r="H66" s="403">
        <f>+'Cuadro 1'!L78/'Cuadro 2'!L77*100</f>
        <v>72.873157685085076</v>
      </c>
      <c r="I66" s="403">
        <f>+'Cuadro 1'!M78/'Cuadro 2'!M77*100</f>
        <v>73.175217546460232</v>
      </c>
      <c r="J66" s="403">
        <f>+'Cuadro 1'!N78/'Cuadro 2'!N77*100</f>
        <v>83.645615243950928</v>
      </c>
      <c r="K66" s="403">
        <f>+'Cuadro 1'!O78/'Cuadro 2'!O77*100</f>
        <v>91.572890676714707</v>
      </c>
      <c r="L66" s="403">
        <f>+'Cuadro 1'!P78/'Cuadro 2'!P77*100</f>
        <v>100</v>
      </c>
      <c r="M66" s="403">
        <f>+'Cuadro 1'!Q78/'Cuadro 2'!Q77*100</f>
        <v>107.98989923753952</v>
      </c>
      <c r="N66" s="403">
        <f>+'Cuadro 1'!R78/'Cuadro 2'!R77*100</f>
        <v>108.97143269022848</v>
      </c>
      <c r="O66" s="403">
        <f>+'Cuadro 1'!S78/'Cuadro 2'!S77*100</f>
        <v>114.29174385068117</v>
      </c>
      <c r="P66" s="403">
        <f>+'Cuadro 1'!T78/'Cuadro 2'!T77*100</f>
        <v>116.7493824642509</v>
      </c>
      <c r="Q66" s="403">
        <f>+'Cuadro 1'!U78/'Cuadro 2'!U77*100</f>
        <v>124.26284014349463</v>
      </c>
      <c r="R66" s="403">
        <f>+'Cuadro 1'!V78/'Cuadro 2'!V77*100</f>
        <v>126.67142224627344</v>
      </c>
      <c r="S66" s="403">
        <f>+'Cuadro 1'!W78/'Cuadro 2'!W77*100</f>
        <v>139.23489765351974</v>
      </c>
      <c r="T66" s="403">
        <f>+'Cuadro 1'!X78/'Cuadro 2'!X77*100</f>
        <v>155.82121231038141</v>
      </c>
      <c r="U66" s="403">
        <f>+'Cuadro 1'!Y78/'Cuadro 2'!Y77*100</f>
        <v>163.81082332937393</v>
      </c>
    </row>
    <row r="67" spans="1:21" x14ac:dyDescent="0.35">
      <c r="A67" s="400" t="s">
        <v>103</v>
      </c>
      <c r="B67" s="403">
        <f>+'Cuadro 1'!F79/'Cuadro 2'!F78*100</f>
        <v>56.613494501139407</v>
      </c>
      <c r="C67" s="403">
        <f>+'Cuadro 1'!G79/'Cuadro 2'!G78*100</f>
        <v>60.68850902184235</v>
      </c>
      <c r="D67" s="403">
        <f>+'Cuadro 1'!H79/'Cuadro 2'!H78*100</f>
        <v>67.046106331347886</v>
      </c>
      <c r="E67" s="403">
        <f>+'Cuadro 1'!I79/'Cuadro 2'!I78*100</f>
        <v>66.476289373485628</v>
      </c>
      <c r="F67" s="403">
        <f>+'Cuadro 1'!J79/'Cuadro 2'!J78*100</f>
        <v>73.640785131144696</v>
      </c>
      <c r="G67" s="403">
        <f>+'Cuadro 1'!K79/'Cuadro 2'!K78*100</f>
        <v>72.603704778086282</v>
      </c>
      <c r="H67" s="403">
        <f>+'Cuadro 1'!L79/'Cuadro 2'!L78*100</f>
        <v>71.016794378052168</v>
      </c>
      <c r="I67" s="403">
        <f>+'Cuadro 1'!M79/'Cuadro 2'!M78*100</f>
        <v>70.834945446103845</v>
      </c>
      <c r="J67" s="403">
        <f>+'Cuadro 1'!N79/'Cuadro 2'!N78*100</f>
        <v>83.784401050588102</v>
      </c>
      <c r="K67" s="403">
        <f>+'Cuadro 1'!O79/'Cuadro 2'!O78*100</f>
        <v>93.178973717146434</v>
      </c>
      <c r="L67" s="403">
        <f>+'Cuadro 1'!P79/'Cuadro 2'!P78*100</f>
        <v>100</v>
      </c>
      <c r="M67" s="403">
        <f>+'Cuadro 1'!Q79/'Cuadro 2'!Q78*100</f>
        <v>110.85066299543512</v>
      </c>
      <c r="N67" s="403">
        <f>+'Cuadro 1'!R79/'Cuadro 2'!R78*100</f>
        <v>113.15052760031585</v>
      </c>
      <c r="O67" s="403">
        <f>+'Cuadro 1'!S79/'Cuadro 2'!S78*100</f>
        <v>118.51943462897528</v>
      </c>
      <c r="P67" s="403">
        <f>+'Cuadro 1'!T79/'Cuadro 2'!T78*100</f>
        <v>120.74651579964124</v>
      </c>
      <c r="Q67" s="403">
        <f>+'Cuadro 1'!U79/'Cuadro 2'!U78*100</f>
        <v>130.1393581081081</v>
      </c>
      <c r="R67" s="403">
        <f>+'Cuadro 1'!V79/'Cuadro 2'!V78*100</f>
        <v>133.85333084530694</v>
      </c>
      <c r="S67" s="403">
        <f>+'Cuadro 1'!W79/'Cuadro 2'!W78*100</f>
        <v>146.4866453340299</v>
      </c>
      <c r="T67" s="403">
        <f>+'Cuadro 1'!X79/'Cuadro 2'!X78*100</f>
        <v>164.30270687327203</v>
      </c>
      <c r="U67" s="403">
        <f>+'Cuadro 1'!Y79/'Cuadro 2'!Y78*100</f>
        <v>173.9602945046714</v>
      </c>
    </row>
    <row r="68" spans="1:21" x14ac:dyDescent="0.35">
      <c r="A68" s="399" t="s">
        <v>101</v>
      </c>
      <c r="B68" s="403">
        <f>+'Cuadro 1'!F80/'Cuadro 2'!F79*100</f>
        <v>92.344497607655512</v>
      </c>
      <c r="C68" s="403">
        <f>+'Cuadro 1'!G80/'Cuadro 2'!G79*100</f>
        <v>98.584905660377359</v>
      </c>
      <c r="D68" s="403">
        <f>+'Cuadro 1'!H80/'Cuadro 2'!H79*100</f>
        <v>110.04366812227073</v>
      </c>
      <c r="E68" s="403">
        <f>+'Cuadro 1'!I80/'Cuadro 2'!I79*100</f>
        <v>117.00404858299595</v>
      </c>
      <c r="F68" s="403">
        <f>+'Cuadro 1'!J80/'Cuadro 2'!J79*100</f>
        <v>127.11111111111111</v>
      </c>
      <c r="G68" s="403">
        <f>+'Cuadro 1'!K80/'Cuadro 2'!K79*100</f>
        <v>105.1948051948052</v>
      </c>
      <c r="H68" s="403">
        <f>+'Cuadro 1'!L80/'Cuadro 2'!L79*100</f>
        <v>82.90598290598291</v>
      </c>
      <c r="I68" s="403">
        <f>+'Cuadro 1'!M80/'Cuadro 2'!M79*100</f>
        <v>72.173913043478265</v>
      </c>
      <c r="J68" s="403">
        <f>+'Cuadro 1'!N80/'Cuadro 2'!N79*100</f>
        <v>81.93832599118943</v>
      </c>
      <c r="K68" s="403">
        <f>+'Cuadro 1'!O80/'Cuadro 2'!O79*100</f>
        <v>94.827586206896555</v>
      </c>
      <c r="L68" s="403">
        <f>+'Cuadro 1'!P80/'Cuadro 2'!P79*100</f>
        <v>100</v>
      </c>
      <c r="M68" s="403">
        <f>+'Cuadro 1'!Q80/'Cuadro 2'!Q79*100</f>
        <v>121.70212765957447</v>
      </c>
      <c r="N68" s="403">
        <f>+'Cuadro 1'!R80/'Cuadro 2'!R79*100</f>
        <v>128.21576763485479</v>
      </c>
      <c r="O68" s="403">
        <f>+'Cuadro 1'!S80/'Cuadro 2'!S79*100</f>
        <v>132.09876543209879</v>
      </c>
      <c r="P68" s="403">
        <f>+'Cuadro 1'!T80/'Cuadro 2'!T79*100</f>
        <v>134.2741935483871</v>
      </c>
      <c r="Q68" s="403">
        <f>+'Cuadro 1'!U80/'Cuadro 2'!U79*100</f>
        <v>127.07423580786026</v>
      </c>
      <c r="R68" s="403">
        <f>+'Cuadro 1'!V80/'Cuadro 2'!V79*100</f>
        <v>130.47210300429185</v>
      </c>
      <c r="S68" s="403">
        <f>+'Cuadro 1'!W80/'Cuadro 2'!W79*100</f>
        <v>140.87301587301587</v>
      </c>
      <c r="T68" s="403">
        <f>+'Cuadro 1'!X80/'Cuadro 2'!X79*100</f>
        <v>158.75486381322958</v>
      </c>
      <c r="U68" s="403">
        <f>+'Cuadro 1'!Y80/'Cuadro 2'!Y79*100</f>
        <v>171.26696832579185</v>
      </c>
    </row>
    <row r="69" spans="1:21" x14ac:dyDescent="0.35">
      <c r="A69" s="400" t="s">
        <v>99</v>
      </c>
      <c r="B69" s="403">
        <f>+'Cuadro 1'!F81/'Cuadro 2'!F80*100</f>
        <v>67.100192678227359</v>
      </c>
      <c r="C69" s="403">
        <f>+'Cuadro 1'!G81/'Cuadro 2'!G80*100</f>
        <v>72.24066390041493</v>
      </c>
      <c r="D69" s="403">
        <f>+'Cuadro 1'!H81/'Cuadro 2'!H80*100</f>
        <v>81.676891615541919</v>
      </c>
      <c r="E69" s="403">
        <f>+'Cuadro 1'!I81/'Cuadro 2'!I80*100</f>
        <v>87.10730314157486</v>
      </c>
      <c r="F69" s="403">
        <f>+'Cuadro 1'!J81/'Cuadro 2'!J80*100</f>
        <v>89.74158183241974</v>
      </c>
      <c r="G69" s="403">
        <f>+'Cuadro 1'!K81/'Cuadro 2'!K80*100</f>
        <v>81.865464632454916</v>
      </c>
      <c r="H69" s="403">
        <f>+'Cuadro 1'!L81/'Cuadro 2'!L80*100</f>
        <v>77.97118847539015</v>
      </c>
      <c r="I69" s="403">
        <f>+'Cuadro 1'!M81/'Cuadro 2'!M80*100</f>
        <v>78.886047172492198</v>
      </c>
      <c r="J69" s="403">
        <f>+'Cuadro 1'!N81/'Cuadro 2'!N80*100</f>
        <v>85.662990510387289</v>
      </c>
      <c r="K69" s="403">
        <f>+'Cuadro 1'!O81/'Cuadro 2'!O80*100</f>
        <v>90.909090909090907</v>
      </c>
      <c r="L69" s="403">
        <f>+'Cuadro 1'!P81/'Cuadro 2'!P80*100</f>
        <v>100</v>
      </c>
      <c r="M69" s="403">
        <f>+'Cuadro 1'!Q81/'Cuadro 2'!Q80*100</f>
        <v>89.673046251993611</v>
      </c>
      <c r="N69" s="403">
        <f>+'Cuadro 1'!R81/'Cuadro 2'!R80*100</f>
        <v>79.694857788660769</v>
      </c>
      <c r="O69" s="403">
        <f>+'Cuadro 1'!S81/'Cuadro 2'!S80*100</f>
        <v>86.145962184131477</v>
      </c>
      <c r="P69" s="403">
        <f>+'Cuadro 1'!T81/'Cuadro 2'!T80*100</f>
        <v>88.66410299281057</v>
      </c>
      <c r="Q69" s="403">
        <f>+'Cuadro 1'!U81/'Cuadro 2'!U80*100</f>
        <v>98.392652123995404</v>
      </c>
      <c r="R69" s="403">
        <f>+'Cuadro 1'!V81/'Cuadro 2'!V80*100</f>
        <v>82.192112267118318</v>
      </c>
      <c r="S69" s="403">
        <f>+'Cuadro 1'!W81/'Cuadro 2'!W80*100</f>
        <v>94.632438739789976</v>
      </c>
      <c r="T69" s="403">
        <f>+'Cuadro 1'!X81/'Cuadro 2'!X80*100</f>
        <v>108.7595365922577</v>
      </c>
      <c r="U69" s="403">
        <f>+'Cuadro 1'!Y81/'Cuadro 2'!Y80*100</f>
        <v>100.87382692008737</v>
      </c>
    </row>
    <row r="70" spans="1:21" x14ac:dyDescent="0.35">
      <c r="A70" s="399" t="s">
        <v>97</v>
      </c>
      <c r="B70" s="403">
        <f>+'Cuadro 1'!F82/'Cuadro 2'!F81*100</f>
        <v>56.172053957750066</v>
      </c>
      <c r="C70" s="403">
        <f>+'Cuadro 1'!G82/'Cuadro 2'!G81*100</f>
        <v>61.473152822395591</v>
      </c>
      <c r="D70" s="403">
        <f>+'Cuadro 1'!H82/'Cuadro 2'!H81*100</f>
        <v>63.891868697704354</v>
      </c>
      <c r="E70" s="403">
        <f>+'Cuadro 1'!I82/'Cuadro 2'!I81*100</f>
        <v>65.54723851911794</v>
      </c>
      <c r="F70" s="403">
        <f>+'Cuadro 1'!J82/'Cuadro 2'!J81*100</f>
        <v>72.38726223552041</v>
      </c>
      <c r="G70" s="403">
        <f>+'Cuadro 1'!K82/'Cuadro 2'!K81*100</f>
        <v>71.446003660768767</v>
      </c>
      <c r="H70" s="403">
        <f>+'Cuadro 1'!L82/'Cuadro 2'!L81*100</f>
        <v>74.271587497792694</v>
      </c>
      <c r="I70" s="403">
        <f>+'Cuadro 1'!M82/'Cuadro 2'!M81*100</f>
        <v>76.796036333608583</v>
      </c>
      <c r="J70" s="403">
        <f>+'Cuadro 1'!N82/'Cuadro 2'!N81*100</f>
        <v>80.652644602536341</v>
      </c>
      <c r="K70" s="403">
        <f>+'Cuadro 1'!O82/'Cuadro 2'!O81*100</f>
        <v>85.440895039010741</v>
      </c>
      <c r="L70" s="403">
        <f>+'Cuadro 1'!P82/'Cuadro 2'!P81*100</f>
        <v>100</v>
      </c>
      <c r="M70" s="403">
        <f>+'Cuadro 1'!Q82/'Cuadro 2'!Q81*100</f>
        <v>109.37013446567587</v>
      </c>
      <c r="N70" s="403">
        <f>+'Cuadro 1'!R82/'Cuadro 2'!R81*100</f>
        <v>112.52032520325204</v>
      </c>
      <c r="O70" s="403">
        <f>+'Cuadro 1'!S82/'Cuadro 2'!S81*100</f>
        <v>116.76913015042511</v>
      </c>
      <c r="P70" s="403">
        <f>+'Cuadro 1'!T82/'Cuadro 2'!T81*100</f>
        <v>119.56494870844148</v>
      </c>
      <c r="Q70" s="403">
        <f>+'Cuadro 1'!U82/'Cuadro 2'!U81*100</f>
        <v>121.01026045777428</v>
      </c>
      <c r="R70" s="403">
        <f>+'Cuadro 1'!V82/'Cuadro 2'!V81*100</f>
        <v>128.52583773168038</v>
      </c>
      <c r="S70" s="403">
        <f>+'Cuadro 1'!W82/'Cuadro 2'!W81*100</f>
        <v>140.75111526091919</v>
      </c>
      <c r="T70" s="403">
        <f>+'Cuadro 1'!X82/'Cuadro 2'!X81*100</f>
        <v>153.83765875207067</v>
      </c>
      <c r="U70" s="403">
        <f>+'Cuadro 1'!Y82/'Cuadro 2'!Y81*100</f>
        <v>167.50794714945133</v>
      </c>
    </row>
    <row r="71" spans="1:21" x14ac:dyDescent="0.35">
      <c r="A71" s="400" t="s">
        <v>95</v>
      </c>
      <c r="B71" s="403">
        <f>+'Cuadro 1'!F83/'Cuadro 2'!F82*100</f>
        <v>105.4229934924078</v>
      </c>
      <c r="C71" s="403">
        <f>+'Cuadro 1'!G83/'Cuadro 2'!G82*100</f>
        <v>101.82815356489945</v>
      </c>
      <c r="D71" s="403">
        <f>+'Cuadro 1'!H83/'Cuadro 2'!H82*100</f>
        <v>97.981366459627324</v>
      </c>
      <c r="E71" s="403">
        <f>+'Cuadro 1'!I83/'Cuadro 2'!I82*100</f>
        <v>95.839311334289818</v>
      </c>
      <c r="F71" s="403">
        <f>+'Cuadro 1'!J83/'Cuadro 2'!J82*100</f>
        <v>96.96092619392185</v>
      </c>
      <c r="G71" s="403">
        <f>+'Cuadro 1'!K83/'Cuadro 2'!K82*100</f>
        <v>94.466936572199728</v>
      </c>
      <c r="H71" s="403">
        <f>+'Cuadro 1'!L83/'Cuadro 2'!L82*100</f>
        <v>92.493638676844782</v>
      </c>
      <c r="I71" s="403">
        <f>+'Cuadro 1'!M83/'Cuadro 2'!M82*100</f>
        <v>92.092457420924575</v>
      </c>
      <c r="J71" s="403">
        <f>+'Cuadro 1'!N83/'Cuadro 2'!N82*100</f>
        <v>93.75</v>
      </c>
      <c r="K71" s="403">
        <f>+'Cuadro 1'!O83/'Cuadro 2'!O82*100</f>
        <v>92.417582417582423</v>
      </c>
      <c r="L71" s="403">
        <f>+'Cuadro 1'!P83/'Cuadro 2'!P82*100</f>
        <v>100</v>
      </c>
      <c r="M71" s="403">
        <f>+'Cuadro 1'!Q83/'Cuadro 2'!Q82*100</f>
        <v>107.9219288174512</v>
      </c>
      <c r="N71" s="403">
        <f>+'Cuadro 1'!R83/'Cuadro 2'!R82*100</f>
        <v>113.61014994232987</v>
      </c>
      <c r="O71" s="403">
        <f>+'Cuadro 1'!S83/'Cuadro 2'!S82*100</f>
        <v>119.24778761061947</v>
      </c>
      <c r="P71" s="403">
        <f>+'Cuadro 1'!T83/'Cuadro 2'!T82*100</f>
        <v>125.10373443983403</v>
      </c>
      <c r="Q71" s="403">
        <f>+'Cuadro 1'!U83/'Cuadro 2'!U82*100</f>
        <v>127.37373737373738</v>
      </c>
      <c r="R71" s="403">
        <f>+'Cuadro 1'!V83/'Cuadro 2'!V82*100</f>
        <v>130.38427167113494</v>
      </c>
      <c r="S71" s="403">
        <f>+'Cuadro 1'!W83/'Cuadro 2'!W82*100</f>
        <v>139.96627318718382</v>
      </c>
      <c r="T71" s="403">
        <f>+'Cuadro 1'!X83/'Cuadro 2'!X82*100</f>
        <v>157.94732061762033</v>
      </c>
      <c r="U71" s="403">
        <f>+'Cuadro 1'!Y83/'Cuadro 2'!Y82*100</f>
        <v>170.14464785549123</v>
      </c>
    </row>
    <row r="72" spans="1:21" x14ac:dyDescent="0.35">
      <c r="A72" s="401" t="s">
        <v>92</v>
      </c>
      <c r="B72" s="403">
        <f>+'Cuadro 1'!F84/'Cuadro 2'!F83*100</f>
        <v>50.261635912971634</v>
      </c>
      <c r="C72" s="403">
        <f>+'Cuadro 1'!G84/'Cuadro 2'!G83*100</f>
        <v>53.707865168539328</v>
      </c>
      <c r="D72" s="403">
        <f>+'Cuadro 1'!H84/'Cuadro 2'!H83*100</f>
        <v>59.847804509145909</v>
      </c>
      <c r="E72" s="403">
        <f>+'Cuadro 1'!I84/'Cuadro 2'!I83*100</f>
        <v>64.379144336452001</v>
      </c>
      <c r="F72" s="403">
        <f>+'Cuadro 1'!J84/'Cuadro 2'!J83*100</f>
        <v>69.494592805120277</v>
      </c>
      <c r="G72" s="403">
        <f>+'Cuadro 1'!K84/'Cuadro 2'!K83*100</f>
        <v>75.302571860816954</v>
      </c>
      <c r="H72" s="403">
        <f>+'Cuadro 1'!L84/'Cuadro 2'!L83*100</f>
        <v>79.802876070447567</v>
      </c>
      <c r="I72" s="403">
        <f>+'Cuadro 1'!M84/'Cuadro 2'!M83*100</f>
        <v>87.518492564042674</v>
      </c>
      <c r="J72" s="403">
        <f>+'Cuadro 1'!N84/'Cuadro 2'!N83*100</f>
        <v>91.961344168679986</v>
      </c>
      <c r="K72" s="403">
        <f>+'Cuadro 1'!O84/'Cuadro 2'!O83*100</f>
        <v>96.788590955054218</v>
      </c>
      <c r="L72" s="403">
        <f>+'Cuadro 1'!P84/'Cuadro 2'!P83*100</f>
        <v>100</v>
      </c>
      <c r="M72" s="403">
        <f>+'Cuadro 1'!Q84/'Cuadro 2'!Q83*100</f>
        <v>106.9789151778529</v>
      </c>
      <c r="N72" s="403">
        <f>+'Cuadro 1'!R84/'Cuadro 2'!R83*100</f>
        <v>115.12946512946513</v>
      </c>
      <c r="O72" s="403">
        <f>+'Cuadro 1'!S84/'Cuadro 2'!S83*100</f>
        <v>117.40157721930713</v>
      </c>
      <c r="P72" s="403">
        <f>+'Cuadro 1'!T84/'Cuadro 2'!T83*100</f>
        <v>119.55090175605125</v>
      </c>
      <c r="Q72" s="403">
        <f>+'Cuadro 1'!U84/'Cuadro 2'!U83*100</f>
        <v>119.89575336377227</v>
      </c>
      <c r="R72" s="403">
        <f>+'Cuadro 1'!V84/'Cuadro 2'!V83*100</f>
        <v>122.48181106698746</v>
      </c>
      <c r="S72" s="403">
        <f>+'Cuadro 1'!W84/'Cuadro 2'!W83*100</f>
        <v>136.92570036540803</v>
      </c>
      <c r="T72" s="403">
        <f>+'Cuadro 1'!X84/'Cuadro 2'!X83*100</f>
        <v>161.66331696644363</v>
      </c>
      <c r="U72" s="403">
        <f>+'Cuadro 1'!Y84/'Cuadro 2'!Y83*100</f>
        <v>178.75822671823863</v>
      </c>
    </row>
    <row r="73" spans="1:21" x14ac:dyDescent="0.35">
      <c r="A73" s="400" t="s">
        <v>92</v>
      </c>
      <c r="B73" s="403">
        <f>+'Cuadro 1'!F85/'Cuadro 2'!F84*100</f>
        <v>50.261635912971634</v>
      </c>
      <c r="C73" s="403">
        <f>+'Cuadro 1'!G85/'Cuadro 2'!G84*100</f>
        <v>53.707865168539328</v>
      </c>
      <c r="D73" s="403">
        <f>+'Cuadro 1'!H85/'Cuadro 2'!H84*100</f>
        <v>59.847804509145909</v>
      </c>
      <c r="E73" s="403">
        <f>+'Cuadro 1'!I85/'Cuadro 2'!I84*100</f>
        <v>64.379144336452001</v>
      </c>
      <c r="F73" s="403">
        <f>+'Cuadro 1'!J85/'Cuadro 2'!J84*100</f>
        <v>69.494592805120277</v>
      </c>
      <c r="G73" s="403">
        <f>+'Cuadro 1'!K85/'Cuadro 2'!K84*100</f>
        <v>75.302571860816954</v>
      </c>
      <c r="H73" s="403">
        <f>+'Cuadro 1'!L85/'Cuadro 2'!L84*100</f>
        <v>79.802876070447567</v>
      </c>
      <c r="I73" s="403">
        <f>+'Cuadro 1'!M85/'Cuadro 2'!M84*100</f>
        <v>87.518492564042674</v>
      </c>
      <c r="J73" s="403">
        <f>+'Cuadro 1'!N85/'Cuadro 2'!N84*100</f>
        <v>91.961344168679986</v>
      </c>
      <c r="K73" s="403">
        <f>+'Cuadro 1'!O85/'Cuadro 2'!O84*100</f>
        <v>96.788590955054218</v>
      </c>
      <c r="L73" s="403">
        <f>+'Cuadro 1'!P85/'Cuadro 2'!P84*100</f>
        <v>100</v>
      </c>
      <c r="M73" s="403">
        <f>+'Cuadro 1'!Q85/'Cuadro 2'!Q84*100</f>
        <v>106.9789151778529</v>
      </c>
      <c r="N73" s="403">
        <f>+'Cuadro 1'!R85/'Cuadro 2'!R84*100</f>
        <v>115.12946512946513</v>
      </c>
      <c r="O73" s="403">
        <f>+'Cuadro 1'!S85/'Cuadro 2'!S84*100</f>
        <v>117.40157721930713</v>
      </c>
      <c r="P73" s="403">
        <f>+'Cuadro 1'!T85/'Cuadro 2'!T84*100</f>
        <v>119.55090175605125</v>
      </c>
      <c r="Q73" s="403">
        <f>+'Cuadro 1'!U85/'Cuadro 2'!U84*100</f>
        <v>119.89575336377227</v>
      </c>
      <c r="R73" s="403">
        <f>+'Cuadro 1'!V85/'Cuadro 2'!V84*100</f>
        <v>122.48181106698746</v>
      </c>
      <c r="S73" s="403">
        <f>+'Cuadro 1'!W85/'Cuadro 2'!W84*100</f>
        <v>136.92570036540803</v>
      </c>
      <c r="T73" s="403">
        <f>+'Cuadro 1'!X85/'Cuadro 2'!X84*100</f>
        <v>161.66331696644363</v>
      </c>
      <c r="U73" s="403">
        <f>+'Cuadro 1'!Y85/'Cuadro 2'!Y84*100</f>
        <v>178.75822671823863</v>
      </c>
    </row>
    <row r="74" spans="1:21" x14ac:dyDescent="0.35">
      <c r="A74" s="176" t="s">
        <v>89</v>
      </c>
      <c r="B74" s="403">
        <f>+'Cuadro 1'!F86/'Cuadro 2'!F85*100</f>
        <v>96.410054988216814</v>
      </c>
      <c r="C74" s="403">
        <f>+'Cuadro 1'!G86/'Cuadro 2'!G85*100</f>
        <v>95.741335703055569</v>
      </c>
      <c r="D74" s="403">
        <f>+'Cuadro 1'!H86/'Cuadro 2'!H85*100</f>
        <v>95.012230773820178</v>
      </c>
      <c r="E74" s="403">
        <f>+'Cuadro 1'!I86/'Cuadro 2'!I85*100</f>
        <v>100.0233644859813</v>
      </c>
      <c r="F74" s="403">
        <f>+'Cuadro 1'!J86/'Cuadro 2'!J85*100</f>
        <v>112.19605590656711</v>
      </c>
      <c r="G74" s="403">
        <f>+'Cuadro 1'!K86/'Cuadro 2'!K85*100</f>
        <v>101.73093777388256</v>
      </c>
      <c r="H74" s="403">
        <f>+'Cuadro 1'!L86/'Cuadro 2'!L85*100</f>
        <v>97.315536148464247</v>
      </c>
      <c r="I74" s="403">
        <f>+'Cuadro 1'!M86/'Cuadro 2'!M85*100</f>
        <v>101.40582904726915</v>
      </c>
      <c r="J74" s="403">
        <f>+'Cuadro 1'!N86/'Cuadro 2'!N85*100</f>
        <v>99.432892249527399</v>
      </c>
      <c r="K74" s="403">
        <f>+'Cuadro 1'!O86/'Cuadro 2'!O85*100</f>
        <v>98.65561850004228</v>
      </c>
      <c r="L74" s="403">
        <f>+'Cuadro 1'!P86/'Cuadro 2'!P85*100</f>
        <v>100</v>
      </c>
      <c r="M74" s="403">
        <f>+'Cuadro 1'!Q86/'Cuadro 2'!Q85*100</f>
        <v>105.53688455721728</v>
      </c>
      <c r="N74" s="403">
        <f>+'Cuadro 1'!R86/'Cuadro 2'!R85*100</f>
        <v>112.89249936863372</v>
      </c>
      <c r="O74" s="403">
        <f>+'Cuadro 1'!S86/'Cuadro 2'!S85*100</f>
        <v>115.2591990241919</v>
      </c>
      <c r="P74" s="403">
        <f>+'Cuadro 1'!T86/'Cuadro 2'!T85*100</f>
        <v>118.37154022803271</v>
      </c>
      <c r="Q74" s="403">
        <f>+'Cuadro 1'!U86/'Cuadro 2'!U85*100</f>
        <v>119.76132267020263</v>
      </c>
      <c r="R74" s="403">
        <f>+'Cuadro 1'!V86/'Cuadro 2'!V85*100</f>
        <v>118.85703785373025</v>
      </c>
      <c r="S74" s="403">
        <f>+'Cuadro 1'!W86/'Cuadro 2'!W85*100</f>
        <v>118.20769532783669</v>
      </c>
      <c r="T74" s="403">
        <f>+'Cuadro 1'!X86/'Cuadro 2'!X85*100</f>
        <v>121.90534370780016</v>
      </c>
      <c r="U74" s="403">
        <f>+'Cuadro 1'!Y86/'Cuadro 2'!Y85*100</f>
        <v>125.33583685424713</v>
      </c>
    </row>
    <row r="75" spans="1:21" x14ac:dyDescent="0.35">
      <c r="A75" s="398" t="s">
        <v>89</v>
      </c>
      <c r="B75" s="403">
        <f>+'Cuadro 1'!F87/'Cuadro 2'!F86*100</f>
        <v>96.410054988216814</v>
      </c>
      <c r="C75" s="403">
        <f>+'Cuadro 1'!G87/'Cuadro 2'!G86*100</f>
        <v>95.741335703055569</v>
      </c>
      <c r="D75" s="403">
        <f>+'Cuadro 1'!H87/'Cuadro 2'!H86*100</f>
        <v>95.012230773820178</v>
      </c>
      <c r="E75" s="403">
        <f>+'Cuadro 1'!I87/'Cuadro 2'!I86*100</f>
        <v>100.0233644859813</v>
      </c>
      <c r="F75" s="403">
        <f>+'Cuadro 1'!J87/'Cuadro 2'!J86*100</f>
        <v>112.19605590656711</v>
      </c>
      <c r="G75" s="403">
        <f>+'Cuadro 1'!K87/'Cuadro 2'!K86*100</f>
        <v>101.73093777388256</v>
      </c>
      <c r="H75" s="403">
        <f>+'Cuadro 1'!L87/'Cuadro 2'!L86*100</f>
        <v>97.315536148464247</v>
      </c>
      <c r="I75" s="403">
        <f>+'Cuadro 1'!M87/'Cuadro 2'!M86*100</f>
        <v>101.40582904726915</v>
      </c>
      <c r="J75" s="403">
        <f>+'Cuadro 1'!N87/'Cuadro 2'!N86*100</f>
        <v>99.432892249527399</v>
      </c>
      <c r="K75" s="403">
        <f>+'Cuadro 1'!O87/'Cuadro 2'!O86*100</f>
        <v>98.65561850004228</v>
      </c>
      <c r="L75" s="403">
        <f>+'Cuadro 1'!P87/'Cuadro 2'!P86*100</f>
        <v>100</v>
      </c>
      <c r="M75" s="403">
        <f>+'Cuadro 1'!Q87/'Cuadro 2'!Q86*100</f>
        <v>105.53688455721728</v>
      </c>
      <c r="N75" s="403">
        <f>+'Cuadro 1'!R87/'Cuadro 2'!R86*100</f>
        <v>112.89249936863372</v>
      </c>
      <c r="O75" s="403">
        <f>+'Cuadro 1'!S87/'Cuadro 2'!S86*100</f>
        <v>115.2591990241919</v>
      </c>
      <c r="P75" s="403">
        <f>+'Cuadro 1'!T87/'Cuadro 2'!T86*100</f>
        <v>118.37154022803271</v>
      </c>
      <c r="Q75" s="403">
        <f>+'Cuadro 1'!U87/'Cuadro 2'!U86*100</f>
        <v>119.76132267020263</v>
      </c>
      <c r="R75" s="403">
        <f>+'Cuadro 1'!V87/'Cuadro 2'!V86*100</f>
        <v>118.85703785373025</v>
      </c>
      <c r="S75" s="403">
        <f>+'Cuadro 1'!W87/'Cuadro 2'!W86*100</f>
        <v>118.20769532783669</v>
      </c>
      <c r="T75" s="403">
        <f>+'Cuadro 1'!X87/'Cuadro 2'!X86*100</f>
        <v>121.90534370780016</v>
      </c>
      <c r="U75" s="403">
        <f>+'Cuadro 1'!Y87/'Cuadro 2'!Y86*100</f>
        <v>125.33583685424713</v>
      </c>
    </row>
    <row r="76" spans="1:21" x14ac:dyDescent="0.35">
      <c r="A76" s="399" t="s">
        <v>89</v>
      </c>
      <c r="B76" s="403">
        <f>+'Cuadro 1'!F88/'Cuadro 2'!F87*100</f>
        <v>96.410054988216814</v>
      </c>
      <c r="C76" s="403">
        <f>+'Cuadro 1'!G88/'Cuadro 2'!G87*100</f>
        <v>95.741335703055569</v>
      </c>
      <c r="D76" s="403">
        <f>+'Cuadro 1'!H88/'Cuadro 2'!H87*100</f>
        <v>95.012230773820178</v>
      </c>
      <c r="E76" s="403">
        <f>+'Cuadro 1'!I88/'Cuadro 2'!I87*100</f>
        <v>100.0233644859813</v>
      </c>
      <c r="F76" s="403">
        <f>+'Cuadro 1'!J88/'Cuadro 2'!J87*100</f>
        <v>112.19605590656711</v>
      </c>
      <c r="G76" s="403">
        <f>+'Cuadro 1'!K88/'Cuadro 2'!K87*100</f>
        <v>101.73093777388256</v>
      </c>
      <c r="H76" s="403">
        <f>+'Cuadro 1'!L88/'Cuadro 2'!L87*100</f>
        <v>97.315536148464247</v>
      </c>
      <c r="I76" s="403">
        <f>+'Cuadro 1'!M88/'Cuadro 2'!M87*100</f>
        <v>101.40582904726915</v>
      </c>
      <c r="J76" s="403">
        <f>+'Cuadro 1'!N88/'Cuadro 2'!N87*100</f>
        <v>99.432892249527399</v>
      </c>
      <c r="K76" s="403">
        <f>+'Cuadro 1'!O88/'Cuadro 2'!O87*100</f>
        <v>98.65561850004228</v>
      </c>
      <c r="L76" s="403">
        <f>+'Cuadro 1'!P88/'Cuadro 2'!P87*100</f>
        <v>100</v>
      </c>
      <c r="M76" s="403">
        <f>+'Cuadro 1'!Q88/'Cuadro 2'!Q87*100</f>
        <v>105.53688455721728</v>
      </c>
      <c r="N76" s="403">
        <f>+'Cuadro 1'!R88/'Cuadro 2'!R87*100</f>
        <v>112.89249936863372</v>
      </c>
      <c r="O76" s="403">
        <f>+'Cuadro 1'!S88/'Cuadro 2'!S87*100</f>
        <v>115.2591990241919</v>
      </c>
      <c r="P76" s="403">
        <f>+'Cuadro 1'!T88/'Cuadro 2'!T87*100</f>
        <v>118.37154022803271</v>
      </c>
      <c r="Q76" s="403">
        <f>+'Cuadro 1'!U88/'Cuadro 2'!U87*100</f>
        <v>119.76132267020263</v>
      </c>
      <c r="R76" s="403">
        <f>+'Cuadro 1'!V88/'Cuadro 2'!V87*100</f>
        <v>118.85703785373025</v>
      </c>
      <c r="S76" s="403">
        <f>+'Cuadro 1'!W88/'Cuadro 2'!W87*100</f>
        <v>118.20769532783669</v>
      </c>
      <c r="T76" s="403">
        <f>+'Cuadro 1'!X88/'Cuadro 2'!X87*100</f>
        <v>121.90534370780016</v>
      </c>
      <c r="U76" s="403">
        <f>+'Cuadro 1'!Y88/'Cuadro 2'!Y87*100</f>
        <v>125.33583685424713</v>
      </c>
    </row>
    <row r="77" spans="1:21" x14ac:dyDescent="0.35">
      <c r="A77" s="158" t="s">
        <v>86</v>
      </c>
      <c r="B77" s="403">
        <f>+'Cuadro 1'!F89/'Cuadro 2'!F88*100</f>
        <v>76.802385892116192</v>
      </c>
      <c r="C77" s="403">
        <f>+'Cuadro 1'!G89/'Cuadro 2'!G88*100</f>
        <v>75.912408759124077</v>
      </c>
      <c r="D77" s="403">
        <f>+'Cuadro 1'!H89/'Cuadro 2'!H88*100</f>
        <v>79.638541332477814</v>
      </c>
      <c r="E77" s="403">
        <f>+'Cuadro 1'!I89/'Cuadro 2'!I88*100</f>
        <v>87.309447519176615</v>
      </c>
      <c r="F77" s="403">
        <f>+'Cuadro 1'!J89/'Cuadro 2'!J88*100</f>
        <v>91.728829462819604</v>
      </c>
      <c r="G77" s="403">
        <f>+'Cuadro 1'!K89/'Cuadro 2'!K88*100</f>
        <v>95.894585873072785</v>
      </c>
      <c r="H77" s="403">
        <f>+'Cuadro 1'!L89/'Cuadro 2'!L88*100</f>
        <v>98.396218792922355</v>
      </c>
      <c r="I77" s="403">
        <f>+'Cuadro 1'!M89/'Cuadro 2'!M88*100</f>
        <v>103.40644482836325</v>
      </c>
      <c r="J77" s="403">
        <f>+'Cuadro 1'!N89/'Cuadro 2'!N88*100</f>
        <v>101.57407407407408</v>
      </c>
      <c r="K77" s="403">
        <f>+'Cuadro 1'!O89/'Cuadro 2'!O88*100</f>
        <v>99.066554653225054</v>
      </c>
      <c r="L77" s="403">
        <f>+'Cuadro 1'!P89/'Cuadro 2'!P88*100</f>
        <v>100</v>
      </c>
      <c r="M77" s="403">
        <f>+'Cuadro 1'!Q89/'Cuadro 2'!Q88*100</f>
        <v>96.075687174606728</v>
      </c>
      <c r="N77" s="403">
        <f>+'Cuadro 1'!R89/'Cuadro 2'!R88*100</f>
        <v>103.74226448168706</v>
      </c>
      <c r="O77" s="403">
        <f>+'Cuadro 1'!S89/'Cuadro 2'!S88*100</f>
        <v>109.14048698056686</v>
      </c>
      <c r="P77" s="403">
        <f>+'Cuadro 1'!T89/'Cuadro 2'!T88*100</f>
        <v>113.20081917841225</v>
      </c>
      <c r="Q77" s="403">
        <f>+'Cuadro 1'!U89/'Cuadro 2'!U88*100</f>
        <v>115.02368439657813</v>
      </c>
      <c r="R77" s="403">
        <f>+'Cuadro 1'!V89/'Cuadro 2'!V88*100</f>
        <v>119.6577506079131</v>
      </c>
      <c r="S77" s="403">
        <f>+'Cuadro 1'!W89/'Cuadro 2'!W88*100</f>
        <v>121.21857690668941</v>
      </c>
      <c r="T77" s="403">
        <f>+'Cuadro 1'!X89/'Cuadro 2'!X88*100</f>
        <v>122.93581569992568</v>
      </c>
      <c r="U77" s="403">
        <f>+'Cuadro 1'!Y89/'Cuadro 2'!Y88*100</f>
        <v>137.42585949224465</v>
      </c>
    </row>
    <row r="78" spans="1:21" x14ac:dyDescent="0.35">
      <c r="A78" s="401" t="s">
        <v>86</v>
      </c>
      <c r="B78" s="403">
        <f>+'Cuadro 1'!F90/'Cuadro 2'!F89*100</f>
        <v>76.802385892116192</v>
      </c>
      <c r="C78" s="403">
        <f>+'Cuadro 1'!G90/'Cuadro 2'!G89*100</f>
        <v>75.912408759124077</v>
      </c>
      <c r="D78" s="403">
        <f>+'Cuadro 1'!H90/'Cuadro 2'!H89*100</f>
        <v>79.638541332477814</v>
      </c>
      <c r="E78" s="403">
        <f>+'Cuadro 1'!I90/'Cuadro 2'!I89*100</f>
        <v>87.309447519176615</v>
      </c>
      <c r="F78" s="403">
        <f>+'Cuadro 1'!J90/'Cuadro 2'!J89*100</f>
        <v>91.728829462819604</v>
      </c>
      <c r="G78" s="403">
        <f>+'Cuadro 1'!K90/'Cuadro 2'!K89*100</f>
        <v>95.894585873072785</v>
      </c>
      <c r="H78" s="403">
        <f>+'Cuadro 1'!L90/'Cuadro 2'!L89*100</f>
        <v>98.396218792922355</v>
      </c>
      <c r="I78" s="403">
        <f>+'Cuadro 1'!M90/'Cuadro 2'!M89*100</f>
        <v>103.40644482836325</v>
      </c>
      <c r="J78" s="403">
        <f>+'Cuadro 1'!N90/'Cuadro 2'!N89*100</f>
        <v>101.57407407407408</v>
      </c>
      <c r="K78" s="403">
        <f>+'Cuadro 1'!O90/'Cuadro 2'!O89*100</f>
        <v>99.066554653225054</v>
      </c>
      <c r="L78" s="403">
        <f>+'Cuadro 1'!P90/'Cuadro 2'!P89*100</f>
        <v>100</v>
      </c>
      <c r="M78" s="403">
        <f>+'Cuadro 1'!Q90/'Cuadro 2'!Q89*100</f>
        <v>96.075687174606728</v>
      </c>
      <c r="N78" s="403">
        <f>+'Cuadro 1'!R90/'Cuadro 2'!R89*100</f>
        <v>103.74226448168706</v>
      </c>
      <c r="O78" s="403">
        <f>+'Cuadro 1'!S90/'Cuadro 2'!S89*100</f>
        <v>109.14048698056686</v>
      </c>
      <c r="P78" s="403">
        <f>+'Cuadro 1'!T90/'Cuadro 2'!T89*100</f>
        <v>113.20081917841225</v>
      </c>
      <c r="Q78" s="403">
        <f>+'Cuadro 1'!U90/'Cuadro 2'!U89*100</f>
        <v>115.02368439657813</v>
      </c>
      <c r="R78" s="403">
        <f>+'Cuadro 1'!V90/'Cuadro 2'!V89*100</f>
        <v>119.6577506079131</v>
      </c>
      <c r="S78" s="403">
        <f>+'Cuadro 1'!W90/'Cuadro 2'!W89*100</f>
        <v>121.21857690668941</v>
      </c>
      <c r="T78" s="403">
        <f>+'Cuadro 1'!X90/'Cuadro 2'!X89*100</f>
        <v>122.93581569992568</v>
      </c>
      <c r="U78" s="403">
        <f>+'Cuadro 1'!Y90/'Cuadro 2'!Y89*100</f>
        <v>137.42585949224465</v>
      </c>
    </row>
    <row r="79" spans="1:21" x14ac:dyDescent="0.35">
      <c r="A79" s="400" t="s">
        <v>86</v>
      </c>
      <c r="B79" s="403">
        <f>+'Cuadro 1'!F91/'Cuadro 2'!F90*100</f>
        <v>76.802385892116192</v>
      </c>
      <c r="C79" s="403">
        <f>+'Cuadro 1'!G91/'Cuadro 2'!G90*100</f>
        <v>75.912408759124077</v>
      </c>
      <c r="D79" s="403">
        <f>+'Cuadro 1'!H91/'Cuadro 2'!H90*100</f>
        <v>79.638541332477814</v>
      </c>
      <c r="E79" s="403">
        <f>+'Cuadro 1'!I91/'Cuadro 2'!I90*100</f>
        <v>87.309447519176615</v>
      </c>
      <c r="F79" s="403">
        <f>+'Cuadro 1'!J91/'Cuadro 2'!J90*100</f>
        <v>91.728829462819604</v>
      </c>
      <c r="G79" s="403">
        <f>+'Cuadro 1'!K91/'Cuadro 2'!K90*100</f>
        <v>95.894585873072785</v>
      </c>
      <c r="H79" s="403">
        <f>+'Cuadro 1'!L91/'Cuadro 2'!L90*100</f>
        <v>98.396218792922355</v>
      </c>
      <c r="I79" s="403">
        <f>+'Cuadro 1'!M91/'Cuadro 2'!M90*100</f>
        <v>103.40644482836325</v>
      </c>
      <c r="J79" s="403">
        <f>+'Cuadro 1'!N91/'Cuadro 2'!N90*100</f>
        <v>101.57407407407408</v>
      </c>
      <c r="K79" s="403">
        <f>+'Cuadro 1'!O91/'Cuadro 2'!O90*100</f>
        <v>99.066554653225054</v>
      </c>
      <c r="L79" s="403">
        <f>+'Cuadro 1'!P91/'Cuadro 2'!P90*100</f>
        <v>100</v>
      </c>
      <c r="M79" s="403">
        <f>+'Cuadro 1'!Q91/'Cuadro 2'!Q90*100</f>
        <v>96.075687174606728</v>
      </c>
      <c r="N79" s="403">
        <f>+'Cuadro 1'!R91/'Cuadro 2'!R90*100</f>
        <v>103.74226448168706</v>
      </c>
      <c r="O79" s="403">
        <f>+'Cuadro 1'!S91/'Cuadro 2'!S90*100</f>
        <v>109.14048698056686</v>
      </c>
      <c r="P79" s="403">
        <f>+'Cuadro 1'!T91/'Cuadro 2'!T90*100</f>
        <v>113.20081917841225</v>
      </c>
      <c r="Q79" s="403">
        <f>+'Cuadro 1'!U91/'Cuadro 2'!U90*100</f>
        <v>115.02368439657813</v>
      </c>
      <c r="R79" s="403">
        <f>+'Cuadro 1'!V91/'Cuadro 2'!V90*100</f>
        <v>119.6577506079131</v>
      </c>
      <c r="S79" s="403">
        <f>+'Cuadro 1'!W91/'Cuadro 2'!W90*100</f>
        <v>121.21857690668941</v>
      </c>
      <c r="T79" s="403">
        <f>+'Cuadro 1'!X91/'Cuadro 2'!X90*100</f>
        <v>122.93581569992568</v>
      </c>
      <c r="U79" s="403">
        <f>+'Cuadro 1'!Y91/'Cuadro 2'!Y90*100</f>
        <v>137.42585949224465</v>
      </c>
    </row>
    <row r="80" spans="1:21" x14ac:dyDescent="0.35">
      <c r="A80" s="176" t="s">
        <v>83</v>
      </c>
      <c r="B80" s="403">
        <f>+'Cuadro 1'!F92/'Cuadro 2'!F91*100</f>
        <v>64.809985467720423</v>
      </c>
      <c r="C80" s="403">
        <f>+'Cuadro 1'!G92/'Cuadro 2'!G91*100</f>
        <v>68.728594661819571</v>
      </c>
      <c r="D80" s="403">
        <f>+'Cuadro 1'!H92/'Cuadro 2'!H91*100</f>
        <v>72.025818349469802</v>
      </c>
      <c r="E80" s="403">
        <f>+'Cuadro 1'!I92/'Cuadro 2'!I91*100</f>
        <v>75.785469487358924</v>
      </c>
      <c r="F80" s="403">
        <f>+'Cuadro 1'!J92/'Cuadro 2'!J91*100</f>
        <v>79.248608854940727</v>
      </c>
      <c r="G80" s="403">
        <f>+'Cuadro 1'!K92/'Cuadro 2'!K91*100</f>
        <v>82.351665220583328</v>
      </c>
      <c r="H80" s="403">
        <f>+'Cuadro 1'!L92/'Cuadro 2'!L91*100</f>
        <v>85.944700460829495</v>
      </c>
      <c r="I80" s="403">
        <f>+'Cuadro 1'!M92/'Cuadro 2'!M91*100</f>
        <v>89.538998725994432</v>
      </c>
      <c r="J80" s="403">
        <f>+'Cuadro 1'!N92/'Cuadro 2'!N91*100</f>
        <v>92.833523809523811</v>
      </c>
      <c r="K80" s="403">
        <f>+'Cuadro 1'!O92/'Cuadro 2'!O91*100</f>
        <v>96.34960983684087</v>
      </c>
      <c r="L80" s="403">
        <f>+'Cuadro 1'!P92/'Cuadro 2'!P91*100</f>
        <v>100</v>
      </c>
      <c r="M80" s="403">
        <f>+'Cuadro 1'!Q92/'Cuadro 2'!Q91*100</f>
        <v>104.64247672536624</v>
      </c>
      <c r="N80" s="403">
        <f>+'Cuadro 1'!R92/'Cuadro 2'!R91*100</f>
        <v>108.69991274582188</v>
      </c>
      <c r="O80" s="403">
        <f>+'Cuadro 1'!S92/'Cuadro 2'!S91*100</f>
        <v>112.10603106560445</v>
      </c>
      <c r="P80" s="403">
        <f>+'Cuadro 1'!T92/'Cuadro 2'!T91*100</f>
        <v>115.53699164624081</v>
      </c>
      <c r="Q80" s="403">
        <f>+'Cuadro 1'!U92/'Cuadro 2'!U91*100</f>
        <v>117.16511748317266</v>
      </c>
      <c r="R80" s="403">
        <f>+'Cuadro 1'!V92/'Cuadro 2'!V91*100</f>
        <v>118.95168565002466</v>
      </c>
      <c r="S80" s="403">
        <f>+'Cuadro 1'!W92/'Cuadro 2'!W91*100</f>
        <v>123.62363424207065</v>
      </c>
      <c r="T80" s="403">
        <f>+'Cuadro 1'!X92/'Cuadro 2'!X91*100</f>
        <v>132.1193201526188</v>
      </c>
      <c r="U80" s="403">
        <f>+'Cuadro 1'!Y92/'Cuadro 2'!Y91*100</f>
        <v>143.26919095427618</v>
      </c>
    </row>
    <row r="81" spans="1:21" x14ac:dyDescent="0.35">
      <c r="A81" s="398" t="s">
        <v>83</v>
      </c>
      <c r="B81" s="403">
        <f>+'Cuadro 1'!F93/'Cuadro 2'!F92*100</f>
        <v>64.809985467720423</v>
      </c>
      <c r="C81" s="403">
        <f>+'Cuadro 1'!G93/'Cuadro 2'!G92*100</f>
        <v>68.728594661819571</v>
      </c>
      <c r="D81" s="403">
        <f>+'Cuadro 1'!H93/'Cuadro 2'!H92*100</f>
        <v>72.025818349469802</v>
      </c>
      <c r="E81" s="403">
        <f>+'Cuadro 1'!I93/'Cuadro 2'!I92*100</f>
        <v>75.785469487358924</v>
      </c>
      <c r="F81" s="403">
        <f>+'Cuadro 1'!J93/'Cuadro 2'!J92*100</f>
        <v>79.248608854940727</v>
      </c>
      <c r="G81" s="403">
        <f>+'Cuadro 1'!K93/'Cuadro 2'!K92*100</f>
        <v>82.351665220583328</v>
      </c>
      <c r="H81" s="403">
        <f>+'Cuadro 1'!L93/'Cuadro 2'!L92*100</f>
        <v>85.944700460829495</v>
      </c>
      <c r="I81" s="403">
        <f>+'Cuadro 1'!M93/'Cuadro 2'!M92*100</f>
        <v>89.538998725994432</v>
      </c>
      <c r="J81" s="403">
        <f>+'Cuadro 1'!N93/'Cuadro 2'!N92*100</f>
        <v>92.833523809523811</v>
      </c>
      <c r="K81" s="403">
        <f>+'Cuadro 1'!O93/'Cuadro 2'!O92*100</f>
        <v>96.34960983684087</v>
      </c>
      <c r="L81" s="403">
        <f>+'Cuadro 1'!P93/'Cuadro 2'!P92*100</f>
        <v>100</v>
      </c>
      <c r="M81" s="403">
        <f>+'Cuadro 1'!Q93/'Cuadro 2'!Q92*100</f>
        <v>104.64247672536624</v>
      </c>
      <c r="N81" s="403">
        <f>+'Cuadro 1'!R93/'Cuadro 2'!R92*100</f>
        <v>108.69991274582188</v>
      </c>
      <c r="O81" s="403">
        <f>+'Cuadro 1'!S93/'Cuadro 2'!S92*100</f>
        <v>112.10603106560445</v>
      </c>
      <c r="P81" s="403">
        <f>+'Cuadro 1'!T93/'Cuadro 2'!T92*100</f>
        <v>115.53699164624081</v>
      </c>
      <c r="Q81" s="403">
        <f>+'Cuadro 1'!U93/'Cuadro 2'!U92*100</f>
        <v>117.16511748317266</v>
      </c>
      <c r="R81" s="403">
        <f>+'Cuadro 1'!V93/'Cuadro 2'!V92*100</f>
        <v>118.95168565002466</v>
      </c>
      <c r="S81" s="403">
        <f>+'Cuadro 1'!W93/'Cuadro 2'!W92*100</f>
        <v>123.62363424207065</v>
      </c>
      <c r="T81" s="403">
        <f>+'Cuadro 1'!X93/'Cuadro 2'!X92*100</f>
        <v>132.1193201526188</v>
      </c>
      <c r="U81" s="403">
        <f>+'Cuadro 1'!Y93/'Cuadro 2'!Y92*100</f>
        <v>143.26919095427618</v>
      </c>
    </row>
    <row r="82" spans="1:21" x14ac:dyDescent="0.35">
      <c r="A82" s="399" t="s">
        <v>83</v>
      </c>
      <c r="B82" s="403">
        <f>+'Cuadro 1'!F94/'Cuadro 2'!F93*100</f>
        <v>64.809985467720423</v>
      </c>
      <c r="C82" s="403">
        <f>+'Cuadro 1'!G94/'Cuadro 2'!G93*100</f>
        <v>68.728594661819571</v>
      </c>
      <c r="D82" s="403">
        <f>+'Cuadro 1'!H94/'Cuadro 2'!H93*100</f>
        <v>72.025818349469802</v>
      </c>
      <c r="E82" s="403">
        <f>+'Cuadro 1'!I94/'Cuadro 2'!I93*100</f>
        <v>75.785469487358924</v>
      </c>
      <c r="F82" s="403">
        <f>+'Cuadro 1'!J94/'Cuadro 2'!J93*100</f>
        <v>79.248608854940727</v>
      </c>
      <c r="G82" s="403">
        <f>+'Cuadro 1'!K94/'Cuadro 2'!K93*100</f>
        <v>82.351665220583328</v>
      </c>
      <c r="H82" s="403">
        <f>+'Cuadro 1'!L94/'Cuadro 2'!L93*100</f>
        <v>85.944700460829495</v>
      </c>
      <c r="I82" s="403">
        <f>+'Cuadro 1'!M94/'Cuadro 2'!M93*100</f>
        <v>89.538998725994432</v>
      </c>
      <c r="J82" s="403">
        <f>+'Cuadro 1'!N94/'Cuadro 2'!N93*100</f>
        <v>92.833523809523811</v>
      </c>
      <c r="K82" s="403">
        <f>+'Cuadro 1'!O94/'Cuadro 2'!O93*100</f>
        <v>96.34960983684087</v>
      </c>
      <c r="L82" s="403">
        <f>+'Cuadro 1'!P94/'Cuadro 2'!P93*100</f>
        <v>100</v>
      </c>
      <c r="M82" s="403">
        <f>+'Cuadro 1'!Q94/'Cuadro 2'!Q93*100</f>
        <v>104.64247672536624</v>
      </c>
      <c r="N82" s="403">
        <f>+'Cuadro 1'!R94/'Cuadro 2'!R93*100</f>
        <v>108.69991274582188</v>
      </c>
      <c r="O82" s="403">
        <f>+'Cuadro 1'!S94/'Cuadro 2'!S93*100</f>
        <v>112.10603106560445</v>
      </c>
      <c r="P82" s="403">
        <f>+'Cuadro 1'!T94/'Cuadro 2'!T93*100</f>
        <v>115.53699164624081</v>
      </c>
      <c r="Q82" s="403">
        <f>+'Cuadro 1'!U94/'Cuadro 2'!U93*100</f>
        <v>117.16511748317266</v>
      </c>
      <c r="R82" s="403">
        <f>+'Cuadro 1'!V94/'Cuadro 2'!V93*100</f>
        <v>118.95168565002466</v>
      </c>
      <c r="S82" s="403">
        <f>+'Cuadro 1'!W94/'Cuadro 2'!W93*100</f>
        <v>123.62363424207065</v>
      </c>
      <c r="T82" s="403">
        <f>+'Cuadro 1'!X94/'Cuadro 2'!X93*100</f>
        <v>132.1193201526188</v>
      </c>
      <c r="U82" s="403">
        <f>+'Cuadro 1'!Y94/'Cuadro 2'!Y93*100</f>
        <v>143.26919095427618</v>
      </c>
    </row>
    <row r="83" spans="1:21" x14ac:dyDescent="0.35">
      <c r="A83" s="158" t="s">
        <v>81</v>
      </c>
      <c r="B83" s="403">
        <f>+'Cuadro 1'!F95/'Cuadro 2'!F94*100</f>
        <v>46.27118174002274</v>
      </c>
      <c r="C83" s="403">
        <f>+'Cuadro 1'!G95/'Cuadro 2'!G94*100</f>
        <v>50.383499170812605</v>
      </c>
      <c r="D83" s="403">
        <f>+'Cuadro 1'!H95/'Cuadro 2'!H94*100</f>
        <v>55.927847548853229</v>
      </c>
      <c r="E83" s="403">
        <f>+'Cuadro 1'!I95/'Cuadro 2'!I94*100</f>
        <v>61.707943925233643</v>
      </c>
      <c r="F83" s="403">
        <f>+'Cuadro 1'!J95/'Cuadro 2'!J94*100</f>
        <v>67.821264602936495</v>
      </c>
      <c r="G83" s="403">
        <f>+'Cuadro 1'!K95/'Cuadro 2'!K94*100</f>
        <v>74.011112581029238</v>
      </c>
      <c r="H83" s="403">
        <f>+'Cuadro 1'!L95/'Cuadro 2'!L94*100</f>
        <v>78.807033437654425</v>
      </c>
      <c r="I83" s="403">
        <f>+'Cuadro 1'!M95/'Cuadro 2'!M94*100</f>
        <v>84.620975504351065</v>
      </c>
      <c r="J83" s="403">
        <f>+'Cuadro 1'!N95/'Cuadro 2'!N94*100</f>
        <v>89.604985725747767</v>
      </c>
      <c r="K83" s="403">
        <f>+'Cuadro 1'!O95/'Cuadro 2'!O94*100</f>
        <v>96.027826086956523</v>
      </c>
      <c r="L83" s="403">
        <f>+'Cuadro 1'!P95/'Cuadro 2'!P94*100</f>
        <v>100</v>
      </c>
      <c r="M83" s="403">
        <f>+'Cuadro 1'!Q95/'Cuadro 2'!Q94*100</f>
        <v>106.5148673988749</v>
      </c>
      <c r="N83" s="403">
        <f>+'Cuadro 1'!R95/'Cuadro 2'!R94*100</f>
        <v>110.71642316493575</v>
      </c>
      <c r="O83" s="403">
        <f>+'Cuadro 1'!S95/'Cuadro 2'!S94*100</f>
        <v>114.44316527274574</v>
      </c>
      <c r="P83" s="403">
        <f>+'Cuadro 1'!T95/'Cuadro 2'!T94*100</f>
        <v>118.58531635625675</v>
      </c>
      <c r="Q83" s="403">
        <f>+'Cuadro 1'!U95/'Cuadro 2'!U94*100</f>
        <v>120.49718574108819</v>
      </c>
      <c r="R83" s="403">
        <f>+'Cuadro 1'!V95/'Cuadro 2'!V94*100</f>
        <v>125.25685880285593</v>
      </c>
      <c r="S83" s="403">
        <f>+'Cuadro 1'!W95/'Cuadro 2'!W94*100</f>
        <v>137.43175013209651</v>
      </c>
      <c r="T83" s="403">
        <f>+'Cuadro 1'!X95/'Cuadro 2'!X94*100</f>
        <v>149.22837728895544</v>
      </c>
      <c r="U83" s="403">
        <f>+'Cuadro 1'!Y95/'Cuadro 2'!Y94*100</f>
        <v>160.73230655506322</v>
      </c>
    </row>
    <row r="84" spans="1:21" x14ac:dyDescent="0.35">
      <c r="A84" s="401" t="s">
        <v>81</v>
      </c>
      <c r="B84" s="403">
        <f>+'Cuadro 1'!F96/'Cuadro 2'!F95*100</f>
        <v>46.27118174002274</v>
      </c>
      <c r="C84" s="403">
        <f>+'Cuadro 1'!G96/'Cuadro 2'!G95*100</f>
        <v>50.383499170812605</v>
      </c>
      <c r="D84" s="403">
        <f>+'Cuadro 1'!H96/'Cuadro 2'!H95*100</f>
        <v>55.927847548853229</v>
      </c>
      <c r="E84" s="403">
        <f>+'Cuadro 1'!I96/'Cuadro 2'!I95*100</f>
        <v>61.707943925233643</v>
      </c>
      <c r="F84" s="403">
        <f>+'Cuadro 1'!J96/'Cuadro 2'!J95*100</f>
        <v>67.821264602936495</v>
      </c>
      <c r="G84" s="403">
        <f>+'Cuadro 1'!K96/'Cuadro 2'!K95*100</f>
        <v>74.011112581029238</v>
      </c>
      <c r="H84" s="403">
        <f>+'Cuadro 1'!L96/'Cuadro 2'!L95*100</f>
        <v>78.807033437654425</v>
      </c>
      <c r="I84" s="403">
        <f>+'Cuadro 1'!M96/'Cuadro 2'!M95*100</f>
        <v>84.620975504351065</v>
      </c>
      <c r="J84" s="403">
        <f>+'Cuadro 1'!N96/'Cuadro 2'!N95*100</f>
        <v>89.604985725747767</v>
      </c>
      <c r="K84" s="403">
        <f>+'Cuadro 1'!O96/'Cuadro 2'!O95*100</f>
        <v>96.027826086956523</v>
      </c>
      <c r="L84" s="403">
        <f>+'Cuadro 1'!P96/'Cuadro 2'!P95*100</f>
        <v>100</v>
      </c>
      <c r="M84" s="403">
        <f>+'Cuadro 1'!Q96/'Cuadro 2'!Q95*100</f>
        <v>106.5148673988749</v>
      </c>
      <c r="N84" s="403">
        <f>+'Cuadro 1'!R96/'Cuadro 2'!R95*100</f>
        <v>110.71642316493575</v>
      </c>
      <c r="O84" s="403">
        <f>+'Cuadro 1'!S96/'Cuadro 2'!S95*100</f>
        <v>114.44316527274574</v>
      </c>
      <c r="P84" s="403">
        <f>+'Cuadro 1'!T96/'Cuadro 2'!T95*100</f>
        <v>118.58531635625675</v>
      </c>
      <c r="Q84" s="403">
        <f>+'Cuadro 1'!U96/'Cuadro 2'!U95*100</f>
        <v>120.49718574108819</v>
      </c>
      <c r="R84" s="403">
        <f>+'Cuadro 1'!V96/'Cuadro 2'!V95*100</f>
        <v>125.25685880285593</v>
      </c>
      <c r="S84" s="403">
        <f>+'Cuadro 1'!W96/'Cuadro 2'!W95*100</f>
        <v>137.43175013209651</v>
      </c>
      <c r="T84" s="403">
        <f>+'Cuadro 1'!X96/'Cuadro 2'!X95*100</f>
        <v>149.22837728895544</v>
      </c>
      <c r="U84" s="403">
        <f>+'Cuadro 1'!Y96/'Cuadro 2'!Y95*100</f>
        <v>160.73230655506322</v>
      </c>
    </row>
    <row r="85" spans="1:21" x14ac:dyDescent="0.35">
      <c r="A85" s="400" t="s">
        <v>79</v>
      </c>
      <c r="B85" s="403">
        <f>+'Cuadro 1'!F97/'Cuadro 2'!F96*100</f>
        <v>43.469470279013343</v>
      </c>
      <c r="C85" s="403">
        <f>+'Cuadro 1'!G97/'Cuadro 2'!G96*100</f>
        <v>47.621361844592045</v>
      </c>
      <c r="D85" s="403">
        <f>+'Cuadro 1'!H97/'Cuadro 2'!H96*100</f>
        <v>53.23191994744024</v>
      </c>
      <c r="E85" s="403">
        <f>+'Cuadro 1'!I97/'Cuadro 2'!I96*100</f>
        <v>59.13585659311218</v>
      </c>
      <c r="F85" s="403">
        <f>+'Cuadro 1'!J97/'Cuadro 2'!J96*100</f>
        <v>65.381701079749959</v>
      </c>
      <c r="G85" s="403">
        <f>+'Cuadro 1'!K97/'Cuadro 2'!K96*100</f>
        <v>71.82515971871122</v>
      </c>
      <c r="H85" s="403">
        <f>+'Cuadro 1'!L97/'Cuadro 2'!L96*100</f>
        <v>76.970321693939781</v>
      </c>
      <c r="I85" s="403">
        <f>+'Cuadro 1'!M97/'Cuadro 2'!M96*100</f>
        <v>83.2001311529161</v>
      </c>
      <c r="J85" s="403">
        <f>+'Cuadro 1'!N97/'Cuadro 2'!N96*100</f>
        <v>88.610354223433234</v>
      </c>
      <c r="K85" s="403">
        <f>+'Cuadro 1'!O97/'Cuadro 2'!O96*100</f>
        <v>95.579749591725644</v>
      </c>
      <c r="L85" s="403">
        <f>+'Cuadro 1'!P97/'Cuadro 2'!P96*100</f>
        <v>100</v>
      </c>
      <c r="M85" s="403">
        <f>+'Cuadro 1'!Q97/'Cuadro 2'!Q96*100</f>
        <v>105.80226781447912</v>
      </c>
      <c r="N85" s="403">
        <f>+'Cuadro 1'!R97/'Cuadro 2'!R96*100</f>
        <v>110.2470125606078</v>
      </c>
      <c r="O85" s="403">
        <f>+'Cuadro 1'!S97/'Cuadro 2'!S96*100</f>
        <v>113.65369107836669</v>
      </c>
      <c r="P85" s="403">
        <f>+'Cuadro 1'!T97/'Cuadro 2'!T96*100</f>
        <v>117.44673295454547</v>
      </c>
      <c r="Q85" s="403">
        <f>+'Cuadro 1'!U97/'Cuadro 2'!U96*100</f>
        <v>119.69402899874414</v>
      </c>
      <c r="R85" s="403">
        <f>+'Cuadro 1'!V97/'Cuadro 2'!V96*100</f>
        <v>124.05644104050231</v>
      </c>
      <c r="S85" s="403">
        <f>+'Cuadro 1'!W97/'Cuadro 2'!W96*100</f>
        <v>136.96180386820879</v>
      </c>
      <c r="T85" s="403">
        <f>+'Cuadro 1'!X97/'Cuadro 2'!X96*100</f>
        <v>148.43774882950601</v>
      </c>
      <c r="U85" s="403">
        <f>+'Cuadro 1'!Y97/'Cuadro 2'!Y96*100</f>
        <v>160.2157620867691</v>
      </c>
    </row>
    <row r="86" spans="1:21" x14ac:dyDescent="0.35">
      <c r="A86" s="399" t="s">
        <v>77</v>
      </c>
      <c r="B86" s="403">
        <f>+'Cuadro 1'!F98/'Cuadro 2'!F97*100</f>
        <v>48.850605365619501</v>
      </c>
      <c r="C86" s="403">
        <f>+'Cuadro 1'!G98/'Cuadro 2'!G97*100</f>
        <v>52.923889220960355</v>
      </c>
      <c r="D86" s="403">
        <f>+'Cuadro 1'!H98/'Cuadro 2'!H97*100</f>
        <v>58.408275476445645</v>
      </c>
      <c r="E86" s="403">
        <f>+'Cuadro 1'!I98/'Cuadro 2'!I97*100</f>
        <v>64.073092982534902</v>
      </c>
      <c r="F86" s="403">
        <f>+'Cuadro 1'!J98/'Cuadro 2'!J97*100</f>
        <v>70.063360279659165</v>
      </c>
      <c r="G86" s="403">
        <f>+'Cuadro 1'!K98/'Cuadro 2'!K97*100</f>
        <v>76.016949152542367</v>
      </c>
      <c r="H86" s="403">
        <f>+'Cuadro 1'!L98/'Cuadro 2'!L97*100</f>
        <v>80.488769376779501</v>
      </c>
      <c r="I86" s="403">
        <f>+'Cuadro 1'!M98/'Cuadro 2'!M97*100</f>
        <v>85.919052468786532</v>
      </c>
      <c r="J86" s="403">
        <f>+'Cuadro 1'!N98/'Cuadro 2'!N97*100</f>
        <v>90.507757910201732</v>
      </c>
      <c r="K86" s="403">
        <f>+'Cuadro 1'!O98/'Cuadro 2'!O97*100</f>
        <v>96.427259674780458</v>
      </c>
      <c r="L86" s="403">
        <f>+'Cuadro 1'!P98/'Cuadro 2'!P97*100</f>
        <v>100</v>
      </c>
      <c r="M86" s="403">
        <f>+'Cuadro 1'!Q98/'Cuadro 2'!Q97*100</f>
        <v>107.14912576790655</v>
      </c>
      <c r="N86" s="403">
        <f>+'Cuadro 1'!R98/'Cuadro 2'!R97*100</f>
        <v>111.14341718392681</v>
      </c>
      <c r="O86" s="403">
        <f>+'Cuadro 1'!S98/'Cuadro 2'!S97*100</f>
        <v>115.14617490637882</v>
      </c>
      <c r="P86" s="403">
        <f>+'Cuadro 1'!T98/'Cuadro 2'!T97*100</f>
        <v>119.5876601688225</v>
      </c>
      <c r="Q86" s="403">
        <f>+'Cuadro 1'!U98/'Cuadro 2'!U97*100</f>
        <v>121.21434966108198</v>
      </c>
      <c r="R86" s="403">
        <f>+'Cuadro 1'!V98/'Cuadro 2'!V97*100</f>
        <v>126.30808849350346</v>
      </c>
      <c r="S86" s="403">
        <f>+'Cuadro 1'!W98/'Cuadro 2'!W97*100</f>
        <v>137.88391323024055</v>
      </c>
      <c r="T86" s="403">
        <f>+'Cuadro 1'!X98/'Cuadro 2'!X97*100</f>
        <v>149.95137848563692</v>
      </c>
      <c r="U86" s="403">
        <f>+'Cuadro 1'!Y98/'Cuadro 2'!Y97*100</f>
        <v>161.23072094655942</v>
      </c>
    </row>
    <row r="87" spans="1:21" x14ac:dyDescent="0.35">
      <c r="A87" s="158" t="s">
        <v>75</v>
      </c>
      <c r="B87" s="403">
        <f>+'Cuadro 1'!F99/'Cuadro 2'!F98*100</f>
        <v>60.897417886544346</v>
      </c>
      <c r="C87" s="403">
        <f>+'Cuadro 1'!G99/'Cuadro 2'!G98*100</f>
        <v>63.819844499053303</v>
      </c>
      <c r="D87" s="403">
        <f>+'Cuadro 1'!H99/'Cuadro 2'!H98*100</f>
        <v>67.889671543205097</v>
      </c>
      <c r="E87" s="403">
        <f>+'Cuadro 1'!I99/'Cuadro 2'!I98*100</f>
        <v>72.61737845314336</v>
      </c>
      <c r="F87" s="403">
        <f>+'Cuadro 1'!J99/'Cuadro 2'!J98*100</f>
        <v>78.230225174979466</v>
      </c>
      <c r="G87" s="403">
        <f>+'Cuadro 1'!K99/'Cuadro 2'!K98*100</f>
        <v>81.558538928328758</v>
      </c>
      <c r="H87" s="403">
        <f>+'Cuadro 1'!L99/'Cuadro 2'!L98*100</f>
        <v>83.844236415000267</v>
      </c>
      <c r="I87" s="403">
        <f>+'Cuadro 1'!M99/'Cuadro 2'!M98*100</f>
        <v>88.330552144663784</v>
      </c>
      <c r="J87" s="403">
        <f>+'Cuadro 1'!N99/'Cuadro 2'!N98*100</f>
        <v>93.120529985775534</v>
      </c>
      <c r="K87" s="403">
        <f>+'Cuadro 1'!O99/'Cuadro 2'!O98*100</f>
        <v>96.288812871212698</v>
      </c>
      <c r="L87" s="403">
        <f>+'Cuadro 1'!P99/'Cuadro 2'!P98*100</f>
        <v>100</v>
      </c>
      <c r="M87" s="403">
        <f>+'Cuadro 1'!Q99/'Cuadro 2'!Q98*100</f>
        <v>106.29356787552283</v>
      </c>
      <c r="N87" s="403">
        <f>+'Cuadro 1'!R99/'Cuadro 2'!R98*100</f>
        <v>112.48773103092613</v>
      </c>
      <c r="O87" s="403">
        <f>+'Cuadro 1'!S99/'Cuadro 2'!S98*100</f>
        <v>116.91683344451857</v>
      </c>
      <c r="P87" s="403">
        <f>+'Cuadro 1'!T99/'Cuadro 2'!T98*100</f>
        <v>120.72725623994016</v>
      </c>
      <c r="Q87" s="403">
        <f>+'Cuadro 1'!U99/'Cuadro 2'!U98*100</f>
        <v>123.15017100842236</v>
      </c>
      <c r="R87" s="403">
        <f>+'Cuadro 1'!V99/'Cuadro 2'!V98*100</f>
        <v>125.7970189061914</v>
      </c>
      <c r="S87" s="403">
        <f>+'Cuadro 1'!W99/'Cuadro 2'!W98*100</f>
        <v>135.54183351764212</v>
      </c>
      <c r="T87" s="403">
        <f>+'Cuadro 1'!X99/'Cuadro 2'!X98*100</f>
        <v>149.18828408094919</v>
      </c>
      <c r="U87" s="403">
        <f>+'Cuadro 1'!Y99/'Cuadro 2'!Y98*100</f>
        <v>163.09578160628325</v>
      </c>
    </row>
    <row r="88" spans="1:21" x14ac:dyDescent="0.35">
      <c r="A88" s="401" t="s">
        <v>72</v>
      </c>
      <c r="B88" s="403">
        <f>+'Cuadro 1'!F100/'Cuadro 2'!F99*100</f>
        <v>68.347694873525782</v>
      </c>
      <c r="C88" s="403">
        <f>+'Cuadro 1'!G100/'Cuadro 2'!G99*100</f>
        <v>71.115545348443206</v>
      </c>
      <c r="D88" s="403">
        <f>+'Cuadro 1'!H100/'Cuadro 2'!H99*100</f>
        <v>76.433740144724055</v>
      </c>
      <c r="E88" s="403">
        <f>+'Cuadro 1'!I100/'Cuadro 2'!I99*100</f>
        <v>82.395566922421139</v>
      </c>
      <c r="F88" s="403">
        <f>+'Cuadro 1'!J100/'Cuadro 2'!J99*100</f>
        <v>90.122395654266668</v>
      </c>
      <c r="G88" s="403">
        <f>+'Cuadro 1'!K100/'Cuadro 2'!K99*100</f>
        <v>91.334228359544809</v>
      </c>
      <c r="H88" s="403">
        <f>+'Cuadro 1'!L100/'Cuadro 2'!L99*100</f>
        <v>88.739915592432027</v>
      </c>
      <c r="I88" s="403">
        <f>+'Cuadro 1'!M100/'Cuadro 2'!M99*100</f>
        <v>89.825000665903104</v>
      </c>
      <c r="J88" s="403">
        <f>+'Cuadro 1'!N100/'Cuadro 2'!N99*100</f>
        <v>97.429358359685807</v>
      </c>
      <c r="K88" s="403">
        <f>+'Cuadro 1'!O100/'Cuadro 2'!O99*100</f>
        <v>96.027296539681089</v>
      </c>
      <c r="L88" s="403">
        <f>+'Cuadro 1'!P100/'Cuadro 2'!P99*100</f>
        <v>100</v>
      </c>
      <c r="M88" s="403">
        <f>+'Cuadro 1'!Q100/'Cuadro 2'!Q99*100</f>
        <v>107.51059835909982</v>
      </c>
      <c r="N88" s="403">
        <f>+'Cuadro 1'!R100/'Cuadro 2'!R99*100</f>
        <v>112.37268189749625</v>
      </c>
      <c r="O88" s="403">
        <f>+'Cuadro 1'!S100/'Cuadro 2'!S99*100</f>
        <v>116.17232586230035</v>
      </c>
      <c r="P88" s="403">
        <f>+'Cuadro 1'!T100/'Cuadro 2'!T99*100</f>
        <v>119.42522814247867</v>
      </c>
      <c r="Q88" s="403">
        <f>+'Cuadro 1'!U100/'Cuadro 2'!U99*100</f>
        <v>122.34772978959026</v>
      </c>
      <c r="R88" s="403">
        <f>+'Cuadro 1'!V100/'Cuadro 2'!V99*100</f>
        <v>123.97607893242476</v>
      </c>
      <c r="S88" s="403">
        <f>+'Cuadro 1'!W100/'Cuadro 2'!W99*100</f>
        <v>132.34788104350267</v>
      </c>
      <c r="T88" s="403">
        <f>+'Cuadro 1'!X100/'Cuadro 2'!X99*100</f>
        <v>146.04171604645651</v>
      </c>
      <c r="U88" s="403">
        <f>+'Cuadro 1'!Y100/'Cuadro 2'!Y99*100</f>
        <v>160.45443985698421</v>
      </c>
    </row>
    <row r="89" spans="1:21" x14ac:dyDescent="0.35">
      <c r="A89" s="400" t="s">
        <v>72</v>
      </c>
      <c r="B89" s="403">
        <f>+'Cuadro 1'!F101/'Cuadro 2'!F100*100</f>
        <v>68.347694873525782</v>
      </c>
      <c r="C89" s="403">
        <f>+'Cuadro 1'!G101/'Cuadro 2'!G100*100</f>
        <v>71.115545348443206</v>
      </c>
      <c r="D89" s="403">
        <f>+'Cuadro 1'!H101/'Cuadro 2'!H100*100</f>
        <v>76.433740144724055</v>
      </c>
      <c r="E89" s="403">
        <f>+'Cuadro 1'!I101/'Cuadro 2'!I100*100</f>
        <v>82.395566922421139</v>
      </c>
      <c r="F89" s="403">
        <f>+'Cuadro 1'!J101/'Cuadro 2'!J100*100</f>
        <v>90.122395654266668</v>
      </c>
      <c r="G89" s="403">
        <f>+'Cuadro 1'!K101/'Cuadro 2'!K100*100</f>
        <v>91.334228359544809</v>
      </c>
      <c r="H89" s="403">
        <f>+'Cuadro 1'!L101/'Cuadro 2'!L100*100</f>
        <v>88.739915592432027</v>
      </c>
      <c r="I89" s="403">
        <f>+'Cuadro 1'!M101/'Cuadro 2'!M100*100</f>
        <v>89.825000665903104</v>
      </c>
      <c r="J89" s="403">
        <f>+'Cuadro 1'!N101/'Cuadro 2'!N100*100</f>
        <v>97.429358359685807</v>
      </c>
      <c r="K89" s="403">
        <f>+'Cuadro 1'!O101/'Cuadro 2'!O100*100</f>
        <v>96.027296539681089</v>
      </c>
      <c r="L89" s="403">
        <f>+'Cuadro 1'!P101/'Cuadro 2'!P100*100</f>
        <v>100</v>
      </c>
      <c r="M89" s="403">
        <f>+'Cuadro 1'!Q101/'Cuadro 2'!Q100*100</f>
        <v>107.51059835909982</v>
      </c>
      <c r="N89" s="403">
        <f>+'Cuadro 1'!R101/'Cuadro 2'!R100*100</f>
        <v>112.37268189749625</v>
      </c>
      <c r="O89" s="403">
        <f>+'Cuadro 1'!S101/'Cuadro 2'!S100*100</f>
        <v>116.17232586230035</v>
      </c>
      <c r="P89" s="403">
        <f>+'Cuadro 1'!T101/'Cuadro 2'!T100*100</f>
        <v>119.42522814247867</v>
      </c>
      <c r="Q89" s="403">
        <f>+'Cuadro 1'!U101/'Cuadro 2'!U100*100</f>
        <v>122.34772978959026</v>
      </c>
      <c r="R89" s="403">
        <f>+'Cuadro 1'!V101/'Cuadro 2'!V100*100</f>
        <v>123.97607893242476</v>
      </c>
      <c r="S89" s="403">
        <f>+'Cuadro 1'!W101/'Cuadro 2'!W100*100</f>
        <v>132.34788104350267</v>
      </c>
      <c r="T89" s="403">
        <f>+'Cuadro 1'!X101/'Cuadro 2'!X100*100</f>
        <v>146.04171604645651</v>
      </c>
      <c r="U89" s="403">
        <f>+'Cuadro 1'!Y101/'Cuadro 2'!Y100*100</f>
        <v>160.45443985698421</v>
      </c>
    </row>
    <row r="90" spans="1:21" x14ac:dyDescent="0.35">
      <c r="A90" s="401" t="s">
        <v>70</v>
      </c>
      <c r="B90" s="403">
        <f>+'Cuadro 1'!F102/'Cuadro 2'!F101*100</f>
        <v>55.548115909682693</v>
      </c>
      <c r="C90" s="403">
        <f>+'Cuadro 1'!G102/'Cuadro 2'!G101*100</f>
        <v>58.457729556542638</v>
      </c>
      <c r="D90" s="403">
        <f>+'Cuadro 1'!H102/'Cuadro 2'!H101*100</f>
        <v>61.608291885499632</v>
      </c>
      <c r="E90" s="403">
        <f>+'Cuadro 1'!I102/'Cuadro 2'!I101*100</f>
        <v>66.536335445597956</v>
      </c>
      <c r="F90" s="403">
        <f>+'Cuadro 1'!J102/'Cuadro 2'!J101*100</f>
        <v>71.398054423557241</v>
      </c>
      <c r="G90" s="403">
        <f>+'Cuadro 1'!K102/'Cuadro 2'!K101*100</f>
        <v>75.275909778306897</v>
      </c>
      <c r="H90" s="403">
        <f>+'Cuadro 1'!L102/'Cuadro 2'!L101*100</f>
        <v>79.873838814963591</v>
      </c>
      <c r="I90" s="403">
        <f>+'Cuadro 1'!M102/'Cuadro 2'!M101*100</f>
        <v>85.855929385447837</v>
      </c>
      <c r="J90" s="403">
        <f>+'Cuadro 1'!N102/'Cuadro 2'!N101*100</f>
        <v>90.284718187100523</v>
      </c>
      <c r="K90" s="403">
        <f>+'Cuadro 1'!O102/'Cuadro 2'!O101*100</f>
        <v>95.647718539181909</v>
      </c>
      <c r="L90" s="403">
        <f>+'Cuadro 1'!P102/'Cuadro 2'!P101*100</f>
        <v>100</v>
      </c>
      <c r="M90" s="403">
        <f>+'Cuadro 1'!Q102/'Cuadro 2'!Q101*100</f>
        <v>105.88281168763646</v>
      </c>
      <c r="N90" s="403">
        <f>+'Cuadro 1'!R102/'Cuadro 2'!R101*100</f>
        <v>112.82333657737027</v>
      </c>
      <c r="O90" s="403">
        <f>+'Cuadro 1'!S102/'Cuadro 2'!S101*100</f>
        <v>117.48180531061378</v>
      </c>
      <c r="P90" s="403">
        <f>+'Cuadro 1'!T102/'Cuadro 2'!T101*100</f>
        <v>123.71243872984302</v>
      </c>
      <c r="Q90" s="403">
        <f>+'Cuadro 1'!U102/'Cuadro 2'!U101*100</f>
        <v>125.91366645506483</v>
      </c>
      <c r="R90" s="403">
        <f>+'Cuadro 1'!V102/'Cuadro 2'!V101*100</f>
        <v>127.67935751250832</v>
      </c>
      <c r="S90" s="403">
        <f>+'Cuadro 1'!W102/'Cuadro 2'!W101*100</f>
        <v>137.07566849990519</v>
      </c>
      <c r="T90" s="403">
        <f>+'Cuadro 1'!X102/'Cuadro 2'!X101*100</f>
        <v>152.00008184478136</v>
      </c>
      <c r="U90" s="403">
        <f>+'Cuadro 1'!Y102/'Cuadro 2'!Y101*100</f>
        <v>168.58410661711576</v>
      </c>
    </row>
    <row r="91" spans="1:21" x14ac:dyDescent="0.35">
      <c r="A91" s="400" t="s">
        <v>68</v>
      </c>
      <c r="B91" s="403">
        <f>+'Cuadro 1'!F103/'Cuadro 2'!F102*100</f>
        <v>53.251917069014489</v>
      </c>
      <c r="C91" s="403">
        <f>+'Cuadro 1'!G103/'Cuadro 2'!G102*100</f>
        <v>56.4770059384063</v>
      </c>
      <c r="D91" s="403">
        <f>+'Cuadro 1'!H103/'Cuadro 2'!H102*100</f>
        <v>60.69813829787234</v>
      </c>
      <c r="E91" s="403">
        <f>+'Cuadro 1'!I103/'Cuadro 2'!I102*100</f>
        <v>64.058695795222746</v>
      </c>
      <c r="F91" s="403">
        <f>+'Cuadro 1'!J103/'Cuadro 2'!J102*100</f>
        <v>70.39120594891692</v>
      </c>
      <c r="G91" s="403">
        <f>+'Cuadro 1'!K103/'Cuadro 2'!K102*100</f>
        <v>74.982341231618832</v>
      </c>
      <c r="H91" s="403">
        <f>+'Cuadro 1'!L103/'Cuadro 2'!L102*100</f>
        <v>79.901594419531648</v>
      </c>
      <c r="I91" s="403">
        <f>+'Cuadro 1'!M103/'Cuadro 2'!M102*100</f>
        <v>85.381458232737799</v>
      </c>
      <c r="J91" s="403">
        <f>+'Cuadro 1'!N103/'Cuadro 2'!N102*100</f>
        <v>90.472609475328284</v>
      </c>
      <c r="K91" s="403">
        <f>+'Cuadro 1'!O103/'Cuadro 2'!O102*100</f>
        <v>95.486750348675031</v>
      </c>
      <c r="L91" s="403">
        <f>+'Cuadro 1'!P103/'Cuadro 2'!P102*100</f>
        <v>100</v>
      </c>
      <c r="M91" s="403">
        <f>+'Cuadro 1'!Q103/'Cuadro 2'!Q102*100</f>
        <v>105.79497907949791</v>
      </c>
      <c r="N91" s="403">
        <f>+'Cuadro 1'!R103/'Cuadro 2'!R102*100</f>
        <v>114.61304773183667</v>
      </c>
      <c r="O91" s="403">
        <f>+'Cuadro 1'!S103/'Cuadro 2'!S102*100</f>
        <v>119.94121522323012</v>
      </c>
      <c r="P91" s="403">
        <f>+'Cuadro 1'!T103/'Cuadro 2'!T102*100</f>
        <v>125.17239668601479</v>
      </c>
      <c r="Q91" s="403">
        <f>+'Cuadro 1'!U103/'Cuadro 2'!U102*100</f>
        <v>124.94979144137186</v>
      </c>
      <c r="R91" s="403">
        <f>+'Cuadro 1'!V103/'Cuadro 2'!V102*100</f>
        <v>128.66892497758295</v>
      </c>
      <c r="S91" s="403">
        <f>+'Cuadro 1'!W103/'Cuadro 2'!W102*100</f>
        <v>139.33531045520877</v>
      </c>
      <c r="T91" s="403">
        <f>+'Cuadro 1'!X103/'Cuadro 2'!X102*100</f>
        <v>154.68002732862672</v>
      </c>
      <c r="U91" s="403">
        <f>+'Cuadro 1'!Y103/'Cuadro 2'!Y102*100</f>
        <v>170.70998392573352</v>
      </c>
    </row>
    <row r="92" spans="1:21" x14ac:dyDescent="0.35">
      <c r="A92" s="399" t="s">
        <v>66</v>
      </c>
      <c r="B92" s="403">
        <f>+'Cuadro 1'!F104/'Cuadro 2'!F103*100</f>
        <v>57.979719188767554</v>
      </c>
      <c r="C92" s="403">
        <f>+'Cuadro 1'!G104/'Cuadro 2'!G103*100</f>
        <v>60.531775916391304</v>
      </c>
      <c r="D92" s="403">
        <f>+'Cuadro 1'!H104/'Cuadro 2'!H103*100</f>
        <v>62.506371513871692</v>
      </c>
      <c r="E92" s="403">
        <f>+'Cuadro 1'!I104/'Cuadro 2'!I103*100</f>
        <v>69.071453227476695</v>
      </c>
      <c r="F92" s="403">
        <f>+'Cuadro 1'!J104/'Cuadro 2'!J103*100</f>
        <v>72.409646602979493</v>
      </c>
      <c r="G92" s="403">
        <f>+'Cuadro 1'!K104/'Cuadro 2'!K103*100</f>
        <v>75.570746807687357</v>
      </c>
      <c r="H92" s="403">
        <f>+'Cuadro 1'!L104/'Cuadro 2'!L103*100</f>
        <v>79.840597128218107</v>
      </c>
      <c r="I92" s="403">
        <f>+'Cuadro 1'!M104/'Cuadro 2'!M103*100</f>
        <v>86.326753058011391</v>
      </c>
      <c r="J92" s="403">
        <f>+'Cuadro 1'!N104/'Cuadro 2'!N103*100</f>
        <v>90.084622118470975</v>
      </c>
      <c r="K92" s="403">
        <f>+'Cuadro 1'!O104/'Cuadro 2'!O103*100</f>
        <v>95.809844830592212</v>
      </c>
      <c r="L92" s="403">
        <f>+'Cuadro 1'!P104/'Cuadro 2'!P103*100</f>
        <v>100</v>
      </c>
      <c r="M92" s="403">
        <f>+'Cuadro 1'!Q104/'Cuadro 2'!Q103*100</f>
        <v>105.96960926193921</v>
      </c>
      <c r="N92" s="403">
        <f>+'Cuadro 1'!R104/'Cuadro 2'!R103*100</f>
        <v>111.05222929936305</v>
      </c>
      <c r="O92" s="403">
        <f>+'Cuadro 1'!S104/'Cuadro 2'!S103*100</f>
        <v>115.06695885074262</v>
      </c>
      <c r="P92" s="403">
        <f>+'Cuadro 1'!T104/'Cuadro 2'!T103*100</f>
        <v>122.1965893156014</v>
      </c>
      <c r="Q92" s="403">
        <f>+'Cuadro 1'!U104/'Cuadro 2'!U103*100</f>
        <v>126.29326010580301</v>
      </c>
      <c r="R92" s="403">
        <f>+'Cuadro 1'!V104/'Cuadro 2'!V103*100</f>
        <v>126.58084914182474</v>
      </c>
      <c r="S92" s="403">
        <f>+'Cuadro 1'!W104/'Cuadro 2'!W103*100</f>
        <v>134.92540721571015</v>
      </c>
      <c r="T92" s="403">
        <f>+'Cuadro 1'!X104/'Cuadro 2'!X103*100</f>
        <v>149.47551799547796</v>
      </c>
      <c r="U92" s="403">
        <f>+'Cuadro 1'!Y104/'Cuadro 2'!Y103*100</f>
        <v>166.44557355158949</v>
      </c>
    </row>
    <row r="93" spans="1:21" x14ac:dyDescent="0.35">
      <c r="A93" s="398" t="s">
        <v>63</v>
      </c>
      <c r="B93" s="403">
        <f>+'Cuadro 1'!F105/'Cuadro 2'!F104*100</f>
        <v>56.489511899959666</v>
      </c>
      <c r="C93" s="403">
        <f>+'Cuadro 1'!G105/'Cuadro 2'!G104*100</f>
        <v>59.52685119470074</v>
      </c>
      <c r="D93" s="403">
        <f>+'Cuadro 1'!H105/'Cuadro 2'!H104*100</f>
        <v>63.087991145545097</v>
      </c>
      <c r="E93" s="403">
        <f>+'Cuadro 1'!I105/'Cuadro 2'!I104*100</f>
        <v>65.814942112879876</v>
      </c>
      <c r="F93" s="403">
        <f>+'Cuadro 1'!J105/'Cuadro 2'!J104*100</f>
        <v>69.549415422340942</v>
      </c>
      <c r="G93" s="403">
        <f>+'Cuadro 1'!K105/'Cuadro 2'!K104*100</f>
        <v>74.88228057523439</v>
      </c>
      <c r="H93" s="403">
        <f>+'Cuadro 1'!L105/'Cuadro 2'!L104*100</f>
        <v>81.195108627137884</v>
      </c>
      <c r="I93" s="403">
        <f>+'Cuadro 1'!M105/'Cuadro 2'!M104*100</f>
        <v>88.806060361848736</v>
      </c>
      <c r="J93" s="403">
        <f>+'Cuadro 1'!N105/'Cuadro 2'!N104*100</f>
        <v>89.946405470338192</v>
      </c>
      <c r="K93" s="403">
        <f>+'Cuadro 1'!O105/'Cuadro 2'!O104*100</f>
        <v>97.499819871748684</v>
      </c>
      <c r="L93" s="403">
        <f>+'Cuadro 1'!P105/'Cuadro 2'!P104*100</f>
        <v>100</v>
      </c>
      <c r="M93" s="403">
        <f>+'Cuadro 1'!Q105/'Cuadro 2'!Q104*100</f>
        <v>104.91143582808324</v>
      </c>
      <c r="N93" s="403">
        <f>+'Cuadro 1'!R105/'Cuadro 2'!R104*100</f>
        <v>112.25110532752187</v>
      </c>
      <c r="O93" s="403">
        <f>+'Cuadro 1'!S105/'Cuadro 2'!S104*100</f>
        <v>117.38650270125063</v>
      </c>
      <c r="P93" s="403">
        <f>+'Cuadro 1'!T105/'Cuadro 2'!T104*100</f>
        <v>119.1870873895043</v>
      </c>
      <c r="Q93" s="403">
        <f>+'Cuadro 1'!U105/'Cuadro 2'!U104*100</f>
        <v>121.11324376199617</v>
      </c>
      <c r="R93" s="403">
        <f>+'Cuadro 1'!V105/'Cuadro 2'!V104*100</f>
        <v>126.15823062308181</v>
      </c>
      <c r="S93" s="403">
        <f>+'Cuadro 1'!W105/'Cuadro 2'!W104*100</f>
        <v>138.20292953093499</v>
      </c>
      <c r="T93" s="403">
        <f>+'Cuadro 1'!X105/'Cuadro 2'!X104*100</f>
        <v>150.40976305006234</v>
      </c>
      <c r="U93" s="403">
        <f>+'Cuadro 1'!Y105/'Cuadro 2'!Y104*100</f>
        <v>160.86173080524728</v>
      </c>
    </row>
    <row r="94" spans="1:21" x14ac:dyDescent="0.35">
      <c r="A94" s="399" t="s">
        <v>63</v>
      </c>
      <c r="B94" s="403">
        <f>+'Cuadro 1'!F106/'Cuadro 2'!F105*100</f>
        <v>56.489511899959666</v>
      </c>
      <c r="C94" s="403">
        <f>+'Cuadro 1'!G106/'Cuadro 2'!G105*100</f>
        <v>59.52685119470074</v>
      </c>
      <c r="D94" s="403">
        <f>+'Cuadro 1'!H106/'Cuadro 2'!H105*100</f>
        <v>63.087991145545097</v>
      </c>
      <c r="E94" s="403">
        <f>+'Cuadro 1'!I106/'Cuadro 2'!I105*100</f>
        <v>65.814942112879876</v>
      </c>
      <c r="F94" s="403">
        <f>+'Cuadro 1'!J106/'Cuadro 2'!J105*100</f>
        <v>69.549415422340942</v>
      </c>
      <c r="G94" s="403">
        <f>+'Cuadro 1'!K106/'Cuadro 2'!K105*100</f>
        <v>74.88228057523439</v>
      </c>
      <c r="H94" s="403">
        <f>+'Cuadro 1'!L106/'Cuadro 2'!L105*100</f>
        <v>81.195108627137884</v>
      </c>
      <c r="I94" s="403">
        <f>+'Cuadro 1'!M106/'Cuadro 2'!M105*100</f>
        <v>88.806060361848736</v>
      </c>
      <c r="J94" s="403">
        <f>+'Cuadro 1'!N106/'Cuadro 2'!N105*100</f>
        <v>89.946405470338192</v>
      </c>
      <c r="K94" s="403">
        <f>+'Cuadro 1'!O106/'Cuadro 2'!O105*100</f>
        <v>97.499819871748684</v>
      </c>
      <c r="L94" s="403">
        <f>+'Cuadro 1'!P106/'Cuadro 2'!P105*100</f>
        <v>100</v>
      </c>
      <c r="M94" s="403">
        <f>+'Cuadro 1'!Q106/'Cuadro 2'!Q105*100</f>
        <v>104.91143582808324</v>
      </c>
      <c r="N94" s="403">
        <f>+'Cuadro 1'!R106/'Cuadro 2'!R105*100</f>
        <v>112.25110532752187</v>
      </c>
      <c r="O94" s="403">
        <f>+'Cuadro 1'!S106/'Cuadro 2'!S105*100</f>
        <v>117.38650270125063</v>
      </c>
      <c r="P94" s="403">
        <f>+'Cuadro 1'!T106/'Cuadro 2'!T105*100</f>
        <v>119.1870873895043</v>
      </c>
      <c r="Q94" s="403">
        <f>+'Cuadro 1'!U106/'Cuadro 2'!U105*100</f>
        <v>121.11324376199617</v>
      </c>
      <c r="R94" s="403">
        <f>+'Cuadro 1'!V106/'Cuadro 2'!V105*100</f>
        <v>126.15823062308181</v>
      </c>
      <c r="S94" s="403">
        <f>+'Cuadro 1'!W106/'Cuadro 2'!W105*100</f>
        <v>138.20292953093499</v>
      </c>
      <c r="T94" s="403">
        <f>+'Cuadro 1'!X106/'Cuadro 2'!X105*100</f>
        <v>150.40976305006234</v>
      </c>
      <c r="U94" s="403">
        <f>+'Cuadro 1'!Y106/'Cuadro 2'!Y105*100</f>
        <v>160.86173080524728</v>
      </c>
    </row>
    <row r="95" spans="1:21" x14ac:dyDescent="0.35">
      <c r="A95" s="158" t="s">
        <v>61</v>
      </c>
      <c r="B95" s="403">
        <f>+'Cuadro 1'!F107/'Cuadro 2'!F106*100</f>
        <v>63.157482780212902</v>
      </c>
      <c r="C95" s="403">
        <f>+'Cuadro 1'!G107/'Cuadro 2'!G106*100</f>
        <v>65.956495828367096</v>
      </c>
      <c r="D95" s="403">
        <f>+'Cuadro 1'!H107/'Cuadro 2'!H106*100</f>
        <v>70.435090201627176</v>
      </c>
      <c r="E95" s="403">
        <f>+'Cuadro 1'!I107/'Cuadro 2'!I106*100</f>
        <v>75.443055364747906</v>
      </c>
      <c r="F95" s="403">
        <f>+'Cuadro 1'!J107/'Cuadro 2'!J106*100</f>
        <v>79.801302275625957</v>
      </c>
      <c r="G95" s="403">
        <f>+'Cuadro 1'!K107/'Cuadro 2'!K106*100</f>
        <v>85.765777573890816</v>
      </c>
      <c r="H95" s="403">
        <f>+'Cuadro 1'!L107/'Cuadro 2'!L106*100</f>
        <v>89.634297010130965</v>
      </c>
      <c r="I95" s="403">
        <f>+'Cuadro 1'!M107/'Cuadro 2'!M106*100</f>
        <v>93.458056005276717</v>
      </c>
      <c r="J95" s="403">
        <f>+'Cuadro 1'!N107/'Cuadro 2'!N106*100</f>
        <v>95.383226097753692</v>
      </c>
      <c r="K95" s="403">
        <f>+'Cuadro 1'!O107/'Cuadro 2'!O106*100</f>
        <v>99.308072487644154</v>
      </c>
      <c r="L95" s="403">
        <f>+'Cuadro 1'!P107/'Cuadro 2'!P106*100</f>
        <v>100</v>
      </c>
      <c r="M95" s="403">
        <f>+'Cuadro 1'!Q107/'Cuadro 2'!Q106*100</f>
        <v>102.58061295797145</v>
      </c>
      <c r="N95" s="403">
        <f>+'Cuadro 1'!R107/'Cuadro 2'!R106*100</f>
        <v>108.65271802894017</v>
      </c>
      <c r="O95" s="403">
        <f>+'Cuadro 1'!S107/'Cuadro 2'!S106*100</f>
        <v>110.70967741935485</v>
      </c>
      <c r="P95" s="403">
        <f>+'Cuadro 1'!T107/'Cuadro 2'!T106*100</f>
        <v>114.34913118843275</v>
      </c>
      <c r="Q95" s="403">
        <f>+'Cuadro 1'!U107/'Cuadro 2'!U106*100</f>
        <v>118.09249940091063</v>
      </c>
      <c r="R95" s="403">
        <f>+'Cuadro 1'!V107/'Cuadro 2'!V106*100</f>
        <v>118.57886480319453</v>
      </c>
      <c r="S95" s="403">
        <f>+'Cuadro 1'!W107/'Cuadro 2'!W106*100</f>
        <v>127.69954358232216</v>
      </c>
      <c r="T95" s="403">
        <f>+'Cuadro 1'!X107/'Cuadro 2'!X106*100</f>
        <v>139.88158226253464</v>
      </c>
      <c r="U95" s="403">
        <f>+'Cuadro 1'!Y107/'Cuadro 2'!Y106*100</f>
        <v>150.43308330401879</v>
      </c>
    </row>
    <row r="96" spans="1:21" x14ac:dyDescent="0.35">
      <c r="A96" s="401" t="s">
        <v>58</v>
      </c>
      <c r="B96" s="403">
        <f>+'Cuadro 1'!F108/'Cuadro 2'!F107*100</f>
        <v>62.533936651583709</v>
      </c>
      <c r="C96" s="403">
        <f>+'Cuadro 1'!G108/'Cuadro 2'!G107*100</f>
        <v>65.295055821371605</v>
      </c>
      <c r="D96" s="403">
        <f>+'Cuadro 1'!H108/'Cuadro 2'!H107*100</f>
        <v>70.232743981620217</v>
      </c>
      <c r="E96" s="403">
        <f>+'Cuadro 1'!I108/'Cuadro 2'!I107*100</f>
        <v>75.387263339070572</v>
      </c>
      <c r="F96" s="403">
        <f>+'Cuadro 1'!J108/'Cuadro 2'!J107*100</f>
        <v>80.300625525161053</v>
      </c>
      <c r="G96" s="403">
        <f>+'Cuadro 1'!K108/'Cuadro 2'!K107*100</f>
        <v>86.665453883936692</v>
      </c>
      <c r="H96" s="403">
        <f>+'Cuadro 1'!L108/'Cuadro 2'!L107*100</f>
        <v>90.682069141255411</v>
      </c>
      <c r="I96" s="403">
        <f>+'Cuadro 1'!M108/'Cuadro 2'!M107*100</f>
        <v>94.472361809045225</v>
      </c>
      <c r="J96" s="403">
        <f>+'Cuadro 1'!N108/'Cuadro 2'!N107*100</f>
        <v>95.893035016473831</v>
      </c>
      <c r="K96" s="403">
        <f>+'Cuadro 1'!O108/'Cuadro 2'!O107*100</f>
        <v>100.13464991023339</v>
      </c>
      <c r="L96" s="403">
        <f>+'Cuadro 1'!P108/'Cuadro 2'!P107*100</f>
        <v>100</v>
      </c>
      <c r="M96" s="403">
        <f>+'Cuadro 1'!Q108/'Cuadro 2'!Q107*100</f>
        <v>101.80556491275348</v>
      </c>
      <c r="N96" s="403">
        <f>+'Cuadro 1'!R108/'Cuadro 2'!R107*100</f>
        <v>108.5016501650165</v>
      </c>
      <c r="O96" s="403">
        <f>+'Cuadro 1'!S108/'Cuadro 2'!S107*100</f>
        <v>110.06073920909796</v>
      </c>
      <c r="P96" s="403">
        <f>+'Cuadro 1'!T108/'Cuadro 2'!T107*100</f>
        <v>113.48507504015063</v>
      </c>
      <c r="Q96" s="403">
        <f>+'Cuadro 1'!U108/'Cuadro 2'!U107*100</f>
        <v>117.3370732871807</v>
      </c>
      <c r="R96" s="403">
        <f>+'Cuadro 1'!V108/'Cuadro 2'!V107*100</f>
        <v>117.10637936884967</v>
      </c>
      <c r="S96" s="403">
        <f>+'Cuadro 1'!W108/'Cuadro 2'!W107*100</f>
        <v>126.71569446765835</v>
      </c>
      <c r="T96" s="403">
        <f>+'Cuadro 1'!X108/'Cuadro 2'!X107*100</f>
        <v>138.85659781215537</v>
      </c>
      <c r="U96" s="403">
        <f>+'Cuadro 1'!Y108/'Cuadro 2'!Y107*100</f>
        <v>149.08125515794279</v>
      </c>
    </row>
    <row r="97" spans="1:21" x14ac:dyDescent="0.35">
      <c r="A97" s="400" t="s">
        <v>58</v>
      </c>
      <c r="B97" s="403">
        <f>+'Cuadro 1'!F109/'Cuadro 2'!F108*100</f>
        <v>62.533936651583709</v>
      </c>
      <c r="C97" s="403">
        <f>+'Cuadro 1'!G109/'Cuadro 2'!G108*100</f>
        <v>65.295055821371605</v>
      </c>
      <c r="D97" s="403">
        <f>+'Cuadro 1'!H109/'Cuadro 2'!H108*100</f>
        <v>70.232743981620217</v>
      </c>
      <c r="E97" s="403">
        <f>+'Cuadro 1'!I109/'Cuadro 2'!I108*100</f>
        <v>75.387263339070572</v>
      </c>
      <c r="F97" s="403">
        <f>+'Cuadro 1'!J109/'Cuadro 2'!J108*100</f>
        <v>80.300625525161053</v>
      </c>
      <c r="G97" s="403">
        <f>+'Cuadro 1'!K109/'Cuadro 2'!K108*100</f>
        <v>86.665453883936692</v>
      </c>
      <c r="H97" s="403">
        <f>+'Cuadro 1'!L109/'Cuadro 2'!L108*100</f>
        <v>90.682069141255411</v>
      </c>
      <c r="I97" s="403">
        <f>+'Cuadro 1'!M109/'Cuadro 2'!M108*100</f>
        <v>94.472361809045225</v>
      </c>
      <c r="J97" s="403">
        <f>+'Cuadro 1'!N109/'Cuadro 2'!N108*100</f>
        <v>95.893035016473831</v>
      </c>
      <c r="K97" s="403">
        <f>+'Cuadro 1'!O109/'Cuadro 2'!O108*100</f>
        <v>100.13464991023339</v>
      </c>
      <c r="L97" s="403">
        <f>+'Cuadro 1'!P109/'Cuadro 2'!P108*100</f>
        <v>100</v>
      </c>
      <c r="M97" s="403">
        <f>+'Cuadro 1'!Q109/'Cuadro 2'!Q108*100</f>
        <v>101.80556491275348</v>
      </c>
      <c r="N97" s="403">
        <f>+'Cuadro 1'!R109/'Cuadro 2'!R108*100</f>
        <v>108.5016501650165</v>
      </c>
      <c r="O97" s="403">
        <f>+'Cuadro 1'!S109/'Cuadro 2'!S108*100</f>
        <v>110.06073920909796</v>
      </c>
      <c r="P97" s="403">
        <f>+'Cuadro 1'!T109/'Cuadro 2'!T108*100</f>
        <v>113.48507504015063</v>
      </c>
      <c r="Q97" s="403">
        <f>+'Cuadro 1'!U109/'Cuadro 2'!U108*100</f>
        <v>117.3370732871807</v>
      </c>
      <c r="R97" s="403">
        <f>+'Cuadro 1'!V109/'Cuadro 2'!V108*100</f>
        <v>117.10637936884967</v>
      </c>
      <c r="S97" s="403">
        <f>+'Cuadro 1'!W109/'Cuadro 2'!W108*100</f>
        <v>126.71569446765835</v>
      </c>
      <c r="T97" s="403">
        <f>+'Cuadro 1'!X109/'Cuadro 2'!X108*100</f>
        <v>138.85659781215537</v>
      </c>
      <c r="U97" s="403">
        <f>+'Cuadro 1'!Y109/'Cuadro 2'!Y108*100</f>
        <v>149.08125515794279</v>
      </c>
    </row>
    <row r="98" spans="1:21" x14ac:dyDescent="0.35">
      <c r="A98" s="401" t="s">
        <v>56</v>
      </c>
      <c r="B98" s="403">
        <f>+'Cuadro 1'!F110/'Cuadro 2'!F109*100</f>
        <v>64.508758568164509</v>
      </c>
      <c r="C98" s="403">
        <f>+'Cuadro 1'!G110/'Cuadro 2'!G109*100</f>
        <v>67.386984600099353</v>
      </c>
      <c r="D98" s="403">
        <f>+'Cuadro 1'!H110/'Cuadro 2'!H109*100</f>
        <v>70.754716981132077</v>
      </c>
      <c r="E98" s="403">
        <f>+'Cuadro 1'!I110/'Cuadro 2'!I109*100</f>
        <v>75.383118462661159</v>
      </c>
      <c r="F98" s="403">
        <f>+'Cuadro 1'!J110/'Cuadro 2'!J109*100</f>
        <v>78.317846080533712</v>
      </c>
      <c r="G98" s="403">
        <f>+'Cuadro 1'!K110/'Cuadro 2'!K109*100</f>
        <v>83.23199251637044</v>
      </c>
      <c r="H98" s="403">
        <f>+'Cuadro 1'!L110/'Cuadro 2'!L109*100</f>
        <v>86.683246665159402</v>
      </c>
      <c r="I98" s="403">
        <f>+'Cuadro 1'!M110/'Cuadro 2'!M109*100</f>
        <v>90.605060506050606</v>
      </c>
      <c r="J98" s="403">
        <f>+'Cuadro 1'!N110/'Cuadro 2'!N109*100</f>
        <v>93.937446443873171</v>
      </c>
      <c r="K98" s="403">
        <f>+'Cuadro 1'!O110/'Cuadro 2'!O109*100</f>
        <v>96.985962014863745</v>
      </c>
      <c r="L98" s="403">
        <f>+'Cuadro 1'!P110/'Cuadro 2'!P109*100</f>
        <v>100</v>
      </c>
      <c r="M98" s="403">
        <f>+'Cuadro 1'!Q110/'Cuadro 2'!Q109*100</f>
        <v>104.79676362935851</v>
      </c>
      <c r="N98" s="403">
        <f>+'Cuadro 1'!R110/'Cuadro 2'!R109*100</f>
        <v>109.08405578590275</v>
      </c>
      <c r="O98" s="403">
        <f>+'Cuadro 1'!S110/'Cuadro 2'!S109*100</f>
        <v>112.55276197467425</v>
      </c>
      <c r="P98" s="403">
        <f>+'Cuadro 1'!T110/'Cuadro 2'!T109*100</f>
        <v>116.88659058487873</v>
      </c>
      <c r="Q98" s="403">
        <f>+'Cuadro 1'!U110/'Cuadro 2'!U109*100</f>
        <v>120.17861453053342</v>
      </c>
      <c r="R98" s="403">
        <f>+'Cuadro 1'!V110/'Cuadro 2'!V109*100</f>
        <v>124.39453985028621</v>
      </c>
      <c r="S98" s="403">
        <f>+'Cuadro 1'!W110/'Cuadro 2'!W109*100</f>
        <v>131.00164203612479</v>
      </c>
      <c r="T98" s="403">
        <f>+'Cuadro 1'!X110/'Cuadro 2'!X109*100</f>
        <v>143.21898044244949</v>
      </c>
      <c r="U98" s="403">
        <f>+'Cuadro 1'!Y110/'Cuadro 2'!Y109*100</f>
        <v>155.39727800237665</v>
      </c>
    </row>
    <row r="99" spans="1:21" x14ac:dyDescent="0.35">
      <c r="A99" s="400" t="s">
        <v>54</v>
      </c>
      <c r="B99" s="403">
        <f>+'Cuadro 1'!F111/'Cuadro 2'!F110*100</f>
        <v>64.508758568164509</v>
      </c>
      <c r="C99" s="403">
        <f>+'Cuadro 1'!G111/'Cuadro 2'!G110*100</f>
        <v>67.386984600099353</v>
      </c>
      <c r="D99" s="403">
        <f>+'Cuadro 1'!H111/'Cuadro 2'!H110*100</f>
        <v>70.754716981132077</v>
      </c>
      <c r="E99" s="403">
        <f>+'Cuadro 1'!I111/'Cuadro 2'!I110*100</f>
        <v>75.383118462661159</v>
      </c>
      <c r="F99" s="403">
        <f>+'Cuadro 1'!J111/'Cuadro 2'!J110*100</f>
        <v>78.317846080533712</v>
      </c>
      <c r="G99" s="403">
        <f>+'Cuadro 1'!K111/'Cuadro 2'!K110*100</f>
        <v>83.23199251637044</v>
      </c>
      <c r="H99" s="403">
        <f>+'Cuadro 1'!L111/'Cuadro 2'!L110*100</f>
        <v>86.683246665159402</v>
      </c>
      <c r="I99" s="403">
        <f>+'Cuadro 1'!M111/'Cuadro 2'!M110*100</f>
        <v>90.605060506050606</v>
      </c>
      <c r="J99" s="403">
        <f>+'Cuadro 1'!N111/'Cuadro 2'!N110*100</f>
        <v>93.937446443873171</v>
      </c>
      <c r="K99" s="403">
        <f>+'Cuadro 1'!O111/'Cuadro 2'!O110*100</f>
        <v>96.985962014863745</v>
      </c>
      <c r="L99" s="403">
        <f>+'Cuadro 1'!P111/'Cuadro 2'!P110*100</f>
        <v>100</v>
      </c>
      <c r="M99" s="403">
        <f>+'Cuadro 1'!Q111/'Cuadro 2'!Q110*100</f>
        <v>104.79676362935851</v>
      </c>
      <c r="N99" s="403">
        <f>+'Cuadro 1'!R111/'Cuadro 2'!R110*100</f>
        <v>109.08405578590275</v>
      </c>
      <c r="O99" s="403">
        <f>+'Cuadro 1'!S111/'Cuadro 2'!S110*100</f>
        <v>112.55276197467425</v>
      </c>
      <c r="P99" s="403">
        <f>+'Cuadro 1'!T111/'Cuadro 2'!T110*100</f>
        <v>116.88659058487873</v>
      </c>
      <c r="Q99" s="403">
        <f>+'Cuadro 1'!U111/'Cuadro 2'!U110*100</f>
        <v>120.17861453053342</v>
      </c>
      <c r="R99" s="403">
        <f>+'Cuadro 1'!V111/'Cuadro 2'!V110*100</f>
        <v>124.39453985028621</v>
      </c>
      <c r="S99" s="403">
        <f>+'Cuadro 1'!W111/'Cuadro 2'!W110*100</f>
        <v>131.00164203612479</v>
      </c>
      <c r="T99" s="403">
        <f>+'Cuadro 1'!X111/'Cuadro 2'!X110*100</f>
        <v>143.21898044244949</v>
      </c>
      <c r="U99" s="403">
        <f>+'Cuadro 1'!Y111/'Cuadro 2'!Y110*100</f>
        <v>155.39727800237665</v>
      </c>
    </row>
    <row r="100" spans="1:21" x14ac:dyDescent="0.35">
      <c r="A100" s="152" t="s">
        <v>53</v>
      </c>
      <c r="B100" s="403">
        <f>+'Cuadro 1'!F112/'Cuadro 2'!F111*100</f>
        <v>65.094193930547178</v>
      </c>
      <c r="C100" s="403">
        <f>+'Cuadro 1'!G112/'Cuadro 2'!G111*100</f>
        <v>68.880854200282869</v>
      </c>
      <c r="D100" s="403">
        <f>+'Cuadro 1'!H112/'Cuadro 2'!H111*100</f>
        <v>72.642863567541639</v>
      </c>
      <c r="E100" s="403">
        <f>+'Cuadro 1'!I112/'Cuadro 2'!I111*100</f>
        <v>78.677410149355737</v>
      </c>
      <c r="F100" s="403">
        <f>+'Cuadro 1'!J112/'Cuadro 2'!J111*100</f>
        <v>82.17950257458962</v>
      </c>
      <c r="G100" s="403">
        <f>+'Cuadro 1'!K112/'Cuadro 2'!K111*100</f>
        <v>85.137417050742698</v>
      </c>
      <c r="H100" s="403">
        <f>+'Cuadro 1'!L112/'Cuadro 2'!L111*100</f>
        <v>90.595535018013322</v>
      </c>
      <c r="I100" s="403">
        <f>+'Cuadro 1'!M112/'Cuadro 2'!M111*100</f>
        <v>94.070831057935749</v>
      </c>
      <c r="J100" s="403">
        <f>+'Cuadro 1'!N112/'Cuadro 2'!N111*100</f>
        <v>96.244693043578181</v>
      </c>
      <c r="K100" s="403">
        <f>+'Cuadro 1'!O112/'Cuadro 2'!O111*100</f>
        <v>98.027601445400308</v>
      </c>
      <c r="L100" s="403">
        <f>+'Cuadro 1'!P112/'Cuadro 2'!P111*100</f>
        <v>100</v>
      </c>
      <c r="M100" s="403">
        <f>+'Cuadro 1'!Q112/'Cuadro 2'!Q111*100</f>
        <v>105.51682843648112</v>
      </c>
      <c r="N100" s="403">
        <f>+'Cuadro 1'!R112/'Cuadro 2'!R111*100</f>
        <v>110.44175061932286</v>
      </c>
      <c r="O100" s="403">
        <f>+'Cuadro 1'!S112/'Cuadro 2'!S111*100</f>
        <v>115.56215427602241</v>
      </c>
      <c r="P100" s="403">
        <f>+'Cuadro 1'!T112/'Cuadro 2'!T111*100</f>
        <v>120.01690604391069</v>
      </c>
      <c r="Q100" s="403">
        <f>+'Cuadro 1'!U112/'Cuadro 2'!U111*100</f>
        <v>122.6518778098356</v>
      </c>
      <c r="R100" s="403">
        <f>+'Cuadro 1'!V112/'Cuadro 2'!V111*100</f>
        <v>132.01777073405165</v>
      </c>
      <c r="S100" s="403">
        <f>+'Cuadro 1'!W112/'Cuadro 2'!W111*100</f>
        <v>151.91240755126336</v>
      </c>
      <c r="T100" s="403">
        <f>+'Cuadro 1'!X112/'Cuadro 2'!X111*100</f>
        <v>162.56498699975785</v>
      </c>
      <c r="U100" s="403">
        <f>+'Cuadro 1'!Y112/'Cuadro 2'!Y111*100</f>
        <v>172.68678834105756</v>
      </c>
    </row>
    <row r="101" spans="1:21" x14ac:dyDescent="0.35">
      <c r="A101" s="146" t="s">
        <v>51</v>
      </c>
      <c r="B101" s="403">
        <f>+'Cuadro 1'!F113/'Cuadro 2'!F112*100</f>
        <v>71.160493827160494</v>
      </c>
      <c r="C101" s="403">
        <f>+'Cuadro 1'!G113/'Cuadro 2'!G112*100</f>
        <v>75.228336867743081</v>
      </c>
      <c r="D101" s="403">
        <f>+'Cuadro 1'!H113/'Cuadro 2'!H112*100</f>
        <v>77.335125821294</v>
      </c>
      <c r="E101" s="403">
        <f>+'Cuadro 1'!I113/'Cuadro 2'!I112*100</f>
        <v>78.737320048287415</v>
      </c>
      <c r="F101" s="403">
        <f>+'Cuadro 1'!J113/'Cuadro 2'!J112*100</f>
        <v>78.826329762885649</v>
      </c>
      <c r="G101" s="403">
        <f>+'Cuadro 1'!K113/'Cuadro 2'!K112*100</f>
        <v>83.52067027548874</v>
      </c>
      <c r="H101" s="403">
        <f>+'Cuadro 1'!L113/'Cuadro 2'!L112*100</f>
        <v>88.654864767738005</v>
      </c>
      <c r="I101" s="403">
        <f>+'Cuadro 1'!M113/'Cuadro 2'!M112*100</f>
        <v>89.945119854051711</v>
      </c>
      <c r="J101" s="403">
        <f>+'Cuadro 1'!N113/'Cuadro 2'!N112*100</f>
        <v>87.93545119039004</v>
      </c>
      <c r="K101" s="403">
        <f>+'Cuadro 1'!O113/'Cuadro 2'!O112*100</f>
        <v>93.486879106709281</v>
      </c>
      <c r="L101" s="403">
        <f>+'Cuadro 1'!P113/'Cuadro 2'!P112*100</f>
        <v>100</v>
      </c>
      <c r="M101" s="403">
        <f>+'Cuadro 1'!Q113/'Cuadro 2'!Q112*100</f>
        <v>101.47822026549262</v>
      </c>
      <c r="N101" s="403">
        <f>+'Cuadro 1'!R113/'Cuadro 2'!R112*100</f>
        <v>111.60307761339791</v>
      </c>
      <c r="O101" s="403">
        <f>+'Cuadro 1'!S113/'Cuadro 2'!S112*100</f>
        <v>116.70807294334597</v>
      </c>
      <c r="P101" s="403">
        <f>+'Cuadro 1'!T113/'Cuadro 2'!T112*100</f>
        <v>123.05464541226424</v>
      </c>
      <c r="Q101" s="403">
        <f>+'Cuadro 1'!U113/'Cuadro 2'!U112*100</f>
        <v>116.57471564910446</v>
      </c>
      <c r="R101" s="403">
        <f>+'Cuadro 1'!V113/'Cuadro 2'!V112*100</f>
        <v>127.54963898916967</v>
      </c>
      <c r="S101" s="403">
        <f>+'Cuadro 1'!W113/'Cuadro 2'!W112*100</f>
        <v>144.97277853392961</v>
      </c>
      <c r="T101" s="403">
        <f>+'Cuadro 1'!X113/'Cuadro 2'!X112*100</f>
        <v>154.2532817300403</v>
      </c>
      <c r="U101" s="403">
        <f>+'Cuadro 1'!Y113/'Cuadro 2'!Y112*100</f>
        <v>160.22826654791334</v>
      </c>
    </row>
    <row r="102" spans="1:21" x14ac:dyDescent="0.35">
      <c r="A102" s="402" t="s">
        <v>9</v>
      </c>
      <c r="B102" s="403">
        <f>+'Cuadro 1'!F114/'Cuadro 2'!F113*100</f>
        <v>65.641649169763014</v>
      </c>
      <c r="C102" s="403">
        <f>+'Cuadro 1'!G114/'Cuadro 2'!G113*100</f>
        <v>69.453893545187327</v>
      </c>
      <c r="D102" s="403">
        <f>+'Cuadro 1'!H114/'Cuadro 2'!H113*100</f>
        <v>73.066908571301909</v>
      </c>
      <c r="E102" s="403">
        <f>+'Cuadro 1'!I114/'Cuadro 2'!I113*100</f>
        <v>78.676534926607161</v>
      </c>
      <c r="F102" s="403">
        <f>+'Cuadro 1'!J114/'Cuadro 2'!J113*100</f>
        <v>81.87412669600532</v>
      </c>
      <c r="G102" s="403">
        <f>+'Cuadro 1'!K114/'Cuadro 2'!K113*100</f>
        <v>84.989322831644415</v>
      </c>
      <c r="H102" s="403">
        <f>+'Cuadro 1'!L114/'Cuadro 2'!L113*100</f>
        <v>90.417423768820441</v>
      </c>
      <c r="I102" s="403">
        <f>+'Cuadro 1'!M114/'Cuadro 2'!M113*100</f>
        <v>93.687510103104373</v>
      </c>
      <c r="J102" s="403">
        <f>+'Cuadro 1'!N114/'Cuadro 2'!N113*100</f>
        <v>95.474764653267172</v>
      </c>
      <c r="K102" s="403">
        <f>+'Cuadro 1'!O114/'Cuadro 2'!O113*100</f>
        <v>97.60922940317738</v>
      </c>
      <c r="L102" s="403">
        <f>+'Cuadro 1'!P114/'Cuadro 2'!P113*100</f>
        <v>100</v>
      </c>
      <c r="M102" s="403">
        <f>+'Cuadro 1'!Q114/'Cuadro 2'!Q113*100</f>
        <v>105.14833430514589</v>
      </c>
      <c r="N102" s="403">
        <f>+'Cuadro 1'!R114/'Cuadro 2'!R113*100</f>
        <v>110.54637209123577</v>
      </c>
      <c r="O102" s="403">
        <f>+'Cuadro 1'!S114/'Cuadro 2'!S113*100</f>
        <v>115.6653099268391</v>
      </c>
      <c r="P102" s="403">
        <f>+'Cuadro 1'!T114/'Cuadro 2'!T113*100</f>
        <v>120.29495338302181</v>
      </c>
      <c r="Q102" s="403">
        <f>+'Cuadro 1'!U114/'Cuadro 2'!U113*100</f>
        <v>122.07739332436729</v>
      </c>
      <c r="R102" s="403">
        <f>+'Cuadro 1'!V114/'Cuadro 2'!V113*100</f>
        <v>131.60200961552255</v>
      </c>
      <c r="S102" s="403">
        <f>+'Cuadro 1'!W114/'Cuadro 2'!W113*100</f>
        <v>151.24365782317471</v>
      </c>
      <c r="T102" s="403">
        <f>+'Cuadro 1'!X114/'Cuadro 2'!X113*100</f>
        <v>161.75866490265255</v>
      </c>
      <c r="U102" s="403">
        <f>+'Cuadro 1'!Y114/'Cuadro 2'!Y113*100</f>
        <v>171.46078489108126</v>
      </c>
    </row>
    <row r="106" spans="1:21" ht="15" x14ac:dyDescent="0.4">
      <c r="A106" s="78" t="s">
        <v>48</v>
      </c>
      <c r="B106" s="403">
        <f>+'Cuadro 1'!F118/'Cuadro 2'!F117*100</f>
        <v>65.985964393178335</v>
      </c>
      <c r="C106" s="403">
        <f>+'Cuadro 1'!G118/'Cuadro 2'!G117*100</f>
        <v>69.67971178330707</v>
      </c>
      <c r="D106" s="403">
        <f>+'Cuadro 1'!H118/'Cuadro 2'!H117*100</f>
        <v>73.243036790797973</v>
      </c>
      <c r="E106" s="403">
        <f>+'Cuadro 1'!I118/'Cuadro 2'!I117*100</f>
        <v>76.661245423922907</v>
      </c>
      <c r="F106" s="403">
        <f>+'Cuadro 1'!J118/'Cuadro 2'!J117*100</f>
        <v>80.025664659049383</v>
      </c>
      <c r="G106" s="403">
        <f>+'Cuadro 1'!K118/'Cuadro 2'!K117*100</f>
        <v>81.962639082649972</v>
      </c>
      <c r="H106" s="403">
        <f>+'Cuadro 1'!L118/'Cuadro 2'!L117*100</f>
        <v>86.289810426964195</v>
      </c>
      <c r="I106" s="403">
        <f>+'Cuadro 1'!M118/'Cuadro 2'!M117*100</f>
        <v>89.412644524109126</v>
      </c>
      <c r="J106" s="403">
        <f>+'Cuadro 1'!N118/'Cuadro 2'!N117*100</f>
        <v>91.529393206774557</v>
      </c>
      <c r="K106" s="403">
        <f>+'Cuadro 1'!O118/'Cuadro 2'!O117*100</f>
        <v>94.41874674064313</v>
      </c>
      <c r="L106" s="403">
        <f>+'Cuadro 1'!P118/'Cuadro 2'!P117*100</f>
        <v>100</v>
      </c>
      <c r="M106" s="403">
        <f>+'Cuadro 1'!Q118/'Cuadro 2'!Q117*100</f>
        <v>106.02392303050503</v>
      </c>
      <c r="N106" s="403">
        <f>+'Cuadro 1'!R118/'Cuadro 2'!R117*100</f>
        <v>110.13453892761986</v>
      </c>
      <c r="O106" s="403">
        <f>+'Cuadro 1'!S118/'Cuadro 2'!S117*100</f>
        <v>113.87584040803259</v>
      </c>
      <c r="P106" s="403">
        <f>+'Cuadro 1'!T118/'Cuadro 2'!T117*100</f>
        <v>118.44312185414341</v>
      </c>
      <c r="Q106" s="403">
        <f>+'Cuadro 1'!U118/'Cuadro 2'!U117*100</f>
        <v>121.21498864496594</v>
      </c>
      <c r="R106" s="403">
        <f>+'Cuadro 1'!V118/'Cuadro 2'!V117*100</f>
        <v>128.51973680216329</v>
      </c>
      <c r="S106" s="403">
        <f>+'Cuadro 1'!W118/'Cuadro 2'!W117*100</f>
        <v>143.7260184868577</v>
      </c>
      <c r="T106" s="403">
        <f>+'Cuadro 1'!X118/'Cuadro 2'!X117*100</f>
        <v>154.93146801102182</v>
      </c>
      <c r="U106" s="403">
        <f>+'Cuadro 1'!Y118/'Cuadro 2'!Y117*100</f>
        <v>163.95372639828966</v>
      </c>
    </row>
    <row r="107" spans="1:21" ht="28.5" x14ac:dyDescent="0.4">
      <c r="A107" s="96" t="s">
        <v>46</v>
      </c>
      <c r="B107" s="403">
        <f>+'Cuadro 1'!F119/'Cuadro 2'!F118*100</f>
        <v>65.76972595708564</v>
      </c>
      <c r="C107" s="403">
        <f>+'Cuadro 1'!G119/'Cuadro 2'!G118*100</f>
        <v>69.298806048205563</v>
      </c>
      <c r="D107" s="403">
        <f>+'Cuadro 1'!H119/'Cuadro 2'!H118*100</f>
        <v>72.687667136398488</v>
      </c>
      <c r="E107" s="403">
        <f>+'Cuadro 1'!I119/'Cuadro 2'!I118*100</f>
        <v>76.525906018088776</v>
      </c>
      <c r="F107" s="403">
        <f>+'Cuadro 1'!J119/'Cuadro 2'!J118*100</f>
        <v>79.708330545972345</v>
      </c>
      <c r="G107" s="403">
        <f>+'Cuadro 1'!K119/'Cuadro 2'!K118*100</f>
        <v>81.582155268089437</v>
      </c>
      <c r="H107" s="403">
        <f>+'Cuadro 1'!L119/'Cuadro 2'!L118*100</f>
        <v>86.166577924555554</v>
      </c>
      <c r="I107" s="403">
        <f>+'Cuadro 1'!M119/'Cuadro 2'!M118*100</f>
        <v>89.269957104316916</v>
      </c>
      <c r="J107" s="403">
        <f>+'Cuadro 1'!N119/'Cuadro 2'!N118*100</f>
        <v>91.276362934197252</v>
      </c>
      <c r="K107" s="403">
        <f>+'Cuadro 1'!O119/'Cuadro 2'!O118*100</f>
        <v>94.164465166403488</v>
      </c>
      <c r="L107" s="403">
        <f>+'Cuadro 1'!P119/'Cuadro 2'!P118*100</f>
        <v>100</v>
      </c>
      <c r="M107" s="403">
        <f>+'Cuadro 1'!Q119/'Cuadro 2'!Q118*100</f>
        <v>106.57199158893698</v>
      </c>
      <c r="N107" s="403">
        <f>+'Cuadro 1'!R119/'Cuadro 2'!R118*100</f>
        <v>110.39869755879805</v>
      </c>
      <c r="O107" s="403">
        <f>+'Cuadro 1'!S119/'Cuadro 2'!S118*100</f>
        <v>114.09882266759139</v>
      </c>
      <c r="P107" s="403">
        <f>+'Cuadro 1'!T119/'Cuadro 2'!T118*100</f>
        <v>118.60856926847072</v>
      </c>
      <c r="Q107" s="403">
        <f>+'Cuadro 1'!U119/'Cuadro 2'!U118*100</f>
        <v>121.12566616980875</v>
      </c>
      <c r="R107" s="403">
        <f>+'Cuadro 1'!V119/'Cuadro 2'!V118*100</f>
        <v>129.63781962149278</v>
      </c>
      <c r="S107" s="403">
        <f>+'Cuadro 1'!W119/'Cuadro 2'!W118*100</f>
        <v>146.34010072820121</v>
      </c>
      <c r="T107" s="403">
        <f>+'Cuadro 1'!X119/'Cuadro 2'!X118*100</f>
        <v>156.85657397834689</v>
      </c>
      <c r="U107" s="403">
        <f>+'Cuadro 1'!Y119/'Cuadro 2'!Y118*100</f>
        <v>165.10551000462218</v>
      </c>
    </row>
    <row r="108" spans="1:21" ht="15" x14ac:dyDescent="0.4">
      <c r="A108" s="101" t="s">
        <v>44</v>
      </c>
      <c r="B108" s="403">
        <f>+'Cuadro 1'!F120/'Cuadro 2'!F119*100</f>
        <v>65.76505020331696</v>
      </c>
      <c r="C108" s="403">
        <f>+'Cuadro 1'!G120/'Cuadro 2'!G119*100</f>
        <v>69.29659106592446</v>
      </c>
      <c r="D108" s="403">
        <f>+'Cuadro 1'!H120/'Cuadro 2'!H119*100</f>
        <v>72.683562437136146</v>
      </c>
      <c r="E108" s="403">
        <f>+'Cuadro 1'!I120/'Cuadro 2'!I119*100</f>
        <v>76.518000419465139</v>
      </c>
      <c r="F108" s="403">
        <f>+'Cuadro 1'!J120/'Cuadro 2'!J119*100</f>
        <v>79.707178727988619</v>
      </c>
      <c r="G108" s="403">
        <f>+'Cuadro 1'!K120/'Cuadro 2'!K119*100</f>
        <v>81.581489898701506</v>
      </c>
      <c r="H108" s="403">
        <f>+'Cuadro 1'!L120/'Cuadro 2'!L119*100</f>
        <v>86.174267855827907</v>
      </c>
      <c r="I108" s="403">
        <f>+'Cuadro 1'!M120/'Cuadro 2'!M119*100</f>
        <v>89.279194272937985</v>
      </c>
      <c r="J108" s="403">
        <f>+'Cuadro 1'!N120/'Cuadro 2'!N119*100</f>
        <v>91.288583681561207</v>
      </c>
      <c r="K108" s="403">
        <f>+'Cuadro 1'!O120/'Cuadro 2'!O119*100</f>
        <v>94.154538815398169</v>
      </c>
      <c r="L108" s="403">
        <f>+'Cuadro 1'!P120/'Cuadro 2'!P119*100</f>
        <v>100</v>
      </c>
      <c r="M108" s="403">
        <f>+'Cuadro 1'!Q120/'Cuadro 2'!Q119*100</f>
        <v>106.58316393746101</v>
      </c>
      <c r="N108" s="403">
        <f>+'Cuadro 1'!R120/'Cuadro 2'!R119*100</f>
        <v>110.39702967159491</v>
      </c>
      <c r="O108" s="403">
        <f>+'Cuadro 1'!S120/'Cuadro 2'!S119*100</f>
        <v>114.08987273344282</v>
      </c>
      <c r="P108" s="403">
        <f>+'Cuadro 1'!T120/'Cuadro 2'!T119*100</f>
        <v>118.59260254490283</v>
      </c>
      <c r="Q108" s="403">
        <f>+'Cuadro 1'!U120/'Cuadro 2'!U119*100</f>
        <v>121.08392597242246</v>
      </c>
      <c r="R108" s="403">
        <f>+'Cuadro 1'!V120/'Cuadro 2'!V119*100</f>
        <v>129.5757127790948</v>
      </c>
      <c r="S108" s="403">
        <f>+'Cuadro 1'!W120/'Cuadro 2'!W119*100</f>
        <v>146.29668291677737</v>
      </c>
      <c r="T108" s="403">
        <f>+'Cuadro 1'!X120/'Cuadro 2'!X119*100</f>
        <v>156.78762932292625</v>
      </c>
      <c r="U108" s="403"/>
    </row>
    <row r="109" spans="1:21" ht="15" x14ac:dyDescent="0.4">
      <c r="A109" s="105" t="s">
        <v>42</v>
      </c>
      <c r="B109" s="403">
        <f>+'Cuadro 1'!F121/'Cuadro 2'!F120*100</f>
        <v>67.226219024780178</v>
      </c>
      <c r="C109" s="403">
        <f>+'Cuadro 1'!G121/'Cuadro 2'!G120*100</f>
        <v>70.119802677942218</v>
      </c>
      <c r="D109" s="403">
        <f>+'Cuadro 1'!H121/'Cuadro 2'!H120*100</f>
        <v>74.01422107304461</v>
      </c>
      <c r="E109" s="403">
        <f>+'Cuadro 1'!I121/'Cuadro 2'!I120*100</f>
        <v>78.876100203114419</v>
      </c>
      <c r="F109" s="403">
        <f>+'Cuadro 1'!J121/'Cuadro 2'!J120*100</f>
        <v>80.474040632054184</v>
      </c>
      <c r="G109" s="403">
        <f>+'Cuadro 1'!K121/'Cuadro 2'!K120*100</f>
        <v>82.215122470713524</v>
      </c>
      <c r="H109" s="403">
        <f>+'Cuadro 1'!L121/'Cuadro 2'!L120*100</f>
        <v>85.037174721189587</v>
      </c>
      <c r="I109" s="403">
        <f>+'Cuadro 1'!M121/'Cuadro 2'!M120*100</f>
        <v>87.829209896249012</v>
      </c>
      <c r="J109" s="403">
        <f>+'Cuadro 1'!N121/'Cuadro 2'!N120*100</f>
        <v>89.292262559589304</v>
      </c>
      <c r="K109" s="403">
        <f>+'Cuadro 1'!O121/'Cuadro 2'!O120*100</f>
        <v>95.872420262664164</v>
      </c>
      <c r="L109" s="403">
        <f>+'Cuadro 1'!P121/'Cuadro 2'!P120*100</f>
        <v>100</v>
      </c>
      <c r="M109" s="403">
        <f>+'Cuadro 1'!Q121/'Cuadro 2'!Q120*100</f>
        <v>104.71641791044777</v>
      </c>
      <c r="N109" s="403">
        <f>+'Cuadro 1'!R121/'Cuadro 2'!R120*100</f>
        <v>110.83099906629319</v>
      </c>
      <c r="O109" s="403">
        <f>+'Cuadro 1'!S121/'Cuadro 2'!S120*100</f>
        <v>115.85623678646935</v>
      </c>
      <c r="P109" s="403">
        <f>+'Cuadro 1'!T121/'Cuadro 2'!T120*100</f>
        <v>121.64464023494861</v>
      </c>
      <c r="Q109" s="403">
        <f>+'Cuadro 1'!U121/'Cuadro 2'!U120*100</f>
        <v>129.00418949403803</v>
      </c>
      <c r="R109" s="403">
        <f>+'Cuadro 1'!V121/'Cuadro 2'!V120*100</f>
        <v>141.70027924294135</v>
      </c>
      <c r="S109" s="403">
        <f>+'Cuadro 1'!W121/'Cuadro 2'!W120*100</f>
        <v>154.20094007050528</v>
      </c>
      <c r="T109" s="403">
        <f>+'Cuadro 1'!X121/'Cuadro 2'!X120*100</f>
        <v>169.57658128593832</v>
      </c>
      <c r="U109" s="403"/>
    </row>
    <row r="110" spans="1:21" ht="15" x14ac:dyDescent="0.4">
      <c r="A110" s="90" t="s">
        <v>40</v>
      </c>
      <c r="B110" s="403">
        <f>+'Cuadro 1'!F122/'Cuadro 2'!F121*100</f>
        <v>67.020959147424506</v>
      </c>
      <c r="C110" s="403">
        <f>+'Cuadro 1'!G122/'Cuadro 2'!G121*100</f>
        <v>71.537194100804925</v>
      </c>
      <c r="D110" s="403">
        <f>+'Cuadro 1'!H122/'Cuadro 2'!H121*100</f>
        <v>75.986413008382087</v>
      </c>
      <c r="E110" s="403">
        <f>+'Cuadro 1'!I122/'Cuadro 2'!I121*100</f>
        <v>77.269811506957467</v>
      </c>
      <c r="F110" s="403">
        <f>+'Cuadro 1'!J122/'Cuadro 2'!J121*100</f>
        <v>81.52840741831028</v>
      </c>
      <c r="G110" s="403">
        <f>+'Cuadro 1'!K122/'Cuadro 2'!K121*100</f>
        <v>83.775164217853032</v>
      </c>
      <c r="H110" s="403">
        <f>+'Cuadro 1'!L122/'Cuadro 2'!L121*100</f>
        <v>86.846170823217832</v>
      </c>
      <c r="I110" s="403">
        <f>+'Cuadro 1'!M122/'Cuadro 2'!M121*100</f>
        <v>90.062672348959637</v>
      </c>
      <c r="J110" s="403">
        <f>+'Cuadro 1'!N122/'Cuadro 2'!N121*100</f>
        <v>92.69954694463884</v>
      </c>
      <c r="K110" s="403">
        <f>+'Cuadro 1'!O122/'Cuadro 2'!O121*100</f>
        <v>95.594419128384672</v>
      </c>
      <c r="L110" s="403">
        <f>+'Cuadro 1'!P122/'Cuadro 2'!P121*100</f>
        <v>100</v>
      </c>
      <c r="M110" s="403">
        <f>+'Cuadro 1'!Q122/'Cuadro 2'!Q121*100</f>
        <v>103.49615200804206</v>
      </c>
      <c r="N110" s="403">
        <f>+'Cuadro 1'!R122/'Cuadro 2'!R121*100</f>
        <v>108.89547872128983</v>
      </c>
      <c r="O110" s="403">
        <f>+'Cuadro 1'!S122/'Cuadro 2'!S121*100</f>
        <v>112.81344886321558</v>
      </c>
      <c r="P110" s="403">
        <f>+'Cuadro 1'!T122/'Cuadro 2'!T121*100</f>
        <v>117.62549946536103</v>
      </c>
      <c r="Q110" s="403">
        <f>+'Cuadro 1'!U122/'Cuadro 2'!U121*100</f>
        <v>121.44664743285296</v>
      </c>
      <c r="R110" s="403">
        <f>+'Cuadro 1'!V122/'Cuadro 2'!V121*100</f>
        <v>123.52925988561987</v>
      </c>
      <c r="S110" s="403">
        <f>+'Cuadro 1'!W122/'Cuadro 2'!W121*100</f>
        <v>131.68575665379797</v>
      </c>
      <c r="T110" s="403">
        <f>+'Cuadro 1'!X122/'Cuadro 2'!X121*100</f>
        <v>146.13244891409008</v>
      </c>
      <c r="U110" s="403">
        <f>+'Cuadro 1'!Y122/'Cuadro 2'!Y121*100</f>
        <v>158.82490279962337</v>
      </c>
    </row>
    <row r="111" spans="1:21" ht="15" x14ac:dyDescent="0.4">
      <c r="A111" s="78" t="s">
        <v>38</v>
      </c>
      <c r="B111" s="403">
        <f>+'Cuadro 1'!F124/'Cuadro 2'!F123*100</f>
        <v>84.396909594095931</v>
      </c>
      <c r="C111" s="403">
        <f>+'Cuadro 1'!G124/'Cuadro 2'!G123*100</f>
        <v>86.323159607514427</v>
      </c>
      <c r="D111" s="403">
        <f>+'Cuadro 1'!H124/'Cuadro 2'!H123*100</f>
        <v>85.589828314484265</v>
      </c>
      <c r="E111" s="403">
        <f>+'Cuadro 1'!I124/'Cuadro 2'!I123*100</f>
        <v>88.25279100632369</v>
      </c>
      <c r="F111" s="403">
        <f>+'Cuadro 1'!J124/'Cuadro 2'!J123*100</f>
        <v>91.883425257860793</v>
      </c>
      <c r="G111" s="403">
        <f>+'Cuadro 1'!K124/'Cuadro 2'!K123*100</f>
        <v>90.559150741808168</v>
      </c>
      <c r="H111" s="403">
        <f>+'Cuadro 1'!L124/'Cuadro 2'!L123*100</f>
        <v>91.335369453070854</v>
      </c>
      <c r="I111" s="403">
        <f>+'Cuadro 1'!M124/'Cuadro 2'!M123*100</f>
        <v>91.879065300497032</v>
      </c>
      <c r="J111" s="403">
        <f>+'Cuadro 1'!N124/'Cuadro 2'!N123*100</f>
        <v>91.632392158223851</v>
      </c>
      <c r="K111" s="403">
        <f>+'Cuadro 1'!O124/'Cuadro 2'!O123*100</f>
        <v>94.620555667508896</v>
      </c>
      <c r="L111" s="403">
        <f>+'Cuadro 1'!P124/'Cuadro 2'!P123*100</f>
        <v>100</v>
      </c>
      <c r="M111" s="403">
        <f>+'Cuadro 1'!Q124/'Cuadro 2'!Q123*100</f>
        <v>104.77606626386169</v>
      </c>
      <c r="N111" s="403">
        <f>+'Cuadro 1'!R124/'Cuadro 2'!R123*100</f>
        <v>107.56811738481183</v>
      </c>
      <c r="O111" s="403">
        <f>+'Cuadro 1'!S124/'Cuadro 2'!S123*100</f>
        <v>111.59811948317768</v>
      </c>
      <c r="P111" s="403">
        <f>+'Cuadro 1'!T124/'Cuadro 2'!T123*100</f>
        <v>117.34533800680312</v>
      </c>
      <c r="Q111" s="403">
        <f>+'Cuadro 1'!U124/'Cuadro 2'!U123*100</f>
        <v>124.66400788496308</v>
      </c>
      <c r="R111" s="403">
        <f>+'Cuadro 1'!V124/'Cuadro 2'!V123*100</f>
        <v>131.99510890868987</v>
      </c>
      <c r="S111" s="403">
        <f>+'Cuadro 1'!W124/'Cuadro 2'!W123*100</f>
        <v>146.75815754446819</v>
      </c>
      <c r="T111" s="403">
        <f>+'Cuadro 1'!X124/'Cuadro 2'!X123*100</f>
        <v>156.38796669288172</v>
      </c>
      <c r="U111" s="403">
        <f>+'Cuadro 1'!Y124/'Cuadro 2'!Y123*100</f>
        <v>163.76937180312441</v>
      </c>
    </row>
    <row r="112" spans="1:21" ht="15" x14ac:dyDescent="0.4">
      <c r="A112" s="215" t="s">
        <v>36</v>
      </c>
      <c r="B112" s="403">
        <f>+'Cuadro 1'!F125/'Cuadro 2'!F124*100</f>
        <v>82.411738695338499</v>
      </c>
      <c r="C112" s="403">
        <f>+'Cuadro 1'!G125/'Cuadro 2'!G124*100</f>
        <v>84.409718820417353</v>
      </c>
      <c r="D112" s="403">
        <f>+'Cuadro 1'!H125/'Cuadro 2'!H124*100</f>
        <v>84.310264519134122</v>
      </c>
      <c r="E112" s="403">
        <f>+'Cuadro 1'!I125/'Cuadro 2'!I124*100</f>
        <v>87.720285594288114</v>
      </c>
      <c r="F112" s="403">
        <f>+'Cuadro 1'!J125/'Cuadro 2'!J124*100</f>
        <v>91.344066133779364</v>
      </c>
      <c r="G112" s="403">
        <f>+'Cuadro 1'!K125/'Cuadro 2'!K124*100</f>
        <v>90.042721245748524</v>
      </c>
      <c r="H112" s="403">
        <f>+'Cuadro 1'!L125/'Cuadro 2'!L124*100</f>
        <v>90.773080680343114</v>
      </c>
      <c r="I112" s="403">
        <f>+'Cuadro 1'!M125/'Cuadro 2'!M124*100</f>
        <v>91.170509657659764</v>
      </c>
      <c r="J112" s="403">
        <f>+'Cuadro 1'!N125/'Cuadro 2'!N124*100</f>
        <v>90.952827204192616</v>
      </c>
      <c r="K112" s="403">
        <f>+'Cuadro 1'!O125/'Cuadro 2'!O124*100</f>
        <v>94.532595090649721</v>
      </c>
      <c r="L112" s="403">
        <f>+'Cuadro 1'!P125/'Cuadro 2'!P124*100</f>
        <v>100</v>
      </c>
      <c r="M112" s="403">
        <f>+'Cuadro 1'!Q125/'Cuadro 2'!Q124*100</f>
        <v>104.64964770419196</v>
      </c>
      <c r="N112" s="403">
        <f>+'Cuadro 1'!R125/'Cuadro 2'!R124*100</f>
        <v>107.47449555486277</v>
      </c>
      <c r="O112" s="403">
        <f>+'Cuadro 1'!S125/'Cuadro 2'!S124*100</f>
        <v>111.55047213725229</v>
      </c>
      <c r="P112" s="403">
        <f>+'Cuadro 1'!T125/'Cuadro 2'!T124*100</f>
        <v>117.32135144838927</v>
      </c>
      <c r="Q112" s="403">
        <f>+'Cuadro 1'!U125/'Cuadro 2'!U124*100</f>
        <v>124.90547270460475</v>
      </c>
      <c r="R112" s="403">
        <f>+'Cuadro 1'!V125/'Cuadro 2'!V124*100</f>
        <v>132.21904372701266</v>
      </c>
      <c r="S112" s="403">
        <f>+'Cuadro 1'!W125/'Cuadro 2'!W124*100</f>
        <v>146.89216430609733</v>
      </c>
      <c r="T112" s="403">
        <f>+'Cuadro 1'!X125/'Cuadro 2'!X124*100</f>
        <v>156.97541195030803</v>
      </c>
      <c r="U112" s="403">
        <f>+'Cuadro 1'!Y125/'Cuadro 2'!Y124*100</f>
        <v>164.66692333998392</v>
      </c>
    </row>
    <row r="113" spans="1:21" ht="15" x14ac:dyDescent="0.4">
      <c r="A113" s="101" t="s">
        <v>34</v>
      </c>
      <c r="B113" s="403">
        <f>+'Cuadro 1'!F126/'Cuadro 2'!F125*100</f>
        <v>39.136453773337827</v>
      </c>
      <c r="C113" s="403">
        <f>+'Cuadro 1'!G126/'Cuadro 2'!G125*100</f>
        <v>40.55206536245565</v>
      </c>
      <c r="D113" s="403">
        <f>+'Cuadro 1'!H126/'Cuadro 2'!H125*100</f>
        <v>44.630346125692775</v>
      </c>
      <c r="E113" s="403">
        <f>+'Cuadro 1'!I126/'Cuadro 2'!I125*100</f>
        <v>52.98363322151063</v>
      </c>
      <c r="F113" s="403">
        <f>+'Cuadro 1'!J126/'Cuadro 2'!J125*100</f>
        <v>59.10038462667724</v>
      </c>
      <c r="G113" s="403">
        <f>+'Cuadro 1'!K126/'Cuadro 2'!K125*100</f>
        <v>61.890802491755224</v>
      </c>
      <c r="H113" s="403">
        <f>+'Cuadro 1'!L126/'Cuadro 2'!L125*100</f>
        <v>67.627937492544433</v>
      </c>
      <c r="I113" s="403">
        <f>+'Cuadro 1'!M126/'Cuadro 2'!M125*100</f>
        <v>83.906733571707576</v>
      </c>
      <c r="J113" s="403">
        <f>+'Cuadro 1'!N126/'Cuadro 2'!N125*100</f>
        <v>97.894142554693005</v>
      </c>
      <c r="K113" s="403">
        <f>+'Cuadro 1'!O126/'Cuadro 2'!O125*100</f>
        <v>97.879524235835774</v>
      </c>
      <c r="L113" s="403">
        <f>+'Cuadro 1'!P126/'Cuadro 2'!P125*100</f>
        <v>100</v>
      </c>
      <c r="M113" s="403">
        <f>+'Cuadro 1'!Q126/'Cuadro 2'!Q125*100</f>
        <v>106.54520759665598</v>
      </c>
      <c r="N113" s="403">
        <f>+'Cuadro 1'!R126/'Cuadro 2'!R125*100</f>
        <v>111.57178660938058</v>
      </c>
      <c r="O113" s="403">
        <f>+'Cuadro 1'!S126/'Cuadro 2'!S125*100</f>
        <v>119.00244358200374</v>
      </c>
      <c r="P113" s="403">
        <f>+'Cuadro 1'!T126/'Cuadro 2'!T125*100</f>
        <v>125.1235541535226</v>
      </c>
      <c r="Q113" s="403">
        <f>+'Cuadro 1'!U126/'Cuadro 2'!U125*100</f>
        <v>129.41268353639487</v>
      </c>
      <c r="R113" s="403">
        <f>+'Cuadro 1'!V126/'Cuadro 2'!V125*100</f>
        <v>138.36572832886506</v>
      </c>
      <c r="S113" s="403">
        <f>+'Cuadro 1'!W126/'Cuadro 2'!W125*100</f>
        <v>152.84666338205508</v>
      </c>
      <c r="T113" s="403">
        <f>+'Cuadro 1'!X126/'Cuadro 2'!X125*100</f>
        <v>170.42624452523404</v>
      </c>
      <c r="U113" s="403">
        <f>+'Cuadro 1'!Y126/'Cuadro 2'!Y125*100</f>
        <v>189.10296465233549</v>
      </c>
    </row>
    <row r="114" spans="1:21" ht="15" x14ac:dyDescent="0.4">
      <c r="A114" s="105" t="s">
        <v>32</v>
      </c>
      <c r="B114" s="403">
        <f>+'Cuadro 1'!F127/'Cuadro 2'!F126*100</f>
        <v>69.320122036554991</v>
      </c>
      <c r="C114" s="403">
        <f>+'Cuadro 1'!G127/'Cuadro 2'!G126*100</f>
        <v>72.000926951103324</v>
      </c>
      <c r="D114" s="403">
        <f>+'Cuadro 1'!H127/'Cuadro 2'!H126*100</f>
        <v>76.324585426864772</v>
      </c>
      <c r="E114" s="403">
        <f>+'Cuadro 1'!I127/'Cuadro 2'!I126*100</f>
        <v>84.74793202341732</v>
      </c>
      <c r="F114" s="403">
        <f>+'Cuadro 1'!J127/'Cuadro 2'!J126*100</f>
        <v>86.321070913485954</v>
      </c>
      <c r="G114" s="403">
        <f>+'Cuadro 1'!K127/'Cuadro 2'!K126*100</f>
        <v>86.625816677620136</v>
      </c>
      <c r="H114" s="403">
        <f>+'Cuadro 1'!L127/'Cuadro 2'!L126*100</f>
        <v>90.700487804878051</v>
      </c>
      <c r="I114" s="403">
        <f>+'Cuadro 1'!M127/'Cuadro 2'!M126*100</f>
        <v>90.039795975561915</v>
      </c>
      <c r="J114" s="403">
        <f>+'Cuadro 1'!N127/'Cuadro 2'!N126*100</f>
        <v>88.817880739594258</v>
      </c>
      <c r="K114" s="403">
        <f>+'Cuadro 1'!O127/'Cuadro 2'!O126*100</f>
        <v>97.7106769291494</v>
      </c>
      <c r="L114" s="403">
        <f>+'Cuadro 1'!P127/'Cuadro 2'!P126*100</f>
        <v>100</v>
      </c>
      <c r="M114" s="403">
        <f>+'Cuadro 1'!Q127/'Cuadro 2'!Q126*100</f>
        <v>103.87497589332453</v>
      </c>
      <c r="N114" s="403">
        <f>+'Cuadro 1'!R127/'Cuadro 2'!R126*100</f>
        <v>106.25781733440418</v>
      </c>
      <c r="O114" s="403">
        <f>+'Cuadro 1'!S127/'Cuadro 2'!S126*100</f>
        <v>111.96939109559145</v>
      </c>
      <c r="P114" s="403">
        <f>+'Cuadro 1'!T127/'Cuadro 2'!T126*100</f>
        <v>117.34114186244216</v>
      </c>
      <c r="Q114" s="403">
        <f>+'Cuadro 1'!U127/'Cuadro 2'!U126*100</f>
        <v>123.54156917797536</v>
      </c>
      <c r="R114" s="403">
        <f>+'Cuadro 1'!V127/'Cuadro 2'!V126*100</f>
        <v>127.32224604508315</v>
      </c>
      <c r="S114" s="403">
        <f>+'Cuadro 1'!W127/'Cuadro 2'!W126*100</f>
        <v>137.46846683215273</v>
      </c>
      <c r="T114" s="403">
        <f>+'Cuadro 1'!X127/'Cuadro 2'!X126*100</f>
        <v>151.99060230670653</v>
      </c>
      <c r="U114" s="403">
        <f>+'Cuadro 1'!Y127/'Cuadro 2'!Y126*100</f>
        <v>161.87578661475098</v>
      </c>
    </row>
    <row r="115" spans="1:21" ht="15" x14ac:dyDescent="0.4">
      <c r="A115" s="101" t="s">
        <v>30</v>
      </c>
      <c r="B115" s="403">
        <f>+'Cuadro 1'!F128/'Cuadro 2'!F127*100</f>
        <v>124.94508682498238</v>
      </c>
      <c r="C115" s="403">
        <f>+'Cuadro 1'!G128/'Cuadro 2'!G127*100</f>
        <v>126.24564924273305</v>
      </c>
      <c r="D115" s="403">
        <f>+'Cuadro 1'!H128/'Cuadro 2'!H127*100</f>
        <v>116.65224573271456</v>
      </c>
      <c r="E115" s="403">
        <f>+'Cuadro 1'!I128/'Cuadro 2'!I127*100</f>
        <v>109.27931831311382</v>
      </c>
      <c r="F115" s="403">
        <f>+'Cuadro 1'!J128/'Cuadro 2'!J127*100</f>
        <v>112.96281529915211</v>
      </c>
      <c r="G115" s="403">
        <f>+'Cuadro 1'!K128/'Cuadro 2'!K127*100</f>
        <v>105.49986204359423</v>
      </c>
      <c r="H115" s="403">
        <f>+'Cuadro 1'!L128/'Cuadro 2'!L127*100</f>
        <v>99.114761092150175</v>
      </c>
      <c r="I115" s="403">
        <f>+'Cuadro 1'!M128/'Cuadro 2'!M127*100</f>
        <v>93.211532874160412</v>
      </c>
      <c r="J115" s="403">
        <f>+'Cuadro 1'!N128/'Cuadro 2'!N127*100</f>
        <v>87.483081940481043</v>
      </c>
      <c r="K115" s="403">
        <f>+'Cuadro 1'!O128/'Cuadro 2'!O127*100</f>
        <v>88.809914887262948</v>
      </c>
      <c r="L115" s="403">
        <f>+'Cuadro 1'!P128/'Cuadro 2'!P127*100</f>
        <v>100</v>
      </c>
      <c r="M115" s="403">
        <f>+'Cuadro 1'!Q128/'Cuadro 2'!Q127*100</f>
        <v>103.57678839419711</v>
      </c>
      <c r="N115" s="403">
        <f>+'Cuadro 1'!R128/'Cuadro 2'!R127*100</f>
        <v>103.6067306845212</v>
      </c>
      <c r="O115" s="403">
        <f>+'Cuadro 1'!S128/'Cuadro 2'!S127*100</f>
        <v>104.17950630899477</v>
      </c>
      <c r="P115" s="403">
        <f>+'Cuadro 1'!T128/'Cuadro 2'!T127*100</f>
        <v>109.45893231236003</v>
      </c>
      <c r="Q115" s="403">
        <f>+'Cuadro 1'!U128/'Cuadro 2'!U127*100</f>
        <v>118.25920373146761</v>
      </c>
      <c r="R115" s="403">
        <f>+'Cuadro 1'!V128/'Cuadro 2'!V127*100</f>
        <v>125.15092173678168</v>
      </c>
      <c r="S115" s="403">
        <f>+'Cuadro 1'!W128/'Cuadro 2'!W127*100</f>
        <v>138.43654276016227</v>
      </c>
      <c r="T115" s="403">
        <f>+'Cuadro 1'!X128/'Cuadro 2'!X127*100</f>
        <v>141.76817446415916</v>
      </c>
      <c r="U115" s="403">
        <f>+'Cuadro 1'!Y128/'Cuadro 2'!Y127*100</f>
        <v>139.48016497563208</v>
      </c>
    </row>
    <row r="116" spans="1:21" ht="15" x14ac:dyDescent="0.4">
      <c r="A116" s="105" t="s">
        <v>28</v>
      </c>
      <c r="B116" s="403">
        <f>+'Cuadro 1'!F129/'Cuadro 2'!F128*100</f>
        <v>65.560165975103729</v>
      </c>
      <c r="C116" s="403">
        <f>+'Cuadro 1'!G129/'Cuadro 2'!G128*100</f>
        <v>65.19100321313816</v>
      </c>
      <c r="D116" s="403">
        <f>+'Cuadro 1'!H129/'Cuadro 2'!H128*100</f>
        <v>72.900900900900893</v>
      </c>
      <c r="E116" s="403">
        <f>+'Cuadro 1'!I129/'Cuadro 2'!I128*100</f>
        <v>85.729461756373937</v>
      </c>
      <c r="F116" s="403">
        <f>+'Cuadro 1'!J129/'Cuadro 2'!J128*100</f>
        <v>96.318211702827085</v>
      </c>
      <c r="G116" s="403">
        <f>+'Cuadro 1'!K129/'Cuadro 2'!K128*100</f>
        <v>98.68883914294851</v>
      </c>
      <c r="H116" s="403">
        <f>+'Cuadro 1'!L129/'Cuadro 2'!L128*100</f>
        <v>97.699165947656027</v>
      </c>
      <c r="I116" s="403">
        <f>+'Cuadro 1'!M129/'Cuadro 2'!M128*100</f>
        <v>88.685574870387313</v>
      </c>
      <c r="J116" s="403">
        <f>+'Cuadro 1'!N129/'Cuadro 2'!N128*100</f>
        <v>80.772532188841211</v>
      </c>
      <c r="K116" s="403">
        <f>+'Cuadro 1'!O129/'Cuadro 2'!O128*100</f>
        <v>87.623188405797109</v>
      </c>
      <c r="L116" s="403">
        <f>+'Cuadro 1'!P129/'Cuadro 2'!P128*100</f>
        <v>100</v>
      </c>
      <c r="M116" s="403">
        <f>+'Cuadro 1'!Q129/'Cuadro 2'!Q128*100</f>
        <v>112.41862794191286</v>
      </c>
      <c r="N116" s="403">
        <f>+'Cuadro 1'!R129/'Cuadro 2'!R128*100</f>
        <v>129.51310861423221</v>
      </c>
      <c r="O116" s="403">
        <f>+'Cuadro 1'!S129/'Cuadro 2'!S128*100</f>
        <v>127.98247874259212</v>
      </c>
      <c r="P116" s="403">
        <f>+'Cuadro 1'!T129/'Cuadro 2'!T128*100</f>
        <v>142.70360640076427</v>
      </c>
      <c r="Q116" s="403">
        <f>+'Cuadro 1'!U129/'Cuadro 2'!U128*100</f>
        <v>167.39659367396592</v>
      </c>
      <c r="R116" s="403">
        <f>+'Cuadro 1'!V129/'Cuadro 2'!V128*100</f>
        <v>217.5141242937853</v>
      </c>
      <c r="S116" s="403">
        <f>+'Cuadro 1'!W129/'Cuadro 2'!W128*100</f>
        <v>298.51290684624018</v>
      </c>
      <c r="T116" s="403">
        <f>+'Cuadro 1'!X129/'Cuadro 2'!X128*100</f>
        <v>339.21987710392733</v>
      </c>
      <c r="U116" s="403">
        <f>+'Cuadro 1'!Y129/'Cuadro 2'!Y128*100</f>
        <v>405.69507159253993</v>
      </c>
    </row>
    <row r="117" spans="1:21" ht="15" x14ac:dyDescent="0.4">
      <c r="A117" s="101" t="s">
        <v>26</v>
      </c>
      <c r="B117" s="403">
        <f>+'Cuadro 1'!F130/'Cuadro 2'!F129*100</f>
        <v>89.271108972816933</v>
      </c>
      <c r="C117" s="403">
        <f>+'Cuadro 1'!G130/'Cuadro 2'!G129*100</f>
        <v>93.348682527500642</v>
      </c>
      <c r="D117" s="403">
        <f>+'Cuadro 1'!H130/'Cuadro 2'!H129*100</f>
        <v>88.257575757575751</v>
      </c>
      <c r="E117" s="403">
        <f>+'Cuadro 1'!I130/'Cuadro 2'!I129*100</f>
        <v>102.87798147053027</v>
      </c>
      <c r="F117" s="403">
        <f>+'Cuadro 1'!J130/'Cuadro 2'!J129*100</f>
        <v>101.80213313718278</v>
      </c>
      <c r="G117" s="403">
        <f>+'Cuadro 1'!K130/'Cuadro 2'!K129*100</f>
        <v>108.57670979667282</v>
      </c>
      <c r="H117" s="403">
        <f>+'Cuadro 1'!L130/'Cuadro 2'!L129*100</f>
        <v>120.12424391041361</v>
      </c>
      <c r="I117" s="403">
        <f>+'Cuadro 1'!M130/'Cuadro 2'!M129*100</f>
        <v>109.53534130467686</v>
      </c>
      <c r="J117" s="403">
        <f>+'Cuadro 1'!N130/'Cuadro 2'!N129*100</f>
        <v>99.455696202531641</v>
      </c>
      <c r="K117" s="403">
        <f>+'Cuadro 1'!O130/'Cuadro 2'!O129*100</f>
        <v>94.300518134715034</v>
      </c>
      <c r="L117" s="403">
        <f>+'Cuadro 1'!P130/'Cuadro 2'!P129*100</f>
        <v>100</v>
      </c>
      <c r="M117" s="403">
        <f>+'Cuadro 1'!Q130/'Cuadro 2'!Q129*100</f>
        <v>105.23255813953489</v>
      </c>
      <c r="N117" s="403">
        <f>+'Cuadro 1'!R130/'Cuadro 2'!R129*100</f>
        <v>113.76269374665955</v>
      </c>
      <c r="O117" s="403">
        <f>+'Cuadro 1'!S130/'Cuadro 2'!S129*100</f>
        <v>114.81968939194525</v>
      </c>
      <c r="P117" s="403">
        <f>+'Cuadro 1'!T130/'Cuadro 2'!T129*100</f>
        <v>121.57148535842057</v>
      </c>
      <c r="Q117" s="403">
        <f>+'Cuadro 1'!U130/'Cuadro 2'!U129*100</f>
        <v>129.5996531290649</v>
      </c>
      <c r="R117" s="403">
        <f>+'Cuadro 1'!V130/'Cuadro 2'!V129*100</f>
        <v>132.69499580654181</v>
      </c>
      <c r="S117" s="403">
        <f>+'Cuadro 1'!W130/'Cuadro 2'!W129*100</f>
        <v>158.49720015627037</v>
      </c>
      <c r="T117" s="403">
        <f>+'Cuadro 1'!X130/'Cuadro 2'!X129*100</f>
        <v>156.61943061406868</v>
      </c>
      <c r="U117" s="403">
        <f>+'Cuadro 1'!Y130/'Cuadro 2'!Y129*100</f>
        <v>167.2834879895257</v>
      </c>
    </row>
    <row r="118" spans="1:21" ht="15" x14ac:dyDescent="0.4">
      <c r="A118" s="215" t="s">
        <v>261</v>
      </c>
      <c r="B118" s="403"/>
      <c r="C118" s="403"/>
      <c r="D118" s="403"/>
      <c r="E118" s="403"/>
      <c r="F118" s="403"/>
      <c r="G118" s="403"/>
      <c r="H118" s="403"/>
      <c r="I118" s="403"/>
      <c r="J118" s="403"/>
      <c r="K118" s="403"/>
      <c r="L118" s="403"/>
      <c r="M118" s="403"/>
      <c r="N118" s="403"/>
      <c r="O118" s="403"/>
      <c r="P118" s="403"/>
      <c r="Q118" s="403"/>
      <c r="R118" s="403"/>
      <c r="S118" s="403"/>
      <c r="T118" s="403"/>
      <c r="U118" s="403"/>
    </row>
    <row r="119" spans="1:21" ht="15" x14ac:dyDescent="0.4">
      <c r="A119" s="213" t="s">
        <v>22</v>
      </c>
      <c r="B119" s="403">
        <f>+'Cuadro 1'!F132/'Cuadro 2'!F131*100</f>
        <v>142.85714285714286</v>
      </c>
      <c r="C119" s="403">
        <f>+'Cuadro 1'!G132/'Cuadro 2'!G131*100</f>
        <v>125</v>
      </c>
      <c r="D119" s="403">
        <f>+'Cuadro 1'!H132/'Cuadro 2'!H131*100</f>
        <v>116.66666666666667</v>
      </c>
      <c r="E119" s="403">
        <f>+'Cuadro 1'!I132/'Cuadro 2'!I131*100</f>
        <v>105.26315789473684</v>
      </c>
      <c r="F119" s="403">
        <f>+'Cuadro 1'!J132/'Cuadro 2'!J131*100</f>
        <v>110.5263157894737</v>
      </c>
      <c r="G119" s="403">
        <f>+'Cuadro 1'!K132/'Cuadro 2'!K131*100</f>
        <v>100</v>
      </c>
      <c r="H119" s="403">
        <f>+'Cuadro 1'!L132/'Cuadro 2'!L131*100</f>
        <v>91.304347826086953</v>
      </c>
      <c r="I119" s="403">
        <f>+'Cuadro 1'!M132/'Cuadro 2'!M131*100</f>
        <v>92</v>
      </c>
      <c r="J119" s="403">
        <f>+'Cuadro 1'!N132/'Cuadro 2'!N131*100</f>
        <v>92.307692307692307</v>
      </c>
      <c r="K119" s="403">
        <f>+'Cuadro 1'!O132/'Cuadro 2'!O131*100</f>
        <v>92.592592592592595</v>
      </c>
      <c r="L119" s="403">
        <f>+'Cuadro 1'!P132/'Cuadro 2'!P131*100</f>
        <v>100</v>
      </c>
      <c r="M119" s="403">
        <f>+'Cuadro 1'!Q132/'Cuadro 2'!Q131*100</f>
        <v>103.7037037037037</v>
      </c>
      <c r="N119" s="403">
        <f>+'Cuadro 1'!R132/'Cuadro 2'!R131*100</f>
        <v>109.09090909090908</v>
      </c>
      <c r="O119" s="403">
        <f>+'Cuadro 1'!S132/'Cuadro 2'!S131*100</f>
        <v>113.63636363636364</v>
      </c>
      <c r="P119" s="403">
        <f>+'Cuadro 1'!T132/'Cuadro 2'!T131*100</f>
        <v>122.72727272727273</v>
      </c>
      <c r="Q119" s="403">
        <f>+'Cuadro 1'!U132/'Cuadro 2'!U131*100</f>
        <v>122.72727272727273</v>
      </c>
      <c r="R119" s="403">
        <f>+'Cuadro 1'!V132/'Cuadro 2'!V131*100</f>
        <v>122.72727272727273</v>
      </c>
      <c r="S119" s="403">
        <f>+'Cuadro 1'!W132/'Cuadro 2'!W131*100</f>
        <v>121.73913043478262</v>
      </c>
      <c r="T119" s="403">
        <f>+'Cuadro 1'!X132/'Cuadro 2'!X131*100</f>
        <v>120.83333333333333</v>
      </c>
      <c r="U119" s="403"/>
    </row>
    <row r="120" spans="1:21" ht="15" x14ac:dyDescent="0.4">
      <c r="A120" s="313" t="s">
        <v>20</v>
      </c>
      <c r="B120" s="403">
        <f>+'Cuadro 1'!F133/'Cuadro 2'!F132*100</f>
        <v>65.083687943262419</v>
      </c>
      <c r="C120" s="403">
        <f>+'Cuadro 1'!G133/'Cuadro 2'!G132*100</f>
        <v>70.097292592707717</v>
      </c>
      <c r="D120" s="403">
        <f>+'Cuadro 1'!H133/'Cuadro 2'!H132*100</f>
        <v>68.688790042529945</v>
      </c>
      <c r="E120" s="403">
        <f>+'Cuadro 1'!I133/'Cuadro 2'!I132*100</f>
        <v>82.503537149630986</v>
      </c>
      <c r="F120" s="403">
        <f>+'Cuadro 1'!J133/'Cuadro 2'!J132*100</f>
        <v>83.080538131063548</v>
      </c>
      <c r="G120" s="403">
        <f>+'Cuadro 1'!K133/'Cuadro 2'!K132*100</f>
        <v>87.847198205586793</v>
      </c>
      <c r="H120" s="403">
        <f>+'Cuadro 1'!L133/'Cuadro 2'!L132*100</f>
        <v>105.03309626082671</v>
      </c>
      <c r="I120" s="403">
        <f>+'Cuadro 1'!M133/'Cuadro 2'!M132*100</f>
        <v>105.63484708063022</v>
      </c>
      <c r="J120" s="403">
        <f>+'Cuadro 1'!N133/'Cuadro 2'!N132*100</f>
        <v>103.95441118471358</v>
      </c>
      <c r="K120" s="403">
        <f>+'Cuadro 1'!O133/'Cuadro 2'!O132*100</f>
        <v>102.44183981530813</v>
      </c>
      <c r="L120" s="403">
        <f>+'Cuadro 1'!P133/'Cuadro 2'!P132*100</f>
        <v>100</v>
      </c>
      <c r="M120" s="403">
        <f>+'Cuadro 1'!Q133/'Cuadro 2'!Q132*100</f>
        <v>101.15458372124482</v>
      </c>
      <c r="N120" s="403">
        <f>+'Cuadro 1'!R133/'Cuadro 2'!R132*100</f>
        <v>108.15037780639555</v>
      </c>
      <c r="O120" s="403">
        <f>+'Cuadro 1'!S133/'Cuadro 2'!S132*100</f>
        <v>121.06374778385877</v>
      </c>
      <c r="P120" s="403">
        <f>+'Cuadro 1'!T133/'Cuadro 2'!T132*100</f>
        <v>125.78384966836411</v>
      </c>
      <c r="Q120" s="403">
        <f>+'Cuadro 1'!U133/'Cuadro 2'!U132*100</f>
        <v>130.20367227279741</v>
      </c>
      <c r="R120" s="403">
        <f>+'Cuadro 1'!V133/'Cuadro 2'!V132*100</f>
        <v>162.50473202042551</v>
      </c>
      <c r="S120" s="403">
        <f>+'Cuadro 1'!W133/'Cuadro 2'!W132*100</f>
        <v>224.35837017421809</v>
      </c>
      <c r="T120" s="403">
        <f>+'Cuadro 1'!X133/'Cuadro 2'!X132*100</f>
        <v>205.04644412191584</v>
      </c>
      <c r="U120" s="403">
        <f>+'Cuadro 1'!Y133/'Cuadro 2'!Y132*100</f>
        <v>194.41360015540289</v>
      </c>
    </row>
    <row r="121" spans="1:21" ht="15" x14ac:dyDescent="0.4">
      <c r="A121" s="309" t="s">
        <v>18</v>
      </c>
      <c r="B121" s="403">
        <f>+'Cuadro 1'!F134/'Cuadro 2'!F133*100</f>
        <v>87.81572394165778</v>
      </c>
      <c r="C121" s="403">
        <f>+'Cuadro 1'!G134/'Cuadro 2'!G133*100</f>
        <v>90.278002699055321</v>
      </c>
      <c r="D121" s="403">
        <f>+'Cuadro 1'!H134/'Cuadro 2'!H133*100</f>
        <v>83.968481239510339</v>
      </c>
      <c r="E121" s="403">
        <f>+'Cuadro 1'!I134/'Cuadro 2'!I133*100</f>
        <v>84.574737055016186</v>
      </c>
      <c r="F121" s="403">
        <f>+'Cuadro 1'!J134/'Cuadro 2'!J133*100</f>
        <v>86.676507218967672</v>
      </c>
      <c r="G121" s="403">
        <f>+'Cuadro 1'!K134/'Cuadro 2'!K133*100</f>
        <v>81.172690495613224</v>
      </c>
      <c r="H121" s="403">
        <f>+'Cuadro 1'!L134/'Cuadro 2'!L133*100</f>
        <v>86.546982746683653</v>
      </c>
      <c r="I121" s="403">
        <f>+'Cuadro 1'!M134/'Cuadro 2'!M133*100</f>
        <v>84.481285250384559</v>
      </c>
      <c r="J121" s="403">
        <f>+'Cuadro 1'!N134/'Cuadro 2'!N133*100</f>
        <v>82.888190243987808</v>
      </c>
      <c r="K121" s="403">
        <f>+'Cuadro 1'!O134/'Cuadro 2'!O133*100</f>
        <v>86.110193940902974</v>
      </c>
      <c r="L121" s="403">
        <f>+'Cuadro 1'!P134/'Cuadro 2'!P133*100</f>
        <v>100</v>
      </c>
      <c r="M121" s="403">
        <f>+'Cuadro 1'!Q134/'Cuadro 2'!Q133*100</f>
        <v>105.28083322460418</v>
      </c>
      <c r="N121" s="403">
        <f>+'Cuadro 1'!R134/'Cuadro 2'!R133*100</f>
        <v>104.09153446581496</v>
      </c>
      <c r="O121" s="403">
        <f>+'Cuadro 1'!S134/'Cuadro 2'!S133*100</f>
        <v>108.18308715428341</v>
      </c>
      <c r="P121" s="403">
        <f>+'Cuadro 1'!T134/'Cuadro 2'!T133*100</f>
        <v>113.68800988875154</v>
      </c>
      <c r="Q121" s="403">
        <f>+'Cuadro 1'!U134/'Cuadro 2'!U133*100</f>
        <v>126.85798790938847</v>
      </c>
      <c r="R121" s="403">
        <f>+'Cuadro 1'!V134/'Cuadro 2'!V133*100</f>
        <v>138.95219959962893</v>
      </c>
      <c r="S121" s="403">
        <f>+'Cuadro 1'!W134/'Cuadro 2'!W133*100</f>
        <v>161.57238424859531</v>
      </c>
      <c r="T121" s="403">
        <f>+'Cuadro 1'!X134/'Cuadro 2'!X133*100</f>
        <v>156.15609449204192</v>
      </c>
      <c r="U121" s="403">
        <f>+'Cuadro 1'!Y134/'Cuadro 2'!Y133*100</f>
        <v>149.4570170915091</v>
      </c>
    </row>
    <row r="122" spans="1:21" ht="15" x14ac:dyDescent="0.4">
      <c r="A122" s="313" t="s">
        <v>9</v>
      </c>
      <c r="B122" s="403">
        <f>+'Cuadro 1'!F135/'Cuadro 2'!F134*100</f>
        <v>65.641649169763014</v>
      </c>
      <c r="C122" s="403">
        <f>+'Cuadro 1'!G135/'Cuadro 2'!G134*100</f>
        <v>69.453893545187327</v>
      </c>
      <c r="D122" s="403">
        <f>+'Cuadro 1'!H135/'Cuadro 2'!H134*100</f>
        <v>73.066908571301909</v>
      </c>
      <c r="E122" s="403">
        <f>+'Cuadro 1'!I135/'Cuadro 2'!I134*100</f>
        <v>78.676534926607161</v>
      </c>
      <c r="F122" s="403">
        <f>+'Cuadro 1'!J135/'Cuadro 2'!J134*100</f>
        <v>81.87412669600532</v>
      </c>
      <c r="G122" s="403">
        <f>+'Cuadro 1'!K135/'Cuadro 2'!K134*100</f>
        <v>84.989322831644415</v>
      </c>
      <c r="H122" s="403">
        <f>+'Cuadro 1'!L135/'Cuadro 2'!L134*100</f>
        <v>90.417423768820441</v>
      </c>
      <c r="I122" s="403">
        <f>+'Cuadro 1'!M135/'Cuadro 2'!M134*100</f>
        <v>93.687510103104373</v>
      </c>
      <c r="J122" s="403">
        <f>+'Cuadro 1'!N135/'Cuadro 2'!N134*100</f>
        <v>95.474764653267172</v>
      </c>
      <c r="K122" s="403">
        <f>+'Cuadro 1'!O135/'Cuadro 2'!O134*100</f>
        <v>97.60922940317738</v>
      </c>
      <c r="L122" s="403">
        <f>+'Cuadro 1'!P135/'Cuadro 2'!P134*100</f>
        <v>100</v>
      </c>
      <c r="M122" s="403">
        <f>+'Cuadro 1'!Q135/'Cuadro 2'!Q134*100</f>
        <v>105.14833430514589</v>
      </c>
      <c r="N122" s="403">
        <f>+'Cuadro 1'!R135/'Cuadro 2'!R134*100</f>
        <v>110.54637209123577</v>
      </c>
      <c r="O122" s="403">
        <f>+'Cuadro 1'!S135/'Cuadro 2'!S134*100</f>
        <v>115.6653099268391</v>
      </c>
      <c r="P122" s="403">
        <f>+'Cuadro 1'!T135/'Cuadro 2'!T134*100</f>
        <v>120.29495338302181</v>
      </c>
      <c r="Q122" s="403">
        <f>+'Cuadro 1'!U135/'Cuadro 2'!U134*100</f>
        <v>122.07739332436729</v>
      </c>
      <c r="R122" s="403">
        <f>+'Cuadro 1'!V135/'Cuadro 2'!V134*100</f>
        <v>131.60200961552255</v>
      </c>
      <c r="S122" s="403">
        <f>+'Cuadro 1'!W135/'Cuadro 2'!W134*100</f>
        <v>151.24365782317471</v>
      </c>
      <c r="T122" s="403">
        <f>+'Cuadro 1'!X135/'Cuadro 2'!X134*100</f>
        <v>161.75866490265255</v>
      </c>
      <c r="U122" s="403">
        <f>+'Cuadro 1'!Y135/'Cuadro 2'!Y134*100</f>
        <v>171.46078489108126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Cuadro 1</vt:lpstr>
      <vt:lpstr>Cuadro 2</vt:lpstr>
      <vt:lpstr>Deflactores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Lopez</dc:creator>
  <cp:lastModifiedBy>Giannina Lopez</cp:lastModifiedBy>
  <dcterms:created xsi:type="dcterms:W3CDTF">2025-09-29T14:31:45Z</dcterms:created>
  <dcterms:modified xsi:type="dcterms:W3CDTF">2025-09-29T14:38:25Z</dcterms:modified>
</cp:coreProperties>
</file>