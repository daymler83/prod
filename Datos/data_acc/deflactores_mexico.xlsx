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618D680C-F150-443C-B1AE-B1570A652BCD}" xr6:coauthVersionLast="47" xr6:coauthVersionMax="47" xr10:uidLastSave="{00000000-0000-0000-0000-000000000000}"/>
  <bookViews>
    <workbookView xWindow="-120" yWindow="-120" windowWidth="29040" windowHeight="15840" xr2:uid="{DE5EA19E-6555-419B-B125-4FFECECC09CD}"/>
  </bookViews>
  <sheets>
    <sheet name="ME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9" i="2"/>
  <c r="B30" i="2"/>
  <c r="B31" i="2"/>
  <c r="B32" i="2"/>
  <c r="B27" i="2"/>
  <c r="D1" i="2"/>
  <c r="E1" i="2" s="1"/>
  <c r="F1" i="2" s="1"/>
  <c r="G1" i="2" s="1"/>
  <c r="H1" i="2" s="1"/>
</calcChain>
</file>

<file path=xl/sharedStrings.xml><?xml version="1.0" encoding="utf-8"?>
<sst xmlns="http://schemas.openxmlformats.org/spreadsheetml/2006/main" count="58" uniqueCount="58">
  <si>
    <t xml:space="preserve">               31-33 - Industrias manufactureras</t>
  </si>
  <si>
    <t xml:space="preserve">                    311 - Industria alimentaria</t>
  </si>
  <si>
    <t xml:space="preserve">                    312 - Industria de las bebidas y del tabaco</t>
  </si>
  <si>
    <t xml:space="preserve">                    313 - Fabricación de insumos textiles y acabado de textiles</t>
  </si>
  <si>
    <t xml:space="preserve">                    314 - Fabricación de productos textiles, excepto prendas de vestir</t>
  </si>
  <si>
    <t xml:space="preserve">                    315 - Fabricación de prendas de vestir</t>
  </si>
  <si>
    <t xml:space="preserve">                    316 - Curtido y acabado de cuero y piel, y fabricación de productos de cuero, piel y materiales sucedáneos</t>
  </si>
  <si>
    <t xml:space="preserve">                    321 - Industria de la madera</t>
  </si>
  <si>
    <t xml:space="preserve">                    322 - Industria del papel</t>
  </si>
  <si>
    <t xml:space="preserve">                    323 - Impresión e industrias conexas</t>
  </si>
  <si>
    <t xml:space="preserve">                    324 - Fabricación de productos derivados del petróleo y del carbón</t>
  </si>
  <si>
    <t xml:space="preserve">                    325 - Industria química</t>
  </si>
  <si>
    <t xml:space="preserve">                    326 - Industria del plástico y del hule</t>
  </si>
  <si>
    <t xml:space="preserve">                    327 - Fabricación de productos a base de minerales no metálicos</t>
  </si>
  <si>
    <t xml:space="preserve">                    331 - Industrias metálicas básicas</t>
  </si>
  <si>
    <t xml:space="preserve">                    332 - Fabricación de productos metálicos</t>
  </si>
  <si>
    <t xml:space="preserve">                    333 - Fabricación de maquinaria y equipo</t>
  </si>
  <si>
    <t xml:space="preserve">                    334 - Fabricación de equipo de computación, comunicación, medición y de otros equipos, componentes y accesorios electrónicos</t>
  </si>
  <si>
    <t xml:space="preserve">                    335 - Fabricación de accesorios, aparatos eléctricos y equipo de generación de energía eléctrica</t>
  </si>
  <si>
    <t xml:space="preserve">                    336 - Fabricación de equipo de transporte</t>
  </si>
  <si>
    <t xml:space="preserve">                    337 - Fabricación de muebles, colchones y persianas</t>
  </si>
  <si>
    <t xml:space="preserve">                    339 - Otras industrias manufactureras</t>
  </si>
  <si>
    <t>Industrias</t>
  </si>
  <si>
    <t>Glosa</t>
  </si>
  <si>
    <t>Industrias manufactureras</t>
  </si>
  <si>
    <t>Industria alimentaria</t>
  </si>
  <si>
    <t>Industria de las bebidas y del tabaco</t>
  </si>
  <si>
    <t>Fabricación de insumos textiles y acabado de textiles</t>
  </si>
  <si>
    <t>Fabricación de productos textiles, excepto prendas de vestir</t>
  </si>
  <si>
    <t>Fabricación de prendas de vestir</t>
  </si>
  <si>
    <t>Curtido y acabado de cuero y piel, y fabricación de productos de cuero, piel y materiales sucedáneos</t>
  </si>
  <si>
    <t>Industria de la madera</t>
  </si>
  <si>
    <t>Industria del papel</t>
  </si>
  <si>
    <t>Impresión e industrias conexas</t>
  </si>
  <si>
    <t>Fabricación de productos derivados del petróleo y del carbón</t>
  </si>
  <si>
    <t>Industria química</t>
  </si>
  <si>
    <t>Industria del plástico y del hule</t>
  </si>
  <si>
    <t>Fabricación de productos a base de minerales no metálicos</t>
  </si>
  <si>
    <t>Industrias metálicas básicas</t>
  </si>
  <si>
    <t>Fabricación de productos metálicos</t>
  </si>
  <si>
    <t>Fabricación de maquinaria y equipo</t>
  </si>
  <si>
    <t>Fabricación de equipo de computación, comunicación, medición y de otros equipos, componentes y accesorios electrónicos</t>
  </si>
  <si>
    <t>Fabricación de accesorios, aparatos eléctricos y equipo de generación de energía eléctrica</t>
  </si>
  <si>
    <t>Fabricación de equipo de transporte</t>
  </si>
  <si>
    <t>Fabricación de muebles, colchones y persianas</t>
  </si>
  <si>
    <t>Otras industrias manufactureras</t>
  </si>
  <si>
    <t xml:space="preserve">               43 - Comercio al por mayor</t>
  </si>
  <si>
    <t>Comercio al por mayor</t>
  </si>
  <si>
    <t xml:space="preserve">               46 - Comercio al por menor</t>
  </si>
  <si>
    <t>Comercio al por menor</t>
  </si>
  <si>
    <t xml:space="preserve">               51 - Información en medios masivos</t>
  </si>
  <si>
    <t>Información en medios masivos</t>
  </si>
  <si>
    <t xml:space="preserve">                    511 - Edición de periódicos, revistas, libros, software y otros materiales, y edición de estas publicaciones integrada con la impresión</t>
  </si>
  <si>
    <t xml:space="preserve">                    512 - Industria fílmica y del video, e industria del sonido</t>
  </si>
  <si>
    <t xml:space="preserve">                    515 - Radio y televisión</t>
  </si>
  <si>
    <t xml:space="preserve">                    517 - Telecomunicaciones</t>
  </si>
  <si>
    <t xml:space="preserve">                    518 - Procesamiento electrónico de información, hospedaje y otros servicios relacionados</t>
  </si>
  <si>
    <t xml:space="preserve">                    519 - Otros servicios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</si>
</sst>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94D76CF8-A2EE-4B98-86F6-7ABB5988BD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7096-5E54-4D43-9356-8DD96E53DA47}">
  <dimension ref="A1:L32"/>
  <sheetViews>
    <sheetView tabSelected="1" topLeftCell="A19" zoomScale="90" zoomScaleNormal="90" workbookViewId="0">
      <selection activeCell="A26" sqref="A26:A32"/>
    </sheetView>
  </sheetViews>
  <sheetFormatPr baseColWidth="10" defaultRowHeight="15" x14ac:dyDescent="0.25"/>
  <cols>
    <col min="1" max="1" width="93.7109375" customWidth="1"/>
    <col min="2" max="2" width="51.7109375" customWidth="1"/>
  </cols>
  <sheetData>
    <row r="1" spans="1:12" x14ac:dyDescent="0.25">
      <c r="A1" s="1" t="s">
        <v>22</v>
      </c>
      <c r="B1" s="1" t="s">
        <v>23</v>
      </c>
      <c r="C1" s="2">
        <v>2015</v>
      </c>
      <c r="D1" s="2">
        <f>C1+1</f>
        <v>2016</v>
      </c>
      <c r="E1" s="2">
        <f t="shared" ref="E1:H1" si="0">D1+1</f>
        <v>2017</v>
      </c>
      <c r="F1" s="2">
        <f t="shared" si="0"/>
        <v>2018</v>
      </c>
      <c r="G1" s="2">
        <f t="shared" si="0"/>
        <v>2019</v>
      </c>
      <c r="H1" s="2">
        <f t="shared" si="0"/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25">
      <c r="A2" t="s">
        <v>0</v>
      </c>
      <c r="B2" t="s">
        <v>24</v>
      </c>
      <c r="C2">
        <v>81.900000000000006</v>
      </c>
      <c r="D2">
        <v>87.8</v>
      </c>
      <c r="E2">
        <v>94.3</v>
      </c>
      <c r="F2">
        <v>100</v>
      </c>
      <c r="G2">
        <v>102.4</v>
      </c>
      <c r="H2">
        <v>108.6</v>
      </c>
      <c r="I2" s="3">
        <v>114.17662867068</v>
      </c>
      <c r="J2" s="3">
        <v>123.32983078826901</v>
      </c>
      <c r="K2" s="3">
        <v>124.999916314144</v>
      </c>
      <c r="L2" s="3">
        <v>128.58693511419301</v>
      </c>
    </row>
    <row r="3" spans="1:12" x14ac:dyDescent="0.25">
      <c r="A3" t="s">
        <v>1</v>
      </c>
      <c r="B3" t="s">
        <v>25</v>
      </c>
      <c r="C3">
        <v>87.2</v>
      </c>
      <c r="D3">
        <v>92.1</v>
      </c>
      <c r="E3">
        <v>96.7</v>
      </c>
      <c r="F3">
        <v>100</v>
      </c>
      <c r="G3">
        <v>102.3</v>
      </c>
      <c r="H3">
        <v>107.1</v>
      </c>
      <c r="I3" s="3">
        <v>116.18765921948599</v>
      </c>
      <c r="J3" s="3">
        <v>129.32654788623401</v>
      </c>
      <c r="K3" s="3">
        <v>137.78728757684999</v>
      </c>
      <c r="L3" s="3">
        <v>142.21141763028399</v>
      </c>
    </row>
    <row r="4" spans="1:12" x14ac:dyDescent="0.25">
      <c r="A4" t="s">
        <v>2</v>
      </c>
      <c r="B4" t="s">
        <v>26</v>
      </c>
      <c r="C4">
        <v>80</v>
      </c>
      <c r="D4">
        <v>89.6</v>
      </c>
      <c r="E4">
        <v>96.4</v>
      </c>
      <c r="F4">
        <v>100</v>
      </c>
      <c r="G4">
        <v>104.9</v>
      </c>
      <c r="H4">
        <v>109.5</v>
      </c>
      <c r="I4" s="3">
        <v>114.588591483131</v>
      </c>
      <c r="J4" s="3">
        <v>124.885983267714</v>
      </c>
      <c r="K4" s="3">
        <v>131.88825158196701</v>
      </c>
      <c r="L4" s="3">
        <v>138.35990100735401</v>
      </c>
    </row>
    <row r="5" spans="1:12" x14ac:dyDescent="0.25">
      <c r="A5" t="s">
        <v>3</v>
      </c>
      <c r="B5" t="s">
        <v>27</v>
      </c>
      <c r="C5">
        <v>82.1</v>
      </c>
      <c r="D5">
        <v>88</v>
      </c>
      <c r="E5">
        <v>92.8</v>
      </c>
      <c r="F5">
        <v>100</v>
      </c>
      <c r="G5">
        <v>101.1</v>
      </c>
      <c r="H5">
        <v>104.2</v>
      </c>
      <c r="I5" s="3">
        <v>109.55363021075</v>
      </c>
      <c r="J5" s="3">
        <v>122.532923533523</v>
      </c>
      <c r="K5" s="3">
        <v>122.110516767348</v>
      </c>
      <c r="L5" s="3">
        <v>124.122746550451</v>
      </c>
    </row>
    <row r="6" spans="1:12" x14ac:dyDescent="0.25">
      <c r="A6" t="s">
        <v>4</v>
      </c>
      <c r="B6" t="s">
        <v>28</v>
      </c>
      <c r="C6">
        <v>84.5</v>
      </c>
      <c r="D6">
        <v>88.8</v>
      </c>
      <c r="E6">
        <v>97.5</v>
      </c>
      <c r="F6">
        <v>100</v>
      </c>
      <c r="G6">
        <v>102.4</v>
      </c>
      <c r="H6">
        <v>105.5</v>
      </c>
      <c r="I6" s="3">
        <v>113.699368348429</v>
      </c>
      <c r="J6" s="3">
        <v>119.934366622322</v>
      </c>
      <c r="K6" s="3">
        <v>122.71316266715</v>
      </c>
      <c r="L6" s="3">
        <v>122.752243778661</v>
      </c>
    </row>
    <row r="7" spans="1:12" x14ac:dyDescent="0.25">
      <c r="A7" t="s">
        <v>5</v>
      </c>
      <c r="B7" t="s">
        <v>29</v>
      </c>
      <c r="C7">
        <v>90.7</v>
      </c>
      <c r="D7">
        <v>95.2</v>
      </c>
      <c r="E7">
        <v>96.6</v>
      </c>
      <c r="F7">
        <v>100</v>
      </c>
      <c r="G7">
        <v>105.3</v>
      </c>
      <c r="H7">
        <v>110.2</v>
      </c>
      <c r="I7" s="3">
        <v>118.49318137442501</v>
      </c>
      <c r="J7" s="3">
        <v>130.309937712893</v>
      </c>
      <c r="K7" s="3">
        <v>126.827473515305</v>
      </c>
      <c r="L7" s="3">
        <v>132.280549924751</v>
      </c>
    </row>
    <row r="8" spans="1:12" x14ac:dyDescent="0.25">
      <c r="A8" t="s">
        <v>6</v>
      </c>
      <c r="B8" t="s">
        <v>30</v>
      </c>
      <c r="C8">
        <v>90.8</v>
      </c>
      <c r="D8">
        <v>93.8</v>
      </c>
      <c r="E8">
        <v>97.8</v>
      </c>
      <c r="F8">
        <v>100</v>
      </c>
      <c r="G8">
        <v>102.3</v>
      </c>
      <c r="H8">
        <v>105.1</v>
      </c>
      <c r="I8" s="3">
        <v>107.07734755600499</v>
      </c>
      <c r="J8" s="3">
        <v>114.765372402341</v>
      </c>
      <c r="K8" s="3">
        <v>121.146784451534</v>
      </c>
      <c r="L8" s="3">
        <v>124.746477429698</v>
      </c>
    </row>
    <row r="9" spans="1:12" x14ac:dyDescent="0.25">
      <c r="A9" t="s">
        <v>7</v>
      </c>
      <c r="B9" t="s">
        <v>31</v>
      </c>
      <c r="C9">
        <v>85.2</v>
      </c>
      <c r="D9">
        <v>91.8</v>
      </c>
      <c r="E9">
        <v>98.6</v>
      </c>
      <c r="F9">
        <v>100</v>
      </c>
      <c r="G9">
        <v>105.5</v>
      </c>
      <c r="H9">
        <v>108.1</v>
      </c>
      <c r="I9" s="3">
        <v>114.696642834729</v>
      </c>
      <c r="J9" s="3">
        <v>135.89610378926099</v>
      </c>
      <c r="K9" s="3">
        <v>138.02464258179401</v>
      </c>
      <c r="L9" s="3">
        <v>137.79891004366399</v>
      </c>
    </row>
    <row r="10" spans="1:12" x14ac:dyDescent="0.25">
      <c r="A10" t="s">
        <v>8</v>
      </c>
      <c r="B10" t="s">
        <v>32</v>
      </c>
      <c r="C10">
        <v>82</v>
      </c>
      <c r="D10">
        <v>87.6</v>
      </c>
      <c r="E10">
        <v>93.7</v>
      </c>
      <c r="F10">
        <v>100</v>
      </c>
      <c r="G10">
        <v>104.5</v>
      </c>
      <c r="H10">
        <v>107.4</v>
      </c>
      <c r="I10" s="3">
        <v>112.392064602288</v>
      </c>
      <c r="J10" s="3">
        <v>124.992774454829</v>
      </c>
      <c r="K10" s="3">
        <v>126.43481259036101</v>
      </c>
      <c r="L10" s="3">
        <v>126.798789078879</v>
      </c>
    </row>
    <row r="11" spans="1:12" x14ac:dyDescent="0.25">
      <c r="A11" t="s">
        <v>9</v>
      </c>
      <c r="B11" t="s">
        <v>33</v>
      </c>
      <c r="C11">
        <v>88.6</v>
      </c>
      <c r="D11">
        <v>93.1</v>
      </c>
      <c r="E11">
        <v>96.5</v>
      </c>
      <c r="F11">
        <v>100</v>
      </c>
      <c r="G11">
        <v>106</v>
      </c>
      <c r="H11">
        <v>109.7</v>
      </c>
      <c r="I11" s="3">
        <v>114.043225455295</v>
      </c>
      <c r="J11" s="3">
        <v>126.864077629889</v>
      </c>
      <c r="K11" s="3">
        <v>133.89448111026101</v>
      </c>
      <c r="L11" s="3">
        <v>139.37029787151999</v>
      </c>
    </row>
    <row r="12" spans="1:12" x14ac:dyDescent="0.25">
      <c r="A12" t="s">
        <v>10</v>
      </c>
      <c r="B12" t="s">
        <v>34</v>
      </c>
      <c r="C12">
        <v>47.6</v>
      </c>
      <c r="D12">
        <v>17.7</v>
      </c>
      <c r="E12">
        <v>64.099999999999994</v>
      </c>
      <c r="F12">
        <v>100</v>
      </c>
      <c r="G12">
        <v>92.1</v>
      </c>
      <c r="H12">
        <v>100.6</v>
      </c>
      <c r="I12" s="3">
        <v>101.249897488305</v>
      </c>
      <c r="J12" s="3">
        <v>93.717494351913203</v>
      </c>
      <c r="K12" s="3">
        <v>75.235547730506298</v>
      </c>
      <c r="L12" s="3">
        <v>69.656551099628999</v>
      </c>
    </row>
    <row r="13" spans="1:12" x14ac:dyDescent="0.25">
      <c r="A13" t="s">
        <v>11</v>
      </c>
      <c r="B13" t="s">
        <v>35</v>
      </c>
      <c r="C13">
        <v>95.7</v>
      </c>
      <c r="D13">
        <v>103.7</v>
      </c>
      <c r="E13">
        <v>96.1</v>
      </c>
      <c r="F13">
        <v>100</v>
      </c>
      <c r="G13">
        <v>101.6</v>
      </c>
      <c r="H13">
        <v>103.9</v>
      </c>
      <c r="I13" s="3">
        <v>108.877296090838</v>
      </c>
      <c r="J13" s="3">
        <v>125.100295460086</v>
      </c>
      <c r="K13" s="3">
        <v>131.56240089822001</v>
      </c>
      <c r="L13" s="3">
        <v>133.346772633173</v>
      </c>
    </row>
    <row r="14" spans="1:12" x14ac:dyDescent="0.25">
      <c r="A14" t="s">
        <v>12</v>
      </c>
      <c r="B14" t="s">
        <v>36</v>
      </c>
      <c r="C14">
        <v>81.900000000000006</v>
      </c>
      <c r="D14">
        <v>89.1</v>
      </c>
      <c r="E14">
        <v>95.4</v>
      </c>
      <c r="F14">
        <v>100</v>
      </c>
      <c r="G14">
        <v>103.4</v>
      </c>
      <c r="H14">
        <v>105.6</v>
      </c>
      <c r="I14" s="3">
        <v>110.98105301320901</v>
      </c>
      <c r="J14" s="3">
        <v>124.20030413134501</v>
      </c>
      <c r="K14" s="3">
        <v>122.42725052420499</v>
      </c>
      <c r="L14" s="3">
        <v>124.34577394444101</v>
      </c>
    </row>
    <row r="15" spans="1:12" x14ac:dyDescent="0.25">
      <c r="A15" t="s">
        <v>13</v>
      </c>
      <c r="B15" t="s">
        <v>37</v>
      </c>
      <c r="C15">
        <v>80.2</v>
      </c>
      <c r="D15">
        <v>87.6</v>
      </c>
      <c r="E15">
        <v>95.9</v>
      </c>
      <c r="F15">
        <v>100</v>
      </c>
      <c r="G15">
        <v>104.4</v>
      </c>
      <c r="H15">
        <v>108.2</v>
      </c>
      <c r="I15" s="3">
        <v>112.951814443289</v>
      </c>
      <c r="J15" s="3">
        <v>129.18720398146201</v>
      </c>
      <c r="K15" s="3">
        <v>136.67401133375901</v>
      </c>
      <c r="L15" s="3">
        <v>142.66928362215401</v>
      </c>
    </row>
    <row r="16" spans="1:12" x14ac:dyDescent="0.25">
      <c r="A16" t="s">
        <v>14</v>
      </c>
      <c r="B16" t="s">
        <v>38</v>
      </c>
      <c r="C16">
        <v>73.2</v>
      </c>
      <c r="D16">
        <v>80.900000000000006</v>
      </c>
      <c r="E16">
        <v>89.3</v>
      </c>
      <c r="F16">
        <v>100</v>
      </c>
      <c r="G16">
        <v>99</v>
      </c>
      <c r="H16">
        <v>111.8</v>
      </c>
      <c r="I16" s="3">
        <v>141.21332900058599</v>
      </c>
      <c r="J16" s="3">
        <v>141.87141028890099</v>
      </c>
      <c r="K16" s="3">
        <v>126.475336095899</v>
      </c>
      <c r="L16" s="3">
        <v>133.87235190750999</v>
      </c>
    </row>
    <row r="17" spans="1:12" x14ac:dyDescent="0.25">
      <c r="A17" t="s">
        <v>15</v>
      </c>
      <c r="B17" t="s">
        <v>39</v>
      </c>
      <c r="C17">
        <v>76</v>
      </c>
      <c r="D17">
        <v>84.2</v>
      </c>
      <c r="E17">
        <v>90.2</v>
      </c>
      <c r="F17">
        <v>100</v>
      </c>
      <c r="G17">
        <v>104.2</v>
      </c>
      <c r="H17">
        <v>109.5</v>
      </c>
      <c r="I17" s="3">
        <v>121.868271296408</v>
      </c>
      <c r="J17" s="3">
        <v>134.38056482799499</v>
      </c>
      <c r="K17" s="3">
        <v>134.05703540769301</v>
      </c>
      <c r="L17" s="3">
        <v>136.45253041969201</v>
      </c>
    </row>
    <row r="18" spans="1:12" x14ac:dyDescent="0.25">
      <c r="A18" t="s">
        <v>16</v>
      </c>
      <c r="B18" t="s">
        <v>40</v>
      </c>
      <c r="C18">
        <v>82.9</v>
      </c>
      <c r="D18">
        <v>91.6</v>
      </c>
      <c r="E18">
        <v>96.3</v>
      </c>
      <c r="F18">
        <v>100</v>
      </c>
      <c r="G18">
        <v>102.7</v>
      </c>
      <c r="H18">
        <v>110.3</v>
      </c>
      <c r="I18" s="3">
        <v>111.424704413977</v>
      </c>
      <c r="J18" s="3">
        <v>123.731212299186</v>
      </c>
      <c r="K18" s="3">
        <v>130.65664198069601</v>
      </c>
      <c r="L18" s="3">
        <v>136.02322875034801</v>
      </c>
    </row>
    <row r="19" spans="1:12" x14ac:dyDescent="0.25">
      <c r="A19" t="s">
        <v>17</v>
      </c>
      <c r="B19" t="s">
        <v>41</v>
      </c>
      <c r="C19">
        <v>83.4</v>
      </c>
      <c r="D19">
        <v>91.8</v>
      </c>
      <c r="E19">
        <v>95.5</v>
      </c>
      <c r="F19">
        <v>100</v>
      </c>
      <c r="G19">
        <v>103.9</v>
      </c>
      <c r="H19">
        <v>109.4</v>
      </c>
      <c r="I19" s="3">
        <v>106.928543554746</v>
      </c>
      <c r="J19" s="3">
        <v>113.459970516059</v>
      </c>
      <c r="K19" s="3">
        <v>115.498414548615</v>
      </c>
      <c r="L19" s="3">
        <v>120.43640006296199</v>
      </c>
    </row>
    <row r="20" spans="1:12" x14ac:dyDescent="0.25">
      <c r="A20" t="s">
        <v>18</v>
      </c>
      <c r="B20" t="s">
        <v>42</v>
      </c>
      <c r="C20">
        <v>84.9</v>
      </c>
      <c r="D20">
        <v>90.7</v>
      </c>
      <c r="E20">
        <v>94.3</v>
      </c>
      <c r="F20">
        <v>100</v>
      </c>
      <c r="G20">
        <v>102.3</v>
      </c>
      <c r="H20">
        <v>107.4</v>
      </c>
      <c r="I20" s="3">
        <v>110.091234626415</v>
      </c>
      <c r="J20" s="3">
        <v>118.400520723024</v>
      </c>
      <c r="K20" s="3">
        <v>122.488835983729</v>
      </c>
      <c r="L20" s="3">
        <v>125.753873914054</v>
      </c>
    </row>
    <row r="21" spans="1:12" x14ac:dyDescent="0.25">
      <c r="A21" t="s">
        <v>19</v>
      </c>
      <c r="B21" t="s">
        <v>43</v>
      </c>
      <c r="C21">
        <v>82.9</v>
      </c>
      <c r="D21">
        <v>93.3</v>
      </c>
      <c r="E21">
        <v>97</v>
      </c>
      <c r="F21">
        <v>100</v>
      </c>
      <c r="G21">
        <v>102.2</v>
      </c>
      <c r="H21">
        <v>111.5</v>
      </c>
      <c r="I21" s="3">
        <v>112.92894634856199</v>
      </c>
      <c r="J21" s="3">
        <v>118.92956316086899</v>
      </c>
      <c r="K21" s="3">
        <v>117.406234416616</v>
      </c>
      <c r="L21" s="3">
        <v>121.568915677188</v>
      </c>
    </row>
    <row r="22" spans="1:12" x14ac:dyDescent="0.25">
      <c r="A22" t="s">
        <v>20</v>
      </c>
      <c r="B22" t="s">
        <v>44</v>
      </c>
      <c r="C22">
        <v>85.5</v>
      </c>
      <c r="D22">
        <v>91.8</v>
      </c>
      <c r="E22">
        <v>96.7</v>
      </c>
      <c r="F22">
        <v>100</v>
      </c>
      <c r="G22">
        <v>104.2</v>
      </c>
      <c r="H22">
        <v>108.5</v>
      </c>
      <c r="I22" s="3">
        <v>113.656804391549</v>
      </c>
      <c r="J22" s="3">
        <v>124.760255125349</v>
      </c>
      <c r="K22" s="3">
        <v>137.57038856002899</v>
      </c>
      <c r="L22" s="3">
        <v>142.48505497759501</v>
      </c>
    </row>
    <row r="23" spans="1:12" x14ac:dyDescent="0.25">
      <c r="A23" t="s">
        <v>21</v>
      </c>
      <c r="B23" t="s">
        <v>45</v>
      </c>
      <c r="C23">
        <v>86.4</v>
      </c>
      <c r="D23">
        <v>91.1</v>
      </c>
      <c r="E23">
        <v>95.9</v>
      </c>
      <c r="F23">
        <v>100</v>
      </c>
      <c r="G23">
        <v>105.5</v>
      </c>
      <c r="H23">
        <v>112.5</v>
      </c>
      <c r="I23" s="3">
        <v>117.451425181814</v>
      </c>
      <c r="J23" s="3">
        <v>130.09451278639801</v>
      </c>
      <c r="K23" s="3">
        <v>141.34852687948501</v>
      </c>
      <c r="L23" s="3">
        <v>145.109456450062</v>
      </c>
    </row>
    <row r="24" spans="1:12" x14ac:dyDescent="0.25">
      <c r="A24" t="s">
        <v>46</v>
      </c>
      <c r="B24" t="s">
        <v>47</v>
      </c>
      <c r="C24" s="4">
        <v>82.830266079584604</v>
      </c>
      <c r="D24" s="4">
        <v>89.823983496182905</v>
      </c>
      <c r="E24" s="4">
        <v>95.815867044907307</v>
      </c>
      <c r="F24" s="4">
        <v>100</v>
      </c>
      <c r="G24" s="4">
        <v>102.611904521713</v>
      </c>
      <c r="H24" s="4">
        <v>107.751504208182</v>
      </c>
      <c r="I24" s="4">
        <v>113.613933941246</v>
      </c>
      <c r="J24" s="4">
        <v>123.411266049067</v>
      </c>
      <c r="K24" s="4">
        <v>120.426688498395</v>
      </c>
      <c r="L24" s="4">
        <v>126.281101876725</v>
      </c>
    </row>
    <row r="25" spans="1:12" x14ac:dyDescent="0.25">
      <c r="A25" t="s">
        <v>48</v>
      </c>
      <c r="B25" t="s">
        <v>49</v>
      </c>
      <c r="C25" s="4">
        <v>81.141343518305206</v>
      </c>
      <c r="D25" s="4">
        <v>89.818612746531599</v>
      </c>
      <c r="E25" s="4">
        <v>96.105183712152098</v>
      </c>
      <c r="F25" s="4">
        <v>100</v>
      </c>
      <c r="G25" s="4">
        <v>102.698172493794</v>
      </c>
      <c r="H25" s="4">
        <v>108.066711163676</v>
      </c>
      <c r="I25" s="4">
        <v>114.15472463850701</v>
      </c>
      <c r="J25" s="4">
        <v>122.22806695566899</v>
      </c>
      <c r="K25" s="4">
        <v>121.137860714976</v>
      </c>
      <c r="L25" s="4">
        <v>126.45106397818</v>
      </c>
    </row>
    <row r="26" spans="1:12" x14ac:dyDescent="0.25">
      <c r="A26" t="s">
        <v>50</v>
      </c>
      <c r="B26" t="s">
        <v>51</v>
      </c>
      <c r="C26" s="4">
        <v>121.53701409935699</v>
      </c>
      <c r="D26" s="4">
        <v>101.61929609177599</v>
      </c>
      <c r="E26" s="4">
        <v>98.984113276032403</v>
      </c>
      <c r="F26" s="4">
        <v>100</v>
      </c>
      <c r="G26" s="4">
        <v>100.03547141414199</v>
      </c>
      <c r="H26" s="4">
        <v>98.801524365911703</v>
      </c>
      <c r="I26" s="4">
        <v>100.05556650607799</v>
      </c>
      <c r="J26" s="4">
        <v>99.395198963450994</v>
      </c>
      <c r="K26" s="4">
        <v>98.427977458125</v>
      </c>
      <c r="L26" s="4">
        <v>99.502732341023702</v>
      </c>
    </row>
    <row r="27" spans="1:12" x14ac:dyDescent="0.25">
      <c r="A27" t="s">
        <v>52</v>
      </c>
      <c r="B27" t="str">
        <f>TRIM(MID(A27, FIND("-", A27)+1, LEN(A27)))</f>
        <v>Edición de periódicos, revistas, libros, software y otros materiales, y edición de estas publicaciones integrada con la impresión</v>
      </c>
      <c r="C27" s="4">
        <v>87.657212471524304</v>
      </c>
      <c r="D27" s="4">
        <v>90.490165269147795</v>
      </c>
      <c r="E27" s="4">
        <v>97.7703392672272</v>
      </c>
      <c r="F27" s="4">
        <v>100</v>
      </c>
      <c r="G27" s="4">
        <v>101.540218562229</v>
      </c>
      <c r="H27" s="4">
        <v>101.014498163724</v>
      </c>
      <c r="I27" s="4">
        <v>102.942042662837</v>
      </c>
      <c r="J27" s="4">
        <v>106.55881631562001</v>
      </c>
      <c r="K27" s="4">
        <v>112.88933075673199</v>
      </c>
      <c r="L27" s="4">
        <v>116.447851532331</v>
      </c>
    </row>
    <row r="28" spans="1:12" x14ac:dyDescent="0.25">
      <c r="A28" t="s">
        <v>53</v>
      </c>
      <c r="B28" t="str">
        <f t="shared" ref="B28:B32" si="1">TRIM(MID(A28, FIND("-", A28)+1, LEN(A28)))</f>
        <v>Industria fílmica y del video, e industria del sonido</v>
      </c>
      <c r="C28" s="4">
        <v>97.861087207570904</v>
      </c>
      <c r="D28" s="4">
        <v>98.961476244551903</v>
      </c>
      <c r="E28" s="4">
        <v>99.664134201715697</v>
      </c>
      <c r="F28" s="4">
        <v>100</v>
      </c>
      <c r="G28" s="4">
        <v>107.666099977569</v>
      </c>
      <c r="H28" s="4">
        <v>109.8428953814</v>
      </c>
      <c r="I28" s="4">
        <v>116.700891392263</v>
      </c>
      <c r="J28" s="4">
        <v>120.695618981471</v>
      </c>
      <c r="K28" s="4">
        <v>127.9843477157</v>
      </c>
      <c r="L28" s="4">
        <v>135.04402882731699</v>
      </c>
    </row>
    <row r="29" spans="1:12" x14ac:dyDescent="0.25">
      <c r="A29" t="s">
        <v>54</v>
      </c>
      <c r="B29" t="str">
        <f t="shared" si="1"/>
        <v>Radio y televisión</v>
      </c>
      <c r="C29" s="4">
        <v>79.763544066299602</v>
      </c>
      <c r="D29" s="4">
        <v>87.983051423758297</v>
      </c>
      <c r="E29" s="4">
        <v>93.557066612031207</v>
      </c>
      <c r="F29" s="4">
        <v>100</v>
      </c>
      <c r="G29" s="4">
        <v>105.28910709066101</v>
      </c>
      <c r="H29" s="4">
        <v>109.867540039277</v>
      </c>
      <c r="I29" s="4">
        <v>113.732336898453</v>
      </c>
      <c r="J29" s="4">
        <v>118.41026230335299</v>
      </c>
      <c r="K29" s="4">
        <v>122.790045880354</v>
      </c>
      <c r="L29" s="4">
        <v>126.901532525047</v>
      </c>
    </row>
    <row r="30" spans="1:12" x14ac:dyDescent="0.25">
      <c r="A30" t="s">
        <v>55</v>
      </c>
      <c r="B30" t="str">
        <f t="shared" si="1"/>
        <v>Telecomunicaciones</v>
      </c>
      <c r="C30" s="4">
        <v>141.09161558794699</v>
      </c>
      <c r="D30" s="4">
        <v>105.807655116368</v>
      </c>
      <c r="E30" s="4">
        <v>99.987775194221399</v>
      </c>
      <c r="F30" s="4">
        <v>100</v>
      </c>
      <c r="G30" s="4">
        <v>98.138543861749895</v>
      </c>
      <c r="H30" s="4">
        <v>96.916728589906498</v>
      </c>
      <c r="I30" s="4">
        <v>97.091106465258406</v>
      </c>
      <c r="J30" s="4">
        <v>93.688296621976704</v>
      </c>
      <c r="K30" s="4">
        <v>91.227963650414793</v>
      </c>
      <c r="L30" s="4">
        <v>91.405926335565098</v>
      </c>
    </row>
    <row r="31" spans="1:12" x14ac:dyDescent="0.25">
      <c r="A31" t="s">
        <v>56</v>
      </c>
      <c r="B31" t="str">
        <f t="shared" si="1"/>
        <v>Procesamiento electrónico de información, hospedaje y otros servicios relacionados</v>
      </c>
      <c r="C31" s="4">
        <v>74.712115710992705</v>
      </c>
      <c r="D31" s="4">
        <v>88.944036225961995</v>
      </c>
      <c r="E31" s="4">
        <v>95.324856243727695</v>
      </c>
      <c r="F31" s="4">
        <v>100</v>
      </c>
      <c r="G31" s="4">
        <v>101.454796124099</v>
      </c>
      <c r="H31" s="4">
        <v>101.069600106377</v>
      </c>
      <c r="I31" s="4">
        <v>102.484999601607</v>
      </c>
      <c r="J31" s="4">
        <v>107.605596889353</v>
      </c>
      <c r="K31" s="4">
        <v>106.625388523045</v>
      </c>
      <c r="L31" s="4">
        <v>110.585803458744</v>
      </c>
    </row>
    <row r="32" spans="1:12" x14ac:dyDescent="0.25">
      <c r="A32" t="s">
        <v>57</v>
      </c>
      <c r="B32" t="str">
        <f t="shared" si="1"/>
        <v>Otros servicios de información</v>
      </c>
      <c r="C32" s="4">
        <v>80.057457335203694</v>
      </c>
      <c r="D32" s="4">
        <v>87.826556094462703</v>
      </c>
      <c r="E32" s="4">
        <v>95.421947019812805</v>
      </c>
      <c r="F32" s="4">
        <v>100</v>
      </c>
      <c r="G32" s="4">
        <v>102.325715664605</v>
      </c>
      <c r="H32" s="4">
        <v>102.443536105597</v>
      </c>
      <c r="I32" s="4">
        <v>102.61592604331101</v>
      </c>
      <c r="J32" s="4">
        <v>105.503077385921</v>
      </c>
      <c r="K32" s="4">
        <v>105.455344105398</v>
      </c>
      <c r="L32" s="4">
        <v>108.10494843131499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2025-09-02T14:24:52Z</dcterms:created>
  <dcterms:modified xsi:type="dcterms:W3CDTF">2025-10-08T16:04:19Z</dcterms:modified>
</cp:coreProperties>
</file>