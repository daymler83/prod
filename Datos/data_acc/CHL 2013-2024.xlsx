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Daymler\7. Miscelláneos\20.Cepal\Prod\Datos\"/>
    </mc:Choice>
  </mc:AlternateContent>
  <xr:revisionPtr revIDLastSave="0" documentId="13_ncr:1_{6E4A9417-F29C-4ADF-86C5-BD7BAC2292AC}" xr6:coauthVersionLast="47" xr6:coauthVersionMax="47" xr10:uidLastSave="{00000000-0000-0000-0000-000000000000}"/>
  <bookViews>
    <workbookView xWindow="-120" yWindow="-120" windowWidth="29040" windowHeight="15840" activeTab="4" xr2:uid="{CA508FDA-3ABC-4365-9780-EC81155050C1}"/>
  </bookViews>
  <sheets>
    <sheet name="K" sheetId="1" r:id="rId1"/>
    <sheet name="M" sheetId="2" r:id="rId2"/>
    <sheet name="Deflactores" sheetId="3" r:id="rId3"/>
    <sheet name="Deflactor descarga" sheetId="4" r:id="rId4"/>
    <sheet name="Hoja1"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5" l="1"/>
  <c r="A4" i="5" s="1"/>
  <c r="B4" i="3"/>
  <c r="C4" i="3"/>
  <c r="D4" i="3"/>
  <c r="E4" i="3"/>
  <c r="F4" i="3"/>
  <c r="G4" i="3"/>
  <c r="H4" i="3"/>
  <c r="I4" i="3"/>
  <c r="J4" i="3"/>
  <c r="K4" i="3"/>
  <c r="L4" i="3"/>
  <c r="M4" i="3"/>
  <c r="B5" i="3"/>
  <c r="C5" i="3"/>
  <c r="D5" i="3"/>
  <c r="E5" i="3"/>
  <c r="F5" i="3"/>
  <c r="G5" i="3"/>
  <c r="H5" i="3"/>
  <c r="I5" i="3"/>
  <c r="J5" i="3"/>
  <c r="K5" i="3"/>
  <c r="L5" i="3"/>
  <c r="M5" i="3"/>
  <c r="B6" i="3"/>
  <c r="C6" i="3"/>
  <c r="D6" i="3"/>
  <c r="E6" i="3"/>
  <c r="F6" i="3"/>
  <c r="G6" i="3"/>
  <c r="H6" i="3"/>
  <c r="I6" i="3"/>
  <c r="J6" i="3"/>
  <c r="K6" i="3"/>
  <c r="L6" i="3"/>
  <c r="M6" i="3"/>
  <c r="B7" i="3"/>
  <c r="C7" i="3"/>
  <c r="D7" i="3"/>
  <c r="E7" i="3"/>
  <c r="F7" i="3"/>
  <c r="G7" i="3"/>
  <c r="H7" i="3"/>
  <c r="I7" i="3"/>
  <c r="J7" i="3"/>
  <c r="K7" i="3"/>
  <c r="L7" i="3"/>
  <c r="M7" i="3"/>
  <c r="B8" i="3"/>
  <c r="C8" i="3"/>
  <c r="D8" i="3"/>
  <c r="E8" i="3"/>
  <c r="F8" i="3"/>
  <c r="G8" i="3"/>
  <c r="H8" i="3"/>
  <c r="I8" i="3"/>
  <c r="J8" i="3"/>
  <c r="K8" i="3"/>
  <c r="L8" i="3"/>
  <c r="M8" i="3"/>
  <c r="B9" i="3"/>
  <c r="C9" i="3"/>
  <c r="D9" i="3"/>
  <c r="E9" i="3"/>
  <c r="F9" i="3"/>
  <c r="G9" i="3"/>
  <c r="H9" i="3"/>
  <c r="I9" i="3"/>
  <c r="J9" i="3"/>
  <c r="K9" i="3"/>
  <c r="L9" i="3"/>
  <c r="M9" i="3"/>
  <c r="B10" i="3"/>
  <c r="C10" i="3"/>
  <c r="D10" i="3"/>
  <c r="E10" i="3"/>
  <c r="F10" i="3"/>
  <c r="G10" i="3"/>
  <c r="H10" i="3"/>
  <c r="I10" i="3"/>
  <c r="J10" i="3"/>
  <c r="K10" i="3"/>
  <c r="L10" i="3"/>
  <c r="M10" i="3"/>
  <c r="B11" i="3"/>
  <c r="C11" i="3"/>
  <c r="D11" i="3"/>
  <c r="E11" i="3"/>
  <c r="F11" i="3"/>
  <c r="G11" i="3"/>
  <c r="H11" i="3"/>
  <c r="I11" i="3"/>
  <c r="J11" i="3"/>
  <c r="K11" i="3"/>
  <c r="L11" i="3"/>
  <c r="M11" i="3"/>
  <c r="B12" i="3"/>
  <c r="C12" i="3"/>
  <c r="D12" i="3"/>
  <c r="E12" i="3"/>
  <c r="F12" i="3"/>
  <c r="G12" i="3"/>
  <c r="H12" i="3"/>
  <c r="I12" i="3"/>
  <c r="J12" i="3"/>
  <c r="K12" i="3"/>
  <c r="L12" i="3"/>
  <c r="M12" i="3"/>
  <c r="B13" i="3"/>
  <c r="C13" i="3"/>
  <c r="D13" i="3"/>
  <c r="E13" i="3"/>
  <c r="F13" i="3"/>
  <c r="G13" i="3"/>
  <c r="H13" i="3"/>
  <c r="I13" i="3"/>
  <c r="J13" i="3"/>
  <c r="K13" i="3"/>
  <c r="L13" i="3"/>
  <c r="M13" i="3"/>
  <c r="B14" i="3"/>
  <c r="C14" i="3"/>
  <c r="D14" i="3"/>
  <c r="E14" i="3"/>
  <c r="F14" i="3"/>
  <c r="G14" i="3"/>
  <c r="H14" i="3"/>
  <c r="I14" i="3"/>
  <c r="J14" i="3"/>
  <c r="K14" i="3"/>
  <c r="L14" i="3"/>
  <c r="M14" i="3"/>
  <c r="B15" i="3"/>
  <c r="C15" i="3"/>
  <c r="D15" i="3"/>
  <c r="E15" i="3"/>
  <c r="F15" i="3"/>
  <c r="G15" i="3"/>
  <c r="H15" i="3"/>
  <c r="I15" i="3"/>
  <c r="J15" i="3"/>
  <c r="K15" i="3"/>
  <c r="L15" i="3"/>
  <c r="M15" i="3"/>
  <c r="B16" i="3"/>
  <c r="C16" i="3"/>
  <c r="D16" i="3"/>
  <c r="E16" i="3"/>
  <c r="F16" i="3"/>
  <c r="G16" i="3"/>
  <c r="H16" i="3"/>
  <c r="I16" i="3"/>
  <c r="J16" i="3"/>
  <c r="K16" i="3"/>
  <c r="L16" i="3"/>
  <c r="M16" i="3"/>
  <c r="B17" i="3"/>
  <c r="C17" i="3"/>
  <c r="D17" i="3"/>
  <c r="E17" i="3"/>
  <c r="F17" i="3"/>
  <c r="G17" i="3"/>
  <c r="H17" i="3"/>
  <c r="I17" i="3"/>
  <c r="J17" i="3"/>
  <c r="K17" i="3"/>
  <c r="L17" i="3"/>
  <c r="M17" i="3"/>
  <c r="B18" i="3"/>
  <c r="C18" i="3"/>
  <c r="D18" i="3"/>
  <c r="E18" i="3"/>
  <c r="F18" i="3"/>
  <c r="G18" i="3"/>
  <c r="H18" i="3"/>
  <c r="I18" i="3"/>
  <c r="J18" i="3"/>
  <c r="K18" i="3"/>
  <c r="L18" i="3"/>
  <c r="M18" i="3"/>
  <c r="B19" i="3"/>
  <c r="C19" i="3"/>
  <c r="D19" i="3"/>
  <c r="E19" i="3"/>
  <c r="F19" i="3"/>
  <c r="G19" i="3"/>
  <c r="H19" i="3"/>
  <c r="I19" i="3"/>
  <c r="J19" i="3"/>
  <c r="K19" i="3"/>
  <c r="L19" i="3"/>
  <c r="M19" i="3"/>
  <c r="B20" i="3"/>
  <c r="C20" i="3"/>
  <c r="D20" i="3"/>
  <c r="E20" i="3"/>
  <c r="F20" i="3"/>
  <c r="G20" i="3"/>
  <c r="H20" i="3"/>
  <c r="I20" i="3"/>
  <c r="J20" i="3"/>
  <c r="K20" i="3"/>
  <c r="L20" i="3"/>
  <c r="M20" i="3"/>
  <c r="B21" i="3"/>
  <c r="C21" i="3"/>
  <c r="D21" i="3"/>
  <c r="E21" i="3"/>
  <c r="F21" i="3"/>
  <c r="G21" i="3"/>
  <c r="H21" i="3"/>
  <c r="I21" i="3"/>
  <c r="J21" i="3"/>
  <c r="K21" i="3"/>
  <c r="L21" i="3"/>
  <c r="M21" i="3"/>
  <c r="B22" i="3"/>
  <c r="C22" i="3"/>
  <c r="D22" i="3"/>
  <c r="E22" i="3"/>
  <c r="F22" i="3"/>
  <c r="G22" i="3"/>
  <c r="H22" i="3"/>
  <c r="I22" i="3"/>
  <c r="J22" i="3"/>
  <c r="K22" i="3"/>
  <c r="L22" i="3"/>
  <c r="M22" i="3"/>
  <c r="B23" i="3"/>
  <c r="C23" i="3"/>
  <c r="D23" i="3"/>
  <c r="E23" i="3"/>
  <c r="F23" i="3"/>
  <c r="G23" i="3"/>
  <c r="H23" i="3"/>
  <c r="I23" i="3"/>
  <c r="J23" i="3"/>
  <c r="K23" i="3"/>
  <c r="L23" i="3"/>
  <c r="M23" i="3"/>
  <c r="B24" i="3"/>
  <c r="C24" i="3"/>
  <c r="D24" i="3"/>
  <c r="E24" i="3"/>
  <c r="F24" i="3"/>
  <c r="G24" i="3"/>
  <c r="H24" i="3"/>
  <c r="I24" i="3"/>
  <c r="J24" i="3"/>
  <c r="K24" i="3"/>
  <c r="L24" i="3"/>
  <c r="M24" i="3"/>
  <c r="B25" i="3"/>
  <c r="C25" i="3"/>
  <c r="D25" i="3"/>
  <c r="E25" i="3"/>
  <c r="F25" i="3"/>
  <c r="G25" i="3"/>
  <c r="H25" i="3"/>
  <c r="I25" i="3"/>
  <c r="J25" i="3"/>
  <c r="K25" i="3"/>
  <c r="L25" i="3"/>
  <c r="M25" i="3"/>
  <c r="B26" i="3"/>
  <c r="C26" i="3"/>
  <c r="D26" i="3"/>
  <c r="E26" i="3"/>
  <c r="F26" i="3"/>
  <c r="G26" i="3"/>
  <c r="H26" i="3"/>
  <c r="I26" i="3"/>
  <c r="J26" i="3"/>
  <c r="K26" i="3"/>
  <c r="L26" i="3"/>
  <c r="M26" i="3"/>
  <c r="B27" i="3"/>
  <c r="C27" i="3"/>
  <c r="D27" i="3"/>
  <c r="E27" i="3"/>
  <c r="F27" i="3"/>
  <c r="G27" i="3"/>
  <c r="H27" i="3"/>
  <c r="I27" i="3"/>
  <c r="J27" i="3"/>
  <c r="K27" i="3"/>
  <c r="L27" i="3"/>
  <c r="M27" i="3"/>
  <c r="B28" i="3"/>
  <c r="C28" i="3"/>
  <c r="D28" i="3"/>
  <c r="E28" i="3"/>
  <c r="F28" i="3"/>
  <c r="G28" i="3"/>
  <c r="H28" i="3"/>
  <c r="I28" i="3"/>
  <c r="J28" i="3"/>
  <c r="K28" i="3"/>
  <c r="L28" i="3"/>
  <c r="M28" i="3"/>
  <c r="B29" i="3"/>
  <c r="C29" i="3"/>
  <c r="D29" i="3"/>
  <c r="E29" i="3"/>
  <c r="F29" i="3"/>
  <c r="G29" i="3"/>
  <c r="H29" i="3"/>
  <c r="I29" i="3"/>
  <c r="J29" i="3"/>
  <c r="K29" i="3"/>
  <c r="L29" i="3"/>
  <c r="M29" i="3"/>
  <c r="B30" i="3"/>
  <c r="C30" i="3"/>
  <c r="D30" i="3"/>
  <c r="E30" i="3"/>
  <c r="F30" i="3"/>
  <c r="G30" i="3"/>
  <c r="H30" i="3"/>
  <c r="I30" i="3"/>
  <c r="J30" i="3"/>
  <c r="K30" i="3"/>
  <c r="L30" i="3"/>
  <c r="M30" i="3"/>
  <c r="B31" i="3"/>
  <c r="C31" i="3"/>
  <c r="D31" i="3"/>
  <c r="E31" i="3"/>
  <c r="F31" i="3"/>
  <c r="G31" i="3"/>
  <c r="H31" i="3"/>
  <c r="I31" i="3"/>
  <c r="J31" i="3"/>
  <c r="K31" i="3"/>
  <c r="L31" i="3"/>
  <c r="M31" i="3"/>
  <c r="B32" i="3"/>
  <c r="C32" i="3"/>
  <c r="D32" i="3"/>
  <c r="E32" i="3"/>
  <c r="F32" i="3"/>
  <c r="G32" i="3"/>
  <c r="H32" i="3"/>
  <c r="I32" i="3"/>
  <c r="J32" i="3"/>
  <c r="K32" i="3"/>
  <c r="L32" i="3"/>
  <c r="M32" i="3"/>
  <c r="B33" i="3"/>
  <c r="C33" i="3"/>
  <c r="D33" i="3"/>
  <c r="E33" i="3"/>
  <c r="F33" i="3"/>
  <c r="G33" i="3"/>
  <c r="H33" i="3"/>
  <c r="I33" i="3"/>
  <c r="J33" i="3"/>
  <c r="K33" i="3"/>
  <c r="L33" i="3"/>
  <c r="M33" i="3"/>
  <c r="C3" i="3"/>
  <c r="D3" i="3"/>
  <c r="E3" i="3"/>
  <c r="F3" i="3"/>
  <c r="G3" i="3"/>
  <c r="H3" i="3"/>
  <c r="I3" i="3"/>
  <c r="J3" i="3"/>
  <c r="K3" i="3"/>
  <c r="L3" i="3"/>
  <c r="M3" i="3"/>
  <c r="B3" i="3"/>
  <c r="A5" i="5" l="1"/>
  <c r="A6" i="5" s="1"/>
  <c r="A7" i="5" s="1"/>
  <c r="A8" i="5" s="1"/>
  <c r="A9" i="5" s="1"/>
  <c r="A10" i="5" s="1"/>
  <c r="A11" i="5" s="1"/>
  <c r="A12" i="5" s="1"/>
  <c r="A13" i="5" s="1"/>
</calcChain>
</file>

<file path=xl/sharedStrings.xml><?xml version="1.0" encoding="utf-8"?>
<sst xmlns="http://schemas.openxmlformats.org/spreadsheetml/2006/main" count="330" uniqueCount="106">
  <si>
    <t>Producto interno bruto por actividad económica, volumen a precios año anterior encadenado, series empalmadas, referencia 2018 (miles de millones de pesos encadenados)</t>
  </si>
  <si>
    <t/>
  </si>
  <si>
    <t>Unidad</t>
  </si>
  <si>
    <t>Miles de millones de pesos</t>
  </si>
  <si>
    <t>Frecuencia</t>
  </si>
  <si>
    <t>TRIMESTRAL</t>
  </si>
  <si>
    <t>Fuente</t>
  </si>
  <si>
    <t>Banco Central de Chile</t>
  </si>
  <si>
    <t>Desfase publicación</t>
  </si>
  <si>
    <t>48 días terminado el trimestre</t>
  </si>
  <si>
    <t>Última actualización</t>
  </si>
  <si>
    <t>18-08-2025</t>
  </si>
  <si>
    <t>Primera observación</t>
  </si>
  <si>
    <t>01-01-1996</t>
  </si>
  <si>
    <t>Última observación</t>
  </si>
  <si>
    <t>01-04-2025</t>
  </si>
  <si>
    <t>Contacto</t>
  </si>
  <si>
    <t>contactocentral.bcentral.cl
https://contactocentral.bcentral.cl/</t>
  </si>
  <si>
    <t>Metodología</t>
  </si>
  <si>
    <t>Cuentas Nacionales
 https://www.bcentral.cl/web/banco-central/cuentas-nacionales-trimestrales-doc-de-interes</t>
  </si>
  <si>
    <t>Notas</t>
  </si>
  <si>
    <t>Se consideran cifras preliminares a las correspondendientes a los años (t) y (t-1), siendo (t) el año en curso.
El volumen a precios del año anterior encadenado es obtenido del índice promedio de 2018 que se iguala al valor nominal de la serie de dicho año. Las series encadenadas pierden la propiedad de aditividad  que presentan las series en base fija, por lo cual los agregados difieren de la suma de sus componentes.
Para mayores detalles acerca de la metodología de encadenamiento, ver Estudios Estadísticos Económicos N° 90, disponible en www.bcentral.cl
Los Servicios personales incluye educación, salud y otros servicios.
La serie de PIB no minero corresponde al PIB, excluyendo la actividad minería.
NC: No corresponde cálculo dado que uno de los valores para la determinación de la variación, es negativa.</t>
  </si>
  <si>
    <t>Reg</t>
  </si>
  <si>
    <t>Descripción series</t>
  </si>
  <si>
    <t>1.</t>
  </si>
  <si>
    <t>Agropecuario-silvícola </t>
  </si>
  <si>
    <t>2.</t>
  </si>
  <si>
    <t>Pesca</t>
  </si>
  <si>
    <t>3.</t>
  </si>
  <si>
    <t>Minería</t>
  </si>
  <si>
    <t>3.1.</t>
  </si>
  <si>
    <t>   Minería del cobre</t>
  </si>
  <si>
    <t>3.2.</t>
  </si>
  <si>
    <t>   Otras actividades mineras</t>
  </si>
  <si>
    <t>4.</t>
  </si>
  <si>
    <t>Industria Manufacturera</t>
  </si>
  <si>
    <t>4.1.</t>
  </si>
  <si>
    <t>   Alimentos, bebidas y tabaco</t>
  </si>
  <si>
    <t>4.1.1.</t>
  </si>
  <si>
    <t>      Alimentos</t>
  </si>
  <si>
    <t>4.1.2.</t>
  </si>
  <si>
    <t>      Bebidas y tabaco</t>
  </si>
  <si>
    <t>4.2.</t>
  </si>
  <si>
    <t>   Textil, prendas de vestir, cuero y calzado</t>
  </si>
  <si>
    <t>4.3.</t>
  </si>
  <si>
    <t>   Maderas y muebles</t>
  </si>
  <si>
    <t>4.4.</t>
  </si>
  <si>
    <t>   Celulosa, papel e imprentas</t>
  </si>
  <si>
    <t>4.5.</t>
  </si>
  <si>
    <t>   Química, petróleo, caucho y plástico</t>
  </si>
  <si>
    <t>4.6.</t>
  </si>
  <si>
    <t>   Minerales no metálicos y metálica básica</t>
  </si>
  <si>
    <t>4.7.</t>
  </si>
  <si>
    <t>   Productos metálicos, maquinaria, equipos y otros</t>
  </si>
  <si>
    <t>5.</t>
  </si>
  <si>
    <t>Electricidad, gas, agua y gestión de desechos</t>
  </si>
  <si>
    <t>6.</t>
  </si>
  <si>
    <t>Construcción</t>
  </si>
  <si>
    <t>7.</t>
  </si>
  <si>
    <t>Comercio, restaurantes y hoteles</t>
  </si>
  <si>
    <t>7.1.</t>
  </si>
  <si>
    <t>   Comercio</t>
  </si>
  <si>
    <t>7.2.</t>
  </si>
  <si>
    <t>   Restaurantes y hoteles</t>
  </si>
  <si>
    <t>8.</t>
  </si>
  <si>
    <t>Transporte</t>
  </si>
  <si>
    <t>9.</t>
  </si>
  <si>
    <t>Comunicaciones y servicios de información</t>
  </si>
  <si>
    <t>10.</t>
  </si>
  <si>
    <t>Servicios financieros y empresariales</t>
  </si>
  <si>
    <t>10.1.</t>
  </si>
  <si>
    <t>   Servicios financieros</t>
  </si>
  <si>
    <t>10.2.</t>
  </si>
  <si>
    <t>   Servicios empresariales</t>
  </si>
  <si>
    <t>11.</t>
  </si>
  <si>
    <t>Servicios de vivienda e inmobiliarios</t>
  </si>
  <si>
    <t>12.</t>
  </si>
  <si>
    <t>Servicios personales</t>
  </si>
  <si>
    <t>13.</t>
  </si>
  <si>
    <t>Administración pública</t>
  </si>
  <si>
    <t>14.</t>
  </si>
  <si>
    <t>PIB a costo de factores</t>
  </si>
  <si>
    <t>15.</t>
  </si>
  <si>
    <t>Impuestos sobre los productos</t>
  </si>
  <si>
    <t>16.</t>
  </si>
  <si>
    <t>Producto Interno Bruto</t>
  </si>
  <si>
    <t>17.</t>
  </si>
  <si>
    <t>PIB no minero</t>
  </si>
  <si>
    <t>Producto interno bruto por clase de actividad económica, a precios corrientes, series empalmadas, referencia 2018 (miles de millones de pesos)</t>
  </si>
  <si>
    <t>Se consideran cifras preliminares a las correspondendientes a los años (t) y (t-1), siendo (t) el año en curso.
Los Servicios personales incluye educación, salud y otros servicios.
NC: No corresponde cálculo dado que uno de los valores para la determinación de la variación, es negativa.</t>
  </si>
  <si>
    <t>Industria manufacturera</t>
  </si>
  <si>
    <t>PIB a precios corrientes</t>
  </si>
  <si>
    <t>Deflactor del producto interno bruto por clase de actividad económica, anual, series empalmadas, referencia 2018</t>
  </si>
  <si>
    <t>Índice</t>
  </si>
  <si>
    <t>ANUAL</t>
  </si>
  <si>
    <t>78 días terminado el año</t>
  </si>
  <si>
    <t>18-03-2025</t>
  </si>
  <si>
    <t>01-01-2024</t>
  </si>
  <si>
    <t>Cuentas Nacionales
 https://si3.bcentral.cl/estadisticas/Principal1/enlaces/documentos/CCNN/CCNN_CNT.html</t>
  </si>
  <si>
    <t>   Restaurantes y Hoteles</t>
  </si>
  <si>
    <t>   Servicios Financieros</t>
  </si>
  <si>
    <t>Deflactor Producto Interno Bruto</t>
  </si>
  <si>
    <t>year</t>
  </si>
  <si>
    <t>deflactor_comercio</t>
  </si>
  <si>
    <t>deflactor_comunicaciones</t>
  </si>
  <si>
    <t>def_al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</si>
</sst>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
  </numFmts>
  <fonts count="5" x14ac:knownFonts="1">
    <font>
      <sz val="11"/>
      <color theme="1"/>
      <name val="Aptos Narrow"/>
      <family val="2"/>
      <scheme val="minor"/>
    </font>
    <font>
      <sz val="11"/>
      <color rgb="FF000000"/>
      <name val="Calibri"/>
      <family val="2"/>
    </font>
    <font>
      <b/>
      <sz val="12"/>
      <color rgb="FF000000"/>
      <name val="Calibri"/>
      <family val="2"/>
    </font>
    <font>
      <sz val="11"/>
      <color rgb="FFFF0000"/>
      <name val="Aptos Narrow"/>
      <family val="2"/>
      <scheme val="minor"/>
    </font>
    <font>
      <sz val="11"/>
      <color rgb="FFFF0000"/>
      <name val="Calibri"/>
      <family val="2"/>
    </font>
  </fonts>
  <fills count="3">
    <fill>
      <patternFill patternType="none"/>
    </fill>
    <fill>
      <patternFill patternType="gray125"/>
    </fill>
    <fill>
      <patternFill patternType="solid">
        <fgColor rgb="FFDEEAF6"/>
      </patternFill>
    </fill>
  </fills>
  <borders count="2">
    <border>
      <left/>
      <right/>
      <top/>
      <bottom/>
      <diagonal/>
    </border>
    <border>
      <left style="thin">
        <color auto="1"/>
      </left>
      <right style="thin">
        <color auto="1"/>
      </right>
      <top style="thin">
        <color auto="1"/>
      </top>
      <bottom style="thin">
        <color auto="1"/>
      </bottom>
      <diagonal style="thin">
        <color auto="1"/>
      </diagonal>
    </border>
  </borders>
  <cellStyleXfs count="2">
    <xf numFmtId="0" fontId="0" fillId="0" borderId="0"/>
    <xf numFmtId="0" fontId="1" fillId="0" borderId="0"/>
  </cellStyleXfs>
  <cellXfs count="13">
    <xf numFmtId="0" fontId="0" fillId="0" borderId="0" xfId="0"/>
    <xf numFmtId="0" fontId="2" fillId="2" borderId="1" xfId="1" applyFont="1" applyFill="1" applyBorder="1" applyAlignment="1">
      <alignment horizontal="left" vertical="center"/>
    </xf>
    <xf numFmtId="0" fontId="2" fillId="2" borderId="1" xfId="1" applyFont="1" applyFill="1" applyBorder="1" applyAlignment="1">
      <alignment horizontal="center" vertical="center"/>
    </xf>
    <xf numFmtId="0" fontId="1" fillId="0" borderId="0" xfId="1"/>
    <xf numFmtId="4" fontId="1" fillId="0" borderId="1" xfId="1" applyNumberFormat="1" applyBorder="1" applyAlignment="1">
      <alignment horizontal="right" vertical="center"/>
    </xf>
    <xf numFmtId="0" fontId="1" fillId="0" borderId="1" xfId="1" applyBorder="1" applyAlignment="1">
      <alignment horizontal="left" vertical="center"/>
    </xf>
    <xf numFmtId="164" fontId="2" fillId="2" borderId="1" xfId="1" applyNumberFormat="1" applyFont="1" applyFill="1" applyBorder="1"/>
    <xf numFmtId="0" fontId="2" fillId="2" borderId="1" xfId="1" applyFont="1" applyFill="1" applyBorder="1" applyAlignment="1">
      <alignment horizontal="left" vertical="center"/>
    </xf>
    <xf numFmtId="0" fontId="4" fillId="0" borderId="1" xfId="1" applyFont="1" applyBorder="1" applyAlignment="1">
      <alignment horizontal="left" vertical="center"/>
    </xf>
    <xf numFmtId="4" fontId="4" fillId="0" borderId="1" xfId="1" applyNumberFormat="1" applyFont="1" applyBorder="1" applyAlignment="1">
      <alignment horizontal="right" vertical="center"/>
    </xf>
    <xf numFmtId="0" fontId="3" fillId="0" borderId="0" xfId="0" applyFont="1"/>
    <xf numFmtId="1" fontId="0" fillId="0" borderId="0" xfId="0" applyNumberFormat="1"/>
    <xf numFmtId="1" fontId="2" fillId="2" borderId="1" xfId="1" applyNumberFormat="1" applyFont="1" applyFill="1" applyBorder="1"/>
  </cellXfs>
  <cellStyles count="2">
    <cellStyle name="Normal" xfId="0" builtinId="0"/>
    <cellStyle name="Normal 2" xfId="1" xr:uid="{07B3EB1A-07D0-499F-B57E-82170FCB803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DD4BD-D96E-44BC-BD24-695CB30DCCA9}">
  <dimension ref="A1:N46"/>
  <sheetViews>
    <sheetView topLeftCell="A9" workbookViewId="0">
      <selection activeCell="B44" sqref="B44"/>
    </sheetView>
  </sheetViews>
  <sheetFormatPr baseColWidth="10" defaultColWidth="10.85546875" defaultRowHeight="15" x14ac:dyDescent="0.25"/>
  <cols>
    <col min="2" max="2" width="33.5703125" customWidth="1"/>
  </cols>
  <sheetData>
    <row r="1" spans="1:14" ht="15.75" x14ac:dyDescent="0.25">
      <c r="A1" s="7" t="s">
        <v>0</v>
      </c>
      <c r="B1" s="7" t="s">
        <v>1</v>
      </c>
      <c r="C1" s="7" t="s">
        <v>1</v>
      </c>
      <c r="D1" s="7" t="s">
        <v>1</v>
      </c>
      <c r="E1" s="7" t="s">
        <v>1</v>
      </c>
      <c r="F1" s="7" t="s">
        <v>1</v>
      </c>
      <c r="G1" s="7" t="s">
        <v>1</v>
      </c>
      <c r="H1" s="7" t="s">
        <v>1</v>
      </c>
      <c r="I1" s="7" t="s">
        <v>1</v>
      </c>
      <c r="J1" s="7" t="s">
        <v>1</v>
      </c>
      <c r="K1" s="7" t="s">
        <v>1</v>
      </c>
      <c r="L1" s="7" t="s">
        <v>1</v>
      </c>
      <c r="M1" s="7" t="s">
        <v>1</v>
      </c>
      <c r="N1" s="7" t="s">
        <v>1</v>
      </c>
    </row>
    <row r="3" spans="1:14" ht="15.75" x14ac:dyDescent="0.25">
      <c r="A3" s="2" t="s">
        <v>2</v>
      </c>
      <c r="B3" s="2" t="s">
        <v>3</v>
      </c>
      <c r="C3" s="3"/>
      <c r="D3" s="3"/>
      <c r="E3" s="3"/>
      <c r="F3" s="3"/>
      <c r="G3" s="3"/>
      <c r="H3" s="3"/>
      <c r="I3" s="3"/>
      <c r="J3" s="3"/>
      <c r="K3" s="3"/>
      <c r="L3" s="3"/>
      <c r="M3" s="3"/>
      <c r="N3" s="3"/>
    </row>
    <row r="4" spans="1:14" ht="15.75" x14ac:dyDescent="0.25">
      <c r="A4" s="2" t="s">
        <v>4</v>
      </c>
      <c r="B4" s="2" t="s">
        <v>5</v>
      </c>
      <c r="C4" s="3"/>
      <c r="D4" s="3"/>
      <c r="E4" s="3"/>
      <c r="F4" s="3"/>
      <c r="G4" s="3"/>
      <c r="H4" s="3"/>
      <c r="I4" s="3"/>
      <c r="J4" s="3"/>
      <c r="K4" s="3"/>
      <c r="L4" s="3"/>
      <c r="M4" s="3"/>
      <c r="N4" s="3"/>
    </row>
    <row r="5" spans="1:14" ht="15.75" x14ac:dyDescent="0.25">
      <c r="A5" s="2" t="s">
        <v>6</v>
      </c>
      <c r="B5" s="2" t="s">
        <v>7</v>
      </c>
      <c r="C5" s="3"/>
      <c r="D5" s="3"/>
      <c r="E5" s="3"/>
      <c r="F5" s="3"/>
      <c r="G5" s="3"/>
      <c r="H5" s="3"/>
      <c r="I5" s="3"/>
      <c r="J5" s="3"/>
      <c r="K5" s="3"/>
      <c r="L5" s="3"/>
      <c r="M5" s="3"/>
      <c r="N5" s="3"/>
    </row>
    <row r="6" spans="1:14" ht="15.75" x14ac:dyDescent="0.25">
      <c r="A6" s="2" t="s">
        <v>8</v>
      </c>
      <c r="B6" s="2" t="s">
        <v>9</v>
      </c>
      <c r="C6" s="3"/>
      <c r="D6" s="3"/>
      <c r="E6" s="3"/>
      <c r="F6" s="3"/>
      <c r="G6" s="3"/>
      <c r="H6" s="3"/>
      <c r="I6" s="3"/>
      <c r="J6" s="3"/>
      <c r="K6" s="3"/>
      <c r="L6" s="3"/>
      <c r="M6" s="3"/>
      <c r="N6" s="3"/>
    </row>
    <row r="7" spans="1:14" ht="15.75" x14ac:dyDescent="0.25">
      <c r="A7" s="2" t="s">
        <v>10</v>
      </c>
      <c r="B7" s="2" t="s">
        <v>11</v>
      </c>
      <c r="C7" s="3"/>
      <c r="D7" s="3"/>
      <c r="E7" s="3"/>
      <c r="F7" s="3"/>
      <c r="G7" s="3"/>
      <c r="H7" s="3"/>
      <c r="I7" s="3"/>
      <c r="J7" s="3"/>
      <c r="K7" s="3"/>
      <c r="L7" s="3"/>
      <c r="M7" s="3"/>
      <c r="N7" s="3"/>
    </row>
    <row r="8" spans="1:14" ht="15.75" x14ac:dyDescent="0.25">
      <c r="A8" s="2" t="s">
        <v>12</v>
      </c>
      <c r="B8" s="2" t="s">
        <v>13</v>
      </c>
      <c r="C8" s="3"/>
      <c r="D8" s="3"/>
      <c r="E8" s="3"/>
      <c r="F8" s="3"/>
      <c r="G8" s="3"/>
      <c r="H8" s="3"/>
      <c r="I8" s="3"/>
      <c r="J8" s="3"/>
      <c r="K8" s="3"/>
      <c r="L8" s="3"/>
      <c r="M8" s="3"/>
      <c r="N8" s="3"/>
    </row>
    <row r="9" spans="1:14" ht="15.75" x14ac:dyDescent="0.25">
      <c r="A9" s="2" t="s">
        <v>14</v>
      </c>
      <c r="B9" s="2" t="s">
        <v>15</v>
      </c>
      <c r="C9" s="3"/>
      <c r="D9" s="3"/>
      <c r="E9" s="3"/>
      <c r="F9" s="3"/>
      <c r="G9" s="3"/>
      <c r="H9" s="3"/>
      <c r="I9" s="3"/>
      <c r="J9" s="3"/>
      <c r="K9" s="3"/>
      <c r="L9" s="3"/>
      <c r="M9" s="3"/>
      <c r="N9" s="3"/>
    </row>
    <row r="10" spans="1:14" ht="15.75" x14ac:dyDescent="0.25">
      <c r="A10" s="2" t="s">
        <v>16</v>
      </c>
      <c r="B10" s="2" t="s">
        <v>17</v>
      </c>
      <c r="C10" s="3"/>
      <c r="D10" s="3"/>
      <c r="E10" s="3"/>
      <c r="F10" s="3"/>
      <c r="G10" s="3"/>
      <c r="H10" s="3"/>
      <c r="I10" s="3"/>
      <c r="J10" s="3"/>
      <c r="K10" s="3"/>
      <c r="L10" s="3"/>
      <c r="M10" s="3"/>
      <c r="N10" s="3"/>
    </row>
    <row r="11" spans="1:14" ht="15.75" x14ac:dyDescent="0.25">
      <c r="A11" s="2" t="s">
        <v>18</v>
      </c>
      <c r="B11" s="2" t="s">
        <v>19</v>
      </c>
      <c r="C11" s="3"/>
      <c r="D11" s="3"/>
      <c r="E11" s="3"/>
      <c r="F11" s="3"/>
      <c r="G11" s="3"/>
      <c r="H11" s="3"/>
      <c r="I11" s="3"/>
      <c r="J11" s="3"/>
      <c r="K11" s="3"/>
      <c r="L11" s="3"/>
      <c r="M11" s="3"/>
      <c r="N11" s="3"/>
    </row>
    <row r="12" spans="1:14" ht="15.75" x14ac:dyDescent="0.25">
      <c r="A12" s="2" t="s">
        <v>20</v>
      </c>
      <c r="B12" s="2" t="s">
        <v>21</v>
      </c>
      <c r="C12" s="3"/>
      <c r="D12" s="3"/>
      <c r="E12" s="3"/>
      <c r="F12" s="3"/>
      <c r="G12" s="3"/>
      <c r="H12" s="3"/>
      <c r="I12" s="3"/>
      <c r="J12" s="3"/>
      <c r="K12" s="3"/>
      <c r="L12" s="3"/>
      <c r="M12" s="3"/>
      <c r="N12" s="3"/>
    </row>
    <row r="14" spans="1:14" ht="15.75" x14ac:dyDescent="0.25">
      <c r="A14" s="1" t="s">
        <v>22</v>
      </c>
      <c r="B14" s="1" t="s">
        <v>23</v>
      </c>
      <c r="C14" s="6">
        <v>41275</v>
      </c>
      <c r="D14" s="6">
        <v>41640</v>
      </c>
      <c r="E14" s="6">
        <v>42005</v>
      </c>
      <c r="F14" s="6">
        <v>42370</v>
      </c>
      <c r="G14" s="6">
        <v>42736</v>
      </c>
      <c r="H14" s="6">
        <v>43101</v>
      </c>
      <c r="I14" s="6">
        <v>43466</v>
      </c>
      <c r="J14" s="6">
        <v>43831</v>
      </c>
      <c r="K14" s="6">
        <v>44197</v>
      </c>
      <c r="L14" s="6">
        <v>44562</v>
      </c>
      <c r="M14" s="6">
        <v>44927</v>
      </c>
      <c r="N14" s="6">
        <v>45292</v>
      </c>
    </row>
    <row r="15" spans="1:14" x14ac:dyDescent="0.25">
      <c r="A15" s="5" t="s">
        <v>24</v>
      </c>
      <c r="B15" s="5" t="s">
        <v>25</v>
      </c>
      <c r="C15" s="4">
        <v>5492.63630014705</v>
      </c>
      <c r="D15" s="4">
        <v>5282.6665591165001</v>
      </c>
      <c r="E15" s="4">
        <v>5662.9272364552698</v>
      </c>
      <c r="F15" s="4">
        <v>5916.7396187045797</v>
      </c>
      <c r="G15" s="4">
        <v>5877.0271526240203</v>
      </c>
      <c r="H15" s="4">
        <v>6049.7802960836498</v>
      </c>
      <c r="I15" s="4">
        <v>5988.5003479515699</v>
      </c>
      <c r="J15" s="4">
        <v>6032.5658754523702</v>
      </c>
      <c r="K15" s="4">
        <v>6254.61766790194</v>
      </c>
      <c r="L15" s="4">
        <v>6228.7957476807296</v>
      </c>
      <c r="M15" s="4">
        <v>6117.1851462366503</v>
      </c>
      <c r="N15" s="4">
        <v>6569.9497684012204</v>
      </c>
    </row>
    <row r="16" spans="1:14" x14ac:dyDescent="0.25">
      <c r="A16" s="5" t="s">
        <v>26</v>
      </c>
      <c r="B16" s="5" t="s">
        <v>27</v>
      </c>
      <c r="C16" s="4">
        <v>1109.32947797974</v>
      </c>
      <c r="D16" s="4">
        <v>1216.61881237289</v>
      </c>
      <c r="E16" s="4">
        <v>1070.462275808</v>
      </c>
      <c r="F16" s="4">
        <v>993.17885981710003</v>
      </c>
      <c r="G16" s="4">
        <v>1298.1539326048201</v>
      </c>
      <c r="H16" s="4">
        <v>1390.1527402705301</v>
      </c>
      <c r="I16" s="4">
        <v>1397.8821889567701</v>
      </c>
      <c r="J16" s="4">
        <v>1169.5749510749699</v>
      </c>
      <c r="K16" s="4">
        <v>1221.8784861389399</v>
      </c>
      <c r="L16" s="4">
        <v>1239.2427236846299</v>
      </c>
      <c r="M16" s="4">
        <v>1287.56143291021</v>
      </c>
      <c r="N16" s="4">
        <v>1233.10564082216</v>
      </c>
    </row>
    <row r="17" spans="1:14" x14ac:dyDescent="0.25">
      <c r="A17" s="5" t="s">
        <v>28</v>
      </c>
      <c r="B17" s="5" t="s">
        <v>29</v>
      </c>
      <c r="C17" s="4">
        <v>16576.585486198801</v>
      </c>
      <c r="D17" s="4">
        <v>16946.740722777398</v>
      </c>
      <c r="E17" s="4">
        <v>16727.3905949037</v>
      </c>
      <c r="F17" s="4">
        <v>16202.944401062599</v>
      </c>
      <c r="G17" s="4">
        <v>15870.254990997</v>
      </c>
      <c r="H17" s="4">
        <v>16825.435728351898</v>
      </c>
      <c r="I17" s="4">
        <v>16062.135879892599</v>
      </c>
      <c r="J17" s="4">
        <v>16185.354062947001</v>
      </c>
      <c r="K17" s="4">
        <v>15456.0186819173</v>
      </c>
      <c r="L17" s="4">
        <v>14459.4669922676</v>
      </c>
      <c r="M17" s="4">
        <v>14462.749054080399</v>
      </c>
      <c r="N17" s="4">
        <v>15209.636007671799</v>
      </c>
    </row>
    <row r="18" spans="1:14" x14ac:dyDescent="0.25">
      <c r="A18" s="5" t="s">
        <v>30</v>
      </c>
      <c r="B18" s="5" t="s">
        <v>31</v>
      </c>
      <c r="C18" s="4">
        <v>14641.8701063361</v>
      </c>
      <c r="D18" s="4">
        <v>14976.1767175799</v>
      </c>
      <c r="E18" s="4">
        <v>14840.4620038434</v>
      </c>
      <c r="F18" s="4">
        <v>14277.975634333299</v>
      </c>
      <c r="G18" s="4">
        <v>14068.6409842219</v>
      </c>
      <c r="H18" s="4">
        <v>14971.5281852974</v>
      </c>
      <c r="I18" s="4">
        <v>14243.8005253029</v>
      </c>
      <c r="J18" s="4">
        <v>14208.6153671148</v>
      </c>
      <c r="K18" s="4">
        <v>13335.853435758099</v>
      </c>
      <c r="L18" s="4">
        <v>12196.152690343401</v>
      </c>
      <c r="M18" s="4">
        <v>11682.516096257599</v>
      </c>
      <c r="N18" s="4">
        <v>12308.8871746282</v>
      </c>
    </row>
    <row r="19" spans="1:14" x14ac:dyDescent="0.25">
      <c r="A19" s="5" t="s">
        <v>32</v>
      </c>
      <c r="B19" s="5" t="s">
        <v>33</v>
      </c>
      <c r="C19" s="4">
        <v>1929.6316997387401</v>
      </c>
      <c r="D19" s="4">
        <v>1965.21384807342</v>
      </c>
      <c r="E19" s="4">
        <v>1869.17158909144</v>
      </c>
      <c r="F19" s="4">
        <v>1923.8492475611199</v>
      </c>
      <c r="G19" s="4">
        <v>1807.5858532709001</v>
      </c>
      <c r="H19" s="4">
        <v>1853.9075430545599</v>
      </c>
      <c r="I19" s="4">
        <v>1818.33535458961</v>
      </c>
      <c r="J19" s="4">
        <v>1978.6420262489501</v>
      </c>
      <c r="K19" s="4">
        <v>2185.8832488466301</v>
      </c>
      <c r="L19" s="4">
        <v>2479.2725118041699</v>
      </c>
      <c r="M19" s="4">
        <v>2753.6956400670101</v>
      </c>
      <c r="N19" s="4">
        <v>2878.53191311823</v>
      </c>
    </row>
    <row r="20" spans="1:14" x14ac:dyDescent="0.25">
      <c r="A20" s="5" t="s">
        <v>34</v>
      </c>
      <c r="B20" s="5" t="s">
        <v>35</v>
      </c>
      <c r="C20" s="4">
        <v>16798.489056055001</v>
      </c>
      <c r="D20" s="4">
        <v>16882.0997527402</v>
      </c>
      <c r="E20" s="4">
        <v>17144.526622368001</v>
      </c>
      <c r="F20" s="4">
        <v>17128.829999092399</v>
      </c>
      <c r="G20" s="4">
        <v>17290.702108825</v>
      </c>
      <c r="H20" s="4">
        <v>18193.729714131801</v>
      </c>
      <c r="I20" s="4">
        <v>17867.7066297899</v>
      </c>
      <c r="J20" s="4">
        <v>17477.1432010996</v>
      </c>
      <c r="K20" s="4">
        <v>18474.256927898601</v>
      </c>
      <c r="L20" s="4">
        <v>18019.545889414901</v>
      </c>
      <c r="M20" s="4">
        <v>18551.757471848301</v>
      </c>
      <c r="N20" s="4">
        <v>19061.676923991599</v>
      </c>
    </row>
    <row r="21" spans="1:14" x14ac:dyDescent="0.25">
      <c r="A21" s="5" t="s">
        <v>36</v>
      </c>
      <c r="B21" s="5" t="s">
        <v>37</v>
      </c>
      <c r="C21" s="4">
        <v>5951.2547159470996</v>
      </c>
      <c r="D21" s="4">
        <v>5998.3096635495003</v>
      </c>
      <c r="E21" s="4">
        <v>6408.5488439125002</v>
      </c>
      <c r="F21" s="4">
        <v>6226.0530999882003</v>
      </c>
      <c r="G21" s="4">
        <v>6383.2687094701996</v>
      </c>
      <c r="H21" s="4">
        <v>7065.8634558187996</v>
      </c>
      <c r="I21" s="4">
        <v>6803.3544808866</v>
      </c>
      <c r="J21" s="4">
        <v>6671.3831332161999</v>
      </c>
      <c r="K21" s="4">
        <v>6951.1310307291997</v>
      </c>
      <c r="L21" s="4">
        <v>7002.8000998909001</v>
      </c>
      <c r="M21" s="4">
        <v>7234.2001872551</v>
      </c>
      <c r="N21" s="4">
        <v>7369.8349267492003</v>
      </c>
    </row>
    <row r="22" spans="1:14" x14ac:dyDescent="0.25">
      <c r="A22" s="5" t="s">
        <v>38</v>
      </c>
      <c r="B22" s="5" t="s">
        <v>39</v>
      </c>
      <c r="C22" s="4">
        <v>4456.7825513257003</v>
      </c>
      <c r="D22" s="4">
        <v>4703.1195055035996</v>
      </c>
      <c r="E22" s="4">
        <v>4739.3060211104003</v>
      </c>
      <c r="F22" s="4">
        <v>4767.6721176436004</v>
      </c>
      <c r="G22" s="4">
        <v>4979.2038960069003</v>
      </c>
      <c r="H22" s="4">
        <v>5286.0533065661002</v>
      </c>
      <c r="I22" s="4">
        <v>5199.6511219132999</v>
      </c>
      <c r="J22" s="4">
        <v>5210.7082168733996</v>
      </c>
      <c r="K22" s="4">
        <v>5195.5336025975002</v>
      </c>
      <c r="L22" s="4">
        <v>5301.6163785584004</v>
      </c>
      <c r="M22" s="4">
        <v>5468.8864266312003</v>
      </c>
      <c r="N22" s="4">
        <v>5661.8487848527002</v>
      </c>
    </row>
    <row r="23" spans="1:14" x14ac:dyDescent="0.25">
      <c r="A23" s="5" t="s">
        <v>40</v>
      </c>
      <c r="B23" s="5" t="s">
        <v>41</v>
      </c>
      <c r="C23" s="4">
        <v>1483.3561583492501</v>
      </c>
      <c r="D23" s="4">
        <v>1304.2513941213899</v>
      </c>
      <c r="E23" s="4">
        <v>1638.4646540625799</v>
      </c>
      <c r="F23" s="4">
        <v>1441.66194830011</v>
      </c>
      <c r="G23" s="4">
        <v>1386.3937465300201</v>
      </c>
      <c r="H23" s="4">
        <v>1779.8101492527101</v>
      </c>
      <c r="I23" s="4">
        <v>1603.70335897316</v>
      </c>
      <c r="J23" s="4">
        <v>1470.79019359068</v>
      </c>
      <c r="K23" s="4">
        <v>1735.42141836008</v>
      </c>
      <c r="L23" s="4">
        <v>1683.2442211514799</v>
      </c>
      <c r="M23" s="4">
        <v>1748.8231137687401</v>
      </c>
      <c r="N23" s="4">
        <v>1676.4391768636699</v>
      </c>
    </row>
    <row r="24" spans="1:14" x14ac:dyDescent="0.25">
      <c r="A24" s="5" t="s">
        <v>42</v>
      </c>
      <c r="B24" s="5" t="s">
        <v>43</v>
      </c>
      <c r="C24" s="4">
        <v>335.44997098651203</v>
      </c>
      <c r="D24" s="4">
        <v>308.26188616333502</v>
      </c>
      <c r="E24" s="4">
        <v>303.94411033823701</v>
      </c>
      <c r="F24" s="4">
        <v>293.147272854905</v>
      </c>
      <c r="G24" s="4">
        <v>304.17523548585302</v>
      </c>
      <c r="H24" s="4">
        <v>291.00293230717301</v>
      </c>
      <c r="I24" s="4">
        <v>283.51924386065798</v>
      </c>
      <c r="J24" s="4">
        <v>263.11204398412701</v>
      </c>
      <c r="K24" s="4">
        <v>317.54354144397797</v>
      </c>
      <c r="L24" s="4">
        <v>321.862970316494</v>
      </c>
      <c r="M24" s="4">
        <v>365.01785218086798</v>
      </c>
      <c r="N24" s="4">
        <v>351.84901036958399</v>
      </c>
    </row>
    <row r="25" spans="1:14" x14ac:dyDescent="0.25">
      <c r="A25" s="5" t="s">
        <v>44</v>
      </c>
      <c r="B25" s="5" t="s">
        <v>45</v>
      </c>
      <c r="C25" s="4">
        <v>996.70455793802</v>
      </c>
      <c r="D25" s="4">
        <v>1070.3288456678899</v>
      </c>
      <c r="E25" s="4">
        <v>1131.5818834469401</v>
      </c>
      <c r="F25" s="4">
        <v>1167.00295765739</v>
      </c>
      <c r="G25" s="4">
        <v>1168.5835411641201</v>
      </c>
      <c r="H25" s="4">
        <v>1220.2063819585701</v>
      </c>
      <c r="I25" s="4">
        <v>1146.4570775192899</v>
      </c>
      <c r="J25" s="4">
        <v>1055.61000457965</v>
      </c>
      <c r="K25" s="4">
        <v>1078.41960390595</v>
      </c>
      <c r="L25" s="4">
        <v>1006.26499799922</v>
      </c>
      <c r="M25" s="4">
        <v>929.41855050062998</v>
      </c>
      <c r="N25" s="4">
        <v>965.03676731208998</v>
      </c>
    </row>
    <row r="26" spans="1:14" x14ac:dyDescent="0.25">
      <c r="A26" s="5" t="s">
        <v>46</v>
      </c>
      <c r="B26" s="5" t="s">
        <v>47</v>
      </c>
      <c r="C26" s="4">
        <v>1786.5272815358201</v>
      </c>
      <c r="D26" s="4">
        <v>1913.98038339766</v>
      </c>
      <c r="E26" s="4">
        <v>1984.6627932747399</v>
      </c>
      <c r="F26" s="4">
        <v>2010.5852109279001</v>
      </c>
      <c r="G26" s="4">
        <v>1942.87000828179</v>
      </c>
      <c r="H26" s="4">
        <v>1916.5503971235401</v>
      </c>
      <c r="I26" s="4">
        <v>1841.2435237374</v>
      </c>
      <c r="J26" s="4">
        <v>1778.60837424534</v>
      </c>
      <c r="K26" s="4">
        <v>1789.86271659566</v>
      </c>
      <c r="L26" s="4">
        <v>1556.3085246027099</v>
      </c>
      <c r="M26" s="4">
        <v>1610.4598405638601</v>
      </c>
      <c r="N26" s="4">
        <v>1808.45541684673</v>
      </c>
    </row>
    <row r="27" spans="1:14" x14ac:dyDescent="0.25">
      <c r="A27" s="5" t="s">
        <v>48</v>
      </c>
      <c r="B27" s="5" t="s">
        <v>49</v>
      </c>
      <c r="C27" s="4">
        <v>3502.6146344236499</v>
      </c>
      <c r="D27" s="4">
        <v>3592.9182729508202</v>
      </c>
      <c r="E27" s="4">
        <v>3408.4986153037598</v>
      </c>
      <c r="F27" s="4">
        <v>3401.5827641893102</v>
      </c>
      <c r="G27" s="4">
        <v>3355.15291036281</v>
      </c>
      <c r="H27" s="4">
        <v>3416.6724575789699</v>
      </c>
      <c r="I27" s="4">
        <v>3575.4122161324999</v>
      </c>
      <c r="J27" s="4">
        <v>3656.6346792241202</v>
      </c>
      <c r="K27" s="4">
        <v>3587.9967826959801</v>
      </c>
      <c r="L27" s="4">
        <v>3277.2004677096902</v>
      </c>
      <c r="M27" s="4">
        <v>3431.2622685312399</v>
      </c>
      <c r="N27" s="4">
        <v>3560.0401920223298</v>
      </c>
    </row>
    <row r="28" spans="1:14" x14ac:dyDescent="0.25">
      <c r="A28" s="5" t="s">
        <v>50</v>
      </c>
      <c r="B28" s="5" t="s">
        <v>51</v>
      </c>
      <c r="C28" s="4">
        <v>985.87655604882002</v>
      </c>
      <c r="D28" s="4">
        <v>1034.7901034040799</v>
      </c>
      <c r="E28" s="4">
        <v>1010.35341133962</v>
      </c>
      <c r="F28" s="4">
        <v>1025.7835360358999</v>
      </c>
      <c r="G28" s="4">
        <v>931.27254754658998</v>
      </c>
      <c r="H28" s="4">
        <v>1018.7149970031101</v>
      </c>
      <c r="I28" s="4">
        <v>1071.3890827461501</v>
      </c>
      <c r="J28" s="4">
        <v>1008.49990147387</v>
      </c>
      <c r="K28" s="4">
        <v>1178.6886202435101</v>
      </c>
      <c r="L28" s="4">
        <v>1085.5402008881799</v>
      </c>
      <c r="M28" s="4">
        <v>1077.0469820892199</v>
      </c>
      <c r="N28" s="4">
        <v>1036.9178200972401</v>
      </c>
    </row>
    <row r="29" spans="1:14" x14ac:dyDescent="0.25">
      <c r="A29" s="5" t="s">
        <v>52</v>
      </c>
      <c r="B29" s="5" t="s">
        <v>53</v>
      </c>
      <c r="C29" s="4">
        <v>3155.3171815871201</v>
      </c>
      <c r="D29" s="4">
        <v>2946.58968713488</v>
      </c>
      <c r="E29" s="4">
        <v>2949.22048167206</v>
      </c>
      <c r="F29" s="4">
        <v>3057.7645775709302</v>
      </c>
      <c r="G29" s="4">
        <v>3221.70758773851</v>
      </c>
      <c r="H29" s="4">
        <v>3264.7190923415101</v>
      </c>
      <c r="I29" s="4">
        <v>3146.3310049073598</v>
      </c>
      <c r="J29" s="4">
        <v>3042.5760345239</v>
      </c>
      <c r="K29" s="4">
        <v>3519.6711281173798</v>
      </c>
      <c r="L29" s="4">
        <v>3741.1941608516599</v>
      </c>
      <c r="M29" s="4">
        <v>3922.0460011413602</v>
      </c>
      <c r="N29" s="4">
        <v>4023.7198149454398</v>
      </c>
    </row>
    <row r="30" spans="1:14" x14ac:dyDescent="0.25">
      <c r="A30" s="5" t="s">
        <v>54</v>
      </c>
      <c r="B30" s="5" t="s">
        <v>55</v>
      </c>
      <c r="C30" s="4">
        <v>4686.5694358533001</v>
      </c>
      <c r="D30" s="4">
        <v>4877.7416404348996</v>
      </c>
      <c r="E30" s="4">
        <v>4828.2795742758999</v>
      </c>
      <c r="F30" s="4">
        <v>4997.2306066468</v>
      </c>
      <c r="G30" s="4">
        <v>5345.2727658449003</v>
      </c>
      <c r="H30" s="4">
        <v>5507.8614133601004</v>
      </c>
      <c r="I30" s="4">
        <v>5546.0678821326001</v>
      </c>
      <c r="J30" s="4">
        <v>5528.0137800932998</v>
      </c>
      <c r="K30" s="4">
        <v>5561.8351191519996</v>
      </c>
      <c r="L30" s="4">
        <v>5978.1557992636999</v>
      </c>
      <c r="M30" s="4">
        <v>6970.1129085781004</v>
      </c>
      <c r="N30" s="4">
        <v>7471.0992784512</v>
      </c>
    </row>
    <row r="31" spans="1:14" x14ac:dyDescent="0.25">
      <c r="A31" s="5" t="s">
        <v>56</v>
      </c>
      <c r="B31" s="5" t="s">
        <v>57</v>
      </c>
      <c r="C31" s="4">
        <v>11759.2232578403</v>
      </c>
      <c r="D31" s="4">
        <v>11494.071814990901</v>
      </c>
      <c r="E31" s="4">
        <v>12133.390798063399</v>
      </c>
      <c r="F31" s="4">
        <v>12240.254071323199</v>
      </c>
      <c r="G31" s="4">
        <v>11699.114593189501</v>
      </c>
      <c r="H31" s="4">
        <v>12252.4118694794</v>
      </c>
      <c r="I31" s="4">
        <v>12800.183553483301</v>
      </c>
      <c r="J31" s="4">
        <v>11311.157219774001</v>
      </c>
      <c r="K31" s="4">
        <v>11961.198917625599</v>
      </c>
      <c r="L31" s="4">
        <v>12251.827858903</v>
      </c>
      <c r="M31" s="4">
        <v>12207.800472171601</v>
      </c>
      <c r="N31" s="4">
        <v>12171.875975582199</v>
      </c>
    </row>
    <row r="32" spans="1:14" x14ac:dyDescent="0.25">
      <c r="A32" s="5" t="s">
        <v>58</v>
      </c>
      <c r="B32" s="5" t="s">
        <v>59</v>
      </c>
      <c r="C32" s="4">
        <v>19268.984809856</v>
      </c>
      <c r="D32" s="4">
        <v>19390.666631634602</v>
      </c>
      <c r="E32" s="4">
        <v>19917.060747128198</v>
      </c>
      <c r="F32" s="4">
        <v>20202.0966074723</v>
      </c>
      <c r="G32" s="4">
        <v>20791.303261680099</v>
      </c>
      <c r="H32" s="4">
        <v>21529.631660536299</v>
      </c>
      <c r="I32" s="4">
        <v>21464.697731817199</v>
      </c>
      <c r="J32" s="4">
        <v>19194.550166450299</v>
      </c>
      <c r="K32" s="4">
        <v>23750.2216478103</v>
      </c>
      <c r="L32" s="4">
        <v>23614.666273874798</v>
      </c>
      <c r="M32" s="4">
        <v>23517.724579123798</v>
      </c>
      <c r="N32" s="4">
        <v>24651.0438478139</v>
      </c>
    </row>
    <row r="33" spans="1:14" x14ac:dyDescent="0.25">
      <c r="A33" s="5" t="s">
        <v>60</v>
      </c>
      <c r="B33" s="5" t="s">
        <v>61</v>
      </c>
      <c r="C33" s="4">
        <v>15817.6649834293</v>
      </c>
      <c r="D33" s="4">
        <v>15750.464081399199</v>
      </c>
      <c r="E33" s="4">
        <v>16239.393113697701</v>
      </c>
      <c r="F33" s="4">
        <v>16475.248800793801</v>
      </c>
      <c r="G33" s="4">
        <v>16921.1876494719</v>
      </c>
      <c r="H33" s="4">
        <v>17493.680635047702</v>
      </c>
      <c r="I33" s="4">
        <v>17355.772300431599</v>
      </c>
      <c r="J33" s="4">
        <v>16880.0747415841</v>
      </c>
      <c r="K33" s="4">
        <v>20623.485358043799</v>
      </c>
      <c r="L33" s="4">
        <v>19938.300884754899</v>
      </c>
      <c r="M33" s="4">
        <v>19642.087714200701</v>
      </c>
      <c r="N33" s="4">
        <v>20650.1593026314</v>
      </c>
    </row>
    <row r="34" spans="1:14" x14ac:dyDescent="0.25">
      <c r="A34" s="5" t="s">
        <v>62</v>
      </c>
      <c r="B34" s="5" t="s">
        <v>63</v>
      </c>
      <c r="C34" s="4">
        <v>3423.9477070261601</v>
      </c>
      <c r="D34" s="4">
        <v>3646.3707708216202</v>
      </c>
      <c r="E34" s="4">
        <v>3671.8057828524902</v>
      </c>
      <c r="F34" s="4">
        <v>3720.3436114200099</v>
      </c>
      <c r="G34" s="4">
        <v>3868.0309036122499</v>
      </c>
      <c r="H34" s="4">
        <v>4035.9510254885299</v>
      </c>
      <c r="I34" s="4">
        <v>4108.9254313854999</v>
      </c>
      <c r="J34" s="4">
        <v>2347.3473190467898</v>
      </c>
      <c r="K34" s="4">
        <v>3179.0365174087701</v>
      </c>
      <c r="L34" s="4">
        <v>3766.15343545827</v>
      </c>
      <c r="M34" s="4">
        <v>3967.34469029811</v>
      </c>
      <c r="N34" s="4">
        <v>4100.3973358414596</v>
      </c>
    </row>
    <row r="35" spans="1:14" x14ac:dyDescent="0.25">
      <c r="A35" s="5" t="s">
        <v>64</v>
      </c>
      <c r="B35" s="5" t="s">
        <v>65</v>
      </c>
      <c r="C35" s="4">
        <v>9353.5322334139</v>
      </c>
      <c r="D35" s="4">
        <v>9656.9457094329991</v>
      </c>
      <c r="E35" s="4">
        <v>10044.645670764001</v>
      </c>
      <c r="F35" s="4">
        <v>10391.568134178</v>
      </c>
      <c r="G35" s="4">
        <v>10720.518173746501</v>
      </c>
      <c r="H35" s="4">
        <v>10753.7158307429</v>
      </c>
      <c r="I35" s="4">
        <v>10819.912842125599</v>
      </c>
      <c r="J35" s="4">
        <v>8607.4080375791</v>
      </c>
      <c r="K35" s="4">
        <v>9854.8439667207003</v>
      </c>
      <c r="L35" s="4">
        <v>10846.6216313105</v>
      </c>
      <c r="M35" s="4">
        <v>11672.9473828023</v>
      </c>
      <c r="N35" s="4">
        <v>12461.8074364893</v>
      </c>
    </row>
    <row r="36" spans="1:14" x14ac:dyDescent="0.25">
      <c r="A36" s="5" t="s">
        <v>66</v>
      </c>
      <c r="B36" s="5" t="s">
        <v>67</v>
      </c>
      <c r="C36" s="4">
        <v>4243.8552274108997</v>
      </c>
      <c r="D36" s="4">
        <v>4379.7988826007004</v>
      </c>
      <c r="E36" s="4">
        <v>4587.2652482218</v>
      </c>
      <c r="F36" s="4">
        <v>4756.8552323430004</v>
      </c>
      <c r="G36" s="4">
        <v>4997.4082836232001</v>
      </c>
      <c r="H36" s="4">
        <v>5274.4677011580998</v>
      </c>
      <c r="I36" s="4">
        <v>5541.3425160850002</v>
      </c>
      <c r="J36" s="4">
        <v>5904.6691716836003</v>
      </c>
      <c r="K36" s="4">
        <v>6551.8337869038996</v>
      </c>
      <c r="L36" s="4">
        <v>7234.1612222875001</v>
      </c>
      <c r="M36" s="4">
        <v>7274.4717430643004</v>
      </c>
      <c r="N36" s="4">
        <v>7241.0315429072998</v>
      </c>
    </row>
    <row r="37" spans="1:14" x14ac:dyDescent="0.25">
      <c r="A37" s="5" t="s">
        <v>68</v>
      </c>
      <c r="B37" s="5" t="s">
        <v>69</v>
      </c>
      <c r="C37" s="4">
        <v>24417.011123470402</v>
      </c>
      <c r="D37" s="4">
        <v>25100.3104550805</v>
      </c>
      <c r="E37" s="4">
        <v>25341.1768023277</v>
      </c>
      <c r="F37" s="4">
        <v>25076.777285702501</v>
      </c>
      <c r="G37" s="4">
        <v>24460.434820434901</v>
      </c>
      <c r="H37" s="4">
        <v>25521.6647017096</v>
      </c>
      <c r="I37" s="4">
        <v>26777.690204961</v>
      </c>
      <c r="J37" s="4">
        <v>26318.886209669301</v>
      </c>
      <c r="K37" s="4">
        <v>29306.9482568885</v>
      </c>
      <c r="L37" s="4">
        <v>30799.1506393901</v>
      </c>
      <c r="M37" s="4">
        <v>30327.5022218208</v>
      </c>
      <c r="N37" s="4">
        <v>30123.5799382804</v>
      </c>
    </row>
    <row r="38" spans="1:14" x14ac:dyDescent="0.25">
      <c r="A38" s="5" t="s">
        <v>70</v>
      </c>
      <c r="B38" s="5" t="s">
        <v>71</v>
      </c>
      <c r="C38" s="4">
        <v>6864.9780707542996</v>
      </c>
      <c r="D38" s="4">
        <v>7275.3702637074002</v>
      </c>
      <c r="E38" s="4">
        <v>7475.5719505933002</v>
      </c>
      <c r="F38" s="4">
        <v>7699.6843226207002</v>
      </c>
      <c r="G38" s="4">
        <v>7796.4620846063999</v>
      </c>
      <c r="H38" s="4">
        <v>8373.4390814160997</v>
      </c>
      <c r="I38" s="4">
        <v>8845.6995587566998</v>
      </c>
      <c r="J38" s="4">
        <v>9411.7268258861004</v>
      </c>
      <c r="K38" s="4">
        <v>10190.4816841048</v>
      </c>
      <c r="L38" s="4">
        <v>9931.3345916419003</v>
      </c>
      <c r="M38" s="4">
        <v>9672.3061692819992</v>
      </c>
      <c r="N38" s="4">
        <v>9589.3224474969993</v>
      </c>
    </row>
    <row r="39" spans="1:14" x14ac:dyDescent="0.25">
      <c r="A39" s="5" t="s">
        <v>72</v>
      </c>
      <c r="B39" s="5" t="s">
        <v>73</v>
      </c>
      <c r="C39" s="4">
        <v>17629.278413161199</v>
      </c>
      <c r="D39" s="4">
        <v>17858.780710578099</v>
      </c>
      <c r="E39" s="4">
        <v>17886.500408405202</v>
      </c>
      <c r="F39" s="4">
        <v>17383.108349602298</v>
      </c>
      <c r="G39" s="4">
        <v>16664.4851773144</v>
      </c>
      <c r="H39" s="4">
        <v>17148.225620293299</v>
      </c>
      <c r="I39" s="4">
        <v>17931.990646204002</v>
      </c>
      <c r="J39" s="4">
        <v>16987.789453600999</v>
      </c>
      <c r="K39" s="4">
        <v>19191.131504056699</v>
      </c>
      <c r="L39" s="4">
        <v>20755.700277895299</v>
      </c>
      <c r="M39" s="4">
        <v>20515.2183361237</v>
      </c>
      <c r="N39" s="4">
        <v>20390.482957174801</v>
      </c>
    </row>
    <row r="40" spans="1:14" x14ac:dyDescent="0.25">
      <c r="A40" s="5" t="s">
        <v>74</v>
      </c>
      <c r="B40" s="5" t="s">
        <v>75</v>
      </c>
      <c r="C40" s="4">
        <v>12816.8904803884</v>
      </c>
      <c r="D40" s="4">
        <v>13185.2050600167</v>
      </c>
      <c r="E40" s="4">
        <v>13562.671979831901</v>
      </c>
      <c r="F40" s="4">
        <v>13809.319509152499</v>
      </c>
      <c r="G40" s="4">
        <v>14141.8429585798</v>
      </c>
      <c r="H40" s="4">
        <v>14630.325672176399</v>
      </c>
      <c r="I40" s="4">
        <v>14860.1418545083</v>
      </c>
      <c r="J40" s="4">
        <v>14547.7108886769</v>
      </c>
      <c r="K40" s="4">
        <v>15359.1304849305</v>
      </c>
      <c r="L40" s="4">
        <v>15944.290489508399</v>
      </c>
      <c r="M40" s="4">
        <v>16186.426227125799</v>
      </c>
      <c r="N40" s="4">
        <v>16479.8904969133</v>
      </c>
    </row>
    <row r="41" spans="1:14" x14ac:dyDescent="0.25">
      <c r="A41" s="5" t="s">
        <v>76</v>
      </c>
      <c r="B41" s="5" t="s">
        <v>77</v>
      </c>
      <c r="C41" s="4">
        <v>18767.411818068598</v>
      </c>
      <c r="D41" s="4">
        <v>19476.2575246204</v>
      </c>
      <c r="E41" s="4">
        <v>19931.875539962901</v>
      </c>
      <c r="F41" s="4">
        <v>21398.2466817965</v>
      </c>
      <c r="G41" s="4">
        <v>22003.610684279902</v>
      </c>
      <c r="H41" s="4">
        <v>23063.484578393</v>
      </c>
      <c r="I41" s="4">
        <v>22856.1683862215</v>
      </c>
      <c r="J41" s="4">
        <v>19062.394448900799</v>
      </c>
      <c r="K41" s="4">
        <v>24048.8825666546</v>
      </c>
      <c r="L41" s="4">
        <v>26813.537655702101</v>
      </c>
      <c r="M41" s="4">
        <v>27475.015411407599</v>
      </c>
      <c r="N41" s="4">
        <v>28293.327713817202</v>
      </c>
    </row>
    <row r="42" spans="1:14" x14ac:dyDescent="0.25">
      <c r="A42" s="5" t="s">
        <v>78</v>
      </c>
      <c r="B42" s="5" t="s">
        <v>79</v>
      </c>
      <c r="C42" s="4">
        <v>8063.2162906734002</v>
      </c>
      <c r="D42" s="4">
        <v>8186.3165442041</v>
      </c>
      <c r="E42" s="4">
        <v>8527.5319772048006</v>
      </c>
      <c r="F42" s="4">
        <v>8834.8382615356004</v>
      </c>
      <c r="G42" s="4">
        <v>8996.9320387127991</v>
      </c>
      <c r="H42" s="4">
        <v>9101.3362369334991</v>
      </c>
      <c r="I42" s="4">
        <v>9329.4252462123004</v>
      </c>
      <c r="J42" s="4">
        <v>9596.7257390761006</v>
      </c>
      <c r="K42" s="4">
        <v>9828.4778485847</v>
      </c>
      <c r="L42" s="4">
        <v>9845.6542067092996</v>
      </c>
      <c r="M42" s="4">
        <v>9959.8733870852993</v>
      </c>
      <c r="N42" s="4">
        <v>10173.961510553399</v>
      </c>
    </row>
    <row r="43" spans="1:14" x14ac:dyDescent="0.25">
      <c r="A43" s="5" t="s">
        <v>80</v>
      </c>
      <c r="B43" s="5" t="s">
        <v>81</v>
      </c>
      <c r="C43" s="4">
        <v>152918.54384492099</v>
      </c>
      <c r="D43" s="4">
        <v>155688.678274823</v>
      </c>
      <c r="E43" s="4">
        <v>159060.73967182901</v>
      </c>
      <c r="F43" s="4">
        <v>161722.672358246</v>
      </c>
      <c r="G43" s="4">
        <v>163502.58989587901</v>
      </c>
      <c r="H43" s="4">
        <v>170093.99814332699</v>
      </c>
      <c r="I43" s="4">
        <v>171311.85526413799</v>
      </c>
      <c r="J43" s="4">
        <v>160709.441261281</v>
      </c>
      <c r="K43" s="4">
        <v>177076.99033318699</v>
      </c>
      <c r="L43" s="4">
        <v>181399.29542695801</v>
      </c>
      <c r="M43" s="4">
        <v>183881.980875765</v>
      </c>
      <c r="N43" s="4">
        <v>189262.055024584</v>
      </c>
    </row>
    <row r="44" spans="1:14" x14ac:dyDescent="0.25">
      <c r="A44" s="5" t="s">
        <v>82</v>
      </c>
      <c r="B44" s="5" t="s">
        <v>83</v>
      </c>
      <c r="C44" s="4">
        <v>16949.236392993898</v>
      </c>
      <c r="D44" s="4">
        <v>17223.902651451299</v>
      </c>
      <c r="E44" s="4">
        <v>17572.9089001129</v>
      </c>
      <c r="F44" s="4">
        <v>18005.8076507322</v>
      </c>
      <c r="G44" s="4">
        <v>18665.117720777602</v>
      </c>
      <c r="H44" s="4">
        <v>19340.869266638299</v>
      </c>
      <c r="I44" s="4">
        <v>19324.725442451399</v>
      </c>
      <c r="J44" s="4">
        <v>18216.5237079572</v>
      </c>
      <c r="K44" s="4">
        <v>22177.156368907501</v>
      </c>
      <c r="L44" s="4">
        <v>22120.212162575001</v>
      </c>
      <c r="M44" s="4">
        <v>20613.951701737798</v>
      </c>
      <c r="N44" s="4">
        <v>20642.733474305202</v>
      </c>
    </row>
    <row r="45" spans="1:14" x14ac:dyDescent="0.25">
      <c r="A45" s="5" t="s">
        <v>84</v>
      </c>
      <c r="B45" s="5" t="s">
        <v>85</v>
      </c>
      <c r="C45" s="4">
        <v>169863.885538887</v>
      </c>
      <c r="D45" s="4">
        <v>172908.94958511399</v>
      </c>
      <c r="E45" s="4">
        <v>176629.85075721401</v>
      </c>
      <c r="F45" s="4">
        <v>179726.24048337</v>
      </c>
      <c r="G45" s="4">
        <v>182166.375335338</v>
      </c>
      <c r="H45" s="4">
        <v>189434.86740996601</v>
      </c>
      <c r="I45" s="4">
        <v>190636.58070659</v>
      </c>
      <c r="J45" s="4">
        <v>178924.87042614701</v>
      </c>
      <c r="K45" s="4">
        <v>199170.07724785301</v>
      </c>
      <c r="L45" s="4">
        <v>203460.18788912601</v>
      </c>
      <c r="M45" s="4">
        <v>204520.96415521001</v>
      </c>
      <c r="N45" s="4">
        <v>209929.13562987599</v>
      </c>
    </row>
    <row r="46" spans="1:14" x14ac:dyDescent="0.25">
      <c r="A46" s="5" t="s">
        <v>86</v>
      </c>
      <c r="B46" s="5" t="s">
        <v>87</v>
      </c>
      <c r="C46" s="4">
        <v>153510.859631673</v>
      </c>
      <c r="D46" s="4">
        <v>156184.44715634</v>
      </c>
      <c r="E46" s="4">
        <v>160155.64838758399</v>
      </c>
      <c r="F46" s="4">
        <v>163638.794936441</v>
      </c>
      <c r="G46" s="4">
        <v>166306.471997883</v>
      </c>
      <c r="H46" s="4">
        <v>172609.43168161501</v>
      </c>
      <c r="I46" s="4">
        <v>174574.444826697</v>
      </c>
      <c r="J46" s="4">
        <v>162776.166626283</v>
      </c>
      <c r="K46" s="4">
        <v>184568.42526791501</v>
      </c>
      <c r="L46" s="4">
        <v>191143.153142617</v>
      </c>
      <c r="M46" s="4">
        <v>192286.83365936199</v>
      </c>
      <c r="N46" s="4">
        <v>196805.36112260399</v>
      </c>
    </row>
  </sheetData>
  <mergeCells count="1">
    <mergeCell ref="A1:N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87BB7-2309-400C-A679-B745CE40DB43}">
  <dimension ref="A1:N45"/>
  <sheetViews>
    <sheetView topLeftCell="A15" workbookViewId="0">
      <selection activeCell="E49" sqref="E49"/>
    </sheetView>
  </sheetViews>
  <sheetFormatPr baseColWidth="10" defaultRowHeight="15" x14ac:dyDescent="0.25"/>
  <sheetData>
    <row r="1" spans="1:14" ht="15.75" x14ac:dyDescent="0.25">
      <c r="A1" s="7" t="s">
        <v>88</v>
      </c>
      <c r="B1" s="7" t="s">
        <v>1</v>
      </c>
      <c r="C1" s="7" t="s">
        <v>1</v>
      </c>
      <c r="D1" s="7" t="s">
        <v>1</v>
      </c>
      <c r="E1" s="7" t="s">
        <v>1</v>
      </c>
      <c r="F1" s="7" t="s">
        <v>1</v>
      </c>
      <c r="G1" s="7" t="s">
        <v>1</v>
      </c>
      <c r="H1" s="7" t="s">
        <v>1</v>
      </c>
      <c r="I1" s="7" t="s">
        <v>1</v>
      </c>
      <c r="J1" s="7" t="s">
        <v>1</v>
      </c>
      <c r="K1" s="7" t="s">
        <v>1</v>
      </c>
      <c r="L1" s="7" t="s">
        <v>1</v>
      </c>
      <c r="M1" s="7" t="s">
        <v>1</v>
      </c>
      <c r="N1" s="7" t="s">
        <v>1</v>
      </c>
    </row>
    <row r="3" spans="1:14" ht="15.75" x14ac:dyDescent="0.25">
      <c r="A3" s="2" t="s">
        <v>2</v>
      </c>
      <c r="B3" s="2" t="s">
        <v>3</v>
      </c>
      <c r="C3" s="3"/>
      <c r="D3" s="3"/>
      <c r="E3" s="3"/>
      <c r="F3" s="3"/>
      <c r="G3" s="3"/>
      <c r="H3" s="3"/>
      <c r="I3" s="3"/>
      <c r="J3" s="3"/>
      <c r="K3" s="3"/>
      <c r="L3" s="3"/>
      <c r="M3" s="3"/>
      <c r="N3" s="3"/>
    </row>
    <row r="4" spans="1:14" ht="15.75" x14ac:dyDescent="0.25">
      <c r="A4" s="2" t="s">
        <v>4</v>
      </c>
      <c r="B4" s="2" t="s">
        <v>5</v>
      </c>
      <c r="C4" s="3"/>
      <c r="D4" s="3"/>
      <c r="E4" s="3"/>
      <c r="F4" s="3"/>
      <c r="G4" s="3"/>
      <c r="H4" s="3"/>
      <c r="I4" s="3"/>
      <c r="J4" s="3"/>
      <c r="K4" s="3"/>
      <c r="L4" s="3"/>
      <c r="M4" s="3"/>
      <c r="N4" s="3"/>
    </row>
    <row r="5" spans="1:14" ht="15.75" x14ac:dyDescent="0.25">
      <c r="A5" s="2" t="s">
        <v>6</v>
      </c>
      <c r="B5" s="2" t="s">
        <v>7</v>
      </c>
      <c r="C5" s="3"/>
      <c r="D5" s="3"/>
      <c r="E5" s="3"/>
      <c r="F5" s="3"/>
      <c r="G5" s="3"/>
      <c r="H5" s="3"/>
      <c r="I5" s="3"/>
      <c r="J5" s="3"/>
      <c r="K5" s="3"/>
      <c r="L5" s="3"/>
      <c r="M5" s="3"/>
      <c r="N5" s="3"/>
    </row>
    <row r="6" spans="1:14" ht="15.75" x14ac:dyDescent="0.25">
      <c r="A6" s="2" t="s">
        <v>8</v>
      </c>
      <c r="B6" s="2" t="s">
        <v>9</v>
      </c>
      <c r="C6" s="3"/>
      <c r="D6" s="3"/>
      <c r="E6" s="3"/>
      <c r="F6" s="3"/>
      <c r="G6" s="3"/>
      <c r="H6" s="3"/>
      <c r="I6" s="3"/>
      <c r="J6" s="3"/>
      <c r="K6" s="3"/>
      <c r="L6" s="3"/>
      <c r="M6" s="3"/>
      <c r="N6" s="3"/>
    </row>
    <row r="7" spans="1:14" ht="15.75" x14ac:dyDescent="0.25">
      <c r="A7" s="2" t="s">
        <v>10</v>
      </c>
      <c r="B7" s="2" t="s">
        <v>11</v>
      </c>
      <c r="C7" s="3"/>
      <c r="D7" s="3"/>
      <c r="E7" s="3"/>
      <c r="F7" s="3"/>
      <c r="G7" s="3"/>
      <c r="H7" s="3"/>
      <c r="I7" s="3"/>
      <c r="J7" s="3"/>
      <c r="K7" s="3"/>
      <c r="L7" s="3"/>
      <c r="M7" s="3"/>
      <c r="N7" s="3"/>
    </row>
    <row r="8" spans="1:14" ht="15.75" x14ac:dyDescent="0.25">
      <c r="A8" s="2" t="s">
        <v>12</v>
      </c>
      <c r="B8" s="2" t="s">
        <v>13</v>
      </c>
      <c r="C8" s="3"/>
      <c r="D8" s="3"/>
      <c r="E8" s="3"/>
      <c r="F8" s="3"/>
      <c r="G8" s="3"/>
      <c r="H8" s="3"/>
      <c r="I8" s="3"/>
      <c r="J8" s="3"/>
      <c r="K8" s="3"/>
      <c r="L8" s="3"/>
      <c r="M8" s="3"/>
      <c r="N8" s="3"/>
    </row>
    <row r="9" spans="1:14" ht="15.75" x14ac:dyDescent="0.25">
      <c r="A9" s="2" t="s">
        <v>14</v>
      </c>
      <c r="B9" s="2" t="s">
        <v>15</v>
      </c>
      <c r="C9" s="3"/>
      <c r="D9" s="3"/>
      <c r="E9" s="3"/>
      <c r="F9" s="3"/>
      <c r="G9" s="3"/>
      <c r="H9" s="3"/>
      <c r="I9" s="3"/>
      <c r="J9" s="3"/>
      <c r="K9" s="3"/>
      <c r="L9" s="3"/>
      <c r="M9" s="3"/>
      <c r="N9" s="3"/>
    </row>
    <row r="10" spans="1:14" ht="15.75" x14ac:dyDescent="0.25">
      <c r="A10" s="2" t="s">
        <v>16</v>
      </c>
      <c r="B10" s="2" t="s">
        <v>17</v>
      </c>
      <c r="C10" s="3"/>
      <c r="D10" s="3"/>
      <c r="E10" s="3"/>
      <c r="F10" s="3"/>
      <c r="G10" s="3"/>
      <c r="H10" s="3"/>
      <c r="I10" s="3"/>
      <c r="J10" s="3"/>
      <c r="K10" s="3"/>
      <c r="L10" s="3"/>
      <c r="M10" s="3"/>
      <c r="N10" s="3"/>
    </row>
    <row r="11" spans="1:14" ht="15.75" x14ac:dyDescent="0.25">
      <c r="A11" s="2" t="s">
        <v>18</v>
      </c>
      <c r="B11" s="2" t="s">
        <v>19</v>
      </c>
      <c r="C11" s="3"/>
      <c r="D11" s="3"/>
      <c r="E11" s="3"/>
      <c r="F11" s="3"/>
      <c r="G11" s="3"/>
      <c r="H11" s="3"/>
      <c r="I11" s="3"/>
      <c r="J11" s="3"/>
      <c r="K11" s="3"/>
      <c r="L11" s="3"/>
      <c r="M11" s="3"/>
      <c r="N11" s="3"/>
    </row>
    <row r="12" spans="1:14" ht="15.75" x14ac:dyDescent="0.25">
      <c r="A12" s="2" t="s">
        <v>20</v>
      </c>
      <c r="B12" s="2" t="s">
        <v>89</v>
      </c>
      <c r="C12" s="3"/>
      <c r="D12" s="3"/>
      <c r="E12" s="3"/>
      <c r="F12" s="3"/>
      <c r="G12" s="3"/>
      <c r="H12" s="3"/>
      <c r="I12" s="3"/>
      <c r="J12" s="3"/>
      <c r="K12" s="3"/>
      <c r="L12" s="3"/>
      <c r="M12" s="3"/>
      <c r="N12" s="3"/>
    </row>
    <row r="14" spans="1:14" ht="15.75" x14ac:dyDescent="0.25">
      <c r="A14" s="1" t="s">
        <v>22</v>
      </c>
      <c r="B14" s="1" t="s">
        <v>23</v>
      </c>
      <c r="C14" s="6">
        <v>41275</v>
      </c>
      <c r="D14" s="6">
        <v>41640</v>
      </c>
      <c r="E14" s="6">
        <v>42005</v>
      </c>
      <c r="F14" s="6">
        <v>42370</v>
      </c>
      <c r="G14" s="6">
        <v>42736</v>
      </c>
      <c r="H14" s="6">
        <v>43101</v>
      </c>
      <c r="I14" s="6">
        <v>43466</v>
      </c>
      <c r="J14" s="6">
        <v>43831</v>
      </c>
      <c r="K14" s="6">
        <v>44197</v>
      </c>
      <c r="L14" s="6">
        <v>44562</v>
      </c>
      <c r="M14" s="6">
        <v>44927</v>
      </c>
      <c r="N14" s="6">
        <v>45292</v>
      </c>
    </row>
    <row r="15" spans="1:14" x14ac:dyDescent="0.25">
      <c r="A15" s="5" t="s">
        <v>24</v>
      </c>
      <c r="B15" s="5" t="s">
        <v>25</v>
      </c>
      <c r="C15" s="4">
        <v>4235.1984647867403</v>
      </c>
      <c r="D15" s="4">
        <v>4685.2542348979596</v>
      </c>
      <c r="E15" s="4">
        <v>5284.48074432667</v>
      </c>
      <c r="F15" s="4">
        <v>6075.5144878165602</v>
      </c>
      <c r="G15" s="4">
        <v>6155.7591446225197</v>
      </c>
      <c r="H15" s="4">
        <v>6049.7802960835897</v>
      </c>
      <c r="I15" s="4">
        <v>6228.0023956197701</v>
      </c>
      <c r="J15" s="4">
        <v>7202.2419232704497</v>
      </c>
      <c r="K15" s="4">
        <v>7261.0423954617099</v>
      </c>
      <c r="L15" s="4">
        <v>6929.64013999708</v>
      </c>
      <c r="M15" s="4">
        <v>8506.3763456691995</v>
      </c>
      <c r="N15" s="4">
        <v>10617.4029917239</v>
      </c>
    </row>
    <row r="16" spans="1:14" x14ac:dyDescent="0.25">
      <c r="A16" s="5" t="s">
        <v>26</v>
      </c>
      <c r="B16" s="5" t="s">
        <v>27</v>
      </c>
      <c r="C16" s="4">
        <v>534.06513349781096</v>
      </c>
      <c r="D16" s="4">
        <v>1153.8218999973201</v>
      </c>
      <c r="E16" s="4">
        <v>599.48399580181001</v>
      </c>
      <c r="F16" s="4">
        <v>1011.06558495405</v>
      </c>
      <c r="G16" s="4">
        <v>1520.66125632123</v>
      </c>
      <c r="H16" s="4">
        <v>1390.1527402705201</v>
      </c>
      <c r="I16" s="4">
        <v>1569.43543122642</v>
      </c>
      <c r="J16" s="4">
        <v>939.49292308664997</v>
      </c>
      <c r="K16" s="4">
        <v>1132.6322948084</v>
      </c>
      <c r="L16" s="4">
        <v>1579.68317534983</v>
      </c>
      <c r="M16" s="4">
        <v>1331.09068829783</v>
      </c>
      <c r="N16" s="4">
        <v>1574.7297918693901</v>
      </c>
    </row>
    <row r="17" spans="1:14" x14ac:dyDescent="0.25">
      <c r="A17" s="5" t="s">
        <v>28</v>
      </c>
      <c r="B17" s="5" t="s">
        <v>29</v>
      </c>
      <c r="C17" s="4">
        <v>14257.5425026096</v>
      </c>
      <c r="D17" s="4">
        <v>15064.830734569099</v>
      </c>
      <c r="E17" s="4">
        <v>12600.328471159801</v>
      </c>
      <c r="F17" s="4">
        <v>12486.267881198501</v>
      </c>
      <c r="G17" s="4">
        <v>16096.3603669272</v>
      </c>
      <c r="H17" s="4">
        <v>16825.435728352</v>
      </c>
      <c r="I17" s="4">
        <v>15975.0536982638</v>
      </c>
      <c r="J17" s="4">
        <v>23314.881756203398</v>
      </c>
      <c r="K17" s="4">
        <v>33682.150674866702</v>
      </c>
      <c r="L17" s="4">
        <v>35174.717990000703</v>
      </c>
      <c r="M17" s="4">
        <v>29486.7265574798</v>
      </c>
      <c r="N17" s="4">
        <v>36599.962020717401</v>
      </c>
    </row>
    <row r="18" spans="1:14" x14ac:dyDescent="0.25">
      <c r="A18" s="5" t="s">
        <v>30</v>
      </c>
      <c r="B18" s="5" t="s">
        <v>31</v>
      </c>
      <c r="C18" s="4">
        <v>12627.3157189513</v>
      </c>
      <c r="D18" s="4">
        <v>13595.9828105248</v>
      </c>
      <c r="E18" s="4">
        <v>11371.401729118899</v>
      </c>
      <c r="F18" s="4">
        <v>10884.600917588299</v>
      </c>
      <c r="G18" s="4">
        <v>14430.219447495099</v>
      </c>
      <c r="H18" s="4">
        <v>14971.5281852974</v>
      </c>
      <c r="I18" s="4">
        <v>14187.463515781999</v>
      </c>
      <c r="J18" s="4">
        <v>21018.892191416198</v>
      </c>
      <c r="K18" s="4">
        <v>30464.705184351598</v>
      </c>
      <c r="L18" s="4">
        <v>25427.734094425301</v>
      </c>
      <c r="M18" s="4">
        <v>22458.654908557601</v>
      </c>
      <c r="N18" s="4">
        <v>32072.243905778902</v>
      </c>
    </row>
    <row r="19" spans="1:14" x14ac:dyDescent="0.25">
      <c r="A19" s="5" t="s">
        <v>32</v>
      </c>
      <c r="B19" s="5" t="s">
        <v>33</v>
      </c>
      <c r="C19" s="4">
        <v>1630.22678365826</v>
      </c>
      <c r="D19" s="4">
        <v>1468.8479240443501</v>
      </c>
      <c r="E19" s="4">
        <v>1228.9267420409601</v>
      </c>
      <c r="F19" s="4">
        <v>1601.6669636102399</v>
      </c>
      <c r="G19" s="4">
        <v>1666.14091943208</v>
      </c>
      <c r="H19" s="4">
        <v>1853.9075430545499</v>
      </c>
      <c r="I19" s="4">
        <v>1787.5901824816301</v>
      </c>
      <c r="J19" s="4">
        <v>2295.9895647871999</v>
      </c>
      <c r="K19" s="4">
        <v>3217.4454905154598</v>
      </c>
      <c r="L19" s="4">
        <v>9746.9838955755004</v>
      </c>
      <c r="M19" s="4">
        <v>7028.0716489219003</v>
      </c>
      <c r="N19" s="4">
        <v>4527.7181149383896</v>
      </c>
    </row>
    <row r="20" spans="1:14" x14ac:dyDescent="0.25">
      <c r="A20" s="5" t="s">
        <v>34</v>
      </c>
      <c r="B20" s="5" t="s">
        <v>90</v>
      </c>
      <c r="C20" s="4">
        <v>13710.3674527695</v>
      </c>
      <c r="D20" s="4">
        <v>14677.4561853295</v>
      </c>
      <c r="E20" s="4">
        <v>16494.9811896477</v>
      </c>
      <c r="F20" s="4">
        <v>16380.173826382899</v>
      </c>
      <c r="G20" s="4">
        <v>16426.761011513201</v>
      </c>
      <c r="H20" s="4">
        <v>18193.729714131699</v>
      </c>
      <c r="I20" s="4">
        <v>17537.426888805901</v>
      </c>
      <c r="J20" s="4">
        <v>18105.713732047301</v>
      </c>
      <c r="K20" s="4">
        <v>20423.683567022901</v>
      </c>
      <c r="L20" s="4">
        <v>24926.6857060974</v>
      </c>
      <c r="M20" s="4">
        <v>26512.4637630623</v>
      </c>
      <c r="N20" s="4">
        <v>28079.404120790801</v>
      </c>
    </row>
    <row r="21" spans="1:14" x14ac:dyDescent="0.25">
      <c r="A21" s="5" t="s">
        <v>36</v>
      </c>
      <c r="B21" s="5" t="s">
        <v>37</v>
      </c>
      <c r="C21" s="4">
        <v>4425.5805240796999</v>
      </c>
      <c r="D21" s="4">
        <v>4876.7880357147997</v>
      </c>
      <c r="E21" s="4">
        <v>6008.7878105883001</v>
      </c>
      <c r="F21" s="4">
        <v>5991.2912328348002</v>
      </c>
      <c r="G21" s="4">
        <v>6175.1572191387004</v>
      </c>
      <c r="H21" s="4">
        <v>7065.8634558187996</v>
      </c>
      <c r="I21" s="4">
        <v>7068.6005092163005</v>
      </c>
      <c r="J21" s="4">
        <v>7417.2973437575001</v>
      </c>
      <c r="K21" s="4">
        <v>7614.1788094377998</v>
      </c>
      <c r="L21" s="4">
        <v>9177.8682097825003</v>
      </c>
      <c r="M21" s="4">
        <v>10464.7213083064</v>
      </c>
      <c r="N21" s="4">
        <v>11119.3790561189</v>
      </c>
    </row>
    <row r="22" spans="1:14" x14ac:dyDescent="0.25">
      <c r="A22" s="5" t="s">
        <v>38</v>
      </c>
      <c r="B22" s="5" t="s">
        <v>39</v>
      </c>
      <c r="C22" s="4">
        <v>3234.6585734784799</v>
      </c>
      <c r="D22" s="4">
        <v>3685.85301690797</v>
      </c>
      <c r="E22" s="4">
        <v>4366.6220798956001</v>
      </c>
      <c r="F22" s="4">
        <v>4606.4353829621996</v>
      </c>
      <c r="G22" s="4">
        <v>4915.6605409180002</v>
      </c>
      <c r="H22" s="4">
        <v>5286.0533065662003</v>
      </c>
      <c r="I22" s="4">
        <v>5278.7376622552001</v>
      </c>
      <c r="J22" s="4">
        <v>5598.0424641881</v>
      </c>
      <c r="K22" s="4">
        <v>5655.7551669350996</v>
      </c>
      <c r="L22" s="4">
        <v>7328.2202078066002</v>
      </c>
      <c r="M22" s="4">
        <v>8208.0216902297998</v>
      </c>
      <c r="N22" s="4">
        <v>8844.7701464697002</v>
      </c>
    </row>
    <row r="23" spans="1:14" x14ac:dyDescent="0.25">
      <c r="A23" s="5" t="s">
        <v>40</v>
      </c>
      <c r="B23" s="5" t="s">
        <v>41</v>
      </c>
      <c r="C23" s="4">
        <v>1190.9219506014099</v>
      </c>
      <c r="D23" s="4">
        <v>1190.9350188071101</v>
      </c>
      <c r="E23" s="4">
        <v>1642.1657306925499</v>
      </c>
      <c r="F23" s="4">
        <v>1384.85584987265</v>
      </c>
      <c r="G23" s="4">
        <v>1259.49667822065</v>
      </c>
      <c r="H23" s="4">
        <v>1779.8101492527001</v>
      </c>
      <c r="I23" s="4">
        <v>1789.8628469609901</v>
      </c>
      <c r="J23" s="4">
        <v>1819.2548795694399</v>
      </c>
      <c r="K23" s="4">
        <v>1958.42364250282</v>
      </c>
      <c r="L23" s="4">
        <v>1849.6480019759499</v>
      </c>
      <c r="M23" s="4">
        <v>2256.69961807659</v>
      </c>
      <c r="N23" s="4">
        <v>2274.6089096492201</v>
      </c>
    </row>
    <row r="24" spans="1:14" x14ac:dyDescent="0.25">
      <c r="A24" s="5" t="s">
        <v>42</v>
      </c>
      <c r="B24" s="5" t="s">
        <v>43</v>
      </c>
      <c r="C24" s="4">
        <v>405.718644305064</v>
      </c>
      <c r="D24" s="4">
        <v>355.994621471784</v>
      </c>
      <c r="E24" s="4">
        <v>326.81414530404402</v>
      </c>
      <c r="F24" s="4">
        <v>345.73089568748497</v>
      </c>
      <c r="G24" s="4">
        <v>339.51997857162598</v>
      </c>
      <c r="H24" s="4">
        <v>291.00293230717301</v>
      </c>
      <c r="I24" s="4">
        <v>239.75235792691601</v>
      </c>
      <c r="J24" s="4">
        <v>188.72697244134699</v>
      </c>
      <c r="K24" s="4">
        <v>220.29413886917899</v>
      </c>
      <c r="L24" s="4">
        <v>181.98090372050299</v>
      </c>
      <c r="M24" s="4">
        <v>254.969653930259</v>
      </c>
      <c r="N24" s="4">
        <v>198.88615335897799</v>
      </c>
    </row>
    <row r="25" spans="1:14" x14ac:dyDescent="0.25">
      <c r="A25" s="5" t="s">
        <v>44</v>
      </c>
      <c r="B25" s="5" t="s">
        <v>45</v>
      </c>
      <c r="C25" s="4">
        <v>812.79171961133</v>
      </c>
      <c r="D25" s="4">
        <v>1071.09820799114</v>
      </c>
      <c r="E25" s="4">
        <v>1212.6202129250401</v>
      </c>
      <c r="F25" s="4">
        <v>1238.86279421933</v>
      </c>
      <c r="G25" s="4">
        <v>1196.4157509321701</v>
      </c>
      <c r="H25" s="4">
        <v>1220.2063819585601</v>
      </c>
      <c r="I25" s="4">
        <v>1119.3324254204099</v>
      </c>
      <c r="J25" s="4">
        <v>1170.36953427355</v>
      </c>
      <c r="K25" s="4">
        <v>1549.2292743216301</v>
      </c>
      <c r="L25" s="4">
        <v>1837.1324359052401</v>
      </c>
      <c r="M25" s="4">
        <v>1209.6644221777301</v>
      </c>
      <c r="N25" s="4">
        <v>1228.1873940837099</v>
      </c>
    </row>
    <row r="26" spans="1:14" x14ac:dyDescent="0.25">
      <c r="A26" s="5" t="s">
        <v>46</v>
      </c>
      <c r="B26" s="5" t="s">
        <v>47</v>
      </c>
      <c r="C26" s="4">
        <v>890.65645093934995</v>
      </c>
      <c r="D26" s="4">
        <v>1137.98687693173</v>
      </c>
      <c r="E26" s="4">
        <v>1431.05208892934</v>
      </c>
      <c r="F26" s="4">
        <v>1335.5226667777799</v>
      </c>
      <c r="G26" s="4">
        <v>1490.4308292016999</v>
      </c>
      <c r="H26" s="4">
        <v>1916.5503971235401</v>
      </c>
      <c r="I26" s="4">
        <v>1337.9626307779699</v>
      </c>
      <c r="J26" s="4">
        <v>1159.9259967529899</v>
      </c>
      <c r="K26" s="4">
        <v>1686.1685634242799</v>
      </c>
      <c r="L26" s="4">
        <v>1881.1556421847999</v>
      </c>
      <c r="M26" s="4">
        <v>1438.31873941753</v>
      </c>
      <c r="N26" s="4">
        <v>1913.44992260873</v>
      </c>
    </row>
    <row r="27" spans="1:14" x14ac:dyDescent="0.25">
      <c r="A27" s="5" t="s">
        <v>48</v>
      </c>
      <c r="B27" s="5" t="s">
        <v>49</v>
      </c>
      <c r="C27" s="4">
        <v>3374.71365105109</v>
      </c>
      <c r="D27" s="4">
        <v>3557.9769746142001</v>
      </c>
      <c r="E27" s="4">
        <v>3742.3819209623298</v>
      </c>
      <c r="F27" s="4">
        <v>3457.3107487364</v>
      </c>
      <c r="G27" s="4">
        <v>3229.4362308238101</v>
      </c>
      <c r="H27" s="4">
        <v>3416.6724575789699</v>
      </c>
      <c r="I27" s="4">
        <v>3379.76250878665</v>
      </c>
      <c r="J27" s="4">
        <v>3664.0586197167399</v>
      </c>
      <c r="K27" s="4">
        <v>4136.9697807718103</v>
      </c>
      <c r="L27" s="4">
        <v>5755.7737296658997</v>
      </c>
      <c r="M27" s="4">
        <v>6155.3307891062304</v>
      </c>
      <c r="N27" s="4">
        <v>6180.95712680421</v>
      </c>
    </row>
    <row r="28" spans="1:14" x14ac:dyDescent="0.25">
      <c r="A28" s="5" t="s">
        <v>50</v>
      </c>
      <c r="B28" s="5" t="s">
        <v>51</v>
      </c>
      <c r="C28" s="4">
        <v>924.11014256093995</v>
      </c>
      <c r="D28" s="4">
        <v>994.47349349520005</v>
      </c>
      <c r="E28" s="4">
        <v>943.30677826201998</v>
      </c>
      <c r="F28" s="4">
        <v>919.92612980319996</v>
      </c>
      <c r="G28" s="4">
        <v>832.42149683795003</v>
      </c>
      <c r="H28" s="4">
        <v>1018.7149970031101</v>
      </c>
      <c r="I28" s="4">
        <v>1038.1190643205</v>
      </c>
      <c r="J28" s="4">
        <v>1053.70001406704</v>
      </c>
      <c r="K28" s="4">
        <v>1469.3666036494101</v>
      </c>
      <c r="L28" s="4">
        <v>1455.04347033164</v>
      </c>
      <c r="M28" s="4">
        <v>1482.5755125621699</v>
      </c>
      <c r="N28" s="4">
        <v>1439.5752179456599</v>
      </c>
    </row>
    <row r="29" spans="1:14" x14ac:dyDescent="0.25">
      <c r="A29" s="5" t="s">
        <v>52</v>
      </c>
      <c r="B29" s="5" t="s">
        <v>53</v>
      </c>
      <c r="C29" s="4">
        <v>2876.7963202218898</v>
      </c>
      <c r="D29" s="4">
        <v>2683.1379751105101</v>
      </c>
      <c r="E29" s="4">
        <v>2830.0182326766299</v>
      </c>
      <c r="F29" s="4">
        <v>3091.5293583237099</v>
      </c>
      <c r="G29" s="4">
        <v>3163.3795060070902</v>
      </c>
      <c r="H29" s="4">
        <v>3264.7190923415201</v>
      </c>
      <c r="I29" s="4">
        <v>3353.8973923570902</v>
      </c>
      <c r="J29" s="4">
        <v>3451.6352510379302</v>
      </c>
      <c r="K29" s="4">
        <v>3747.4763965485099</v>
      </c>
      <c r="L29" s="4">
        <v>4637.7313145063499</v>
      </c>
      <c r="M29" s="4">
        <v>5506.8833375615995</v>
      </c>
      <c r="N29" s="4">
        <v>5998.9692498699997</v>
      </c>
    </row>
    <row r="30" spans="1:14" x14ac:dyDescent="0.25">
      <c r="A30" s="5" t="s">
        <v>54</v>
      </c>
      <c r="B30" s="5" t="s">
        <v>55</v>
      </c>
      <c r="C30" s="4">
        <v>3802.25978263559</v>
      </c>
      <c r="D30" s="4">
        <v>3963.25604765659</v>
      </c>
      <c r="E30" s="4">
        <v>4817.2440185179003</v>
      </c>
      <c r="F30" s="4">
        <v>5306.9215576747001</v>
      </c>
      <c r="G30" s="4">
        <v>5559.6433208783001</v>
      </c>
      <c r="H30" s="4">
        <v>5507.8614133600004</v>
      </c>
      <c r="I30" s="4">
        <v>6241.7189653796004</v>
      </c>
      <c r="J30" s="4">
        <v>6591.6080304515999</v>
      </c>
      <c r="K30" s="4">
        <v>5979.9777885875001</v>
      </c>
      <c r="L30" s="4">
        <v>6107.7565230975997</v>
      </c>
      <c r="M30" s="4">
        <v>8485.5573904098001</v>
      </c>
      <c r="N30" s="4">
        <v>11095.4222510045</v>
      </c>
    </row>
    <row r="31" spans="1:14" x14ac:dyDescent="0.25">
      <c r="A31" s="5" t="s">
        <v>56</v>
      </c>
      <c r="B31" s="5" t="s">
        <v>57</v>
      </c>
      <c r="C31" s="4">
        <v>8640.5259351332006</v>
      </c>
      <c r="D31" s="4">
        <v>9056.6217129491997</v>
      </c>
      <c r="E31" s="4">
        <v>10312.5274737745</v>
      </c>
      <c r="F31" s="4">
        <v>11021.0861137916</v>
      </c>
      <c r="G31" s="4">
        <v>11015.730688449799</v>
      </c>
      <c r="H31" s="4">
        <v>12252.4118694794</v>
      </c>
      <c r="I31" s="4">
        <v>13270.9576669989</v>
      </c>
      <c r="J31" s="4">
        <v>12022.111617688201</v>
      </c>
      <c r="K31" s="4">
        <v>13798.7485681244</v>
      </c>
      <c r="L31" s="4">
        <v>15428.063347105701</v>
      </c>
      <c r="M31" s="4">
        <v>16698.736636849</v>
      </c>
      <c r="N31" s="4">
        <v>17981.986194802201</v>
      </c>
    </row>
    <row r="32" spans="1:14" x14ac:dyDescent="0.25">
      <c r="A32" s="5" t="s">
        <v>58</v>
      </c>
      <c r="B32" s="5" t="s">
        <v>59</v>
      </c>
      <c r="C32" s="4">
        <v>15021.1286060896</v>
      </c>
      <c r="D32" s="4">
        <v>16524.3238071501</v>
      </c>
      <c r="E32" s="4">
        <v>18046.0687589548</v>
      </c>
      <c r="F32" s="4">
        <v>19614.623329125901</v>
      </c>
      <c r="G32" s="4">
        <v>20776.2943969271</v>
      </c>
      <c r="H32" s="4">
        <v>21529.631660536401</v>
      </c>
      <c r="I32" s="4">
        <v>21755.330187729902</v>
      </c>
      <c r="J32" s="4">
        <v>20562.509255913399</v>
      </c>
      <c r="K32" s="4">
        <v>27066.5047190695</v>
      </c>
      <c r="L32" s="4">
        <v>28485.741595756699</v>
      </c>
      <c r="M32" s="4">
        <v>31604.256490684002</v>
      </c>
      <c r="N32" s="4">
        <v>32591.776414871601</v>
      </c>
    </row>
    <row r="33" spans="1:14" x14ac:dyDescent="0.25">
      <c r="A33" s="5" t="s">
        <v>60</v>
      </c>
      <c r="B33" s="5" t="s">
        <v>61</v>
      </c>
      <c r="C33" s="4">
        <v>12728.4676668251</v>
      </c>
      <c r="D33" s="4">
        <v>13849.7145755004</v>
      </c>
      <c r="E33" s="4">
        <v>15106.1737313542</v>
      </c>
      <c r="F33" s="4">
        <v>16355.7439919997</v>
      </c>
      <c r="G33" s="4">
        <v>17135.8804933873</v>
      </c>
      <c r="H33" s="4">
        <v>17493.6806350478</v>
      </c>
      <c r="I33" s="4">
        <v>17507.749529573201</v>
      </c>
      <c r="J33" s="4">
        <v>18145.977749854501</v>
      </c>
      <c r="K33" s="4">
        <v>23648.718604911999</v>
      </c>
      <c r="L33" s="4">
        <v>24000.215409015</v>
      </c>
      <c r="M33" s="4">
        <v>26038.6350062169</v>
      </c>
      <c r="N33" s="4">
        <v>26346.238312477399</v>
      </c>
    </row>
    <row r="34" spans="1:14" x14ac:dyDescent="0.25">
      <c r="A34" s="5" t="s">
        <v>62</v>
      </c>
      <c r="B34" s="5" t="s">
        <v>63</v>
      </c>
      <c r="C34" s="4">
        <v>2292.66093926444</v>
      </c>
      <c r="D34" s="4">
        <v>2674.6092316497602</v>
      </c>
      <c r="E34" s="4">
        <v>2939.8950276005598</v>
      </c>
      <c r="F34" s="4">
        <v>3258.8793371261499</v>
      </c>
      <c r="G34" s="4">
        <v>3640.4139035396402</v>
      </c>
      <c r="H34" s="4">
        <v>4035.9510254885199</v>
      </c>
      <c r="I34" s="4">
        <v>4247.5806581565002</v>
      </c>
      <c r="J34" s="4">
        <v>2416.5315060589101</v>
      </c>
      <c r="K34" s="4">
        <v>3417.7861141572998</v>
      </c>
      <c r="L34" s="4">
        <v>4485.5261867415002</v>
      </c>
      <c r="M34" s="4">
        <v>5565.6214844670003</v>
      </c>
      <c r="N34" s="4">
        <v>6245.5381023941</v>
      </c>
    </row>
    <row r="35" spans="1:14" x14ac:dyDescent="0.25">
      <c r="A35" s="5" t="s">
        <v>64</v>
      </c>
      <c r="B35" s="5" t="s">
        <v>65</v>
      </c>
      <c r="C35" s="4">
        <v>8112.0055566699002</v>
      </c>
      <c r="D35" s="4">
        <v>8787.2121970158005</v>
      </c>
      <c r="E35" s="4">
        <v>10386.1913590232</v>
      </c>
      <c r="F35" s="4">
        <v>10836.2504203194</v>
      </c>
      <c r="G35" s="4">
        <v>10934.235335126001</v>
      </c>
      <c r="H35" s="4">
        <v>10753.715830743</v>
      </c>
      <c r="I35" s="4">
        <v>11205.613922378199</v>
      </c>
      <c r="J35" s="4">
        <v>9665.5350147149002</v>
      </c>
      <c r="K35" s="4">
        <v>11701.114766778301</v>
      </c>
      <c r="L35" s="4">
        <v>12482.920019335301</v>
      </c>
      <c r="M35" s="4">
        <v>15302.2078013133</v>
      </c>
      <c r="N35" s="4">
        <v>17483.7072379397</v>
      </c>
    </row>
    <row r="36" spans="1:14" x14ac:dyDescent="0.25">
      <c r="A36" s="5" t="s">
        <v>66</v>
      </c>
      <c r="B36" s="5" t="s">
        <v>67</v>
      </c>
      <c r="C36" s="4">
        <v>4718.0780137375996</v>
      </c>
      <c r="D36" s="4">
        <v>4880.3163659490001</v>
      </c>
      <c r="E36" s="4">
        <v>5065.6621915987998</v>
      </c>
      <c r="F36" s="4">
        <v>5144.7334592712996</v>
      </c>
      <c r="G36" s="4">
        <v>5263.1796661878998</v>
      </c>
      <c r="H36" s="4">
        <v>5274.4677011579997</v>
      </c>
      <c r="I36" s="4">
        <v>5459.9652611554002</v>
      </c>
      <c r="J36" s="4">
        <v>5394.7323883166</v>
      </c>
      <c r="K36" s="4">
        <v>6086.6500514726004</v>
      </c>
      <c r="L36" s="4">
        <v>6846.8978785435002</v>
      </c>
      <c r="M36" s="4">
        <v>7295.3057095554004</v>
      </c>
      <c r="N36" s="4">
        <v>7684.2540127641996</v>
      </c>
    </row>
    <row r="37" spans="1:14" x14ac:dyDescent="0.25">
      <c r="A37" s="5" t="s">
        <v>68</v>
      </c>
      <c r="B37" s="5" t="s">
        <v>69</v>
      </c>
      <c r="C37" s="4">
        <v>20157.949906607701</v>
      </c>
      <c r="D37" s="4">
        <v>21106.032447024099</v>
      </c>
      <c r="E37" s="4">
        <v>22392.102693954599</v>
      </c>
      <c r="F37" s="4">
        <v>23255.103801824102</v>
      </c>
      <c r="G37" s="4">
        <v>23603.853790317498</v>
      </c>
      <c r="H37" s="4">
        <v>25521.6647017096</v>
      </c>
      <c r="I37" s="4">
        <v>26770.7102774751</v>
      </c>
      <c r="J37" s="4">
        <v>27292.058057635899</v>
      </c>
      <c r="K37" s="4">
        <v>29228.988469797499</v>
      </c>
      <c r="L37" s="4">
        <v>33751.321447268201</v>
      </c>
      <c r="M37" s="4">
        <v>36958.525787431397</v>
      </c>
      <c r="N37" s="4">
        <v>40838.063669026204</v>
      </c>
    </row>
    <row r="38" spans="1:14" x14ac:dyDescent="0.25">
      <c r="A38" s="5" t="s">
        <v>70</v>
      </c>
      <c r="B38" s="5" t="s">
        <v>71</v>
      </c>
      <c r="C38" s="4">
        <v>6451.5680388089004</v>
      </c>
      <c r="D38" s="4">
        <v>6538.5314109723004</v>
      </c>
      <c r="E38" s="4">
        <v>6822.8819770438004</v>
      </c>
      <c r="F38" s="4">
        <v>7230.7342599967997</v>
      </c>
      <c r="G38" s="4">
        <v>7534.7510768265001</v>
      </c>
      <c r="H38" s="4">
        <v>8373.4390814159997</v>
      </c>
      <c r="I38" s="4">
        <v>8152.3221150283998</v>
      </c>
      <c r="J38" s="4">
        <v>9397.0706073729998</v>
      </c>
      <c r="K38" s="4">
        <v>8364.9250024362991</v>
      </c>
      <c r="L38" s="4">
        <v>8678.7424017355006</v>
      </c>
      <c r="M38" s="4">
        <v>9520.9049522343994</v>
      </c>
      <c r="N38" s="4">
        <v>11078.678086886899</v>
      </c>
    </row>
    <row r="39" spans="1:14" x14ac:dyDescent="0.25">
      <c r="A39" s="5" t="s">
        <v>72</v>
      </c>
      <c r="B39" s="5" t="s">
        <v>73</v>
      </c>
      <c r="C39" s="4">
        <v>13706.3818677986</v>
      </c>
      <c r="D39" s="4">
        <v>14567.501036051701</v>
      </c>
      <c r="E39" s="4">
        <v>15569.2207169106</v>
      </c>
      <c r="F39" s="4">
        <v>16024.369541827</v>
      </c>
      <c r="G39" s="4">
        <v>16069.1027134908</v>
      </c>
      <c r="H39" s="4">
        <v>17148.2256202932</v>
      </c>
      <c r="I39" s="4">
        <v>18618.388162446401</v>
      </c>
      <c r="J39" s="4">
        <v>17894.987450262801</v>
      </c>
      <c r="K39" s="4">
        <v>20864.063467360898</v>
      </c>
      <c r="L39" s="4">
        <v>25072.579045532399</v>
      </c>
      <c r="M39" s="4">
        <v>27437.620835196802</v>
      </c>
      <c r="N39" s="4">
        <v>29759.385582140701</v>
      </c>
    </row>
    <row r="40" spans="1:14" x14ac:dyDescent="0.25">
      <c r="A40" s="5" t="s">
        <v>74</v>
      </c>
      <c r="B40" s="5" t="s">
        <v>75</v>
      </c>
      <c r="C40" s="4">
        <v>9514.2476523536006</v>
      </c>
      <c r="D40" s="4">
        <v>10416.888286342401</v>
      </c>
      <c r="E40" s="4">
        <v>11667.0289825991</v>
      </c>
      <c r="F40" s="4">
        <v>12714.4072211289</v>
      </c>
      <c r="G40" s="4">
        <v>13998.6158455594</v>
      </c>
      <c r="H40" s="4">
        <v>14630.325672176399</v>
      </c>
      <c r="I40" s="4">
        <v>15533.592642502999</v>
      </c>
      <c r="J40" s="4">
        <v>16195.947002808</v>
      </c>
      <c r="K40" s="4">
        <v>18300.845203692101</v>
      </c>
      <c r="L40" s="4">
        <v>20750.298212827602</v>
      </c>
      <c r="M40" s="4">
        <v>22300.436261470299</v>
      </c>
      <c r="N40" s="4">
        <v>23671.865944237401</v>
      </c>
    </row>
    <row r="41" spans="1:14" x14ac:dyDescent="0.25">
      <c r="A41" s="5" t="s">
        <v>76</v>
      </c>
      <c r="B41" s="5" t="s">
        <v>77</v>
      </c>
      <c r="C41" s="4">
        <v>14982.0095621252</v>
      </c>
      <c r="D41" s="4">
        <v>16224.1330551868</v>
      </c>
      <c r="E41" s="4">
        <v>17617.069661663601</v>
      </c>
      <c r="F41" s="4">
        <v>19845.670953925601</v>
      </c>
      <c r="G41" s="4">
        <v>21271.801304996399</v>
      </c>
      <c r="H41" s="4">
        <v>23063.484578393101</v>
      </c>
      <c r="I41" s="4">
        <v>24768.817995424299</v>
      </c>
      <c r="J41" s="4">
        <v>24298.809698351499</v>
      </c>
      <c r="K41" s="4">
        <v>28413.076767954299</v>
      </c>
      <c r="L41" s="4">
        <v>31709.977314465999</v>
      </c>
      <c r="M41" s="4">
        <v>35882.087991702698</v>
      </c>
      <c r="N41" s="4">
        <v>38813.318273699297</v>
      </c>
    </row>
    <row r="42" spans="1:14" x14ac:dyDescent="0.25">
      <c r="A42" s="5" t="s">
        <v>78</v>
      </c>
      <c r="B42" s="5" t="s">
        <v>79</v>
      </c>
      <c r="C42" s="4">
        <v>6064.2531920884003</v>
      </c>
      <c r="D42" s="4">
        <v>6619.5109990357996</v>
      </c>
      <c r="E42" s="4">
        <v>7373.9479969121003</v>
      </c>
      <c r="F42" s="4">
        <v>8131.0729461485998</v>
      </c>
      <c r="G42" s="4">
        <v>8651.0240203551002</v>
      </c>
      <c r="H42" s="4">
        <v>9101.3362369334009</v>
      </c>
      <c r="I42" s="4">
        <v>9641.2569240982994</v>
      </c>
      <c r="J42" s="4">
        <v>9988.3093724889004</v>
      </c>
      <c r="K42" s="4">
        <v>10878.2974782159</v>
      </c>
      <c r="L42" s="4">
        <v>11637.674024664901</v>
      </c>
      <c r="M42" s="4">
        <v>13014.8277302877</v>
      </c>
      <c r="N42" s="4">
        <v>13671.724304003201</v>
      </c>
    </row>
    <row r="43" spans="1:14" x14ac:dyDescent="0.25">
      <c r="A43" s="5" t="s">
        <v>80</v>
      </c>
      <c r="B43" s="5" t="s">
        <v>81</v>
      </c>
      <c r="C43" s="4">
        <v>123749.631761104</v>
      </c>
      <c r="D43" s="4">
        <v>133159.65797310299</v>
      </c>
      <c r="E43" s="4">
        <v>142657.117537935</v>
      </c>
      <c r="F43" s="4">
        <v>151822.891583563</v>
      </c>
      <c r="G43" s="4">
        <v>161273.92014818199</v>
      </c>
      <c r="H43" s="4">
        <v>170093.99814332699</v>
      </c>
      <c r="I43" s="4">
        <v>175957.88225705901</v>
      </c>
      <c r="J43" s="4">
        <v>181573.95077297799</v>
      </c>
      <c r="K43" s="4">
        <v>213953.71274585201</v>
      </c>
      <c r="L43" s="4">
        <v>235811.37737450999</v>
      </c>
      <c r="M43" s="4">
        <v>253378.59915421301</v>
      </c>
      <c r="N43" s="4">
        <v>280703.61722745298</v>
      </c>
    </row>
    <row r="44" spans="1:14" x14ac:dyDescent="0.25">
      <c r="A44" s="5" t="s">
        <v>82</v>
      </c>
      <c r="B44" s="5" t="s">
        <v>83</v>
      </c>
      <c r="C44" s="4">
        <v>13559.5602513538</v>
      </c>
      <c r="D44" s="4">
        <v>14791.632062820199</v>
      </c>
      <c r="E44" s="4">
        <v>15965.785314032601</v>
      </c>
      <c r="F44" s="4">
        <v>16941.7963330817</v>
      </c>
      <c r="G44" s="4">
        <v>18040.989957872502</v>
      </c>
      <c r="H44" s="4">
        <v>19340.869266638201</v>
      </c>
      <c r="I44" s="4">
        <v>19573.840193745302</v>
      </c>
      <c r="J44" s="4">
        <v>19683.794334307098</v>
      </c>
      <c r="K44" s="4">
        <v>25464.4109724921</v>
      </c>
      <c r="L44" s="4">
        <v>27254.065449868001</v>
      </c>
      <c r="M44" s="4">
        <v>28478.887297369401</v>
      </c>
      <c r="N44" s="4">
        <v>30927.2612711724</v>
      </c>
    </row>
    <row r="45" spans="1:14" x14ac:dyDescent="0.25">
      <c r="A45" s="5" t="s">
        <v>84</v>
      </c>
      <c r="B45" s="5" t="s">
        <v>91</v>
      </c>
      <c r="C45" s="4">
        <v>137309.19201245799</v>
      </c>
      <c r="D45" s="4">
        <v>147951.29003592499</v>
      </c>
      <c r="E45" s="4">
        <v>158622.90285196801</v>
      </c>
      <c r="F45" s="4">
        <v>168764.687916644</v>
      </c>
      <c r="G45" s="4">
        <v>179314.91010605401</v>
      </c>
      <c r="H45" s="4">
        <v>189434.86740996499</v>
      </c>
      <c r="I45" s="4">
        <v>195531.72245080399</v>
      </c>
      <c r="J45" s="4">
        <v>201257.74510728501</v>
      </c>
      <c r="K45" s="4">
        <v>239418.12371834501</v>
      </c>
      <c r="L45" s="4">
        <v>263065.44282437902</v>
      </c>
      <c r="M45" s="4">
        <v>281857.48645158298</v>
      </c>
      <c r="N45" s="4">
        <v>311630.87849862501</v>
      </c>
    </row>
  </sheetData>
  <mergeCells count="1">
    <mergeCell ref="A1:N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A338E-018B-45E9-97C3-ED33E07EDC7C}">
  <dimension ref="A2:M33"/>
  <sheetViews>
    <sheetView zoomScale="140" zoomScaleNormal="140" workbookViewId="0">
      <selection activeCell="J17" sqref="J17"/>
    </sheetView>
  </sheetViews>
  <sheetFormatPr baseColWidth="10" defaultRowHeight="15" x14ac:dyDescent="0.25"/>
  <cols>
    <col min="1" max="1" width="43.5703125" bestFit="1" customWidth="1"/>
    <col min="2" max="9" width="11.42578125" hidden="1" customWidth="1"/>
    <col min="10" max="10" width="11.42578125" customWidth="1"/>
    <col min="14" max="14" width="11.140625" bestFit="1" customWidth="1"/>
  </cols>
  <sheetData>
    <row r="2" spans="1:13" ht="15.75" x14ac:dyDescent="0.25">
      <c r="A2" s="1" t="s">
        <v>23</v>
      </c>
      <c r="B2" s="6">
        <v>41275</v>
      </c>
      <c r="C2" s="6">
        <v>41640</v>
      </c>
      <c r="D2" s="6">
        <v>42005</v>
      </c>
      <c r="E2" s="6">
        <v>42370</v>
      </c>
      <c r="F2" s="6">
        <v>42736</v>
      </c>
      <c r="G2" s="6">
        <v>43101</v>
      </c>
      <c r="H2" s="6">
        <v>43466</v>
      </c>
      <c r="I2" s="6">
        <v>43831</v>
      </c>
      <c r="J2" s="6">
        <v>44197</v>
      </c>
      <c r="K2" s="6">
        <v>44562</v>
      </c>
      <c r="L2" s="6">
        <v>44927</v>
      </c>
      <c r="M2" s="6">
        <v>45292</v>
      </c>
    </row>
    <row r="3" spans="1:13" x14ac:dyDescent="0.25">
      <c r="A3" s="5" t="s">
        <v>25</v>
      </c>
      <c r="B3" s="4">
        <f>+M!C15/K!C15*100</f>
        <v>77.106843296239276</v>
      </c>
      <c r="C3" s="4">
        <f>+M!D15/K!D15*100</f>
        <v>88.691083990762891</v>
      </c>
      <c r="D3" s="4">
        <f>+M!E15/K!E15*100</f>
        <v>93.317122464644456</v>
      </c>
      <c r="E3" s="4">
        <f>+M!F15/K!F15*100</f>
        <v>102.68348582739802</v>
      </c>
      <c r="F3" s="4">
        <f>+M!G15/K!G15*100</f>
        <v>104.74273786320774</v>
      </c>
      <c r="G3" s="4">
        <f>+M!H15/K!H15*100</f>
        <v>99.999999999999005</v>
      </c>
      <c r="H3" s="4">
        <f>+M!I15/K!I15*100</f>
        <v>103.99936601406601</v>
      </c>
      <c r="I3" s="4">
        <f>+M!J15/K!J15*100</f>
        <v>119.38936220452574</v>
      </c>
      <c r="J3" s="4">
        <f>+M!K15/K!K15*100</f>
        <v>116.09090724641153</v>
      </c>
      <c r="K3" s="4">
        <f>+M!L15/K!L15*100</f>
        <v>111.25168364329987</v>
      </c>
      <c r="L3" s="4">
        <f>+M!M15/K!M15*100</f>
        <v>139.05703591303595</v>
      </c>
      <c r="M3" s="4">
        <f>+M!N15/K!N15*100</f>
        <v>161.60554290368063</v>
      </c>
    </row>
    <row r="4" spans="1:13" x14ac:dyDescent="0.25">
      <c r="A4" s="5" t="s">
        <v>27</v>
      </c>
      <c r="B4" s="4">
        <f>+M!C16/K!C16*100</f>
        <v>48.143057955191622</v>
      </c>
      <c r="C4" s="4">
        <f>+M!D16/K!D16*100</f>
        <v>94.838406924425982</v>
      </c>
      <c r="D4" s="4">
        <f>+M!E16/K!E16*100</f>
        <v>56.002346775771336</v>
      </c>
      <c r="E4" s="4">
        <f>+M!F16/K!F16*100</f>
        <v>101.80095709449996</v>
      </c>
      <c r="F4" s="4">
        <f>+M!G16/K!G16*100</f>
        <v>117.14028807584755</v>
      </c>
      <c r="G4" s="4">
        <f>+M!H16/K!H16*100</f>
        <v>99.999999999999275</v>
      </c>
      <c r="H4" s="4">
        <f>+M!I16/K!I16*100</f>
        <v>112.27236770200777</v>
      </c>
      <c r="I4" s="4">
        <f>+M!J16/K!J16*100</f>
        <v>80.327722667380243</v>
      </c>
      <c r="J4" s="4">
        <f>+M!K16/K!K16*100</f>
        <v>92.695984720006635</v>
      </c>
      <c r="K4" s="4">
        <f>+M!L16/K!L16*100</f>
        <v>127.47165225654675</v>
      </c>
      <c r="L4" s="4">
        <f>+M!M16/K!M16*100</f>
        <v>103.38075172764634</v>
      </c>
      <c r="M4" s="4">
        <f>+M!N16/K!N16*100</f>
        <v>127.70437014783711</v>
      </c>
    </row>
    <row r="5" spans="1:13" x14ac:dyDescent="0.25">
      <c r="A5" s="5" t="s">
        <v>29</v>
      </c>
      <c r="B5" s="4">
        <f>+M!C17/K!C17*100</f>
        <v>86.010128650921686</v>
      </c>
      <c r="C5" s="4">
        <f>+M!D17/K!D17*100</f>
        <v>88.895150878900836</v>
      </c>
      <c r="D5" s="4">
        <f>+M!E17/K!E17*100</f>
        <v>75.327519852371466</v>
      </c>
      <c r="E5" s="4">
        <f>+M!F17/K!F17*100</f>
        <v>77.061721450945939</v>
      </c>
      <c r="F5" s="4">
        <f>+M!G17/K!G17*100</f>
        <v>101.42471167639377</v>
      </c>
      <c r="G5" s="4">
        <f>+M!H17/K!H17*100</f>
        <v>100.0000000000006</v>
      </c>
      <c r="H5" s="4">
        <f>+M!I17/K!I17*100</f>
        <v>99.457841831995637</v>
      </c>
      <c r="I5" s="4">
        <f>+M!J17/K!J17*100</f>
        <v>144.04925382249107</v>
      </c>
      <c r="J5" s="4">
        <f>+M!K17/K!K17*100</f>
        <v>217.92255410685408</v>
      </c>
      <c r="K5" s="4">
        <f>+M!L17/K!L17*100</f>
        <v>243.26427805956382</v>
      </c>
      <c r="L5" s="4">
        <f>+M!M17/K!M17*100</f>
        <v>203.88051017977568</v>
      </c>
      <c r="M5" s="4">
        <f>+M!N17/K!N17*100</f>
        <v>240.63667271364179</v>
      </c>
    </row>
    <row r="6" spans="1:13" x14ac:dyDescent="0.25">
      <c r="A6" s="5" t="s">
        <v>31</v>
      </c>
      <c r="B6" s="4">
        <f>+M!C18/K!C18*100</f>
        <v>86.241140149761165</v>
      </c>
      <c r="C6" s="4">
        <f>+M!D18/K!D18*100</f>
        <v>90.784070373348698</v>
      </c>
      <c r="D6" s="4">
        <f>+M!E18/K!E18*100</f>
        <v>76.624310794191715</v>
      </c>
      <c r="E6" s="4">
        <f>+M!F18/K!F18*100</f>
        <v>76.233502538096658</v>
      </c>
      <c r="F6" s="4">
        <f>+M!G18/K!G18*100</f>
        <v>102.57010228407073</v>
      </c>
      <c r="G6" s="4">
        <f>+M!H18/K!H18*100</f>
        <v>100</v>
      </c>
      <c r="H6" s="4">
        <f>+M!I18/K!I18*100</f>
        <v>99.604480493665832</v>
      </c>
      <c r="I6" s="4">
        <f>+M!J18/K!J18*100</f>
        <v>147.93061567465242</v>
      </c>
      <c r="J6" s="4">
        <f>+M!K18/K!K18*100</f>
        <v>228.44211156869076</v>
      </c>
      <c r="K6" s="4">
        <f>+M!L18/K!L18*100</f>
        <v>208.48979788977493</v>
      </c>
      <c r="L6" s="4">
        <f>+M!M18/K!M18*100</f>
        <v>192.24159182414525</v>
      </c>
      <c r="M6" s="4">
        <f>+M!N18/K!N18*100</f>
        <v>260.56168564034033</v>
      </c>
    </row>
    <row r="7" spans="1:13" x14ac:dyDescent="0.25">
      <c r="A7" s="5" t="s">
        <v>33</v>
      </c>
      <c r="B7" s="4">
        <f>+M!C19/K!C19*100</f>
        <v>84.483830975568168</v>
      </c>
      <c r="C7" s="4">
        <f>+M!D19/K!D19*100</f>
        <v>74.742396380135531</v>
      </c>
      <c r="D7" s="4">
        <f>+M!E19/K!E19*100</f>
        <v>65.747133607905539</v>
      </c>
      <c r="E7" s="4">
        <f>+M!F19/K!F19*100</f>
        <v>83.253246876837508</v>
      </c>
      <c r="F7" s="4">
        <f>+M!G19/K!G19*100</f>
        <v>92.174925822589842</v>
      </c>
      <c r="G7" s="4">
        <f>+M!H19/K!H19*100</f>
        <v>99.99999999999946</v>
      </c>
      <c r="H7" s="4">
        <f>+M!I19/K!I19*100</f>
        <v>98.309158317228068</v>
      </c>
      <c r="I7" s="4">
        <f>+M!J19/K!J19*100</f>
        <v>116.03865349710922</v>
      </c>
      <c r="J7" s="4">
        <f>+M!K19/K!K19*100</f>
        <v>147.1920100130292</v>
      </c>
      <c r="K7" s="4">
        <f>+M!L19/K!L19*100</f>
        <v>393.13886832402329</v>
      </c>
      <c r="L7" s="4">
        <f>+M!M19/K!M19*100</f>
        <v>255.22325512891015</v>
      </c>
      <c r="M7" s="4">
        <f>+M!N19/K!N19*100</f>
        <v>157.2926148327341</v>
      </c>
    </row>
    <row r="8" spans="1:13" x14ac:dyDescent="0.25">
      <c r="A8" s="5" t="s">
        <v>90</v>
      </c>
      <c r="B8" s="4">
        <f>+M!C20/K!C20*100</f>
        <v>81.616670445891145</v>
      </c>
      <c r="C8" s="4">
        <f>+M!D20/K!D20*100</f>
        <v>86.940939813764246</v>
      </c>
      <c r="D8" s="4">
        <f>+M!E20/K!E20*100</f>
        <v>96.211353938038414</v>
      </c>
      <c r="E8" s="4">
        <f>+M!F20/K!F20*100</f>
        <v>95.6292626364488</v>
      </c>
      <c r="F8" s="4">
        <f>+M!G20/K!G20*100</f>
        <v>95.003435419369978</v>
      </c>
      <c r="G8" s="4">
        <f>+M!H20/K!H20*100</f>
        <v>99.999999999999446</v>
      </c>
      <c r="H8" s="4">
        <f>+M!I20/K!I20*100</f>
        <v>98.151526954033713</v>
      </c>
      <c r="I8" s="4">
        <f>+M!J20/K!J20*100</f>
        <v>103.59652904204705</v>
      </c>
      <c r="J8" s="4">
        <f>+M!K20/K!K20*100</f>
        <v>110.55212475788623</v>
      </c>
      <c r="K8" s="4">
        <f>+M!L20/K!L20*100</f>
        <v>138.33137560220047</v>
      </c>
      <c r="L8" s="4">
        <f>+M!M20/K!M20*100</f>
        <v>142.91079324044696</v>
      </c>
      <c r="M8" s="4">
        <f>+M!N20/K!N20*100</f>
        <v>147.30815254480166</v>
      </c>
    </row>
    <row r="9" spans="1:13" x14ac:dyDescent="0.25">
      <c r="A9" s="5" t="s">
        <v>37</v>
      </c>
      <c r="B9" s="4">
        <f>+M!C21/K!C21*100</f>
        <v>74.363823014007906</v>
      </c>
      <c r="C9" s="4">
        <f>+M!D21/K!D21*100</f>
        <v>81.302705416328237</v>
      </c>
      <c r="D9" s="4">
        <f>+M!E21/K!E21*100</f>
        <v>93.76206621716031</v>
      </c>
      <c r="E9" s="4">
        <f>+M!F21/K!F21*100</f>
        <v>96.229362914462683</v>
      </c>
      <c r="F9" s="4">
        <f>+M!G21/K!G21*100</f>
        <v>96.73973476907301</v>
      </c>
      <c r="G9" s="4">
        <f>+M!H21/K!H21*100</f>
        <v>100</v>
      </c>
      <c r="H9" s="4">
        <f>+M!I21/K!I21*100</f>
        <v>103.89875360860418</v>
      </c>
      <c r="I9" s="4">
        <f>+M!J21/K!J21*100</f>
        <v>111.18080307556409</v>
      </c>
      <c r="J9" s="4">
        <f>+M!K21/K!K21*100</f>
        <v>109.5387034969911</v>
      </c>
      <c r="K9" s="4">
        <f>+M!L21/K!L21*100</f>
        <v>131.05997713579583</v>
      </c>
      <c r="L9" s="4">
        <f>+M!M21/K!M21*100</f>
        <v>144.65623064651558</v>
      </c>
      <c r="M9" s="4">
        <f>+M!N21/K!N21*100</f>
        <v>150.87690791771377</v>
      </c>
    </row>
    <row r="10" spans="1:13" x14ac:dyDescent="0.25">
      <c r="A10" s="5" t="s">
        <v>39</v>
      </c>
      <c r="B10" s="4">
        <f>+M!C22/K!C22*100</f>
        <v>72.57833507080818</v>
      </c>
      <c r="C10" s="4">
        <f>+M!D22/K!D22*100</f>
        <v>78.370388262402798</v>
      </c>
      <c r="D10" s="4">
        <f>+M!E22/K!E22*100</f>
        <v>92.136318280466696</v>
      </c>
      <c r="E10" s="4">
        <f>+M!F22/K!F22*100</f>
        <v>96.618124512281028</v>
      </c>
      <c r="F10" s="4">
        <f>+M!G22/K!G22*100</f>
        <v>98.723825004638613</v>
      </c>
      <c r="G10" s="4">
        <f>+M!H22/K!H22*100</f>
        <v>100.00000000000189</v>
      </c>
      <c r="H10" s="4">
        <f>+M!I22/K!I22*100</f>
        <v>101.52099705321767</v>
      </c>
      <c r="I10" s="4">
        <f>+M!J22/K!J22*100</f>
        <v>107.4334280714554</v>
      </c>
      <c r="J10" s="4">
        <f>+M!K22/K!K22*100</f>
        <v>108.85802305479291</v>
      </c>
      <c r="K10" s="4">
        <f>+M!L22/K!L22*100</f>
        <v>138.22614999916814</v>
      </c>
      <c r="L10" s="4">
        <f>+M!M22/K!M22*100</f>
        <v>150.08579535058823</v>
      </c>
      <c r="M10" s="4">
        <f>+M!N22/K!N22*100</f>
        <v>156.21699700162173</v>
      </c>
    </row>
    <row r="11" spans="1:13" x14ac:dyDescent="0.25">
      <c r="A11" s="5" t="s">
        <v>41</v>
      </c>
      <c r="B11" s="4">
        <f>+M!C23/K!C23*100</f>
        <v>80.285637666865185</v>
      </c>
      <c r="C11" s="4">
        <f>+M!D23/K!D23*100</f>
        <v>91.311768894783086</v>
      </c>
      <c r="D11" s="4">
        <f>+M!E23/K!E23*100</f>
        <v>100.22588687652146</v>
      </c>
      <c r="E11" s="4">
        <f>+M!F23/K!F23*100</f>
        <v>96.059679698528413</v>
      </c>
      <c r="F11" s="4">
        <f>+M!G23/K!G23*100</f>
        <v>90.846967636216007</v>
      </c>
      <c r="G11" s="4">
        <f>+M!H23/K!H23*100</f>
        <v>99.999999999999432</v>
      </c>
      <c r="H11" s="4">
        <f>+M!I23/K!I23*100</f>
        <v>111.60809989866371</v>
      </c>
      <c r="I11" s="4">
        <f>+M!J23/K!J23*100</f>
        <v>123.69234493793051</v>
      </c>
      <c r="J11" s="4">
        <f>+M!K23/K!K23*100</f>
        <v>112.85003295357909</v>
      </c>
      <c r="K11" s="4">
        <f>+M!L23/K!L23*100</f>
        <v>109.88589645717815</v>
      </c>
      <c r="L11" s="4">
        <f>+M!M23/K!M23*100</f>
        <v>129.04104482090065</v>
      </c>
      <c r="M11" s="4">
        <f>+M!N23/K!N23*100</f>
        <v>135.68096839067096</v>
      </c>
    </row>
    <row r="12" spans="1:13" x14ac:dyDescent="0.25">
      <c r="A12" s="5" t="s">
        <v>43</v>
      </c>
      <c r="B12" s="4">
        <f>+M!C24/K!C24*100</f>
        <v>120.94758664366599</v>
      </c>
      <c r="C12" s="4">
        <f>+M!D24/K!D24*100</f>
        <v>115.48447519819476</v>
      </c>
      <c r="D12" s="4">
        <f>+M!E24/K!E24*100</f>
        <v>107.52442116425833</v>
      </c>
      <c r="E12" s="4">
        <f>+M!F24/K!F24*100</f>
        <v>117.93761283210252</v>
      </c>
      <c r="F12" s="4">
        <f>+M!G24/K!G24*100</f>
        <v>111.61986215916542</v>
      </c>
      <c r="G12" s="4">
        <f>+M!H24/K!H24*100</f>
        <v>100</v>
      </c>
      <c r="H12" s="4">
        <f>+M!I24/K!I24*100</f>
        <v>84.56299285446309</v>
      </c>
      <c r="I12" s="4">
        <f>+M!J24/K!J24*100</f>
        <v>71.728747032474303</v>
      </c>
      <c r="J12" s="4">
        <f>+M!K24/K!K24*100</f>
        <v>69.374466842382304</v>
      </c>
      <c r="K12" s="4">
        <f>+M!L24/K!L24*100</f>
        <v>56.539869603998774</v>
      </c>
      <c r="L12" s="4">
        <f>+M!M24/K!M24*100</f>
        <v>69.851283274747999</v>
      </c>
      <c r="M12" s="4">
        <f>+M!N24/K!N24*100</f>
        <v>56.525994815238214</v>
      </c>
    </row>
    <row r="13" spans="1:13" x14ac:dyDescent="0.25">
      <c r="A13" s="5" t="s">
        <v>45</v>
      </c>
      <c r="B13" s="4">
        <f>+M!C25/K!C25*100</f>
        <v>81.547908368436836</v>
      </c>
      <c r="C13" s="4">
        <f>+M!D25/K!D25*100</f>
        <v>100.07188092952592</v>
      </c>
      <c r="D13" s="4">
        <f>+M!E25/K!E25*100</f>
        <v>107.16150820930848</v>
      </c>
      <c r="E13" s="4">
        <f>+M!F25/K!F25*100</f>
        <v>106.1576396263973</v>
      </c>
      <c r="F13" s="4">
        <f>+M!G25/K!G25*100</f>
        <v>102.38170475517087</v>
      </c>
      <c r="G13" s="4">
        <f>+M!H25/K!H25*100</f>
        <v>99.999999999999176</v>
      </c>
      <c r="H13" s="4">
        <f>+M!I25/K!I25*100</f>
        <v>97.634045562562846</v>
      </c>
      <c r="I13" s="4">
        <f>+M!J25/K!J25*100</f>
        <v>110.87139466242535</v>
      </c>
      <c r="J13" s="4">
        <f>+M!K25/K!K25*100</f>
        <v>143.65737313291086</v>
      </c>
      <c r="K13" s="4">
        <f>+M!L25/K!L25*100</f>
        <v>182.56944637427051</v>
      </c>
      <c r="L13" s="4">
        <f>+M!M25/K!M25*100</f>
        <v>130.1528166751294</v>
      </c>
      <c r="M13" s="4">
        <f>+M!N25/K!N25*100</f>
        <v>127.26845605111725</v>
      </c>
    </row>
    <row r="14" spans="1:13" x14ac:dyDescent="0.25">
      <c r="A14" s="5" t="s">
        <v>47</v>
      </c>
      <c r="B14" s="4">
        <f>+M!C26/K!C26*100</f>
        <v>49.854063811087244</v>
      </c>
      <c r="C14" s="4">
        <f>+M!D26/K!D26*100</f>
        <v>59.456559053734829</v>
      </c>
      <c r="D14" s="4">
        <f>+M!E26/K!E26*100</f>
        <v>72.1055533352379</v>
      </c>
      <c r="E14" s="4">
        <f>+M!F26/K!F26*100</f>
        <v>66.424574274145101</v>
      </c>
      <c r="F14" s="4">
        <f>+M!G26/K!G26*100</f>
        <v>76.71284351750262</v>
      </c>
      <c r="G14" s="4">
        <f>+M!H26/K!H26*100</f>
        <v>100</v>
      </c>
      <c r="H14" s="4">
        <f>+M!I26/K!I26*100</f>
        <v>72.666250473057545</v>
      </c>
      <c r="I14" s="4">
        <f>+M!J26/K!J26*100</f>
        <v>65.215368011811165</v>
      </c>
      <c r="J14" s="4">
        <f>+M!K26/K!K26*100</f>
        <v>94.206586225305173</v>
      </c>
      <c r="K14" s="4">
        <f>+M!L26/K!L26*100</f>
        <v>120.87292541593038</v>
      </c>
      <c r="L14" s="4">
        <f>+M!M26/K!M26*100</f>
        <v>89.311059064592413</v>
      </c>
      <c r="M14" s="4">
        <f>+M!N26/K!N26*100</f>
        <v>105.80575582809064</v>
      </c>
    </row>
    <row r="15" spans="1:13" x14ac:dyDescent="0.25">
      <c r="A15" s="5" t="s">
        <v>49</v>
      </c>
      <c r="B15" s="4">
        <f>+M!C27/K!C27*100</f>
        <v>96.348414064294971</v>
      </c>
      <c r="C15" s="4">
        <f>+M!D27/K!D27*100</f>
        <v>99.027495320456509</v>
      </c>
      <c r="D15" s="4">
        <f>+M!E27/K!E27*100</f>
        <v>109.79561218418787</v>
      </c>
      <c r="E15" s="4">
        <f>+M!F27/K!F27*100</f>
        <v>101.63829571144865</v>
      </c>
      <c r="F15" s="4">
        <f>+M!G27/K!G27*100</f>
        <v>96.253026824777251</v>
      </c>
      <c r="G15" s="4">
        <f>+M!H27/K!H27*100</f>
        <v>100</v>
      </c>
      <c r="H15" s="4">
        <f>+M!I27/K!I27*100</f>
        <v>94.527911873683678</v>
      </c>
      <c r="I15" s="4">
        <f>+M!J27/K!J27*100</f>
        <v>100.20302658438374</v>
      </c>
      <c r="J15" s="4">
        <f>+M!K27/K!K27*100</f>
        <v>115.30026450200266</v>
      </c>
      <c r="K15" s="4">
        <f>+M!L27/K!L27*100</f>
        <v>175.63081008859947</v>
      </c>
      <c r="L15" s="4">
        <f>+M!M27/K!M27*100</f>
        <v>179.38969123864246</v>
      </c>
      <c r="M15" s="4">
        <f>+M!N27/K!N27*100</f>
        <v>173.62043104611783</v>
      </c>
    </row>
    <row r="16" spans="1:13" x14ac:dyDescent="0.25">
      <c r="A16" s="5" t="s">
        <v>51</v>
      </c>
      <c r="B16" s="4">
        <f>+M!C28/K!C28*100</f>
        <v>93.73487348807376</v>
      </c>
      <c r="C16" s="4">
        <f>+M!D28/K!D28*100</f>
        <v>96.103885244335743</v>
      </c>
      <c r="D16" s="4">
        <f>+M!E28/K!E28*100</f>
        <v>93.36404150022085</v>
      </c>
      <c r="E16" s="4">
        <f>+M!F28/K!F28*100</f>
        <v>89.680336785109489</v>
      </c>
      <c r="F16" s="4">
        <f>+M!G28/K!G28*100</f>
        <v>89.385379074143216</v>
      </c>
      <c r="G16" s="4">
        <f>+M!H28/K!H28*100</f>
        <v>100</v>
      </c>
      <c r="H16" s="4">
        <f>+M!I28/K!I28*100</f>
        <v>96.894683830418231</v>
      </c>
      <c r="I16" s="4">
        <f>+M!J28/K!J28*100</f>
        <v>104.48191541983421</v>
      </c>
      <c r="J16" s="4">
        <f>+M!K28/K!K28*100</f>
        <v>124.6611342820844</v>
      </c>
      <c r="K16" s="4">
        <f>+M!L28/K!L28*100</f>
        <v>134.0386536713367</v>
      </c>
      <c r="L16" s="4">
        <f>+M!M28/K!M28*100</f>
        <v>137.6518886563629</v>
      </c>
      <c r="M16" s="4">
        <f>+M!N28/K!N28*100</f>
        <v>138.83214176130753</v>
      </c>
    </row>
    <row r="17" spans="1:13" x14ac:dyDescent="0.25">
      <c r="A17" s="5" t="s">
        <v>53</v>
      </c>
      <c r="B17" s="4">
        <f>+M!C29/K!C29*100</f>
        <v>91.172967871802527</v>
      </c>
      <c r="C17" s="4">
        <f>+M!D29/K!D29*100</f>
        <v>91.059097465295963</v>
      </c>
      <c r="D17" s="4">
        <f>+M!E29/K!E29*100</f>
        <v>95.958177771509014</v>
      </c>
      <c r="E17" s="4">
        <f>+M!F29/K!F29*100</f>
        <v>101.10423088162013</v>
      </c>
      <c r="F17" s="4">
        <f>+M!G29/K!G29*100</f>
        <v>98.189528995325006</v>
      </c>
      <c r="G17" s="4">
        <f>+M!H29/K!H29*100</f>
        <v>100.00000000000031</v>
      </c>
      <c r="H17" s="4">
        <f>+M!I29/K!I29*100</f>
        <v>106.5970931579032</v>
      </c>
      <c r="I17" s="4">
        <f>+M!J29/K!J29*100</f>
        <v>113.44450268037556</v>
      </c>
      <c r="J17" s="4">
        <f>+M!K29/K!K29*100</f>
        <v>106.47234528849232</v>
      </c>
      <c r="K17" s="4">
        <f>+M!L29/K!L29*100</f>
        <v>123.96393010114714</v>
      </c>
      <c r="L17" s="4">
        <f>+M!M29/K!M29*100</f>
        <v>140.40843314838821</v>
      </c>
      <c r="M17" s="4">
        <f>+M!N29/K!N29*100</f>
        <v>149.09013365164802</v>
      </c>
    </row>
    <row r="18" spans="1:13" x14ac:dyDescent="0.25">
      <c r="A18" s="5" t="s">
        <v>55</v>
      </c>
      <c r="B18" s="4">
        <f>+M!C30/K!C30*100</f>
        <v>81.130981513843707</v>
      </c>
      <c r="C18" s="4">
        <f>+M!D30/K!D30*100</f>
        <v>81.251864895887067</v>
      </c>
      <c r="D18" s="4">
        <f>+M!E30/K!E30*100</f>
        <v>99.771439172313165</v>
      </c>
      <c r="E18" s="4">
        <f>+M!F30/K!F30*100</f>
        <v>106.19725154600592</v>
      </c>
      <c r="F18" s="4">
        <f>+M!G30/K!G30*100</f>
        <v>104.01046989413112</v>
      </c>
      <c r="G18" s="4">
        <f>+M!H30/K!H30*100</f>
        <v>99.999999999998181</v>
      </c>
      <c r="H18" s="4">
        <f>+M!I30/K!I30*100</f>
        <v>112.54314043807744</v>
      </c>
      <c r="I18" s="4">
        <f>+M!J30/K!J30*100</f>
        <v>119.24007957773848</v>
      </c>
      <c r="J18" s="4">
        <f>+M!K30/K!K30*100</f>
        <v>107.51807021383355</v>
      </c>
      <c r="K18" s="4">
        <f>+M!L30/K!L30*100</f>
        <v>102.16790475500592</v>
      </c>
      <c r="L18" s="4">
        <f>+M!M30/K!M30*100</f>
        <v>121.74203634444207</v>
      </c>
      <c r="M18" s="4">
        <f>+M!N30/K!N30*100</f>
        <v>148.51124094960016</v>
      </c>
    </row>
    <row r="19" spans="1:13" x14ac:dyDescent="0.25">
      <c r="A19" s="5" t="s">
        <v>57</v>
      </c>
      <c r="B19" s="4">
        <f>+M!C31/K!C31*100</f>
        <v>73.478713225146478</v>
      </c>
      <c r="C19" s="4">
        <f>+M!D31/K!D31*100</f>
        <v>78.793850070932152</v>
      </c>
      <c r="D19" s="4">
        <f>+M!E31/K!E31*100</f>
        <v>84.992955764850791</v>
      </c>
      <c r="E19" s="4">
        <f>+M!F31/K!F31*100</f>
        <v>90.039684222013832</v>
      </c>
      <c r="F19" s="4">
        <f>+M!G31/K!G31*100</f>
        <v>94.15866987799636</v>
      </c>
      <c r="G19" s="4">
        <f>+M!H31/K!H31*100</f>
        <v>100</v>
      </c>
      <c r="H19" s="4">
        <f>+M!I31/K!I31*100</f>
        <v>103.67787002075832</v>
      </c>
      <c r="I19" s="4">
        <f>+M!J31/K!J31*100</f>
        <v>106.28542583309972</v>
      </c>
      <c r="J19" s="4">
        <f>+M!K31/K!K31*100</f>
        <v>115.362587506099</v>
      </c>
      <c r="K19" s="4">
        <f>+M!L31/K!L31*100</f>
        <v>125.92458468060042</v>
      </c>
      <c r="L19" s="4">
        <f>+M!M31/K!M31*100</f>
        <v>136.78743091283931</v>
      </c>
      <c r="M19" s="4">
        <f>+M!N31/K!N31*100</f>
        <v>147.73389271198266</v>
      </c>
    </row>
    <row r="20" spans="1:13" x14ac:dyDescent="0.25">
      <c r="A20" s="5" t="s">
        <v>59</v>
      </c>
      <c r="B20" s="4">
        <f>+M!C32/K!C32*100</f>
        <v>77.954955875030635</v>
      </c>
      <c r="C20" s="4">
        <f>+M!D32/K!D32*100</f>
        <v>85.217925309446301</v>
      </c>
      <c r="D20" s="4">
        <f>+M!E32/K!E32*100</f>
        <v>90.606083839739398</v>
      </c>
      <c r="E20" s="4">
        <f>+M!F32/K!F32*100</f>
        <v>97.092018270375434</v>
      </c>
      <c r="F20" s="4">
        <f>+M!G32/K!G32*100</f>
        <v>99.92781181360256</v>
      </c>
      <c r="G20" s="4">
        <f>+M!H32/K!H32*100</f>
        <v>100.00000000000047</v>
      </c>
      <c r="H20" s="4">
        <f>+M!I32/K!I32*100</f>
        <v>101.35400209005458</v>
      </c>
      <c r="I20" s="4">
        <f>+M!J32/K!J32*100</f>
        <v>107.12680983716996</v>
      </c>
      <c r="J20" s="4">
        <f>+M!K32/K!K32*100</f>
        <v>113.96316683033967</v>
      </c>
      <c r="K20" s="4">
        <f>+M!L32/K!L32*100</f>
        <v>120.62733076719714</v>
      </c>
      <c r="L20" s="4">
        <f>+M!M32/K!M32*100</f>
        <v>134.38483975927863</v>
      </c>
      <c r="M20" s="4">
        <f>+M!N32/K!N32*100</f>
        <v>132.21256112349943</v>
      </c>
    </row>
    <row r="21" spans="1:13" x14ac:dyDescent="0.25">
      <c r="A21" s="5" t="s">
        <v>61</v>
      </c>
      <c r="B21" s="4">
        <f>+M!C33/K!C33*100</f>
        <v>80.469953562422361</v>
      </c>
      <c r="C21" s="4">
        <f>+M!D33/K!D33*100</f>
        <v>87.932104755290837</v>
      </c>
      <c r="D21" s="4">
        <f>+M!E33/K!E33*100</f>
        <v>93.021787363545954</v>
      </c>
      <c r="E21" s="4">
        <f>+M!F33/K!F33*100</f>
        <v>99.274640339341374</v>
      </c>
      <c r="F21" s="4">
        <f>+M!G33/K!G33*100</f>
        <v>101.26878117755582</v>
      </c>
      <c r="G21" s="4">
        <f>+M!H33/K!H33*100</f>
        <v>100.00000000000055</v>
      </c>
      <c r="H21" s="4">
        <f>+M!I33/K!I33*100</f>
        <v>100.87565811829545</v>
      </c>
      <c r="I21" s="4">
        <f>+M!J33/K!J33*100</f>
        <v>107.49939219849452</v>
      </c>
      <c r="J21" s="4">
        <f>+M!K33/K!K33*100</f>
        <v>114.66887480145671</v>
      </c>
      <c r="K21" s="4">
        <f>+M!L33/K!L33*100</f>
        <v>120.37242063773799</v>
      </c>
      <c r="L21" s="4">
        <f>+M!M33/K!M33*100</f>
        <v>132.56551638037777</v>
      </c>
      <c r="M21" s="4">
        <f>+M!N33/K!N33*100</f>
        <v>127.58370493112932</v>
      </c>
    </row>
    <row r="22" spans="1:13" x14ac:dyDescent="0.25">
      <c r="A22" s="5" t="s">
        <v>63</v>
      </c>
      <c r="B22" s="4">
        <f>+M!C34/K!C34*100</f>
        <v>66.959578108034563</v>
      </c>
      <c r="C22" s="4">
        <f>+M!D34/K!D34*100</f>
        <v>73.349897740846103</v>
      </c>
      <c r="D22" s="4">
        <f>+M!E34/K!E34*100</f>
        <v>80.066735591790035</v>
      </c>
      <c r="E22" s="4">
        <f>+M!F34/K!F34*100</f>
        <v>87.596192113079454</v>
      </c>
      <c r="F22" s="4">
        <f>+M!G34/K!G34*100</f>
        <v>94.115429639922368</v>
      </c>
      <c r="G22" s="4">
        <f>+M!H34/K!H34*100</f>
        <v>99.999999999999758</v>
      </c>
      <c r="H22" s="4">
        <f>+M!I34/K!I34*100</f>
        <v>103.37448875834787</v>
      </c>
      <c r="I22" s="4">
        <f>+M!J34/K!J34*100</f>
        <v>102.94733491080538</v>
      </c>
      <c r="J22" s="4">
        <f>+M!K34/K!K34*100</f>
        <v>107.51012438646457</v>
      </c>
      <c r="K22" s="4">
        <f>+M!L34/K!L34*100</f>
        <v>119.10099425345628</v>
      </c>
      <c r="L22" s="4">
        <f>+M!M34/K!M34*100</f>
        <v>140.28580622393045</v>
      </c>
      <c r="M22" s="4">
        <f>+M!N34/K!N34*100</f>
        <v>152.31543655055145</v>
      </c>
    </row>
    <row r="23" spans="1:13" x14ac:dyDescent="0.25">
      <c r="A23" s="5" t="s">
        <v>65</v>
      </c>
      <c r="B23" s="4">
        <f>+M!C35/K!C35*100</f>
        <v>86.726654211883101</v>
      </c>
      <c r="C23" s="4">
        <f>+M!D35/K!D35*100</f>
        <v>90.993699886211076</v>
      </c>
      <c r="D23" s="4">
        <f>+M!E35/K!E35*100</f>
        <v>103.40027612176807</v>
      </c>
      <c r="E23" s="4">
        <f>+M!F35/K!F35*100</f>
        <v>104.27926065055414</v>
      </c>
      <c r="F23" s="4">
        <f>+M!G35/K!G35*100</f>
        <v>101.99353387509638</v>
      </c>
      <c r="G23" s="4">
        <f>+M!H35/K!H35*100</f>
        <v>100.00000000000094</v>
      </c>
      <c r="H23" s="4">
        <f>+M!I35/K!I35*100</f>
        <v>103.56473370793648</v>
      </c>
      <c r="I23" s="4">
        <f>+M!J35/K!J35*100</f>
        <v>112.29321268976817</v>
      </c>
      <c r="J23" s="4">
        <f>+M!K35/K!K35*100</f>
        <v>118.73465278894686</v>
      </c>
      <c r="K23" s="4">
        <f>+M!L35/K!L35*100</f>
        <v>115.08578840162882</v>
      </c>
      <c r="L23" s="4">
        <f>+M!M35/K!M35*100</f>
        <v>131.09120858248681</v>
      </c>
      <c r="M23" s="4">
        <f>+M!N35/K!N35*100</f>
        <v>140.29832612198629</v>
      </c>
    </row>
    <row r="24" spans="1:13" x14ac:dyDescent="0.25">
      <c r="A24" s="5" t="s">
        <v>67</v>
      </c>
      <c r="B24" s="4">
        <f>+M!C36/K!C36*100</f>
        <v>111.17433938989514</v>
      </c>
      <c r="C24" s="4">
        <f>+M!D36/K!D36*100</f>
        <v>111.42786453817932</v>
      </c>
      <c r="D24" s="4">
        <f>+M!E36/K!E36*100</f>
        <v>110.42880490859875</v>
      </c>
      <c r="E24" s="4">
        <f>+M!F36/K!F36*100</f>
        <v>108.15408937171394</v>
      </c>
      <c r="F24" s="4">
        <f>+M!G36/K!G36*100</f>
        <v>105.31818429636112</v>
      </c>
      <c r="G24" s="4">
        <f>+M!H36/K!H36*100</f>
        <v>99.999999999998096</v>
      </c>
      <c r="H24" s="4">
        <f>+M!I36/K!I36*100</f>
        <v>98.531452356655734</v>
      </c>
      <c r="I24" s="4">
        <f>+M!J36/K!J36*100</f>
        <v>91.363838200919872</v>
      </c>
      <c r="J24" s="4">
        <f>+M!K36/K!K36*100</f>
        <v>92.899946021812568</v>
      </c>
      <c r="K24" s="4">
        <f>+M!L36/K!L36*100</f>
        <v>94.646741593885238</v>
      </c>
      <c r="L24" s="4">
        <f>+M!M36/K!M36*100</f>
        <v>100.28639834240836</v>
      </c>
      <c r="M24" s="4">
        <f>+M!N36/K!N36*100</f>
        <v>106.12098521088535</v>
      </c>
    </row>
    <row r="25" spans="1:13" x14ac:dyDescent="0.25">
      <c r="A25" s="5" t="s">
        <v>69</v>
      </c>
      <c r="B25" s="4">
        <f>+M!C37/K!C37*100</f>
        <v>82.556991945796526</v>
      </c>
      <c r="C25" s="4">
        <f>+M!D37/K!D37*100</f>
        <v>84.086738627378494</v>
      </c>
      <c r="D25" s="4">
        <f>+M!E37/K!E37*100</f>
        <v>88.362521080306678</v>
      </c>
      <c r="E25" s="4">
        <f>+M!F37/K!F37*100</f>
        <v>92.735615652984947</v>
      </c>
      <c r="F25" s="4">
        <f>+M!G37/K!G37*100</f>
        <v>96.498095653631665</v>
      </c>
      <c r="G25" s="4">
        <f>+M!H37/K!H37*100</f>
        <v>100</v>
      </c>
      <c r="H25" s="4">
        <f>+M!I37/K!I37*100</f>
        <v>99.973933795512323</v>
      </c>
      <c r="I25" s="4">
        <f>+M!J37/K!J37*100</f>
        <v>103.6976179015093</v>
      </c>
      <c r="J25" s="4">
        <f>+M!K37/K!K37*100</f>
        <v>99.733988723740026</v>
      </c>
      <c r="K25" s="4">
        <f>+M!L37/K!L37*100</f>
        <v>109.58523448403955</v>
      </c>
      <c r="L25" s="4">
        <f>+M!M37/K!M37*100</f>
        <v>121.86472040166746</v>
      </c>
      <c r="M25" s="4">
        <f>+M!N37/K!N37*100</f>
        <v>135.5684276327664</v>
      </c>
    </row>
    <row r="26" spans="1:13" x14ac:dyDescent="0.25">
      <c r="A26" s="5" t="s">
        <v>71</v>
      </c>
      <c r="B26" s="4">
        <f>+M!C38/K!C38*100</f>
        <v>93.977984668201927</v>
      </c>
      <c r="C26" s="4">
        <f>+M!D38/K!D38*100</f>
        <v>89.872146350945727</v>
      </c>
      <c r="D26" s="4">
        <f>+M!E38/K!E38*100</f>
        <v>91.269029609196679</v>
      </c>
      <c r="E26" s="4">
        <f>+M!F38/K!F38*100</f>
        <v>93.909489753415158</v>
      </c>
      <c r="F26" s="4">
        <f>+M!G38/K!G38*100</f>
        <v>96.643208099522084</v>
      </c>
      <c r="G26" s="4">
        <f>+M!H38/K!H38*100</f>
        <v>99.999999999998806</v>
      </c>
      <c r="H26" s="4">
        <f>+M!I38/K!I38*100</f>
        <v>92.161417656991318</v>
      </c>
      <c r="I26" s="4">
        <f>+M!J38/K!J38*100</f>
        <v>99.844277051552439</v>
      </c>
      <c r="J26" s="4">
        <f>+M!K38/K!K38*100</f>
        <v>82.085668388806198</v>
      </c>
      <c r="K26" s="4">
        <f>+M!L38/K!L38*100</f>
        <v>87.387473673874936</v>
      </c>
      <c r="L26" s="4">
        <f>+M!M38/K!M38*100</f>
        <v>98.434693708017321</v>
      </c>
      <c r="M26" s="4">
        <f>+M!N38/K!N38*100</f>
        <v>115.5313959619603</v>
      </c>
    </row>
    <row r="27" spans="1:13" x14ac:dyDescent="0.25">
      <c r="A27" s="5" t="s">
        <v>73</v>
      </c>
      <c r="B27" s="4">
        <f>+M!C39/K!C39*100</f>
        <v>77.747832591752896</v>
      </c>
      <c r="C27" s="4">
        <f>+M!D39/K!D39*100</f>
        <v>81.570524170348818</v>
      </c>
      <c r="D27" s="4">
        <f>+M!E39/K!E39*100</f>
        <v>87.044532811987821</v>
      </c>
      <c r="E27" s="4">
        <f>+M!F39/K!F39*100</f>
        <v>92.18356820627892</v>
      </c>
      <c r="F27" s="4">
        <f>+M!G39/K!G39*100</f>
        <v>96.427237580467818</v>
      </c>
      <c r="G27" s="4">
        <f>+M!H39/K!H39*100</f>
        <v>99.999999999999417</v>
      </c>
      <c r="H27" s="4">
        <f>+M!I39/K!I39*100</f>
        <v>103.82778203371248</v>
      </c>
      <c r="I27" s="4">
        <f>+M!J39/K!J39*100</f>
        <v>105.34029456357253</v>
      </c>
      <c r="J27" s="4">
        <f>+M!K39/K!K39*100</f>
        <v>108.71721379716755</v>
      </c>
      <c r="K27" s="4">
        <f>+M!L39/K!L39*100</f>
        <v>120.79852141743707</v>
      </c>
      <c r="L27" s="4">
        <f>+M!M39/K!M39*100</f>
        <v>133.74276785972083</v>
      </c>
      <c r="M27" s="4">
        <f>+M!N39/K!N39*100</f>
        <v>145.94742873252673</v>
      </c>
    </row>
    <row r="28" spans="1:13" x14ac:dyDescent="0.25">
      <c r="A28" s="5" t="s">
        <v>75</v>
      </c>
      <c r="B28" s="4">
        <f>+M!C40/K!C40*100</f>
        <v>74.232105415207414</v>
      </c>
      <c r="C28" s="4">
        <f>+M!D40/K!D40*100</f>
        <v>79.00437072405461</v>
      </c>
      <c r="D28" s="4">
        <f>+M!E40/K!E40*100</f>
        <v>86.02308601098899</v>
      </c>
      <c r="E28" s="4">
        <f>+M!F40/K!F40*100</f>
        <v>92.071207511000694</v>
      </c>
      <c r="F28" s="4">
        <f>+M!G40/K!G40*100</f>
        <v>98.987210412108936</v>
      </c>
      <c r="G28" s="4">
        <f>+M!H40/K!H40*100</f>
        <v>100</v>
      </c>
      <c r="H28" s="4">
        <f>+M!I40/K!I40*100</f>
        <v>104.53192704745537</v>
      </c>
      <c r="I28" s="4">
        <f>+M!J40/K!J40*100</f>
        <v>111.32986575512709</v>
      </c>
      <c r="J28" s="4">
        <f>+M!K40/K!K40*100</f>
        <v>119.15287275961255</v>
      </c>
      <c r="K28" s="4">
        <f>+M!L40/K!L40*100</f>
        <v>130.1424997649261</v>
      </c>
      <c r="L28" s="4">
        <f>+M!M40/K!M40*100</f>
        <v>137.77245173550676</v>
      </c>
      <c r="M28" s="4">
        <f>+M!N40/K!N40*100</f>
        <v>143.64091769099537</v>
      </c>
    </row>
    <row r="29" spans="1:13" x14ac:dyDescent="0.25">
      <c r="A29" s="5" t="s">
        <v>77</v>
      </c>
      <c r="B29" s="4">
        <f>+M!C41/K!C41*100</f>
        <v>79.829918517059724</v>
      </c>
      <c r="C29" s="4">
        <f>+M!D41/K!D41*100</f>
        <v>83.302107885344441</v>
      </c>
      <c r="D29" s="4">
        <f>+M!E41/K!E41*100</f>
        <v>88.386412138395244</v>
      </c>
      <c r="E29" s="4">
        <f>+M!F41/K!F41*100</f>
        <v>92.744378775707474</v>
      </c>
      <c r="F29" s="4">
        <f>+M!G41/K!G41*100</f>
        <v>96.674139577436122</v>
      </c>
      <c r="G29" s="4">
        <f>+M!H41/K!H41*100</f>
        <v>100.00000000000044</v>
      </c>
      <c r="H29" s="4">
        <f>+M!I41/K!I41*100</f>
        <v>108.36819880254211</v>
      </c>
      <c r="I29" s="4">
        <f>+M!J41/K!J41*100</f>
        <v>127.46987144499388</v>
      </c>
      <c r="J29" s="4">
        <f>+M!K41/K!K41*100</f>
        <v>118.14718080644191</v>
      </c>
      <c r="K29" s="4">
        <f>+M!L41/K!L41*100</f>
        <v>118.26107290144398</v>
      </c>
      <c r="L29" s="4">
        <f>+M!M41/K!M41*100</f>
        <v>130.59897311942723</v>
      </c>
      <c r="M29" s="4">
        <f>+M!N41/K!N41*100</f>
        <v>137.18187788403768</v>
      </c>
    </row>
    <row r="30" spans="1:13" x14ac:dyDescent="0.25">
      <c r="A30" s="5" t="s">
        <v>79</v>
      </c>
      <c r="B30" s="4">
        <f>+M!C42/K!C42*100</f>
        <v>75.208861742960181</v>
      </c>
      <c r="C30" s="4">
        <f>+M!D42/K!D42*100</f>
        <v>80.860677244668778</v>
      </c>
      <c r="D30" s="4">
        <f>+M!E42/K!E42*100</f>
        <v>86.47224093235441</v>
      </c>
      <c r="E30" s="4">
        <f>+M!F42/K!F42*100</f>
        <v>92.034202612955625</v>
      </c>
      <c r="F30" s="4">
        <f>+M!G42/K!G42*100</f>
        <v>96.155266963568295</v>
      </c>
      <c r="G30" s="4">
        <f>+M!H42/K!H42*100</f>
        <v>99.99999999999892</v>
      </c>
      <c r="H30" s="4">
        <f>+M!I42/K!I42*100</f>
        <v>103.34245325576302</v>
      </c>
      <c r="I30" s="4">
        <f>+M!J42/K!J42*100</f>
        <v>104.08038787456792</v>
      </c>
      <c r="J30" s="4">
        <f>+M!K42/K!K42*100</f>
        <v>110.68140607126028</v>
      </c>
      <c r="K30" s="4">
        <f>+M!L42/K!L42*100</f>
        <v>118.20112488547925</v>
      </c>
      <c r="L30" s="4">
        <f>+M!M42/K!M42*100</f>
        <v>130.67262227613935</v>
      </c>
      <c r="M30" s="4">
        <f>+M!N42/K!N42*100</f>
        <v>134.37955598536115</v>
      </c>
    </row>
    <row r="31" spans="1:13" x14ac:dyDescent="0.25">
      <c r="A31" s="5" t="s">
        <v>81</v>
      </c>
      <c r="B31" s="4">
        <f>+M!C43/K!C43*100</f>
        <v>80.92519628397848</v>
      </c>
      <c r="C31" s="4">
        <f>+M!D43/K!D43*100</f>
        <v>85.529442120414444</v>
      </c>
      <c r="D31" s="4">
        <f>+M!E43/K!E43*100</f>
        <v>89.68719611908152</v>
      </c>
      <c r="E31" s="4">
        <f>+M!F43/K!F43*100</f>
        <v>93.878544900152818</v>
      </c>
      <c r="F31" s="4">
        <f>+M!G43/K!G43*100</f>
        <v>98.636920828522491</v>
      </c>
      <c r="G31" s="4">
        <f>+M!H43/K!H43*100</f>
        <v>100</v>
      </c>
      <c r="H31" s="4">
        <f>+M!I43/K!I43*100</f>
        <v>102.71202888192271</v>
      </c>
      <c r="I31" s="4">
        <f>+M!J43/K!J43*100</f>
        <v>112.98275281647922</v>
      </c>
      <c r="J31" s="4">
        <f>+M!K43/K!K43*100</f>
        <v>120.82524801402938</v>
      </c>
      <c r="K31" s="4">
        <f>+M!L43/K!L43*100</f>
        <v>129.99575153777897</v>
      </c>
      <c r="L31" s="4">
        <f>+M!M43/K!M43*100</f>
        <v>137.79414271450639</v>
      </c>
      <c r="M31" s="4">
        <f>+M!N43/K!N43*100</f>
        <v>148.31478882071278</v>
      </c>
    </row>
    <row r="32" spans="1:13" x14ac:dyDescent="0.25">
      <c r="A32" s="5" t="s">
        <v>83</v>
      </c>
      <c r="B32" s="4">
        <f>+M!C44/K!C44*100</f>
        <v>80.00100970306103</v>
      </c>
      <c r="C32" s="4">
        <f>+M!D44/K!D44*100</f>
        <v>85.878516397524137</v>
      </c>
      <c r="D32" s="4">
        <f>+M!E44/K!E44*100</f>
        <v>90.854538681015001</v>
      </c>
      <c r="E32" s="4">
        <f>+M!F44/K!F44*100</f>
        <v>94.090732621998029</v>
      </c>
      <c r="F32" s="4">
        <f>+M!G44/K!G44*100</f>
        <v>96.656180945430975</v>
      </c>
      <c r="G32" s="4">
        <f>+M!H44/K!H44*100</f>
        <v>99.999999999999488</v>
      </c>
      <c r="H32" s="4">
        <f>+M!I44/K!I44*100</f>
        <v>101.28909852838923</v>
      </c>
      <c r="I32" s="4">
        <f>+M!J44/K!J44*100</f>
        <v>108.05461376645083</v>
      </c>
      <c r="J32" s="4">
        <f>+M!K44/K!K44*100</f>
        <v>114.82270562060583</v>
      </c>
      <c r="K32" s="4">
        <f>+M!L44/K!L44*100</f>
        <v>123.20887905396731</v>
      </c>
      <c r="L32" s="4">
        <f>+M!M44/K!M44*100</f>
        <v>138.15345892640551</v>
      </c>
      <c r="M32" s="4">
        <f>+M!N44/K!N44*100</f>
        <v>149.82154039661822</v>
      </c>
    </row>
    <row r="33" spans="1:13" x14ac:dyDescent="0.25">
      <c r="A33" s="5" t="s">
        <v>91</v>
      </c>
      <c r="B33" s="4">
        <f>+M!C45/K!C45*100</f>
        <v>80.834835242847277</v>
      </c>
      <c r="C33" s="4">
        <f>+M!D45/K!D45*100</f>
        <v>85.56601054539189</v>
      </c>
      <c r="D33" s="4">
        <f>+M!E45/K!E45*100</f>
        <v>89.805263477237844</v>
      </c>
      <c r="E33" s="4">
        <f>+M!F45/K!F45*100</f>
        <v>93.900972647485901</v>
      </c>
      <c r="F33" s="4">
        <f>+M!G45/K!G45*100</f>
        <v>98.434691789835028</v>
      </c>
      <c r="G33" s="4">
        <f>+M!H45/K!H45*100</f>
        <v>99.99999999999946</v>
      </c>
      <c r="H33" s="4">
        <f>+M!I45/K!I45*100</f>
        <v>102.56778721380245</v>
      </c>
      <c r="I33" s="4">
        <f>+M!J45/K!J45*100</f>
        <v>112.48170510222954</v>
      </c>
      <c r="J33" s="4">
        <f>+M!K45/K!K45*100</f>
        <v>120.2078781243862</v>
      </c>
      <c r="K33" s="4">
        <f>+M!L45/K!L45*100</f>
        <v>129.295782901633</v>
      </c>
      <c r="L33" s="4">
        <f>+M!M45/K!M45*100</f>
        <v>137.81349389575666</v>
      </c>
      <c r="M33" s="4">
        <f>+M!N45/K!N45*100</f>
        <v>148.44574935422892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95BE-D812-47E6-B516-105EF173D2F4}">
  <dimension ref="A1:N44"/>
  <sheetViews>
    <sheetView topLeftCell="A9" workbookViewId="0">
      <selection activeCell="C14" sqref="C14:N14"/>
    </sheetView>
  </sheetViews>
  <sheetFormatPr baseColWidth="10" defaultRowHeight="15" x14ac:dyDescent="0.25"/>
  <cols>
    <col min="2" max="2" width="40.7109375" customWidth="1"/>
  </cols>
  <sheetData>
    <row r="1" spans="1:14" ht="15.75" x14ac:dyDescent="0.25">
      <c r="A1" s="7" t="s">
        <v>92</v>
      </c>
      <c r="B1" s="7" t="s">
        <v>1</v>
      </c>
      <c r="C1" s="7" t="s">
        <v>1</v>
      </c>
      <c r="D1" s="7" t="s">
        <v>1</v>
      </c>
      <c r="E1" s="7" t="s">
        <v>1</v>
      </c>
      <c r="F1" s="7" t="s">
        <v>1</v>
      </c>
      <c r="G1" s="7" t="s">
        <v>1</v>
      </c>
      <c r="H1" s="7" t="s">
        <v>1</v>
      </c>
      <c r="I1" s="7" t="s">
        <v>1</v>
      </c>
      <c r="J1" s="7" t="s">
        <v>1</v>
      </c>
      <c r="K1" s="7" t="s">
        <v>1</v>
      </c>
      <c r="L1" s="7" t="s">
        <v>1</v>
      </c>
      <c r="M1" s="7" t="s">
        <v>1</v>
      </c>
      <c r="N1" s="7" t="s">
        <v>1</v>
      </c>
    </row>
    <row r="3" spans="1:14" ht="15.75" x14ac:dyDescent="0.25">
      <c r="A3" s="2" t="s">
        <v>2</v>
      </c>
      <c r="B3" s="2" t="s">
        <v>93</v>
      </c>
      <c r="C3" s="3"/>
      <c r="D3" s="3"/>
      <c r="E3" s="3"/>
      <c r="F3" s="3"/>
      <c r="G3" s="3"/>
      <c r="H3" s="3"/>
      <c r="I3" s="3"/>
      <c r="J3" s="3"/>
      <c r="K3" s="3"/>
      <c r="L3" s="3"/>
      <c r="M3" s="3"/>
      <c r="N3" s="3"/>
    </row>
    <row r="4" spans="1:14" ht="15.75" x14ac:dyDescent="0.25">
      <c r="A4" s="2" t="s">
        <v>4</v>
      </c>
      <c r="B4" s="2" t="s">
        <v>94</v>
      </c>
      <c r="C4" s="3"/>
      <c r="D4" s="3"/>
      <c r="E4" s="3"/>
      <c r="F4" s="3"/>
      <c r="G4" s="3"/>
      <c r="H4" s="3"/>
      <c r="I4" s="3"/>
      <c r="J4" s="3"/>
      <c r="K4" s="3"/>
      <c r="L4" s="3"/>
      <c r="M4" s="3"/>
      <c r="N4" s="3"/>
    </row>
    <row r="5" spans="1:14" ht="15.75" x14ac:dyDescent="0.25">
      <c r="A5" s="2" t="s">
        <v>6</v>
      </c>
      <c r="B5" s="2" t="s">
        <v>7</v>
      </c>
      <c r="C5" s="3"/>
      <c r="D5" s="3"/>
      <c r="E5" s="3"/>
      <c r="F5" s="3"/>
      <c r="G5" s="3"/>
      <c r="H5" s="3"/>
      <c r="I5" s="3"/>
      <c r="J5" s="3"/>
      <c r="K5" s="3"/>
      <c r="L5" s="3"/>
      <c r="M5" s="3"/>
      <c r="N5" s="3"/>
    </row>
    <row r="6" spans="1:14" ht="15.75" x14ac:dyDescent="0.25">
      <c r="A6" s="2" t="s">
        <v>8</v>
      </c>
      <c r="B6" s="2" t="s">
        <v>95</v>
      </c>
      <c r="C6" s="3"/>
      <c r="D6" s="3"/>
      <c r="E6" s="3"/>
      <c r="F6" s="3"/>
      <c r="G6" s="3"/>
      <c r="H6" s="3"/>
      <c r="I6" s="3"/>
      <c r="J6" s="3"/>
      <c r="K6" s="3"/>
      <c r="L6" s="3"/>
      <c r="M6" s="3"/>
      <c r="N6" s="3"/>
    </row>
    <row r="7" spans="1:14" ht="15.75" x14ac:dyDescent="0.25">
      <c r="A7" s="2" t="s">
        <v>10</v>
      </c>
      <c r="B7" s="2" t="s">
        <v>96</v>
      </c>
      <c r="C7" s="3"/>
      <c r="D7" s="3"/>
      <c r="E7" s="3"/>
      <c r="F7" s="3"/>
      <c r="G7" s="3"/>
      <c r="H7" s="3"/>
      <c r="I7" s="3"/>
      <c r="J7" s="3"/>
      <c r="K7" s="3"/>
      <c r="L7" s="3"/>
      <c r="M7" s="3"/>
      <c r="N7" s="3"/>
    </row>
    <row r="8" spans="1:14" ht="15.75" x14ac:dyDescent="0.25">
      <c r="A8" s="2" t="s">
        <v>12</v>
      </c>
      <c r="B8" s="2" t="s">
        <v>13</v>
      </c>
      <c r="C8" s="3"/>
      <c r="D8" s="3"/>
      <c r="E8" s="3"/>
      <c r="F8" s="3"/>
      <c r="G8" s="3"/>
      <c r="H8" s="3"/>
      <c r="I8" s="3"/>
      <c r="J8" s="3"/>
      <c r="K8" s="3"/>
      <c r="L8" s="3"/>
      <c r="M8" s="3"/>
      <c r="N8" s="3"/>
    </row>
    <row r="9" spans="1:14" ht="15.75" x14ac:dyDescent="0.25">
      <c r="A9" s="2" t="s">
        <v>14</v>
      </c>
      <c r="B9" s="2" t="s">
        <v>97</v>
      </c>
      <c r="C9" s="3"/>
      <c r="D9" s="3"/>
      <c r="E9" s="3"/>
      <c r="F9" s="3"/>
      <c r="G9" s="3"/>
      <c r="H9" s="3"/>
      <c r="I9" s="3"/>
      <c r="J9" s="3"/>
      <c r="K9" s="3"/>
      <c r="L9" s="3"/>
      <c r="M9" s="3"/>
      <c r="N9" s="3"/>
    </row>
    <row r="10" spans="1:14" ht="15.75" x14ac:dyDescent="0.25">
      <c r="A10" s="2" t="s">
        <v>16</v>
      </c>
      <c r="B10" s="2" t="s">
        <v>17</v>
      </c>
      <c r="C10" s="3"/>
      <c r="D10" s="3"/>
      <c r="E10" s="3"/>
      <c r="F10" s="3"/>
      <c r="G10" s="3"/>
      <c r="H10" s="3"/>
      <c r="I10" s="3"/>
      <c r="J10" s="3"/>
      <c r="K10" s="3"/>
      <c r="L10" s="3"/>
      <c r="M10" s="3"/>
      <c r="N10" s="3"/>
    </row>
    <row r="11" spans="1:14" ht="15.75" x14ac:dyDescent="0.25">
      <c r="A11" s="2" t="s">
        <v>18</v>
      </c>
      <c r="B11" s="2" t="s">
        <v>98</v>
      </c>
      <c r="C11" s="3"/>
      <c r="D11" s="3"/>
      <c r="E11" s="3"/>
      <c r="F11" s="3"/>
      <c r="G11" s="3"/>
      <c r="H11" s="3"/>
      <c r="I11" s="3"/>
      <c r="J11" s="3"/>
      <c r="K11" s="3"/>
      <c r="L11" s="3"/>
      <c r="M11" s="3"/>
      <c r="N11" s="3"/>
    </row>
    <row r="12" spans="1:14" ht="15.75" x14ac:dyDescent="0.25">
      <c r="A12" s="2" t="s">
        <v>20</v>
      </c>
      <c r="B12" s="2" t="s">
        <v>89</v>
      </c>
      <c r="C12" s="3"/>
      <c r="D12" s="3"/>
      <c r="E12" s="3"/>
      <c r="F12" s="3"/>
      <c r="G12" s="3"/>
      <c r="H12" s="3"/>
      <c r="I12" s="3"/>
      <c r="J12" s="3"/>
      <c r="K12" s="3"/>
      <c r="L12" s="3"/>
      <c r="M12" s="3"/>
      <c r="N12" s="3"/>
    </row>
    <row r="14" spans="1:14" ht="15.75" x14ac:dyDescent="0.25">
      <c r="A14" s="1" t="s">
        <v>22</v>
      </c>
      <c r="B14" s="1" t="s">
        <v>23</v>
      </c>
      <c r="C14" s="6">
        <v>41275</v>
      </c>
      <c r="D14" s="6">
        <v>41640</v>
      </c>
      <c r="E14" s="6">
        <v>42005</v>
      </c>
      <c r="F14" s="6">
        <v>42370</v>
      </c>
      <c r="G14" s="6">
        <v>42736</v>
      </c>
      <c r="H14" s="6">
        <v>43101</v>
      </c>
      <c r="I14" s="6">
        <v>43466</v>
      </c>
      <c r="J14" s="6">
        <v>43831</v>
      </c>
      <c r="K14" s="6">
        <v>44197</v>
      </c>
      <c r="L14" s="6">
        <v>44562</v>
      </c>
      <c r="M14" s="6">
        <v>44927</v>
      </c>
      <c r="N14" s="6">
        <v>45292</v>
      </c>
    </row>
    <row r="15" spans="1:14" x14ac:dyDescent="0.25">
      <c r="A15" s="5" t="s">
        <v>24</v>
      </c>
      <c r="B15" s="5" t="s">
        <v>25</v>
      </c>
      <c r="C15" s="4">
        <v>77.106843296237997</v>
      </c>
      <c r="D15" s="4">
        <v>88.691083990761996</v>
      </c>
      <c r="E15" s="4">
        <v>93.317122464644996</v>
      </c>
      <c r="F15" s="4">
        <v>102.68348582739</v>
      </c>
      <c r="G15" s="4">
        <v>104.74273786320001</v>
      </c>
      <c r="H15" s="4">
        <v>99.999999999999005</v>
      </c>
      <c r="I15" s="4">
        <v>103.99936601406</v>
      </c>
      <c r="J15" s="4">
        <v>119.38936220452</v>
      </c>
      <c r="K15" s="4">
        <v>116.09090724639999</v>
      </c>
      <c r="L15" s="4">
        <v>111.25168364328999</v>
      </c>
      <c r="M15" s="4">
        <v>139.05703591303001</v>
      </c>
      <c r="N15" s="4">
        <v>161.60554290367</v>
      </c>
    </row>
    <row r="16" spans="1:14" x14ac:dyDescent="0.25">
      <c r="A16" s="5" t="s">
        <v>26</v>
      </c>
      <c r="B16" s="5" t="s">
        <v>27</v>
      </c>
      <c r="C16" s="4">
        <v>48.143057955191999</v>
      </c>
      <c r="D16" s="4">
        <v>94.838406924425001</v>
      </c>
      <c r="E16" s="4">
        <v>56.002346775771002</v>
      </c>
      <c r="F16" s="4">
        <v>101.80095709449</v>
      </c>
      <c r="G16" s="4">
        <v>117.14028807584</v>
      </c>
      <c r="H16" s="4">
        <v>99.999999999999005</v>
      </c>
      <c r="I16" s="4">
        <v>112.272367702</v>
      </c>
      <c r="J16" s="4">
        <v>80.327722667380002</v>
      </c>
      <c r="K16" s="4">
        <v>92.695984720007004</v>
      </c>
      <c r="L16" s="4">
        <v>127.47165225654</v>
      </c>
      <c r="M16" s="4">
        <v>103.38075172764</v>
      </c>
      <c r="N16" s="4">
        <v>127.70437014783001</v>
      </c>
    </row>
    <row r="17" spans="1:14" x14ac:dyDescent="0.25">
      <c r="A17" s="5" t="s">
        <v>28</v>
      </c>
      <c r="B17" s="5" t="s">
        <v>29</v>
      </c>
      <c r="C17" s="4">
        <v>86.010128650921004</v>
      </c>
      <c r="D17" s="4">
        <v>88.895150878901006</v>
      </c>
      <c r="E17" s="4">
        <v>75.327519852370997</v>
      </c>
      <c r="F17" s="4">
        <v>77.061721450947005</v>
      </c>
      <c r="G17" s="4">
        <v>101.42471167639</v>
      </c>
      <c r="H17" s="4">
        <v>100</v>
      </c>
      <c r="I17" s="4">
        <v>99.457841831996006</v>
      </c>
      <c r="J17" s="4">
        <v>144.04925382248999</v>
      </c>
      <c r="K17" s="4">
        <v>217.92255410684999</v>
      </c>
      <c r="L17" s="4">
        <v>243.26427805956001</v>
      </c>
      <c r="M17" s="4">
        <v>203.88051017977</v>
      </c>
      <c r="N17" s="4">
        <v>240.63667271362999</v>
      </c>
    </row>
    <row r="18" spans="1:14" x14ac:dyDescent="0.25">
      <c r="A18" s="5" t="s">
        <v>30</v>
      </c>
      <c r="B18" s="5" t="s">
        <v>31</v>
      </c>
      <c r="C18" s="4">
        <v>86.241140149760994</v>
      </c>
      <c r="D18" s="4">
        <v>90.784070373347006</v>
      </c>
      <c r="E18" s="4">
        <v>76.624310794191004</v>
      </c>
      <c r="F18" s="4">
        <v>76.233502538097</v>
      </c>
      <c r="G18" s="4">
        <v>102.57010228407</v>
      </c>
      <c r="H18" s="4">
        <v>99.999999999999005</v>
      </c>
      <c r="I18" s="4">
        <v>99.604480493666003</v>
      </c>
      <c r="J18" s="4">
        <v>147.93061567465</v>
      </c>
      <c r="K18" s="4">
        <v>228.44211156867999</v>
      </c>
      <c r="L18" s="4">
        <v>208.48979788976999</v>
      </c>
      <c r="M18" s="4">
        <v>192.24159182413999</v>
      </c>
      <c r="N18" s="4">
        <v>260.56168564032998</v>
      </c>
    </row>
    <row r="19" spans="1:14" x14ac:dyDescent="0.25">
      <c r="A19" s="5" t="s">
        <v>32</v>
      </c>
      <c r="B19" s="5" t="s">
        <v>33</v>
      </c>
      <c r="C19" s="4">
        <v>84.483830975567997</v>
      </c>
      <c r="D19" s="4">
        <v>74.742396380135006</v>
      </c>
      <c r="E19" s="4">
        <v>65.747133607904999</v>
      </c>
      <c r="F19" s="4">
        <v>83.253246876838006</v>
      </c>
      <c r="G19" s="4">
        <v>92.174925822589998</v>
      </c>
      <c r="H19" s="4">
        <v>100</v>
      </c>
      <c r="I19" s="4">
        <v>98.309158317227002</v>
      </c>
      <c r="J19" s="4">
        <v>116.0386534971</v>
      </c>
      <c r="K19" s="4">
        <v>147.19201001303</v>
      </c>
      <c r="L19" s="4">
        <v>393.13886832402</v>
      </c>
      <c r="M19" s="4">
        <v>255.22325512891001</v>
      </c>
      <c r="N19" s="4">
        <v>157.29261483273001</v>
      </c>
    </row>
    <row r="20" spans="1:14" x14ac:dyDescent="0.25">
      <c r="A20" s="5" t="s">
        <v>34</v>
      </c>
      <c r="B20" s="5" t="s">
        <v>35</v>
      </c>
      <c r="C20" s="4">
        <v>81.616670445891003</v>
      </c>
      <c r="D20" s="4">
        <v>86.940939813764004</v>
      </c>
      <c r="E20" s="4">
        <v>96.211353938038002</v>
      </c>
      <c r="F20" s="4">
        <v>95.629262636448004</v>
      </c>
      <c r="G20" s="4">
        <v>95.003435419368998</v>
      </c>
      <c r="H20" s="4">
        <v>99.999999999999005</v>
      </c>
      <c r="I20" s="4">
        <v>98.151526954033002</v>
      </c>
      <c r="J20" s="4">
        <v>103.59652904204</v>
      </c>
      <c r="K20" s="4">
        <v>110.55212475787999</v>
      </c>
      <c r="L20" s="4">
        <v>138.33137560220001</v>
      </c>
      <c r="M20" s="4">
        <v>142.91079324044</v>
      </c>
      <c r="N20" s="4">
        <v>147.30815254480001</v>
      </c>
    </row>
    <row r="21" spans="1:14" x14ac:dyDescent="0.25">
      <c r="A21" s="5" t="s">
        <v>36</v>
      </c>
      <c r="B21" s="5" t="s">
        <v>37</v>
      </c>
      <c r="C21" s="4">
        <v>74.363823014008005</v>
      </c>
      <c r="D21" s="4">
        <v>81.302705416329999</v>
      </c>
      <c r="E21" s="4">
        <v>93.762066217157994</v>
      </c>
      <c r="F21" s="4">
        <v>96.229362914464005</v>
      </c>
      <c r="G21" s="4">
        <v>96.739734769072996</v>
      </c>
      <c r="H21" s="4">
        <v>99.999999999999005</v>
      </c>
      <c r="I21" s="4">
        <v>103.8987536086</v>
      </c>
      <c r="J21" s="4">
        <v>111.18080307555999</v>
      </c>
      <c r="K21" s="4">
        <v>109.53870349699</v>
      </c>
      <c r="L21" s="4">
        <v>131.05997713579001</v>
      </c>
      <c r="M21" s="4">
        <v>144.65623064651001</v>
      </c>
      <c r="N21" s="4">
        <v>150.87690791771001</v>
      </c>
    </row>
    <row r="22" spans="1:14" x14ac:dyDescent="0.25">
      <c r="A22" s="5" t="s">
        <v>38</v>
      </c>
      <c r="B22" s="5" t="s">
        <v>39</v>
      </c>
      <c r="C22" s="4">
        <v>72.578335070804002</v>
      </c>
      <c r="D22" s="4">
        <v>78.370388262399004</v>
      </c>
      <c r="E22" s="4">
        <v>92.136318280468004</v>
      </c>
      <c r="F22" s="4">
        <v>96.618124512281994</v>
      </c>
      <c r="G22" s="4">
        <v>98.723825004638996</v>
      </c>
      <c r="H22" s="4">
        <v>99.999999999999005</v>
      </c>
      <c r="I22" s="4">
        <v>101.52099705321</v>
      </c>
      <c r="J22" s="4">
        <v>107.43342807145</v>
      </c>
      <c r="K22" s="4">
        <v>108.85802305479</v>
      </c>
      <c r="L22" s="4">
        <v>138.22614999915999</v>
      </c>
      <c r="M22" s="4">
        <v>150.08579535058001</v>
      </c>
      <c r="N22" s="4">
        <v>156.21699700161</v>
      </c>
    </row>
    <row r="23" spans="1:14" x14ac:dyDescent="0.25">
      <c r="A23" s="5" t="s">
        <v>40</v>
      </c>
      <c r="B23" s="5" t="s">
        <v>41</v>
      </c>
      <c r="C23" s="4">
        <v>80.285637666865</v>
      </c>
      <c r="D23" s="4">
        <v>91.311768894783</v>
      </c>
      <c r="E23" s="4">
        <v>100.22588687651999</v>
      </c>
      <c r="F23" s="4">
        <v>96.059679698527006</v>
      </c>
      <c r="G23" s="4">
        <v>90.846967636214998</v>
      </c>
      <c r="H23" s="4">
        <v>100</v>
      </c>
      <c r="I23" s="4">
        <v>111.60809989866</v>
      </c>
      <c r="J23" s="4">
        <v>123.69234493793</v>
      </c>
      <c r="K23" s="4">
        <v>112.85003295356999</v>
      </c>
      <c r="L23" s="4">
        <v>109.88589645717001</v>
      </c>
      <c r="M23" s="4">
        <v>129.0410448209</v>
      </c>
      <c r="N23" s="4">
        <v>135.68096839066999</v>
      </c>
    </row>
    <row r="24" spans="1:14" x14ac:dyDescent="0.25">
      <c r="A24" s="5" t="s">
        <v>42</v>
      </c>
      <c r="B24" s="5" t="s">
        <v>43</v>
      </c>
      <c r="C24" s="4">
        <v>120.94758664366</v>
      </c>
      <c r="D24" s="4">
        <v>115.48447519819</v>
      </c>
      <c r="E24" s="4">
        <v>107.52442116425</v>
      </c>
      <c r="F24" s="4">
        <v>117.9376128321</v>
      </c>
      <c r="G24" s="4">
        <v>111.61986215915999</v>
      </c>
      <c r="H24" s="4">
        <v>99.999999999999005</v>
      </c>
      <c r="I24" s="4">
        <v>84.562992854463005</v>
      </c>
      <c r="J24" s="4">
        <v>71.728747032472995</v>
      </c>
      <c r="K24" s="4">
        <v>69.374466842382006</v>
      </c>
      <c r="L24" s="4">
        <v>56.539869603999001</v>
      </c>
      <c r="M24" s="4">
        <v>69.851283274747999</v>
      </c>
      <c r="N24" s="4">
        <v>56.525994815238001</v>
      </c>
    </row>
    <row r="25" spans="1:14" x14ac:dyDescent="0.25">
      <c r="A25" s="5" t="s">
        <v>44</v>
      </c>
      <c r="B25" s="5" t="s">
        <v>45</v>
      </c>
      <c r="C25" s="4">
        <v>81.547908368438002</v>
      </c>
      <c r="D25" s="4">
        <v>100.07188092952001</v>
      </c>
      <c r="E25" s="4">
        <v>107.1615082093</v>
      </c>
      <c r="F25" s="4">
        <v>106.15763962638999</v>
      </c>
      <c r="G25" s="4">
        <v>102.38170475517001</v>
      </c>
      <c r="H25" s="4">
        <v>100</v>
      </c>
      <c r="I25" s="4">
        <v>97.634045562563003</v>
      </c>
      <c r="J25" s="4">
        <v>110.87139466242</v>
      </c>
      <c r="K25" s="4">
        <v>143.65737313291001</v>
      </c>
      <c r="L25" s="4">
        <v>182.56944637426</v>
      </c>
      <c r="M25" s="4">
        <v>130.15281667511999</v>
      </c>
      <c r="N25" s="4">
        <v>127.26845605110999</v>
      </c>
    </row>
    <row r="26" spans="1:14" x14ac:dyDescent="0.25">
      <c r="A26" s="5" t="s">
        <v>46</v>
      </c>
      <c r="B26" s="5" t="s">
        <v>47</v>
      </c>
      <c r="C26" s="4">
        <v>49.854063811087002</v>
      </c>
      <c r="D26" s="4">
        <v>59.456559053734999</v>
      </c>
      <c r="E26" s="4">
        <v>72.105553335238</v>
      </c>
      <c r="F26" s="4">
        <v>66.424574274145002</v>
      </c>
      <c r="G26" s="4">
        <v>76.712843517501994</v>
      </c>
      <c r="H26" s="4">
        <v>99.999999999999005</v>
      </c>
      <c r="I26" s="4">
        <v>72.666250473058</v>
      </c>
      <c r="J26" s="4">
        <v>65.215368011810995</v>
      </c>
      <c r="K26" s="4">
        <v>94.206586225303994</v>
      </c>
      <c r="L26" s="4">
        <v>120.87292541591999</v>
      </c>
      <c r="M26" s="4">
        <v>89.311059064592001</v>
      </c>
      <c r="N26" s="4">
        <v>105.80575582809</v>
      </c>
    </row>
    <row r="27" spans="1:14" x14ac:dyDescent="0.25">
      <c r="A27" s="5" t="s">
        <v>48</v>
      </c>
      <c r="B27" s="5" t="s">
        <v>49</v>
      </c>
      <c r="C27" s="4">
        <v>96.348414064295</v>
      </c>
      <c r="D27" s="4">
        <v>99.027495320455998</v>
      </c>
      <c r="E27" s="4">
        <v>109.79561218418</v>
      </c>
      <c r="F27" s="4">
        <v>101.63829571143999</v>
      </c>
      <c r="G27" s="4">
        <v>96.253026824776995</v>
      </c>
      <c r="H27" s="4">
        <v>99.999999999999005</v>
      </c>
      <c r="I27" s="4">
        <v>94.527911873682996</v>
      </c>
      <c r="J27" s="4">
        <v>100.20302658438</v>
      </c>
      <c r="K27" s="4">
        <v>115.300264502</v>
      </c>
      <c r="L27" s="4">
        <v>175.63081008859999</v>
      </c>
      <c r="M27" s="4">
        <v>179.38969123864001</v>
      </c>
      <c r="N27" s="4">
        <v>173.62043104611999</v>
      </c>
    </row>
    <row r="28" spans="1:14" x14ac:dyDescent="0.25">
      <c r="A28" s="5" t="s">
        <v>50</v>
      </c>
      <c r="B28" s="5" t="s">
        <v>51</v>
      </c>
      <c r="C28" s="4">
        <v>93.734873488071997</v>
      </c>
      <c r="D28" s="4">
        <v>96.103885244335999</v>
      </c>
      <c r="E28" s="4">
        <v>93.364041500221006</v>
      </c>
      <c r="F28" s="4">
        <v>89.680336785110001</v>
      </c>
      <c r="G28" s="4">
        <v>89.385379074143003</v>
      </c>
      <c r="H28" s="4">
        <v>99.999999999999005</v>
      </c>
      <c r="I28" s="4">
        <v>96.894683830418003</v>
      </c>
      <c r="J28" s="4">
        <v>104.48191541983</v>
      </c>
      <c r="K28" s="4">
        <v>124.66113428208</v>
      </c>
      <c r="L28" s="4">
        <v>134.03865367133</v>
      </c>
      <c r="M28" s="4">
        <v>137.65188865636</v>
      </c>
      <c r="N28" s="4">
        <v>138.83214176129999</v>
      </c>
    </row>
    <row r="29" spans="1:14" x14ac:dyDescent="0.25">
      <c r="A29" s="5" t="s">
        <v>52</v>
      </c>
      <c r="B29" s="5" t="s">
        <v>53</v>
      </c>
      <c r="C29" s="4">
        <v>91.172967871802001</v>
      </c>
      <c r="D29" s="4">
        <v>91.059097465294997</v>
      </c>
      <c r="E29" s="4">
        <v>95.958177771508005</v>
      </c>
      <c r="F29" s="4">
        <v>101.10423088160999</v>
      </c>
      <c r="G29" s="4">
        <v>98.189528995325006</v>
      </c>
      <c r="H29" s="4">
        <v>100</v>
      </c>
      <c r="I29" s="4">
        <v>106.59709315790001</v>
      </c>
      <c r="J29" s="4">
        <v>113.44450268036999</v>
      </c>
      <c r="K29" s="4">
        <v>106.47234528849</v>
      </c>
      <c r="L29" s="4">
        <v>123.96393010113999</v>
      </c>
      <c r="M29" s="4">
        <v>140.40843314838</v>
      </c>
      <c r="N29" s="4">
        <v>149.09013365165001</v>
      </c>
    </row>
    <row r="30" spans="1:14" x14ac:dyDescent="0.25">
      <c r="A30" s="5" t="s">
        <v>54</v>
      </c>
      <c r="B30" s="5" t="s">
        <v>55</v>
      </c>
      <c r="C30" s="4">
        <v>81.130981513839998</v>
      </c>
      <c r="D30" s="4">
        <v>81.251864895885006</v>
      </c>
      <c r="E30" s="4">
        <v>99.771439172309996</v>
      </c>
      <c r="F30" s="4">
        <v>106.197251546</v>
      </c>
      <c r="G30" s="4">
        <v>104.01046989412001</v>
      </c>
      <c r="H30" s="4">
        <v>100</v>
      </c>
      <c r="I30" s="4">
        <v>112.54314043807</v>
      </c>
      <c r="J30" s="4">
        <v>119.24007957773</v>
      </c>
      <c r="K30" s="4">
        <v>107.51807021383</v>
      </c>
      <c r="L30" s="4">
        <v>102.167904755</v>
      </c>
      <c r="M30" s="4">
        <v>121.74203634444</v>
      </c>
      <c r="N30" s="4">
        <v>148.51124094958999</v>
      </c>
    </row>
    <row r="31" spans="1:14" x14ac:dyDescent="0.25">
      <c r="A31" s="5" t="s">
        <v>56</v>
      </c>
      <c r="B31" s="5" t="s">
        <v>57</v>
      </c>
      <c r="C31" s="4">
        <v>73.478713225145995</v>
      </c>
      <c r="D31" s="4">
        <v>78.793850070931995</v>
      </c>
      <c r="E31" s="4">
        <v>84.992955764851004</v>
      </c>
      <c r="F31" s="4">
        <v>90.039684222014003</v>
      </c>
      <c r="G31" s="4">
        <v>94.158669877996005</v>
      </c>
      <c r="H31" s="4">
        <v>99.999999999999005</v>
      </c>
      <c r="I31" s="4">
        <v>103.67787002075001</v>
      </c>
      <c r="J31" s="4">
        <v>106.28542583310001</v>
      </c>
      <c r="K31" s="4">
        <v>115.36258750608999</v>
      </c>
      <c r="L31" s="4">
        <v>125.92458468060001</v>
      </c>
      <c r="M31" s="4">
        <v>136.78743091282999</v>
      </c>
      <c r="N31" s="4">
        <v>147.73389271197999</v>
      </c>
    </row>
    <row r="32" spans="1:14" x14ac:dyDescent="0.25">
      <c r="A32" s="5" t="s">
        <v>58</v>
      </c>
      <c r="B32" s="5" t="s">
        <v>59</v>
      </c>
      <c r="C32" s="4">
        <v>77.954955875029995</v>
      </c>
      <c r="D32" s="4">
        <v>85.217925309446002</v>
      </c>
      <c r="E32" s="4">
        <v>90.606083839739</v>
      </c>
      <c r="F32" s="4">
        <v>97.092018270374993</v>
      </c>
      <c r="G32" s="4">
        <v>99.927811813602005</v>
      </c>
      <c r="H32" s="4">
        <v>100</v>
      </c>
      <c r="I32" s="4">
        <v>101.35400209005</v>
      </c>
      <c r="J32" s="4">
        <v>107.12680983717</v>
      </c>
      <c r="K32" s="4">
        <v>113.96316683033</v>
      </c>
      <c r="L32" s="4">
        <v>120.62733076719</v>
      </c>
      <c r="M32" s="4">
        <v>134.38483975926999</v>
      </c>
      <c r="N32" s="4">
        <v>132.21256112348999</v>
      </c>
    </row>
    <row r="33" spans="1:14" s="10" customFormat="1" ht="14.25" customHeight="1" x14ac:dyDescent="0.25">
      <c r="A33" s="8" t="s">
        <v>60</v>
      </c>
      <c r="B33" s="8" t="s">
        <v>61</v>
      </c>
      <c r="C33" s="9">
        <v>80.469953562423001</v>
      </c>
      <c r="D33" s="9">
        <v>87.932104755289998</v>
      </c>
      <c r="E33" s="9">
        <v>93.021787363545997</v>
      </c>
      <c r="F33" s="9">
        <v>99.274640339339996</v>
      </c>
      <c r="G33" s="9">
        <v>101.26878117755</v>
      </c>
      <c r="H33" s="9">
        <v>100</v>
      </c>
      <c r="I33" s="9">
        <v>100.87565811829</v>
      </c>
      <c r="J33" s="9">
        <v>107.49939219849</v>
      </c>
      <c r="K33" s="9">
        <v>114.66887480145</v>
      </c>
      <c r="L33" s="9">
        <v>120.37242063773</v>
      </c>
      <c r="M33" s="9">
        <v>132.56551638037001</v>
      </c>
      <c r="N33" s="9">
        <v>127.58370493112</v>
      </c>
    </row>
    <row r="34" spans="1:14" x14ac:dyDescent="0.25">
      <c r="A34" s="5" t="s">
        <v>62</v>
      </c>
      <c r="B34" s="5" t="s">
        <v>99</v>
      </c>
      <c r="C34" s="4">
        <v>66.959578108035004</v>
      </c>
      <c r="D34" s="4">
        <v>73.349897740846004</v>
      </c>
      <c r="E34" s="4">
        <v>80.066735591790007</v>
      </c>
      <c r="F34" s="4">
        <v>87.596192113076995</v>
      </c>
      <c r="G34" s="4">
        <v>94.115429639921999</v>
      </c>
      <c r="H34" s="4">
        <v>100</v>
      </c>
      <c r="I34" s="4">
        <v>103.37448875833999</v>
      </c>
      <c r="J34" s="4">
        <v>102.9473349108</v>
      </c>
      <c r="K34" s="4">
        <v>107.51012438646001</v>
      </c>
      <c r="L34" s="4">
        <v>119.10099425345</v>
      </c>
      <c r="M34" s="4">
        <v>140.28580622393</v>
      </c>
      <c r="N34" s="4">
        <v>152.31543655054</v>
      </c>
    </row>
    <row r="35" spans="1:14" x14ac:dyDescent="0.25">
      <c r="A35" s="5" t="s">
        <v>64</v>
      </c>
      <c r="B35" s="5" t="s">
        <v>65</v>
      </c>
      <c r="C35" s="4">
        <v>86.726654211883002</v>
      </c>
      <c r="D35" s="4">
        <v>90.993699886211999</v>
      </c>
      <c r="E35" s="4">
        <v>103.40027612176</v>
      </c>
      <c r="F35" s="4">
        <v>104.27926065055</v>
      </c>
      <c r="G35" s="4">
        <v>101.99353387508999</v>
      </c>
      <c r="H35" s="4">
        <v>100</v>
      </c>
      <c r="I35" s="4">
        <v>103.56473370793</v>
      </c>
      <c r="J35" s="4">
        <v>112.29321268976</v>
      </c>
      <c r="K35" s="4">
        <v>118.73465278894</v>
      </c>
      <c r="L35" s="4">
        <v>115.08578840163</v>
      </c>
      <c r="M35" s="4">
        <v>131.09120858247999</v>
      </c>
      <c r="N35" s="4">
        <v>140.29832612198001</v>
      </c>
    </row>
    <row r="36" spans="1:14" s="10" customFormat="1" x14ac:dyDescent="0.25">
      <c r="A36" s="8" t="s">
        <v>66</v>
      </c>
      <c r="B36" s="8" t="s">
        <v>67</v>
      </c>
      <c r="C36" s="9">
        <v>111.17433938988999</v>
      </c>
      <c r="D36" s="9">
        <v>111.42786453817</v>
      </c>
      <c r="E36" s="9">
        <v>110.42880490859</v>
      </c>
      <c r="F36" s="9">
        <v>108.15408937171</v>
      </c>
      <c r="G36" s="9">
        <v>105.31818429635</v>
      </c>
      <c r="H36" s="9">
        <v>100</v>
      </c>
      <c r="I36" s="9">
        <v>98.531452356656999</v>
      </c>
      <c r="J36" s="9">
        <v>91.363838200919005</v>
      </c>
      <c r="K36" s="9">
        <v>92.899946021814003</v>
      </c>
      <c r="L36" s="9">
        <v>94.646741593884997</v>
      </c>
      <c r="M36" s="9">
        <v>100.28639834240001</v>
      </c>
      <c r="N36" s="9">
        <v>106.12098521087999</v>
      </c>
    </row>
    <row r="37" spans="1:14" x14ac:dyDescent="0.25">
      <c r="A37" s="5" t="s">
        <v>68</v>
      </c>
      <c r="B37" s="5" t="s">
        <v>69</v>
      </c>
      <c r="C37" s="4">
        <v>82.556991945796</v>
      </c>
      <c r="D37" s="4">
        <v>84.086738627377997</v>
      </c>
      <c r="E37" s="4">
        <v>88.362521080305996</v>
      </c>
      <c r="F37" s="4">
        <v>92.735615652983995</v>
      </c>
      <c r="G37" s="4">
        <v>96.498095653630998</v>
      </c>
      <c r="H37" s="4">
        <v>100</v>
      </c>
      <c r="I37" s="4">
        <v>99.973933795511996</v>
      </c>
      <c r="J37" s="4">
        <v>103.6976179015</v>
      </c>
      <c r="K37" s="4">
        <v>99.733988723739003</v>
      </c>
      <c r="L37" s="4">
        <v>109.58523448403</v>
      </c>
      <c r="M37" s="4">
        <v>121.86472040165999</v>
      </c>
      <c r="N37" s="4">
        <v>135.56842763277001</v>
      </c>
    </row>
    <row r="38" spans="1:14" x14ac:dyDescent="0.25">
      <c r="A38" s="5" t="s">
        <v>70</v>
      </c>
      <c r="B38" s="5" t="s">
        <v>100</v>
      </c>
      <c r="C38" s="4">
        <v>93.977984668203007</v>
      </c>
      <c r="D38" s="4">
        <v>89.872146350945002</v>
      </c>
      <c r="E38" s="4">
        <v>91.269029609195002</v>
      </c>
      <c r="F38" s="4">
        <v>93.909489753413993</v>
      </c>
      <c r="G38" s="4">
        <v>96.643208099521999</v>
      </c>
      <c r="H38" s="4">
        <v>100</v>
      </c>
      <c r="I38" s="4">
        <v>92.161417656989997</v>
      </c>
      <c r="J38" s="4">
        <v>99.844277051552993</v>
      </c>
      <c r="K38" s="4">
        <v>82.085668388805999</v>
      </c>
      <c r="L38" s="4">
        <v>87.387473673874993</v>
      </c>
      <c r="M38" s="4">
        <v>98.434693708018003</v>
      </c>
      <c r="N38" s="4">
        <v>115.53139596196</v>
      </c>
    </row>
    <row r="39" spans="1:14" x14ac:dyDescent="0.25">
      <c r="A39" s="5" t="s">
        <v>72</v>
      </c>
      <c r="B39" s="5" t="s">
        <v>73</v>
      </c>
      <c r="C39" s="4">
        <v>77.747832591752001</v>
      </c>
      <c r="D39" s="4">
        <v>81.570524170347994</v>
      </c>
      <c r="E39" s="4">
        <v>87.044532811988006</v>
      </c>
      <c r="F39" s="4">
        <v>92.183568206279006</v>
      </c>
      <c r="G39" s="4">
        <v>96.427237580468002</v>
      </c>
      <c r="H39" s="4">
        <v>100</v>
      </c>
      <c r="I39" s="4">
        <v>103.82778203370999</v>
      </c>
      <c r="J39" s="4">
        <v>105.34029456357</v>
      </c>
      <c r="K39" s="4">
        <v>108.71721379716</v>
      </c>
      <c r="L39" s="4">
        <v>120.79852141743</v>
      </c>
      <c r="M39" s="4">
        <v>133.74276785971</v>
      </c>
      <c r="N39" s="4">
        <v>145.94742873252</v>
      </c>
    </row>
    <row r="40" spans="1:14" x14ac:dyDescent="0.25">
      <c r="A40" s="5" t="s">
        <v>74</v>
      </c>
      <c r="B40" s="5" t="s">
        <v>75</v>
      </c>
      <c r="C40" s="4">
        <v>74.232105415207002</v>
      </c>
      <c r="D40" s="4">
        <v>79.004370724054994</v>
      </c>
      <c r="E40" s="4">
        <v>86.023086010989005</v>
      </c>
      <c r="F40" s="4">
        <v>92.071207510999997</v>
      </c>
      <c r="G40" s="4">
        <v>98.987210412107999</v>
      </c>
      <c r="H40" s="4">
        <v>100</v>
      </c>
      <c r="I40" s="4">
        <v>104.53192704745</v>
      </c>
      <c r="J40" s="4">
        <v>111.32986575512</v>
      </c>
      <c r="K40" s="4">
        <v>119.15287275961001</v>
      </c>
      <c r="L40" s="4">
        <v>130.14249976491999</v>
      </c>
      <c r="M40" s="4">
        <v>137.7724517355</v>
      </c>
      <c r="N40" s="4">
        <v>143.64091769098999</v>
      </c>
    </row>
    <row r="41" spans="1:14" x14ac:dyDescent="0.25">
      <c r="A41" s="5" t="s">
        <v>76</v>
      </c>
      <c r="B41" s="5" t="s">
        <v>77</v>
      </c>
      <c r="C41" s="4">
        <v>79.829918517058999</v>
      </c>
      <c r="D41" s="4">
        <v>83.302107885344</v>
      </c>
      <c r="E41" s="4">
        <v>88.386412138395002</v>
      </c>
      <c r="F41" s="4">
        <v>92.744378775705997</v>
      </c>
      <c r="G41" s="4">
        <v>96.674139577435</v>
      </c>
      <c r="H41" s="4">
        <v>100</v>
      </c>
      <c r="I41" s="4">
        <v>108.36819880253999</v>
      </c>
      <c r="J41" s="4">
        <v>127.46987144499001</v>
      </c>
      <c r="K41" s="4">
        <v>118.14718080644001</v>
      </c>
      <c r="L41" s="4">
        <v>118.26107290144</v>
      </c>
      <c r="M41" s="4">
        <v>130.59897311942001</v>
      </c>
      <c r="N41" s="4">
        <v>137.18187788404001</v>
      </c>
    </row>
    <row r="42" spans="1:14" x14ac:dyDescent="0.25">
      <c r="A42" s="5" t="s">
        <v>78</v>
      </c>
      <c r="B42" s="5" t="s">
        <v>79</v>
      </c>
      <c r="C42" s="4">
        <v>75.208861742959996</v>
      </c>
      <c r="D42" s="4">
        <v>80.860677244667997</v>
      </c>
      <c r="E42" s="4">
        <v>86.472240932355007</v>
      </c>
      <c r="F42" s="4">
        <v>92.034202612954999</v>
      </c>
      <c r="G42" s="4">
        <v>96.155266963567001</v>
      </c>
      <c r="H42" s="4">
        <v>99.999999999999005</v>
      </c>
      <c r="I42" s="4">
        <v>103.34245325576001</v>
      </c>
      <c r="J42" s="4">
        <v>104.08038787456</v>
      </c>
      <c r="K42" s="4">
        <v>110.68140607126</v>
      </c>
      <c r="L42" s="4">
        <v>118.20112488546999</v>
      </c>
      <c r="M42" s="4">
        <v>130.67262227613</v>
      </c>
      <c r="N42" s="4">
        <v>134.37955598535001</v>
      </c>
    </row>
    <row r="43" spans="1:14" x14ac:dyDescent="0.25">
      <c r="A43" s="5" t="s">
        <v>80</v>
      </c>
      <c r="B43" s="5" t="s">
        <v>83</v>
      </c>
      <c r="C43" s="4">
        <v>80.001009703060006</v>
      </c>
      <c r="D43" s="4">
        <v>85.878516397523001</v>
      </c>
      <c r="E43" s="4">
        <v>90.854538681015001</v>
      </c>
      <c r="F43" s="4">
        <v>94.090732621997006</v>
      </c>
      <c r="G43" s="4">
        <v>96.656180945429995</v>
      </c>
      <c r="H43" s="4">
        <v>99.999999999999005</v>
      </c>
      <c r="I43" s="4">
        <v>101.28909852837999</v>
      </c>
      <c r="J43" s="4">
        <v>108.05461376644</v>
      </c>
      <c r="K43" s="4">
        <v>114.8227056206</v>
      </c>
      <c r="L43" s="4">
        <v>123.20887905396</v>
      </c>
      <c r="M43" s="4">
        <v>138.15345892639999</v>
      </c>
      <c r="N43" s="4">
        <v>149.82154039661</v>
      </c>
    </row>
    <row r="44" spans="1:14" x14ac:dyDescent="0.25">
      <c r="A44" s="5" t="s">
        <v>82</v>
      </c>
      <c r="B44" s="5" t="s">
        <v>101</v>
      </c>
      <c r="C44" s="4">
        <v>80.834835242848001</v>
      </c>
      <c r="D44" s="4">
        <v>85.566010545390995</v>
      </c>
      <c r="E44" s="4">
        <v>89.805263477238</v>
      </c>
      <c r="F44" s="4">
        <v>93.900972647486</v>
      </c>
      <c r="G44" s="4">
        <v>98.434691789835</v>
      </c>
      <c r="H44" s="4">
        <v>99.999999999999005</v>
      </c>
      <c r="I44" s="4">
        <v>102.5677872138</v>
      </c>
      <c r="J44" s="4">
        <v>112.48170510222</v>
      </c>
      <c r="K44" s="4">
        <v>120.20787812438</v>
      </c>
      <c r="L44" s="4">
        <v>129.29578290162999</v>
      </c>
      <c r="M44" s="4">
        <v>137.81349389575001</v>
      </c>
      <c r="N44" s="4">
        <v>148.44574935422</v>
      </c>
    </row>
  </sheetData>
  <mergeCells count="1">
    <mergeCell ref="A1:N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52B35-AE55-41E7-9C94-F37996DEF2FE}">
  <dimension ref="A1:D13"/>
  <sheetViews>
    <sheetView tabSelected="1" workbookViewId="0">
      <selection activeCell="C11" sqref="C11"/>
    </sheetView>
  </sheetViews>
  <sheetFormatPr baseColWidth="10" defaultRowHeight="15" x14ac:dyDescent="0.25"/>
  <cols>
    <col min="1" max="1" width="11.42578125" style="11"/>
  </cols>
  <sheetData>
    <row r="1" spans="1:4" x14ac:dyDescent="0.25">
      <c r="A1" s="11" t="s">
        <v>102</v>
      </c>
      <c r="B1" t="s">
        <v>103</v>
      </c>
      <c r="C1" t="s">
        <v>104</v>
      </c>
      <c r="D1" t="s">
        <v>105</v>
      </c>
    </row>
    <row r="2" spans="1:4" ht="15.75" x14ac:dyDescent="0.25">
      <c r="A2" s="12">
        <v>2013</v>
      </c>
      <c r="B2" s="9">
        <v>80.469953562423001</v>
      </c>
      <c r="C2">
        <v>111.17433938989514</v>
      </c>
    </row>
    <row r="3" spans="1:4" ht="15.75" x14ac:dyDescent="0.25">
      <c r="A3" s="12">
        <f>A2+1</f>
        <v>2014</v>
      </c>
      <c r="B3" s="9">
        <v>87.932104755289998</v>
      </c>
      <c r="C3">
        <v>111.42786453817932</v>
      </c>
    </row>
    <row r="4" spans="1:4" ht="15.75" x14ac:dyDescent="0.25">
      <c r="A4" s="12">
        <f t="shared" ref="A4:A13" si="0">A3+1</f>
        <v>2015</v>
      </c>
      <c r="B4" s="9">
        <v>93.021787363545997</v>
      </c>
      <c r="C4">
        <v>110.42880490859875</v>
      </c>
    </row>
    <row r="5" spans="1:4" ht="15.75" x14ac:dyDescent="0.25">
      <c r="A5" s="12">
        <f t="shared" si="0"/>
        <v>2016</v>
      </c>
      <c r="B5" s="9">
        <v>99.274640339339996</v>
      </c>
      <c r="C5">
        <v>108.15408937171394</v>
      </c>
    </row>
    <row r="6" spans="1:4" ht="15.75" x14ac:dyDescent="0.25">
      <c r="A6" s="12">
        <f t="shared" si="0"/>
        <v>2017</v>
      </c>
      <c r="B6" s="9">
        <v>101.26878117755</v>
      </c>
      <c r="C6">
        <v>105.31818429636112</v>
      </c>
    </row>
    <row r="7" spans="1:4" ht="15.75" x14ac:dyDescent="0.25">
      <c r="A7" s="12">
        <f t="shared" si="0"/>
        <v>2018</v>
      </c>
      <c r="B7" s="9">
        <v>100</v>
      </c>
      <c r="C7">
        <v>99.999999999998096</v>
      </c>
    </row>
    <row r="8" spans="1:4" ht="15.75" x14ac:dyDescent="0.25">
      <c r="A8" s="12">
        <f t="shared" si="0"/>
        <v>2019</v>
      </c>
      <c r="B8" s="9">
        <v>100.87565811829</v>
      </c>
      <c r="C8">
        <v>98.531452356655734</v>
      </c>
    </row>
    <row r="9" spans="1:4" ht="15.75" x14ac:dyDescent="0.25">
      <c r="A9" s="12">
        <f t="shared" si="0"/>
        <v>2020</v>
      </c>
      <c r="B9" s="9">
        <v>107.49939219849</v>
      </c>
      <c r="C9">
        <v>91.363838200919872</v>
      </c>
    </row>
    <row r="10" spans="1:4" ht="15.75" x14ac:dyDescent="0.25">
      <c r="A10" s="12">
        <f t="shared" si="0"/>
        <v>2021</v>
      </c>
      <c r="B10" s="9">
        <v>114.66887480145</v>
      </c>
      <c r="C10">
        <v>92.899946021812568</v>
      </c>
    </row>
    <row r="11" spans="1:4" ht="15.75" x14ac:dyDescent="0.25">
      <c r="A11" s="12">
        <f t="shared" si="0"/>
        <v>2022</v>
      </c>
      <c r="B11" s="9">
        <v>120.37242063773</v>
      </c>
      <c r="C11">
        <v>94.646741593885238</v>
      </c>
    </row>
    <row r="12" spans="1:4" ht="15.75" x14ac:dyDescent="0.25">
      <c r="A12" s="12">
        <f t="shared" si="0"/>
        <v>2023</v>
      </c>
      <c r="B12" s="9">
        <v>132.56551638037001</v>
      </c>
      <c r="C12">
        <v>100.28639834240836</v>
      </c>
    </row>
    <row r="13" spans="1:4" ht="15.75" x14ac:dyDescent="0.25">
      <c r="A13" s="12">
        <f t="shared" si="0"/>
        <v>2024</v>
      </c>
      <c r="B13" s="9">
        <v>127.58370493112</v>
      </c>
      <c r="C13">
        <v>106.12098521088535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K</vt:lpstr>
      <vt:lpstr>M</vt:lpstr>
      <vt:lpstr>Deflactores</vt:lpstr>
      <vt:lpstr>Deflactor descarga</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Giannina Lopez</dc:creator>
  <cp:lastModifiedBy>Daymler Del Jesus O´Farrill Rolando</cp:lastModifiedBy>
  <dcterms:created xsi:type="dcterms:W3CDTF">2025-09-01T18:28:50Z</dcterms:created>
  <dcterms:modified xsi:type="dcterms:W3CDTF">2025-09-25T17:19:22Z</dcterms:modified>
</cp:coreProperties>
</file>