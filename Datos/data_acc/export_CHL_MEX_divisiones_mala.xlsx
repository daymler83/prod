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CEE9C38D-2989-44E3-887E-C283C9899A6F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Gráfico1Diapo1" sheetId="4" r:id="rId1"/>
    <sheet name="Pl_Ind" sheetId="14" r:id="rId2"/>
    <sheet name="Prod" sheetId="3" r:id="rId3"/>
    <sheet name="Gráfico2RemEMP" sheetId="6" r:id="rId4"/>
    <sheet name="rem_emp" sheetId="5" r:id="rId5"/>
    <sheet name="emp_prod" sheetId="9" r:id="rId6"/>
    <sheet name="Sheet1" sheetId="1" r:id="rId7"/>
    <sheet name="CuadroDivisi" sheetId="7" r:id="rId8"/>
  </sheets>
  <externalReferences>
    <externalReference r:id="rId9"/>
    <externalReference r:id="rId10"/>
  </externalReferences>
  <definedNames>
    <definedName name="_xlnm._FilterDatabase" localSheetId="5" hidden="1">emp_prod!$A$1:$H$181</definedName>
    <definedName name="_xlnm._FilterDatabase" localSheetId="6" hidden="1">Sheet1!$A$1:$P$191</definedName>
  </definedNames>
  <calcPr calcId="191029"/>
  <pivotCaches>
    <pivotCache cacheId="250" r:id="rId11"/>
    <pivotCache cacheId="25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D14" i="3"/>
  <c r="E14" i="3"/>
  <c r="F14" i="3"/>
  <c r="G14" i="3"/>
  <c r="H14" i="3"/>
  <c r="I14" i="3"/>
  <c r="B14" i="3"/>
  <c r="C13" i="3"/>
  <c r="D13" i="3"/>
  <c r="E13" i="3"/>
  <c r="F13" i="3"/>
  <c r="G13" i="3"/>
  <c r="H13" i="3"/>
  <c r="B13" i="3"/>
  <c r="G175" i="1"/>
  <c r="G174" i="1"/>
  <c r="G173" i="1"/>
  <c r="G162" i="1"/>
  <c r="G161" i="1"/>
  <c r="G160" i="1"/>
  <c r="G149" i="1"/>
  <c r="G148" i="1"/>
  <c r="G147" i="1"/>
  <c r="G136" i="1"/>
  <c r="G135" i="1"/>
  <c r="G134" i="1"/>
  <c r="G123" i="1"/>
  <c r="G122" i="1"/>
  <c r="G121" i="1"/>
  <c r="G110" i="1"/>
  <c r="G109" i="1"/>
  <c r="G108" i="1"/>
  <c r="L108" i="1"/>
  <c r="L109" i="1"/>
  <c r="L110" i="1"/>
  <c r="L123" i="1"/>
  <c r="H92" i="1"/>
  <c r="L92" i="1" s="1"/>
  <c r="H93" i="1"/>
  <c r="J93" i="1" s="1"/>
  <c r="H94" i="1"/>
  <c r="J94" i="1" s="1"/>
  <c r="N92" i="1"/>
  <c r="N93" i="1"/>
  <c r="N94" i="1"/>
  <c r="H100" i="1"/>
  <c r="J100" i="1" s="1"/>
  <c r="N100" i="1"/>
  <c r="H101" i="1"/>
  <c r="L101" i="1" s="1"/>
  <c r="N101" i="1"/>
  <c r="H102" i="1"/>
  <c r="K102" i="1" s="1"/>
  <c r="N102" i="1"/>
  <c r="N108" i="1"/>
  <c r="N109" i="1"/>
  <c r="M110" i="1"/>
  <c r="N110" i="1"/>
  <c r="N121" i="1"/>
  <c r="N122" i="1"/>
  <c r="N123" i="1"/>
  <c r="M134" i="1"/>
  <c r="N134" i="1"/>
  <c r="N135" i="1"/>
  <c r="N136" i="1"/>
  <c r="N147" i="1"/>
  <c r="M148" i="1"/>
  <c r="N148" i="1"/>
  <c r="L149" i="1"/>
  <c r="N149" i="1"/>
  <c r="N160" i="1"/>
  <c r="L161" i="1"/>
  <c r="N161" i="1"/>
  <c r="M162" i="1"/>
  <c r="N162" i="1"/>
  <c r="N173" i="1"/>
  <c r="L174" i="1"/>
  <c r="N174" i="1"/>
  <c r="N175" i="1"/>
  <c r="L162" i="1" l="1"/>
  <c r="J101" i="1"/>
  <c r="M100" i="1"/>
  <c r="L94" i="1"/>
  <c r="M122" i="1"/>
  <c r="K92" i="1"/>
  <c r="K101" i="1"/>
  <c r="M92" i="1"/>
  <c r="M147" i="1"/>
  <c r="J92" i="1"/>
  <c r="M94" i="1"/>
  <c r="M175" i="1"/>
  <c r="M109" i="1"/>
  <c r="M93" i="1"/>
  <c r="K94" i="1"/>
  <c r="L93" i="1"/>
  <c r="M108" i="1"/>
  <c r="L134" i="1"/>
  <c r="K93" i="1"/>
  <c r="M123" i="1"/>
  <c r="J102" i="1"/>
  <c r="L102" i="1"/>
  <c r="L122" i="1"/>
  <c r="M102" i="1"/>
  <c r="M135" i="1"/>
  <c r="M101" i="1"/>
  <c r="L135" i="1"/>
  <c r="L100" i="1"/>
  <c r="K100" i="1"/>
  <c r="L148" i="1"/>
  <c r="M149" i="1"/>
  <c r="M121" i="1"/>
  <c r="L121" i="1"/>
  <c r="M136" i="1"/>
  <c r="L136" i="1"/>
  <c r="M174" i="1"/>
  <c r="L147" i="1"/>
  <c r="M161" i="1"/>
  <c r="L175" i="1"/>
  <c r="M160" i="1"/>
  <c r="L160" i="1"/>
  <c r="M173" i="1"/>
  <c r="L173" i="1"/>
  <c r="I52" i="3" l="1"/>
  <c r="H52" i="3"/>
  <c r="G52" i="3"/>
  <c r="F52" i="3"/>
  <c r="E52" i="3"/>
  <c r="D52" i="3"/>
  <c r="C52" i="3"/>
  <c r="H51" i="3"/>
  <c r="G51" i="3"/>
  <c r="F51" i="3"/>
  <c r="E51" i="3"/>
  <c r="D51" i="3"/>
  <c r="C51" i="3"/>
  <c r="L51" i="3" l="1"/>
  <c r="L52" i="3"/>
  <c r="L9" i="9"/>
  <c r="L16" i="9"/>
  <c r="L23" i="9"/>
  <c r="L30" i="9"/>
  <c r="L37" i="9"/>
  <c r="L44" i="9"/>
  <c r="L51" i="9"/>
  <c r="L58" i="9"/>
  <c r="L65" i="9"/>
  <c r="L72" i="9"/>
  <c r="L79" i="9"/>
  <c r="L86" i="9"/>
  <c r="L94" i="9"/>
  <c r="L102" i="9"/>
  <c r="L110" i="9"/>
  <c r="L118" i="9"/>
  <c r="L126" i="9"/>
  <c r="L134" i="9"/>
  <c r="L142" i="9"/>
  <c r="L150" i="9"/>
  <c r="L158" i="9"/>
  <c r="L166" i="9"/>
  <c r="L174" i="9"/>
  <c r="K9" i="9"/>
  <c r="K16" i="9"/>
  <c r="K23" i="9"/>
  <c r="K30" i="9"/>
  <c r="K37" i="9"/>
  <c r="K44" i="9"/>
  <c r="K51" i="9"/>
  <c r="K58" i="9"/>
  <c r="K65" i="9"/>
  <c r="K72" i="9"/>
  <c r="K79" i="9"/>
  <c r="K86" i="9"/>
  <c r="K94" i="9"/>
  <c r="K102" i="9"/>
  <c r="K110" i="9"/>
  <c r="K118" i="9"/>
  <c r="K126" i="9"/>
  <c r="K134" i="9"/>
  <c r="K142" i="9"/>
  <c r="K150" i="9"/>
  <c r="K158" i="9"/>
  <c r="K166" i="9"/>
  <c r="K174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2" i="9"/>
  <c r="I37" i="3" l="1"/>
  <c r="H37" i="3"/>
  <c r="G37" i="3"/>
  <c r="F37" i="3"/>
  <c r="E37" i="3"/>
  <c r="D37" i="3"/>
  <c r="C37" i="3"/>
  <c r="H36" i="3"/>
  <c r="G36" i="3"/>
  <c r="F36" i="3"/>
  <c r="E36" i="3"/>
  <c r="D36" i="3"/>
  <c r="C36" i="3"/>
  <c r="I25" i="3"/>
  <c r="H25" i="3"/>
  <c r="G25" i="3"/>
  <c r="F25" i="3"/>
  <c r="E25" i="3"/>
  <c r="D25" i="3"/>
  <c r="C25" i="3"/>
  <c r="L25" i="3" s="1"/>
  <c r="H24" i="3"/>
  <c r="G24" i="3"/>
  <c r="F24" i="3"/>
  <c r="E24" i="3"/>
  <c r="D24" i="3"/>
  <c r="C24" i="3"/>
  <c r="L37" i="3" l="1"/>
  <c r="L36" i="3"/>
  <c r="L24" i="3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3" i="9"/>
  <c r="C10" i="5"/>
  <c r="D10" i="5"/>
  <c r="E8" i="7"/>
  <c r="E7" i="7"/>
  <c r="E6" i="7"/>
  <c r="E5" i="7"/>
  <c r="E3" i="7"/>
  <c r="N153" i="1"/>
  <c r="I10" i="5"/>
  <c r="E10" i="5"/>
  <c r="F10" i="5"/>
  <c r="G10" i="5"/>
  <c r="H10" i="5"/>
  <c r="D9" i="5"/>
  <c r="E9" i="5"/>
  <c r="F9" i="5"/>
  <c r="G9" i="5"/>
  <c r="H9" i="5"/>
  <c r="C9" i="5"/>
  <c r="N182" i="1"/>
  <c r="N183" i="1"/>
  <c r="N184" i="1"/>
  <c r="N185" i="1"/>
  <c r="N186" i="1"/>
  <c r="N187" i="1"/>
  <c r="N188" i="1"/>
  <c r="N189" i="1"/>
  <c r="N190" i="1"/>
  <c r="N191" i="1"/>
  <c r="H182" i="1"/>
  <c r="K182" i="1" s="1"/>
  <c r="H183" i="1"/>
  <c r="J183" i="1" s="1"/>
  <c r="H184" i="1"/>
  <c r="J184" i="1" s="1"/>
  <c r="H185" i="1"/>
  <c r="K185" i="1" s="1"/>
  <c r="H186" i="1"/>
  <c r="K186" i="1" s="1"/>
  <c r="H187" i="1"/>
  <c r="K187" i="1" s="1"/>
  <c r="H188" i="1"/>
  <c r="K188" i="1" s="1"/>
  <c r="H189" i="1"/>
  <c r="K189" i="1" s="1"/>
  <c r="H190" i="1"/>
  <c r="K190" i="1" s="1"/>
  <c r="H191" i="1"/>
  <c r="K191" i="1" s="1"/>
  <c r="J191" i="1" l="1"/>
  <c r="P191" i="1" s="1"/>
  <c r="J190" i="1"/>
  <c r="P190" i="1" s="1"/>
  <c r="J189" i="1"/>
  <c r="P189" i="1" s="1"/>
  <c r="J188" i="1"/>
  <c r="P188" i="1" s="1"/>
  <c r="K184" i="1"/>
  <c r="P184" i="1" s="1"/>
  <c r="K183" i="1"/>
  <c r="P183" i="1" s="1"/>
  <c r="J187" i="1"/>
  <c r="P187" i="1" s="1"/>
  <c r="J186" i="1"/>
  <c r="O186" i="1" s="1"/>
  <c r="J185" i="1"/>
  <c r="P185" i="1" s="1"/>
  <c r="J182" i="1"/>
  <c r="P182" i="1" s="1"/>
  <c r="K10" i="5"/>
  <c r="E4" i="7" s="1"/>
  <c r="O184" i="1"/>
  <c r="K9" i="5"/>
  <c r="O183" i="1"/>
  <c r="I11" i="3"/>
  <c r="C11" i="3"/>
  <c r="D11" i="3"/>
  <c r="E11" i="3"/>
  <c r="F11" i="3"/>
  <c r="G11" i="3"/>
  <c r="H11" i="3"/>
  <c r="D10" i="3"/>
  <c r="E10" i="3"/>
  <c r="F10" i="3"/>
  <c r="G10" i="3"/>
  <c r="H10" i="3"/>
  <c r="C10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5" i="1"/>
  <c r="N96" i="1"/>
  <c r="N97" i="1"/>
  <c r="N98" i="1"/>
  <c r="N99" i="1"/>
  <c r="N103" i="1"/>
  <c r="N104" i="1"/>
  <c r="N105" i="1"/>
  <c r="N106" i="1"/>
  <c r="N107" i="1"/>
  <c r="N111" i="1"/>
  <c r="N112" i="1"/>
  <c r="N113" i="1"/>
  <c r="N114" i="1"/>
  <c r="N115" i="1"/>
  <c r="N116" i="1"/>
  <c r="N117" i="1"/>
  <c r="N118" i="1"/>
  <c r="N119" i="1"/>
  <c r="N120" i="1"/>
  <c r="N124" i="1"/>
  <c r="N125" i="1"/>
  <c r="N126" i="1"/>
  <c r="N127" i="1"/>
  <c r="N128" i="1"/>
  <c r="N129" i="1"/>
  <c r="N130" i="1"/>
  <c r="N131" i="1"/>
  <c r="N132" i="1"/>
  <c r="N133" i="1"/>
  <c r="N137" i="1"/>
  <c r="N138" i="1"/>
  <c r="N139" i="1"/>
  <c r="N140" i="1"/>
  <c r="N141" i="1"/>
  <c r="N142" i="1"/>
  <c r="N143" i="1"/>
  <c r="N144" i="1"/>
  <c r="N145" i="1"/>
  <c r="N146" i="1"/>
  <c r="N150" i="1"/>
  <c r="N151" i="1"/>
  <c r="N152" i="1"/>
  <c r="N154" i="1"/>
  <c r="N155" i="1"/>
  <c r="N156" i="1"/>
  <c r="N157" i="1"/>
  <c r="N158" i="1"/>
  <c r="N159" i="1"/>
  <c r="N163" i="1"/>
  <c r="N164" i="1"/>
  <c r="N165" i="1"/>
  <c r="N166" i="1"/>
  <c r="N167" i="1"/>
  <c r="N168" i="1"/>
  <c r="N169" i="1"/>
  <c r="N170" i="1"/>
  <c r="N171" i="1"/>
  <c r="N172" i="1"/>
  <c r="N176" i="1"/>
  <c r="N177" i="1"/>
  <c r="N178" i="1"/>
  <c r="N179" i="1"/>
  <c r="N180" i="1"/>
  <c r="N181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5" i="1"/>
  <c r="H96" i="1"/>
  <c r="H97" i="1"/>
  <c r="H98" i="1"/>
  <c r="H99" i="1"/>
  <c r="H103" i="1"/>
  <c r="H104" i="1"/>
  <c r="H105" i="1"/>
  <c r="H106" i="1"/>
  <c r="H107" i="1"/>
  <c r="H111" i="1"/>
  <c r="H112" i="1"/>
  <c r="H113" i="1"/>
  <c r="H114" i="1"/>
  <c r="H115" i="1"/>
  <c r="H116" i="1"/>
  <c r="H117" i="1"/>
  <c r="H118" i="1"/>
  <c r="H119" i="1"/>
  <c r="H120" i="1"/>
  <c r="H124" i="1"/>
  <c r="H125" i="1"/>
  <c r="H126" i="1"/>
  <c r="H127" i="1"/>
  <c r="H128" i="1"/>
  <c r="H129" i="1"/>
  <c r="H130" i="1"/>
  <c r="H131" i="1"/>
  <c r="H132" i="1"/>
  <c r="H133" i="1"/>
  <c r="H137" i="1"/>
  <c r="H138" i="1"/>
  <c r="H139" i="1"/>
  <c r="H140" i="1"/>
  <c r="H141" i="1"/>
  <c r="H142" i="1"/>
  <c r="H143" i="1"/>
  <c r="H144" i="1"/>
  <c r="H145" i="1"/>
  <c r="H146" i="1"/>
  <c r="H150" i="1"/>
  <c r="H151" i="1"/>
  <c r="H152" i="1"/>
  <c r="H153" i="1"/>
  <c r="H154" i="1"/>
  <c r="H155" i="1"/>
  <c r="H156" i="1"/>
  <c r="H157" i="1"/>
  <c r="H158" i="1"/>
  <c r="H159" i="1"/>
  <c r="H163" i="1"/>
  <c r="H164" i="1"/>
  <c r="H165" i="1"/>
  <c r="H166" i="1"/>
  <c r="H167" i="1"/>
  <c r="H168" i="1"/>
  <c r="H169" i="1"/>
  <c r="H170" i="1"/>
  <c r="H171" i="1"/>
  <c r="H172" i="1"/>
  <c r="H176" i="1"/>
  <c r="H177" i="1"/>
  <c r="H178" i="1"/>
  <c r="H179" i="1"/>
  <c r="H180" i="1"/>
  <c r="H181" i="1"/>
  <c r="H2" i="1"/>
  <c r="O190" i="1" l="1"/>
  <c r="O189" i="1"/>
  <c r="I49" i="9"/>
  <c r="I86" i="9"/>
  <c r="J86" i="9" s="1"/>
  <c r="I166" i="9"/>
  <c r="J166" i="9" s="1"/>
  <c r="I87" i="9"/>
  <c r="I167" i="9"/>
  <c r="I50" i="9"/>
  <c r="I94" i="9"/>
  <c r="J94" i="9" s="1"/>
  <c r="I174" i="9"/>
  <c r="J174" i="9" s="1"/>
  <c r="I102" i="9"/>
  <c r="J102" i="9" s="1"/>
  <c r="I103" i="9"/>
  <c r="I95" i="9"/>
  <c r="I175" i="9"/>
  <c r="O191" i="1"/>
  <c r="P186" i="1"/>
  <c r="I121" i="9"/>
  <c r="O122" i="1"/>
  <c r="K22" i="1"/>
  <c r="I10" i="9" s="1"/>
  <c r="J22" i="1"/>
  <c r="O22" i="1" s="1"/>
  <c r="J81" i="1"/>
  <c r="O81" i="1" s="1"/>
  <c r="K81" i="1"/>
  <c r="I43" i="9" s="1"/>
  <c r="J140" i="1"/>
  <c r="O140" i="1" s="1"/>
  <c r="K140" i="1"/>
  <c r="I170" i="9" s="1"/>
  <c r="J60" i="1"/>
  <c r="O60" i="1" s="1"/>
  <c r="K60" i="1"/>
  <c r="I76" i="9" s="1"/>
  <c r="J159" i="1"/>
  <c r="O159" i="1" s="1"/>
  <c r="K159" i="1"/>
  <c r="I164" i="9" s="1"/>
  <c r="J59" i="1"/>
  <c r="O59" i="1" s="1"/>
  <c r="K59" i="1"/>
  <c r="I20" i="9" s="1"/>
  <c r="J18" i="1"/>
  <c r="O18" i="1" s="1"/>
  <c r="K18" i="1"/>
  <c r="I24" i="9" s="1"/>
  <c r="J37" i="1"/>
  <c r="O37" i="1" s="1"/>
  <c r="K37" i="1"/>
  <c r="I81" i="9" s="1"/>
  <c r="K10" i="1"/>
  <c r="I9" i="9" s="1"/>
  <c r="J9" i="9" s="1"/>
  <c r="J10" i="1"/>
  <c r="O10" i="1" s="1"/>
  <c r="J77" i="1"/>
  <c r="O77" i="1" s="1"/>
  <c r="K77" i="1"/>
  <c r="I64" i="9" s="1"/>
  <c r="K42" i="1"/>
  <c r="I26" i="9" s="1"/>
  <c r="J42" i="1"/>
  <c r="O42" i="1" s="1"/>
  <c r="J61" i="1"/>
  <c r="K61" i="1"/>
  <c r="I83" i="9" s="1"/>
  <c r="J118" i="1"/>
  <c r="O118" i="1" s="1"/>
  <c r="K118" i="1"/>
  <c r="I145" i="9" s="1"/>
  <c r="J177" i="1"/>
  <c r="O177" i="1" s="1"/>
  <c r="K177" i="1"/>
  <c r="I101" i="9" s="1"/>
  <c r="O175" i="1"/>
  <c r="I133" i="9"/>
  <c r="J55" i="1"/>
  <c r="O55" i="1" s="1"/>
  <c r="K55" i="1"/>
  <c r="I34" i="9" s="1"/>
  <c r="I114" i="9"/>
  <c r="O134" i="1"/>
  <c r="K14" i="1"/>
  <c r="I45" i="9" s="1"/>
  <c r="J14" i="1"/>
  <c r="O14" i="1" s="1"/>
  <c r="K133" i="1"/>
  <c r="I162" i="9" s="1"/>
  <c r="J133" i="1"/>
  <c r="O133" i="1" s="1"/>
  <c r="K53" i="1"/>
  <c r="I69" i="9" s="1"/>
  <c r="J53" i="1"/>
  <c r="O53" i="1" s="1"/>
  <c r="J112" i="1"/>
  <c r="O112" i="1" s="1"/>
  <c r="K112" i="1"/>
  <c r="J32" i="1"/>
  <c r="O32" i="1" s="1"/>
  <c r="K32" i="1"/>
  <c r="I39" i="9" s="1"/>
  <c r="K91" i="1"/>
  <c r="I158" i="9" s="1"/>
  <c r="J158" i="9" s="1"/>
  <c r="J91" i="1"/>
  <c r="O91" i="1" s="1"/>
  <c r="K50" i="1"/>
  <c r="I48" i="9" s="1"/>
  <c r="J50" i="1"/>
  <c r="O50" i="1" s="1"/>
  <c r="K89" i="1"/>
  <c r="I142" i="9" s="1"/>
  <c r="J142" i="9" s="1"/>
  <c r="J89" i="1"/>
  <c r="O89" i="1" s="1"/>
  <c r="I112" i="9"/>
  <c r="O108" i="1"/>
  <c r="K68" i="1"/>
  <c r="I42" i="9" s="1"/>
  <c r="J68" i="1"/>
  <c r="O68" i="1" s="1"/>
  <c r="K48" i="1"/>
  <c r="I75" i="9" s="1"/>
  <c r="J48" i="1"/>
  <c r="O48" i="1" s="1"/>
  <c r="K28" i="1"/>
  <c r="I60" i="9" s="1"/>
  <c r="J28" i="1"/>
  <c r="K8" i="1"/>
  <c r="I37" i="9" s="1"/>
  <c r="J37" i="9" s="1"/>
  <c r="J8" i="1"/>
  <c r="O8" i="1" s="1"/>
  <c r="O182" i="1"/>
  <c r="K82" i="1"/>
  <c r="I8" i="9" s="1"/>
  <c r="J82" i="1"/>
  <c r="O82" i="1" s="1"/>
  <c r="O121" i="1"/>
  <c r="I113" i="9"/>
  <c r="J180" i="1"/>
  <c r="O180" i="1" s="1"/>
  <c r="K180" i="1"/>
  <c r="I181" i="9" s="1"/>
  <c r="J20" i="1"/>
  <c r="O20" i="1" s="1"/>
  <c r="K20" i="1"/>
  <c r="I38" i="9" s="1"/>
  <c r="J19" i="1"/>
  <c r="O19" i="1" s="1"/>
  <c r="K19" i="1"/>
  <c r="I31" i="9" s="1"/>
  <c r="J98" i="1"/>
  <c r="O98" i="1" s="1"/>
  <c r="K98" i="1"/>
  <c r="J157" i="1"/>
  <c r="O157" i="1" s="1"/>
  <c r="K157" i="1"/>
  <c r="J176" i="1"/>
  <c r="O176" i="1" s="1"/>
  <c r="K176" i="1"/>
  <c r="I93" i="9" s="1"/>
  <c r="J36" i="1"/>
  <c r="O36" i="1" s="1"/>
  <c r="K36" i="1"/>
  <c r="I74" i="9" s="1"/>
  <c r="K111" i="1"/>
  <c r="I88" i="9" s="1"/>
  <c r="J111" i="1"/>
  <c r="O111" i="1" s="1"/>
  <c r="I128" i="9"/>
  <c r="O110" i="1"/>
  <c r="K169" i="1"/>
  <c r="I141" i="9" s="1"/>
  <c r="J169" i="1"/>
  <c r="O169" i="1" s="1"/>
  <c r="K49" i="1"/>
  <c r="I82" i="9" s="1"/>
  <c r="J49" i="1"/>
  <c r="O49" i="1" s="1"/>
  <c r="K128" i="1"/>
  <c r="I177" i="9" s="1"/>
  <c r="J128" i="1"/>
  <c r="O128" i="1" s="1"/>
  <c r="K87" i="1"/>
  <c r="J87" i="1"/>
  <c r="O87" i="1" s="1"/>
  <c r="K67" i="1"/>
  <c r="I35" i="9" s="1"/>
  <c r="J67" i="1"/>
  <c r="O67" i="1" s="1"/>
  <c r="K47" i="1"/>
  <c r="I19" i="9" s="1"/>
  <c r="J47" i="1"/>
  <c r="O47" i="1" s="1"/>
  <c r="K27" i="1"/>
  <c r="I53" i="9" s="1"/>
  <c r="J27" i="1"/>
  <c r="O27" i="1" s="1"/>
  <c r="J7" i="1"/>
  <c r="O7" i="1" s="1"/>
  <c r="K7" i="1"/>
  <c r="I30" i="9" s="1"/>
  <c r="J30" i="9" s="1"/>
  <c r="J62" i="1"/>
  <c r="O62" i="1" s="1"/>
  <c r="J141" i="1"/>
  <c r="O141" i="1" s="1"/>
  <c r="K141" i="1"/>
  <c r="I178" i="9" s="1"/>
  <c r="J40" i="1"/>
  <c r="O40" i="1" s="1"/>
  <c r="K40" i="1"/>
  <c r="I61" i="9" s="1"/>
  <c r="J79" i="1"/>
  <c r="O79" i="1" s="1"/>
  <c r="K79" i="1"/>
  <c r="I29" i="9" s="1"/>
  <c r="J138" i="1"/>
  <c r="O138" i="1" s="1"/>
  <c r="K138" i="1"/>
  <c r="I98" i="9" s="1"/>
  <c r="J117" i="1"/>
  <c r="O117" i="1" s="1"/>
  <c r="K117" i="1"/>
  <c r="I137" i="9" s="1"/>
  <c r="J96" i="1"/>
  <c r="O96" i="1" s="1"/>
  <c r="K96" i="1"/>
  <c r="J35" i="1"/>
  <c r="K35" i="1"/>
  <c r="I125" i="9"/>
  <c r="O174" i="1"/>
  <c r="I126" i="9"/>
  <c r="J126" i="9" s="1"/>
  <c r="O94" i="1"/>
  <c r="I117" i="9"/>
  <c r="O173" i="1"/>
  <c r="K73" i="1"/>
  <c r="I84" i="9" s="1"/>
  <c r="J73" i="1"/>
  <c r="O73" i="1" s="1"/>
  <c r="J152" i="1"/>
  <c r="O152" i="1" s="1"/>
  <c r="K152" i="1"/>
  <c r="I107" i="9" s="1"/>
  <c r="J52" i="1"/>
  <c r="O52" i="1" s="1"/>
  <c r="K52" i="1"/>
  <c r="I62" i="9" s="1"/>
  <c r="K51" i="1"/>
  <c r="I55" i="9" s="1"/>
  <c r="J51" i="1"/>
  <c r="O51" i="1" s="1"/>
  <c r="K90" i="1"/>
  <c r="I150" i="9" s="1"/>
  <c r="J150" i="9" s="1"/>
  <c r="J90" i="1"/>
  <c r="O90" i="1" s="1"/>
  <c r="K129" i="1"/>
  <c r="J129" i="1"/>
  <c r="O129" i="1" s="1"/>
  <c r="K9" i="1"/>
  <c r="I2" i="9" s="1"/>
  <c r="J2" i="9" s="1"/>
  <c r="J9" i="1"/>
  <c r="O9" i="1" s="1"/>
  <c r="I123" i="9"/>
  <c r="O148" i="1"/>
  <c r="K146" i="1"/>
  <c r="I163" i="9" s="1"/>
  <c r="J146" i="1"/>
  <c r="K46" i="1"/>
  <c r="I12" i="9" s="1"/>
  <c r="J46" i="1"/>
  <c r="O46" i="1" s="1"/>
  <c r="K26" i="1"/>
  <c r="I46" i="9" s="1"/>
  <c r="J26" i="1"/>
  <c r="O26" i="1" s="1"/>
  <c r="K6" i="1"/>
  <c r="I23" i="9" s="1"/>
  <c r="J23" i="9" s="1"/>
  <c r="J6" i="1"/>
  <c r="O6" i="1" s="1"/>
  <c r="I132" i="9"/>
  <c r="O162" i="1"/>
  <c r="J41" i="1"/>
  <c r="O41" i="1" s="1"/>
  <c r="K41" i="1"/>
  <c r="I68" i="9" s="1"/>
  <c r="J120" i="1"/>
  <c r="O120" i="1" s="1"/>
  <c r="K120" i="1"/>
  <c r="I161" i="9" s="1"/>
  <c r="J99" i="1"/>
  <c r="O99" i="1" s="1"/>
  <c r="K99" i="1"/>
  <c r="I159" i="9" s="1"/>
  <c r="J178" i="1"/>
  <c r="O178" i="1" s="1"/>
  <c r="K178" i="1"/>
  <c r="J38" i="1"/>
  <c r="O38" i="1" s="1"/>
  <c r="K38" i="1"/>
  <c r="I47" i="9" s="1"/>
  <c r="J97" i="1"/>
  <c r="O97" i="1" s="1"/>
  <c r="K97" i="1"/>
  <c r="I143" i="9" s="1"/>
  <c r="J56" i="1"/>
  <c r="O56" i="1" s="1"/>
  <c r="K56" i="1"/>
  <c r="I41" i="9" s="1"/>
  <c r="J95" i="1"/>
  <c r="O95" i="1" s="1"/>
  <c r="K95" i="1"/>
  <c r="K74" i="1"/>
  <c r="J74" i="1"/>
  <c r="O74" i="1" s="1"/>
  <c r="K33" i="1"/>
  <c r="I4" i="9" s="1"/>
  <c r="J33" i="1"/>
  <c r="O33" i="1" s="1"/>
  <c r="O92" i="1"/>
  <c r="I110" i="9"/>
  <c r="J110" i="9" s="1"/>
  <c r="K171" i="1"/>
  <c r="I157" i="9" s="1"/>
  <c r="J171" i="1"/>
  <c r="O171" i="1" s="1"/>
  <c r="K11" i="1"/>
  <c r="I16" i="9" s="1"/>
  <c r="J16" i="9" s="1"/>
  <c r="J11" i="1"/>
  <c r="O11" i="1" s="1"/>
  <c r="K170" i="1"/>
  <c r="I149" i="9" s="1"/>
  <c r="J170" i="1"/>
  <c r="O170" i="1" s="1"/>
  <c r="K29" i="1"/>
  <c r="I67" i="9" s="1"/>
  <c r="J29" i="1"/>
  <c r="O29" i="1" s="1"/>
  <c r="K88" i="1"/>
  <c r="I134" i="9" s="1"/>
  <c r="J134" i="9" s="1"/>
  <c r="J88" i="1"/>
  <c r="O88" i="1" s="1"/>
  <c r="K145" i="1"/>
  <c r="I155" i="9" s="1"/>
  <c r="J145" i="1"/>
  <c r="K5" i="1"/>
  <c r="I65" i="9" s="1"/>
  <c r="J65" i="9" s="1"/>
  <c r="J5" i="1"/>
  <c r="O5" i="1" s="1"/>
  <c r="J2" i="1"/>
  <c r="O2" i="1" s="1"/>
  <c r="K2" i="1"/>
  <c r="I44" i="9" s="1"/>
  <c r="J44" i="9" s="1"/>
  <c r="I127" i="9"/>
  <c r="O102" i="1"/>
  <c r="J181" i="1"/>
  <c r="O181" i="1" s="1"/>
  <c r="K181" i="1"/>
  <c r="O101" i="1"/>
  <c r="I119" i="9"/>
  <c r="O160" i="1"/>
  <c r="I116" i="9"/>
  <c r="J80" i="1"/>
  <c r="O80" i="1" s="1"/>
  <c r="K80" i="1"/>
  <c r="I36" i="9" s="1"/>
  <c r="J179" i="1"/>
  <c r="O179" i="1" s="1"/>
  <c r="K179" i="1"/>
  <c r="I173" i="9" s="1"/>
  <c r="J139" i="1"/>
  <c r="O139" i="1" s="1"/>
  <c r="K139" i="1"/>
  <c r="I106" i="9" s="1"/>
  <c r="J39" i="1"/>
  <c r="O39" i="1" s="1"/>
  <c r="K39" i="1"/>
  <c r="I54" i="9" s="1"/>
  <c r="J158" i="1"/>
  <c r="O158" i="1" s="1"/>
  <c r="K158" i="1"/>
  <c r="I156" i="9" s="1"/>
  <c r="J78" i="1"/>
  <c r="O78" i="1" s="1"/>
  <c r="K78" i="1"/>
  <c r="I71" i="9" s="1"/>
  <c r="J137" i="1"/>
  <c r="O137" i="1" s="1"/>
  <c r="K137" i="1"/>
  <c r="K17" i="1"/>
  <c r="I66" i="9" s="1"/>
  <c r="J17" i="1"/>
  <c r="O17" i="1" s="1"/>
  <c r="J156" i="1"/>
  <c r="O156" i="1" s="1"/>
  <c r="K156" i="1"/>
  <c r="I140" i="9" s="1"/>
  <c r="J116" i="1"/>
  <c r="O116" i="1" s="1"/>
  <c r="K116" i="1"/>
  <c r="J16" i="1"/>
  <c r="O16" i="1" s="1"/>
  <c r="K16" i="1"/>
  <c r="O135" i="1"/>
  <c r="I122" i="9"/>
  <c r="J75" i="1"/>
  <c r="O75" i="1" s="1"/>
  <c r="K154" i="1"/>
  <c r="I179" i="9" s="1"/>
  <c r="J154" i="1"/>
  <c r="O154" i="1" s="1"/>
  <c r="K114" i="1"/>
  <c r="I168" i="9" s="1"/>
  <c r="J114" i="1"/>
  <c r="O114" i="1" s="1"/>
  <c r="K34" i="1"/>
  <c r="I11" i="9" s="1"/>
  <c r="J34" i="1"/>
  <c r="K130" i="1"/>
  <c r="I138" i="9" s="1"/>
  <c r="J130" i="1"/>
  <c r="O130" i="1" s="1"/>
  <c r="K70" i="1"/>
  <c r="I14" i="9" s="1"/>
  <c r="J70" i="1"/>
  <c r="O70" i="1" s="1"/>
  <c r="I131" i="9"/>
  <c r="O149" i="1"/>
  <c r="K69" i="1"/>
  <c r="I7" i="9" s="1"/>
  <c r="J69" i="1"/>
  <c r="O69" i="1" s="1"/>
  <c r="K168" i="1"/>
  <c r="J168" i="1"/>
  <c r="O168" i="1" s="1"/>
  <c r="K167" i="1"/>
  <c r="I180" i="9" s="1"/>
  <c r="J167" i="1"/>
  <c r="O167" i="1" s="1"/>
  <c r="J127" i="1"/>
  <c r="O127" i="1" s="1"/>
  <c r="K127" i="1"/>
  <c r="I169" i="9" s="1"/>
  <c r="K166" i="1"/>
  <c r="I172" i="9" s="1"/>
  <c r="J166" i="1"/>
  <c r="O166" i="1" s="1"/>
  <c r="K126" i="1"/>
  <c r="I105" i="9" s="1"/>
  <c r="J126" i="1"/>
  <c r="O126" i="1" s="1"/>
  <c r="K86" i="1"/>
  <c r="I85" i="9" s="1"/>
  <c r="J86" i="1"/>
  <c r="O86" i="1" s="1"/>
  <c r="K165" i="1"/>
  <c r="I108" i="9" s="1"/>
  <c r="J165" i="1"/>
  <c r="O165" i="1" s="1"/>
  <c r="K125" i="1"/>
  <c r="I97" i="9" s="1"/>
  <c r="J125" i="1"/>
  <c r="O125" i="1" s="1"/>
  <c r="K85" i="1"/>
  <c r="I78" i="9" s="1"/>
  <c r="J85" i="1"/>
  <c r="O85" i="1" s="1"/>
  <c r="K25" i="1"/>
  <c r="I80" i="9" s="1"/>
  <c r="J25" i="1"/>
  <c r="O25" i="1" s="1"/>
  <c r="J164" i="1"/>
  <c r="O164" i="1" s="1"/>
  <c r="K164" i="1"/>
  <c r="I100" i="9" s="1"/>
  <c r="J144" i="1"/>
  <c r="O144" i="1" s="1"/>
  <c r="K144" i="1"/>
  <c r="I147" i="9" s="1"/>
  <c r="J124" i="1"/>
  <c r="O124" i="1" s="1"/>
  <c r="K124" i="1"/>
  <c r="I89" i="9" s="1"/>
  <c r="J104" i="1"/>
  <c r="O104" i="1" s="1"/>
  <c r="K104" i="1"/>
  <c r="I136" i="9" s="1"/>
  <c r="J84" i="1"/>
  <c r="O84" i="1" s="1"/>
  <c r="K84" i="1"/>
  <c r="I22" i="9" s="1"/>
  <c r="J64" i="1"/>
  <c r="O64" i="1" s="1"/>
  <c r="K64" i="1"/>
  <c r="I63" i="9" s="1"/>
  <c r="J44" i="1"/>
  <c r="O44" i="1" s="1"/>
  <c r="K44" i="1"/>
  <c r="I40" i="9" s="1"/>
  <c r="J24" i="1"/>
  <c r="O24" i="1" s="1"/>
  <c r="K24" i="1"/>
  <c r="I73" i="9" s="1"/>
  <c r="J4" i="1"/>
  <c r="O4" i="1" s="1"/>
  <c r="K4" i="1"/>
  <c r="I58" i="9" s="1"/>
  <c r="J58" i="9" s="1"/>
  <c r="K142" i="1"/>
  <c r="J142" i="1"/>
  <c r="O142" i="1" s="1"/>
  <c r="O161" i="1"/>
  <c r="I124" i="9"/>
  <c r="J21" i="1"/>
  <c r="O21" i="1" s="1"/>
  <c r="K21" i="1"/>
  <c r="I3" i="9" s="1"/>
  <c r="O100" i="1"/>
  <c r="I111" i="9"/>
  <c r="J119" i="1"/>
  <c r="O119" i="1" s="1"/>
  <c r="K119" i="1"/>
  <c r="I153" i="9" s="1"/>
  <c r="J58" i="1"/>
  <c r="O58" i="1" s="1"/>
  <c r="K58" i="1"/>
  <c r="I13" i="9" s="1"/>
  <c r="J57" i="1"/>
  <c r="O57" i="1" s="1"/>
  <c r="K57" i="1"/>
  <c r="I6" i="9" s="1"/>
  <c r="O136" i="1"/>
  <c r="J76" i="1"/>
  <c r="O76" i="1" s="1"/>
  <c r="K76" i="1"/>
  <c r="I57" i="9" s="1"/>
  <c r="J155" i="1"/>
  <c r="O155" i="1" s="1"/>
  <c r="K155" i="1"/>
  <c r="J115" i="1"/>
  <c r="O115" i="1" s="1"/>
  <c r="K115" i="1"/>
  <c r="I176" i="9" s="1"/>
  <c r="J15" i="1"/>
  <c r="O15" i="1" s="1"/>
  <c r="K15" i="1"/>
  <c r="I52" i="9" s="1"/>
  <c r="K54" i="1"/>
  <c r="I27" i="9" s="1"/>
  <c r="J54" i="1"/>
  <c r="O54" i="1" s="1"/>
  <c r="K153" i="1"/>
  <c r="I171" i="9" s="1"/>
  <c r="J153" i="1"/>
  <c r="O153" i="1" s="1"/>
  <c r="K113" i="1"/>
  <c r="I104" i="9" s="1"/>
  <c r="J113" i="1"/>
  <c r="O113" i="1" s="1"/>
  <c r="I118" i="9"/>
  <c r="J118" i="9" s="1"/>
  <c r="O93" i="1"/>
  <c r="K13" i="1"/>
  <c r="I79" i="9" s="1"/>
  <c r="J79" i="9" s="1"/>
  <c r="J13" i="1"/>
  <c r="O13" i="1" s="1"/>
  <c r="J172" i="1"/>
  <c r="O172" i="1" s="1"/>
  <c r="K172" i="1"/>
  <c r="J132" i="1"/>
  <c r="O132" i="1" s="1"/>
  <c r="K132" i="1"/>
  <c r="I154" i="9" s="1"/>
  <c r="J72" i="1"/>
  <c r="O72" i="1" s="1"/>
  <c r="K72" i="1"/>
  <c r="I77" i="9" s="1"/>
  <c r="J12" i="1"/>
  <c r="O12" i="1" s="1"/>
  <c r="K12" i="1"/>
  <c r="I72" i="9" s="1"/>
  <c r="J72" i="9" s="1"/>
  <c r="K151" i="1"/>
  <c r="I99" i="9" s="1"/>
  <c r="J151" i="1"/>
  <c r="O151" i="1" s="1"/>
  <c r="K131" i="1"/>
  <c r="I146" i="9" s="1"/>
  <c r="J131" i="1"/>
  <c r="O131" i="1" s="1"/>
  <c r="K71" i="1"/>
  <c r="I21" i="9" s="1"/>
  <c r="J71" i="1"/>
  <c r="O71" i="1" s="1"/>
  <c r="K31" i="1"/>
  <c r="I32" i="9" s="1"/>
  <c r="J31" i="1"/>
  <c r="O31" i="1" s="1"/>
  <c r="K150" i="1"/>
  <c r="I91" i="9" s="1"/>
  <c r="J150" i="1"/>
  <c r="O150" i="1" s="1"/>
  <c r="K30" i="1"/>
  <c r="I25" i="9" s="1"/>
  <c r="J30" i="1"/>
  <c r="O30" i="1" s="1"/>
  <c r="I120" i="9"/>
  <c r="O109" i="1"/>
  <c r="I115" i="9"/>
  <c r="O147" i="1"/>
  <c r="K107" i="1"/>
  <c r="I160" i="9" s="1"/>
  <c r="J107" i="1"/>
  <c r="O107" i="1" s="1"/>
  <c r="K106" i="1"/>
  <c r="I152" i="9" s="1"/>
  <c r="J106" i="1"/>
  <c r="O106" i="1" s="1"/>
  <c r="K66" i="1"/>
  <c r="I28" i="9" s="1"/>
  <c r="J66" i="1"/>
  <c r="O66" i="1" s="1"/>
  <c r="K105" i="1"/>
  <c r="I144" i="9" s="1"/>
  <c r="J105" i="1"/>
  <c r="O105" i="1" s="1"/>
  <c r="K65" i="1"/>
  <c r="I70" i="9" s="1"/>
  <c r="J65" i="1"/>
  <c r="O65" i="1" s="1"/>
  <c r="K45" i="1"/>
  <c r="I5" i="9" s="1"/>
  <c r="J45" i="1"/>
  <c r="O45" i="1" s="1"/>
  <c r="J163" i="1"/>
  <c r="O163" i="1" s="1"/>
  <c r="K163" i="1"/>
  <c r="I92" i="9" s="1"/>
  <c r="J143" i="1"/>
  <c r="O143" i="1" s="1"/>
  <c r="K143" i="1"/>
  <c r="I139" i="9" s="1"/>
  <c r="O123" i="1"/>
  <c r="I129" i="9"/>
  <c r="J103" i="1"/>
  <c r="O103" i="1" s="1"/>
  <c r="K103" i="1"/>
  <c r="J83" i="1"/>
  <c r="O83" i="1" s="1"/>
  <c r="K83" i="1"/>
  <c r="I15" i="9" s="1"/>
  <c r="J63" i="1"/>
  <c r="O63" i="1" s="1"/>
  <c r="K63" i="1"/>
  <c r="I56" i="9" s="1"/>
  <c r="J43" i="1"/>
  <c r="O43" i="1" s="1"/>
  <c r="K43" i="1"/>
  <c r="I33" i="9" s="1"/>
  <c r="J23" i="1"/>
  <c r="O23" i="1" s="1"/>
  <c r="K23" i="1"/>
  <c r="I17" i="9" s="1"/>
  <c r="J3" i="1"/>
  <c r="O3" i="1" s="1"/>
  <c r="K3" i="1"/>
  <c r="I51" i="9" s="1"/>
  <c r="J51" i="9" s="1"/>
  <c r="L11" i="3"/>
  <c r="O28" i="1"/>
  <c r="O146" i="1"/>
  <c r="O145" i="1"/>
  <c r="O61" i="1"/>
  <c r="O34" i="1"/>
  <c r="O188" i="1"/>
  <c r="L10" i="3"/>
  <c r="O187" i="1"/>
  <c r="O185" i="1"/>
  <c r="M3" i="1"/>
  <c r="M41" i="1"/>
  <c r="M55" i="1"/>
  <c r="M15" i="1"/>
  <c r="M39" i="1"/>
  <c r="M19" i="1"/>
  <c r="M37" i="1"/>
  <c r="M53" i="1"/>
  <c r="M32" i="1"/>
  <c r="M17" i="1"/>
  <c r="M140" i="1"/>
  <c r="M62" i="1"/>
  <c r="M40" i="1"/>
  <c r="M42" i="1"/>
  <c r="M142" i="1"/>
  <c r="M82" i="1"/>
  <c r="M22" i="1"/>
  <c r="M181" i="1"/>
  <c r="M141" i="1"/>
  <c r="M21" i="1"/>
  <c r="M180" i="1"/>
  <c r="M120" i="1"/>
  <c r="M80" i="1"/>
  <c r="M20" i="1"/>
  <c r="M179" i="1"/>
  <c r="M159" i="1"/>
  <c r="M139" i="1"/>
  <c r="M119" i="1"/>
  <c r="M99" i="1"/>
  <c r="M178" i="1"/>
  <c r="M158" i="1"/>
  <c r="M138" i="1"/>
  <c r="M118" i="1"/>
  <c r="M98" i="1"/>
  <c r="M78" i="1"/>
  <c r="M58" i="1"/>
  <c r="M38" i="1"/>
  <c r="M18" i="1"/>
  <c r="M177" i="1"/>
  <c r="M157" i="1"/>
  <c r="M137" i="1"/>
  <c r="M117" i="1"/>
  <c r="M97" i="1"/>
  <c r="M77" i="1"/>
  <c r="M176" i="1"/>
  <c r="M156" i="1"/>
  <c r="M116" i="1"/>
  <c r="M96" i="1"/>
  <c r="M76" i="1"/>
  <c r="M56" i="1"/>
  <c r="M36" i="1"/>
  <c r="M155" i="1"/>
  <c r="M115" i="1"/>
  <c r="M95" i="1"/>
  <c r="M75" i="1"/>
  <c r="M154" i="1"/>
  <c r="M114" i="1"/>
  <c r="M74" i="1"/>
  <c r="M54" i="1"/>
  <c r="M14" i="1"/>
  <c r="M153" i="1"/>
  <c r="M133" i="1"/>
  <c r="M113" i="1"/>
  <c r="M13" i="1"/>
  <c r="M2" i="1"/>
  <c r="M172" i="1"/>
  <c r="M152" i="1"/>
  <c r="M132" i="1"/>
  <c r="M112" i="1"/>
  <c r="M72" i="1"/>
  <c r="M52" i="1"/>
  <c r="M12" i="1"/>
  <c r="M171" i="1"/>
  <c r="M151" i="1"/>
  <c r="M131" i="1"/>
  <c r="M111" i="1"/>
  <c r="M91" i="1"/>
  <c r="M71" i="1"/>
  <c r="M51" i="1"/>
  <c r="M31" i="1"/>
  <c r="M11" i="1"/>
  <c r="M170" i="1"/>
  <c r="M150" i="1"/>
  <c r="M130" i="1"/>
  <c r="M90" i="1"/>
  <c r="M70" i="1"/>
  <c r="M50" i="1"/>
  <c r="M10" i="1"/>
  <c r="M169" i="1"/>
  <c r="M129" i="1"/>
  <c r="M89" i="1"/>
  <c r="M69" i="1"/>
  <c r="M49" i="1"/>
  <c r="M29" i="1"/>
  <c r="M9" i="1"/>
  <c r="M81" i="1"/>
  <c r="M79" i="1"/>
  <c r="M16" i="1"/>
  <c r="M34" i="1"/>
  <c r="M30" i="1"/>
  <c r="M168" i="1"/>
  <c r="M128" i="1"/>
  <c r="M88" i="1"/>
  <c r="M68" i="1"/>
  <c r="M48" i="1"/>
  <c r="M28" i="1"/>
  <c r="M8" i="1"/>
  <c r="M61" i="1"/>
  <c r="M59" i="1"/>
  <c r="M57" i="1"/>
  <c r="M35" i="1"/>
  <c r="M33" i="1"/>
  <c r="M167" i="1"/>
  <c r="M127" i="1"/>
  <c r="M107" i="1"/>
  <c r="M87" i="1"/>
  <c r="M7" i="1"/>
  <c r="M166" i="1"/>
  <c r="M146" i="1"/>
  <c r="M126" i="1"/>
  <c r="M106" i="1"/>
  <c r="M86" i="1"/>
  <c r="M66" i="1"/>
  <c r="M46" i="1"/>
  <c r="M26" i="1"/>
  <c r="M6" i="1"/>
  <c r="M60" i="1"/>
  <c r="M73" i="1"/>
  <c r="M47" i="1"/>
  <c r="M165" i="1"/>
  <c r="M145" i="1"/>
  <c r="M125" i="1"/>
  <c r="M105" i="1"/>
  <c r="M85" i="1"/>
  <c r="M65" i="1"/>
  <c r="M45" i="1"/>
  <c r="M25" i="1"/>
  <c r="M5" i="1"/>
  <c r="M67" i="1"/>
  <c r="M164" i="1"/>
  <c r="M144" i="1"/>
  <c r="M124" i="1"/>
  <c r="M104" i="1"/>
  <c r="M84" i="1"/>
  <c r="M64" i="1"/>
  <c r="M44" i="1"/>
  <c r="M24" i="1"/>
  <c r="M4" i="1"/>
  <c r="M27" i="1"/>
  <c r="M163" i="1"/>
  <c r="M143" i="1"/>
  <c r="M103" i="1"/>
  <c r="M83" i="1"/>
  <c r="M63" i="1"/>
  <c r="M43" i="1"/>
  <c r="M23" i="1"/>
  <c r="L3" i="1"/>
  <c r="L42" i="1"/>
  <c r="L41" i="1"/>
  <c r="L142" i="1"/>
  <c r="L82" i="1"/>
  <c r="L62" i="1"/>
  <c r="L22" i="1"/>
  <c r="L181" i="1"/>
  <c r="L141" i="1"/>
  <c r="L81" i="1"/>
  <c r="L61" i="1"/>
  <c r="L21" i="1"/>
  <c r="L80" i="1"/>
  <c r="L179" i="1"/>
  <c r="L159" i="1"/>
  <c r="L139" i="1"/>
  <c r="L119" i="1"/>
  <c r="L99" i="1"/>
  <c r="L79" i="1"/>
  <c r="L59" i="1"/>
  <c r="L39" i="1"/>
  <c r="L19" i="1"/>
  <c r="L178" i="1"/>
  <c r="L158" i="1"/>
  <c r="L138" i="1"/>
  <c r="L118" i="1"/>
  <c r="L98" i="1"/>
  <c r="L78" i="1"/>
  <c r="L58" i="1"/>
  <c r="L38" i="1"/>
  <c r="L18" i="1"/>
  <c r="L177" i="1"/>
  <c r="L157" i="1"/>
  <c r="L137" i="1"/>
  <c r="L117" i="1"/>
  <c r="L97" i="1"/>
  <c r="L77" i="1"/>
  <c r="L57" i="1"/>
  <c r="L37" i="1"/>
  <c r="L17" i="1"/>
  <c r="L176" i="1"/>
  <c r="L156" i="1"/>
  <c r="L116" i="1"/>
  <c r="L96" i="1"/>
  <c r="L76" i="1"/>
  <c r="L56" i="1"/>
  <c r="L36" i="1"/>
  <c r="L16" i="1"/>
  <c r="L40" i="1"/>
  <c r="L55" i="1"/>
  <c r="L73" i="1"/>
  <c r="L11" i="1"/>
  <c r="L170" i="1"/>
  <c r="L150" i="1"/>
  <c r="L130" i="1"/>
  <c r="L90" i="1"/>
  <c r="L70" i="1"/>
  <c r="L50" i="1"/>
  <c r="L30" i="1"/>
  <c r="L10" i="1"/>
  <c r="L35" i="1"/>
  <c r="L154" i="1"/>
  <c r="L114" i="1"/>
  <c r="L54" i="1"/>
  <c r="L14" i="1"/>
  <c r="L13" i="1"/>
  <c r="L172" i="1"/>
  <c r="L132" i="1"/>
  <c r="L72" i="1"/>
  <c r="L32" i="1"/>
  <c r="L171" i="1"/>
  <c r="L31" i="1"/>
  <c r="L169" i="1"/>
  <c r="L129" i="1"/>
  <c r="L89" i="1"/>
  <c r="L69" i="1"/>
  <c r="L49" i="1"/>
  <c r="L29" i="1"/>
  <c r="L9" i="1"/>
  <c r="L180" i="1"/>
  <c r="L20" i="1"/>
  <c r="L15" i="1"/>
  <c r="L74" i="1"/>
  <c r="L34" i="1"/>
  <c r="L33" i="1"/>
  <c r="L2" i="1"/>
  <c r="L152" i="1"/>
  <c r="L112" i="1"/>
  <c r="L52" i="1"/>
  <c r="L12" i="1"/>
  <c r="L51" i="1"/>
  <c r="L168" i="1"/>
  <c r="L128" i="1"/>
  <c r="L88" i="1"/>
  <c r="L68" i="1"/>
  <c r="L48" i="1"/>
  <c r="L28" i="1"/>
  <c r="L8" i="1"/>
  <c r="L95" i="1"/>
  <c r="L113" i="1"/>
  <c r="L151" i="1"/>
  <c r="L167" i="1"/>
  <c r="L127" i="1"/>
  <c r="L107" i="1"/>
  <c r="L87" i="1"/>
  <c r="L67" i="1"/>
  <c r="L47" i="1"/>
  <c r="L27" i="1"/>
  <c r="L7" i="1"/>
  <c r="L120" i="1"/>
  <c r="L115" i="1"/>
  <c r="L133" i="1"/>
  <c r="L131" i="1"/>
  <c r="L166" i="1"/>
  <c r="L146" i="1"/>
  <c r="L126" i="1"/>
  <c r="L106" i="1"/>
  <c r="L86" i="1"/>
  <c r="L66" i="1"/>
  <c r="L46" i="1"/>
  <c r="L26" i="1"/>
  <c r="L6" i="1"/>
  <c r="L155" i="1"/>
  <c r="L111" i="1"/>
  <c r="L165" i="1"/>
  <c r="L145" i="1"/>
  <c r="L125" i="1"/>
  <c r="L105" i="1"/>
  <c r="L85" i="1"/>
  <c r="L65" i="1"/>
  <c r="L45" i="1"/>
  <c r="L25" i="1"/>
  <c r="L5" i="1"/>
  <c r="L140" i="1"/>
  <c r="L153" i="1"/>
  <c r="L91" i="1"/>
  <c r="L164" i="1"/>
  <c r="L144" i="1"/>
  <c r="L124" i="1"/>
  <c r="L104" i="1"/>
  <c r="L84" i="1"/>
  <c r="L64" i="1"/>
  <c r="L44" i="1"/>
  <c r="L24" i="1"/>
  <c r="L4" i="1"/>
  <c r="L60" i="1"/>
  <c r="L75" i="1"/>
  <c r="L53" i="1"/>
  <c r="L71" i="1"/>
  <c r="L163" i="1"/>
  <c r="L143" i="1"/>
  <c r="L103" i="1"/>
  <c r="L83" i="1"/>
  <c r="L63" i="1"/>
  <c r="L43" i="1"/>
  <c r="L23" i="1"/>
  <c r="P172" i="1" l="1"/>
  <c r="P16" i="1"/>
  <c r="P178" i="1"/>
  <c r="P35" i="1"/>
  <c r="P96" i="1"/>
  <c r="P137" i="1"/>
  <c r="P136" i="1"/>
  <c r="I130" i="9"/>
  <c r="K131" i="9" s="1"/>
  <c r="P157" i="1"/>
  <c r="P98" i="1"/>
  <c r="P112" i="1"/>
  <c r="P31" i="1"/>
  <c r="P22" i="1"/>
  <c r="I96" i="9"/>
  <c r="J96" i="9" s="1"/>
  <c r="P173" i="1"/>
  <c r="J156" i="9"/>
  <c r="K156" i="9"/>
  <c r="K92" i="9"/>
  <c r="J92" i="9"/>
  <c r="K10" i="9"/>
  <c r="J10" i="9"/>
  <c r="L10" i="9" s="1"/>
  <c r="K41" i="9"/>
  <c r="J41" i="9"/>
  <c r="J136" i="9"/>
  <c r="J69" i="9"/>
  <c r="K69" i="9"/>
  <c r="K5" i="9"/>
  <c r="J5" i="9"/>
  <c r="K172" i="9"/>
  <c r="J172" i="9"/>
  <c r="K106" i="9"/>
  <c r="J106" i="9"/>
  <c r="J169" i="9"/>
  <c r="K169" i="9"/>
  <c r="J93" i="9"/>
  <c r="K93" i="9"/>
  <c r="K25" i="9"/>
  <c r="J25" i="9"/>
  <c r="K8" i="9"/>
  <c r="J8" i="9"/>
  <c r="J13" i="9"/>
  <c r="K13" i="9"/>
  <c r="K105" i="9"/>
  <c r="J105" i="9"/>
  <c r="K168" i="9"/>
  <c r="J168" i="9"/>
  <c r="K153" i="9"/>
  <c r="J153" i="9"/>
  <c r="J121" i="9"/>
  <c r="K121" i="9"/>
  <c r="J179" i="9"/>
  <c r="K179" i="9"/>
  <c r="K111" i="9"/>
  <c r="J111" i="9"/>
  <c r="L111" i="9" s="1"/>
  <c r="K171" i="9"/>
  <c r="J171" i="9"/>
  <c r="K47" i="9"/>
  <c r="J47" i="9"/>
  <c r="K53" i="9"/>
  <c r="J53" i="9"/>
  <c r="J81" i="9"/>
  <c r="K81" i="9"/>
  <c r="K146" i="9"/>
  <c r="J146" i="9"/>
  <c r="K33" i="9"/>
  <c r="J33" i="9"/>
  <c r="J99" i="9"/>
  <c r="K99" i="9"/>
  <c r="K56" i="9"/>
  <c r="J56" i="9"/>
  <c r="K176" i="9"/>
  <c r="J176" i="9"/>
  <c r="K112" i="9"/>
  <c r="J112" i="9"/>
  <c r="L112" i="9" s="1"/>
  <c r="K85" i="9"/>
  <c r="J85" i="9"/>
  <c r="J149" i="9"/>
  <c r="K114" i="9"/>
  <c r="J114" i="9"/>
  <c r="J20" i="9"/>
  <c r="K20" i="9"/>
  <c r="K7" i="9"/>
  <c r="J7" i="9"/>
  <c r="K161" i="9"/>
  <c r="J161" i="9"/>
  <c r="K137" i="9"/>
  <c r="J137" i="9"/>
  <c r="K17" i="9"/>
  <c r="J17" i="9"/>
  <c r="L17" i="9" s="1"/>
  <c r="J100" i="9"/>
  <c r="K100" i="9"/>
  <c r="K42" i="9"/>
  <c r="J42" i="9"/>
  <c r="K28" i="9"/>
  <c r="J28" i="9"/>
  <c r="K34" i="9"/>
  <c r="J34" i="9"/>
  <c r="J152" i="9"/>
  <c r="J80" i="9"/>
  <c r="L80" i="9" s="1"/>
  <c r="K80" i="9"/>
  <c r="K144" i="9"/>
  <c r="J144" i="9"/>
  <c r="J131" i="9"/>
  <c r="K68" i="9"/>
  <c r="J68" i="9"/>
  <c r="J98" i="9"/>
  <c r="K98" i="9"/>
  <c r="K177" i="9"/>
  <c r="J177" i="9"/>
  <c r="J101" i="9"/>
  <c r="K101" i="9"/>
  <c r="K76" i="9"/>
  <c r="J76" i="9"/>
  <c r="K147" i="9"/>
  <c r="J147" i="9"/>
  <c r="K75" i="9"/>
  <c r="J75" i="9"/>
  <c r="K27" i="9"/>
  <c r="J27" i="9"/>
  <c r="K57" i="9"/>
  <c r="J57" i="9"/>
  <c r="K48" i="9"/>
  <c r="J48" i="9"/>
  <c r="K125" i="9"/>
  <c r="J125" i="9"/>
  <c r="J36" i="9"/>
  <c r="K36" i="9"/>
  <c r="K78" i="9"/>
  <c r="J78" i="9"/>
  <c r="J29" i="9"/>
  <c r="K29" i="9"/>
  <c r="K123" i="9"/>
  <c r="J123" i="9"/>
  <c r="J181" i="9"/>
  <c r="K181" i="9"/>
  <c r="K3" i="9"/>
  <c r="J3" i="9"/>
  <c r="L3" i="9" s="1"/>
  <c r="K67" i="9"/>
  <c r="J67" i="9"/>
  <c r="K45" i="9"/>
  <c r="J45" i="9"/>
  <c r="L45" i="9" s="1"/>
  <c r="J19" i="9"/>
  <c r="K160" i="9"/>
  <c r="J160" i="9"/>
  <c r="K55" i="9"/>
  <c r="J55" i="9"/>
  <c r="J62" i="9"/>
  <c r="K62" i="9"/>
  <c r="K145" i="9"/>
  <c r="J145" i="9"/>
  <c r="K170" i="9"/>
  <c r="J170" i="9"/>
  <c r="J129" i="9"/>
  <c r="K129" i="9"/>
  <c r="K132" i="9"/>
  <c r="J132" i="9"/>
  <c r="K113" i="9"/>
  <c r="J113" i="9"/>
  <c r="J120" i="9"/>
  <c r="K120" i="9"/>
  <c r="J138" i="9"/>
  <c r="K138" i="9"/>
  <c r="J61" i="9"/>
  <c r="K61" i="9"/>
  <c r="J83" i="9"/>
  <c r="K83" i="9"/>
  <c r="J180" i="9"/>
  <c r="K180" i="9"/>
  <c r="J24" i="9"/>
  <c r="L24" i="9" s="1"/>
  <c r="K24" i="9"/>
  <c r="K154" i="9"/>
  <c r="J154" i="9"/>
  <c r="J73" i="9"/>
  <c r="L73" i="9" s="1"/>
  <c r="K73" i="9"/>
  <c r="K14" i="9"/>
  <c r="J14" i="9"/>
  <c r="J82" i="9"/>
  <c r="K82" i="9"/>
  <c r="J139" i="9"/>
  <c r="K139" i="9"/>
  <c r="J91" i="9"/>
  <c r="K108" i="9"/>
  <c r="J108" i="9"/>
  <c r="K46" i="9"/>
  <c r="J46" i="9"/>
  <c r="K115" i="9"/>
  <c r="J115" i="9"/>
  <c r="K31" i="9"/>
  <c r="J31" i="9"/>
  <c r="L31" i="9" s="1"/>
  <c r="K26" i="9"/>
  <c r="J26" i="9"/>
  <c r="J63" i="9"/>
  <c r="K63" i="9"/>
  <c r="J104" i="9"/>
  <c r="K104" i="9"/>
  <c r="K39" i="9"/>
  <c r="J39" i="9"/>
  <c r="K6" i="9"/>
  <c r="J6" i="9"/>
  <c r="K124" i="9"/>
  <c r="J124" i="9"/>
  <c r="J159" i="9"/>
  <c r="L159" i="9" s="1"/>
  <c r="K159" i="9"/>
  <c r="K88" i="9"/>
  <c r="J88" i="9"/>
  <c r="J143" i="9"/>
  <c r="L143" i="9" s="1"/>
  <c r="K143" i="9"/>
  <c r="J4" i="9"/>
  <c r="K4" i="9"/>
  <c r="K163" i="9"/>
  <c r="J163" i="9"/>
  <c r="K11" i="9"/>
  <c r="J11" i="9"/>
  <c r="J103" i="9"/>
  <c r="L103" i="9" s="1"/>
  <c r="K103" i="9"/>
  <c r="I109" i="9"/>
  <c r="K155" i="9"/>
  <c r="J155" i="9"/>
  <c r="J77" i="9"/>
  <c r="K77" i="9"/>
  <c r="J22" i="9"/>
  <c r="K22" i="9"/>
  <c r="J133" i="9"/>
  <c r="K133" i="9"/>
  <c r="K50" i="9"/>
  <c r="J50" i="9"/>
  <c r="K87" i="9"/>
  <c r="J87" i="9"/>
  <c r="L87" i="9" s="1"/>
  <c r="J178" i="9"/>
  <c r="K178" i="9"/>
  <c r="K117" i="9"/>
  <c r="J117" i="9"/>
  <c r="K119" i="9"/>
  <c r="J119" i="9"/>
  <c r="L119" i="9" s="1"/>
  <c r="K35" i="9"/>
  <c r="J35" i="9"/>
  <c r="J21" i="9"/>
  <c r="K21" i="9"/>
  <c r="J122" i="9"/>
  <c r="K122" i="9"/>
  <c r="I59" i="9"/>
  <c r="K40" i="9"/>
  <c r="J40" i="9"/>
  <c r="J43" i="9"/>
  <c r="K43" i="9"/>
  <c r="J140" i="9"/>
  <c r="K140" i="9"/>
  <c r="J60" i="9"/>
  <c r="I18" i="9"/>
  <c r="K19" i="9" s="1"/>
  <c r="J116" i="9"/>
  <c r="K116" i="9"/>
  <c r="J141" i="9"/>
  <c r="K141" i="9"/>
  <c r="J157" i="9"/>
  <c r="K157" i="9"/>
  <c r="K162" i="9"/>
  <c r="J162" i="9"/>
  <c r="K52" i="9"/>
  <c r="J52" i="9"/>
  <c r="L52" i="9" s="1"/>
  <c r="K32" i="9"/>
  <c r="J32" i="9"/>
  <c r="K167" i="9"/>
  <c r="J167" i="9"/>
  <c r="L167" i="9" s="1"/>
  <c r="K71" i="9"/>
  <c r="J71" i="9"/>
  <c r="K12" i="9"/>
  <c r="J12" i="9"/>
  <c r="K89" i="9"/>
  <c r="J89" i="9"/>
  <c r="J38" i="9"/>
  <c r="L38" i="9" s="1"/>
  <c r="K38" i="9"/>
  <c r="I90" i="9"/>
  <c r="K91" i="9" s="1"/>
  <c r="K70" i="9"/>
  <c r="J70" i="9"/>
  <c r="K175" i="9"/>
  <c r="J175" i="9"/>
  <c r="L175" i="9" s="1"/>
  <c r="K15" i="9"/>
  <c r="J15" i="9"/>
  <c r="J64" i="9"/>
  <c r="K64" i="9"/>
  <c r="K49" i="9"/>
  <c r="J49" i="9"/>
  <c r="K127" i="9"/>
  <c r="J127" i="9"/>
  <c r="L127" i="9" s="1"/>
  <c r="J173" i="9"/>
  <c r="K173" i="9"/>
  <c r="I135" i="9"/>
  <c r="K136" i="9" s="1"/>
  <c r="I151" i="9"/>
  <c r="K152" i="9" s="1"/>
  <c r="K128" i="9"/>
  <c r="J128" i="9"/>
  <c r="J84" i="9"/>
  <c r="K84" i="9"/>
  <c r="J97" i="9"/>
  <c r="K54" i="9"/>
  <c r="J54" i="9"/>
  <c r="I165" i="9"/>
  <c r="K95" i="9"/>
  <c r="J95" i="9"/>
  <c r="L95" i="9" s="1"/>
  <c r="K66" i="9"/>
  <c r="J66" i="9"/>
  <c r="L66" i="9" s="1"/>
  <c r="K74" i="9"/>
  <c r="J74" i="9"/>
  <c r="K107" i="9"/>
  <c r="J107" i="9"/>
  <c r="K164" i="9"/>
  <c r="J164" i="9"/>
  <c r="I148" i="9"/>
  <c r="P117" i="1"/>
  <c r="P49" i="1"/>
  <c r="P30" i="1"/>
  <c r="P9" i="1"/>
  <c r="P131" i="1"/>
  <c r="P51" i="1"/>
  <c r="P50" i="1"/>
  <c r="P130" i="1"/>
  <c r="P169" i="1"/>
  <c r="P171" i="1"/>
  <c r="P135" i="1"/>
  <c r="P58" i="1"/>
  <c r="P23" i="1"/>
  <c r="P144" i="1"/>
  <c r="P118" i="1"/>
  <c r="P154" i="1"/>
  <c r="P55" i="1"/>
  <c r="P116" i="1"/>
  <c r="P70" i="1"/>
  <c r="P76" i="1"/>
  <c r="P97" i="1"/>
  <c r="P129" i="1"/>
  <c r="P78" i="1"/>
  <c r="P75" i="1"/>
  <c r="P10" i="1"/>
  <c r="P92" i="1"/>
  <c r="P69" i="1"/>
  <c r="O35" i="1"/>
  <c r="P95" i="1"/>
  <c r="P115" i="1"/>
  <c r="P176" i="1"/>
  <c r="P153" i="1"/>
  <c r="P177" i="1"/>
  <c r="P71" i="1"/>
  <c r="P150" i="1"/>
  <c r="P91" i="1"/>
  <c r="P74" i="1"/>
  <c r="P21" i="1"/>
  <c r="P82" i="1"/>
  <c r="P164" i="1"/>
  <c r="P84" i="1"/>
  <c r="P7" i="1"/>
  <c r="P126" i="1"/>
  <c r="P73" i="1"/>
  <c r="P139" i="1"/>
  <c r="P33" i="1"/>
  <c r="P160" i="1"/>
  <c r="P27" i="1"/>
  <c r="P79" i="1"/>
  <c r="P68" i="1"/>
  <c r="P85" i="1"/>
  <c r="P19" i="1"/>
  <c r="P20" i="1"/>
  <c r="P24" i="1"/>
  <c r="P151" i="1"/>
  <c r="P43" i="1"/>
  <c r="P29" i="1"/>
  <c r="P28" i="1"/>
  <c r="P93" i="1"/>
  <c r="P110" i="1"/>
  <c r="P170" i="1"/>
  <c r="P36" i="1"/>
  <c r="P11" i="1"/>
  <c r="P57" i="1"/>
  <c r="P18" i="1"/>
  <c r="P44" i="1"/>
  <c r="P143" i="1"/>
  <c r="P89" i="1"/>
  <c r="P81" i="1"/>
  <c r="P163" i="1"/>
  <c r="P8" i="1"/>
  <c r="P65" i="1"/>
  <c r="P67" i="1"/>
  <c r="P134" i="1"/>
  <c r="P179" i="1"/>
  <c r="P14" i="1"/>
  <c r="P180" i="1"/>
  <c r="P88" i="1"/>
  <c r="P161" i="1"/>
  <c r="P46" i="1"/>
  <c r="P106" i="1"/>
  <c r="P142" i="1"/>
  <c r="P148" i="1"/>
  <c r="P121" i="1"/>
  <c r="P128" i="1"/>
  <c r="P167" i="1"/>
  <c r="P146" i="1"/>
  <c r="P12" i="1"/>
  <c r="P5" i="1"/>
  <c r="P100" i="1"/>
  <c r="P105" i="1"/>
  <c r="P133" i="1"/>
  <c r="P3" i="1"/>
  <c r="P145" i="1"/>
  <c r="P34" i="1"/>
  <c r="P26" i="1"/>
  <c r="P72" i="1"/>
  <c r="P140" i="1"/>
  <c r="P147" i="1"/>
  <c r="P155" i="1"/>
  <c r="P156" i="1"/>
  <c r="P17" i="1"/>
  <c r="P138" i="1"/>
  <c r="P32" i="1"/>
  <c r="P42" i="1"/>
  <c r="P125" i="1"/>
  <c r="P2" i="1"/>
  <c r="P165" i="1"/>
  <c r="P120" i="1"/>
  <c r="P166" i="1"/>
  <c r="P4" i="1"/>
  <c r="P62" i="1"/>
  <c r="P104" i="1"/>
  <c r="P63" i="1"/>
  <c r="P119" i="1"/>
  <c r="P40" i="1"/>
  <c r="P86" i="1"/>
  <c r="P101" i="1"/>
  <c r="P108" i="1"/>
  <c r="P114" i="1"/>
  <c r="P25" i="1"/>
  <c r="P99" i="1"/>
  <c r="P175" i="1"/>
  <c r="P90" i="1"/>
  <c r="P37" i="1"/>
  <c r="P158" i="1"/>
  <c r="P53" i="1"/>
  <c r="P152" i="1"/>
  <c r="P83" i="1"/>
  <c r="P149" i="1"/>
  <c r="P107" i="1"/>
  <c r="P132" i="1"/>
  <c r="P141" i="1"/>
  <c r="P41" i="1"/>
  <c r="P124" i="1"/>
  <c r="P47" i="1"/>
  <c r="P66" i="1"/>
  <c r="P39" i="1"/>
  <c r="P127" i="1"/>
  <c r="P94" i="1"/>
  <c r="P174" i="1"/>
  <c r="P6" i="1"/>
  <c r="P103" i="1"/>
  <c r="P159" i="1"/>
  <c r="P80" i="1"/>
  <c r="P59" i="1"/>
  <c r="P15" i="1"/>
  <c r="P56" i="1"/>
  <c r="P111" i="1"/>
  <c r="P77" i="1"/>
  <c r="P38" i="1"/>
  <c r="P109" i="1"/>
  <c r="P61" i="1"/>
  <c r="P102" i="1"/>
  <c r="P123" i="1"/>
  <c r="P168" i="1"/>
  <c r="P64" i="1"/>
  <c r="P54" i="1"/>
  <c r="P52" i="1"/>
  <c r="P87" i="1"/>
  <c r="P60" i="1"/>
  <c r="P45" i="1"/>
  <c r="P162" i="1"/>
  <c r="P113" i="1"/>
  <c r="P48" i="1"/>
  <c r="P181" i="1"/>
  <c r="P122" i="1"/>
  <c r="P13" i="1"/>
  <c r="L177" i="9" l="1"/>
  <c r="J130" i="9"/>
  <c r="L131" i="9" s="1"/>
  <c r="K130" i="9"/>
  <c r="L15" i="9"/>
  <c r="L71" i="9"/>
  <c r="L88" i="9"/>
  <c r="L74" i="9"/>
  <c r="L40" i="9"/>
  <c r="L133" i="9"/>
  <c r="L61" i="9"/>
  <c r="L48" i="9"/>
  <c r="L77" i="9"/>
  <c r="L21" i="9"/>
  <c r="L54" i="9"/>
  <c r="L4" i="9"/>
  <c r="L172" i="9"/>
  <c r="L115" i="9"/>
  <c r="L124" i="9"/>
  <c r="L64" i="9"/>
  <c r="L155" i="9"/>
  <c r="L27" i="9"/>
  <c r="K97" i="9"/>
  <c r="K96" i="9"/>
  <c r="L29" i="9"/>
  <c r="L179" i="9"/>
  <c r="L180" i="9"/>
  <c r="L99" i="9"/>
  <c r="L168" i="9"/>
  <c r="L122" i="9"/>
  <c r="L82" i="9"/>
  <c r="L161" i="9"/>
  <c r="L6" i="9"/>
  <c r="L144" i="9"/>
  <c r="L157" i="9"/>
  <c r="L84" i="9"/>
  <c r="L11" i="9"/>
  <c r="L14" i="9"/>
  <c r="L33" i="9"/>
  <c r="L97" i="9"/>
  <c r="L117" i="9"/>
  <c r="L104" i="9"/>
  <c r="L47" i="9"/>
  <c r="L138" i="9"/>
  <c r="L57" i="9"/>
  <c r="L69" i="9"/>
  <c r="L154" i="9"/>
  <c r="L145" i="9"/>
  <c r="L42" i="9"/>
  <c r="L140" i="9"/>
  <c r="L50" i="9"/>
  <c r="L101" i="9"/>
  <c r="L176" i="9"/>
  <c r="L106" i="9"/>
  <c r="L62" i="9"/>
  <c r="L46" i="9"/>
  <c r="L55" i="9"/>
  <c r="L32" i="9"/>
  <c r="L83" i="9"/>
  <c r="L36" i="9"/>
  <c r="L98" i="9"/>
  <c r="L121" i="9"/>
  <c r="L169" i="9"/>
  <c r="L49" i="9"/>
  <c r="L78" i="9"/>
  <c r="L43" i="9"/>
  <c r="L100" i="9"/>
  <c r="L56" i="9"/>
  <c r="J59" i="9"/>
  <c r="L59" i="9" s="1"/>
  <c r="K59" i="9"/>
  <c r="L22" i="9"/>
  <c r="L108" i="9"/>
  <c r="L160" i="9"/>
  <c r="L125" i="9"/>
  <c r="L68" i="9"/>
  <c r="L137" i="9"/>
  <c r="L153" i="9"/>
  <c r="L5" i="9"/>
  <c r="K109" i="9"/>
  <c r="J109" i="9"/>
  <c r="L109" i="9" s="1"/>
  <c r="L139" i="9"/>
  <c r="L120" i="9"/>
  <c r="K165" i="9"/>
  <c r="J165" i="9"/>
  <c r="L165" i="9" s="1"/>
  <c r="L7" i="9"/>
  <c r="L105" i="9"/>
  <c r="L35" i="9"/>
  <c r="L70" i="9"/>
  <c r="L39" i="9"/>
  <c r="L113" i="9"/>
  <c r="L67" i="9"/>
  <c r="L41" i="9"/>
  <c r="L146" i="9"/>
  <c r="L20" i="9"/>
  <c r="L81" i="9"/>
  <c r="L13" i="9"/>
  <c r="L128" i="9"/>
  <c r="K90" i="9"/>
  <c r="J90" i="9"/>
  <c r="L90" i="9" s="1"/>
  <c r="L141" i="9"/>
  <c r="L132" i="9"/>
  <c r="L75" i="9"/>
  <c r="L114" i="9"/>
  <c r="L53" i="9"/>
  <c r="L8" i="9"/>
  <c r="L162" i="9"/>
  <c r="K151" i="9"/>
  <c r="J151" i="9"/>
  <c r="L151" i="9" s="1"/>
  <c r="L116" i="9"/>
  <c r="L163" i="9"/>
  <c r="L147" i="9"/>
  <c r="L92" i="9"/>
  <c r="L164" i="9"/>
  <c r="J18" i="9"/>
  <c r="L18" i="9" s="1"/>
  <c r="K18" i="9"/>
  <c r="L181" i="9"/>
  <c r="K60" i="9"/>
  <c r="L178" i="9"/>
  <c r="L96" i="9"/>
  <c r="L26" i="9"/>
  <c r="L170" i="9"/>
  <c r="L123" i="9"/>
  <c r="L76" i="9"/>
  <c r="L28" i="9"/>
  <c r="L85" i="9"/>
  <c r="L171" i="9"/>
  <c r="K148" i="9"/>
  <c r="J148" i="9"/>
  <c r="L148" i="9" s="1"/>
  <c r="L34" i="9"/>
  <c r="L25" i="9"/>
  <c r="K135" i="9"/>
  <c r="J135" i="9"/>
  <c r="L135" i="9" s="1"/>
  <c r="L89" i="9"/>
  <c r="L63" i="9"/>
  <c r="L129" i="9"/>
  <c r="K149" i="9"/>
  <c r="L107" i="9"/>
  <c r="L173" i="9"/>
  <c r="L12" i="9"/>
  <c r="L93" i="9"/>
  <c r="L156" i="9"/>
  <c r="L130" i="9" l="1"/>
  <c r="L91" i="9"/>
  <c r="L60" i="9"/>
  <c r="L136" i="9"/>
  <c r="L152" i="9"/>
  <c r="L19" i="9"/>
  <c r="L14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Daymler Del Jesus O´Farrill Rolando</author>
  </authors>
  <commentList>
    <comment ref="K1" authorId="0" shapeId="0" xr:uid="{6DEA310A-84B4-4719-9EF8-864BC9435D4E}">
      <text>
        <r>
          <rPr>
            <b/>
            <sz val="9"/>
            <color indexed="81"/>
            <rFont val="Tahoma"/>
            <charset val="1"/>
          </rPr>
          <t>Daymler Del Jesus O´Farrill Rolando:</t>
        </r>
        <r>
          <rPr>
            <sz val="9"/>
            <color indexed="81"/>
            <rFont val="Tahoma"/>
            <charset val="1"/>
          </rPr>
          <t xml:space="preserve">
en la celda 62 de rem el verdadero valor es 10798141188,0432</t>
        </r>
      </text>
    </comment>
  </commentList>
</comments>
</file>

<file path=xl/sharedStrings.xml><?xml version="1.0" encoding="utf-8"?>
<sst xmlns="http://schemas.openxmlformats.org/spreadsheetml/2006/main" count="833" uniqueCount="52">
  <si>
    <t>País</t>
  </si>
  <si>
    <t>year</t>
  </si>
  <si>
    <t>descripcion</t>
  </si>
  <si>
    <t>VA_div</t>
  </si>
  <si>
    <t>CI_div</t>
  </si>
  <si>
    <t>VBP_div</t>
  </si>
  <si>
    <t>VA_VBP_div</t>
  </si>
  <si>
    <t>Chile</t>
  </si>
  <si>
    <t>México</t>
  </si>
  <si>
    <t>Elaboración de productos alimenticios</t>
  </si>
  <si>
    <t>Fabricación de prendas de vestir</t>
  </si>
  <si>
    <t>Fabricación de productos de cuero y productos conexos</t>
  </si>
  <si>
    <t>Fabricación de vehículos automotores, remolques y semirremolques</t>
  </si>
  <si>
    <t>Comercio al por mayor y al por menor y reparación de vehículos de motor y motocicletas</t>
  </si>
  <si>
    <t>Comercio al por mayor, excepto de vehículos de motor y motocicletas</t>
  </si>
  <si>
    <t>Comercio al por menor, excepto de vehículos de motor y motocicletas</t>
  </si>
  <si>
    <t>Actividades de edición</t>
  </si>
  <si>
    <t>Actividades de programación y radiodifusión</t>
  </si>
  <si>
    <t>Actividades de servicios de información</t>
  </si>
  <si>
    <t>Producción de películas, videos y programas de televisión, grabación de sonido y edición musical</t>
  </si>
  <si>
    <t>Programación de computadoras, consultoría y actividades relacionadas</t>
  </si>
  <si>
    <t>Actividades inmobiliarias</t>
  </si>
  <si>
    <t>Telecomunicaciones</t>
  </si>
  <si>
    <t>conca</t>
  </si>
  <si>
    <t>emp</t>
  </si>
  <si>
    <t>consumo_energía</t>
  </si>
  <si>
    <t>horas</t>
  </si>
  <si>
    <t>VA_defl</t>
  </si>
  <si>
    <t>deflactores2dfinal</t>
  </si>
  <si>
    <t/>
  </si>
  <si>
    <t>prod_trab</t>
  </si>
  <si>
    <t>Etiquetas de fila</t>
  </si>
  <si>
    <t>Total general</t>
  </si>
  <si>
    <t>Etiquetas de columna</t>
  </si>
  <si>
    <t>Suma de prod_trab</t>
  </si>
  <si>
    <t>rem</t>
  </si>
  <si>
    <t>Rem_emp</t>
  </si>
  <si>
    <t>Suma de Rem_emp</t>
  </si>
  <si>
    <t>División</t>
  </si>
  <si>
    <t>Brecha (p.p)</t>
  </si>
  <si>
    <t>ΔVA/Emp(%)</t>
  </si>
  <si>
    <t>Δ REM/EMP(%)</t>
  </si>
  <si>
    <t>Elaboración de alimentos</t>
  </si>
  <si>
    <t>Comercio mayorista, excepto automotor y bicicletas</t>
  </si>
  <si>
    <t>promedio</t>
  </si>
  <si>
    <t>Suma de emp</t>
  </si>
  <si>
    <t>pm</t>
  </si>
  <si>
    <t>Suma de rem</t>
  </si>
  <si>
    <t>conc</t>
  </si>
  <si>
    <t>rem_emp</t>
  </si>
  <si>
    <t>tc_rem_emp</t>
  </si>
  <si>
    <t>Suma de VA_defl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</si>
</sst>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3" fillId="2" borderId="3" xfId="0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right"/>
    </xf>
    <xf numFmtId="0" fontId="0" fillId="0" borderId="0" xfId="0" applyNumberFormat="1"/>
    <xf numFmtId="3" fontId="0" fillId="0" borderId="0" xfId="0" applyNumberFormat="1"/>
    <xf numFmtId="165" fontId="0" fillId="0" borderId="0" xfId="0" applyNumberFormat="1"/>
    <xf numFmtId="165" fontId="0" fillId="3" borderId="0" xfId="0" applyNumberFormat="1" applyFill="1"/>
    <xf numFmtId="3" fontId="0" fillId="3" borderId="0" xfId="0" applyNumberFormat="1" applyFill="1"/>
  </cellXfs>
  <cellStyles count="2">
    <cellStyle name="Normal" xfId="0" builtinId="0"/>
    <cellStyle name="Normal 2" xfId="1" xr:uid="{667B2A19-B254-4218-A19B-EF9408484413}"/>
  </cellStyles>
  <dxfs count="7"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4.xml"/><Relationship Id="rId12" Type="http://schemas.openxmlformats.org/officeDocument/2006/relationships/pivotCacheDefinition" Target="pivotCache/pivotCacheDefinition2.xml"/><Relationship Id="rId2" Type="http://schemas.openxmlformats.org/officeDocument/2006/relationships/chartsheet" Target="chartsheets/sheet2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Prod!$B$10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Prod!$C$5:$I$5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Prod!$C$10:$I$10</c:f>
              <c:numCache>
                <c:formatCode>0.0</c:formatCode>
                <c:ptCount val="7"/>
                <c:pt idx="0">
                  <c:v>-7.8824982713985889</c:v>
                </c:pt>
                <c:pt idx="1">
                  <c:v>-2.4539640910538338</c:v>
                </c:pt>
                <c:pt idx="2">
                  <c:v>2.2889030857655968</c:v>
                </c:pt>
                <c:pt idx="3">
                  <c:v>-9.9652904964234068</c:v>
                </c:pt>
                <c:pt idx="4">
                  <c:v>18.147726705419927</c:v>
                </c:pt>
                <c:pt idx="5">
                  <c:v>-9.8075426905451479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B-498E-B4F1-3FCB76F9D91F}"/>
            </c:ext>
          </c:extLst>
        </c:ser>
        <c:ser>
          <c:idx val="1"/>
          <c:order val="1"/>
          <c:tx>
            <c:strRef>
              <c:f>Prod!$B$11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Prod!$C$5:$I$5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Prod!$C$11:$I$11</c:f>
              <c:numCache>
                <c:formatCode>0.0</c:formatCode>
                <c:ptCount val="7"/>
                <c:pt idx="0">
                  <c:v>-10.529625595004305</c:v>
                </c:pt>
                <c:pt idx="1">
                  <c:v>55.14705893476156</c:v>
                </c:pt>
                <c:pt idx="2">
                  <c:v>-3.2716483109850998</c:v>
                </c:pt>
                <c:pt idx="3">
                  <c:v>-17.391010195716902</c:v>
                </c:pt>
                <c:pt idx="4">
                  <c:v>26.253483656409486</c:v>
                </c:pt>
                <c:pt idx="5">
                  <c:v>11.399218035250854</c:v>
                </c:pt>
                <c:pt idx="6">
                  <c:v>41.571993940670382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B-498E-B4F1-3FCB76F9D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089032"/>
        <c:axId val="881089392"/>
      </c:lineChart>
      <c:catAx>
        <c:axId val="881089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81089392"/>
        <c:crosses val="autoZero"/>
        <c:auto val="1"/>
        <c:lblAlgn val="ctr"/>
        <c:lblOffset val="100"/>
        <c:noMultiLvlLbl val="0"/>
      </c:catAx>
      <c:valAx>
        <c:axId val="881089392"/>
        <c:scaling>
          <c:orientation val="minMax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8108903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Prod!$A$13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Prod!$B$5:$I$5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Prod!$B$13:$I$13</c:f>
              <c:numCache>
                <c:formatCode>General</c:formatCode>
                <c:ptCount val="8"/>
                <c:pt idx="0">
                  <c:v>1.1128797080182211</c:v>
                </c:pt>
                <c:pt idx="1">
                  <c:v>1.0251569842709392</c:v>
                </c:pt>
                <c:pt idx="2">
                  <c:v>1</c:v>
                </c:pt>
                <c:pt idx="3">
                  <c:v>1.0228890308576559</c:v>
                </c:pt>
                <c:pt idx="4">
                  <c:v>0.92095516747664041</c:v>
                </c:pt>
                <c:pt idx="5">
                  <c:v>1.0880875943497437</c:v>
                </c:pt>
                <c:pt idx="6">
                  <c:v>0.98137293902336686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3-42C4-A975-3F5E8706F288}"/>
            </c:ext>
          </c:extLst>
        </c:ser>
        <c:ser>
          <c:idx val="1"/>
          <c:order val="1"/>
          <c:tx>
            <c:strRef>
              <c:f>Prod!$A$14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Prod!$B$5:$I$5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Prod!$B$14:$I$14</c:f>
              <c:numCache>
                <c:formatCode>General</c:formatCode>
                <c:ptCount val="8"/>
                <c:pt idx="0">
                  <c:v>0.72040579561392593</c:v>
                </c:pt>
                <c:pt idx="1">
                  <c:v>0.64454976257106766</c:v>
                </c:pt>
                <c:pt idx="2">
                  <c:v>1</c:v>
                </c:pt>
                <c:pt idx="3">
                  <c:v>0.96728351689014902</c:v>
                </c:pt>
                <c:pt idx="4">
                  <c:v>0.79906314184629412</c:v>
                </c:pt>
                <c:pt idx="5">
                  <c:v>1.0088450531953033</c:v>
                </c:pt>
                <c:pt idx="6">
                  <c:v>1.1238455004468784</c:v>
                </c:pt>
                <c:pt idx="7">
                  <c:v>1.5910504837951513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53-42C4-A975-3F5E8706F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976896"/>
        <c:axId val="1210975456"/>
      </c:lineChart>
      <c:catAx>
        <c:axId val="121097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75456"/>
        <c:crosses val="autoZero"/>
        <c:auto val="1"/>
        <c:lblAlgn val="ctr"/>
        <c:lblOffset val="100"/>
        <c:noMultiLvlLbl val="0"/>
      </c:catAx>
      <c:valAx>
        <c:axId val="12109754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7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rem_emp!$B$9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rem_emp!$C$4:$I$4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rem_emp!$C$9:$I$9</c:f>
              <c:numCache>
                <c:formatCode>General</c:formatCode>
                <c:ptCount val="7"/>
                <c:pt idx="0">
                  <c:v>-3.671526324505308</c:v>
                </c:pt>
                <c:pt idx="1">
                  <c:v>-0.16669550008356282</c:v>
                </c:pt>
                <c:pt idx="2">
                  <c:v>3.1332835446257832</c:v>
                </c:pt>
                <c:pt idx="3">
                  <c:v>-13.005292193563051</c:v>
                </c:pt>
                <c:pt idx="4">
                  <c:v>7.1074109141325152</c:v>
                </c:pt>
                <c:pt idx="5">
                  <c:v>-3.7194404311865412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7-41FF-B111-DCF9C6C7251B}"/>
            </c:ext>
          </c:extLst>
        </c:ser>
        <c:ser>
          <c:idx val="1"/>
          <c:order val="1"/>
          <c:tx>
            <c:strRef>
              <c:f>rem_emp!$B$10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rem_emp!$C$4:$I$4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rem_emp!$C$10:$I$10</c:f>
              <c:numCache>
                <c:formatCode>General</c:formatCode>
                <c:ptCount val="7"/>
                <c:pt idx="0">
                  <c:v>-0.36332828044119481</c:v>
                </c:pt>
                <c:pt idx="1">
                  <c:v>65.701914099418843</c:v>
                </c:pt>
                <c:pt idx="2">
                  <c:v>2.9688177287184203</c:v>
                </c:pt>
                <c:pt idx="3">
                  <c:v>-12.381585802641197</c:v>
                </c:pt>
                <c:pt idx="4">
                  <c:v>21.34441460244831</c:v>
                </c:pt>
                <c:pt idx="5">
                  <c:v>19.339098516514625</c:v>
                </c:pt>
                <c:pt idx="6">
                  <c:v>40.861586601110048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7-41FF-B111-DCF9C6C72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236504"/>
        <c:axId val="1041245144"/>
      </c:lineChart>
      <c:catAx>
        <c:axId val="104123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1245144"/>
        <c:crosses val="autoZero"/>
        <c:auto val="1"/>
        <c:lblAlgn val="ctr"/>
        <c:lblOffset val="100"/>
        <c:noMultiLvlLbl val="0"/>
      </c:catAx>
      <c:valAx>
        <c:axId val="1041245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123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1CF537-62E7-4D34-B521-A8E093475008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1AD255-7810-4E0C-9FF4-D57FBD0382DF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18CE74-507A-4257-8796-8904DCE43FB2}">
  <sheetPr/>
  <sheetViews>
    <sheetView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E78F4E-5983-7002-024C-EF31DDCCC4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6D0319-1100-17AE-4BCA-190AC62682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5773918" cy="419623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05F101-A051-2DF6-FC0A-3DB8BF205C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7.%20Miscell&#225;neos\20.Cepal\trabajo_agre\an&#225;lisis_rem_emp\rem_emp_badecon.xlsx" TargetMode="External"/><Relationship Id="rId1" Type="http://schemas.openxmlformats.org/officeDocument/2006/relationships/externalLinkPath" Target="/Daymler/7.%20Miscell&#225;neos/20.Cepal/trabajo_agre/an&#225;lisis_rem_emp/rem_emp_badec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7.%20Miscell&#225;neos\20.Cepal\Prod\Datos\chl_mex_deflactada.xlsx" TargetMode="External"/><Relationship Id="rId1" Type="http://schemas.openxmlformats.org/officeDocument/2006/relationships/externalLinkPath" Target="chl_mex_deflact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3"/>
      <sheetName val="Gráfico2"/>
      <sheetName val="foto_2019_7_países"/>
      <sheetName val="Gráfico1"/>
      <sheetName val="Ranking_Elab_Alimentos"/>
      <sheetName val="Hoja2"/>
      <sheetName val="Detalle"/>
    </sheetNames>
    <sheetDataSet>
      <sheetData sheetId="0"/>
      <sheetData sheetId="1"/>
      <sheetData sheetId="3"/>
      <sheetData sheetId="5"/>
      <sheetData sheetId="6">
        <row r="2">
          <cell r="D2" t="str">
            <v>Chile2016Actividades de edición</v>
          </cell>
          <cell r="E2">
            <v>53031</v>
          </cell>
          <cell r="F2">
            <v>135734330.38357136</v>
          </cell>
        </row>
        <row r="3">
          <cell r="D3" t="str">
            <v>Chile2016Actividades de programación y radiodifusión</v>
          </cell>
          <cell r="E3">
            <v>85757</v>
          </cell>
          <cell r="F3">
            <v>182967614.37973905</v>
          </cell>
        </row>
        <row r="4">
          <cell r="D4" t="str">
            <v>Chile2016Actividades de servicios de información</v>
          </cell>
          <cell r="E4">
            <v>47839</v>
          </cell>
          <cell r="F4">
            <v>126440679.29575075</v>
          </cell>
        </row>
        <row r="5">
          <cell r="D5" t="str">
            <v>Chile2016Comercio al por mayor y al por menor y reparación de vehículos de motor y motocicletas</v>
          </cell>
          <cell r="E5">
            <v>436535</v>
          </cell>
          <cell r="F5">
            <v>874553181.79707634</v>
          </cell>
        </row>
        <row r="6">
          <cell r="D6" t="str">
            <v>Chile2016Comercio al por mayor, excepto de vehículos de motor y motocicletas</v>
          </cell>
          <cell r="E6">
            <v>1533942</v>
          </cell>
          <cell r="F6">
            <v>3097459605.4570727</v>
          </cell>
        </row>
        <row r="7">
          <cell r="D7" t="str">
            <v>Chile2016Comercio al por menor, excepto de vehículos de motor y motocicletas</v>
          </cell>
          <cell r="E7">
            <v>2597511</v>
          </cell>
          <cell r="F7">
            <v>2712591055.8748131</v>
          </cell>
        </row>
        <row r="8">
          <cell r="D8" t="str">
            <v>Chile2016Elaboración de productos alimenticios</v>
          </cell>
          <cell r="E8">
            <v>150226.25</v>
          </cell>
          <cell r="F8">
            <v>1842436235.4716952</v>
          </cell>
        </row>
        <row r="9">
          <cell r="D9" t="str">
            <v>Chile2016Fabricación de prendas de vestir</v>
          </cell>
          <cell r="E9">
            <v>8550</v>
          </cell>
          <cell r="F9">
            <v>90233466.208546981</v>
          </cell>
        </row>
        <row r="10">
          <cell r="D10" t="str">
            <v>Chile2016Fabricación de productos de cuero y productos conexos</v>
          </cell>
          <cell r="E10">
            <v>5885.75</v>
          </cell>
          <cell r="F10">
            <v>67650512.378484622</v>
          </cell>
        </row>
        <row r="11">
          <cell r="D11" t="str">
            <v>Chile2016Fabricación de vehículos automotores, remolques y semirremolques</v>
          </cell>
          <cell r="E11">
            <v>1132.75</v>
          </cell>
          <cell r="F11">
            <v>17844337.034362689</v>
          </cell>
        </row>
        <row r="12">
          <cell r="D12" t="str">
            <v>Chile2016Producción de películas, videos y programas de televisión, grabación de sonido y edición musical</v>
          </cell>
          <cell r="E12">
            <v>23808</v>
          </cell>
          <cell r="F12">
            <v>50080661.162225857</v>
          </cell>
        </row>
        <row r="13">
          <cell r="D13" t="str">
            <v>Chile2016Programación de computadoras, consultoría y actividades relacionadas</v>
          </cell>
          <cell r="E13">
            <v>217507</v>
          </cell>
          <cell r="F13">
            <v>716382437.45250332</v>
          </cell>
        </row>
        <row r="14">
          <cell r="D14" t="str">
            <v>Chile2017Actividades de edición</v>
          </cell>
          <cell r="E14">
            <v>52177</v>
          </cell>
          <cell r="F14">
            <v>160562298.37046134</v>
          </cell>
        </row>
        <row r="15">
          <cell r="D15" t="str">
            <v>Chile2017Actividades de programación y radiodifusión</v>
          </cell>
          <cell r="E15">
            <v>71194</v>
          </cell>
          <cell r="F15">
            <v>193410228.36907083</v>
          </cell>
        </row>
        <row r="16">
          <cell r="D16" t="str">
            <v>Chile2017Actividades de servicios de información</v>
          </cell>
          <cell r="E16">
            <v>51085</v>
          </cell>
          <cell r="F16">
            <v>156873672.67417011</v>
          </cell>
        </row>
        <row r="17">
          <cell r="D17" t="str">
            <v>Chile2017Comercio al por mayor y al por menor y reparación de vehículos de motor y motocicletas</v>
          </cell>
          <cell r="E17">
            <v>1069501.3549697197</v>
          </cell>
          <cell r="F17">
            <v>1646869016.0601971</v>
          </cell>
        </row>
        <row r="18">
          <cell r="D18" t="str">
            <v>Chile2017Comercio al por mayor, excepto de vehículos de motor y motocicletas</v>
          </cell>
          <cell r="E18">
            <v>2949275.4354308341</v>
          </cell>
          <cell r="F18">
            <v>5736760578.204258</v>
          </cell>
        </row>
        <row r="19">
          <cell r="D19" t="str">
            <v>Chile2017Comercio al por menor, excepto de vehículos de motor y motocicletas</v>
          </cell>
          <cell r="E19">
            <v>5132406.641346436</v>
          </cell>
          <cell r="F19">
            <v>4985591757.8208666</v>
          </cell>
        </row>
        <row r="20">
          <cell r="D20" t="str">
            <v>Chile2017Elaboración de productos alimenticios</v>
          </cell>
          <cell r="E20">
            <v>155407.25</v>
          </cell>
          <cell r="F20">
            <v>1855568993.0315907</v>
          </cell>
        </row>
        <row r="21">
          <cell r="D21" t="str">
            <v>Chile2017Fabricación de prendas de vestir</v>
          </cell>
          <cell r="E21">
            <v>26102.75</v>
          </cell>
          <cell r="F21">
            <v>79887217.021222293</v>
          </cell>
        </row>
        <row r="22">
          <cell r="D22" t="str">
            <v>Chile2017Fabricación de productos de cuero y productos conexos</v>
          </cell>
          <cell r="E22">
            <v>6236.25</v>
          </cell>
          <cell r="F22">
            <v>78835530.121149704</v>
          </cell>
        </row>
        <row r="23">
          <cell r="D23" t="str">
            <v>Chile2017Fabricación de vehículos automotores, remolques y semirremolques</v>
          </cell>
          <cell r="E23">
            <v>1155.5</v>
          </cell>
          <cell r="F23">
            <v>18442442.635550343</v>
          </cell>
        </row>
        <row r="24">
          <cell r="D24" t="str">
            <v>Chile2017Producción de películas, videos y programas de televisión, grabación de sonido y edición musical</v>
          </cell>
          <cell r="E24">
            <v>22494</v>
          </cell>
          <cell r="F24">
            <v>30839505.013866384</v>
          </cell>
        </row>
        <row r="25">
          <cell r="D25" t="str">
            <v>Chile2017Programación de computadoras, consultoría y actividades relacionadas</v>
          </cell>
          <cell r="E25">
            <v>228857</v>
          </cell>
          <cell r="F25">
            <v>641044464.30633497</v>
          </cell>
        </row>
        <row r="26">
          <cell r="D26" t="str">
            <v>Chile2018Actividades de edición</v>
          </cell>
          <cell r="E26">
            <v>63409</v>
          </cell>
          <cell r="F26">
            <v>149890454.54548198</v>
          </cell>
        </row>
        <row r="27">
          <cell r="D27" t="str">
            <v>Chile2018Actividades de programación y radiodifusión</v>
          </cell>
          <cell r="E27">
            <v>69744</v>
          </cell>
          <cell r="F27">
            <v>195633698.96396202</v>
          </cell>
        </row>
        <row r="28">
          <cell r="D28" t="str">
            <v>Chile2018Actividades de servicios de información</v>
          </cell>
          <cell r="E28">
            <v>57966</v>
          </cell>
          <cell r="F28">
            <v>187381147.34792203</v>
          </cell>
        </row>
        <row r="29">
          <cell r="D29" t="str">
            <v>Chile2018Comercio al por mayor y al por menor y reparación de vehículos de motor y motocicletas</v>
          </cell>
          <cell r="E29">
            <v>1163244.1826296144</v>
          </cell>
          <cell r="F29">
            <v>1839473970.5561841</v>
          </cell>
        </row>
        <row r="30">
          <cell r="D30" t="str">
            <v>Chile2018Comercio al por mayor, excepto de vehículos de motor y motocicletas</v>
          </cell>
          <cell r="E30">
            <v>3434103.8420046046</v>
          </cell>
          <cell r="F30">
            <v>6668685887.9729185</v>
          </cell>
        </row>
        <row r="31">
          <cell r="D31" t="str">
            <v>Chile2018Comercio al por menor, excepto de vehículos de motor y motocicletas</v>
          </cell>
          <cell r="E31">
            <v>6607377.9480443569</v>
          </cell>
          <cell r="F31">
            <v>5960309451.9005432</v>
          </cell>
        </row>
        <row r="32">
          <cell r="D32" t="str">
            <v>Chile2018Elaboración de productos alimenticios</v>
          </cell>
          <cell r="E32">
            <v>199351</v>
          </cell>
          <cell r="F32">
            <v>2110006072.5781276</v>
          </cell>
        </row>
        <row r="33">
          <cell r="D33" t="str">
            <v>Chile2018Fabricación de prendas de vestir</v>
          </cell>
          <cell r="E33">
            <v>7589</v>
          </cell>
          <cell r="F33">
            <v>74067979.74322246</v>
          </cell>
        </row>
        <row r="34">
          <cell r="D34" t="str">
            <v>Chile2018Fabricación de productos de cuero y productos conexos</v>
          </cell>
          <cell r="E34">
            <v>6350</v>
          </cell>
          <cell r="F34">
            <v>84012193.9578408</v>
          </cell>
        </row>
        <row r="35">
          <cell r="D35" t="str">
            <v>Chile2018Fabricación de vehículos automotores, remolques y semirremolques</v>
          </cell>
          <cell r="E35">
            <v>2143</v>
          </cell>
          <cell r="F35">
            <v>37746538.607640289</v>
          </cell>
        </row>
        <row r="36">
          <cell r="D36" t="str">
            <v>Chile2018Producción de películas, videos y programas de televisión, grabación de sonido y edición musical</v>
          </cell>
          <cell r="E36">
            <v>33703</v>
          </cell>
          <cell r="F36">
            <v>48344274.061239436</v>
          </cell>
        </row>
        <row r="37">
          <cell r="D37" t="str">
            <v>Chile2018Programación de computadoras, consultoría y actividades relacionadas</v>
          </cell>
          <cell r="E37">
            <v>194170</v>
          </cell>
          <cell r="F37">
            <v>668088471.7340349</v>
          </cell>
        </row>
        <row r="38">
          <cell r="D38" t="str">
            <v>Chile2019Actividades de edición</v>
          </cell>
          <cell r="E38">
            <v>40762</v>
          </cell>
          <cell r="F38">
            <v>129852752.43630642</v>
          </cell>
        </row>
        <row r="39">
          <cell r="D39" t="str">
            <v>Chile2019Actividades de programación y radiodifusión</v>
          </cell>
          <cell r="E39">
            <v>55417</v>
          </cell>
          <cell r="F39">
            <v>157662834.49460119</v>
          </cell>
        </row>
        <row r="40">
          <cell r="D40" t="str">
            <v>Chile2019Actividades de servicios de información</v>
          </cell>
          <cell r="E40">
            <v>58359</v>
          </cell>
          <cell r="F40">
            <v>190550671.69246268</v>
          </cell>
        </row>
        <row r="41">
          <cell r="D41" t="str">
            <v>Chile2019Comercio al por mayor y al por menor y reparación de vehículos de motor y motocicletas</v>
          </cell>
          <cell r="E41">
            <v>996897.17690744577</v>
          </cell>
          <cell r="F41">
            <v>1595370245.2815833</v>
          </cell>
        </row>
        <row r="42">
          <cell r="D42" t="str">
            <v>Chile2019Comercio al por mayor, excepto de vehículos de motor y motocicletas</v>
          </cell>
          <cell r="E42">
            <v>2923247.4461379093</v>
          </cell>
          <cell r="F42">
            <v>5854519569.5592613</v>
          </cell>
        </row>
        <row r="43">
          <cell r="D43" t="str">
            <v>Chile2019Comercio al por menor, excepto de vehículos de motor y motocicletas</v>
          </cell>
          <cell r="E43">
            <v>4888129.6885769451</v>
          </cell>
          <cell r="F43">
            <v>5318223200.9883623</v>
          </cell>
        </row>
        <row r="44">
          <cell r="D44" t="str">
            <v>Chile2019Elaboración de productos alimenticios</v>
          </cell>
          <cell r="E44">
            <v>167758</v>
          </cell>
          <cell r="F44">
            <v>2046898707.0248907</v>
          </cell>
        </row>
        <row r="45">
          <cell r="D45" t="str">
            <v>Chile2019Fabricación de prendas de vestir</v>
          </cell>
          <cell r="E45">
            <v>6673</v>
          </cell>
          <cell r="F45">
            <v>62783543.634543635</v>
          </cell>
        </row>
        <row r="46">
          <cell r="D46" t="str">
            <v>Chile2019Fabricación de productos de cuero y productos conexos</v>
          </cell>
          <cell r="E46">
            <v>5140</v>
          </cell>
          <cell r="F46">
            <v>66940501.543639198</v>
          </cell>
        </row>
        <row r="47">
          <cell r="D47" t="str">
            <v>Chile2019Fabricación de vehículos automotores, remolques y semirremolques</v>
          </cell>
          <cell r="E47">
            <v>1538</v>
          </cell>
          <cell r="F47">
            <v>18473140.721843205</v>
          </cell>
        </row>
        <row r="48">
          <cell r="D48" t="str">
            <v>Chile2019Producción de películas, videos y programas de televisión, grabación de sonido y edición musical</v>
          </cell>
          <cell r="E48">
            <v>39876</v>
          </cell>
          <cell r="F48">
            <v>46848236.944726467</v>
          </cell>
        </row>
        <row r="49">
          <cell r="D49" t="str">
            <v>Chile2019Programación de computadoras, consultoría y actividades relacionadas</v>
          </cell>
          <cell r="E49">
            <v>186728</v>
          </cell>
          <cell r="F49">
            <v>494466314.49210656</v>
          </cell>
        </row>
        <row r="50">
          <cell r="D50" t="str">
            <v>Chile2020Actividades de edición</v>
          </cell>
          <cell r="E50">
            <v>49914</v>
          </cell>
          <cell r="F50">
            <v>110819431.1027178</v>
          </cell>
        </row>
        <row r="51">
          <cell r="D51" t="str">
            <v>Chile2020Actividades de programación y radiodifusión</v>
          </cell>
          <cell r="E51">
            <v>47046</v>
          </cell>
          <cell r="F51">
            <v>123605021.05341886</v>
          </cell>
        </row>
        <row r="52">
          <cell r="D52" t="str">
            <v>Chile2020Actividades de servicios de información</v>
          </cell>
          <cell r="E52">
            <v>67536</v>
          </cell>
          <cell r="F52">
            <v>226370445.74529937</v>
          </cell>
        </row>
        <row r="53">
          <cell r="D53" t="str">
            <v>Chile2020Comercio al por mayor y al por menor y reparación de vehículos de motor y motocicletas</v>
          </cell>
          <cell r="E53">
            <v>1049347.4273542541</v>
          </cell>
          <cell r="F53">
            <v>1482262058.3252363</v>
          </cell>
        </row>
        <row r="54">
          <cell r="D54" t="str">
            <v>Chile2020Comercio al por mayor, excepto de vehículos de motor y motocicletas</v>
          </cell>
          <cell r="E54">
            <v>3420807.4508339646</v>
          </cell>
          <cell r="F54">
            <v>5960012166.9037151</v>
          </cell>
        </row>
        <row r="55">
          <cell r="D55" t="str">
            <v>Chile2020Comercio al por menor, excepto de vehículos de motor y motocicletas</v>
          </cell>
          <cell r="E55">
            <v>4905171.4620105159</v>
          </cell>
          <cell r="F55">
            <v>4755279704.9956017</v>
          </cell>
        </row>
        <row r="56">
          <cell r="D56" t="str">
            <v>Chile2020Elaboración de productos alimenticios</v>
          </cell>
          <cell r="E56">
            <v>162764</v>
          </cell>
          <cell r="F56">
            <v>2240289028.6659007</v>
          </cell>
        </row>
        <row r="57">
          <cell r="D57" t="str">
            <v>Chile2020Fabricación de prendas de vestir</v>
          </cell>
          <cell r="E57">
            <v>4408</v>
          </cell>
          <cell r="F57">
            <v>37521298.336932547</v>
          </cell>
        </row>
        <row r="58">
          <cell r="D58" t="str">
            <v>Chile2020Fabricación de productos de cuero y productos conexos</v>
          </cell>
          <cell r="E58">
            <v>1373</v>
          </cell>
          <cell r="F58">
            <v>13119727.593462285</v>
          </cell>
        </row>
        <row r="59">
          <cell r="D59" t="str">
            <v>Chile2020Fabricación de vehículos automotores, remolques y semirremolques</v>
          </cell>
          <cell r="E59">
            <v>1391</v>
          </cell>
          <cell r="F59">
            <v>14422492.267172242</v>
          </cell>
        </row>
        <row r="60">
          <cell r="D60" t="str">
            <v>Chile2020Producción de películas, videos y programas de televisión, grabación de sonido y edición musical</v>
          </cell>
          <cell r="E60">
            <v>33864</v>
          </cell>
          <cell r="F60">
            <v>27722497.513400491</v>
          </cell>
        </row>
        <row r="61">
          <cell r="D61" t="str">
            <v>Chile2020Programación de computadoras, consultoría y actividades relacionadas</v>
          </cell>
          <cell r="E61">
            <v>221833</v>
          </cell>
          <cell r="F61">
            <v>532273945.88131046</v>
          </cell>
        </row>
        <row r="62">
          <cell r="D62" t="str">
            <v>Chile2021Actividades de edición</v>
          </cell>
          <cell r="E62">
            <v>92111</v>
          </cell>
          <cell r="F62">
            <v>180760345.0092178</v>
          </cell>
        </row>
        <row r="63">
          <cell r="D63" t="str">
            <v>Chile2021Actividades de programación y radiodifusión</v>
          </cell>
          <cell r="E63">
            <v>59201</v>
          </cell>
          <cell r="F63">
            <v>115212350.53989989</v>
          </cell>
        </row>
        <row r="64">
          <cell r="D64" t="str">
            <v>Chile2021Actividades de servicios de información</v>
          </cell>
          <cell r="E64">
            <v>337733</v>
          </cell>
          <cell r="F64">
            <v>1260202210.9560182</v>
          </cell>
        </row>
        <row r="65">
          <cell r="D65" t="str">
            <v>Chile2021Actividades inmobiliarias</v>
          </cell>
          <cell r="E65">
            <v>369538</v>
          </cell>
          <cell r="F65">
            <v>629835068.47511172</v>
          </cell>
        </row>
        <row r="66">
          <cell r="D66" t="str">
            <v>Chile2021Comercio al por mayor y al por menor y reparación de vehículos de motor y motocicletas</v>
          </cell>
          <cell r="E66">
            <v>1158227.6434693737</v>
          </cell>
          <cell r="F66">
            <v>1909026634.5904944</v>
          </cell>
        </row>
        <row r="67">
          <cell r="D67" t="str">
            <v>Chile2021Comercio al por mayor, excepto de vehículos de motor y motocicletas</v>
          </cell>
          <cell r="E67">
            <v>3593142.8100439375</v>
          </cell>
          <cell r="F67">
            <v>6705212050.256834</v>
          </cell>
        </row>
        <row r="68">
          <cell r="D68" t="str">
            <v>Chile2021Comercio al por menor, excepto de vehículos de motor y motocicletas</v>
          </cell>
          <cell r="E68">
            <v>5306320.596839915</v>
          </cell>
          <cell r="F68">
            <v>6133529534.1104908</v>
          </cell>
        </row>
        <row r="69">
          <cell r="D69" t="str">
            <v>Chile2021Elaboración de productos alimenticios</v>
          </cell>
          <cell r="E69">
            <v>184026</v>
          </cell>
          <cell r="F69">
            <v>10798141188.043196</v>
          </cell>
        </row>
        <row r="70">
          <cell r="D70" t="str">
            <v>Chile2021Fabricación de prendas de vestir</v>
          </cell>
          <cell r="E70">
            <v>3398</v>
          </cell>
          <cell r="F70">
            <v>31451189.096655257</v>
          </cell>
        </row>
        <row r="71">
          <cell r="D71" t="str">
            <v>Chile2021Fabricación de productos de cuero y productos conexos</v>
          </cell>
          <cell r="E71">
            <v>1111</v>
          </cell>
          <cell r="F71">
            <v>14658754.279694496</v>
          </cell>
        </row>
        <row r="72">
          <cell r="D72" t="str">
            <v>Chile2021Fabricación de vehículos automotores, remolques y semirremolques</v>
          </cell>
          <cell r="E72">
            <v>1079</v>
          </cell>
          <cell r="F72">
            <v>13159500.921780352</v>
          </cell>
        </row>
        <row r="73">
          <cell r="D73" t="str">
            <v>Chile2021Producción de películas, videos y programas de televisión, grabación de sonido y edición musical</v>
          </cell>
          <cell r="E73">
            <v>78229</v>
          </cell>
          <cell r="F73">
            <v>91040878.324993402</v>
          </cell>
        </row>
        <row r="74">
          <cell r="D74" t="str">
            <v>Chile2021Programación de computadoras, consultoría y actividades relacionadas</v>
          </cell>
          <cell r="E74">
            <v>757503</v>
          </cell>
          <cell r="F74">
            <v>1455845242.2965498</v>
          </cell>
        </row>
        <row r="75">
          <cell r="D75" t="str">
            <v>Chile2022Actividades de edición</v>
          </cell>
          <cell r="E75">
            <v>154394.11568389335</v>
          </cell>
          <cell r="F75">
            <v>253493406.74789873</v>
          </cell>
        </row>
        <row r="76">
          <cell r="D76" t="str">
            <v>Chile2022Actividades de programación y radiodifusión</v>
          </cell>
          <cell r="E76">
            <v>183737.58760725078</v>
          </cell>
          <cell r="F76">
            <v>251279689.64149937</v>
          </cell>
        </row>
        <row r="77">
          <cell r="D77" t="str">
            <v>Chile2022Actividades de servicios de información</v>
          </cell>
          <cell r="E77">
            <v>432646.94147013145</v>
          </cell>
          <cell r="F77">
            <v>752225114.69348288</v>
          </cell>
        </row>
        <row r="78">
          <cell r="D78" t="str">
            <v>Chile2022Actividades inmobiliarias</v>
          </cell>
          <cell r="E78">
            <v>2307037.4088631864</v>
          </cell>
          <cell r="F78">
            <v>2386512787.3421354</v>
          </cell>
        </row>
        <row r="79">
          <cell r="D79" t="str">
            <v>Chile2022Comercio al por mayor y al por menor y reparación de vehículos de motor y motocicletas</v>
          </cell>
          <cell r="E79">
            <v>1237926.9388704519</v>
          </cell>
          <cell r="F79">
            <v>2157606549.840086</v>
          </cell>
        </row>
        <row r="80">
          <cell r="D80" t="str">
            <v>Chile2022Comercio al por mayor, excepto de vehículos de motor y motocicletas</v>
          </cell>
          <cell r="E80">
            <v>5249696.3103908431</v>
          </cell>
          <cell r="F80">
            <v>9432152730.7521305</v>
          </cell>
        </row>
        <row r="81">
          <cell r="D81" t="str">
            <v>Chile2022Comercio al por menor, excepto de vehículos de motor y motocicletas</v>
          </cell>
          <cell r="E81">
            <v>6235010.3028737735</v>
          </cell>
          <cell r="F81">
            <v>6951399254.0433617</v>
          </cell>
        </row>
        <row r="82">
          <cell r="D82" t="str">
            <v>Chile2022Elaboración de productos alimenticios</v>
          </cell>
          <cell r="E82">
            <v>169707</v>
          </cell>
          <cell r="F82">
            <v>5495174275.229352</v>
          </cell>
        </row>
        <row r="83">
          <cell r="D83" t="str">
            <v>Chile2022Fabricación de prendas de vestir</v>
          </cell>
          <cell r="E83">
            <v>2743</v>
          </cell>
          <cell r="F83">
            <v>26554167.431192655</v>
          </cell>
        </row>
        <row r="84">
          <cell r="D84" t="str">
            <v>Chile2022Fabricación de productos de cuero y productos conexos</v>
          </cell>
          <cell r="E84">
            <v>1044</v>
          </cell>
          <cell r="F84">
            <v>15117169.724770643</v>
          </cell>
        </row>
        <row r="85">
          <cell r="D85" t="str">
            <v>Chile2022Fabricación de vehículos automotores, remolques y semirremolques</v>
          </cell>
          <cell r="E85">
            <v>792</v>
          </cell>
          <cell r="F85">
            <v>11261675.458715595</v>
          </cell>
        </row>
        <row r="86">
          <cell r="D86" t="str">
            <v>Chile2022Producción de películas, videos y programas de televisión, grabación de sonido y edición musical</v>
          </cell>
          <cell r="E86">
            <v>253206.02310696692</v>
          </cell>
          <cell r="F86">
            <v>313756483.13832045</v>
          </cell>
        </row>
        <row r="87">
          <cell r="D87" t="str">
            <v>Chile2022Programación de computadoras, consultoría y actividades relacionadas</v>
          </cell>
          <cell r="E87">
            <v>2252775.0837650578</v>
          </cell>
          <cell r="F87">
            <v>3965291509.9639988</v>
          </cell>
        </row>
        <row r="88">
          <cell r="D88" t="str">
            <v>México2016Actividades de edición</v>
          </cell>
          <cell r="E88">
            <v>22825</v>
          </cell>
          <cell r="F88">
            <v>220813878.01063275</v>
          </cell>
        </row>
        <row r="89">
          <cell r="D89" t="str">
            <v>México2016Actividades de programación y radiodifusión</v>
          </cell>
          <cell r="E89">
            <v>11875</v>
          </cell>
          <cell r="F89">
            <v>19044636.147818878</v>
          </cell>
        </row>
        <row r="90">
          <cell r="D90" t="str">
            <v>México2016Actividades de servicios de información</v>
          </cell>
          <cell r="E90">
            <v>7056</v>
          </cell>
          <cell r="F90">
            <v>68217607.192433596</v>
          </cell>
        </row>
        <row r="91">
          <cell r="D91" t="str">
            <v>México2016Actividades inmobiliarias</v>
          </cell>
          <cell r="E91">
            <v>46261</v>
          </cell>
          <cell r="F91">
            <v>8535.1212022037034</v>
          </cell>
        </row>
        <row r="92">
          <cell r="D92" t="str">
            <v>México2016Comercio al por mayor y al por menor y reparación de vehículos de motor y motocicletas</v>
          </cell>
          <cell r="E92">
            <v>626743</v>
          </cell>
          <cell r="F92">
            <v>1161811092.3535299</v>
          </cell>
        </row>
        <row r="93">
          <cell r="D93" t="str">
            <v>México2016Comercio al por mayor, excepto de vehículos de motor y motocicletas</v>
          </cell>
          <cell r="E93">
            <v>779287</v>
          </cell>
          <cell r="F93">
            <v>2789917716.1808777</v>
          </cell>
        </row>
        <row r="94">
          <cell r="D94" t="str">
            <v>México2016Comercio al por menor, excepto de vehículos de motor y motocicletas</v>
          </cell>
          <cell r="E94">
            <v>10329645</v>
          </cell>
          <cell r="F94">
            <v>7841246977.814312</v>
          </cell>
        </row>
        <row r="95">
          <cell r="D95" t="str">
            <v>México2016Elaboración de productos alimenticios</v>
          </cell>
          <cell r="E95">
            <v>1514326</v>
          </cell>
          <cell r="F95">
            <v>3182136057.4044504</v>
          </cell>
        </row>
        <row r="96">
          <cell r="D96" t="str">
            <v>México2016Fabricación de prendas de vestir</v>
          </cell>
          <cell r="E96">
            <v>300804</v>
          </cell>
          <cell r="F96">
            <v>695476716.16614306</v>
          </cell>
        </row>
        <row r="97">
          <cell r="D97" t="str">
            <v>México2016Fabricación de productos de cuero y productos conexos</v>
          </cell>
          <cell r="E97">
            <v>145519</v>
          </cell>
          <cell r="F97">
            <v>383565399.98669457</v>
          </cell>
        </row>
        <row r="98">
          <cell r="D98" t="str">
            <v>México2016Fabricación de vehículos automotores, remolques y semirremolques</v>
          </cell>
          <cell r="E98">
            <v>169653</v>
          </cell>
          <cell r="F98">
            <v>1334431212.9328787</v>
          </cell>
        </row>
        <row r="99">
          <cell r="D99" t="str">
            <v>México2016Producción de películas, videos y programas de televisión, grabación de sonido y edición musical</v>
          </cell>
          <cell r="E99">
            <v>27371</v>
          </cell>
          <cell r="F99">
            <v>140074385.39403054</v>
          </cell>
        </row>
        <row r="100">
          <cell r="D100" t="str">
            <v>México2016Telecomunicaciones</v>
          </cell>
          <cell r="E100">
            <v>115660</v>
          </cell>
          <cell r="F100">
            <v>2401698623.0665274</v>
          </cell>
        </row>
        <row r="101">
          <cell r="D101" t="str">
            <v>México2017Actividades de edición</v>
          </cell>
          <cell r="E101">
            <v>20196</v>
          </cell>
          <cell r="F101">
            <v>212497638.67448747</v>
          </cell>
        </row>
        <row r="102">
          <cell r="D102" t="str">
            <v>México2017Actividades de programación y radiodifusión</v>
          </cell>
          <cell r="E102">
            <v>11053</v>
          </cell>
          <cell r="F102">
            <v>18563563.818311349</v>
          </cell>
        </row>
        <row r="103">
          <cell r="D103" t="str">
            <v>México2017Actividades de servicios de información</v>
          </cell>
          <cell r="E103">
            <v>7409</v>
          </cell>
          <cell r="F103">
            <v>80258424.02766487</v>
          </cell>
        </row>
        <row r="104">
          <cell r="D104" t="str">
            <v>México2017Actividades inmobiliarias</v>
          </cell>
          <cell r="E104">
            <v>43166</v>
          </cell>
          <cell r="F104">
            <v>7825.0003742544604</v>
          </cell>
        </row>
        <row r="105">
          <cell r="D105" t="str">
            <v>México2017Comercio al por mayor y al por menor y reparación de vehículos de motor y motocicletas</v>
          </cell>
          <cell r="E105">
            <v>639743</v>
          </cell>
          <cell r="F105">
            <v>1219657711.2710474</v>
          </cell>
        </row>
        <row r="106">
          <cell r="D106" t="str">
            <v>México2017Comercio al por mayor, excepto de vehículos de motor y motocicletas</v>
          </cell>
          <cell r="E106">
            <v>795803</v>
          </cell>
          <cell r="F106">
            <v>2838695093.568018</v>
          </cell>
        </row>
        <row r="107">
          <cell r="D107" t="str">
            <v>México2017Comercio al por menor, excepto de vehículos de motor y motocicletas</v>
          </cell>
          <cell r="E107">
            <v>10526777</v>
          </cell>
          <cell r="F107">
            <v>8200988524.91786</v>
          </cell>
        </row>
        <row r="108">
          <cell r="D108" t="str">
            <v>México2017Elaboración de productos alimenticios</v>
          </cell>
          <cell r="E108">
            <v>1530819</v>
          </cell>
          <cell r="F108">
            <v>3321887545.7801256</v>
          </cell>
        </row>
        <row r="109">
          <cell r="D109" t="str">
            <v>México2017Fabricación de prendas de vestir</v>
          </cell>
          <cell r="E109">
            <v>293431</v>
          </cell>
          <cell r="F109">
            <v>714279137.47114933</v>
          </cell>
        </row>
        <row r="110">
          <cell r="D110" t="str">
            <v>México2017Fabricación de productos de cuero y productos conexos</v>
          </cell>
          <cell r="E110">
            <v>115282</v>
          </cell>
          <cell r="F110">
            <v>297546669.53154784</v>
          </cell>
        </row>
        <row r="111">
          <cell r="D111" t="str">
            <v>México2017Fabricación de vehículos automotores, remolques y semirremolques</v>
          </cell>
          <cell r="E111">
            <v>188879</v>
          </cell>
          <cell r="F111">
            <v>1527475261.7799895</v>
          </cell>
        </row>
        <row r="112">
          <cell r="D112" t="str">
            <v>México2017Producción de películas, videos y programas de televisión, grabación de sonido y edición musical</v>
          </cell>
          <cell r="E112">
            <v>31317</v>
          </cell>
          <cell r="F112">
            <v>156936215.59170502</v>
          </cell>
        </row>
        <row r="113">
          <cell r="D113" t="str">
            <v>México2017Telecomunicaciones</v>
          </cell>
          <cell r="E113">
            <v>116930</v>
          </cell>
          <cell r="F113">
            <v>2479628794.1697321</v>
          </cell>
        </row>
        <row r="114">
          <cell r="D114" t="str">
            <v>México2018Actividades de edición</v>
          </cell>
          <cell r="E114">
            <v>69541</v>
          </cell>
          <cell r="F114">
            <v>330405378.89708698</v>
          </cell>
        </row>
        <row r="115">
          <cell r="D115" t="str">
            <v>México2018Actividades de programación y radiodifusión</v>
          </cell>
          <cell r="E115">
            <v>19805</v>
          </cell>
          <cell r="F115">
            <v>69789604.823235899</v>
          </cell>
        </row>
        <row r="116">
          <cell r="D116" t="str">
            <v>México2018Actividades de servicios de información</v>
          </cell>
          <cell r="E116">
            <v>32537</v>
          </cell>
          <cell r="F116">
            <v>190278267.9410961</v>
          </cell>
        </row>
        <row r="117">
          <cell r="D117" t="str">
            <v>México2018Actividades inmobiliarias</v>
          </cell>
          <cell r="E117">
            <v>32700</v>
          </cell>
          <cell r="F117">
            <v>4900.1416433661661</v>
          </cell>
        </row>
        <row r="118">
          <cell r="D118" t="str">
            <v>México2018Comercio al por mayor y al por menor y reparación de vehículos de motor y motocicletas</v>
          </cell>
          <cell r="E118">
            <v>619508</v>
          </cell>
          <cell r="F118">
            <v>1288408740.0582247</v>
          </cell>
        </row>
        <row r="119">
          <cell r="D119" t="str">
            <v>México2018Comercio al por mayor, excepto de vehículos de motor y motocicletas</v>
          </cell>
          <cell r="E119">
            <v>796950</v>
          </cell>
          <cell r="F119">
            <v>3070771971.5015793</v>
          </cell>
        </row>
        <row r="120">
          <cell r="D120" t="str">
            <v>México2018Comercio al por menor, excepto de vehículos de motor y motocicletas</v>
          </cell>
          <cell r="E120">
            <v>10485862</v>
          </cell>
          <cell r="F120">
            <v>9396277624.4619064</v>
          </cell>
        </row>
        <row r="121">
          <cell r="D121" t="str">
            <v>México2018Elaboración de productos alimenticios</v>
          </cell>
          <cell r="E121">
            <v>1527231</v>
          </cell>
          <cell r="F121">
            <v>3468481601.3018532</v>
          </cell>
        </row>
        <row r="122">
          <cell r="D122" t="str">
            <v>México2018Fabricación de prendas de vestir</v>
          </cell>
          <cell r="E122">
            <v>287226</v>
          </cell>
          <cell r="F122">
            <v>725403562.3458147</v>
          </cell>
        </row>
        <row r="123">
          <cell r="D123" t="str">
            <v>México2018Fabricación de productos de cuero y productos conexos</v>
          </cell>
          <cell r="E123">
            <v>111507</v>
          </cell>
          <cell r="F123">
            <v>300704336.90249205</v>
          </cell>
        </row>
        <row r="124">
          <cell r="D124" t="str">
            <v>México2018Fabricación de vehículos automotores, remolques y semirremolques</v>
          </cell>
          <cell r="E124">
            <v>202555</v>
          </cell>
          <cell r="F124">
            <v>1728965249.9587536</v>
          </cell>
        </row>
        <row r="125">
          <cell r="D125" t="str">
            <v>México2018Producción de películas, videos y programas de televisión, grabación de sonido y edición musical</v>
          </cell>
          <cell r="E125">
            <v>105004</v>
          </cell>
          <cell r="F125">
            <v>295897209.61269557</v>
          </cell>
        </row>
        <row r="126">
          <cell r="D126" t="str">
            <v>México2018Telecomunicaciones</v>
          </cell>
          <cell r="E126">
            <v>209511</v>
          </cell>
          <cell r="F126">
            <v>2417751295.7271848</v>
          </cell>
        </row>
        <row r="127">
          <cell r="D127" t="str">
            <v>México2019Actividades de edición</v>
          </cell>
          <cell r="E127">
            <v>64573</v>
          </cell>
          <cell r="F127">
            <v>317818393.55331028</v>
          </cell>
        </row>
        <row r="128">
          <cell r="D128" t="str">
            <v>México2019Actividades de programación y radiodifusión</v>
          </cell>
          <cell r="E128">
            <v>19424</v>
          </cell>
          <cell r="F128">
            <v>67219043.136549175</v>
          </cell>
        </row>
        <row r="129">
          <cell r="D129" t="str">
            <v>México2019Actividades de servicios de información</v>
          </cell>
          <cell r="E129">
            <v>33598</v>
          </cell>
          <cell r="F129">
            <v>172821447.6673663</v>
          </cell>
        </row>
        <row r="130">
          <cell r="D130" t="str">
            <v>México2019Actividades inmobiliarias</v>
          </cell>
          <cell r="E130">
            <v>31016</v>
          </cell>
          <cell r="F130">
            <v>5616.8012610982014</v>
          </cell>
        </row>
        <row r="131">
          <cell r="D131" t="str">
            <v>México2019Comercio al por mayor y al por menor y reparación de vehículos de motor y motocicletas</v>
          </cell>
          <cell r="E131">
            <v>677213</v>
          </cell>
          <cell r="F131">
            <v>1382194913.0399423</v>
          </cell>
        </row>
        <row r="132">
          <cell r="D132" t="str">
            <v>México2019Comercio al por mayor, excepto de vehículos de motor y motocicletas</v>
          </cell>
          <cell r="E132">
            <v>836354</v>
          </cell>
          <cell r="F132">
            <v>3171634703.733633</v>
          </cell>
        </row>
        <row r="133">
          <cell r="D133" t="str">
            <v>México2019Comercio al por menor, excepto de vehículos de motor y motocicletas</v>
          </cell>
          <cell r="E133">
            <v>10970443</v>
          </cell>
          <cell r="F133">
            <v>10563407093.504343</v>
          </cell>
        </row>
        <row r="134">
          <cell r="D134" t="str">
            <v>México2019Elaboración de productos alimenticios</v>
          </cell>
          <cell r="E134">
            <v>1532903</v>
          </cell>
          <cell r="F134">
            <v>3724023540.038312</v>
          </cell>
        </row>
        <row r="135">
          <cell r="D135" t="str">
            <v>México2019Fabricación de prendas de vestir</v>
          </cell>
          <cell r="E135">
            <v>281777</v>
          </cell>
          <cell r="F135">
            <v>743275879.07438719</v>
          </cell>
        </row>
        <row r="136">
          <cell r="D136" t="str">
            <v>México2019Fabricación de productos de cuero y productos conexos</v>
          </cell>
          <cell r="E136">
            <v>135631</v>
          </cell>
          <cell r="F136">
            <v>411119847.58846122</v>
          </cell>
        </row>
        <row r="137">
          <cell r="D137" t="str">
            <v>México2019Fabricación de vehículos automotores, remolques y semirremolques</v>
          </cell>
          <cell r="E137">
            <v>211913</v>
          </cell>
          <cell r="F137">
            <v>1877583650.7131743</v>
          </cell>
        </row>
        <row r="138">
          <cell r="D138" t="str">
            <v>México2019Producción de películas, videos y programas de televisión, grabación de sonido y edición musical</v>
          </cell>
          <cell r="E138">
            <v>105899</v>
          </cell>
          <cell r="F138">
            <v>328514610.43174618</v>
          </cell>
        </row>
        <row r="139">
          <cell r="D139" t="str">
            <v>México2019Telecomunicaciones</v>
          </cell>
          <cell r="E139">
            <v>190058</v>
          </cell>
          <cell r="F139">
            <v>2528579015.0352402</v>
          </cell>
        </row>
        <row r="140">
          <cell r="D140" t="str">
            <v>México2020Actividades de edición</v>
          </cell>
          <cell r="E140">
            <v>52341</v>
          </cell>
          <cell r="F140">
            <v>267417236.2662915</v>
          </cell>
        </row>
        <row r="141">
          <cell r="D141" t="str">
            <v>México2020Actividades de programación y radiodifusión</v>
          </cell>
          <cell r="E141">
            <v>17655</v>
          </cell>
          <cell r="F141">
            <v>47328099.080275834</v>
          </cell>
        </row>
        <row r="142">
          <cell r="D142" t="str">
            <v>México2020Actividades de servicios de información</v>
          </cell>
          <cell r="E142">
            <v>32338</v>
          </cell>
          <cell r="F142">
            <v>177889633.87507841</v>
          </cell>
        </row>
        <row r="143">
          <cell r="D143" t="str">
            <v>México2020Actividades inmobiliarias</v>
          </cell>
          <cell r="E143">
            <v>30241</v>
          </cell>
          <cell r="F143">
            <v>5259.3344459644113</v>
          </cell>
        </row>
        <row r="144">
          <cell r="D144" t="str">
            <v>México2020Comercio al por mayor y al por menor y reparación de vehículos de motor y motocicletas</v>
          </cell>
          <cell r="E144">
            <v>647030</v>
          </cell>
          <cell r="F144">
            <v>1267076760.2965243</v>
          </cell>
        </row>
        <row r="145">
          <cell r="D145" t="str">
            <v>México2020Comercio al por mayor, excepto de vehículos de motor y motocicletas</v>
          </cell>
          <cell r="E145">
            <v>826762</v>
          </cell>
          <cell r="F145">
            <v>2960615776.5294828</v>
          </cell>
        </row>
        <row r="146">
          <cell r="D146" t="str">
            <v>México2020Comercio al por menor, excepto de vehículos de motor y motocicletas</v>
          </cell>
          <cell r="E146">
            <v>10905282</v>
          </cell>
          <cell r="F146">
            <v>10200088757.086624</v>
          </cell>
        </row>
        <row r="147">
          <cell r="D147" t="str">
            <v>México2020Elaboración de productos alimenticios</v>
          </cell>
          <cell r="E147">
            <v>1544683</v>
          </cell>
          <cell r="F147">
            <v>3496697502.5530648</v>
          </cell>
        </row>
        <row r="148">
          <cell r="D148" t="str">
            <v>México2020Fabricación de prendas de vestir</v>
          </cell>
          <cell r="E148">
            <v>245100</v>
          </cell>
          <cell r="F148">
            <v>584450335.55407059</v>
          </cell>
        </row>
        <row r="149">
          <cell r="D149" t="str">
            <v>México2020Fabricación de productos de cuero y productos conexos</v>
          </cell>
          <cell r="E149">
            <v>117713</v>
          </cell>
          <cell r="F149">
            <v>325589524.46075344</v>
          </cell>
        </row>
        <row r="150">
          <cell r="D150" t="str">
            <v>México2020Fabricación de vehículos automotores, remolques y semirremolques</v>
          </cell>
          <cell r="E150">
            <v>199331</v>
          </cell>
          <cell r="F150">
            <v>1661105491.932003</v>
          </cell>
        </row>
        <row r="151">
          <cell r="D151" t="str">
            <v>México2020Producción de películas, videos y programas de televisión, grabación de sonido y edición musical</v>
          </cell>
          <cell r="E151">
            <v>79920</v>
          </cell>
          <cell r="F151">
            <v>255930710.20795709</v>
          </cell>
        </row>
        <row r="152">
          <cell r="D152" t="str">
            <v>México2020Telecomunicaciones</v>
          </cell>
          <cell r="E152">
            <v>185533</v>
          </cell>
          <cell r="F152">
            <v>2147080514.747663</v>
          </cell>
        </row>
        <row r="153">
          <cell r="D153" t="str">
            <v>México2021Actividades de edición</v>
          </cell>
          <cell r="E153">
            <v>61542</v>
          </cell>
          <cell r="F153">
            <v>341982413.7931034</v>
          </cell>
        </row>
        <row r="154">
          <cell r="D154" t="str">
            <v>México2021Actividades de programación y radiodifusión</v>
          </cell>
          <cell r="E154">
            <v>18258</v>
          </cell>
          <cell r="F154">
            <v>78615221.674876839</v>
          </cell>
        </row>
        <row r="155">
          <cell r="D155" t="str">
            <v>México2021Actividades de servicios de información</v>
          </cell>
          <cell r="E155">
            <v>27347</v>
          </cell>
          <cell r="F155">
            <v>190569113.30049261</v>
          </cell>
        </row>
        <row r="156">
          <cell r="D156" t="str">
            <v>México2021Actividades inmobiliarias</v>
          </cell>
          <cell r="E156">
            <v>32762</v>
          </cell>
          <cell r="F156">
            <v>5773.3990147783252</v>
          </cell>
        </row>
        <row r="157">
          <cell r="D157" t="str">
            <v>México2021Comercio al por mayor y al por menor y reparación de vehículos de motor y motocicletas</v>
          </cell>
          <cell r="E157">
            <v>690111</v>
          </cell>
          <cell r="F157">
            <v>1768841083.7438426</v>
          </cell>
        </row>
        <row r="158">
          <cell r="D158" t="str">
            <v>México2021Comercio al por mayor, excepto de vehículos de motor y motocicletas</v>
          </cell>
          <cell r="E158">
            <v>929065</v>
          </cell>
          <cell r="F158">
            <v>4780599162.5615759</v>
          </cell>
        </row>
        <row r="159">
          <cell r="D159" t="str">
            <v>México2021Comercio al por menor, excepto de vehículos de motor y motocicletas</v>
          </cell>
          <cell r="E159">
            <v>11259190</v>
          </cell>
          <cell r="F159">
            <v>16308081970.443346</v>
          </cell>
        </row>
        <row r="160">
          <cell r="D160" t="str">
            <v>México2021Elaboración de productos alimenticios</v>
          </cell>
          <cell r="E160">
            <v>1629483</v>
          </cell>
          <cell r="F160">
            <v>4554496403.9408865</v>
          </cell>
        </row>
        <row r="161">
          <cell r="D161" t="str">
            <v>México2021Fabricación de prendas de vestir</v>
          </cell>
          <cell r="E161">
            <v>238755</v>
          </cell>
          <cell r="F161">
            <v>687144285.71428573</v>
          </cell>
        </row>
        <row r="162">
          <cell r="D162" t="str">
            <v>México2021Fabricación de productos de cuero y productos conexos</v>
          </cell>
          <cell r="E162">
            <v>117383</v>
          </cell>
          <cell r="F162">
            <v>398176206.89655173</v>
          </cell>
        </row>
        <row r="163">
          <cell r="D163" t="str">
            <v>México2021Fabricación de vehículos automotores, remolques y semirremolques</v>
          </cell>
          <cell r="E163">
            <v>213522</v>
          </cell>
          <cell r="F163">
            <v>1936239507.3891625</v>
          </cell>
        </row>
        <row r="164">
          <cell r="D164" t="str">
            <v>México2021Producción de películas, videos y programas de televisión, grabación de sonido y edición musical</v>
          </cell>
          <cell r="E164">
            <v>67492</v>
          </cell>
          <cell r="F164">
            <v>195304384.23645321</v>
          </cell>
        </row>
        <row r="165">
          <cell r="D165" t="str">
            <v>México2021Telecomunicaciones</v>
          </cell>
          <cell r="E165">
            <v>183929</v>
          </cell>
          <cell r="F165">
            <v>2161597339.9014769</v>
          </cell>
        </row>
        <row r="166">
          <cell r="D166" t="str">
            <v>México2022Actividades de edición</v>
          </cell>
          <cell r="E166">
            <v>58171</v>
          </cell>
          <cell r="F166">
            <v>361914129.35323381</v>
          </cell>
        </row>
        <row r="167">
          <cell r="D167" t="str">
            <v>México2022Actividades de programación y radiodifusión</v>
          </cell>
          <cell r="E167">
            <v>20651</v>
          </cell>
          <cell r="F167">
            <v>98359850.74626866</v>
          </cell>
        </row>
        <row r="168">
          <cell r="D168" t="str">
            <v>México2022Actividades de servicios de información</v>
          </cell>
          <cell r="E168">
            <v>31034</v>
          </cell>
          <cell r="F168">
            <v>243947512.4378109</v>
          </cell>
        </row>
        <row r="169">
          <cell r="D169" t="str">
            <v>México2022Actividades inmobiliarias</v>
          </cell>
          <cell r="E169">
            <v>233590</v>
          </cell>
          <cell r="F169">
            <v>720259502.48756218</v>
          </cell>
        </row>
        <row r="170">
          <cell r="D170" t="str">
            <v>México2022Comercio al por mayor y al por menor y reparación de vehículos de motor y motocicletas</v>
          </cell>
          <cell r="E170">
            <v>798926</v>
          </cell>
          <cell r="F170">
            <v>2912267412.9353232</v>
          </cell>
        </row>
        <row r="171">
          <cell r="D171" t="str">
            <v>México2022Comercio al por mayor, excepto de vehículos de motor y motocicletas</v>
          </cell>
          <cell r="E171">
            <v>3193288</v>
          </cell>
          <cell r="F171">
            <v>15750097213.930346</v>
          </cell>
        </row>
        <row r="172">
          <cell r="D172" t="str">
            <v>México2022Comercio al por menor, excepto de vehículos de motor y motocicletas</v>
          </cell>
          <cell r="E172">
            <v>11372828</v>
          </cell>
          <cell r="F172">
            <v>20629000746.268658</v>
          </cell>
        </row>
        <row r="173">
          <cell r="D173" t="str">
            <v>México2022Elaboración de productos alimenticios</v>
          </cell>
          <cell r="E173">
            <v>1752058</v>
          </cell>
          <cell r="F173">
            <v>6101304776.1194019</v>
          </cell>
        </row>
        <row r="174">
          <cell r="D174" t="str">
            <v>México2022Fabricación de prendas de vestir</v>
          </cell>
          <cell r="E174">
            <v>501642</v>
          </cell>
          <cell r="F174">
            <v>1222573432.8358212</v>
          </cell>
        </row>
        <row r="175">
          <cell r="D175" t="str">
            <v>México2022Fabricación de productos de cuero y productos conexos</v>
          </cell>
          <cell r="E175">
            <v>263961</v>
          </cell>
          <cell r="F175">
            <v>804674626.86567152</v>
          </cell>
        </row>
        <row r="176">
          <cell r="D176" t="str">
            <v>México2022Fabricación de vehículos automotores, remolques y semirremolques</v>
          </cell>
          <cell r="E176">
            <v>232248</v>
          </cell>
          <cell r="F176">
            <v>2579074527.363183</v>
          </cell>
        </row>
        <row r="177">
          <cell r="D177" t="str">
            <v>México2022Producción de películas, videos y programas de televisión, grabación de sonido y edición musical</v>
          </cell>
          <cell r="E177">
            <v>75508</v>
          </cell>
          <cell r="F177">
            <v>274055024.87562191</v>
          </cell>
        </row>
        <row r="178">
          <cell r="D178" t="str">
            <v>México2022Telecomunicaciones</v>
          </cell>
          <cell r="E178">
            <v>156974</v>
          </cell>
          <cell r="F178">
            <v>2364631542.2885571</v>
          </cell>
        </row>
        <row r="179">
          <cell r="D179" t="str">
            <v>México2023Actividades de edición</v>
          </cell>
          <cell r="E179">
            <v>54436</v>
          </cell>
          <cell r="F179">
            <v>399322146.89265537</v>
          </cell>
        </row>
        <row r="180">
          <cell r="D180" t="str">
            <v>México2023Actividades de programación y radiodifusión</v>
          </cell>
          <cell r="E180">
            <v>19531</v>
          </cell>
          <cell r="F180">
            <v>125353898.30508479</v>
          </cell>
        </row>
        <row r="181">
          <cell r="D181" t="str">
            <v>México2023Actividades de servicios de información</v>
          </cell>
          <cell r="E181">
            <v>27592</v>
          </cell>
          <cell r="F181">
            <v>349095819.20903963</v>
          </cell>
        </row>
        <row r="182">
          <cell r="D182" t="str">
            <v>México2023Actividades inmobiliarias</v>
          </cell>
          <cell r="E182">
            <v>248768</v>
          </cell>
          <cell r="F182">
            <v>920973220.33898306</v>
          </cell>
        </row>
        <row r="183">
          <cell r="D183" t="str">
            <v>México2023Comercio al por mayor y al por menor y reparación de vehículos de motor y motocicletas</v>
          </cell>
          <cell r="E183">
            <v>782384</v>
          </cell>
          <cell r="F183">
            <v>4014665988.7005644</v>
          </cell>
        </row>
        <row r="184">
          <cell r="D184" t="str">
            <v>México2023Comercio al por mayor, excepto de vehículos de motor y motocicletas</v>
          </cell>
          <cell r="E184">
            <v>3200365</v>
          </cell>
          <cell r="F184">
            <v>21815014915.254242</v>
          </cell>
        </row>
        <row r="185">
          <cell r="D185" t="str">
            <v>México2023Comercio al por menor, excepto de vehículos de motor y motocicletas</v>
          </cell>
          <cell r="E185">
            <v>11474124</v>
          </cell>
          <cell r="F185">
            <v>28973371242.937851</v>
          </cell>
        </row>
        <row r="186">
          <cell r="D186" t="str">
            <v>México2023Elaboración de productos alimenticios</v>
          </cell>
          <cell r="E186">
            <v>1756559</v>
          </cell>
          <cell r="F186">
            <v>7484435649.717515</v>
          </cell>
        </row>
        <row r="187">
          <cell r="D187" t="str">
            <v>México2023Fabricación de prendas de vestir</v>
          </cell>
          <cell r="E187">
            <v>508228</v>
          </cell>
          <cell r="F187">
            <v>1423187627.1186442</v>
          </cell>
        </row>
        <row r="188">
          <cell r="D188" t="str">
            <v>México2023Fabricación de productos de cuero y productos conexos</v>
          </cell>
          <cell r="E188">
            <v>266257</v>
          </cell>
          <cell r="F188">
            <v>996483785.31073451</v>
          </cell>
        </row>
        <row r="189">
          <cell r="D189" t="str">
            <v>México2023Fabricación de vehículos automotores, remolques y semirremolques</v>
          </cell>
          <cell r="E189">
            <v>246957</v>
          </cell>
          <cell r="F189">
            <v>3521800451.9774003</v>
          </cell>
        </row>
        <row r="190">
          <cell r="D190" t="str">
            <v>México2023Producción de películas, videos y programas de televisión, grabación de sonido y edición musical</v>
          </cell>
          <cell r="E190">
            <v>75970</v>
          </cell>
          <cell r="F190">
            <v>382686553.67231637</v>
          </cell>
        </row>
        <row r="191">
          <cell r="D191" t="str">
            <v>México2023Telecomunicaciones</v>
          </cell>
          <cell r="E191">
            <v>151981</v>
          </cell>
          <cell r="F191">
            <v>2809607570.621469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_T"/>
      <sheetName val="Prod"/>
      <sheetName val="Hoja6"/>
      <sheetName val="CL"/>
      <sheetName val="Costo_laboral"/>
      <sheetName val="Sheet1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K2">
            <v>99.999999999999005</v>
          </cell>
          <cell r="L2">
            <v>810.91</v>
          </cell>
        </row>
        <row r="3">
          <cell r="K3">
            <v>99.999999999999005</v>
          </cell>
          <cell r="L3">
            <v>8734.4699999999993</v>
          </cell>
        </row>
        <row r="4">
          <cell r="K4">
            <v>100</v>
          </cell>
          <cell r="L4">
            <v>1176.1300000000001</v>
          </cell>
        </row>
        <row r="5">
          <cell r="K5">
            <v>99.999999999999005</v>
          </cell>
          <cell r="L5">
            <v>466.93</v>
          </cell>
        </row>
        <row r="6">
          <cell r="K6">
            <v>99.999999999999005</v>
          </cell>
          <cell r="L6">
            <v>132.88999999999999</v>
          </cell>
        </row>
        <row r="7">
          <cell r="K7">
            <v>99.999999999999005</v>
          </cell>
          <cell r="L7">
            <v>25.96</v>
          </cell>
        </row>
        <row r="8">
          <cell r="K8">
            <v>100</v>
          </cell>
          <cell r="L8">
            <v>4002.45</v>
          </cell>
        </row>
        <row r="9">
          <cell r="K9">
            <v>99.999999999999005</v>
          </cell>
          <cell r="L9">
            <v>2170.19</v>
          </cell>
        </row>
        <row r="10">
          <cell r="K10">
            <v>99.999999999999005</v>
          </cell>
          <cell r="L10">
            <v>349.77</v>
          </cell>
        </row>
        <row r="11">
          <cell r="K11">
            <v>99.999999999999005</v>
          </cell>
          <cell r="L11">
            <v>0.27</v>
          </cell>
        </row>
        <row r="12">
          <cell r="K12">
            <v>99.999999999999005</v>
          </cell>
          <cell r="L12">
            <v>2844.48</v>
          </cell>
        </row>
        <row r="13">
          <cell r="K13">
            <v>99.999999999999005</v>
          </cell>
          <cell r="L13">
            <v>265.24</v>
          </cell>
        </row>
        <row r="14">
          <cell r="K14">
            <v>99.999999999999005</v>
          </cell>
          <cell r="L14">
            <v>1761.07</v>
          </cell>
        </row>
        <row r="15">
          <cell r="K15">
            <v>99.999999999999005</v>
          </cell>
          <cell r="L15">
            <v>3602.45</v>
          </cell>
        </row>
        <row r="16">
          <cell r="K16">
            <v>99.999999999999005</v>
          </cell>
          <cell r="L16">
            <v>1878.49</v>
          </cell>
        </row>
        <row r="17">
          <cell r="K17">
            <v>100</v>
          </cell>
          <cell r="L17">
            <v>918.79</v>
          </cell>
        </row>
        <row r="18">
          <cell r="K18">
            <v>100</v>
          </cell>
          <cell r="L18">
            <v>7.53</v>
          </cell>
        </row>
        <row r="19">
          <cell r="K19">
            <v>100</v>
          </cell>
          <cell r="L19">
            <v>155.51</v>
          </cell>
        </row>
        <row r="20">
          <cell r="K20">
            <v>100</v>
          </cell>
          <cell r="L20">
            <v>898.42</v>
          </cell>
        </row>
        <row r="21">
          <cell r="K21">
            <v>100</v>
          </cell>
          <cell r="L21">
            <v>86.76</v>
          </cell>
        </row>
        <row r="22">
          <cell r="K22">
            <v>100</v>
          </cell>
          <cell r="L22">
            <v>14.32</v>
          </cell>
        </row>
        <row r="23">
          <cell r="K23">
            <v>100</v>
          </cell>
          <cell r="L23">
            <v>135.02000000000001</v>
          </cell>
        </row>
        <row r="24">
          <cell r="K24">
            <v>99.999999999999005</v>
          </cell>
          <cell r="L24">
            <v>12.57</v>
          </cell>
        </row>
        <row r="25">
          <cell r="K25">
            <v>100</v>
          </cell>
          <cell r="L25">
            <v>362.38</v>
          </cell>
        </row>
        <row r="26">
          <cell r="K26">
            <v>95.003435419368998</v>
          </cell>
          <cell r="L26">
            <v>286.88</v>
          </cell>
        </row>
        <row r="27">
          <cell r="K27">
            <v>98.723825004638996</v>
          </cell>
          <cell r="L27">
            <v>10558.15</v>
          </cell>
        </row>
        <row r="28">
          <cell r="K28">
            <v>90.846967636214998</v>
          </cell>
          <cell r="L28">
            <v>1175.82</v>
          </cell>
        </row>
        <row r="29">
          <cell r="K29">
            <v>111.61986215915999</v>
          </cell>
          <cell r="L29">
            <v>259.7</v>
          </cell>
        </row>
        <row r="30">
          <cell r="K30">
            <v>111.61986215915999</v>
          </cell>
          <cell r="L30">
            <v>361.03</v>
          </cell>
        </row>
        <row r="31">
          <cell r="K31">
            <v>111.61986215915999</v>
          </cell>
          <cell r="L31">
            <v>24.82</v>
          </cell>
        </row>
        <row r="32">
          <cell r="K32">
            <v>102.38170475517001</v>
          </cell>
          <cell r="L32">
            <v>6756.54</v>
          </cell>
        </row>
        <row r="33">
          <cell r="K33">
            <v>76.712843517501994</v>
          </cell>
          <cell r="L33">
            <v>4285.8100000000004</v>
          </cell>
        </row>
        <row r="34">
          <cell r="K34">
            <v>76.712843517501994</v>
          </cell>
          <cell r="L34">
            <v>887.98</v>
          </cell>
        </row>
        <row r="35">
          <cell r="K35">
            <v>96.253026824776995</v>
          </cell>
          <cell r="L35">
            <v>5038.3599999999997</v>
          </cell>
        </row>
        <row r="36">
          <cell r="K36">
            <v>96.253026824776995</v>
          </cell>
          <cell r="L36">
            <v>2460.3000000000002</v>
          </cell>
        </row>
        <row r="37">
          <cell r="K37">
            <v>96.253026824776995</v>
          </cell>
          <cell r="L37">
            <v>2357.7399999999998</v>
          </cell>
        </row>
        <row r="38">
          <cell r="K38">
            <v>89.385379074143003</v>
          </cell>
          <cell r="L38">
            <v>2940.21</v>
          </cell>
        </row>
        <row r="39">
          <cell r="K39">
            <v>89.385379074143003</v>
          </cell>
          <cell r="L39">
            <v>2603.9899999999998</v>
          </cell>
        </row>
        <row r="40">
          <cell r="K40">
            <v>98.189528995325006</v>
          </cell>
          <cell r="L40">
            <v>928.29</v>
          </cell>
        </row>
        <row r="41">
          <cell r="K41">
            <v>98.189528995325006</v>
          </cell>
          <cell r="L41">
            <v>11.61</v>
          </cell>
        </row>
        <row r="42">
          <cell r="K42">
            <v>98.189528995325006</v>
          </cell>
          <cell r="L42">
            <v>877.38</v>
          </cell>
        </row>
        <row r="43">
          <cell r="K43">
            <v>98.189528995325006</v>
          </cell>
          <cell r="L43">
            <v>818.57</v>
          </cell>
        </row>
        <row r="44">
          <cell r="K44">
            <v>98.189528995325006</v>
          </cell>
          <cell r="L44">
            <v>411.64</v>
          </cell>
        </row>
        <row r="45">
          <cell r="K45">
            <v>98.189528995325006</v>
          </cell>
          <cell r="L45">
            <v>10.23</v>
          </cell>
        </row>
        <row r="46">
          <cell r="K46">
            <v>102.38170475517001</v>
          </cell>
          <cell r="L46">
            <v>113.54</v>
          </cell>
        </row>
        <row r="47">
          <cell r="K47">
            <v>95.003435419368998</v>
          </cell>
          <cell r="L47">
            <v>10.97</v>
          </cell>
        </row>
        <row r="48">
          <cell r="K48">
            <v>98.189528995325006</v>
          </cell>
          <cell r="L48">
            <v>161.69999999999999</v>
          </cell>
        </row>
        <row r="49">
          <cell r="K49">
            <v>95.629262636448004</v>
          </cell>
          <cell r="L49">
            <v>1226.1400000000001</v>
          </cell>
        </row>
        <row r="50">
          <cell r="K50">
            <v>96.618124512281994</v>
          </cell>
          <cell r="L50">
            <v>9954.5</v>
          </cell>
        </row>
        <row r="51">
          <cell r="K51">
            <v>96.059679698527006</v>
          </cell>
          <cell r="L51">
            <v>1044.02</v>
          </cell>
        </row>
        <row r="52">
          <cell r="K52">
            <v>117.9376128321</v>
          </cell>
          <cell r="L52">
            <v>258.92</v>
          </cell>
        </row>
        <row r="53">
          <cell r="K53">
            <v>117.9376128321</v>
          </cell>
          <cell r="L53">
            <v>75.52</v>
          </cell>
        </row>
        <row r="54">
          <cell r="K54">
            <v>117.9376128321</v>
          </cell>
          <cell r="L54">
            <v>22.71</v>
          </cell>
        </row>
        <row r="55">
          <cell r="K55">
            <v>106.15763962638999</v>
          </cell>
          <cell r="L55">
            <v>4673.22</v>
          </cell>
        </row>
        <row r="56">
          <cell r="K56">
            <v>66.424574274145002</v>
          </cell>
          <cell r="L56">
            <v>4331.1899999999996</v>
          </cell>
        </row>
        <row r="57">
          <cell r="K57">
            <v>66.424574274145002</v>
          </cell>
          <cell r="L57">
            <v>300.8</v>
          </cell>
        </row>
        <row r="58">
          <cell r="K58">
            <v>101.63829571143999</v>
          </cell>
          <cell r="L58">
            <v>2551.0100000000002</v>
          </cell>
        </row>
        <row r="59">
          <cell r="K59">
            <v>101.63829571143999</v>
          </cell>
          <cell r="L59">
            <v>205.3</v>
          </cell>
        </row>
        <row r="60">
          <cell r="K60">
            <v>101.63829571143999</v>
          </cell>
          <cell r="L60">
            <v>1814.16</v>
          </cell>
        </row>
        <row r="61">
          <cell r="K61">
            <v>89.680336785110001</v>
          </cell>
          <cell r="L61">
            <v>2507.21</v>
          </cell>
        </row>
        <row r="62">
          <cell r="K62">
            <v>89.680336785110001</v>
          </cell>
          <cell r="L62">
            <v>285.55</v>
          </cell>
        </row>
        <row r="63">
          <cell r="K63">
            <v>101.10423088160999</v>
          </cell>
          <cell r="L63">
            <v>2287.7199999999998</v>
          </cell>
        </row>
        <row r="64">
          <cell r="K64">
            <v>101.10423088160999</v>
          </cell>
          <cell r="L64">
            <v>14.21</v>
          </cell>
        </row>
        <row r="65">
          <cell r="K65">
            <v>101.10423088160999</v>
          </cell>
          <cell r="L65">
            <v>220.57</v>
          </cell>
        </row>
        <row r="66">
          <cell r="K66">
            <v>101.10423088160999</v>
          </cell>
          <cell r="L66">
            <v>1289.53</v>
          </cell>
        </row>
        <row r="67">
          <cell r="K67">
            <v>101.10423088160999</v>
          </cell>
          <cell r="L67">
            <v>14.88</v>
          </cell>
        </row>
        <row r="68">
          <cell r="K68">
            <v>101.10423088160999</v>
          </cell>
          <cell r="L68">
            <v>11.78</v>
          </cell>
        </row>
        <row r="69">
          <cell r="K69">
            <v>106.15763962638999</v>
          </cell>
          <cell r="L69">
            <v>96.15</v>
          </cell>
        </row>
        <row r="70">
          <cell r="K70">
            <v>95.629262636448004</v>
          </cell>
          <cell r="L70">
            <v>87.53</v>
          </cell>
        </row>
        <row r="71">
          <cell r="K71">
            <v>101.10423088160999</v>
          </cell>
          <cell r="L71">
            <v>152.44</v>
          </cell>
        </row>
        <row r="72">
          <cell r="K72">
            <v>96.211353938038002</v>
          </cell>
          <cell r="L72">
            <v>-135.49</v>
          </cell>
        </row>
        <row r="73">
          <cell r="K73">
            <v>92.136318280468004</v>
          </cell>
          <cell r="L73">
            <v>17532.580000000002</v>
          </cell>
        </row>
        <row r="74">
          <cell r="K74">
            <v>100.22588687651999</v>
          </cell>
          <cell r="L74">
            <v>881.62</v>
          </cell>
        </row>
        <row r="75">
          <cell r="K75">
            <v>107.52442116425</v>
          </cell>
          <cell r="L75">
            <v>180.43</v>
          </cell>
        </row>
        <row r="76">
          <cell r="K76">
            <v>107.52442116425</v>
          </cell>
          <cell r="L76">
            <v>99.43</v>
          </cell>
        </row>
        <row r="77">
          <cell r="K77">
            <v>107.52442116425</v>
          </cell>
          <cell r="L77">
            <v>127.9</v>
          </cell>
        </row>
        <row r="78">
          <cell r="K78">
            <v>107.1615082093</v>
          </cell>
          <cell r="L78">
            <v>12511.49</v>
          </cell>
        </row>
        <row r="79">
          <cell r="K79">
            <v>72.105553335238</v>
          </cell>
          <cell r="L79">
            <v>3382.26</v>
          </cell>
        </row>
        <row r="80">
          <cell r="K80">
            <v>72.105553335238</v>
          </cell>
          <cell r="L80">
            <v>335.56</v>
          </cell>
        </row>
        <row r="81">
          <cell r="K81">
            <v>109.79561218418</v>
          </cell>
          <cell r="L81">
            <v>4405.05</v>
          </cell>
        </row>
        <row r="82">
          <cell r="K82">
            <v>109.79561218418</v>
          </cell>
          <cell r="L82">
            <v>218.08</v>
          </cell>
        </row>
        <row r="83">
          <cell r="K83">
            <v>109.79561218418</v>
          </cell>
          <cell r="L83">
            <v>2316.0500000000002</v>
          </cell>
        </row>
        <row r="84">
          <cell r="K84">
            <v>93.364041500221006</v>
          </cell>
          <cell r="L84">
            <v>3245.56</v>
          </cell>
        </row>
        <row r="85">
          <cell r="K85">
            <v>93.364041500221006</v>
          </cell>
          <cell r="L85">
            <v>1705.73</v>
          </cell>
        </row>
        <row r="86">
          <cell r="K86">
            <v>95.958177771508005</v>
          </cell>
          <cell r="L86">
            <v>2122.04</v>
          </cell>
        </row>
        <row r="87">
          <cell r="K87">
            <v>95.958177771508005</v>
          </cell>
          <cell r="L87">
            <v>13.11</v>
          </cell>
        </row>
        <row r="88">
          <cell r="K88">
            <v>95.958177771508005</v>
          </cell>
          <cell r="L88">
            <v>179.86</v>
          </cell>
        </row>
        <row r="89">
          <cell r="K89">
            <v>95.958177771508005</v>
          </cell>
          <cell r="L89">
            <v>1255.96</v>
          </cell>
        </row>
        <row r="90">
          <cell r="K90">
            <v>95.958177771508005</v>
          </cell>
          <cell r="L90">
            <v>17.739999999999998</v>
          </cell>
        </row>
        <row r="91">
          <cell r="K91">
            <v>95.958177771508005</v>
          </cell>
          <cell r="L91">
            <v>1.8</v>
          </cell>
        </row>
        <row r="92">
          <cell r="K92">
            <v>107.1615082093</v>
          </cell>
          <cell r="L92">
            <v>770.99</v>
          </cell>
        </row>
        <row r="93">
          <cell r="K93">
            <v>96.211353938038002</v>
          </cell>
          <cell r="L93">
            <v>16.23</v>
          </cell>
        </row>
        <row r="94">
          <cell r="K94">
            <v>95.958177771508005</v>
          </cell>
          <cell r="L94">
            <v>500.58</v>
          </cell>
        </row>
        <row r="372">
          <cell r="K372">
            <v>107.43342807145</v>
          </cell>
          <cell r="L372">
            <v>312780233</v>
          </cell>
        </row>
        <row r="373">
          <cell r="K373">
            <v>107.1</v>
          </cell>
          <cell r="L373">
            <v>2120935000</v>
          </cell>
        </row>
        <row r="374">
          <cell r="K374">
            <v>104.48191541983</v>
          </cell>
          <cell r="L374">
            <v>33749079</v>
          </cell>
        </row>
        <row r="375">
          <cell r="K375">
            <v>108.2</v>
          </cell>
          <cell r="L375">
            <v>382690000</v>
          </cell>
        </row>
        <row r="376">
          <cell r="K376">
            <v>113.44450268036999</v>
          </cell>
          <cell r="L376">
            <v>37076193</v>
          </cell>
        </row>
        <row r="377">
          <cell r="K377">
            <v>109.5</v>
          </cell>
          <cell r="L377">
            <v>662988000</v>
          </cell>
        </row>
        <row r="378">
          <cell r="K378">
            <v>113.44450268036999</v>
          </cell>
          <cell r="L378">
            <v>46048468</v>
          </cell>
        </row>
        <row r="379">
          <cell r="K379">
            <v>100.20302658438</v>
          </cell>
          <cell r="L379">
            <v>44139071</v>
          </cell>
        </row>
        <row r="380">
          <cell r="K380">
            <v>103.9</v>
          </cell>
          <cell r="L380">
            <v>428844000</v>
          </cell>
        </row>
        <row r="381">
          <cell r="K381">
            <v>104.48191541983</v>
          </cell>
          <cell r="L381">
            <v>16573945</v>
          </cell>
        </row>
        <row r="382">
          <cell r="K382">
            <v>111.8</v>
          </cell>
          <cell r="L382">
            <v>275145000</v>
          </cell>
        </row>
        <row r="383">
          <cell r="K383">
            <v>113.44450268036999</v>
          </cell>
          <cell r="L383">
            <v>17326700</v>
          </cell>
        </row>
        <row r="384">
          <cell r="K384">
            <v>110.3</v>
          </cell>
          <cell r="L384">
            <v>927673000</v>
          </cell>
        </row>
        <row r="385">
          <cell r="K385">
            <v>100.20302658438</v>
          </cell>
          <cell r="L385">
            <v>42710251</v>
          </cell>
        </row>
        <row r="386">
          <cell r="K386">
            <v>105.6</v>
          </cell>
          <cell r="L386">
            <v>563090000</v>
          </cell>
        </row>
        <row r="387">
          <cell r="K387">
            <v>123.69234493793</v>
          </cell>
          <cell r="L387">
            <v>40577468</v>
          </cell>
        </row>
        <row r="388">
          <cell r="K388">
            <v>109.5</v>
          </cell>
          <cell r="L388">
            <v>373884000</v>
          </cell>
        </row>
        <row r="389">
          <cell r="K389">
            <v>110.87139466242</v>
          </cell>
          <cell r="L389">
            <v>17583905</v>
          </cell>
        </row>
        <row r="390">
          <cell r="K390">
            <v>108.5</v>
          </cell>
          <cell r="L390">
            <v>59728000</v>
          </cell>
        </row>
        <row r="391">
          <cell r="K391">
            <v>71.728747032472995</v>
          </cell>
          <cell r="L391">
            <v>6522588</v>
          </cell>
        </row>
        <row r="392">
          <cell r="K392">
            <v>105.5</v>
          </cell>
          <cell r="L392">
            <v>587930000</v>
          </cell>
        </row>
        <row r="393">
          <cell r="K393">
            <v>71.728747032472995</v>
          </cell>
          <cell r="L393">
            <v>6017653</v>
          </cell>
        </row>
        <row r="394">
          <cell r="K394">
            <v>110.2</v>
          </cell>
          <cell r="L394">
            <v>263012000</v>
          </cell>
        </row>
        <row r="395">
          <cell r="K395">
            <v>65.215368011810995</v>
          </cell>
          <cell r="L395">
            <v>45088667</v>
          </cell>
        </row>
        <row r="396">
          <cell r="K396">
            <v>107.4</v>
          </cell>
          <cell r="L396">
            <v>196574000</v>
          </cell>
        </row>
        <row r="397">
          <cell r="K397">
            <v>113.44450268036999</v>
          </cell>
          <cell r="L397">
            <v>11640782</v>
          </cell>
        </row>
        <row r="398">
          <cell r="K398">
            <v>107.4</v>
          </cell>
          <cell r="L398">
            <v>1191671000</v>
          </cell>
        </row>
        <row r="399">
          <cell r="K399">
            <v>103.59652904204</v>
          </cell>
          <cell r="L399">
            <v>2011099</v>
          </cell>
        </row>
        <row r="400">
          <cell r="K400">
            <v>112.5</v>
          </cell>
          <cell r="L400">
            <v>29643000</v>
          </cell>
        </row>
        <row r="401">
          <cell r="K401">
            <v>110.87139466242</v>
          </cell>
          <cell r="L401">
            <v>51180556</v>
          </cell>
        </row>
        <row r="402">
          <cell r="K402">
            <v>108.1</v>
          </cell>
          <cell r="L402">
            <v>58917000</v>
          </cell>
        </row>
        <row r="403">
          <cell r="K403">
            <v>65.215368011810995</v>
          </cell>
          <cell r="L403">
            <v>8279001</v>
          </cell>
        </row>
        <row r="404">
          <cell r="K404">
            <v>109.7</v>
          </cell>
          <cell r="L404">
            <v>30968000</v>
          </cell>
        </row>
        <row r="405">
          <cell r="K405">
            <v>113.44450268036999</v>
          </cell>
          <cell r="L405">
            <v>1719113</v>
          </cell>
        </row>
        <row r="406">
          <cell r="K406">
            <v>111.5</v>
          </cell>
          <cell r="L406">
            <v>53613000</v>
          </cell>
        </row>
        <row r="407">
          <cell r="K407">
            <v>71.728747032472995</v>
          </cell>
          <cell r="L407">
            <v>1840763</v>
          </cell>
        </row>
        <row r="408">
          <cell r="K408">
            <v>105.1</v>
          </cell>
          <cell r="L408">
            <v>113294000</v>
          </cell>
        </row>
        <row r="409">
          <cell r="K409">
            <v>100.20302658438</v>
          </cell>
          <cell r="L409">
            <v>23038067</v>
          </cell>
        </row>
        <row r="410">
          <cell r="K410">
            <v>103.9</v>
          </cell>
          <cell r="L410">
            <v>184820000</v>
          </cell>
        </row>
        <row r="411">
          <cell r="K411">
            <v>113.44450268036999</v>
          </cell>
          <cell r="L411">
            <v>386240</v>
          </cell>
        </row>
        <row r="412">
          <cell r="K412">
            <v>109.4</v>
          </cell>
          <cell r="L412">
            <v>798527000</v>
          </cell>
        </row>
        <row r="413">
          <cell r="K413">
            <v>113.44450268036999</v>
          </cell>
          <cell r="L413">
            <v>1588204</v>
          </cell>
        </row>
        <row r="414">
          <cell r="K414">
            <v>111.5</v>
          </cell>
          <cell r="L414">
            <v>212619000</v>
          </cell>
        </row>
        <row r="415">
          <cell r="K415">
            <v>100.6</v>
          </cell>
          <cell r="L415">
            <v>59921000</v>
          </cell>
        </row>
        <row r="416">
          <cell r="K416">
            <v>109.5</v>
          </cell>
          <cell r="L416">
            <v>5522000</v>
          </cell>
        </row>
        <row r="417">
          <cell r="K417">
            <v>103.59652904204</v>
          </cell>
          <cell r="L417">
            <v>29344097</v>
          </cell>
        </row>
        <row r="418">
          <cell r="K418">
            <v>101.52099705321</v>
          </cell>
          <cell r="L418">
            <v>323394091</v>
          </cell>
        </row>
        <row r="419">
          <cell r="K419">
            <v>102.3</v>
          </cell>
          <cell r="L419">
            <v>2171751000</v>
          </cell>
        </row>
        <row r="420">
          <cell r="K420">
            <v>84.562992854463005</v>
          </cell>
          <cell r="L420">
            <v>9511259</v>
          </cell>
        </row>
        <row r="421">
          <cell r="K421">
            <v>105.3</v>
          </cell>
          <cell r="L421">
            <v>348384000</v>
          </cell>
        </row>
        <row r="422">
          <cell r="K422">
            <v>94.527911873682996</v>
          </cell>
          <cell r="L422">
            <v>44399108</v>
          </cell>
        </row>
        <row r="423">
          <cell r="K423">
            <v>103.4</v>
          </cell>
          <cell r="L423">
            <v>606235000</v>
          </cell>
        </row>
        <row r="424">
          <cell r="K424">
            <v>96.894683830418003</v>
          </cell>
          <cell r="L424">
            <v>39787815</v>
          </cell>
        </row>
        <row r="425">
          <cell r="K425">
            <v>104.4</v>
          </cell>
          <cell r="L425">
            <v>428326000</v>
          </cell>
        </row>
        <row r="426">
          <cell r="K426">
            <v>106.59709315790001</v>
          </cell>
          <cell r="L426">
            <v>49346305</v>
          </cell>
        </row>
        <row r="427">
          <cell r="K427">
            <v>104.2</v>
          </cell>
          <cell r="L427">
            <v>735504000</v>
          </cell>
        </row>
        <row r="428">
          <cell r="K428">
            <v>106.59709315790001</v>
          </cell>
          <cell r="L428">
            <v>42530733</v>
          </cell>
        </row>
        <row r="429">
          <cell r="K429">
            <v>94.527911873682996</v>
          </cell>
          <cell r="L429">
            <v>48238728</v>
          </cell>
        </row>
        <row r="430">
          <cell r="K430">
            <v>101.6</v>
          </cell>
          <cell r="L430">
            <v>436515000</v>
          </cell>
        </row>
        <row r="431">
          <cell r="K431">
            <v>96.894683830418003</v>
          </cell>
          <cell r="L431">
            <v>14956365</v>
          </cell>
        </row>
        <row r="432">
          <cell r="K432">
            <v>99</v>
          </cell>
          <cell r="L432">
            <v>293900000</v>
          </cell>
        </row>
        <row r="433">
          <cell r="K433">
            <v>106.59709315790001</v>
          </cell>
          <cell r="L433">
            <v>18957745</v>
          </cell>
        </row>
        <row r="434">
          <cell r="K434">
            <v>102.7</v>
          </cell>
          <cell r="L434">
            <v>1034377000</v>
          </cell>
        </row>
        <row r="435">
          <cell r="K435">
            <v>111.60809989866</v>
          </cell>
          <cell r="L435">
            <v>40205704</v>
          </cell>
        </row>
        <row r="436">
          <cell r="K436">
            <v>104.9</v>
          </cell>
          <cell r="L436">
            <v>369621000</v>
          </cell>
        </row>
        <row r="437">
          <cell r="K437">
            <v>97.634045562563003</v>
          </cell>
          <cell r="L437">
            <v>19795470</v>
          </cell>
        </row>
        <row r="438">
          <cell r="K438">
            <v>104.2</v>
          </cell>
          <cell r="L438">
            <v>63980000</v>
          </cell>
        </row>
        <row r="439">
          <cell r="K439">
            <v>84.562992854463005</v>
          </cell>
          <cell r="L439">
            <v>7905251</v>
          </cell>
        </row>
        <row r="440">
          <cell r="K440">
            <v>102.4</v>
          </cell>
          <cell r="L440">
            <v>678635000</v>
          </cell>
        </row>
        <row r="441">
          <cell r="K441">
            <v>97.634045562563003</v>
          </cell>
          <cell r="L441">
            <v>53748548</v>
          </cell>
        </row>
        <row r="442">
          <cell r="K442">
            <v>105.5</v>
          </cell>
          <cell r="L442">
            <v>69731000</v>
          </cell>
        </row>
        <row r="443">
          <cell r="K443">
            <v>72.666250473058</v>
          </cell>
          <cell r="L443">
            <v>55432947</v>
          </cell>
        </row>
        <row r="444">
          <cell r="K444">
            <v>104.5</v>
          </cell>
          <cell r="L444">
            <v>204237000</v>
          </cell>
        </row>
        <row r="445">
          <cell r="K445">
            <v>72.666250473058</v>
          </cell>
          <cell r="L445">
            <v>13551030</v>
          </cell>
        </row>
        <row r="446">
          <cell r="K446">
            <v>106</v>
          </cell>
          <cell r="L446">
            <v>35708000</v>
          </cell>
        </row>
        <row r="447">
          <cell r="K447">
            <v>106.59709315790001</v>
          </cell>
          <cell r="L447">
            <v>15826763</v>
          </cell>
        </row>
        <row r="448">
          <cell r="K448">
            <v>102.3</v>
          </cell>
          <cell r="L448">
            <v>1298249000</v>
          </cell>
        </row>
        <row r="449">
          <cell r="K449">
            <v>84.562992854463005</v>
          </cell>
          <cell r="L449">
            <v>5365094</v>
          </cell>
        </row>
        <row r="450">
          <cell r="K450">
            <v>102.3</v>
          </cell>
          <cell r="L450">
            <v>161930000</v>
          </cell>
        </row>
        <row r="451">
          <cell r="K451">
            <v>106.59709315790001</v>
          </cell>
          <cell r="L451">
            <v>1535531</v>
          </cell>
        </row>
        <row r="452">
          <cell r="K452">
            <v>102.2</v>
          </cell>
          <cell r="L452">
            <v>56274000</v>
          </cell>
        </row>
        <row r="453">
          <cell r="K453">
            <v>94.527911873682996</v>
          </cell>
          <cell r="L453">
            <v>28734657</v>
          </cell>
        </row>
        <row r="454">
          <cell r="K454">
            <v>101.6</v>
          </cell>
          <cell r="L454">
            <v>168915000</v>
          </cell>
        </row>
        <row r="455">
          <cell r="K455">
            <v>106.59709315790001</v>
          </cell>
          <cell r="L455">
            <v>1376462</v>
          </cell>
        </row>
        <row r="456">
          <cell r="K456">
            <v>103.9</v>
          </cell>
          <cell r="L456">
            <v>823339000</v>
          </cell>
        </row>
        <row r="457">
          <cell r="K457">
            <v>106.59709315790001</v>
          </cell>
          <cell r="L457">
            <v>2604851</v>
          </cell>
        </row>
        <row r="458">
          <cell r="K458">
            <v>102.2</v>
          </cell>
          <cell r="L458">
            <v>268818000</v>
          </cell>
        </row>
        <row r="459">
          <cell r="K459">
            <v>98.151526954033002</v>
          </cell>
          <cell r="L459">
            <v>2139316</v>
          </cell>
        </row>
        <row r="460">
          <cell r="K460">
            <v>105.5</v>
          </cell>
          <cell r="L460">
            <v>31651000</v>
          </cell>
        </row>
        <row r="461">
          <cell r="K461">
            <v>104.9</v>
          </cell>
          <cell r="L461">
            <v>5786000</v>
          </cell>
        </row>
        <row r="462">
          <cell r="K462">
            <v>92.1</v>
          </cell>
          <cell r="L462">
            <v>61297000</v>
          </cell>
        </row>
        <row r="463">
          <cell r="K463">
            <v>98.151526954033002</v>
          </cell>
          <cell r="L463">
            <v>30390358</v>
          </cell>
        </row>
        <row r="464">
          <cell r="K464">
            <v>99.999999999999005</v>
          </cell>
          <cell r="L464">
            <v>393932463</v>
          </cell>
        </row>
        <row r="465">
          <cell r="K465">
            <v>100</v>
          </cell>
          <cell r="L465">
            <v>2190335000</v>
          </cell>
        </row>
        <row r="466">
          <cell r="K466">
            <v>100</v>
          </cell>
          <cell r="L466">
            <v>55325776</v>
          </cell>
        </row>
        <row r="467">
          <cell r="K467">
            <v>99.999999999999005</v>
          </cell>
          <cell r="L467">
            <v>43762448</v>
          </cell>
        </row>
        <row r="468">
          <cell r="K468">
            <v>100</v>
          </cell>
          <cell r="L468">
            <v>432982000</v>
          </cell>
        </row>
        <row r="469">
          <cell r="K469">
            <v>99.999999999999005</v>
          </cell>
          <cell r="L469">
            <v>14707986</v>
          </cell>
        </row>
        <row r="470">
          <cell r="K470">
            <v>100</v>
          </cell>
          <cell r="L470">
            <v>354434000</v>
          </cell>
        </row>
        <row r="471">
          <cell r="K471">
            <v>99.999999999999005</v>
          </cell>
          <cell r="L471">
            <v>58803191</v>
          </cell>
        </row>
        <row r="472">
          <cell r="K472">
            <v>100</v>
          </cell>
          <cell r="L472">
            <v>597604000</v>
          </cell>
        </row>
        <row r="473">
          <cell r="K473">
            <v>99.999999999999005</v>
          </cell>
          <cell r="L473">
            <v>71039445</v>
          </cell>
        </row>
        <row r="474">
          <cell r="K474">
            <v>100</v>
          </cell>
          <cell r="L474">
            <v>670848000</v>
          </cell>
        </row>
        <row r="475">
          <cell r="K475">
            <v>100</v>
          </cell>
          <cell r="L475">
            <v>75402185</v>
          </cell>
        </row>
        <row r="476">
          <cell r="K476">
            <v>100</v>
          </cell>
          <cell r="L476">
            <v>716437000</v>
          </cell>
        </row>
        <row r="477">
          <cell r="K477">
            <v>99.999999999999005</v>
          </cell>
          <cell r="L477">
            <v>20341359</v>
          </cell>
        </row>
        <row r="478">
          <cell r="K478">
            <v>100</v>
          </cell>
          <cell r="L478">
            <v>34366000</v>
          </cell>
        </row>
        <row r="479">
          <cell r="K479">
            <v>100</v>
          </cell>
          <cell r="L479">
            <v>22340542</v>
          </cell>
        </row>
        <row r="480">
          <cell r="K480">
            <v>100</v>
          </cell>
          <cell r="L480">
            <v>1029599000</v>
          </cell>
        </row>
        <row r="481">
          <cell r="K481">
            <v>100</v>
          </cell>
          <cell r="L481">
            <v>25213233</v>
          </cell>
        </row>
        <row r="482">
          <cell r="K482">
            <v>100</v>
          </cell>
          <cell r="L482">
            <v>67571000</v>
          </cell>
        </row>
        <row r="483">
          <cell r="K483">
            <v>99.999999999999005</v>
          </cell>
          <cell r="L483">
            <v>14102289</v>
          </cell>
        </row>
        <row r="484">
          <cell r="K484">
            <v>100</v>
          </cell>
          <cell r="L484">
            <v>167631000</v>
          </cell>
        </row>
        <row r="485">
          <cell r="K485">
            <v>100</v>
          </cell>
          <cell r="L485">
            <v>38657080</v>
          </cell>
        </row>
        <row r="486">
          <cell r="K486">
            <v>100</v>
          </cell>
          <cell r="L486">
            <v>366036000</v>
          </cell>
        </row>
        <row r="487">
          <cell r="K487">
            <v>100</v>
          </cell>
          <cell r="L487">
            <v>4818157</v>
          </cell>
        </row>
        <row r="488">
          <cell r="K488">
            <v>100</v>
          </cell>
          <cell r="L488">
            <v>254737000</v>
          </cell>
        </row>
        <row r="489">
          <cell r="K489">
            <v>99.999999999999005</v>
          </cell>
          <cell r="L489">
            <v>44900714</v>
          </cell>
        </row>
        <row r="490">
          <cell r="K490">
            <v>100</v>
          </cell>
          <cell r="L490">
            <v>203056000</v>
          </cell>
        </row>
        <row r="491">
          <cell r="K491">
            <v>99.999999999999005</v>
          </cell>
          <cell r="L491">
            <v>16268945</v>
          </cell>
        </row>
        <row r="492">
          <cell r="K492">
            <v>100</v>
          </cell>
          <cell r="L492">
            <v>294383000</v>
          </cell>
        </row>
        <row r="493">
          <cell r="K493">
            <v>99.999999999999005</v>
          </cell>
          <cell r="L493">
            <v>53656246</v>
          </cell>
        </row>
        <row r="494">
          <cell r="K494">
            <v>100</v>
          </cell>
          <cell r="L494">
            <v>432357000</v>
          </cell>
        </row>
        <row r="495">
          <cell r="K495">
            <v>99.999999999999005</v>
          </cell>
          <cell r="L495">
            <v>25675544</v>
          </cell>
        </row>
        <row r="496">
          <cell r="K496">
            <v>100</v>
          </cell>
          <cell r="L496">
            <v>165262000</v>
          </cell>
        </row>
        <row r="497">
          <cell r="K497">
            <v>99.999999999999005</v>
          </cell>
          <cell r="L497">
            <v>2784591</v>
          </cell>
        </row>
        <row r="498">
          <cell r="K498">
            <v>100</v>
          </cell>
          <cell r="L498">
            <v>30111000</v>
          </cell>
        </row>
        <row r="499">
          <cell r="K499">
            <v>100</v>
          </cell>
          <cell r="L499">
            <v>16263165</v>
          </cell>
        </row>
        <row r="500">
          <cell r="K500">
            <v>100</v>
          </cell>
          <cell r="L500">
            <v>1285224000</v>
          </cell>
        </row>
        <row r="501">
          <cell r="K501">
            <v>100</v>
          </cell>
          <cell r="L501">
            <v>68380094</v>
          </cell>
        </row>
        <row r="502">
          <cell r="K502">
            <v>100</v>
          </cell>
          <cell r="L502">
            <v>72312000</v>
          </cell>
        </row>
        <row r="503">
          <cell r="K503">
            <v>100</v>
          </cell>
          <cell r="L503">
            <v>5507306</v>
          </cell>
        </row>
        <row r="504">
          <cell r="K504">
            <v>100</v>
          </cell>
          <cell r="L504">
            <v>794353000</v>
          </cell>
        </row>
        <row r="505">
          <cell r="K505">
            <v>100</v>
          </cell>
          <cell r="L505">
            <v>1727951</v>
          </cell>
        </row>
        <row r="506">
          <cell r="K506">
            <v>100</v>
          </cell>
          <cell r="L506">
            <v>44729000</v>
          </cell>
        </row>
        <row r="507">
          <cell r="K507">
            <v>99.999999999999005</v>
          </cell>
          <cell r="L507">
            <v>152518</v>
          </cell>
        </row>
        <row r="508">
          <cell r="K508">
            <v>100</v>
          </cell>
          <cell r="L508">
            <v>64138000</v>
          </cell>
        </row>
        <row r="509">
          <cell r="K509">
            <v>100</v>
          </cell>
          <cell r="L509">
            <v>5246000</v>
          </cell>
        </row>
        <row r="510">
          <cell r="K510">
            <v>99.999999999999005</v>
          </cell>
          <cell r="L510">
            <v>1941807</v>
          </cell>
        </row>
        <row r="511">
          <cell r="K511">
            <v>91.8</v>
          </cell>
          <cell r="L511">
            <v>70157000</v>
          </cell>
        </row>
        <row r="512">
          <cell r="K512">
            <v>101.10423088160999</v>
          </cell>
          <cell r="L512">
            <v>3933024</v>
          </cell>
        </row>
        <row r="513">
          <cell r="K513">
            <v>84.2</v>
          </cell>
          <cell r="L513">
            <v>678895000</v>
          </cell>
        </row>
        <row r="514">
          <cell r="K514">
            <v>66.424574274145002</v>
          </cell>
          <cell r="L514">
            <v>12290612</v>
          </cell>
        </row>
        <row r="515">
          <cell r="K515">
            <v>87.6</v>
          </cell>
          <cell r="L515">
            <v>189251000</v>
          </cell>
        </row>
        <row r="516">
          <cell r="K516">
            <v>101.63829571143999</v>
          </cell>
          <cell r="L516">
            <v>4951722</v>
          </cell>
        </row>
        <row r="517">
          <cell r="K517">
            <v>103.7</v>
          </cell>
          <cell r="L517">
            <v>428028000</v>
          </cell>
        </row>
        <row r="518">
          <cell r="K518">
            <v>101.10423088160999</v>
          </cell>
          <cell r="L518">
            <v>1367467</v>
          </cell>
        </row>
        <row r="519">
          <cell r="K519">
            <v>91.6</v>
          </cell>
          <cell r="L519">
            <v>920965000</v>
          </cell>
        </row>
        <row r="520">
          <cell r="K520">
            <v>101.63829571143999</v>
          </cell>
          <cell r="L520">
            <v>5032232</v>
          </cell>
        </row>
        <row r="521">
          <cell r="K521">
            <v>89.1</v>
          </cell>
          <cell r="L521">
            <v>554825000</v>
          </cell>
        </row>
        <row r="522">
          <cell r="K522">
            <v>89.680336785110001</v>
          </cell>
          <cell r="L522">
            <v>1020551</v>
          </cell>
        </row>
        <row r="523">
          <cell r="K523">
            <v>80.900000000000006</v>
          </cell>
          <cell r="L523">
            <v>274358000</v>
          </cell>
        </row>
        <row r="524">
          <cell r="K524">
            <v>89.680336785110001</v>
          </cell>
          <cell r="L524">
            <v>4006104</v>
          </cell>
        </row>
        <row r="525">
          <cell r="K525">
            <v>87.6</v>
          </cell>
          <cell r="L525">
            <v>408741000</v>
          </cell>
        </row>
        <row r="526">
          <cell r="K526">
            <v>117.9376128321</v>
          </cell>
          <cell r="L526">
            <v>2538829</v>
          </cell>
        </row>
        <row r="527">
          <cell r="K527">
            <v>95.2</v>
          </cell>
          <cell r="L527">
            <v>373941000</v>
          </cell>
        </row>
        <row r="528">
          <cell r="K528">
            <v>106.15763962638999</v>
          </cell>
          <cell r="L528">
            <v>1169120</v>
          </cell>
        </row>
        <row r="529">
          <cell r="K529">
            <v>91.8</v>
          </cell>
          <cell r="L529">
            <v>69559000</v>
          </cell>
        </row>
        <row r="530">
          <cell r="K530">
            <v>101.10423088160999</v>
          </cell>
          <cell r="L530">
            <v>2499647</v>
          </cell>
        </row>
        <row r="531">
          <cell r="K531">
            <v>117.9376128321</v>
          </cell>
          <cell r="L531">
            <v>1195228</v>
          </cell>
        </row>
        <row r="532">
          <cell r="K532">
            <v>93.8</v>
          </cell>
          <cell r="L532">
            <v>176470000</v>
          </cell>
        </row>
        <row r="533">
          <cell r="K533">
            <v>101.10423088160999</v>
          </cell>
          <cell r="L533">
            <v>1703095</v>
          </cell>
        </row>
        <row r="534">
          <cell r="K534">
            <v>90.7</v>
          </cell>
          <cell r="L534">
            <v>1152982000</v>
          </cell>
        </row>
        <row r="535">
          <cell r="K535">
            <v>101.63829571143999</v>
          </cell>
          <cell r="L535">
            <v>2754327</v>
          </cell>
        </row>
        <row r="536">
          <cell r="K536">
            <v>103.7</v>
          </cell>
          <cell r="L536">
            <v>158981000</v>
          </cell>
        </row>
        <row r="537">
          <cell r="K537">
            <v>117.9376128321</v>
          </cell>
          <cell r="L537">
            <v>2278349</v>
          </cell>
        </row>
        <row r="538">
          <cell r="K538">
            <v>88.8</v>
          </cell>
          <cell r="L538">
            <v>612933000</v>
          </cell>
        </row>
        <row r="539">
          <cell r="K539">
            <v>101.10423088160999</v>
          </cell>
          <cell r="L539">
            <v>320721</v>
          </cell>
        </row>
        <row r="540">
          <cell r="K540">
            <v>91.8</v>
          </cell>
          <cell r="L540">
            <v>720198000</v>
          </cell>
        </row>
        <row r="541">
          <cell r="K541">
            <v>96.059679698527006</v>
          </cell>
          <cell r="L541">
            <v>4488877</v>
          </cell>
        </row>
        <row r="542">
          <cell r="K542">
            <v>89.6</v>
          </cell>
          <cell r="L542">
            <v>362524000</v>
          </cell>
        </row>
        <row r="543">
          <cell r="K543">
            <v>95.629262636448004</v>
          </cell>
          <cell r="L543">
            <v>232095</v>
          </cell>
        </row>
        <row r="544">
          <cell r="K544">
            <v>91.1</v>
          </cell>
          <cell r="L544">
            <v>31101000</v>
          </cell>
        </row>
        <row r="545">
          <cell r="K545">
            <v>101.10423088160999</v>
          </cell>
          <cell r="L545">
            <v>148983</v>
          </cell>
        </row>
        <row r="546">
          <cell r="K546">
            <v>93.3</v>
          </cell>
          <cell r="L546">
            <v>206303000</v>
          </cell>
        </row>
        <row r="547">
          <cell r="K547">
            <v>101.10423088160999</v>
          </cell>
          <cell r="L547">
            <v>140001</v>
          </cell>
        </row>
        <row r="548">
          <cell r="K548">
            <v>93.3</v>
          </cell>
          <cell r="L548">
            <v>32890000</v>
          </cell>
        </row>
        <row r="549">
          <cell r="K549">
            <v>17.7</v>
          </cell>
          <cell r="L549">
            <v>67953000</v>
          </cell>
        </row>
        <row r="550">
          <cell r="K550">
            <v>89.6</v>
          </cell>
          <cell r="L550">
            <v>5289000</v>
          </cell>
        </row>
        <row r="551">
          <cell r="K551">
            <v>98.723825004638996</v>
          </cell>
          <cell r="L551">
            <v>346744812</v>
          </cell>
        </row>
        <row r="552">
          <cell r="K552">
            <v>96.7</v>
          </cell>
          <cell r="L552">
            <v>2208004000</v>
          </cell>
        </row>
        <row r="553">
          <cell r="K553">
            <v>90.846967636214998</v>
          </cell>
          <cell r="L553">
            <v>46563560</v>
          </cell>
        </row>
        <row r="554">
          <cell r="K554">
            <v>96.4</v>
          </cell>
          <cell r="L554">
            <v>363259000</v>
          </cell>
        </row>
        <row r="555">
          <cell r="K555">
            <v>89.385379074143003</v>
          </cell>
          <cell r="L555">
            <v>40405262</v>
          </cell>
        </row>
        <row r="556">
          <cell r="K556">
            <v>95.9</v>
          </cell>
          <cell r="L556">
            <v>419068000</v>
          </cell>
        </row>
        <row r="557">
          <cell r="K557">
            <v>111.61986215915999</v>
          </cell>
          <cell r="L557">
            <v>56501310</v>
          </cell>
        </row>
        <row r="558">
          <cell r="K558">
            <v>96.6</v>
          </cell>
          <cell r="L558">
            <v>361977000</v>
          </cell>
        </row>
        <row r="559">
          <cell r="K559">
            <v>96.253026824776995</v>
          </cell>
          <cell r="L559">
            <v>60559880</v>
          </cell>
        </row>
        <row r="560">
          <cell r="K560">
            <v>95.4</v>
          </cell>
          <cell r="L560">
            <v>577525000</v>
          </cell>
        </row>
        <row r="561">
          <cell r="K561">
            <v>76.712843517501994</v>
          </cell>
          <cell r="L561">
            <v>59183448</v>
          </cell>
        </row>
        <row r="562">
          <cell r="K562">
            <v>93.7</v>
          </cell>
          <cell r="L562">
            <v>197634000</v>
          </cell>
        </row>
        <row r="563">
          <cell r="K563">
            <v>98.189528995325006</v>
          </cell>
          <cell r="L563">
            <v>18657544</v>
          </cell>
        </row>
        <row r="564">
          <cell r="K564">
            <v>94.3</v>
          </cell>
          <cell r="L564">
            <v>1212415000</v>
          </cell>
        </row>
        <row r="565">
          <cell r="K565">
            <v>102.38170475517001</v>
          </cell>
          <cell r="L565">
            <v>69582191</v>
          </cell>
        </row>
        <row r="566">
          <cell r="K566">
            <v>98.6</v>
          </cell>
          <cell r="L566">
            <v>72850000</v>
          </cell>
        </row>
        <row r="567">
          <cell r="K567">
            <v>76.712843517501994</v>
          </cell>
          <cell r="L567">
            <v>18989792</v>
          </cell>
        </row>
        <row r="568">
          <cell r="K568">
            <v>96.5</v>
          </cell>
          <cell r="L568">
            <v>36226000</v>
          </cell>
        </row>
        <row r="569">
          <cell r="K569">
            <v>98.189528995325006</v>
          </cell>
          <cell r="L569">
            <v>73851787</v>
          </cell>
        </row>
        <row r="570">
          <cell r="K570">
            <v>90.2</v>
          </cell>
          <cell r="L570">
            <v>707744000</v>
          </cell>
        </row>
        <row r="571">
          <cell r="K571">
            <v>89.385379074143003</v>
          </cell>
          <cell r="L571">
            <v>12162764</v>
          </cell>
        </row>
        <row r="572">
          <cell r="K572">
            <v>89.3</v>
          </cell>
          <cell r="L572">
            <v>285176000</v>
          </cell>
        </row>
        <row r="573">
          <cell r="K573">
            <v>96.253026824776995</v>
          </cell>
          <cell r="L573">
            <v>62985395</v>
          </cell>
        </row>
        <row r="574">
          <cell r="K574">
            <v>96.1</v>
          </cell>
          <cell r="L574">
            <v>428835000</v>
          </cell>
        </row>
        <row r="575">
          <cell r="K575">
            <v>98.189528995325006</v>
          </cell>
          <cell r="L575">
            <v>66349936</v>
          </cell>
        </row>
        <row r="576">
          <cell r="K576">
            <v>102.38170475517001</v>
          </cell>
          <cell r="L576">
            <v>24734598</v>
          </cell>
        </row>
        <row r="577">
          <cell r="K577">
            <v>96.7</v>
          </cell>
          <cell r="L577">
            <v>70637000</v>
          </cell>
        </row>
        <row r="578">
          <cell r="K578">
            <v>98.189528995325006</v>
          </cell>
          <cell r="L578">
            <v>23781319</v>
          </cell>
        </row>
        <row r="579">
          <cell r="K579">
            <v>96.3</v>
          </cell>
          <cell r="L579">
            <v>982627000</v>
          </cell>
        </row>
        <row r="580">
          <cell r="K580">
            <v>111.61986215915999</v>
          </cell>
          <cell r="L580">
            <v>11421573</v>
          </cell>
        </row>
        <row r="581">
          <cell r="K581">
            <v>97.5</v>
          </cell>
          <cell r="L581">
            <v>640524000</v>
          </cell>
        </row>
        <row r="582">
          <cell r="K582">
            <v>98.189528995325006</v>
          </cell>
          <cell r="L582">
            <v>2672490</v>
          </cell>
        </row>
        <row r="583">
          <cell r="K583">
            <v>97</v>
          </cell>
          <cell r="L583">
            <v>227577000</v>
          </cell>
        </row>
        <row r="584">
          <cell r="K584">
            <v>96.253026824776995</v>
          </cell>
          <cell r="L584">
            <v>24095339</v>
          </cell>
        </row>
        <row r="585">
          <cell r="K585">
            <v>96.1</v>
          </cell>
          <cell r="L585">
            <v>170484000</v>
          </cell>
        </row>
        <row r="586">
          <cell r="K586">
            <v>111.61986215915999</v>
          </cell>
          <cell r="L586">
            <v>14269415</v>
          </cell>
        </row>
        <row r="587">
          <cell r="K587">
            <v>97.8</v>
          </cell>
          <cell r="L587">
            <v>172736000</v>
          </cell>
        </row>
        <row r="588">
          <cell r="K588">
            <v>95.003435419368998</v>
          </cell>
          <cell r="L588">
            <v>3027847</v>
          </cell>
        </row>
        <row r="589">
          <cell r="K589">
            <v>95.9</v>
          </cell>
          <cell r="L589">
            <v>30974000</v>
          </cell>
        </row>
        <row r="590">
          <cell r="K590">
            <v>98.189528995325006</v>
          </cell>
          <cell r="L590">
            <v>3021821</v>
          </cell>
        </row>
        <row r="591">
          <cell r="K591">
            <v>95.5</v>
          </cell>
          <cell r="L591">
            <v>759586000</v>
          </cell>
        </row>
        <row r="592">
          <cell r="K592">
            <v>98.189528995325006</v>
          </cell>
          <cell r="L592">
            <v>1389074</v>
          </cell>
        </row>
        <row r="593">
          <cell r="K593">
            <v>97</v>
          </cell>
          <cell r="L593">
            <v>36701000</v>
          </cell>
        </row>
        <row r="594">
          <cell r="K594">
            <v>64.099999999999994</v>
          </cell>
          <cell r="L594">
            <v>66390000</v>
          </cell>
        </row>
        <row r="595">
          <cell r="K595">
            <v>96.4</v>
          </cell>
          <cell r="L595">
            <v>5468000</v>
          </cell>
        </row>
        <row r="596">
          <cell r="K596">
            <v>95.003435419368998</v>
          </cell>
          <cell r="L596">
            <v>32761268</v>
          </cell>
        </row>
        <row r="597">
          <cell r="K597">
            <v>66.424574274145002</v>
          </cell>
          <cell r="L597">
            <v>1135090</v>
          </cell>
        </row>
        <row r="598">
          <cell r="K598">
            <v>93.1</v>
          </cell>
          <cell r="L598">
            <v>36498000</v>
          </cell>
        </row>
        <row r="599">
          <cell r="K599">
            <v>96.618124512281994</v>
          </cell>
          <cell r="L599">
            <v>31016877</v>
          </cell>
        </row>
        <row r="600">
          <cell r="K600">
            <v>92.1</v>
          </cell>
          <cell r="L600">
            <v>2196004000</v>
          </cell>
        </row>
        <row r="601">
          <cell r="K601">
            <v>106.15763962638999</v>
          </cell>
          <cell r="L601">
            <v>13803356</v>
          </cell>
        </row>
        <row r="602">
          <cell r="K602">
            <v>95.629262636448004</v>
          </cell>
          <cell r="L602">
            <v>3030562</v>
          </cell>
        </row>
        <row r="603">
          <cell r="K603">
            <v>92.136318280468004</v>
          </cell>
          <cell r="L603">
            <v>338909555</v>
          </cell>
        </row>
        <row r="604">
          <cell r="K604">
            <v>87.2</v>
          </cell>
          <cell r="L604">
            <v>2156014000</v>
          </cell>
        </row>
        <row r="605">
          <cell r="K605">
            <v>93.364041500221006</v>
          </cell>
          <cell r="L605">
            <v>43131150</v>
          </cell>
        </row>
        <row r="606">
          <cell r="K606">
            <v>80.2</v>
          </cell>
          <cell r="L606">
            <v>403939000</v>
          </cell>
        </row>
        <row r="607">
          <cell r="K607">
            <v>107.52442116425</v>
          </cell>
          <cell r="L607">
            <v>15737741</v>
          </cell>
        </row>
        <row r="608">
          <cell r="K608">
            <v>90.7</v>
          </cell>
          <cell r="L608">
            <v>373225000</v>
          </cell>
        </row>
        <row r="609">
          <cell r="K609">
            <v>95.958177771508005</v>
          </cell>
          <cell r="L609">
            <v>53799797</v>
          </cell>
        </row>
        <row r="610">
          <cell r="K610">
            <v>107.52442116425</v>
          </cell>
          <cell r="L610">
            <v>13594464</v>
          </cell>
        </row>
        <row r="611">
          <cell r="K611">
            <v>84.5</v>
          </cell>
          <cell r="L611">
            <v>577439000</v>
          </cell>
        </row>
        <row r="612">
          <cell r="K612">
            <v>95.958177771508005</v>
          </cell>
          <cell r="L612">
            <v>65355238</v>
          </cell>
        </row>
        <row r="613">
          <cell r="K613">
            <v>76</v>
          </cell>
          <cell r="L613">
            <v>657681000</v>
          </cell>
        </row>
        <row r="614">
          <cell r="K614">
            <v>72.105553335238</v>
          </cell>
          <cell r="L614">
            <v>23263007</v>
          </cell>
        </row>
        <row r="615">
          <cell r="K615">
            <v>88.6</v>
          </cell>
          <cell r="L615">
            <v>37405000</v>
          </cell>
        </row>
        <row r="616">
          <cell r="K616">
            <v>95.958177771508005</v>
          </cell>
          <cell r="L616">
            <v>25867031</v>
          </cell>
        </row>
        <row r="617">
          <cell r="K617">
            <v>82.9</v>
          </cell>
          <cell r="L617">
            <v>846912000</v>
          </cell>
        </row>
        <row r="618">
          <cell r="K618">
            <v>107.1615082093</v>
          </cell>
          <cell r="L618">
            <v>23285688</v>
          </cell>
        </row>
        <row r="619">
          <cell r="K619">
            <v>85.5</v>
          </cell>
          <cell r="L619">
            <v>66201000</v>
          </cell>
        </row>
        <row r="620">
          <cell r="K620">
            <v>100.22588687651999</v>
          </cell>
          <cell r="L620">
            <v>35511098</v>
          </cell>
        </row>
        <row r="621">
          <cell r="K621">
            <v>80</v>
          </cell>
          <cell r="L621">
            <v>355384000</v>
          </cell>
        </row>
        <row r="622">
          <cell r="K622">
            <v>109.79561218418</v>
          </cell>
          <cell r="L622">
            <v>60593620</v>
          </cell>
        </row>
        <row r="623">
          <cell r="K623">
            <v>81.900000000000006</v>
          </cell>
          <cell r="L623">
            <v>527797000</v>
          </cell>
        </row>
        <row r="624">
          <cell r="K624">
            <v>72.105553335238</v>
          </cell>
          <cell r="L624">
            <v>64569549</v>
          </cell>
        </row>
        <row r="625">
          <cell r="K625">
            <v>82</v>
          </cell>
          <cell r="L625">
            <v>186639000</v>
          </cell>
        </row>
        <row r="626">
          <cell r="K626">
            <v>95.958177771508005</v>
          </cell>
          <cell r="L626">
            <v>20191950</v>
          </cell>
        </row>
        <row r="627">
          <cell r="K627">
            <v>84.9</v>
          </cell>
          <cell r="L627">
            <v>1049052000</v>
          </cell>
        </row>
        <row r="628">
          <cell r="K628">
            <v>109.79561218418</v>
          </cell>
          <cell r="L628">
            <v>56771769</v>
          </cell>
        </row>
        <row r="629">
          <cell r="K629">
            <v>95.7</v>
          </cell>
          <cell r="L629">
            <v>421788000</v>
          </cell>
        </row>
        <row r="630">
          <cell r="K630">
            <v>107.1615082093</v>
          </cell>
          <cell r="L630">
            <v>68648425</v>
          </cell>
        </row>
        <row r="631">
          <cell r="K631">
            <v>85.2</v>
          </cell>
          <cell r="L631">
            <v>69459000</v>
          </cell>
        </row>
        <row r="632">
          <cell r="K632">
            <v>96.211353938038002</v>
          </cell>
          <cell r="L632">
            <v>4222646</v>
          </cell>
        </row>
        <row r="633">
          <cell r="K633">
            <v>86.4</v>
          </cell>
          <cell r="L633">
            <v>30607000</v>
          </cell>
        </row>
        <row r="634">
          <cell r="K634">
            <v>95.958177771508005</v>
          </cell>
          <cell r="L634">
            <v>2978456</v>
          </cell>
        </row>
        <row r="635">
          <cell r="K635">
            <v>82.9</v>
          </cell>
          <cell r="L635">
            <v>199583000</v>
          </cell>
        </row>
        <row r="636">
          <cell r="K636">
            <v>109.79561218418</v>
          </cell>
          <cell r="L636">
            <v>23568781</v>
          </cell>
        </row>
        <row r="637">
          <cell r="K637">
            <v>95.7</v>
          </cell>
          <cell r="L637">
            <v>145586000</v>
          </cell>
        </row>
        <row r="638">
          <cell r="K638">
            <v>93.364041500221006</v>
          </cell>
          <cell r="L638">
            <v>17410492</v>
          </cell>
        </row>
        <row r="639">
          <cell r="K639">
            <v>73.2</v>
          </cell>
          <cell r="L639">
            <v>273817000</v>
          </cell>
        </row>
        <row r="640">
          <cell r="K640">
            <v>107.52442116425</v>
          </cell>
          <cell r="L640">
            <v>14530361</v>
          </cell>
        </row>
        <row r="641">
          <cell r="K641">
            <v>90.8</v>
          </cell>
          <cell r="L641">
            <v>177329000</v>
          </cell>
        </row>
        <row r="642">
          <cell r="K642">
            <v>95.958177771508005</v>
          </cell>
          <cell r="L642">
            <v>14478815</v>
          </cell>
        </row>
        <row r="643">
          <cell r="K643">
            <v>83.4</v>
          </cell>
          <cell r="L643">
            <v>675205000</v>
          </cell>
        </row>
        <row r="644">
          <cell r="K644">
            <v>95.958177771508005</v>
          </cell>
          <cell r="L644">
            <v>868107</v>
          </cell>
        </row>
        <row r="645">
          <cell r="K645">
            <v>82.9</v>
          </cell>
          <cell r="L645">
            <v>38829000</v>
          </cell>
        </row>
        <row r="646">
          <cell r="K646">
            <v>80</v>
          </cell>
          <cell r="L646">
            <v>5122000</v>
          </cell>
        </row>
        <row r="647">
          <cell r="K647">
            <v>47.6</v>
          </cell>
          <cell r="L647">
            <v>73271000</v>
          </cell>
        </row>
        <row r="648">
          <cell r="K648">
            <v>96.211353938038002</v>
          </cell>
          <cell r="L648">
            <v>22667312</v>
          </cell>
        </row>
      </sheetData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692769212961" createdVersion="8" refreshedVersion="8" minRefreshableVersion="3" recordCount="190" xr:uid="{287074B9-16B8-43C5-9EDB-17AB5F6DD19A}">
  <cacheSource type="worksheet">
    <worksheetSource ref="A1:O191" sheet="Sheet1"/>
  </cacheSource>
  <cacheFields count="15">
    <cacheField name="País" numFmtId="0">
      <sharedItems containsBlank="1" count="3">
        <s v="Chile"/>
        <s v="México"/>
        <m u="1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descripcion" numFmtId="0">
      <sharedItems containsBlank="1" count="15">
        <s v="Elaboración de productos alimenticios"/>
        <s v="Fabricación de prendas de vestir"/>
        <s v="Fabricación de productos de cuero y productos conexos"/>
        <s v="Fabricación de vehículos automotores, remolques y semirremolques"/>
        <s v="Comercio al por mayor y al por menor y reparación de vehículos de motor y motocicletas"/>
        <s v="Comercio al por mayor, excepto de vehículos de motor y motocicletas"/>
        <s v="Comercio al por menor, excepto de vehículos de motor y motocicletas"/>
        <s v="Actividades de edición"/>
        <s v="Actividades de programación y radiodifusión"/>
        <s v="Actividades de servicios de información"/>
        <s v="Producción de películas, videos y programas de televisión, grabación de sonido y edición musical"/>
        <s v="Programación de computadoras, consultoría y actividades relacionadas"/>
        <s v="Actividades inmobiliarias"/>
        <s v="Telecomunicaciones"/>
        <m u="1"/>
      </sharedItems>
    </cacheField>
    <cacheField name="VA_div" numFmtId="0">
      <sharedItems containsSemiMixedTypes="0" containsString="0" containsNumber="1" minValue="17635137.859200809" maxValue="121140581694.91544"/>
    </cacheField>
    <cacheField name="CI_div" numFmtId="0">
      <sharedItems containsSemiMixedTypes="0" containsString="0" containsNumber="1" minValue="24271424.80905978" maxValue="337952415301.16199"/>
    </cacheField>
    <cacheField name="VBP_div" numFmtId="0">
      <sharedItems containsSemiMixedTypes="0" containsString="0" containsNumber="1" minValue="51873663.99082569" maxValue="438567516376.67285"/>
    </cacheField>
    <cacheField name="VA_VBP_div" numFmtId="0">
      <sharedItems containsSemiMixedTypes="0" containsString="0" containsNumber="1" minValue="7.5944960757676423" maxValue="81.996873965039299"/>
    </cacheField>
    <cacheField name="conca" numFmtId="0">
      <sharedItems containsBlank="1"/>
    </cacheField>
    <cacheField name="deflactores2dfinal" numFmtId="0">
      <sharedItems containsBlank="1" containsMixedTypes="1" containsNumber="1" minValue="56.539869603998774" maxValue="138.22614999916814"/>
    </cacheField>
    <cacheField name="emp" numFmtId="0">
      <sharedItems containsSemiMixedTypes="0" containsString="0" containsNumber="1" minValue="792" maxValue="10526777"/>
    </cacheField>
    <cacheField name="rem" numFmtId="0">
      <sharedItems containsSemiMixedTypes="0" containsString="0" containsNumber="1" minValue="4900.1416433661661" maxValue="23925162050.320278"/>
    </cacheField>
    <cacheField name="consumo_energía" numFmtId="0">
      <sharedItems containsBlank="1"/>
    </cacheField>
    <cacheField name="horas" numFmtId="0">
      <sharedItems containsBlank="1"/>
    </cacheField>
    <cacheField name="VA_defl" numFmtId="0">
      <sharedItems containsMixedTypes="1" containsNumber="1" minValue="17185604.450174056" maxValue="100615101075.51086"/>
    </cacheField>
    <cacheField name="prod_trab" numFmtId="0">
      <sharedItems containsMixedTypes="1" containsNumber="1" minValue="1230.9291994196576" maxValue="109729.039441691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692772453702" createdVersion="8" refreshedVersion="8" minRefreshableVersion="3" recordCount="190" xr:uid="{1D6EBC4F-980B-4472-B622-E2C64EEDC513}">
  <cacheSource type="worksheet">
    <worksheetSource ref="A1:P191" sheet="Sheet1"/>
  </cacheSource>
  <cacheFields count="16">
    <cacheField name="País" numFmtId="0">
      <sharedItems count="2">
        <s v="Chile"/>
        <s v="México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descripcion" numFmtId="0">
      <sharedItems count="14">
        <s v="Elaboración de productos alimenticios"/>
        <s v="Fabricación de prendas de vestir"/>
        <s v="Fabricación de productos de cuero y productos conexos"/>
        <s v="Fabricación de vehículos automotores, remolques y semirremolques"/>
        <s v="Comercio al por mayor y al por menor y reparación de vehículos de motor y motocicletas"/>
        <s v="Comercio al por mayor, excepto de vehículos de motor y motocicletas"/>
        <s v="Comercio al por menor, excepto de vehículos de motor y motocicletas"/>
        <s v="Actividades de edición"/>
        <s v="Actividades de programación y radiodifusión"/>
        <s v="Actividades de servicios de información"/>
        <s v="Producción de películas, videos y programas de televisión, grabación de sonido y edición musical"/>
        <s v="Programación de computadoras, consultoría y actividades relacionadas"/>
        <s v="Actividades inmobiliarias"/>
        <s v="Telecomunicaciones"/>
      </sharedItems>
    </cacheField>
    <cacheField name="VA_div" numFmtId="0">
      <sharedItems containsSemiMixedTypes="0" containsString="0" containsNumber="1" minValue="17635137.859200809" maxValue="121140581694.91544"/>
    </cacheField>
    <cacheField name="CI_div" numFmtId="0">
      <sharedItems containsSemiMixedTypes="0" containsString="0" containsNumber="1" minValue="24271424.80905978" maxValue="337952415301.16199"/>
    </cacheField>
    <cacheField name="VBP_div" numFmtId="0">
      <sharedItems containsSemiMixedTypes="0" containsString="0" containsNumber="1" minValue="51873663.99082569" maxValue="438567516376.67285"/>
    </cacheField>
    <cacheField name="VA_VBP_div" numFmtId="0">
      <sharedItems containsSemiMixedTypes="0" containsString="0" containsNumber="1" minValue="7.5944960757676423" maxValue="81.996873965039299"/>
    </cacheField>
    <cacheField name="conca" numFmtId="0">
      <sharedItems containsBlank="1"/>
    </cacheField>
    <cacheField name="deflactores2dfinal" numFmtId="0">
      <sharedItems containsBlank="1" containsMixedTypes="1" containsNumber="1" minValue="56.539869603998774" maxValue="138.22614999916814"/>
    </cacheField>
    <cacheField name="emp" numFmtId="0">
      <sharedItems containsSemiMixedTypes="0" containsString="0" containsNumber="1" minValue="792" maxValue="10526777"/>
    </cacheField>
    <cacheField name="rem" numFmtId="0">
      <sharedItems containsSemiMixedTypes="0" containsString="0" containsNumber="1" minValue="4900.1416433661661" maxValue="23925162050.320278"/>
    </cacheField>
    <cacheField name="consumo_energía" numFmtId="0">
      <sharedItems containsBlank="1"/>
    </cacheField>
    <cacheField name="horas" numFmtId="0">
      <sharedItems containsBlank="1"/>
    </cacheField>
    <cacheField name="VA_defl" numFmtId="0">
      <sharedItems containsMixedTypes="1" containsNumber="1" minValue="17185604.450174056" maxValue="100615101075.51086"/>
    </cacheField>
    <cacheField name="prod_trab" numFmtId="0">
      <sharedItems containsMixedTypes="1" containsNumber="1" minValue="1230.9291994196576" maxValue="109729.03944169141"/>
    </cacheField>
    <cacheField name="Rem_emp" numFmtId="0">
      <sharedItems containsSemiMixedTypes="0" containsString="0" containsNumber="1" minValue="0.14985142640263505" maxValue="21206.0959049835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n v="5717750416.209672"/>
    <n v="15325576438.67857"/>
    <n v="21043326865.704231"/>
    <n v="27.171323492238709"/>
    <s v="Chile2016Elaboración de productos alimenticios"/>
    <n v="96.618124512281994"/>
    <n v="150226.25"/>
    <n v="1842436235.4716952"/>
    <s v=""/>
    <s v=""/>
    <n v="5917885950.5628653"/>
    <n v="39393.154994968361"/>
  </r>
  <r>
    <x v="0"/>
    <x v="0"/>
    <x v="1"/>
    <n v="123489233.58292609"/>
    <n v="225631823.6353479"/>
    <n v="349121057.21827412"/>
    <n v="35.371465292544457"/>
    <s v="Chile2016Fabricación de prendas de vestir"/>
    <n v="117.9376128321"/>
    <n v="8550"/>
    <n v="90233466.208546981"/>
    <s v=""/>
    <s v=""/>
    <n v="104707252.09499498"/>
    <n v="12246.462233332746"/>
  </r>
  <r>
    <x v="0"/>
    <x v="0"/>
    <x v="2"/>
    <n v="146282997.89322799"/>
    <n v="139299053.3114379"/>
    <n v="285582051.2046659"/>
    <n v="51.222756218804697"/>
    <s v="Chile2016Fabricación de productos de cuero y productos conexos"/>
    <n v="117.9376128321"/>
    <n v="5885.75"/>
    <n v="67650512.378484622"/>
    <s v=""/>
    <s v=""/>
    <n v="124034219.77133067"/>
    <n v="21073.647329793257"/>
  </r>
  <r>
    <x v="0"/>
    <x v="0"/>
    <x v="3"/>
    <n v="17635137.859200809"/>
    <n v="76040541.856078655"/>
    <n v="93675679.622954637"/>
    <n v="18.825737833109269"/>
    <s v="Chile2016Fabricación de vehículos automotores, remolques y semirremolques"/>
    <n v="101.10423088160999"/>
    <n v="1132.75"/>
    <n v="17844337.034362689"/>
    <s v=""/>
    <s v=""/>
    <n v="17442532.033947248"/>
    <n v="15398.395086247847"/>
  </r>
  <r>
    <x v="0"/>
    <x v="0"/>
    <x v="4"/>
    <n v="1437572717.147887"/>
    <n v="1464741293.590282"/>
    <n v="2886368656.3604069"/>
    <n v="49.805582318116208"/>
    <s v="Chile2016Comercio al por mayor y al por menor y reparación de vehículos de motor y motocicletas"/>
    <n v="99.274640339339996"/>
    <n v="436535"/>
    <n v="874553181.79707634"/>
    <s v=""/>
    <s v=""/>
    <n v="1448076479.7877729"/>
    <n v="3317.2059051113265"/>
  </r>
  <r>
    <x v="0"/>
    <x v="0"/>
    <x v="5"/>
    <n v="6047645256.1433306"/>
    <n v="7949824911.440237"/>
    <n v="13989509558.35634"/>
    <n v="43.229858994812993"/>
    <s v="Chile2016Comercio al por mayor, excepto de vehículos de motor y motocicletas"/>
    <n v="99.274640339339996"/>
    <n v="1533942"/>
    <n v="3097459605.4570727"/>
    <s v=""/>
    <s v=""/>
    <n v="6091832954.9936466"/>
    <n v="3971.3580793756523"/>
  </r>
  <r>
    <x v="0"/>
    <x v="0"/>
    <x v="6"/>
    <n v="6204922234.204154"/>
    <n v="6339195954.9405451"/>
    <n v="12540195102.2833"/>
    <n v="49.48026871666751"/>
    <s v="Chile2016Comercio al por menor, excepto de vehículos de motor y motocicletas"/>
    <n v="99.274640339339996"/>
    <n v="2597511"/>
    <n v="2712591055.8748131"/>
    <s v=""/>
    <s v=""/>
    <n v="6250259092.3467722"/>
    <n v="2406.2493257378978"/>
  </r>
  <r>
    <x v="0"/>
    <x v="0"/>
    <x v="7"/>
    <n v="221276542.12983009"/>
    <n v="153406479.41594589"/>
    <n v="374683021.54577589"/>
    <n v="59.056997356576566"/>
    <s v="Chile2016Actividades de edición"/>
    <n v="108.15408937171394"/>
    <n v="53031"/>
    <n v="135734330.38357136"/>
    <s v=""/>
    <s v=""/>
    <n v="204593782.27422035"/>
    <n v="3858.0034748396288"/>
  </r>
  <r>
    <x v="0"/>
    <x v="0"/>
    <x v="8"/>
    <n v="473101103.58037567"/>
    <n v="198599342.0882203"/>
    <n v="671700445.66859603"/>
    <n v="70.433346684690846"/>
    <s v="Chile2016Actividades de programación y radiodifusión"/>
    <n v="108.15408937171394"/>
    <n v="85757"/>
    <n v="182967614.37973905"/>
    <s v=""/>
    <s v=""/>
    <n v="437432469.10838318"/>
    <n v="5100.8368892146782"/>
  </r>
  <r>
    <x v="0"/>
    <x v="0"/>
    <x v="9"/>
    <n v="233900934.38500071"/>
    <n v="199968219.27310091"/>
    <n v="433869153.65810168"/>
    <n v="53.910477943154213"/>
    <s v="Chile2016Actividades de servicios de información"/>
    <n v="108.15408937171394"/>
    <n v="47839"/>
    <n v="126440679.29575075"/>
    <s v=""/>
    <s v=""/>
    <n v="216266380.44272965"/>
    <n v="4520.7128167965393"/>
  </r>
  <r>
    <x v="0"/>
    <x v="0"/>
    <x v="10"/>
    <n v="171742536.95555741"/>
    <n v="108786156.179094"/>
    <n v="280528693.13465142"/>
    <n v="61.221023431325953"/>
    <s v="Chile2016Producción de películas, videos y programas de televisión, grabación de sonido y edición musical"/>
    <n v="108.15408937171394"/>
    <n v="23808"/>
    <n v="50080661.162225857"/>
    <s v=""/>
    <s v=""/>
    <n v="158794307.22706825"/>
    <n v="6669.7877699541432"/>
  </r>
  <r>
    <x v="0"/>
    <x v="0"/>
    <x v="11"/>
    <n v="962217929.29925251"/>
    <n v="818456821.59905183"/>
    <n v="1780674750.898304"/>
    <n v="54.036703155016852"/>
    <s v="Chile2016Programación de computadoras, consultoría y actividades relacionadas"/>
    <n v="108.15408937171394"/>
    <n v="217507"/>
    <n v="716382437.45250332"/>
    <s v=""/>
    <s v=""/>
    <n v="889673182.85322845"/>
    <n v="4090.3197729416911"/>
  </r>
  <r>
    <x v="0"/>
    <x v="1"/>
    <x v="0"/>
    <n v="7853574067.9128141"/>
    <n v="16496365273.74365"/>
    <n v="24349939341.656471"/>
    <n v="32.252951260857451"/>
    <s v="Chile2017Elaboración de productos alimenticios"/>
    <n v="98.723825004638996"/>
    <n v="155407.25"/>
    <n v="1855568993.0315907"/>
    <s v=""/>
    <s v=""/>
    <n v="7955095001.175024"/>
    <n v="51188.699376477118"/>
  </r>
  <r>
    <x v="0"/>
    <x v="1"/>
    <x v="1"/>
    <n v="177953052.49227461"/>
    <n v="196562999.5045079"/>
    <n v="374516051.9967826"/>
    <n v="47.515467372758543"/>
    <s v="Chile2017Fabricación de prendas de vestir"/>
    <n v="111.61986215915999"/>
    <n v="26102.75"/>
    <n v="79887217.021222293"/>
    <s v=""/>
    <s v=""/>
    <n v="159427765.85633963"/>
    <n v="6107.6999877920771"/>
  </r>
  <r>
    <x v="0"/>
    <x v="1"/>
    <x v="2"/>
    <n v="160454162.04988059"/>
    <n v="167705190.05068791"/>
    <n v="328159352.10056847"/>
    <n v="48.895197111648187"/>
    <s v="Chile2017Fabricación de productos de cuero y productos conexos"/>
    <n v="111.61986215915999"/>
    <n v="6236.25"/>
    <n v="78835530.121149704"/>
    <s v=""/>
    <s v=""/>
    <n v="143750546.67339334"/>
    <n v="23050.799226040224"/>
  </r>
  <r>
    <x v="0"/>
    <x v="1"/>
    <x v="3"/>
    <n v="28604848.902331568"/>
    <n v="68586565.477414787"/>
    <n v="97191414.379746363"/>
    <n v="29.43145655908112"/>
    <s v="Chile2017Fabricación de vehículos automotores, remolques y semirremolques"/>
    <n v="98.189528995325006"/>
    <n v="1155.5"/>
    <n v="18442442.635550343"/>
    <s v=""/>
    <s v=""/>
    <n v="29132280.391826201"/>
    <n v="25211.839369819299"/>
  </r>
  <r>
    <x v="0"/>
    <x v="1"/>
    <x v="4"/>
    <n v="2663148124.6631312"/>
    <n v="2550357680.5543652"/>
    <n v="5189625164.7711496"/>
    <n v="51.316772215871012"/>
    <s v="Chile2017Comercio al por mayor y al por menor y reparación de vehículos de motor y motocicletas"/>
    <n v="101.26878117755"/>
    <n v="1069501.3549697197"/>
    <n v="1646869016.0601971"/>
    <s v=""/>
    <s v=""/>
    <n v="2629781946.3176451"/>
    <n v="2458.8860351580397"/>
  </r>
  <r>
    <x v="0"/>
    <x v="1"/>
    <x v="5"/>
    <n v="10926274699.948811"/>
    <n v="12048165667.918209"/>
    <n v="22935132364.87072"/>
    <n v="47.639902513422463"/>
    <s v="Chile2017Comercio al por mayor, excepto de vehículos de motor y motocicletas"/>
    <n v="101.26878117755"/>
    <n v="2949275.4354308341"/>
    <n v="5736760578.204258"/>
    <s v=""/>
    <s v=""/>
    <n v="10789381063.836708"/>
    <n v="3658.3158474178185"/>
  </r>
  <r>
    <x v="0"/>
    <x v="1"/>
    <x v="6"/>
    <n v="9152808232.8743668"/>
    <n v="9103286653.2380962"/>
    <n v="18182206380.230881"/>
    <n v="50.339370489304393"/>
    <s v="Chile2017Comercio al por menor, excepto de vehículos de motor y motocicletas"/>
    <n v="101.26878117755"/>
    <n v="5132406.641346436"/>
    <n v="4985591757.8208666"/>
    <s v=""/>
    <s v=""/>
    <n v="9038134088.7545204"/>
    <n v="1760.9933741305142"/>
  </r>
  <r>
    <x v="0"/>
    <x v="1"/>
    <x v="7"/>
    <n v="232855243.8598817"/>
    <n v="163686312.59894809"/>
    <n v="396541556.45882982"/>
    <n v="58.721523650461961"/>
    <s v="Chile2017Actividades de edición"/>
    <n v="105.31818429636112"/>
    <n v="52177"/>
    <n v="160562298.37046134"/>
    <s v=""/>
    <s v=""/>
    <n v="221096903.08051309"/>
    <n v="4237.4399271808097"/>
  </r>
  <r>
    <x v="0"/>
    <x v="1"/>
    <x v="8"/>
    <n v="534889361.43448663"/>
    <n v="182821707.73655531"/>
    <n v="717711069.17104197"/>
    <n v="74.527116051349907"/>
    <s v="Chile2017Actividades de programación y radiodifusión"/>
    <n v="105.31818429636112"/>
    <n v="71194"/>
    <n v="193410228.36907083"/>
    <s v=""/>
    <s v=""/>
    <n v="507879398.99279839"/>
    <n v="7133.7387840660504"/>
  </r>
  <r>
    <x v="0"/>
    <x v="1"/>
    <x v="9"/>
    <n v="292664536.22827059"/>
    <n v="251306842.9235771"/>
    <n v="543971379.15184772"/>
    <n v="53.801458577579737"/>
    <s v="Chile2017Actividades de servicios de información"/>
    <n v="105.31818429636112"/>
    <n v="51085"/>
    <n v="156873672.67417011"/>
    <s v=""/>
    <s v=""/>
    <n v="277886044.26062304"/>
    <n v="5439.6798328398363"/>
  </r>
  <r>
    <x v="0"/>
    <x v="1"/>
    <x v="10"/>
    <n v="129505070.4179756"/>
    <n v="125226922.4058564"/>
    <n v="254731992.82383209"/>
    <n v="50.839735120173508"/>
    <s v="Chile2017Producción de películas, videos y programas de televisión, grabación de sonido y edición musical"/>
    <n v="105.31818429636112"/>
    <n v="22494"/>
    <n v="30839505.013866384"/>
    <s v=""/>
    <s v=""/>
    <n v="122965536.56256887"/>
    <n v="5466.5927163940996"/>
  </r>
  <r>
    <x v="0"/>
    <x v="1"/>
    <x v="11"/>
    <n v="929232339.43412805"/>
    <n v="760538086.37790501"/>
    <n v="1689770425.8120329"/>
    <n v="54.991632309316692"/>
    <s v="Chile2017Programación de computadoras, consultoría y actividades relacionadas"/>
    <n v="105.31818429636112"/>
    <n v="228857"/>
    <n v="641044464.30633497"/>
    <s v=""/>
    <s v=""/>
    <n v="882309494.45473325"/>
    <n v="3855.2873386207689"/>
  </r>
  <r>
    <x v="0"/>
    <x v="2"/>
    <x v="0"/>
    <n v="9289895971.0436783"/>
    <n v="16899353082.408899"/>
    <n v="26189248055.011971"/>
    <n v="35.472175266467119"/>
    <s v="Chile2018Elaboración de productos alimenticios"/>
    <n v="99.999999999999005"/>
    <n v="199351"/>
    <n v="2110006072.5781276"/>
    <s v=""/>
    <s v=""/>
    <n v="9289895971.0437698"/>
    <n v="46600.699123875827"/>
  </r>
  <r>
    <x v="0"/>
    <x v="2"/>
    <x v="1"/>
    <n v="673413033.49960494"/>
    <n v="168015321.6281105"/>
    <n v="841428355.12771523"/>
    <n v="80.032129817801518"/>
    <s v="Chile2018Fabricación de prendas de vestir"/>
    <n v="99.999999999999005"/>
    <n v="7589"/>
    <n v="74067979.74322246"/>
    <s v=""/>
    <s v=""/>
    <n v="673413033.49961162"/>
    <n v="88735.410923654184"/>
  </r>
  <r>
    <x v="0"/>
    <x v="2"/>
    <x v="2"/>
    <n v="159814900.38591039"/>
    <n v="162657116.04514289"/>
    <n v="322472016.43105328"/>
    <n v="49.559308170257907"/>
    <s v="Chile2018Fabricación de productos de cuero y productos conexos"/>
    <n v="99.999999999999005"/>
    <n v="6350"/>
    <n v="84012193.9578408"/>
    <s v=""/>
    <s v=""/>
    <n v="159814900.38591197"/>
    <n v="25167.700848175115"/>
  </r>
  <r>
    <x v="0"/>
    <x v="2"/>
    <x v="3"/>
    <n v="85727609.150188297"/>
    <n v="257151841.08239341"/>
    <n v="342879450.23258168"/>
    <n v="25.00225927568351"/>
    <s v="Chile2018Fabricación de vehículos automotores, remolques y semirremolques"/>
    <n v="100"/>
    <n v="2143"/>
    <n v="37746538.607640289"/>
    <s v=""/>
    <s v=""/>
    <n v="85727609.150188297"/>
    <n v="40003.550700041204"/>
  </r>
  <r>
    <x v="0"/>
    <x v="2"/>
    <x v="4"/>
    <n v="2671594987.8916011"/>
    <n v="2832290312.9223838"/>
    <n v="5443090090.9452839"/>
    <n v="49.082321682234621"/>
    <s v="Chile2018Comercio al por mayor y al por menor y reparación de vehículos de motor y motocicletas"/>
    <n v="100"/>
    <n v="1163244.1826296144"/>
    <n v="1839473970.5561841"/>
    <s v=""/>
    <s v=""/>
    <n v="2671594987.8916011"/>
    <n v="2296.6759926984796"/>
  </r>
  <r>
    <x v="0"/>
    <x v="2"/>
    <x v="5"/>
    <n v="12254744102.258949"/>
    <n v="12931053495.523939"/>
    <n v="25178067419.183578"/>
    <n v="48.672298386657999"/>
    <s v="Chile2018Comercio al por mayor, excepto de vehículos de motor y motocicletas"/>
    <n v="100"/>
    <n v="3434103.8420046046"/>
    <n v="6668685887.9729185"/>
    <s v=""/>
    <s v=""/>
    <n v="12254744102.258949"/>
    <n v="3568.5420901848538"/>
  </r>
  <r>
    <x v="0"/>
    <x v="2"/>
    <x v="6"/>
    <n v="8133214447.8493414"/>
    <n v="12424337248.514759"/>
    <n v="20530055761.538479"/>
    <n v="39.616134229339551"/>
    <s v="Chile2018Comercio al por menor, excepto de vehículos de motor y motocicletas"/>
    <n v="100"/>
    <n v="6607377.9480443569"/>
    <n v="5960309451.9005432"/>
    <s v=""/>
    <s v=""/>
    <n v="8133214447.8493404"/>
    <n v="1230.9291994196576"/>
  </r>
  <r>
    <x v="0"/>
    <x v="2"/>
    <x v="7"/>
    <n v="190382771.54636431"/>
    <n v="185993596.78961441"/>
    <n v="376376368.33597869"/>
    <n v="50.583083201551027"/>
    <s v="Chile2018Actividades de edición"/>
    <n v="100"/>
    <n v="63409"/>
    <n v="149890454.54548198"/>
    <s v=""/>
    <s v=""/>
    <n v="190382771.54636431"/>
    <n v="3002.4566157227573"/>
  </r>
  <r>
    <x v="0"/>
    <x v="2"/>
    <x v="8"/>
    <n v="539678379.05308473"/>
    <n v="175130559.39599711"/>
    <n v="714808938.44908178"/>
    <n v="75.499668516180392"/>
    <s v="Chile2018Actividades de programación y radiodifusión"/>
    <n v="100"/>
    <n v="69744"/>
    <n v="195633698.96396202"/>
    <s v=""/>
    <s v=""/>
    <n v="539678379.05308473"/>
    <n v="7737.9900644225272"/>
  </r>
  <r>
    <x v="0"/>
    <x v="2"/>
    <x v="9"/>
    <n v="352154929.66314179"/>
    <n v="296130395.06597358"/>
    <n v="648285324.72911537"/>
    <n v="54.320978160393949"/>
    <s v="Chile2018Actividades de servicios de información"/>
    <n v="100"/>
    <n v="57966"/>
    <n v="187381147.34792203"/>
    <s v=""/>
    <s v=""/>
    <n v="352154929.66314179"/>
    <n v="6075.1980413197698"/>
  </r>
  <r>
    <x v="0"/>
    <x v="2"/>
    <x v="10"/>
    <n v="166832729.36132681"/>
    <n v="174027450.7452766"/>
    <n v="340860180.10660338"/>
    <n v="48.944622780270237"/>
    <s v="Chile2018Producción de películas, videos y programas de televisión, grabación de sonido y edición musical"/>
    <n v="100"/>
    <n v="33703"/>
    <n v="48344274.061239436"/>
    <s v=""/>
    <s v=""/>
    <n v="166832729.36132681"/>
    <n v="4950.0854333835805"/>
  </r>
  <r>
    <x v="0"/>
    <x v="2"/>
    <x v="11"/>
    <n v="963533635.41311502"/>
    <n v="856955437.65606654"/>
    <n v="1820489073.069181"/>
    <n v="52.927185868173531"/>
    <s v="Chile2018Programación de computadoras, consultoría y actividades relacionadas"/>
    <n v="100"/>
    <n v="194170"/>
    <n v="668088471.7340349"/>
    <s v=""/>
    <s v=""/>
    <n v="963533635.41311514"/>
    <n v="4962.3197992126234"/>
  </r>
  <r>
    <x v="0"/>
    <x v="3"/>
    <x v="0"/>
    <n v="7685209746.2227783"/>
    <n v="16556121932.33037"/>
    <n v="24241331677.13047"/>
    <n v="31.70291900041568"/>
    <s v="Chile2019Elaboración de productos alimenticios"/>
    <n v="101.52099705321"/>
    <n v="167758"/>
    <n v="2046898707.0248907"/>
    <s v=""/>
    <s v=""/>
    <n v="7570069216.513649"/>
    <n v="45124.937210229313"/>
  </r>
  <r>
    <x v="0"/>
    <x v="3"/>
    <x v="1"/>
    <n v="101004331.1032135"/>
    <n v="151376215.90963519"/>
    <n v="252380547.01284871"/>
    <n v="40.020648302212997"/>
    <s v="Chile2019Fabricación de prendas de vestir"/>
    <n v="84.562992854463005"/>
    <n v="6673"/>
    <n v="62783543.634543635"/>
    <s v=""/>
    <s v=""/>
    <n v="119442710.92326029"/>
    <n v="17899.40220639297"/>
  </r>
  <r>
    <x v="0"/>
    <x v="3"/>
    <x v="2"/>
    <n v="113688972.8643228"/>
    <n v="98814455.38224335"/>
    <n v="212503428.24656609"/>
    <n v="53.499830003876603"/>
    <s v="Chile2019Fabricación de productos de cuero y productos conexos"/>
    <n v="84.562992854463005"/>
    <n v="5140"/>
    <n v="66940501.543639198"/>
    <s v=""/>
    <s v=""/>
    <n v="134442938.95792809"/>
    <n v="26156.213805044375"/>
  </r>
  <r>
    <x v="0"/>
    <x v="3"/>
    <x v="3"/>
    <n v="29829824.846405119"/>
    <n v="64386861.506862871"/>
    <n v="94216684.930585295"/>
    <n v="31.660872878707661"/>
    <s v="Chile2019Fabricación de vehículos automotores, remolques y semirremolques"/>
    <n v="106.59709315790001"/>
    <n v="1538"/>
    <n v="18473140.721843205"/>
    <s v=""/>
    <s v=""/>
    <n v="27983713.216474704"/>
    <n v="18194.872052324255"/>
  </r>
  <r>
    <x v="0"/>
    <x v="3"/>
    <x v="4"/>
    <n v="2159516916.976234"/>
    <n v="2506000885.0842428"/>
    <n v="4665088394.8687077"/>
    <n v="46.291018179881902"/>
    <s v="Chile2019Comercio al por mayor y al por menor y reparación de vehículos de motor y motocicletas"/>
    <n v="100.87565811829"/>
    <n v="996897.17690744577"/>
    <n v="1595370245.2815833"/>
    <s v=""/>
    <s v=""/>
    <n v="2140771081.2096171"/>
    <n v="2147.4341896028573"/>
  </r>
  <r>
    <x v="0"/>
    <x v="3"/>
    <x v="5"/>
    <n v="10763940909.536461"/>
    <n v="11623045164.2367"/>
    <n v="22295096993.570999"/>
    <n v="48.279408305065218"/>
    <s v="Chile2019Comercio al por mayor, excepto de vehículos de motor y motocicletas"/>
    <n v="100.87565811829"/>
    <n v="2923247.4461379093"/>
    <n v="5854519569.5592613"/>
    <s v=""/>
    <s v=""/>
    <n v="10670503776.951145"/>
    <n v="3650.2225602039389"/>
  </r>
  <r>
    <x v="0"/>
    <x v="3"/>
    <x v="6"/>
    <n v="7011004291.9798794"/>
    <n v="10718593081.32963"/>
    <n v="17711355513.733398"/>
    <n v="39.584797936801287"/>
    <s v="Chile2019Comercio al por menor, excepto de vehículos de motor y motocicletas"/>
    <n v="100.87565811829"/>
    <n v="4888129.6885769451"/>
    <n v="5318223200.9883623"/>
    <s v=""/>
    <s v=""/>
    <n v="6950144784.9376631"/>
    <n v="1421.8413233141982"/>
  </r>
  <r>
    <x v="0"/>
    <x v="3"/>
    <x v="7"/>
    <n v="153827115.4928517"/>
    <n v="155759250.9032374"/>
    <n v="309586366.39608908"/>
    <n v="49.687948885980063"/>
    <s v="Chile2019Actividades de edición"/>
    <n v="98.531452356655734"/>
    <n v="40762"/>
    <n v="129852752.43630642"/>
    <s v=""/>
    <s v=""/>
    <n v="156119809.2727198"/>
    <n v="3830.0331012393849"/>
  </r>
  <r>
    <x v="0"/>
    <x v="3"/>
    <x v="8"/>
    <n v="415123602.15612841"/>
    <n v="139880399.10815489"/>
    <n v="555004001.2642833"/>
    <n v="74.79650618923263"/>
    <s v="Chile2019Actividades de programación y radiodifusión"/>
    <n v="98.531452356655734"/>
    <n v="55417"/>
    <n v="157662834.49460119"/>
    <s v=""/>
    <s v=""/>
    <n v="421310751.2649864"/>
    <n v="7602.5542931769387"/>
  </r>
  <r>
    <x v="0"/>
    <x v="3"/>
    <x v="9"/>
    <n v="406255503.05671197"/>
    <n v="322383306.19310862"/>
    <n v="728638809.24982047"/>
    <n v="55.755402800322649"/>
    <s v="Chile2019Actividades de servicios de información"/>
    <n v="98.531452356655734"/>
    <n v="58359"/>
    <n v="190550671.69246268"/>
    <s v=""/>
    <s v=""/>
    <n v="412310478.87752938"/>
    <n v="7065.0710066575748"/>
  </r>
  <r>
    <x v="0"/>
    <x v="3"/>
    <x v="10"/>
    <n v="152077119.03459561"/>
    <n v="127998096.3255339"/>
    <n v="280075215.36012948"/>
    <n v="54.298670747802547"/>
    <s v="Chile2019Producción de películas, videos y programas de televisión, grabación de sonido y edición musical"/>
    <n v="98.531452356655734"/>
    <n v="39876"/>
    <n v="46848236.944726467"/>
    <s v=""/>
    <s v=""/>
    <n v="154343730.24779931"/>
    <n v="3870.5920916791883"/>
  </r>
  <r>
    <x v="0"/>
    <x v="3"/>
    <x v="11"/>
    <n v="710672075.27891231"/>
    <n v="625397420.57671332"/>
    <n v="1336069495.8556261"/>
    <n v="53.19125071587645"/>
    <s v="Chile2019Programación de computadoras, consultoría y actividades relacionadas"/>
    <n v="98.531452356655734"/>
    <n v="186728"/>
    <n v="494466314.49210656"/>
    <s v=""/>
    <s v=""/>
    <n v="721264183.44721258"/>
    <n v="3862.6461133156922"/>
  </r>
  <r>
    <x v="0"/>
    <x v="4"/>
    <x v="0"/>
    <n v="6164601705.3821974"/>
    <n v="17287186392.780251"/>
    <n v="23451789096.90099"/>
    <n v="26.286274705569539"/>
    <s v="Chile2020Elaboración de productos alimenticios"/>
    <n v="107.43342807145"/>
    <n v="162764"/>
    <n v="2240289028.6659007"/>
    <s v=""/>
    <s v=""/>
    <n v="5738066648.3828001"/>
    <n v="35253.905337684009"/>
  </r>
  <r>
    <x v="0"/>
    <x v="4"/>
    <x v="1"/>
    <n v="82397349.929603919"/>
    <n v="72311582.797550336"/>
    <n v="154708932.72715431"/>
    <n v="53.259594308571991"/>
    <s v="Chile2020Fabricación de prendas de vestir"/>
    <n v="71.728747032472995"/>
    <n v="4408"/>
    <n v="37521298.336932547"/>
    <s v=""/>
    <s v=""/>
    <n v="114873538.62782663"/>
    <n v="26060.24016057773"/>
  </r>
  <r>
    <x v="0"/>
    <x v="4"/>
    <x v="2"/>
    <n v="36573567.523336358"/>
    <n v="45342476.861229479"/>
    <n v="81916044.384565845"/>
    <n v="44.647624037651092"/>
    <s v="Chile2020Fabricación de productos de cuero y productos conexos"/>
    <n v="71.728747032472995"/>
    <n v="1373"/>
    <n v="13119727.593462285"/>
    <s v=""/>
    <s v=""/>
    <n v="50988716.56963253"/>
    <n v="37136.720007015683"/>
  </r>
  <r>
    <x v="0"/>
    <x v="4"/>
    <x v="3"/>
    <n v="23431296.235318851"/>
    <n v="45032561.926926062"/>
    <n v="68463858.162244916"/>
    <n v="34.224329250904347"/>
    <s v="Chile2020Fabricación de vehículos automotores, remolques y semirremolques"/>
    <n v="113.44450268036999"/>
    <n v="1391"/>
    <n v="14422492.267172242"/>
    <s v=""/>
    <s v=""/>
    <n v="20654413.110996269"/>
    <n v="14848.607556431538"/>
  </r>
  <r>
    <x v="0"/>
    <x v="4"/>
    <x v="4"/>
    <n v="2012463447.2970431"/>
    <n v="2189781758.2458529"/>
    <n v="4195483794.899055"/>
    <n v="47.967375055621289"/>
    <s v="Chile2020Comercio al por mayor y al por menor y reparación de vehículos de motor y motocicletas"/>
    <n v="107.49939219849"/>
    <n v="1049347.4273542541"/>
    <n v="1482262058.3252363"/>
    <s v=""/>
    <s v=""/>
    <n v="1872069605.3622072"/>
    <n v="1784.0322056940695"/>
  </r>
  <r>
    <x v="0"/>
    <x v="4"/>
    <x v="5"/>
    <n v="12085481302.715321"/>
    <n v="9733193319.1164608"/>
    <n v="21733083448.473381"/>
    <n v="55.608682179721939"/>
    <s v="Chile2020Comercio al por mayor, excepto de vehículos de motor y motocicletas"/>
    <n v="107.49939219849"/>
    <n v="3420807.4508339646"/>
    <n v="5960012166.9037151"/>
    <s v=""/>
    <s v=""/>
    <n v="11242371752.577295"/>
    <n v="3286.4672783136325"/>
  </r>
  <r>
    <x v="0"/>
    <x v="4"/>
    <x v="6"/>
    <n v="7756337204.355916"/>
    <n v="8982839607.4394379"/>
    <n v="16535297402.314831"/>
    <n v="46.907757481701431"/>
    <s v="Chile2020Comercio al por menor, excepto de vehículos de motor y motocicletas"/>
    <n v="107.49939219849"/>
    <n v="4905171.4620105159"/>
    <n v="4755279704.9956017"/>
    <s v=""/>
    <s v=""/>
    <n v="7215238194.1233578"/>
    <n v="1470.9451545177992"/>
  </r>
  <r>
    <x v="0"/>
    <x v="4"/>
    <x v="7"/>
    <n v="105418072.3918843"/>
    <n v="101682062.1008302"/>
    <n v="207100134.49271461"/>
    <n v="50.901981618748181"/>
    <s v="Chile2020Actividades de edición"/>
    <n v="91.363838200919872"/>
    <n v="49914"/>
    <n v="110819431.1027178"/>
    <s v=""/>
    <s v=""/>
    <n v="115382709.9076743"/>
    <n v="2311.6302021010997"/>
  </r>
  <r>
    <x v="0"/>
    <x v="4"/>
    <x v="8"/>
    <n v="293142701.81583369"/>
    <n v="126168861.4065093"/>
    <n v="419311563.22234303"/>
    <n v="69.910474102616789"/>
    <s v="Chile2020Actividades de programación y radiodifusión"/>
    <n v="91.363838200919872"/>
    <n v="47046"/>
    <n v="123605021.05341886"/>
    <s v=""/>
    <s v=""/>
    <n v="320851999.6403591"/>
    <n v="6819.9634323929577"/>
  </r>
  <r>
    <x v="0"/>
    <x v="4"/>
    <x v="9"/>
    <n v="462770622.95280528"/>
    <n v="375378914.34657389"/>
    <n v="838149537.29937923"/>
    <n v="55.213372120195771"/>
    <s v="Chile2020Actividades de servicios de información"/>
    <n v="91.363838200919872"/>
    <n v="67536"/>
    <n v="226370445.74529937"/>
    <s v=""/>
    <s v=""/>
    <n v="506513990.72696352"/>
    <n v="7499.9110211881589"/>
  </r>
  <r>
    <x v="0"/>
    <x v="4"/>
    <x v="10"/>
    <n v="57920179.409137733"/>
    <n v="45463936.045749336"/>
    <n v="103384115.45488711"/>
    <n v="56.024253971986539"/>
    <s v="Chile2020Producción de películas, videos y programas de televisión, grabación de sonido y edición musical"/>
    <n v="91.363838200919872"/>
    <n v="33864"/>
    <n v="27722497.513400491"/>
    <s v=""/>
    <s v=""/>
    <n v="63395081.193682365"/>
    <n v="1872.0494092157562"/>
  </r>
  <r>
    <x v="0"/>
    <x v="4"/>
    <x v="11"/>
    <n v="804232649.1277616"/>
    <n v="658689928.86822176"/>
    <n v="1462922577.9959829"/>
    <n v="54.974382187023011"/>
    <s v="Chile2020Programación de computadoras, consultoría y actividades relacionadas"/>
    <n v="91.363838200919872"/>
    <n v="221833"/>
    <n v="532273945.88131046"/>
    <s v=""/>
    <s v=""/>
    <n v="880252696.21352696"/>
    <n v="3968.0872377578044"/>
  </r>
  <r>
    <x v="0"/>
    <x v="5"/>
    <x v="0"/>
    <n v="8326623483.5396366"/>
    <n v="17894554288.385571"/>
    <n v="26221178771.925209"/>
    <n v="31.75533623398686"/>
    <s v="Chile2021Elaboración de productos alimenticios"/>
    <n v="108.85802305479291"/>
    <n v="184026"/>
    <n v="1896510188"/>
    <s v=""/>
    <s v=""/>
    <n v="7649067335.4856815"/>
    <n v="41565.144791962448"/>
  </r>
  <r>
    <x v="0"/>
    <x v="5"/>
    <x v="1"/>
    <n v="61466485.383197263"/>
    <n v="71658479.062417701"/>
    <n v="133124964.44561499"/>
    <n v="46.172020130985977"/>
    <s v="Chile2021Fabricación de prendas de vestir"/>
    <n v="69.374466842382304"/>
    <n v="3398"/>
    <n v="31451189.096655257"/>
    <s v=""/>
    <s v=""/>
    <n v="88601020.203655258"/>
    <n v="26074.461507844397"/>
  </r>
  <r>
    <x v="0"/>
    <x v="5"/>
    <x v="2"/>
    <n v="34907166.183829337"/>
    <n v="24271424.80905978"/>
    <n v="59178590.992889121"/>
    <n v="58.986139409814221"/>
    <s v="Chile2021Fabricación de productos de cuero y productos conexos"/>
    <n v="69.374466842382304"/>
    <n v="1111"/>
    <n v="14658754.279694496"/>
    <s v=""/>
    <s v=""/>
    <n v="50317022.634765424"/>
    <n v="45289.849356224506"/>
  </r>
  <r>
    <x v="0"/>
    <x v="5"/>
    <x v="3"/>
    <n v="23975136.950223859"/>
    <n v="43093828.022122733"/>
    <n v="67068964.972346589"/>
    <n v="35.746991115949271"/>
    <s v="Chile2021Fabricación de vehículos automotores, remolques y semirremolques"/>
    <n v="106.47234528849232"/>
    <n v="1079"/>
    <n v="13159500.921780352"/>
    <s v=""/>
    <s v=""/>
    <n v="22517712.825111523"/>
    <n v="20869.057298527827"/>
  </r>
  <r>
    <x v="0"/>
    <x v="5"/>
    <x v="4"/>
    <n v="4292557292.254818"/>
    <n v="3171441022.8606868"/>
    <n v="7462608109.6243954"/>
    <n v="57.520872450997153"/>
    <s v="Chile2021Comercio al por mayor y al por menor y reparación de vehículos de motor y motocicletas"/>
    <n v="114.66887480145"/>
    <n v="1158227.6434693737"/>
    <n v="1909026634.5904944"/>
    <s v=""/>
    <s v=""/>
    <n v="3743437179.1712551"/>
    <n v="3232.0392284526238"/>
  </r>
  <r>
    <x v="0"/>
    <x v="5"/>
    <x v="5"/>
    <n v="15998332252.5812"/>
    <n v="14500891220.826731"/>
    <n v="30419064453.904598"/>
    <n v="52.593110734303487"/>
    <s v="Chile2021Comercio al por mayor, excepto de vehículos de motor y motocicletas"/>
    <n v="114.66887480145"/>
    <n v="3593142.8100439375"/>
    <n v="6705212050.256834"/>
    <s v=""/>
    <s v=""/>
    <n v="13951765272.208723"/>
    <n v="3882.8863782450435"/>
  </r>
  <r>
    <x v="0"/>
    <x v="5"/>
    <x v="6"/>
    <n v="12167139959.084101"/>
    <n v="12287267385.463779"/>
    <n v="24232912624.334438"/>
    <n v="50.20915210524872"/>
    <s v="Chile2021Comercio al por menor, excepto de vehículos de motor y motocicletas"/>
    <n v="114.66887480145"/>
    <n v="5306320.596839915"/>
    <n v="6133529534.1104908"/>
    <s v=""/>
    <s v=""/>
    <n v="10610673541.666466"/>
    <n v="1999.6291871217627"/>
  </r>
  <r>
    <x v="0"/>
    <x v="5"/>
    <x v="7"/>
    <n v="272274859.09928888"/>
    <n v="142929645.77297869"/>
    <n v="415204504.8722676"/>
    <n v="65.576085014552248"/>
    <s v="Chile2021Actividades de edición"/>
    <n v="92.899946021812568"/>
    <n v="92111"/>
    <n v="180760345.0092178"/>
    <s v=""/>
    <s v=""/>
    <n v="293083979.87159187"/>
    <n v="3181.8564544038372"/>
  </r>
  <r>
    <x v="0"/>
    <x v="5"/>
    <x v="8"/>
    <n v="609459525.94153285"/>
    <n v="193845788.78061631"/>
    <n v="803305314.72214913"/>
    <n v="75.868977183642244"/>
    <s v="Chile2021Actividades de programación y radiodifusión"/>
    <n v="92.899946021812568"/>
    <n v="59201"/>
    <n v="115212350.53989989"/>
    <s v=""/>
    <s v=""/>
    <n v="656038622.23820233"/>
    <n v="11081.5462954714"/>
  </r>
  <r>
    <x v="0"/>
    <x v="5"/>
    <x v="9"/>
    <n v="2283376701.3431659"/>
    <n v="1857911019.225704"/>
    <n v="4141287720.5688701"/>
    <n v="55.136876629028528"/>
    <s v="Chile2021Actividades de servicios de información"/>
    <n v="92.899946021812568"/>
    <n v="337733"/>
    <n v="1260202210.9560182"/>
    <s v=""/>
    <s v=""/>
    <n v="2457888081.8800879"/>
    <n v="7277.6071094032504"/>
  </r>
  <r>
    <x v="0"/>
    <x v="5"/>
    <x v="10"/>
    <n v="195662216.22333419"/>
    <n v="120926979.1941006"/>
    <n v="316589195.41743481"/>
    <n v="61.803188186932978"/>
    <s v="Chile2021Producción de películas, videos y programas de televisión, grabación de sonido y edición musical"/>
    <n v="92.899946021812568"/>
    <n v="78229"/>
    <n v="91040878.324993402"/>
    <s v=""/>
    <s v=""/>
    <n v="210616070.94733232"/>
    <n v="2692.3017160814061"/>
  </r>
  <r>
    <x v="0"/>
    <x v="5"/>
    <x v="11"/>
    <n v="2344242463.7872"/>
    <n v="1163783918.8833289"/>
    <n v="3508026382.6705289"/>
    <n v="66.825109279897049"/>
    <s v="Chile2021Programación de computadoras, consultoría y actividades relacionadas"/>
    <n v="92.899946021812568"/>
    <n v="757503"/>
    <n v="1455845242.2965498"/>
    <s v=""/>
    <s v=""/>
    <n v="2523405625.2699871"/>
    <n v="3331.2153552791042"/>
  </r>
  <r>
    <x v="0"/>
    <x v="5"/>
    <x v="12"/>
    <n v="5533564403.476429"/>
    <n v="2238681700.0263371"/>
    <n v="7772246103.5027657"/>
    <n v="71.1964640566719"/>
    <s v="Chile2021Actividades inmobiliarias"/>
    <s v=""/>
    <n v="369538"/>
    <n v="629835068.47511172"/>
    <s v=""/>
    <s v=""/>
    <e v="#VALUE!"/>
    <e v="#VALUE!"/>
  </r>
  <r>
    <x v="0"/>
    <x v="6"/>
    <x v="0"/>
    <n v="5589500151.3761463"/>
    <n v="23480552831.42202"/>
    <n v="29070054983.94495"/>
    <n v="19.22769033104052"/>
    <s v="Chile2022Elaboración de productos alimenticios"/>
    <n v="138.22614999916814"/>
    <n v="169707"/>
    <n v="2066801275"/>
    <s v=""/>
    <s v=""/>
    <n v="4043735683.450479"/>
    <n v="23827.748315923793"/>
  </r>
  <r>
    <x v="0"/>
    <x v="6"/>
    <x v="1"/>
    <n v="52745493.119266063"/>
    <n v="79241821.100917429"/>
    <n v="131987314.22018351"/>
    <n v="39.962547484885647"/>
    <s v="Chile2022Fabricación de prendas de vestir"/>
    <n v="56.539869603998774"/>
    <n v="2743"/>
    <n v="26554167.431192655"/>
    <s v=""/>
    <s v=""/>
    <n v="93289025.05204159"/>
    <n v="34009.85237041254"/>
  </r>
  <r>
    <x v="0"/>
    <x v="6"/>
    <x v="2"/>
    <n v="25730459.862385321"/>
    <n v="26143204.128440369"/>
    <n v="51873663.99082569"/>
    <n v="49.602163955366599"/>
    <s v="Chile2022Fabricación de productos de cuero y productos conexos"/>
    <n v="56.539869603998774"/>
    <n v="1044"/>
    <n v="15117169.724770643"/>
    <s v=""/>
    <s v=""/>
    <n v="45508523.529678494"/>
    <n v="43590.53977938553"/>
  </r>
  <r>
    <x v="0"/>
    <x v="6"/>
    <x v="3"/>
    <n v="21303950.6880734"/>
    <n v="47770466.74311927"/>
    <n v="69074417.431192666"/>
    <n v="30.84202730959689"/>
    <s v="Chile2022Fabricación de vehículos automotores, remolques y semirremolques"/>
    <n v="123.96393010114714"/>
    <n v="792"/>
    <n v="11261675.458715595"/>
    <s v=""/>
    <s v=""/>
    <n v="17185604.450174056"/>
    <n v="21698.995517896536"/>
  </r>
  <r>
    <x v="0"/>
    <x v="6"/>
    <x v="4"/>
    <n v="5024072850.2733068"/>
    <n v="3302392501.357976"/>
    <n v="8311413871.8845587"/>
    <n v="60.447872380275669"/>
    <s v="Chile2022Comercio al por mayor y al por menor y reparación de vehículos de motor y motocicletas"/>
    <n v="120.37242063773"/>
    <n v="1237926.9388704519"/>
    <n v="2157606549.840086"/>
    <s v=""/>
    <s v=""/>
    <n v="4173774045.2970018"/>
    <n v="3371.5835032278783"/>
  </r>
  <r>
    <x v="0"/>
    <x v="6"/>
    <x v="5"/>
    <n v="22130237591.844719"/>
    <n v="16533065081.69261"/>
    <n v="38576627156.893402"/>
    <n v="57.366958240905163"/>
    <s v="Chile2022Comercio al por mayor, excepto de vehículos de motor y motocicletas"/>
    <n v="120.37242063773"/>
    <n v="5249696.3103908431"/>
    <n v="9432152730.7521305"/>
    <s v=""/>
    <s v=""/>
    <n v="18384807312.671196"/>
    <n v="3502.0706390732985"/>
  </r>
  <r>
    <x v="0"/>
    <x v="6"/>
    <x v="6"/>
    <n v="12623061123.17314"/>
    <n v="12287583867.7397"/>
    <n v="24799945998.041721"/>
    <n v="50.899550846481269"/>
    <s v="Chile2022Comercio al por menor, excepto de vehículos de motor y motocicletas"/>
    <n v="120.37242063773"/>
    <n v="6235010.3028737735"/>
    <n v="6951399254.0433617"/>
    <s v=""/>
    <s v=""/>
    <n v="10486672159.865593"/>
    <n v="1681.9013362387211"/>
  </r>
  <r>
    <x v="0"/>
    <x v="6"/>
    <x v="7"/>
    <n v="433215329.19861168"/>
    <n v="358583046.86371422"/>
    <n v="791798376.06232584"/>
    <n v="54.712833758642553"/>
    <s v="Chile2022Actividades de edición"/>
    <n v="94.646741593885238"/>
    <n v="154394.11568389335"/>
    <n v="253493406.74789873"/>
    <s v=""/>
    <s v=""/>
    <n v="457718165.36217666"/>
    <n v="2964.6088734321274"/>
  </r>
  <r>
    <x v="0"/>
    <x v="6"/>
    <x v="8"/>
    <n v="881577686.97561932"/>
    <n v="399247626.71907473"/>
    <n v="1280825313.694694"/>
    <n v="68.828877564310702"/>
    <s v="Chile2022Actividades de programación y radiodifusión"/>
    <n v="94.646741593885238"/>
    <n v="183737.58760725078"/>
    <n v="251279689.64149937"/>
    <s v=""/>
    <s v=""/>
    <n v="931440081.43284523"/>
    <n v="5069.4041081232099"/>
  </r>
  <r>
    <x v="0"/>
    <x v="6"/>
    <x v="9"/>
    <n v="1691742628.514354"/>
    <n v="814525958.47143924"/>
    <n v="2479847546.550611"/>
    <n v="68.219622245226887"/>
    <s v="Chile2022Actividades de servicios de información"/>
    <n v="94.646741593885238"/>
    <n v="432646.94147013145"/>
    <n v="752225114.69348288"/>
    <s v=""/>
    <s v=""/>
    <n v="1787428283.3458378"/>
    <n v="4131.378526038271"/>
  </r>
  <r>
    <x v="0"/>
    <x v="6"/>
    <x v="10"/>
    <n v="677154623.23262787"/>
    <n v="543792380.8776629"/>
    <n v="1220947004.110291"/>
    <n v="55.461426331609978"/>
    <s v="Chile2022Producción de películas, videos y programas de televisión, grabación de sonido y edición musical"/>
    <n v="94.646741593885238"/>
    <n v="253206.02310696692"/>
    <n v="313756483.13832045"/>
    <s v=""/>
    <s v=""/>
    <n v="715454765.61485374"/>
    <n v="2825.583518258607"/>
  </r>
  <r>
    <x v="0"/>
    <x v="6"/>
    <x v="11"/>
    <n v="6804884103.8389482"/>
    <n v="4509509075.7329435"/>
    <n v="11314393179.57189"/>
    <n v="60.14360642977433"/>
    <s v="Chile2022Programación de computadoras, consultoría y actividades relacionadas"/>
    <n v="94.646741593885238"/>
    <n v="2252775.0837650578"/>
    <n v="3965291509.9639988"/>
    <s v=""/>
    <s v=""/>
    <n v="7189771131.3059988"/>
    <n v="3191.5175123873223"/>
  </r>
  <r>
    <x v="0"/>
    <x v="6"/>
    <x v="12"/>
    <n v="8270989900.8266525"/>
    <n v="7025646763.5102549"/>
    <n v="15296636664.33691"/>
    <n v="54.070643647501377"/>
    <s v="Chile2022Actividades inmobiliarias"/>
    <s v=""/>
    <n v="2307037.4088631864"/>
    <n v="2386512787.3421354"/>
    <s v=""/>
    <s v=""/>
    <e v="#VALUE!"/>
    <e v="#VALUE!"/>
  </r>
  <r>
    <x v="1"/>
    <x v="0"/>
    <x v="0"/>
    <n v="20766383874.175282"/>
    <n v="39236204308.90567"/>
    <n v="60002588183.080948"/>
    <n v="34.609146876818933"/>
    <s v="México2016Elaboración de productos alimenticios"/>
    <n v="92.1"/>
    <n v="1514326"/>
    <n v="3182136057.4044504"/>
    <s v=""/>
    <s v=""/>
    <n v="22547648071.851555"/>
    <n v="14889.560155377081"/>
  </r>
  <r>
    <x v="1"/>
    <x v="0"/>
    <x v="1"/>
    <n v="1584460703.6608241"/>
    <n v="2392468572.6175141"/>
    <n v="3976929276.278338"/>
    <n v="39.841309552871493"/>
    <s v="México2016Fabricación de prendas de vestir"/>
    <n v="95.2"/>
    <n v="300804"/>
    <n v="695476716.16614306"/>
    <s v=""/>
    <s v=""/>
    <n v="1664349478.6353192"/>
    <n v="5533.0031470170588"/>
  </r>
  <r>
    <x v="1"/>
    <x v="0"/>
    <x v="2"/>
    <n v="948057956.31264555"/>
    <n v="1827349678.772079"/>
    <n v="2775407635.0847239"/>
    <n v="34.15923283945655"/>
    <s v="México2016Fabricación de productos de cuero y productos conexos"/>
    <n v="93.8"/>
    <n v="145519"/>
    <n v="383565399.98669457"/>
    <s v=""/>
    <s v=""/>
    <n v="1010722767.9239292"/>
    <n v="6945.6412422015628"/>
  </r>
  <r>
    <x v="1"/>
    <x v="0"/>
    <x v="3"/>
    <n v="14873017327.867689"/>
    <n v="50026432050.549927"/>
    <n v="64899449378.417618"/>
    <n v="22.91701620016168"/>
    <s v="México2016Fabricación de vehículos automotores, remolques y semirremolques"/>
    <n v="93.3"/>
    <n v="169653"/>
    <n v="1334431212.9328787"/>
    <s v=""/>
    <s v=""/>
    <n v="15941068947.33943"/>
    <n v="93962.788440755132"/>
  </r>
  <r>
    <x v="1"/>
    <x v="0"/>
    <x v="4"/>
    <n v="4635142982.0327578"/>
    <n v="50536626823.301659"/>
    <n v="55171769805.334412"/>
    <n v="8.4012947171845092"/>
    <s v="México2016Comercio al por mayor y al por menor y reparación de vehículos de motor y motocicletas"/>
    <n v="89.8"/>
    <n v="626743"/>
    <n v="1161811092.3535299"/>
    <s v=""/>
    <s v=""/>
    <n v="5161629155.9384832"/>
    <n v="8235.6390991817752"/>
  </r>
  <r>
    <x v="1"/>
    <x v="0"/>
    <x v="5"/>
    <n v="19144942038.775959"/>
    <n v="98495190604.758636"/>
    <n v="117640132643.53461"/>
    <n v="16.274158833863019"/>
    <s v="México2016Comercio al por mayor, excepto de vehículos de motor y motocicletas"/>
    <n v="89.823983496182905"/>
    <n v="779287"/>
    <n v="2789917716.1808777"/>
    <s v=""/>
    <s v=""/>
    <n v="21313842131.694736"/>
    <n v="27350.439737471221"/>
  </r>
  <r>
    <x v="1"/>
    <x v="0"/>
    <x v="6"/>
    <n v="35043466234.344353"/>
    <n v="217929706088.39539"/>
    <n v="252973172322.73981"/>
    <n v="13.852641334487579"/>
    <s v="México2016Comercio al por menor, excepto de vehículos de motor y motocicletas"/>
    <n v="89.818612746531599"/>
    <n v="10329645"/>
    <n v="7841246977.814312"/>
    <s v=""/>
    <s v=""/>
    <n v="39015817727.264526"/>
    <n v="3777.0724673756481"/>
  </r>
  <r>
    <x v="1"/>
    <x v="0"/>
    <x v="12"/>
    <n v="1228192689.424906"/>
    <n v="540753346.33812678"/>
    <n v="1768946035.7630329"/>
    <n v="69.430760723863855"/>
    <s v="México2016Actividades inmobiliarias"/>
    <n v="90.490165269147795"/>
    <n v="46261"/>
    <n v="8535.1212022037034"/>
    <s v=""/>
    <s v=""/>
    <n v="1357266489.4266169"/>
    <n v="29339.324472592831"/>
  </r>
  <r>
    <x v="1"/>
    <x v="1"/>
    <x v="0"/>
    <n v="22165870793.269749"/>
    <n v="41344507749.709167"/>
    <n v="63510378542.978928"/>
    <n v="34.901178833739117"/>
    <s v="México2017Elaboración de productos alimenticios"/>
    <n v="87.983051423758297"/>
    <n v="1530819"/>
    <n v="3321887545.7801256"/>
    <s v=""/>
    <s v=""/>
    <n v="25193341711.360828"/>
    <n v="16457.426848870327"/>
  </r>
  <r>
    <x v="1"/>
    <x v="1"/>
    <x v="1"/>
    <n v="1630821695.487195"/>
    <n v="2463934057.2442012"/>
    <n v="4094755752.7313962"/>
    <n v="39.827081124420182"/>
    <s v="México2017Fabricación de prendas de vestir"/>
    <n v="88.944036225961995"/>
    <n v="293431"/>
    <n v="714279137.47114933"/>
    <s v=""/>
    <s v=""/>
    <n v="1833536867.3219402"/>
    <n v="6248.6133616487014"/>
  </r>
  <r>
    <x v="1"/>
    <x v="1"/>
    <x v="2"/>
    <n v="678348701.24895298"/>
    <n v="1240132001.7506299"/>
    <n v="1918480702.999583"/>
    <n v="35.358640834298782"/>
    <s v="México2017Fabricación de productos de cuero y productos conexos"/>
    <n v="98.961476244551903"/>
    <n v="115282"/>
    <n v="297546669.53154784"/>
    <s v=""/>
    <s v=""/>
    <n v="685467443.48541176"/>
    <n v="5946.0058247203533"/>
  </r>
  <r>
    <x v="1"/>
    <x v="1"/>
    <x v="3"/>
    <n v="18139682385.647652"/>
    <n v="60649623605.681961"/>
    <n v="78789305991.329605"/>
    <n v="23.023025977210459"/>
    <s v="México2017Fabricación de vehículos automotores, remolques y semirremolques"/>
    <n v="105.807655116368"/>
    <n v="188879"/>
    <n v="1527475261.7799895"/>
    <s v=""/>
    <s v=""/>
    <n v="17144017004.910942"/>
    <n v="90767.194896790767"/>
  </r>
  <r>
    <x v="1"/>
    <x v="1"/>
    <x v="4"/>
    <n v="4337987462.0351858"/>
    <n v="52782161376.763283"/>
    <n v="57120148838.798462"/>
    <n v="7.5944960757676423"/>
    <s v="México2017Comercio al por mayor y al por menor y reparación de vehículos de motor y motocicletas"/>
    <n v="96.7"/>
    <n v="639743"/>
    <n v="1219657711.2710474"/>
    <s v=""/>
    <s v=""/>
    <n v="4486026330.9567585"/>
    <n v="7012.2319915290336"/>
  </r>
  <r>
    <x v="1"/>
    <x v="1"/>
    <x v="5"/>
    <n v="18831096724.084641"/>
    <n v="104386573176.4341"/>
    <n v="123217669900.51871"/>
    <n v="15.28278918055191"/>
    <s v="México2017Comercio al por mayor, excepto de vehículos de motor y motocicletas"/>
    <n v="96.6"/>
    <n v="795803"/>
    <n v="2838695093.568018"/>
    <s v=""/>
    <s v=""/>
    <n v="19473729807.740063"/>
    <n v="24470.540834528223"/>
  </r>
  <r>
    <x v="1"/>
    <x v="1"/>
    <x v="6"/>
    <n v="37464704545.914848"/>
    <n v="234058346077.06461"/>
    <n v="271523050622.97949"/>
    <n v="13.79798306624658"/>
    <s v="México2017Comercio al por menor, excepto de vehículos de motor y motocicletas"/>
    <n v="97.8"/>
    <n v="10526777"/>
    <n v="8200988524.91786"/>
    <s v=""/>
    <s v=""/>
    <n v="38783338039.249329"/>
    <n v="3684.2556880657135"/>
  </r>
  <r>
    <x v="1"/>
    <x v="1"/>
    <x v="12"/>
    <n v="1343263181.9026389"/>
    <n v="550557304.52249086"/>
    <n v="1893820486.4251299"/>
    <n v="70.928749135999141"/>
    <s v="México2017Actividades inmobiliarias"/>
    <m/>
    <n v="43166"/>
    <n v="7825.0003742544604"/>
    <s v=""/>
    <s v=""/>
    <n v="1373479736.0967679"/>
    <n v="31818.554790732705"/>
  </r>
  <r>
    <x v="1"/>
    <x v="2"/>
    <x v="0"/>
    <n v="22656028953.965248"/>
    <n v="42754513573.470291"/>
    <n v="65410542527.435539"/>
    <n v="34.63666265183857"/>
    <s v="México2018Elaboración de productos alimenticios"/>
    <n v="97"/>
    <n v="1527231"/>
    <n v="3468481601.3018532"/>
    <s v=""/>
    <s v=""/>
    <n v="23356730880.376545"/>
    <n v="15293.515440936273"/>
  </r>
  <r>
    <x v="1"/>
    <x v="2"/>
    <x v="1"/>
    <n v="1680876985.0531819"/>
    <n v="2516106180.1282711"/>
    <n v="4196983165.1814532"/>
    <n v="40.049648018555033"/>
    <s v="México2018Fabricación de prendas de vestir"/>
    <n v="96"/>
    <n v="287226"/>
    <n v="725403562.3458147"/>
    <s v=""/>
    <s v=""/>
    <n v="1750913526.0970645"/>
    <n v="6095.9437032060623"/>
  </r>
  <r>
    <x v="1"/>
    <x v="2"/>
    <x v="2"/>
    <n v="717682071.91637707"/>
    <n v="1239991235.519012"/>
    <n v="1957673307.435389"/>
    <n v="36.659950829924853"/>
    <s v="México2018Fabricación de productos de cuero y productos conexos"/>
    <n v="95.815867044907307"/>
    <n v="111507"/>
    <n v="300704336.90249205"/>
    <s v=""/>
    <s v=""/>
    <n v="749022154.73352802"/>
    <n v="6717.2657746466857"/>
  </r>
  <r>
    <x v="1"/>
    <x v="2"/>
    <x v="3"/>
    <n v="19496253210.35923"/>
    <n v="64528576165.894638"/>
    <n v="84024829376.25386"/>
    <n v="23.202966736245511"/>
    <s v="México2018Fabricación de vehículos automotores, remolques y semirremolques"/>
    <n v="96.105183712152098"/>
    <n v="202555"/>
    <n v="1728965249.9587536"/>
    <s v=""/>
    <s v=""/>
    <n v="20286370055.493698"/>
    <n v="100152.40332499173"/>
  </r>
  <r>
    <x v="1"/>
    <x v="2"/>
    <x v="4"/>
    <n v="9175595530.145546"/>
    <n v="44843263097.713097"/>
    <n v="54018858627.858643"/>
    <n v="16.985911519081046"/>
    <m/>
    <n v="100"/>
    <n v="420406"/>
    <n v="1446648180.8731811"/>
    <s v=""/>
    <s v=""/>
    <n v="9175595530.145546"/>
    <n v="21825.557984770785"/>
  </r>
  <r>
    <x v="1"/>
    <x v="2"/>
    <x v="5"/>
    <n v="59300356081.081024"/>
    <n v="259758353690.22873"/>
    <n v="319058709771.30975"/>
    <n v="18.58603268457566"/>
    <m/>
    <n v="100"/>
    <n v="1561961"/>
    <n v="9232320790.0207901"/>
    <s v=""/>
    <s v=""/>
    <n v="59300356081.081024"/>
    <n v="37965.324410200396"/>
  </r>
  <r>
    <x v="1"/>
    <x v="2"/>
    <x v="6"/>
    <n v="47405161642.411507"/>
    <n v="217050254417.87949"/>
    <n v="264455416060.29099"/>
    <n v="17.925577909738859"/>
    <m/>
    <n v="100"/>
    <n v="5622189"/>
    <n v="9252370997.9209995"/>
    <s v=""/>
    <s v=""/>
    <n v="47405161642.411507"/>
    <n v="8431.7979424760542"/>
  </r>
  <r>
    <x v="1"/>
    <x v="2"/>
    <x v="7"/>
    <n v="882429822.44564509"/>
    <n v="646462228.50785995"/>
    <n v="1528892050.953505"/>
    <n v="57.716947504260432"/>
    <s v="México2018Actividades de edición"/>
    <n v="99.664134201715697"/>
    <n v="69541"/>
    <n v="330405378.89708698"/>
    <s v=""/>
    <s v=""/>
    <n v="885403590.28218424"/>
    <n v="12732.108975743578"/>
  </r>
  <r>
    <x v="1"/>
    <x v="2"/>
    <x v="8"/>
    <n v="861076636.81229222"/>
    <n v="1097205628.8406849"/>
    <n v="1958282265.652977"/>
    <n v="43.971017453154097"/>
    <s v="México2018Actividades de programación y radiodifusión"/>
    <n v="99.987775194221399"/>
    <n v="19805"/>
    <n v="69789604.823235899"/>
    <s v=""/>
    <s v=""/>
    <n v="861181914.62875605"/>
    <n v="43483.055522784955"/>
  </r>
  <r>
    <x v="1"/>
    <x v="2"/>
    <x v="9"/>
    <n v="548648074.47730291"/>
    <n v="217957624.77368891"/>
    <n v="766605699.25099182"/>
    <n v="71.568483643332769"/>
    <s v="México2018Actividades de servicios de información"/>
    <n v="100"/>
    <n v="32537"/>
    <n v="190278267.9410961"/>
    <s v=""/>
    <s v=""/>
    <n v="548648074.47730291"/>
    <n v="16862.282155002085"/>
  </r>
  <r>
    <x v="1"/>
    <x v="2"/>
    <x v="10"/>
    <n v="2770488017.9065609"/>
    <n v="1983561332.530211"/>
    <n v="4754049350.4367723"/>
    <n v="58.276383219539497"/>
    <s v="México2018Producción de películas, videos y programas de televisión, grabación de sonido y edición musical"/>
    <n v="100"/>
    <n v="105004"/>
    <n v="295897209.61269557"/>
    <s v=""/>
    <s v=""/>
    <n v="2770488017.9065609"/>
    <n v="26384.59504310846"/>
  </r>
  <r>
    <x v="1"/>
    <x v="2"/>
    <x v="13"/>
    <n v="16992678246.116501"/>
    <n v="7845634088.9811316"/>
    <n v="24838312335.09763"/>
    <n v="68.413175649237232"/>
    <s v="México2018Telecomunicaciones"/>
    <n v="100"/>
    <n v="209511"/>
    <n v="2417751295.7271848"/>
    <s v=""/>
    <s v=""/>
    <n v="16992678246.116501"/>
    <n v="81106.377450904736"/>
  </r>
  <r>
    <x v="1"/>
    <x v="2"/>
    <x v="12"/>
    <n v="1750834379.456125"/>
    <n v="595215684.61032462"/>
    <n v="2346050064.0664501"/>
    <n v="74.629028863151078"/>
    <s v="México2018Actividades inmobiliarias"/>
    <n v="100"/>
    <n v="32700"/>
    <n v="4900.1416433661661"/>
    <s v=""/>
    <s v=""/>
    <n v="1750834379.4561253"/>
    <n v="53542.335763184259"/>
  </r>
  <r>
    <x v="1"/>
    <x v="3"/>
    <x v="0"/>
    <n v="23591530535.084251"/>
    <n v="44142153833.908112"/>
    <n v="67733684368.992363"/>
    <n v="34.829835044207577"/>
    <s v="México2019Elaboración de productos alimenticios"/>
    <n v="100"/>
    <n v="1532903"/>
    <n v="3724023540.038312"/>
    <s v=""/>
    <s v=""/>
    <n v="23591530535.084251"/>
    <n v="15390.100048786029"/>
  </r>
  <r>
    <x v="1"/>
    <x v="3"/>
    <x v="1"/>
    <n v="1739631481.773082"/>
    <n v="2513491051.3592968"/>
    <n v="4253122533.13238"/>
    <n v="40.902453861160261"/>
    <s v="México2019Fabricación de prendas de vestir"/>
    <n v="100"/>
    <n v="281777"/>
    <n v="743275879.07438719"/>
    <s v=""/>
    <s v=""/>
    <n v="1739631481.7730823"/>
    <n v="6173.7880727422116"/>
  </r>
  <r>
    <x v="1"/>
    <x v="3"/>
    <x v="2"/>
    <n v="981110036.35520482"/>
    <n v="1803390949.0940621"/>
    <n v="2784500985.449266"/>
    <n v="35.234680881138473"/>
    <s v="México2019Fabricación de productos de cuero y productos conexos"/>
    <n v="100"/>
    <n v="135631"/>
    <n v="411119847.58846122"/>
    <s v=""/>
    <s v=""/>
    <n v="981110036.35520482"/>
    <n v="7233.6710365270828"/>
  </r>
  <r>
    <x v="1"/>
    <x v="3"/>
    <x v="3"/>
    <n v="19536461657.458179"/>
    <n v="67072020404.596581"/>
    <n v="86608482062.054749"/>
    <n v="22.557215173752109"/>
    <s v="México2019Fabricación de vehículos automotores, remolques y semirremolques"/>
    <n v="100"/>
    <n v="211913"/>
    <n v="1877583650.7131743"/>
    <s v=""/>
    <s v=""/>
    <n v="19536461657.458179"/>
    <n v="92190.954105968864"/>
  </r>
  <r>
    <x v="1"/>
    <x v="3"/>
    <x v="4"/>
    <n v="10055851869.158886"/>
    <n v="45196306366.759178"/>
    <n v="54997331580.364326"/>
    <n v="18.284254126884079"/>
    <m/>
    <n v="102.60000000000005"/>
    <n v="433832"/>
    <n v="1480279300.9985445"/>
    <s v=""/>
    <s v=""/>
    <n v="9801025213.6051483"/>
    <n v="22591.752599174677"/>
  </r>
  <r>
    <x v="1"/>
    <x v="3"/>
    <x v="5"/>
    <n v="59380472585.669716"/>
    <n v="245773800602.81073"/>
    <n v="303649504877.34271"/>
    <n v="19.55559670998182"/>
    <m/>
    <n v="102.59999999999984"/>
    <n v="1575997"/>
    <n v="9591837510.2981853"/>
    <s v=""/>
    <s v=""/>
    <n v="57875704274.531975"/>
    <n v="36723.23251537406"/>
  </r>
  <r>
    <x v="1"/>
    <x v="3"/>
    <x v="6"/>
    <n v="51335257684.320023"/>
    <n v="226308221376.9248"/>
    <n v="276293866639.16412"/>
    <n v="18.579948338615544"/>
    <m/>
    <n v="102.70000000000047"/>
    <n v="5727894"/>
    <n v="10049284783.331865"/>
    <s v=""/>
    <s v=""/>
    <n v="49985645262.239326"/>
    <n v="8726.7057075845551"/>
  </r>
  <r>
    <x v="1"/>
    <x v="3"/>
    <x v="7"/>
    <n v="934005111.53140032"/>
    <n v="555032730.0664984"/>
    <n v="1489037841.597899"/>
    <n v="62.725411365577642"/>
    <s v="México2019Actividades de edición"/>
    <n v="100"/>
    <n v="64573"/>
    <n v="317818393.55331028"/>
    <s v=""/>
    <s v=""/>
    <n v="934005111.53140032"/>
    <n v="14464.328922791265"/>
  </r>
  <r>
    <x v="1"/>
    <x v="3"/>
    <x v="8"/>
    <n v="425593181.62548089"/>
    <n v="1086861789.658926"/>
    <n v="1512454971.2844059"/>
    <n v="28.139229908051991"/>
    <s v="México2019Actividades de programación y radiodifusión"/>
    <n v="100"/>
    <n v="19424"/>
    <n v="67219043.136549175"/>
    <s v=""/>
    <s v=""/>
    <n v="425593181.62548083"/>
    <n v="21910.686862926319"/>
  </r>
  <r>
    <x v="1"/>
    <x v="3"/>
    <x v="9"/>
    <n v="495971078.49159652"/>
    <n v="183878292.2570855"/>
    <n v="679849370.7486819"/>
    <n v="72.953083408080516"/>
    <s v="México2019Actividades de servicios de información"/>
    <n v="101.454796124099"/>
    <n v="33598"/>
    <n v="172821447.6673663"/>
    <s v=""/>
    <s v=""/>
    <n v="488859174.17341918"/>
    <n v="14550.246269820203"/>
  </r>
  <r>
    <x v="1"/>
    <x v="3"/>
    <x v="10"/>
    <n v="2458280542.438343"/>
    <n v="2238158827.7739229"/>
    <n v="4696439370.212266"/>
    <n v="52.343495756174008"/>
    <s v="México2019Producción de películas, videos y programas de televisión, grabación de sonido y edición musical"/>
    <n v="102.3"/>
    <n v="105899"/>
    <n v="328514610.43174618"/>
    <s v=""/>
    <s v=""/>
    <n v="2403011282.930932"/>
    <n v="22691.538946835495"/>
  </r>
  <r>
    <x v="1"/>
    <x v="3"/>
    <x v="13"/>
    <n v="17919995933.615849"/>
    <n v="8796497268.6011124"/>
    <n v="26716493202.216961"/>
    <n v="67.074656085959774"/>
    <s v="México2019Telecomunicaciones"/>
    <n v="105.3"/>
    <n v="190058"/>
    <n v="2528579015.0352402"/>
    <s v=""/>
    <s v=""/>
    <n v="17018039822.997007"/>
    <n v="89541.296988272035"/>
  </r>
  <r>
    <x v="1"/>
    <x v="3"/>
    <x v="12"/>
    <n v="1846869091.8466401"/>
    <n v="441377742.86263072"/>
    <n v="2288246834.709271"/>
    <n v="80.711095666446781"/>
    <s v="México2019Actividades inmobiliarias"/>
    <n v="102.3"/>
    <n v="31016"/>
    <n v="5616.8012610982014"/>
    <s v=""/>
    <s v=""/>
    <n v="1805346130.8373804"/>
    <n v="58206.929676211643"/>
  </r>
  <r>
    <x v="1"/>
    <x v="4"/>
    <x v="0"/>
    <n v="21992921153.035389"/>
    <n v="41837092627.506866"/>
    <n v="63830013780.542252"/>
    <n v="34.455454182808957"/>
    <s v="México2020Elaboración de productos alimenticios"/>
    <n v="102.2"/>
    <n v="1544683"/>
    <n v="3496697502.5530648"/>
    <s v=""/>
    <s v=""/>
    <n v="21519492321.952435"/>
    <n v="13931.332397619728"/>
  </r>
  <r>
    <x v="1"/>
    <x v="4"/>
    <x v="1"/>
    <n v="1180894885.84025"/>
    <n v="1553716305.4494231"/>
    <n v="2734611191.2896729"/>
    <n v="43.183282859430093"/>
    <s v="México2020Fabricación de prendas de vestir"/>
    <n v="102.7"/>
    <n v="245100"/>
    <n v="584450335.55407059"/>
    <s v=""/>
    <s v=""/>
    <n v="1149848963.8171859"/>
    <n v="4691.3462416041857"/>
  </r>
  <r>
    <x v="1"/>
    <x v="4"/>
    <x v="2"/>
    <n v="695016113.49922991"/>
    <n v="1236155922.9763491"/>
    <n v="1931172036.475579"/>
    <n v="35.989342242529872"/>
    <s v="México2020Fabricación de productos de cuero y productos conexos"/>
    <n v="102.611904521713"/>
    <n v="117713"/>
    <n v="325589524.46075344"/>
    <s v=""/>
    <s v=""/>
    <n v="677325030.40342879"/>
    <n v="5754.0376203429423"/>
  </r>
  <r>
    <x v="1"/>
    <x v="4"/>
    <x v="3"/>
    <n v="16563503647.59667"/>
    <n v="55400259491.527863"/>
    <n v="71963763139.124527"/>
    <n v="23.01645012028504"/>
    <s v="México2020Fabricación de vehículos automotores, remolques y semirremolques"/>
    <n v="102.698172493794"/>
    <n v="199331"/>
    <n v="1661105491.932003"/>
    <s v=""/>
    <s v=""/>
    <n v="16128333392.298285"/>
    <n v="80912.318667433996"/>
  </r>
  <r>
    <x v="1"/>
    <x v="4"/>
    <x v="4"/>
    <n v="9268944858.0735302"/>
    <n v="33317694556.988583"/>
    <n v="41915973646.110588"/>
    <n v="22.11315651720189"/>
    <m/>
    <n v="107.8000000000001"/>
    <n v="420781"/>
    <n v="1243981020.6412613"/>
    <s v=""/>
    <s v=""/>
    <n v="8598279089.1220055"/>
    <n v="20434.095382448366"/>
  </r>
  <r>
    <x v="1"/>
    <x v="4"/>
    <x v="5"/>
    <n v="51347070544.438988"/>
    <n v="183482847654.90451"/>
    <n v="231114638512.45477"/>
    <n v="22.21714335142466"/>
    <m/>
    <n v="107.79999999999959"/>
    <n v="1570105"/>
    <n v="8372796036.6430092"/>
    <s v=""/>
    <s v=""/>
    <n v="47631790857.550262"/>
    <n v="30336.691404428533"/>
  </r>
  <r>
    <x v="1"/>
    <x v="4"/>
    <x v="6"/>
    <n v="45272453373.661896"/>
    <n v="180130064324.39172"/>
    <n v="222010224707.05786"/>
    <n v="20.392057813282623"/>
    <m/>
    <n v="108.09999999999951"/>
    <n v="5555183"/>
    <n v="9081191647.7728405"/>
    <s v=""/>
    <s v=""/>
    <n v="41880160382.666138"/>
    <n v="7538.9344298227688"/>
  </r>
  <r>
    <x v="1"/>
    <x v="4"/>
    <x v="7"/>
    <n v="572766421.55427301"/>
    <n v="360195852.02963382"/>
    <n v="932962273.58390677"/>
    <n v="61.392238225671491"/>
    <s v="México2020Actividades de edición"/>
    <n v="105.28910709066101"/>
    <n v="52341"/>
    <n v="267417236.2662915"/>
    <s v=""/>
    <s v=""/>
    <n v="543993996.51198733"/>
    <n v="10393.267161727657"/>
  </r>
  <r>
    <x v="1"/>
    <x v="4"/>
    <x v="8"/>
    <n v="439759296.24209702"/>
    <n v="946346767.77827644"/>
    <n v="1386106064.0203731"/>
    <n v="31.72623709376062"/>
    <s v="México2020Actividades de programación y radiodifusión"/>
    <n v="98.138543861749895"/>
    <n v="17655"/>
    <n v="47328099.080275834"/>
    <s v=""/>
    <s v=""/>
    <n v="448100490.32477641"/>
    <n v="25380.939695541005"/>
  </r>
  <r>
    <x v="1"/>
    <x v="4"/>
    <x v="9"/>
    <n v="436137336.89178759"/>
    <n v="153349625.89299119"/>
    <n v="589486962.78477883"/>
    <n v="73.985917318924834"/>
    <s v="México2020Actividades de servicios de información"/>
    <n v="101.069600106377"/>
    <n v="32338"/>
    <n v="177889633.87507841"/>
    <s v=""/>
    <s v=""/>
    <n v="431521779.47943562"/>
    <n v="13344.108463090965"/>
  </r>
  <r>
    <x v="1"/>
    <x v="4"/>
    <x v="10"/>
    <n v="1866582429.401386"/>
    <n v="1276106804.8263321"/>
    <n v="3142689234.2277179"/>
    <n v="59.394432292955592"/>
    <s v="México2020Producción de películas, videos y programas de televisión, grabación de sonido y edición musical"/>
    <n v="107.1"/>
    <n v="79920"/>
    <n v="255930710.20795709"/>
    <s v=""/>
    <s v=""/>
    <n v="1742840737.0694547"/>
    <n v="21807.316529898082"/>
  </r>
  <r>
    <x v="1"/>
    <x v="4"/>
    <x v="13"/>
    <n v="15202680042.028139"/>
    <n v="8534167669.5989914"/>
    <n v="23736847711.627121"/>
    <n v="64.04675223400173"/>
    <s v="México2020Telecomunicaciones"/>
    <n v="110.2"/>
    <n v="185533"/>
    <n v="2147080514.747663"/>
    <s v=""/>
    <s v=""/>
    <n v="13795535428.337692"/>
    <n v="74356.23543163584"/>
  </r>
  <r>
    <x v="1"/>
    <x v="4"/>
    <x v="12"/>
    <n v="1598508241.7571759"/>
    <n v="350966371.67592418"/>
    <n v="1949474613.4331"/>
    <n v="81.996873965039299"/>
    <s v="México2020Actividades inmobiliarias"/>
    <n v="105.1"/>
    <n v="30241"/>
    <n v="5259.3344459644113"/>
    <s v=""/>
    <s v=""/>
    <n v="1520940287.1143444"/>
    <n v="50293.981254401122"/>
  </r>
  <r>
    <x v="1"/>
    <x v="5"/>
    <x v="0"/>
    <n v="25823609359.605911"/>
    <n v="47261721428.571426"/>
    <n v="73085330788.177338"/>
    <n v="35.333505480669281"/>
    <s v="México2021Elaboración de productos alimenticios"/>
    <n v="111.5"/>
    <n v="1629483"/>
    <n v="4554496403.9408865"/>
    <s v=""/>
    <s v=""/>
    <n v="23160187766.4627"/>
    <n v="14213.212268224155"/>
  </r>
  <r>
    <x v="1"/>
    <x v="5"/>
    <x v="1"/>
    <n v="1564381527.093596"/>
    <n v="1981395566.5024631"/>
    <n v="3545777093.5960588"/>
    <n v="44.119567750578199"/>
    <s v="México2021Fabricación de prendas de vestir"/>
    <n v="107.9"/>
    <n v="238755"/>
    <n v="687144285.71428573"/>
    <s v=""/>
    <s v=""/>
    <n v="1449843861.9959183"/>
    <n v="6072.5172750137936"/>
  </r>
  <r>
    <x v="1"/>
    <x v="5"/>
    <x v="2"/>
    <n v="882235960.591133"/>
    <n v="1435189014.7783251"/>
    <n v="2317424975.3694582"/>
    <n v="38.069666546615238"/>
    <s v="México2021Fabricación de productos de cuero y productos conexos"/>
    <n v="107.751504208182"/>
    <n v="117383"/>
    <n v="398176206.89655173"/>
    <s v=""/>
    <s v=""/>
    <n v="818769043.71246946"/>
    <n v="6975.192691552179"/>
  </r>
  <r>
    <x v="1"/>
    <x v="5"/>
    <x v="3"/>
    <n v="18311106305.41872"/>
    <n v="59943167044.334976"/>
    <n v="78254273349.753693"/>
    <n v="23.39949694961464"/>
    <s v="México2021Fabricación de vehículos automotores, remolques y semirremolques"/>
    <n v="108.066711163676"/>
    <n v="213522"/>
    <n v="1936239507.3891625"/>
    <s v=""/>
    <s v=""/>
    <n v="16944261658.601814"/>
    <n v="79356.046021495742"/>
  </r>
  <r>
    <x v="1"/>
    <x v="5"/>
    <x v="4"/>
    <n v="16762935665.024633"/>
    <n v="45695511951.016449"/>
    <n v="60451617289.946571"/>
    <n v="27.729507358957623"/>
    <m/>
    <n v="113.60000000000009"/>
    <n v="414144"/>
    <n v="1869304057.101228"/>
    <s v=""/>
    <s v=""/>
    <n v="14756105338.930124"/>
    <n v="35630.373345817214"/>
  </r>
  <r>
    <x v="1"/>
    <x v="5"/>
    <x v="5"/>
    <n v="70756663201.970154"/>
    <n v="281290457312.84265"/>
    <n v="343576252384.99963"/>
    <n v="20.594165839693336"/>
    <m/>
    <n v="113.59999999999972"/>
    <n v="1626213"/>
    <n v="10522987016.929163"/>
    <s v=""/>
    <s v=""/>
    <n v="62285795072.156975"/>
    <n v="38301.129724185565"/>
  </r>
  <r>
    <x v="1"/>
    <x v="5"/>
    <x v="6"/>
    <n v="58976723251.231956"/>
    <n v="230108210683.87482"/>
    <n v="281751576052.72919"/>
    <n v="20.932171552500773"/>
    <m/>
    <n v="114.2000000000005"/>
    <n v="5799569"/>
    <n v="13342813316.884214"/>
    <s v=""/>
    <s v=""/>
    <n v="51643365368.85437"/>
    <n v="8904.6902224724581"/>
  </r>
  <r>
    <x v="1"/>
    <x v="5"/>
    <x v="7"/>
    <n v="692382610.83743834"/>
    <n v="472748669.95073891"/>
    <n v="1165131280.788177"/>
    <n v="59.425287283426258"/>
    <s v="México2021Actividades de edición"/>
    <n v="109.8428953814"/>
    <n v="61542"/>
    <n v="341982413.7931034"/>
    <s v=""/>
    <s v=""/>
    <n v="630339002.29352605"/>
    <n v="10242.419848128531"/>
  </r>
  <r>
    <x v="1"/>
    <x v="5"/>
    <x v="8"/>
    <n v="502249802.95566499"/>
    <n v="1062089753.694581"/>
    <n v="1564339556.6502459"/>
    <n v="32.106188251810437"/>
    <s v="México2021Actividades de programación y radiodifusión"/>
    <n v="96.916728589906498"/>
    <n v="18258"/>
    <n v="78615221.674876839"/>
    <s v=""/>
    <s v=""/>
    <n v="518228184.40445417"/>
    <n v="28383.622762868559"/>
  </r>
  <r>
    <x v="1"/>
    <x v="5"/>
    <x v="9"/>
    <n v="425842413.7931034"/>
    <n v="149469458.12807879"/>
    <n v="575311871.92118227"/>
    <n v="74.019403140605405"/>
    <s v="México2021Actividades de servicios de información"/>
    <n v="102.484999601607"/>
    <n v="27347"/>
    <n v="190569113.30049261"/>
    <s v=""/>
    <s v=""/>
    <n v="415516822.4115659"/>
    <n v="15194.237847353124"/>
  </r>
  <r>
    <x v="1"/>
    <x v="5"/>
    <x v="10"/>
    <n v="690564778.32512307"/>
    <n v="861825024.6305418"/>
    <n v="1552389802.9556651"/>
    <n v="44.483980570493678"/>
    <s v="México2021Producción de películas, videos y programas de televisión, grabación de sonido y edición musical"/>
    <n v="116.18765921948599"/>
    <n v="67492"/>
    <n v="195304384.23645321"/>
    <s v=""/>
    <s v=""/>
    <n v="594352948.4664129"/>
    <n v="8806.2725725480486"/>
  </r>
  <r>
    <x v="1"/>
    <x v="5"/>
    <x v="13"/>
    <n v="16958590837.438419"/>
    <n v="8717380000"/>
    <n v="25675970837.438419"/>
    <n v="66.048489246260203"/>
    <s v="México2021Telecomunicaciones"/>
    <n v="118.49318137442501"/>
    <n v="183929"/>
    <n v="2161597339.9014769"/>
    <s v=""/>
    <s v=""/>
    <n v="14311870641.612022"/>
    <n v="77811.930916886529"/>
  </r>
  <r>
    <x v="1"/>
    <x v="5"/>
    <x v="12"/>
    <n v="1729609211.82266"/>
    <n v="387001970.44334972"/>
    <n v="2116611182.26601"/>
    <n v="81.715963059921464"/>
    <s v="México2021Actividades inmobiliarias"/>
    <n v="109.76324105062101"/>
    <n v="32762"/>
    <n v="5773.3990147783252"/>
    <s v=""/>
    <s v=""/>
    <n v="1575763611.9955611"/>
    <n v="48097.296013538893"/>
  </r>
  <r>
    <x v="1"/>
    <x v="6"/>
    <x v="0"/>
    <n v="32771114029.850739"/>
    <n v="56143503482.587059"/>
    <n v="88914617512.437805"/>
    <n v="36.85683518265887"/>
    <s v="México2022Elaboración de productos alimenticios"/>
    <n v="112.92894634856199"/>
    <n v="1752058"/>
    <n v="6101304776.1194019"/>
    <s v=""/>
    <s v=""/>
    <n v="29019232968.578953"/>
    <n v="16562.940820782733"/>
  </r>
  <r>
    <x v="1"/>
    <x v="6"/>
    <x v="1"/>
    <n v="2642478756.218905"/>
    <n v="2954734626.8656712"/>
    <n v="5597213383.0845766"/>
    <n v="47.210613127682073"/>
    <s v="México2022Fabricación de prendas de vestir"/>
    <n v="113.88"/>
    <n v="501642"/>
    <n v="1222573432.8358212"/>
    <s v=""/>
    <s v=""/>
    <n v="2320406354.2491264"/>
    <n v="4625.6221653073835"/>
  </r>
  <r>
    <x v="1"/>
    <x v="6"/>
    <x v="2"/>
    <n v="1561767064.6766169"/>
    <n v="2327141741.2935319"/>
    <n v="3888908805.970149"/>
    <n v="40.159518841867254"/>
    <s v="México2022Fabricación de productos de cuero y productos conexos"/>
    <n v="113.613933941246"/>
    <n v="263961"/>
    <n v="804674626.86567152"/>
    <s v=""/>
    <s v=""/>
    <n v="1374626342.4733315"/>
    <n v="5207.6872813534255"/>
  </r>
  <r>
    <x v="1"/>
    <x v="6"/>
    <x v="3"/>
    <n v="22452845124.378109"/>
    <n v="72295427164.179108"/>
    <n v="94748272288.557205"/>
    <n v="23.697366275975622"/>
    <s v="México2022Fabricación de vehículos automotores, remolques y semirremolques"/>
    <n v="114.15472463850701"/>
    <n v="232248"/>
    <n v="2579074527.363183"/>
    <s v=""/>
    <s v=""/>
    <n v="19668783044.660992"/>
    <n v="84688.70795296834"/>
  </r>
  <r>
    <x v="1"/>
    <x v="6"/>
    <x v="4"/>
    <n v="16619127761.194019"/>
    <n v="45922453333.010796"/>
    <n v="59390141956.344696"/>
    <n v="27.982973627862467"/>
    <m/>
    <n v="123.39999999999989"/>
    <n v="417914"/>
    <n v="2360022214.696372"/>
    <s v=""/>
    <s v=""/>
    <n v="13467688623.3339"/>
    <n v="32225.98099928191"/>
  </r>
  <r>
    <x v="1"/>
    <x v="6"/>
    <x v="5"/>
    <n v="87022710497.512741"/>
    <n v="290118105824.2016"/>
    <n v="360638940911.32678"/>
    <n v="24.130148085952182"/>
    <m/>
    <n v="123.40000000000038"/>
    <n v="1652813"/>
    <n v="12763449930.251495"/>
    <s v=""/>
    <s v=""/>
    <n v="70520835087.125183"/>
    <n v="42667.159011409749"/>
  </r>
  <r>
    <x v="1"/>
    <x v="6"/>
    <x v="6"/>
    <n v="68065142487.56263"/>
    <n v="242890609635.94455"/>
    <n v="298590398905.6355"/>
    <n v="22.795489318152349"/>
    <m/>
    <n v="122.20000000000051"/>
    <n v="5815255"/>
    <n v="16881342672.887606"/>
    <s v=""/>
    <s v=""/>
    <n v="55699789269.690956"/>
    <n v="9578.219574152974"/>
  </r>
  <r>
    <x v="1"/>
    <x v="6"/>
    <x v="7"/>
    <n v="842849751.24378109"/>
    <n v="502659800.99502492"/>
    <n v="1345509552.238806"/>
    <n v="62.641677262071859"/>
    <s v="México2022Actividades de edición"/>
    <n v="116.700891392263"/>
    <n v="58171"/>
    <n v="361914129.35323381"/>
    <s v=""/>
    <s v=""/>
    <n v="722230774.06558704"/>
    <n v="12415.649964167489"/>
  </r>
  <r>
    <x v="1"/>
    <x v="6"/>
    <x v="8"/>
    <n v="599830199.00497508"/>
    <n v="1184154875.6218901"/>
    <n v="1783985074.6268661"/>
    <n v="33.623050301047741"/>
    <s v="México2022Actividades de programación y radiodifusión"/>
    <n v="97.091106465258406"/>
    <n v="20651"/>
    <n v="98359850.74626866"/>
    <s v=""/>
    <s v=""/>
    <n v="617801383.50736487"/>
    <n v="29916.293811794338"/>
  </r>
  <r>
    <x v="1"/>
    <x v="6"/>
    <x v="9"/>
    <n v="522044079.60198998"/>
    <n v="175039303.48258701"/>
    <n v="697083383.08457708"/>
    <n v="74.889761005628557"/>
    <s v="México2022Actividades de servicios de información"/>
    <n v="107.605596889353"/>
    <n v="31034"/>
    <n v="243947512.4378109"/>
    <s v=""/>
    <s v=""/>
    <n v="485145842.49626845"/>
    <n v="15632.720322751449"/>
  </r>
  <r>
    <x v="1"/>
    <x v="6"/>
    <x v="10"/>
    <n v="1217495820.8955221"/>
    <n v="830313731.34328353"/>
    <n v="2047809552.238806"/>
    <n v="59.453566839966747"/>
    <s v="México2022Producción de películas, videos y programas de televisión, grabación de sonido y edición musical"/>
    <n v="129.32654788623401"/>
    <n v="75508"/>
    <n v="274055024.87562191"/>
    <s v=""/>
    <s v=""/>
    <n v="941412139.11201656"/>
    <n v="12467.713872861374"/>
  </r>
  <r>
    <x v="1"/>
    <x v="6"/>
    <x v="13"/>
    <n v="19341110995.024879"/>
    <n v="7957322686.5671644"/>
    <n v="27298433681.592041"/>
    <n v="70.850625426421558"/>
    <s v="México2022Telecomunicaciones"/>
    <n v="130.309937712893"/>
    <n v="156974"/>
    <n v="2364631542.2885571"/>
    <s v=""/>
    <s v=""/>
    <n v="14842391405.050337"/>
    <n v="94553.183361896474"/>
  </r>
  <r>
    <x v="1"/>
    <x v="6"/>
    <x v="12"/>
    <n v="5905083034.8258696"/>
    <n v="1894228059.701493"/>
    <n v="7799311094.5273628"/>
    <n v="75.712879807671229"/>
    <s v="México2022Actividades inmobiliarias"/>
    <n v="114.765372402341"/>
    <n v="233590"/>
    <n v="720259502.48756218"/>
    <s v=""/>
    <s v=""/>
    <n v="5145352566.9084282"/>
    <n v="22027.280991944983"/>
  </r>
  <r>
    <x v="1"/>
    <x v="7"/>
    <x v="0"/>
    <n v="38221209661.016953"/>
    <n v="65680787288.135597"/>
    <n v="103901996949.1525"/>
    <n v="36.785827783196133"/>
    <s v="México2023Elaboración de productos alimenticios"/>
    <n v="118.92956316086899"/>
    <n v="1756559"/>
    <n v="7484435649.717515"/>
    <s v=""/>
    <s v=""/>
    <n v="32137686076.688416"/>
    <n v="18295.819313036689"/>
  </r>
  <r>
    <x v="1"/>
    <x v="7"/>
    <x v="1"/>
    <n v="2820073389.8305092"/>
    <n v="3318570677.9661021"/>
    <n v="6138644067.7966108"/>
    <n v="45.939679165056049"/>
    <s v="México2023Fabricación de prendas de vestir"/>
    <n v="122.8"/>
    <n v="508228"/>
    <n v="1423187627.1186442"/>
    <s v=""/>
    <s v=""/>
    <n v="2296476701.8163757"/>
    <n v="4518.5953977670961"/>
  </r>
  <r>
    <x v="1"/>
    <x v="7"/>
    <x v="2"/>
    <n v="1866013050.8474579"/>
    <n v="2643397005.6497178"/>
    <n v="4509410056.4971752"/>
    <n v="41.380425099263242"/>
    <s v="México2023Fabricación de productos de cuero y productos conexos"/>
    <n v="123.411266049067"/>
    <n v="266257"/>
    <n v="996483785.31073451"/>
    <s v=""/>
    <s v=""/>
    <n v="1512028124.0008924"/>
    <n v="5678.8295669255358"/>
  </r>
  <r>
    <x v="1"/>
    <x v="7"/>
    <x v="3"/>
    <n v="28580675197.740108"/>
    <n v="89013997570.62149"/>
    <n v="117594672768.3616"/>
    <n v="24.30439621532723"/>
    <s v="México2023Fabricación de vehículos automotores, remolques y semirremolques"/>
    <n v="122.22806695566899"/>
    <n v="246957"/>
    <n v="3521800451.9774003"/>
    <s v=""/>
    <s v=""/>
    <n v="23383070606.938469"/>
    <n v="94684.785638546266"/>
  </r>
  <r>
    <x v="1"/>
    <x v="7"/>
    <x v="4"/>
    <n v="15605014858.757048"/>
    <n v="61997237316.290337"/>
    <n v="74958213112.600189"/>
    <n v="20.818285563071811"/>
    <m/>
    <n v="120.39999999999989"/>
    <n v="406033"/>
    <n v="3334440189.9506354"/>
    <s v=""/>
    <s v=""/>
    <n v="12960975796.309853"/>
    <n v="31920.991141877268"/>
  </r>
  <r>
    <x v="1"/>
    <x v="7"/>
    <x v="5"/>
    <n v="121140581694.91544"/>
    <n v="337952415301.16199"/>
    <n v="438567516376.67285"/>
    <n v="27.621877401168792"/>
    <m/>
    <n v="120.40000000000035"/>
    <n v="1665682"/>
    <n v="18118783152.204517"/>
    <s v=""/>
    <s v=""/>
    <n v="100615101075.51086"/>
    <n v="60404.747770289207"/>
  </r>
  <r>
    <x v="1"/>
    <x v="7"/>
    <x v="6"/>
    <n v="78382673163.841492"/>
    <n v="303654100640.55029"/>
    <n v="368379677158.99939"/>
    <n v="21.277686589103041"/>
    <m/>
    <n v="121.09999999999943"/>
    <n v="5851537"/>
    <n v="23925162050.320278"/>
    <s v=""/>
    <s v=""/>
    <n v="64725576518.449104"/>
    <n v="11061.294924470119"/>
  </r>
  <r>
    <x v="1"/>
    <x v="7"/>
    <x v="7"/>
    <n v="851134576.27118647"/>
    <n v="534215141.24293792"/>
    <n v="1385349717.5141239"/>
    <n v="61.438246639878408"/>
    <s v="México2023Actividades de edición"/>
    <n v="120.695618981471"/>
    <n v="54436"/>
    <n v="399322146.89265537"/>
    <s v=""/>
    <s v=""/>
    <n v="705190945.16748893"/>
    <n v="12954.496016744231"/>
  </r>
  <r>
    <x v="1"/>
    <x v="7"/>
    <x v="8"/>
    <n v="619543898.30508482"/>
    <n v="1436046327.6836159"/>
    <n v="2055590225.9887011"/>
    <n v="30.13946507782677"/>
    <s v="México2023Actividades de programación y radiodifusión"/>
    <n v="93.688296621976704"/>
    <n v="19531"/>
    <n v="125353898.30508479"/>
    <s v=""/>
    <s v=""/>
    <n v="661282060.4529562"/>
    <n v="33858.0748785498"/>
  </r>
  <r>
    <x v="1"/>
    <x v="7"/>
    <x v="9"/>
    <n v="640547401.12994361"/>
    <n v="260802203.3898305"/>
    <n v="901349604.51977408"/>
    <n v="71.065366636646814"/>
    <s v="México2023Actividades de servicios de información"/>
    <n v="106.625388523045"/>
    <n v="27592"/>
    <n v="349095819.20903963"/>
    <s v=""/>
    <s v=""/>
    <n v="600745666.67722082"/>
    <n v="21772.458200827081"/>
  </r>
  <r>
    <x v="1"/>
    <x v="7"/>
    <x v="10"/>
    <n v="1695678587.570622"/>
    <n v="940427062.14689267"/>
    <n v="2636105649.717515"/>
    <n v="64.325137642049015"/>
    <s v="México2023Producción de películas, videos y programas de televisión, grabación de sonido y edición musical"/>
    <n v="137.78728757684999"/>
    <n v="75970"/>
    <n v="382686553.67231637"/>
    <s v=""/>
    <s v=""/>
    <n v="1230649515.9249492"/>
    <n v="16199.151190271807"/>
  </r>
  <r>
    <x v="1"/>
    <x v="7"/>
    <x v="13"/>
    <n v="20528690169.491531"/>
    <n v="9953007627.1186447"/>
    <n v="30481697796.610168"/>
    <n v="67.34759430550649"/>
    <s v="México2023Telecomunicaciones"/>
    <n v="126.827473515305"/>
    <n v="151981"/>
    <n v="2809607570.621469"/>
    <s v=""/>
    <s v=""/>
    <n v="16186311688.227564"/>
    <n v="106502.20546139033"/>
  </r>
  <r>
    <x v="1"/>
    <x v="7"/>
    <x v="12"/>
    <n v="7168771864.4067802"/>
    <n v="2398661299.4350281"/>
    <n v="9567433163.8418083"/>
    <n v="74.928894110279373"/>
    <s v="México2023Actividades inmobiliarias"/>
    <n v="121.146784451534"/>
    <n v="248768"/>
    <n v="920973220.33898306"/>
    <s v=""/>
    <s v=""/>
    <n v="5917426448.3055429"/>
    <n v="23786.927773288939"/>
  </r>
  <r>
    <x v="1"/>
    <x v="0"/>
    <x v="7"/>
    <n v="744629209.34934223"/>
    <n v="551747311.11981285"/>
    <n v="1296376520.4691551"/>
    <n v="57.439269964551883"/>
    <s v="México2016Actividades de edición"/>
    <n v="90.490165269147795"/>
    <n v="22825"/>
    <n v="220813878.01063275"/>
    <m/>
    <m/>
    <n v="822884130.15333521"/>
    <n v="36051.878648557948"/>
  </r>
  <r>
    <x v="1"/>
    <x v="0"/>
    <x v="8"/>
    <n v="584600776.80497336"/>
    <n v="938391462.73564136"/>
    <n v="1522992239.5406151"/>
    <n v="38.385013503503373"/>
    <s v="México2016Actividades de programación y radiodifusión"/>
    <n v="87.983051423758297"/>
    <n v="11875"/>
    <n v="19044636.147818878"/>
    <m/>
    <m/>
    <n v="664447035.36062181"/>
    <n v="55953.43455668394"/>
  </r>
  <r>
    <x v="1"/>
    <x v="0"/>
    <x v="9"/>
    <n v="176038723.26802811"/>
    <n v="94308052.866315708"/>
    <n v="270346776.1343438"/>
    <n v="65.115895142226123"/>
    <s v="México2016Actividades de servicios de información"/>
    <n v="88.944036225961995"/>
    <n v="7056"/>
    <n v="68217607.192433596"/>
    <m/>
    <m/>
    <n v="197920772.13676518"/>
    <n v="28049.996051128852"/>
  </r>
  <r>
    <x v="1"/>
    <x v="0"/>
    <x v="10"/>
    <n v="1377619408.4262669"/>
    <n v="1254903278.8956671"/>
    <n v="2632522687.3219342"/>
    <n v="52.33077059737402"/>
    <s v="México2016Producción de películas, videos y programas de televisión, grabación de sonido y edición musical"/>
    <n v="98.961476244551903"/>
    <n v="27371"/>
    <n v="140074385.39403054"/>
    <m/>
    <m/>
    <n v="1392076453.0855598"/>
    <n v="50859.539406143726"/>
  </r>
  <r>
    <x v="1"/>
    <x v="0"/>
    <x v="13"/>
    <n v="11840093513.06678"/>
    <n v="7437131759.9289551"/>
    <n v="19277225272.995739"/>
    <n v="61.420112829478789"/>
    <s v="México2016Telecomunicaciones"/>
    <n v="105.807655116368"/>
    <n v="115660"/>
    <n v="2401698623.0665274"/>
    <m/>
    <m/>
    <n v="11190204999.860325"/>
    <n v="96750.864601939524"/>
  </r>
  <r>
    <x v="1"/>
    <x v="1"/>
    <x v="7"/>
    <n v="691147305.67607498"/>
    <n v="452606475.3947503"/>
    <n v="1143753781.0708251"/>
    <n v="60.427979965145717"/>
    <s v="México2017Actividades de edición"/>
    <n v="97.7703392672272"/>
    <n v="20196"/>
    <n v="212497638.67448747"/>
    <m/>
    <m/>
    <n v="706908977.56529403"/>
    <n v="35002.425112165482"/>
  </r>
  <r>
    <x v="1"/>
    <x v="1"/>
    <x v="8"/>
    <n v="539451457.43493903"/>
    <n v="1096699216.5313039"/>
    <n v="1636150673.966243"/>
    <n v="32.970768891793952"/>
    <s v="México2017Actividades de programación y radiodifusión"/>
    <n v="93.557066612031207"/>
    <n v="11053"/>
    <n v="18563563.818311349"/>
    <m/>
    <m/>
    <n v="576601508.5444833"/>
    <n v="52166.969016962212"/>
  </r>
  <r>
    <x v="1"/>
    <x v="1"/>
    <x v="9"/>
    <n v="200644052.30404249"/>
    <n v="125449180.206606"/>
    <n v="326093232.51064849"/>
    <n v="61.529658484246688"/>
    <s v="México2017Actividades de servicios de información"/>
    <n v="95.324856243727695"/>
    <n v="7409"/>
    <n v="80258424.02766487"/>
    <m/>
    <m/>
    <n v="210484505.52186877"/>
    <n v="28409.300245899416"/>
  </r>
  <r>
    <x v="1"/>
    <x v="1"/>
    <x v="10"/>
    <n v="1426535240.2405441"/>
    <n v="1470059255.488992"/>
    <n v="2896594495.7295361"/>
    <n v="49.248703687854558"/>
    <s v="México2017Producción de películas, videos y programas de televisión, grabación de sonido y edición musical"/>
    <n v="99.664134201715697"/>
    <n v="31317"/>
    <n v="156936215.59170502"/>
    <m/>
    <m/>
    <n v="1431342630.5929687"/>
    <n v="45704.972717468743"/>
  </r>
  <r>
    <x v="1"/>
    <x v="1"/>
    <x v="13"/>
    <n v="12829048063.959641"/>
    <n v="7974065468.9936762"/>
    <n v="20803113532.95332"/>
    <n v="61.668884533258449"/>
    <s v="México2017Telecomunicaciones"/>
    <n v="99.987775194221399"/>
    <n v="116930"/>
    <n v="2479628794.1697321"/>
    <m/>
    <m/>
    <n v="12830616581.916977"/>
    <n v="109729.039441691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n v="5717750416.209672"/>
    <n v="15325576438.67857"/>
    <n v="21043326865.704231"/>
    <n v="27.171323492238709"/>
    <s v="Chile2016Elaboración de productos alimenticios"/>
    <n v="96.618124512281994"/>
    <n v="150226.25"/>
    <n v="1842436235.4716952"/>
    <s v=""/>
    <s v=""/>
    <n v="5917885950.5628653"/>
    <n v="39393.154994968361"/>
    <n v="12264.409418937737"/>
  </r>
  <r>
    <x v="0"/>
    <x v="0"/>
    <x v="1"/>
    <n v="123489233.58292609"/>
    <n v="225631823.6353479"/>
    <n v="349121057.21827412"/>
    <n v="35.371465292544457"/>
    <s v="Chile2016Fabricación de prendas de vestir"/>
    <n v="117.9376128321"/>
    <n v="8550"/>
    <n v="90233466.208546981"/>
    <s v=""/>
    <s v=""/>
    <n v="104707252.09499498"/>
    <n v="12246.462233332746"/>
    <n v="10553.621778777424"/>
  </r>
  <r>
    <x v="0"/>
    <x v="0"/>
    <x v="2"/>
    <n v="146282997.89322799"/>
    <n v="139299053.3114379"/>
    <n v="285582051.2046659"/>
    <n v="51.222756218804697"/>
    <s v="Chile2016Fabricación de productos de cuero y productos conexos"/>
    <n v="117.9376128321"/>
    <n v="5885.75"/>
    <n v="67650512.378484622"/>
    <s v=""/>
    <s v=""/>
    <n v="124034219.77133067"/>
    <n v="21073.647329793257"/>
    <n v="11493.949348593573"/>
  </r>
  <r>
    <x v="0"/>
    <x v="0"/>
    <x v="3"/>
    <n v="17635137.859200809"/>
    <n v="76040541.856078655"/>
    <n v="93675679.622954637"/>
    <n v="18.825737833109269"/>
    <s v="Chile2016Fabricación de vehículos automotores, remolques y semirremolques"/>
    <n v="101.10423088160999"/>
    <n v="1132.75"/>
    <n v="17844337.034362689"/>
    <s v=""/>
    <s v=""/>
    <n v="17442532.033947248"/>
    <n v="15398.395086247847"/>
    <n v="15753.111484760706"/>
  </r>
  <r>
    <x v="0"/>
    <x v="0"/>
    <x v="4"/>
    <n v="1437572717.147887"/>
    <n v="1464741293.590282"/>
    <n v="2886368656.3604069"/>
    <n v="49.805582318116208"/>
    <s v="Chile2016Comercio al por mayor y al por menor y reparación de vehículos de motor y motocicletas"/>
    <n v="99.274640339339996"/>
    <n v="436535"/>
    <n v="874553181.79707634"/>
    <s v=""/>
    <s v=""/>
    <n v="1448076479.7877729"/>
    <n v="3317.2059051113265"/>
    <n v="2003.3976240097045"/>
  </r>
  <r>
    <x v="0"/>
    <x v="0"/>
    <x v="5"/>
    <n v="6047645256.1433306"/>
    <n v="7949824911.440237"/>
    <n v="13989509558.35634"/>
    <n v="43.229858994812993"/>
    <s v="Chile2016Comercio al por mayor, excepto de vehículos de motor y motocicletas"/>
    <n v="99.274640339339996"/>
    <n v="1533942"/>
    <n v="3097459605.4570727"/>
    <s v=""/>
    <s v=""/>
    <n v="6091832954.9936466"/>
    <n v="3971.3580793756523"/>
    <n v="2019.280784708335"/>
  </r>
  <r>
    <x v="0"/>
    <x v="0"/>
    <x v="6"/>
    <n v="6204922234.204154"/>
    <n v="6339195954.9405451"/>
    <n v="12540195102.2833"/>
    <n v="49.48026871666751"/>
    <s v="Chile2016Comercio al por menor, excepto de vehículos de motor y motocicletas"/>
    <n v="99.274640339339996"/>
    <n v="2597511"/>
    <n v="2712591055.8748131"/>
    <s v=""/>
    <s v=""/>
    <n v="6250259092.3467722"/>
    <n v="2406.2493257378978"/>
    <n v="1044.3039724855114"/>
  </r>
  <r>
    <x v="0"/>
    <x v="0"/>
    <x v="7"/>
    <n v="221276542.12983009"/>
    <n v="153406479.41594589"/>
    <n v="374683021.54577589"/>
    <n v="59.056997356576566"/>
    <s v="Chile2016Actividades de edición"/>
    <n v="108.15408937171394"/>
    <n v="53031"/>
    <n v="135734330.38357136"/>
    <s v=""/>
    <s v=""/>
    <n v="204593782.27422035"/>
    <n v="3858.0034748396288"/>
    <n v="2559.5280191505226"/>
  </r>
  <r>
    <x v="0"/>
    <x v="0"/>
    <x v="8"/>
    <n v="473101103.58037567"/>
    <n v="198599342.0882203"/>
    <n v="671700445.66859603"/>
    <n v="70.433346684690846"/>
    <s v="Chile2016Actividades de programación y radiodifusión"/>
    <n v="108.15408937171394"/>
    <n v="85757"/>
    <n v="182967614.37973905"/>
    <s v=""/>
    <s v=""/>
    <n v="437432469.10838318"/>
    <n v="5100.8368892146782"/>
    <n v="2133.5589442230844"/>
  </r>
  <r>
    <x v="0"/>
    <x v="0"/>
    <x v="9"/>
    <n v="233900934.38500071"/>
    <n v="199968219.27310091"/>
    <n v="433869153.65810168"/>
    <n v="53.910477943154213"/>
    <s v="Chile2016Actividades de servicios de información"/>
    <n v="108.15408937171394"/>
    <n v="47839"/>
    <n v="126440679.29575075"/>
    <s v=""/>
    <s v=""/>
    <n v="216266380.44272965"/>
    <n v="4520.7128167965393"/>
    <n v="2643.0460355724567"/>
  </r>
  <r>
    <x v="0"/>
    <x v="0"/>
    <x v="10"/>
    <n v="171742536.95555741"/>
    <n v="108786156.179094"/>
    <n v="280528693.13465142"/>
    <n v="61.221023431325953"/>
    <s v="Chile2016Producción de películas, videos y programas de televisión, grabación de sonido y edición musical"/>
    <n v="108.15408937171394"/>
    <n v="23808"/>
    <n v="50080661.162225857"/>
    <s v=""/>
    <s v=""/>
    <n v="158794307.22706825"/>
    <n v="6669.7877699541432"/>
    <n v="2103.5223942467178"/>
  </r>
  <r>
    <x v="0"/>
    <x v="0"/>
    <x v="11"/>
    <n v="962217929.29925251"/>
    <n v="818456821.59905183"/>
    <n v="1780674750.898304"/>
    <n v="54.036703155016852"/>
    <s v="Chile2016Programación de computadoras, consultoría y actividades relacionadas"/>
    <n v="108.15408937171394"/>
    <n v="217507"/>
    <n v="716382437.45250332"/>
    <s v=""/>
    <s v=""/>
    <n v="889673182.85322845"/>
    <n v="4090.3197729416911"/>
    <n v="3293.6063549793953"/>
  </r>
  <r>
    <x v="0"/>
    <x v="1"/>
    <x v="0"/>
    <n v="7853574067.9128141"/>
    <n v="16496365273.74365"/>
    <n v="24349939341.656471"/>
    <n v="32.252951260857451"/>
    <s v="Chile2017Elaboración de productos alimenticios"/>
    <n v="98.723825004638996"/>
    <n v="155407.25"/>
    <n v="1855568993.0315907"/>
    <s v=""/>
    <s v=""/>
    <n v="7955095001.175024"/>
    <n v="51188.699376477118"/>
    <n v="11940.041362494932"/>
  </r>
  <r>
    <x v="0"/>
    <x v="1"/>
    <x v="1"/>
    <n v="177953052.49227461"/>
    <n v="196562999.5045079"/>
    <n v="374516051.9967826"/>
    <n v="47.515467372758543"/>
    <s v="Chile2017Fabricación de prendas de vestir"/>
    <n v="111.61986215915999"/>
    <n v="26102.75"/>
    <n v="79887217.021222293"/>
    <s v=""/>
    <s v=""/>
    <n v="159427765.85633963"/>
    <n v="6107.6999877920771"/>
    <n v="3060.4904472219323"/>
  </r>
  <r>
    <x v="0"/>
    <x v="1"/>
    <x v="2"/>
    <n v="160454162.04988059"/>
    <n v="167705190.05068791"/>
    <n v="328159352.10056847"/>
    <n v="48.895197111648187"/>
    <s v="Chile2017Fabricación de productos de cuero y productos conexos"/>
    <n v="111.61986215915999"/>
    <n v="6236.25"/>
    <n v="78835530.121149704"/>
    <s v=""/>
    <s v=""/>
    <n v="143750546.67339334"/>
    <n v="23050.799226040224"/>
    <n v="12641.496110827773"/>
  </r>
  <r>
    <x v="0"/>
    <x v="1"/>
    <x v="3"/>
    <n v="28604848.902331568"/>
    <n v="68586565.477414787"/>
    <n v="97191414.379746363"/>
    <n v="29.43145655908112"/>
    <s v="Chile2017Fabricación de vehículos automotores, remolques y semirremolques"/>
    <n v="98.189528995325006"/>
    <n v="1155.5"/>
    <n v="18442442.635550343"/>
    <s v=""/>
    <s v=""/>
    <n v="29132280.391826201"/>
    <n v="25211.839369819299"/>
    <n v="15960.57346218117"/>
  </r>
  <r>
    <x v="0"/>
    <x v="1"/>
    <x v="4"/>
    <n v="2663148124.6631312"/>
    <n v="2550357680.5543652"/>
    <n v="5189625164.7711496"/>
    <n v="51.316772215871012"/>
    <s v="Chile2017Comercio al por mayor y al por menor y reparación de vehículos de motor y motocicletas"/>
    <n v="101.26878117755"/>
    <n v="1069501.3549697197"/>
    <n v="1646869016.0601971"/>
    <s v=""/>
    <s v=""/>
    <n v="2629781946.3176451"/>
    <n v="2458.8860351580397"/>
    <n v="1539.8475265202671"/>
  </r>
  <r>
    <x v="0"/>
    <x v="1"/>
    <x v="5"/>
    <n v="10926274699.948811"/>
    <n v="12048165667.918209"/>
    <n v="22935132364.87072"/>
    <n v="47.639902513422463"/>
    <s v="Chile2017Comercio al por mayor, excepto de vehículos de motor y motocicletas"/>
    <n v="101.26878117755"/>
    <n v="2949275.4354308341"/>
    <n v="5736760578.204258"/>
    <s v=""/>
    <s v=""/>
    <n v="10789381063.836708"/>
    <n v="3658.3158474178185"/>
    <n v="1945.1423591320911"/>
  </r>
  <r>
    <x v="0"/>
    <x v="1"/>
    <x v="6"/>
    <n v="9152808232.8743668"/>
    <n v="9103286653.2380962"/>
    <n v="18182206380.230881"/>
    <n v="50.339370489304393"/>
    <s v="Chile2017Comercio al por menor, excepto de vehículos de motor y motocicletas"/>
    <n v="101.26878117755"/>
    <n v="5132406.641346436"/>
    <n v="4985591757.8208666"/>
    <s v=""/>
    <s v=""/>
    <n v="9038134088.7545204"/>
    <n v="1760.9933741305142"/>
    <n v="971.39453402954564"/>
  </r>
  <r>
    <x v="0"/>
    <x v="1"/>
    <x v="7"/>
    <n v="232855243.8598817"/>
    <n v="163686312.59894809"/>
    <n v="396541556.45882982"/>
    <n v="58.721523650461961"/>
    <s v="Chile2017Actividades de edición"/>
    <n v="105.31818429636112"/>
    <n v="52177"/>
    <n v="160562298.37046134"/>
    <s v=""/>
    <s v=""/>
    <n v="221096903.08051309"/>
    <n v="4237.4399271808097"/>
    <n v="3077.261980766647"/>
  </r>
  <r>
    <x v="0"/>
    <x v="1"/>
    <x v="8"/>
    <n v="534889361.43448663"/>
    <n v="182821707.73655531"/>
    <n v="717711069.17104197"/>
    <n v="74.527116051349907"/>
    <s v="Chile2017Actividades de programación y radiodifusión"/>
    <n v="105.31818429636112"/>
    <n v="71194"/>
    <n v="193410228.36907083"/>
    <s v=""/>
    <s v=""/>
    <n v="507879398.99279839"/>
    <n v="7133.7387840660504"/>
    <n v="2716.6647241210048"/>
  </r>
  <r>
    <x v="0"/>
    <x v="1"/>
    <x v="9"/>
    <n v="292664536.22827059"/>
    <n v="251306842.9235771"/>
    <n v="543971379.15184772"/>
    <n v="53.801458577579737"/>
    <s v="Chile2017Actividades de servicios de información"/>
    <n v="105.31818429636112"/>
    <n v="51085"/>
    <n v="156873672.67417011"/>
    <s v=""/>
    <s v=""/>
    <n v="277886044.26062304"/>
    <n v="5439.6798328398363"/>
    <n v="3070.8363056507801"/>
  </r>
  <r>
    <x v="0"/>
    <x v="1"/>
    <x v="10"/>
    <n v="129505070.4179756"/>
    <n v="125226922.4058564"/>
    <n v="254731992.82383209"/>
    <n v="50.839735120173508"/>
    <s v="Chile2017Producción de películas, videos y programas de televisión, grabación de sonido y edición musical"/>
    <n v="105.31818429636112"/>
    <n v="22494"/>
    <n v="30839505.013866384"/>
    <s v=""/>
    <s v=""/>
    <n v="122965536.56256887"/>
    <n v="5466.5927163940996"/>
    <n v="1371.0102700216228"/>
  </r>
  <r>
    <x v="0"/>
    <x v="1"/>
    <x v="11"/>
    <n v="929232339.43412805"/>
    <n v="760538086.37790501"/>
    <n v="1689770425.8120329"/>
    <n v="54.991632309316692"/>
    <s v="Chile2017Programación de computadoras, consultoría y actividades relacionadas"/>
    <n v="105.31818429636112"/>
    <n v="228857"/>
    <n v="641044464.30633497"/>
    <s v=""/>
    <s v=""/>
    <n v="882309494.45473325"/>
    <n v="3855.2873386207689"/>
    <n v="2801.0699445782079"/>
  </r>
  <r>
    <x v="0"/>
    <x v="2"/>
    <x v="0"/>
    <n v="9289895971.0436783"/>
    <n v="16899353082.408899"/>
    <n v="26189248055.011971"/>
    <n v="35.472175266467119"/>
    <s v="Chile2018Elaboración de productos alimenticios"/>
    <n v="99.999999999999005"/>
    <n v="199351"/>
    <n v="2110006072.5781276"/>
    <s v=""/>
    <s v=""/>
    <n v="9289895971.0437698"/>
    <n v="46600.699123875827"/>
    <n v="10584.376665169111"/>
  </r>
  <r>
    <x v="0"/>
    <x v="2"/>
    <x v="1"/>
    <n v="673413033.49960494"/>
    <n v="168015321.6281105"/>
    <n v="841428355.12771523"/>
    <n v="80.032129817801518"/>
    <s v="Chile2018Fabricación de prendas de vestir"/>
    <n v="99.999999999999005"/>
    <n v="7589"/>
    <n v="74067979.74322246"/>
    <s v=""/>
    <s v=""/>
    <n v="673413033.49961162"/>
    <n v="88735.410923654184"/>
    <n v="9759.9129981845381"/>
  </r>
  <r>
    <x v="0"/>
    <x v="2"/>
    <x v="2"/>
    <n v="159814900.38591039"/>
    <n v="162657116.04514289"/>
    <n v="322472016.43105328"/>
    <n v="49.559308170257907"/>
    <s v="Chile2018Fabricación de productos de cuero y productos conexos"/>
    <n v="99.999999999999005"/>
    <n v="6350"/>
    <n v="84012193.9578408"/>
    <s v=""/>
    <s v=""/>
    <n v="159814900.38591197"/>
    <n v="25167.700848175115"/>
    <n v="13230.266765014299"/>
  </r>
  <r>
    <x v="0"/>
    <x v="2"/>
    <x v="3"/>
    <n v="85727609.150188297"/>
    <n v="257151841.08239341"/>
    <n v="342879450.23258168"/>
    <n v="25.00225927568351"/>
    <s v="Chile2018Fabricación de vehículos automotores, remolques y semirremolques"/>
    <n v="100"/>
    <n v="2143"/>
    <n v="37746538.607640289"/>
    <s v=""/>
    <s v=""/>
    <n v="85727609.150188297"/>
    <n v="40003.550700041204"/>
    <n v="17613.87709175935"/>
  </r>
  <r>
    <x v="0"/>
    <x v="2"/>
    <x v="4"/>
    <n v="2671594987.8916011"/>
    <n v="2832290312.9223838"/>
    <n v="5443090090.9452839"/>
    <n v="49.082321682234621"/>
    <s v="Chile2018Comercio al por mayor y al por menor y reparación de vehículos de motor y motocicletas"/>
    <n v="100"/>
    <n v="1163244.1826296144"/>
    <n v="1839473970.5561841"/>
    <s v=""/>
    <s v=""/>
    <n v="2671594987.8916011"/>
    <n v="2296.6759926984796"/>
    <n v="1581.3309002740023"/>
  </r>
  <r>
    <x v="0"/>
    <x v="2"/>
    <x v="5"/>
    <n v="12254744102.258949"/>
    <n v="12931053495.523939"/>
    <n v="25178067419.183578"/>
    <n v="48.672298386657999"/>
    <s v="Chile2018Comercio al por mayor, excepto de vehículos de motor y motocicletas"/>
    <n v="100"/>
    <n v="3434103.8420046046"/>
    <n v="6668685887.9729185"/>
    <s v=""/>
    <s v=""/>
    <n v="12254744102.258949"/>
    <n v="3568.5420901848538"/>
    <n v="1941.8998943491986"/>
  </r>
  <r>
    <x v="0"/>
    <x v="2"/>
    <x v="6"/>
    <n v="8133214447.8493414"/>
    <n v="12424337248.514759"/>
    <n v="20530055761.538479"/>
    <n v="39.616134229339551"/>
    <s v="Chile2018Comercio al por menor, excepto de vehículos de motor y motocicletas"/>
    <n v="100"/>
    <n v="6607377.9480443569"/>
    <n v="5960309451.9005432"/>
    <s v=""/>
    <s v=""/>
    <n v="8133214447.8493404"/>
    <n v="1230.9291994196576"/>
    <n v="902.06879321390534"/>
  </r>
  <r>
    <x v="0"/>
    <x v="2"/>
    <x v="7"/>
    <n v="190382771.54636431"/>
    <n v="185993596.78961441"/>
    <n v="376376368.33597869"/>
    <n v="50.583083201551027"/>
    <s v="Chile2018Actividades de edición"/>
    <n v="100"/>
    <n v="63409"/>
    <n v="149890454.54548198"/>
    <s v=""/>
    <s v=""/>
    <n v="190382771.54636431"/>
    <n v="3002.4566157227573"/>
    <n v="2363.8671883404877"/>
  </r>
  <r>
    <x v="0"/>
    <x v="2"/>
    <x v="8"/>
    <n v="539678379.05308473"/>
    <n v="175130559.39599711"/>
    <n v="714808938.44908178"/>
    <n v="75.499668516180392"/>
    <s v="Chile2018Actividades de programación y radiodifusión"/>
    <n v="100"/>
    <n v="69744"/>
    <n v="195633698.96396202"/>
    <s v=""/>
    <s v=""/>
    <n v="539678379.05308473"/>
    <n v="7737.9900644225272"/>
    <n v="2805.0255070538255"/>
  </r>
  <r>
    <x v="0"/>
    <x v="2"/>
    <x v="9"/>
    <n v="352154929.66314179"/>
    <n v="296130395.06597358"/>
    <n v="648285324.72911537"/>
    <n v="54.320978160393949"/>
    <s v="Chile2018Actividades de servicios de información"/>
    <n v="100"/>
    <n v="57966"/>
    <n v="187381147.34792203"/>
    <s v=""/>
    <s v=""/>
    <n v="352154929.66314179"/>
    <n v="6075.1980413197698"/>
    <n v="3232.6044120332958"/>
  </r>
  <r>
    <x v="0"/>
    <x v="2"/>
    <x v="10"/>
    <n v="166832729.36132681"/>
    <n v="174027450.7452766"/>
    <n v="340860180.10660338"/>
    <n v="48.944622780270237"/>
    <s v="Chile2018Producción de películas, videos y programas de televisión, grabación de sonido y edición musical"/>
    <n v="100"/>
    <n v="33703"/>
    <n v="48344274.061239436"/>
    <s v=""/>
    <s v=""/>
    <n v="166832729.36132681"/>
    <n v="4950.0854333835805"/>
    <n v="1434.4204985087213"/>
  </r>
  <r>
    <x v="0"/>
    <x v="2"/>
    <x v="11"/>
    <n v="963533635.41311502"/>
    <n v="856955437.65606654"/>
    <n v="1820489073.069181"/>
    <n v="52.927185868173531"/>
    <s v="Chile2018Programación de computadoras, consultoría y actividades relacionadas"/>
    <n v="100"/>
    <n v="194170"/>
    <n v="668088471.7340349"/>
    <s v=""/>
    <s v=""/>
    <n v="963533635.41311514"/>
    <n v="4962.3197992126234"/>
    <n v="3440.7399275585049"/>
  </r>
  <r>
    <x v="0"/>
    <x v="3"/>
    <x v="0"/>
    <n v="7685209746.2227783"/>
    <n v="16556121932.33037"/>
    <n v="24241331677.13047"/>
    <n v="31.70291900041568"/>
    <s v="Chile2019Elaboración de productos alimenticios"/>
    <n v="101.52099705321"/>
    <n v="167758"/>
    <n v="2046898707.0248907"/>
    <s v=""/>
    <s v=""/>
    <n v="7570069216.513649"/>
    <n v="45124.937210229313"/>
    <n v="12201.496840835553"/>
  </r>
  <r>
    <x v="0"/>
    <x v="3"/>
    <x v="1"/>
    <n v="101004331.1032135"/>
    <n v="151376215.90963519"/>
    <n v="252380547.01284871"/>
    <n v="40.020648302212997"/>
    <s v="Chile2019Fabricación de prendas de vestir"/>
    <n v="84.562992854463005"/>
    <n v="6673"/>
    <n v="62783543.634543635"/>
    <s v=""/>
    <s v=""/>
    <n v="119442710.92326029"/>
    <n v="17899.40220639297"/>
    <n v="9408.5933814691489"/>
  </r>
  <r>
    <x v="0"/>
    <x v="3"/>
    <x v="2"/>
    <n v="113688972.8643228"/>
    <n v="98814455.38224335"/>
    <n v="212503428.24656609"/>
    <n v="53.499830003876603"/>
    <s v="Chile2019Fabricación de productos de cuero y productos conexos"/>
    <n v="84.562992854463005"/>
    <n v="5140"/>
    <n v="66940501.543639198"/>
    <s v=""/>
    <s v=""/>
    <n v="134442938.95792809"/>
    <n v="26156.213805044375"/>
    <n v="13023.443880085448"/>
  </r>
  <r>
    <x v="0"/>
    <x v="3"/>
    <x v="3"/>
    <n v="29829824.846405119"/>
    <n v="64386861.506862871"/>
    <n v="94216684.930585295"/>
    <n v="31.660872878707661"/>
    <s v="Chile2019Fabricación de vehículos automotores, remolques y semirremolques"/>
    <n v="106.59709315790001"/>
    <n v="1538"/>
    <n v="18473140.721843205"/>
    <s v=""/>
    <s v=""/>
    <n v="27983713.216474704"/>
    <n v="18194.872052324255"/>
    <n v="12011.144812641876"/>
  </r>
  <r>
    <x v="0"/>
    <x v="3"/>
    <x v="4"/>
    <n v="2159516916.976234"/>
    <n v="2506000885.0842428"/>
    <n v="4665088394.8687077"/>
    <n v="46.291018179881902"/>
    <s v="Chile2019Comercio al por mayor y al por menor y reparación de vehículos de motor y motocicletas"/>
    <n v="100.87565811829"/>
    <n v="996897.17690744577"/>
    <n v="1595370245.2815833"/>
    <s v=""/>
    <s v=""/>
    <n v="2140771081.2096171"/>
    <n v="2147.4341896028573"/>
    <n v="1600.3358041706051"/>
  </r>
  <r>
    <x v="0"/>
    <x v="3"/>
    <x v="5"/>
    <n v="10763940909.536461"/>
    <n v="11623045164.2367"/>
    <n v="22295096993.570999"/>
    <n v="48.279408305065218"/>
    <s v="Chile2019Comercio al por mayor, excepto de vehículos de motor y motocicletas"/>
    <n v="100.87565811829"/>
    <n v="2923247.4461379093"/>
    <n v="5854519569.5592613"/>
    <s v=""/>
    <s v=""/>
    <n v="10670503776.951145"/>
    <n v="3650.2225602039389"/>
    <n v="2002.7451241919478"/>
  </r>
  <r>
    <x v="0"/>
    <x v="3"/>
    <x v="6"/>
    <n v="7011004291.9798794"/>
    <n v="10718593081.32963"/>
    <n v="17711355513.733398"/>
    <n v="39.584797936801287"/>
    <s v="Chile2019Comercio al por menor, excepto de vehículos de motor y motocicletas"/>
    <n v="100.87565811829"/>
    <n v="4888129.6885769451"/>
    <n v="5318223200.9883623"/>
    <s v=""/>
    <s v=""/>
    <n v="6950144784.9376631"/>
    <n v="1421.8413233141982"/>
    <n v="1087.9873366323527"/>
  </r>
  <r>
    <x v="0"/>
    <x v="3"/>
    <x v="7"/>
    <n v="153827115.4928517"/>
    <n v="155759250.9032374"/>
    <n v="309586366.39608908"/>
    <n v="49.687948885980063"/>
    <s v="Chile2019Actividades de edición"/>
    <n v="98.531452356655734"/>
    <n v="40762"/>
    <n v="129852752.43630642"/>
    <s v=""/>
    <s v=""/>
    <n v="156119809.2727198"/>
    <n v="3830.0331012393849"/>
    <n v="3185.6325115623968"/>
  </r>
  <r>
    <x v="0"/>
    <x v="3"/>
    <x v="8"/>
    <n v="415123602.15612841"/>
    <n v="139880399.10815489"/>
    <n v="555004001.2642833"/>
    <n v="74.79650618923263"/>
    <s v="Chile2019Actividades de programación y radiodifusión"/>
    <n v="98.531452356655734"/>
    <n v="55417"/>
    <n v="157662834.49460119"/>
    <s v=""/>
    <s v=""/>
    <n v="421310751.2649864"/>
    <n v="7602.5542931769387"/>
    <n v="2845.02651703631"/>
  </r>
  <r>
    <x v="0"/>
    <x v="3"/>
    <x v="9"/>
    <n v="406255503.05671197"/>
    <n v="322383306.19310862"/>
    <n v="728638809.24982047"/>
    <n v="55.755402800322649"/>
    <s v="Chile2019Actividades de servicios de información"/>
    <n v="98.531452356655734"/>
    <n v="58359"/>
    <n v="190550671.69246268"/>
    <s v=""/>
    <s v=""/>
    <n v="412310478.87752938"/>
    <n v="7065.0710066575748"/>
    <n v="3265.1462789366283"/>
  </r>
  <r>
    <x v="0"/>
    <x v="3"/>
    <x v="10"/>
    <n v="152077119.03459561"/>
    <n v="127998096.3255339"/>
    <n v="280075215.36012948"/>
    <n v="54.298670747802547"/>
    <s v="Chile2019Producción de películas, videos y programas de televisión, grabación de sonido y edición musical"/>
    <n v="98.531452356655734"/>
    <n v="39876"/>
    <n v="46848236.944726467"/>
    <s v=""/>
    <s v=""/>
    <n v="154343730.24779931"/>
    <n v="3870.5920916791883"/>
    <n v="1174.8479522701994"/>
  </r>
  <r>
    <x v="0"/>
    <x v="3"/>
    <x v="11"/>
    <n v="710672075.27891231"/>
    <n v="625397420.57671332"/>
    <n v="1336069495.8556261"/>
    <n v="53.19125071587645"/>
    <s v="Chile2019Programación de computadoras, consultoría y actividades relacionadas"/>
    <n v="98.531452356655734"/>
    <n v="186728"/>
    <n v="494466314.49210656"/>
    <s v=""/>
    <s v=""/>
    <n v="721264183.44721258"/>
    <n v="3862.6461133156922"/>
    <n v="2648.0566090361731"/>
  </r>
  <r>
    <x v="0"/>
    <x v="4"/>
    <x v="0"/>
    <n v="6164601705.3821974"/>
    <n v="17287186392.780251"/>
    <n v="23451789096.90099"/>
    <n v="26.286274705569539"/>
    <s v="Chile2020Elaboración de productos alimenticios"/>
    <n v="107.43342807145"/>
    <n v="162764"/>
    <n v="2240289028.6659007"/>
    <s v=""/>
    <s v=""/>
    <n v="5738066648.3828001"/>
    <n v="35253.905337684009"/>
    <n v="13764.03276317798"/>
  </r>
  <r>
    <x v="0"/>
    <x v="4"/>
    <x v="1"/>
    <n v="82397349.929603919"/>
    <n v="72311582.797550336"/>
    <n v="154708932.72715431"/>
    <n v="53.259594308571991"/>
    <s v="Chile2020Fabricación de prendas de vestir"/>
    <n v="71.728747032472995"/>
    <n v="4408"/>
    <n v="37521298.336932547"/>
    <s v=""/>
    <s v=""/>
    <n v="114873538.62782663"/>
    <n v="26060.24016057773"/>
    <n v="8512.0912742587443"/>
  </r>
  <r>
    <x v="0"/>
    <x v="4"/>
    <x v="2"/>
    <n v="36573567.523336358"/>
    <n v="45342476.861229479"/>
    <n v="81916044.384565845"/>
    <n v="44.647624037651092"/>
    <s v="Chile2020Fabricación de productos de cuero y productos conexos"/>
    <n v="71.728747032472995"/>
    <n v="1373"/>
    <n v="13119727.593462285"/>
    <s v=""/>
    <s v=""/>
    <n v="50988716.56963253"/>
    <n v="37136.720007015683"/>
    <n v="9555.5190047066899"/>
  </r>
  <r>
    <x v="0"/>
    <x v="4"/>
    <x v="3"/>
    <n v="23431296.235318851"/>
    <n v="45032561.926926062"/>
    <n v="68463858.162244916"/>
    <n v="34.224329250904347"/>
    <s v="Chile2020Fabricación de vehículos automotores, remolques y semirremolques"/>
    <n v="113.44450268036999"/>
    <n v="1391"/>
    <n v="14422492.267172242"/>
    <s v=""/>
    <s v=""/>
    <n v="20654413.110996269"/>
    <n v="14848.607556431538"/>
    <n v="10368.434412057686"/>
  </r>
  <r>
    <x v="0"/>
    <x v="4"/>
    <x v="4"/>
    <n v="2012463447.2970431"/>
    <n v="2189781758.2458529"/>
    <n v="4195483794.899055"/>
    <n v="47.967375055621289"/>
    <s v="Chile2020Comercio al por mayor y al por menor y reparación de vehículos de motor y motocicletas"/>
    <n v="107.49939219849"/>
    <n v="1049347.4273542541"/>
    <n v="1482262058.3252363"/>
    <s v=""/>
    <s v=""/>
    <n v="1872069605.3622072"/>
    <n v="1784.0322056940695"/>
    <n v="1412.5560512046052"/>
  </r>
  <r>
    <x v="0"/>
    <x v="4"/>
    <x v="5"/>
    <n v="12085481302.715321"/>
    <n v="9733193319.1164608"/>
    <n v="21733083448.473381"/>
    <n v="55.608682179721939"/>
    <s v="Chile2020Comercio al por mayor, excepto de vehículos de motor y motocicletas"/>
    <n v="107.49939219849"/>
    <n v="3420807.4508339646"/>
    <n v="5960012166.9037151"/>
    <s v=""/>
    <s v=""/>
    <n v="11242371752.577295"/>
    <n v="3286.4672783136325"/>
    <n v="1742.2822688984477"/>
  </r>
  <r>
    <x v="0"/>
    <x v="4"/>
    <x v="6"/>
    <n v="7756337204.355916"/>
    <n v="8982839607.4394379"/>
    <n v="16535297402.314831"/>
    <n v="46.907757481701431"/>
    <s v="Chile2020Comercio al por menor, excepto de vehículos de motor y motocicletas"/>
    <n v="107.49939219849"/>
    <n v="4905171.4620105159"/>
    <n v="4755279704.9956017"/>
    <s v=""/>
    <s v=""/>
    <n v="7215238194.1233578"/>
    <n v="1470.9451545177992"/>
    <n v="969.44209633123057"/>
  </r>
  <r>
    <x v="0"/>
    <x v="4"/>
    <x v="7"/>
    <n v="105418072.3918843"/>
    <n v="101682062.1008302"/>
    <n v="207100134.49271461"/>
    <n v="50.901981618748181"/>
    <s v="Chile2020Actividades de edición"/>
    <n v="91.363838200919872"/>
    <n v="49914"/>
    <n v="110819431.1027178"/>
    <s v=""/>
    <s v=""/>
    <n v="115382709.9076743"/>
    <n v="2311.6302021010997"/>
    <n v="2220.2073787457989"/>
  </r>
  <r>
    <x v="0"/>
    <x v="4"/>
    <x v="8"/>
    <n v="293142701.81583369"/>
    <n v="126168861.4065093"/>
    <n v="419311563.22234303"/>
    <n v="69.910474102616789"/>
    <s v="Chile2020Actividades de programación y radiodifusión"/>
    <n v="91.363838200919872"/>
    <n v="47046"/>
    <n v="123605021.05341886"/>
    <s v=""/>
    <s v=""/>
    <n v="320851999.6403591"/>
    <n v="6819.9634323929577"/>
    <n v="2627.3226428053154"/>
  </r>
  <r>
    <x v="0"/>
    <x v="4"/>
    <x v="9"/>
    <n v="462770622.95280528"/>
    <n v="375378914.34657389"/>
    <n v="838149537.29937923"/>
    <n v="55.213372120195771"/>
    <s v="Chile2020Actividades de servicios de información"/>
    <n v="91.363838200919872"/>
    <n v="67536"/>
    <n v="226370445.74529937"/>
    <s v=""/>
    <s v=""/>
    <n v="506513990.72696352"/>
    <n v="7499.9110211881589"/>
    <n v="3351.8485806873277"/>
  </r>
  <r>
    <x v="0"/>
    <x v="4"/>
    <x v="10"/>
    <n v="57920179.409137733"/>
    <n v="45463936.045749336"/>
    <n v="103384115.45488711"/>
    <n v="56.024253971986539"/>
    <s v="Chile2020Producción de películas, videos y programas de televisión, grabación de sonido y edición musical"/>
    <n v="91.363838200919872"/>
    <n v="33864"/>
    <n v="27722497.513400491"/>
    <s v=""/>
    <s v=""/>
    <n v="63395081.193682365"/>
    <n v="1872.0494092157562"/>
    <n v="818.64214249351789"/>
  </r>
  <r>
    <x v="0"/>
    <x v="4"/>
    <x v="11"/>
    <n v="804232649.1277616"/>
    <n v="658689928.86822176"/>
    <n v="1462922577.9959829"/>
    <n v="54.974382187023011"/>
    <s v="Chile2020Programación de computadoras, consultoría y actividades relacionadas"/>
    <n v="91.363838200919872"/>
    <n v="221833"/>
    <n v="532273945.88131046"/>
    <s v=""/>
    <s v=""/>
    <n v="880252696.21352696"/>
    <n v="3968.0872377578044"/>
    <n v="2399.4353675120947"/>
  </r>
  <r>
    <x v="0"/>
    <x v="5"/>
    <x v="0"/>
    <n v="8326623483.5396366"/>
    <n v="17894554288.385571"/>
    <n v="26221178771.925209"/>
    <n v="31.75533623398686"/>
    <s v="Chile2021Elaboración de productos alimenticios"/>
    <n v="108.85802305479291"/>
    <n v="184026"/>
    <n v="1896510188"/>
    <s v=""/>
    <s v=""/>
    <n v="7649067335.4856815"/>
    <n v="41565.144791962448"/>
    <n v="10305.664351776379"/>
  </r>
  <r>
    <x v="0"/>
    <x v="5"/>
    <x v="1"/>
    <n v="61466485.383197263"/>
    <n v="71658479.062417701"/>
    <n v="133124964.44561499"/>
    <n v="46.172020130985977"/>
    <s v="Chile2021Fabricación de prendas de vestir"/>
    <n v="69.374466842382304"/>
    <n v="3398"/>
    <n v="31451189.096655257"/>
    <s v=""/>
    <s v=""/>
    <n v="88601020.203655258"/>
    <n v="26074.461507844397"/>
    <n v="9255.7943192040184"/>
  </r>
  <r>
    <x v="0"/>
    <x v="5"/>
    <x v="2"/>
    <n v="34907166.183829337"/>
    <n v="24271424.80905978"/>
    <n v="59178590.992889121"/>
    <n v="58.986139409814221"/>
    <s v="Chile2021Fabricación de productos de cuero y productos conexos"/>
    <n v="69.374466842382304"/>
    <n v="1111"/>
    <n v="14658754.279694496"/>
    <s v=""/>
    <s v=""/>
    <n v="50317022.634765424"/>
    <n v="45289.849356224506"/>
    <n v="13194.198271552201"/>
  </r>
  <r>
    <x v="0"/>
    <x v="5"/>
    <x v="3"/>
    <n v="23975136.950223859"/>
    <n v="43093828.022122733"/>
    <n v="67068964.972346589"/>
    <n v="35.746991115949271"/>
    <s v="Chile2021Fabricación de vehículos automotores, remolques y semirremolques"/>
    <n v="106.47234528849232"/>
    <n v="1079"/>
    <n v="13159500.921780352"/>
    <s v=""/>
    <s v=""/>
    <n v="22517712.825111523"/>
    <n v="20869.057298527827"/>
    <n v="12196.015682836285"/>
  </r>
  <r>
    <x v="0"/>
    <x v="5"/>
    <x v="4"/>
    <n v="4292557292.254818"/>
    <n v="3171441022.8606868"/>
    <n v="7462608109.6243954"/>
    <n v="57.520872450997153"/>
    <s v="Chile2021Comercio al por mayor y al por menor y reparación de vehículos de motor y motocicletas"/>
    <n v="114.66887480145"/>
    <n v="1158227.6434693737"/>
    <n v="1909026634.5904944"/>
    <s v=""/>
    <s v=""/>
    <n v="3743437179.1712551"/>
    <n v="3232.0392284526238"/>
    <n v="1648.2309374624883"/>
  </r>
  <r>
    <x v="0"/>
    <x v="5"/>
    <x v="5"/>
    <n v="15998332252.5812"/>
    <n v="14500891220.826731"/>
    <n v="30419064453.904598"/>
    <n v="52.593110734303487"/>
    <s v="Chile2021Comercio al por mayor, excepto de vehículos de motor y motocicletas"/>
    <n v="114.66887480145"/>
    <n v="3593142.8100439375"/>
    <n v="6705212050.256834"/>
    <s v=""/>
    <s v=""/>
    <n v="13951765272.208723"/>
    <n v="3882.8863782450435"/>
    <n v="1866.1134290331315"/>
  </r>
  <r>
    <x v="0"/>
    <x v="5"/>
    <x v="6"/>
    <n v="12167139959.084101"/>
    <n v="12287267385.463779"/>
    <n v="24232912624.334438"/>
    <n v="50.20915210524872"/>
    <s v="Chile2021Comercio al por menor, excepto de vehículos de motor y motocicletas"/>
    <n v="114.66887480145"/>
    <n v="5306320.596839915"/>
    <n v="6133529534.1104908"/>
    <s v=""/>
    <s v=""/>
    <n v="10610673541.666466"/>
    <n v="1999.6291871217627"/>
    <n v="1155.8912474612268"/>
  </r>
  <r>
    <x v="0"/>
    <x v="5"/>
    <x v="7"/>
    <n v="272274859.09928888"/>
    <n v="142929645.77297869"/>
    <n v="415204504.8722676"/>
    <n v="65.576085014552248"/>
    <s v="Chile2021Actividades de edición"/>
    <n v="92.899946021812568"/>
    <n v="92111"/>
    <n v="180760345.0092178"/>
    <s v=""/>
    <s v=""/>
    <n v="293083979.87159187"/>
    <n v="3181.8564544038372"/>
    <n v="1962.4186580236649"/>
  </r>
  <r>
    <x v="0"/>
    <x v="5"/>
    <x v="8"/>
    <n v="609459525.94153285"/>
    <n v="193845788.78061631"/>
    <n v="803305314.72214913"/>
    <n v="75.868977183642244"/>
    <s v="Chile2021Actividades de programación y radiodifusión"/>
    <n v="92.899946021812568"/>
    <n v="59201"/>
    <n v="115212350.53989989"/>
    <s v=""/>
    <s v=""/>
    <n v="656038622.23820233"/>
    <n v="11081.5462954714"/>
    <n v="1946.1216962534397"/>
  </r>
  <r>
    <x v="0"/>
    <x v="5"/>
    <x v="9"/>
    <n v="2283376701.3431659"/>
    <n v="1857911019.225704"/>
    <n v="4141287720.5688701"/>
    <n v="55.136876629028528"/>
    <s v="Chile2021Actividades de servicios de información"/>
    <n v="92.899946021812568"/>
    <n v="337733"/>
    <n v="1260202210.9560182"/>
    <s v=""/>
    <s v=""/>
    <n v="2457888081.8800879"/>
    <n v="7277.6071094032504"/>
    <n v="3731.3564589661601"/>
  </r>
  <r>
    <x v="0"/>
    <x v="5"/>
    <x v="10"/>
    <n v="195662216.22333419"/>
    <n v="120926979.1941006"/>
    <n v="316589195.41743481"/>
    <n v="61.803188186932978"/>
    <s v="Chile2021Producción de películas, videos y programas de televisión, grabación de sonido y edición musical"/>
    <n v="92.899946021812568"/>
    <n v="78229"/>
    <n v="91040878.324993402"/>
    <s v=""/>
    <s v=""/>
    <n v="210616070.94733232"/>
    <n v="2692.3017160814061"/>
    <n v="1163.7740265757379"/>
  </r>
  <r>
    <x v="0"/>
    <x v="5"/>
    <x v="11"/>
    <n v="2344242463.7872"/>
    <n v="1163783918.8833289"/>
    <n v="3508026382.6705289"/>
    <n v="66.825109279897049"/>
    <s v="Chile2021Programación de computadoras, consultoría y actividades relacionadas"/>
    <n v="92.899946021812568"/>
    <n v="757503"/>
    <n v="1455845242.2965498"/>
    <s v=""/>
    <s v=""/>
    <n v="2523405625.2699871"/>
    <n v="3331.2153552791042"/>
    <n v="1921.9002991361747"/>
  </r>
  <r>
    <x v="0"/>
    <x v="5"/>
    <x v="12"/>
    <n v="5533564403.476429"/>
    <n v="2238681700.0263371"/>
    <n v="7772246103.5027657"/>
    <n v="71.1964640566719"/>
    <s v="Chile2021Actividades inmobiliarias"/>
    <s v=""/>
    <n v="369538"/>
    <n v="629835068.47511172"/>
    <s v=""/>
    <s v=""/>
    <e v="#VALUE!"/>
    <e v="#VALUE!"/>
    <n v="1704.3851200014931"/>
  </r>
  <r>
    <x v="0"/>
    <x v="6"/>
    <x v="0"/>
    <n v="5589500151.3761463"/>
    <n v="23480552831.42202"/>
    <n v="29070054983.94495"/>
    <n v="19.22769033104052"/>
    <s v="Chile2022Elaboración de productos alimenticios"/>
    <n v="138.22614999916814"/>
    <n v="169707"/>
    <n v="2066801275"/>
    <s v=""/>
    <s v=""/>
    <n v="4043735683.450479"/>
    <n v="23827.748315923793"/>
    <n v="12178.644811351329"/>
  </r>
  <r>
    <x v="0"/>
    <x v="6"/>
    <x v="1"/>
    <n v="52745493.119266063"/>
    <n v="79241821.100917429"/>
    <n v="131987314.22018351"/>
    <n v="39.962547484885647"/>
    <s v="Chile2022Fabricación de prendas de vestir"/>
    <n v="56.539869603998774"/>
    <n v="2743"/>
    <n v="26554167.431192655"/>
    <s v=""/>
    <s v=""/>
    <n v="93289025.05204159"/>
    <n v="34009.85237041254"/>
    <n v="9680.7026726914537"/>
  </r>
  <r>
    <x v="0"/>
    <x v="6"/>
    <x v="2"/>
    <n v="25730459.862385321"/>
    <n v="26143204.128440369"/>
    <n v="51873663.99082569"/>
    <n v="49.602163955366599"/>
    <s v="Chile2022Fabricación de productos de cuero y productos conexos"/>
    <n v="56.539869603998774"/>
    <n v="1044"/>
    <n v="15117169.724770643"/>
    <s v=""/>
    <s v=""/>
    <n v="45508523.529678494"/>
    <n v="43590.53977938553"/>
    <n v="14480.047629090654"/>
  </r>
  <r>
    <x v="0"/>
    <x v="6"/>
    <x v="3"/>
    <n v="21303950.6880734"/>
    <n v="47770466.74311927"/>
    <n v="69074417.431192666"/>
    <n v="30.84202730959689"/>
    <s v="Chile2022Fabricación de vehículos automotores, remolques y semirremolques"/>
    <n v="123.96393010114714"/>
    <n v="792"/>
    <n v="11261675.458715595"/>
    <s v=""/>
    <s v=""/>
    <n v="17185604.450174056"/>
    <n v="21698.995517896536"/>
    <n v="14219.287195347973"/>
  </r>
  <r>
    <x v="0"/>
    <x v="6"/>
    <x v="4"/>
    <n v="5024072850.2733068"/>
    <n v="3302392501.357976"/>
    <n v="8311413871.8845587"/>
    <n v="60.447872380275669"/>
    <s v="Chile2022Comercio al por mayor y al por menor y reparación de vehículos de motor y motocicletas"/>
    <n v="120.37242063773"/>
    <n v="1237926.9388704519"/>
    <n v="2157606549.840086"/>
    <s v=""/>
    <s v=""/>
    <n v="4173774045.2970018"/>
    <n v="3371.5835032278783"/>
    <n v="1742.919135283377"/>
  </r>
  <r>
    <x v="0"/>
    <x v="6"/>
    <x v="5"/>
    <n v="22130237591.844719"/>
    <n v="16533065081.69261"/>
    <n v="38576627156.893402"/>
    <n v="57.366958240905163"/>
    <s v="Chile2022Comercio al por mayor, excepto de vehículos de motor y motocicletas"/>
    <n v="120.37242063773"/>
    <n v="5249696.3103908431"/>
    <n v="9432152730.7521305"/>
    <s v=""/>
    <s v=""/>
    <n v="18384807312.671196"/>
    <n v="3502.0706390732985"/>
    <n v="1796.7044516618716"/>
  </r>
  <r>
    <x v="0"/>
    <x v="6"/>
    <x v="6"/>
    <n v="12623061123.17314"/>
    <n v="12287583867.7397"/>
    <n v="24799945998.041721"/>
    <n v="50.899550846481269"/>
    <s v="Chile2022Comercio al por menor, excepto de vehículos de motor y motocicletas"/>
    <n v="120.37242063773"/>
    <n v="6235010.3028737735"/>
    <n v="6951399254.0433617"/>
    <s v=""/>
    <s v=""/>
    <n v="10486672159.865593"/>
    <n v="1681.9013362387211"/>
    <n v="1114.8977974967256"/>
  </r>
  <r>
    <x v="0"/>
    <x v="6"/>
    <x v="7"/>
    <n v="433215329.19861168"/>
    <n v="358583046.86371422"/>
    <n v="791798376.06232584"/>
    <n v="54.712833758642553"/>
    <s v="Chile2022Actividades de edición"/>
    <n v="94.646741593885238"/>
    <n v="154394.11568389335"/>
    <n v="253493406.74789873"/>
    <s v=""/>
    <s v=""/>
    <n v="457718165.36217666"/>
    <n v="2964.6088734321274"/>
    <n v="1641.8592484891158"/>
  </r>
  <r>
    <x v="0"/>
    <x v="6"/>
    <x v="8"/>
    <n v="881577686.97561932"/>
    <n v="399247626.71907473"/>
    <n v="1280825313.694694"/>
    <n v="68.828877564310702"/>
    <s v="Chile2022Actividades de programación y radiodifusión"/>
    <n v="94.646741593885238"/>
    <n v="183737.58760725078"/>
    <n v="251279689.64149937"/>
    <s v=""/>
    <s v=""/>
    <n v="931440081.43284523"/>
    <n v="5069.4041081232099"/>
    <n v="1367.6008970936505"/>
  </r>
  <r>
    <x v="0"/>
    <x v="6"/>
    <x v="9"/>
    <n v="1691742628.514354"/>
    <n v="814525958.47143924"/>
    <n v="2479847546.550611"/>
    <n v="68.219622245226887"/>
    <s v="Chile2022Actividades de servicios de información"/>
    <n v="94.646741593885238"/>
    <n v="432646.94147013145"/>
    <n v="752225114.69348288"/>
    <s v=""/>
    <s v=""/>
    <n v="1787428283.3458378"/>
    <n v="4131.378526038271"/>
    <n v="1738.6581126343501"/>
  </r>
  <r>
    <x v="0"/>
    <x v="6"/>
    <x v="10"/>
    <n v="677154623.23262787"/>
    <n v="543792380.8776629"/>
    <n v="1220947004.110291"/>
    <n v="55.461426331609978"/>
    <s v="Chile2022Producción de películas, videos y programas de televisión, grabación de sonido y edición musical"/>
    <n v="94.646741593885238"/>
    <n v="253206.02310696692"/>
    <n v="313756483.13832045"/>
    <s v=""/>
    <s v=""/>
    <n v="715454765.61485374"/>
    <n v="2825.583518258607"/>
    <n v="1239.1351488735083"/>
  </r>
  <r>
    <x v="0"/>
    <x v="6"/>
    <x v="11"/>
    <n v="6804884103.8389482"/>
    <n v="4509509075.7329435"/>
    <n v="11314393179.57189"/>
    <n v="60.14360642977433"/>
    <s v="Chile2022Programación de computadoras, consultoría y actividades relacionadas"/>
    <n v="94.646741593885238"/>
    <n v="2252775.0837650578"/>
    <n v="3965291509.9639988"/>
    <s v=""/>
    <s v=""/>
    <n v="7189771131.3059988"/>
    <n v="3191.5175123873223"/>
    <n v="1760.1808269899791"/>
  </r>
  <r>
    <x v="0"/>
    <x v="6"/>
    <x v="12"/>
    <n v="8270989900.8266525"/>
    <n v="7025646763.5102549"/>
    <n v="15296636664.33691"/>
    <n v="54.070643647501377"/>
    <s v="Chile2022Actividades inmobiliarias"/>
    <s v=""/>
    <n v="2307037.4088631864"/>
    <n v="2386512787.3421354"/>
    <s v=""/>
    <s v=""/>
    <e v="#VALUE!"/>
    <e v="#VALUE!"/>
    <n v="1034.449106968799"/>
  </r>
  <r>
    <x v="1"/>
    <x v="0"/>
    <x v="0"/>
    <n v="20766383874.175282"/>
    <n v="39236204308.90567"/>
    <n v="60002588183.080948"/>
    <n v="34.609146876818933"/>
    <s v="México2016Elaboración de productos alimenticios"/>
    <n v="92.1"/>
    <n v="1514326"/>
    <n v="3182136057.4044504"/>
    <s v=""/>
    <s v=""/>
    <n v="22547648071.851555"/>
    <n v="14889.560155377081"/>
    <n v="2101.3546999816754"/>
  </r>
  <r>
    <x v="1"/>
    <x v="0"/>
    <x v="1"/>
    <n v="1584460703.6608241"/>
    <n v="2392468572.6175141"/>
    <n v="3976929276.278338"/>
    <n v="39.841309552871493"/>
    <s v="México2016Fabricación de prendas de vestir"/>
    <n v="95.2"/>
    <n v="300804"/>
    <n v="695476716.16614306"/>
    <s v=""/>
    <s v=""/>
    <n v="1664349478.6353192"/>
    <n v="5533.0031470170588"/>
    <n v="2312.0594013581704"/>
  </r>
  <r>
    <x v="1"/>
    <x v="0"/>
    <x v="2"/>
    <n v="948057956.31264555"/>
    <n v="1827349678.772079"/>
    <n v="2775407635.0847239"/>
    <n v="34.15923283945655"/>
    <s v="México2016Fabricación de productos de cuero y productos conexos"/>
    <n v="93.8"/>
    <n v="145519"/>
    <n v="383565399.98669457"/>
    <s v=""/>
    <s v=""/>
    <n v="1010722767.9239292"/>
    <n v="6945.6412422015628"/>
    <n v="2635.844116484408"/>
  </r>
  <r>
    <x v="1"/>
    <x v="0"/>
    <x v="3"/>
    <n v="14873017327.867689"/>
    <n v="50026432050.549927"/>
    <n v="64899449378.417618"/>
    <n v="22.91701620016168"/>
    <s v="México2016Fabricación de vehículos automotores, remolques y semirremolques"/>
    <n v="93.3"/>
    <n v="169653"/>
    <n v="1334431212.9328787"/>
    <s v=""/>
    <s v=""/>
    <n v="15941068947.33943"/>
    <n v="93962.788440755132"/>
    <n v="7865.650551024024"/>
  </r>
  <r>
    <x v="1"/>
    <x v="0"/>
    <x v="4"/>
    <n v="4635142982.0327578"/>
    <n v="50536626823.301659"/>
    <n v="55171769805.334412"/>
    <n v="8.4012947171845092"/>
    <s v="México2016Comercio al por mayor y al por menor y reparación de vehículos de motor y motocicletas"/>
    <n v="89.8"/>
    <n v="626743"/>
    <n v="1161811092.3535299"/>
    <s v=""/>
    <s v=""/>
    <n v="5161629155.9384832"/>
    <n v="8235.6390991817752"/>
    <n v="1853.7280709214622"/>
  </r>
  <r>
    <x v="1"/>
    <x v="0"/>
    <x v="5"/>
    <n v="19144942038.775959"/>
    <n v="98495190604.758636"/>
    <n v="117640132643.53461"/>
    <n v="16.274158833863019"/>
    <s v="México2016Comercio al por mayor, excepto de vehículos de motor y motocicletas"/>
    <n v="89.823983496182905"/>
    <n v="779287"/>
    <n v="2789917716.1808777"/>
    <s v=""/>
    <s v=""/>
    <n v="21313842131.694736"/>
    <n v="27350.439737471221"/>
    <n v="3580.0901544371686"/>
  </r>
  <r>
    <x v="1"/>
    <x v="0"/>
    <x v="6"/>
    <n v="35043466234.344353"/>
    <n v="217929706088.39539"/>
    <n v="252973172322.73981"/>
    <n v="13.852641334487579"/>
    <s v="México2016Comercio al por menor, excepto de vehículos de motor y motocicletas"/>
    <n v="89.818612746531599"/>
    <n v="10329645"/>
    <n v="7841246977.814312"/>
    <s v=""/>
    <s v=""/>
    <n v="39015817727.264526"/>
    <n v="3777.0724673756481"/>
    <n v="759.10130288255903"/>
  </r>
  <r>
    <x v="1"/>
    <x v="0"/>
    <x v="12"/>
    <n v="1228192689.424906"/>
    <n v="540753346.33812678"/>
    <n v="1768946035.7630329"/>
    <n v="69.430760723863855"/>
    <s v="México2016Actividades inmobiliarias"/>
    <n v="90.490165269147795"/>
    <n v="46261"/>
    <n v="8535.1212022037034"/>
    <s v=""/>
    <s v=""/>
    <n v="1357266489.4266169"/>
    <n v="29339.324472592831"/>
    <n v="0.18449928021883882"/>
  </r>
  <r>
    <x v="1"/>
    <x v="1"/>
    <x v="0"/>
    <n v="22165870793.269749"/>
    <n v="41344507749.709167"/>
    <n v="63510378542.978928"/>
    <n v="34.901178833739117"/>
    <s v="México2017Elaboración de productos alimenticios"/>
    <n v="87.983051423758297"/>
    <n v="1530819"/>
    <n v="3321887545.7801256"/>
    <s v=""/>
    <s v=""/>
    <n v="25193341711.360828"/>
    <n v="16457.426848870327"/>
    <n v="2170.0067387327472"/>
  </r>
  <r>
    <x v="1"/>
    <x v="1"/>
    <x v="1"/>
    <n v="1630821695.487195"/>
    <n v="2463934057.2442012"/>
    <n v="4094755752.7313962"/>
    <n v="39.827081124420182"/>
    <s v="México2017Fabricación de prendas de vestir"/>
    <n v="88.944036225961995"/>
    <n v="293431"/>
    <n v="714279137.47114933"/>
    <s v=""/>
    <s v=""/>
    <n v="1833536867.3219402"/>
    <n v="6248.6133616487014"/>
    <n v="2434.2320254886135"/>
  </r>
  <r>
    <x v="1"/>
    <x v="1"/>
    <x v="2"/>
    <n v="678348701.24895298"/>
    <n v="1240132001.7506299"/>
    <n v="1918480702.999583"/>
    <n v="35.358640834298782"/>
    <s v="México2017Fabricación de productos de cuero y productos conexos"/>
    <n v="98.961476244551903"/>
    <n v="115282"/>
    <n v="297546669.53154784"/>
    <s v=""/>
    <s v=""/>
    <n v="685467443.48541176"/>
    <n v="5946.0058247203533"/>
    <n v="2581.0332014672526"/>
  </r>
  <r>
    <x v="1"/>
    <x v="1"/>
    <x v="3"/>
    <n v="18139682385.647652"/>
    <n v="60649623605.681961"/>
    <n v="78789305991.329605"/>
    <n v="23.023025977210459"/>
    <s v="México2017Fabricación de vehículos automotores, remolques y semirremolques"/>
    <n v="105.807655116368"/>
    <n v="188879"/>
    <n v="1527475261.7799895"/>
    <s v=""/>
    <s v=""/>
    <n v="17144017004.910942"/>
    <n v="90767.194896790767"/>
    <n v="8087.0571200609356"/>
  </r>
  <r>
    <x v="1"/>
    <x v="1"/>
    <x v="4"/>
    <n v="4337987462.0351858"/>
    <n v="52782161376.763283"/>
    <n v="57120148838.798462"/>
    <n v="7.5944960757676423"/>
    <s v="México2017Comercio al por mayor y al por menor y reparación de vehículos de motor y motocicletas"/>
    <n v="96.7"/>
    <n v="639743"/>
    <n v="1219657711.2710474"/>
    <s v=""/>
    <s v=""/>
    <n v="4486026330.9567585"/>
    <n v="7012.2319915290336"/>
    <n v="1906.4807450351898"/>
  </r>
  <r>
    <x v="1"/>
    <x v="1"/>
    <x v="5"/>
    <n v="18831096724.084641"/>
    <n v="104386573176.4341"/>
    <n v="123217669900.51871"/>
    <n v="15.28278918055191"/>
    <s v="México2017Comercio al por mayor, excepto de vehículos de motor y motocicletas"/>
    <n v="96.6"/>
    <n v="795803"/>
    <n v="2838695093.568018"/>
    <s v=""/>
    <s v=""/>
    <n v="19473729807.740063"/>
    <n v="24470.540834528223"/>
    <n v="3567.0826744408078"/>
  </r>
  <r>
    <x v="1"/>
    <x v="1"/>
    <x v="6"/>
    <n v="37464704545.914848"/>
    <n v="234058346077.06461"/>
    <n v="271523050622.97949"/>
    <n v="13.79798306624658"/>
    <s v="México2017Comercio al por menor, excepto de vehículos de motor y motocicletas"/>
    <n v="97.8"/>
    <n v="10526777"/>
    <n v="8200988524.91786"/>
    <s v=""/>
    <s v=""/>
    <n v="38783338039.249329"/>
    <n v="3684.2556880657135"/>
    <n v="779.05977536313912"/>
  </r>
  <r>
    <x v="1"/>
    <x v="1"/>
    <x v="12"/>
    <n v="1343263181.9026389"/>
    <n v="550557304.52249086"/>
    <n v="1893820486.4251299"/>
    <n v="70.928749135999141"/>
    <s v="México2017Actividades inmobiliarias"/>
    <m/>
    <n v="43166"/>
    <n v="7825.0003742544604"/>
    <s v=""/>
    <s v=""/>
    <n v="1373479736.0967679"/>
    <n v="31818.554790732705"/>
    <n v="0.18127693958797342"/>
  </r>
  <r>
    <x v="1"/>
    <x v="2"/>
    <x v="0"/>
    <n v="22656028953.965248"/>
    <n v="42754513573.470291"/>
    <n v="65410542527.435539"/>
    <n v="34.63666265183857"/>
    <s v="México2018Elaboración de productos alimenticios"/>
    <n v="97"/>
    <n v="1527231"/>
    <n v="3468481601.3018532"/>
    <s v=""/>
    <s v=""/>
    <n v="23356730880.376545"/>
    <n v="15293.515440936273"/>
    <n v="2271.0916693688469"/>
  </r>
  <r>
    <x v="1"/>
    <x v="2"/>
    <x v="1"/>
    <n v="1680876985.0531819"/>
    <n v="2516106180.1282711"/>
    <n v="4196983165.1814532"/>
    <n v="40.049648018555033"/>
    <s v="México2018Fabricación de prendas de vestir"/>
    <n v="96"/>
    <n v="287226"/>
    <n v="725403562.3458147"/>
    <s v=""/>
    <s v=""/>
    <n v="1750913526.0970645"/>
    <n v="6095.9437032060623"/>
    <n v="2525.5497843016115"/>
  </r>
  <r>
    <x v="1"/>
    <x v="2"/>
    <x v="2"/>
    <n v="717682071.91637707"/>
    <n v="1239991235.519012"/>
    <n v="1957673307.435389"/>
    <n v="36.659950829924853"/>
    <s v="México2018Fabricación de productos de cuero y productos conexos"/>
    <n v="95.815867044907307"/>
    <n v="111507"/>
    <n v="300704336.90249205"/>
    <s v=""/>
    <s v=""/>
    <n v="749022154.73352802"/>
    <n v="6717.2657746466857"/>
    <n v="2696.7305810621042"/>
  </r>
  <r>
    <x v="1"/>
    <x v="2"/>
    <x v="3"/>
    <n v="19496253210.35923"/>
    <n v="64528576165.894638"/>
    <n v="84024829376.25386"/>
    <n v="23.202966736245511"/>
    <s v="México2018Fabricación de vehículos automotores, remolques y semirremolques"/>
    <n v="96.105183712152098"/>
    <n v="202555"/>
    <n v="1728965249.9587536"/>
    <s v=""/>
    <s v=""/>
    <n v="20286370055.493698"/>
    <n v="100152.40332499173"/>
    <n v="8535.7816393510584"/>
  </r>
  <r>
    <x v="1"/>
    <x v="2"/>
    <x v="4"/>
    <n v="9175595530.145546"/>
    <n v="44843263097.713097"/>
    <n v="54018858627.858643"/>
    <n v="16.985911519081046"/>
    <m/>
    <n v="100"/>
    <n v="420406"/>
    <n v="1446648180.8731811"/>
    <s v=""/>
    <s v=""/>
    <n v="9175595530.145546"/>
    <n v="21825.557984770785"/>
    <n v="3441.0740590600067"/>
  </r>
  <r>
    <x v="1"/>
    <x v="2"/>
    <x v="5"/>
    <n v="59300356081.081024"/>
    <n v="259758353690.22873"/>
    <n v="319058709771.30975"/>
    <n v="18.58603268457566"/>
    <m/>
    <n v="100"/>
    <n v="1561961"/>
    <n v="9232320790.0207901"/>
    <s v=""/>
    <s v=""/>
    <n v="59300356081.081024"/>
    <n v="37965.324410200396"/>
    <n v="5910.7242690571593"/>
  </r>
  <r>
    <x v="1"/>
    <x v="2"/>
    <x v="6"/>
    <n v="47405161642.411507"/>
    <n v="217050254417.87949"/>
    <n v="264455416060.29099"/>
    <n v="17.925577909738859"/>
    <m/>
    <n v="100"/>
    <n v="5622189"/>
    <n v="9252370997.9209995"/>
    <s v=""/>
    <s v=""/>
    <n v="47405161642.411507"/>
    <n v="8431.7979424760542"/>
    <n v="1645.688360515984"/>
  </r>
  <r>
    <x v="1"/>
    <x v="2"/>
    <x v="7"/>
    <n v="882429822.44564509"/>
    <n v="646462228.50785995"/>
    <n v="1528892050.953505"/>
    <n v="57.716947504260432"/>
    <s v="México2018Actividades de edición"/>
    <n v="99.664134201715697"/>
    <n v="69541"/>
    <n v="330405378.89708698"/>
    <s v=""/>
    <s v=""/>
    <n v="885403590.28218424"/>
    <n v="12732.108975743578"/>
    <n v="4751.2313440572752"/>
  </r>
  <r>
    <x v="1"/>
    <x v="2"/>
    <x v="8"/>
    <n v="861076636.81229222"/>
    <n v="1097205628.8406849"/>
    <n v="1958282265.652977"/>
    <n v="43.971017453154097"/>
    <s v="México2018Actividades de programación y radiodifusión"/>
    <n v="99.987775194221399"/>
    <n v="19805"/>
    <n v="69789604.823235899"/>
    <s v=""/>
    <s v=""/>
    <n v="861181914.62875605"/>
    <n v="43483.055522784955"/>
    <n v="3523.8376583305176"/>
  </r>
  <r>
    <x v="1"/>
    <x v="2"/>
    <x v="9"/>
    <n v="548648074.47730291"/>
    <n v="217957624.77368891"/>
    <n v="766605699.25099182"/>
    <n v="71.568483643332769"/>
    <s v="México2018Actividades de servicios de información"/>
    <n v="100"/>
    <n v="32537"/>
    <n v="190278267.9410961"/>
    <s v=""/>
    <s v=""/>
    <n v="548648074.47730291"/>
    <n v="16862.282155002085"/>
    <n v="5848.0581473736393"/>
  </r>
  <r>
    <x v="1"/>
    <x v="2"/>
    <x v="10"/>
    <n v="2770488017.9065609"/>
    <n v="1983561332.530211"/>
    <n v="4754049350.4367723"/>
    <n v="58.276383219539497"/>
    <s v="México2018Producción de películas, videos y programas de televisión, grabación de sonido y edición musical"/>
    <n v="100"/>
    <n v="105004"/>
    <n v="295897209.61269557"/>
    <s v=""/>
    <s v=""/>
    <n v="2770488017.9065609"/>
    <n v="26384.59504310846"/>
    <n v="2817.9613120709264"/>
  </r>
  <r>
    <x v="1"/>
    <x v="2"/>
    <x v="13"/>
    <n v="16992678246.116501"/>
    <n v="7845634088.9811316"/>
    <n v="24838312335.09763"/>
    <n v="68.413175649237232"/>
    <s v="México2018Telecomunicaciones"/>
    <n v="100"/>
    <n v="209511"/>
    <n v="2417751295.7271848"/>
    <s v=""/>
    <s v=""/>
    <n v="16992678246.116501"/>
    <n v="81106.377450904736"/>
    <n v="11539.973059778173"/>
  </r>
  <r>
    <x v="1"/>
    <x v="2"/>
    <x v="12"/>
    <n v="1750834379.456125"/>
    <n v="595215684.61032462"/>
    <n v="2346050064.0664501"/>
    <n v="74.629028863151078"/>
    <s v="México2018Actividades inmobiliarias"/>
    <n v="100"/>
    <n v="32700"/>
    <n v="4900.1416433661661"/>
    <s v=""/>
    <s v=""/>
    <n v="1750834379.4561253"/>
    <n v="53542.335763184259"/>
    <n v="0.14985142640263505"/>
  </r>
  <r>
    <x v="1"/>
    <x v="3"/>
    <x v="0"/>
    <n v="23591530535.084251"/>
    <n v="44142153833.908112"/>
    <n v="67733684368.992363"/>
    <n v="34.829835044207577"/>
    <s v="México2019Elaboración de productos alimenticios"/>
    <n v="100"/>
    <n v="1532903"/>
    <n v="3724023540.038312"/>
    <s v=""/>
    <s v=""/>
    <n v="23591530535.084251"/>
    <n v="15390.100048786029"/>
    <n v="2429.3928187486827"/>
  </r>
  <r>
    <x v="1"/>
    <x v="3"/>
    <x v="1"/>
    <n v="1739631481.773082"/>
    <n v="2513491051.3592968"/>
    <n v="4253122533.13238"/>
    <n v="40.902453861160261"/>
    <s v="México2019Fabricación de prendas de vestir"/>
    <n v="100"/>
    <n v="281777"/>
    <n v="743275879.07438719"/>
    <s v=""/>
    <s v=""/>
    <n v="1739631481.7730823"/>
    <n v="6173.7880727422116"/>
    <n v="2637.816000150428"/>
  </r>
  <r>
    <x v="1"/>
    <x v="3"/>
    <x v="2"/>
    <n v="981110036.35520482"/>
    <n v="1803390949.0940621"/>
    <n v="2784500985.449266"/>
    <n v="35.234680881138473"/>
    <s v="México2019Fabricación de productos de cuero y productos conexos"/>
    <n v="100"/>
    <n v="135631"/>
    <n v="411119847.58846122"/>
    <s v=""/>
    <s v=""/>
    <n v="981110036.35520482"/>
    <n v="7233.6710365270828"/>
    <n v="3031.1643178068525"/>
  </r>
  <r>
    <x v="1"/>
    <x v="3"/>
    <x v="3"/>
    <n v="19536461657.458179"/>
    <n v="67072020404.596581"/>
    <n v="86608482062.054749"/>
    <n v="22.557215173752109"/>
    <s v="México2019Fabricación de vehículos automotores, remolques y semirremolques"/>
    <n v="100"/>
    <n v="211913"/>
    <n v="1877583650.7131743"/>
    <s v=""/>
    <s v=""/>
    <n v="19536461657.458179"/>
    <n v="92190.954105968864"/>
    <n v="8860.1626644574626"/>
  </r>
  <r>
    <x v="1"/>
    <x v="3"/>
    <x v="4"/>
    <n v="10055851869.158886"/>
    <n v="45196306366.759178"/>
    <n v="54997331580.364326"/>
    <n v="18.284254126884079"/>
    <m/>
    <n v="102.60000000000005"/>
    <n v="433832"/>
    <n v="1480279300.9985445"/>
    <s v=""/>
    <s v=""/>
    <n v="9801025213.6051483"/>
    <n v="22591.752599174677"/>
    <n v="3412.102613450701"/>
  </r>
  <r>
    <x v="1"/>
    <x v="3"/>
    <x v="5"/>
    <n v="59380472585.669716"/>
    <n v="245773800602.81073"/>
    <n v="303649504877.34271"/>
    <n v="19.55559670998182"/>
    <m/>
    <n v="102.59999999999984"/>
    <n v="1575997"/>
    <n v="9591837510.2981853"/>
    <s v=""/>
    <s v=""/>
    <n v="57875704274.531975"/>
    <n v="36723.23251537406"/>
    <n v="6086.2028990525905"/>
  </r>
  <r>
    <x v="1"/>
    <x v="3"/>
    <x v="6"/>
    <n v="51335257684.320023"/>
    <n v="226308221376.9248"/>
    <n v="276293866639.16412"/>
    <n v="18.579948338615544"/>
    <m/>
    <n v="102.70000000000047"/>
    <n v="5727894"/>
    <n v="10049284783.331865"/>
    <s v=""/>
    <s v=""/>
    <n v="49985645262.239326"/>
    <n v="8726.7057075845551"/>
    <n v="1754.4467099656288"/>
  </r>
  <r>
    <x v="1"/>
    <x v="3"/>
    <x v="7"/>
    <n v="934005111.53140032"/>
    <n v="555032730.0664984"/>
    <n v="1489037841.597899"/>
    <n v="62.725411365577642"/>
    <s v="México2019Actividades de edición"/>
    <n v="100"/>
    <n v="64573"/>
    <n v="317818393.55331028"/>
    <s v=""/>
    <s v=""/>
    <n v="934005111.53140032"/>
    <n v="14464.328922791265"/>
    <n v="4921.8464923932643"/>
  </r>
  <r>
    <x v="1"/>
    <x v="3"/>
    <x v="8"/>
    <n v="425593181.62548089"/>
    <n v="1086861789.658926"/>
    <n v="1512454971.2844059"/>
    <n v="28.139229908051991"/>
    <s v="México2019Actividades de programación y radiodifusión"/>
    <n v="100"/>
    <n v="19424"/>
    <n v="67219043.136549175"/>
    <s v=""/>
    <s v=""/>
    <n v="425593181.62548083"/>
    <n v="21910.686862926319"/>
    <n v="3460.6179538997721"/>
  </r>
  <r>
    <x v="1"/>
    <x v="3"/>
    <x v="9"/>
    <n v="495971078.49159652"/>
    <n v="183878292.2570855"/>
    <n v="679849370.7486819"/>
    <n v="72.953083408080516"/>
    <s v="México2019Actividades de servicios de información"/>
    <n v="101.454796124099"/>
    <n v="33598"/>
    <n v="172821447.6673663"/>
    <s v=""/>
    <s v=""/>
    <n v="488859174.17341918"/>
    <n v="14550.246269820203"/>
    <n v="5143.8016449600063"/>
  </r>
  <r>
    <x v="1"/>
    <x v="3"/>
    <x v="10"/>
    <n v="2458280542.438343"/>
    <n v="2238158827.7739229"/>
    <n v="4696439370.212266"/>
    <n v="52.343495756174008"/>
    <s v="México2019Producción de películas, videos y programas de televisión, grabación de sonido y edición musical"/>
    <n v="102.3"/>
    <n v="105899"/>
    <n v="328514610.43174618"/>
    <s v=""/>
    <s v=""/>
    <n v="2403011282.930932"/>
    <n v="22691.538946835495"/>
    <n v="3102.1502604533207"/>
  </r>
  <r>
    <x v="1"/>
    <x v="3"/>
    <x v="13"/>
    <n v="17919995933.615849"/>
    <n v="8796497268.6011124"/>
    <n v="26716493202.216961"/>
    <n v="67.074656085959774"/>
    <s v="México2019Telecomunicaciones"/>
    <n v="105.3"/>
    <n v="190058"/>
    <n v="2528579015.0352402"/>
    <s v=""/>
    <s v=""/>
    <n v="17018039822.997007"/>
    <n v="89541.296988272035"/>
    <n v="13304.249308291364"/>
  </r>
  <r>
    <x v="1"/>
    <x v="3"/>
    <x v="12"/>
    <n v="1846869091.8466401"/>
    <n v="441377742.86263072"/>
    <n v="2288246834.709271"/>
    <n v="80.711095666446781"/>
    <s v="México2019Actividades inmobiliarias"/>
    <n v="102.3"/>
    <n v="31016"/>
    <n v="5616.8012610982014"/>
    <s v=""/>
    <s v=""/>
    <n v="1805346130.8373804"/>
    <n v="58206.929676211643"/>
    <n v="0.18109366975426236"/>
  </r>
  <r>
    <x v="1"/>
    <x v="4"/>
    <x v="0"/>
    <n v="21992921153.035389"/>
    <n v="41837092627.506866"/>
    <n v="63830013780.542252"/>
    <n v="34.455454182808957"/>
    <s v="México2020Elaboración de productos alimenticios"/>
    <n v="102.2"/>
    <n v="1544683"/>
    <n v="3496697502.5530648"/>
    <s v=""/>
    <s v=""/>
    <n v="21519492321.952435"/>
    <n v="13931.332397619728"/>
    <n v="2263.6990907215686"/>
  </r>
  <r>
    <x v="1"/>
    <x v="4"/>
    <x v="1"/>
    <n v="1180894885.84025"/>
    <n v="1553716305.4494231"/>
    <n v="2734611191.2896729"/>
    <n v="43.183282859430093"/>
    <s v="México2020Fabricación de prendas de vestir"/>
    <n v="102.7"/>
    <n v="245100"/>
    <n v="584450335.55407059"/>
    <s v=""/>
    <s v=""/>
    <n v="1149848963.8171859"/>
    <n v="4691.3462416041857"/>
    <n v="2384.538292754266"/>
  </r>
  <r>
    <x v="1"/>
    <x v="4"/>
    <x v="2"/>
    <n v="695016113.49922991"/>
    <n v="1236155922.9763491"/>
    <n v="1931172036.475579"/>
    <n v="35.989342242529872"/>
    <s v="México2020Fabricación de productos de cuero y productos conexos"/>
    <n v="102.611904521713"/>
    <n v="117713"/>
    <n v="325589524.46075344"/>
    <s v=""/>
    <s v=""/>
    <n v="677325030.40342879"/>
    <n v="5754.0376203429423"/>
    <n v="2765.9606369793773"/>
  </r>
  <r>
    <x v="1"/>
    <x v="4"/>
    <x v="3"/>
    <n v="16563503647.59667"/>
    <n v="55400259491.527863"/>
    <n v="71963763139.124527"/>
    <n v="23.01645012028504"/>
    <s v="México2020Fabricación de vehículos automotores, remolques y semirremolques"/>
    <n v="102.698172493794"/>
    <n v="199331"/>
    <n v="1661105491.932003"/>
    <s v=""/>
    <s v=""/>
    <n v="16128333392.298285"/>
    <n v="80912.318667433996"/>
    <n v="8333.4026916636303"/>
  </r>
  <r>
    <x v="1"/>
    <x v="4"/>
    <x v="4"/>
    <n v="9268944858.0735302"/>
    <n v="33317694556.988583"/>
    <n v="41915973646.110588"/>
    <n v="22.11315651720189"/>
    <m/>
    <n v="107.8000000000001"/>
    <n v="420781"/>
    <n v="1243981020.6412613"/>
    <s v=""/>
    <s v=""/>
    <n v="8598279089.1220055"/>
    <n v="20434.095382448366"/>
    <n v="2956.3621471531778"/>
  </r>
  <r>
    <x v="1"/>
    <x v="4"/>
    <x v="5"/>
    <n v="51347070544.438988"/>
    <n v="183482847654.90451"/>
    <n v="231114638512.45477"/>
    <n v="22.21714335142466"/>
    <m/>
    <n v="107.79999999999959"/>
    <n v="1570105"/>
    <n v="8372796036.6430092"/>
    <s v=""/>
    <s v=""/>
    <n v="47631790857.550262"/>
    <n v="30336.691404428533"/>
    <n v="5332.6344649835582"/>
  </r>
  <r>
    <x v="1"/>
    <x v="4"/>
    <x v="6"/>
    <n v="45272453373.661896"/>
    <n v="180130064324.39172"/>
    <n v="222010224707.05786"/>
    <n v="20.392057813282623"/>
    <m/>
    <n v="108.09999999999951"/>
    <n v="5555183"/>
    <n v="9081191647.7728405"/>
    <s v=""/>
    <s v=""/>
    <n v="41880160382.666138"/>
    <n v="7538.9344298227688"/>
    <n v="1634.7241211986789"/>
  </r>
  <r>
    <x v="1"/>
    <x v="4"/>
    <x v="7"/>
    <n v="572766421.55427301"/>
    <n v="360195852.02963382"/>
    <n v="932962273.58390677"/>
    <n v="61.392238225671491"/>
    <s v="México2020Actividades de edición"/>
    <n v="105.28910709066101"/>
    <n v="52341"/>
    <n v="267417236.2662915"/>
    <s v=""/>
    <s v=""/>
    <n v="543993996.51198733"/>
    <n v="10393.267161727657"/>
    <n v="5109.1350235244172"/>
  </r>
  <r>
    <x v="1"/>
    <x v="4"/>
    <x v="8"/>
    <n v="439759296.24209702"/>
    <n v="946346767.77827644"/>
    <n v="1386106064.0203731"/>
    <n v="31.72623709376062"/>
    <s v="México2020Actividades de programación y radiodifusión"/>
    <n v="98.138543861749895"/>
    <n v="17655"/>
    <n v="47328099.080275834"/>
    <s v=""/>
    <s v=""/>
    <n v="448100490.32477641"/>
    <n v="25380.939695541005"/>
    <n v="2680.7192908680731"/>
  </r>
  <r>
    <x v="1"/>
    <x v="4"/>
    <x v="9"/>
    <n v="436137336.89178759"/>
    <n v="153349625.89299119"/>
    <n v="589486962.78477883"/>
    <n v="73.985917318924834"/>
    <s v="México2020Actividades de servicios de información"/>
    <n v="101.069600106377"/>
    <n v="32338"/>
    <n v="177889633.87507841"/>
    <s v=""/>
    <s v=""/>
    <n v="431521779.47943562"/>
    <n v="13344.108463090965"/>
    <n v="5500.9473027113117"/>
  </r>
  <r>
    <x v="1"/>
    <x v="4"/>
    <x v="10"/>
    <n v="1866582429.401386"/>
    <n v="1276106804.8263321"/>
    <n v="3142689234.2277179"/>
    <n v="59.394432292955592"/>
    <s v="México2020Producción de películas, videos y programas de televisión, grabación de sonido y edición musical"/>
    <n v="107.1"/>
    <n v="79920"/>
    <n v="255930710.20795709"/>
    <s v=""/>
    <s v=""/>
    <n v="1742840737.0694547"/>
    <n v="21807.316529898082"/>
    <n v="3202.336213813277"/>
  </r>
  <r>
    <x v="1"/>
    <x v="4"/>
    <x v="13"/>
    <n v="15202680042.028139"/>
    <n v="8534167669.5989914"/>
    <n v="23736847711.627121"/>
    <n v="64.04675223400173"/>
    <s v="México2020Telecomunicaciones"/>
    <n v="110.2"/>
    <n v="185533"/>
    <n v="2147080514.747663"/>
    <s v=""/>
    <s v=""/>
    <n v="13795535428.337692"/>
    <n v="74356.23543163584"/>
    <n v="11572.499311430651"/>
  </r>
  <r>
    <x v="1"/>
    <x v="4"/>
    <x v="12"/>
    <n v="1598508241.7571759"/>
    <n v="350966371.67592418"/>
    <n v="1949474613.4331"/>
    <n v="81.996873965039299"/>
    <s v="México2020Actividades inmobiliarias"/>
    <n v="105.1"/>
    <n v="30241"/>
    <n v="5259.3344459644113"/>
    <s v=""/>
    <s v=""/>
    <n v="1520940287.1143444"/>
    <n v="50293.981254401122"/>
    <n v="0.17391403875415534"/>
  </r>
  <r>
    <x v="1"/>
    <x v="5"/>
    <x v="0"/>
    <n v="25823609359.605911"/>
    <n v="47261721428.571426"/>
    <n v="73085330788.177338"/>
    <n v="35.333505480669281"/>
    <s v="México2021Elaboración de productos alimenticios"/>
    <n v="111.5"/>
    <n v="1629483"/>
    <n v="4554496403.9408865"/>
    <s v=""/>
    <s v=""/>
    <n v="23160187766.4627"/>
    <n v="14213.212268224155"/>
    <n v="2795.0561030344511"/>
  </r>
  <r>
    <x v="1"/>
    <x v="5"/>
    <x v="1"/>
    <n v="1564381527.093596"/>
    <n v="1981395566.5024631"/>
    <n v="3545777093.5960588"/>
    <n v="44.119567750578199"/>
    <s v="México2021Fabricación de prendas de vestir"/>
    <n v="107.9"/>
    <n v="238755"/>
    <n v="687144285.71428573"/>
    <s v=""/>
    <s v=""/>
    <n v="1449843861.9959183"/>
    <n v="6072.5172750137936"/>
    <n v="2878.0309761650469"/>
  </r>
  <r>
    <x v="1"/>
    <x v="5"/>
    <x v="2"/>
    <n v="882235960.591133"/>
    <n v="1435189014.7783251"/>
    <n v="2317424975.3694582"/>
    <n v="38.069666546615238"/>
    <s v="México2021Fabricación de productos de cuero y productos conexos"/>
    <n v="107.751504208182"/>
    <n v="117383"/>
    <n v="398176206.89655173"/>
    <s v=""/>
    <s v=""/>
    <n v="818769043.71246946"/>
    <n v="6975.192691552179"/>
    <n v="3392.1113525514916"/>
  </r>
  <r>
    <x v="1"/>
    <x v="5"/>
    <x v="3"/>
    <n v="18311106305.41872"/>
    <n v="59943167044.334976"/>
    <n v="78254273349.753693"/>
    <n v="23.39949694961464"/>
    <s v="México2021Fabricación de vehículos automotores, remolques y semirremolques"/>
    <n v="108.066711163676"/>
    <n v="213522"/>
    <n v="1936239507.3891625"/>
    <s v=""/>
    <s v=""/>
    <n v="16944261658.601814"/>
    <n v="79356.046021495742"/>
    <n v="9068.1030872189403"/>
  </r>
  <r>
    <x v="1"/>
    <x v="5"/>
    <x v="4"/>
    <n v="16762935665.024633"/>
    <n v="45695511951.016449"/>
    <n v="60451617289.946571"/>
    <n v="27.729507358957623"/>
    <m/>
    <n v="113.60000000000009"/>
    <n v="414144"/>
    <n v="1869304057.101228"/>
    <s v=""/>
    <s v=""/>
    <n v="14756105338.930124"/>
    <n v="35630.373345817214"/>
    <n v="4513.657223335912"/>
  </r>
  <r>
    <x v="1"/>
    <x v="5"/>
    <x v="5"/>
    <n v="70756663201.970154"/>
    <n v="281290457312.84265"/>
    <n v="343576252384.99963"/>
    <n v="20.594165839693336"/>
    <m/>
    <n v="113.59999999999972"/>
    <n v="1626213"/>
    <n v="10522987016.929163"/>
    <s v=""/>
    <s v=""/>
    <n v="62285795072.156975"/>
    <n v="38301.129724185565"/>
    <n v="6470.8540744227003"/>
  </r>
  <r>
    <x v="1"/>
    <x v="5"/>
    <x v="6"/>
    <n v="58976723251.231956"/>
    <n v="230108210683.87482"/>
    <n v="281751576052.72919"/>
    <n v="20.932171552500773"/>
    <m/>
    <n v="114.2000000000005"/>
    <n v="5799569"/>
    <n v="13342813316.884214"/>
    <s v=""/>
    <s v=""/>
    <n v="51643365368.85437"/>
    <n v="8904.6902224724581"/>
    <n v="2300.6560171771753"/>
  </r>
  <r>
    <x v="1"/>
    <x v="5"/>
    <x v="7"/>
    <n v="692382610.83743834"/>
    <n v="472748669.95073891"/>
    <n v="1165131280.788177"/>
    <n v="59.425287283426258"/>
    <s v="México2021Actividades de edición"/>
    <n v="109.8428953814"/>
    <n v="61542"/>
    <n v="341982413.7931034"/>
    <s v=""/>
    <s v=""/>
    <n v="630339002.29352605"/>
    <n v="10242.419848128531"/>
    <n v="5556.8947026925252"/>
  </r>
  <r>
    <x v="1"/>
    <x v="5"/>
    <x v="8"/>
    <n v="502249802.95566499"/>
    <n v="1062089753.694581"/>
    <n v="1564339556.6502459"/>
    <n v="32.106188251810437"/>
    <s v="México2021Actividades de programación y radiodifusión"/>
    <n v="96.916728589906498"/>
    <n v="18258"/>
    <n v="78615221.674876839"/>
    <s v=""/>
    <s v=""/>
    <n v="518228184.40445417"/>
    <n v="28383.622762868559"/>
    <n v="4305.7959072667782"/>
  </r>
  <r>
    <x v="1"/>
    <x v="5"/>
    <x v="9"/>
    <n v="425842413.7931034"/>
    <n v="149469458.12807879"/>
    <n v="575311871.92118227"/>
    <n v="74.019403140605405"/>
    <s v="México2021Actividades de servicios de información"/>
    <n v="102.484999601607"/>
    <n v="27347"/>
    <n v="190569113.30049261"/>
    <s v=""/>
    <s v=""/>
    <n v="415516822.4115659"/>
    <n v="15194.237847353124"/>
    <n v="6968.5564522796876"/>
  </r>
  <r>
    <x v="1"/>
    <x v="5"/>
    <x v="10"/>
    <n v="690564778.32512307"/>
    <n v="861825024.6305418"/>
    <n v="1552389802.9556651"/>
    <n v="44.483980570493678"/>
    <s v="México2021Producción de películas, videos y programas de televisión, grabación de sonido y edición musical"/>
    <n v="116.18765921948599"/>
    <n v="67492"/>
    <n v="195304384.23645321"/>
    <s v=""/>
    <s v=""/>
    <n v="594352948.4664129"/>
    <n v="8806.2725725480486"/>
    <n v="2893.7412469100518"/>
  </r>
  <r>
    <x v="1"/>
    <x v="5"/>
    <x v="13"/>
    <n v="16958590837.438419"/>
    <n v="8717380000"/>
    <n v="25675970837.438419"/>
    <n v="66.048489246260203"/>
    <s v="México2021Telecomunicaciones"/>
    <n v="118.49318137442501"/>
    <n v="183929"/>
    <n v="2161597339.9014769"/>
    <s v=""/>
    <s v=""/>
    <n v="14311870641.612022"/>
    <n v="77811.930916886529"/>
    <n v="11752.346502734625"/>
  </r>
  <r>
    <x v="1"/>
    <x v="5"/>
    <x v="12"/>
    <n v="1729609211.82266"/>
    <n v="387001970.44334972"/>
    <n v="2116611182.26601"/>
    <n v="81.715963059921464"/>
    <s v="México2021Actividades inmobiliarias"/>
    <n v="109.76324105062101"/>
    <n v="32762"/>
    <n v="5773.3990147783252"/>
    <s v=""/>
    <s v=""/>
    <n v="1575763611.9955611"/>
    <n v="48097.296013538893"/>
    <n v="0.17622242276962105"/>
  </r>
  <r>
    <x v="1"/>
    <x v="6"/>
    <x v="0"/>
    <n v="32771114029.850739"/>
    <n v="56143503482.587059"/>
    <n v="88914617512.437805"/>
    <n v="36.85683518265887"/>
    <s v="México2022Elaboración de productos alimenticios"/>
    <n v="112.92894634856199"/>
    <n v="1752058"/>
    <n v="6101304776.1194019"/>
    <s v=""/>
    <s v=""/>
    <n v="29019232968.578953"/>
    <n v="16562.940820782733"/>
    <n v="3482.364611285358"/>
  </r>
  <r>
    <x v="1"/>
    <x v="6"/>
    <x v="1"/>
    <n v="2642478756.218905"/>
    <n v="2954734626.8656712"/>
    <n v="5597213383.0845766"/>
    <n v="47.210613127682073"/>
    <s v="México2022Fabricación de prendas de vestir"/>
    <n v="113.88"/>
    <n v="501642"/>
    <n v="1222573432.8358212"/>
    <s v=""/>
    <s v=""/>
    <n v="2320406354.2491264"/>
    <n v="4625.6221653073835"/>
    <n v="2437.1432871167508"/>
  </r>
  <r>
    <x v="1"/>
    <x v="6"/>
    <x v="2"/>
    <n v="1561767064.6766169"/>
    <n v="2327141741.2935319"/>
    <n v="3888908805.970149"/>
    <n v="40.159518841867254"/>
    <s v="México2022Fabricación de productos de cuero y productos conexos"/>
    <n v="113.613933941246"/>
    <n v="263961"/>
    <n v="804674626.86567152"/>
    <s v=""/>
    <s v=""/>
    <n v="1374626342.4733315"/>
    <n v="5207.6872813534255"/>
    <n v="3048.4602909735586"/>
  </r>
  <r>
    <x v="1"/>
    <x v="6"/>
    <x v="3"/>
    <n v="22452845124.378109"/>
    <n v="72295427164.179108"/>
    <n v="94748272288.557205"/>
    <n v="23.697366275975622"/>
    <s v="México2022Fabricación de vehículos automotores, remolques y semirremolques"/>
    <n v="114.15472463850701"/>
    <n v="232248"/>
    <n v="2579074527.363183"/>
    <s v=""/>
    <s v=""/>
    <n v="19668783044.660992"/>
    <n v="84688.70795296834"/>
    <n v="11104.829868774685"/>
  </r>
  <r>
    <x v="1"/>
    <x v="6"/>
    <x v="4"/>
    <n v="16619127761.194019"/>
    <n v="45922453333.010796"/>
    <n v="59390141956.344696"/>
    <n v="27.982973627862467"/>
    <m/>
    <n v="123.39999999999989"/>
    <n v="417914"/>
    <n v="2360022214.696372"/>
    <s v=""/>
    <s v=""/>
    <n v="13467688623.3339"/>
    <n v="32225.98099928191"/>
    <n v="5647.1480129796373"/>
  </r>
  <r>
    <x v="1"/>
    <x v="6"/>
    <x v="5"/>
    <n v="87022710497.512741"/>
    <n v="290118105824.2016"/>
    <n v="360638940911.32678"/>
    <n v="24.130148085952182"/>
    <m/>
    <n v="123.40000000000038"/>
    <n v="1652813"/>
    <n v="12763449930.251495"/>
    <s v=""/>
    <s v=""/>
    <n v="70520835087.125183"/>
    <n v="42667.159011409749"/>
    <n v="7722.2589187352078"/>
  </r>
  <r>
    <x v="1"/>
    <x v="6"/>
    <x v="6"/>
    <n v="68065142487.56263"/>
    <n v="242890609635.94455"/>
    <n v="298590398905.6355"/>
    <n v="22.795489318152349"/>
    <m/>
    <n v="122.20000000000051"/>
    <n v="5815255"/>
    <n v="16881342672.887606"/>
    <s v=""/>
    <s v=""/>
    <n v="55699789269.690956"/>
    <n v="9578.219574152974"/>
    <n v="2902.9410873448551"/>
  </r>
  <r>
    <x v="1"/>
    <x v="6"/>
    <x v="7"/>
    <n v="842849751.24378109"/>
    <n v="502659800.99502492"/>
    <n v="1345509552.238806"/>
    <n v="62.641677262071859"/>
    <s v="México2022Actividades de edición"/>
    <n v="116.700891392263"/>
    <n v="58171"/>
    <n v="361914129.35323381"/>
    <s v=""/>
    <s v=""/>
    <n v="722230774.06558704"/>
    <n v="12415.649964167489"/>
    <n v="6221.5559188123607"/>
  </r>
  <r>
    <x v="1"/>
    <x v="6"/>
    <x v="8"/>
    <n v="599830199.00497508"/>
    <n v="1184154875.6218901"/>
    <n v="1783985074.6268661"/>
    <n v="33.623050301047741"/>
    <s v="México2022Actividades de programación y radiodifusión"/>
    <n v="97.091106465258406"/>
    <n v="20651"/>
    <n v="98359850.74626866"/>
    <s v=""/>
    <s v=""/>
    <n v="617801383.50736487"/>
    <n v="29916.293811794338"/>
    <n v="4762.9582463933302"/>
  </r>
  <r>
    <x v="1"/>
    <x v="6"/>
    <x v="9"/>
    <n v="522044079.60198998"/>
    <n v="175039303.48258701"/>
    <n v="697083383.08457708"/>
    <n v="74.889761005628557"/>
    <s v="México2022Actividades de servicios de información"/>
    <n v="107.605596889353"/>
    <n v="31034"/>
    <n v="243947512.4378109"/>
    <s v=""/>
    <s v=""/>
    <n v="485145842.49626845"/>
    <n v="15632.720322751449"/>
    <n v="7860.6532331575336"/>
  </r>
  <r>
    <x v="1"/>
    <x v="6"/>
    <x v="10"/>
    <n v="1217495820.8955221"/>
    <n v="830313731.34328353"/>
    <n v="2047809552.238806"/>
    <n v="59.453566839966747"/>
    <s v="México2022Producción de películas, videos y programas de televisión, grabación de sonido y edición musical"/>
    <n v="129.32654788623401"/>
    <n v="75508"/>
    <n v="274055024.87562191"/>
    <s v=""/>
    <s v=""/>
    <n v="941412139.11201656"/>
    <n v="12467.713872861374"/>
    <n v="3629.4832981355871"/>
  </r>
  <r>
    <x v="1"/>
    <x v="6"/>
    <x v="13"/>
    <n v="19341110995.024879"/>
    <n v="7957322686.5671644"/>
    <n v="27298433681.592041"/>
    <n v="70.850625426421558"/>
    <s v="México2022Telecomunicaciones"/>
    <n v="130.309937712893"/>
    <n v="156974"/>
    <n v="2364631542.2885571"/>
    <s v=""/>
    <s v=""/>
    <n v="14842391405.050337"/>
    <n v="94553.183361896474"/>
    <n v="15063.842052114089"/>
  </r>
  <r>
    <x v="1"/>
    <x v="6"/>
    <x v="12"/>
    <n v="5905083034.8258696"/>
    <n v="1894228059.701493"/>
    <n v="7799311094.5273628"/>
    <n v="75.712879807671229"/>
    <s v="México2022Actividades inmobiliarias"/>
    <n v="114.765372402341"/>
    <n v="233590"/>
    <n v="720259502.48756218"/>
    <s v=""/>
    <s v=""/>
    <n v="5145352566.9084282"/>
    <n v="22027.280991944983"/>
    <n v="3083.4346611051938"/>
  </r>
  <r>
    <x v="1"/>
    <x v="7"/>
    <x v="0"/>
    <n v="38221209661.016953"/>
    <n v="65680787288.135597"/>
    <n v="103901996949.1525"/>
    <n v="36.785827783196133"/>
    <s v="México2023Elaboración de productos alimenticios"/>
    <n v="118.92956316086899"/>
    <n v="1756559"/>
    <n v="7484435649.717515"/>
    <s v=""/>
    <s v=""/>
    <n v="32137686076.688416"/>
    <n v="18295.819313036689"/>
    <n v="4260.8507028329332"/>
  </r>
  <r>
    <x v="1"/>
    <x v="7"/>
    <x v="1"/>
    <n v="2820073389.8305092"/>
    <n v="3318570677.9661021"/>
    <n v="6138644067.7966108"/>
    <n v="45.939679165056049"/>
    <s v="México2023Fabricación de prendas de vestir"/>
    <n v="122.8"/>
    <n v="508228"/>
    <n v="1423187627.1186442"/>
    <s v=""/>
    <s v=""/>
    <n v="2296476701.8163757"/>
    <n v="4518.5953977670961"/>
    <n v="2800.2936223872834"/>
  </r>
  <r>
    <x v="1"/>
    <x v="7"/>
    <x v="2"/>
    <n v="1866013050.8474579"/>
    <n v="2643397005.6497178"/>
    <n v="4509410056.4971752"/>
    <n v="41.380425099263242"/>
    <s v="México2023Fabricación de productos de cuero y productos conexos"/>
    <n v="123.411266049067"/>
    <n v="266257"/>
    <n v="996483785.31073451"/>
    <s v=""/>
    <s v=""/>
    <n v="1512028124.0008924"/>
    <n v="5678.8295669255358"/>
    <n v="3742.5637084123027"/>
  </r>
  <r>
    <x v="1"/>
    <x v="7"/>
    <x v="3"/>
    <n v="28580675197.740108"/>
    <n v="89013997570.62149"/>
    <n v="117594672768.3616"/>
    <n v="24.30439621532723"/>
    <s v="México2023Fabricación de vehículos automotores, remolques y semirremolques"/>
    <n v="122.22806695566899"/>
    <n v="246957"/>
    <n v="3521800451.9774003"/>
    <s v=""/>
    <s v=""/>
    <n v="23383070606.938469"/>
    <n v="94684.785638546266"/>
    <n v="14260.784071629476"/>
  </r>
  <r>
    <x v="1"/>
    <x v="7"/>
    <x v="4"/>
    <n v="15605014858.757048"/>
    <n v="61997237316.290337"/>
    <n v="74958213112.600189"/>
    <n v="20.818285563071811"/>
    <m/>
    <n v="120.39999999999989"/>
    <n v="406033"/>
    <n v="3334440189.9506354"/>
    <s v=""/>
    <s v=""/>
    <n v="12960975796.309853"/>
    <n v="31920.991141877268"/>
    <n v="8212.2393745105328"/>
  </r>
  <r>
    <x v="1"/>
    <x v="7"/>
    <x v="5"/>
    <n v="121140581694.91544"/>
    <n v="337952415301.16199"/>
    <n v="438567516376.67285"/>
    <n v="27.621877401168792"/>
    <m/>
    <n v="120.40000000000035"/>
    <n v="1665682"/>
    <n v="18118783152.204517"/>
    <s v=""/>
    <s v=""/>
    <n v="100615101075.51086"/>
    <n v="60404.747770289207"/>
    <n v="10877.696434376139"/>
  </r>
  <r>
    <x v="1"/>
    <x v="7"/>
    <x v="6"/>
    <n v="78382673163.841492"/>
    <n v="303654100640.55029"/>
    <n v="368379677158.99939"/>
    <n v="21.277686589103041"/>
    <m/>
    <n v="121.09999999999943"/>
    <n v="5851537"/>
    <n v="23925162050.320278"/>
    <s v=""/>
    <s v=""/>
    <n v="64725576518.449104"/>
    <n v="11061.294924470119"/>
    <n v="4088.6970466597541"/>
  </r>
  <r>
    <x v="1"/>
    <x v="7"/>
    <x v="7"/>
    <n v="851134576.27118647"/>
    <n v="534215141.24293792"/>
    <n v="1385349717.5141239"/>
    <n v="61.438246639878408"/>
    <s v="México2023Actividades de edición"/>
    <n v="120.695618981471"/>
    <n v="54436"/>
    <n v="399322146.89265537"/>
    <s v=""/>
    <s v=""/>
    <n v="705190945.16748893"/>
    <n v="12954.496016744231"/>
    <n v="7335.626182905713"/>
  </r>
  <r>
    <x v="1"/>
    <x v="7"/>
    <x v="8"/>
    <n v="619543898.30508482"/>
    <n v="1436046327.6836159"/>
    <n v="2055590225.9887011"/>
    <n v="30.13946507782677"/>
    <s v="México2023Actividades de programación y radiodifusión"/>
    <n v="93.688296621976704"/>
    <n v="19531"/>
    <n v="125353898.30508479"/>
    <s v=""/>
    <s v=""/>
    <n v="661282060.4529562"/>
    <n v="33858.0748785498"/>
    <n v="6418.2017462026924"/>
  </r>
  <r>
    <x v="1"/>
    <x v="7"/>
    <x v="9"/>
    <n v="640547401.12994361"/>
    <n v="260802203.3898305"/>
    <n v="901349604.51977408"/>
    <n v="71.065366636646814"/>
    <s v="México2023Actividades de servicios de información"/>
    <n v="106.625388523045"/>
    <n v="27592"/>
    <n v="349095819.20903963"/>
    <s v=""/>
    <s v=""/>
    <n v="600745666.67722082"/>
    <n v="21772.458200827081"/>
    <n v="12652.06651236009"/>
  </r>
  <r>
    <x v="1"/>
    <x v="7"/>
    <x v="10"/>
    <n v="1695678587.570622"/>
    <n v="940427062.14689267"/>
    <n v="2636105649.717515"/>
    <n v="64.325137642049015"/>
    <s v="México2023Producción de películas, videos y programas de televisión, grabación de sonido y edición musical"/>
    <n v="137.78728757684999"/>
    <n v="75970"/>
    <n v="382686553.67231637"/>
    <s v=""/>
    <s v=""/>
    <n v="1230649515.9249492"/>
    <n v="16199.151190271807"/>
    <n v="5037.337813246234"/>
  </r>
  <r>
    <x v="1"/>
    <x v="7"/>
    <x v="13"/>
    <n v="20528690169.491531"/>
    <n v="9953007627.1186447"/>
    <n v="30481697796.610168"/>
    <n v="67.34759430550649"/>
    <s v="México2023Telecomunicaciones"/>
    <n v="126.827473515305"/>
    <n v="151981"/>
    <n v="2809607570.621469"/>
    <s v=""/>
    <s v=""/>
    <n v="16186311688.227564"/>
    <n v="106502.20546139033"/>
    <n v="18486.571154430283"/>
  </r>
  <r>
    <x v="1"/>
    <x v="7"/>
    <x v="12"/>
    <n v="7168771864.4067802"/>
    <n v="2398661299.4350281"/>
    <n v="9567433163.8418083"/>
    <n v="74.928894110279373"/>
    <s v="México2023Actividades inmobiliarias"/>
    <n v="121.146784451534"/>
    <n v="248768"/>
    <n v="920973220.33898306"/>
    <s v=""/>
    <s v=""/>
    <n v="5917426448.3055429"/>
    <n v="23786.927773288939"/>
    <n v="3702.1370125537974"/>
  </r>
  <r>
    <x v="1"/>
    <x v="0"/>
    <x v="7"/>
    <n v="744629209.34934223"/>
    <n v="551747311.11981285"/>
    <n v="1296376520.4691551"/>
    <n v="57.439269964551883"/>
    <s v="México2016Actividades de edición"/>
    <n v="90.490165269147795"/>
    <n v="22825"/>
    <n v="220813878.01063275"/>
    <m/>
    <m/>
    <n v="822884130.15333521"/>
    <n v="36051.878648557948"/>
    <n v="9674.2115229192877"/>
  </r>
  <r>
    <x v="1"/>
    <x v="0"/>
    <x v="8"/>
    <n v="584600776.80497336"/>
    <n v="938391462.73564136"/>
    <n v="1522992239.5406151"/>
    <n v="38.385013503503373"/>
    <s v="México2016Actividades de programación y radiodifusión"/>
    <n v="87.983051423758297"/>
    <n v="11875"/>
    <n v="19044636.147818878"/>
    <m/>
    <m/>
    <n v="664447035.36062181"/>
    <n v="55953.43455668394"/>
    <n v="1603.7588335005371"/>
  </r>
  <r>
    <x v="1"/>
    <x v="0"/>
    <x v="9"/>
    <n v="176038723.26802811"/>
    <n v="94308052.866315708"/>
    <n v="270346776.1343438"/>
    <n v="65.115895142226123"/>
    <s v="México2016Actividades de servicios de información"/>
    <n v="88.944036225961995"/>
    <n v="7056"/>
    <n v="68217607.192433596"/>
    <m/>
    <m/>
    <n v="197920772.13676518"/>
    <n v="28049.996051128852"/>
    <n v="9668.0282302201813"/>
  </r>
  <r>
    <x v="1"/>
    <x v="0"/>
    <x v="10"/>
    <n v="1377619408.4262669"/>
    <n v="1254903278.8956671"/>
    <n v="2632522687.3219342"/>
    <n v="52.33077059737402"/>
    <s v="México2016Producción de películas, videos y programas de televisión, grabación de sonido y edición musical"/>
    <n v="98.961476244551903"/>
    <n v="27371"/>
    <n v="140074385.39403054"/>
    <m/>
    <m/>
    <n v="1392076453.0855598"/>
    <n v="50859.539406143726"/>
    <n v="5117.6203059453637"/>
  </r>
  <r>
    <x v="1"/>
    <x v="0"/>
    <x v="13"/>
    <n v="11840093513.06678"/>
    <n v="7437131759.9289551"/>
    <n v="19277225272.995739"/>
    <n v="61.420112829478789"/>
    <s v="México2016Telecomunicaciones"/>
    <n v="105.807655116368"/>
    <n v="115660"/>
    <n v="2401698623.0665274"/>
    <m/>
    <m/>
    <n v="11190204999.860325"/>
    <n v="96750.864601939524"/>
    <n v="20765.16188022244"/>
  </r>
  <r>
    <x v="1"/>
    <x v="1"/>
    <x v="7"/>
    <n v="691147305.67607498"/>
    <n v="452606475.3947503"/>
    <n v="1143753781.0708251"/>
    <n v="60.427979965145717"/>
    <s v="México2017Actividades de edición"/>
    <n v="97.7703392672272"/>
    <n v="20196"/>
    <n v="212497638.67448747"/>
    <m/>
    <m/>
    <n v="706908977.56529403"/>
    <n v="35002.425112165482"/>
    <n v="10521.768601430356"/>
  </r>
  <r>
    <x v="1"/>
    <x v="1"/>
    <x v="8"/>
    <n v="539451457.43493903"/>
    <n v="1096699216.5313039"/>
    <n v="1636150673.966243"/>
    <n v="32.970768891793952"/>
    <s v="México2017Actividades de programación y radiodifusión"/>
    <n v="93.557066612031207"/>
    <n v="11053"/>
    <n v="18563563.818311349"/>
    <m/>
    <m/>
    <n v="576601508.5444833"/>
    <n v="52166.969016962212"/>
    <n v="1679.5045524573734"/>
  </r>
  <r>
    <x v="1"/>
    <x v="1"/>
    <x v="9"/>
    <n v="200644052.30404249"/>
    <n v="125449180.206606"/>
    <n v="326093232.51064849"/>
    <n v="61.529658484246688"/>
    <s v="México2017Actividades de servicios de información"/>
    <n v="95.324856243727695"/>
    <n v="7409"/>
    <n v="80258424.02766487"/>
    <m/>
    <m/>
    <n v="210484505.52186877"/>
    <n v="28409.300245899416"/>
    <n v="10832.558243712359"/>
  </r>
  <r>
    <x v="1"/>
    <x v="1"/>
    <x v="10"/>
    <n v="1426535240.2405441"/>
    <n v="1470059255.488992"/>
    <n v="2896594495.7295361"/>
    <n v="49.248703687854558"/>
    <s v="México2017Producción de películas, videos y programas de televisión, grabación de sonido y edición musical"/>
    <n v="99.664134201715697"/>
    <n v="31317"/>
    <n v="156936215.59170502"/>
    <m/>
    <m/>
    <n v="1431342630.5929687"/>
    <n v="45704.972717468743"/>
    <n v="5011.21485428697"/>
  </r>
  <r>
    <x v="1"/>
    <x v="1"/>
    <x v="13"/>
    <n v="12829048063.959641"/>
    <n v="7974065468.9936762"/>
    <n v="20803113532.95332"/>
    <n v="61.668884533258449"/>
    <s v="México2017Telecomunicaciones"/>
    <n v="99.987775194221399"/>
    <n v="116930"/>
    <n v="2479628794.1697321"/>
    <m/>
    <m/>
    <n v="12830616581.916977"/>
    <n v="109729.03944169141"/>
    <n v="21206.0959049835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7C355-36B5-4176-BF31-02B8272CA832}" name="TablaDinámica9" cacheId="2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45:I48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VA_defl" fld="13" baseField="0" baseItem="0" numFmtId="3"/>
  </dataFields>
  <formats count="2">
    <format dxfId="6">
      <pivotArea outline="0" collapsedLevelsAreSubtotals="1" fieldPosition="0"/>
    </format>
    <format dxfId="2">
      <pivotArea collapsedLevelsAreSubtotals="1" fieldPosition="0">
        <references count="2">
          <reference field="0" count="1">
            <x v="1"/>
          </reference>
          <reference field="1" count="2" selected="0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C8181-D25B-4910-BC6D-2122683E51B6}" name="TablaDinámica2" cacheId="25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4:I7" firstHeaderRow="1" firstDataRow="2" firstDataCol="1" rowPageCount="1" colPageCount="1"/>
  <pivotFields count="15">
    <pivotField axis="axisRow" showAll="0">
      <items count="4">
        <item x="0"/>
        <item x="1"/>
        <item m="1" x="2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6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h="1" m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prod_trab" fld="14" baseField="0" baseItem="0" numFmtId="3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03C37-DC11-464C-87B7-F03CF932EA5C}" name="TablaDinámica4" cacheId="2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">
  <location ref="A30:I33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rem" fld="10" baseField="0" baseItem="0" numFmtId="3"/>
  </dataFields>
  <formats count="2">
    <format dxfId="0">
      <pivotArea outline="0" collapsedLevelsAreSubtotals="1" fieldPosition="0"/>
    </format>
    <format dxfId="1">
      <pivotArea collapsedLevelsAreSubtotals="1" fieldPosition="0">
        <references count="2">
          <reference field="0" count="1">
            <x v="1"/>
          </reference>
          <reference field="1" count="2" selected="0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FE0BE-DDC8-4860-8799-3EB30E31AAAE}" name="TablaDinámica3" cacheId="2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18:I21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emp" fld="9" baseField="0" baseItem="0" numFmtId="3"/>
  </dataFields>
  <formats count="2">
    <format dxfId="5">
      <pivotArea outline="0" collapsedLevelsAreSubtotals="1" fieldPosition="0"/>
    </format>
    <format dxfId="3">
      <pivotArea collapsedLevelsAreSubtotals="1" fieldPosition="0">
        <references count="2">
          <reference field="0" count="1">
            <x v="1"/>
          </reference>
          <reference field="1" count="2" selected="0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B2AA0-F727-4B6C-B3DB-D8FDC613CFCB}" name="TablaDinámica12" cacheId="2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7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2" hier="-1"/>
  </pageFields>
  <dataFields count="1">
    <dataField name="Suma de Rem_emp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14BF-DFE7-4D0B-8D8B-31D5AC3885A2}">
  <dimension ref="A2:L52"/>
  <sheetViews>
    <sheetView zoomScale="80" zoomScaleNormal="80" workbookViewId="0">
      <selection activeCell="A13" sqref="A13:I14"/>
    </sheetView>
  </sheetViews>
  <sheetFormatPr baseColWidth="10" defaultRowHeight="15" x14ac:dyDescent="0.25"/>
  <cols>
    <col min="1" max="1" width="25.5703125" bestFit="1" customWidth="1"/>
    <col min="2" max="2" width="76.5703125" bestFit="1" customWidth="1"/>
    <col min="3" max="9" width="16.42578125" customWidth="1"/>
    <col min="10" max="10" width="17.7109375" customWidth="1"/>
  </cols>
  <sheetData>
    <row r="2" spans="1:12" x14ac:dyDescent="0.25">
      <c r="A2" s="3" t="s">
        <v>2</v>
      </c>
      <c r="B2" t="s">
        <v>14</v>
      </c>
    </row>
    <row r="4" spans="1:12" x14ac:dyDescent="0.25">
      <c r="A4" s="3" t="s">
        <v>34</v>
      </c>
      <c r="B4" s="3" t="s">
        <v>33</v>
      </c>
    </row>
    <row r="5" spans="1:12" x14ac:dyDescent="0.25">
      <c r="A5" s="3" t="s">
        <v>31</v>
      </c>
      <c r="B5">
        <v>2016</v>
      </c>
      <c r="C5">
        <v>2017</v>
      </c>
      <c r="D5">
        <v>2018</v>
      </c>
      <c r="E5">
        <v>2019</v>
      </c>
      <c r="F5">
        <v>2020</v>
      </c>
      <c r="G5">
        <v>2021</v>
      </c>
      <c r="H5">
        <v>2022</v>
      </c>
      <c r="I5">
        <v>2023</v>
      </c>
    </row>
    <row r="6" spans="1:12" x14ac:dyDescent="0.25">
      <c r="A6" s="4" t="s">
        <v>7</v>
      </c>
      <c r="B6" s="18">
        <v>3971.3580793756523</v>
      </c>
      <c r="C6" s="18">
        <v>3658.3158474178185</v>
      </c>
      <c r="D6" s="18">
        <v>3568.5420901848538</v>
      </c>
      <c r="E6" s="18">
        <v>3650.2225602039389</v>
      </c>
      <c r="F6" s="18">
        <v>3286.4672783136325</v>
      </c>
      <c r="G6" s="18">
        <v>3882.8863782450435</v>
      </c>
      <c r="H6" s="18">
        <v>3502.0706390732985</v>
      </c>
      <c r="I6" s="18"/>
    </row>
    <row r="7" spans="1:12" x14ac:dyDescent="0.25">
      <c r="A7" s="4" t="s">
        <v>8</v>
      </c>
      <c r="B7" s="18">
        <v>27350.439737471221</v>
      </c>
      <c r="C7" s="18">
        <v>24470.540834528223</v>
      </c>
      <c r="D7" s="18">
        <v>37965.324410200396</v>
      </c>
      <c r="E7" s="18">
        <v>36723.23251537406</v>
      </c>
      <c r="F7" s="18">
        <v>30336.691404428533</v>
      </c>
      <c r="G7" s="18">
        <v>38301.129724185565</v>
      </c>
      <c r="H7" s="18">
        <v>42667.159011409749</v>
      </c>
      <c r="I7" s="18">
        <v>60404.747770289207</v>
      </c>
    </row>
    <row r="9" spans="1:12" x14ac:dyDescent="0.25">
      <c r="L9" t="s">
        <v>44</v>
      </c>
    </row>
    <row r="10" spans="1:12" x14ac:dyDescent="0.25">
      <c r="B10" s="4" t="s">
        <v>7</v>
      </c>
      <c r="C10" s="19">
        <f>C6/B6*100-100</f>
        <v>-7.8824982713985889</v>
      </c>
      <c r="D10" s="19">
        <f t="shared" ref="D10:I11" si="0">D6/C6*100-100</f>
        <v>-2.4539640910538338</v>
      </c>
      <c r="E10" s="19">
        <f t="shared" si="0"/>
        <v>2.2889030857655968</v>
      </c>
      <c r="F10" s="19">
        <f t="shared" si="0"/>
        <v>-9.9652904964234068</v>
      </c>
      <c r="G10" s="19">
        <f t="shared" si="0"/>
        <v>18.147726705419927</v>
      </c>
      <c r="H10" s="19">
        <f t="shared" si="0"/>
        <v>-9.8075426905451479</v>
      </c>
      <c r="I10" s="19"/>
      <c r="L10" s="5">
        <f>AVERAGE(C10:H10)</f>
        <v>-1.6121109597059089</v>
      </c>
    </row>
    <row r="11" spans="1:12" x14ac:dyDescent="0.25">
      <c r="B11" s="4" t="s">
        <v>8</v>
      </c>
      <c r="C11" s="19">
        <f>C7/B7*100-100</f>
        <v>-10.529625595004305</v>
      </c>
      <c r="D11" s="19">
        <f t="shared" si="0"/>
        <v>55.14705893476156</v>
      </c>
      <c r="E11" s="19">
        <f t="shared" si="0"/>
        <v>-3.2716483109850998</v>
      </c>
      <c r="F11" s="19">
        <f t="shared" si="0"/>
        <v>-17.391010195716902</v>
      </c>
      <c r="G11" s="19">
        <f t="shared" si="0"/>
        <v>26.253483656409486</v>
      </c>
      <c r="H11" s="19">
        <f t="shared" si="0"/>
        <v>11.399218035250854</v>
      </c>
      <c r="I11" s="19">
        <f t="shared" si="0"/>
        <v>41.571993940670382</v>
      </c>
      <c r="L11" s="5">
        <f>AVERAGE(C11:I11)</f>
        <v>14.739924352197997</v>
      </c>
    </row>
    <row r="13" spans="1:12" x14ac:dyDescent="0.25">
      <c r="A13" s="4" t="s">
        <v>7</v>
      </c>
      <c r="B13">
        <f>B6/$D6</f>
        <v>1.1128797080182211</v>
      </c>
      <c r="C13">
        <f t="shared" ref="C13:H13" si="1">C6/$D6</f>
        <v>1.0251569842709392</v>
      </c>
      <c r="D13">
        <f t="shared" si="1"/>
        <v>1</v>
      </c>
      <c r="E13">
        <f t="shared" si="1"/>
        <v>1.0228890308576559</v>
      </c>
      <c r="F13">
        <f t="shared" si="1"/>
        <v>0.92095516747664041</v>
      </c>
      <c r="G13">
        <f t="shared" si="1"/>
        <v>1.0880875943497437</v>
      </c>
      <c r="H13">
        <f t="shared" si="1"/>
        <v>0.98137293902336686</v>
      </c>
    </row>
    <row r="14" spans="1:12" x14ac:dyDescent="0.25">
      <c r="A14" s="4" t="s">
        <v>8</v>
      </c>
      <c r="B14">
        <f>B7/$D7</f>
        <v>0.72040579561392593</v>
      </c>
      <c r="C14">
        <f t="shared" ref="C14:I14" si="2">C7/$D7</f>
        <v>0.64454976257106766</v>
      </c>
      <c r="D14">
        <f t="shared" si="2"/>
        <v>1</v>
      </c>
      <c r="E14">
        <f t="shared" si="2"/>
        <v>0.96728351689014902</v>
      </c>
      <c r="F14">
        <f t="shared" si="2"/>
        <v>0.79906314184629412</v>
      </c>
      <c r="G14">
        <f t="shared" si="2"/>
        <v>1.0088450531953033</v>
      </c>
      <c r="H14">
        <f t="shared" si="2"/>
        <v>1.1238455004468784</v>
      </c>
      <c r="I14">
        <f t="shared" si="2"/>
        <v>1.5910504837951513</v>
      </c>
    </row>
    <row r="16" spans="1:12" x14ac:dyDescent="0.25">
      <c r="A16" s="3" t="s">
        <v>2</v>
      </c>
      <c r="B16" t="s">
        <v>14</v>
      </c>
    </row>
    <row r="18" spans="1:12" x14ac:dyDescent="0.25">
      <c r="A18" s="3" t="s">
        <v>45</v>
      </c>
      <c r="B18" s="3" t="s">
        <v>33</v>
      </c>
    </row>
    <row r="19" spans="1:12" x14ac:dyDescent="0.25">
      <c r="A19" s="3" t="s">
        <v>31</v>
      </c>
      <c r="B19">
        <v>2016</v>
      </c>
      <c r="C19">
        <v>2017</v>
      </c>
      <c r="D19">
        <v>2018</v>
      </c>
      <c r="E19">
        <v>2019</v>
      </c>
      <c r="F19">
        <v>2020</v>
      </c>
      <c r="G19">
        <v>2021</v>
      </c>
      <c r="H19">
        <v>2022</v>
      </c>
      <c r="I19">
        <v>2023</v>
      </c>
    </row>
    <row r="20" spans="1:12" x14ac:dyDescent="0.25">
      <c r="A20" s="4" t="s">
        <v>7</v>
      </c>
      <c r="B20" s="18">
        <v>1533942</v>
      </c>
      <c r="C20" s="18">
        <v>2949275.4354308341</v>
      </c>
      <c r="D20" s="18">
        <v>3434103.8420046046</v>
      </c>
      <c r="E20" s="18">
        <v>2923247.4461379093</v>
      </c>
      <c r="F20" s="18">
        <v>3420807.4508339646</v>
      </c>
      <c r="G20" s="18">
        <v>3593142.8100439375</v>
      </c>
      <c r="H20" s="18">
        <v>5249696.3103908431</v>
      </c>
      <c r="I20" s="18"/>
    </row>
    <row r="21" spans="1:12" x14ac:dyDescent="0.25">
      <c r="A21" s="4" t="s">
        <v>8</v>
      </c>
      <c r="B21" s="18">
        <v>779287</v>
      </c>
      <c r="C21" s="18">
        <v>795803</v>
      </c>
      <c r="D21" s="18">
        <v>1561961</v>
      </c>
      <c r="E21" s="18">
        <v>1575997</v>
      </c>
      <c r="F21" s="18">
        <v>1570105</v>
      </c>
      <c r="G21" s="18">
        <v>1626213</v>
      </c>
      <c r="H21" s="21">
        <v>1652813</v>
      </c>
      <c r="I21" s="21">
        <v>1665682</v>
      </c>
    </row>
    <row r="24" spans="1:12" x14ac:dyDescent="0.25">
      <c r="B24" s="4" t="s">
        <v>7</v>
      </c>
      <c r="C24" s="19">
        <f>C20/B20*100-100</f>
        <v>92.267728208161344</v>
      </c>
      <c r="D24" s="19">
        <f t="shared" ref="D24:D25" si="3">D20/C20*100-100</f>
        <v>16.438898881716213</v>
      </c>
      <c r="E24" s="19">
        <f t="shared" ref="E24:E25" si="4">E20/D20*100-100</f>
        <v>-14.875974034858856</v>
      </c>
      <c r="F24" s="19">
        <f t="shared" ref="F24:F25" si="5">F20/E20*100-100</f>
        <v>17.020796694902245</v>
      </c>
      <c r="G24" s="19">
        <f t="shared" ref="G24:G25" si="6">G20/F20*100-100</f>
        <v>5.0378561695414703</v>
      </c>
      <c r="H24" s="19">
        <f t="shared" ref="H24:H25" si="7">H20/G20*100-100</f>
        <v>46.103191215120376</v>
      </c>
      <c r="I24" s="19"/>
      <c r="L24" s="5">
        <f>AVERAGE(C24:H24)</f>
        <v>26.998749522430462</v>
      </c>
    </row>
    <row r="25" spans="1:12" x14ac:dyDescent="0.25">
      <c r="B25" s="4" t="s">
        <v>8</v>
      </c>
      <c r="C25" s="19">
        <f>C21/B21*100-100</f>
        <v>2.1193732219323635</v>
      </c>
      <c r="D25" s="19">
        <f t="shared" si="3"/>
        <v>96.274831836522338</v>
      </c>
      <c r="E25" s="19">
        <f t="shared" si="4"/>
        <v>0.89861398588055863</v>
      </c>
      <c r="F25" s="19">
        <f t="shared" si="5"/>
        <v>-0.37385857968004643</v>
      </c>
      <c r="G25" s="19">
        <f t="shared" si="6"/>
        <v>3.573518968476634</v>
      </c>
      <c r="H25" s="19">
        <f t="shared" si="7"/>
        <v>1.6357020882258269</v>
      </c>
      <c r="I25" s="19">
        <f t="shared" ref="I25" si="8">I21/H21*100-100</f>
        <v>0.77861197848758934</v>
      </c>
      <c r="L25" s="5">
        <f>AVERAGE(C25:I25)</f>
        <v>14.98668478569218</v>
      </c>
    </row>
    <row r="28" spans="1:12" x14ac:dyDescent="0.25">
      <c r="A28" s="3" t="s">
        <v>2</v>
      </c>
      <c r="B28" t="s">
        <v>14</v>
      </c>
    </row>
    <row r="30" spans="1:12" x14ac:dyDescent="0.25">
      <c r="A30" s="3" t="s">
        <v>47</v>
      </c>
      <c r="B30" s="3" t="s">
        <v>33</v>
      </c>
    </row>
    <row r="31" spans="1:12" x14ac:dyDescent="0.25">
      <c r="A31" s="3" t="s">
        <v>31</v>
      </c>
      <c r="B31">
        <v>2016</v>
      </c>
      <c r="C31">
        <v>2017</v>
      </c>
      <c r="D31">
        <v>2018</v>
      </c>
      <c r="E31">
        <v>2019</v>
      </c>
      <c r="F31">
        <v>2020</v>
      </c>
      <c r="G31">
        <v>2021</v>
      </c>
      <c r="H31">
        <v>2022</v>
      </c>
      <c r="I31">
        <v>2023</v>
      </c>
    </row>
    <row r="32" spans="1:12" x14ac:dyDescent="0.25">
      <c r="A32" s="4" t="s">
        <v>7</v>
      </c>
      <c r="B32" s="18">
        <v>3097459605.4570727</v>
      </c>
      <c r="C32" s="18">
        <v>5736760578.204258</v>
      </c>
      <c r="D32" s="18">
        <v>6668685887.9729185</v>
      </c>
      <c r="E32" s="18">
        <v>5854519569.5592613</v>
      </c>
      <c r="F32" s="18">
        <v>5960012166.9037151</v>
      </c>
      <c r="G32" s="18">
        <v>6705212050.256834</v>
      </c>
      <c r="H32" s="18">
        <v>9432152730.7521305</v>
      </c>
      <c r="I32" s="18"/>
    </row>
    <row r="33" spans="1:12" x14ac:dyDescent="0.25">
      <c r="A33" s="4" t="s">
        <v>8</v>
      </c>
      <c r="B33" s="18">
        <v>2789917716.1808777</v>
      </c>
      <c r="C33" s="18">
        <v>2838695093.568018</v>
      </c>
      <c r="D33" s="18">
        <v>9232320790.0207901</v>
      </c>
      <c r="E33" s="18">
        <v>9591837510.2981853</v>
      </c>
      <c r="F33" s="18">
        <v>8372796036.6430092</v>
      </c>
      <c r="G33" s="18">
        <v>10522987016.929163</v>
      </c>
      <c r="H33" s="21">
        <v>12763449930.251495</v>
      </c>
      <c r="I33" s="21">
        <v>18118783152.204517</v>
      </c>
    </row>
    <row r="36" spans="1:12" x14ac:dyDescent="0.25">
      <c r="B36" s="4" t="s">
        <v>7</v>
      </c>
      <c r="C36" s="19">
        <f>C32/B32*100-100</f>
        <v>85.208567953470379</v>
      </c>
      <c r="D36" s="19">
        <f t="shared" ref="D36:D37" si="9">D32/C32*100-100</f>
        <v>16.244800476933534</v>
      </c>
      <c r="E36" s="19">
        <f t="shared" ref="E36:E37" si="10">E32/D32*100-100</f>
        <v>-12.208796936770099</v>
      </c>
      <c r="F36" s="19">
        <f t="shared" ref="F36:F37" si="11">F32/E32*100-100</f>
        <v>1.8019001574948135</v>
      </c>
      <c r="G36" s="20">
        <f t="shared" ref="G36:G37" si="12">G32/F32*100-100</f>
        <v>12.503328222906248</v>
      </c>
      <c r="H36" s="19">
        <f t="shared" ref="H36:H37" si="13">H32/G32*100-100</f>
        <v>40.668970049811406</v>
      </c>
      <c r="I36" s="19"/>
      <c r="L36" s="5">
        <f>AVERAGE(C36:H36)</f>
        <v>24.036461653974381</v>
      </c>
    </row>
    <row r="37" spans="1:12" x14ac:dyDescent="0.25">
      <c r="B37" s="4" t="s">
        <v>8</v>
      </c>
      <c r="C37" s="19">
        <f>C33/B33*100-100</f>
        <v>1.7483446592077883</v>
      </c>
      <c r="D37" s="19">
        <f t="shared" si="9"/>
        <v>225.23115324853308</v>
      </c>
      <c r="E37" s="19">
        <f t="shared" si="10"/>
        <v>3.8941099259245391</v>
      </c>
      <c r="F37" s="19">
        <f t="shared" si="11"/>
        <v>-12.709154761497615</v>
      </c>
      <c r="G37" s="19">
        <f t="shared" si="12"/>
        <v>25.680680275453739</v>
      </c>
      <c r="H37" s="19">
        <f t="shared" si="13"/>
        <v>21.291130643019159</v>
      </c>
      <c r="I37" s="19">
        <f t="shared" ref="I37" si="14">I33/H33*100-100</f>
        <v>41.958351787473958</v>
      </c>
      <c r="L37" s="5">
        <f>AVERAGE(C37:I37)</f>
        <v>43.870659396873521</v>
      </c>
    </row>
    <row r="43" spans="1:12" x14ac:dyDescent="0.25">
      <c r="A43" s="3" t="s">
        <v>2</v>
      </c>
      <c r="B43" t="s">
        <v>14</v>
      </c>
    </row>
    <row r="45" spans="1:12" x14ac:dyDescent="0.25">
      <c r="A45" s="3" t="s">
        <v>51</v>
      </c>
      <c r="B45" s="3" t="s">
        <v>33</v>
      </c>
    </row>
    <row r="46" spans="1:12" x14ac:dyDescent="0.25">
      <c r="A46" s="3" t="s">
        <v>31</v>
      </c>
      <c r="B46">
        <v>2016</v>
      </c>
      <c r="C46">
        <v>2017</v>
      </c>
      <c r="D46">
        <v>2018</v>
      </c>
      <c r="E46">
        <v>2019</v>
      </c>
      <c r="F46">
        <v>2020</v>
      </c>
      <c r="G46">
        <v>2021</v>
      </c>
      <c r="H46">
        <v>2022</v>
      </c>
      <c r="I46">
        <v>2023</v>
      </c>
    </row>
    <row r="47" spans="1:12" x14ac:dyDescent="0.25">
      <c r="A47" s="4" t="s">
        <v>7</v>
      </c>
      <c r="B47" s="18">
        <v>6091832954.9936466</v>
      </c>
      <c r="C47" s="18">
        <v>10789381063.836708</v>
      </c>
      <c r="D47" s="18">
        <v>12254744102.258949</v>
      </c>
      <c r="E47" s="18">
        <v>10670503776.951145</v>
      </c>
      <c r="F47" s="18">
        <v>11242371752.577295</v>
      </c>
      <c r="G47" s="18">
        <v>13951765272.208723</v>
      </c>
      <c r="H47" s="18">
        <v>18384807312.671196</v>
      </c>
      <c r="I47" s="18"/>
    </row>
    <row r="48" spans="1:12" x14ac:dyDescent="0.25">
      <c r="A48" s="4" t="s">
        <v>8</v>
      </c>
      <c r="B48" s="18">
        <v>21313842131.694736</v>
      </c>
      <c r="C48" s="18">
        <v>19473729807.740063</v>
      </c>
      <c r="D48" s="18">
        <v>59300356081.081024</v>
      </c>
      <c r="E48" s="18">
        <v>57875704274.531975</v>
      </c>
      <c r="F48" s="18">
        <v>47631790857.550262</v>
      </c>
      <c r="G48" s="18">
        <v>62285795072.156975</v>
      </c>
      <c r="H48" s="21">
        <v>70520835087.125183</v>
      </c>
      <c r="I48" s="21">
        <v>100615101075.51086</v>
      </c>
    </row>
    <row r="51" spans="2:12" x14ac:dyDescent="0.25">
      <c r="B51" s="4" t="s">
        <v>7</v>
      </c>
      <c r="C51" s="19">
        <f>C47/B47*100-100</f>
        <v>77.112227855695693</v>
      </c>
      <c r="D51" s="19">
        <f t="shared" ref="D51:D52" si="15">D47/C47*100-100</f>
        <v>13.581530115140424</v>
      </c>
      <c r="E51" s="19">
        <f t="shared" ref="E51:E52" si="16">E47/D47*100-100</f>
        <v>-12.927567577814841</v>
      </c>
      <c r="F51" s="19">
        <f t="shared" ref="F51:F52" si="17">F47/E47*100-100</f>
        <v>5.3593343630261785</v>
      </c>
      <c r="G51" s="20">
        <f t="shared" ref="G51:G52" si="18">G47/F47*100-100</f>
        <v>24.099839244421915</v>
      </c>
      <c r="H51" s="19">
        <f t="shared" ref="H51:H52" si="19">H47/G47*100-100</f>
        <v>31.774058364448621</v>
      </c>
      <c r="I51" s="19"/>
      <c r="L51" s="5">
        <f>AVERAGE(C51:H51)</f>
        <v>23.166570394152998</v>
      </c>
    </row>
    <row r="52" spans="2:12" x14ac:dyDescent="0.25">
      <c r="B52" s="4" t="s">
        <v>8</v>
      </c>
      <c r="C52" s="19">
        <f>C48/B48*100-100</f>
        <v>-8.6334144383022107</v>
      </c>
      <c r="D52" s="19">
        <f t="shared" si="15"/>
        <v>204.51462902351352</v>
      </c>
      <c r="E52" s="19">
        <f t="shared" si="16"/>
        <v>-2.4024338143958772</v>
      </c>
      <c r="F52" s="19">
        <f t="shared" si="17"/>
        <v>-17.699850991687228</v>
      </c>
      <c r="G52" s="19">
        <f t="shared" si="18"/>
        <v>30.765175843233834</v>
      </c>
      <c r="H52" s="19">
        <f t="shared" si="19"/>
        <v>13.221377370920706</v>
      </c>
      <c r="I52" s="19">
        <f t="shared" ref="I52" si="20">I48/H48*100-100</f>
        <v>42.674290443676142</v>
      </c>
      <c r="L52" s="5">
        <f>AVERAGE(C52:I52)</f>
        <v>37.491396205279834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2B1B-7A2C-4585-BB9E-75BA970D4557}">
  <dimension ref="A1:K10"/>
  <sheetViews>
    <sheetView tabSelected="1" zoomScale="80" zoomScaleNormal="80" workbookViewId="0">
      <selection activeCell="E15" sqref="E15"/>
    </sheetView>
  </sheetViews>
  <sheetFormatPr baseColWidth="10" defaultRowHeight="15" x14ac:dyDescent="0.25"/>
  <cols>
    <col min="1" max="1" width="18.7109375" bestFit="1" customWidth="1"/>
    <col min="2" max="2" width="72.42578125" bestFit="1" customWidth="1"/>
    <col min="3" max="11" width="13" bestFit="1" customWidth="1"/>
    <col min="12" max="12" width="12.5703125" bestFit="1" customWidth="1"/>
    <col min="13" max="13" width="13" bestFit="1" customWidth="1"/>
    <col min="14" max="14" width="12.5703125" bestFit="1" customWidth="1"/>
    <col min="15" max="15" width="13" bestFit="1" customWidth="1"/>
    <col min="16" max="16" width="12.5703125" bestFit="1" customWidth="1"/>
    <col min="17" max="17" width="13" bestFit="1" customWidth="1"/>
    <col min="18" max="18" width="17.5703125" bestFit="1" customWidth="1"/>
    <col min="19" max="19" width="18" bestFit="1" customWidth="1"/>
  </cols>
  <sheetData>
    <row r="1" spans="1:11" x14ac:dyDescent="0.25">
      <c r="A1" s="3" t="s">
        <v>2</v>
      </c>
      <c r="B1" t="s">
        <v>14</v>
      </c>
    </row>
    <row r="3" spans="1:11" x14ac:dyDescent="0.25">
      <c r="A3" s="3" t="s">
        <v>37</v>
      </c>
      <c r="B3" s="3" t="s">
        <v>33</v>
      </c>
    </row>
    <row r="4" spans="1:11" x14ac:dyDescent="0.25">
      <c r="A4" s="3" t="s">
        <v>31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  <c r="J4" t="s">
        <v>32</v>
      </c>
    </row>
    <row r="5" spans="1:11" x14ac:dyDescent="0.25">
      <c r="A5" s="4" t="s">
        <v>7</v>
      </c>
      <c r="B5" s="17">
        <v>2019.280784708335</v>
      </c>
      <c r="C5" s="17">
        <v>1945.1423591320911</v>
      </c>
      <c r="D5" s="17">
        <v>1941.8998943491986</v>
      </c>
      <c r="E5" s="17">
        <v>2002.7451241919478</v>
      </c>
      <c r="F5" s="17">
        <v>1742.2822688984477</v>
      </c>
      <c r="G5" s="17">
        <v>1866.1134290331315</v>
      </c>
      <c r="H5" s="17">
        <v>1796.7044516618716</v>
      </c>
      <c r="I5" s="17"/>
      <c r="J5" s="17">
        <v>13314.168311975023</v>
      </c>
    </row>
    <row r="6" spans="1:11" x14ac:dyDescent="0.25">
      <c r="A6" s="4" t="s">
        <v>8</v>
      </c>
      <c r="B6" s="17">
        <v>3580.0901544371686</v>
      </c>
      <c r="C6" s="17">
        <v>3567.0826744408078</v>
      </c>
      <c r="D6" s="17">
        <v>5910.7242690571593</v>
      </c>
      <c r="E6" s="17">
        <v>6086.2028990525905</v>
      </c>
      <c r="F6" s="17">
        <v>5332.6344649835582</v>
      </c>
      <c r="G6" s="17">
        <v>6470.8540744227003</v>
      </c>
      <c r="H6" s="17">
        <v>7722.2589187352078</v>
      </c>
      <c r="I6" s="17">
        <v>10877.696434376139</v>
      </c>
      <c r="J6" s="17">
        <v>49547.543889505338</v>
      </c>
    </row>
    <row r="7" spans="1:11" x14ac:dyDescent="0.25">
      <c r="A7" s="4" t="s">
        <v>32</v>
      </c>
      <c r="B7" s="17">
        <v>5599.3709391455031</v>
      </c>
      <c r="C7" s="17">
        <v>5512.2250335728986</v>
      </c>
      <c r="D7" s="17">
        <v>7852.6241634063581</v>
      </c>
      <c r="E7" s="17">
        <v>8088.9480232445385</v>
      </c>
      <c r="F7" s="17">
        <v>7074.9167338820062</v>
      </c>
      <c r="G7" s="17">
        <v>8336.9675034558313</v>
      </c>
      <c r="H7" s="17">
        <v>9518.9633703970794</v>
      </c>
      <c r="I7" s="17">
        <v>10877.696434376139</v>
      </c>
      <c r="J7" s="17">
        <v>62861.712201480361</v>
      </c>
    </row>
    <row r="9" spans="1:11" x14ac:dyDescent="0.25">
      <c r="B9" t="s">
        <v>7</v>
      </c>
      <c r="C9">
        <f>C5/B5*100-100</f>
        <v>-3.671526324505308</v>
      </c>
      <c r="D9">
        <f t="shared" ref="C9:I10" si="0">D5/C5*100-100</f>
        <v>-0.16669550008356282</v>
      </c>
      <c r="E9">
        <f t="shared" si="0"/>
        <v>3.1332835446257832</v>
      </c>
      <c r="F9">
        <f t="shared" si="0"/>
        <v>-13.005292193563051</v>
      </c>
      <c r="G9">
        <f t="shared" si="0"/>
        <v>7.1074109141325152</v>
      </c>
      <c r="H9">
        <f t="shared" si="0"/>
        <v>-3.7194404311865412</v>
      </c>
      <c r="K9">
        <f>AVERAGE(C9:H9)</f>
        <v>-1.7203766650966941</v>
      </c>
    </row>
    <row r="10" spans="1:11" x14ac:dyDescent="0.25">
      <c r="B10" t="s">
        <v>8</v>
      </c>
      <c r="C10">
        <f t="shared" si="0"/>
        <v>-0.36332828044119481</v>
      </c>
      <c r="D10">
        <f t="shared" si="0"/>
        <v>65.701914099418843</v>
      </c>
      <c r="E10">
        <f t="shared" si="0"/>
        <v>2.9688177287184203</v>
      </c>
      <c r="F10">
        <f t="shared" si="0"/>
        <v>-12.381585802641197</v>
      </c>
      <c r="G10">
        <f t="shared" si="0"/>
        <v>21.34441460244831</v>
      </c>
      <c r="H10">
        <f t="shared" si="0"/>
        <v>19.339098516514625</v>
      </c>
      <c r="I10">
        <f t="shared" si="0"/>
        <v>40.861586601110048</v>
      </c>
      <c r="K10">
        <f>AVERAGE(C10:I10)</f>
        <v>19.638702495018265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0448-0EF9-4B21-A601-B9B1E6CACAF6}">
  <dimension ref="A1:L181"/>
  <sheetViews>
    <sheetView zoomScale="80" zoomScaleNormal="80" workbookViewId="0">
      <selection sqref="A1:B1048576"/>
    </sheetView>
  </sheetViews>
  <sheetFormatPr baseColWidth="10" defaultRowHeight="15" x14ac:dyDescent="0.25"/>
  <cols>
    <col min="2" max="3" width="30.140625" customWidth="1"/>
  </cols>
  <sheetData>
    <row r="1" spans="1:12" x14ac:dyDescent="0.25">
      <c r="A1" t="s">
        <v>0</v>
      </c>
      <c r="B1" t="s">
        <v>2</v>
      </c>
      <c r="C1" t="s">
        <v>48</v>
      </c>
      <c r="D1" t="s">
        <v>1</v>
      </c>
      <c r="E1" t="s">
        <v>34</v>
      </c>
      <c r="F1" t="s">
        <v>45</v>
      </c>
      <c r="G1" t="s">
        <v>46</v>
      </c>
      <c r="H1" t="s">
        <v>24</v>
      </c>
      <c r="I1" t="s">
        <v>35</v>
      </c>
      <c r="J1" t="s">
        <v>49</v>
      </c>
      <c r="L1" t="s">
        <v>50</v>
      </c>
    </row>
    <row r="2" spans="1:12" x14ac:dyDescent="0.25">
      <c r="A2" t="s">
        <v>7</v>
      </c>
      <c r="B2" t="s">
        <v>16</v>
      </c>
      <c r="C2" t="str">
        <f>_xlfn.CONCAT(A2,D2,B2)</f>
        <v>Chile2016Actividades de edición</v>
      </c>
      <c r="D2">
        <v>2016</v>
      </c>
      <c r="E2">
        <v>3858.0034748396288</v>
      </c>
      <c r="F2">
        <v>53031</v>
      </c>
      <c r="I2">
        <f>VLOOKUP(C2,Sheet1!$H$2:$K$191,4,0)</f>
        <v>135734330.38357136</v>
      </c>
      <c r="J2" t="str">
        <f>IFERROR(I2/H2,"")</f>
        <v/>
      </c>
    </row>
    <row r="3" spans="1:12" x14ac:dyDescent="0.25">
      <c r="A3" t="s">
        <v>7</v>
      </c>
      <c r="B3" t="s">
        <v>16</v>
      </c>
      <c r="C3" t="str">
        <f t="shared" ref="C3:C66" si="0">_xlfn.CONCAT(A3,D3,B3)</f>
        <v>Chile2017Actividades de edición</v>
      </c>
      <c r="D3">
        <v>2017</v>
      </c>
      <c r="E3">
        <v>4237.4399271808097</v>
      </c>
      <c r="F3">
        <v>52177</v>
      </c>
      <c r="G3">
        <f t="shared" ref="G3:G34" si="1">IF(B3=B2,(E3-E2)/E2*100,"")</f>
        <v>9.8350469307691206</v>
      </c>
      <c r="H3">
        <f t="shared" ref="H3:H34" si="2">IF(B3=B2,(F3-F2)/F2*100,"")</f>
        <v>-1.6103788350210253</v>
      </c>
      <c r="I3">
        <f>VLOOKUP(C3,Sheet1!$H$2:$K$191,4,0)</f>
        <v>160562298.37046134</v>
      </c>
      <c r="J3">
        <f t="shared" ref="J3:J66" si="3">IFERROR(I3/H3,"")</f>
        <v>-99704674.99864094</v>
      </c>
      <c r="K3">
        <f>IF(B3=B2,(I3-I2)/I2*100,"")</f>
        <v>18.291590577511737</v>
      </c>
      <c r="L3" t="str">
        <f>IFERROR(IF(B3=B2,(J3-J2)/J2*100,""),"")</f>
        <v/>
      </c>
    </row>
    <row r="4" spans="1:12" x14ac:dyDescent="0.25">
      <c r="A4" t="s">
        <v>7</v>
      </c>
      <c r="B4" t="s">
        <v>16</v>
      </c>
      <c r="C4" t="str">
        <f t="shared" si="0"/>
        <v>Chile2018Actividades de edición</v>
      </c>
      <c r="D4">
        <v>2018</v>
      </c>
      <c r="E4">
        <v>3002.4566157227573</v>
      </c>
      <c r="F4">
        <v>63409</v>
      </c>
      <c r="G4">
        <f t="shared" si="1"/>
        <v>-29.144562110162898</v>
      </c>
      <c r="H4">
        <f t="shared" si="2"/>
        <v>21.526726335358493</v>
      </c>
      <c r="I4">
        <f>VLOOKUP(C4,Sheet1!$H$2:$K$191,4,0)</f>
        <v>149890454.54548198</v>
      </c>
      <c r="J4">
        <f t="shared" si="3"/>
        <v>6962993.45336504</v>
      </c>
      <c r="K4">
        <f t="shared" ref="K4:K67" si="4">IF(B4=B3,(I4-I3)/I3*100,"")</f>
        <v>-6.6465440101987632</v>
      </c>
      <c r="L4">
        <f t="shared" ref="L4:L67" si="5">IFERROR(IF(B4=B3,(J4-J3)/J3*100,""),"")</f>
        <v>-106.98361782279513</v>
      </c>
    </row>
    <row r="5" spans="1:12" x14ac:dyDescent="0.25">
      <c r="A5" t="s">
        <v>7</v>
      </c>
      <c r="B5" t="s">
        <v>16</v>
      </c>
      <c r="C5" t="str">
        <f t="shared" si="0"/>
        <v>Chile2019Actividades de edición</v>
      </c>
      <c r="D5">
        <v>2019</v>
      </c>
      <c r="E5">
        <v>3830.0331012393849</v>
      </c>
      <c r="F5">
        <v>40762</v>
      </c>
      <c r="G5">
        <f t="shared" si="1"/>
        <v>27.563312028653968</v>
      </c>
      <c r="H5">
        <f t="shared" si="2"/>
        <v>-35.715750130107715</v>
      </c>
      <c r="I5">
        <f>VLOOKUP(C5,Sheet1!$H$2:$K$191,4,0)</f>
        <v>129852752.43630642</v>
      </c>
      <c r="J5">
        <f t="shared" si="3"/>
        <v>-3635727.9901239695</v>
      </c>
      <c r="K5">
        <f t="shared" si="4"/>
        <v>-13.368230932340945</v>
      </c>
      <c r="L5">
        <f t="shared" si="5"/>
        <v>-152.21501376490471</v>
      </c>
    </row>
    <row r="6" spans="1:12" x14ac:dyDescent="0.25">
      <c r="A6" t="s">
        <v>7</v>
      </c>
      <c r="B6" t="s">
        <v>16</v>
      </c>
      <c r="C6" t="str">
        <f t="shared" si="0"/>
        <v>Chile2020Actividades de edición</v>
      </c>
      <c r="D6">
        <v>2020</v>
      </c>
      <c r="E6">
        <v>2311.6302021010997</v>
      </c>
      <c r="F6">
        <v>49914</v>
      </c>
      <c r="G6">
        <f t="shared" si="1"/>
        <v>-39.644641678081989</v>
      </c>
      <c r="H6">
        <f t="shared" si="2"/>
        <v>22.452283989990676</v>
      </c>
      <c r="I6">
        <f>VLOOKUP(C6,Sheet1!$H$2:$K$191,4,0)</f>
        <v>110819431.1027178</v>
      </c>
      <c r="J6">
        <f t="shared" si="3"/>
        <v>4935775.4049486266</v>
      </c>
      <c r="K6">
        <f t="shared" si="4"/>
        <v>-14.657618707716324</v>
      </c>
      <c r="L6">
        <f t="shared" si="5"/>
        <v>-235.75755442530584</v>
      </c>
    </row>
    <row r="7" spans="1:12" x14ac:dyDescent="0.25">
      <c r="A7" t="s">
        <v>7</v>
      </c>
      <c r="B7" t="s">
        <v>16</v>
      </c>
      <c r="C7" t="str">
        <f t="shared" si="0"/>
        <v>Chile2021Actividades de edición</v>
      </c>
      <c r="D7">
        <v>2021</v>
      </c>
      <c r="E7">
        <v>3181.8564544038372</v>
      </c>
      <c r="F7">
        <v>92111</v>
      </c>
      <c r="G7">
        <f t="shared" si="1"/>
        <v>37.64556508700079</v>
      </c>
      <c r="H7">
        <f t="shared" si="2"/>
        <v>84.539407781383986</v>
      </c>
      <c r="I7">
        <f>VLOOKUP(C7,Sheet1!$H$2:$K$191,4,0)</f>
        <v>180760345.0092178</v>
      </c>
      <c r="J7">
        <f t="shared" si="3"/>
        <v>2138178.5105078788</v>
      </c>
      <c r="K7">
        <f t="shared" si="4"/>
        <v>63.112500407687733</v>
      </c>
      <c r="L7">
        <f t="shared" si="5"/>
        <v>-56.679987740849526</v>
      </c>
    </row>
    <row r="8" spans="1:12" x14ac:dyDescent="0.25">
      <c r="A8" t="s">
        <v>7</v>
      </c>
      <c r="B8" t="s">
        <v>16</v>
      </c>
      <c r="C8" t="str">
        <f t="shared" si="0"/>
        <v>Chile2022Actividades de edición</v>
      </c>
      <c r="D8">
        <v>2022</v>
      </c>
      <c r="E8">
        <v>2964.6088734321274</v>
      </c>
      <c r="F8">
        <v>154394.11568389335</v>
      </c>
      <c r="G8">
        <f t="shared" si="1"/>
        <v>-6.8276989890926423</v>
      </c>
      <c r="H8">
        <f t="shared" si="2"/>
        <v>67.617456855200089</v>
      </c>
      <c r="I8">
        <f>VLOOKUP(C8,Sheet1!$H$2:$K$191,4,0)</f>
        <v>253493406.74789873</v>
      </c>
      <c r="J8">
        <f t="shared" si="3"/>
        <v>3748934.3512392677</v>
      </c>
      <c r="K8">
        <f t="shared" si="4"/>
        <v>40.237288623769743</v>
      </c>
      <c r="L8">
        <f t="shared" si="5"/>
        <v>75.333085278683683</v>
      </c>
    </row>
    <row r="9" spans="1:12" x14ac:dyDescent="0.25">
      <c r="A9" t="s">
        <v>7</v>
      </c>
      <c r="B9" t="s">
        <v>17</v>
      </c>
      <c r="C9" t="str">
        <f t="shared" si="0"/>
        <v>Chile2016Actividades de programación y radiodifusión</v>
      </c>
      <c r="D9">
        <v>2016</v>
      </c>
      <c r="E9">
        <v>5100.8368892146782</v>
      </c>
      <c r="F9">
        <v>85757</v>
      </c>
      <c r="G9" t="str">
        <f t="shared" si="1"/>
        <v/>
      </c>
      <c r="H9" t="str">
        <f t="shared" si="2"/>
        <v/>
      </c>
      <c r="I9">
        <f>VLOOKUP(C9,Sheet1!$H$2:$K$191,4,0)</f>
        <v>182967614.37973905</v>
      </c>
      <c r="J9" t="str">
        <f t="shared" si="3"/>
        <v/>
      </c>
      <c r="K9" t="str">
        <f t="shared" si="4"/>
        <v/>
      </c>
      <c r="L9" t="str">
        <f t="shared" si="5"/>
        <v/>
      </c>
    </row>
    <row r="10" spans="1:12" x14ac:dyDescent="0.25">
      <c r="A10" t="s">
        <v>7</v>
      </c>
      <c r="B10" t="s">
        <v>17</v>
      </c>
      <c r="C10" t="str">
        <f t="shared" si="0"/>
        <v>Chile2017Actividades de programación y radiodifusión</v>
      </c>
      <c r="D10">
        <v>2017</v>
      </c>
      <c r="E10">
        <v>7133.7387840660504</v>
      </c>
      <c r="F10">
        <v>71194</v>
      </c>
      <c r="G10">
        <f t="shared" si="1"/>
        <v>39.854281542501084</v>
      </c>
      <c r="H10">
        <f t="shared" si="2"/>
        <v>-16.981704117448139</v>
      </c>
      <c r="I10">
        <f>VLOOKUP(C10,Sheet1!$H$2:$K$191,4,0)</f>
        <v>193410228.36907083</v>
      </c>
      <c r="J10">
        <f t="shared" si="3"/>
        <v>-11389329.777000897</v>
      </c>
      <c r="K10">
        <f t="shared" si="4"/>
        <v>5.7073564765722535</v>
      </c>
      <c r="L10" t="str">
        <f t="shared" si="5"/>
        <v/>
      </c>
    </row>
    <row r="11" spans="1:12" x14ac:dyDescent="0.25">
      <c r="A11" t="s">
        <v>7</v>
      </c>
      <c r="B11" t="s">
        <v>17</v>
      </c>
      <c r="C11" t="str">
        <f t="shared" si="0"/>
        <v>Chile2018Actividades de programación y radiodifusión</v>
      </c>
      <c r="D11">
        <v>2018</v>
      </c>
      <c r="E11">
        <v>7737.9900644225272</v>
      </c>
      <c r="F11">
        <v>69744</v>
      </c>
      <c r="G11">
        <f t="shared" si="1"/>
        <v>8.4703308972587426</v>
      </c>
      <c r="H11">
        <f t="shared" si="2"/>
        <v>-2.0366884849846896</v>
      </c>
      <c r="I11">
        <f>VLOOKUP(C11,Sheet1!$H$2:$K$191,4,0)</f>
        <v>195633698.96396202</v>
      </c>
      <c r="J11">
        <f t="shared" si="3"/>
        <v>-96054796.99338147</v>
      </c>
      <c r="K11">
        <f t="shared" si="4"/>
        <v>1.1496137580936525</v>
      </c>
      <c r="L11">
        <f t="shared" si="5"/>
        <v>743.37532474781995</v>
      </c>
    </row>
    <row r="12" spans="1:12" x14ac:dyDescent="0.25">
      <c r="A12" t="s">
        <v>7</v>
      </c>
      <c r="B12" t="s">
        <v>17</v>
      </c>
      <c r="C12" t="str">
        <f t="shared" si="0"/>
        <v>Chile2019Actividades de programación y radiodifusión</v>
      </c>
      <c r="D12">
        <v>2019</v>
      </c>
      <c r="E12">
        <v>7602.5542931769387</v>
      </c>
      <c r="F12">
        <v>55417</v>
      </c>
      <c r="G12">
        <f t="shared" si="1"/>
        <v>-1.7502706790525693</v>
      </c>
      <c r="H12">
        <f t="shared" si="2"/>
        <v>-20.542268869006651</v>
      </c>
      <c r="I12">
        <f>VLOOKUP(C12,Sheet1!$H$2:$K$191,4,0)</f>
        <v>157662834.49460119</v>
      </c>
      <c r="J12">
        <f t="shared" si="3"/>
        <v>-7675044.8307332071</v>
      </c>
      <c r="K12">
        <f t="shared" si="4"/>
        <v>-19.409163487909872</v>
      </c>
      <c r="L12">
        <f t="shared" si="5"/>
        <v>-92.009722501144779</v>
      </c>
    </row>
    <row r="13" spans="1:12" x14ac:dyDescent="0.25">
      <c r="A13" t="s">
        <v>7</v>
      </c>
      <c r="B13" t="s">
        <v>17</v>
      </c>
      <c r="C13" t="str">
        <f t="shared" si="0"/>
        <v>Chile2020Actividades de programación y radiodifusión</v>
      </c>
      <c r="D13">
        <v>2020</v>
      </c>
      <c r="E13">
        <v>6819.9634323929577</v>
      </c>
      <c r="F13">
        <v>47046</v>
      </c>
      <c r="G13">
        <f t="shared" si="1"/>
        <v>-10.293788516398134</v>
      </c>
      <c r="H13">
        <f t="shared" si="2"/>
        <v>-15.105473049786166</v>
      </c>
      <c r="I13">
        <f>VLOOKUP(C13,Sheet1!$H$2:$K$191,4,0)</f>
        <v>123605021.05341886</v>
      </c>
      <c r="J13">
        <f t="shared" si="3"/>
        <v>-8182797.0991725158</v>
      </c>
      <c r="K13">
        <f t="shared" si="4"/>
        <v>-21.601675214299515</v>
      </c>
      <c r="L13">
        <f t="shared" si="5"/>
        <v>6.6156260925814365</v>
      </c>
    </row>
    <row r="14" spans="1:12" x14ac:dyDescent="0.25">
      <c r="A14" t="s">
        <v>7</v>
      </c>
      <c r="B14" t="s">
        <v>17</v>
      </c>
      <c r="C14" t="str">
        <f t="shared" si="0"/>
        <v>Chile2021Actividades de programación y radiodifusión</v>
      </c>
      <c r="D14">
        <v>2021</v>
      </c>
      <c r="E14">
        <v>11081.5462954714</v>
      </c>
      <c r="F14">
        <v>59201</v>
      </c>
      <c r="G14">
        <f t="shared" si="1"/>
        <v>62.48688728794486</v>
      </c>
      <c r="H14">
        <f t="shared" si="2"/>
        <v>25.836415423202823</v>
      </c>
      <c r="I14">
        <f>VLOOKUP(C14,Sheet1!$H$2:$K$191,4,0)</f>
        <v>115212350.53989989</v>
      </c>
      <c r="J14">
        <f t="shared" si="3"/>
        <v>4459300.8996298891</v>
      </c>
      <c r="K14">
        <f t="shared" si="4"/>
        <v>-6.7899106702889371</v>
      </c>
      <c r="L14">
        <f t="shared" si="5"/>
        <v>-154.49604634680281</v>
      </c>
    </row>
    <row r="15" spans="1:12" x14ac:dyDescent="0.25">
      <c r="A15" t="s">
        <v>7</v>
      </c>
      <c r="B15" t="s">
        <v>17</v>
      </c>
      <c r="C15" t="str">
        <f t="shared" si="0"/>
        <v>Chile2022Actividades de programación y radiodifusión</v>
      </c>
      <c r="D15">
        <v>2022</v>
      </c>
      <c r="E15">
        <v>5069.4041081232099</v>
      </c>
      <c r="F15">
        <v>183737.58760725078</v>
      </c>
      <c r="G15">
        <f t="shared" si="1"/>
        <v>-54.25363958281816</v>
      </c>
      <c r="H15">
        <f t="shared" si="2"/>
        <v>210.36230402738263</v>
      </c>
      <c r="I15">
        <f>VLOOKUP(C15,Sheet1!$H$2:$K$191,4,0)</f>
        <v>251279689.64149937</v>
      </c>
      <c r="J15">
        <f t="shared" si="3"/>
        <v>1194509.1151349558</v>
      </c>
      <c r="K15">
        <f t="shared" si="4"/>
        <v>118.10134804469349</v>
      </c>
      <c r="L15">
        <f t="shared" si="5"/>
        <v>-73.213085592988421</v>
      </c>
    </row>
    <row r="16" spans="1:12" x14ac:dyDescent="0.25">
      <c r="A16" t="s">
        <v>7</v>
      </c>
      <c r="B16" t="s">
        <v>18</v>
      </c>
      <c r="C16" t="str">
        <f t="shared" si="0"/>
        <v>Chile2016Actividades de servicios de información</v>
      </c>
      <c r="D16">
        <v>2016</v>
      </c>
      <c r="E16">
        <v>4520.7128167965393</v>
      </c>
      <c r="F16">
        <v>47839</v>
      </c>
      <c r="G16" t="str">
        <f t="shared" si="1"/>
        <v/>
      </c>
      <c r="H16" t="str">
        <f t="shared" si="2"/>
        <v/>
      </c>
      <c r="I16">
        <f>VLOOKUP(C16,Sheet1!$H$2:$K$191,4,0)</f>
        <v>126440679.29575075</v>
      </c>
      <c r="J16" t="str">
        <f t="shared" si="3"/>
        <v/>
      </c>
      <c r="K16" t="str">
        <f t="shared" si="4"/>
        <v/>
      </c>
      <c r="L16" t="str">
        <f t="shared" si="5"/>
        <v/>
      </c>
    </row>
    <row r="17" spans="1:12" x14ac:dyDescent="0.25">
      <c r="A17" t="s">
        <v>7</v>
      </c>
      <c r="B17" t="s">
        <v>18</v>
      </c>
      <c r="C17" t="str">
        <f t="shared" si="0"/>
        <v>Chile2017Actividades de servicios de información</v>
      </c>
      <c r="D17">
        <v>2017</v>
      </c>
      <c r="E17">
        <v>5439.6798328398363</v>
      </c>
      <c r="F17">
        <v>51085</v>
      </c>
      <c r="G17">
        <f t="shared" si="1"/>
        <v>20.327922902532304</v>
      </c>
      <c r="H17">
        <f t="shared" si="2"/>
        <v>6.7852588891908274</v>
      </c>
      <c r="I17">
        <f>VLOOKUP(C17,Sheet1!$H$2:$K$191,4,0)</f>
        <v>156873672.67417011</v>
      </c>
      <c r="J17">
        <f t="shared" si="3"/>
        <v>23119777.039616834</v>
      </c>
      <c r="K17">
        <f t="shared" si="4"/>
        <v>24.068989148053483</v>
      </c>
      <c r="L17" t="str">
        <f t="shared" si="5"/>
        <v/>
      </c>
    </row>
    <row r="18" spans="1:12" x14ac:dyDescent="0.25">
      <c r="A18" t="s">
        <v>7</v>
      </c>
      <c r="B18" t="s">
        <v>18</v>
      </c>
      <c r="C18" t="str">
        <f t="shared" si="0"/>
        <v>Chile2018Actividades de servicios de información</v>
      </c>
      <c r="D18">
        <v>2018</v>
      </c>
      <c r="E18">
        <v>6075.1980413197698</v>
      </c>
      <c r="F18">
        <v>57966</v>
      </c>
      <c r="G18">
        <f t="shared" si="1"/>
        <v>11.683007603558815</v>
      </c>
      <c r="H18">
        <f t="shared" si="2"/>
        <v>13.469707350494275</v>
      </c>
      <c r="I18">
        <f>VLOOKUP(C18,Sheet1!$H$2:$K$191,4,0)</f>
        <v>187381147.34792203</v>
      </c>
      <c r="J18">
        <f t="shared" si="3"/>
        <v>13911300.555542212</v>
      </c>
      <c r="K18">
        <f t="shared" si="4"/>
        <v>19.447160351193272</v>
      </c>
      <c r="L18">
        <f t="shared" si="5"/>
        <v>-39.82943463639576</v>
      </c>
    </row>
    <row r="19" spans="1:12" x14ac:dyDescent="0.25">
      <c r="A19" t="s">
        <v>7</v>
      </c>
      <c r="B19" t="s">
        <v>18</v>
      </c>
      <c r="C19" t="str">
        <f t="shared" si="0"/>
        <v>Chile2019Actividades de servicios de información</v>
      </c>
      <c r="D19">
        <v>2019</v>
      </c>
      <c r="E19">
        <v>7065.0710066575748</v>
      </c>
      <c r="F19">
        <v>58359</v>
      </c>
      <c r="G19">
        <f t="shared" si="1"/>
        <v>16.293674026843181</v>
      </c>
      <c r="H19">
        <f t="shared" si="2"/>
        <v>0.67798364558534319</v>
      </c>
      <c r="I19">
        <f>VLOOKUP(C19,Sheet1!$H$2:$K$191,4,0)</f>
        <v>190550671.69246268</v>
      </c>
      <c r="J19">
        <f t="shared" si="3"/>
        <v>281054967.81998193</v>
      </c>
      <c r="K19">
        <f t="shared" si="4"/>
        <v>1.6914851837552294</v>
      </c>
      <c r="L19">
        <f t="shared" si="5"/>
        <v>1920.3356738490611</v>
      </c>
    </row>
    <row r="20" spans="1:12" x14ac:dyDescent="0.25">
      <c r="A20" t="s">
        <v>7</v>
      </c>
      <c r="B20" t="s">
        <v>18</v>
      </c>
      <c r="C20" t="str">
        <f t="shared" si="0"/>
        <v>Chile2020Actividades de servicios de información</v>
      </c>
      <c r="D20">
        <v>2020</v>
      </c>
      <c r="E20">
        <v>7499.9110211881589</v>
      </c>
      <c r="F20">
        <v>67536</v>
      </c>
      <c r="G20">
        <f t="shared" si="1"/>
        <v>6.1547861885722677</v>
      </c>
      <c r="H20">
        <f t="shared" si="2"/>
        <v>15.725080964375673</v>
      </c>
      <c r="I20">
        <f>VLOOKUP(C20,Sheet1!$H$2:$K$191,4,0)</f>
        <v>226370445.74529937</v>
      </c>
      <c r="J20">
        <f t="shared" si="3"/>
        <v>14395502.716846384</v>
      </c>
      <c r="K20">
        <f t="shared" si="4"/>
        <v>18.798030851682142</v>
      </c>
      <c r="L20">
        <f t="shared" si="5"/>
        <v>-94.878047227378374</v>
      </c>
    </row>
    <row r="21" spans="1:12" x14ac:dyDescent="0.25">
      <c r="A21" t="s">
        <v>7</v>
      </c>
      <c r="B21" t="s">
        <v>18</v>
      </c>
      <c r="C21" t="str">
        <f t="shared" si="0"/>
        <v>Chile2021Actividades de servicios de información</v>
      </c>
      <c r="D21">
        <v>2021</v>
      </c>
      <c r="E21">
        <v>7277.6071094032504</v>
      </c>
      <c r="F21">
        <v>337733</v>
      </c>
      <c r="G21">
        <f t="shared" si="1"/>
        <v>-2.9640873225945339</v>
      </c>
      <c r="H21">
        <f t="shared" si="2"/>
        <v>400.07847666429751</v>
      </c>
      <c r="I21">
        <f>VLOOKUP(C21,Sheet1!$H$2:$K$191,4,0)</f>
        <v>1260202210.9560182</v>
      </c>
      <c r="J21">
        <f t="shared" si="3"/>
        <v>3149887.5457212944</v>
      </c>
      <c r="K21">
        <f t="shared" si="4"/>
        <v>456.69908976277515</v>
      </c>
      <c r="L21">
        <f t="shared" si="5"/>
        <v>-78.118947231796724</v>
      </c>
    </row>
    <row r="22" spans="1:12" x14ac:dyDescent="0.25">
      <c r="A22" t="s">
        <v>7</v>
      </c>
      <c r="B22" t="s">
        <v>18</v>
      </c>
      <c r="C22" t="str">
        <f t="shared" si="0"/>
        <v>Chile2022Actividades de servicios de información</v>
      </c>
      <c r="D22">
        <v>2022</v>
      </c>
      <c r="E22">
        <v>4131.378526038271</v>
      </c>
      <c r="F22">
        <v>432646.94147013145</v>
      </c>
      <c r="G22">
        <f t="shared" si="1"/>
        <v>-43.231635564659712</v>
      </c>
      <c r="H22">
        <f t="shared" si="2"/>
        <v>28.10324767497741</v>
      </c>
      <c r="I22">
        <f>VLOOKUP(C22,Sheet1!$H$2:$K$191,4,0)</f>
        <v>752225114.69348288</v>
      </c>
      <c r="J22">
        <f t="shared" si="3"/>
        <v>26766483.482378785</v>
      </c>
      <c r="K22">
        <f t="shared" si="4"/>
        <v>-40.309173547408101</v>
      </c>
      <c r="L22">
        <f t="shared" si="5"/>
        <v>749.75997059760152</v>
      </c>
    </row>
    <row r="23" spans="1:12" x14ac:dyDescent="0.25">
      <c r="A23" t="s">
        <v>7</v>
      </c>
      <c r="B23" t="s">
        <v>13</v>
      </c>
      <c r="C23" t="str">
        <f t="shared" si="0"/>
        <v>Chile2016Comercio al por mayor y al por menor y reparación de vehículos de motor y motocicletas</v>
      </c>
      <c r="D23">
        <v>2016</v>
      </c>
      <c r="E23">
        <v>3317.2059051113265</v>
      </c>
      <c r="F23">
        <v>436535</v>
      </c>
      <c r="G23" t="str">
        <f t="shared" si="1"/>
        <v/>
      </c>
      <c r="H23" t="str">
        <f t="shared" si="2"/>
        <v/>
      </c>
      <c r="I23">
        <f>VLOOKUP(C23,Sheet1!$H$2:$K$191,4,0)</f>
        <v>874553181.79707634</v>
      </c>
      <c r="J23" t="str">
        <f t="shared" si="3"/>
        <v/>
      </c>
      <c r="K23" t="str">
        <f t="shared" si="4"/>
        <v/>
      </c>
      <c r="L23" t="str">
        <f t="shared" si="5"/>
        <v/>
      </c>
    </row>
    <row r="24" spans="1:12" x14ac:dyDescent="0.25">
      <c r="A24" t="s">
        <v>7</v>
      </c>
      <c r="B24" t="s">
        <v>13</v>
      </c>
      <c r="C24" t="str">
        <f t="shared" si="0"/>
        <v>Chile2017Comercio al por mayor y al por menor y reparación de vehículos de motor y motocicletas</v>
      </c>
      <c r="D24">
        <v>2017</v>
      </c>
      <c r="E24">
        <v>2458.8860351580397</v>
      </c>
      <c r="F24">
        <v>1069501.3549697197</v>
      </c>
      <c r="G24">
        <f t="shared" si="1"/>
        <v>-25.874784216160418</v>
      </c>
      <c r="H24">
        <f t="shared" si="2"/>
        <v>144.99784781740746</v>
      </c>
      <c r="I24">
        <f>VLOOKUP(C24,Sheet1!$H$2:$K$191,4,0)</f>
        <v>1646869016.0601971</v>
      </c>
      <c r="J24">
        <f t="shared" si="3"/>
        <v>11357885.933135107</v>
      </c>
      <c r="K24">
        <f t="shared" si="4"/>
        <v>88.309762097729376</v>
      </c>
      <c r="L24" t="str">
        <f t="shared" si="5"/>
        <v/>
      </c>
    </row>
    <row r="25" spans="1:12" x14ac:dyDescent="0.25">
      <c r="A25" t="s">
        <v>7</v>
      </c>
      <c r="B25" t="s">
        <v>13</v>
      </c>
      <c r="C25" t="str">
        <f t="shared" si="0"/>
        <v>Chile2018Comercio al por mayor y al por menor y reparación de vehículos de motor y motocicletas</v>
      </c>
      <c r="D25">
        <v>2018</v>
      </c>
      <c r="E25">
        <v>2296.6759926984796</v>
      </c>
      <c r="F25">
        <v>1163244.1826296144</v>
      </c>
      <c r="G25">
        <f t="shared" si="1"/>
        <v>-6.5968914435326553</v>
      </c>
      <c r="H25">
        <f t="shared" si="2"/>
        <v>8.7650966709199558</v>
      </c>
      <c r="I25">
        <f>VLOOKUP(C25,Sheet1!$H$2:$K$191,4,0)</f>
        <v>1839473970.5561841</v>
      </c>
      <c r="J25">
        <f t="shared" si="3"/>
        <v>209863512.02024093</v>
      </c>
      <c r="K25">
        <f t="shared" si="4"/>
        <v>11.695219997322894</v>
      </c>
      <c r="L25">
        <f t="shared" si="5"/>
        <v>1747.7339291460244</v>
      </c>
    </row>
    <row r="26" spans="1:12" x14ac:dyDescent="0.25">
      <c r="A26" t="s">
        <v>7</v>
      </c>
      <c r="B26" t="s">
        <v>13</v>
      </c>
      <c r="C26" t="str">
        <f t="shared" si="0"/>
        <v>Chile2019Comercio al por mayor y al por menor y reparación de vehículos de motor y motocicletas</v>
      </c>
      <c r="D26">
        <v>2019</v>
      </c>
      <c r="E26">
        <v>2147.4341896028573</v>
      </c>
      <c r="F26">
        <v>996897.17690744577</v>
      </c>
      <c r="G26">
        <f t="shared" si="1"/>
        <v>-6.4981653298108748</v>
      </c>
      <c r="H26">
        <f t="shared" si="2"/>
        <v>-14.300265430610343</v>
      </c>
      <c r="I26">
        <f>VLOOKUP(C26,Sheet1!$H$2:$K$191,4,0)</f>
        <v>1595370245.2815833</v>
      </c>
      <c r="J26">
        <f t="shared" si="3"/>
        <v>-111562282.04454328</v>
      </c>
      <c r="K26">
        <f t="shared" si="4"/>
        <v>-13.270300595816176</v>
      </c>
      <c r="L26">
        <f t="shared" si="5"/>
        <v>-153.15944680930687</v>
      </c>
    </row>
    <row r="27" spans="1:12" x14ac:dyDescent="0.25">
      <c r="A27" t="s">
        <v>7</v>
      </c>
      <c r="B27" t="s">
        <v>13</v>
      </c>
      <c r="C27" t="str">
        <f t="shared" si="0"/>
        <v>Chile2020Comercio al por mayor y al por menor y reparación de vehículos de motor y motocicletas</v>
      </c>
      <c r="D27">
        <v>2020</v>
      </c>
      <c r="E27">
        <v>1784.0322056940695</v>
      </c>
      <c r="F27">
        <v>1049347.4273542541</v>
      </c>
      <c r="G27">
        <f t="shared" si="1"/>
        <v>-16.922613306068051</v>
      </c>
      <c r="H27">
        <f t="shared" si="2"/>
        <v>5.2613500832170468</v>
      </c>
      <c r="I27">
        <f>VLOOKUP(C27,Sheet1!$H$2:$K$191,4,0)</f>
        <v>1482262058.3252363</v>
      </c>
      <c r="J27">
        <f t="shared" si="3"/>
        <v>281726559.70060611</v>
      </c>
      <c r="K27">
        <f t="shared" si="4"/>
        <v>-7.0897766390511663</v>
      </c>
      <c r="L27">
        <f t="shared" si="5"/>
        <v>-352.52850205064971</v>
      </c>
    </row>
    <row r="28" spans="1:12" x14ac:dyDescent="0.25">
      <c r="A28" t="s">
        <v>7</v>
      </c>
      <c r="B28" t="s">
        <v>13</v>
      </c>
      <c r="C28" t="str">
        <f t="shared" si="0"/>
        <v>Chile2021Comercio al por mayor y al por menor y reparación de vehículos de motor y motocicletas</v>
      </c>
      <c r="D28">
        <v>2021</v>
      </c>
      <c r="E28">
        <v>3232.0392284526238</v>
      </c>
      <c r="F28">
        <v>1158227.6434693737</v>
      </c>
      <c r="G28">
        <f t="shared" si="1"/>
        <v>81.164847704933322</v>
      </c>
      <c r="H28">
        <f t="shared" si="2"/>
        <v>10.375993048331194</v>
      </c>
      <c r="I28">
        <f>VLOOKUP(C28,Sheet1!$H$2:$K$191,4,0)</f>
        <v>1909026634.5904944</v>
      </c>
      <c r="J28">
        <f t="shared" si="3"/>
        <v>183984956.97696421</v>
      </c>
      <c r="K28">
        <f t="shared" si="4"/>
        <v>28.791438994764977</v>
      </c>
      <c r="L28">
        <f t="shared" si="5"/>
        <v>-34.693783513884163</v>
      </c>
    </row>
    <row r="29" spans="1:12" x14ac:dyDescent="0.25">
      <c r="A29" t="s">
        <v>7</v>
      </c>
      <c r="B29" t="s">
        <v>13</v>
      </c>
      <c r="C29" t="str">
        <f t="shared" si="0"/>
        <v>Chile2022Comercio al por mayor y al por menor y reparación de vehículos de motor y motocicletas</v>
      </c>
      <c r="D29">
        <v>2022</v>
      </c>
      <c r="E29">
        <v>3371.5835032278783</v>
      </c>
      <c r="F29">
        <v>1237926.9388704519</v>
      </c>
      <c r="G29">
        <f t="shared" si="1"/>
        <v>4.3175303550403674</v>
      </c>
      <c r="H29">
        <f t="shared" si="2"/>
        <v>6.881142567306167</v>
      </c>
      <c r="I29">
        <f>VLOOKUP(C29,Sheet1!$H$2:$K$191,4,0)</f>
        <v>2157606549.840086</v>
      </c>
      <c r="J29">
        <f t="shared" si="3"/>
        <v>313553531.07946825</v>
      </c>
      <c r="K29">
        <f t="shared" si="4"/>
        <v>13.021291099111066</v>
      </c>
      <c r="L29">
        <f t="shared" si="5"/>
        <v>70.423460826053656</v>
      </c>
    </row>
    <row r="30" spans="1:12" x14ac:dyDescent="0.25">
      <c r="A30" t="s">
        <v>7</v>
      </c>
      <c r="B30" t="s">
        <v>14</v>
      </c>
      <c r="C30" t="str">
        <f t="shared" si="0"/>
        <v>Chile2016Comercio al por mayor, excepto de vehículos de motor y motocicletas</v>
      </c>
      <c r="D30">
        <v>2016</v>
      </c>
      <c r="E30">
        <v>3971.3580793756523</v>
      </c>
      <c r="F30">
        <v>1533942</v>
      </c>
      <c r="G30" t="str">
        <f t="shared" si="1"/>
        <v/>
      </c>
      <c r="H30" t="str">
        <f t="shared" si="2"/>
        <v/>
      </c>
      <c r="I30">
        <f>VLOOKUP(C30,Sheet1!$H$2:$K$191,4,0)</f>
        <v>3097459605.4570727</v>
      </c>
      <c r="J30" t="str">
        <f t="shared" si="3"/>
        <v/>
      </c>
      <c r="K30" t="str">
        <f t="shared" si="4"/>
        <v/>
      </c>
      <c r="L30" t="str">
        <f t="shared" si="5"/>
        <v/>
      </c>
    </row>
    <row r="31" spans="1:12" x14ac:dyDescent="0.25">
      <c r="A31" t="s">
        <v>7</v>
      </c>
      <c r="B31" t="s">
        <v>14</v>
      </c>
      <c r="C31" t="str">
        <f t="shared" si="0"/>
        <v>Chile2017Comercio al por mayor, excepto de vehículos de motor y motocicletas</v>
      </c>
      <c r="D31">
        <v>2017</v>
      </c>
      <c r="E31">
        <v>3658.3158474178185</v>
      </c>
      <c r="F31">
        <v>2949275.4354308341</v>
      </c>
      <c r="G31">
        <f t="shared" si="1"/>
        <v>-7.8824982713985845</v>
      </c>
      <c r="H31">
        <f t="shared" si="2"/>
        <v>92.26772820816133</v>
      </c>
      <c r="I31">
        <f>VLOOKUP(C31,Sheet1!$H$2:$K$191,4,0)</f>
        <v>5736760578.204258</v>
      </c>
      <c r="J31">
        <f t="shared" si="3"/>
        <v>62175157.984401591</v>
      </c>
      <c r="K31">
        <f t="shared" si="4"/>
        <v>85.208567953470364</v>
      </c>
      <c r="L31" t="str">
        <f t="shared" si="5"/>
        <v/>
      </c>
    </row>
    <row r="32" spans="1:12" x14ac:dyDescent="0.25">
      <c r="A32" t="s">
        <v>7</v>
      </c>
      <c r="B32" t="s">
        <v>14</v>
      </c>
      <c r="C32" t="str">
        <f t="shared" si="0"/>
        <v>Chile2018Comercio al por mayor, excepto de vehículos de motor y motocicletas</v>
      </c>
      <c r="D32">
        <v>2018</v>
      </c>
      <c r="E32">
        <v>3568.5420901848538</v>
      </c>
      <c r="F32">
        <v>3434103.8420046046</v>
      </c>
      <c r="G32">
        <f t="shared" si="1"/>
        <v>-2.4539640910538254</v>
      </c>
      <c r="H32">
        <f t="shared" si="2"/>
        <v>16.43889888171622</v>
      </c>
      <c r="I32">
        <f>VLOOKUP(C32,Sheet1!$H$2:$K$191,4,0)</f>
        <v>6668685887.9729185</v>
      </c>
      <c r="J32">
        <f t="shared" si="3"/>
        <v>405664998.36494571</v>
      </c>
      <c r="K32">
        <f t="shared" si="4"/>
        <v>16.244800476933538</v>
      </c>
      <c r="L32">
        <f t="shared" si="5"/>
        <v>552.45511473685087</v>
      </c>
    </row>
    <row r="33" spans="1:12" x14ac:dyDescent="0.25">
      <c r="A33" t="s">
        <v>7</v>
      </c>
      <c r="B33" t="s">
        <v>14</v>
      </c>
      <c r="C33" t="str">
        <f t="shared" si="0"/>
        <v>Chile2019Comercio al por mayor, excepto de vehículos de motor y motocicletas</v>
      </c>
      <c r="D33">
        <v>2019</v>
      </c>
      <c r="E33">
        <v>3650.2225602039389</v>
      </c>
      <c r="F33">
        <v>2923247.4461379093</v>
      </c>
      <c r="G33">
        <f t="shared" si="1"/>
        <v>2.2889030857655919</v>
      </c>
      <c r="H33">
        <f t="shared" si="2"/>
        <v>-14.875974034858855</v>
      </c>
      <c r="I33">
        <f>VLOOKUP(C33,Sheet1!$H$2:$K$191,4,0)</f>
        <v>5854519569.5592613</v>
      </c>
      <c r="J33">
        <f t="shared" si="3"/>
        <v>-393555377.00189388</v>
      </c>
      <c r="K33">
        <f t="shared" si="4"/>
        <v>-12.208796936770092</v>
      </c>
      <c r="L33">
        <f t="shared" si="5"/>
        <v>-197.0148715290054</v>
      </c>
    </row>
    <row r="34" spans="1:12" x14ac:dyDescent="0.25">
      <c r="A34" t="s">
        <v>7</v>
      </c>
      <c r="B34" t="s">
        <v>14</v>
      </c>
      <c r="C34" t="str">
        <f t="shared" si="0"/>
        <v>Chile2020Comercio al por mayor, excepto de vehículos de motor y motocicletas</v>
      </c>
      <c r="D34">
        <v>2020</v>
      </c>
      <c r="E34">
        <v>3286.4672783136325</v>
      </c>
      <c r="F34">
        <v>3420807.4508339646</v>
      </c>
      <c r="G34">
        <f t="shared" si="1"/>
        <v>-9.9652904964234104</v>
      </c>
      <c r="H34">
        <f t="shared" si="2"/>
        <v>17.020796694902238</v>
      </c>
      <c r="I34">
        <f>VLOOKUP(C34,Sheet1!$H$2:$K$191,4,0)</f>
        <v>5960012166.9037151</v>
      </c>
      <c r="J34">
        <f t="shared" si="3"/>
        <v>350160587.29429221</v>
      </c>
      <c r="K34">
        <f t="shared" si="4"/>
        <v>1.8019001574948272</v>
      </c>
      <c r="L34">
        <f t="shared" si="5"/>
        <v>-188.97365091586772</v>
      </c>
    </row>
    <row r="35" spans="1:12" x14ac:dyDescent="0.25">
      <c r="A35" t="s">
        <v>7</v>
      </c>
      <c r="B35" t="s">
        <v>14</v>
      </c>
      <c r="C35" t="str">
        <f t="shared" si="0"/>
        <v>Chile2021Comercio al por mayor, excepto de vehículos de motor y motocicletas</v>
      </c>
      <c r="D35">
        <v>2021</v>
      </c>
      <c r="E35">
        <v>3882.8863782450435</v>
      </c>
      <c r="F35">
        <v>3593142.8100439375</v>
      </c>
      <c r="G35">
        <f t="shared" ref="G35:G66" si="6">IF(B35=B34,(E35-E34)/E34*100,"")</f>
        <v>18.147726705419942</v>
      </c>
      <c r="H35">
        <f t="shared" ref="H35:H66" si="7">IF(B35=B34,(F35-F34)/F34*100,"")</f>
        <v>5.0378561695414614</v>
      </c>
      <c r="I35">
        <f>VLOOKUP(C35,Sheet1!$H$2:$K$191,4,0)</f>
        <v>6705212050.256834</v>
      </c>
      <c r="J35">
        <f t="shared" si="3"/>
        <v>1330965359.9870703</v>
      </c>
      <c r="K35">
        <f t="shared" si="4"/>
        <v>12.503328222906255</v>
      </c>
      <c r="L35">
        <f t="shared" si="5"/>
        <v>280.10141868663862</v>
      </c>
    </row>
    <row r="36" spans="1:12" x14ac:dyDescent="0.25">
      <c r="A36" t="s">
        <v>7</v>
      </c>
      <c r="B36" t="s">
        <v>14</v>
      </c>
      <c r="C36" t="str">
        <f t="shared" si="0"/>
        <v>Chile2022Comercio al por mayor, excepto de vehículos de motor y motocicletas</v>
      </c>
      <c r="D36">
        <v>2022</v>
      </c>
      <c r="E36">
        <v>3502.0706390732985</v>
      </c>
      <c r="F36">
        <v>5249696.3103908431</v>
      </c>
      <c r="G36">
        <f t="shared" si="6"/>
        <v>-9.8075426905451479</v>
      </c>
      <c r="H36">
        <f t="shared" si="7"/>
        <v>46.103191215120361</v>
      </c>
      <c r="I36">
        <f>VLOOKUP(C36,Sheet1!$H$2:$K$191,4,0)</f>
        <v>9432152730.7521305</v>
      </c>
      <c r="J36">
        <f t="shared" si="3"/>
        <v>204587849.17384827</v>
      </c>
      <c r="K36">
        <f t="shared" si="4"/>
        <v>40.668970049811399</v>
      </c>
      <c r="L36">
        <f t="shared" si="5"/>
        <v>-84.628612034212836</v>
      </c>
    </row>
    <row r="37" spans="1:12" x14ac:dyDescent="0.25">
      <c r="A37" t="s">
        <v>7</v>
      </c>
      <c r="B37" t="s">
        <v>15</v>
      </c>
      <c r="C37" t="str">
        <f t="shared" si="0"/>
        <v>Chile2016Comercio al por menor, excepto de vehículos de motor y motocicletas</v>
      </c>
      <c r="D37">
        <v>2016</v>
      </c>
      <c r="E37">
        <v>2406.2493257378978</v>
      </c>
      <c r="F37">
        <v>2597511</v>
      </c>
      <c r="G37" t="str">
        <f t="shared" si="6"/>
        <v/>
      </c>
      <c r="H37" t="str">
        <f t="shared" si="7"/>
        <v/>
      </c>
      <c r="I37">
        <f>VLOOKUP(C37,Sheet1!$H$2:$K$191,4,0)</f>
        <v>2712591055.8748131</v>
      </c>
      <c r="J37" t="str">
        <f t="shared" si="3"/>
        <v/>
      </c>
      <c r="K37" t="str">
        <f t="shared" si="4"/>
        <v/>
      </c>
      <c r="L37" t="str">
        <f t="shared" si="5"/>
        <v/>
      </c>
    </row>
    <row r="38" spans="1:12" x14ac:dyDescent="0.25">
      <c r="A38" t="s">
        <v>7</v>
      </c>
      <c r="B38" t="s">
        <v>15</v>
      </c>
      <c r="C38" t="str">
        <f t="shared" si="0"/>
        <v>Chile2017Comercio al por menor, excepto de vehículos de motor y motocicletas</v>
      </c>
      <c r="D38">
        <v>2017</v>
      </c>
      <c r="E38">
        <v>1760.9933741305142</v>
      </c>
      <c r="F38">
        <v>5132406.641346436</v>
      </c>
      <c r="G38">
        <f t="shared" si="6"/>
        <v>-26.815839269254031</v>
      </c>
      <c r="H38">
        <f t="shared" si="7"/>
        <v>97.589409297840746</v>
      </c>
      <c r="I38">
        <f>VLOOKUP(C38,Sheet1!$H$2:$K$191,4,0)</f>
        <v>4985591757.8208666</v>
      </c>
      <c r="J38">
        <f t="shared" si="3"/>
        <v>51087426.327225216</v>
      </c>
      <c r="K38">
        <f t="shared" si="4"/>
        <v>83.79444800657609</v>
      </c>
      <c r="L38" t="str">
        <f t="shared" si="5"/>
        <v/>
      </c>
    </row>
    <row r="39" spans="1:12" x14ac:dyDescent="0.25">
      <c r="A39" t="s">
        <v>7</v>
      </c>
      <c r="B39" t="s">
        <v>15</v>
      </c>
      <c r="C39" t="str">
        <f t="shared" si="0"/>
        <v>Chile2018Comercio al por menor, excepto de vehículos de motor y motocicletas</v>
      </c>
      <c r="D39">
        <v>2018</v>
      </c>
      <c r="E39">
        <v>1230.9291994196576</v>
      </c>
      <c r="F39">
        <v>6607377.9480443569</v>
      </c>
      <c r="G39">
        <f t="shared" si="6"/>
        <v>-30.100293533050593</v>
      </c>
      <c r="H39">
        <f t="shared" si="7"/>
        <v>28.738395255271058</v>
      </c>
      <c r="I39">
        <f>VLOOKUP(C39,Sheet1!$H$2:$K$191,4,0)</f>
        <v>5960309451.9005432</v>
      </c>
      <c r="J39">
        <f t="shared" si="3"/>
        <v>207398826.51615113</v>
      </c>
      <c r="K39">
        <f t="shared" si="4"/>
        <v>19.550692102911217</v>
      </c>
      <c r="L39">
        <f t="shared" si="5"/>
        <v>305.96843768899225</v>
      </c>
    </row>
    <row r="40" spans="1:12" x14ac:dyDescent="0.25">
      <c r="A40" t="s">
        <v>7</v>
      </c>
      <c r="B40" t="s">
        <v>15</v>
      </c>
      <c r="C40" t="str">
        <f t="shared" si="0"/>
        <v>Chile2019Comercio al por menor, excepto de vehículos de motor y motocicletas</v>
      </c>
      <c r="D40">
        <v>2019</v>
      </c>
      <c r="E40">
        <v>1421.8413233141982</v>
      </c>
      <c r="F40">
        <v>4888129.6885769451</v>
      </c>
      <c r="G40">
        <f t="shared" si="6"/>
        <v>15.509594214236641</v>
      </c>
      <c r="H40">
        <f t="shared" si="7"/>
        <v>-26.02012890720551</v>
      </c>
      <c r="I40">
        <f>VLOOKUP(C40,Sheet1!$H$2:$K$191,4,0)</f>
        <v>5318223200.9883623</v>
      </c>
      <c r="J40">
        <f t="shared" si="3"/>
        <v>-204388810.67632362</v>
      </c>
      <c r="K40">
        <f t="shared" si="4"/>
        <v>-10.772699909187452</v>
      </c>
      <c r="L40">
        <f t="shared" si="5"/>
        <v>-198.5486823188013</v>
      </c>
    </row>
    <row r="41" spans="1:12" x14ac:dyDescent="0.25">
      <c r="A41" t="s">
        <v>7</v>
      </c>
      <c r="B41" t="s">
        <v>15</v>
      </c>
      <c r="C41" t="str">
        <f t="shared" si="0"/>
        <v>Chile2020Comercio al por menor, excepto de vehículos de motor y motocicletas</v>
      </c>
      <c r="D41">
        <v>2020</v>
      </c>
      <c r="E41">
        <v>1470.9451545177992</v>
      </c>
      <c r="F41">
        <v>4905171.4620105159</v>
      </c>
      <c r="G41">
        <f t="shared" si="6"/>
        <v>3.4535380564931031</v>
      </c>
      <c r="H41">
        <f t="shared" si="7"/>
        <v>0.34863586932637275</v>
      </c>
      <c r="I41">
        <f>VLOOKUP(C41,Sheet1!$H$2:$K$191,4,0)</f>
        <v>4755279704.9956017</v>
      </c>
      <c r="J41">
        <f t="shared" si="3"/>
        <v>13639674294.511515</v>
      </c>
      <c r="K41">
        <f t="shared" si="4"/>
        <v>-10.58517995047934</v>
      </c>
      <c r="L41">
        <f t="shared" si="5"/>
        <v>-6773.3957937216628</v>
      </c>
    </row>
    <row r="42" spans="1:12" x14ac:dyDescent="0.25">
      <c r="A42" t="s">
        <v>7</v>
      </c>
      <c r="B42" t="s">
        <v>15</v>
      </c>
      <c r="C42" t="str">
        <f t="shared" si="0"/>
        <v>Chile2021Comercio al por menor, excepto de vehículos de motor y motocicletas</v>
      </c>
      <c r="D42">
        <v>2021</v>
      </c>
      <c r="E42">
        <v>1999.6291871217627</v>
      </c>
      <c r="F42">
        <v>5306320.596839915</v>
      </c>
      <c r="G42">
        <f t="shared" si="6"/>
        <v>35.94179096210253</v>
      </c>
      <c r="H42">
        <f t="shared" si="7"/>
        <v>8.178085882139122</v>
      </c>
      <c r="I42">
        <f>VLOOKUP(C42,Sheet1!$H$2:$K$191,4,0)</f>
        <v>6133529534.1104908</v>
      </c>
      <c r="J42">
        <f t="shared" si="3"/>
        <v>749995735.24974501</v>
      </c>
      <c r="K42">
        <f t="shared" si="4"/>
        <v>28.983570149763967</v>
      </c>
      <c r="L42">
        <f t="shared" si="5"/>
        <v>-94.501366241923122</v>
      </c>
    </row>
    <row r="43" spans="1:12" x14ac:dyDescent="0.25">
      <c r="A43" t="s">
        <v>7</v>
      </c>
      <c r="B43" t="s">
        <v>15</v>
      </c>
      <c r="C43" t="str">
        <f t="shared" si="0"/>
        <v>Chile2022Comercio al por menor, excepto de vehículos de motor y motocicletas</v>
      </c>
      <c r="D43">
        <v>2022</v>
      </c>
      <c r="E43">
        <v>1681.9013362387211</v>
      </c>
      <c r="F43">
        <v>6235010.3028737735</v>
      </c>
      <c r="G43">
        <f t="shared" si="6"/>
        <v>-15.889338529828844</v>
      </c>
      <c r="H43">
        <f t="shared" si="7"/>
        <v>17.501575509533353</v>
      </c>
      <c r="I43">
        <f>VLOOKUP(C43,Sheet1!$H$2:$K$191,4,0)</f>
        <v>6951399254.0433617</v>
      </c>
      <c r="J43">
        <f t="shared" si="3"/>
        <v>397187056.11713856</v>
      </c>
      <c r="K43">
        <f t="shared" si="4"/>
        <v>13.334405832472799</v>
      </c>
      <c r="L43">
        <f t="shared" si="5"/>
        <v>-47.041424710918236</v>
      </c>
    </row>
    <row r="44" spans="1:12" x14ac:dyDescent="0.25">
      <c r="A44" t="s">
        <v>7</v>
      </c>
      <c r="B44" t="s">
        <v>9</v>
      </c>
      <c r="C44" t="str">
        <f t="shared" si="0"/>
        <v>Chile2016Elaboración de productos alimenticios</v>
      </c>
      <c r="D44">
        <v>2016</v>
      </c>
      <c r="E44">
        <v>39393.154994968361</v>
      </c>
      <c r="F44">
        <v>150226.25</v>
      </c>
      <c r="G44" t="str">
        <f t="shared" si="6"/>
        <v/>
      </c>
      <c r="H44" t="str">
        <f t="shared" si="7"/>
        <v/>
      </c>
      <c r="I44">
        <f>VLOOKUP(C44,Sheet1!$H$2:$K$191,4,0)</f>
        <v>1842436235.4716952</v>
      </c>
      <c r="J44" t="str">
        <f t="shared" si="3"/>
        <v/>
      </c>
      <c r="K44" t="str">
        <f t="shared" si="4"/>
        <v/>
      </c>
      <c r="L44" t="str">
        <f t="shared" si="5"/>
        <v/>
      </c>
    </row>
    <row r="45" spans="1:12" x14ac:dyDescent="0.25">
      <c r="A45" t="s">
        <v>7</v>
      </c>
      <c r="B45" t="s">
        <v>9</v>
      </c>
      <c r="C45" t="str">
        <f t="shared" si="0"/>
        <v>Chile2017Elaboración de productos alimenticios</v>
      </c>
      <c r="D45">
        <v>2017</v>
      </c>
      <c r="E45">
        <v>51188.699376477118</v>
      </c>
      <c r="F45">
        <v>155407.25</v>
      </c>
      <c r="G45">
        <f t="shared" si="6"/>
        <v>29.943131955324187</v>
      </c>
      <c r="H45">
        <f t="shared" si="7"/>
        <v>3.4487980629217594</v>
      </c>
      <c r="I45">
        <f>VLOOKUP(C45,Sheet1!$H$2:$K$191,4,0)</f>
        <v>1855568993.0315907</v>
      </c>
      <c r="J45">
        <f t="shared" si="3"/>
        <v>538033529.12451661</v>
      </c>
      <c r="K45">
        <f t="shared" si="4"/>
        <v>0.71279305666354875</v>
      </c>
      <c r="L45" t="str">
        <f t="shared" si="5"/>
        <v/>
      </c>
    </row>
    <row r="46" spans="1:12" x14ac:dyDescent="0.25">
      <c r="A46" t="s">
        <v>7</v>
      </c>
      <c r="B46" t="s">
        <v>9</v>
      </c>
      <c r="C46" t="str">
        <f t="shared" si="0"/>
        <v>Chile2018Elaboración de productos alimenticios</v>
      </c>
      <c r="D46">
        <v>2018</v>
      </c>
      <c r="E46">
        <v>46600.699123875827</v>
      </c>
      <c r="F46">
        <v>199351</v>
      </c>
      <c r="G46">
        <f t="shared" si="6"/>
        <v>-8.9629162461385494</v>
      </c>
      <c r="H46">
        <f t="shared" si="7"/>
        <v>28.276512196181326</v>
      </c>
      <c r="I46">
        <f>VLOOKUP(C46,Sheet1!$H$2:$K$191,4,0)</f>
        <v>2110006072.5781276</v>
      </c>
      <c r="J46">
        <f t="shared" si="3"/>
        <v>74620450.285345972</v>
      </c>
      <c r="K46">
        <f t="shared" si="4"/>
        <v>13.712078640139531</v>
      </c>
      <c r="L46">
        <f t="shared" si="5"/>
        <v>-86.130892175666503</v>
      </c>
    </row>
    <row r="47" spans="1:12" x14ac:dyDescent="0.25">
      <c r="A47" t="s">
        <v>7</v>
      </c>
      <c r="B47" t="s">
        <v>9</v>
      </c>
      <c r="C47" t="str">
        <f t="shared" si="0"/>
        <v>Chile2019Elaboración de productos alimenticios</v>
      </c>
      <c r="D47">
        <v>2019</v>
      </c>
      <c r="E47">
        <v>45124.937210229313</v>
      </c>
      <c r="F47">
        <v>167758</v>
      </c>
      <c r="G47">
        <f t="shared" si="6"/>
        <v>-3.1668235485557541</v>
      </c>
      <c r="H47">
        <f t="shared" si="7"/>
        <v>-15.847926521562469</v>
      </c>
      <c r="I47">
        <f>VLOOKUP(C47,Sheet1!$H$2:$K$191,4,0)</f>
        <v>2046898707.0248907</v>
      </c>
      <c r="J47">
        <f t="shared" si="3"/>
        <v>-129158770.65936095</v>
      </c>
      <c r="K47">
        <f t="shared" si="4"/>
        <v>-2.9908617976690808</v>
      </c>
      <c r="L47">
        <f t="shared" si="5"/>
        <v>-273.08763236547401</v>
      </c>
    </row>
    <row r="48" spans="1:12" x14ac:dyDescent="0.25">
      <c r="A48" t="s">
        <v>7</v>
      </c>
      <c r="B48" t="s">
        <v>9</v>
      </c>
      <c r="C48" t="str">
        <f t="shared" si="0"/>
        <v>Chile2020Elaboración de productos alimenticios</v>
      </c>
      <c r="D48">
        <v>2020</v>
      </c>
      <c r="E48">
        <v>35253.905337684009</v>
      </c>
      <c r="F48">
        <v>162764</v>
      </c>
      <c r="G48">
        <f t="shared" si="6"/>
        <v>-21.874893313552693</v>
      </c>
      <c r="H48">
        <f t="shared" si="7"/>
        <v>-2.9769072115785833</v>
      </c>
      <c r="I48">
        <f>VLOOKUP(C48,Sheet1!$H$2:$K$191,4,0)</f>
        <v>2240289028.6659007</v>
      </c>
      <c r="J48">
        <f t="shared" si="3"/>
        <v>-752555880.79882693</v>
      </c>
      <c r="K48">
        <f t="shared" si="4"/>
        <v>9.4479673555560257</v>
      </c>
      <c r="L48">
        <f t="shared" si="5"/>
        <v>482.65952591295013</v>
      </c>
    </row>
    <row r="49" spans="1:12" x14ac:dyDescent="0.25">
      <c r="A49" t="s">
        <v>7</v>
      </c>
      <c r="B49" t="s">
        <v>9</v>
      </c>
      <c r="C49" t="str">
        <f t="shared" si="0"/>
        <v>Chile2021Elaboración de productos alimenticios</v>
      </c>
      <c r="D49">
        <v>2021</v>
      </c>
      <c r="E49">
        <v>41565.144791962448</v>
      </c>
      <c r="F49">
        <v>184026</v>
      </c>
      <c r="G49">
        <f t="shared" si="6"/>
        <v>17.902242017800383</v>
      </c>
      <c r="H49">
        <f t="shared" si="7"/>
        <v>13.063085203116168</v>
      </c>
      <c r="I49">
        <f>VLOOKUP(C49,Sheet1!$H$2:$K$191,4,0)</f>
        <v>1896510188</v>
      </c>
      <c r="J49">
        <f t="shared" si="3"/>
        <v>145180878.67539835</v>
      </c>
      <c r="K49">
        <f t="shared" si="4"/>
        <v>-15.345289659817782</v>
      </c>
      <c r="L49">
        <f t="shared" si="5"/>
        <v>-119.29170741730049</v>
      </c>
    </row>
    <row r="50" spans="1:12" x14ac:dyDescent="0.25">
      <c r="A50" t="s">
        <v>7</v>
      </c>
      <c r="B50" t="s">
        <v>9</v>
      </c>
      <c r="C50" t="str">
        <f t="shared" si="0"/>
        <v>Chile2022Elaboración de productos alimenticios</v>
      </c>
      <c r="D50">
        <v>2022</v>
      </c>
      <c r="E50">
        <v>23827.748315923793</v>
      </c>
      <c r="F50">
        <v>169707</v>
      </c>
      <c r="G50">
        <f t="shared" si="6"/>
        <v>-42.673727145222358</v>
      </c>
      <c r="H50">
        <f t="shared" si="7"/>
        <v>-7.7809657331029305</v>
      </c>
      <c r="I50">
        <f>VLOOKUP(C50,Sheet1!$H$2:$K$191,4,0)</f>
        <v>2066801275</v>
      </c>
      <c r="J50">
        <f t="shared" si="3"/>
        <v>-265622719.0677771</v>
      </c>
      <c r="K50">
        <f t="shared" si="4"/>
        <v>8.9791812391782404</v>
      </c>
      <c r="L50">
        <f t="shared" si="5"/>
        <v>-282.95985083660213</v>
      </c>
    </row>
    <row r="51" spans="1:12" x14ac:dyDescent="0.25">
      <c r="A51" t="s">
        <v>7</v>
      </c>
      <c r="B51" t="s">
        <v>10</v>
      </c>
      <c r="C51" t="str">
        <f t="shared" si="0"/>
        <v>Chile2016Fabricación de prendas de vestir</v>
      </c>
      <c r="D51">
        <v>2016</v>
      </c>
      <c r="E51">
        <v>12246.462233332746</v>
      </c>
      <c r="F51">
        <v>8550</v>
      </c>
      <c r="G51" t="str">
        <f t="shared" si="6"/>
        <v/>
      </c>
      <c r="H51" t="str">
        <f t="shared" si="7"/>
        <v/>
      </c>
      <c r="I51">
        <f>VLOOKUP(C51,Sheet1!$H$2:$K$191,4,0)</f>
        <v>90233466.208546981</v>
      </c>
      <c r="J51" t="str">
        <f t="shared" si="3"/>
        <v/>
      </c>
      <c r="K51" t="str">
        <f t="shared" si="4"/>
        <v/>
      </c>
      <c r="L51" t="str">
        <f t="shared" si="5"/>
        <v/>
      </c>
    </row>
    <row r="52" spans="1:12" x14ac:dyDescent="0.25">
      <c r="A52" t="s">
        <v>7</v>
      </c>
      <c r="B52" t="s">
        <v>10</v>
      </c>
      <c r="C52" t="str">
        <f t="shared" si="0"/>
        <v>Chile2017Fabricación de prendas de vestir</v>
      </c>
      <c r="D52">
        <v>2017</v>
      </c>
      <c r="E52">
        <v>6107.6999877920771</v>
      </c>
      <c r="F52">
        <v>26102.75</v>
      </c>
      <c r="G52">
        <f t="shared" si="6"/>
        <v>-50.126821351165582</v>
      </c>
      <c r="H52">
        <f t="shared" si="7"/>
        <v>205.29532163742692</v>
      </c>
      <c r="I52">
        <f>VLOOKUP(C52,Sheet1!$H$2:$K$191,4,0)</f>
        <v>79887217.021222293</v>
      </c>
      <c r="J52">
        <f t="shared" si="3"/>
        <v>389133.15892464173</v>
      </c>
      <c r="K52">
        <f t="shared" si="4"/>
        <v>-11.466088605542989</v>
      </c>
      <c r="L52" t="str">
        <f t="shared" si="5"/>
        <v/>
      </c>
    </row>
    <row r="53" spans="1:12" x14ac:dyDescent="0.25">
      <c r="A53" t="s">
        <v>7</v>
      </c>
      <c r="B53" t="s">
        <v>10</v>
      </c>
      <c r="C53" t="str">
        <f t="shared" si="0"/>
        <v>Chile2018Fabricación de prendas de vestir</v>
      </c>
      <c r="D53">
        <v>2018</v>
      </c>
      <c r="E53">
        <v>88735.410923654184</v>
      </c>
      <c r="F53">
        <v>7589</v>
      </c>
      <c r="G53">
        <f t="shared" si="6"/>
        <v>1352.844951471362</v>
      </c>
      <c r="H53">
        <f t="shared" si="7"/>
        <v>-70.926434954171498</v>
      </c>
      <c r="I53">
        <f>VLOOKUP(C53,Sheet1!$H$2:$K$191,4,0)</f>
        <v>74067979.74322246</v>
      </c>
      <c r="J53">
        <f t="shared" si="3"/>
        <v>-1044293.0028991426</v>
      </c>
      <c r="K53">
        <f t="shared" si="4"/>
        <v>-7.2843159331159759</v>
      </c>
      <c r="L53">
        <f t="shared" si="5"/>
        <v>-368.36392092234342</v>
      </c>
    </row>
    <row r="54" spans="1:12" x14ac:dyDescent="0.25">
      <c r="A54" t="s">
        <v>7</v>
      </c>
      <c r="B54" t="s">
        <v>10</v>
      </c>
      <c r="C54" t="str">
        <f t="shared" si="0"/>
        <v>Chile2019Fabricación de prendas de vestir</v>
      </c>
      <c r="D54">
        <v>2019</v>
      </c>
      <c r="E54">
        <v>17899.40220639297</v>
      </c>
      <c r="F54">
        <v>6673</v>
      </c>
      <c r="G54">
        <f t="shared" si="6"/>
        <v>-79.828343589017479</v>
      </c>
      <c r="H54">
        <f t="shared" si="7"/>
        <v>-12.070101462643299</v>
      </c>
      <c r="I54">
        <f>VLOOKUP(C54,Sheet1!$H$2:$K$191,4,0)</f>
        <v>62783543.634543635</v>
      </c>
      <c r="J54">
        <f t="shared" si="3"/>
        <v>-5201575.4655300397</v>
      </c>
      <c r="K54">
        <f t="shared" si="4"/>
        <v>-15.235242202905367</v>
      </c>
      <c r="L54">
        <f t="shared" si="5"/>
        <v>398.09540532106831</v>
      </c>
    </row>
    <row r="55" spans="1:12" x14ac:dyDescent="0.25">
      <c r="A55" t="s">
        <v>7</v>
      </c>
      <c r="B55" t="s">
        <v>10</v>
      </c>
      <c r="C55" t="str">
        <f t="shared" si="0"/>
        <v>Chile2020Fabricación de prendas de vestir</v>
      </c>
      <c r="D55">
        <v>2020</v>
      </c>
      <c r="E55">
        <v>26060.24016057773</v>
      </c>
      <c r="F55">
        <v>4408</v>
      </c>
      <c r="G55">
        <f t="shared" si="6"/>
        <v>45.592796117347575</v>
      </c>
      <c r="H55">
        <f t="shared" si="7"/>
        <v>-33.942754383335831</v>
      </c>
      <c r="I55">
        <f>VLOOKUP(C55,Sheet1!$H$2:$K$191,4,0)</f>
        <v>37521298.336932547</v>
      </c>
      <c r="J55">
        <f t="shared" si="3"/>
        <v>-1105428.8026593858</v>
      </c>
      <c r="K55">
        <f t="shared" si="4"/>
        <v>-40.237049129720909</v>
      </c>
      <c r="L55">
        <f t="shared" si="5"/>
        <v>-78.748192543107848</v>
      </c>
    </row>
    <row r="56" spans="1:12" x14ac:dyDescent="0.25">
      <c r="A56" t="s">
        <v>7</v>
      </c>
      <c r="B56" t="s">
        <v>10</v>
      </c>
      <c r="C56" t="str">
        <f t="shared" si="0"/>
        <v>Chile2021Fabricación de prendas de vestir</v>
      </c>
      <c r="D56">
        <v>2021</v>
      </c>
      <c r="E56">
        <v>26074.461507844397</v>
      </c>
      <c r="F56">
        <v>3398</v>
      </c>
      <c r="G56">
        <f t="shared" si="6"/>
        <v>5.45710522199232E-2</v>
      </c>
      <c r="H56">
        <f t="shared" si="7"/>
        <v>-22.912885662431943</v>
      </c>
      <c r="I56">
        <f>VLOOKUP(C56,Sheet1!$H$2:$K$191,4,0)</f>
        <v>31451189.096655257</v>
      </c>
      <c r="J56">
        <f t="shared" si="3"/>
        <v>-1372641.9954263007</v>
      </c>
      <c r="K56">
        <f t="shared" si="4"/>
        <v>-16.177769718332023</v>
      </c>
      <c r="L56">
        <f t="shared" si="5"/>
        <v>24.172808970063617</v>
      </c>
    </row>
    <row r="57" spans="1:12" x14ac:dyDescent="0.25">
      <c r="A57" t="s">
        <v>7</v>
      </c>
      <c r="B57" t="s">
        <v>10</v>
      </c>
      <c r="C57" t="str">
        <f t="shared" si="0"/>
        <v>Chile2022Fabricación de prendas de vestir</v>
      </c>
      <c r="D57">
        <v>2022</v>
      </c>
      <c r="E57">
        <v>34009.85237041254</v>
      </c>
      <c r="F57">
        <v>2743</v>
      </c>
      <c r="G57">
        <f t="shared" si="6"/>
        <v>30.433575244423793</v>
      </c>
      <c r="H57">
        <f t="shared" si="7"/>
        <v>-19.276044732195409</v>
      </c>
      <c r="I57">
        <f>VLOOKUP(C57,Sheet1!$H$2:$K$191,4,0)</f>
        <v>26554167.431192655</v>
      </c>
      <c r="J57">
        <f t="shared" si="3"/>
        <v>-1377573.4493311853</v>
      </c>
      <c r="K57">
        <f t="shared" si="4"/>
        <v>-15.570227409886344</v>
      </c>
      <c r="L57">
        <f t="shared" si="5"/>
        <v>0.35926730504504745</v>
      </c>
    </row>
    <row r="58" spans="1:12" x14ac:dyDescent="0.25">
      <c r="A58" t="s">
        <v>7</v>
      </c>
      <c r="B58" t="s">
        <v>11</v>
      </c>
      <c r="C58" t="str">
        <f t="shared" si="0"/>
        <v>Chile2016Fabricación de productos de cuero y productos conexos</v>
      </c>
      <c r="D58">
        <v>2016</v>
      </c>
      <c r="E58">
        <v>21073.647329793257</v>
      </c>
      <c r="F58">
        <v>5885.75</v>
      </c>
      <c r="G58" t="str">
        <f t="shared" si="6"/>
        <v/>
      </c>
      <c r="H58" t="str">
        <f t="shared" si="7"/>
        <v/>
      </c>
      <c r="I58">
        <f>VLOOKUP(C58,Sheet1!$H$2:$K$191,4,0)</f>
        <v>67650512.378484622</v>
      </c>
      <c r="J58" t="str">
        <f t="shared" si="3"/>
        <v/>
      </c>
      <c r="K58" t="str">
        <f t="shared" si="4"/>
        <v/>
      </c>
      <c r="L58" t="str">
        <f t="shared" si="5"/>
        <v/>
      </c>
    </row>
    <row r="59" spans="1:12" x14ac:dyDescent="0.25">
      <c r="A59" t="s">
        <v>7</v>
      </c>
      <c r="B59" t="s">
        <v>11</v>
      </c>
      <c r="C59" t="str">
        <f t="shared" si="0"/>
        <v>Chile2017Fabricación de productos de cuero y productos conexos</v>
      </c>
      <c r="D59">
        <v>2017</v>
      </c>
      <c r="E59">
        <v>23050.799226040224</v>
      </c>
      <c r="F59">
        <v>6236.25</v>
      </c>
      <c r="G59">
        <f t="shared" si="6"/>
        <v>9.3821058372355512</v>
      </c>
      <c r="H59">
        <f t="shared" si="7"/>
        <v>5.9550609523000464</v>
      </c>
      <c r="I59">
        <f>VLOOKUP(C59,Sheet1!$H$2:$K$191,4,0)</f>
        <v>78835530.121149704</v>
      </c>
      <c r="J59">
        <f t="shared" si="3"/>
        <v>13238408.599445276</v>
      </c>
      <c r="K59">
        <f t="shared" si="4"/>
        <v>16.533529975483724</v>
      </c>
      <c r="L59" t="str">
        <f t="shared" si="5"/>
        <v/>
      </c>
    </row>
    <row r="60" spans="1:12" x14ac:dyDescent="0.25">
      <c r="A60" t="s">
        <v>7</v>
      </c>
      <c r="B60" t="s">
        <v>11</v>
      </c>
      <c r="C60" t="str">
        <f t="shared" si="0"/>
        <v>Chile2018Fabricación de productos de cuero y productos conexos</v>
      </c>
      <c r="D60">
        <v>2018</v>
      </c>
      <c r="E60">
        <v>25167.700848175115</v>
      </c>
      <c r="F60">
        <v>6350</v>
      </c>
      <c r="G60">
        <f t="shared" si="6"/>
        <v>9.18363654715907</v>
      </c>
      <c r="H60">
        <f t="shared" si="7"/>
        <v>1.8240128282220887</v>
      </c>
      <c r="I60">
        <f>VLOOKUP(C60,Sheet1!$H$2:$K$191,4,0)</f>
        <v>84012193.9578408</v>
      </c>
      <c r="J60">
        <f t="shared" si="3"/>
        <v>46058992.929194257</v>
      </c>
      <c r="K60">
        <f t="shared" si="4"/>
        <v>6.5664096235998048</v>
      </c>
      <c r="L60">
        <f t="shared" si="5"/>
        <v>247.91940876582589</v>
      </c>
    </row>
    <row r="61" spans="1:12" x14ac:dyDescent="0.25">
      <c r="A61" t="s">
        <v>7</v>
      </c>
      <c r="B61" t="s">
        <v>11</v>
      </c>
      <c r="C61" t="str">
        <f t="shared" si="0"/>
        <v>Chile2019Fabricación de productos de cuero y productos conexos</v>
      </c>
      <c r="D61">
        <v>2019</v>
      </c>
      <c r="E61">
        <v>26156.213805044375</v>
      </c>
      <c r="F61">
        <v>5140</v>
      </c>
      <c r="G61">
        <f t="shared" si="6"/>
        <v>3.9277046514200644</v>
      </c>
      <c r="H61">
        <f t="shared" si="7"/>
        <v>-19.055118110236222</v>
      </c>
      <c r="I61">
        <f>VLOOKUP(C61,Sheet1!$H$2:$K$191,4,0)</f>
        <v>66940501.543639198</v>
      </c>
      <c r="J61">
        <f t="shared" si="3"/>
        <v>-3512993.2628273461</v>
      </c>
      <c r="K61">
        <f t="shared" si="4"/>
        <v>-20.320493502132038</v>
      </c>
      <c r="L61">
        <f t="shared" si="5"/>
        <v>-107.62716038587254</v>
      </c>
    </row>
    <row r="62" spans="1:12" x14ac:dyDescent="0.25">
      <c r="A62" t="s">
        <v>7</v>
      </c>
      <c r="B62" t="s">
        <v>11</v>
      </c>
      <c r="C62" t="str">
        <f t="shared" si="0"/>
        <v>Chile2020Fabricación de productos de cuero y productos conexos</v>
      </c>
      <c r="D62">
        <v>2020</v>
      </c>
      <c r="E62">
        <v>37136.720007015683</v>
      </c>
      <c r="F62">
        <v>1373</v>
      </c>
      <c r="G62">
        <f t="shared" si="6"/>
        <v>41.980488016402646</v>
      </c>
      <c r="H62">
        <f t="shared" si="7"/>
        <v>-73.287937743190653</v>
      </c>
      <c r="I62">
        <f>VLOOKUP(C62,Sheet1!$H$2:$K$191,4,0)</f>
        <v>13119727.593462285</v>
      </c>
      <c r="J62">
        <f t="shared" si="3"/>
        <v>-179016.19280699801</v>
      </c>
      <c r="K62">
        <f t="shared" si="4"/>
        <v>-80.400912316276262</v>
      </c>
      <c r="L62">
        <f t="shared" si="5"/>
        <v>-94.904169196643409</v>
      </c>
    </row>
    <row r="63" spans="1:12" x14ac:dyDescent="0.25">
      <c r="A63" t="s">
        <v>7</v>
      </c>
      <c r="B63" t="s">
        <v>11</v>
      </c>
      <c r="C63" t="str">
        <f t="shared" si="0"/>
        <v>Chile2021Fabricación de productos de cuero y productos conexos</v>
      </c>
      <c r="D63">
        <v>2021</v>
      </c>
      <c r="E63">
        <v>45289.849356224506</v>
      </c>
      <c r="F63">
        <v>1111</v>
      </c>
      <c r="G63">
        <f t="shared" si="6"/>
        <v>21.954360394963729</v>
      </c>
      <c r="H63">
        <f t="shared" si="7"/>
        <v>-19.08230152949745</v>
      </c>
      <c r="I63">
        <f>VLOOKUP(C63,Sheet1!$H$2:$K$191,4,0)</f>
        <v>14658754.279694496</v>
      </c>
      <c r="J63">
        <f t="shared" si="3"/>
        <v>-768185.86358857038</v>
      </c>
      <c r="K63">
        <f t="shared" si="4"/>
        <v>11.730629887461429</v>
      </c>
      <c r="L63">
        <f t="shared" si="5"/>
        <v>329.1152948475289</v>
      </c>
    </row>
    <row r="64" spans="1:12" x14ac:dyDescent="0.25">
      <c r="A64" t="s">
        <v>7</v>
      </c>
      <c r="B64" t="s">
        <v>11</v>
      </c>
      <c r="C64" t="str">
        <f t="shared" si="0"/>
        <v>Chile2022Fabricación de productos de cuero y productos conexos</v>
      </c>
      <c r="D64">
        <v>2022</v>
      </c>
      <c r="E64">
        <v>43590.53977938553</v>
      </c>
      <c r="F64">
        <v>1044</v>
      </c>
      <c r="G64">
        <f t="shared" si="6"/>
        <v>-3.7520760192270934</v>
      </c>
      <c r="H64">
        <f t="shared" si="7"/>
        <v>-6.0306030603060305</v>
      </c>
      <c r="I64">
        <f>VLOOKUP(C64,Sheet1!$H$2:$K$191,4,0)</f>
        <v>15117169.724770643</v>
      </c>
      <c r="J64">
        <f t="shared" si="3"/>
        <v>-2506742.6215254008</v>
      </c>
      <c r="K64">
        <f t="shared" si="4"/>
        <v>3.1272469428807494</v>
      </c>
      <c r="L64">
        <f t="shared" si="5"/>
        <v>226.31980622699626</v>
      </c>
    </row>
    <row r="65" spans="1:12" x14ac:dyDescent="0.25">
      <c r="A65" t="s">
        <v>7</v>
      </c>
      <c r="B65" t="s">
        <v>12</v>
      </c>
      <c r="C65" t="str">
        <f t="shared" si="0"/>
        <v>Chile2016Fabricación de vehículos automotores, remolques y semirremolques</v>
      </c>
      <c r="D65">
        <v>2016</v>
      </c>
      <c r="E65">
        <v>15398.395086247847</v>
      </c>
      <c r="F65">
        <v>1132.75</v>
      </c>
      <c r="G65" t="str">
        <f t="shared" si="6"/>
        <v/>
      </c>
      <c r="H65" t="str">
        <f t="shared" si="7"/>
        <v/>
      </c>
      <c r="I65">
        <f>VLOOKUP(C65,Sheet1!$H$2:$K$191,4,0)</f>
        <v>17844337.034362689</v>
      </c>
      <c r="J65" t="str">
        <f t="shared" si="3"/>
        <v/>
      </c>
      <c r="K65" t="str">
        <f t="shared" si="4"/>
        <v/>
      </c>
      <c r="L65" t="str">
        <f t="shared" si="5"/>
        <v/>
      </c>
    </row>
    <row r="66" spans="1:12" x14ac:dyDescent="0.25">
      <c r="A66" t="s">
        <v>7</v>
      </c>
      <c r="B66" t="s">
        <v>12</v>
      </c>
      <c r="C66" t="str">
        <f t="shared" si="0"/>
        <v>Chile2017Fabricación de vehículos automotores, remolques y semirremolques</v>
      </c>
      <c r="D66">
        <v>2017</v>
      </c>
      <c r="E66">
        <v>25211.839369819299</v>
      </c>
      <c r="F66">
        <v>1155.5</v>
      </c>
      <c r="G66">
        <f t="shared" si="6"/>
        <v>63.730305844248292</v>
      </c>
      <c r="H66">
        <f t="shared" si="7"/>
        <v>2.008386669609358</v>
      </c>
      <c r="I66">
        <f>VLOOKUP(C66,Sheet1!$H$2:$K$191,4,0)</f>
        <v>18442442.635550343</v>
      </c>
      <c r="J66">
        <f t="shared" si="3"/>
        <v>9182715.1188657787</v>
      </c>
      <c r="K66">
        <f t="shared" si="4"/>
        <v>3.3517950262645617</v>
      </c>
      <c r="L66" t="str">
        <f t="shared" si="5"/>
        <v/>
      </c>
    </row>
    <row r="67" spans="1:12" x14ac:dyDescent="0.25">
      <c r="A67" t="s">
        <v>7</v>
      </c>
      <c r="B67" t="s">
        <v>12</v>
      </c>
      <c r="C67" t="str">
        <f t="shared" ref="C67:C130" si="8">_xlfn.CONCAT(A67,D67,B67)</f>
        <v>Chile2018Fabricación de vehículos automotores, remolques y semirremolques</v>
      </c>
      <c r="D67">
        <v>2018</v>
      </c>
      <c r="E67">
        <v>40003.550700041204</v>
      </c>
      <c r="F67">
        <v>2143</v>
      </c>
      <c r="G67">
        <f t="shared" ref="G67:G98" si="9">IF(B67=B66,(E67-E66)/E66*100,"")</f>
        <v>58.669703202729551</v>
      </c>
      <c r="H67">
        <f t="shared" ref="H67:H98" si="10">IF(B67=B66,(F67-F66)/F66*100,"")</f>
        <v>85.460839463435747</v>
      </c>
      <c r="I67">
        <f>VLOOKUP(C67,Sheet1!$H$2:$K$191,4,0)</f>
        <v>37746538.607640289</v>
      </c>
      <c r="J67">
        <f t="shared" ref="J67:J130" si="11">IFERROR(I67/H67,"")</f>
        <v>441682.28213800862</v>
      </c>
      <c r="K67">
        <f t="shared" si="4"/>
        <v>104.67212154901135</v>
      </c>
      <c r="L67">
        <f t="shared" si="5"/>
        <v>-95.190068771374854</v>
      </c>
    </row>
    <row r="68" spans="1:12" x14ac:dyDescent="0.25">
      <c r="A68" t="s">
        <v>7</v>
      </c>
      <c r="B68" t="s">
        <v>12</v>
      </c>
      <c r="C68" t="str">
        <f t="shared" si="8"/>
        <v>Chile2019Fabricación de vehículos automotores, remolques y semirremolques</v>
      </c>
      <c r="D68">
        <v>2019</v>
      </c>
      <c r="E68">
        <v>18194.872052324255</v>
      </c>
      <c r="F68">
        <v>1538</v>
      </c>
      <c r="G68">
        <f t="shared" si="9"/>
        <v>-54.516857294106359</v>
      </c>
      <c r="H68">
        <f t="shared" si="10"/>
        <v>-28.231451236584228</v>
      </c>
      <c r="I68">
        <f>VLOOKUP(C68,Sheet1!$H$2:$K$191,4,0)</f>
        <v>18473140.721843205</v>
      </c>
      <c r="J68">
        <f t="shared" si="11"/>
        <v>-654346.12507289241</v>
      </c>
      <c r="K68">
        <f t="shared" ref="K68:K131" si="12">IF(B68=B67,(I68-I67)/I67*100,"")</f>
        <v>-51.060040461288679</v>
      </c>
      <c r="L68">
        <f t="shared" ref="L68:L131" si="13">IFERROR(IF(B68=B67,(J68-J67)/J67*100,""),"")</f>
        <v>-248.14860172915752</v>
      </c>
    </row>
    <row r="69" spans="1:12" x14ac:dyDescent="0.25">
      <c r="A69" t="s">
        <v>7</v>
      </c>
      <c r="B69" t="s">
        <v>12</v>
      </c>
      <c r="C69" t="str">
        <f t="shared" si="8"/>
        <v>Chile2020Fabricación de vehículos automotores, remolques y semirremolques</v>
      </c>
      <c r="D69">
        <v>2020</v>
      </c>
      <c r="E69">
        <v>14848.607556431538</v>
      </c>
      <c r="F69">
        <v>1391</v>
      </c>
      <c r="G69">
        <f t="shared" si="9"/>
        <v>-18.391250492279543</v>
      </c>
      <c r="H69">
        <f t="shared" si="10"/>
        <v>-9.5578673602080624</v>
      </c>
      <c r="I69">
        <f>VLOOKUP(C69,Sheet1!$H$2:$K$191,4,0)</f>
        <v>14422492.267172242</v>
      </c>
      <c r="J69">
        <f t="shared" si="11"/>
        <v>-1508965.5174769324</v>
      </c>
      <c r="K69">
        <f t="shared" si="12"/>
        <v>-21.927232167301977</v>
      </c>
      <c r="L69">
        <f t="shared" si="13"/>
        <v>130.60662540163094</v>
      </c>
    </row>
    <row r="70" spans="1:12" x14ac:dyDescent="0.25">
      <c r="A70" t="s">
        <v>7</v>
      </c>
      <c r="B70" t="s">
        <v>12</v>
      </c>
      <c r="C70" t="str">
        <f t="shared" si="8"/>
        <v>Chile2021Fabricación de vehículos automotores, remolques y semirremolques</v>
      </c>
      <c r="D70">
        <v>2021</v>
      </c>
      <c r="E70">
        <v>20869.057298527827</v>
      </c>
      <c r="F70">
        <v>1079</v>
      </c>
      <c r="G70">
        <f t="shared" si="9"/>
        <v>40.545550949581042</v>
      </c>
      <c r="H70">
        <f t="shared" si="10"/>
        <v>-22.429906542056074</v>
      </c>
      <c r="I70">
        <f>VLOOKUP(C70,Sheet1!$H$2:$K$191,4,0)</f>
        <v>13159500.921780352</v>
      </c>
      <c r="J70">
        <f t="shared" si="11"/>
        <v>-586694.41609604075</v>
      </c>
      <c r="K70">
        <f t="shared" si="12"/>
        <v>-8.7570949735688064</v>
      </c>
      <c r="L70">
        <f t="shared" si="13"/>
        <v>-61.119428555463365</v>
      </c>
    </row>
    <row r="71" spans="1:12" x14ac:dyDescent="0.25">
      <c r="A71" t="s">
        <v>7</v>
      </c>
      <c r="B71" t="s">
        <v>12</v>
      </c>
      <c r="C71" t="str">
        <f t="shared" si="8"/>
        <v>Chile2022Fabricación de vehículos automotores, remolques y semirremolques</v>
      </c>
      <c r="D71">
        <v>2022</v>
      </c>
      <c r="E71">
        <v>21698.995517896536</v>
      </c>
      <c r="F71">
        <v>792</v>
      </c>
      <c r="G71">
        <f t="shared" si="9"/>
        <v>3.9768840896673154</v>
      </c>
      <c r="H71">
        <f t="shared" si="10"/>
        <v>-26.598702502316961</v>
      </c>
      <c r="I71">
        <f>VLOOKUP(C71,Sheet1!$H$2:$K$191,4,0)</f>
        <v>11261675.458715595</v>
      </c>
      <c r="J71">
        <f t="shared" si="11"/>
        <v>-423391.91010293126</v>
      </c>
      <c r="K71">
        <f t="shared" si="12"/>
        <v>-14.421713059981297</v>
      </c>
      <c r="L71">
        <f t="shared" si="13"/>
        <v>-27.83433786190615</v>
      </c>
    </row>
    <row r="72" spans="1:12" x14ac:dyDescent="0.25">
      <c r="A72" t="s">
        <v>7</v>
      </c>
      <c r="B72" t="s">
        <v>19</v>
      </c>
      <c r="C72" t="str">
        <f t="shared" si="8"/>
        <v>Chile2016Producción de películas, videos y programas de televisión, grabación de sonido y edición musical</v>
      </c>
      <c r="D72">
        <v>2016</v>
      </c>
      <c r="E72">
        <v>6669.7877699541432</v>
      </c>
      <c r="F72">
        <v>23808</v>
      </c>
      <c r="G72" t="str">
        <f t="shared" si="9"/>
        <v/>
      </c>
      <c r="H72" t="str">
        <f t="shared" si="10"/>
        <v/>
      </c>
      <c r="I72">
        <f>VLOOKUP(C72,Sheet1!$H$2:$K$191,4,0)</f>
        <v>50080661.162225857</v>
      </c>
      <c r="J72" t="str">
        <f t="shared" si="11"/>
        <v/>
      </c>
      <c r="K72" t="str">
        <f t="shared" si="12"/>
        <v/>
      </c>
      <c r="L72" t="str">
        <f t="shared" si="13"/>
        <v/>
      </c>
    </row>
    <row r="73" spans="1:12" x14ac:dyDescent="0.25">
      <c r="A73" t="s">
        <v>7</v>
      </c>
      <c r="B73" t="s">
        <v>19</v>
      </c>
      <c r="C73" t="str">
        <f t="shared" si="8"/>
        <v>Chile2017Producción de películas, videos y programas de televisión, grabación de sonido y edición musical</v>
      </c>
      <c r="D73">
        <v>2017</v>
      </c>
      <c r="E73">
        <v>5466.5927163940996</v>
      </c>
      <c r="F73">
        <v>22494</v>
      </c>
      <c r="G73">
        <f t="shared" si="9"/>
        <v>-18.039480341191062</v>
      </c>
      <c r="H73">
        <f t="shared" si="10"/>
        <v>-5.519153225806452</v>
      </c>
      <c r="I73">
        <f>VLOOKUP(C73,Sheet1!$H$2:$K$191,4,0)</f>
        <v>30839505.013866384</v>
      </c>
      <c r="J73">
        <f t="shared" si="11"/>
        <v>-5587724.0134713156</v>
      </c>
      <c r="K73">
        <f t="shared" si="12"/>
        <v>-38.420331724518896</v>
      </c>
      <c r="L73" t="str">
        <f t="shared" si="13"/>
        <v/>
      </c>
    </row>
    <row r="74" spans="1:12" x14ac:dyDescent="0.25">
      <c r="A74" t="s">
        <v>7</v>
      </c>
      <c r="B74" t="s">
        <v>19</v>
      </c>
      <c r="C74" t="str">
        <f t="shared" si="8"/>
        <v>Chile2018Producción de películas, videos y programas de televisión, grabación de sonido y edición musical</v>
      </c>
      <c r="D74">
        <v>2018</v>
      </c>
      <c r="E74">
        <v>4950.0854333835805</v>
      </c>
      <c r="F74">
        <v>33703</v>
      </c>
      <c r="G74">
        <f t="shared" si="9"/>
        <v>-9.4484317710652519</v>
      </c>
      <c r="H74">
        <f t="shared" si="10"/>
        <v>49.831066062060991</v>
      </c>
      <c r="I74">
        <f>VLOOKUP(C74,Sheet1!$H$2:$K$191,4,0)</f>
        <v>48344274.061239436</v>
      </c>
      <c r="J74">
        <f t="shared" si="11"/>
        <v>970163.35153316078</v>
      </c>
      <c r="K74">
        <f t="shared" si="12"/>
        <v>56.760862534928414</v>
      </c>
      <c r="L74">
        <f t="shared" si="13"/>
        <v>-117.36240639649016</v>
      </c>
    </row>
    <row r="75" spans="1:12" x14ac:dyDescent="0.25">
      <c r="A75" t="s">
        <v>7</v>
      </c>
      <c r="B75" t="s">
        <v>19</v>
      </c>
      <c r="C75" t="str">
        <f t="shared" si="8"/>
        <v>Chile2019Producción de películas, videos y programas de televisión, grabación de sonido y edición musical</v>
      </c>
      <c r="D75">
        <v>2019</v>
      </c>
      <c r="E75">
        <v>3870.5920916791883</v>
      </c>
      <c r="F75">
        <v>39876</v>
      </c>
      <c r="G75">
        <f t="shared" si="9"/>
        <v>-21.807569914334092</v>
      </c>
      <c r="H75">
        <f t="shared" si="10"/>
        <v>18.315876924902827</v>
      </c>
      <c r="I75">
        <f>VLOOKUP(C75,Sheet1!$H$2:$K$191,4,0)</f>
        <v>46848236.944726467</v>
      </c>
      <c r="J75">
        <f t="shared" si="11"/>
        <v>2557793.8275524317</v>
      </c>
      <c r="K75">
        <f t="shared" si="12"/>
        <v>-3.094548724876673</v>
      </c>
      <c r="L75">
        <f t="shared" si="13"/>
        <v>163.64568642077845</v>
      </c>
    </row>
    <row r="76" spans="1:12" x14ac:dyDescent="0.25">
      <c r="A76" t="s">
        <v>7</v>
      </c>
      <c r="B76" t="s">
        <v>19</v>
      </c>
      <c r="C76" t="str">
        <f t="shared" si="8"/>
        <v>Chile2020Producción de películas, videos y programas de televisión, grabación de sonido y edición musical</v>
      </c>
      <c r="D76">
        <v>2020</v>
      </c>
      <c r="E76">
        <v>1872.0494092157562</v>
      </c>
      <c r="F76">
        <v>33864</v>
      </c>
      <c r="G76">
        <f t="shared" si="9"/>
        <v>-51.634030017262802</v>
      </c>
      <c r="H76">
        <f t="shared" si="10"/>
        <v>-15.076737887451097</v>
      </c>
      <c r="I76">
        <f>VLOOKUP(C76,Sheet1!$H$2:$K$191,4,0)</f>
        <v>27722497.513400491</v>
      </c>
      <c r="J76">
        <f t="shared" si="11"/>
        <v>-1838759.6654097773</v>
      </c>
      <c r="K76">
        <f t="shared" si="12"/>
        <v>-40.824886225475957</v>
      </c>
      <c r="L76">
        <f t="shared" si="13"/>
        <v>-171.88850194267994</v>
      </c>
    </row>
    <row r="77" spans="1:12" x14ac:dyDescent="0.25">
      <c r="A77" t="s">
        <v>7</v>
      </c>
      <c r="B77" t="s">
        <v>19</v>
      </c>
      <c r="C77" t="str">
        <f t="shared" si="8"/>
        <v>Chile2021Producción de películas, videos y programas de televisión, grabación de sonido y edición musical</v>
      </c>
      <c r="D77">
        <v>2021</v>
      </c>
      <c r="E77">
        <v>2692.3017160814061</v>
      </c>
      <c r="F77">
        <v>78229</v>
      </c>
      <c r="G77">
        <f t="shared" si="9"/>
        <v>43.815740269872052</v>
      </c>
      <c r="H77">
        <f t="shared" si="10"/>
        <v>131.00933144342076</v>
      </c>
      <c r="I77">
        <f>VLOOKUP(C77,Sheet1!$H$2:$K$191,4,0)</f>
        <v>91040878.324993402</v>
      </c>
      <c r="J77">
        <f t="shared" si="11"/>
        <v>694919.03608645918</v>
      </c>
      <c r="K77">
        <f t="shared" si="12"/>
        <v>228.40070877808211</v>
      </c>
      <c r="L77">
        <f t="shared" si="13"/>
        <v>-137.7928148609673</v>
      </c>
    </row>
    <row r="78" spans="1:12" x14ac:dyDescent="0.25">
      <c r="A78" t="s">
        <v>7</v>
      </c>
      <c r="B78" t="s">
        <v>19</v>
      </c>
      <c r="C78" t="str">
        <f t="shared" si="8"/>
        <v>Chile2022Producción de películas, videos y programas de televisión, grabación de sonido y edición musical</v>
      </c>
      <c r="D78">
        <v>2022</v>
      </c>
      <c r="E78">
        <v>2825.583518258607</v>
      </c>
      <c r="F78">
        <v>253206.02310696692</v>
      </c>
      <c r="G78">
        <f t="shared" si="9"/>
        <v>4.9504779267900947</v>
      </c>
      <c r="H78">
        <f t="shared" si="10"/>
        <v>223.6728362972388</v>
      </c>
      <c r="I78">
        <f>VLOOKUP(C78,Sheet1!$H$2:$K$191,4,0)</f>
        <v>313756483.13832045</v>
      </c>
      <c r="J78">
        <f t="shared" si="11"/>
        <v>1402747.3712604488</v>
      </c>
      <c r="K78">
        <f t="shared" si="12"/>
        <v>244.63253091461556</v>
      </c>
      <c r="L78">
        <f t="shared" si="13"/>
        <v>101.85766951503172</v>
      </c>
    </row>
    <row r="79" spans="1:12" x14ac:dyDescent="0.25">
      <c r="A79" t="s">
        <v>7</v>
      </c>
      <c r="B79" t="s">
        <v>20</v>
      </c>
      <c r="C79" t="str">
        <f t="shared" si="8"/>
        <v>Chile2016Programación de computadoras, consultoría y actividades relacionadas</v>
      </c>
      <c r="D79">
        <v>2016</v>
      </c>
      <c r="E79">
        <v>4090.3197729416911</v>
      </c>
      <c r="F79">
        <v>217507</v>
      </c>
      <c r="G79" t="str">
        <f t="shared" si="9"/>
        <v/>
      </c>
      <c r="H79" t="str">
        <f t="shared" si="10"/>
        <v/>
      </c>
      <c r="I79">
        <f>VLOOKUP(C79,Sheet1!$H$2:$K$191,4,0)</f>
        <v>716382437.45250332</v>
      </c>
      <c r="J79" t="str">
        <f t="shared" si="11"/>
        <v/>
      </c>
      <c r="K79" t="str">
        <f t="shared" si="12"/>
        <v/>
      </c>
      <c r="L79" t="str">
        <f t="shared" si="13"/>
        <v/>
      </c>
    </row>
    <row r="80" spans="1:12" x14ac:dyDescent="0.25">
      <c r="A80" t="s">
        <v>7</v>
      </c>
      <c r="B80" t="s">
        <v>20</v>
      </c>
      <c r="C80" t="str">
        <f t="shared" si="8"/>
        <v>Chile2017Programación de computadoras, consultoría y actividades relacionadas</v>
      </c>
      <c r="D80">
        <v>2017</v>
      </c>
      <c r="E80">
        <v>3855.2873386207689</v>
      </c>
      <c r="F80">
        <v>228857</v>
      </c>
      <c r="G80">
        <f t="shared" si="9"/>
        <v>-5.7460650356901244</v>
      </c>
      <c r="H80">
        <f t="shared" si="10"/>
        <v>5.2182228617929542</v>
      </c>
      <c r="I80">
        <f>VLOOKUP(C80,Sheet1!$H$2:$K$191,4,0)</f>
        <v>641044464.30633497</v>
      </c>
      <c r="J80">
        <f t="shared" si="11"/>
        <v>122847276.03337267</v>
      </c>
      <c r="K80">
        <f t="shared" si="12"/>
        <v>-10.516446133726348</v>
      </c>
      <c r="L80" t="str">
        <f t="shared" si="13"/>
        <v/>
      </c>
    </row>
    <row r="81" spans="1:12" x14ac:dyDescent="0.25">
      <c r="A81" t="s">
        <v>7</v>
      </c>
      <c r="B81" t="s">
        <v>20</v>
      </c>
      <c r="C81" t="str">
        <f t="shared" si="8"/>
        <v>Chile2018Programación de computadoras, consultoría y actividades relacionadas</v>
      </c>
      <c r="D81">
        <v>2018</v>
      </c>
      <c r="E81">
        <v>4962.3197992126234</v>
      </c>
      <c r="F81">
        <v>194170</v>
      </c>
      <c r="G81">
        <f t="shared" si="9"/>
        <v>28.71465505312753</v>
      </c>
      <c r="H81">
        <f t="shared" si="10"/>
        <v>-15.156626190153677</v>
      </c>
      <c r="I81">
        <f>VLOOKUP(C81,Sheet1!$H$2:$K$191,4,0)</f>
        <v>668088471.7340349</v>
      </c>
      <c r="J81">
        <f t="shared" si="11"/>
        <v>-44078970.03939113</v>
      </c>
      <c r="K81">
        <f t="shared" si="12"/>
        <v>4.2187412782612288</v>
      </c>
      <c r="L81">
        <f t="shared" si="13"/>
        <v>-135.88111308826794</v>
      </c>
    </row>
    <row r="82" spans="1:12" x14ac:dyDescent="0.25">
      <c r="A82" t="s">
        <v>7</v>
      </c>
      <c r="B82" t="s">
        <v>20</v>
      </c>
      <c r="C82" t="str">
        <f t="shared" si="8"/>
        <v>Chile2019Programación de computadoras, consultoría y actividades relacionadas</v>
      </c>
      <c r="D82">
        <v>2019</v>
      </c>
      <c r="E82">
        <v>3862.6461133156922</v>
      </c>
      <c r="F82">
        <v>186728</v>
      </c>
      <c r="G82">
        <f t="shared" si="9"/>
        <v>-22.160475954641569</v>
      </c>
      <c r="H82">
        <f t="shared" si="10"/>
        <v>-3.832723901735593</v>
      </c>
      <c r="I82">
        <f>VLOOKUP(C82,Sheet1!$H$2:$K$191,4,0)</f>
        <v>494466314.49210656</v>
      </c>
      <c r="J82">
        <f t="shared" si="11"/>
        <v>-129011723.03807084</v>
      </c>
      <c r="K82">
        <f t="shared" si="12"/>
        <v>-25.987898996563896</v>
      </c>
      <c r="L82">
        <f t="shared" si="13"/>
        <v>192.68316143226497</v>
      </c>
    </row>
    <row r="83" spans="1:12" x14ac:dyDescent="0.25">
      <c r="A83" t="s">
        <v>7</v>
      </c>
      <c r="B83" t="s">
        <v>20</v>
      </c>
      <c r="C83" t="str">
        <f t="shared" si="8"/>
        <v>Chile2020Programación de computadoras, consultoría y actividades relacionadas</v>
      </c>
      <c r="D83">
        <v>2020</v>
      </c>
      <c r="E83">
        <v>3968.0872377578044</v>
      </c>
      <c r="F83">
        <v>221833</v>
      </c>
      <c r="G83">
        <f t="shared" si="9"/>
        <v>2.7297640360742643</v>
      </c>
      <c r="H83">
        <f t="shared" si="10"/>
        <v>18.800072833211946</v>
      </c>
      <c r="I83">
        <f>VLOOKUP(C83,Sheet1!$H$2:$K$191,4,0)</f>
        <v>532273945.88131046</v>
      </c>
      <c r="J83">
        <f t="shared" si="11"/>
        <v>28312334.244844135</v>
      </c>
      <c r="K83">
        <f t="shared" si="12"/>
        <v>7.6461490461768253</v>
      </c>
      <c r="L83">
        <f t="shared" si="13"/>
        <v>-121.94555159649272</v>
      </c>
    </row>
    <row r="84" spans="1:12" x14ac:dyDescent="0.25">
      <c r="A84" t="s">
        <v>7</v>
      </c>
      <c r="B84" t="s">
        <v>20</v>
      </c>
      <c r="C84" t="str">
        <f t="shared" si="8"/>
        <v>Chile2021Programación de computadoras, consultoría y actividades relacionadas</v>
      </c>
      <c r="D84">
        <v>2021</v>
      </c>
      <c r="E84">
        <v>3331.2153552791042</v>
      </c>
      <c r="F84">
        <v>757503</v>
      </c>
      <c r="G84">
        <f t="shared" si="9"/>
        <v>-16.049845790148733</v>
      </c>
      <c r="H84">
        <f t="shared" si="10"/>
        <v>241.47444248601425</v>
      </c>
      <c r="I84">
        <f>VLOOKUP(C84,Sheet1!$H$2:$K$191,4,0)</f>
        <v>1455845242.2965498</v>
      </c>
      <c r="J84">
        <f t="shared" si="11"/>
        <v>6028982.7250801902</v>
      </c>
      <c r="K84">
        <f t="shared" si="12"/>
        <v>173.51427842030475</v>
      </c>
      <c r="L84">
        <f t="shared" si="13"/>
        <v>-78.705455110335492</v>
      </c>
    </row>
    <row r="85" spans="1:12" x14ac:dyDescent="0.25">
      <c r="A85" t="s">
        <v>7</v>
      </c>
      <c r="B85" t="s">
        <v>20</v>
      </c>
      <c r="C85" t="str">
        <f t="shared" si="8"/>
        <v>Chile2022Programación de computadoras, consultoría y actividades relacionadas</v>
      </c>
      <c r="D85">
        <v>2022</v>
      </c>
      <c r="E85">
        <v>3191.5175123873223</v>
      </c>
      <c r="F85">
        <v>2252775.0837650578</v>
      </c>
      <c r="G85">
        <f t="shared" si="9"/>
        <v>-4.1935998725029098</v>
      </c>
      <c r="H85">
        <f t="shared" si="10"/>
        <v>197.39487286057718</v>
      </c>
      <c r="I85">
        <f>VLOOKUP(C85,Sheet1!$H$2:$K$191,4,0)</f>
        <v>3965291509.9639988</v>
      </c>
      <c r="J85">
        <f t="shared" si="11"/>
        <v>20088118.057477314</v>
      </c>
      <c r="K85">
        <f t="shared" si="12"/>
        <v>172.37040000961071</v>
      </c>
      <c r="L85">
        <f t="shared" si="13"/>
        <v>233.19249653696968</v>
      </c>
    </row>
    <row r="86" spans="1:12" x14ac:dyDescent="0.25">
      <c r="A86" t="s">
        <v>8</v>
      </c>
      <c r="B86" t="s">
        <v>16</v>
      </c>
      <c r="C86" t="str">
        <f t="shared" si="8"/>
        <v>México2016Actividades de edición</v>
      </c>
      <c r="D86">
        <v>2016</v>
      </c>
      <c r="E86">
        <v>36051.878648557948</v>
      </c>
      <c r="F86">
        <v>22825</v>
      </c>
      <c r="G86" t="str">
        <f t="shared" si="9"/>
        <v/>
      </c>
      <c r="H86" t="str">
        <f t="shared" si="10"/>
        <v/>
      </c>
      <c r="I86">
        <f>VLOOKUP(C86,Sheet1!$H$2:$K$191,4,0)</f>
        <v>220813878.01063275</v>
      </c>
      <c r="J86" t="str">
        <f t="shared" si="11"/>
        <v/>
      </c>
      <c r="K86" t="str">
        <f t="shared" si="12"/>
        <v/>
      </c>
      <c r="L86" t="str">
        <f t="shared" si="13"/>
        <v/>
      </c>
    </row>
    <row r="87" spans="1:12" x14ac:dyDescent="0.25">
      <c r="A87" t="s">
        <v>8</v>
      </c>
      <c r="B87" t="s">
        <v>16</v>
      </c>
      <c r="C87" t="str">
        <f t="shared" si="8"/>
        <v>México2017Actividades de edición</v>
      </c>
      <c r="D87">
        <v>2017</v>
      </c>
      <c r="E87">
        <v>35002.425112165482</v>
      </c>
      <c r="F87">
        <v>20196</v>
      </c>
      <c r="G87">
        <f t="shared" si="9"/>
        <v>-2.9109538135939652</v>
      </c>
      <c r="H87">
        <f t="shared" si="10"/>
        <v>-11.518072289156626</v>
      </c>
      <c r="I87">
        <f>VLOOKUP(C87,Sheet1!$H$2:$K$191,4,0)</f>
        <v>212497638.67448747</v>
      </c>
      <c r="J87">
        <f t="shared" si="11"/>
        <v>-18449062.771948181</v>
      </c>
      <c r="K87">
        <f t="shared" si="12"/>
        <v>-3.7661760261938038</v>
      </c>
      <c r="L87" t="str">
        <f t="shared" si="13"/>
        <v/>
      </c>
    </row>
    <row r="88" spans="1:12" x14ac:dyDescent="0.25">
      <c r="A88" t="s">
        <v>8</v>
      </c>
      <c r="B88" t="s">
        <v>16</v>
      </c>
      <c r="C88" t="str">
        <f t="shared" si="8"/>
        <v>México2018Actividades de edición</v>
      </c>
      <c r="D88">
        <v>2018</v>
      </c>
      <c r="E88">
        <v>12732.108975743578</v>
      </c>
      <c r="F88">
        <v>69541</v>
      </c>
      <c r="G88">
        <f t="shared" si="9"/>
        <v>-63.625066163434518</v>
      </c>
      <c r="H88">
        <f t="shared" si="10"/>
        <v>244.33056050703107</v>
      </c>
      <c r="I88">
        <f>VLOOKUP(C88,Sheet1!$H$2:$K$191,4,0)</f>
        <v>330405378.89708698</v>
      </c>
      <c r="J88">
        <f t="shared" si="11"/>
        <v>1352288.3842751179</v>
      </c>
      <c r="K88">
        <f t="shared" si="12"/>
        <v>55.486611972764265</v>
      </c>
      <c r="L88">
        <f t="shared" si="13"/>
        <v>-107.32984868115507</v>
      </c>
    </row>
    <row r="89" spans="1:12" x14ac:dyDescent="0.25">
      <c r="A89" t="s">
        <v>8</v>
      </c>
      <c r="B89" t="s">
        <v>16</v>
      </c>
      <c r="C89" t="str">
        <f t="shared" si="8"/>
        <v>México2019Actividades de edición</v>
      </c>
      <c r="D89">
        <v>2019</v>
      </c>
      <c r="E89">
        <v>14464.328922791265</v>
      </c>
      <c r="F89">
        <v>64573</v>
      </c>
      <c r="G89">
        <f t="shared" si="9"/>
        <v>13.605129757747155</v>
      </c>
      <c r="H89">
        <f t="shared" si="10"/>
        <v>-7.1439870004745405</v>
      </c>
      <c r="I89">
        <f>VLOOKUP(C89,Sheet1!$H$2:$K$191,4,0)</f>
        <v>317818393.55331028</v>
      </c>
      <c r="J89">
        <f t="shared" si="11"/>
        <v>-44487538.055738226</v>
      </c>
      <c r="K89">
        <f t="shared" si="12"/>
        <v>-3.8095582419973963</v>
      </c>
      <c r="L89">
        <f t="shared" si="13"/>
        <v>-3389.7966567675112</v>
      </c>
    </row>
    <row r="90" spans="1:12" x14ac:dyDescent="0.25">
      <c r="A90" t="s">
        <v>8</v>
      </c>
      <c r="B90" t="s">
        <v>16</v>
      </c>
      <c r="C90" t="str">
        <f t="shared" si="8"/>
        <v>México2020Actividades de edición</v>
      </c>
      <c r="D90">
        <v>2020</v>
      </c>
      <c r="E90">
        <v>10393.267161727657</v>
      </c>
      <c r="F90">
        <v>52341</v>
      </c>
      <c r="G90">
        <f t="shared" si="9"/>
        <v>-28.145528097393342</v>
      </c>
      <c r="H90">
        <f t="shared" si="10"/>
        <v>-18.942901832035062</v>
      </c>
      <c r="I90">
        <f>VLOOKUP(C90,Sheet1!$H$2:$K$191,4,0)</f>
        <v>267417236.2662915</v>
      </c>
      <c r="J90">
        <f t="shared" si="11"/>
        <v>-14117015.367415991</v>
      </c>
      <c r="K90">
        <f t="shared" si="12"/>
        <v>-15.858477139575806</v>
      </c>
      <c r="L90">
        <f t="shared" si="13"/>
        <v>-68.267483469800354</v>
      </c>
    </row>
    <row r="91" spans="1:12" x14ac:dyDescent="0.25">
      <c r="A91" t="s">
        <v>8</v>
      </c>
      <c r="B91" t="s">
        <v>16</v>
      </c>
      <c r="C91" t="str">
        <f t="shared" si="8"/>
        <v>México2021Actividades de edición</v>
      </c>
      <c r="D91">
        <v>2021</v>
      </c>
      <c r="E91">
        <v>10242.419848128531</v>
      </c>
      <c r="F91">
        <v>61542</v>
      </c>
      <c r="G91">
        <f t="shared" si="9"/>
        <v>-1.4513945542996229</v>
      </c>
      <c r="H91">
        <f t="shared" si="10"/>
        <v>17.578953401730956</v>
      </c>
      <c r="I91">
        <f>VLOOKUP(C91,Sheet1!$H$2:$K$191,4,0)</f>
        <v>341982413.7931034</v>
      </c>
      <c r="J91">
        <f t="shared" si="11"/>
        <v>19454082.730512798</v>
      </c>
      <c r="K91">
        <f t="shared" si="12"/>
        <v>27.883459782884234</v>
      </c>
      <c r="L91">
        <f t="shared" si="13"/>
        <v>-237.80591877384717</v>
      </c>
    </row>
    <row r="92" spans="1:12" x14ac:dyDescent="0.25">
      <c r="A92" t="s">
        <v>8</v>
      </c>
      <c r="B92" t="s">
        <v>16</v>
      </c>
      <c r="C92" t="str">
        <f t="shared" si="8"/>
        <v>México2022Actividades de edición</v>
      </c>
      <c r="D92">
        <v>2022</v>
      </c>
      <c r="E92">
        <v>12415.649964167489</v>
      </c>
      <c r="F92">
        <v>58171</v>
      </c>
      <c r="G92">
        <f t="shared" si="9"/>
        <v>21.217936271534942</v>
      </c>
      <c r="H92">
        <f t="shared" si="10"/>
        <v>-5.477560040297683</v>
      </c>
      <c r="I92">
        <f>VLOOKUP(C92,Sheet1!$H$2:$K$191,4,0)</f>
        <v>361914129.35323381</v>
      </c>
      <c r="J92">
        <f t="shared" si="11"/>
        <v>-66072142.831968896</v>
      </c>
      <c r="K92">
        <f t="shared" si="12"/>
        <v>5.8282867060494352</v>
      </c>
      <c r="L92">
        <f t="shared" si="13"/>
        <v>-439.6312421779615</v>
      </c>
    </row>
    <row r="93" spans="1:12" x14ac:dyDescent="0.25">
      <c r="A93" t="s">
        <v>8</v>
      </c>
      <c r="B93" t="s">
        <v>16</v>
      </c>
      <c r="C93" t="str">
        <f t="shared" si="8"/>
        <v>México2023Actividades de edición</v>
      </c>
      <c r="D93">
        <v>2023</v>
      </c>
      <c r="E93">
        <v>12954.496016744231</v>
      </c>
      <c r="F93">
        <v>54436</v>
      </c>
      <c r="G93">
        <f t="shared" si="9"/>
        <v>4.3400551250389068</v>
      </c>
      <c r="H93">
        <f t="shared" si="10"/>
        <v>-6.4207251035739459</v>
      </c>
      <c r="I93">
        <f>VLOOKUP(C93,Sheet1!$H$2:$K$191,4,0)</f>
        <v>399322146.89265537</v>
      </c>
      <c r="J93">
        <f t="shared" si="11"/>
        <v>-62192687.033179797</v>
      </c>
      <c r="K93">
        <f t="shared" si="12"/>
        <v>10.33615836062337</v>
      </c>
      <c r="L93">
        <f t="shared" si="13"/>
        <v>-5.8715453026173545</v>
      </c>
    </row>
    <row r="94" spans="1:12" x14ac:dyDescent="0.25">
      <c r="A94" t="s">
        <v>8</v>
      </c>
      <c r="B94" t="s">
        <v>17</v>
      </c>
      <c r="C94" t="str">
        <f t="shared" si="8"/>
        <v>México2016Actividades de programación y radiodifusión</v>
      </c>
      <c r="D94">
        <v>2016</v>
      </c>
      <c r="E94">
        <v>55953.43455668394</v>
      </c>
      <c r="F94">
        <v>11875</v>
      </c>
      <c r="G94" t="str">
        <f t="shared" si="9"/>
        <v/>
      </c>
      <c r="H94" t="str">
        <f t="shared" si="10"/>
        <v/>
      </c>
      <c r="I94">
        <f>VLOOKUP(C94,Sheet1!$H$2:$K$191,4,0)</f>
        <v>19044636.147818878</v>
      </c>
      <c r="J94" t="str">
        <f t="shared" si="11"/>
        <v/>
      </c>
      <c r="K94" t="str">
        <f t="shared" si="12"/>
        <v/>
      </c>
      <c r="L94" t="str">
        <f t="shared" si="13"/>
        <v/>
      </c>
    </row>
    <row r="95" spans="1:12" x14ac:dyDescent="0.25">
      <c r="A95" t="s">
        <v>8</v>
      </c>
      <c r="B95" t="s">
        <v>17</v>
      </c>
      <c r="C95" t="str">
        <f t="shared" si="8"/>
        <v>México2017Actividades de programación y radiodifusión</v>
      </c>
      <c r="D95">
        <v>2017</v>
      </c>
      <c r="E95">
        <v>52166.969016962212</v>
      </c>
      <c r="F95">
        <v>11053</v>
      </c>
      <c r="G95">
        <f t="shared" si="9"/>
        <v>-6.7671726851473757</v>
      </c>
      <c r="H95">
        <f t="shared" si="10"/>
        <v>-6.9221052631578948</v>
      </c>
      <c r="I95">
        <f>VLOOKUP(C95,Sheet1!$H$2:$K$191,4,0)</f>
        <v>18563563.818311349</v>
      </c>
      <c r="J95">
        <f t="shared" si="11"/>
        <v>-2681780.0528278258</v>
      </c>
      <c r="K95">
        <f t="shared" si="12"/>
        <v>-2.526025311135311</v>
      </c>
      <c r="L95" t="str">
        <f t="shared" si="13"/>
        <v/>
      </c>
    </row>
    <row r="96" spans="1:12" x14ac:dyDescent="0.25">
      <c r="A96" t="s">
        <v>8</v>
      </c>
      <c r="B96" t="s">
        <v>17</v>
      </c>
      <c r="C96" t="str">
        <f t="shared" si="8"/>
        <v>México2018Actividades de programación y radiodifusión</v>
      </c>
      <c r="D96">
        <v>2018</v>
      </c>
      <c r="E96">
        <v>43483.055522784955</v>
      </c>
      <c r="F96">
        <v>19805</v>
      </c>
      <c r="G96">
        <f t="shared" si="9"/>
        <v>-16.646383061576113</v>
      </c>
      <c r="H96">
        <f t="shared" si="10"/>
        <v>79.18212250067856</v>
      </c>
      <c r="I96">
        <f>VLOOKUP(C96,Sheet1!$H$2:$K$191,4,0)</f>
        <v>69789604.823235899</v>
      </c>
      <c r="J96">
        <f t="shared" si="11"/>
        <v>881380.82965176681</v>
      </c>
      <c r="K96">
        <f t="shared" si="12"/>
        <v>275.94938938607521</v>
      </c>
      <c r="L96">
        <f t="shared" si="13"/>
        <v>-132.86551515372739</v>
      </c>
    </row>
    <row r="97" spans="1:12" x14ac:dyDescent="0.25">
      <c r="A97" t="s">
        <v>8</v>
      </c>
      <c r="B97" t="s">
        <v>17</v>
      </c>
      <c r="C97" t="str">
        <f t="shared" si="8"/>
        <v>México2019Actividades de programación y radiodifusión</v>
      </c>
      <c r="D97">
        <v>2019</v>
      </c>
      <c r="E97">
        <v>21910.686862926319</v>
      </c>
      <c r="F97">
        <v>19424</v>
      </c>
      <c r="G97">
        <f t="shared" si="9"/>
        <v>-49.610976966774558</v>
      </c>
      <c r="H97">
        <f t="shared" si="10"/>
        <v>-1.9237566271143651</v>
      </c>
      <c r="I97">
        <f>VLOOKUP(C97,Sheet1!$H$2:$K$191,4,0)</f>
        <v>67219043.136549175</v>
      </c>
      <c r="J97">
        <f t="shared" si="11"/>
        <v>-34941552.475573659</v>
      </c>
      <c r="K97">
        <f t="shared" si="12"/>
        <v>-3.6833016796663052</v>
      </c>
      <c r="L97">
        <f t="shared" si="13"/>
        <v>-4064.4103093754657</v>
      </c>
    </row>
    <row r="98" spans="1:12" x14ac:dyDescent="0.25">
      <c r="A98" t="s">
        <v>8</v>
      </c>
      <c r="B98" t="s">
        <v>17</v>
      </c>
      <c r="C98" t="str">
        <f t="shared" si="8"/>
        <v>México2020Actividades de programación y radiodifusión</v>
      </c>
      <c r="D98">
        <v>2020</v>
      </c>
      <c r="E98">
        <v>25380.939695541005</v>
      </c>
      <c r="F98">
        <v>17655</v>
      </c>
      <c r="G98">
        <f t="shared" si="9"/>
        <v>15.838174559860468</v>
      </c>
      <c r="H98">
        <f t="shared" si="10"/>
        <v>-9.1072899505766074</v>
      </c>
      <c r="I98">
        <f>VLOOKUP(C98,Sheet1!$H$2:$K$191,4,0)</f>
        <v>47328099.080275834</v>
      </c>
      <c r="J98">
        <f t="shared" si="11"/>
        <v>-5196726.944800891</v>
      </c>
      <c r="K98">
        <f t="shared" si="12"/>
        <v>-29.591233567348997</v>
      </c>
      <c r="L98">
        <f t="shared" si="13"/>
        <v>-85.12737249315488</v>
      </c>
    </row>
    <row r="99" spans="1:12" x14ac:dyDescent="0.25">
      <c r="A99" t="s">
        <v>8</v>
      </c>
      <c r="B99" t="s">
        <v>17</v>
      </c>
      <c r="C99" t="str">
        <f t="shared" si="8"/>
        <v>México2021Actividades de programación y radiodifusión</v>
      </c>
      <c r="D99">
        <v>2021</v>
      </c>
      <c r="E99">
        <v>28383.622762868559</v>
      </c>
      <c r="F99">
        <v>18258</v>
      </c>
      <c r="G99">
        <f t="shared" ref="G99:G130" si="14">IF(B99=B98,(E99-E98)/E98*100,"")</f>
        <v>11.830464527107615</v>
      </c>
      <c r="H99">
        <f t="shared" ref="H99:H130" si="15">IF(B99=B98,(F99-F98)/F98*100,"")</f>
        <v>3.4154630416312655</v>
      </c>
      <c r="I99">
        <f>VLOOKUP(C99,Sheet1!$H$2:$K$191,4,0)</f>
        <v>78615221.674876839</v>
      </c>
      <c r="J99">
        <f t="shared" si="11"/>
        <v>23017441.768987574</v>
      </c>
      <c r="K99">
        <f t="shared" si="12"/>
        <v>66.106865060295718</v>
      </c>
      <c r="L99">
        <f t="shared" si="13"/>
        <v>-542.92190090948623</v>
      </c>
    </row>
    <row r="100" spans="1:12" x14ac:dyDescent="0.25">
      <c r="A100" t="s">
        <v>8</v>
      </c>
      <c r="B100" t="s">
        <v>17</v>
      </c>
      <c r="C100" t="str">
        <f t="shared" si="8"/>
        <v>México2022Actividades de programación y radiodifusión</v>
      </c>
      <c r="D100">
        <v>2022</v>
      </c>
      <c r="E100">
        <v>29916.293811794338</v>
      </c>
      <c r="F100">
        <v>20651</v>
      </c>
      <c r="G100">
        <f t="shared" si="14"/>
        <v>5.3998429366487279</v>
      </c>
      <c r="H100">
        <f t="shared" si="15"/>
        <v>13.106583415489101</v>
      </c>
      <c r="I100">
        <f>VLOOKUP(C100,Sheet1!$H$2:$K$191,4,0)</f>
        <v>98359850.74626866</v>
      </c>
      <c r="J100">
        <f t="shared" si="11"/>
        <v>7504614.1033237483</v>
      </c>
      <c r="K100">
        <f t="shared" si="12"/>
        <v>25.115529347545724</v>
      </c>
      <c r="L100">
        <f t="shared" si="13"/>
        <v>-67.395967898417581</v>
      </c>
    </row>
    <row r="101" spans="1:12" x14ac:dyDescent="0.25">
      <c r="A101" t="s">
        <v>8</v>
      </c>
      <c r="B101" t="s">
        <v>17</v>
      </c>
      <c r="C101" t="str">
        <f t="shared" si="8"/>
        <v>México2023Actividades de programación y radiodifusión</v>
      </c>
      <c r="D101">
        <v>2023</v>
      </c>
      <c r="E101">
        <v>33858.0748785498</v>
      </c>
      <c r="F101">
        <v>19531</v>
      </c>
      <c r="G101">
        <f t="shared" si="14"/>
        <v>13.176034075455684</v>
      </c>
      <c r="H101">
        <f t="shared" si="15"/>
        <v>-5.4234661759721083</v>
      </c>
      <c r="I101">
        <f>VLOOKUP(C101,Sheet1!$H$2:$K$191,4,0)</f>
        <v>125353898.30508479</v>
      </c>
      <c r="J101">
        <f t="shared" si="11"/>
        <v>-23113244.231234875</v>
      </c>
      <c r="K101">
        <f t="shared" si="12"/>
        <v>27.444172956759161</v>
      </c>
      <c r="L101">
        <f t="shared" si="13"/>
        <v>-407.98711183561267</v>
      </c>
    </row>
    <row r="102" spans="1:12" x14ac:dyDescent="0.25">
      <c r="A102" t="s">
        <v>8</v>
      </c>
      <c r="B102" t="s">
        <v>18</v>
      </c>
      <c r="C102" t="str">
        <f t="shared" si="8"/>
        <v>México2016Actividades de servicios de información</v>
      </c>
      <c r="D102">
        <v>2016</v>
      </c>
      <c r="E102">
        <v>28049.996051128852</v>
      </c>
      <c r="F102">
        <v>7056</v>
      </c>
      <c r="G102" t="str">
        <f t="shared" si="14"/>
        <v/>
      </c>
      <c r="H102" t="str">
        <f t="shared" si="15"/>
        <v/>
      </c>
      <c r="I102">
        <f>VLOOKUP(C102,Sheet1!$H$2:$K$191,4,0)</f>
        <v>68217607.192433596</v>
      </c>
      <c r="J102" t="str">
        <f t="shared" si="11"/>
        <v/>
      </c>
      <c r="K102" t="str">
        <f t="shared" si="12"/>
        <v/>
      </c>
      <c r="L102" t="str">
        <f t="shared" si="13"/>
        <v/>
      </c>
    </row>
    <row r="103" spans="1:12" x14ac:dyDescent="0.25">
      <c r="A103" t="s">
        <v>8</v>
      </c>
      <c r="B103" t="s">
        <v>18</v>
      </c>
      <c r="C103" t="str">
        <f t="shared" si="8"/>
        <v>México2017Actividades de servicios de información</v>
      </c>
      <c r="D103">
        <v>2017</v>
      </c>
      <c r="E103">
        <v>28409.300245899416</v>
      </c>
      <c r="F103">
        <v>7409</v>
      </c>
      <c r="G103">
        <f t="shared" si="14"/>
        <v>1.2809420511704646</v>
      </c>
      <c r="H103">
        <f t="shared" si="15"/>
        <v>5.0028344671201808</v>
      </c>
      <c r="I103">
        <f>VLOOKUP(C103,Sheet1!$H$2:$K$191,4,0)</f>
        <v>80258424.02766487</v>
      </c>
      <c r="J103">
        <f t="shared" si="11"/>
        <v>16042590.366549671</v>
      </c>
      <c r="K103">
        <f t="shared" si="12"/>
        <v>17.650599794955561</v>
      </c>
      <c r="L103" t="str">
        <f t="shared" si="13"/>
        <v/>
      </c>
    </row>
    <row r="104" spans="1:12" x14ac:dyDescent="0.25">
      <c r="A104" t="s">
        <v>8</v>
      </c>
      <c r="B104" t="s">
        <v>18</v>
      </c>
      <c r="C104" t="str">
        <f t="shared" si="8"/>
        <v>México2018Actividades de servicios de información</v>
      </c>
      <c r="D104">
        <v>2018</v>
      </c>
      <c r="E104">
        <v>16862.282155002085</v>
      </c>
      <c r="F104">
        <v>32537</v>
      </c>
      <c r="G104">
        <f t="shared" si="14"/>
        <v>-40.645204179444796</v>
      </c>
      <c r="H104">
        <f t="shared" si="15"/>
        <v>339.15508165744365</v>
      </c>
      <c r="I104">
        <f>VLOOKUP(C104,Sheet1!$H$2:$K$191,4,0)</f>
        <v>190278267.9410961</v>
      </c>
      <c r="J104">
        <f t="shared" si="11"/>
        <v>561036.16968146327</v>
      </c>
      <c r="K104">
        <f t="shared" si="12"/>
        <v>137.08198889565494</v>
      </c>
      <c r="L104">
        <f t="shared" si="13"/>
        <v>-96.502833040907916</v>
      </c>
    </row>
    <row r="105" spans="1:12" x14ac:dyDescent="0.25">
      <c r="A105" t="s">
        <v>8</v>
      </c>
      <c r="B105" t="s">
        <v>18</v>
      </c>
      <c r="C105" t="str">
        <f t="shared" si="8"/>
        <v>México2019Actividades de servicios de información</v>
      </c>
      <c r="D105">
        <v>2019</v>
      </c>
      <c r="E105">
        <v>14550.246269820203</v>
      </c>
      <c r="F105">
        <v>33598</v>
      </c>
      <c r="G105">
        <f t="shared" si="14"/>
        <v>-13.711286906061121</v>
      </c>
      <c r="H105">
        <f t="shared" si="15"/>
        <v>3.260902972001106</v>
      </c>
      <c r="I105">
        <f>VLOOKUP(C105,Sheet1!$H$2:$K$191,4,0)</f>
        <v>172821447.6673663</v>
      </c>
      <c r="J105">
        <f t="shared" si="11"/>
        <v>52998034.333205447</v>
      </c>
      <c r="K105">
        <f t="shared" si="12"/>
        <v>-9.1743636636075845</v>
      </c>
      <c r="L105">
        <f t="shared" si="13"/>
        <v>9346.4558966484965</v>
      </c>
    </row>
    <row r="106" spans="1:12" x14ac:dyDescent="0.25">
      <c r="A106" t="s">
        <v>8</v>
      </c>
      <c r="B106" t="s">
        <v>18</v>
      </c>
      <c r="C106" t="str">
        <f t="shared" si="8"/>
        <v>México2020Actividades de servicios de información</v>
      </c>
      <c r="D106">
        <v>2020</v>
      </c>
      <c r="E106">
        <v>13344.108463090965</v>
      </c>
      <c r="F106">
        <v>32338</v>
      </c>
      <c r="G106">
        <f t="shared" si="14"/>
        <v>-8.2894666135719159</v>
      </c>
      <c r="H106">
        <f t="shared" si="15"/>
        <v>-3.7502232275730698</v>
      </c>
      <c r="I106">
        <f>VLOOKUP(C106,Sheet1!$H$2:$K$191,4,0)</f>
        <v>177889633.87507841</v>
      </c>
      <c r="J106">
        <f t="shared" si="11"/>
        <v>-47434412.055038765</v>
      </c>
      <c r="K106">
        <f t="shared" si="12"/>
        <v>2.9326141379552482</v>
      </c>
      <c r="L106">
        <f t="shared" si="13"/>
        <v>-189.50221013257308</v>
      </c>
    </row>
    <row r="107" spans="1:12" x14ac:dyDescent="0.25">
      <c r="A107" t="s">
        <v>8</v>
      </c>
      <c r="B107" t="s">
        <v>18</v>
      </c>
      <c r="C107" t="str">
        <f t="shared" si="8"/>
        <v>México2021Actividades de servicios de información</v>
      </c>
      <c r="D107">
        <v>2021</v>
      </c>
      <c r="E107">
        <v>15194.237847353124</v>
      </c>
      <c r="F107">
        <v>27347</v>
      </c>
      <c r="G107">
        <f t="shared" si="14"/>
        <v>13.864765783188224</v>
      </c>
      <c r="H107">
        <f t="shared" si="15"/>
        <v>-15.433854907539118</v>
      </c>
      <c r="I107">
        <f>VLOOKUP(C107,Sheet1!$H$2:$K$191,4,0)</f>
        <v>190569113.30049261</v>
      </c>
      <c r="J107">
        <f t="shared" si="11"/>
        <v>-12347473.423985835</v>
      </c>
      <c r="K107">
        <f t="shared" si="12"/>
        <v>7.127722481186435</v>
      </c>
      <c r="L107">
        <f t="shared" si="13"/>
        <v>-73.969376052012819</v>
      </c>
    </row>
    <row r="108" spans="1:12" x14ac:dyDescent="0.25">
      <c r="A108" t="s">
        <v>8</v>
      </c>
      <c r="B108" t="s">
        <v>18</v>
      </c>
      <c r="C108" t="str">
        <f t="shared" si="8"/>
        <v>México2022Actividades de servicios de información</v>
      </c>
      <c r="D108">
        <v>2022</v>
      </c>
      <c r="E108">
        <v>15632.720322751449</v>
      </c>
      <c r="F108">
        <v>31034</v>
      </c>
      <c r="G108">
        <f t="shared" si="14"/>
        <v>2.8858471204905456</v>
      </c>
      <c r="H108">
        <f t="shared" si="15"/>
        <v>13.482283248619591</v>
      </c>
      <c r="I108">
        <f>VLOOKUP(C108,Sheet1!$H$2:$K$191,4,0)</f>
        <v>243947512.4378109</v>
      </c>
      <c r="J108">
        <f t="shared" si="11"/>
        <v>18093931.713145688</v>
      </c>
      <c r="K108">
        <f t="shared" si="12"/>
        <v>28.009995015902874</v>
      </c>
      <c r="L108">
        <f t="shared" si="13"/>
        <v>-246.53954774259284</v>
      </c>
    </row>
    <row r="109" spans="1:12" x14ac:dyDescent="0.25">
      <c r="A109" t="s">
        <v>8</v>
      </c>
      <c r="B109" t="s">
        <v>18</v>
      </c>
      <c r="C109" t="str">
        <f t="shared" si="8"/>
        <v>México2023Actividades de servicios de información</v>
      </c>
      <c r="D109">
        <v>2023</v>
      </c>
      <c r="E109">
        <v>21772.458200827081</v>
      </c>
      <c r="F109">
        <v>27592</v>
      </c>
      <c r="G109">
        <f t="shared" si="14"/>
        <v>39.27491665759554</v>
      </c>
      <c r="H109">
        <f t="shared" si="15"/>
        <v>-11.091061416510923</v>
      </c>
      <c r="I109">
        <f>VLOOKUP(C109,Sheet1!$H$2:$K$191,4,0)</f>
        <v>349095819.20903963</v>
      </c>
      <c r="J109">
        <f t="shared" si="11"/>
        <v>-31475420.259539034</v>
      </c>
      <c r="K109">
        <f t="shared" si="12"/>
        <v>43.102840328422701</v>
      </c>
      <c r="L109">
        <f t="shared" si="13"/>
        <v>-273.95567065543509</v>
      </c>
    </row>
    <row r="110" spans="1:12" x14ac:dyDescent="0.25">
      <c r="A110" t="s">
        <v>8</v>
      </c>
      <c r="B110" t="s">
        <v>13</v>
      </c>
      <c r="C110" t="str">
        <f t="shared" si="8"/>
        <v>México2016Comercio al por mayor y al por menor y reparación de vehículos de motor y motocicletas</v>
      </c>
      <c r="D110">
        <v>2016</v>
      </c>
      <c r="E110">
        <v>8235.6390991817752</v>
      </c>
      <c r="F110">
        <v>626743</v>
      </c>
      <c r="G110" t="str">
        <f t="shared" si="14"/>
        <v/>
      </c>
      <c r="H110" t="str">
        <f t="shared" si="15"/>
        <v/>
      </c>
      <c r="I110">
        <f>VLOOKUP(C110,Sheet1!$H$2:$K$191,4,0)</f>
        <v>1161811092.3535299</v>
      </c>
      <c r="J110" t="str">
        <f t="shared" si="11"/>
        <v/>
      </c>
      <c r="K110" t="str">
        <f t="shared" si="12"/>
        <v/>
      </c>
      <c r="L110" t="str">
        <f t="shared" si="13"/>
        <v/>
      </c>
    </row>
    <row r="111" spans="1:12" x14ac:dyDescent="0.25">
      <c r="A111" t="s">
        <v>8</v>
      </c>
      <c r="B111" t="s">
        <v>13</v>
      </c>
      <c r="C111" t="str">
        <f t="shared" si="8"/>
        <v>México2017Comercio al por mayor y al por menor y reparación de vehículos de motor y motocicletas</v>
      </c>
      <c r="D111">
        <v>2017</v>
      </c>
      <c r="E111">
        <v>7012.2319915290336</v>
      </c>
      <c r="F111">
        <v>639743</v>
      </c>
      <c r="G111">
        <f t="shared" si="14"/>
        <v>-14.855035449213519</v>
      </c>
      <c r="H111">
        <f t="shared" si="15"/>
        <v>2.0742154280143534</v>
      </c>
      <c r="I111">
        <f>VLOOKUP(C111,Sheet1!$H$2:$K$191,4,0)</f>
        <v>1219657711.2710474</v>
      </c>
      <c r="J111">
        <f t="shared" si="11"/>
        <v>588009179.18088472</v>
      </c>
      <c r="K111">
        <f t="shared" si="12"/>
        <v>4.9790038413504112</v>
      </c>
      <c r="L111" t="str">
        <f t="shared" si="13"/>
        <v/>
      </c>
    </row>
    <row r="112" spans="1:12" x14ac:dyDescent="0.25">
      <c r="A112" t="s">
        <v>8</v>
      </c>
      <c r="B112" t="s">
        <v>13</v>
      </c>
      <c r="C112" t="str">
        <f t="shared" si="8"/>
        <v>México2018Comercio al por mayor y al por menor y reparación de vehículos de motor y motocicletas</v>
      </c>
      <c r="D112">
        <v>2018</v>
      </c>
      <c r="E112">
        <v>13013.968425714704</v>
      </c>
      <c r="F112">
        <v>619508</v>
      </c>
      <c r="G112">
        <f t="shared" si="14"/>
        <v>85.589530429625398</v>
      </c>
      <c r="H112">
        <f t="shared" si="15"/>
        <v>-3.1629888877252275</v>
      </c>
      <c r="I112" t="e">
        <f>VLOOKUP(C112,Sheet1!$H$2:$K$191,4,0)</f>
        <v>#N/A</v>
      </c>
      <c r="J112" t="str">
        <f t="shared" si="11"/>
        <v/>
      </c>
      <c r="K112" t="e">
        <f t="shared" si="12"/>
        <v>#N/A</v>
      </c>
      <c r="L112" t="str">
        <f t="shared" si="13"/>
        <v/>
      </c>
    </row>
    <row r="113" spans="1:12" x14ac:dyDescent="0.25">
      <c r="A113" t="s">
        <v>8</v>
      </c>
      <c r="B113" t="s">
        <v>13</v>
      </c>
      <c r="C113" t="str">
        <f t="shared" si="8"/>
        <v>México2019Comercio al por mayor y al por menor y reparación de vehículos de motor y motocicletas</v>
      </c>
      <c r="D113">
        <v>2019</v>
      </c>
      <c r="E113">
        <v>11427.076575089883</v>
      </c>
      <c r="F113">
        <v>677213</v>
      </c>
      <c r="G113">
        <f t="shared" si="14"/>
        <v>-12.193758265843279</v>
      </c>
      <c r="H113">
        <f t="shared" si="15"/>
        <v>9.3146496897538054</v>
      </c>
      <c r="I113" t="e">
        <f>VLOOKUP(C113,Sheet1!$H$2:$K$191,4,0)</f>
        <v>#N/A</v>
      </c>
      <c r="J113" t="str">
        <f t="shared" si="11"/>
        <v/>
      </c>
      <c r="K113" t="e">
        <f t="shared" si="12"/>
        <v>#N/A</v>
      </c>
      <c r="L113" t="str">
        <f t="shared" si="13"/>
        <v/>
      </c>
    </row>
    <row r="114" spans="1:12" x14ac:dyDescent="0.25">
      <c r="A114" t="s">
        <v>8</v>
      </c>
      <c r="B114" t="s">
        <v>13</v>
      </c>
      <c r="C114" t="str">
        <f t="shared" si="8"/>
        <v>México2020Comercio al por mayor y al por menor y reparación de vehículos de motor y motocicletas</v>
      </c>
      <c r="D114">
        <v>2020</v>
      </c>
      <c r="E114">
        <v>10662.203328674721</v>
      </c>
      <c r="F114">
        <v>647030</v>
      </c>
      <c r="G114">
        <f t="shared" si="14"/>
        <v>-6.6935164159355018</v>
      </c>
      <c r="H114">
        <f t="shared" si="15"/>
        <v>-4.4569433841346822</v>
      </c>
      <c r="I114" t="e">
        <f>VLOOKUP(C114,Sheet1!$H$2:$K$191,4,0)</f>
        <v>#N/A</v>
      </c>
      <c r="J114" t="str">
        <f t="shared" si="11"/>
        <v/>
      </c>
      <c r="K114" t="e">
        <f t="shared" si="12"/>
        <v>#N/A</v>
      </c>
      <c r="L114" t="str">
        <f t="shared" si="13"/>
        <v/>
      </c>
    </row>
    <row r="115" spans="1:12" x14ac:dyDescent="0.25">
      <c r="A115" t="s">
        <v>8</v>
      </c>
      <c r="B115" t="s">
        <v>13</v>
      </c>
      <c r="C115" t="str">
        <f t="shared" si="8"/>
        <v>México2021Comercio al por mayor y al por menor y reparación de vehículos de motor y motocicletas</v>
      </c>
      <c r="D115">
        <v>2021</v>
      </c>
      <c r="E115">
        <v>16100.60394325038</v>
      </c>
      <c r="F115">
        <v>690111</v>
      </c>
      <c r="G115">
        <f t="shared" si="14"/>
        <v>51.006348752979889</v>
      </c>
      <c r="H115">
        <f t="shared" si="15"/>
        <v>6.658269322906202</v>
      </c>
      <c r="I115" t="e">
        <f>VLOOKUP(C115,Sheet1!$H$2:$K$191,4,0)</f>
        <v>#N/A</v>
      </c>
      <c r="J115" t="str">
        <f t="shared" si="11"/>
        <v/>
      </c>
      <c r="K115" t="e">
        <f t="shared" si="12"/>
        <v>#N/A</v>
      </c>
      <c r="L115" t="str">
        <f t="shared" si="13"/>
        <v/>
      </c>
    </row>
    <row r="116" spans="1:12" x14ac:dyDescent="0.25">
      <c r="A116" t="s">
        <v>8</v>
      </c>
      <c r="B116" t="s">
        <v>13</v>
      </c>
      <c r="C116" t="str">
        <f t="shared" si="8"/>
        <v>México2022Comercio al por mayor y al por menor y reparación de vehículos de motor y motocicletas</v>
      </c>
      <c r="D116">
        <v>2022</v>
      </c>
      <c r="E116">
        <v>20207.327957030891</v>
      </c>
      <c r="F116">
        <v>798926</v>
      </c>
      <c r="G116">
        <f t="shared" si="14"/>
        <v>25.506645764689544</v>
      </c>
      <c r="H116">
        <f t="shared" si="15"/>
        <v>15.767753303454082</v>
      </c>
      <c r="I116" t="e">
        <f>VLOOKUP(C116,Sheet1!$H$2:$K$191,4,0)</f>
        <v>#N/A</v>
      </c>
      <c r="J116" t="str">
        <f t="shared" si="11"/>
        <v/>
      </c>
      <c r="K116" t="e">
        <f t="shared" si="12"/>
        <v>#N/A</v>
      </c>
      <c r="L116" t="str">
        <f t="shared" si="13"/>
        <v/>
      </c>
    </row>
    <row r="117" spans="1:12" x14ac:dyDescent="0.25">
      <c r="A117" t="s">
        <v>8</v>
      </c>
      <c r="B117" t="s">
        <v>13</v>
      </c>
      <c r="C117" t="str">
        <f t="shared" si="8"/>
        <v>México2023Comercio al por mayor y al por menor y reparación de vehículos de motor y motocicletas</v>
      </c>
      <c r="D117">
        <v>2023</v>
      </c>
      <c r="E117">
        <v>18717.801551725996</v>
      </c>
      <c r="F117">
        <v>782384</v>
      </c>
      <c r="G117">
        <f t="shared" si="14"/>
        <v>-7.3712190373326099</v>
      </c>
      <c r="H117">
        <f t="shared" si="15"/>
        <v>-2.070529686103594</v>
      </c>
      <c r="I117" t="e">
        <f>VLOOKUP(C117,Sheet1!$H$2:$K$191,4,0)</f>
        <v>#N/A</v>
      </c>
      <c r="J117" t="str">
        <f t="shared" si="11"/>
        <v/>
      </c>
      <c r="K117" t="e">
        <f t="shared" si="12"/>
        <v>#N/A</v>
      </c>
      <c r="L117" t="str">
        <f t="shared" si="13"/>
        <v/>
      </c>
    </row>
    <row r="118" spans="1:12" x14ac:dyDescent="0.25">
      <c r="A118" t="s">
        <v>8</v>
      </c>
      <c r="B118" t="s">
        <v>14</v>
      </c>
      <c r="C118" t="str">
        <f t="shared" si="8"/>
        <v>México2016Comercio al por mayor, excepto de vehículos de motor y motocicletas</v>
      </c>
      <c r="D118">
        <v>2016</v>
      </c>
      <c r="E118">
        <v>27350.439737471221</v>
      </c>
      <c r="F118">
        <v>779287</v>
      </c>
      <c r="G118" t="str">
        <f t="shared" si="14"/>
        <v/>
      </c>
      <c r="H118" t="str">
        <f t="shared" si="15"/>
        <v/>
      </c>
      <c r="I118">
        <f>VLOOKUP(C118,Sheet1!$H$2:$K$191,4,0)</f>
        <v>2789917716.1808777</v>
      </c>
      <c r="J118" t="str">
        <f t="shared" si="11"/>
        <v/>
      </c>
      <c r="K118" t="str">
        <f t="shared" si="12"/>
        <v/>
      </c>
      <c r="L118" t="str">
        <f t="shared" si="13"/>
        <v/>
      </c>
    </row>
    <row r="119" spans="1:12" x14ac:dyDescent="0.25">
      <c r="A119" t="s">
        <v>8</v>
      </c>
      <c r="B119" t="s">
        <v>14</v>
      </c>
      <c r="C119" t="str">
        <f t="shared" si="8"/>
        <v>México2017Comercio al por mayor, excepto de vehículos de motor y motocicletas</v>
      </c>
      <c r="D119">
        <v>2017</v>
      </c>
      <c r="E119">
        <v>24470.540834528223</v>
      </c>
      <c r="F119">
        <v>795803</v>
      </c>
      <c r="G119">
        <f t="shared" si="14"/>
        <v>-10.529625595004303</v>
      </c>
      <c r="H119">
        <f t="shared" si="15"/>
        <v>2.1193732219323564</v>
      </c>
      <c r="I119">
        <f>VLOOKUP(C119,Sheet1!$H$2:$K$191,4,0)</f>
        <v>2838695093.568018</v>
      </c>
      <c r="J119">
        <f t="shared" si="11"/>
        <v>1339403114.181</v>
      </c>
      <c r="K119">
        <f t="shared" si="12"/>
        <v>1.7483446592077883</v>
      </c>
      <c r="L119" t="str">
        <f t="shared" si="13"/>
        <v/>
      </c>
    </row>
    <row r="120" spans="1:12" x14ac:dyDescent="0.25">
      <c r="A120" t="s">
        <v>8</v>
      </c>
      <c r="B120" t="s">
        <v>14</v>
      </c>
      <c r="C120" t="str">
        <f t="shared" si="8"/>
        <v>México2018Comercio al por mayor, excepto de vehículos de motor y motocicletas</v>
      </c>
      <c r="D120">
        <v>2018</v>
      </c>
      <c r="E120">
        <v>28597.141939792298</v>
      </c>
      <c r="F120">
        <v>796950</v>
      </c>
      <c r="G120">
        <f t="shared" si="14"/>
        <v>16.86354679763102</v>
      </c>
      <c r="H120">
        <f t="shared" si="15"/>
        <v>0.14413114803538063</v>
      </c>
      <c r="I120" t="e">
        <f>VLOOKUP(C120,Sheet1!$H$2:$K$191,4,0)</f>
        <v>#N/A</v>
      </c>
      <c r="J120" t="str">
        <f t="shared" si="11"/>
        <v/>
      </c>
      <c r="K120" t="e">
        <f t="shared" si="12"/>
        <v>#N/A</v>
      </c>
      <c r="L120" t="str">
        <f t="shared" si="13"/>
        <v/>
      </c>
    </row>
    <row r="121" spans="1:12" x14ac:dyDescent="0.25">
      <c r="A121" t="s">
        <v>8</v>
      </c>
      <c r="B121" t="s">
        <v>14</v>
      </c>
      <c r="C121" t="str">
        <f t="shared" si="8"/>
        <v>México2019Comercio al por mayor, excepto de vehículos de motor y motocicletas</v>
      </c>
      <c r="D121">
        <v>2019</v>
      </c>
      <c r="E121">
        <v>26146.50280086304</v>
      </c>
      <c r="F121">
        <v>836354</v>
      </c>
      <c r="G121">
        <f t="shared" si="14"/>
        <v>-8.569524689176184</v>
      </c>
      <c r="H121">
        <f t="shared" si="15"/>
        <v>4.9443503356546836</v>
      </c>
      <c r="I121" t="e">
        <f>VLOOKUP(C121,Sheet1!$H$2:$K$191,4,0)</f>
        <v>#N/A</v>
      </c>
      <c r="J121" t="str">
        <f t="shared" si="11"/>
        <v/>
      </c>
      <c r="K121" t="e">
        <f t="shared" si="12"/>
        <v>#N/A</v>
      </c>
      <c r="L121" t="str">
        <f t="shared" si="13"/>
        <v/>
      </c>
    </row>
    <row r="122" spans="1:12" x14ac:dyDescent="0.25">
      <c r="A122" t="s">
        <v>8</v>
      </c>
      <c r="B122" t="s">
        <v>14</v>
      </c>
      <c r="C122" t="str">
        <f t="shared" si="8"/>
        <v>México2020Comercio al por mayor, excepto de vehículos de motor y motocicletas</v>
      </c>
      <c r="D122">
        <v>2020</v>
      </c>
      <c r="E122">
        <v>23224.494379284948</v>
      </c>
      <c r="F122">
        <v>826762</v>
      </c>
      <c r="G122">
        <f t="shared" si="14"/>
        <v>-11.175522951702904</v>
      </c>
      <c r="H122">
        <f t="shared" si="15"/>
        <v>-1.1468827793015877</v>
      </c>
      <c r="I122" t="e">
        <f>VLOOKUP(C122,Sheet1!$H$2:$K$191,4,0)</f>
        <v>#N/A</v>
      </c>
      <c r="J122" t="str">
        <f t="shared" si="11"/>
        <v/>
      </c>
      <c r="K122" t="e">
        <f t="shared" si="12"/>
        <v>#N/A</v>
      </c>
      <c r="L122" t="str">
        <f t="shared" si="13"/>
        <v/>
      </c>
    </row>
    <row r="123" spans="1:12" x14ac:dyDescent="0.25">
      <c r="A123" t="s">
        <v>8</v>
      </c>
      <c r="B123" t="s">
        <v>14</v>
      </c>
      <c r="C123" t="str">
        <f t="shared" si="8"/>
        <v>México2021Comercio al por mayor, excepto de vehículos de motor y motocicletas</v>
      </c>
      <c r="D123">
        <v>2021</v>
      </c>
      <c r="E123">
        <v>27082.11717184366</v>
      </c>
      <c r="F123">
        <v>929065</v>
      </c>
      <c r="G123">
        <f t="shared" si="14"/>
        <v>16.610147586246324</v>
      </c>
      <c r="H123">
        <f t="shared" si="15"/>
        <v>12.373935909004043</v>
      </c>
      <c r="I123" t="e">
        <f>VLOOKUP(C123,Sheet1!$H$2:$K$191,4,0)</f>
        <v>#N/A</v>
      </c>
      <c r="J123" t="str">
        <f t="shared" si="11"/>
        <v/>
      </c>
      <c r="K123" t="e">
        <f t="shared" si="12"/>
        <v>#N/A</v>
      </c>
      <c r="L123" t="str">
        <f t="shared" si="13"/>
        <v/>
      </c>
    </row>
    <row r="124" spans="1:12" x14ac:dyDescent="0.25">
      <c r="A124" t="s">
        <v>8</v>
      </c>
      <c r="B124" t="s">
        <v>14</v>
      </c>
      <c r="C124" t="str">
        <f t="shared" si="8"/>
        <v>México2022Comercio al por mayor, excepto de vehículos de motor y motocicletas</v>
      </c>
      <c r="D124">
        <v>2022</v>
      </c>
      <c r="E124">
        <v>23961.309804399683</v>
      </c>
      <c r="F124">
        <v>3193288</v>
      </c>
      <c r="G124">
        <f t="shared" si="14"/>
        <v>-11.523498505089446</v>
      </c>
      <c r="H124">
        <f t="shared" si="15"/>
        <v>243.70985883657227</v>
      </c>
      <c r="I124" t="e">
        <f>VLOOKUP(C124,Sheet1!$H$2:$K$191,4,0)</f>
        <v>#N/A</v>
      </c>
      <c r="J124" t="str">
        <f t="shared" si="11"/>
        <v/>
      </c>
      <c r="K124" t="e">
        <f t="shared" si="12"/>
        <v>#N/A</v>
      </c>
      <c r="L124" t="str">
        <f t="shared" si="13"/>
        <v/>
      </c>
    </row>
    <row r="125" spans="1:12" x14ac:dyDescent="0.25">
      <c r="A125" t="s">
        <v>8</v>
      </c>
      <c r="B125" t="s">
        <v>14</v>
      </c>
      <c r="C125" t="str">
        <f t="shared" si="8"/>
        <v>México2023Comercio al por mayor, excepto de vehículos de motor y motocicletas</v>
      </c>
      <c r="D125">
        <v>2023</v>
      </c>
      <c r="E125">
        <v>31966.92038051919</v>
      </c>
      <c r="F125">
        <v>3200365</v>
      </c>
      <c r="G125">
        <f t="shared" si="14"/>
        <v>33.410571631812665</v>
      </c>
      <c r="H125">
        <f t="shared" si="15"/>
        <v>0.22162110025779072</v>
      </c>
      <c r="I125" t="e">
        <f>VLOOKUP(C125,Sheet1!$H$2:$K$191,4,0)</f>
        <v>#N/A</v>
      </c>
      <c r="J125" t="str">
        <f t="shared" si="11"/>
        <v/>
      </c>
      <c r="K125" t="e">
        <f t="shared" si="12"/>
        <v>#N/A</v>
      </c>
      <c r="L125" t="str">
        <f t="shared" si="13"/>
        <v/>
      </c>
    </row>
    <row r="126" spans="1:12" x14ac:dyDescent="0.25">
      <c r="A126" t="s">
        <v>8</v>
      </c>
      <c r="B126" t="s">
        <v>15</v>
      </c>
      <c r="C126" t="str">
        <f t="shared" si="8"/>
        <v>México2016Comercio al por menor, excepto de vehículos de motor y motocicletas</v>
      </c>
      <c r="D126">
        <v>2016</v>
      </c>
      <c r="E126">
        <v>3777.0724673756481</v>
      </c>
      <c r="F126">
        <v>10329645</v>
      </c>
      <c r="G126" t="str">
        <f t="shared" si="14"/>
        <v/>
      </c>
      <c r="H126" t="str">
        <f t="shared" si="15"/>
        <v/>
      </c>
      <c r="I126">
        <f>VLOOKUP(C126,Sheet1!$H$2:$K$191,4,0)</f>
        <v>7841246977.814312</v>
      </c>
      <c r="J126" t="str">
        <f t="shared" si="11"/>
        <v/>
      </c>
      <c r="K126" t="str">
        <f t="shared" si="12"/>
        <v/>
      </c>
      <c r="L126" t="str">
        <f t="shared" si="13"/>
        <v/>
      </c>
    </row>
    <row r="127" spans="1:12" x14ac:dyDescent="0.25">
      <c r="A127" t="s">
        <v>8</v>
      </c>
      <c r="B127" t="s">
        <v>15</v>
      </c>
      <c r="C127" t="str">
        <f t="shared" si="8"/>
        <v>México2017Comercio al por menor, excepto de vehículos de motor y motocicletas</v>
      </c>
      <c r="D127">
        <v>2017</v>
      </c>
      <c r="E127">
        <v>3684.2556880657135</v>
      </c>
      <c r="F127">
        <v>10526777</v>
      </c>
      <c r="G127">
        <f t="shared" si="14"/>
        <v>-2.4573735376177406</v>
      </c>
      <c r="H127">
        <f t="shared" si="15"/>
        <v>1.9084102115803592</v>
      </c>
      <c r="I127">
        <f>VLOOKUP(C127,Sheet1!$H$2:$K$191,4,0)</f>
        <v>8200988524.91786</v>
      </c>
      <c r="J127">
        <f t="shared" si="11"/>
        <v>4297288117.1740332</v>
      </c>
      <c r="K127">
        <f t="shared" si="12"/>
        <v>4.587810435271142</v>
      </c>
      <c r="L127" t="str">
        <f t="shared" si="13"/>
        <v/>
      </c>
    </row>
    <row r="128" spans="1:12" x14ac:dyDescent="0.25">
      <c r="A128" t="s">
        <v>8</v>
      </c>
      <c r="B128" t="s">
        <v>15</v>
      </c>
      <c r="C128" t="str">
        <f t="shared" si="8"/>
        <v>México2018Comercio al por menor, excepto de vehículos de motor y motocicletas</v>
      </c>
      <c r="D128">
        <v>2018</v>
      </c>
      <c r="E128">
        <v>4116.4860408550676</v>
      </c>
      <c r="F128">
        <v>10485862</v>
      </c>
      <c r="G128">
        <f t="shared" si="14"/>
        <v>11.731822907662556</v>
      </c>
      <c r="H128">
        <f t="shared" si="15"/>
        <v>-0.3886754701842739</v>
      </c>
      <c r="I128" t="e">
        <f>VLOOKUP(C128,Sheet1!$H$2:$K$191,4,0)</f>
        <v>#N/A</v>
      </c>
      <c r="J128" t="str">
        <f t="shared" si="11"/>
        <v/>
      </c>
      <c r="K128" t="e">
        <f t="shared" si="12"/>
        <v>#N/A</v>
      </c>
      <c r="L128" t="str">
        <f t="shared" si="13"/>
        <v/>
      </c>
    </row>
    <row r="129" spans="1:12" x14ac:dyDescent="0.25">
      <c r="A129" t="s">
        <v>8</v>
      </c>
      <c r="B129" t="s">
        <v>15</v>
      </c>
      <c r="C129" t="str">
        <f t="shared" si="8"/>
        <v>México2019Comercio al por menor, excepto de vehículos de motor y motocicletas</v>
      </c>
      <c r="D129">
        <v>2019</v>
      </c>
      <c r="E129">
        <v>3627.2601742978281</v>
      </c>
      <c r="F129">
        <v>10970443</v>
      </c>
      <c r="G129">
        <f t="shared" si="14"/>
        <v>-11.88455060218347</v>
      </c>
      <c r="H129">
        <f t="shared" si="15"/>
        <v>4.6212795857889413</v>
      </c>
      <c r="I129" t="e">
        <f>VLOOKUP(C129,Sheet1!$H$2:$K$191,4,0)</f>
        <v>#N/A</v>
      </c>
      <c r="J129" t="str">
        <f t="shared" si="11"/>
        <v/>
      </c>
      <c r="K129" t="e">
        <f t="shared" si="12"/>
        <v>#N/A</v>
      </c>
      <c r="L129" t="str">
        <f t="shared" si="13"/>
        <v/>
      </c>
    </row>
    <row r="130" spans="1:12" x14ac:dyDescent="0.25">
      <c r="A130" t="s">
        <v>8</v>
      </c>
      <c r="B130" t="s">
        <v>15</v>
      </c>
      <c r="C130" t="str">
        <f t="shared" si="8"/>
        <v>México2020Comercio al por menor, excepto de vehículos de motor y motocicletas</v>
      </c>
      <c r="D130">
        <v>2020</v>
      </c>
      <c r="E130">
        <v>3413.486713658694</v>
      </c>
      <c r="F130">
        <v>10905282</v>
      </c>
      <c r="G130">
        <f t="shared" si="14"/>
        <v>-5.8935243232315626</v>
      </c>
      <c r="H130">
        <f t="shared" si="15"/>
        <v>-0.59396872122666333</v>
      </c>
      <c r="I130" t="e">
        <f>VLOOKUP(C130,Sheet1!$H$2:$K$191,4,0)</f>
        <v>#N/A</v>
      </c>
      <c r="J130" t="str">
        <f t="shared" si="11"/>
        <v/>
      </c>
      <c r="K130" t="e">
        <f t="shared" si="12"/>
        <v>#N/A</v>
      </c>
      <c r="L130" t="str">
        <f t="shared" si="13"/>
        <v/>
      </c>
    </row>
    <row r="131" spans="1:12" x14ac:dyDescent="0.25">
      <c r="A131" t="s">
        <v>8</v>
      </c>
      <c r="B131" t="s">
        <v>15</v>
      </c>
      <c r="C131" t="str">
        <f t="shared" ref="C131:C181" si="16">_xlfn.CONCAT(A131,D131,B131)</f>
        <v>México2021Comercio al por menor, excepto de vehículos de motor y motocicletas</v>
      </c>
      <c r="D131">
        <v>2021</v>
      </c>
      <c r="E131">
        <v>4368.9016152661006</v>
      </c>
      <c r="F131">
        <v>11259190</v>
      </c>
      <c r="G131">
        <f t="shared" ref="G131:G162" si="17">IF(B131=B130,(E131-E130)/E130*100,"")</f>
        <v>27.989413223271626</v>
      </c>
      <c r="H131">
        <f t="shared" ref="H131:H162" si="18">IF(B131=B130,(F131-F130)/F130*100,"")</f>
        <v>3.2452897595862265</v>
      </c>
      <c r="I131" t="e">
        <f>VLOOKUP(C131,Sheet1!$H$2:$K$191,4,0)</f>
        <v>#N/A</v>
      </c>
      <c r="J131" t="str">
        <f t="shared" ref="J131:J181" si="19">IFERROR(I131/H131,"")</f>
        <v/>
      </c>
      <c r="K131" t="e">
        <f t="shared" si="12"/>
        <v>#N/A</v>
      </c>
      <c r="L131" t="str">
        <f t="shared" si="13"/>
        <v/>
      </c>
    </row>
    <row r="132" spans="1:12" x14ac:dyDescent="0.25">
      <c r="A132" t="s">
        <v>8</v>
      </c>
      <c r="B132" t="s">
        <v>15</v>
      </c>
      <c r="C132" t="str">
        <f t="shared" si="16"/>
        <v>México2022Comercio al por menor, excepto de vehículos de motor y motocicletas</v>
      </c>
      <c r="D132">
        <v>2022</v>
      </c>
      <c r="E132">
        <v>5839.7732339672548</v>
      </c>
      <c r="F132">
        <v>11372828</v>
      </c>
      <c r="G132">
        <f t="shared" si="17"/>
        <v>33.666851493325886</v>
      </c>
      <c r="H132">
        <f t="shared" si="18"/>
        <v>1.0092910768891901</v>
      </c>
      <c r="I132" t="e">
        <f>VLOOKUP(C132,Sheet1!$H$2:$K$191,4,0)</f>
        <v>#N/A</v>
      </c>
      <c r="J132" t="str">
        <f t="shared" si="19"/>
        <v/>
      </c>
      <c r="K132" t="e">
        <f t="shared" ref="K132:K181" si="20">IF(B132=B131,(I132-I131)/I131*100,"")</f>
        <v>#N/A</v>
      </c>
      <c r="L132" t="str">
        <f t="shared" ref="L132:L181" si="21">IFERROR(IF(B132=B131,(J132-J131)/J131*100,""),"")</f>
        <v/>
      </c>
    </row>
    <row r="133" spans="1:12" x14ac:dyDescent="0.25">
      <c r="A133" t="s">
        <v>8</v>
      </c>
      <c r="B133" t="s">
        <v>15</v>
      </c>
      <c r="C133" t="str">
        <f t="shared" si="16"/>
        <v>México2023Comercio al por menor, excepto de vehículos de motor y motocicletas</v>
      </c>
      <c r="D133">
        <v>2023</v>
      </c>
      <c r="E133">
        <v>6348.4202861294252</v>
      </c>
      <c r="F133">
        <v>11474124</v>
      </c>
      <c r="G133">
        <f t="shared" si="17"/>
        <v>8.7100480067206423</v>
      </c>
      <c r="H133">
        <f t="shared" si="18"/>
        <v>0.8906843574878649</v>
      </c>
      <c r="I133" t="e">
        <f>VLOOKUP(C133,Sheet1!$H$2:$K$191,4,0)</f>
        <v>#N/A</v>
      </c>
      <c r="J133" t="str">
        <f t="shared" si="19"/>
        <v/>
      </c>
      <c r="K133" t="e">
        <f t="shared" si="20"/>
        <v>#N/A</v>
      </c>
      <c r="L133" t="str">
        <f t="shared" si="21"/>
        <v/>
      </c>
    </row>
    <row r="134" spans="1:12" x14ac:dyDescent="0.25">
      <c r="A134" t="s">
        <v>8</v>
      </c>
      <c r="B134" t="s">
        <v>9</v>
      </c>
      <c r="C134" t="str">
        <f t="shared" si="16"/>
        <v>México2016Elaboración de productos alimenticios</v>
      </c>
      <c r="D134">
        <v>2016</v>
      </c>
      <c r="E134">
        <v>14889.560155377081</v>
      </c>
      <c r="F134">
        <v>1514326</v>
      </c>
      <c r="G134" t="str">
        <f t="shared" si="17"/>
        <v/>
      </c>
      <c r="H134" t="str">
        <f t="shared" si="18"/>
        <v/>
      </c>
      <c r="I134">
        <f>VLOOKUP(C134,Sheet1!$H$2:$K$191,4,0)</f>
        <v>3182136057.4044504</v>
      </c>
      <c r="J134" t="str">
        <f t="shared" si="19"/>
        <v/>
      </c>
      <c r="K134" t="str">
        <f t="shared" si="20"/>
        <v/>
      </c>
      <c r="L134" t="str">
        <f t="shared" si="21"/>
        <v/>
      </c>
    </row>
    <row r="135" spans="1:12" x14ac:dyDescent="0.25">
      <c r="A135" t="s">
        <v>8</v>
      </c>
      <c r="B135" t="s">
        <v>9</v>
      </c>
      <c r="C135" t="str">
        <f t="shared" si="16"/>
        <v>México2017Elaboración de productos alimenticios</v>
      </c>
      <c r="D135">
        <v>2017</v>
      </c>
      <c r="E135">
        <v>16457.426848870327</v>
      </c>
      <c r="F135">
        <v>1530819</v>
      </c>
      <c r="G135">
        <f t="shared" si="17"/>
        <v>10.529973196871373</v>
      </c>
      <c r="H135">
        <f t="shared" si="18"/>
        <v>1.0891314023532581</v>
      </c>
      <c r="I135">
        <f>VLOOKUP(C135,Sheet1!$H$2:$K$191,4,0)</f>
        <v>3321887545.7801256</v>
      </c>
      <c r="J135">
        <f t="shared" si="19"/>
        <v>3050033759.5652909</v>
      </c>
      <c r="K135">
        <f t="shared" si="20"/>
        <v>4.3917508822569093</v>
      </c>
      <c r="L135" t="str">
        <f t="shared" si="21"/>
        <v/>
      </c>
    </row>
    <row r="136" spans="1:12" x14ac:dyDescent="0.25">
      <c r="A136" t="s">
        <v>8</v>
      </c>
      <c r="B136" t="s">
        <v>9</v>
      </c>
      <c r="C136" t="str">
        <f t="shared" si="16"/>
        <v>México2018Elaboración de productos alimenticios</v>
      </c>
      <c r="D136">
        <v>2018</v>
      </c>
      <c r="E136">
        <v>15293.515440936273</v>
      </c>
      <c r="F136">
        <v>1527231</v>
      </c>
      <c r="G136">
        <f t="shared" si="17"/>
        <v>-7.0722563048423792</v>
      </c>
      <c r="H136">
        <f t="shared" si="18"/>
        <v>-0.2343843393634388</v>
      </c>
      <c r="I136">
        <f>VLOOKUP(C136,Sheet1!$H$2:$K$191,4,0)</f>
        <v>3468481601.3018532</v>
      </c>
      <c r="J136">
        <f t="shared" si="19"/>
        <v>-14798265151.681442</v>
      </c>
      <c r="K136">
        <f t="shared" si="20"/>
        <v>4.4129746567715555</v>
      </c>
      <c r="L136">
        <f t="shared" si="21"/>
        <v>-585.18365100950825</v>
      </c>
    </row>
    <row r="137" spans="1:12" x14ac:dyDescent="0.25">
      <c r="A137" t="s">
        <v>8</v>
      </c>
      <c r="B137" t="s">
        <v>9</v>
      </c>
      <c r="C137" t="str">
        <f t="shared" si="16"/>
        <v>México2019Elaboración de productos alimenticios</v>
      </c>
      <c r="D137">
        <v>2019</v>
      </c>
      <c r="E137">
        <v>15390.100048786029</v>
      </c>
      <c r="F137">
        <v>1532903</v>
      </c>
      <c r="G137">
        <f t="shared" si="17"/>
        <v>0.63153961051510332</v>
      </c>
      <c r="H137">
        <f t="shared" si="18"/>
        <v>0.3713910993163444</v>
      </c>
      <c r="I137">
        <f>VLOOKUP(C137,Sheet1!$H$2:$K$191,4,0)</f>
        <v>3724023540.038312</v>
      </c>
      <c r="J137">
        <f t="shared" si="19"/>
        <v>10027228834.76067</v>
      </c>
      <c r="K137">
        <f t="shared" si="20"/>
        <v>7.3675448830561523</v>
      </c>
      <c r="L137">
        <f t="shared" si="21"/>
        <v>-167.75948891293743</v>
      </c>
    </row>
    <row r="138" spans="1:12" x14ac:dyDescent="0.25">
      <c r="A138" t="s">
        <v>8</v>
      </c>
      <c r="B138" t="s">
        <v>9</v>
      </c>
      <c r="C138" t="str">
        <f t="shared" si="16"/>
        <v>México2020Elaboración de productos alimenticios</v>
      </c>
      <c r="D138">
        <v>2020</v>
      </c>
      <c r="E138">
        <v>13931.332397619728</v>
      </c>
      <c r="F138">
        <v>1544683</v>
      </c>
      <c r="G138">
        <f t="shared" si="17"/>
        <v>-9.4786105778524092</v>
      </c>
      <c r="H138">
        <f t="shared" si="18"/>
        <v>0.76847654417794209</v>
      </c>
      <c r="I138">
        <f>VLOOKUP(C138,Sheet1!$H$2:$K$191,4,0)</f>
        <v>3496697502.5530648</v>
      </c>
      <c r="J138">
        <f t="shared" si="19"/>
        <v>4550168159.3854847</v>
      </c>
      <c r="K138">
        <f t="shared" si="20"/>
        <v>-6.1043125813030832</v>
      </c>
      <c r="L138">
        <f t="shared" si="21"/>
        <v>-54.621877745407133</v>
      </c>
    </row>
    <row r="139" spans="1:12" x14ac:dyDescent="0.25">
      <c r="A139" t="s">
        <v>8</v>
      </c>
      <c r="B139" t="s">
        <v>9</v>
      </c>
      <c r="C139" t="str">
        <f t="shared" si="16"/>
        <v>México2021Elaboración de productos alimenticios</v>
      </c>
      <c r="D139">
        <v>2021</v>
      </c>
      <c r="E139">
        <v>14213.212268224155</v>
      </c>
      <c r="F139">
        <v>1629483</v>
      </c>
      <c r="G139">
        <f t="shared" si="17"/>
        <v>2.023351841440439</v>
      </c>
      <c r="H139">
        <f t="shared" si="18"/>
        <v>5.4897995252100271</v>
      </c>
      <c r="I139">
        <f>VLOOKUP(C139,Sheet1!$H$2:$K$191,4,0)</f>
        <v>4554496403.9408865</v>
      </c>
      <c r="J139">
        <f t="shared" si="19"/>
        <v>829628911.40667689</v>
      </c>
      <c r="K139">
        <f t="shared" si="20"/>
        <v>30.251370060335059</v>
      </c>
      <c r="L139">
        <f t="shared" si="21"/>
        <v>-81.76707140602204</v>
      </c>
    </row>
    <row r="140" spans="1:12" x14ac:dyDescent="0.25">
      <c r="A140" t="s">
        <v>8</v>
      </c>
      <c r="B140" t="s">
        <v>9</v>
      </c>
      <c r="C140" t="str">
        <f t="shared" si="16"/>
        <v>México2022Elaboración de productos alimenticios</v>
      </c>
      <c r="D140">
        <v>2022</v>
      </c>
      <c r="E140">
        <v>16562.940820782733</v>
      </c>
      <c r="F140">
        <v>1752058</v>
      </c>
      <c r="G140">
        <f t="shared" si="17"/>
        <v>16.532002113355901</v>
      </c>
      <c r="H140">
        <f t="shared" si="18"/>
        <v>7.5223245655217026</v>
      </c>
      <c r="I140">
        <f>VLOOKUP(C140,Sheet1!$H$2:$K$191,4,0)</f>
        <v>6101304776.1194019</v>
      </c>
      <c r="J140">
        <f t="shared" si="19"/>
        <v>811092996.98187816</v>
      </c>
      <c r="K140">
        <f t="shared" si="20"/>
        <v>33.962226226374945</v>
      </c>
      <c r="L140">
        <f t="shared" si="21"/>
        <v>-2.2342416193488446</v>
      </c>
    </row>
    <row r="141" spans="1:12" x14ac:dyDescent="0.25">
      <c r="A141" t="s">
        <v>8</v>
      </c>
      <c r="B141" t="s">
        <v>9</v>
      </c>
      <c r="C141" t="str">
        <f t="shared" si="16"/>
        <v>México2023Elaboración de productos alimenticios</v>
      </c>
      <c r="D141">
        <v>2023</v>
      </c>
      <c r="E141">
        <v>18295.819313036689</v>
      </c>
      <c r="F141">
        <v>1756559</v>
      </c>
      <c r="G141">
        <f t="shared" si="17"/>
        <v>10.462384132168044</v>
      </c>
      <c r="H141">
        <f t="shared" si="18"/>
        <v>0.25689788808361369</v>
      </c>
      <c r="I141">
        <f>VLOOKUP(C141,Sheet1!$H$2:$K$191,4,0)</f>
        <v>7484435649.717515</v>
      </c>
      <c r="J141">
        <f t="shared" si="19"/>
        <v>29133893258.326527</v>
      </c>
      <c r="K141">
        <f t="shared" si="20"/>
        <v>22.669427677366784</v>
      </c>
      <c r="L141">
        <f t="shared" si="21"/>
        <v>3491.9300705018236</v>
      </c>
    </row>
    <row r="142" spans="1:12" x14ac:dyDescent="0.25">
      <c r="A142" t="s">
        <v>8</v>
      </c>
      <c r="B142" t="s">
        <v>10</v>
      </c>
      <c r="C142" t="str">
        <f t="shared" si="16"/>
        <v>México2016Fabricación de prendas de vestir</v>
      </c>
      <c r="D142">
        <v>2016</v>
      </c>
      <c r="E142">
        <v>5533.0031470170588</v>
      </c>
      <c r="F142">
        <v>300804</v>
      </c>
      <c r="G142" t="str">
        <f t="shared" si="17"/>
        <v/>
      </c>
      <c r="H142" t="str">
        <f t="shared" si="18"/>
        <v/>
      </c>
      <c r="I142">
        <f>VLOOKUP(C142,Sheet1!$H$2:$K$191,4,0)</f>
        <v>695476716.16614306</v>
      </c>
      <c r="J142" t="str">
        <f t="shared" si="19"/>
        <v/>
      </c>
      <c r="K142" t="str">
        <f t="shared" si="20"/>
        <v/>
      </c>
      <c r="L142" t="str">
        <f t="shared" si="21"/>
        <v/>
      </c>
    </row>
    <row r="143" spans="1:12" x14ac:dyDescent="0.25">
      <c r="A143" t="s">
        <v>8</v>
      </c>
      <c r="B143" t="s">
        <v>10</v>
      </c>
      <c r="C143" t="str">
        <f t="shared" si="16"/>
        <v>México2017Fabricación de prendas de vestir</v>
      </c>
      <c r="D143">
        <v>2017</v>
      </c>
      <c r="E143">
        <v>6248.6133616487014</v>
      </c>
      <c r="F143">
        <v>293431</v>
      </c>
      <c r="G143">
        <f t="shared" si="17"/>
        <v>12.933486492185367</v>
      </c>
      <c r="H143">
        <f t="shared" si="18"/>
        <v>-2.4510977247642982</v>
      </c>
      <c r="I143">
        <f>VLOOKUP(C143,Sheet1!$H$2:$K$191,4,0)</f>
        <v>714279137.47114933</v>
      </c>
      <c r="J143">
        <f t="shared" si="19"/>
        <v>-291411937.70225364</v>
      </c>
      <c r="K143">
        <f t="shared" si="20"/>
        <v>2.7035299483001727</v>
      </c>
      <c r="L143" t="str">
        <f t="shared" si="21"/>
        <v/>
      </c>
    </row>
    <row r="144" spans="1:12" x14ac:dyDescent="0.25">
      <c r="A144" t="s">
        <v>8</v>
      </c>
      <c r="B144" t="s">
        <v>10</v>
      </c>
      <c r="C144" t="str">
        <f t="shared" si="16"/>
        <v>México2018Fabricación de prendas de vestir</v>
      </c>
      <c r="D144">
        <v>2018</v>
      </c>
      <c r="E144">
        <v>6095.9437032060623</v>
      </c>
      <c r="F144">
        <v>287226</v>
      </c>
      <c r="G144">
        <f t="shared" si="17"/>
        <v>-2.4432566012110732</v>
      </c>
      <c r="H144">
        <f t="shared" si="18"/>
        <v>-2.1146368311459933</v>
      </c>
      <c r="I144">
        <f>VLOOKUP(C144,Sheet1!$H$2:$K$191,4,0)</f>
        <v>725403562.3458147</v>
      </c>
      <c r="J144">
        <f t="shared" si="19"/>
        <v>-343039311.36614788</v>
      </c>
      <c r="K144">
        <f t="shared" si="20"/>
        <v>1.5574338225879809</v>
      </c>
      <c r="L144">
        <f t="shared" si="21"/>
        <v>17.716286460661003</v>
      </c>
    </row>
    <row r="145" spans="1:12" x14ac:dyDescent="0.25">
      <c r="A145" t="s">
        <v>8</v>
      </c>
      <c r="B145" t="s">
        <v>10</v>
      </c>
      <c r="C145" t="str">
        <f t="shared" si="16"/>
        <v>México2019Fabricación de prendas de vestir</v>
      </c>
      <c r="D145">
        <v>2019</v>
      </c>
      <c r="E145">
        <v>6173.7880727422116</v>
      </c>
      <c r="F145">
        <v>281777</v>
      </c>
      <c r="G145">
        <f t="shared" si="17"/>
        <v>1.2769863588997441</v>
      </c>
      <c r="H145">
        <f t="shared" si="18"/>
        <v>-1.8971123784058546</v>
      </c>
      <c r="I145">
        <f>VLOOKUP(C145,Sheet1!$H$2:$K$191,4,0)</f>
        <v>743275879.07438719</v>
      </c>
      <c r="J145">
        <f t="shared" si="19"/>
        <v>-391793278.84569633</v>
      </c>
      <c r="K145">
        <f t="shared" si="20"/>
        <v>2.4637757044888056</v>
      </c>
      <c r="L145">
        <f t="shared" si="21"/>
        <v>14.212355804174937</v>
      </c>
    </row>
    <row r="146" spans="1:12" x14ac:dyDescent="0.25">
      <c r="A146" t="s">
        <v>8</v>
      </c>
      <c r="B146" t="s">
        <v>10</v>
      </c>
      <c r="C146" t="str">
        <f t="shared" si="16"/>
        <v>México2020Fabricación de prendas de vestir</v>
      </c>
      <c r="D146">
        <v>2020</v>
      </c>
      <c r="E146">
        <v>4691.3462416041857</v>
      </c>
      <c r="F146">
        <v>245100</v>
      </c>
      <c r="G146">
        <f t="shared" si="17"/>
        <v>-24.011867813913636</v>
      </c>
      <c r="H146">
        <f t="shared" si="18"/>
        <v>-13.01632141729098</v>
      </c>
      <c r="I146">
        <f>VLOOKUP(C146,Sheet1!$H$2:$K$191,4,0)</f>
        <v>584450335.55407059</v>
      </c>
      <c r="J146">
        <f t="shared" si="19"/>
        <v>-44901344.766861886</v>
      </c>
      <c r="K146">
        <f t="shared" si="20"/>
        <v>-21.368316663000616</v>
      </c>
      <c r="L146">
        <f t="shared" si="21"/>
        <v>-88.539531637921272</v>
      </c>
    </row>
    <row r="147" spans="1:12" x14ac:dyDescent="0.25">
      <c r="A147" t="s">
        <v>8</v>
      </c>
      <c r="B147" t="s">
        <v>10</v>
      </c>
      <c r="C147" t="str">
        <f t="shared" si="16"/>
        <v>México2021Fabricación de prendas de vestir</v>
      </c>
      <c r="D147">
        <v>2021</v>
      </c>
      <c r="E147">
        <v>6072.5172750137936</v>
      </c>
      <c r="F147">
        <v>238755</v>
      </c>
      <c r="G147">
        <f t="shared" si="17"/>
        <v>29.440824920595126</v>
      </c>
      <c r="H147">
        <f t="shared" si="18"/>
        <v>-2.5887392900856794</v>
      </c>
      <c r="I147">
        <f>VLOOKUP(C147,Sheet1!$H$2:$K$191,4,0)</f>
        <v>687144285.71428573</v>
      </c>
      <c r="J147">
        <f t="shared" si="19"/>
        <v>-265435877.74400541</v>
      </c>
      <c r="K147">
        <f t="shared" si="20"/>
        <v>17.571031089041846</v>
      </c>
      <c r="L147">
        <f t="shared" si="21"/>
        <v>491.15351471589452</v>
      </c>
    </row>
    <row r="148" spans="1:12" x14ac:dyDescent="0.25">
      <c r="A148" t="s">
        <v>8</v>
      </c>
      <c r="B148" t="s">
        <v>10</v>
      </c>
      <c r="C148" t="str">
        <f t="shared" si="16"/>
        <v>México2022Fabricación de prendas de vestir</v>
      </c>
      <c r="D148">
        <v>2022</v>
      </c>
      <c r="E148">
        <v>4625.6221653073835</v>
      </c>
      <c r="F148">
        <v>501642</v>
      </c>
      <c r="G148">
        <f t="shared" si="17"/>
        <v>-23.826941022627611</v>
      </c>
      <c r="H148">
        <f t="shared" si="18"/>
        <v>110.10743230508263</v>
      </c>
      <c r="I148">
        <f>VLOOKUP(C148,Sheet1!$H$2:$K$191,4,0)</f>
        <v>1222573432.8358212</v>
      </c>
      <c r="J148">
        <f t="shared" si="19"/>
        <v>11103459.65972895</v>
      </c>
      <c r="K148">
        <f t="shared" si="20"/>
        <v>77.920919703924682</v>
      </c>
      <c r="L148">
        <f t="shared" si="21"/>
        <v>-104.18310431660542</v>
      </c>
    </row>
    <row r="149" spans="1:12" x14ac:dyDescent="0.25">
      <c r="A149" t="s">
        <v>8</v>
      </c>
      <c r="B149" t="s">
        <v>10</v>
      </c>
      <c r="C149" t="str">
        <f t="shared" si="16"/>
        <v>México2023Fabricación de prendas de vestir</v>
      </c>
      <c r="D149">
        <v>2023</v>
      </c>
      <c r="E149">
        <v>4518.5953977670961</v>
      </c>
      <c r="F149">
        <v>508228</v>
      </c>
      <c r="G149">
        <f t="shared" si="17"/>
        <v>-2.3137810161625092</v>
      </c>
      <c r="H149">
        <f t="shared" si="18"/>
        <v>1.3128884742505611</v>
      </c>
      <c r="I149">
        <f>VLOOKUP(C149,Sheet1!$H$2:$K$191,4,0)</f>
        <v>1423187627.1186442</v>
      </c>
      <c r="J149">
        <f t="shared" si="19"/>
        <v>1084012583.7276814</v>
      </c>
      <c r="K149">
        <f t="shared" si="20"/>
        <v>16.409173379261834</v>
      </c>
      <c r="L149">
        <f t="shared" si="21"/>
        <v>9662.8362415660231</v>
      </c>
    </row>
    <row r="150" spans="1:12" x14ac:dyDescent="0.25">
      <c r="A150" t="s">
        <v>8</v>
      </c>
      <c r="B150" t="s">
        <v>11</v>
      </c>
      <c r="C150" t="str">
        <f t="shared" si="16"/>
        <v>México2016Fabricación de productos de cuero y productos conexos</v>
      </c>
      <c r="D150">
        <v>2016</v>
      </c>
      <c r="E150">
        <v>6945.6412422015628</v>
      </c>
      <c r="F150">
        <v>145519</v>
      </c>
      <c r="G150" t="str">
        <f t="shared" si="17"/>
        <v/>
      </c>
      <c r="H150" t="str">
        <f t="shared" si="18"/>
        <v/>
      </c>
      <c r="I150">
        <f>VLOOKUP(C150,Sheet1!$H$2:$K$191,4,0)</f>
        <v>383565399.98669457</v>
      </c>
      <c r="J150" t="str">
        <f t="shared" si="19"/>
        <v/>
      </c>
      <c r="K150" t="str">
        <f t="shared" si="20"/>
        <v/>
      </c>
      <c r="L150" t="str">
        <f t="shared" si="21"/>
        <v/>
      </c>
    </row>
    <row r="151" spans="1:12" x14ac:dyDescent="0.25">
      <c r="A151" t="s">
        <v>8</v>
      </c>
      <c r="B151" t="s">
        <v>11</v>
      </c>
      <c r="C151" t="str">
        <f t="shared" si="16"/>
        <v>México2017Fabricación de productos de cuero y productos conexos</v>
      </c>
      <c r="D151">
        <v>2017</v>
      </c>
      <c r="E151">
        <v>5946.0058247203533</v>
      </c>
      <c r="F151">
        <v>115282</v>
      </c>
      <c r="G151">
        <f t="shared" si="17"/>
        <v>-14.392269664137658</v>
      </c>
      <c r="H151">
        <f t="shared" si="18"/>
        <v>-20.77872992530185</v>
      </c>
      <c r="I151">
        <f>VLOOKUP(C151,Sheet1!$H$2:$K$191,4,0)</f>
        <v>297546669.53154784</v>
      </c>
      <c r="J151">
        <f t="shared" si="19"/>
        <v>-14319771.737791881</v>
      </c>
      <c r="K151">
        <f t="shared" si="20"/>
        <v>-22.426092253923482</v>
      </c>
      <c r="L151" t="str">
        <f t="shared" si="21"/>
        <v/>
      </c>
    </row>
    <row r="152" spans="1:12" x14ac:dyDescent="0.25">
      <c r="A152" t="s">
        <v>8</v>
      </c>
      <c r="B152" t="s">
        <v>11</v>
      </c>
      <c r="C152" t="str">
        <f t="shared" si="16"/>
        <v>México2018Fabricación de productos de cuero y productos conexos</v>
      </c>
      <c r="D152">
        <v>2018</v>
      </c>
      <c r="E152">
        <v>6717.2657746466857</v>
      </c>
      <c r="F152">
        <v>111507</v>
      </c>
      <c r="G152">
        <f t="shared" si="17"/>
        <v>12.971059441614413</v>
      </c>
      <c r="H152">
        <f t="shared" si="18"/>
        <v>-3.2745788587984248</v>
      </c>
      <c r="I152">
        <f>VLOOKUP(C152,Sheet1!$H$2:$K$191,4,0)</f>
        <v>300704336.90249205</v>
      </c>
      <c r="J152">
        <f t="shared" si="19"/>
        <v>-91829926.799451888</v>
      </c>
      <c r="K152">
        <f t="shared" si="20"/>
        <v>1.0612343186080948</v>
      </c>
      <c r="L152">
        <f t="shared" si="21"/>
        <v>541.28066062044729</v>
      </c>
    </row>
    <row r="153" spans="1:12" x14ac:dyDescent="0.25">
      <c r="A153" t="s">
        <v>8</v>
      </c>
      <c r="B153" t="s">
        <v>11</v>
      </c>
      <c r="C153" t="str">
        <f t="shared" si="16"/>
        <v>México2019Fabricación de productos de cuero y productos conexos</v>
      </c>
      <c r="D153">
        <v>2019</v>
      </c>
      <c r="E153">
        <v>7233.6710365270828</v>
      </c>
      <c r="F153">
        <v>135631</v>
      </c>
      <c r="G153">
        <f t="shared" si="17"/>
        <v>7.6877300854983508</v>
      </c>
      <c r="H153">
        <f t="shared" si="18"/>
        <v>21.634516218712726</v>
      </c>
      <c r="I153">
        <f>VLOOKUP(C153,Sheet1!$H$2:$K$191,4,0)</f>
        <v>411119847.58846122</v>
      </c>
      <c r="J153">
        <f t="shared" si="19"/>
        <v>19002960.058467314</v>
      </c>
      <c r="K153">
        <f t="shared" si="20"/>
        <v>36.718961829198058</v>
      </c>
      <c r="L153">
        <f t="shared" si="21"/>
        <v>-120.69364609205017</v>
      </c>
    </row>
    <row r="154" spans="1:12" x14ac:dyDescent="0.25">
      <c r="A154" t="s">
        <v>8</v>
      </c>
      <c r="B154" t="s">
        <v>11</v>
      </c>
      <c r="C154" t="str">
        <f t="shared" si="16"/>
        <v>México2020Fabricación de productos de cuero y productos conexos</v>
      </c>
      <c r="D154">
        <v>2020</v>
      </c>
      <c r="E154">
        <v>5754.0376203429423</v>
      </c>
      <c r="F154">
        <v>117713</v>
      </c>
      <c r="G154">
        <f t="shared" si="17"/>
        <v>-20.454806538928803</v>
      </c>
      <c r="H154">
        <f t="shared" si="18"/>
        <v>-13.21084412855468</v>
      </c>
      <c r="I154">
        <f>VLOOKUP(C154,Sheet1!$H$2:$K$191,4,0)</f>
        <v>325589524.46075344</v>
      </c>
      <c r="J154">
        <f t="shared" si="19"/>
        <v>-24645626.069950026</v>
      </c>
      <c r="K154">
        <f t="shared" si="20"/>
        <v>-20.804231084782181</v>
      </c>
      <c r="L154">
        <f t="shared" si="21"/>
        <v>-229.69361612149717</v>
      </c>
    </row>
    <row r="155" spans="1:12" x14ac:dyDescent="0.25">
      <c r="A155" t="s">
        <v>8</v>
      </c>
      <c r="B155" t="s">
        <v>11</v>
      </c>
      <c r="C155" t="str">
        <f t="shared" si="16"/>
        <v>México2021Fabricación de productos de cuero y productos conexos</v>
      </c>
      <c r="D155">
        <v>2021</v>
      </c>
      <c r="E155">
        <v>6975.192691552179</v>
      </c>
      <c r="F155">
        <v>117383</v>
      </c>
      <c r="G155">
        <f t="shared" si="17"/>
        <v>21.222577115101576</v>
      </c>
      <c r="H155">
        <f t="shared" si="18"/>
        <v>-0.28034286782258544</v>
      </c>
      <c r="I155">
        <f>VLOOKUP(C155,Sheet1!$H$2:$K$191,4,0)</f>
        <v>398176206.89655173</v>
      </c>
      <c r="J155">
        <f t="shared" si="19"/>
        <v>-1420318661.8913271</v>
      </c>
      <c r="K155">
        <f t="shared" si="20"/>
        <v>22.29392439944667</v>
      </c>
      <c r="L155">
        <f t="shared" si="21"/>
        <v>5662.9644215981043</v>
      </c>
    </row>
    <row r="156" spans="1:12" x14ac:dyDescent="0.25">
      <c r="A156" t="s">
        <v>8</v>
      </c>
      <c r="B156" t="s">
        <v>11</v>
      </c>
      <c r="C156" t="str">
        <f t="shared" si="16"/>
        <v>México2022Fabricación de productos de cuero y productos conexos</v>
      </c>
      <c r="D156">
        <v>2022</v>
      </c>
      <c r="E156">
        <v>5207.6872813534255</v>
      </c>
      <c r="F156">
        <v>263961</v>
      </c>
      <c r="G156">
        <f t="shared" si="17"/>
        <v>-25.339879317447689</v>
      </c>
      <c r="H156">
        <f t="shared" si="18"/>
        <v>124.87157424840053</v>
      </c>
      <c r="I156">
        <f>VLOOKUP(C156,Sheet1!$H$2:$K$191,4,0)</f>
        <v>804674626.86567152</v>
      </c>
      <c r="J156">
        <f t="shared" si="19"/>
        <v>6444017.6373925908</v>
      </c>
      <c r="K156">
        <f t="shared" si="20"/>
        <v>102.09008296538677</v>
      </c>
      <c r="L156">
        <f t="shared" si="21"/>
        <v>-100.4537022437494</v>
      </c>
    </row>
    <row r="157" spans="1:12" x14ac:dyDescent="0.25">
      <c r="A157" t="s">
        <v>8</v>
      </c>
      <c r="B157" t="s">
        <v>11</v>
      </c>
      <c r="C157" t="str">
        <f t="shared" si="16"/>
        <v>México2023Fabricación de productos de cuero y productos conexos</v>
      </c>
      <c r="D157">
        <v>2023</v>
      </c>
      <c r="E157">
        <v>5678.8295669255358</v>
      </c>
      <c r="F157">
        <v>266257</v>
      </c>
      <c r="G157">
        <f t="shared" si="17"/>
        <v>9.0470540974892231</v>
      </c>
      <c r="H157">
        <f t="shared" si="18"/>
        <v>0.86982546664090532</v>
      </c>
      <c r="I157">
        <f>VLOOKUP(C157,Sheet1!$H$2:$K$191,4,0)</f>
        <v>996483785.31073451</v>
      </c>
      <c r="J157">
        <f t="shared" si="19"/>
        <v>1145613486.2996812</v>
      </c>
      <c r="K157">
        <f t="shared" si="20"/>
        <v>23.83685927717001</v>
      </c>
      <c r="L157">
        <f t="shared" si="21"/>
        <v>17677.938403707176</v>
      </c>
    </row>
    <row r="158" spans="1:12" x14ac:dyDescent="0.25">
      <c r="A158" t="s">
        <v>8</v>
      </c>
      <c r="B158" t="s">
        <v>12</v>
      </c>
      <c r="C158" t="str">
        <f t="shared" si="16"/>
        <v>México2016Fabricación de vehículos automotores, remolques y semirremolques</v>
      </c>
      <c r="D158">
        <v>2016</v>
      </c>
      <c r="E158">
        <v>93962.788440755132</v>
      </c>
      <c r="F158">
        <v>169653</v>
      </c>
      <c r="G158" t="str">
        <f t="shared" si="17"/>
        <v/>
      </c>
      <c r="H158" t="str">
        <f t="shared" si="18"/>
        <v/>
      </c>
      <c r="I158">
        <f>VLOOKUP(C158,Sheet1!$H$2:$K$191,4,0)</f>
        <v>1334431212.9328787</v>
      </c>
      <c r="J158" t="str">
        <f t="shared" si="19"/>
        <v/>
      </c>
      <c r="K158" t="str">
        <f t="shared" si="20"/>
        <v/>
      </c>
      <c r="L158" t="str">
        <f t="shared" si="21"/>
        <v/>
      </c>
    </row>
    <row r="159" spans="1:12" x14ac:dyDescent="0.25">
      <c r="A159" t="s">
        <v>8</v>
      </c>
      <c r="B159" t="s">
        <v>12</v>
      </c>
      <c r="C159" t="str">
        <f t="shared" si="16"/>
        <v>México2017Fabricación de vehículos automotores, remolques y semirremolques</v>
      </c>
      <c r="D159">
        <v>2017</v>
      </c>
      <c r="E159">
        <v>90767.194896790767</v>
      </c>
      <c r="F159">
        <v>188879</v>
      </c>
      <c r="G159">
        <f t="shared" si="17"/>
        <v>-3.4009139117654352</v>
      </c>
      <c r="H159">
        <f t="shared" si="18"/>
        <v>11.332543485821059</v>
      </c>
      <c r="I159">
        <f>VLOOKUP(C159,Sheet1!$H$2:$K$191,4,0)</f>
        <v>1527475261.7799895</v>
      </c>
      <c r="J159">
        <f t="shared" si="19"/>
        <v>134786622.58751717</v>
      </c>
      <c r="K159">
        <f t="shared" si="20"/>
        <v>14.466391896126964</v>
      </c>
      <c r="L159" t="str">
        <f t="shared" si="21"/>
        <v/>
      </c>
    </row>
    <row r="160" spans="1:12" x14ac:dyDescent="0.25">
      <c r="A160" t="s">
        <v>8</v>
      </c>
      <c r="B160" t="s">
        <v>12</v>
      </c>
      <c r="C160" t="str">
        <f t="shared" si="16"/>
        <v>México2018Fabricación de vehículos automotores, remolques y semirremolques</v>
      </c>
      <c r="D160">
        <v>2018</v>
      </c>
      <c r="E160">
        <v>100152.40332499173</v>
      </c>
      <c r="F160">
        <v>202555</v>
      </c>
      <c r="G160">
        <f t="shared" si="17"/>
        <v>10.339868317923298</v>
      </c>
      <c r="H160">
        <f t="shared" si="18"/>
        <v>7.2406143615753997</v>
      </c>
      <c r="I160">
        <f>VLOOKUP(C160,Sheet1!$H$2:$K$191,4,0)</f>
        <v>1728965249.9587536</v>
      </c>
      <c r="J160">
        <f t="shared" si="19"/>
        <v>238787092.3127811</v>
      </c>
      <c r="K160">
        <f t="shared" si="20"/>
        <v>13.191047555425865</v>
      </c>
      <c r="L160">
        <f t="shared" si="21"/>
        <v>77.159340985590958</v>
      </c>
    </row>
    <row r="161" spans="1:12" x14ac:dyDescent="0.25">
      <c r="A161" t="s">
        <v>8</v>
      </c>
      <c r="B161" t="s">
        <v>12</v>
      </c>
      <c r="C161" t="str">
        <f t="shared" si="16"/>
        <v>México2019Fabricación de vehículos automotores, remolques y semirremolques</v>
      </c>
      <c r="D161">
        <v>2019</v>
      </c>
      <c r="E161">
        <v>92190.954105968864</v>
      </c>
      <c r="F161">
        <v>211913</v>
      </c>
      <c r="G161">
        <f t="shared" si="17"/>
        <v>-7.9493341694339428</v>
      </c>
      <c r="H161">
        <f t="shared" si="18"/>
        <v>4.6199797585840887</v>
      </c>
      <c r="I161">
        <f>VLOOKUP(C161,Sheet1!$H$2:$K$191,4,0)</f>
        <v>1877583650.7131743</v>
      </c>
      <c r="J161">
        <f t="shared" si="19"/>
        <v>406405168.16649604</v>
      </c>
      <c r="K161">
        <f t="shared" si="20"/>
        <v>8.5958003353720507</v>
      </c>
      <c r="L161">
        <f t="shared" si="21"/>
        <v>70.195618293369193</v>
      </c>
    </row>
    <row r="162" spans="1:12" x14ac:dyDescent="0.25">
      <c r="A162" t="s">
        <v>8</v>
      </c>
      <c r="B162" t="s">
        <v>12</v>
      </c>
      <c r="C162" t="str">
        <f t="shared" si="16"/>
        <v>México2020Fabricación de vehículos automotores, remolques y semirremolques</v>
      </c>
      <c r="D162">
        <v>2020</v>
      </c>
      <c r="E162">
        <v>80912.318667433996</v>
      </c>
      <c r="F162">
        <v>199331</v>
      </c>
      <c r="G162">
        <f t="shared" si="17"/>
        <v>-12.233993614569433</v>
      </c>
      <c r="H162">
        <f t="shared" si="18"/>
        <v>-5.9373422111904413</v>
      </c>
      <c r="I162">
        <f>VLOOKUP(C162,Sheet1!$H$2:$K$191,4,0)</f>
        <v>1661105491.932003</v>
      </c>
      <c r="J162">
        <f t="shared" si="19"/>
        <v>-279772570.42742532</v>
      </c>
      <c r="K162">
        <f t="shared" si="20"/>
        <v>-11.529614603266548</v>
      </c>
      <c r="L162">
        <f t="shared" si="21"/>
        <v>-168.84080034946999</v>
      </c>
    </row>
    <row r="163" spans="1:12" x14ac:dyDescent="0.25">
      <c r="A163" t="s">
        <v>8</v>
      </c>
      <c r="B163" t="s">
        <v>12</v>
      </c>
      <c r="C163" t="str">
        <f t="shared" si="16"/>
        <v>México2021Fabricación de vehículos automotores, remolques y semirremolques</v>
      </c>
      <c r="D163">
        <v>2021</v>
      </c>
      <c r="E163">
        <v>79356.046021495742</v>
      </c>
      <c r="F163">
        <v>213522</v>
      </c>
      <c r="G163">
        <f t="shared" ref="G163:G181" si="22">IF(B163=B162,(E163-E162)/E162*100,"")</f>
        <v>-1.9234063138579049</v>
      </c>
      <c r="H163">
        <f t="shared" ref="H163:H181" si="23">IF(B163=B162,(F163-F162)/F162*100,"")</f>
        <v>7.119314105683511</v>
      </c>
      <c r="I163">
        <f>VLOOKUP(C163,Sheet1!$H$2:$K$191,4,0)</f>
        <v>1936239507.3891625</v>
      </c>
      <c r="J163">
        <f t="shared" si="19"/>
        <v>271969950.84728998</v>
      </c>
      <c r="K163">
        <f t="shared" si="20"/>
        <v>16.563307796734566</v>
      </c>
      <c r="L163">
        <f t="shared" si="21"/>
        <v>-197.2110848578848</v>
      </c>
    </row>
    <row r="164" spans="1:12" x14ac:dyDescent="0.25">
      <c r="A164" t="s">
        <v>8</v>
      </c>
      <c r="B164" t="s">
        <v>12</v>
      </c>
      <c r="C164" t="str">
        <f t="shared" si="16"/>
        <v>México2022Fabricación de vehículos automotores, remolques y semirremolques</v>
      </c>
      <c r="D164">
        <v>2022</v>
      </c>
      <c r="E164">
        <v>84688.70795296834</v>
      </c>
      <c r="F164">
        <v>232248</v>
      </c>
      <c r="G164">
        <f t="shared" si="22"/>
        <v>6.719918895692083</v>
      </c>
      <c r="H164">
        <f t="shared" si="23"/>
        <v>8.7700564812993509</v>
      </c>
      <c r="I164">
        <f>VLOOKUP(C164,Sheet1!$H$2:$K$191,4,0)</f>
        <v>2579074527.363183</v>
      </c>
      <c r="J164">
        <f t="shared" si="19"/>
        <v>294077299.60036397</v>
      </c>
      <c r="K164">
        <f t="shared" si="20"/>
        <v>33.200180944599325</v>
      </c>
      <c r="L164">
        <f t="shared" si="21"/>
        <v>8.1285997530981557</v>
      </c>
    </row>
    <row r="165" spans="1:12" x14ac:dyDescent="0.25">
      <c r="A165" t="s">
        <v>8</v>
      </c>
      <c r="B165" t="s">
        <v>12</v>
      </c>
      <c r="C165" t="str">
        <f t="shared" si="16"/>
        <v>México2023Fabricación de vehículos automotores, remolques y semirremolques</v>
      </c>
      <c r="D165">
        <v>2023</v>
      </c>
      <c r="E165">
        <v>94684.785638546266</v>
      </c>
      <c r="F165">
        <v>246957</v>
      </c>
      <c r="G165">
        <f t="shared" si="22"/>
        <v>11.803318207581135</v>
      </c>
      <c r="H165">
        <f t="shared" si="23"/>
        <v>6.3333161103647821</v>
      </c>
      <c r="I165">
        <f>VLOOKUP(C165,Sheet1!$H$2:$K$191,4,0)</f>
        <v>3521800451.9774003</v>
      </c>
      <c r="J165">
        <f t="shared" si="19"/>
        <v>556075267.77540779</v>
      </c>
      <c r="K165">
        <f t="shared" si="20"/>
        <v>36.55287641408524</v>
      </c>
      <c r="L165">
        <f t="shared" si="21"/>
        <v>89.091530876774812</v>
      </c>
    </row>
    <row r="166" spans="1:12" x14ac:dyDescent="0.25">
      <c r="A166" t="s">
        <v>8</v>
      </c>
      <c r="B166" t="s">
        <v>19</v>
      </c>
      <c r="C166" t="str">
        <f t="shared" si="16"/>
        <v>México2016Producción de películas, videos y programas de televisión, grabación de sonido y edición musical</v>
      </c>
      <c r="D166">
        <v>2016</v>
      </c>
      <c r="E166">
        <v>50859.539406143726</v>
      </c>
      <c r="F166">
        <v>27371</v>
      </c>
      <c r="G166" t="str">
        <f t="shared" si="22"/>
        <v/>
      </c>
      <c r="H166" t="str">
        <f t="shared" si="23"/>
        <v/>
      </c>
      <c r="I166">
        <f>VLOOKUP(C166,Sheet1!$H$2:$K$191,4,0)</f>
        <v>140074385.39403054</v>
      </c>
      <c r="J166" t="str">
        <f t="shared" si="19"/>
        <v/>
      </c>
      <c r="K166" t="str">
        <f t="shared" si="20"/>
        <v/>
      </c>
      <c r="L166" t="str">
        <f t="shared" si="21"/>
        <v/>
      </c>
    </row>
    <row r="167" spans="1:12" x14ac:dyDescent="0.25">
      <c r="A167" t="s">
        <v>8</v>
      </c>
      <c r="B167" t="s">
        <v>19</v>
      </c>
      <c r="C167" t="str">
        <f t="shared" si="16"/>
        <v>México2017Producción de películas, videos y programas de televisión, grabación de sonido y edición musical</v>
      </c>
      <c r="D167">
        <v>2017</v>
      </c>
      <c r="E167">
        <v>45704.972717468743</v>
      </c>
      <c r="F167">
        <v>31317</v>
      </c>
      <c r="G167">
        <f t="shared" si="22"/>
        <v>-10.13490634964799</v>
      </c>
      <c r="H167">
        <f t="shared" si="23"/>
        <v>14.416718424609989</v>
      </c>
      <c r="I167">
        <f>VLOOKUP(C167,Sheet1!$H$2:$K$191,4,0)</f>
        <v>156936215.59170502</v>
      </c>
      <c r="J167">
        <f t="shared" si="19"/>
        <v>10885709.977092139</v>
      </c>
      <c r="K167">
        <f t="shared" si="20"/>
        <v>12.037768468690402</v>
      </c>
      <c r="L167" t="str">
        <f t="shared" si="21"/>
        <v/>
      </c>
    </row>
    <row r="168" spans="1:12" x14ac:dyDescent="0.25">
      <c r="A168" t="s">
        <v>8</v>
      </c>
      <c r="B168" t="s">
        <v>19</v>
      </c>
      <c r="C168" t="str">
        <f t="shared" si="16"/>
        <v>México2018Producción de películas, videos y programas de televisión, grabación de sonido y edición musical</v>
      </c>
      <c r="D168">
        <v>2018</v>
      </c>
      <c r="E168">
        <v>26384.59504310846</v>
      </c>
      <c r="F168">
        <v>105004</v>
      </c>
      <c r="G168">
        <f t="shared" si="22"/>
        <v>-42.271937878164202</v>
      </c>
      <c r="H168">
        <f t="shared" si="23"/>
        <v>235.29392981447774</v>
      </c>
      <c r="I168">
        <f>VLOOKUP(C168,Sheet1!$H$2:$K$191,4,0)</f>
        <v>295897209.61269557</v>
      </c>
      <c r="J168">
        <f t="shared" si="19"/>
        <v>1257564.1447529127</v>
      </c>
      <c r="K168">
        <f t="shared" si="20"/>
        <v>88.546160933636926</v>
      </c>
      <c r="L168">
        <f t="shared" si="21"/>
        <v>-88.447568900886324</v>
      </c>
    </row>
    <row r="169" spans="1:12" x14ac:dyDescent="0.25">
      <c r="A169" t="s">
        <v>8</v>
      </c>
      <c r="B169" t="s">
        <v>19</v>
      </c>
      <c r="C169" t="str">
        <f t="shared" si="16"/>
        <v>México2019Producción de películas, videos y programas de televisión, grabación de sonido y edición musical</v>
      </c>
      <c r="D169">
        <v>2019</v>
      </c>
      <c r="E169">
        <v>22691.538946835495</v>
      </c>
      <c r="F169">
        <v>105899</v>
      </c>
      <c r="G169">
        <f t="shared" si="22"/>
        <v>-13.997016403848786</v>
      </c>
      <c r="H169">
        <f t="shared" si="23"/>
        <v>0.85234848196259183</v>
      </c>
      <c r="I169">
        <f>VLOOKUP(C169,Sheet1!$H$2:$K$191,4,0)</f>
        <v>328514610.43174618</v>
      </c>
      <c r="J169">
        <f t="shared" si="19"/>
        <v>385422884.39972156</v>
      </c>
      <c r="K169">
        <f t="shared" si="20"/>
        <v>11.023220145179479</v>
      </c>
      <c r="L169">
        <f t="shared" si="21"/>
        <v>30548.367799596399</v>
      </c>
    </row>
    <row r="170" spans="1:12" x14ac:dyDescent="0.25">
      <c r="A170" t="s">
        <v>8</v>
      </c>
      <c r="B170" t="s">
        <v>19</v>
      </c>
      <c r="C170" t="str">
        <f t="shared" si="16"/>
        <v>México2020Producción de películas, videos y programas de televisión, grabación de sonido y edición musical</v>
      </c>
      <c r="D170">
        <v>2020</v>
      </c>
      <c r="E170">
        <v>21807.316529898082</v>
      </c>
      <c r="F170">
        <v>79920</v>
      </c>
      <c r="G170">
        <f t="shared" si="22"/>
        <v>-3.8967053711477093</v>
      </c>
      <c r="H170">
        <f t="shared" si="23"/>
        <v>-24.531865267849554</v>
      </c>
      <c r="I170">
        <f>VLOOKUP(C170,Sheet1!$H$2:$K$191,4,0)</f>
        <v>255930710.20795709</v>
      </c>
      <c r="J170">
        <f t="shared" si="19"/>
        <v>-10432582.578356538</v>
      </c>
      <c r="K170">
        <f t="shared" si="20"/>
        <v>-22.094572941031942</v>
      </c>
      <c r="L170">
        <f t="shared" si="21"/>
        <v>-102.70678856928926</v>
      </c>
    </row>
    <row r="171" spans="1:12" x14ac:dyDescent="0.25">
      <c r="A171" t="s">
        <v>8</v>
      </c>
      <c r="B171" t="s">
        <v>19</v>
      </c>
      <c r="C171" t="str">
        <f t="shared" si="16"/>
        <v>México2021Producción de películas, videos y programas de televisión, grabación de sonido y edición musical</v>
      </c>
      <c r="D171">
        <v>2021</v>
      </c>
      <c r="E171">
        <v>8806.2725725480486</v>
      </c>
      <c r="F171">
        <v>67492</v>
      </c>
      <c r="G171">
        <f t="shared" si="22"/>
        <v>-59.617807351608135</v>
      </c>
      <c r="H171">
        <f t="shared" si="23"/>
        <v>-15.550550550550552</v>
      </c>
      <c r="I171">
        <f>VLOOKUP(C171,Sheet1!$H$2:$K$191,4,0)</f>
        <v>195304384.23645321</v>
      </c>
      <c r="J171">
        <f t="shared" si="19"/>
        <v>-12559322.80992705</v>
      </c>
      <c r="K171">
        <f t="shared" si="20"/>
        <v>-23.688570208023034</v>
      </c>
      <c r="L171">
        <f t="shared" si="21"/>
        <v>20.385558567086282</v>
      </c>
    </row>
    <row r="172" spans="1:12" x14ac:dyDescent="0.25">
      <c r="A172" t="s">
        <v>8</v>
      </c>
      <c r="B172" t="s">
        <v>19</v>
      </c>
      <c r="C172" t="str">
        <f t="shared" si="16"/>
        <v>México2022Producción de películas, videos y programas de televisión, grabación de sonido y edición musical</v>
      </c>
      <c r="D172">
        <v>2022</v>
      </c>
      <c r="E172">
        <v>12467.713872861374</v>
      </c>
      <c r="F172">
        <v>75508</v>
      </c>
      <c r="G172">
        <f t="shared" si="22"/>
        <v>41.577651272425989</v>
      </c>
      <c r="H172">
        <f t="shared" si="23"/>
        <v>11.876963195638002</v>
      </c>
      <c r="I172">
        <f>VLOOKUP(C172,Sheet1!$H$2:$K$191,4,0)</f>
        <v>274055024.87562191</v>
      </c>
      <c r="J172">
        <f t="shared" si="19"/>
        <v>23074503.167297248</v>
      </c>
      <c r="K172">
        <f t="shared" si="20"/>
        <v>40.322003495746436</v>
      </c>
      <c r="L172">
        <f t="shared" si="21"/>
        <v>-283.72410293538172</v>
      </c>
    </row>
    <row r="173" spans="1:12" x14ac:dyDescent="0.25">
      <c r="A173" t="s">
        <v>8</v>
      </c>
      <c r="B173" t="s">
        <v>19</v>
      </c>
      <c r="C173" t="str">
        <f t="shared" si="16"/>
        <v>México2023Producción de películas, videos y programas de televisión, grabación de sonido y edición musical</v>
      </c>
      <c r="D173">
        <v>2023</v>
      </c>
      <c r="E173">
        <v>16199.151190271807</v>
      </c>
      <c r="F173">
        <v>75970</v>
      </c>
      <c r="G173">
        <f t="shared" si="22"/>
        <v>29.928801346112849</v>
      </c>
      <c r="H173">
        <f t="shared" si="23"/>
        <v>0.61185569740954604</v>
      </c>
      <c r="I173">
        <f>VLOOKUP(C173,Sheet1!$H$2:$K$191,4,0)</f>
        <v>382686553.67231637</v>
      </c>
      <c r="J173">
        <f t="shared" si="19"/>
        <v>625452300.75084984</v>
      </c>
      <c r="K173">
        <f t="shared" si="20"/>
        <v>39.638583107898192</v>
      </c>
      <c r="L173">
        <f t="shared" si="21"/>
        <v>2610.5775418700382</v>
      </c>
    </row>
    <row r="174" spans="1:12" x14ac:dyDescent="0.25">
      <c r="A174" t="s">
        <v>8</v>
      </c>
      <c r="B174" t="s">
        <v>22</v>
      </c>
      <c r="C174" t="str">
        <f t="shared" si="16"/>
        <v>México2016Telecomunicaciones</v>
      </c>
      <c r="D174">
        <v>2016</v>
      </c>
      <c r="E174">
        <v>96750.864601939524</v>
      </c>
      <c r="F174">
        <v>115660</v>
      </c>
      <c r="G174" t="str">
        <f t="shared" si="22"/>
        <v/>
      </c>
      <c r="H174" t="str">
        <f t="shared" si="23"/>
        <v/>
      </c>
      <c r="I174">
        <f>VLOOKUP(C174,Sheet1!$H$2:$K$191,4,0)</f>
        <v>2401698623.0665274</v>
      </c>
      <c r="J174" t="str">
        <f t="shared" si="19"/>
        <v/>
      </c>
      <c r="K174" t="str">
        <f t="shared" si="20"/>
        <v/>
      </c>
      <c r="L174" t="str">
        <f t="shared" si="21"/>
        <v/>
      </c>
    </row>
    <row r="175" spans="1:12" x14ac:dyDescent="0.25">
      <c r="A175" t="s">
        <v>8</v>
      </c>
      <c r="B175" t="s">
        <v>22</v>
      </c>
      <c r="C175" t="str">
        <f t="shared" si="16"/>
        <v>México2017Telecomunicaciones</v>
      </c>
      <c r="D175">
        <v>2017</v>
      </c>
      <c r="E175">
        <v>109729.03944169141</v>
      </c>
      <c r="F175">
        <v>116930</v>
      </c>
      <c r="G175">
        <f t="shared" si="22"/>
        <v>13.414014327569859</v>
      </c>
      <c r="H175">
        <f t="shared" si="23"/>
        <v>1.0980459968874285</v>
      </c>
      <c r="I175">
        <f>VLOOKUP(C175,Sheet1!$H$2:$K$191,4,0)</f>
        <v>2479628794.1697321</v>
      </c>
      <c r="J175">
        <f t="shared" si="19"/>
        <v>2258219419.9501672</v>
      </c>
      <c r="K175">
        <f t="shared" si="20"/>
        <v>3.2447939285447163</v>
      </c>
      <c r="L175" t="str">
        <f t="shared" si="21"/>
        <v/>
      </c>
    </row>
    <row r="176" spans="1:12" x14ac:dyDescent="0.25">
      <c r="A176" t="s">
        <v>8</v>
      </c>
      <c r="B176" t="s">
        <v>22</v>
      </c>
      <c r="C176" t="str">
        <f t="shared" si="16"/>
        <v>México2018Telecomunicaciones</v>
      </c>
      <c r="D176">
        <v>2018</v>
      </c>
      <c r="E176">
        <v>81106.377450904736</v>
      </c>
      <c r="F176">
        <v>209511</v>
      </c>
      <c r="G176">
        <f t="shared" si="22"/>
        <v>-26.084856056719957</v>
      </c>
      <c r="H176">
        <f t="shared" si="23"/>
        <v>79.176430342940222</v>
      </c>
      <c r="I176">
        <f>VLOOKUP(C176,Sheet1!$H$2:$K$191,4,0)</f>
        <v>2417751295.7271848</v>
      </c>
      <c r="J176">
        <f t="shared" si="19"/>
        <v>30536250.311552014</v>
      </c>
      <c r="K176">
        <f t="shared" si="20"/>
        <v>-2.4954339370488765</v>
      </c>
      <c r="L176">
        <f t="shared" si="21"/>
        <v>-98.647773106466957</v>
      </c>
    </row>
    <row r="177" spans="1:12" x14ac:dyDescent="0.25">
      <c r="A177" t="s">
        <v>8</v>
      </c>
      <c r="B177" t="s">
        <v>22</v>
      </c>
      <c r="C177" t="str">
        <f t="shared" si="16"/>
        <v>México2019Telecomunicaciones</v>
      </c>
      <c r="D177">
        <v>2019</v>
      </c>
      <c r="E177">
        <v>89541.296988272035</v>
      </c>
      <c r="F177">
        <v>190058</v>
      </c>
      <c r="G177">
        <f t="shared" si="22"/>
        <v>10.399822803666851</v>
      </c>
      <c r="H177">
        <f t="shared" si="23"/>
        <v>-9.2849540119611849</v>
      </c>
      <c r="I177">
        <f>VLOOKUP(C177,Sheet1!$H$2:$K$191,4,0)</f>
        <v>2528579015.0352402</v>
      </c>
      <c r="J177">
        <f t="shared" si="19"/>
        <v>-272330806.56919152</v>
      </c>
      <c r="K177">
        <f t="shared" si="20"/>
        <v>4.5839172748627091</v>
      </c>
      <c r="L177">
        <f t="shared" si="21"/>
        <v>-991.82792186559789</v>
      </c>
    </row>
    <row r="178" spans="1:12" x14ac:dyDescent="0.25">
      <c r="A178" t="s">
        <v>8</v>
      </c>
      <c r="B178" t="s">
        <v>22</v>
      </c>
      <c r="C178" t="str">
        <f t="shared" si="16"/>
        <v>México2020Telecomunicaciones</v>
      </c>
      <c r="D178">
        <v>2020</v>
      </c>
      <c r="E178">
        <v>74356.23543163584</v>
      </c>
      <c r="F178">
        <v>185533</v>
      </c>
      <c r="G178">
        <f t="shared" si="22"/>
        <v>-16.958724150070228</v>
      </c>
      <c r="H178">
        <f t="shared" si="23"/>
        <v>-2.3808521609192983</v>
      </c>
      <c r="I178">
        <f>VLOOKUP(C178,Sheet1!$H$2:$K$191,4,0)</f>
        <v>2147080514.747663</v>
      </c>
      <c r="J178">
        <f t="shared" si="19"/>
        <v>-901811775.62853336</v>
      </c>
      <c r="K178">
        <f t="shared" si="20"/>
        <v>-15.087466043937736</v>
      </c>
      <c r="L178">
        <f t="shared" si="21"/>
        <v>231.14570730704634</v>
      </c>
    </row>
    <row r="179" spans="1:12" x14ac:dyDescent="0.25">
      <c r="A179" t="s">
        <v>8</v>
      </c>
      <c r="B179" t="s">
        <v>22</v>
      </c>
      <c r="C179" t="str">
        <f t="shared" si="16"/>
        <v>México2021Telecomunicaciones</v>
      </c>
      <c r="D179">
        <v>2021</v>
      </c>
      <c r="E179">
        <v>77811.930916886529</v>
      </c>
      <c r="F179">
        <v>183929</v>
      </c>
      <c r="G179">
        <f t="shared" si="22"/>
        <v>4.6474858028926223</v>
      </c>
      <c r="H179">
        <f t="shared" si="23"/>
        <v>-0.86453622805646424</v>
      </c>
      <c r="I179">
        <f>VLOOKUP(C179,Sheet1!$H$2:$K$191,4,0)</f>
        <v>2161597339.9014769</v>
      </c>
      <c r="J179">
        <f t="shared" si="19"/>
        <v>-2500297002.8923988</v>
      </c>
      <c r="K179">
        <f t="shared" si="20"/>
        <v>0.67611927238415359</v>
      </c>
      <c r="L179">
        <f t="shared" si="21"/>
        <v>177.25264522630272</v>
      </c>
    </row>
    <row r="180" spans="1:12" x14ac:dyDescent="0.25">
      <c r="A180" t="s">
        <v>8</v>
      </c>
      <c r="B180" t="s">
        <v>22</v>
      </c>
      <c r="C180" t="str">
        <f t="shared" si="16"/>
        <v>México2022Telecomunicaciones</v>
      </c>
      <c r="D180">
        <v>2022</v>
      </c>
      <c r="E180">
        <v>94553.183361896474</v>
      </c>
      <c r="F180">
        <v>156974</v>
      </c>
      <c r="G180">
        <f t="shared" si="22"/>
        <v>21.515019930416358</v>
      </c>
      <c r="H180">
        <f t="shared" si="23"/>
        <v>-14.655111483235379</v>
      </c>
      <c r="I180">
        <f>VLOOKUP(C180,Sheet1!$H$2:$K$191,4,0)</f>
        <v>2364631542.2885571</v>
      </c>
      <c r="J180">
        <f t="shared" si="19"/>
        <v>-161351999.6073426</v>
      </c>
      <c r="K180">
        <f t="shared" si="20"/>
        <v>9.392785540545411</v>
      </c>
      <c r="L180">
        <f t="shared" si="21"/>
        <v>-93.546686676795304</v>
      </c>
    </row>
    <row r="181" spans="1:12" x14ac:dyDescent="0.25">
      <c r="A181" t="s">
        <v>8</v>
      </c>
      <c r="B181" t="s">
        <v>22</v>
      </c>
      <c r="C181" t="str">
        <f t="shared" si="16"/>
        <v>México2023Telecomunicaciones</v>
      </c>
      <c r="D181">
        <v>2023</v>
      </c>
      <c r="E181">
        <v>106502.20546139033</v>
      </c>
      <c r="F181">
        <v>151981</v>
      </c>
      <c r="G181">
        <f t="shared" si="22"/>
        <v>12.637355691938698</v>
      </c>
      <c r="H181">
        <f t="shared" si="23"/>
        <v>-3.1807815306993517</v>
      </c>
      <c r="I181">
        <f>VLOOKUP(C181,Sheet1!$H$2:$K$191,4,0)</f>
        <v>2809607570.621469</v>
      </c>
      <c r="J181">
        <f t="shared" si="19"/>
        <v>-883307307.8124063</v>
      </c>
      <c r="K181">
        <f t="shared" si="20"/>
        <v>18.817985820414609</v>
      </c>
      <c r="L181">
        <f t="shared" si="21"/>
        <v>447.44119066511388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1"/>
  <sheetViews>
    <sheetView workbookViewId="0">
      <selection activeCell="C108" sqref="C108"/>
    </sheetView>
  </sheetViews>
  <sheetFormatPr baseColWidth="10" defaultColWidth="9.140625" defaultRowHeight="15" x14ac:dyDescent="0.25"/>
  <cols>
    <col min="3" max="3" width="40.5703125" customWidth="1"/>
    <col min="4" max="4" width="19.42578125" customWidth="1"/>
    <col min="5" max="5" width="18.42578125" customWidth="1"/>
    <col min="6" max="6" width="14.7109375" bestFit="1" customWidth="1"/>
    <col min="7" max="8" width="12.85546875" customWidth="1"/>
    <col min="9" max="9" width="17.140625" customWidth="1"/>
    <col min="10" max="10" width="11" bestFit="1" customWidth="1"/>
    <col min="11" max="11" width="21.28515625" customWidth="1"/>
    <col min="14" max="14" width="18.140625" customWidth="1"/>
    <col min="15" max="15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23</v>
      </c>
      <c r="I1" s="2" t="s">
        <v>28</v>
      </c>
      <c r="J1" s="2" t="s">
        <v>24</v>
      </c>
      <c r="K1" s="2" t="s">
        <v>35</v>
      </c>
      <c r="L1" s="2" t="s">
        <v>25</v>
      </c>
      <c r="M1" s="2" t="s">
        <v>26</v>
      </c>
      <c r="N1" s="2" t="s">
        <v>27</v>
      </c>
      <c r="O1" s="2" t="s">
        <v>30</v>
      </c>
      <c r="P1" s="2" t="s">
        <v>36</v>
      </c>
    </row>
    <row r="2" spans="1:16" x14ac:dyDescent="0.25">
      <c r="A2" t="s">
        <v>7</v>
      </c>
      <c r="B2">
        <v>2016</v>
      </c>
      <c r="C2" t="s">
        <v>9</v>
      </c>
      <c r="D2">
        <v>5717750416.209672</v>
      </c>
      <c r="E2">
        <v>15325576438.67857</v>
      </c>
      <c r="F2">
        <v>21043326865.704231</v>
      </c>
      <c r="G2">
        <v>27.171323492238709</v>
      </c>
      <c r="H2" t="str">
        <f>_xlfn.CONCAT(A2,B2,C2)</f>
        <v>Chile2016Elaboración de productos alimenticios</v>
      </c>
      <c r="I2">
        <v>96.618124512281994</v>
      </c>
      <c r="J2">
        <f>VLOOKUP(H2,[1]Hoja2!D$2:E$191,2,0)</f>
        <v>150226.25</v>
      </c>
      <c r="K2">
        <f>VLOOKUP(H2,[1]Hoja2!D$2:F$191,3,0)</f>
        <v>1842436235.4716952</v>
      </c>
      <c r="L2" t="str">
        <f>IFERROR(VLOOKUP(H2,[2]Sheet1!K$2:L$94,2,0),"")</f>
        <v/>
      </c>
      <c r="M2" t="str">
        <f>IFERROR(VLOOKUP(H2,[2]Sheet1!K$372:L$648,2,0),"")</f>
        <v/>
      </c>
      <c r="N2">
        <f>D2/I2*100</f>
        <v>5917885950.5628653</v>
      </c>
      <c r="O2">
        <f>N2/J2</f>
        <v>39393.154994968361</v>
      </c>
      <c r="P2">
        <f>K2/J2</f>
        <v>12264.409418937737</v>
      </c>
    </row>
    <row r="3" spans="1:16" x14ac:dyDescent="0.25">
      <c r="A3" t="s">
        <v>7</v>
      </c>
      <c r="B3">
        <v>2016</v>
      </c>
      <c r="C3" t="s">
        <v>10</v>
      </c>
      <c r="D3">
        <v>123489233.58292609</v>
      </c>
      <c r="E3">
        <v>225631823.6353479</v>
      </c>
      <c r="F3">
        <v>349121057.21827412</v>
      </c>
      <c r="G3">
        <v>35.371465292544457</v>
      </c>
      <c r="H3" t="str">
        <f t="shared" ref="H3:H66" si="0">_xlfn.CONCAT(A3,B3,C3)</f>
        <v>Chile2016Fabricación de prendas de vestir</v>
      </c>
      <c r="I3">
        <v>117.9376128321</v>
      </c>
      <c r="J3">
        <f>VLOOKUP(H3,[1]Hoja2!D$2:E$191,2,0)</f>
        <v>8550</v>
      </c>
      <c r="K3">
        <f>VLOOKUP(H3,[1]Hoja2!D$2:F$191,3,0)</f>
        <v>90233466.208546981</v>
      </c>
      <c r="L3" t="str">
        <f>IFERROR(VLOOKUP(H3,[2]Sheet1!K$2:L$94,2,0),"")</f>
        <v/>
      </c>
      <c r="M3" t="str">
        <f>IFERROR(VLOOKUP(H3,[2]Sheet1!K$372:L$648,2,0),"")</f>
        <v/>
      </c>
      <c r="N3">
        <f t="shared" ref="N3:N66" si="1">D3/I3*100</f>
        <v>104707252.09499498</v>
      </c>
      <c r="O3">
        <f t="shared" ref="O3:O66" si="2">N3/J3</f>
        <v>12246.462233332746</v>
      </c>
      <c r="P3">
        <f t="shared" ref="P3:P66" si="3">K3/J3</f>
        <v>10553.621778777424</v>
      </c>
    </row>
    <row r="4" spans="1:16" x14ac:dyDescent="0.25">
      <c r="A4" t="s">
        <v>7</v>
      </c>
      <c r="B4">
        <v>2016</v>
      </c>
      <c r="C4" t="s">
        <v>11</v>
      </c>
      <c r="D4">
        <v>146282997.89322799</v>
      </c>
      <c r="E4">
        <v>139299053.3114379</v>
      </c>
      <c r="F4">
        <v>285582051.2046659</v>
      </c>
      <c r="G4">
        <v>51.222756218804697</v>
      </c>
      <c r="H4" t="str">
        <f t="shared" si="0"/>
        <v>Chile2016Fabricación de productos de cuero y productos conexos</v>
      </c>
      <c r="I4">
        <v>117.9376128321</v>
      </c>
      <c r="J4">
        <f>VLOOKUP(H4,[1]Hoja2!D$2:E$191,2,0)</f>
        <v>5885.75</v>
      </c>
      <c r="K4">
        <f>VLOOKUP(H4,[1]Hoja2!D$2:F$191,3,0)</f>
        <v>67650512.378484622</v>
      </c>
      <c r="L4" t="str">
        <f>IFERROR(VLOOKUP(H4,[2]Sheet1!K$2:L$94,2,0),"")</f>
        <v/>
      </c>
      <c r="M4" t="str">
        <f>IFERROR(VLOOKUP(H4,[2]Sheet1!K$372:L$648,2,0),"")</f>
        <v/>
      </c>
      <c r="N4">
        <f t="shared" si="1"/>
        <v>124034219.77133067</v>
      </c>
      <c r="O4">
        <f t="shared" si="2"/>
        <v>21073.647329793257</v>
      </c>
      <c r="P4">
        <f t="shared" si="3"/>
        <v>11493.949348593573</v>
      </c>
    </row>
    <row r="5" spans="1:16" x14ac:dyDescent="0.25">
      <c r="A5" t="s">
        <v>7</v>
      </c>
      <c r="B5">
        <v>2016</v>
      </c>
      <c r="C5" t="s">
        <v>12</v>
      </c>
      <c r="D5">
        <v>17635137.859200809</v>
      </c>
      <c r="E5">
        <v>76040541.856078655</v>
      </c>
      <c r="F5">
        <v>93675679.622954637</v>
      </c>
      <c r="G5">
        <v>18.825737833109269</v>
      </c>
      <c r="H5" t="str">
        <f t="shared" si="0"/>
        <v>Chile2016Fabricación de vehículos automotores, remolques y semirremolques</v>
      </c>
      <c r="I5">
        <v>101.10423088160999</v>
      </c>
      <c r="J5">
        <f>VLOOKUP(H5,[1]Hoja2!D$2:E$191,2,0)</f>
        <v>1132.75</v>
      </c>
      <c r="K5">
        <f>VLOOKUP(H5,[1]Hoja2!D$2:F$191,3,0)</f>
        <v>17844337.034362689</v>
      </c>
      <c r="L5" t="str">
        <f>IFERROR(VLOOKUP(H5,[2]Sheet1!K$2:L$94,2,0),"")</f>
        <v/>
      </c>
      <c r="M5" t="str">
        <f>IFERROR(VLOOKUP(H5,[2]Sheet1!K$372:L$648,2,0),"")</f>
        <v/>
      </c>
      <c r="N5">
        <f t="shared" si="1"/>
        <v>17442532.033947248</v>
      </c>
      <c r="O5">
        <f t="shared" si="2"/>
        <v>15398.395086247847</v>
      </c>
      <c r="P5">
        <f t="shared" si="3"/>
        <v>15753.111484760706</v>
      </c>
    </row>
    <row r="6" spans="1:16" x14ac:dyDescent="0.25">
      <c r="A6" t="s">
        <v>7</v>
      </c>
      <c r="B6">
        <v>2016</v>
      </c>
      <c r="C6" t="s">
        <v>13</v>
      </c>
      <c r="D6">
        <v>1437572717.147887</v>
      </c>
      <c r="E6">
        <v>1464741293.590282</v>
      </c>
      <c r="F6">
        <v>2886368656.3604069</v>
      </c>
      <c r="G6">
        <v>49.805582318116208</v>
      </c>
      <c r="H6" t="str">
        <f t="shared" si="0"/>
        <v>Chile2016Comercio al por mayor y al por menor y reparación de vehículos de motor y motocicletas</v>
      </c>
      <c r="I6">
        <v>99.274640339339996</v>
      </c>
      <c r="J6">
        <f>VLOOKUP(H6,[1]Hoja2!D$2:E$191,2,0)</f>
        <v>436535</v>
      </c>
      <c r="K6">
        <f>VLOOKUP(H6,[1]Hoja2!D$2:F$191,3,0)</f>
        <v>874553181.79707634</v>
      </c>
      <c r="L6" t="str">
        <f>IFERROR(VLOOKUP(H6,[2]Sheet1!K$2:L$94,2,0),"")</f>
        <v/>
      </c>
      <c r="M6" t="str">
        <f>IFERROR(VLOOKUP(H6,[2]Sheet1!K$372:L$648,2,0),"")</f>
        <v/>
      </c>
      <c r="N6">
        <f t="shared" si="1"/>
        <v>1448076479.7877729</v>
      </c>
      <c r="O6">
        <f t="shared" si="2"/>
        <v>3317.2059051113265</v>
      </c>
      <c r="P6">
        <f t="shared" si="3"/>
        <v>2003.3976240097045</v>
      </c>
    </row>
    <row r="7" spans="1:16" x14ac:dyDescent="0.25">
      <c r="A7" t="s">
        <v>7</v>
      </c>
      <c r="B7">
        <v>2016</v>
      </c>
      <c r="C7" t="s">
        <v>14</v>
      </c>
      <c r="D7">
        <v>6047645256.1433306</v>
      </c>
      <c r="E7">
        <v>7949824911.440237</v>
      </c>
      <c r="F7">
        <v>13989509558.35634</v>
      </c>
      <c r="G7">
        <v>43.229858994812993</v>
      </c>
      <c r="H7" t="str">
        <f t="shared" si="0"/>
        <v>Chile2016Comercio al por mayor, excepto de vehículos de motor y motocicletas</v>
      </c>
      <c r="I7">
        <v>99.274640339339996</v>
      </c>
      <c r="J7">
        <f>VLOOKUP(H7,[1]Hoja2!D$2:E$191,2,0)</f>
        <v>1533942</v>
      </c>
      <c r="K7">
        <f>VLOOKUP(H7,[1]Hoja2!D$2:F$191,3,0)</f>
        <v>3097459605.4570727</v>
      </c>
      <c r="L7" t="str">
        <f>IFERROR(VLOOKUP(H7,[2]Sheet1!K$2:L$94,2,0),"")</f>
        <v/>
      </c>
      <c r="M7" t="str">
        <f>IFERROR(VLOOKUP(H7,[2]Sheet1!K$372:L$648,2,0),"")</f>
        <v/>
      </c>
      <c r="N7">
        <f t="shared" si="1"/>
        <v>6091832954.9936466</v>
      </c>
      <c r="O7">
        <f t="shared" si="2"/>
        <v>3971.3580793756523</v>
      </c>
      <c r="P7">
        <f t="shared" si="3"/>
        <v>2019.280784708335</v>
      </c>
    </row>
    <row r="8" spans="1:16" x14ac:dyDescent="0.25">
      <c r="A8" t="s">
        <v>7</v>
      </c>
      <c r="B8">
        <v>2016</v>
      </c>
      <c r="C8" t="s">
        <v>15</v>
      </c>
      <c r="D8">
        <v>6204922234.204154</v>
      </c>
      <c r="E8">
        <v>6339195954.9405451</v>
      </c>
      <c r="F8">
        <v>12540195102.2833</v>
      </c>
      <c r="G8">
        <v>49.48026871666751</v>
      </c>
      <c r="H8" t="str">
        <f t="shared" si="0"/>
        <v>Chile2016Comercio al por menor, excepto de vehículos de motor y motocicletas</v>
      </c>
      <c r="I8">
        <v>99.274640339339996</v>
      </c>
      <c r="J8">
        <f>VLOOKUP(H8,[1]Hoja2!D$2:E$191,2,0)</f>
        <v>2597511</v>
      </c>
      <c r="K8">
        <f>VLOOKUP(H8,[1]Hoja2!D$2:F$191,3,0)</f>
        <v>2712591055.8748131</v>
      </c>
      <c r="L8" t="str">
        <f>IFERROR(VLOOKUP(H8,[2]Sheet1!K$2:L$94,2,0),"")</f>
        <v/>
      </c>
      <c r="M8" t="str">
        <f>IFERROR(VLOOKUP(H8,[2]Sheet1!K$372:L$648,2,0),"")</f>
        <v/>
      </c>
      <c r="N8">
        <f t="shared" si="1"/>
        <v>6250259092.3467722</v>
      </c>
      <c r="O8">
        <f t="shared" si="2"/>
        <v>2406.2493257378978</v>
      </c>
      <c r="P8">
        <f t="shared" si="3"/>
        <v>1044.3039724855114</v>
      </c>
    </row>
    <row r="9" spans="1:16" x14ac:dyDescent="0.25">
      <c r="A9" t="s">
        <v>7</v>
      </c>
      <c r="B9">
        <v>2016</v>
      </c>
      <c r="C9" t="s">
        <v>16</v>
      </c>
      <c r="D9">
        <v>221276542.12983009</v>
      </c>
      <c r="E9">
        <v>153406479.41594589</v>
      </c>
      <c r="F9">
        <v>374683021.54577589</v>
      </c>
      <c r="G9">
        <v>59.056997356576566</v>
      </c>
      <c r="H9" t="str">
        <f t="shared" si="0"/>
        <v>Chile2016Actividades de edición</v>
      </c>
      <c r="I9">
        <v>108.15408937171394</v>
      </c>
      <c r="J9">
        <f>VLOOKUP(H9,[1]Hoja2!D$2:E$191,2,0)</f>
        <v>53031</v>
      </c>
      <c r="K9">
        <f>VLOOKUP(H9,[1]Hoja2!D$2:F$191,3,0)</f>
        <v>135734330.38357136</v>
      </c>
      <c r="L9" t="str">
        <f>IFERROR(VLOOKUP(H9,[2]Sheet1!K$2:L$94,2,0),"")</f>
        <v/>
      </c>
      <c r="M9" t="str">
        <f>IFERROR(VLOOKUP(H9,[2]Sheet1!K$372:L$648,2,0),"")</f>
        <v/>
      </c>
      <c r="N9">
        <f t="shared" si="1"/>
        <v>204593782.27422035</v>
      </c>
      <c r="O9">
        <f t="shared" si="2"/>
        <v>3858.0034748396288</v>
      </c>
      <c r="P9">
        <f t="shared" si="3"/>
        <v>2559.5280191505226</v>
      </c>
    </row>
    <row r="10" spans="1:16" x14ac:dyDescent="0.25">
      <c r="A10" t="s">
        <v>7</v>
      </c>
      <c r="B10">
        <v>2016</v>
      </c>
      <c r="C10" t="s">
        <v>17</v>
      </c>
      <c r="D10">
        <v>473101103.58037567</v>
      </c>
      <c r="E10">
        <v>198599342.0882203</v>
      </c>
      <c r="F10">
        <v>671700445.66859603</v>
      </c>
      <c r="G10">
        <v>70.433346684690846</v>
      </c>
      <c r="H10" t="str">
        <f t="shared" si="0"/>
        <v>Chile2016Actividades de programación y radiodifusión</v>
      </c>
      <c r="I10">
        <v>108.15408937171394</v>
      </c>
      <c r="J10">
        <f>VLOOKUP(H10,[1]Hoja2!D$2:E$191,2,0)</f>
        <v>85757</v>
      </c>
      <c r="K10">
        <f>VLOOKUP(H10,[1]Hoja2!D$2:F$191,3,0)</f>
        <v>182967614.37973905</v>
      </c>
      <c r="L10" t="str">
        <f>IFERROR(VLOOKUP(H10,[2]Sheet1!K$2:L$94,2,0),"")</f>
        <v/>
      </c>
      <c r="M10" t="str">
        <f>IFERROR(VLOOKUP(H10,[2]Sheet1!K$372:L$648,2,0),"")</f>
        <v/>
      </c>
      <c r="N10">
        <f t="shared" si="1"/>
        <v>437432469.10838318</v>
      </c>
      <c r="O10">
        <f t="shared" si="2"/>
        <v>5100.8368892146782</v>
      </c>
      <c r="P10">
        <f t="shared" si="3"/>
        <v>2133.5589442230844</v>
      </c>
    </row>
    <row r="11" spans="1:16" x14ac:dyDescent="0.25">
      <c r="A11" t="s">
        <v>7</v>
      </c>
      <c r="B11">
        <v>2016</v>
      </c>
      <c r="C11" t="s">
        <v>18</v>
      </c>
      <c r="D11">
        <v>233900934.38500071</v>
      </c>
      <c r="E11">
        <v>199968219.27310091</v>
      </c>
      <c r="F11">
        <v>433869153.65810168</v>
      </c>
      <c r="G11">
        <v>53.910477943154213</v>
      </c>
      <c r="H11" t="str">
        <f t="shared" si="0"/>
        <v>Chile2016Actividades de servicios de información</v>
      </c>
      <c r="I11">
        <v>108.15408937171394</v>
      </c>
      <c r="J11">
        <f>VLOOKUP(H11,[1]Hoja2!D$2:E$191,2,0)</f>
        <v>47839</v>
      </c>
      <c r="K11">
        <f>VLOOKUP(H11,[1]Hoja2!D$2:F$191,3,0)</f>
        <v>126440679.29575075</v>
      </c>
      <c r="L11" t="str">
        <f>IFERROR(VLOOKUP(H11,[2]Sheet1!K$2:L$94,2,0),"")</f>
        <v/>
      </c>
      <c r="M11" t="str">
        <f>IFERROR(VLOOKUP(H11,[2]Sheet1!K$372:L$648,2,0),"")</f>
        <v/>
      </c>
      <c r="N11">
        <f t="shared" si="1"/>
        <v>216266380.44272965</v>
      </c>
      <c r="O11">
        <f t="shared" si="2"/>
        <v>4520.7128167965393</v>
      </c>
      <c r="P11">
        <f t="shared" si="3"/>
        <v>2643.0460355724567</v>
      </c>
    </row>
    <row r="12" spans="1:16" x14ac:dyDescent="0.25">
      <c r="A12" t="s">
        <v>7</v>
      </c>
      <c r="B12">
        <v>2016</v>
      </c>
      <c r="C12" t="s">
        <v>19</v>
      </c>
      <c r="D12">
        <v>171742536.95555741</v>
      </c>
      <c r="E12">
        <v>108786156.179094</v>
      </c>
      <c r="F12">
        <v>280528693.13465142</v>
      </c>
      <c r="G12">
        <v>61.221023431325953</v>
      </c>
      <c r="H12" t="str">
        <f t="shared" si="0"/>
        <v>Chile2016Producción de películas, videos y programas de televisión, grabación de sonido y edición musical</v>
      </c>
      <c r="I12">
        <v>108.15408937171394</v>
      </c>
      <c r="J12">
        <f>VLOOKUP(H12,[1]Hoja2!D$2:E$191,2,0)</f>
        <v>23808</v>
      </c>
      <c r="K12">
        <f>VLOOKUP(H12,[1]Hoja2!D$2:F$191,3,0)</f>
        <v>50080661.162225857</v>
      </c>
      <c r="L12" t="str">
        <f>IFERROR(VLOOKUP(H12,[2]Sheet1!K$2:L$94,2,0),"")</f>
        <v/>
      </c>
      <c r="M12" t="str">
        <f>IFERROR(VLOOKUP(H12,[2]Sheet1!K$372:L$648,2,0),"")</f>
        <v/>
      </c>
      <c r="N12">
        <f t="shared" si="1"/>
        <v>158794307.22706825</v>
      </c>
      <c r="O12">
        <f t="shared" si="2"/>
        <v>6669.7877699541432</v>
      </c>
      <c r="P12">
        <f t="shared" si="3"/>
        <v>2103.5223942467178</v>
      </c>
    </row>
    <row r="13" spans="1:16" x14ac:dyDescent="0.25">
      <c r="A13" t="s">
        <v>7</v>
      </c>
      <c r="B13">
        <v>2016</v>
      </c>
      <c r="C13" t="s">
        <v>20</v>
      </c>
      <c r="D13">
        <v>962217929.29925251</v>
      </c>
      <c r="E13">
        <v>818456821.59905183</v>
      </c>
      <c r="F13">
        <v>1780674750.898304</v>
      </c>
      <c r="G13">
        <v>54.036703155016852</v>
      </c>
      <c r="H13" t="str">
        <f t="shared" si="0"/>
        <v>Chile2016Programación de computadoras, consultoría y actividades relacionadas</v>
      </c>
      <c r="I13">
        <v>108.15408937171394</v>
      </c>
      <c r="J13">
        <f>VLOOKUP(H13,[1]Hoja2!D$2:E$191,2,0)</f>
        <v>217507</v>
      </c>
      <c r="K13">
        <f>VLOOKUP(H13,[1]Hoja2!D$2:F$191,3,0)</f>
        <v>716382437.45250332</v>
      </c>
      <c r="L13" t="str">
        <f>IFERROR(VLOOKUP(H13,[2]Sheet1!K$2:L$94,2,0),"")</f>
        <v/>
      </c>
      <c r="M13" t="str">
        <f>IFERROR(VLOOKUP(H13,[2]Sheet1!K$372:L$648,2,0),"")</f>
        <v/>
      </c>
      <c r="N13">
        <f t="shared" si="1"/>
        <v>889673182.85322845</v>
      </c>
      <c r="O13">
        <f t="shared" si="2"/>
        <v>4090.3197729416911</v>
      </c>
      <c r="P13">
        <f t="shared" si="3"/>
        <v>3293.6063549793953</v>
      </c>
    </row>
    <row r="14" spans="1:16" x14ac:dyDescent="0.25">
      <c r="A14" t="s">
        <v>7</v>
      </c>
      <c r="B14">
        <v>2017</v>
      </c>
      <c r="C14" t="s">
        <v>9</v>
      </c>
      <c r="D14">
        <v>7853574067.9128141</v>
      </c>
      <c r="E14">
        <v>16496365273.74365</v>
      </c>
      <c r="F14">
        <v>24349939341.656471</v>
      </c>
      <c r="G14">
        <v>32.252951260857451</v>
      </c>
      <c r="H14" t="str">
        <f t="shared" si="0"/>
        <v>Chile2017Elaboración de productos alimenticios</v>
      </c>
      <c r="I14">
        <v>98.723825004638996</v>
      </c>
      <c r="J14">
        <f>VLOOKUP(H14,[1]Hoja2!D$2:E$191,2,0)</f>
        <v>155407.25</v>
      </c>
      <c r="K14">
        <f>VLOOKUP(H14,[1]Hoja2!D$2:F$191,3,0)</f>
        <v>1855568993.0315907</v>
      </c>
      <c r="L14" t="str">
        <f>IFERROR(VLOOKUP(H14,[2]Sheet1!K$2:L$94,2,0),"")</f>
        <v/>
      </c>
      <c r="M14" t="str">
        <f>IFERROR(VLOOKUP(H14,[2]Sheet1!K$372:L$648,2,0),"")</f>
        <v/>
      </c>
      <c r="N14">
        <f t="shared" si="1"/>
        <v>7955095001.175024</v>
      </c>
      <c r="O14">
        <f t="shared" si="2"/>
        <v>51188.699376477118</v>
      </c>
      <c r="P14">
        <f t="shared" si="3"/>
        <v>11940.041362494932</v>
      </c>
    </row>
    <row r="15" spans="1:16" x14ac:dyDescent="0.25">
      <c r="A15" t="s">
        <v>7</v>
      </c>
      <c r="B15">
        <v>2017</v>
      </c>
      <c r="C15" t="s">
        <v>10</v>
      </c>
      <c r="D15">
        <v>177953052.49227461</v>
      </c>
      <c r="E15">
        <v>196562999.5045079</v>
      </c>
      <c r="F15">
        <v>374516051.9967826</v>
      </c>
      <c r="G15">
        <v>47.515467372758543</v>
      </c>
      <c r="H15" t="str">
        <f t="shared" si="0"/>
        <v>Chile2017Fabricación de prendas de vestir</v>
      </c>
      <c r="I15">
        <v>111.61986215915999</v>
      </c>
      <c r="J15">
        <f>VLOOKUP(H15,[1]Hoja2!D$2:E$191,2,0)</f>
        <v>26102.75</v>
      </c>
      <c r="K15">
        <f>VLOOKUP(H15,[1]Hoja2!D$2:F$191,3,0)</f>
        <v>79887217.021222293</v>
      </c>
      <c r="L15" t="str">
        <f>IFERROR(VLOOKUP(H15,[2]Sheet1!K$2:L$94,2,0),"")</f>
        <v/>
      </c>
      <c r="M15" t="str">
        <f>IFERROR(VLOOKUP(H15,[2]Sheet1!K$372:L$648,2,0),"")</f>
        <v/>
      </c>
      <c r="N15">
        <f t="shared" si="1"/>
        <v>159427765.85633963</v>
      </c>
      <c r="O15">
        <f t="shared" si="2"/>
        <v>6107.6999877920771</v>
      </c>
      <c r="P15">
        <f t="shared" si="3"/>
        <v>3060.4904472219323</v>
      </c>
    </row>
    <row r="16" spans="1:16" x14ac:dyDescent="0.25">
      <c r="A16" t="s">
        <v>7</v>
      </c>
      <c r="B16">
        <v>2017</v>
      </c>
      <c r="C16" t="s">
        <v>11</v>
      </c>
      <c r="D16">
        <v>160454162.04988059</v>
      </c>
      <c r="E16">
        <v>167705190.05068791</v>
      </c>
      <c r="F16">
        <v>328159352.10056847</v>
      </c>
      <c r="G16">
        <v>48.895197111648187</v>
      </c>
      <c r="H16" t="str">
        <f t="shared" si="0"/>
        <v>Chile2017Fabricación de productos de cuero y productos conexos</v>
      </c>
      <c r="I16">
        <v>111.61986215915999</v>
      </c>
      <c r="J16">
        <f>VLOOKUP(H16,[1]Hoja2!D$2:E$191,2,0)</f>
        <v>6236.25</v>
      </c>
      <c r="K16">
        <f>VLOOKUP(H16,[1]Hoja2!D$2:F$191,3,0)</f>
        <v>78835530.121149704</v>
      </c>
      <c r="L16" t="str">
        <f>IFERROR(VLOOKUP(H16,[2]Sheet1!K$2:L$94,2,0),"")</f>
        <v/>
      </c>
      <c r="M16" t="str">
        <f>IFERROR(VLOOKUP(H16,[2]Sheet1!K$372:L$648,2,0),"")</f>
        <v/>
      </c>
      <c r="N16">
        <f t="shared" si="1"/>
        <v>143750546.67339334</v>
      </c>
      <c r="O16">
        <f t="shared" si="2"/>
        <v>23050.799226040224</v>
      </c>
      <c r="P16">
        <f t="shared" si="3"/>
        <v>12641.496110827773</v>
      </c>
    </row>
    <row r="17" spans="1:16" x14ac:dyDescent="0.25">
      <c r="A17" t="s">
        <v>7</v>
      </c>
      <c r="B17">
        <v>2017</v>
      </c>
      <c r="C17" t="s">
        <v>12</v>
      </c>
      <c r="D17">
        <v>28604848.902331568</v>
      </c>
      <c r="E17">
        <v>68586565.477414787</v>
      </c>
      <c r="F17">
        <v>97191414.379746363</v>
      </c>
      <c r="G17">
        <v>29.43145655908112</v>
      </c>
      <c r="H17" t="str">
        <f t="shared" si="0"/>
        <v>Chile2017Fabricación de vehículos automotores, remolques y semirremolques</v>
      </c>
      <c r="I17">
        <v>98.189528995325006</v>
      </c>
      <c r="J17">
        <f>VLOOKUP(H17,[1]Hoja2!D$2:E$191,2,0)</f>
        <v>1155.5</v>
      </c>
      <c r="K17">
        <f>VLOOKUP(H17,[1]Hoja2!D$2:F$191,3,0)</f>
        <v>18442442.635550343</v>
      </c>
      <c r="L17" t="str">
        <f>IFERROR(VLOOKUP(H17,[2]Sheet1!K$2:L$94,2,0),"")</f>
        <v/>
      </c>
      <c r="M17" t="str">
        <f>IFERROR(VLOOKUP(H17,[2]Sheet1!K$372:L$648,2,0),"")</f>
        <v/>
      </c>
      <c r="N17">
        <f t="shared" si="1"/>
        <v>29132280.391826201</v>
      </c>
      <c r="O17">
        <f t="shared" si="2"/>
        <v>25211.839369819299</v>
      </c>
      <c r="P17">
        <f t="shared" si="3"/>
        <v>15960.57346218117</v>
      </c>
    </row>
    <row r="18" spans="1:16" x14ac:dyDescent="0.25">
      <c r="A18" t="s">
        <v>7</v>
      </c>
      <c r="B18">
        <v>2017</v>
      </c>
      <c r="C18" t="s">
        <v>13</v>
      </c>
      <c r="D18">
        <v>2663148124.6631312</v>
      </c>
      <c r="E18">
        <v>2550357680.5543652</v>
      </c>
      <c r="F18">
        <v>5189625164.7711496</v>
      </c>
      <c r="G18">
        <v>51.316772215871012</v>
      </c>
      <c r="H18" t="str">
        <f t="shared" si="0"/>
        <v>Chile2017Comercio al por mayor y al por menor y reparación de vehículos de motor y motocicletas</v>
      </c>
      <c r="I18">
        <v>101.26878117755</v>
      </c>
      <c r="J18">
        <f>VLOOKUP(H18,[1]Hoja2!D$2:E$191,2,0)</f>
        <v>1069501.3549697197</v>
      </c>
      <c r="K18">
        <f>VLOOKUP(H18,[1]Hoja2!D$2:F$191,3,0)</f>
        <v>1646869016.0601971</v>
      </c>
      <c r="L18" t="str">
        <f>IFERROR(VLOOKUP(H18,[2]Sheet1!K$2:L$94,2,0),"")</f>
        <v/>
      </c>
      <c r="M18" t="str">
        <f>IFERROR(VLOOKUP(H18,[2]Sheet1!K$372:L$648,2,0),"")</f>
        <v/>
      </c>
      <c r="N18">
        <f t="shared" si="1"/>
        <v>2629781946.3176451</v>
      </c>
      <c r="O18">
        <f t="shared" si="2"/>
        <v>2458.8860351580397</v>
      </c>
      <c r="P18">
        <f t="shared" si="3"/>
        <v>1539.8475265202671</v>
      </c>
    </row>
    <row r="19" spans="1:16" x14ac:dyDescent="0.25">
      <c r="A19" t="s">
        <v>7</v>
      </c>
      <c r="B19">
        <v>2017</v>
      </c>
      <c r="C19" t="s">
        <v>14</v>
      </c>
      <c r="D19">
        <v>10926274699.948811</v>
      </c>
      <c r="E19">
        <v>12048165667.918209</v>
      </c>
      <c r="F19">
        <v>22935132364.87072</v>
      </c>
      <c r="G19">
        <v>47.639902513422463</v>
      </c>
      <c r="H19" t="str">
        <f t="shared" si="0"/>
        <v>Chile2017Comercio al por mayor, excepto de vehículos de motor y motocicletas</v>
      </c>
      <c r="I19">
        <v>101.26878117755</v>
      </c>
      <c r="J19">
        <f>VLOOKUP(H19,[1]Hoja2!D$2:E$191,2,0)</f>
        <v>2949275.4354308341</v>
      </c>
      <c r="K19">
        <f>VLOOKUP(H19,[1]Hoja2!D$2:F$191,3,0)</f>
        <v>5736760578.204258</v>
      </c>
      <c r="L19" t="str">
        <f>IFERROR(VLOOKUP(H19,[2]Sheet1!K$2:L$94,2,0),"")</f>
        <v/>
      </c>
      <c r="M19" t="str">
        <f>IFERROR(VLOOKUP(H19,[2]Sheet1!K$372:L$648,2,0),"")</f>
        <v/>
      </c>
      <c r="N19">
        <f t="shared" si="1"/>
        <v>10789381063.836708</v>
      </c>
      <c r="O19">
        <f t="shared" si="2"/>
        <v>3658.3158474178185</v>
      </c>
      <c r="P19">
        <f t="shared" si="3"/>
        <v>1945.1423591320911</v>
      </c>
    </row>
    <row r="20" spans="1:16" x14ac:dyDescent="0.25">
      <c r="A20" t="s">
        <v>7</v>
      </c>
      <c r="B20">
        <v>2017</v>
      </c>
      <c r="C20" t="s">
        <v>15</v>
      </c>
      <c r="D20">
        <v>9152808232.8743668</v>
      </c>
      <c r="E20">
        <v>9103286653.2380962</v>
      </c>
      <c r="F20">
        <v>18182206380.230881</v>
      </c>
      <c r="G20">
        <v>50.339370489304393</v>
      </c>
      <c r="H20" t="str">
        <f t="shared" si="0"/>
        <v>Chile2017Comercio al por menor, excepto de vehículos de motor y motocicletas</v>
      </c>
      <c r="I20">
        <v>101.26878117755</v>
      </c>
      <c r="J20">
        <f>VLOOKUP(H20,[1]Hoja2!D$2:E$191,2,0)</f>
        <v>5132406.641346436</v>
      </c>
      <c r="K20">
        <f>VLOOKUP(H20,[1]Hoja2!D$2:F$191,3,0)</f>
        <v>4985591757.8208666</v>
      </c>
      <c r="L20" t="str">
        <f>IFERROR(VLOOKUP(H20,[2]Sheet1!K$2:L$94,2,0),"")</f>
        <v/>
      </c>
      <c r="M20" t="str">
        <f>IFERROR(VLOOKUP(H20,[2]Sheet1!K$372:L$648,2,0),"")</f>
        <v/>
      </c>
      <c r="N20">
        <f t="shared" si="1"/>
        <v>9038134088.7545204</v>
      </c>
      <c r="O20">
        <f t="shared" si="2"/>
        <v>1760.9933741305142</v>
      </c>
      <c r="P20">
        <f t="shared" si="3"/>
        <v>971.39453402954564</v>
      </c>
    </row>
    <row r="21" spans="1:16" x14ac:dyDescent="0.25">
      <c r="A21" t="s">
        <v>7</v>
      </c>
      <c r="B21">
        <v>2017</v>
      </c>
      <c r="C21" t="s">
        <v>16</v>
      </c>
      <c r="D21">
        <v>232855243.8598817</v>
      </c>
      <c r="E21">
        <v>163686312.59894809</v>
      </c>
      <c r="F21">
        <v>396541556.45882982</v>
      </c>
      <c r="G21">
        <v>58.721523650461961</v>
      </c>
      <c r="H21" t="str">
        <f t="shared" si="0"/>
        <v>Chile2017Actividades de edición</v>
      </c>
      <c r="I21">
        <v>105.31818429636112</v>
      </c>
      <c r="J21">
        <f>VLOOKUP(H21,[1]Hoja2!D$2:E$191,2,0)</f>
        <v>52177</v>
      </c>
      <c r="K21">
        <f>VLOOKUP(H21,[1]Hoja2!D$2:F$191,3,0)</f>
        <v>160562298.37046134</v>
      </c>
      <c r="L21" t="str">
        <f>IFERROR(VLOOKUP(H21,[2]Sheet1!K$2:L$94,2,0),"")</f>
        <v/>
      </c>
      <c r="M21" t="str">
        <f>IFERROR(VLOOKUP(H21,[2]Sheet1!K$372:L$648,2,0),"")</f>
        <v/>
      </c>
      <c r="N21">
        <f t="shared" si="1"/>
        <v>221096903.08051309</v>
      </c>
      <c r="O21">
        <f t="shared" si="2"/>
        <v>4237.4399271808097</v>
      </c>
      <c r="P21">
        <f t="shared" si="3"/>
        <v>3077.261980766647</v>
      </c>
    </row>
    <row r="22" spans="1:16" x14ac:dyDescent="0.25">
      <c r="A22" t="s">
        <v>7</v>
      </c>
      <c r="B22">
        <v>2017</v>
      </c>
      <c r="C22" t="s">
        <v>17</v>
      </c>
      <c r="D22">
        <v>534889361.43448663</v>
      </c>
      <c r="E22">
        <v>182821707.73655531</v>
      </c>
      <c r="F22">
        <v>717711069.17104197</v>
      </c>
      <c r="G22">
        <v>74.527116051349907</v>
      </c>
      <c r="H22" t="str">
        <f t="shared" si="0"/>
        <v>Chile2017Actividades de programación y radiodifusión</v>
      </c>
      <c r="I22">
        <v>105.31818429636112</v>
      </c>
      <c r="J22">
        <f>VLOOKUP(H22,[1]Hoja2!D$2:E$191,2,0)</f>
        <v>71194</v>
      </c>
      <c r="K22">
        <f>VLOOKUP(H22,[1]Hoja2!D$2:F$191,3,0)</f>
        <v>193410228.36907083</v>
      </c>
      <c r="L22" t="str">
        <f>IFERROR(VLOOKUP(H22,[2]Sheet1!K$2:L$94,2,0),"")</f>
        <v/>
      </c>
      <c r="M22" t="str">
        <f>IFERROR(VLOOKUP(H22,[2]Sheet1!K$372:L$648,2,0),"")</f>
        <v/>
      </c>
      <c r="N22">
        <f t="shared" si="1"/>
        <v>507879398.99279839</v>
      </c>
      <c r="O22">
        <f t="shared" si="2"/>
        <v>7133.7387840660504</v>
      </c>
      <c r="P22">
        <f t="shared" si="3"/>
        <v>2716.6647241210048</v>
      </c>
    </row>
    <row r="23" spans="1:16" x14ac:dyDescent="0.25">
      <c r="A23" t="s">
        <v>7</v>
      </c>
      <c r="B23">
        <v>2017</v>
      </c>
      <c r="C23" t="s">
        <v>18</v>
      </c>
      <c r="D23">
        <v>292664536.22827059</v>
      </c>
      <c r="E23">
        <v>251306842.9235771</v>
      </c>
      <c r="F23">
        <v>543971379.15184772</v>
      </c>
      <c r="G23">
        <v>53.801458577579737</v>
      </c>
      <c r="H23" t="str">
        <f t="shared" si="0"/>
        <v>Chile2017Actividades de servicios de información</v>
      </c>
      <c r="I23">
        <v>105.31818429636112</v>
      </c>
      <c r="J23">
        <f>VLOOKUP(H23,[1]Hoja2!D$2:E$191,2,0)</f>
        <v>51085</v>
      </c>
      <c r="K23">
        <f>VLOOKUP(H23,[1]Hoja2!D$2:F$191,3,0)</f>
        <v>156873672.67417011</v>
      </c>
      <c r="L23" t="str">
        <f>IFERROR(VLOOKUP(H23,[2]Sheet1!K$2:L$94,2,0),"")</f>
        <v/>
      </c>
      <c r="M23" t="str">
        <f>IFERROR(VLOOKUP(H23,[2]Sheet1!K$372:L$648,2,0),"")</f>
        <v/>
      </c>
      <c r="N23">
        <f t="shared" si="1"/>
        <v>277886044.26062304</v>
      </c>
      <c r="O23">
        <f t="shared" si="2"/>
        <v>5439.6798328398363</v>
      </c>
      <c r="P23">
        <f t="shared" si="3"/>
        <v>3070.8363056507801</v>
      </c>
    </row>
    <row r="24" spans="1:16" x14ac:dyDescent="0.25">
      <c r="A24" t="s">
        <v>7</v>
      </c>
      <c r="B24">
        <v>2017</v>
      </c>
      <c r="C24" t="s">
        <v>19</v>
      </c>
      <c r="D24">
        <v>129505070.4179756</v>
      </c>
      <c r="E24">
        <v>125226922.4058564</v>
      </c>
      <c r="F24">
        <v>254731992.82383209</v>
      </c>
      <c r="G24">
        <v>50.839735120173508</v>
      </c>
      <c r="H24" t="str">
        <f t="shared" si="0"/>
        <v>Chile2017Producción de películas, videos y programas de televisión, grabación de sonido y edición musical</v>
      </c>
      <c r="I24">
        <v>105.31818429636112</v>
      </c>
      <c r="J24">
        <f>VLOOKUP(H24,[1]Hoja2!D$2:E$191,2,0)</f>
        <v>22494</v>
      </c>
      <c r="K24">
        <f>VLOOKUP(H24,[1]Hoja2!D$2:F$191,3,0)</f>
        <v>30839505.013866384</v>
      </c>
      <c r="L24" t="str">
        <f>IFERROR(VLOOKUP(H24,[2]Sheet1!K$2:L$94,2,0),"")</f>
        <v/>
      </c>
      <c r="M24" t="str">
        <f>IFERROR(VLOOKUP(H24,[2]Sheet1!K$372:L$648,2,0),"")</f>
        <v/>
      </c>
      <c r="N24">
        <f t="shared" si="1"/>
        <v>122965536.56256887</v>
      </c>
      <c r="O24">
        <f t="shared" si="2"/>
        <v>5466.5927163940996</v>
      </c>
      <c r="P24">
        <f t="shared" si="3"/>
        <v>1371.0102700216228</v>
      </c>
    </row>
    <row r="25" spans="1:16" x14ac:dyDescent="0.25">
      <c r="A25" t="s">
        <v>7</v>
      </c>
      <c r="B25">
        <v>2017</v>
      </c>
      <c r="C25" t="s">
        <v>20</v>
      </c>
      <c r="D25">
        <v>929232339.43412805</v>
      </c>
      <c r="E25">
        <v>760538086.37790501</v>
      </c>
      <c r="F25">
        <v>1689770425.8120329</v>
      </c>
      <c r="G25">
        <v>54.991632309316692</v>
      </c>
      <c r="H25" t="str">
        <f t="shared" si="0"/>
        <v>Chile2017Programación de computadoras, consultoría y actividades relacionadas</v>
      </c>
      <c r="I25">
        <v>105.31818429636112</v>
      </c>
      <c r="J25">
        <f>VLOOKUP(H25,[1]Hoja2!D$2:E$191,2,0)</f>
        <v>228857</v>
      </c>
      <c r="K25">
        <f>VLOOKUP(H25,[1]Hoja2!D$2:F$191,3,0)</f>
        <v>641044464.30633497</v>
      </c>
      <c r="L25" t="str">
        <f>IFERROR(VLOOKUP(H25,[2]Sheet1!K$2:L$94,2,0),"")</f>
        <v/>
      </c>
      <c r="M25" t="str">
        <f>IFERROR(VLOOKUP(H25,[2]Sheet1!K$372:L$648,2,0),"")</f>
        <v/>
      </c>
      <c r="N25">
        <f t="shared" si="1"/>
        <v>882309494.45473325</v>
      </c>
      <c r="O25">
        <f t="shared" si="2"/>
        <v>3855.2873386207689</v>
      </c>
      <c r="P25">
        <f t="shared" si="3"/>
        <v>2801.0699445782079</v>
      </c>
    </row>
    <row r="26" spans="1:16" x14ac:dyDescent="0.25">
      <c r="A26" t="s">
        <v>7</v>
      </c>
      <c r="B26">
        <v>2018</v>
      </c>
      <c r="C26" t="s">
        <v>9</v>
      </c>
      <c r="D26">
        <v>9289895971.0436783</v>
      </c>
      <c r="E26">
        <v>16899353082.408899</v>
      </c>
      <c r="F26">
        <v>26189248055.011971</v>
      </c>
      <c r="G26">
        <v>35.472175266467119</v>
      </c>
      <c r="H26" t="str">
        <f t="shared" si="0"/>
        <v>Chile2018Elaboración de productos alimenticios</v>
      </c>
      <c r="I26">
        <v>99.999999999999005</v>
      </c>
      <c r="J26">
        <f>VLOOKUP(H26,[1]Hoja2!D$2:E$191,2,0)</f>
        <v>199351</v>
      </c>
      <c r="K26">
        <f>VLOOKUP(H26,[1]Hoja2!D$2:F$191,3,0)</f>
        <v>2110006072.5781276</v>
      </c>
      <c r="L26" t="str">
        <f>IFERROR(VLOOKUP(H26,[2]Sheet1!K$2:L$94,2,0),"")</f>
        <v/>
      </c>
      <c r="M26" t="str">
        <f>IFERROR(VLOOKUP(H26,[2]Sheet1!K$372:L$648,2,0),"")</f>
        <v/>
      </c>
      <c r="N26">
        <f t="shared" si="1"/>
        <v>9289895971.0437698</v>
      </c>
      <c r="O26">
        <f t="shared" si="2"/>
        <v>46600.699123875827</v>
      </c>
      <c r="P26">
        <f t="shared" si="3"/>
        <v>10584.376665169111</v>
      </c>
    </row>
    <row r="27" spans="1:16" x14ac:dyDescent="0.25">
      <c r="A27" t="s">
        <v>7</v>
      </c>
      <c r="B27">
        <v>2018</v>
      </c>
      <c r="C27" t="s">
        <v>10</v>
      </c>
      <c r="D27">
        <v>673413033.49960494</v>
      </c>
      <c r="E27">
        <v>168015321.6281105</v>
      </c>
      <c r="F27">
        <v>841428355.12771523</v>
      </c>
      <c r="G27">
        <v>80.032129817801518</v>
      </c>
      <c r="H27" t="str">
        <f t="shared" si="0"/>
        <v>Chile2018Fabricación de prendas de vestir</v>
      </c>
      <c r="I27">
        <v>99.999999999999005</v>
      </c>
      <c r="J27">
        <f>VLOOKUP(H27,[1]Hoja2!D$2:E$191,2,0)</f>
        <v>7589</v>
      </c>
      <c r="K27">
        <f>VLOOKUP(H27,[1]Hoja2!D$2:F$191,3,0)</f>
        <v>74067979.74322246</v>
      </c>
      <c r="L27" t="str">
        <f>IFERROR(VLOOKUP(H27,[2]Sheet1!K$2:L$94,2,0),"")</f>
        <v/>
      </c>
      <c r="M27" t="str">
        <f>IFERROR(VLOOKUP(H27,[2]Sheet1!K$372:L$648,2,0),"")</f>
        <v/>
      </c>
      <c r="N27">
        <f t="shared" si="1"/>
        <v>673413033.49961162</v>
      </c>
      <c r="O27">
        <f t="shared" si="2"/>
        <v>88735.410923654184</v>
      </c>
      <c r="P27">
        <f t="shared" si="3"/>
        <v>9759.9129981845381</v>
      </c>
    </row>
    <row r="28" spans="1:16" x14ac:dyDescent="0.25">
      <c r="A28" t="s">
        <v>7</v>
      </c>
      <c r="B28">
        <v>2018</v>
      </c>
      <c r="C28" t="s">
        <v>11</v>
      </c>
      <c r="D28">
        <v>159814900.38591039</v>
      </c>
      <c r="E28">
        <v>162657116.04514289</v>
      </c>
      <c r="F28">
        <v>322472016.43105328</v>
      </c>
      <c r="G28">
        <v>49.559308170257907</v>
      </c>
      <c r="H28" t="str">
        <f t="shared" si="0"/>
        <v>Chile2018Fabricación de productos de cuero y productos conexos</v>
      </c>
      <c r="I28">
        <v>99.999999999999005</v>
      </c>
      <c r="J28">
        <f>VLOOKUP(H28,[1]Hoja2!D$2:E$191,2,0)</f>
        <v>6350</v>
      </c>
      <c r="K28">
        <f>VLOOKUP(H28,[1]Hoja2!D$2:F$191,3,0)</f>
        <v>84012193.9578408</v>
      </c>
      <c r="L28" t="str">
        <f>IFERROR(VLOOKUP(H28,[2]Sheet1!K$2:L$94,2,0),"")</f>
        <v/>
      </c>
      <c r="M28" t="str">
        <f>IFERROR(VLOOKUP(H28,[2]Sheet1!K$372:L$648,2,0),"")</f>
        <v/>
      </c>
      <c r="N28">
        <f t="shared" si="1"/>
        <v>159814900.38591197</v>
      </c>
      <c r="O28">
        <f t="shared" si="2"/>
        <v>25167.700848175115</v>
      </c>
      <c r="P28">
        <f t="shared" si="3"/>
        <v>13230.266765014299</v>
      </c>
    </row>
    <row r="29" spans="1:16" x14ac:dyDescent="0.25">
      <c r="A29" t="s">
        <v>7</v>
      </c>
      <c r="B29">
        <v>2018</v>
      </c>
      <c r="C29" t="s">
        <v>12</v>
      </c>
      <c r="D29">
        <v>85727609.150188297</v>
      </c>
      <c r="E29">
        <v>257151841.08239341</v>
      </c>
      <c r="F29">
        <v>342879450.23258168</v>
      </c>
      <c r="G29">
        <v>25.00225927568351</v>
      </c>
      <c r="H29" t="str">
        <f t="shared" si="0"/>
        <v>Chile2018Fabricación de vehículos automotores, remolques y semirremolques</v>
      </c>
      <c r="I29">
        <v>100</v>
      </c>
      <c r="J29">
        <f>VLOOKUP(H29,[1]Hoja2!D$2:E$191,2,0)</f>
        <v>2143</v>
      </c>
      <c r="K29">
        <f>VLOOKUP(H29,[1]Hoja2!D$2:F$191,3,0)</f>
        <v>37746538.607640289</v>
      </c>
      <c r="L29" t="str">
        <f>IFERROR(VLOOKUP(H29,[2]Sheet1!K$2:L$94,2,0),"")</f>
        <v/>
      </c>
      <c r="M29" t="str">
        <f>IFERROR(VLOOKUP(H29,[2]Sheet1!K$372:L$648,2,0),"")</f>
        <v/>
      </c>
      <c r="N29">
        <f t="shared" si="1"/>
        <v>85727609.150188297</v>
      </c>
      <c r="O29">
        <f t="shared" si="2"/>
        <v>40003.550700041204</v>
      </c>
      <c r="P29">
        <f t="shared" si="3"/>
        <v>17613.87709175935</v>
      </c>
    </row>
    <row r="30" spans="1:16" x14ac:dyDescent="0.25">
      <c r="A30" t="s">
        <v>7</v>
      </c>
      <c r="B30">
        <v>2018</v>
      </c>
      <c r="C30" t="s">
        <v>13</v>
      </c>
      <c r="D30">
        <v>2671594987.8916011</v>
      </c>
      <c r="E30">
        <v>2832290312.9223838</v>
      </c>
      <c r="F30">
        <v>5443090090.9452839</v>
      </c>
      <c r="G30">
        <v>49.082321682234621</v>
      </c>
      <c r="H30" t="str">
        <f t="shared" si="0"/>
        <v>Chile2018Comercio al por mayor y al por menor y reparación de vehículos de motor y motocicletas</v>
      </c>
      <c r="I30">
        <v>100</v>
      </c>
      <c r="J30">
        <f>VLOOKUP(H30,[1]Hoja2!D$2:E$191,2,0)</f>
        <v>1163244.1826296144</v>
      </c>
      <c r="K30">
        <f>VLOOKUP(H30,[1]Hoja2!D$2:F$191,3,0)</f>
        <v>1839473970.5561841</v>
      </c>
      <c r="L30" t="str">
        <f>IFERROR(VLOOKUP(H30,[2]Sheet1!K$2:L$94,2,0),"")</f>
        <v/>
      </c>
      <c r="M30" t="str">
        <f>IFERROR(VLOOKUP(H30,[2]Sheet1!K$372:L$648,2,0),"")</f>
        <v/>
      </c>
      <c r="N30">
        <f t="shared" si="1"/>
        <v>2671594987.8916011</v>
      </c>
      <c r="O30">
        <f t="shared" si="2"/>
        <v>2296.6759926984796</v>
      </c>
      <c r="P30">
        <f t="shared" si="3"/>
        <v>1581.3309002740023</v>
      </c>
    </row>
    <row r="31" spans="1:16" x14ac:dyDescent="0.25">
      <c r="A31" t="s">
        <v>7</v>
      </c>
      <c r="B31">
        <v>2018</v>
      </c>
      <c r="C31" t="s">
        <v>14</v>
      </c>
      <c r="D31">
        <v>12254744102.258949</v>
      </c>
      <c r="E31">
        <v>12931053495.523939</v>
      </c>
      <c r="F31">
        <v>25178067419.183578</v>
      </c>
      <c r="G31">
        <v>48.672298386657999</v>
      </c>
      <c r="H31" t="str">
        <f t="shared" si="0"/>
        <v>Chile2018Comercio al por mayor, excepto de vehículos de motor y motocicletas</v>
      </c>
      <c r="I31">
        <v>100</v>
      </c>
      <c r="J31">
        <f>VLOOKUP(H31,[1]Hoja2!D$2:E$191,2,0)</f>
        <v>3434103.8420046046</v>
      </c>
      <c r="K31">
        <f>VLOOKUP(H31,[1]Hoja2!D$2:F$191,3,0)</f>
        <v>6668685887.9729185</v>
      </c>
      <c r="L31" t="str">
        <f>IFERROR(VLOOKUP(H31,[2]Sheet1!K$2:L$94,2,0),"")</f>
        <v/>
      </c>
      <c r="M31" t="str">
        <f>IFERROR(VLOOKUP(H31,[2]Sheet1!K$372:L$648,2,0),"")</f>
        <v/>
      </c>
      <c r="N31">
        <f t="shared" si="1"/>
        <v>12254744102.258949</v>
      </c>
      <c r="O31">
        <f t="shared" si="2"/>
        <v>3568.5420901848538</v>
      </c>
      <c r="P31">
        <f t="shared" si="3"/>
        <v>1941.8998943491986</v>
      </c>
    </row>
    <row r="32" spans="1:16" x14ac:dyDescent="0.25">
      <c r="A32" t="s">
        <v>7</v>
      </c>
      <c r="B32">
        <v>2018</v>
      </c>
      <c r="C32" t="s">
        <v>15</v>
      </c>
      <c r="D32">
        <v>8133214447.8493414</v>
      </c>
      <c r="E32">
        <v>12424337248.514759</v>
      </c>
      <c r="F32">
        <v>20530055761.538479</v>
      </c>
      <c r="G32">
        <v>39.616134229339551</v>
      </c>
      <c r="H32" t="str">
        <f t="shared" si="0"/>
        <v>Chile2018Comercio al por menor, excepto de vehículos de motor y motocicletas</v>
      </c>
      <c r="I32">
        <v>100</v>
      </c>
      <c r="J32">
        <f>VLOOKUP(H32,[1]Hoja2!D$2:E$191,2,0)</f>
        <v>6607377.9480443569</v>
      </c>
      <c r="K32">
        <f>VLOOKUP(H32,[1]Hoja2!D$2:F$191,3,0)</f>
        <v>5960309451.9005432</v>
      </c>
      <c r="L32" t="str">
        <f>IFERROR(VLOOKUP(H32,[2]Sheet1!K$2:L$94,2,0),"")</f>
        <v/>
      </c>
      <c r="M32" t="str">
        <f>IFERROR(VLOOKUP(H32,[2]Sheet1!K$372:L$648,2,0),"")</f>
        <v/>
      </c>
      <c r="N32">
        <f t="shared" si="1"/>
        <v>8133214447.8493404</v>
      </c>
      <c r="O32">
        <f t="shared" si="2"/>
        <v>1230.9291994196576</v>
      </c>
      <c r="P32">
        <f t="shared" si="3"/>
        <v>902.06879321390534</v>
      </c>
    </row>
    <row r="33" spans="1:16" x14ac:dyDescent="0.25">
      <c r="A33" t="s">
        <v>7</v>
      </c>
      <c r="B33">
        <v>2018</v>
      </c>
      <c r="C33" t="s">
        <v>16</v>
      </c>
      <c r="D33">
        <v>190382771.54636431</v>
      </c>
      <c r="E33">
        <v>185993596.78961441</v>
      </c>
      <c r="F33">
        <v>376376368.33597869</v>
      </c>
      <c r="G33">
        <v>50.583083201551027</v>
      </c>
      <c r="H33" t="str">
        <f t="shared" si="0"/>
        <v>Chile2018Actividades de edición</v>
      </c>
      <c r="I33">
        <v>100</v>
      </c>
      <c r="J33">
        <f>VLOOKUP(H33,[1]Hoja2!D$2:E$191,2,0)</f>
        <v>63409</v>
      </c>
      <c r="K33">
        <f>VLOOKUP(H33,[1]Hoja2!D$2:F$191,3,0)</f>
        <v>149890454.54548198</v>
      </c>
      <c r="L33" t="str">
        <f>IFERROR(VLOOKUP(H33,[2]Sheet1!K$2:L$94,2,0),"")</f>
        <v/>
      </c>
      <c r="M33" t="str">
        <f>IFERROR(VLOOKUP(H33,[2]Sheet1!K$372:L$648,2,0),"")</f>
        <v/>
      </c>
      <c r="N33">
        <f t="shared" si="1"/>
        <v>190382771.54636431</v>
      </c>
      <c r="O33">
        <f t="shared" si="2"/>
        <v>3002.4566157227573</v>
      </c>
      <c r="P33">
        <f t="shared" si="3"/>
        <v>2363.8671883404877</v>
      </c>
    </row>
    <row r="34" spans="1:16" x14ac:dyDescent="0.25">
      <c r="A34" t="s">
        <v>7</v>
      </c>
      <c r="B34">
        <v>2018</v>
      </c>
      <c r="C34" t="s">
        <v>17</v>
      </c>
      <c r="D34">
        <v>539678379.05308473</v>
      </c>
      <c r="E34">
        <v>175130559.39599711</v>
      </c>
      <c r="F34">
        <v>714808938.44908178</v>
      </c>
      <c r="G34">
        <v>75.499668516180392</v>
      </c>
      <c r="H34" t="str">
        <f t="shared" si="0"/>
        <v>Chile2018Actividades de programación y radiodifusión</v>
      </c>
      <c r="I34">
        <v>100</v>
      </c>
      <c r="J34">
        <f>VLOOKUP(H34,[1]Hoja2!D$2:E$191,2,0)</f>
        <v>69744</v>
      </c>
      <c r="K34">
        <f>VLOOKUP(H34,[1]Hoja2!D$2:F$191,3,0)</f>
        <v>195633698.96396202</v>
      </c>
      <c r="L34" t="str">
        <f>IFERROR(VLOOKUP(H34,[2]Sheet1!K$2:L$94,2,0),"")</f>
        <v/>
      </c>
      <c r="M34" t="str">
        <f>IFERROR(VLOOKUP(H34,[2]Sheet1!K$372:L$648,2,0),"")</f>
        <v/>
      </c>
      <c r="N34">
        <f t="shared" si="1"/>
        <v>539678379.05308473</v>
      </c>
      <c r="O34">
        <f t="shared" si="2"/>
        <v>7737.9900644225272</v>
      </c>
      <c r="P34">
        <f t="shared" si="3"/>
        <v>2805.0255070538255</v>
      </c>
    </row>
    <row r="35" spans="1:16" x14ac:dyDescent="0.25">
      <c r="A35" t="s">
        <v>7</v>
      </c>
      <c r="B35">
        <v>2018</v>
      </c>
      <c r="C35" t="s">
        <v>18</v>
      </c>
      <c r="D35">
        <v>352154929.66314179</v>
      </c>
      <c r="E35">
        <v>296130395.06597358</v>
      </c>
      <c r="F35">
        <v>648285324.72911537</v>
      </c>
      <c r="G35">
        <v>54.320978160393949</v>
      </c>
      <c r="H35" t="str">
        <f t="shared" si="0"/>
        <v>Chile2018Actividades de servicios de información</v>
      </c>
      <c r="I35">
        <v>100</v>
      </c>
      <c r="J35">
        <f>VLOOKUP(H35,[1]Hoja2!D$2:E$191,2,0)</f>
        <v>57966</v>
      </c>
      <c r="K35">
        <f>VLOOKUP(H35,[1]Hoja2!D$2:F$191,3,0)</f>
        <v>187381147.34792203</v>
      </c>
      <c r="L35" t="str">
        <f>IFERROR(VLOOKUP(H35,[2]Sheet1!K$2:L$94,2,0),"")</f>
        <v/>
      </c>
      <c r="M35" t="str">
        <f>IFERROR(VLOOKUP(H35,[2]Sheet1!K$372:L$648,2,0),"")</f>
        <v/>
      </c>
      <c r="N35">
        <f t="shared" si="1"/>
        <v>352154929.66314179</v>
      </c>
      <c r="O35">
        <f t="shared" si="2"/>
        <v>6075.1980413197698</v>
      </c>
      <c r="P35">
        <f t="shared" si="3"/>
        <v>3232.6044120332958</v>
      </c>
    </row>
    <row r="36" spans="1:16" x14ac:dyDescent="0.25">
      <c r="A36" t="s">
        <v>7</v>
      </c>
      <c r="B36">
        <v>2018</v>
      </c>
      <c r="C36" t="s">
        <v>19</v>
      </c>
      <c r="D36">
        <v>166832729.36132681</v>
      </c>
      <c r="E36">
        <v>174027450.7452766</v>
      </c>
      <c r="F36">
        <v>340860180.10660338</v>
      </c>
      <c r="G36">
        <v>48.944622780270237</v>
      </c>
      <c r="H36" t="str">
        <f t="shared" si="0"/>
        <v>Chile2018Producción de películas, videos y programas de televisión, grabación de sonido y edición musical</v>
      </c>
      <c r="I36">
        <v>100</v>
      </c>
      <c r="J36">
        <f>VLOOKUP(H36,[1]Hoja2!D$2:E$191,2,0)</f>
        <v>33703</v>
      </c>
      <c r="K36">
        <f>VLOOKUP(H36,[1]Hoja2!D$2:F$191,3,0)</f>
        <v>48344274.061239436</v>
      </c>
      <c r="L36" t="str">
        <f>IFERROR(VLOOKUP(H36,[2]Sheet1!K$2:L$94,2,0),"")</f>
        <v/>
      </c>
      <c r="M36" t="str">
        <f>IFERROR(VLOOKUP(H36,[2]Sheet1!K$372:L$648,2,0),"")</f>
        <v/>
      </c>
      <c r="N36">
        <f t="shared" si="1"/>
        <v>166832729.36132681</v>
      </c>
      <c r="O36">
        <f t="shared" si="2"/>
        <v>4950.0854333835805</v>
      </c>
      <c r="P36">
        <f t="shared" si="3"/>
        <v>1434.4204985087213</v>
      </c>
    </row>
    <row r="37" spans="1:16" x14ac:dyDescent="0.25">
      <c r="A37" t="s">
        <v>7</v>
      </c>
      <c r="B37">
        <v>2018</v>
      </c>
      <c r="C37" t="s">
        <v>20</v>
      </c>
      <c r="D37">
        <v>963533635.41311502</v>
      </c>
      <c r="E37">
        <v>856955437.65606654</v>
      </c>
      <c r="F37">
        <v>1820489073.069181</v>
      </c>
      <c r="G37">
        <v>52.927185868173531</v>
      </c>
      <c r="H37" t="str">
        <f t="shared" si="0"/>
        <v>Chile2018Programación de computadoras, consultoría y actividades relacionadas</v>
      </c>
      <c r="I37">
        <v>100</v>
      </c>
      <c r="J37">
        <f>VLOOKUP(H37,[1]Hoja2!D$2:E$191,2,0)</f>
        <v>194170</v>
      </c>
      <c r="K37">
        <f>VLOOKUP(H37,[1]Hoja2!D$2:F$191,3,0)</f>
        <v>668088471.7340349</v>
      </c>
      <c r="L37" t="str">
        <f>IFERROR(VLOOKUP(H37,[2]Sheet1!K$2:L$94,2,0),"")</f>
        <v/>
      </c>
      <c r="M37" t="str">
        <f>IFERROR(VLOOKUP(H37,[2]Sheet1!K$372:L$648,2,0),"")</f>
        <v/>
      </c>
      <c r="N37">
        <f t="shared" si="1"/>
        <v>963533635.41311514</v>
      </c>
      <c r="O37">
        <f t="shared" si="2"/>
        <v>4962.3197992126234</v>
      </c>
      <c r="P37">
        <f t="shared" si="3"/>
        <v>3440.7399275585049</v>
      </c>
    </row>
    <row r="38" spans="1:16" x14ac:dyDescent="0.25">
      <c r="A38" t="s">
        <v>7</v>
      </c>
      <c r="B38">
        <v>2019</v>
      </c>
      <c r="C38" t="s">
        <v>9</v>
      </c>
      <c r="D38">
        <v>7685209746.2227783</v>
      </c>
      <c r="E38">
        <v>16556121932.33037</v>
      </c>
      <c r="F38">
        <v>24241331677.13047</v>
      </c>
      <c r="G38">
        <v>31.70291900041568</v>
      </c>
      <c r="H38" t="str">
        <f t="shared" si="0"/>
        <v>Chile2019Elaboración de productos alimenticios</v>
      </c>
      <c r="I38">
        <v>101.52099705321</v>
      </c>
      <c r="J38">
        <f>VLOOKUP(H38,[1]Hoja2!D$2:E$191,2,0)</f>
        <v>167758</v>
      </c>
      <c r="K38">
        <f>VLOOKUP(H38,[1]Hoja2!D$2:F$191,3,0)</f>
        <v>2046898707.0248907</v>
      </c>
      <c r="L38" t="str">
        <f>IFERROR(VLOOKUP(H38,[2]Sheet1!K$2:L$94,2,0),"")</f>
        <v/>
      </c>
      <c r="M38" t="str">
        <f>IFERROR(VLOOKUP(H38,[2]Sheet1!K$372:L$648,2,0),"")</f>
        <v/>
      </c>
      <c r="N38">
        <f t="shared" si="1"/>
        <v>7570069216.513649</v>
      </c>
      <c r="O38">
        <f t="shared" si="2"/>
        <v>45124.937210229313</v>
      </c>
      <c r="P38">
        <f t="shared" si="3"/>
        <v>12201.496840835553</v>
      </c>
    </row>
    <row r="39" spans="1:16" x14ac:dyDescent="0.25">
      <c r="A39" t="s">
        <v>7</v>
      </c>
      <c r="B39">
        <v>2019</v>
      </c>
      <c r="C39" t="s">
        <v>10</v>
      </c>
      <c r="D39">
        <v>101004331.1032135</v>
      </c>
      <c r="E39">
        <v>151376215.90963519</v>
      </c>
      <c r="F39">
        <v>252380547.01284871</v>
      </c>
      <c r="G39">
        <v>40.020648302212997</v>
      </c>
      <c r="H39" t="str">
        <f t="shared" si="0"/>
        <v>Chile2019Fabricación de prendas de vestir</v>
      </c>
      <c r="I39">
        <v>84.562992854463005</v>
      </c>
      <c r="J39">
        <f>VLOOKUP(H39,[1]Hoja2!D$2:E$191,2,0)</f>
        <v>6673</v>
      </c>
      <c r="K39">
        <f>VLOOKUP(H39,[1]Hoja2!D$2:F$191,3,0)</f>
        <v>62783543.634543635</v>
      </c>
      <c r="L39" t="str">
        <f>IFERROR(VLOOKUP(H39,[2]Sheet1!K$2:L$94,2,0),"")</f>
        <v/>
      </c>
      <c r="M39" t="str">
        <f>IFERROR(VLOOKUP(H39,[2]Sheet1!K$372:L$648,2,0),"")</f>
        <v/>
      </c>
      <c r="N39">
        <f t="shared" si="1"/>
        <v>119442710.92326029</v>
      </c>
      <c r="O39">
        <f t="shared" si="2"/>
        <v>17899.40220639297</v>
      </c>
      <c r="P39">
        <f t="shared" si="3"/>
        <v>9408.5933814691489</v>
      </c>
    </row>
    <row r="40" spans="1:16" x14ac:dyDescent="0.25">
      <c r="A40" t="s">
        <v>7</v>
      </c>
      <c r="B40">
        <v>2019</v>
      </c>
      <c r="C40" t="s">
        <v>11</v>
      </c>
      <c r="D40">
        <v>113688972.8643228</v>
      </c>
      <c r="E40">
        <v>98814455.38224335</v>
      </c>
      <c r="F40">
        <v>212503428.24656609</v>
      </c>
      <c r="G40">
        <v>53.499830003876603</v>
      </c>
      <c r="H40" t="str">
        <f t="shared" si="0"/>
        <v>Chile2019Fabricación de productos de cuero y productos conexos</v>
      </c>
      <c r="I40">
        <v>84.562992854463005</v>
      </c>
      <c r="J40">
        <f>VLOOKUP(H40,[1]Hoja2!D$2:E$191,2,0)</f>
        <v>5140</v>
      </c>
      <c r="K40">
        <f>VLOOKUP(H40,[1]Hoja2!D$2:F$191,3,0)</f>
        <v>66940501.543639198</v>
      </c>
      <c r="L40" t="str">
        <f>IFERROR(VLOOKUP(H40,[2]Sheet1!K$2:L$94,2,0),"")</f>
        <v/>
      </c>
      <c r="M40" t="str">
        <f>IFERROR(VLOOKUP(H40,[2]Sheet1!K$372:L$648,2,0),"")</f>
        <v/>
      </c>
      <c r="N40">
        <f t="shared" si="1"/>
        <v>134442938.95792809</v>
      </c>
      <c r="O40">
        <f t="shared" si="2"/>
        <v>26156.213805044375</v>
      </c>
      <c r="P40">
        <f t="shared" si="3"/>
        <v>13023.443880085448</v>
      </c>
    </row>
    <row r="41" spans="1:16" x14ac:dyDescent="0.25">
      <c r="A41" t="s">
        <v>7</v>
      </c>
      <c r="B41">
        <v>2019</v>
      </c>
      <c r="C41" t="s">
        <v>12</v>
      </c>
      <c r="D41">
        <v>29829824.846405119</v>
      </c>
      <c r="E41">
        <v>64386861.506862871</v>
      </c>
      <c r="F41">
        <v>94216684.930585295</v>
      </c>
      <c r="G41">
        <v>31.660872878707661</v>
      </c>
      <c r="H41" t="str">
        <f t="shared" si="0"/>
        <v>Chile2019Fabricación de vehículos automotores, remolques y semirremolques</v>
      </c>
      <c r="I41">
        <v>106.59709315790001</v>
      </c>
      <c r="J41">
        <f>VLOOKUP(H41,[1]Hoja2!D$2:E$191,2,0)</f>
        <v>1538</v>
      </c>
      <c r="K41">
        <f>VLOOKUP(H41,[1]Hoja2!D$2:F$191,3,0)</f>
        <v>18473140.721843205</v>
      </c>
      <c r="L41" t="str">
        <f>IFERROR(VLOOKUP(H41,[2]Sheet1!K$2:L$94,2,0),"")</f>
        <v/>
      </c>
      <c r="M41" t="str">
        <f>IFERROR(VLOOKUP(H41,[2]Sheet1!K$372:L$648,2,0),"")</f>
        <v/>
      </c>
      <c r="N41">
        <f t="shared" si="1"/>
        <v>27983713.216474704</v>
      </c>
      <c r="O41">
        <f t="shared" si="2"/>
        <v>18194.872052324255</v>
      </c>
      <c r="P41">
        <f t="shared" si="3"/>
        <v>12011.144812641876</v>
      </c>
    </row>
    <row r="42" spans="1:16" x14ac:dyDescent="0.25">
      <c r="A42" t="s">
        <v>7</v>
      </c>
      <c r="B42">
        <v>2019</v>
      </c>
      <c r="C42" t="s">
        <v>13</v>
      </c>
      <c r="D42">
        <v>2159516916.976234</v>
      </c>
      <c r="E42">
        <v>2506000885.0842428</v>
      </c>
      <c r="F42">
        <v>4665088394.8687077</v>
      </c>
      <c r="G42">
        <v>46.291018179881902</v>
      </c>
      <c r="H42" t="str">
        <f t="shared" si="0"/>
        <v>Chile2019Comercio al por mayor y al por menor y reparación de vehículos de motor y motocicletas</v>
      </c>
      <c r="I42">
        <v>100.87565811829</v>
      </c>
      <c r="J42">
        <f>VLOOKUP(H42,[1]Hoja2!D$2:E$191,2,0)</f>
        <v>996897.17690744577</v>
      </c>
      <c r="K42">
        <f>VLOOKUP(H42,[1]Hoja2!D$2:F$191,3,0)</f>
        <v>1595370245.2815833</v>
      </c>
      <c r="L42" t="str">
        <f>IFERROR(VLOOKUP(H42,[2]Sheet1!K$2:L$94,2,0),"")</f>
        <v/>
      </c>
      <c r="M42" t="str">
        <f>IFERROR(VLOOKUP(H42,[2]Sheet1!K$372:L$648,2,0),"")</f>
        <v/>
      </c>
      <c r="N42">
        <f t="shared" si="1"/>
        <v>2140771081.2096171</v>
      </c>
      <c r="O42">
        <f t="shared" si="2"/>
        <v>2147.4341896028573</v>
      </c>
      <c r="P42">
        <f t="shared" si="3"/>
        <v>1600.3358041706051</v>
      </c>
    </row>
    <row r="43" spans="1:16" x14ac:dyDescent="0.25">
      <c r="A43" t="s">
        <v>7</v>
      </c>
      <c r="B43">
        <v>2019</v>
      </c>
      <c r="C43" t="s">
        <v>14</v>
      </c>
      <c r="D43">
        <v>10763940909.536461</v>
      </c>
      <c r="E43">
        <v>11623045164.2367</v>
      </c>
      <c r="F43">
        <v>22295096993.570999</v>
      </c>
      <c r="G43">
        <v>48.279408305065218</v>
      </c>
      <c r="H43" t="str">
        <f t="shared" si="0"/>
        <v>Chile2019Comercio al por mayor, excepto de vehículos de motor y motocicletas</v>
      </c>
      <c r="I43">
        <v>100.87565811829</v>
      </c>
      <c r="J43">
        <f>VLOOKUP(H43,[1]Hoja2!D$2:E$191,2,0)</f>
        <v>2923247.4461379093</v>
      </c>
      <c r="K43">
        <f>VLOOKUP(H43,[1]Hoja2!D$2:F$191,3,0)</f>
        <v>5854519569.5592613</v>
      </c>
      <c r="L43" t="str">
        <f>IFERROR(VLOOKUP(H43,[2]Sheet1!K$2:L$94,2,0),"")</f>
        <v/>
      </c>
      <c r="M43" t="str">
        <f>IFERROR(VLOOKUP(H43,[2]Sheet1!K$372:L$648,2,0),"")</f>
        <v/>
      </c>
      <c r="N43">
        <f t="shared" si="1"/>
        <v>10670503776.951145</v>
      </c>
      <c r="O43">
        <f t="shared" si="2"/>
        <v>3650.2225602039389</v>
      </c>
      <c r="P43">
        <f t="shared" si="3"/>
        <v>2002.7451241919478</v>
      </c>
    </row>
    <row r="44" spans="1:16" x14ac:dyDescent="0.25">
      <c r="A44" t="s">
        <v>7</v>
      </c>
      <c r="B44">
        <v>2019</v>
      </c>
      <c r="C44" t="s">
        <v>15</v>
      </c>
      <c r="D44">
        <v>7011004291.9798794</v>
      </c>
      <c r="E44">
        <v>10718593081.32963</v>
      </c>
      <c r="F44">
        <v>17711355513.733398</v>
      </c>
      <c r="G44">
        <v>39.584797936801287</v>
      </c>
      <c r="H44" t="str">
        <f t="shared" si="0"/>
        <v>Chile2019Comercio al por menor, excepto de vehículos de motor y motocicletas</v>
      </c>
      <c r="I44">
        <v>100.87565811829</v>
      </c>
      <c r="J44">
        <f>VLOOKUP(H44,[1]Hoja2!D$2:E$191,2,0)</f>
        <v>4888129.6885769451</v>
      </c>
      <c r="K44">
        <f>VLOOKUP(H44,[1]Hoja2!D$2:F$191,3,0)</f>
        <v>5318223200.9883623</v>
      </c>
      <c r="L44" t="str">
        <f>IFERROR(VLOOKUP(H44,[2]Sheet1!K$2:L$94,2,0),"")</f>
        <v/>
      </c>
      <c r="M44" t="str">
        <f>IFERROR(VLOOKUP(H44,[2]Sheet1!K$372:L$648,2,0),"")</f>
        <v/>
      </c>
      <c r="N44">
        <f t="shared" si="1"/>
        <v>6950144784.9376631</v>
      </c>
      <c r="O44">
        <f t="shared" si="2"/>
        <v>1421.8413233141982</v>
      </c>
      <c r="P44">
        <f t="shared" si="3"/>
        <v>1087.9873366323527</v>
      </c>
    </row>
    <row r="45" spans="1:16" x14ac:dyDescent="0.25">
      <c r="A45" t="s">
        <v>7</v>
      </c>
      <c r="B45">
        <v>2019</v>
      </c>
      <c r="C45" t="s">
        <v>16</v>
      </c>
      <c r="D45">
        <v>153827115.4928517</v>
      </c>
      <c r="E45">
        <v>155759250.9032374</v>
      </c>
      <c r="F45">
        <v>309586366.39608908</v>
      </c>
      <c r="G45">
        <v>49.687948885980063</v>
      </c>
      <c r="H45" t="str">
        <f t="shared" si="0"/>
        <v>Chile2019Actividades de edición</v>
      </c>
      <c r="I45">
        <v>98.531452356655734</v>
      </c>
      <c r="J45">
        <f>VLOOKUP(H45,[1]Hoja2!D$2:E$191,2,0)</f>
        <v>40762</v>
      </c>
      <c r="K45">
        <f>VLOOKUP(H45,[1]Hoja2!D$2:F$191,3,0)</f>
        <v>129852752.43630642</v>
      </c>
      <c r="L45" t="str">
        <f>IFERROR(VLOOKUP(H45,[2]Sheet1!K$2:L$94,2,0),"")</f>
        <v/>
      </c>
      <c r="M45" t="str">
        <f>IFERROR(VLOOKUP(H45,[2]Sheet1!K$372:L$648,2,0),"")</f>
        <v/>
      </c>
      <c r="N45">
        <f t="shared" si="1"/>
        <v>156119809.2727198</v>
      </c>
      <c r="O45">
        <f t="shared" si="2"/>
        <v>3830.0331012393849</v>
      </c>
      <c r="P45">
        <f t="shared" si="3"/>
        <v>3185.6325115623968</v>
      </c>
    </row>
    <row r="46" spans="1:16" x14ac:dyDescent="0.25">
      <c r="A46" t="s">
        <v>7</v>
      </c>
      <c r="B46">
        <v>2019</v>
      </c>
      <c r="C46" t="s">
        <v>17</v>
      </c>
      <c r="D46">
        <v>415123602.15612841</v>
      </c>
      <c r="E46">
        <v>139880399.10815489</v>
      </c>
      <c r="F46">
        <v>555004001.2642833</v>
      </c>
      <c r="G46">
        <v>74.79650618923263</v>
      </c>
      <c r="H46" t="str">
        <f t="shared" si="0"/>
        <v>Chile2019Actividades de programación y radiodifusión</v>
      </c>
      <c r="I46">
        <v>98.531452356655734</v>
      </c>
      <c r="J46">
        <f>VLOOKUP(H46,[1]Hoja2!D$2:E$191,2,0)</f>
        <v>55417</v>
      </c>
      <c r="K46">
        <f>VLOOKUP(H46,[1]Hoja2!D$2:F$191,3,0)</f>
        <v>157662834.49460119</v>
      </c>
      <c r="L46" t="str">
        <f>IFERROR(VLOOKUP(H46,[2]Sheet1!K$2:L$94,2,0),"")</f>
        <v/>
      </c>
      <c r="M46" t="str">
        <f>IFERROR(VLOOKUP(H46,[2]Sheet1!K$372:L$648,2,0),"")</f>
        <v/>
      </c>
      <c r="N46">
        <f t="shared" si="1"/>
        <v>421310751.2649864</v>
      </c>
      <c r="O46">
        <f t="shared" si="2"/>
        <v>7602.5542931769387</v>
      </c>
      <c r="P46">
        <f t="shared" si="3"/>
        <v>2845.02651703631</v>
      </c>
    </row>
    <row r="47" spans="1:16" x14ac:dyDescent="0.25">
      <c r="A47" t="s">
        <v>7</v>
      </c>
      <c r="B47">
        <v>2019</v>
      </c>
      <c r="C47" t="s">
        <v>18</v>
      </c>
      <c r="D47">
        <v>406255503.05671197</v>
      </c>
      <c r="E47">
        <v>322383306.19310862</v>
      </c>
      <c r="F47">
        <v>728638809.24982047</v>
      </c>
      <c r="G47">
        <v>55.755402800322649</v>
      </c>
      <c r="H47" t="str">
        <f t="shared" si="0"/>
        <v>Chile2019Actividades de servicios de información</v>
      </c>
      <c r="I47">
        <v>98.531452356655734</v>
      </c>
      <c r="J47">
        <f>VLOOKUP(H47,[1]Hoja2!D$2:E$191,2,0)</f>
        <v>58359</v>
      </c>
      <c r="K47">
        <f>VLOOKUP(H47,[1]Hoja2!D$2:F$191,3,0)</f>
        <v>190550671.69246268</v>
      </c>
      <c r="L47" t="str">
        <f>IFERROR(VLOOKUP(H47,[2]Sheet1!K$2:L$94,2,0),"")</f>
        <v/>
      </c>
      <c r="M47" t="str">
        <f>IFERROR(VLOOKUP(H47,[2]Sheet1!K$372:L$648,2,0),"")</f>
        <v/>
      </c>
      <c r="N47">
        <f t="shared" si="1"/>
        <v>412310478.87752938</v>
      </c>
      <c r="O47">
        <f t="shared" si="2"/>
        <v>7065.0710066575748</v>
      </c>
      <c r="P47">
        <f t="shared" si="3"/>
        <v>3265.1462789366283</v>
      </c>
    </row>
    <row r="48" spans="1:16" x14ac:dyDescent="0.25">
      <c r="A48" t="s">
        <v>7</v>
      </c>
      <c r="B48">
        <v>2019</v>
      </c>
      <c r="C48" t="s">
        <v>19</v>
      </c>
      <c r="D48">
        <v>152077119.03459561</v>
      </c>
      <c r="E48">
        <v>127998096.3255339</v>
      </c>
      <c r="F48">
        <v>280075215.36012948</v>
      </c>
      <c r="G48">
        <v>54.298670747802547</v>
      </c>
      <c r="H48" t="str">
        <f t="shared" si="0"/>
        <v>Chile2019Producción de películas, videos y programas de televisión, grabación de sonido y edición musical</v>
      </c>
      <c r="I48">
        <v>98.531452356655734</v>
      </c>
      <c r="J48">
        <f>VLOOKUP(H48,[1]Hoja2!D$2:E$191,2,0)</f>
        <v>39876</v>
      </c>
      <c r="K48">
        <f>VLOOKUP(H48,[1]Hoja2!D$2:F$191,3,0)</f>
        <v>46848236.944726467</v>
      </c>
      <c r="L48" t="str">
        <f>IFERROR(VLOOKUP(H48,[2]Sheet1!K$2:L$94,2,0),"")</f>
        <v/>
      </c>
      <c r="M48" t="str">
        <f>IFERROR(VLOOKUP(H48,[2]Sheet1!K$372:L$648,2,0),"")</f>
        <v/>
      </c>
      <c r="N48">
        <f t="shared" si="1"/>
        <v>154343730.24779931</v>
      </c>
      <c r="O48">
        <f t="shared" si="2"/>
        <v>3870.5920916791883</v>
      </c>
      <c r="P48">
        <f t="shared" si="3"/>
        <v>1174.8479522701994</v>
      </c>
    </row>
    <row r="49" spans="1:16" x14ac:dyDescent="0.25">
      <c r="A49" t="s">
        <v>7</v>
      </c>
      <c r="B49">
        <v>2019</v>
      </c>
      <c r="C49" t="s">
        <v>20</v>
      </c>
      <c r="D49">
        <v>710672075.27891231</v>
      </c>
      <c r="E49">
        <v>625397420.57671332</v>
      </c>
      <c r="F49">
        <v>1336069495.8556261</v>
      </c>
      <c r="G49">
        <v>53.19125071587645</v>
      </c>
      <c r="H49" t="str">
        <f t="shared" si="0"/>
        <v>Chile2019Programación de computadoras, consultoría y actividades relacionadas</v>
      </c>
      <c r="I49">
        <v>98.531452356655734</v>
      </c>
      <c r="J49">
        <f>VLOOKUP(H49,[1]Hoja2!D$2:E$191,2,0)</f>
        <v>186728</v>
      </c>
      <c r="K49">
        <f>VLOOKUP(H49,[1]Hoja2!D$2:F$191,3,0)</f>
        <v>494466314.49210656</v>
      </c>
      <c r="L49" t="str">
        <f>IFERROR(VLOOKUP(H49,[2]Sheet1!K$2:L$94,2,0),"")</f>
        <v/>
      </c>
      <c r="M49" t="str">
        <f>IFERROR(VLOOKUP(H49,[2]Sheet1!K$372:L$648,2,0),"")</f>
        <v/>
      </c>
      <c r="N49">
        <f t="shared" si="1"/>
        <v>721264183.44721258</v>
      </c>
      <c r="O49">
        <f t="shared" si="2"/>
        <v>3862.6461133156922</v>
      </c>
      <c r="P49">
        <f t="shared" si="3"/>
        <v>2648.0566090361731</v>
      </c>
    </row>
    <row r="50" spans="1:16" x14ac:dyDescent="0.25">
      <c r="A50" t="s">
        <v>7</v>
      </c>
      <c r="B50">
        <v>2020</v>
      </c>
      <c r="C50" t="s">
        <v>9</v>
      </c>
      <c r="D50">
        <v>6164601705.3821974</v>
      </c>
      <c r="E50">
        <v>17287186392.780251</v>
      </c>
      <c r="F50">
        <v>23451789096.90099</v>
      </c>
      <c r="G50">
        <v>26.286274705569539</v>
      </c>
      <c r="H50" t="str">
        <f t="shared" si="0"/>
        <v>Chile2020Elaboración de productos alimenticios</v>
      </c>
      <c r="I50">
        <v>107.43342807145</v>
      </c>
      <c r="J50">
        <f>VLOOKUP(H50,[1]Hoja2!D$2:E$191,2,0)</f>
        <v>162764</v>
      </c>
      <c r="K50">
        <f>VLOOKUP(H50,[1]Hoja2!D$2:F$191,3,0)</f>
        <v>2240289028.6659007</v>
      </c>
      <c r="L50" t="str">
        <f>IFERROR(VLOOKUP(H50,[2]Sheet1!K$2:L$94,2,0),"")</f>
        <v/>
      </c>
      <c r="M50" t="str">
        <f>IFERROR(VLOOKUP(H50,[2]Sheet1!K$372:L$648,2,0),"")</f>
        <v/>
      </c>
      <c r="N50">
        <f t="shared" si="1"/>
        <v>5738066648.3828001</v>
      </c>
      <c r="O50">
        <f t="shared" si="2"/>
        <v>35253.905337684009</v>
      </c>
      <c r="P50">
        <f t="shared" si="3"/>
        <v>13764.03276317798</v>
      </c>
    </row>
    <row r="51" spans="1:16" x14ac:dyDescent="0.25">
      <c r="A51" t="s">
        <v>7</v>
      </c>
      <c r="B51">
        <v>2020</v>
      </c>
      <c r="C51" t="s">
        <v>10</v>
      </c>
      <c r="D51">
        <v>82397349.929603919</v>
      </c>
      <c r="E51">
        <v>72311582.797550336</v>
      </c>
      <c r="F51">
        <v>154708932.72715431</v>
      </c>
      <c r="G51">
        <v>53.259594308571991</v>
      </c>
      <c r="H51" t="str">
        <f t="shared" si="0"/>
        <v>Chile2020Fabricación de prendas de vestir</v>
      </c>
      <c r="I51">
        <v>71.728747032472995</v>
      </c>
      <c r="J51">
        <f>VLOOKUP(H51,[1]Hoja2!D$2:E$191,2,0)</f>
        <v>4408</v>
      </c>
      <c r="K51">
        <f>VLOOKUP(H51,[1]Hoja2!D$2:F$191,3,0)</f>
        <v>37521298.336932547</v>
      </c>
      <c r="L51" t="str">
        <f>IFERROR(VLOOKUP(H51,[2]Sheet1!K$2:L$94,2,0),"")</f>
        <v/>
      </c>
      <c r="M51" t="str">
        <f>IFERROR(VLOOKUP(H51,[2]Sheet1!K$372:L$648,2,0),"")</f>
        <v/>
      </c>
      <c r="N51">
        <f t="shared" si="1"/>
        <v>114873538.62782663</v>
      </c>
      <c r="O51">
        <f t="shared" si="2"/>
        <v>26060.24016057773</v>
      </c>
      <c r="P51">
        <f t="shared" si="3"/>
        <v>8512.0912742587443</v>
      </c>
    </row>
    <row r="52" spans="1:16" x14ac:dyDescent="0.25">
      <c r="A52" t="s">
        <v>7</v>
      </c>
      <c r="B52">
        <v>2020</v>
      </c>
      <c r="C52" t="s">
        <v>11</v>
      </c>
      <c r="D52">
        <v>36573567.523336358</v>
      </c>
      <c r="E52">
        <v>45342476.861229479</v>
      </c>
      <c r="F52">
        <v>81916044.384565845</v>
      </c>
      <c r="G52">
        <v>44.647624037651092</v>
      </c>
      <c r="H52" t="str">
        <f t="shared" si="0"/>
        <v>Chile2020Fabricación de productos de cuero y productos conexos</v>
      </c>
      <c r="I52">
        <v>71.728747032472995</v>
      </c>
      <c r="J52">
        <f>VLOOKUP(H52,[1]Hoja2!D$2:E$191,2,0)</f>
        <v>1373</v>
      </c>
      <c r="K52">
        <f>VLOOKUP(H52,[1]Hoja2!D$2:F$191,3,0)</f>
        <v>13119727.593462285</v>
      </c>
      <c r="L52" t="str">
        <f>IFERROR(VLOOKUP(H52,[2]Sheet1!K$2:L$94,2,0),"")</f>
        <v/>
      </c>
      <c r="M52" t="str">
        <f>IFERROR(VLOOKUP(H52,[2]Sheet1!K$372:L$648,2,0),"")</f>
        <v/>
      </c>
      <c r="N52">
        <f t="shared" si="1"/>
        <v>50988716.56963253</v>
      </c>
      <c r="O52">
        <f t="shared" si="2"/>
        <v>37136.720007015683</v>
      </c>
      <c r="P52">
        <f t="shared" si="3"/>
        <v>9555.5190047066899</v>
      </c>
    </row>
    <row r="53" spans="1:16" x14ac:dyDescent="0.25">
      <c r="A53" t="s">
        <v>7</v>
      </c>
      <c r="B53">
        <v>2020</v>
      </c>
      <c r="C53" t="s">
        <v>12</v>
      </c>
      <c r="D53">
        <v>23431296.235318851</v>
      </c>
      <c r="E53">
        <v>45032561.926926062</v>
      </c>
      <c r="F53">
        <v>68463858.162244916</v>
      </c>
      <c r="G53">
        <v>34.224329250904347</v>
      </c>
      <c r="H53" t="str">
        <f t="shared" si="0"/>
        <v>Chile2020Fabricación de vehículos automotores, remolques y semirremolques</v>
      </c>
      <c r="I53">
        <v>113.44450268036999</v>
      </c>
      <c r="J53">
        <f>VLOOKUP(H53,[1]Hoja2!D$2:E$191,2,0)</f>
        <v>1391</v>
      </c>
      <c r="K53">
        <f>VLOOKUP(H53,[1]Hoja2!D$2:F$191,3,0)</f>
        <v>14422492.267172242</v>
      </c>
      <c r="L53" t="str">
        <f>IFERROR(VLOOKUP(H53,[2]Sheet1!K$2:L$94,2,0),"")</f>
        <v/>
      </c>
      <c r="M53" t="str">
        <f>IFERROR(VLOOKUP(H53,[2]Sheet1!K$372:L$648,2,0),"")</f>
        <v/>
      </c>
      <c r="N53">
        <f t="shared" si="1"/>
        <v>20654413.110996269</v>
      </c>
      <c r="O53">
        <f t="shared" si="2"/>
        <v>14848.607556431538</v>
      </c>
      <c r="P53">
        <f t="shared" si="3"/>
        <v>10368.434412057686</v>
      </c>
    </row>
    <row r="54" spans="1:16" x14ac:dyDescent="0.25">
      <c r="A54" t="s">
        <v>7</v>
      </c>
      <c r="B54">
        <v>2020</v>
      </c>
      <c r="C54" t="s">
        <v>13</v>
      </c>
      <c r="D54">
        <v>2012463447.2970431</v>
      </c>
      <c r="E54">
        <v>2189781758.2458529</v>
      </c>
      <c r="F54">
        <v>4195483794.899055</v>
      </c>
      <c r="G54">
        <v>47.967375055621289</v>
      </c>
      <c r="H54" t="str">
        <f t="shared" si="0"/>
        <v>Chile2020Comercio al por mayor y al por menor y reparación de vehículos de motor y motocicletas</v>
      </c>
      <c r="I54">
        <v>107.49939219849</v>
      </c>
      <c r="J54">
        <f>VLOOKUP(H54,[1]Hoja2!D$2:E$191,2,0)</f>
        <v>1049347.4273542541</v>
      </c>
      <c r="K54">
        <f>VLOOKUP(H54,[1]Hoja2!D$2:F$191,3,0)</f>
        <v>1482262058.3252363</v>
      </c>
      <c r="L54" t="str">
        <f>IFERROR(VLOOKUP(H54,[2]Sheet1!K$2:L$94,2,0),"")</f>
        <v/>
      </c>
      <c r="M54" t="str">
        <f>IFERROR(VLOOKUP(H54,[2]Sheet1!K$372:L$648,2,0),"")</f>
        <v/>
      </c>
      <c r="N54">
        <f t="shared" si="1"/>
        <v>1872069605.3622072</v>
      </c>
      <c r="O54">
        <f t="shared" si="2"/>
        <v>1784.0322056940695</v>
      </c>
      <c r="P54">
        <f t="shared" si="3"/>
        <v>1412.5560512046052</v>
      </c>
    </row>
    <row r="55" spans="1:16" x14ac:dyDescent="0.25">
      <c r="A55" t="s">
        <v>7</v>
      </c>
      <c r="B55">
        <v>2020</v>
      </c>
      <c r="C55" t="s">
        <v>14</v>
      </c>
      <c r="D55">
        <v>12085481302.715321</v>
      </c>
      <c r="E55">
        <v>9733193319.1164608</v>
      </c>
      <c r="F55">
        <v>21733083448.473381</v>
      </c>
      <c r="G55">
        <v>55.608682179721939</v>
      </c>
      <c r="H55" t="str">
        <f t="shared" si="0"/>
        <v>Chile2020Comercio al por mayor, excepto de vehículos de motor y motocicletas</v>
      </c>
      <c r="I55">
        <v>107.49939219849</v>
      </c>
      <c r="J55">
        <f>VLOOKUP(H55,[1]Hoja2!D$2:E$191,2,0)</f>
        <v>3420807.4508339646</v>
      </c>
      <c r="K55">
        <f>VLOOKUP(H55,[1]Hoja2!D$2:F$191,3,0)</f>
        <v>5960012166.9037151</v>
      </c>
      <c r="L55" t="str">
        <f>IFERROR(VLOOKUP(H55,[2]Sheet1!K$2:L$94,2,0),"")</f>
        <v/>
      </c>
      <c r="M55" t="str">
        <f>IFERROR(VLOOKUP(H55,[2]Sheet1!K$372:L$648,2,0),"")</f>
        <v/>
      </c>
      <c r="N55">
        <f t="shared" si="1"/>
        <v>11242371752.577295</v>
      </c>
      <c r="O55">
        <f t="shared" si="2"/>
        <v>3286.4672783136325</v>
      </c>
      <c r="P55">
        <f t="shared" si="3"/>
        <v>1742.2822688984477</v>
      </c>
    </row>
    <row r="56" spans="1:16" x14ac:dyDescent="0.25">
      <c r="A56" t="s">
        <v>7</v>
      </c>
      <c r="B56">
        <v>2020</v>
      </c>
      <c r="C56" t="s">
        <v>15</v>
      </c>
      <c r="D56">
        <v>7756337204.355916</v>
      </c>
      <c r="E56">
        <v>8982839607.4394379</v>
      </c>
      <c r="F56">
        <v>16535297402.314831</v>
      </c>
      <c r="G56">
        <v>46.907757481701431</v>
      </c>
      <c r="H56" t="str">
        <f t="shared" si="0"/>
        <v>Chile2020Comercio al por menor, excepto de vehículos de motor y motocicletas</v>
      </c>
      <c r="I56">
        <v>107.49939219849</v>
      </c>
      <c r="J56">
        <f>VLOOKUP(H56,[1]Hoja2!D$2:E$191,2,0)</f>
        <v>4905171.4620105159</v>
      </c>
      <c r="K56">
        <f>VLOOKUP(H56,[1]Hoja2!D$2:F$191,3,0)</f>
        <v>4755279704.9956017</v>
      </c>
      <c r="L56" t="str">
        <f>IFERROR(VLOOKUP(H56,[2]Sheet1!K$2:L$94,2,0),"")</f>
        <v/>
      </c>
      <c r="M56" t="str">
        <f>IFERROR(VLOOKUP(H56,[2]Sheet1!K$372:L$648,2,0),"")</f>
        <v/>
      </c>
      <c r="N56">
        <f t="shared" si="1"/>
        <v>7215238194.1233578</v>
      </c>
      <c r="O56">
        <f t="shared" si="2"/>
        <v>1470.9451545177992</v>
      </c>
      <c r="P56">
        <f t="shared" si="3"/>
        <v>969.44209633123057</v>
      </c>
    </row>
    <row r="57" spans="1:16" x14ac:dyDescent="0.25">
      <c r="A57" t="s">
        <v>7</v>
      </c>
      <c r="B57">
        <v>2020</v>
      </c>
      <c r="C57" t="s">
        <v>16</v>
      </c>
      <c r="D57">
        <v>105418072.3918843</v>
      </c>
      <c r="E57">
        <v>101682062.1008302</v>
      </c>
      <c r="F57">
        <v>207100134.49271461</v>
      </c>
      <c r="G57">
        <v>50.901981618748181</v>
      </c>
      <c r="H57" t="str">
        <f t="shared" si="0"/>
        <v>Chile2020Actividades de edición</v>
      </c>
      <c r="I57">
        <v>91.363838200919872</v>
      </c>
      <c r="J57">
        <f>VLOOKUP(H57,[1]Hoja2!D$2:E$191,2,0)</f>
        <v>49914</v>
      </c>
      <c r="K57">
        <f>VLOOKUP(H57,[1]Hoja2!D$2:F$191,3,0)</f>
        <v>110819431.1027178</v>
      </c>
      <c r="L57" t="str">
        <f>IFERROR(VLOOKUP(H57,[2]Sheet1!K$2:L$94,2,0),"")</f>
        <v/>
      </c>
      <c r="M57" t="str">
        <f>IFERROR(VLOOKUP(H57,[2]Sheet1!K$372:L$648,2,0),"")</f>
        <v/>
      </c>
      <c r="N57">
        <f t="shared" si="1"/>
        <v>115382709.9076743</v>
      </c>
      <c r="O57">
        <f t="shared" si="2"/>
        <v>2311.6302021010997</v>
      </c>
      <c r="P57">
        <f t="shared" si="3"/>
        <v>2220.2073787457989</v>
      </c>
    </row>
    <row r="58" spans="1:16" x14ac:dyDescent="0.25">
      <c r="A58" t="s">
        <v>7</v>
      </c>
      <c r="B58">
        <v>2020</v>
      </c>
      <c r="C58" t="s">
        <v>17</v>
      </c>
      <c r="D58">
        <v>293142701.81583369</v>
      </c>
      <c r="E58">
        <v>126168861.4065093</v>
      </c>
      <c r="F58">
        <v>419311563.22234303</v>
      </c>
      <c r="G58">
        <v>69.910474102616789</v>
      </c>
      <c r="H58" t="str">
        <f t="shared" si="0"/>
        <v>Chile2020Actividades de programación y radiodifusión</v>
      </c>
      <c r="I58">
        <v>91.363838200919872</v>
      </c>
      <c r="J58">
        <f>VLOOKUP(H58,[1]Hoja2!D$2:E$191,2,0)</f>
        <v>47046</v>
      </c>
      <c r="K58">
        <f>VLOOKUP(H58,[1]Hoja2!D$2:F$191,3,0)</f>
        <v>123605021.05341886</v>
      </c>
      <c r="L58" t="str">
        <f>IFERROR(VLOOKUP(H58,[2]Sheet1!K$2:L$94,2,0),"")</f>
        <v/>
      </c>
      <c r="M58" t="str">
        <f>IFERROR(VLOOKUP(H58,[2]Sheet1!K$372:L$648,2,0),"")</f>
        <v/>
      </c>
      <c r="N58">
        <f t="shared" si="1"/>
        <v>320851999.6403591</v>
      </c>
      <c r="O58">
        <f t="shared" si="2"/>
        <v>6819.9634323929577</v>
      </c>
      <c r="P58">
        <f t="shared" si="3"/>
        <v>2627.3226428053154</v>
      </c>
    </row>
    <row r="59" spans="1:16" x14ac:dyDescent="0.25">
      <c r="A59" t="s">
        <v>7</v>
      </c>
      <c r="B59">
        <v>2020</v>
      </c>
      <c r="C59" t="s">
        <v>18</v>
      </c>
      <c r="D59">
        <v>462770622.95280528</v>
      </c>
      <c r="E59">
        <v>375378914.34657389</v>
      </c>
      <c r="F59">
        <v>838149537.29937923</v>
      </c>
      <c r="G59">
        <v>55.213372120195771</v>
      </c>
      <c r="H59" t="str">
        <f t="shared" si="0"/>
        <v>Chile2020Actividades de servicios de información</v>
      </c>
      <c r="I59">
        <v>91.363838200919872</v>
      </c>
      <c r="J59">
        <f>VLOOKUP(H59,[1]Hoja2!D$2:E$191,2,0)</f>
        <v>67536</v>
      </c>
      <c r="K59">
        <f>VLOOKUP(H59,[1]Hoja2!D$2:F$191,3,0)</f>
        <v>226370445.74529937</v>
      </c>
      <c r="L59" t="str">
        <f>IFERROR(VLOOKUP(H59,[2]Sheet1!K$2:L$94,2,0),"")</f>
        <v/>
      </c>
      <c r="M59" t="str">
        <f>IFERROR(VLOOKUP(H59,[2]Sheet1!K$372:L$648,2,0),"")</f>
        <v/>
      </c>
      <c r="N59">
        <f t="shared" si="1"/>
        <v>506513990.72696352</v>
      </c>
      <c r="O59">
        <f t="shared" si="2"/>
        <v>7499.9110211881589</v>
      </c>
      <c r="P59">
        <f t="shared" si="3"/>
        <v>3351.8485806873277</v>
      </c>
    </row>
    <row r="60" spans="1:16" x14ac:dyDescent="0.25">
      <c r="A60" t="s">
        <v>7</v>
      </c>
      <c r="B60">
        <v>2020</v>
      </c>
      <c r="C60" t="s">
        <v>19</v>
      </c>
      <c r="D60">
        <v>57920179.409137733</v>
      </c>
      <c r="E60">
        <v>45463936.045749336</v>
      </c>
      <c r="F60">
        <v>103384115.45488711</v>
      </c>
      <c r="G60">
        <v>56.024253971986539</v>
      </c>
      <c r="H60" t="str">
        <f t="shared" si="0"/>
        <v>Chile2020Producción de películas, videos y programas de televisión, grabación de sonido y edición musical</v>
      </c>
      <c r="I60">
        <v>91.363838200919872</v>
      </c>
      <c r="J60">
        <f>VLOOKUP(H60,[1]Hoja2!D$2:E$191,2,0)</f>
        <v>33864</v>
      </c>
      <c r="K60">
        <f>VLOOKUP(H60,[1]Hoja2!D$2:F$191,3,0)</f>
        <v>27722497.513400491</v>
      </c>
      <c r="L60" t="str">
        <f>IFERROR(VLOOKUP(H60,[2]Sheet1!K$2:L$94,2,0),"")</f>
        <v/>
      </c>
      <c r="M60" t="str">
        <f>IFERROR(VLOOKUP(H60,[2]Sheet1!K$372:L$648,2,0),"")</f>
        <v/>
      </c>
      <c r="N60">
        <f t="shared" si="1"/>
        <v>63395081.193682365</v>
      </c>
      <c r="O60">
        <f t="shared" si="2"/>
        <v>1872.0494092157562</v>
      </c>
      <c r="P60">
        <f t="shared" si="3"/>
        <v>818.64214249351789</v>
      </c>
    </row>
    <row r="61" spans="1:16" x14ac:dyDescent="0.25">
      <c r="A61" t="s">
        <v>7</v>
      </c>
      <c r="B61">
        <v>2020</v>
      </c>
      <c r="C61" t="s">
        <v>20</v>
      </c>
      <c r="D61">
        <v>804232649.1277616</v>
      </c>
      <c r="E61">
        <v>658689928.86822176</v>
      </c>
      <c r="F61">
        <v>1462922577.9959829</v>
      </c>
      <c r="G61">
        <v>54.974382187023011</v>
      </c>
      <c r="H61" t="str">
        <f t="shared" si="0"/>
        <v>Chile2020Programación de computadoras, consultoría y actividades relacionadas</v>
      </c>
      <c r="I61">
        <v>91.363838200919872</v>
      </c>
      <c r="J61">
        <f>VLOOKUP(H61,[1]Hoja2!D$2:E$191,2,0)</f>
        <v>221833</v>
      </c>
      <c r="K61">
        <f>VLOOKUP(H61,[1]Hoja2!D$2:F$191,3,0)</f>
        <v>532273945.88131046</v>
      </c>
      <c r="L61" t="str">
        <f>IFERROR(VLOOKUP(H61,[2]Sheet1!K$2:L$94,2,0),"")</f>
        <v/>
      </c>
      <c r="M61" t="str">
        <f>IFERROR(VLOOKUP(H61,[2]Sheet1!K$372:L$648,2,0),"")</f>
        <v/>
      </c>
      <c r="N61">
        <f t="shared" si="1"/>
        <v>880252696.21352696</v>
      </c>
      <c r="O61">
        <f t="shared" si="2"/>
        <v>3968.0872377578044</v>
      </c>
      <c r="P61">
        <f t="shared" si="3"/>
        <v>2399.4353675120947</v>
      </c>
    </row>
    <row r="62" spans="1:16" x14ac:dyDescent="0.25">
      <c r="A62" t="s">
        <v>7</v>
      </c>
      <c r="B62">
        <v>2021</v>
      </c>
      <c r="C62" t="s">
        <v>9</v>
      </c>
      <c r="D62">
        <v>8326623483.5396366</v>
      </c>
      <c r="E62">
        <v>17894554288.385571</v>
      </c>
      <c r="F62">
        <v>26221178771.925209</v>
      </c>
      <c r="G62">
        <v>31.75533623398686</v>
      </c>
      <c r="H62" t="str">
        <f t="shared" si="0"/>
        <v>Chile2021Elaboración de productos alimenticios</v>
      </c>
      <c r="I62">
        <v>108.85802305479291</v>
      </c>
      <c r="J62">
        <f>VLOOKUP(H62,[1]Hoja2!D$2:E$191,2,0)</f>
        <v>184026</v>
      </c>
      <c r="K62">
        <v>1896510188</v>
      </c>
      <c r="L62" t="str">
        <f>IFERROR(VLOOKUP(H62,[2]Sheet1!K$2:L$94,2,0),"")</f>
        <v/>
      </c>
      <c r="M62" t="str">
        <f>IFERROR(VLOOKUP(H62,[2]Sheet1!K$372:L$648,2,0),"")</f>
        <v/>
      </c>
      <c r="N62">
        <f t="shared" si="1"/>
        <v>7649067335.4856815</v>
      </c>
      <c r="O62">
        <f t="shared" si="2"/>
        <v>41565.144791962448</v>
      </c>
      <c r="P62">
        <f t="shared" si="3"/>
        <v>10305.664351776379</v>
      </c>
    </row>
    <row r="63" spans="1:16" x14ac:dyDescent="0.25">
      <c r="A63" t="s">
        <v>7</v>
      </c>
      <c r="B63">
        <v>2021</v>
      </c>
      <c r="C63" t="s">
        <v>10</v>
      </c>
      <c r="D63">
        <v>61466485.383197263</v>
      </c>
      <c r="E63">
        <v>71658479.062417701</v>
      </c>
      <c r="F63">
        <v>133124964.44561499</v>
      </c>
      <c r="G63">
        <v>46.172020130985977</v>
      </c>
      <c r="H63" t="str">
        <f t="shared" si="0"/>
        <v>Chile2021Fabricación de prendas de vestir</v>
      </c>
      <c r="I63">
        <v>69.374466842382304</v>
      </c>
      <c r="J63">
        <f>VLOOKUP(H63,[1]Hoja2!D$2:E$191,2,0)</f>
        <v>3398</v>
      </c>
      <c r="K63">
        <f>VLOOKUP(H63,[1]Hoja2!D$2:F$191,3,0)</f>
        <v>31451189.096655257</v>
      </c>
      <c r="L63" t="str">
        <f>IFERROR(VLOOKUP(H63,[2]Sheet1!K$2:L$94,2,0),"")</f>
        <v/>
      </c>
      <c r="M63" t="str">
        <f>IFERROR(VLOOKUP(H63,[2]Sheet1!K$372:L$648,2,0),"")</f>
        <v/>
      </c>
      <c r="N63">
        <f t="shared" si="1"/>
        <v>88601020.203655258</v>
      </c>
      <c r="O63">
        <f t="shared" si="2"/>
        <v>26074.461507844397</v>
      </c>
      <c r="P63">
        <f t="shared" si="3"/>
        <v>9255.7943192040184</v>
      </c>
    </row>
    <row r="64" spans="1:16" x14ac:dyDescent="0.25">
      <c r="A64" t="s">
        <v>7</v>
      </c>
      <c r="B64">
        <v>2021</v>
      </c>
      <c r="C64" t="s">
        <v>11</v>
      </c>
      <c r="D64">
        <v>34907166.183829337</v>
      </c>
      <c r="E64">
        <v>24271424.80905978</v>
      </c>
      <c r="F64">
        <v>59178590.992889121</v>
      </c>
      <c r="G64">
        <v>58.986139409814221</v>
      </c>
      <c r="H64" t="str">
        <f t="shared" si="0"/>
        <v>Chile2021Fabricación de productos de cuero y productos conexos</v>
      </c>
      <c r="I64">
        <v>69.374466842382304</v>
      </c>
      <c r="J64">
        <f>VLOOKUP(H64,[1]Hoja2!D$2:E$191,2,0)</f>
        <v>1111</v>
      </c>
      <c r="K64">
        <f>VLOOKUP(H64,[1]Hoja2!D$2:F$191,3,0)</f>
        <v>14658754.279694496</v>
      </c>
      <c r="L64" t="str">
        <f>IFERROR(VLOOKUP(H64,[2]Sheet1!K$2:L$94,2,0),"")</f>
        <v/>
      </c>
      <c r="M64" t="str">
        <f>IFERROR(VLOOKUP(H64,[2]Sheet1!K$372:L$648,2,0),"")</f>
        <v/>
      </c>
      <c r="N64">
        <f t="shared" si="1"/>
        <v>50317022.634765424</v>
      </c>
      <c r="O64">
        <f t="shared" si="2"/>
        <v>45289.849356224506</v>
      </c>
      <c r="P64">
        <f t="shared" si="3"/>
        <v>13194.198271552201</v>
      </c>
    </row>
    <row r="65" spans="1:16" x14ac:dyDescent="0.25">
      <c r="A65" t="s">
        <v>7</v>
      </c>
      <c r="B65">
        <v>2021</v>
      </c>
      <c r="C65" t="s">
        <v>12</v>
      </c>
      <c r="D65">
        <v>23975136.950223859</v>
      </c>
      <c r="E65">
        <v>43093828.022122733</v>
      </c>
      <c r="F65">
        <v>67068964.972346589</v>
      </c>
      <c r="G65">
        <v>35.746991115949271</v>
      </c>
      <c r="H65" t="str">
        <f t="shared" si="0"/>
        <v>Chile2021Fabricación de vehículos automotores, remolques y semirremolques</v>
      </c>
      <c r="I65">
        <v>106.47234528849232</v>
      </c>
      <c r="J65">
        <f>VLOOKUP(H65,[1]Hoja2!D$2:E$191,2,0)</f>
        <v>1079</v>
      </c>
      <c r="K65">
        <f>VLOOKUP(H65,[1]Hoja2!D$2:F$191,3,0)</f>
        <v>13159500.921780352</v>
      </c>
      <c r="L65" t="str">
        <f>IFERROR(VLOOKUP(H65,[2]Sheet1!K$2:L$94,2,0),"")</f>
        <v/>
      </c>
      <c r="M65" t="str">
        <f>IFERROR(VLOOKUP(H65,[2]Sheet1!K$372:L$648,2,0),"")</f>
        <v/>
      </c>
      <c r="N65">
        <f t="shared" si="1"/>
        <v>22517712.825111523</v>
      </c>
      <c r="O65">
        <f t="shared" si="2"/>
        <v>20869.057298527827</v>
      </c>
      <c r="P65">
        <f t="shared" si="3"/>
        <v>12196.015682836285</v>
      </c>
    </row>
    <row r="66" spans="1:16" x14ac:dyDescent="0.25">
      <c r="A66" t="s">
        <v>7</v>
      </c>
      <c r="B66">
        <v>2021</v>
      </c>
      <c r="C66" t="s">
        <v>13</v>
      </c>
      <c r="D66">
        <v>4292557292.254818</v>
      </c>
      <c r="E66">
        <v>3171441022.8606868</v>
      </c>
      <c r="F66">
        <v>7462608109.6243954</v>
      </c>
      <c r="G66">
        <v>57.520872450997153</v>
      </c>
      <c r="H66" t="str">
        <f t="shared" si="0"/>
        <v>Chile2021Comercio al por mayor y al por menor y reparación de vehículos de motor y motocicletas</v>
      </c>
      <c r="I66">
        <v>114.66887480145</v>
      </c>
      <c r="J66">
        <f>VLOOKUP(H66,[1]Hoja2!D$2:E$191,2,0)</f>
        <v>1158227.6434693737</v>
      </c>
      <c r="K66">
        <f>VLOOKUP(H66,[1]Hoja2!D$2:F$191,3,0)</f>
        <v>1909026634.5904944</v>
      </c>
      <c r="L66" t="str">
        <f>IFERROR(VLOOKUP(H66,[2]Sheet1!K$2:L$94,2,0),"")</f>
        <v/>
      </c>
      <c r="M66" t="str">
        <f>IFERROR(VLOOKUP(H66,[2]Sheet1!K$372:L$648,2,0),"")</f>
        <v/>
      </c>
      <c r="N66">
        <f t="shared" si="1"/>
        <v>3743437179.1712551</v>
      </c>
      <c r="O66">
        <f t="shared" si="2"/>
        <v>3232.0392284526238</v>
      </c>
      <c r="P66">
        <f t="shared" si="3"/>
        <v>1648.2309374624883</v>
      </c>
    </row>
    <row r="67" spans="1:16" x14ac:dyDescent="0.25">
      <c r="A67" t="s">
        <v>7</v>
      </c>
      <c r="B67">
        <v>2021</v>
      </c>
      <c r="C67" t="s">
        <v>14</v>
      </c>
      <c r="D67">
        <v>15998332252.5812</v>
      </c>
      <c r="E67">
        <v>14500891220.826731</v>
      </c>
      <c r="F67">
        <v>30419064453.904598</v>
      </c>
      <c r="G67">
        <v>52.593110734303487</v>
      </c>
      <c r="H67" t="str">
        <f t="shared" ref="H67:H130" si="4">_xlfn.CONCAT(A67,B67,C67)</f>
        <v>Chile2021Comercio al por mayor, excepto de vehículos de motor y motocicletas</v>
      </c>
      <c r="I67">
        <v>114.66887480145</v>
      </c>
      <c r="J67">
        <f>VLOOKUP(H67,[1]Hoja2!D$2:E$191,2,0)</f>
        <v>3593142.8100439375</v>
      </c>
      <c r="K67">
        <f>VLOOKUP(H67,[1]Hoja2!D$2:F$191,3,0)</f>
        <v>6705212050.256834</v>
      </c>
      <c r="L67" t="str">
        <f>IFERROR(VLOOKUP(H67,[2]Sheet1!K$2:L$94,2,0),"")</f>
        <v/>
      </c>
      <c r="M67" t="str">
        <f>IFERROR(VLOOKUP(H67,[2]Sheet1!K$372:L$648,2,0),"")</f>
        <v/>
      </c>
      <c r="N67">
        <f t="shared" ref="N67:N130" si="5">D67/I67*100</f>
        <v>13951765272.208723</v>
      </c>
      <c r="O67">
        <f t="shared" ref="O67:O130" si="6">N67/J67</f>
        <v>3882.8863782450435</v>
      </c>
      <c r="P67">
        <f t="shared" ref="P67:P130" si="7">K67/J67</f>
        <v>1866.1134290331315</v>
      </c>
    </row>
    <row r="68" spans="1:16" x14ac:dyDescent="0.25">
      <c r="A68" t="s">
        <v>7</v>
      </c>
      <c r="B68">
        <v>2021</v>
      </c>
      <c r="C68" t="s">
        <v>15</v>
      </c>
      <c r="D68">
        <v>12167139959.084101</v>
      </c>
      <c r="E68">
        <v>12287267385.463779</v>
      </c>
      <c r="F68">
        <v>24232912624.334438</v>
      </c>
      <c r="G68">
        <v>50.20915210524872</v>
      </c>
      <c r="H68" t="str">
        <f t="shared" si="4"/>
        <v>Chile2021Comercio al por menor, excepto de vehículos de motor y motocicletas</v>
      </c>
      <c r="I68">
        <v>114.66887480145</v>
      </c>
      <c r="J68">
        <f>VLOOKUP(H68,[1]Hoja2!D$2:E$191,2,0)</f>
        <v>5306320.596839915</v>
      </c>
      <c r="K68">
        <f>VLOOKUP(H68,[1]Hoja2!D$2:F$191,3,0)</f>
        <v>6133529534.1104908</v>
      </c>
      <c r="L68" t="str">
        <f>IFERROR(VLOOKUP(H68,[2]Sheet1!K$2:L$94,2,0),"")</f>
        <v/>
      </c>
      <c r="M68" t="str">
        <f>IFERROR(VLOOKUP(H68,[2]Sheet1!K$372:L$648,2,0),"")</f>
        <v/>
      </c>
      <c r="N68">
        <f t="shared" si="5"/>
        <v>10610673541.666466</v>
      </c>
      <c r="O68">
        <f t="shared" si="6"/>
        <v>1999.6291871217627</v>
      </c>
      <c r="P68">
        <f t="shared" si="7"/>
        <v>1155.8912474612268</v>
      </c>
    </row>
    <row r="69" spans="1:16" x14ac:dyDescent="0.25">
      <c r="A69" t="s">
        <v>7</v>
      </c>
      <c r="B69">
        <v>2021</v>
      </c>
      <c r="C69" t="s">
        <v>16</v>
      </c>
      <c r="D69">
        <v>272274859.09928888</v>
      </c>
      <c r="E69">
        <v>142929645.77297869</v>
      </c>
      <c r="F69">
        <v>415204504.8722676</v>
      </c>
      <c r="G69">
        <v>65.576085014552248</v>
      </c>
      <c r="H69" t="str">
        <f t="shared" si="4"/>
        <v>Chile2021Actividades de edición</v>
      </c>
      <c r="I69">
        <v>92.899946021812568</v>
      </c>
      <c r="J69">
        <f>VLOOKUP(H69,[1]Hoja2!D$2:E$191,2,0)</f>
        <v>92111</v>
      </c>
      <c r="K69">
        <f>VLOOKUP(H69,[1]Hoja2!D$2:F$191,3,0)</f>
        <v>180760345.0092178</v>
      </c>
      <c r="L69" t="str">
        <f>IFERROR(VLOOKUP(H69,[2]Sheet1!K$2:L$94,2,0),"")</f>
        <v/>
      </c>
      <c r="M69" t="str">
        <f>IFERROR(VLOOKUP(H69,[2]Sheet1!K$372:L$648,2,0),"")</f>
        <v/>
      </c>
      <c r="N69">
        <f t="shared" si="5"/>
        <v>293083979.87159187</v>
      </c>
      <c r="O69">
        <f t="shared" si="6"/>
        <v>3181.8564544038372</v>
      </c>
      <c r="P69">
        <f t="shared" si="7"/>
        <v>1962.4186580236649</v>
      </c>
    </row>
    <row r="70" spans="1:16" x14ac:dyDescent="0.25">
      <c r="A70" t="s">
        <v>7</v>
      </c>
      <c r="B70">
        <v>2021</v>
      </c>
      <c r="C70" t="s">
        <v>17</v>
      </c>
      <c r="D70">
        <v>609459525.94153285</v>
      </c>
      <c r="E70">
        <v>193845788.78061631</v>
      </c>
      <c r="F70">
        <v>803305314.72214913</v>
      </c>
      <c r="G70">
        <v>75.868977183642244</v>
      </c>
      <c r="H70" t="str">
        <f t="shared" si="4"/>
        <v>Chile2021Actividades de programación y radiodifusión</v>
      </c>
      <c r="I70">
        <v>92.899946021812568</v>
      </c>
      <c r="J70">
        <f>VLOOKUP(H70,[1]Hoja2!D$2:E$191,2,0)</f>
        <v>59201</v>
      </c>
      <c r="K70">
        <f>VLOOKUP(H70,[1]Hoja2!D$2:F$191,3,0)</f>
        <v>115212350.53989989</v>
      </c>
      <c r="L70" t="str">
        <f>IFERROR(VLOOKUP(H70,[2]Sheet1!K$2:L$94,2,0),"")</f>
        <v/>
      </c>
      <c r="M70" t="str">
        <f>IFERROR(VLOOKUP(H70,[2]Sheet1!K$372:L$648,2,0),"")</f>
        <v/>
      </c>
      <c r="N70">
        <f t="shared" si="5"/>
        <v>656038622.23820233</v>
      </c>
      <c r="O70">
        <f t="shared" si="6"/>
        <v>11081.5462954714</v>
      </c>
      <c r="P70">
        <f t="shared" si="7"/>
        <v>1946.1216962534397</v>
      </c>
    </row>
    <row r="71" spans="1:16" x14ac:dyDescent="0.25">
      <c r="A71" t="s">
        <v>7</v>
      </c>
      <c r="B71">
        <v>2021</v>
      </c>
      <c r="C71" t="s">
        <v>18</v>
      </c>
      <c r="D71">
        <v>2283376701.3431659</v>
      </c>
      <c r="E71">
        <v>1857911019.225704</v>
      </c>
      <c r="F71">
        <v>4141287720.5688701</v>
      </c>
      <c r="G71">
        <v>55.136876629028528</v>
      </c>
      <c r="H71" t="str">
        <f t="shared" si="4"/>
        <v>Chile2021Actividades de servicios de información</v>
      </c>
      <c r="I71">
        <v>92.899946021812568</v>
      </c>
      <c r="J71">
        <f>VLOOKUP(H71,[1]Hoja2!D$2:E$191,2,0)</f>
        <v>337733</v>
      </c>
      <c r="K71">
        <f>VLOOKUP(H71,[1]Hoja2!D$2:F$191,3,0)</f>
        <v>1260202210.9560182</v>
      </c>
      <c r="L71" t="str">
        <f>IFERROR(VLOOKUP(H71,[2]Sheet1!K$2:L$94,2,0),"")</f>
        <v/>
      </c>
      <c r="M71" t="str">
        <f>IFERROR(VLOOKUP(H71,[2]Sheet1!K$372:L$648,2,0),"")</f>
        <v/>
      </c>
      <c r="N71">
        <f t="shared" si="5"/>
        <v>2457888081.8800879</v>
      </c>
      <c r="O71">
        <f t="shared" si="6"/>
        <v>7277.6071094032504</v>
      </c>
      <c r="P71">
        <f t="shared" si="7"/>
        <v>3731.3564589661601</v>
      </c>
    </row>
    <row r="72" spans="1:16" x14ac:dyDescent="0.25">
      <c r="A72" t="s">
        <v>7</v>
      </c>
      <c r="B72">
        <v>2021</v>
      </c>
      <c r="C72" t="s">
        <v>19</v>
      </c>
      <c r="D72">
        <v>195662216.22333419</v>
      </c>
      <c r="E72">
        <v>120926979.1941006</v>
      </c>
      <c r="F72">
        <v>316589195.41743481</v>
      </c>
      <c r="G72">
        <v>61.803188186932978</v>
      </c>
      <c r="H72" t="str">
        <f t="shared" si="4"/>
        <v>Chile2021Producción de películas, videos y programas de televisión, grabación de sonido y edición musical</v>
      </c>
      <c r="I72">
        <v>92.899946021812568</v>
      </c>
      <c r="J72">
        <f>VLOOKUP(H72,[1]Hoja2!D$2:E$191,2,0)</f>
        <v>78229</v>
      </c>
      <c r="K72">
        <f>VLOOKUP(H72,[1]Hoja2!D$2:F$191,3,0)</f>
        <v>91040878.324993402</v>
      </c>
      <c r="L72" t="str">
        <f>IFERROR(VLOOKUP(H72,[2]Sheet1!K$2:L$94,2,0),"")</f>
        <v/>
      </c>
      <c r="M72" t="str">
        <f>IFERROR(VLOOKUP(H72,[2]Sheet1!K$372:L$648,2,0),"")</f>
        <v/>
      </c>
      <c r="N72">
        <f t="shared" si="5"/>
        <v>210616070.94733232</v>
      </c>
      <c r="O72">
        <f t="shared" si="6"/>
        <v>2692.3017160814061</v>
      </c>
      <c r="P72">
        <f t="shared" si="7"/>
        <v>1163.7740265757379</v>
      </c>
    </row>
    <row r="73" spans="1:16" x14ac:dyDescent="0.25">
      <c r="A73" t="s">
        <v>7</v>
      </c>
      <c r="B73">
        <v>2021</v>
      </c>
      <c r="C73" t="s">
        <v>20</v>
      </c>
      <c r="D73">
        <v>2344242463.7872</v>
      </c>
      <c r="E73">
        <v>1163783918.8833289</v>
      </c>
      <c r="F73">
        <v>3508026382.6705289</v>
      </c>
      <c r="G73">
        <v>66.825109279897049</v>
      </c>
      <c r="H73" t="str">
        <f t="shared" si="4"/>
        <v>Chile2021Programación de computadoras, consultoría y actividades relacionadas</v>
      </c>
      <c r="I73">
        <v>92.899946021812568</v>
      </c>
      <c r="J73">
        <f>VLOOKUP(H73,[1]Hoja2!D$2:E$191,2,0)</f>
        <v>757503</v>
      </c>
      <c r="K73">
        <f>VLOOKUP(H73,[1]Hoja2!D$2:F$191,3,0)</f>
        <v>1455845242.2965498</v>
      </c>
      <c r="L73" t="str">
        <f>IFERROR(VLOOKUP(H73,[2]Sheet1!K$2:L$94,2,0),"")</f>
        <v/>
      </c>
      <c r="M73" t="str">
        <f>IFERROR(VLOOKUP(H73,[2]Sheet1!K$372:L$648,2,0),"")</f>
        <v/>
      </c>
      <c r="N73">
        <f t="shared" si="5"/>
        <v>2523405625.2699871</v>
      </c>
      <c r="O73">
        <f t="shared" si="6"/>
        <v>3331.2153552791042</v>
      </c>
      <c r="P73">
        <f t="shared" si="7"/>
        <v>1921.9002991361747</v>
      </c>
    </row>
    <row r="74" spans="1:16" x14ac:dyDescent="0.25">
      <c r="A74" t="s">
        <v>7</v>
      </c>
      <c r="B74">
        <v>2021</v>
      </c>
      <c r="C74" t="s">
        <v>21</v>
      </c>
      <c r="D74">
        <v>5533564403.476429</v>
      </c>
      <c r="E74">
        <v>2238681700.0263371</v>
      </c>
      <c r="F74">
        <v>7772246103.5027657</v>
      </c>
      <c r="G74">
        <v>71.1964640566719</v>
      </c>
      <c r="H74" t="str">
        <f t="shared" si="4"/>
        <v>Chile2021Actividades inmobiliarias</v>
      </c>
      <c r="I74" t="s">
        <v>29</v>
      </c>
      <c r="J74">
        <f>VLOOKUP(H74,[1]Hoja2!D$2:E$191,2,0)</f>
        <v>369538</v>
      </c>
      <c r="K74">
        <f>VLOOKUP(H74,[1]Hoja2!D$2:F$191,3,0)</f>
        <v>629835068.47511172</v>
      </c>
      <c r="L74" t="str">
        <f>IFERROR(VLOOKUP(H74,[2]Sheet1!K$2:L$94,2,0),"")</f>
        <v/>
      </c>
      <c r="M74" t="str">
        <f>IFERROR(VLOOKUP(H74,[2]Sheet1!K$372:L$648,2,0),"")</f>
        <v/>
      </c>
      <c r="N74" t="e">
        <f t="shared" si="5"/>
        <v>#VALUE!</v>
      </c>
      <c r="O74" t="e">
        <f t="shared" si="6"/>
        <v>#VALUE!</v>
      </c>
      <c r="P74">
        <f t="shared" si="7"/>
        <v>1704.3851200014931</v>
      </c>
    </row>
    <row r="75" spans="1:16" x14ac:dyDescent="0.25">
      <c r="A75" t="s">
        <v>7</v>
      </c>
      <c r="B75">
        <v>2022</v>
      </c>
      <c r="C75" t="s">
        <v>9</v>
      </c>
      <c r="D75">
        <v>5589500151.3761463</v>
      </c>
      <c r="E75">
        <v>23480552831.42202</v>
      </c>
      <c r="F75">
        <v>29070054983.94495</v>
      </c>
      <c r="G75">
        <v>19.22769033104052</v>
      </c>
      <c r="H75" t="str">
        <f t="shared" si="4"/>
        <v>Chile2022Elaboración de productos alimenticios</v>
      </c>
      <c r="I75">
        <v>138.22614999916814</v>
      </c>
      <c r="J75">
        <f>VLOOKUP(H75,[1]Hoja2!D$2:E$191,2,0)</f>
        <v>169707</v>
      </c>
      <c r="K75">
        <v>2066801275</v>
      </c>
      <c r="L75" t="str">
        <f>IFERROR(VLOOKUP(H75,[2]Sheet1!K$2:L$94,2,0),"")</f>
        <v/>
      </c>
      <c r="M75" t="str">
        <f>IFERROR(VLOOKUP(H75,[2]Sheet1!K$372:L$648,2,0),"")</f>
        <v/>
      </c>
      <c r="N75">
        <f t="shared" si="5"/>
        <v>4043735683.450479</v>
      </c>
      <c r="O75">
        <f t="shared" si="6"/>
        <v>23827.748315923793</v>
      </c>
      <c r="P75">
        <f t="shared" si="7"/>
        <v>12178.644811351329</v>
      </c>
    </row>
    <row r="76" spans="1:16" x14ac:dyDescent="0.25">
      <c r="A76" t="s">
        <v>7</v>
      </c>
      <c r="B76">
        <v>2022</v>
      </c>
      <c r="C76" t="s">
        <v>10</v>
      </c>
      <c r="D76">
        <v>52745493.119266063</v>
      </c>
      <c r="E76">
        <v>79241821.100917429</v>
      </c>
      <c r="F76">
        <v>131987314.22018351</v>
      </c>
      <c r="G76">
        <v>39.962547484885647</v>
      </c>
      <c r="H76" t="str">
        <f t="shared" si="4"/>
        <v>Chile2022Fabricación de prendas de vestir</v>
      </c>
      <c r="I76">
        <v>56.539869603998774</v>
      </c>
      <c r="J76">
        <f>VLOOKUP(H76,[1]Hoja2!D$2:E$191,2,0)</f>
        <v>2743</v>
      </c>
      <c r="K76">
        <f>VLOOKUP(H76,[1]Hoja2!D$2:F$191,3,0)</f>
        <v>26554167.431192655</v>
      </c>
      <c r="L76" t="str">
        <f>IFERROR(VLOOKUP(H76,[2]Sheet1!K$2:L$94,2,0),"")</f>
        <v/>
      </c>
      <c r="M76" t="str">
        <f>IFERROR(VLOOKUP(H76,[2]Sheet1!K$372:L$648,2,0),"")</f>
        <v/>
      </c>
      <c r="N76">
        <f t="shared" si="5"/>
        <v>93289025.05204159</v>
      </c>
      <c r="O76">
        <f t="shared" si="6"/>
        <v>34009.85237041254</v>
      </c>
      <c r="P76">
        <f t="shared" si="7"/>
        <v>9680.7026726914537</v>
      </c>
    </row>
    <row r="77" spans="1:16" x14ac:dyDescent="0.25">
      <c r="A77" t="s">
        <v>7</v>
      </c>
      <c r="B77">
        <v>2022</v>
      </c>
      <c r="C77" t="s">
        <v>11</v>
      </c>
      <c r="D77">
        <v>25730459.862385321</v>
      </c>
      <c r="E77">
        <v>26143204.128440369</v>
      </c>
      <c r="F77">
        <v>51873663.99082569</v>
      </c>
      <c r="G77">
        <v>49.602163955366599</v>
      </c>
      <c r="H77" t="str">
        <f t="shared" si="4"/>
        <v>Chile2022Fabricación de productos de cuero y productos conexos</v>
      </c>
      <c r="I77">
        <v>56.539869603998774</v>
      </c>
      <c r="J77">
        <f>VLOOKUP(H77,[1]Hoja2!D$2:E$191,2,0)</f>
        <v>1044</v>
      </c>
      <c r="K77">
        <f>VLOOKUP(H77,[1]Hoja2!D$2:F$191,3,0)</f>
        <v>15117169.724770643</v>
      </c>
      <c r="L77" t="str">
        <f>IFERROR(VLOOKUP(H77,[2]Sheet1!K$2:L$94,2,0),"")</f>
        <v/>
      </c>
      <c r="M77" t="str">
        <f>IFERROR(VLOOKUP(H77,[2]Sheet1!K$372:L$648,2,0),"")</f>
        <v/>
      </c>
      <c r="N77">
        <f t="shared" si="5"/>
        <v>45508523.529678494</v>
      </c>
      <c r="O77">
        <f t="shared" si="6"/>
        <v>43590.53977938553</v>
      </c>
      <c r="P77">
        <f t="shared" si="7"/>
        <v>14480.047629090654</v>
      </c>
    </row>
    <row r="78" spans="1:16" x14ac:dyDescent="0.25">
      <c r="A78" t="s">
        <v>7</v>
      </c>
      <c r="B78">
        <v>2022</v>
      </c>
      <c r="C78" t="s">
        <v>12</v>
      </c>
      <c r="D78">
        <v>21303950.6880734</v>
      </c>
      <c r="E78">
        <v>47770466.74311927</v>
      </c>
      <c r="F78">
        <v>69074417.431192666</v>
      </c>
      <c r="G78">
        <v>30.84202730959689</v>
      </c>
      <c r="H78" t="str">
        <f t="shared" si="4"/>
        <v>Chile2022Fabricación de vehículos automotores, remolques y semirremolques</v>
      </c>
      <c r="I78">
        <v>123.96393010114714</v>
      </c>
      <c r="J78">
        <f>VLOOKUP(H78,[1]Hoja2!D$2:E$191,2,0)</f>
        <v>792</v>
      </c>
      <c r="K78">
        <f>VLOOKUP(H78,[1]Hoja2!D$2:F$191,3,0)</f>
        <v>11261675.458715595</v>
      </c>
      <c r="L78" t="str">
        <f>IFERROR(VLOOKUP(H78,[2]Sheet1!K$2:L$94,2,0),"")</f>
        <v/>
      </c>
      <c r="M78" t="str">
        <f>IFERROR(VLOOKUP(H78,[2]Sheet1!K$372:L$648,2,0),"")</f>
        <v/>
      </c>
      <c r="N78">
        <f t="shared" si="5"/>
        <v>17185604.450174056</v>
      </c>
      <c r="O78">
        <f t="shared" si="6"/>
        <v>21698.995517896536</v>
      </c>
      <c r="P78">
        <f t="shared" si="7"/>
        <v>14219.287195347973</v>
      </c>
    </row>
    <row r="79" spans="1:16" x14ac:dyDescent="0.25">
      <c r="A79" t="s">
        <v>7</v>
      </c>
      <c r="B79">
        <v>2022</v>
      </c>
      <c r="C79" t="s">
        <v>13</v>
      </c>
      <c r="D79">
        <v>5024072850.2733068</v>
      </c>
      <c r="E79">
        <v>3302392501.357976</v>
      </c>
      <c r="F79">
        <v>8311413871.8845587</v>
      </c>
      <c r="G79">
        <v>60.447872380275669</v>
      </c>
      <c r="H79" t="str">
        <f t="shared" si="4"/>
        <v>Chile2022Comercio al por mayor y al por menor y reparación de vehículos de motor y motocicletas</v>
      </c>
      <c r="I79">
        <v>120.37242063773</v>
      </c>
      <c r="J79">
        <f>VLOOKUP(H79,[1]Hoja2!D$2:E$191,2,0)</f>
        <v>1237926.9388704519</v>
      </c>
      <c r="K79">
        <f>VLOOKUP(H79,[1]Hoja2!D$2:F$191,3,0)</f>
        <v>2157606549.840086</v>
      </c>
      <c r="L79" t="str">
        <f>IFERROR(VLOOKUP(H79,[2]Sheet1!K$2:L$94,2,0),"")</f>
        <v/>
      </c>
      <c r="M79" t="str">
        <f>IFERROR(VLOOKUP(H79,[2]Sheet1!K$372:L$648,2,0),"")</f>
        <v/>
      </c>
      <c r="N79">
        <f t="shared" si="5"/>
        <v>4173774045.2970018</v>
      </c>
      <c r="O79">
        <f t="shared" si="6"/>
        <v>3371.5835032278783</v>
      </c>
      <c r="P79">
        <f t="shared" si="7"/>
        <v>1742.919135283377</v>
      </c>
    </row>
    <row r="80" spans="1:16" x14ac:dyDescent="0.25">
      <c r="A80" t="s">
        <v>7</v>
      </c>
      <c r="B80">
        <v>2022</v>
      </c>
      <c r="C80" t="s">
        <v>14</v>
      </c>
      <c r="D80">
        <v>22130237591.844719</v>
      </c>
      <c r="E80">
        <v>16533065081.69261</v>
      </c>
      <c r="F80">
        <v>38576627156.893402</v>
      </c>
      <c r="G80">
        <v>57.366958240905163</v>
      </c>
      <c r="H80" t="str">
        <f t="shared" si="4"/>
        <v>Chile2022Comercio al por mayor, excepto de vehículos de motor y motocicletas</v>
      </c>
      <c r="I80">
        <v>120.37242063773</v>
      </c>
      <c r="J80">
        <f>VLOOKUP(H80,[1]Hoja2!D$2:E$191,2,0)</f>
        <v>5249696.3103908431</v>
      </c>
      <c r="K80">
        <f>VLOOKUP(H80,[1]Hoja2!D$2:F$191,3,0)</f>
        <v>9432152730.7521305</v>
      </c>
      <c r="L80" t="str">
        <f>IFERROR(VLOOKUP(H80,[2]Sheet1!K$2:L$94,2,0),"")</f>
        <v/>
      </c>
      <c r="M80" t="str">
        <f>IFERROR(VLOOKUP(H80,[2]Sheet1!K$372:L$648,2,0),"")</f>
        <v/>
      </c>
      <c r="N80">
        <f t="shared" si="5"/>
        <v>18384807312.671196</v>
      </c>
      <c r="O80">
        <f t="shared" si="6"/>
        <v>3502.0706390732985</v>
      </c>
      <c r="P80">
        <f t="shared" si="7"/>
        <v>1796.7044516618716</v>
      </c>
    </row>
    <row r="81" spans="1:16" x14ac:dyDescent="0.25">
      <c r="A81" t="s">
        <v>7</v>
      </c>
      <c r="B81">
        <v>2022</v>
      </c>
      <c r="C81" t="s">
        <v>15</v>
      </c>
      <c r="D81">
        <v>12623061123.17314</v>
      </c>
      <c r="E81">
        <v>12287583867.7397</v>
      </c>
      <c r="F81">
        <v>24799945998.041721</v>
      </c>
      <c r="G81">
        <v>50.899550846481269</v>
      </c>
      <c r="H81" t="str">
        <f t="shared" si="4"/>
        <v>Chile2022Comercio al por menor, excepto de vehículos de motor y motocicletas</v>
      </c>
      <c r="I81">
        <v>120.37242063773</v>
      </c>
      <c r="J81">
        <f>VLOOKUP(H81,[1]Hoja2!D$2:E$191,2,0)</f>
        <v>6235010.3028737735</v>
      </c>
      <c r="K81">
        <f>VLOOKUP(H81,[1]Hoja2!D$2:F$191,3,0)</f>
        <v>6951399254.0433617</v>
      </c>
      <c r="L81" t="str">
        <f>IFERROR(VLOOKUP(H81,[2]Sheet1!K$2:L$94,2,0),"")</f>
        <v/>
      </c>
      <c r="M81" t="str">
        <f>IFERROR(VLOOKUP(H81,[2]Sheet1!K$372:L$648,2,0),"")</f>
        <v/>
      </c>
      <c r="N81">
        <f t="shared" si="5"/>
        <v>10486672159.865593</v>
      </c>
      <c r="O81">
        <f t="shared" si="6"/>
        <v>1681.9013362387211</v>
      </c>
      <c r="P81">
        <f t="shared" si="7"/>
        <v>1114.8977974967256</v>
      </c>
    </row>
    <row r="82" spans="1:16" x14ac:dyDescent="0.25">
      <c r="A82" t="s">
        <v>7</v>
      </c>
      <c r="B82">
        <v>2022</v>
      </c>
      <c r="C82" t="s">
        <v>16</v>
      </c>
      <c r="D82">
        <v>433215329.19861168</v>
      </c>
      <c r="E82">
        <v>358583046.86371422</v>
      </c>
      <c r="F82">
        <v>791798376.06232584</v>
      </c>
      <c r="G82">
        <v>54.712833758642553</v>
      </c>
      <c r="H82" t="str">
        <f t="shared" si="4"/>
        <v>Chile2022Actividades de edición</v>
      </c>
      <c r="I82">
        <v>94.646741593885238</v>
      </c>
      <c r="J82">
        <f>VLOOKUP(H82,[1]Hoja2!D$2:E$191,2,0)</f>
        <v>154394.11568389335</v>
      </c>
      <c r="K82">
        <f>VLOOKUP(H82,[1]Hoja2!D$2:F$191,3,0)</f>
        <v>253493406.74789873</v>
      </c>
      <c r="L82" t="str">
        <f>IFERROR(VLOOKUP(H82,[2]Sheet1!K$2:L$94,2,0),"")</f>
        <v/>
      </c>
      <c r="M82" t="str">
        <f>IFERROR(VLOOKUP(H82,[2]Sheet1!K$372:L$648,2,0),"")</f>
        <v/>
      </c>
      <c r="N82">
        <f t="shared" si="5"/>
        <v>457718165.36217666</v>
      </c>
      <c r="O82">
        <f t="shared" si="6"/>
        <v>2964.6088734321274</v>
      </c>
      <c r="P82">
        <f t="shared" si="7"/>
        <v>1641.8592484891158</v>
      </c>
    </row>
    <row r="83" spans="1:16" x14ac:dyDescent="0.25">
      <c r="A83" t="s">
        <v>7</v>
      </c>
      <c r="B83">
        <v>2022</v>
      </c>
      <c r="C83" t="s">
        <v>17</v>
      </c>
      <c r="D83">
        <v>881577686.97561932</v>
      </c>
      <c r="E83">
        <v>399247626.71907473</v>
      </c>
      <c r="F83">
        <v>1280825313.694694</v>
      </c>
      <c r="G83">
        <v>68.828877564310702</v>
      </c>
      <c r="H83" t="str">
        <f t="shared" si="4"/>
        <v>Chile2022Actividades de programación y radiodifusión</v>
      </c>
      <c r="I83">
        <v>94.646741593885238</v>
      </c>
      <c r="J83">
        <f>VLOOKUP(H83,[1]Hoja2!D$2:E$191,2,0)</f>
        <v>183737.58760725078</v>
      </c>
      <c r="K83">
        <f>VLOOKUP(H83,[1]Hoja2!D$2:F$191,3,0)</f>
        <v>251279689.64149937</v>
      </c>
      <c r="L83" t="str">
        <f>IFERROR(VLOOKUP(H83,[2]Sheet1!K$2:L$94,2,0),"")</f>
        <v/>
      </c>
      <c r="M83" t="str">
        <f>IFERROR(VLOOKUP(H83,[2]Sheet1!K$372:L$648,2,0),"")</f>
        <v/>
      </c>
      <c r="N83">
        <f t="shared" si="5"/>
        <v>931440081.43284523</v>
      </c>
      <c r="O83">
        <f t="shared" si="6"/>
        <v>5069.4041081232099</v>
      </c>
      <c r="P83">
        <f t="shared" si="7"/>
        <v>1367.6008970936505</v>
      </c>
    </row>
    <row r="84" spans="1:16" x14ac:dyDescent="0.25">
      <c r="A84" t="s">
        <v>7</v>
      </c>
      <c r="B84">
        <v>2022</v>
      </c>
      <c r="C84" t="s">
        <v>18</v>
      </c>
      <c r="D84">
        <v>1691742628.514354</v>
      </c>
      <c r="E84">
        <v>814525958.47143924</v>
      </c>
      <c r="F84">
        <v>2479847546.550611</v>
      </c>
      <c r="G84">
        <v>68.219622245226887</v>
      </c>
      <c r="H84" t="str">
        <f t="shared" si="4"/>
        <v>Chile2022Actividades de servicios de información</v>
      </c>
      <c r="I84">
        <v>94.646741593885238</v>
      </c>
      <c r="J84">
        <f>VLOOKUP(H84,[1]Hoja2!D$2:E$191,2,0)</f>
        <v>432646.94147013145</v>
      </c>
      <c r="K84">
        <f>VLOOKUP(H84,[1]Hoja2!D$2:F$191,3,0)</f>
        <v>752225114.69348288</v>
      </c>
      <c r="L84" t="str">
        <f>IFERROR(VLOOKUP(H84,[2]Sheet1!K$2:L$94,2,0),"")</f>
        <v/>
      </c>
      <c r="M84" t="str">
        <f>IFERROR(VLOOKUP(H84,[2]Sheet1!K$372:L$648,2,0),"")</f>
        <v/>
      </c>
      <c r="N84">
        <f t="shared" si="5"/>
        <v>1787428283.3458378</v>
      </c>
      <c r="O84">
        <f t="shared" si="6"/>
        <v>4131.378526038271</v>
      </c>
      <c r="P84">
        <f t="shared" si="7"/>
        <v>1738.6581126343501</v>
      </c>
    </row>
    <row r="85" spans="1:16" x14ac:dyDescent="0.25">
      <c r="A85" t="s">
        <v>7</v>
      </c>
      <c r="B85">
        <v>2022</v>
      </c>
      <c r="C85" t="s">
        <v>19</v>
      </c>
      <c r="D85">
        <v>677154623.23262787</v>
      </c>
      <c r="E85">
        <v>543792380.8776629</v>
      </c>
      <c r="F85">
        <v>1220947004.110291</v>
      </c>
      <c r="G85">
        <v>55.461426331609978</v>
      </c>
      <c r="H85" t="str">
        <f t="shared" si="4"/>
        <v>Chile2022Producción de películas, videos y programas de televisión, grabación de sonido y edición musical</v>
      </c>
      <c r="I85">
        <v>94.646741593885238</v>
      </c>
      <c r="J85">
        <f>VLOOKUP(H85,[1]Hoja2!D$2:E$191,2,0)</f>
        <v>253206.02310696692</v>
      </c>
      <c r="K85">
        <f>VLOOKUP(H85,[1]Hoja2!D$2:F$191,3,0)</f>
        <v>313756483.13832045</v>
      </c>
      <c r="L85" t="str">
        <f>IFERROR(VLOOKUP(H85,[2]Sheet1!K$2:L$94,2,0),"")</f>
        <v/>
      </c>
      <c r="M85" t="str">
        <f>IFERROR(VLOOKUP(H85,[2]Sheet1!K$372:L$648,2,0),"")</f>
        <v/>
      </c>
      <c r="N85">
        <f t="shared" si="5"/>
        <v>715454765.61485374</v>
      </c>
      <c r="O85">
        <f t="shared" si="6"/>
        <v>2825.583518258607</v>
      </c>
      <c r="P85">
        <f t="shared" si="7"/>
        <v>1239.1351488735083</v>
      </c>
    </row>
    <row r="86" spans="1:16" x14ac:dyDescent="0.25">
      <c r="A86" t="s">
        <v>7</v>
      </c>
      <c r="B86">
        <v>2022</v>
      </c>
      <c r="C86" t="s">
        <v>20</v>
      </c>
      <c r="D86">
        <v>6804884103.8389482</v>
      </c>
      <c r="E86">
        <v>4509509075.7329435</v>
      </c>
      <c r="F86">
        <v>11314393179.57189</v>
      </c>
      <c r="G86">
        <v>60.14360642977433</v>
      </c>
      <c r="H86" t="str">
        <f t="shared" si="4"/>
        <v>Chile2022Programación de computadoras, consultoría y actividades relacionadas</v>
      </c>
      <c r="I86">
        <v>94.646741593885238</v>
      </c>
      <c r="J86">
        <f>VLOOKUP(H86,[1]Hoja2!D$2:E$191,2,0)</f>
        <v>2252775.0837650578</v>
      </c>
      <c r="K86">
        <f>VLOOKUP(H86,[1]Hoja2!D$2:F$191,3,0)</f>
        <v>3965291509.9639988</v>
      </c>
      <c r="L86" t="str">
        <f>IFERROR(VLOOKUP(H86,[2]Sheet1!K$2:L$94,2,0),"")</f>
        <v/>
      </c>
      <c r="M86" t="str">
        <f>IFERROR(VLOOKUP(H86,[2]Sheet1!K$372:L$648,2,0),"")</f>
        <v/>
      </c>
      <c r="N86">
        <f t="shared" si="5"/>
        <v>7189771131.3059988</v>
      </c>
      <c r="O86">
        <f t="shared" si="6"/>
        <v>3191.5175123873223</v>
      </c>
      <c r="P86">
        <f t="shared" si="7"/>
        <v>1760.1808269899791</v>
      </c>
    </row>
    <row r="87" spans="1:16" x14ac:dyDescent="0.25">
      <c r="A87" t="s">
        <v>7</v>
      </c>
      <c r="B87">
        <v>2022</v>
      </c>
      <c r="C87" t="s">
        <v>21</v>
      </c>
      <c r="D87">
        <v>8270989900.8266525</v>
      </c>
      <c r="E87">
        <v>7025646763.5102549</v>
      </c>
      <c r="F87">
        <v>15296636664.33691</v>
      </c>
      <c r="G87">
        <v>54.070643647501377</v>
      </c>
      <c r="H87" t="str">
        <f t="shared" si="4"/>
        <v>Chile2022Actividades inmobiliarias</v>
      </c>
      <c r="I87" t="s">
        <v>29</v>
      </c>
      <c r="J87">
        <f>VLOOKUP(H87,[1]Hoja2!D$2:E$191,2,0)</f>
        <v>2307037.4088631864</v>
      </c>
      <c r="K87">
        <f>VLOOKUP(H87,[1]Hoja2!D$2:F$191,3,0)</f>
        <v>2386512787.3421354</v>
      </c>
      <c r="L87" t="str">
        <f>IFERROR(VLOOKUP(H87,[2]Sheet1!K$2:L$94,2,0),"")</f>
        <v/>
      </c>
      <c r="M87" t="str">
        <f>IFERROR(VLOOKUP(H87,[2]Sheet1!K$372:L$648,2,0),"")</f>
        <v/>
      </c>
      <c r="N87" t="e">
        <f t="shared" si="5"/>
        <v>#VALUE!</v>
      </c>
      <c r="O87" t="e">
        <f t="shared" si="6"/>
        <v>#VALUE!</v>
      </c>
      <c r="P87">
        <f t="shared" si="7"/>
        <v>1034.449106968799</v>
      </c>
    </row>
    <row r="88" spans="1:16" x14ac:dyDescent="0.25">
      <c r="A88" t="s">
        <v>8</v>
      </c>
      <c r="B88">
        <v>2016</v>
      </c>
      <c r="C88" t="s">
        <v>9</v>
      </c>
      <c r="D88">
        <v>20766383874.175282</v>
      </c>
      <c r="E88">
        <v>39236204308.90567</v>
      </c>
      <c r="F88">
        <v>60002588183.080948</v>
      </c>
      <c r="G88">
        <v>34.609146876818933</v>
      </c>
      <c r="H88" t="str">
        <f t="shared" si="4"/>
        <v>México2016Elaboración de productos alimenticios</v>
      </c>
      <c r="I88">
        <v>92.1</v>
      </c>
      <c r="J88">
        <f>VLOOKUP(H88,[1]Hoja2!D$2:E$191,2,0)</f>
        <v>1514326</v>
      </c>
      <c r="K88">
        <f>VLOOKUP(H88,[1]Hoja2!D$2:F$191,3,0)</f>
        <v>3182136057.4044504</v>
      </c>
      <c r="L88" t="str">
        <f>IFERROR(VLOOKUP(H88,[2]Sheet1!K$2:L$94,2,0),"")</f>
        <v/>
      </c>
      <c r="M88" t="str">
        <f>IFERROR(VLOOKUP(H88,[2]Sheet1!K$372:L$648,2,0),"")</f>
        <v/>
      </c>
      <c r="N88">
        <f t="shared" si="5"/>
        <v>22547648071.851555</v>
      </c>
      <c r="O88">
        <f t="shared" si="6"/>
        <v>14889.560155377081</v>
      </c>
      <c r="P88">
        <f t="shared" si="7"/>
        <v>2101.3546999816754</v>
      </c>
    </row>
    <row r="89" spans="1:16" x14ac:dyDescent="0.25">
      <c r="A89" t="s">
        <v>8</v>
      </c>
      <c r="B89">
        <v>2016</v>
      </c>
      <c r="C89" t="s">
        <v>10</v>
      </c>
      <c r="D89">
        <v>1584460703.6608241</v>
      </c>
      <c r="E89">
        <v>2392468572.6175141</v>
      </c>
      <c r="F89">
        <v>3976929276.278338</v>
      </c>
      <c r="G89">
        <v>39.841309552871493</v>
      </c>
      <c r="H89" t="str">
        <f t="shared" si="4"/>
        <v>México2016Fabricación de prendas de vestir</v>
      </c>
      <c r="I89">
        <v>95.2</v>
      </c>
      <c r="J89">
        <f>VLOOKUP(H89,[1]Hoja2!D$2:E$191,2,0)</f>
        <v>300804</v>
      </c>
      <c r="K89">
        <f>VLOOKUP(H89,[1]Hoja2!D$2:F$191,3,0)</f>
        <v>695476716.16614306</v>
      </c>
      <c r="L89" t="str">
        <f>IFERROR(VLOOKUP(H89,[2]Sheet1!K$2:L$94,2,0),"")</f>
        <v/>
      </c>
      <c r="M89" t="str">
        <f>IFERROR(VLOOKUP(H89,[2]Sheet1!K$372:L$648,2,0),"")</f>
        <v/>
      </c>
      <c r="N89">
        <f t="shared" si="5"/>
        <v>1664349478.6353192</v>
      </c>
      <c r="O89">
        <f t="shared" si="6"/>
        <v>5533.0031470170588</v>
      </c>
      <c r="P89">
        <f t="shared" si="7"/>
        <v>2312.0594013581704</v>
      </c>
    </row>
    <row r="90" spans="1:16" x14ac:dyDescent="0.25">
      <c r="A90" t="s">
        <v>8</v>
      </c>
      <c r="B90">
        <v>2016</v>
      </c>
      <c r="C90" t="s">
        <v>11</v>
      </c>
      <c r="D90">
        <v>948057956.31264555</v>
      </c>
      <c r="E90">
        <v>1827349678.772079</v>
      </c>
      <c r="F90">
        <v>2775407635.0847239</v>
      </c>
      <c r="G90">
        <v>34.15923283945655</v>
      </c>
      <c r="H90" t="str">
        <f t="shared" si="4"/>
        <v>México2016Fabricación de productos de cuero y productos conexos</v>
      </c>
      <c r="I90">
        <v>93.8</v>
      </c>
      <c r="J90">
        <f>VLOOKUP(H90,[1]Hoja2!D$2:E$191,2,0)</f>
        <v>145519</v>
      </c>
      <c r="K90">
        <f>VLOOKUP(H90,[1]Hoja2!D$2:F$191,3,0)</f>
        <v>383565399.98669457</v>
      </c>
      <c r="L90" t="str">
        <f>IFERROR(VLOOKUP(H90,[2]Sheet1!K$2:L$94,2,0),"")</f>
        <v/>
      </c>
      <c r="M90" t="str">
        <f>IFERROR(VLOOKUP(H90,[2]Sheet1!K$372:L$648,2,0),"")</f>
        <v/>
      </c>
      <c r="N90">
        <f t="shared" si="5"/>
        <v>1010722767.9239292</v>
      </c>
      <c r="O90">
        <f t="shared" si="6"/>
        <v>6945.6412422015628</v>
      </c>
      <c r="P90">
        <f t="shared" si="7"/>
        <v>2635.844116484408</v>
      </c>
    </row>
    <row r="91" spans="1:16" x14ac:dyDescent="0.25">
      <c r="A91" t="s">
        <v>8</v>
      </c>
      <c r="B91">
        <v>2016</v>
      </c>
      <c r="C91" t="s">
        <v>12</v>
      </c>
      <c r="D91">
        <v>14873017327.867689</v>
      </c>
      <c r="E91">
        <v>50026432050.549927</v>
      </c>
      <c r="F91">
        <v>64899449378.417618</v>
      </c>
      <c r="G91">
        <v>22.91701620016168</v>
      </c>
      <c r="H91" t="str">
        <f t="shared" si="4"/>
        <v>México2016Fabricación de vehículos automotores, remolques y semirremolques</v>
      </c>
      <c r="I91">
        <v>93.3</v>
      </c>
      <c r="J91">
        <f>VLOOKUP(H91,[1]Hoja2!D$2:E$191,2,0)</f>
        <v>169653</v>
      </c>
      <c r="K91">
        <f>VLOOKUP(H91,[1]Hoja2!D$2:F$191,3,0)</f>
        <v>1334431212.9328787</v>
      </c>
      <c r="L91" t="str">
        <f>IFERROR(VLOOKUP(H91,[2]Sheet1!K$2:L$94,2,0),"")</f>
        <v/>
      </c>
      <c r="M91" t="str">
        <f>IFERROR(VLOOKUP(H91,[2]Sheet1!K$372:L$648,2,0),"")</f>
        <v/>
      </c>
      <c r="N91">
        <f t="shared" si="5"/>
        <v>15941068947.33943</v>
      </c>
      <c r="O91">
        <f t="shared" si="6"/>
        <v>93962.788440755132</v>
      </c>
      <c r="P91">
        <f t="shared" si="7"/>
        <v>7865.650551024024</v>
      </c>
    </row>
    <row r="92" spans="1:16" x14ac:dyDescent="0.25">
      <c r="A92" t="s">
        <v>8</v>
      </c>
      <c r="B92">
        <v>2016</v>
      </c>
      <c r="C92" t="s">
        <v>13</v>
      </c>
      <c r="D92">
        <v>4635142982.0327578</v>
      </c>
      <c r="E92">
        <v>50536626823.301659</v>
      </c>
      <c r="F92">
        <v>55171769805.334412</v>
      </c>
      <c r="G92">
        <v>8.4012947171845092</v>
      </c>
      <c r="H92" t="str">
        <f t="shared" si="4"/>
        <v>México2016Comercio al por mayor y al por menor y reparación de vehículos de motor y motocicletas</v>
      </c>
      <c r="I92">
        <v>89.8</v>
      </c>
      <c r="J92">
        <f>VLOOKUP(H92,[1]Hoja2!D$2:E$191,2,0)</f>
        <v>626743</v>
      </c>
      <c r="K92">
        <f>VLOOKUP(H92,[1]Hoja2!D$2:F$191,3,0)</f>
        <v>1161811092.3535299</v>
      </c>
      <c r="L92" t="str">
        <f>IFERROR(VLOOKUP(H92,[2]Sheet1!K$2:L$94,2,0),"")</f>
        <v/>
      </c>
      <c r="M92" t="str">
        <f>IFERROR(VLOOKUP(H92,[2]Sheet1!K$372:L$648,2,0),"")</f>
        <v/>
      </c>
      <c r="N92">
        <f t="shared" si="5"/>
        <v>5161629155.9384832</v>
      </c>
      <c r="O92">
        <f t="shared" si="6"/>
        <v>8235.6390991817752</v>
      </c>
      <c r="P92">
        <f t="shared" si="7"/>
        <v>1853.7280709214622</v>
      </c>
    </row>
    <row r="93" spans="1:16" x14ac:dyDescent="0.25">
      <c r="A93" t="s">
        <v>8</v>
      </c>
      <c r="B93">
        <v>2016</v>
      </c>
      <c r="C93" t="s">
        <v>14</v>
      </c>
      <c r="D93">
        <v>19144942038.775959</v>
      </c>
      <c r="E93">
        <v>98495190604.758636</v>
      </c>
      <c r="F93">
        <v>117640132643.53461</v>
      </c>
      <c r="G93">
        <v>16.274158833863019</v>
      </c>
      <c r="H93" t="str">
        <f t="shared" si="4"/>
        <v>México2016Comercio al por mayor, excepto de vehículos de motor y motocicletas</v>
      </c>
      <c r="I93">
        <v>89.823983496182905</v>
      </c>
      <c r="J93">
        <f>VLOOKUP(H93,[1]Hoja2!D$2:E$191,2,0)</f>
        <v>779287</v>
      </c>
      <c r="K93">
        <f>VLOOKUP(H93,[1]Hoja2!D$2:F$191,3,0)</f>
        <v>2789917716.1808777</v>
      </c>
      <c r="L93" t="str">
        <f>IFERROR(VLOOKUP(H93,[2]Sheet1!K$2:L$94,2,0),"")</f>
        <v/>
      </c>
      <c r="M93" t="str">
        <f>IFERROR(VLOOKUP(H93,[2]Sheet1!K$372:L$648,2,0),"")</f>
        <v/>
      </c>
      <c r="N93">
        <f t="shared" si="5"/>
        <v>21313842131.694736</v>
      </c>
      <c r="O93">
        <f t="shared" si="6"/>
        <v>27350.439737471221</v>
      </c>
      <c r="P93">
        <f t="shared" si="7"/>
        <v>3580.0901544371686</v>
      </c>
    </row>
    <row r="94" spans="1:16" x14ac:dyDescent="0.25">
      <c r="A94" t="s">
        <v>8</v>
      </c>
      <c r="B94">
        <v>2016</v>
      </c>
      <c r="C94" t="s">
        <v>15</v>
      </c>
      <c r="D94">
        <v>35043466234.344353</v>
      </c>
      <c r="E94">
        <v>217929706088.39539</v>
      </c>
      <c r="F94">
        <v>252973172322.73981</v>
      </c>
      <c r="G94">
        <v>13.852641334487579</v>
      </c>
      <c r="H94" t="str">
        <f t="shared" si="4"/>
        <v>México2016Comercio al por menor, excepto de vehículos de motor y motocicletas</v>
      </c>
      <c r="I94">
        <v>89.818612746531599</v>
      </c>
      <c r="J94">
        <f>VLOOKUP(H94,[1]Hoja2!D$2:E$191,2,0)</f>
        <v>10329645</v>
      </c>
      <c r="K94">
        <f>VLOOKUP(H94,[1]Hoja2!D$2:F$191,3,0)</f>
        <v>7841246977.814312</v>
      </c>
      <c r="L94" t="str">
        <f>IFERROR(VLOOKUP(H94,[2]Sheet1!K$2:L$94,2,0),"")</f>
        <v/>
      </c>
      <c r="M94" t="str">
        <f>IFERROR(VLOOKUP(H94,[2]Sheet1!K$372:L$648,2,0),"")</f>
        <v/>
      </c>
      <c r="N94">
        <f t="shared" si="5"/>
        <v>39015817727.264526</v>
      </c>
      <c r="O94">
        <f t="shared" si="6"/>
        <v>3777.0724673756481</v>
      </c>
      <c r="P94">
        <f t="shared" si="7"/>
        <v>759.10130288255903</v>
      </c>
    </row>
    <row r="95" spans="1:16" x14ac:dyDescent="0.25">
      <c r="A95" t="s">
        <v>8</v>
      </c>
      <c r="B95">
        <v>2016</v>
      </c>
      <c r="C95" t="s">
        <v>21</v>
      </c>
      <c r="D95">
        <v>1228192689.424906</v>
      </c>
      <c r="E95">
        <v>540753346.33812678</v>
      </c>
      <c r="F95">
        <v>1768946035.7630329</v>
      </c>
      <c r="G95">
        <v>69.430760723863855</v>
      </c>
      <c r="H95" t="str">
        <f t="shared" si="4"/>
        <v>México2016Actividades inmobiliarias</v>
      </c>
      <c r="I95">
        <v>90.490165269147795</v>
      </c>
      <c r="J95">
        <f>VLOOKUP(H95,[1]Hoja2!D$2:E$191,2,0)</f>
        <v>46261</v>
      </c>
      <c r="K95">
        <f>VLOOKUP(H95,[1]Hoja2!D$2:F$191,3,0)</f>
        <v>8535.1212022037034</v>
      </c>
      <c r="L95" t="str">
        <f>IFERROR(VLOOKUP(H95,[2]Sheet1!K$2:L$94,2,0),"")</f>
        <v/>
      </c>
      <c r="M95" t="str">
        <f>IFERROR(VLOOKUP(H95,[2]Sheet1!K$372:L$648,2,0),"")</f>
        <v/>
      </c>
      <c r="N95">
        <f t="shared" si="5"/>
        <v>1357266489.4266169</v>
      </c>
      <c r="O95">
        <f t="shared" si="6"/>
        <v>29339.324472592831</v>
      </c>
      <c r="P95">
        <f t="shared" si="7"/>
        <v>0.18449928021883882</v>
      </c>
    </row>
    <row r="96" spans="1:16" x14ac:dyDescent="0.25">
      <c r="A96" t="s">
        <v>8</v>
      </c>
      <c r="B96">
        <v>2017</v>
      </c>
      <c r="C96" t="s">
        <v>9</v>
      </c>
      <c r="D96">
        <v>22165870793.269749</v>
      </c>
      <c r="E96">
        <v>41344507749.709167</v>
      </c>
      <c r="F96">
        <v>63510378542.978928</v>
      </c>
      <c r="G96">
        <v>34.901178833739117</v>
      </c>
      <c r="H96" t="str">
        <f t="shared" si="4"/>
        <v>México2017Elaboración de productos alimenticios</v>
      </c>
      <c r="I96">
        <v>87.983051423758297</v>
      </c>
      <c r="J96">
        <f>VLOOKUP(H96,[1]Hoja2!D$2:E$191,2,0)</f>
        <v>1530819</v>
      </c>
      <c r="K96">
        <f>VLOOKUP(H96,[1]Hoja2!D$2:F$191,3,0)</f>
        <v>3321887545.7801256</v>
      </c>
      <c r="L96" t="str">
        <f>IFERROR(VLOOKUP(H96,[2]Sheet1!K$2:L$94,2,0),"")</f>
        <v/>
      </c>
      <c r="M96" t="str">
        <f>IFERROR(VLOOKUP(H96,[2]Sheet1!K$372:L$648,2,0),"")</f>
        <v/>
      </c>
      <c r="N96">
        <f t="shared" si="5"/>
        <v>25193341711.360828</v>
      </c>
      <c r="O96">
        <f t="shared" si="6"/>
        <v>16457.426848870327</v>
      </c>
      <c r="P96">
        <f t="shared" si="7"/>
        <v>2170.0067387327472</v>
      </c>
    </row>
    <row r="97" spans="1:16" x14ac:dyDescent="0.25">
      <c r="A97" t="s">
        <v>8</v>
      </c>
      <c r="B97">
        <v>2017</v>
      </c>
      <c r="C97" t="s">
        <v>10</v>
      </c>
      <c r="D97">
        <v>1630821695.487195</v>
      </c>
      <c r="E97">
        <v>2463934057.2442012</v>
      </c>
      <c r="F97">
        <v>4094755752.7313962</v>
      </c>
      <c r="G97">
        <v>39.827081124420182</v>
      </c>
      <c r="H97" t="str">
        <f t="shared" si="4"/>
        <v>México2017Fabricación de prendas de vestir</v>
      </c>
      <c r="I97">
        <v>88.944036225961995</v>
      </c>
      <c r="J97">
        <f>VLOOKUP(H97,[1]Hoja2!D$2:E$191,2,0)</f>
        <v>293431</v>
      </c>
      <c r="K97">
        <f>VLOOKUP(H97,[1]Hoja2!D$2:F$191,3,0)</f>
        <v>714279137.47114933</v>
      </c>
      <c r="L97" t="str">
        <f>IFERROR(VLOOKUP(H97,[2]Sheet1!K$2:L$94,2,0),"")</f>
        <v/>
      </c>
      <c r="M97" t="str">
        <f>IFERROR(VLOOKUP(H97,[2]Sheet1!K$372:L$648,2,0),"")</f>
        <v/>
      </c>
      <c r="N97">
        <f t="shared" si="5"/>
        <v>1833536867.3219402</v>
      </c>
      <c r="O97">
        <f t="shared" si="6"/>
        <v>6248.6133616487014</v>
      </c>
      <c r="P97">
        <f t="shared" si="7"/>
        <v>2434.2320254886135</v>
      </c>
    </row>
    <row r="98" spans="1:16" x14ac:dyDescent="0.25">
      <c r="A98" t="s">
        <v>8</v>
      </c>
      <c r="B98">
        <v>2017</v>
      </c>
      <c r="C98" t="s">
        <v>11</v>
      </c>
      <c r="D98">
        <v>678348701.24895298</v>
      </c>
      <c r="E98">
        <v>1240132001.7506299</v>
      </c>
      <c r="F98">
        <v>1918480702.999583</v>
      </c>
      <c r="G98">
        <v>35.358640834298782</v>
      </c>
      <c r="H98" t="str">
        <f t="shared" si="4"/>
        <v>México2017Fabricación de productos de cuero y productos conexos</v>
      </c>
      <c r="I98">
        <v>98.961476244551903</v>
      </c>
      <c r="J98">
        <f>VLOOKUP(H98,[1]Hoja2!D$2:E$191,2,0)</f>
        <v>115282</v>
      </c>
      <c r="K98">
        <f>VLOOKUP(H98,[1]Hoja2!D$2:F$191,3,0)</f>
        <v>297546669.53154784</v>
      </c>
      <c r="L98" t="str">
        <f>IFERROR(VLOOKUP(H98,[2]Sheet1!K$2:L$94,2,0),"")</f>
        <v/>
      </c>
      <c r="M98" t="str">
        <f>IFERROR(VLOOKUP(H98,[2]Sheet1!K$372:L$648,2,0),"")</f>
        <v/>
      </c>
      <c r="N98">
        <f t="shared" si="5"/>
        <v>685467443.48541176</v>
      </c>
      <c r="O98">
        <f t="shared" si="6"/>
        <v>5946.0058247203533</v>
      </c>
      <c r="P98">
        <f t="shared" si="7"/>
        <v>2581.0332014672526</v>
      </c>
    </row>
    <row r="99" spans="1:16" x14ac:dyDescent="0.25">
      <c r="A99" t="s">
        <v>8</v>
      </c>
      <c r="B99">
        <v>2017</v>
      </c>
      <c r="C99" t="s">
        <v>12</v>
      </c>
      <c r="D99">
        <v>18139682385.647652</v>
      </c>
      <c r="E99">
        <v>60649623605.681961</v>
      </c>
      <c r="F99">
        <v>78789305991.329605</v>
      </c>
      <c r="G99">
        <v>23.023025977210459</v>
      </c>
      <c r="H99" t="str">
        <f t="shared" si="4"/>
        <v>México2017Fabricación de vehículos automotores, remolques y semirremolques</v>
      </c>
      <c r="I99">
        <v>105.807655116368</v>
      </c>
      <c r="J99">
        <f>VLOOKUP(H99,[1]Hoja2!D$2:E$191,2,0)</f>
        <v>188879</v>
      </c>
      <c r="K99">
        <f>VLOOKUP(H99,[1]Hoja2!D$2:F$191,3,0)</f>
        <v>1527475261.7799895</v>
      </c>
      <c r="L99" t="str">
        <f>IFERROR(VLOOKUP(H99,[2]Sheet1!K$2:L$94,2,0),"")</f>
        <v/>
      </c>
      <c r="M99" t="str">
        <f>IFERROR(VLOOKUP(H99,[2]Sheet1!K$372:L$648,2,0),"")</f>
        <v/>
      </c>
      <c r="N99">
        <f t="shared" si="5"/>
        <v>17144017004.910942</v>
      </c>
      <c r="O99">
        <f t="shared" si="6"/>
        <v>90767.194896790767</v>
      </c>
      <c r="P99">
        <f t="shared" si="7"/>
        <v>8087.0571200609356</v>
      </c>
    </row>
    <row r="100" spans="1:16" x14ac:dyDescent="0.25">
      <c r="A100" t="s">
        <v>8</v>
      </c>
      <c r="B100">
        <v>2017</v>
      </c>
      <c r="C100" t="s">
        <v>13</v>
      </c>
      <c r="D100">
        <v>4337987462.0351858</v>
      </c>
      <c r="E100">
        <v>52782161376.763283</v>
      </c>
      <c r="F100">
        <v>57120148838.798462</v>
      </c>
      <c r="G100">
        <v>7.5944960757676423</v>
      </c>
      <c r="H100" t="str">
        <f t="shared" si="4"/>
        <v>México2017Comercio al por mayor y al por menor y reparación de vehículos de motor y motocicletas</v>
      </c>
      <c r="I100">
        <v>96.7</v>
      </c>
      <c r="J100">
        <f>VLOOKUP(H100,[1]Hoja2!D$2:E$191,2,0)</f>
        <v>639743</v>
      </c>
      <c r="K100">
        <f>VLOOKUP(H100,[1]Hoja2!D$2:F$191,3,0)</f>
        <v>1219657711.2710474</v>
      </c>
      <c r="L100" t="str">
        <f>IFERROR(VLOOKUP(H100,[2]Sheet1!K$2:L$94,2,0),"")</f>
        <v/>
      </c>
      <c r="M100" t="str">
        <f>IFERROR(VLOOKUP(H100,[2]Sheet1!K$372:L$648,2,0),"")</f>
        <v/>
      </c>
      <c r="N100">
        <f t="shared" si="5"/>
        <v>4486026330.9567585</v>
      </c>
      <c r="O100">
        <f t="shared" si="6"/>
        <v>7012.2319915290336</v>
      </c>
      <c r="P100">
        <f t="shared" si="7"/>
        <v>1906.4807450351898</v>
      </c>
    </row>
    <row r="101" spans="1:16" x14ac:dyDescent="0.25">
      <c r="A101" t="s">
        <v>8</v>
      </c>
      <c r="B101">
        <v>2017</v>
      </c>
      <c r="C101" t="s">
        <v>14</v>
      </c>
      <c r="D101">
        <v>18831096724.084641</v>
      </c>
      <c r="E101">
        <v>104386573176.4341</v>
      </c>
      <c r="F101">
        <v>123217669900.51871</v>
      </c>
      <c r="G101">
        <v>15.28278918055191</v>
      </c>
      <c r="H101" t="str">
        <f t="shared" si="4"/>
        <v>México2017Comercio al por mayor, excepto de vehículos de motor y motocicletas</v>
      </c>
      <c r="I101">
        <v>96.6</v>
      </c>
      <c r="J101">
        <f>VLOOKUP(H101,[1]Hoja2!D$2:E$191,2,0)</f>
        <v>795803</v>
      </c>
      <c r="K101">
        <f>VLOOKUP(H101,[1]Hoja2!D$2:F$191,3,0)</f>
        <v>2838695093.568018</v>
      </c>
      <c r="L101" t="str">
        <f>IFERROR(VLOOKUP(H101,[2]Sheet1!K$2:L$94,2,0),"")</f>
        <v/>
      </c>
      <c r="M101" t="str">
        <f>IFERROR(VLOOKUP(H101,[2]Sheet1!K$372:L$648,2,0),"")</f>
        <v/>
      </c>
      <c r="N101">
        <f>D101/I100*100</f>
        <v>19473729807.740063</v>
      </c>
      <c r="O101">
        <f t="shared" si="6"/>
        <v>24470.540834528223</v>
      </c>
      <c r="P101">
        <f t="shared" si="7"/>
        <v>3567.0826744408078</v>
      </c>
    </row>
    <row r="102" spans="1:16" x14ac:dyDescent="0.25">
      <c r="A102" t="s">
        <v>8</v>
      </c>
      <c r="B102">
        <v>2017</v>
      </c>
      <c r="C102" t="s">
        <v>15</v>
      </c>
      <c r="D102">
        <v>37464704545.914848</v>
      </c>
      <c r="E102">
        <v>234058346077.06461</v>
      </c>
      <c r="F102">
        <v>271523050622.97949</v>
      </c>
      <c r="G102">
        <v>13.79798306624658</v>
      </c>
      <c r="H102" t="str">
        <f t="shared" si="4"/>
        <v>México2017Comercio al por menor, excepto de vehículos de motor y motocicletas</v>
      </c>
      <c r="I102">
        <v>97.8</v>
      </c>
      <c r="J102">
        <f>VLOOKUP(H102,[1]Hoja2!D$2:E$191,2,0)</f>
        <v>10526777</v>
      </c>
      <c r="K102">
        <f>VLOOKUP(H102,[1]Hoja2!D$2:F$191,3,0)</f>
        <v>8200988524.91786</v>
      </c>
      <c r="L102" t="str">
        <f>IFERROR(VLOOKUP(H102,[2]Sheet1!K$2:L$94,2,0),"")</f>
        <v/>
      </c>
      <c r="M102" t="str">
        <f>IFERROR(VLOOKUP(H102,[2]Sheet1!K$372:L$648,2,0),"")</f>
        <v/>
      </c>
      <c r="N102">
        <f>D102/I101*100</f>
        <v>38783338039.249329</v>
      </c>
      <c r="O102">
        <f t="shared" si="6"/>
        <v>3684.2556880657135</v>
      </c>
      <c r="P102">
        <f t="shared" si="7"/>
        <v>779.05977536313912</v>
      </c>
    </row>
    <row r="103" spans="1:16" x14ac:dyDescent="0.25">
      <c r="A103" t="s">
        <v>8</v>
      </c>
      <c r="B103">
        <v>2017</v>
      </c>
      <c r="C103" t="s">
        <v>21</v>
      </c>
      <c r="D103">
        <v>1343263181.9026389</v>
      </c>
      <c r="E103">
        <v>550557304.52249086</v>
      </c>
      <c r="F103">
        <v>1893820486.4251299</v>
      </c>
      <c r="G103">
        <v>70.928749135999141</v>
      </c>
      <c r="H103" t="str">
        <f t="shared" si="4"/>
        <v>México2017Actividades inmobiliarias</v>
      </c>
      <c r="J103">
        <f>VLOOKUP(H103,[1]Hoja2!D$2:E$191,2,0)</f>
        <v>43166</v>
      </c>
      <c r="K103">
        <f>VLOOKUP(H103,[1]Hoja2!D$2:F$191,3,0)</f>
        <v>7825.0003742544604</v>
      </c>
      <c r="L103" t="str">
        <f>IFERROR(VLOOKUP(H103,[2]Sheet1!K$2:L$94,2,0),"")</f>
        <v/>
      </c>
      <c r="M103" t="str">
        <f>IFERROR(VLOOKUP(H103,[2]Sheet1!K$372:L$648,2,0),"")</f>
        <v/>
      </c>
      <c r="N103">
        <f>D103/I102*100</f>
        <v>1373479736.0967679</v>
      </c>
      <c r="O103">
        <f t="shared" si="6"/>
        <v>31818.554790732705</v>
      </c>
      <c r="P103">
        <f t="shared" si="7"/>
        <v>0.18127693958797342</v>
      </c>
    </row>
    <row r="104" spans="1:16" x14ac:dyDescent="0.25">
      <c r="A104" t="s">
        <v>8</v>
      </c>
      <c r="B104">
        <v>2018</v>
      </c>
      <c r="C104" t="s">
        <v>9</v>
      </c>
      <c r="D104">
        <v>22656028953.965248</v>
      </c>
      <c r="E104">
        <v>42754513573.470291</v>
      </c>
      <c r="F104">
        <v>65410542527.435539</v>
      </c>
      <c r="G104">
        <v>34.63666265183857</v>
      </c>
      <c r="H104" t="str">
        <f t="shared" si="4"/>
        <v>México2018Elaboración de productos alimenticios</v>
      </c>
      <c r="I104">
        <v>97</v>
      </c>
      <c r="J104">
        <f>VLOOKUP(H104,[1]Hoja2!D$2:E$191,2,0)</f>
        <v>1527231</v>
      </c>
      <c r="K104">
        <f>VLOOKUP(H104,[1]Hoja2!D$2:F$191,3,0)</f>
        <v>3468481601.3018532</v>
      </c>
      <c r="L104" t="str">
        <f>IFERROR(VLOOKUP(H104,[2]Sheet1!K$2:L$94,2,0),"")</f>
        <v/>
      </c>
      <c r="M104" t="str">
        <f>IFERROR(VLOOKUP(H104,[2]Sheet1!K$372:L$648,2,0),"")</f>
        <v/>
      </c>
      <c r="N104">
        <f t="shared" si="5"/>
        <v>23356730880.376545</v>
      </c>
      <c r="O104">
        <f t="shared" si="6"/>
        <v>15293.515440936273</v>
      </c>
      <c r="P104">
        <f t="shared" si="7"/>
        <v>2271.0916693688469</v>
      </c>
    </row>
    <row r="105" spans="1:16" x14ac:dyDescent="0.25">
      <c r="A105" t="s">
        <v>8</v>
      </c>
      <c r="B105">
        <v>2018</v>
      </c>
      <c r="C105" t="s">
        <v>10</v>
      </c>
      <c r="D105">
        <v>1680876985.0531819</v>
      </c>
      <c r="E105">
        <v>2516106180.1282711</v>
      </c>
      <c r="F105">
        <v>4196983165.1814532</v>
      </c>
      <c r="G105">
        <v>40.049648018555033</v>
      </c>
      <c r="H105" t="str">
        <f t="shared" si="4"/>
        <v>México2018Fabricación de prendas de vestir</v>
      </c>
      <c r="I105">
        <v>96</v>
      </c>
      <c r="J105">
        <f>VLOOKUP(H105,[1]Hoja2!D$2:E$191,2,0)</f>
        <v>287226</v>
      </c>
      <c r="K105">
        <f>VLOOKUP(H105,[1]Hoja2!D$2:F$191,3,0)</f>
        <v>725403562.3458147</v>
      </c>
      <c r="L105" t="str">
        <f>IFERROR(VLOOKUP(H105,[2]Sheet1!K$2:L$94,2,0),"")</f>
        <v/>
      </c>
      <c r="M105" t="str">
        <f>IFERROR(VLOOKUP(H105,[2]Sheet1!K$372:L$648,2,0),"")</f>
        <v/>
      </c>
      <c r="N105">
        <f t="shared" si="5"/>
        <v>1750913526.0970645</v>
      </c>
      <c r="O105">
        <f t="shared" si="6"/>
        <v>6095.9437032060623</v>
      </c>
      <c r="P105">
        <f t="shared" si="7"/>
        <v>2525.5497843016115</v>
      </c>
    </row>
    <row r="106" spans="1:16" x14ac:dyDescent="0.25">
      <c r="A106" t="s">
        <v>8</v>
      </c>
      <c r="B106">
        <v>2018</v>
      </c>
      <c r="C106" t="s">
        <v>11</v>
      </c>
      <c r="D106">
        <v>717682071.91637707</v>
      </c>
      <c r="E106">
        <v>1239991235.519012</v>
      </c>
      <c r="F106">
        <v>1957673307.435389</v>
      </c>
      <c r="G106">
        <v>36.659950829924853</v>
      </c>
      <c r="H106" t="str">
        <f t="shared" si="4"/>
        <v>México2018Fabricación de productos de cuero y productos conexos</v>
      </c>
      <c r="I106">
        <v>95.815867044907307</v>
      </c>
      <c r="J106">
        <f>VLOOKUP(H106,[1]Hoja2!D$2:E$191,2,0)</f>
        <v>111507</v>
      </c>
      <c r="K106">
        <f>VLOOKUP(H106,[1]Hoja2!D$2:F$191,3,0)</f>
        <v>300704336.90249205</v>
      </c>
      <c r="L106" t="str">
        <f>IFERROR(VLOOKUP(H106,[2]Sheet1!K$2:L$94,2,0),"")</f>
        <v/>
      </c>
      <c r="M106" t="str">
        <f>IFERROR(VLOOKUP(H106,[2]Sheet1!K$372:L$648,2,0),"")</f>
        <v/>
      </c>
      <c r="N106">
        <f t="shared" si="5"/>
        <v>749022154.73352802</v>
      </c>
      <c r="O106">
        <f t="shared" si="6"/>
        <v>6717.2657746466857</v>
      </c>
      <c r="P106">
        <f t="shared" si="7"/>
        <v>2696.7305810621042</v>
      </c>
    </row>
    <row r="107" spans="1:16" x14ac:dyDescent="0.25">
      <c r="A107" t="s">
        <v>8</v>
      </c>
      <c r="B107">
        <v>2018</v>
      </c>
      <c r="C107" t="s">
        <v>12</v>
      </c>
      <c r="D107">
        <v>19496253210.35923</v>
      </c>
      <c r="E107">
        <v>64528576165.894638</v>
      </c>
      <c r="F107">
        <v>84024829376.25386</v>
      </c>
      <c r="G107">
        <v>23.202966736245511</v>
      </c>
      <c r="H107" t="str">
        <f t="shared" si="4"/>
        <v>México2018Fabricación de vehículos automotores, remolques y semirremolques</v>
      </c>
      <c r="I107">
        <v>96.105183712152098</v>
      </c>
      <c r="J107">
        <f>VLOOKUP(H107,[1]Hoja2!D$2:E$191,2,0)</f>
        <v>202555</v>
      </c>
      <c r="K107">
        <f>VLOOKUP(H107,[1]Hoja2!D$2:F$191,3,0)</f>
        <v>1728965249.9587536</v>
      </c>
      <c r="L107" t="str">
        <f>IFERROR(VLOOKUP(H107,[2]Sheet1!K$2:L$94,2,0),"")</f>
        <v/>
      </c>
      <c r="M107" t="str">
        <f>IFERROR(VLOOKUP(H107,[2]Sheet1!K$372:L$648,2,0),"")</f>
        <v/>
      </c>
      <c r="N107">
        <f t="shared" si="5"/>
        <v>20286370055.493698</v>
      </c>
      <c r="O107">
        <f t="shared" si="6"/>
        <v>100152.40332499173</v>
      </c>
      <c r="P107">
        <f t="shared" si="7"/>
        <v>8535.7816393510584</v>
      </c>
    </row>
    <row r="108" spans="1:16" x14ac:dyDescent="0.25">
      <c r="A108" t="s">
        <v>8</v>
      </c>
      <c r="B108">
        <v>2018</v>
      </c>
      <c r="C108" t="s">
        <v>13</v>
      </c>
      <c r="D108">
        <v>9175595530.145546</v>
      </c>
      <c r="E108">
        <v>44843263097.713097</v>
      </c>
      <c r="F108">
        <v>54018858627.858643</v>
      </c>
      <c r="G108">
        <f>D108/F108*100</f>
        <v>16.985911519081046</v>
      </c>
      <c r="I108">
        <v>100</v>
      </c>
      <c r="J108">
        <v>420406</v>
      </c>
      <c r="K108">
        <v>1446648180.8731811</v>
      </c>
      <c r="L108" t="str">
        <f>IFERROR(VLOOKUP(H108,[2]Sheet1!K$2:L$94,2,0),"")</f>
        <v/>
      </c>
      <c r="M108" t="str">
        <f>IFERROR(VLOOKUP(H108,[2]Sheet1!K$372:L$648,2,0),"")</f>
        <v/>
      </c>
      <c r="N108">
        <f t="shared" si="5"/>
        <v>9175595530.145546</v>
      </c>
      <c r="O108">
        <f t="shared" si="6"/>
        <v>21825.557984770785</v>
      </c>
      <c r="P108">
        <f t="shared" si="7"/>
        <v>3441.0740590600067</v>
      </c>
    </row>
    <row r="109" spans="1:16" x14ac:dyDescent="0.25">
      <c r="A109" t="s">
        <v>8</v>
      </c>
      <c r="B109">
        <v>2018</v>
      </c>
      <c r="C109" t="s">
        <v>14</v>
      </c>
      <c r="D109">
        <v>59300356081.081024</v>
      </c>
      <c r="E109">
        <v>259758353690.22873</v>
      </c>
      <c r="F109">
        <v>319058709771.30975</v>
      </c>
      <c r="G109">
        <f t="shared" ref="G109:G110" si="8">D109/F109*100</f>
        <v>18.58603268457566</v>
      </c>
      <c r="I109">
        <v>100</v>
      </c>
      <c r="J109">
        <v>1561961</v>
      </c>
      <c r="K109">
        <v>9232320790.0207901</v>
      </c>
      <c r="L109" t="str">
        <f>IFERROR(VLOOKUP(H109,[2]Sheet1!K$2:L$94,2,0),"")</f>
        <v/>
      </c>
      <c r="M109" t="str">
        <f>IFERROR(VLOOKUP(H109,[2]Sheet1!K$372:L$648,2,0),"")</f>
        <v/>
      </c>
      <c r="N109">
        <f t="shared" si="5"/>
        <v>59300356081.081024</v>
      </c>
      <c r="O109">
        <f t="shared" si="6"/>
        <v>37965.324410200396</v>
      </c>
      <c r="P109">
        <f t="shared" si="7"/>
        <v>5910.7242690571593</v>
      </c>
    </row>
    <row r="110" spans="1:16" x14ac:dyDescent="0.25">
      <c r="A110" t="s">
        <v>8</v>
      </c>
      <c r="B110">
        <v>2018</v>
      </c>
      <c r="C110" t="s">
        <v>15</v>
      </c>
      <c r="D110">
        <v>47405161642.411507</v>
      </c>
      <c r="E110">
        <v>217050254417.87949</v>
      </c>
      <c r="F110">
        <v>264455416060.29099</v>
      </c>
      <c r="G110">
        <f t="shared" si="8"/>
        <v>17.925577909738859</v>
      </c>
      <c r="I110">
        <v>100</v>
      </c>
      <c r="J110">
        <v>5622189</v>
      </c>
      <c r="K110">
        <v>9252370997.9209995</v>
      </c>
      <c r="L110" t="str">
        <f>IFERROR(VLOOKUP(H110,[2]Sheet1!K$2:L$94,2,0),"")</f>
        <v/>
      </c>
      <c r="M110" t="str">
        <f>IFERROR(VLOOKUP(H110,[2]Sheet1!K$372:L$648,2,0),"")</f>
        <v/>
      </c>
      <c r="N110">
        <f t="shared" si="5"/>
        <v>47405161642.411507</v>
      </c>
      <c r="O110">
        <f t="shared" si="6"/>
        <v>8431.7979424760542</v>
      </c>
      <c r="P110">
        <f t="shared" si="7"/>
        <v>1645.688360515984</v>
      </c>
    </row>
    <row r="111" spans="1:16" x14ac:dyDescent="0.25">
      <c r="A111" t="s">
        <v>8</v>
      </c>
      <c r="B111">
        <v>2018</v>
      </c>
      <c r="C111" t="s">
        <v>16</v>
      </c>
      <c r="D111">
        <v>882429822.44564509</v>
      </c>
      <c r="E111">
        <v>646462228.50785995</v>
      </c>
      <c r="F111">
        <v>1528892050.953505</v>
      </c>
      <c r="G111">
        <v>57.716947504260432</v>
      </c>
      <c r="H111" t="str">
        <f t="shared" si="4"/>
        <v>México2018Actividades de edición</v>
      </c>
      <c r="I111">
        <v>99.664134201715697</v>
      </c>
      <c r="J111">
        <f>VLOOKUP(H111,[1]Hoja2!D$2:E$191,2,0)</f>
        <v>69541</v>
      </c>
      <c r="K111">
        <f>VLOOKUP(H111,[1]Hoja2!D$2:F$191,3,0)</f>
        <v>330405378.89708698</v>
      </c>
      <c r="L111" t="str">
        <f>IFERROR(VLOOKUP(H111,[2]Sheet1!K$2:L$94,2,0),"")</f>
        <v/>
      </c>
      <c r="M111" t="str">
        <f>IFERROR(VLOOKUP(H111,[2]Sheet1!K$372:L$648,2,0),"")</f>
        <v/>
      </c>
      <c r="N111">
        <f t="shared" si="5"/>
        <v>885403590.28218424</v>
      </c>
      <c r="O111">
        <f t="shared" si="6"/>
        <v>12732.108975743578</v>
      </c>
      <c r="P111">
        <f t="shared" si="7"/>
        <v>4751.2313440572752</v>
      </c>
    </row>
    <row r="112" spans="1:16" x14ac:dyDescent="0.25">
      <c r="A112" t="s">
        <v>8</v>
      </c>
      <c r="B112">
        <v>2018</v>
      </c>
      <c r="C112" t="s">
        <v>17</v>
      </c>
      <c r="D112">
        <v>861076636.81229222</v>
      </c>
      <c r="E112">
        <v>1097205628.8406849</v>
      </c>
      <c r="F112">
        <v>1958282265.652977</v>
      </c>
      <c r="G112">
        <v>43.971017453154097</v>
      </c>
      <c r="H112" t="str">
        <f t="shared" si="4"/>
        <v>México2018Actividades de programación y radiodifusión</v>
      </c>
      <c r="I112">
        <v>99.987775194221399</v>
      </c>
      <c r="J112">
        <f>VLOOKUP(H112,[1]Hoja2!D$2:E$191,2,0)</f>
        <v>19805</v>
      </c>
      <c r="K112">
        <f>VLOOKUP(H112,[1]Hoja2!D$2:F$191,3,0)</f>
        <v>69789604.823235899</v>
      </c>
      <c r="L112" t="str">
        <f>IFERROR(VLOOKUP(H112,[2]Sheet1!K$2:L$94,2,0),"")</f>
        <v/>
      </c>
      <c r="M112" t="str">
        <f>IFERROR(VLOOKUP(H112,[2]Sheet1!K$372:L$648,2,0),"")</f>
        <v/>
      </c>
      <c r="N112">
        <f t="shared" si="5"/>
        <v>861181914.62875605</v>
      </c>
      <c r="O112">
        <f t="shared" si="6"/>
        <v>43483.055522784955</v>
      </c>
      <c r="P112">
        <f t="shared" si="7"/>
        <v>3523.8376583305176</v>
      </c>
    </row>
    <row r="113" spans="1:16" x14ac:dyDescent="0.25">
      <c r="A113" t="s">
        <v>8</v>
      </c>
      <c r="B113">
        <v>2018</v>
      </c>
      <c r="C113" t="s">
        <v>18</v>
      </c>
      <c r="D113">
        <v>548648074.47730291</v>
      </c>
      <c r="E113">
        <v>217957624.77368891</v>
      </c>
      <c r="F113">
        <v>766605699.25099182</v>
      </c>
      <c r="G113">
        <v>71.568483643332769</v>
      </c>
      <c r="H113" t="str">
        <f t="shared" si="4"/>
        <v>México2018Actividades de servicios de información</v>
      </c>
      <c r="I113">
        <v>100</v>
      </c>
      <c r="J113">
        <f>VLOOKUP(H113,[1]Hoja2!D$2:E$191,2,0)</f>
        <v>32537</v>
      </c>
      <c r="K113">
        <f>VLOOKUP(H113,[1]Hoja2!D$2:F$191,3,0)</f>
        <v>190278267.9410961</v>
      </c>
      <c r="L113" t="str">
        <f>IFERROR(VLOOKUP(H113,[2]Sheet1!K$2:L$94,2,0),"")</f>
        <v/>
      </c>
      <c r="M113" t="str">
        <f>IFERROR(VLOOKUP(H113,[2]Sheet1!K$372:L$648,2,0),"")</f>
        <v/>
      </c>
      <c r="N113">
        <f t="shared" si="5"/>
        <v>548648074.47730291</v>
      </c>
      <c r="O113">
        <f t="shared" si="6"/>
        <v>16862.282155002085</v>
      </c>
      <c r="P113">
        <f t="shared" si="7"/>
        <v>5848.0581473736393</v>
      </c>
    </row>
    <row r="114" spans="1:16" x14ac:dyDescent="0.25">
      <c r="A114" t="s">
        <v>8</v>
      </c>
      <c r="B114">
        <v>2018</v>
      </c>
      <c r="C114" t="s">
        <v>19</v>
      </c>
      <c r="D114">
        <v>2770488017.9065609</v>
      </c>
      <c r="E114">
        <v>1983561332.530211</v>
      </c>
      <c r="F114">
        <v>4754049350.4367723</v>
      </c>
      <c r="G114">
        <v>58.276383219539497</v>
      </c>
      <c r="H114" t="str">
        <f t="shared" si="4"/>
        <v>México2018Producción de películas, videos y programas de televisión, grabación de sonido y edición musical</v>
      </c>
      <c r="I114">
        <v>100</v>
      </c>
      <c r="J114">
        <f>VLOOKUP(H114,[1]Hoja2!D$2:E$191,2,0)</f>
        <v>105004</v>
      </c>
      <c r="K114">
        <f>VLOOKUP(H114,[1]Hoja2!D$2:F$191,3,0)</f>
        <v>295897209.61269557</v>
      </c>
      <c r="L114" t="str">
        <f>IFERROR(VLOOKUP(H114,[2]Sheet1!K$2:L$94,2,0),"")</f>
        <v/>
      </c>
      <c r="M114" t="str">
        <f>IFERROR(VLOOKUP(H114,[2]Sheet1!K$372:L$648,2,0),"")</f>
        <v/>
      </c>
      <c r="N114">
        <f t="shared" si="5"/>
        <v>2770488017.9065609</v>
      </c>
      <c r="O114">
        <f t="shared" si="6"/>
        <v>26384.59504310846</v>
      </c>
      <c r="P114">
        <f t="shared" si="7"/>
        <v>2817.9613120709264</v>
      </c>
    </row>
    <row r="115" spans="1:16" x14ac:dyDescent="0.25">
      <c r="A115" t="s">
        <v>8</v>
      </c>
      <c r="B115">
        <v>2018</v>
      </c>
      <c r="C115" t="s">
        <v>22</v>
      </c>
      <c r="D115">
        <v>16992678246.116501</v>
      </c>
      <c r="E115">
        <v>7845634088.9811316</v>
      </c>
      <c r="F115">
        <v>24838312335.09763</v>
      </c>
      <c r="G115">
        <v>68.413175649237232</v>
      </c>
      <c r="H115" t="str">
        <f t="shared" si="4"/>
        <v>México2018Telecomunicaciones</v>
      </c>
      <c r="I115">
        <v>100</v>
      </c>
      <c r="J115">
        <f>VLOOKUP(H115,[1]Hoja2!D$2:E$191,2,0)</f>
        <v>209511</v>
      </c>
      <c r="K115">
        <f>VLOOKUP(H115,[1]Hoja2!D$2:F$191,3,0)</f>
        <v>2417751295.7271848</v>
      </c>
      <c r="L115" t="str">
        <f>IFERROR(VLOOKUP(H115,[2]Sheet1!K$2:L$94,2,0),"")</f>
        <v/>
      </c>
      <c r="M115" t="str">
        <f>IFERROR(VLOOKUP(H115,[2]Sheet1!K$372:L$648,2,0),"")</f>
        <v/>
      </c>
      <c r="N115">
        <f t="shared" si="5"/>
        <v>16992678246.116501</v>
      </c>
      <c r="O115">
        <f t="shared" si="6"/>
        <v>81106.377450904736</v>
      </c>
      <c r="P115">
        <f t="shared" si="7"/>
        <v>11539.973059778173</v>
      </c>
    </row>
    <row r="116" spans="1:16" x14ac:dyDescent="0.25">
      <c r="A116" t="s">
        <v>8</v>
      </c>
      <c r="B116">
        <v>2018</v>
      </c>
      <c r="C116" t="s">
        <v>21</v>
      </c>
      <c r="D116">
        <v>1750834379.456125</v>
      </c>
      <c r="E116">
        <v>595215684.61032462</v>
      </c>
      <c r="F116">
        <v>2346050064.0664501</v>
      </c>
      <c r="G116">
        <v>74.629028863151078</v>
      </c>
      <c r="H116" t="str">
        <f t="shared" si="4"/>
        <v>México2018Actividades inmobiliarias</v>
      </c>
      <c r="I116">
        <v>100</v>
      </c>
      <c r="J116">
        <f>VLOOKUP(H116,[1]Hoja2!D$2:E$191,2,0)</f>
        <v>32700</v>
      </c>
      <c r="K116">
        <f>VLOOKUP(H116,[1]Hoja2!D$2:F$191,3,0)</f>
        <v>4900.1416433661661</v>
      </c>
      <c r="L116" t="str">
        <f>IFERROR(VLOOKUP(H116,[2]Sheet1!K$2:L$94,2,0),"")</f>
        <v/>
      </c>
      <c r="M116" t="str">
        <f>IFERROR(VLOOKUP(H116,[2]Sheet1!K$372:L$648,2,0),"")</f>
        <v/>
      </c>
      <c r="N116">
        <f t="shared" si="5"/>
        <v>1750834379.4561253</v>
      </c>
      <c r="O116">
        <f t="shared" si="6"/>
        <v>53542.335763184259</v>
      </c>
      <c r="P116">
        <f t="shared" si="7"/>
        <v>0.14985142640263505</v>
      </c>
    </row>
    <row r="117" spans="1:16" x14ac:dyDescent="0.25">
      <c r="A117" t="s">
        <v>8</v>
      </c>
      <c r="B117">
        <v>2019</v>
      </c>
      <c r="C117" t="s">
        <v>9</v>
      </c>
      <c r="D117">
        <v>23591530535.084251</v>
      </c>
      <c r="E117">
        <v>44142153833.908112</v>
      </c>
      <c r="F117">
        <v>67733684368.992363</v>
      </c>
      <c r="G117">
        <v>34.829835044207577</v>
      </c>
      <c r="H117" t="str">
        <f t="shared" si="4"/>
        <v>México2019Elaboración de productos alimenticios</v>
      </c>
      <c r="I117">
        <v>100</v>
      </c>
      <c r="J117">
        <f>VLOOKUP(H117,[1]Hoja2!D$2:E$191,2,0)</f>
        <v>1532903</v>
      </c>
      <c r="K117">
        <f>VLOOKUP(H117,[1]Hoja2!D$2:F$191,3,0)</f>
        <v>3724023540.038312</v>
      </c>
      <c r="L117" t="str">
        <f>IFERROR(VLOOKUP(H117,[2]Sheet1!K$2:L$94,2,0),"")</f>
        <v/>
      </c>
      <c r="M117" t="str">
        <f>IFERROR(VLOOKUP(H117,[2]Sheet1!K$372:L$648,2,0),"")</f>
        <v/>
      </c>
      <c r="N117">
        <f t="shared" si="5"/>
        <v>23591530535.084251</v>
      </c>
      <c r="O117">
        <f t="shared" si="6"/>
        <v>15390.100048786029</v>
      </c>
      <c r="P117">
        <f t="shared" si="7"/>
        <v>2429.3928187486827</v>
      </c>
    </row>
    <row r="118" spans="1:16" x14ac:dyDescent="0.25">
      <c r="A118" t="s">
        <v>8</v>
      </c>
      <c r="B118">
        <v>2019</v>
      </c>
      <c r="C118" t="s">
        <v>10</v>
      </c>
      <c r="D118">
        <v>1739631481.773082</v>
      </c>
      <c r="E118">
        <v>2513491051.3592968</v>
      </c>
      <c r="F118">
        <v>4253122533.13238</v>
      </c>
      <c r="G118">
        <v>40.902453861160261</v>
      </c>
      <c r="H118" t="str">
        <f t="shared" si="4"/>
        <v>México2019Fabricación de prendas de vestir</v>
      </c>
      <c r="I118">
        <v>100</v>
      </c>
      <c r="J118">
        <f>VLOOKUP(H118,[1]Hoja2!D$2:E$191,2,0)</f>
        <v>281777</v>
      </c>
      <c r="K118">
        <f>VLOOKUP(H118,[1]Hoja2!D$2:F$191,3,0)</f>
        <v>743275879.07438719</v>
      </c>
      <c r="L118" t="str">
        <f>IFERROR(VLOOKUP(H118,[2]Sheet1!K$2:L$94,2,0),"")</f>
        <v/>
      </c>
      <c r="M118" t="str">
        <f>IFERROR(VLOOKUP(H118,[2]Sheet1!K$372:L$648,2,0),"")</f>
        <v/>
      </c>
      <c r="N118">
        <f t="shared" si="5"/>
        <v>1739631481.7730823</v>
      </c>
      <c r="O118">
        <f t="shared" si="6"/>
        <v>6173.7880727422116</v>
      </c>
      <c r="P118">
        <f t="shared" si="7"/>
        <v>2637.816000150428</v>
      </c>
    </row>
    <row r="119" spans="1:16" x14ac:dyDescent="0.25">
      <c r="A119" t="s">
        <v>8</v>
      </c>
      <c r="B119">
        <v>2019</v>
      </c>
      <c r="C119" t="s">
        <v>11</v>
      </c>
      <c r="D119">
        <v>981110036.35520482</v>
      </c>
      <c r="E119">
        <v>1803390949.0940621</v>
      </c>
      <c r="F119">
        <v>2784500985.449266</v>
      </c>
      <c r="G119">
        <v>35.234680881138473</v>
      </c>
      <c r="H119" t="str">
        <f t="shared" si="4"/>
        <v>México2019Fabricación de productos de cuero y productos conexos</v>
      </c>
      <c r="I119">
        <v>100</v>
      </c>
      <c r="J119">
        <f>VLOOKUP(H119,[1]Hoja2!D$2:E$191,2,0)</f>
        <v>135631</v>
      </c>
      <c r="K119">
        <f>VLOOKUP(H119,[1]Hoja2!D$2:F$191,3,0)</f>
        <v>411119847.58846122</v>
      </c>
      <c r="L119" t="str">
        <f>IFERROR(VLOOKUP(H119,[2]Sheet1!K$2:L$94,2,0),"")</f>
        <v/>
      </c>
      <c r="M119" t="str">
        <f>IFERROR(VLOOKUP(H119,[2]Sheet1!K$372:L$648,2,0),"")</f>
        <v/>
      </c>
      <c r="N119">
        <f t="shared" si="5"/>
        <v>981110036.35520482</v>
      </c>
      <c r="O119">
        <f t="shared" si="6"/>
        <v>7233.6710365270828</v>
      </c>
      <c r="P119">
        <f t="shared" si="7"/>
        <v>3031.1643178068525</v>
      </c>
    </row>
    <row r="120" spans="1:16" x14ac:dyDescent="0.25">
      <c r="A120" t="s">
        <v>8</v>
      </c>
      <c r="B120">
        <v>2019</v>
      </c>
      <c r="C120" t="s">
        <v>12</v>
      </c>
      <c r="D120">
        <v>19536461657.458179</v>
      </c>
      <c r="E120">
        <v>67072020404.596581</v>
      </c>
      <c r="F120">
        <v>86608482062.054749</v>
      </c>
      <c r="G120">
        <v>22.557215173752109</v>
      </c>
      <c r="H120" t="str">
        <f t="shared" si="4"/>
        <v>México2019Fabricación de vehículos automotores, remolques y semirremolques</v>
      </c>
      <c r="I120">
        <v>100</v>
      </c>
      <c r="J120">
        <f>VLOOKUP(H120,[1]Hoja2!D$2:E$191,2,0)</f>
        <v>211913</v>
      </c>
      <c r="K120">
        <f>VLOOKUP(H120,[1]Hoja2!D$2:F$191,3,0)</f>
        <v>1877583650.7131743</v>
      </c>
      <c r="L120" t="str">
        <f>IFERROR(VLOOKUP(H120,[2]Sheet1!K$2:L$94,2,0),"")</f>
        <v/>
      </c>
      <c r="M120" t="str">
        <f>IFERROR(VLOOKUP(H120,[2]Sheet1!K$372:L$648,2,0),"")</f>
        <v/>
      </c>
      <c r="N120">
        <f t="shared" si="5"/>
        <v>19536461657.458179</v>
      </c>
      <c r="O120">
        <f t="shared" si="6"/>
        <v>92190.954105968864</v>
      </c>
      <c r="P120">
        <f t="shared" si="7"/>
        <v>8860.1626644574626</v>
      </c>
    </row>
    <row r="121" spans="1:16" x14ac:dyDescent="0.25">
      <c r="A121" t="s">
        <v>8</v>
      </c>
      <c r="B121">
        <v>2019</v>
      </c>
      <c r="C121" t="s">
        <v>13</v>
      </c>
      <c r="D121">
        <v>10055851869.158886</v>
      </c>
      <c r="E121">
        <v>45196306366.759178</v>
      </c>
      <c r="F121">
        <v>54997331580.364326</v>
      </c>
      <c r="G121">
        <f t="shared" ref="G121:G123" si="9">D121/F121*100</f>
        <v>18.284254126884079</v>
      </c>
      <c r="I121">
        <v>102.60000000000005</v>
      </c>
      <c r="J121">
        <v>433832</v>
      </c>
      <c r="K121">
        <v>1480279300.9985445</v>
      </c>
      <c r="L121" t="str">
        <f>IFERROR(VLOOKUP(H121,[2]Sheet1!K$2:L$94,2,0),"")</f>
        <v/>
      </c>
      <c r="M121" t="str">
        <f>IFERROR(VLOOKUP(H121,[2]Sheet1!K$372:L$648,2,0),"")</f>
        <v/>
      </c>
      <c r="N121">
        <f t="shared" si="5"/>
        <v>9801025213.6051483</v>
      </c>
      <c r="O121">
        <f t="shared" si="6"/>
        <v>22591.752599174677</v>
      </c>
      <c r="P121">
        <f t="shared" si="7"/>
        <v>3412.102613450701</v>
      </c>
    </row>
    <row r="122" spans="1:16" x14ac:dyDescent="0.25">
      <c r="A122" t="s">
        <v>8</v>
      </c>
      <c r="B122">
        <v>2019</v>
      </c>
      <c r="C122" t="s">
        <v>14</v>
      </c>
      <c r="D122">
        <v>59380472585.669716</v>
      </c>
      <c r="E122">
        <v>245773800602.81073</v>
      </c>
      <c r="F122">
        <v>303649504877.34271</v>
      </c>
      <c r="G122">
        <f t="shared" si="9"/>
        <v>19.55559670998182</v>
      </c>
      <c r="I122">
        <v>102.59999999999984</v>
      </c>
      <c r="J122">
        <v>1575997</v>
      </c>
      <c r="K122">
        <v>9591837510.2981853</v>
      </c>
      <c r="L122" t="str">
        <f>IFERROR(VLOOKUP(H122,[2]Sheet1!K$2:L$94,2,0),"")</f>
        <v/>
      </c>
      <c r="M122" t="str">
        <f>IFERROR(VLOOKUP(H122,[2]Sheet1!K$372:L$648,2,0),"")</f>
        <v/>
      </c>
      <c r="N122">
        <f t="shared" si="5"/>
        <v>57875704274.531975</v>
      </c>
      <c r="O122">
        <f t="shared" si="6"/>
        <v>36723.23251537406</v>
      </c>
      <c r="P122">
        <f t="shared" si="7"/>
        <v>6086.2028990525905</v>
      </c>
    </row>
    <row r="123" spans="1:16" x14ac:dyDescent="0.25">
      <c r="A123" t="s">
        <v>8</v>
      </c>
      <c r="B123">
        <v>2019</v>
      </c>
      <c r="C123" t="s">
        <v>15</v>
      </c>
      <c r="D123">
        <v>51335257684.320023</v>
      </c>
      <c r="E123">
        <v>226308221376.9248</v>
      </c>
      <c r="F123">
        <v>276293866639.16412</v>
      </c>
      <c r="G123">
        <f t="shared" si="9"/>
        <v>18.579948338615544</v>
      </c>
      <c r="I123">
        <v>102.70000000000047</v>
      </c>
      <c r="J123">
        <v>5727894</v>
      </c>
      <c r="K123">
        <v>10049284783.331865</v>
      </c>
      <c r="L123" t="str">
        <f>IFERROR(VLOOKUP(H123,[2]Sheet1!K$2:L$94,2,0),"")</f>
        <v/>
      </c>
      <c r="M123" t="str">
        <f>IFERROR(VLOOKUP(H123,[2]Sheet1!K$372:L$648,2,0),"")</f>
        <v/>
      </c>
      <c r="N123">
        <f t="shared" si="5"/>
        <v>49985645262.239326</v>
      </c>
      <c r="O123">
        <f t="shared" si="6"/>
        <v>8726.7057075845551</v>
      </c>
      <c r="P123">
        <f t="shared" si="7"/>
        <v>1754.4467099656288</v>
      </c>
    </row>
    <row r="124" spans="1:16" x14ac:dyDescent="0.25">
      <c r="A124" t="s">
        <v>8</v>
      </c>
      <c r="B124">
        <v>2019</v>
      </c>
      <c r="C124" t="s">
        <v>16</v>
      </c>
      <c r="D124">
        <v>934005111.53140032</v>
      </c>
      <c r="E124">
        <v>555032730.0664984</v>
      </c>
      <c r="F124">
        <v>1489037841.597899</v>
      </c>
      <c r="G124">
        <v>62.725411365577642</v>
      </c>
      <c r="H124" t="str">
        <f t="shared" si="4"/>
        <v>México2019Actividades de edición</v>
      </c>
      <c r="I124">
        <v>100</v>
      </c>
      <c r="J124">
        <f>VLOOKUP(H124,[1]Hoja2!D$2:E$191,2,0)</f>
        <v>64573</v>
      </c>
      <c r="K124">
        <f>VLOOKUP(H124,[1]Hoja2!D$2:F$191,3,0)</f>
        <v>317818393.55331028</v>
      </c>
      <c r="L124" t="str">
        <f>IFERROR(VLOOKUP(H124,[2]Sheet1!K$2:L$94,2,0),"")</f>
        <v/>
      </c>
      <c r="M124" t="str">
        <f>IFERROR(VLOOKUP(H124,[2]Sheet1!K$372:L$648,2,0),"")</f>
        <v/>
      </c>
      <c r="N124">
        <f t="shared" si="5"/>
        <v>934005111.53140032</v>
      </c>
      <c r="O124">
        <f t="shared" si="6"/>
        <v>14464.328922791265</v>
      </c>
      <c r="P124">
        <f t="shared" si="7"/>
        <v>4921.8464923932643</v>
      </c>
    </row>
    <row r="125" spans="1:16" x14ac:dyDescent="0.25">
      <c r="A125" t="s">
        <v>8</v>
      </c>
      <c r="B125">
        <v>2019</v>
      </c>
      <c r="C125" t="s">
        <v>17</v>
      </c>
      <c r="D125">
        <v>425593181.62548089</v>
      </c>
      <c r="E125">
        <v>1086861789.658926</v>
      </c>
      <c r="F125">
        <v>1512454971.2844059</v>
      </c>
      <c r="G125">
        <v>28.139229908051991</v>
      </c>
      <c r="H125" t="str">
        <f t="shared" si="4"/>
        <v>México2019Actividades de programación y radiodifusión</v>
      </c>
      <c r="I125">
        <v>100</v>
      </c>
      <c r="J125">
        <f>VLOOKUP(H125,[1]Hoja2!D$2:E$191,2,0)</f>
        <v>19424</v>
      </c>
      <c r="K125">
        <f>VLOOKUP(H125,[1]Hoja2!D$2:F$191,3,0)</f>
        <v>67219043.136549175</v>
      </c>
      <c r="L125" t="str">
        <f>IFERROR(VLOOKUP(H125,[2]Sheet1!K$2:L$94,2,0),"")</f>
        <v/>
      </c>
      <c r="M125" t="str">
        <f>IFERROR(VLOOKUP(H125,[2]Sheet1!K$372:L$648,2,0),"")</f>
        <v/>
      </c>
      <c r="N125">
        <f t="shared" si="5"/>
        <v>425593181.62548083</v>
      </c>
      <c r="O125">
        <f t="shared" si="6"/>
        <v>21910.686862926319</v>
      </c>
      <c r="P125">
        <f t="shared" si="7"/>
        <v>3460.6179538997721</v>
      </c>
    </row>
    <row r="126" spans="1:16" x14ac:dyDescent="0.25">
      <c r="A126" t="s">
        <v>8</v>
      </c>
      <c r="B126">
        <v>2019</v>
      </c>
      <c r="C126" t="s">
        <v>18</v>
      </c>
      <c r="D126">
        <v>495971078.49159652</v>
      </c>
      <c r="E126">
        <v>183878292.2570855</v>
      </c>
      <c r="F126">
        <v>679849370.7486819</v>
      </c>
      <c r="G126">
        <v>72.953083408080516</v>
      </c>
      <c r="H126" t="str">
        <f t="shared" si="4"/>
        <v>México2019Actividades de servicios de información</v>
      </c>
      <c r="I126" s="6">
        <v>101.454796124099</v>
      </c>
      <c r="J126">
        <f>VLOOKUP(H126,[1]Hoja2!D$2:E$191,2,0)</f>
        <v>33598</v>
      </c>
      <c r="K126">
        <f>VLOOKUP(H126,[1]Hoja2!D$2:F$191,3,0)</f>
        <v>172821447.6673663</v>
      </c>
      <c r="L126" t="str">
        <f>IFERROR(VLOOKUP(H126,[2]Sheet1!K$2:L$94,2,0),"")</f>
        <v/>
      </c>
      <c r="M126" t="str">
        <f>IFERROR(VLOOKUP(H126,[2]Sheet1!K$372:L$648,2,0),"")</f>
        <v/>
      </c>
      <c r="N126">
        <f t="shared" si="5"/>
        <v>488859174.17341918</v>
      </c>
      <c r="O126">
        <f t="shared" si="6"/>
        <v>14550.246269820203</v>
      </c>
      <c r="P126">
        <f t="shared" si="7"/>
        <v>5143.8016449600063</v>
      </c>
    </row>
    <row r="127" spans="1:16" x14ac:dyDescent="0.25">
      <c r="A127" t="s">
        <v>8</v>
      </c>
      <c r="B127">
        <v>2019</v>
      </c>
      <c r="C127" t="s">
        <v>19</v>
      </c>
      <c r="D127">
        <v>2458280542.438343</v>
      </c>
      <c r="E127">
        <v>2238158827.7739229</v>
      </c>
      <c r="F127">
        <v>4696439370.212266</v>
      </c>
      <c r="G127">
        <v>52.343495756174008</v>
      </c>
      <c r="H127" t="str">
        <f t="shared" si="4"/>
        <v>México2019Producción de películas, videos y programas de televisión, grabación de sonido y edición musical</v>
      </c>
      <c r="I127">
        <v>102.3</v>
      </c>
      <c r="J127">
        <f>VLOOKUP(H127,[1]Hoja2!D$2:E$191,2,0)</f>
        <v>105899</v>
      </c>
      <c r="K127">
        <f>VLOOKUP(H127,[1]Hoja2!D$2:F$191,3,0)</f>
        <v>328514610.43174618</v>
      </c>
      <c r="L127" t="str">
        <f>IFERROR(VLOOKUP(H127,[2]Sheet1!K$2:L$94,2,0),"")</f>
        <v/>
      </c>
      <c r="M127" t="str">
        <f>IFERROR(VLOOKUP(H127,[2]Sheet1!K$372:L$648,2,0),"")</f>
        <v/>
      </c>
      <c r="N127">
        <f t="shared" si="5"/>
        <v>2403011282.930932</v>
      </c>
      <c r="O127">
        <f t="shared" si="6"/>
        <v>22691.538946835495</v>
      </c>
      <c r="P127">
        <f t="shared" si="7"/>
        <v>3102.1502604533207</v>
      </c>
    </row>
    <row r="128" spans="1:16" x14ac:dyDescent="0.25">
      <c r="A128" t="s">
        <v>8</v>
      </c>
      <c r="B128">
        <v>2019</v>
      </c>
      <c r="C128" t="s">
        <v>22</v>
      </c>
      <c r="D128">
        <v>17919995933.615849</v>
      </c>
      <c r="E128">
        <v>8796497268.6011124</v>
      </c>
      <c r="F128">
        <v>26716493202.216961</v>
      </c>
      <c r="G128">
        <v>67.074656085959774</v>
      </c>
      <c r="H128" t="str">
        <f t="shared" si="4"/>
        <v>México2019Telecomunicaciones</v>
      </c>
      <c r="I128">
        <v>105.3</v>
      </c>
      <c r="J128">
        <f>VLOOKUP(H128,[1]Hoja2!D$2:E$191,2,0)</f>
        <v>190058</v>
      </c>
      <c r="K128">
        <f>VLOOKUP(H128,[1]Hoja2!D$2:F$191,3,0)</f>
        <v>2528579015.0352402</v>
      </c>
      <c r="L128" t="str">
        <f>IFERROR(VLOOKUP(H128,[2]Sheet1!K$2:L$94,2,0),"")</f>
        <v/>
      </c>
      <c r="M128" t="str">
        <f>IFERROR(VLOOKUP(H128,[2]Sheet1!K$372:L$648,2,0),"")</f>
        <v/>
      </c>
      <c r="N128">
        <f t="shared" si="5"/>
        <v>17018039822.997007</v>
      </c>
      <c r="O128">
        <f t="shared" si="6"/>
        <v>89541.296988272035</v>
      </c>
      <c r="P128">
        <f t="shared" si="7"/>
        <v>13304.249308291364</v>
      </c>
    </row>
    <row r="129" spans="1:16" x14ac:dyDescent="0.25">
      <c r="A129" t="s">
        <v>8</v>
      </c>
      <c r="B129">
        <v>2019</v>
      </c>
      <c r="C129" t="s">
        <v>21</v>
      </c>
      <c r="D129">
        <v>1846869091.8466401</v>
      </c>
      <c r="E129">
        <v>441377742.86263072</v>
      </c>
      <c r="F129">
        <v>2288246834.709271</v>
      </c>
      <c r="G129">
        <v>80.711095666446781</v>
      </c>
      <c r="H129" t="str">
        <f t="shared" si="4"/>
        <v>México2019Actividades inmobiliarias</v>
      </c>
      <c r="I129">
        <v>102.3</v>
      </c>
      <c r="J129">
        <f>VLOOKUP(H129,[1]Hoja2!D$2:E$191,2,0)</f>
        <v>31016</v>
      </c>
      <c r="K129">
        <f>VLOOKUP(H129,[1]Hoja2!D$2:F$191,3,0)</f>
        <v>5616.8012610982014</v>
      </c>
      <c r="L129" t="str">
        <f>IFERROR(VLOOKUP(H129,[2]Sheet1!K$2:L$94,2,0),"")</f>
        <v/>
      </c>
      <c r="M129" t="str">
        <f>IFERROR(VLOOKUP(H129,[2]Sheet1!K$372:L$648,2,0),"")</f>
        <v/>
      </c>
      <c r="N129">
        <f t="shared" si="5"/>
        <v>1805346130.8373804</v>
      </c>
      <c r="O129">
        <f t="shared" si="6"/>
        <v>58206.929676211643</v>
      </c>
      <c r="P129">
        <f t="shared" si="7"/>
        <v>0.18109366975426236</v>
      </c>
    </row>
    <row r="130" spans="1:16" x14ac:dyDescent="0.25">
      <c r="A130" t="s">
        <v>8</v>
      </c>
      <c r="B130">
        <v>2020</v>
      </c>
      <c r="C130" t="s">
        <v>9</v>
      </c>
      <c r="D130">
        <v>21992921153.035389</v>
      </c>
      <c r="E130">
        <v>41837092627.506866</v>
      </c>
      <c r="F130">
        <v>63830013780.542252</v>
      </c>
      <c r="G130">
        <v>34.455454182808957</v>
      </c>
      <c r="H130" t="str">
        <f t="shared" si="4"/>
        <v>México2020Elaboración de productos alimenticios</v>
      </c>
      <c r="I130">
        <v>102.2</v>
      </c>
      <c r="J130">
        <f>VLOOKUP(H130,[1]Hoja2!D$2:E$191,2,0)</f>
        <v>1544683</v>
      </c>
      <c r="K130">
        <f>VLOOKUP(H130,[1]Hoja2!D$2:F$191,3,0)</f>
        <v>3496697502.5530648</v>
      </c>
      <c r="L130" t="str">
        <f>IFERROR(VLOOKUP(H130,[2]Sheet1!K$2:L$94,2,0),"")</f>
        <v/>
      </c>
      <c r="M130" t="str">
        <f>IFERROR(VLOOKUP(H130,[2]Sheet1!K$372:L$648,2,0),"")</f>
        <v/>
      </c>
      <c r="N130">
        <f t="shared" si="5"/>
        <v>21519492321.952435</v>
      </c>
      <c r="O130">
        <f t="shared" si="6"/>
        <v>13931.332397619728</v>
      </c>
      <c r="P130">
        <f t="shared" si="7"/>
        <v>2263.6990907215686</v>
      </c>
    </row>
    <row r="131" spans="1:16" x14ac:dyDescent="0.25">
      <c r="A131" t="s">
        <v>8</v>
      </c>
      <c r="B131">
        <v>2020</v>
      </c>
      <c r="C131" t="s">
        <v>10</v>
      </c>
      <c r="D131">
        <v>1180894885.84025</v>
      </c>
      <c r="E131">
        <v>1553716305.4494231</v>
      </c>
      <c r="F131">
        <v>2734611191.2896729</v>
      </c>
      <c r="G131">
        <v>43.183282859430093</v>
      </c>
      <c r="H131" t="str">
        <f t="shared" ref="H131:H191" si="10">_xlfn.CONCAT(A131,B131,C131)</f>
        <v>México2020Fabricación de prendas de vestir</v>
      </c>
      <c r="I131">
        <v>102.7</v>
      </c>
      <c r="J131">
        <f>VLOOKUP(H131,[1]Hoja2!D$2:E$191,2,0)</f>
        <v>245100</v>
      </c>
      <c r="K131">
        <f>VLOOKUP(H131,[1]Hoja2!D$2:F$191,3,0)</f>
        <v>584450335.55407059</v>
      </c>
      <c r="L131" t="str">
        <f>IFERROR(VLOOKUP(H131,[2]Sheet1!K$2:L$94,2,0),"")</f>
        <v/>
      </c>
      <c r="M131" t="str">
        <f>IFERROR(VLOOKUP(H131,[2]Sheet1!K$372:L$648,2,0),"")</f>
        <v/>
      </c>
      <c r="N131">
        <f t="shared" ref="N131:N191" si="11">D131/I131*100</f>
        <v>1149848963.8171859</v>
      </c>
      <c r="O131">
        <f t="shared" ref="O131:O191" si="12">N131/J131</f>
        <v>4691.3462416041857</v>
      </c>
      <c r="P131">
        <f t="shared" ref="P131:P191" si="13">K131/J131</f>
        <v>2384.538292754266</v>
      </c>
    </row>
    <row r="132" spans="1:16" x14ac:dyDescent="0.25">
      <c r="A132" t="s">
        <v>8</v>
      </c>
      <c r="B132">
        <v>2020</v>
      </c>
      <c r="C132" t="s">
        <v>11</v>
      </c>
      <c r="D132">
        <v>695016113.49922991</v>
      </c>
      <c r="E132">
        <v>1236155922.9763491</v>
      </c>
      <c r="F132">
        <v>1931172036.475579</v>
      </c>
      <c r="G132">
        <v>35.989342242529872</v>
      </c>
      <c r="H132" t="str">
        <f t="shared" si="10"/>
        <v>México2020Fabricación de productos de cuero y productos conexos</v>
      </c>
      <c r="I132">
        <v>102.611904521713</v>
      </c>
      <c r="J132">
        <f>VLOOKUP(H132,[1]Hoja2!D$2:E$191,2,0)</f>
        <v>117713</v>
      </c>
      <c r="K132">
        <f>VLOOKUP(H132,[1]Hoja2!D$2:F$191,3,0)</f>
        <v>325589524.46075344</v>
      </c>
      <c r="L132" t="str">
        <f>IFERROR(VLOOKUP(H132,[2]Sheet1!K$2:L$94,2,0),"")</f>
        <v/>
      </c>
      <c r="M132" t="str">
        <f>IFERROR(VLOOKUP(H132,[2]Sheet1!K$372:L$648,2,0),"")</f>
        <v/>
      </c>
      <c r="N132">
        <f t="shared" si="11"/>
        <v>677325030.40342879</v>
      </c>
      <c r="O132">
        <f t="shared" si="12"/>
        <v>5754.0376203429423</v>
      </c>
      <c r="P132">
        <f t="shared" si="13"/>
        <v>2765.9606369793773</v>
      </c>
    </row>
    <row r="133" spans="1:16" x14ac:dyDescent="0.25">
      <c r="A133" t="s">
        <v>8</v>
      </c>
      <c r="B133">
        <v>2020</v>
      </c>
      <c r="C133" t="s">
        <v>12</v>
      </c>
      <c r="D133">
        <v>16563503647.59667</v>
      </c>
      <c r="E133">
        <v>55400259491.527863</v>
      </c>
      <c r="F133">
        <v>71963763139.124527</v>
      </c>
      <c r="G133">
        <v>23.01645012028504</v>
      </c>
      <c r="H133" t="str">
        <f t="shared" si="10"/>
        <v>México2020Fabricación de vehículos automotores, remolques y semirremolques</v>
      </c>
      <c r="I133">
        <v>102.698172493794</v>
      </c>
      <c r="J133">
        <f>VLOOKUP(H133,[1]Hoja2!D$2:E$191,2,0)</f>
        <v>199331</v>
      </c>
      <c r="K133">
        <f>VLOOKUP(H133,[1]Hoja2!D$2:F$191,3,0)</f>
        <v>1661105491.932003</v>
      </c>
      <c r="L133" t="str">
        <f>IFERROR(VLOOKUP(H133,[2]Sheet1!K$2:L$94,2,0),"")</f>
        <v/>
      </c>
      <c r="M133" t="str">
        <f>IFERROR(VLOOKUP(H133,[2]Sheet1!K$372:L$648,2,0),"")</f>
        <v/>
      </c>
      <c r="N133">
        <f t="shared" si="11"/>
        <v>16128333392.298285</v>
      </c>
      <c r="O133">
        <f t="shared" si="12"/>
        <v>80912.318667433996</v>
      </c>
      <c r="P133">
        <f t="shared" si="13"/>
        <v>8333.4026916636303</v>
      </c>
    </row>
    <row r="134" spans="1:16" x14ac:dyDescent="0.25">
      <c r="A134" t="s">
        <v>8</v>
      </c>
      <c r="B134">
        <v>2020</v>
      </c>
      <c r="C134" t="s">
        <v>13</v>
      </c>
      <c r="D134">
        <v>9268944858.0735302</v>
      </c>
      <c r="E134">
        <v>33317694556.988583</v>
      </c>
      <c r="F134">
        <v>41915973646.110588</v>
      </c>
      <c r="G134">
        <f t="shared" ref="G134:G136" si="14">D134/F134*100</f>
        <v>22.11315651720189</v>
      </c>
      <c r="I134">
        <v>107.8000000000001</v>
      </c>
      <c r="J134">
        <v>420781</v>
      </c>
      <c r="K134">
        <v>1243981020.6412613</v>
      </c>
      <c r="L134" t="str">
        <f>IFERROR(VLOOKUP(H134,[2]Sheet1!K$2:L$94,2,0),"")</f>
        <v/>
      </c>
      <c r="M134" t="str">
        <f>IFERROR(VLOOKUP(H134,[2]Sheet1!K$372:L$648,2,0),"")</f>
        <v/>
      </c>
      <c r="N134">
        <f t="shared" si="11"/>
        <v>8598279089.1220055</v>
      </c>
      <c r="O134">
        <f t="shared" si="12"/>
        <v>20434.095382448366</v>
      </c>
      <c r="P134">
        <f t="shared" si="13"/>
        <v>2956.3621471531778</v>
      </c>
    </row>
    <row r="135" spans="1:16" x14ac:dyDescent="0.25">
      <c r="A135" t="s">
        <v>8</v>
      </c>
      <c r="B135">
        <v>2020</v>
      </c>
      <c r="C135" t="s">
        <v>14</v>
      </c>
      <c r="D135">
        <v>51347070544.438988</v>
      </c>
      <c r="E135">
        <v>183482847654.90451</v>
      </c>
      <c r="F135">
        <v>231114638512.45477</v>
      </c>
      <c r="G135">
        <f t="shared" si="14"/>
        <v>22.21714335142466</v>
      </c>
      <c r="I135">
        <v>107.79999999999959</v>
      </c>
      <c r="J135">
        <v>1570105</v>
      </c>
      <c r="K135">
        <v>8372796036.6430092</v>
      </c>
      <c r="L135" t="str">
        <f>IFERROR(VLOOKUP(H135,[2]Sheet1!K$2:L$94,2,0),"")</f>
        <v/>
      </c>
      <c r="M135" t="str">
        <f>IFERROR(VLOOKUP(H135,[2]Sheet1!K$372:L$648,2,0),"")</f>
        <v/>
      </c>
      <c r="N135">
        <f t="shared" si="11"/>
        <v>47631790857.550262</v>
      </c>
      <c r="O135">
        <f t="shared" si="12"/>
        <v>30336.691404428533</v>
      </c>
      <c r="P135">
        <f t="shared" si="13"/>
        <v>5332.6344649835582</v>
      </c>
    </row>
    <row r="136" spans="1:16" x14ac:dyDescent="0.25">
      <c r="A136" t="s">
        <v>8</v>
      </c>
      <c r="B136">
        <v>2020</v>
      </c>
      <c r="C136" t="s">
        <v>15</v>
      </c>
      <c r="D136">
        <v>45272453373.661896</v>
      </c>
      <c r="E136">
        <v>180130064324.39172</v>
      </c>
      <c r="F136">
        <v>222010224707.05786</v>
      </c>
      <c r="G136">
        <f t="shared" si="14"/>
        <v>20.392057813282623</v>
      </c>
      <c r="I136">
        <v>108.09999999999951</v>
      </c>
      <c r="J136">
        <v>5555183</v>
      </c>
      <c r="K136">
        <v>9081191647.7728405</v>
      </c>
      <c r="L136" t="str">
        <f>IFERROR(VLOOKUP(H136,[2]Sheet1!K$2:L$94,2,0),"")</f>
        <v/>
      </c>
      <c r="M136" t="str">
        <f>IFERROR(VLOOKUP(H136,[2]Sheet1!K$372:L$648,2,0),"")</f>
        <v/>
      </c>
      <c r="N136">
        <f t="shared" si="11"/>
        <v>41880160382.666138</v>
      </c>
      <c r="O136">
        <f t="shared" si="12"/>
        <v>7538.9344298227688</v>
      </c>
      <c r="P136">
        <f t="shared" si="13"/>
        <v>1634.7241211986789</v>
      </c>
    </row>
    <row r="137" spans="1:16" x14ac:dyDescent="0.25">
      <c r="A137" t="s">
        <v>8</v>
      </c>
      <c r="B137">
        <v>2020</v>
      </c>
      <c r="C137" t="s">
        <v>16</v>
      </c>
      <c r="D137">
        <v>572766421.55427301</v>
      </c>
      <c r="E137">
        <v>360195852.02963382</v>
      </c>
      <c r="F137">
        <v>932962273.58390677</v>
      </c>
      <c r="G137">
        <v>61.392238225671491</v>
      </c>
      <c r="H137" t="str">
        <f t="shared" si="10"/>
        <v>México2020Actividades de edición</v>
      </c>
      <c r="I137">
        <v>105.28910709066101</v>
      </c>
      <c r="J137">
        <f>VLOOKUP(H137,[1]Hoja2!D$2:E$191,2,0)</f>
        <v>52341</v>
      </c>
      <c r="K137">
        <f>VLOOKUP(H137,[1]Hoja2!D$2:F$191,3,0)</f>
        <v>267417236.2662915</v>
      </c>
      <c r="L137" t="str">
        <f>IFERROR(VLOOKUP(H137,[2]Sheet1!K$2:L$94,2,0),"")</f>
        <v/>
      </c>
      <c r="M137" t="str">
        <f>IFERROR(VLOOKUP(H137,[2]Sheet1!K$372:L$648,2,0),"")</f>
        <v/>
      </c>
      <c r="N137">
        <f t="shared" si="11"/>
        <v>543993996.51198733</v>
      </c>
      <c r="O137">
        <f t="shared" si="12"/>
        <v>10393.267161727657</v>
      </c>
      <c r="P137">
        <f t="shared" si="13"/>
        <v>5109.1350235244172</v>
      </c>
    </row>
    <row r="138" spans="1:16" x14ac:dyDescent="0.25">
      <c r="A138" t="s">
        <v>8</v>
      </c>
      <c r="B138">
        <v>2020</v>
      </c>
      <c r="C138" t="s">
        <v>17</v>
      </c>
      <c r="D138">
        <v>439759296.24209702</v>
      </c>
      <c r="E138">
        <v>946346767.77827644</v>
      </c>
      <c r="F138">
        <v>1386106064.0203731</v>
      </c>
      <c r="G138">
        <v>31.72623709376062</v>
      </c>
      <c r="H138" t="str">
        <f t="shared" si="10"/>
        <v>México2020Actividades de programación y radiodifusión</v>
      </c>
      <c r="I138">
        <v>98.138543861749895</v>
      </c>
      <c r="J138">
        <f>VLOOKUP(H138,[1]Hoja2!D$2:E$191,2,0)</f>
        <v>17655</v>
      </c>
      <c r="K138">
        <f>VLOOKUP(H138,[1]Hoja2!D$2:F$191,3,0)</f>
        <v>47328099.080275834</v>
      </c>
      <c r="L138" t="str">
        <f>IFERROR(VLOOKUP(H138,[2]Sheet1!K$2:L$94,2,0),"")</f>
        <v/>
      </c>
      <c r="M138" t="str">
        <f>IFERROR(VLOOKUP(H138,[2]Sheet1!K$372:L$648,2,0),"")</f>
        <v/>
      </c>
      <c r="N138">
        <f t="shared" si="11"/>
        <v>448100490.32477641</v>
      </c>
      <c r="O138">
        <f t="shared" si="12"/>
        <v>25380.939695541005</v>
      </c>
      <c r="P138">
        <f t="shared" si="13"/>
        <v>2680.7192908680731</v>
      </c>
    </row>
    <row r="139" spans="1:16" x14ac:dyDescent="0.25">
      <c r="A139" t="s">
        <v>8</v>
      </c>
      <c r="B139">
        <v>2020</v>
      </c>
      <c r="C139" t="s">
        <v>18</v>
      </c>
      <c r="D139">
        <v>436137336.89178759</v>
      </c>
      <c r="E139">
        <v>153349625.89299119</v>
      </c>
      <c r="F139">
        <v>589486962.78477883</v>
      </c>
      <c r="G139">
        <v>73.985917318924834</v>
      </c>
      <c r="H139" t="str">
        <f t="shared" si="10"/>
        <v>México2020Actividades de servicios de información</v>
      </c>
      <c r="I139" s="6">
        <v>101.069600106377</v>
      </c>
      <c r="J139">
        <f>VLOOKUP(H139,[1]Hoja2!D$2:E$191,2,0)</f>
        <v>32338</v>
      </c>
      <c r="K139">
        <f>VLOOKUP(H139,[1]Hoja2!D$2:F$191,3,0)</f>
        <v>177889633.87507841</v>
      </c>
      <c r="L139" t="str">
        <f>IFERROR(VLOOKUP(H139,[2]Sheet1!K$2:L$94,2,0),"")</f>
        <v/>
      </c>
      <c r="M139" t="str">
        <f>IFERROR(VLOOKUP(H139,[2]Sheet1!K$372:L$648,2,0),"")</f>
        <v/>
      </c>
      <c r="N139">
        <f t="shared" si="11"/>
        <v>431521779.47943562</v>
      </c>
      <c r="O139">
        <f t="shared" si="12"/>
        <v>13344.108463090965</v>
      </c>
      <c r="P139">
        <f t="shared" si="13"/>
        <v>5500.9473027113117</v>
      </c>
    </row>
    <row r="140" spans="1:16" x14ac:dyDescent="0.25">
      <c r="A140" t="s">
        <v>8</v>
      </c>
      <c r="B140">
        <v>2020</v>
      </c>
      <c r="C140" t="s">
        <v>19</v>
      </c>
      <c r="D140">
        <v>1866582429.401386</v>
      </c>
      <c r="E140">
        <v>1276106804.8263321</v>
      </c>
      <c r="F140">
        <v>3142689234.2277179</v>
      </c>
      <c r="G140">
        <v>59.394432292955592</v>
      </c>
      <c r="H140" t="str">
        <f t="shared" si="10"/>
        <v>México2020Producción de películas, videos y programas de televisión, grabación de sonido y edición musical</v>
      </c>
      <c r="I140">
        <v>107.1</v>
      </c>
      <c r="J140">
        <f>VLOOKUP(H140,[1]Hoja2!D$2:E$191,2,0)</f>
        <v>79920</v>
      </c>
      <c r="K140">
        <f>VLOOKUP(H140,[1]Hoja2!D$2:F$191,3,0)</f>
        <v>255930710.20795709</v>
      </c>
      <c r="L140" t="str">
        <f>IFERROR(VLOOKUP(H140,[2]Sheet1!K$2:L$94,2,0),"")</f>
        <v/>
      </c>
      <c r="M140" t="str">
        <f>IFERROR(VLOOKUP(H140,[2]Sheet1!K$372:L$648,2,0),"")</f>
        <v/>
      </c>
      <c r="N140">
        <f t="shared" si="11"/>
        <v>1742840737.0694547</v>
      </c>
      <c r="O140">
        <f t="shared" si="12"/>
        <v>21807.316529898082</v>
      </c>
      <c r="P140">
        <f t="shared" si="13"/>
        <v>3202.336213813277</v>
      </c>
    </row>
    <row r="141" spans="1:16" x14ac:dyDescent="0.25">
      <c r="A141" t="s">
        <v>8</v>
      </c>
      <c r="B141">
        <v>2020</v>
      </c>
      <c r="C141" t="s">
        <v>22</v>
      </c>
      <c r="D141">
        <v>15202680042.028139</v>
      </c>
      <c r="E141">
        <v>8534167669.5989914</v>
      </c>
      <c r="F141">
        <v>23736847711.627121</v>
      </c>
      <c r="G141">
        <v>64.04675223400173</v>
      </c>
      <c r="H141" t="str">
        <f t="shared" si="10"/>
        <v>México2020Telecomunicaciones</v>
      </c>
      <c r="I141">
        <v>110.2</v>
      </c>
      <c r="J141">
        <f>VLOOKUP(H141,[1]Hoja2!D$2:E$191,2,0)</f>
        <v>185533</v>
      </c>
      <c r="K141">
        <f>VLOOKUP(H141,[1]Hoja2!D$2:F$191,3,0)</f>
        <v>2147080514.747663</v>
      </c>
      <c r="L141" t="str">
        <f>IFERROR(VLOOKUP(H141,[2]Sheet1!K$2:L$94,2,0),"")</f>
        <v/>
      </c>
      <c r="M141" t="str">
        <f>IFERROR(VLOOKUP(H141,[2]Sheet1!K$372:L$648,2,0),"")</f>
        <v/>
      </c>
      <c r="N141">
        <f t="shared" si="11"/>
        <v>13795535428.337692</v>
      </c>
      <c r="O141">
        <f t="shared" si="12"/>
        <v>74356.23543163584</v>
      </c>
      <c r="P141">
        <f t="shared" si="13"/>
        <v>11572.499311430651</v>
      </c>
    </row>
    <row r="142" spans="1:16" x14ac:dyDescent="0.25">
      <c r="A142" t="s">
        <v>8</v>
      </c>
      <c r="B142">
        <v>2020</v>
      </c>
      <c r="C142" t="s">
        <v>21</v>
      </c>
      <c r="D142">
        <v>1598508241.7571759</v>
      </c>
      <c r="E142">
        <v>350966371.67592418</v>
      </c>
      <c r="F142">
        <v>1949474613.4331</v>
      </c>
      <c r="G142">
        <v>81.996873965039299</v>
      </c>
      <c r="H142" t="str">
        <f t="shared" si="10"/>
        <v>México2020Actividades inmobiliarias</v>
      </c>
      <c r="I142">
        <v>105.1</v>
      </c>
      <c r="J142">
        <f>VLOOKUP(H142,[1]Hoja2!D$2:E$191,2,0)</f>
        <v>30241</v>
      </c>
      <c r="K142">
        <f>VLOOKUP(H142,[1]Hoja2!D$2:F$191,3,0)</f>
        <v>5259.3344459644113</v>
      </c>
      <c r="L142" t="str">
        <f>IFERROR(VLOOKUP(H142,[2]Sheet1!K$2:L$94,2,0),"")</f>
        <v/>
      </c>
      <c r="M142" t="str">
        <f>IFERROR(VLOOKUP(H142,[2]Sheet1!K$372:L$648,2,0),"")</f>
        <v/>
      </c>
      <c r="N142">
        <f t="shared" si="11"/>
        <v>1520940287.1143444</v>
      </c>
      <c r="O142">
        <f t="shared" si="12"/>
        <v>50293.981254401122</v>
      </c>
      <c r="P142">
        <f t="shared" si="13"/>
        <v>0.17391403875415534</v>
      </c>
    </row>
    <row r="143" spans="1:16" x14ac:dyDescent="0.25">
      <c r="A143" t="s">
        <v>8</v>
      </c>
      <c r="B143">
        <v>2021</v>
      </c>
      <c r="C143" t="s">
        <v>9</v>
      </c>
      <c r="D143">
        <v>25823609359.605911</v>
      </c>
      <c r="E143">
        <v>47261721428.571426</v>
      </c>
      <c r="F143">
        <v>73085330788.177338</v>
      </c>
      <c r="G143">
        <v>35.333505480669281</v>
      </c>
      <c r="H143" t="str">
        <f t="shared" si="10"/>
        <v>México2021Elaboración de productos alimenticios</v>
      </c>
      <c r="I143">
        <v>111.5</v>
      </c>
      <c r="J143">
        <f>VLOOKUP(H143,[1]Hoja2!D$2:E$191,2,0)</f>
        <v>1629483</v>
      </c>
      <c r="K143">
        <f>VLOOKUP(H143,[1]Hoja2!D$2:F$191,3,0)</f>
        <v>4554496403.9408865</v>
      </c>
      <c r="L143" t="str">
        <f>IFERROR(VLOOKUP(H143,[2]Sheet1!K$2:L$94,2,0),"")</f>
        <v/>
      </c>
      <c r="M143" t="str">
        <f>IFERROR(VLOOKUP(H143,[2]Sheet1!K$372:L$648,2,0),"")</f>
        <v/>
      </c>
      <c r="N143">
        <f t="shared" si="11"/>
        <v>23160187766.4627</v>
      </c>
      <c r="O143">
        <f t="shared" si="12"/>
        <v>14213.212268224155</v>
      </c>
      <c r="P143">
        <f t="shared" si="13"/>
        <v>2795.0561030344511</v>
      </c>
    </row>
    <row r="144" spans="1:16" x14ac:dyDescent="0.25">
      <c r="A144" t="s">
        <v>8</v>
      </c>
      <c r="B144">
        <v>2021</v>
      </c>
      <c r="C144" t="s">
        <v>10</v>
      </c>
      <c r="D144">
        <v>1564381527.093596</v>
      </c>
      <c r="E144">
        <v>1981395566.5024631</v>
      </c>
      <c r="F144">
        <v>3545777093.5960588</v>
      </c>
      <c r="G144">
        <v>44.119567750578199</v>
      </c>
      <c r="H144" t="str">
        <f t="shared" si="10"/>
        <v>México2021Fabricación de prendas de vestir</v>
      </c>
      <c r="I144">
        <v>107.9</v>
      </c>
      <c r="J144">
        <f>VLOOKUP(H144,[1]Hoja2!D$2:E$191,2,0)</f>
        <v>238755</v>
      </c>
      <c r="K144">
        <f>VLOOKUP(H144,[1]Hoja2!D$2:F$191,3,0)</f>
        <v>687144285.71428573</v>
      </c>
      <c r="L144" t="str">
        <f>IFERROR(VLOOKUP(H144,[2]Sheet1!K$2:L$94,2,0),"")</f>
        <v/>
      </c>
      <c r="M144" t="str">
        <f>IFERROR(VLOOKUP(H144,[2]Sheet1!K$372:L$648,2,0),"")</f>
        <v/>
      </c>
      <c r="N144">
        <f t="shared" si="11"/>
        <v>1449843861.9959183</v>
      </c>
      <c r="O144">
        <f t="shared" si="12"/>
        <v>6072.5172750137936</v>
      </c>
      <c r="P144">
        <f t="shared" si="13"/>
        <v>2878.0309761650469</v>
      </c>
    </row>
    <row r="145" spans="1:16" x14ac:dyDescent="0.25">
      <c r="A145" t="s">
        <v>8</v>
      </c>
      <c r="B145">
        <v>2021</v>
      </c>
      <c r="C145" t="s">
        <v>11</v>
      </c>
      <c r="D145">
        <v>882235960.591133</v>
      </c>
      <c r="E145">
        <v>1435189014.7783251</v>
      </c>
      <c r="F145">
        <v>2317424975.3694582</v>
      </c>
      <c r="G145">
        <v>38.069666546615238</v>
      </c>
      <c r="H145" t="str">
        <f t="shared" si="10"/>
        <v>México2021Fabricación de productos de cuero y productos conexos</v>
      </c>
      <c r="I145">
        <v>107.751504208182</v>
      </c>
      <c r="J145">
        <f>VLOOKUP(H145,[1]Hoja2!D$2:E$191,2,0)</f>
        <v>117383</v>
      </c>
      <c r="K145">
        <f>VLOOKUP(H145,[1]Hoja2!D$2:F$191,3,0)</f>
        <v>398176206.89655173</v>
      </c>
      <c r="L145" t="str">
        <f>IFERROR(VLOOKUP(H145,[2]Sheet1!K$2:L$94,2,0),"")</f>
        <v/>
      </c>
      <c r="M145" t="str">
        <f>IFERROR(VLOOKUP(H145,[2]Sheet1!K$372:L$648,2,0),"")</f>
        <v/>
      </c>
      <c r="N145">
        <f t="shared" si="11"/>
        <v>818769043.71246946</v>
      </c>
      <c r="O145">
        <f t="shared" si="12"/>
        <v>6975.192691552179</v>
      </c>
      <c r="P145">
        <f t="shared" si="13"/>
        <v>3392.1113525514916</v>
      </c>
    </row>
    <row r="146" spans="1:16" x14ac:dyDescent="0.25">
      <c r="A146" t="s">
        <v>8</v>
      </c>
      <c r="B146">
        <v>2021</v>
      </c>
      <c r="C146" t="s">
        <v>12</v>
      </c>
      <c r="D146">
        <v>18311106305.41872</v>
      </c>
      <c r="E146">
        <v>59943167044.334976</v>
      </c>
      <c r="F146">
        <v>78254273349.753693</v>
      </c>
      <c r="G146">
        <v>23.39949694961464</v>
      </c>
      <c r="H146" t="str">
        <f t="shared" si="10"/>
        <v>México2021Fabricación de vehículos automotores, remolques y semirremolques</v>
      </c>
      <c r="I146">
        <v>108.066711163676</v>
      </c>
      <c r="J146">
        <f>VLOOKUP(H146,[1]Hoja2!D$2:E$191,2,0)</f>
        <v>213522</v>
      </c>
      <c r="K146">
        <f>VLOOKUP(H146,[1]Hoja2!D$2:F$191,3,0)</f>
        <v>1936239507.3891625</v>
      </c>
      <c r="L146" t="str">
        <f>IFERROR(VLOOKUP(H146,[2]Sheet1!K$2:L$94,2,0),"")</f>
        <v/>
      </c>
      <c r="M146" t="str">
        <f>IFERROR(VLOOKUP(H146,[2]Sheet1!K$372:L$648,2,0),"")</f>
        <v/>
      </c>
      <c r="N146">
        <f t="shared" si="11"/>
        <v>16944261658.601814</v>
      </c>
      <c r="O146">
        <f t="shared" si="12"/>
        <v>79356.046021495742</v>
      </c>
      <c r="P146">
        <f t="shared" si="13"/>
        <v>9068.1030872189403</v>
      </c>
    </row>
    <row r="147" spans="1:16" x14ac:dyDescent="0.25">
      <c r="A147" t="s">
        <v>8</v>
      </c>
      <c r="B147">
        <v>2021</v>
      </c>
      <c r="C147" t="s">
        <v>13</v>
      </c>
      <c r="D147">
        <v>16762935665.024633</v>
      </c>
      <c r="E147">
        <v>45695511951.016449</v>
      </c>
      <c r="F147">
        <v>60451617289.946571</v>
      </c>
      <c r="G147">
        <f t="shared" ref="G147:G149" si="15">D147/F147*100</f>
        <v>27.729507358957623</v>
      </c>
      <c r="I147">
        <v>113.60000000000009</v>
      </c>
      <c r="J147">
        <v>414144</v>
      </c>
      <c r="K147">
        <v>1869304057.101228</v>
      </c>
      <c r="L147" t="str">
        <f>IFERROR(VLOOKUP(H147,[2]Sheet1!K$2:L$94,2,0),"")</f>
        <v/>
      </c>
      <c r="M147" t="str">
        <f>IFERROR(VLOOKUP(H147,[2]Sheet1!K$372:L$648,2,0),"")</f>
        <v/>
      </c>
      <c r="N147">
        <f t="shared" si="11"/>
        <v>14756105338.930124</v>
      </c>
      <c r="O147">
        <f t="shared" si="12"/>
        <v>35630.373345817214</v>
      </c>
      <c r="P147">
        <f t="shared" si="13"/>
        <v>4513.657223335912</v>
      </c>
    </row>
    <row r="148" spans="1:16" x14ac:dyDescent="0.25">
      <c r="A148" t="s">
        <v>8</v>
      </c>
      <c r="B148">
        <v>2021</v>
      </c>
      <c r="C148" t="s">
        <v>14</v>
      </c>
      <c r="D148">
        <v>70756663201.970154</v>
      </c>
      <c r="E148">
        <v>281290457312.84265</v>
      </c>
      <c r="F148">
        <v>343576252384.99963</v>
      </c>
      <c r="G148">
        <f t="shared" si="15"/>
        <v>20.594165839693336</v>
      </c>
      <c r="I148">
        <v>113.59999999999972</v>
      </c>
      <c r="J148">
        <v>1626213</v>
      </c>
      <c r="K148">
        <v>10522987016.929163</v>
      </c>
      <c r="L148" s="18" t="str">
        <f>IFERROR(VLOOKUP(H148,[2]Sheet1!K$2:L$94,2,0),"")</f>
        <v/>
      </c>
      <c r="M148" s="18" t="str">
        <f>IFERROR(VLOOKUP(H148,[2]Sheet1!K$372:L$648,2,0),"")</f>
        <v/>
      </c>
      <c r="N148" s="18">
        <f t="shared" si="11"/>
        <v>62285795072.156975</v>
      </c>
      <c r="O148" s="18">
        <f t="shared" si="12"/>
        <v>38301.129724185565</v>
      </c>
      <c r="P148" s="18">
        <f t="shared" si="13"/>
        <v>6470.8540744227003</v>
      </c>
    </row>
    <row r="149" spans="1:16" x14ac:dyDescent="0.25">
      <c r="A149" t="s">
        <v>8</v>
      </c>
      <c r="B149">
        <v>2021</v>
      </c>
      <c r="C149" t="s">
        <v>15</v>
      </c>
      <c r="D149">
        <v>58976723251.231956</v>
      </c>
      <c r="E149">
        <v>230108210683.87482</v>
      </c>
      <c r="F149">
        <v>281751576052.72919</v>
      </c>
      <c r="G149">
        <f t="shared" si="15"/>
        <v>20.932171552500773</v>
      </c>
      <c r="I149">
        <v>114.2000000000005</v>
      </c>
      <c r="J149">
        <v>5799569</v>
      </c>
      <c r="K149">
        <v>13342813316.884214</v>
      </c>
      <c r="L149" t="str">
        <f>IFERROR(VLOOKUP(H149,[2]Sheet1!K$2:L$94,2,0),"")</f>
        <v/>
      </c>
      <c r="M149" t="str">
        <f>IFERROR(VLOOKUP(H149,[2]Sheet1!K$372:L$648,2,0),"")</f>
        <v/>
      </c>
      <c r="N149">
        <f t="shared" si="11"/>
        <v>51643365368.85437</v>
      </c>
      <c r="O149">
        <f t="shared" si="12"/>
        <v>8904.6902224724581</v>
      </c>
      <c r="P149">
        <f t="shared" si="13"/>
        <v>2300.6560171771753</v>
      </c>
    </row>
    <row r="150" spans="1:16" x14ac:dyDescent="0.25">
      <c r="A150" t="s">
        <v>8</v>
      </c>
      <c r="B150">
        <v>2021</v>
      </c>
      <c r="C150" t="s">
        <v>16</v>
      </c>
      <c r="D150">
        <v>692382610.83743834</v>
      </c>
      <c r="E150">
        <v>472748669.95073891</v>
      </c>
      <c r="F150">
        <v>1165131280.788177</v>
      </c>
      <c r="G150">
        <v>59.425287283426258</v>
      </c>
      <c r="H150" t="str">
        <f t="shared" si="10"/>
        <v>México2021Actividades de edición</v>
      </c>
      <c r="I150">
        <v>109.8428953814</v>
      </c>
      <c r="J150">
        <f>VLOOKUP(H150,[1]Hoja2!D$2:E$191,2,0)</f>
        <v>61542</v>
      </c>
      <c r="K150">
        <f>VLOOKUP(H150,[1]Hoja2!D$2:F$191,3,0)</f>
        <v>341982413.7931034</v>
      </c>
      <c r="L150" t="str">
        <f>IFERROR(VLOOKUP(H150,[2]Sheet1!K$2:L$94,2,0),"")</f>
        <v/>
      </c>
      <c r="M150" t="str">
        <f>IFERROR(VLOOKUP(H150,[2]Sheet1!K$372:L$648,2,0),"")</f>
        <v/>
      </c>
      <c r="N150">
        <f t="shared" si="11"/>
        <v>630339002.29352605</v>
      </c>
      <c r="O150">
        <f t="shared" si="12"/>
        <v>10242.419848128531</v>
      </c>
      <c r="P150">
        <f t="shared" si="13"/>
        <v>5556.8947026925252</v>
      </c>
    </row>
    <row r="151" spans="1:16" x14ac:dyDescent="0.25">
      <c r="A151" t="s">
        <v>8</v>
      </c>
      <c r="B151">
        <v>2021</v>
      </c>
      <c r="C151" t="s">
        <v>17</v>
      </c>
      <c r="D151">
        <v>502249802.95566499</v>
      </c>
      <c r="E151">
        <v>1062089753.694581</v>
      </c>
      <c r="F151">
        <v>1564339556.6502459</v>
      </c>
      <c r="G151">
        <v>32.106188251810437</v>
      </c>
      <c r="H151" t="str">
        <f t="shared" si="10"/>
        <v>México2021Actividades de programación y radiodifusión</v>
      </c>
      <c r="I151">
        <v>96.916728589906498</v>
      </c>
      <c r="J151">
        <f>VLOOKUP(H151,[1]Hoja2!D$2:E$191,2,0)</f>
        <v>18258</v>
      </c>
      <c r="K151">
        <f>VLOOKUP(H151,[1]Hoja2!D$2:F$191,3,0)</f>
        <v>78615221.674876839</v>
      </c>
      <c r="L151" t="str">
        <f>IFERROR(VLOOKUP(H151,[2]Sheet1!K$2:L$94,2,0),"")</f>
        <v/>
      </c>
      <c r="M151" t="str">
        <f>IFERROR(VLOOKUP(H151,[2]Sheet1!K$372:L$648,2,0),"")</f>
        <v/>
      </c>
      <c r="N151">
        <f t="shared" si="11"/>
        <v>518228184.40445417</v>
      </c>
      <c r="O151">
        <f t="shared" si="12"/>
        <v>28383.622762868559</v>
      </c>
      <c r="P151">
        <f t="shared" si="13"/>
        <v>4305.7959072667782</v>
      </c>
    </row>
    <row r="152" spans="1:16" x14ac:dyDescent="0.25">
      <c r="A152" t="s">
        <v>8</v>
      </c>
      <c r="B152">
        <v>2021</v>
      </c>
      <c r="C152" t="s">
        <v>18</v>
      </c>
      <c r="D152">
        <v>425842413.7931034</v>
      </c>
      <c r="E152">
        <v>149469458.12807879</v>
      </c>
      <c r="F152">
        <v>575311871.92118227</v>
      </c>
      <c r="G152">
        <v>74.019403140605405</v>
      </c>
      <c r="H152" t="str">
        <f t="shared" si="10"/>
        <v>México2021Actividades de servicios de información</v>
      </c>
      <c r="I152" s="6">
        <v>102.484999601607</v>
      </c>
      <c r="J152">
        <f>VLOOKUP(H152,[1]Hoja2!D$2:E$191,2,0)</f>
        <v>27347</v>
      </c>
      <c r="K152">
        <f>VLOOKUP(H152,[1]Hoja2!D$2:F$191,3,0)</f>
        <v>190569113.30049261</v>
      </c>
      <c r="L152" t="str">
        <f>IFERROR(VLOOKUP(H152,[2]Sheet1!K$2:L$94,2,0),"")</f>
        <v/>
      </c>
      <c r="M152" t="str">
        <f>IFERROR(VLOOKUP(H152,[2]Sheet1!K$372:L$648,2,0),"")</f>
        <v/>
      </c>
      <c r="N152">
        <f t="shared" si="11"/>
        <v>415516822.4115659</v>
      </c>
      <c r="O152">
        <f t="shared" si="12"/>
        <v>15194.237847353124</v>
      </c>
      <c r="P152">
        <f t="shared" si="13"/>
        <v>6968.5564522796876</v>
      </c>
    </row>
    <row r="153" spans="1:16" x14ac:dyDescent="0.25">
      <c r="A153" t="s">
        <v>8</v>
      </c>
      <c r="B153">
        <v>2021</v>
      </c>
      <c r="C153" t="s">
        <v>19</v>
      </c>
      <c r="D153">
        <v>690564778.32512307</v>
      </c>
      <c r="E153">
        <v>861825024.6305418</v>
      </c>
      <c r="F153">
        <v>1552389802.9556651</v>
      </c>
      <c r="G153">
        <v>44.483980570493678</v>
      </c>
      <c r="H153" t="str">
        <f t="shared" si="10"/>
        <v>México2021Producción de películas, videos y programas de televisión, grabación de sonido y edición musical</v>
      </c>
      <c r="I153">
        <v>116.18765921948599</v>
      </c>
      <c r="J153">
        <f>VLOOKUP(H153,[1]Hoja2!D$2:E$191,2,0)</f>
        <v>67492</v>
      </c>
      <c r="K153">
        <f>VLOOKUP(H153,[1]Hoja2!D$2:F$191,3,0)</f>
        <v>195304384.23645321</v>
      </c>
      <c r="L153" t="str">
        <f>IFERROR(VLOOKUP(H153,[2]Sheet1!K$2:L$94,2,0),"")</f>
        <v/>
      </c>
      <c r="M153" t="str">
        <f>IFERROR(VLOOKUP(H153,[2]Sheet1!K$372:L$648,2,0),"")</f>
        <v/>
      </c>
      <c r="N153">
        <f t="shared" si="11"/>
        <v>594352948.4664129</v>
      </c>
      <c r="O153">
        <f t="shared" si="12"/>
        <v>8806.2725725480486</v>
      </c>
      <c r="P153">
        <f t="shared" si="13"/>
        <v>2893.7412469100518</v>
      </c>
    </row>
    <row r="154" spans="1:16" x14ac:dyDescent="0.25">
      <c r="A154" t="s">
        <v>8</v>
      </c>
      <c r="B154">
        <v>2021</v>
      </c>
      <c r="C154" t="s">
        <v>22</v>
      </c>
      <c r="D154">
        <v>16958590837.438419</v>
      </c>
      <c r="E154">
        <v>8717380000</v>
      </c>
      <c r="F154">
        <v>25675970837.438419</v>
      </c>
      <c r="G154">
        <v>66.048489246260203</v>
      </c>
      <c r="H154" t="str">
        <f t="shared" si="10"/>
        <v>México2021Telecomunicaciones</v>
      </c>
      <c r="I154">
        <v>118.49318137442501</v>
      </c>
      <c r="J154">
        <f>VLOOKUP(H154,[1]Hoja2!D$2:E$191,2,0)</f>
        <v>183929</v>
      </c>
      <c r="K154">
        <f>VLOOKUP(H154,[1]Hoja2!D$2:F$191,3,0)</f>
        <v>2161597339.9014769</v>
      </c>
      <c r="L154" t="str">
        <f>IFERROR(VLOOKUP(H154,[2]Sheet1!K$2:L$94,2,0),"")</f>
        <v/>
      </c>
      <c r="M154" t="str">
        <f>IFERROR(VLOOKUP(H154,[2]Sheet1!K$372:L$648,2,0),"")</f>
        <v/>
      </c>
      <c r="N154">
        <f t="shared" si="11"/>
        <v>14311870641.612022</v>
      </c>
      <c r="O154">
        <f t="shared" si="12"/>
        <v>77811.930916886529</v>
      </c>
      <c r="P154">
        <f t="shared" si="13"/>
        <v>11752.346502734625</v>
      </c>
    </row>
    <row r="155" spans="1:16" x14ac:dyDescent="0.25">
      <c r="A155" t="s">
        <v>8</v>
      </c>
      <c r="B155">
        <v>2021</v>
      </c>
      <c r="C155" t="s">
        <v>21</v>
      </c>
      <c r="D155">
        <v>1729609211.82266</v>
      </c>
      <c r="E155">
        <v>387001970.44334972</v>
      </c>
      <c r="F155">
        <v>2116611182.26601</v>
      </c>
      <c r="G155">
        <v>81.715963059921464</v>
      </c>
      <c r="H155" t="str">
        <f t="shared" si="10"/>
        <v>México2021Actividades inmobiliarias</v>
      </c>
      <c r="I155">
        <v>109.76324105062101</v>
      </c>
      <c r="J155">
        <f>VLOOKUP(H155,[1]Hoja2!D$2:E$191,2,0)</f>
        <v>32762</v>
      </c>
      <c r="K155">
        <f>VLOOKUP(H155,[1]Hoja2!D$2:F$191,3,0)</f>
        <v>5773.3990147783252</v>
      </c>
      <c r="L155" t="str">
        <f>IFERROR(VLOOKUP(H155,[2]Sheet1!K$2:L$94,2,0),"")</f>
        <v/>
      </c>
      <c r="M155" t="str">
        <f>IFERROR(VLOOKUP(H155,[2]Sheet1!K$372:L$648,2,0),"")</f>
        <v/>
      </c>
      <c r="N155">
        <f t="shared" si="11"/>
        <v>1575763611.9955611</v>
      </c>
      <c r="O155">
        <f t="shared" si="12"/>
        <v>48097.296013538893</v>
      </c>
      <c r="P155">
        <f t="shared" si="13"/>
        <v>0.17622242276962105</v>
      </c>
    </row>
    <row r="156" spans="1:16" x14ac:dyDescent="0.25">
      <c r="A156" t="s">
        <v>8</v>
      </c>
      <c r="B156">
        <v>2022</v>
      </c>
      <c r="C156" t="s">
        <v>9</v>
      </c>
      <c r="D156">
        <v>32771114029.850739</v>
      </c>
      <c r="E156">
        <v>56143503482.587059</v>
      </c>
      <c r="F156">
        <v>88914617512.437805</v>
      </c>
      <c r="G156">
        <v>36.85683518265887</v>
      </c>
      <c r="H156" t="str">
        <f t="shared" si="10"/>
        <v>México2022Elaboración de productos alimenticios</v>
      </c>
      <c r="I156">
        <v>112.92894634856199</v>
      </c>
      <c r="J156">
        <f>VLOOKUP(H156,[1]Hoja2!D$2:E$191,2,0)</f>
        <v>1752058</v>
      </c>
      <c r="K156">
        <f>VLOOKUP(H156,[1]Hoja2!D$2:F$191,3,0)</f>
        <v>6101304776.1194019</v>
      </c>
      <c r="L156" t="str">
        <f>IFERROR(VLOOKUP(H156,[2]Sheet1!K$2:L$94,2,0),"")</f>
        <v/>
      </c>
      <c r="M156" t="str">
        <f>IFERROR(VLOOKUP(H156,[2]Sheet1!K$372:L$648,2,0),"")</f>
        <v/>
      </c>
      <c r="N156">
        <f t="shared" si="11"/>
        <v>29019232968.578953</v>
      </c>
      <c r="O156">
        <f t="shared" si="12"/>
        <v>16562.940820782733</v>
      </c>
      <c r="P156">
        <f t="shared" si="13"/>
        <v>3482.364611285358</v>
      </c>
    </row>
    <row r="157" spans="1:16" x14ac:dyDescent="0.25">
      <c r="A157" t="s">
        <v>8</v>
      </c>
      <c r="B157">
        <v>2022</v>
      </c>
      <c r="C157" t="s">
        <v>10</v>
      </c>
      <c r="D157">
        <v>2642478756.218905</v>
      </c>
      <c r="E157">
        <v>2954734626.8656712</v>
      </c>
      <c r="F157">
        <v>5597213383.0845766</v>
      </c>
      <c r="G157">
        <v>47.210613127682073</v>
      </c>
      <c r="H157" t="str">
        <f t="shared" si="10"/>
        <v>México2022Fabricación de prendas de vestir</v>
      </c>
      <c r="I157">
        <v>113.88</v>
      </c>
      <c r="J157">
        <f>VLOOKUP(H157,[1]Hoja2!D$2:E$191,2,0)</f>
        <v>501642</v>
      </c>
      <c r="K157">
        <f>VLOOKUP(H157,[1]Hoja2!D$2:F$191,3,0)</f>
        <v>1222573432.8358212</v>
      </c>
      <c r="L157" t="str">
        <f>IFERROR(VLOOKUP(H157,[2]Sheet1!K$2:L$94,2,0),"")</f>
        <v/>
      </c>
      <c r="M157" t="str">
        <f>IFERROR(VLOOKUP(H157,[2]Sheet1!K$372:L$648,2,0),"")</f>
        <v/>
      </c>
      <c r="N157">
        <f t="shared" si="11"/>
        <v>2320406354.2491264</v>
      </c>
      <c r="O157">
        <f t="shared" si="12"/>
        <v>4625.6221653073835</v>
      </c>
      <c r="P157">
        <f t="shared" si="13"/>
        <v>2437.1432871167508</v>
      </c>
    </row>
    <row r="158" spans="1:16" x14ac:dyDescent="0.25">
      <c r="A158" t="s">
        <v>8</v>
      </c>
      <c r="B158">
        <v>2022</v>
      </c>
      <c r="C158" t="s">
        <v>11</v>
      </c>
      <c r="D158">
        <v>1561767064.6766169</v>
      </c>
      <c r="E158">
        <v>2327141741.2935319</v>
      </c>
      <c r="F158">
        <v>3888908805.970149</v>
      </c>
      <c r="G158">
        <v>40.159518841867254</v>
      </c>
      <c r="H158" t="str">
        <f t="shared" si="10"/>
        <v>México2022Fabricación de productos de cuero y productos conexos</v>
      </c>
      <c r="I158">
        <v>113.613933941246</v>
      </c>
      <c r="J158">
        <f>VLOOKUP(H158,[1]Hoja2!D$2:E$191,2,0)</f>
        <v>263961</v>
      </c>
      <c r="K158">
        <f>VLOOKUP(H158,[1]Hoja2!D$2:F$191,3,0)</f>
        <v>804674626.86567152</v>
      </c>
      <c r="L158" t="str">
        <f>IFERROR(VLOOKUP(H158,[2]Sheet1!K$2:L$94,2,0),"")</f>
        <v/>
      </c>
      <c r="M158" t="str">
        <f>IFERROR(VLOOKUP(H158,[2]Sheet1!K$372:L$648,2,0),"")</f>
        <v/>
      </c>
      <c r="N158">
        <f t="shared" si="11"/>
        <v>1374626342.4733315</v>
      </c>
      <c r="O158">
        <f t="shared" si="12"/>
        <v>5207.6872813534255</v>
      </c>
      <c r="P158">
        <f t="shared" si="13"/>
        <v>3048.4602909735586</v>
      </c>
    </row>
    <row r="159" spans="1:16" x14ac:dyDescent="0.25">
      <c r="A159" t="s">
        <v>8</v>
      </c>
      <c r="B159">
        <v>2022</v>
      </c>
      <c r="C159" t="s">
        <v>12</v>
      </c>
      <c r="D159">
        <v>22452845124.378109</v>
      </c>
      <c r="E159">
        <v>72295427164.179108</v>
      </c>
      <c r="F159">
        <v>94748272288.557205</v>
      </c>
      <c r="G159">
        <v>23.697366275975622</v>
      </c>
      <c r="H159" t="str">
        <f t="shared" si="10"/>
        <v>México2022Fabricación de vehículos automotores, remolques y semirremolques</v>
      </c>
      <c r="I159">
        <v>114.15472463850701</v>
      </c>
      <c r="J159">
        <f>VLOOKUP(H159,[1]Hoja2!D$2:E$191,2,0)</f>
        <v>232248</v>
      </c>
      <c r="K159">
        <f>VLOOKUP(H159,[1]Hoja2!D$2:F$191,3,0)</f>
        <v>2579074527.363183</v>
      </c>
      <c r="L159" t="str">
        <f>IFERROR(VLOOKUP(H159,[2]Sheet1!K$2:L$94,2,0),"")</f>
        <v/>
      </c>
      <c r="M159" t="str">
        <f>IFERROR(VLOOKUP(H159,[2]Sheet1!K$372:L$648,2,0),"")</f>
        <v/>
      </c>
      <c r="N159">
        <f t="shared" si="11"/>
        <v>19668783044.660992</v>
      </c>
      <c r="O159">
        <f t="shared" si="12"/>
        <v>84688.70795296834</v>
      </c>
      <c r="P159">
        <f t="shared" si="13"/>
        <v>11104.829868774685</v>
      </c>
    </row>
    <row r="160" spans="1:16" x14ac:dyDescent="0.25">
      <c r="A160" t="s">
        <v>8</v>
      </c>
      <c r="B160">
        <v>2022</v>
      </c>
      <c r="C160" t="s">
        <v>13</v>
      </c>
      <c r="D160">
        <v>16619127761.194019</v>
      </c>
      <c r="E160">
        <v>45922453333.010796</v>
      </c>
      <c r="F160">
        <v>59390141956.344696</v>
      </c>
      <c r="G160">
        <f t="shared" ref="G160:G162" si="16">D160/F160*100</f>
        <v>27.982973627862467</v>
      </c>
      <c r="I160">
        <v>123.39999999999989</v>
      </c>
      <c r="J160">
        <v>417914</v>
      </c>
      <c r="K160">
        <v>2360022214.696372</v>
      </c>
      <c r="L160" t="str">
        <f>IFERROR(VLOOKUP(H160,[2]Sheet1!K$2:L$94,2,0),"")</f>
        <v/>
      </c>
      <c r="M160" t="str">
        <f>IFERROR(VLOOKUP(H160,[2]Sheet1!K$372:L$648,2,0),"")</f>
        <v/>
      </c>
      <c r="N160">
        <f t="shared" si="11"/>
        <v>13467688623.3339</v>
      </c>
      <c r="O160">
        <f t="shared" si="12"/>
        <v>32225.98099928191</v>
      </c>
      <c r="P160">
        <f t="shared" si="13"/>
        <v>5647.1480129796373</v>
      </c>
    </row>
    <row r="161" spans="1:16" x14ac:dyDescent="0.25">
      <c r="A161" t="s">
        <v>8</v>
      </c>
      <c r="B161">
        <v>2022</v>
      </c>
      <c r="C161" t="s">
        <v>14</v>
      </c>
      <c r="D161">
        <v>87022710497.512741</v>
      </c>
      <c r="E161">
        <v>290118105824.2016</v>
      </c>
      <c r="F161">
        <v>360638940911.32678</v>
      </c>
      <c r="G161">
        <f t="shared" si="16"/>
        <v>24.130148085952182</v>
      </c>
      <c r="I161">
        <v>123.40000000000038</v>
      </c>
      <c r="J161">
        <v>1652813</v>
      </c>
      <c r="K161">
        <v>12763449930.251495</v>
      </c>
      <c r="L161" s="18" t="str">
        <f>IFERROR(VLOOKUP(H161,[2]Sheet1!K$2:L$94,2,0),"")</f>
        <v/>
      </c>
      <c r="M161" s="18" t="str">
        <f>IFERROR(VLOOKUP(H161,[2]Sheet1!K$372:L$648,2,0),"")</f>
        <v/>
      </c>
      <c r="N161" s="18">
        <f t="shared" si="11"/>
        <v>70520835087.125183</v>
      </c>
      <c r="O161" s="18">
        <f t="shared" si="12"/>
        <v>42667.159011409749</v>
      </c>
      <c r="P161" s="18">
        <f t="shared" si="13"/>
        <v>7722.2589187352078</v>
      </c>
    </row>
    <row r="162" spans="1:16" x14ac:dyDescent="0.25">
      <c r="A162" t="s">
        <v>8</v>
      </c>
      <c r="B162">
        <v>2022</v>
      </c>
      <c r="C162" t="s">
        <v>15</v>
      </c>
      <c r="D162">
        <v>68065142487.56263</v>
      </c>
      <c r="E162">
        <v>242890609635.94455</v>
      </c>
      <c r="F162">
        <v>298590398905.6355</v>
      </c>
      <c r="G162">
        <f t="shared" si="16"/>
        <v>22.795489318152349</v>
      </c>
      <c r="I162">
        <v>122.20000000000051</v>
      </c>
      <c r="J162">
        <v>5815255</v>
      </c>
      <c r="K162">
        <v>16881342672.887606</v>
      </c>
      <c r="L162" t="str">
        <f>IFERROR(VLOOKUP(H162,[2]Sheet1!K$2:L$94,2,0),"")</f>
        <v/>
      </c>
      <c r="M162" t="str">
        <f>IFERROR(VLOOKUP(H162,[2]Sheet1!K$372:L$648,2,0),"")</f>
        <v/>
      </c>
      <c r="N162">
        <f t="shared" si="11"/>
        <v>55699789269.690956</v>
      </c>
      <c r="O162">
        <f t="shared" si="12"/>
        <v>9578.219574152974</v>
      </c>
      <c r="P162">
        <f t="shared" si="13"/>
        <v>2902.9410873448551</v>
      </c>
    </row>
    <row r="163" spans="1:16" x14ac:dyDescent="0.25">
      <c r="A163" t="s">
        <v>8</v>
      </c>
      <c r="B163">
        <v>2022</v>
      </c>
      <c r="C163" t="s">
        <v>16</v>
      </c>
      <c r="D163">
        <v>842849751.24378109</v>
      </c>
      <c r="E163">
        <v>502659800.99502492</v>
      </c>
      <c r="F163">
        <v>1345509552.238806</v>
      </c>
      <c r="G163">
        <v>62.641677262071859</v>
      </c>
      <c r="H163" t="str">
        <f t="shared" si="10"/>
        <v>México2022Actividades de edición</v>
      </c>
      <c r="I163">
        <v>116.700891392263</v>
      </c>
      <c r="J163">
        <f>VLOOKUP(H163,[1]Hoja2!D$2:E$191,2,0)</f>
        <v>58171</v>
      </c>
      <c r="K163">
        <f>VLOOKUP(H163,[1]Hoja2!D$2:F$191,3,0)</f>
        <v>361914129.35323381</v>
      </c>
      <c r="L163" t="str">
        <f>IFERROR(VLOOKUP(H163,[2]Sheet1!K$2:L$94,2,0),"")</f>
        <v/>
      </c>
      <c r="M163" t="str">
        <f>IFERROR(VLOOKUP(H163,[2]Sheet1!K$372:L$648,2,0),"")</f>
        <v/>
      </c>
      <c r="N163">
        <f t="shared" si="11"/>
        <v>722230774.06558704</v>
      </c>
      <c r="O163">
        <f t="shared" si="12"/>
        <v>12415.649964167489</v>
      </c>
      <c r="P163">
        <f t="shared" si="13"/>
        <v>6221.5559188123607</v>
      </c>
    </row>
    <row r="164" spans="1:16" x14ac:dyDescent="0.25">
      <c r="A164" t="s">
        <v>8</v>
      </c>
      <c r="B164">
        <v>2022</v>
      </c>
      <c r="C164" t="s">
        <v>17</v>
      </c>
      <c r="D164">
        <v>599830199.00497508</v>
      </c>
      <c r="E164">
        <v>1184154875.6218901</v>
      </c>
      <c r="F164">
        <v>1783985074.6268661</v>
      </c>
      <c r="G164">
        <v>33.623050301047741</v>
      </c>
      <c r="H164" t="str">
        <f t="shared" si="10"/>
        <v>México2022Actividades de programación y radiodifusión</v>
      </c>
      <c r="I164">
        <v>97.091106465258406</v>
      </c>
      <c r="J164">
        <f>VLOOKUP(H164,[1]Hoja2!D$2:E$191,2,0)</f>
        <v>20651</v>
      </c>
      <c r="K164">
        <f>VLOOKUP(H164,[1]Hoja2!D$2:F$191,3,0)</f>
        <v>98359850.74626866</v>
      </c>
      <c r="L164" t="str">
        <f>IFERROR(VLOOKUP(H164,[2]Sheet1!K$2:L$94,2,0),"")</f>
        <v/>
      </c>
      <c r="M164" t="str">
        <f>IFERROR(VLOOKUP(H164,[2]Sheet1!K$372:L$648,2,0),"")</f>
        <v/>
      </c>
      <c r="N164">
        <f t="shared" si="11"/>
        <v>617801383.50736487</v>
      </c>
      <c r="O164">
        <f t="shared" si="12"/>
        <v>29916.293811794338</v>
      </c>
      <c r="P164">
        <f t="shared" si="13"/>
        <v>4762.9582463933302</v>
      </c>
    </row>
    <row r="165" spans="1:16" x14ac:dyDescent="0.25">
      <c r="A165" t="s">
        <v>8</v>
      </c>
      <c r="B165">
        <v>2022</v>
      </c>
      <c r="C165" t="s">
        <v>18</v>
      </c>
      <c r="D165">
        <v>522044079.60198998</v>
      </c>
      <c r="E165">
        <v>175039303.48258701</v>
      </c>
      <c r="F165">
        <v>697083383.08457708</v>
      </c>
      <c r="G165">
        <v>74.889761005628557</v>
      </c>
      <c r="H165" t="str">
        <f t="shared" si="10"/>
        <v>México2022Actividades de servicios de información</v>
      </c>
      <c r="I165" s="6">
        <v>107.605596889353</v>
      </c>
      <c r="J165">
        <f>VLOOKUP(H165,[1]Hoja2!D$2:E$191,2,0)</f>
        <v>31034</v>
      </c>
      <c r="K165">
        <f>VLOOKUP(H165,[1]Hoja2!D$2:F$191,3,0)</f>
        <v>243947512.4378109</v>
      </c>
      <c r="L165" t="str">
        <f>IFERROR(VLOOKUP(H165,[2]Sheet1!K$2:L$94,2,0),"")</f>
        <v/>
      </c>
      <c r="M165" t="str">
        <f>IFERROR(VLOOKUP(H165,[2]Sheet1!K$372:L$648,2,0),"")</f>
        <v/>
      </c>
      <c r="N165">
        <f t="shared" si="11"/>
        <v>485145842.49626845</v>
      </c>
      <c r="O165">
        <f t="shared" si="12"/>
        <v>15632.720322751449</v>
      </c>
      <c r="P165">
        <f t="shared" si="13"/>
        <v>7860.6532331575336</v>
      </c>
    </row>
    <row r="166" spans="1:16" x14ac:dyDescent="0.25">
      <c r="A166" t="s">
        <v>8</v>
      </c>
      <c r="B166">
        <v>2022</v>
      </c>
      <c r="C166" t="s">
        <v>19</v>
      </c>
      <c r="D166">
        <v>1217495820.8955221</v>
      </c>
      <c r="E166">
        <v>830313731.34328353</v>
      </c>
      <c r="F166">
        <v>2047809552.238806</v>
      </c>
      <c r="G166">
        <v>59.453566839966747</v>
      </c>
      <c r="H166" t="str">
        <f t="shared" si="10"/>
        <v>México2022Producción de películas, videos y programas de televisión, grabación de sonido y edición musical</v>
      </c>
      <c r="I166">
        <v>129.32654788623401</v>
      </c>
      <c r="J166">
        <f>VLOOKUP(H166,[1]Hoja2!D$2:E$191,2,0)</f>
        <v>75508</v>
      </c>
      <c r="K166">
        <f>VLOOKUP(H166,[1]Hoja2!D$2:F$191,3,0)</f>
        <v>274055024.87562191</v>
      </c>
      <c r="L166" t="str">
        <f>IFERROR(VLOOKUP(H166,[2]Sheet1!K$2:L$94,2,0),"")</f>
        <v/>
      </c>
      <c r="M166" t="str">
        <f>IFERROR(VLOOKUP(H166,[2]Sheet1!K$372:L$648,2,0),"")</f>
        <v/>
      </c>
      <c r="N166">
        <f t="shared" si="11"/>
        <v>941412139.11201656</v>
      </c>
      <c r="O166">
        <f t="shared" si="12"/>
        <v>12467.713872861374</v>
      </c>
      <c r="P166">
        <f t="shared" si="13"/>
        <v>3629.4832981355871</v>
      </c>
    </row>
    <row r="167" spans="1:16" x14ac:dyDescent="0.25">
      <c r="A167" t="s">
        <v>8</v>
      </c>
      <c r="B167">
        <v>2022</v>
      </c>
      <c r="C167" t="s">
        <v>22</v>
      </c>
      <c r="D167">
        <v>19341110995.024879</v>
      </c>
      <c r="E167">
        <v>7957322686.5671644</v>
      </c>
      <c r="F167">
        <v>27298433681.592041</v>
      </c>
      <c r="G167">
        <v>70.850625426421558</v>
      </c>
      <c r="H167" t="str">
        <f t="shared" si="10"/>
        <v>México2022Telecomunicaciones</v>
      </c>
      <c r="I167">
        <v>130.309937712893</v>
      </c>
      <c r="J167">
        <f>VLOOKUP(H167,[1]Hoja2!D$2:E$191,2,0)</f>
        <v>156974</v>
      </c>
      <c r="K167">
        <f>VLOOKUP(H167,[1]Hoja2!D$2:F$191,3,0)</f>
        <v>2364631542.2885571</v>
      </c>
      <c r="L167" t="str">
        <f>IFERROR(VLOOKUP(H167,[2]Sheet1!K$2:L$94,2,0),"")</f>
        <v/>
      </c>
      <c r="M167" t="str">
        <f>IFERROR(VLOOKUP(H167,[2]Sheet1!K$372:L$648,2,0),"")</f>
        <v/>
      </c>
      <c r="N167">
        <f t="shared" si="11"/>
        <v>14842391405.050337</v>
      </c>
      <c r="O167">
        <f t="shared" si="12"/>
        <v>94553.183361896474</v>
      </c>
      <c r="P167">
        <f t="shared" si="13"/>
        <v>15063.842052114089</v>
      </c>
    </row>
    <row r="168" spans="1:16" x14ac:dyDescent="0.25">
      <c r="A168" t="s">
        <v>8</v>
      </c>
      <c r="B168">
        <v>2022</v>
      </c>
      <c r="C168" t="s">
        <v>21</v>
      </c>
      <c r="D168">
        <v>5905083034.8258696</v>
      </c>
      <c r="E168">
        <v>1894228059.701493</v>
      </c>
      <c r="F168">
        <v>7799311094.5273628</v>
      </c>
      <c r="G168">
        <v>75.712879807671229</v>
      </c>
      <c r="H168" t="str">
        <f t="shared" si="10"/>
        <v>México2022Actividades inmobiliarias</v>
      </c>
      <c r="I168">
        <v>114.765372402341</v>
      </c>
      <c r="J168">
        <f>VLOOKUP(H168,[1]Hoja2!D$2:E$191,2,0)</f>
        <v>233590</v>
      </c>
      <c r="K168">
        <f>VLOOKUP(H168,[1]Hoja2!D$2:F$191,3,0)</f>
        <v>720259502.48756218</v>
      </c>
      <c r="L168" t="str">
        <f>IFERROR(VLOOKUP(H168,[2]Sheet1!K$2:L$94,2,0),"")</f>
        <v/>
      </c>
      <c r="M168" t="str">
        <f>IFERROR(VLOOKUP(H168,[2]Sheet1!K$372:L$648,2,0),"")</f>
        <v/>
      </c>
      <c r="N168">
        <f t="shared" si="11"/>
        <v>5145352566.9084282</v>
      </c>
      <c r="O168">
        <f t="shared" si="12"/>
        <v>22027.280991944983</v>
      </c>
      <c r="P168">
        <f t="shared" si="13"/>
        <v>3083.4346611051938</v>
      </c>
    </row>
    <row r="169" spans="1:16" x14ac:dyDescent="0.25">
      <c r="A169" t="s">
        <v>8</v>
      </c>
      <c r="B169">
        <v>2023</v>
      </c>
      <c r="C169" t="s">
        <v>9</v>
      </c>
      <c r="D169">
        <v>38221209661.016953</v>
      </c>
      <c r="E169">
        <v>65680787288.135597</v>
      </c>
      <c r="F169">
        <v>103901996949.1525</v>
      </c>
      <c r="G169">
        <v>36.785827783196133</v>
      </c>
      <c r="H169" t="str">
        <f t="shared" si="10"/>
        <v>México2023Elaboración de productos alimenticios</v>
      </c>
      <c r="I169">
        <v>118.92956316086899</v>
      </c>
      <c r="J169">
        <f>VLOOKUP(H169,[1]Hoja2!D$2:E$191,2,0)</f>
        <v>1756559</v>
      </c>
      <c r="K169">
        <f>VLOOKUP(H169,[1]Hoja2!D$2:F$191,3,0)</f>
        <v>7484435649.717515</v>
      </c>
      <c r="L169" t="str">
        <f>IFERROR(VLOOKUP(H169,[2]Sheet1!K$2:L$94,2,0),"")</f>
        <v/>
      </c>
      <c r="M169" t="str">
        <f>IFERROR(VLOOKUP(H169,[2]Sheet1!K$372:L$648,2,0),"")</f>
        <v/>
      </c>
      <c r="N169">
        <f t="shared" si="11"/>
        <v>32137686076.688416</v>
      </c>
      <c r="O169">
        <f t="shared" si="12"/>
        <v>18295.819313036689</v>
      </c>
      <c r="P169">
        <f t="shared" si="13"/>
        <v>4260.8507028329332</v>
      </c>
    </row>
    <row r="170" spans="1:16" x14ac:dyDescent="0.25">
      <c r="A170" t="s">
        <v>8</v>
      </c>
      <c r="B170">
        <v>2023</v>
      </c>
      <c r="C170" t="s">
        <v>10</v>
      </c>
      <c r="D170">
        <v>2820073389.8305092</v>
      </c>
      <c r="E170">
        <v>3318570677.9661021</v>
      </c>
      <c r="F170">
        <v>6138644067.7966108</v>
      </c>
      <c r="G170">
        <v>45.939679165056049</v>
      </c>
      <c r="H170" t="str">
        <f t="shared" si="10"/>
        <v>México2023Fabricación de prendas de vestir</v>
      </c>
      <c r="I170">
        <v>122.8</v>
      </c>
      <c r="J170">
        <f>VLOOKUP(H170,[1]Hoja2!D$2:E$191,2,0)</f>
        <v>508228</v>
      </c>
      <c r="K170">
        <f>VLOOKUP(H170,[1]Hoja2!D$2:F$191,3,0)</f>
        <v>1423187627.1186442</v>
      </c>
      <c r="L170" t="str">
        <f>IFERROR(VLOOKUP(H170,[2]Sheet1!K$2:L$94,2,0),"")</f>
        <v/>
      </c>
      <c r="M170" t="str">
        <f>IFERROR(VLOOKUP(H170,[2]Sheet1!K$372:L$648,2,0),"")</f>
        <v/>
      </c>
      <c r="N170">
        <f t="shared" si="11"/>
        <v>2296476701.8163757</v>
      </c>
      <c r="O170">
        <f t="shared" si="12"/>
        <v>4518.5953977670961</v>
      </c>
      <c r="P170">
        <f t="shared" si="13"/>
        <v>2800.2936223872834</v>
      </c>
    </row>
    <row r="171" spans="1:16" x14ac:dyDescent="0.25">
      <c r="A171" t="s">
        <v>8</v>
      </c>
      <c r="B171">
        <v>2023</v>
      </c>
      <c r="C171" t="s">
        <v>11</v>
      </c>
      <c r="D171">
        <v>1866013050.8474579</v>
      </c>
      <c r="E171">
        <v>2643397005.6497178</v>
      </c>
      <c r="F171">
        <v>4509410056.4971752</v>
      </c>
      <c r="G171">
        <v>41.380425099263242</v>
      </c>
      <c r="H171" t="str">
        <f t="shared" si="10"/>
        <v>México2023Fabricación de productos de cuero y productos conexos</v>
      </c>
      <c r="I171">
        <v>123.411266049067</v>
      </c>
      <c r="J171">
        <f>VLOOKUP(H171,[1]Hoja2!D$2:E$191,2,0)</f>
        <v>266257</v>
      </c>
      <c r="K171">
        <f>VLOOKUP(H171,[1]Hoja2!D$2:F$191,3,0)</f>
        <v>996483785.31073451</v>
      </c>
      <c r="L171" t="str">
        <f>IFERROR(VLOOKUP(H171,[2]Sheet1!K$2:L$94,2,0),"")</f>
        <v/>
      </c>
      <c r="M171" t="str">
        <f>IFERROR(VLOOKUP(H171,[2]Sheet1!K$372:L$648,2,0),"")</f>
        <v/>
      </c>
      <c r="N171">
        <f t="shared" si="11"/>
        <v>1512028124.0008924</v>
      </c>
      <c r="O171">
        <f t="shared" si="12"/>
        <v>5678.8295669255358</v>
      </c>
      <c r="P171">
        <f t="shared" si="13"/>
        <v>3742.5637084123027</v>
      </c>
    </row>
    <row r="172" spans="1:16" x14ac:dyDescent="0.25">
      <c r="A172" t="s">
        <v>8</v>
      </c>
      <c r="B172">
        <v>2023</v>
      </c>
      <c r="C172" t="s">
        <v>12</v>
      </c>
      <c r="D172">
        <v>28580675197.740108</v>
      </c>
      <c r="E172">
        <v>89013997570.62149</v>
      </c>
      <c r="F172">
        <v>117594672768.3616</v>
      </c>
      <c r="G172">
        <v>24.30439621532723</v>
      </c>
      <c r="H172" t="str">
        <f t="shared" si="10"/>
        <v>México2023Fabricación de vehículos automotores, remolques y semirremolques</v>
      </c>
      <c r="I172">
        <v>122.22806695566899</v>
      </c>
      <c r="J172">
        <f>VLOOKUP(H172,[1]Hoja2!D$2:E$191,2,0)</f>
        <v>246957</v>
      </c>
      <c r="K172">
        <f>VLOOKUP(H172,[1]Hoja2!D$2:F$191,3,0)</f>
        <v>3521800451.9774003</v>
      </c>
      <c r="L172" t="str">
        <f>IFERROR(VLOOKUP(H172,[2]Sheet1!K$2:L$94,2,0),"")</f>
        <v/>
      </c>
      <c r="M172" t="str">
        <f>IFERROR(VLOOKUP(H172,[2]Sheet1!K$372:L$648,2,0),"")</f>
        <v/>
      </c>
      <c r="N172">
        <f t="shared" si="11"/>
        <v>23383070606.938469</v>
      </c>
      <c r="O172">
        <f t="shared" si="12"/>
        <v>94684.785638546266</v>
      </c>
      <c r="P172">
        <f t="shared" si="13"/>
        <v>14260.784071629476</v>
      </c>
    </row>
    <row r="173" spans="1:16" x14ac:dyDescent="0.25">
      <c r="A173" t="s">
        <v>8</v>
      </c>
      <c r="B173">
        <v>2023</v>
      </c>
      <c r="C173" t="s">
        <v>13</v>
      </c>
      <c r="D173">
        <v>15605014858.757048</v>
      </c>
      <c r="E173">
        <v>61997237316.290337</v>
      </c>
      <c r="F173">
        <v>74958213112.600189</v>
      </c>
      <c r="G173">
        <f t="shared" ref="G173:G175" si="17">D173/F173*100</f>
        <v>20.818285563071811</v>
      </c>
      <c r="I173">
        <v>120.39999999999989</v>
      </c>
      <c r="J173">
        <v>406033</v>
      </c>
      <c r="K173">
        <v>3334440189.9506354</v>
      </c>
      <c r="L173" t="str">
        <f>IFERROR(VLOOKUP(H173,[2]Sheet1!K$2:L$94,2,0),"")</f>
        <v/>
      </c>
      <c r="M173" t="str">
        <f>IFERROR(VLOOKUP(H173,[2]Sheet1!K$372:L$648,2,0),"")</f>
        <v/>
      </c>
      <c r="N173">
        <f t="shared" si="11"/>
        <v>12960975796.309853</v>
      </c>
      <c r="O173">
        <f t="shared" si="12"/>
        <v>31920.991141877268</v>
      </c>
      <c r="P173">
        <f t="shared" si="13"/>
        <v>8212.2393745105328</v>
      </c>
    </row>
    <row r="174" spans="1:16" x14ac:dyDescent="0.25">
      <c r="A174" t="s">
        <v>8</v>
      </c>
      <c r="B174">
        <v>2023</v>
      </c>
      <c r="C174" t="s">
        <v>14</v>
      </c>
      <c r="D174">
        <v>121140581694.91544</v>
      </c>
      <c r="E174">
        <v>337952415301.16199</v>
      </c>
      <c r="F174">
        <v>438567516376.67285</v>
      </c>
      <c r="G174">
        <f t="shared" si="17"/>
        <v>27.621877401168792</v>
      </c>
      <c r="I174">
        <v>120.40000000000035</v>
      </c>
      <c r="J174">
        <v>1665682</v>
      </c>
      <c r="K174">
        <v>18118783152.204517</v>
      </c>
      <c r="L174" s="18" t="str">
        <f>IFERROR(VLOOKUP(H174,[2]Sheet1!K$2:L$94,2,0),"")</f>
        <v/>
      </c>
      <c r="M174" s="18" t="str">
        <f>IFERROR(VLOOKUP(H174,[2]Sheet1!K$372:L$648,2,0),"")</f>
        <v/>
      </c>
      <c r="N174" s="18">
        <f t="shared" si="11"/>
        <v>100615101075.51086</v>
      </c>
      <c r="O174" s="18">
        <f t="shared" si="12"/>
        <v>60404.747770289207</v>
      </c>
      <c r="P174" s="18">
        <f t="shared" si="13"/>
        <v>10877.696434376139</v>
      </c>
    </row>
    <row r="175" spans="1:16" x14ac:dyDescent="0.25">
      <c r="A175" t="s">
        <v>8</v>
      </c>
      <c r="B175">
        <v>2023</v>
      </c>
      <c r="C175" t="s">
        <v>15</v>
      </c>
      <c r="D175">
        <v>78382673163.841492</v>
      </c>
      <c r="E175">
        <v>303654100640.55029</v>
      </c>
      <c r="F175">
        <v>368379677158.99939</v>
      </c>
      <c r="G175">
        <f t="shared" si="17"/>
        <v>21.277686589103041</v>
      </c>
      <c r="I175">
        <v>121.09999999999943</v>
      </c>
      <c r="J175">
        <v>5851537</v>
      </c>
      <c r="K175">
        <v>23925162050.320278</v>
      </c>
      <c r="L175" t="str">
        <f>IFERROR(VLOOKUP(H175,[2]Sheet1!K$2:L$94,2,0),"")</f>
        <v/>
      </c>
      <c r="M175" t="str">
        <f>IFERROR(VLOOKUP(H175,[2]Sheet1!K$372:L$648,2,0),"")</f>
        <v/>
      </c>
      <c r="N175">
        <f t="shared" si="11"/>
        <v>64725576518.449104</v>
      </c>
      <c r="O175">
        <f t="shared" si="12"/>
        <v>11061.294924470119</v>
      </c>
      <c r="P175">
        <f t="shared" si="13"/>
        <v>4088.6970466597541</v>
      </c>
    </row>
    <row r="176" spans="1:16" x14ac:dyDescent="0.25">
      <c r="A176" t="s">
        <v>8</v>
      </c>
      <c r="B176">
        <v>2023</v>
      </c>
      <c r="C176" t="s">
        <v>16</v>
      </c>
      <c r="D176">
        <v>851134576.27118647</v>
      </c>
      <c r="E176">
        <v>534215141.24293792</v>
      </c>
      <c r="F176">
        <v>1385349717.5141239</v>
      </c>
      <c r="G176">
        <v>61.438246639878408</v>
      </c>
      <c r="H176" t="str">
        <f t="shared" si="10"/>
        <v>México2023Actividades de edición</v>
      </c>
      <c r="I176">
        <v>120.695618981471</v>
      </c>
      <c r="J176">
        <f>VLOOKUP(H176,[1]Hoja2!D$2:E$191,2,0)</f>
        <v>54436</v>
      </c>
      <c r="K176">
        <f>VLOOKUP(H176,[1]Hoja2!D$2:F$191,3,0)</f>
        <v>399322146.89265537</v>
      </c>
      <c r="L176" t="str">
        <f>IFERROR(VLOOKUP(H176,[2]Sheet1!K$2:L$94,2,0),"")</f>
        <v/>
      </c>
      <c r="M176" t="str">
        <f>IFERROR(VLOOKUP(H176,[2]Sheet1!K$372:L$648,2,0),"")</f>
        <v/>
      </c>
      <c r="N176">
        <f t="shared" si="11"/>
        <v>705190945.16748893</v>
      </c>
      <c r="O176">
        <f t="shared" si="12"/>
        <v>12954.496016744231</v>
      </c>
      <c r="P176">
        <f t="shared" si="13"/>
        <v>7335.626182905713</v>
      </c>
    </row>
    <row r="177" spans="1:16" x14ac:dyDescent="0.25">
      <c r="A177" t="s">
        <v>8</v>
      </c>
      <c r="B177">
        <v>2023</v>
      </c>
      <c r="C177" t="s">
        <v>17</v>
      </c>
      <c r="D177">
        <v>619543898.30508482</v>
      </c>
      <c r="E177">
        <v>1436046327.6836159</v>
      </c>
      <c r="F177">
        <v>2055590225.9887011</v>
      </c>
      <c r="G177">
        <v>30.13946507782677</v>
      </c>
      <c r="H177" t="str">
        <f t="shared" si="10"/>
        <v>México2023Actividades de programación y radiodifusión</v>
      </c>
      <c r="I177">
        <v>93.688296621976704</v>
      </c>
      <c r="J177">
        <f>VLOOKUP(H177,[1]Hoja2!D$2:E$191,2,0)</f>
        <v>19531</v>
      </c>
      <c r="K177">
        <f>VLOOKUP(H177,[1]Hoja2!D$2:F$191,3,0)</f>
        <v>125353898.30508479</v>
      </c>
      <c r="L177" t="str">
        <f>IFERROR(VLOOKUP(H177,[2]Sheet1!K$2:L$94,2,0),"")</f>
        <v/>
      </c>
      <c r="M177" t="str">
        <f>IFERROR(VLOOKUP(H177,[2]Sheet1!K$372:L$648,2,0),"")</f>
        <v/>
      </c>
      <c r="N177">
        <f t="shared" si="11"/>
        <v>661282060.4529562</v>
      </c>
      <c r="O177">
        <f t="shared" si="12"/>
        <v>33858.0748785498</v>
      </c>
      <c r="P177">
        <f t="shared" si="13"/>
        <v>6418.2017462026924</v>
      </c>
    </row>
    <row r="178" spans="1:16" x14ac:dyDescent="0.25">
      <c r="A178" t="s">
        <v>8</v>
      </c>
      <c r="B178">
        <v>2023</v>
      </c>
      <c r="C178" t="s">
        <v>18</v>
      </c>
      <c r="D178">
        <v>640547401.12994361</v>
      </c>
      <c r="E178">
        <v>260802203.3898305</v>
      </c>
      <c r="F178">
        <v>901349604.51977408</v>
      </c>
      <c r="G178">
        <v>71.065366636646814</v>
      </c>
      <c r="H178" t="str">
        <f t="shared" si="10"/>
        <v>México2023Actividades de servicios de información</v>
      </c>
      <c r="I178" s="16">
        <v>106.625388523045</v>
      </c>
      <c r="J178">
        <f>VLOOKUP(H178,[1]Hoja2!D$2:E$191,2,0)</f>
        <v>27592</v>
      </c>
      <c r="K178">
        <f>VLOOKUP(H178,[1]Hoja2!D$2:F$191,3,0)</f>
        <v>349095819.20903963</v>
      </c>
      <c r="L178" t="str">
        <f>IFERROR(VLOOKUP(H178,[2]Sheet1!K$2:L$94,2,0),"")</f>
        <v/>
      </c>
      <c r="M178" t="str">
        <f>IFERROR(VLOOKUP(H178,[2]Sheet1!K$372:L$648,2,0),"")</f>
        <v/>
      </c>
      <c r="N178">
        <f t="shared" si="11"/>
        <v>600745666.67722082</v>
      </c>
      <c r="O178">
        <f t="shared" si="12"/>
        <v>21772.458200827081</v>
      </c>
      <c r="P178">
        <f t="shared" si="13"/>
        <v>12652.06651236009</v>
      </c>
    </row>
    <row r="179" spans="1:16" x14ac:dyDescent="0.25">
      <c r="A179" t="s">
        <v>8</v>
      </c>
      <c r="B179">
        <v>2023</v>
      </c>
      <c r="C179" t="s">
        <v>19</v>
      </c>
      <c r="D179">
        <v>1695678587.570622</v>
      </c>
      <c r="E179">
        <v>940427062.14689267</v>
      </c>
      <c r="F179">
        <v>2636105649.717515</v>
      </c>
      <c r="G179">
        <v>64.325137642049015</v>
      </c>
      <c r="H179" t="str">
        <f t="shared" si="10"/>
        <v>México2023Producción de películas, videos y programas de televisión, grabación de sonido y edición musical</v>
      </c>
      <c r="I179">
        <v>137.78728757684999</v>
      </c>
      <c r="J179">
        <f>VLOOKUP(H179,[1]Hoja2!D$2:E$191,2,0)</f>
        <v>75970</v>
      </c>
      <c r="K179">
        <f>VLOOKUP(H179,[1]Hoja2!D$2:F$191,3,0)</f>
        <v>382686553.67231637</v>
      </c>
      <c r="L179" t="str">
        <f>IFERROR(VLOOKUP(H179,[2]Sheet1!K$2:L$94,2,0),"")</f>
        <v/>
      </c>
      <c r="M179" t="str">
        <f>IFERROR(VLOOKUP(H179,[2]Sheet1!K$372:L$648,2,0),"")</f>
        <v/>
      </c>
      <c r="N179">
        <f t="shared" si="11"/>
        <v>1230649515.9249492</v>
      </c>
      <c r="O179">
        <f t="shared" si="12"/>
        <v>16199.151190271807</v>
      </c>
      <c r="P179">
        <f t="shared" si="13"/>
        <v>5037.337813246234</v>
      </c>
    </row>
    <row r="180" spans="1:16" x14ac:dyDescent="0.25">
      <c r="A180" t="s">
        <v>8</v>
      </c>
      <c r="B180">
        <v>2023</v>
      </c>
      <c r="C180" t="s">
        <v>22</v>
      </c>
      <c r="D180">
        <v>20528690169.491531</v>
      </c>
      <c r="E180">
        <v>9953007627.1186447</v>
      </c>
      <c r="F180">
        <v>30481697796.610168</v>
      </c>
      <c r="G180">
        <v>67.34759430550649</v>
      </c>
      <c r="H180" t="str">
        <f t="shared" si="10"/>
        <v>México2023Telecomunicaciones</v>
      </c>
      <c r="I180">
        <v>126.827473515305</v>
      </c>
      <c r="J180">
        <f>VLOOKUP(H180,[1]Hoja2!D$2:E$191,2,0)</f>
        <v>151981</v>
      </c>
      <c r="K180">
        <f>VLOOKUP(H180,[1]Hoja2!D$2:F$191,3,0)</f>
        <v>2809607570.621469</v>
      </c>
      <c r="L180" t="str">
        <f>IFERROR(VLOOKUP(H180,[2]Sheet1!K$2:L$94,2,0),"")</f>
        <v/>
      </c>
      <c r="M180" t="str">
        <f>IFERROR(VLOOKUP(H180,[2]Sheet1!K$372:L$648,2,0),"")</f>
        <v/>
      </c>
      <c r="N180">
        <f t="shared" si="11"/>
        <v>16186311688.227564</v>
      </c>
      <c r="O180">
        <f t="shared" si="12"/>
        <v>106502.20546139033</v>
      </c>
      <c r="P180">
        <f t="shared" si="13"/>
        <v>18486.571154430283</v>
      </c>
    </row>
    <row r="181" spans="1:16" x14ac:dyDescent="0.25">
      <c r="A181" t="s">
        <v>8</v>
      </c>
      <c r="B181">
        <v>2023</v>
      </c>
      <c r="C181" t="s">
        <v>21</v>
      </c>
      <c r="D181">
        <v>7168771864.4067802</v>
      </c>
      <c r="E181">
        <v>2398661299.4350281</v>
      </c>
      <c r="F181">
        <v>9567433163.8418083</v>
      </c>
      <c r="G181">
        <v>74.928894110279373</v>
      </c>
      <c r="H181" t="str">
        <f t="shared" si="10"/>
        <v>México2023Actividades inmobiliarias</v>
      </c>
      <c r="I181">
        <v>121.146784451534</v>
      </c>
      <c r="J181">
        <f>VLOOKUP(H181,[1]Hoja2!D$2:E$191,2,0)</f>
        <v>248768</v>
      </c>
      <c r="K181">
        <f>VLOOKUP(H181,[1]Hoja2!D$2:F$191,3,0)</f>
        <v>920973220.33898306</v>
      </c>
      <c r="L181" t="str">
        <f>IFERROR(VLOOKUP(H181,[2]Sheet1!K$2:L$94,2,0),"")</f>
        <v/>
      </c>
      <c r="M181" t="str">
        <f>IFERROR(VLOOKUP(H181,[2]Sheet1!K$372:L$648,2,0),"")</f>
        <v/>
      </c>
      <c r="N181">
        <f t="shared" si="11"/>
        <v>5917426448.3055429</v>
      </c>
      <c r="O181">
        <f t="shared" si="12"/>
        <v>23786.927773288939</v>
      </c>
      <c r="P181">
        <f t="shared" si="13"/>
        <v>3702.1370125537974</v>
      </c>
    </row>
    <row r="182" spans="1:16" x14ac:dyDescent="0.25">
      <c r="A182" t="s">
        <v>8</v>
      </c>
      <c r="B182">
        <v>2016</v>
      </c>
      <c r="C182" t="s">
        <v>16</v>
      </c>
      <c r="D182">
        <v>744629209.34934223</v>
      </c>
      <c r="E182">
        <v>551747311.11981285</v>
      </c>
      <c r="F182">
        <v>1296376520.4691551</v>
      </c>
      <c r="G182">
        <v>57.439269964551883</v>
      </c>
      <c r="H182" t="str">
        <f t="shared" si="10"/>
        <v>México2016Actividades de edición</v>
      </c>
      <c r="I182" s="6">
        <v>90.490165269147795</v>
      </c>
      <c r="J182">
        <f>VLOOKUP(H182,[1]Hoja2!D$2:E$191,2,0)</f>
        <v>22825</v>
      </c>
      <c r="K182">
        <f>VLOOKUP(H182,[1]Hoja2!D$2:F$191,3,0)</f>
        <v>220813878.01063275</v>
      </c>
      <c r="N182">
        <f t="shared" si="11"/>
        <v>822884130.15333521</v>
      </c>
      <c r="O182">
        <f t="shared" si="12"/>
        <v>36051.878648557948</v>
      </c>
      <c r="P182">
        <f t="shared" si="13"/>
        <v>9674.2115229192877</v>
      </c>
    </row>
    <row r="183" spans="1:16" x14ac:dyDescent="0.25">
      <c r="A183" t="s">
        <v>8</v>
      </c>
      <c r="B183">
        <v>2016</v>
      </c>
      <c r="C183" t="s">
        <v>17</v>
      </c>
      <c r="D183">
        <v>584600776.80497336</v>
      </c>
      <c r="E183">
        <v>938391462.73564136</v>
      </c>
      <c r="F183">
        <v>1522992239.5406151</v>
      </c>
      <c r="G183">
        <v>38.385013503503373</v>
      </c>
      <c r="H183" t="str">
        <f t="shared" si="10"/>
        <v>México2016Actividades de programación y radiodifusión</v>
      </c>
      <c r="I183" s="6">
        <v>87.983051423758297</v>
      </c>
      <c r="J183">
        <f>VLOOKUP(H183,[1]Hoja2!D$2:E$191,2,0)</f>
        <v>11875</v>
      </c>
      <c r="K183">
        <f>VLOOKUP(H183,[1]Hoja2!D$2:F$191,3,0)</f>
        <v>19044636.147818878</v>
      </c>
      <c r="N183">
        <f t="shared" si="11"/>
        <v>664447035.36062181</v>
      </c>
      <c r="O183">
        <f t="shared" si="12"/>
        <v>55953.43455668394</v>
      </c>
      <c r="P183">
        <f t="shared" si="13"/>
        <v>1603.7588335005371</v>
      </c>
    </row>
    <row r="184" spans="1:16" x14ac:dyDescent="0.25">
      <c r="A184" t="s">
        <v>8</v>
      </c>
      <c r="B184">
        <v>2016</v>
      </c>
      <c r="C184" t="s">
        <v>18</v>
      </c>
      <c r="D184">
        <v>176038723.26802811</v>
      </c>
      <c r="E184">
        <v>94308052.866315708</v>
      </c>
      <c r="F184">
        <v>270346776.1343438</v>
      </c>
      <c r="G184">
        <v>65.115895142226123</v>
      </c>
      <c r="H184" t="str">
        <f t="shared" si="10"/>
        <v>México2016Actividades de servicios de información</v>
      </c>
      <c r="I184" s="6">
        <v>88.944036225961995</v>
      </c>
      <c r="J184">
        <f>VLOOKUP(H184,[1]Hoja2!D$2:E$191,2,0)</f>
        <v>7056</v>
      </c>
      <c r="K184">
        <f>VLOOKUP(H184,[1]Hoja2!D$2:F$191,3,0)</f>
        <v>68217607.192433596</v>
      </c>
      <c r="N184">
        <f t="shared" si="11"/>
        <v>197920772.13676518</v>
      </c>
      <c r="O184">
        <f t="shared" si="12"/>
        <v>28049.996051128852</v>
      </c>
      <c r="P184">
        <f t="shared" si="13"/>
        <v>9668.0282302201813</v>
      </c>
    </row>
    <row r="185" spans="1:16" x14ac:dyDescent="0.25">
      <c r="A185" t="s">
        <v>8</v>
      </c>
      <c r="B185">
        <v>2016</v>
      </c>
      <c r="C185" t="s">
        <v>19</v>
      </c>
      <c r="D185">
        <v>1377619408.4262669</v>
      </c>
      <c r="E185">
        <v>1254903278.8956671</v>
      </c>
      <c r="F185">
        <v>2632522687.3219342</v>
      </c>
      <c r="G185">
        <v>52.33077059737402</v>
      </c>
      <c r="H185" t="str">
        <f t="shared" si="10"/>
        <v>México2016Producción de películas, videos y programas de televisión, grabación de sonido y edición musical</v>
      </c>
      <c r="I185" s="6">
        <v>98.961476244551903</v>
      </c>
      <c r="J185">
        <f>VLOOKUP(H185,[1]Hoja2!D$2:E$191,2,0)</f>
        <v>27371</v>
      </c>
      <c r="K185">
        <f>VLOOKUP(H185,[1]Hoja2!D$2:F$191,3,0)</f>
        <v>140074385.39403054</v>
      </c>
      <c r="N185">
        <f t="shared" si="11"/>
        <v>1392076453.0855598</v>
      </c>
      <c r="O185">
        <f t="shared" si="12"/>
        <v>50859.539406143726</v>
      </c>
      <c r="P185">
        <f t="shared" si="13"/>
        <v>5117.6203059453637</v>
      </c>
    </row>
    <row r="186" spans="1:16" x14ac:dyDescent="0.25">
      <c r="A186" t="s">
        <v>8</v>
      </c>
      <c r="B186">
        <v>2016</v>
      </c>
      <c r="C186" t="s">
        <v>22</v>
      </c>
      <c r="D186">
        <v>11840093513.06678</v>
      </c>
      <c r="E186">
        <v>7437131759.9289551</v>
      </c>
      <c r="F186">
        <v>19277225272.995739</v>
      </c>
      <c r="G186">
        <v>61.420112829478789</v>
      </c>
      <c r="H186" t="str">
        <f t="shared" si="10"/>
        <v>México2016Telecomunicaciones</v>
      </c>
      <c r="I186" s="6">
        <v>105.807655116368</v>
      </c>
      <c r="J186">
        <f>VLOOKUP(H186,[1]Hoja2!D$2:E$191,2,0)</f>
        <v>115660</v>
      </c>
      <c r="K186">
        <f>VLOOKUP(H186,[1]Hoja2!D$2:F$191,3,0)</f>
        <v>2401698623.0665274</v>
      </c>
      <c r="N186">
        <f t="shared" si="11"/>
        <v>11190204999.860325</v>
      </c>
      <c r="O186">
        <f t="shared" si="12"/>
        <v>96750.864601939524</v>
      </c>
      <c r="P186">
        <f t="shared" si="13"/>
        <v>20765.16188022244</v>
      </c>
    </row>
    <row r="187" spans="1:16" x14ac:dyDescent="0.25">
      <c r="A187" t="s">
        <v>8</v>
      </c>
      <c r="B187">
        <v>2017</v>
      </c>
      <c r="C187" t="s">
        <v>16</v>
      </c>
      <c r="D187">
        <v>691147305.67607498</v>
      </c>
      <c r="E187">
        <v>452606475.3947503</v>
      </c>
      <c r="F187">
        <v>1143753781.0708251</v>
      </c>
      <c r="G187">
        <v>60.427979965145717</v>
      </c>
      <c r="H187" t="str">
        <f t="shared" si="10"/>
        <v>México2017Actividades de edición</v>
      </c>
      <c r="I187" s="6">
        <v>97.7703392672272</v>
      </c>
      <c r="J187">
        <f>VLOOKUP(H187,[1]Hoja2!D$2:E$191,2,0)</f>
        <v>20196</v>
      </c>
      <c r="K187">
        <f>VLOOKUP(H187,[1]Hoja2!D$2:F$191,3,0)</f>
        <v>212497638.67448747</v>
      </c>
      <c r="N187">
        <f t="shared" si="11"/>
        <v>706908977.56529403</v>
      </c>
      <c r="O187">
        <f t="shared" si="12"/>
        <v>35002.425112165482</v>
      </c>
      <c r="P187">
        <f t="shared" si="13"/>
        <v>10521.768601430356</v>
      </c>
    </row>
    <row r="188" spans="1:16" x14ac:dyDescent="0.25">
      <c r="A188" t="s">
        <v>8</v>
      </c>
      <c r="B188">
        <v>2017</v>
      </c>
      <c r="C188" t="s">
        <v>17</v>
      </c>
      <c r="D188">
        <v>539451457.43493903</v>
      </c>
      <c r="E188">
        <v>1096699216.5313039</v>
      </c>
      <c r="F188">
        <v>1636150673.966243</v>
      </c>
      <c r="G188">
        <v>32.970768891793952</v>
      </c>
      <c r="H188" t="str">
        <f t="shared" si="10"/>
        <v>México2017Actividades de programación y radiodifusión</v>
      </c>
      <c r="I188" s="6">
        <v>93.557066612031207</v>
      </c>
      <c r="J188">
        <f>VLOOKUP(H188,[1]Hoja2!D$2:E$191,2,0)</f>
        <v>11053</v>
      </c>
      <c r="K188">
        <f>VLOOKUP(H188,[1]Hoja2!D$2:F$191,3,0)</f>
        <v>18563563.818311349</v>
      </c>
      <c r="N188">
        <f t="shared" si="11"/>
        <v>576601508.5444833</v>
      </c>
      <c r="O188">
        <f t="shared" si="12"/>
        <v>52166.969016962212</v>
      </c>
      <c r="P188">
        <f t="shared" si="13"/>
        <v>1679.5045524573734</v>
      </c>
    </row>
    <row r="189" spans="1:16" x14ac:dyDescent="0.25">
      <c r="A189" t="s">
        <v>8</v>
      </c>
      <c r="B189">
        <v>2017</v>
      </c>
      <c r="C189" t="s">
        <v>18</v>
      </c>
      <c r="D189">
        <v>200644052.30404249</v>
      </c>
      <c r="E189">
        <v>125449180.206606</v>
      </c>
      <c r="F189">
        <v>326093232.51064849</v>
      </c>
      <c r="G189">
        <v>61.529658484246688</v>
      </c>
      <c r="H189" t="str">
        <f t="shared" si="10"/>
        <v>México2017Actividades de servicios de información</v>
      </c>
      <c r="I189" s="6">
        <v>95.324856243727695</v>
      </c>
      <c r="J189">
        <f>VLOOKUP(H189,[1]Hoja2!D$2:E$191,2,0)</f>
        <v>7409</v>
      </c>
      <c r="K189">
        <f>VLOOKUP(H189,[1]Hoja2!D$2:F$191,3,0)</f>
        <v>80258424.02766487</v>
      </c>
      <c r="N189">
        <f t="shared" si="11"/>
        <v>210484505.52186877</v>
      </c>
      <c r="O189">
        <f t="shared" si="12"/>
        <v>28409.300245899416</v>
      </c>
      <c r="P189">
        <f t="shared" si="13"/>
        <v>10832.558243712359</v>
      </c>
    </row>
    <row r="190" spans="1:16" x14ac:dyDescent="0.25">
      <c r="A190" t="s">
        <v>8</v>
      </c>
      <c r="B190">
        <v>2017</v>
      </c>
      <c r="C190" t="s">
        <v>19</v>
      </c>
      <c r="D190">
        <v>1426535240.2405441</v>
      </c>
      <c r="E190">
        <v>1470059255.488992</v>
      </c>
      <c r="F190">
        <v>2896594495.7295361</v>
      </c>
      <c r="G190">
        <v>49.248703687854558</v>
      </c>
      <c r="H190" t="str">
        <f t="shared" si="10"/>
        <v>México2017Producción de películas, videos y programas de televisión, grabación de sonido y edición musical</v>
      </c>
      <c r="I190" s="6">
        <v>99.664134201715697</v>
      </c>
      <c r="J190">
        <f>VLOOKUP(H190,[1]Hoja2!D$2:E$191,2,0)</f>
        <v>31317</v>
      </c>
      <c r="K190">
        <f>VLOOKUP(H190,[1]Hoja2!D$2:F$191,3,0)</f>
        <v>156936215.59170502</v>
      </c>
      <c r="N190">
        <f t="shared" si="11"/>
        <v>1431342630.5929687</v>
      </c>
      <c r="O190">
        <f t="shared" si="12"/>
        <v>45704.972717468743</v>
      </c>
      <c r="P190">
        <f t="shared" si="13"/>
        <v>5011.21485428697</v>
      </c>
    </row>
    <row r="191" spans="1:16" x14ac:dyDescent="0.25">
      <c r="A191" t="s">
        <v>8</v>
      </c>
      <c r="B191">
        <v>2017</v>
      </c>
      <c r="C191" t="s">
        <v>22</v>
      </c>
      <c r="D191">
        <v>12829048063.959641</v>
      </c>
      <c r="E191">
        <v>7974065468.9936762</v>
      </c>
      <c r="F191">
        <v>20803113532.95332</v>
      </c>
      <c r="G191">
        <v>61.668884533258449</v>
      </c>
      <c r="H191" t="str">
        <f t="shared" si="10"/>
        <v>México2017Telecomunicaciones</v>
      </c>
      <c r="I191" s="6">
        <v>99.987775194221399</v>
      </c>
      <c r="J191">
        <f>VLOOKUP(H191,[1]Hoja2!D$2:E$191,2,0)</f>
        <v>116930</v>
      </c>
      <c r="K191">
        <f>VLOOKUP(H191,[1]Hoja2!D$2:F$191,3,0)</f>
        <v>2479628794.1697321</v>
      </c>
      <c r="N191">
        <f t="shared" si="11"/>
        <v>12830616581.916977</v>
      </c>
      <c r="O191">
        <f t="shared" si="12"/>
        <v>109729.03944169141</v>
      </c>
      <c r="P191">
        <f t="shared" si="13"/>
        <v>21206.095904983598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7299-F7B2-49C7-8EF3-B50F7F8D024A}">
  <dimension ref="A1:E9"/>
  <sheetViews>
    <sheetView showGridLines="0" zoomScale="130" zoomScaleNormal="130" workbookViewId="0">
      <selection activeCell="A2" sqref="A2:E8"/>
    </sheetView>
  </sheetViews>
  <sheetFormatPr baseColWidth="10" defaultRowHeight="15" x14ac:dyDescent="0.25"/>
  <cols>
    <col min="1" max="1" width="38.42578125" bestFit="1" customWidth="1"/>
    <col min="3" max="3" width="12.42578125" bestFit="1" customWidth="1"/>
    <col min="4" max="4" width="14.140625" bestFit="1" customWidth="1"/>
    <col min="5" max="5" width="11.7109375" bestFit="1" customWidth="1"/>
  </cols>
  <sheetData>
    <row r="1" spans="1:5" x14ac:dyDescent="0.25">
      <c r="A1" s="8"/>
      <c r="B1" s="7"/>
      <c r="C1" s="7"/>
      <c r="D1" s="7"/>
      <c r="E1" s="7"/>
    </row>
    <row r="2" spans="1:5" ht="15.75" thickBot="1" x14ac:dyDescent="0.3">
      <c r="A2" s="15" t="s">
        <v>38</v>
      </c>
      <c r="B2" s="15" t="s">
        <v>0</v>
      </c>
      <c r="C2" s="15" t="s">
        <v>40</v>
      </c>
      <c r="D2" s="15" t="s">
        <v>41</v>
      </c>
      <c r="E2" s="15" t="s">
        <v>39</v>
      </c>
    </row>
    <row r="3" spans="1:5" x14ac:dyDescent="0.25">
      <c r="A3" s="9" t="s">
        <v>42</v>
      </c>
      <c r="B3" s="10" t="s">
        <v>7</v>
      </c>
      <c r="C3" s="11">
        <v>-4.8099999999999996</v>
      </c>
      <c r="D3" s="11">
        <v>1.1879999999999999</v>
      </c>
      <c r="E3" s="11">
        <f t="shared" ref="E3:E8" si="0">D3-C3</f>
        <v>5.9979999999999993</v>
      </c>
    </row>
    <row r="4" spans="1:5" ht="24" customHeight="1" x14ac:dyDescent="0.25">
      <c r="A4" s="9"/>
      <c r="B4" s="10" t="s">
        <v>8</v>
      </c>
      <c r="C4" s="11">
        <v>3.3754834302365788</v>
      </c>
      <c r="D4" s="11">
        <v>11.213344048872818</v>
      </c>
      <c r="E4" s="11">
        <f t="shared" si="0"/>
        <v>7.8378606186362392</v>
      </c>
    </row>
    <row r="5" spans="1:5" ht="24" x14ac:dyDescent="0.25">
      <c r="A5" s="9" t="s">
        <v>43</v>
      </c>
      <c r="B5" s="10" t="s">
        <v>7</v>
      </c>
      <c r="C5" s="11">
        <v>-1.61</v>
      </c>
      <c r="D5" s="11">
        <v>-1.72</v>
      </c>
      <c r="E5" s="11">
        <f t="shared" si="0"/>
        <v>-0.10999999999999988</v>
      </c>
    </row>
    <row r="6" spans="1:5" x14ac:dyDescent="0.25">
      <c r="A6" s="9"/>
      <c r="B6" s="10" t="s">
        <v>8</v>
      </c>
      <c r="C6" s="11">
        <v>3.5837277535310244</v>
      </c>
      <c r="D6" s="11">
        <v>11.178841165514173</v>
      </c>
      <c r="E6" s="11">
        <f t="shared" si="0"/>
        <v>7.5951134119831494</v>
      </c>
    </row>
    <row r="7" spans="1:5" ht="36" x14ac:dyDescent="0.25">
      <c r="A7" s="9" t="s">
        <v>19</v>
      </c>
      <c r="B7" s="10" t="s">
        <v>7</v>
      </c>
      <c r="C7" s="11">
        <v>-8.69</v>
      </c>
      <c r="D7" s="11">
        <v>-4.99</v>
      </c>
      <c r="E7" s="11">
        <f t="shared" si="0"/>
        <v>3.6999999999999993</v>
      </c>
    </row>
    <row r="8" spans="1:5" ht="15.75" thickBot="1" x14ac:dyDescent="0.3">
      <c r="A8" s="12"/>
      <c r="B8" s="13" t="s">
        <v>8</v>
      </c>
      <c r="C8" s="14">
        <v>-8.3445601051254332</v>
      </c>
      <c r="D8" s="14">
        <v>3.1495000233328065</v>
      </c>
      <c r="E8" s="14">
        <f t="shared" si="0"/>
        <v>11.494060128458241</v>
      </c>
    </row>
    <row r="9" spans="1: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3</vt:i4>
      </vt:variant>
    </vt:vector>
  </HeadingPairs>
  <TitlesOfParts>
    <vt:vector size="8" baseType="lpstr">
      <vt:lpstr>Prod</vt:lpstr>
      <vt:lpstr>rem_emp</vt:lpstr>
      <vt:lpstr>emp_prod</vt:lpstr>
      <vt:lpstr>Sheet1</vt:lpstr>
      <vt:lpstr>CuadroDivisi</vt:lpstr>
      <vt:lpstr>Gráfico1Diapo1</vt:lpstr>
      <vt:lpstr>Pl_Ind</vt:lpstr>
      <vt:lpstr>Gráfico2RemEMP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2025-09-25T12:22:26Z</dcterms:created>
  <dcterms:modified xsi:type="dcterms:W3CDTF">2025-10-08T19:43:30Z</dcterms:modified>
</cp:coreProperties>
</file>