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Daymler\7. Miscelláneos\20.Cepal\Prod\Datos\"/>
    </mc:Choice>
  </mc:AlternateContent>
  <xr:revisionPtr revIDLastSave="0" documentId="13_ncr:1_{C924340D-73DF-4FED-BF5B-2E0FC78CEBF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3" sheetId="3" r:id="rId1"/>
    <sheet name="Perú" sheetId="7" r:id="rId2"/>
    <sheet name="Ecuador" sheetId="6" r:id="rId3"/>
    <sheet name="Colombia" sheetId="5" r:id="rId4"/>
    <sheet name="Brasil" sheetId="4" r:id="rId5"/>
    <sheet name="Sheet1" sheetId="1" r:id="rId6"/>
    <sheet name="Uruguay" sheetId="9" r:id="rId7"/>
  </sheets>
  <externalReferences>
    <externalReference r:id="rId8"/>
    <externalReference r:id="rId9"/>
    <externalReference r:id="rId10"/>
  </externalReferences>
  <definedNames>
    <definedName name="_xlnm._FilterDatabase" localSheetId="1" hidden="1">Perú!$A$1:$I$23</definedName>
    <definedName name="_xlnm._FilterDatabase" localSheetId="6" hidden="1">Uruguay!$A$1:$J$23</definedName>
  </definedNames>
  <calcPr calcId="191029"/>
  <pivotCaches>
    <pivotCache cacheId="1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9" l="1"/>
  <c r="G24" i="9"/>
  <c r="H24" i="9"/>
  <c r="I24" i="9"/>
  <c r="J24" i="9"/>
  <c r="K24" i="9"/>
  <c r="E24" i="9"/>
  <c r="F3" i="9" a="1"/>
  <c r="F3" i="9" s="1"/>
  <c r="F4" i="9" a="1"/>
  <c r="F4" i="9" s="1"/>
  <c r="F5" i="9" a="1"/>
  <c r="F5" i="9" s="1"/>
  <c r="F6" i="9" a="1"/>
  <c r="F6" i="9" s="1"/>
  <c r="F7" i="9" a="1"/>
  <c r="F7" i="9" s="1"/>
  <c r="F8" i="9" a="1"/>
  <c r="F8" i="9" s="1"/>
  <c r="F9" i="9" a="1"/>
  <c r="F9" i="9" s="1"/>
  <c r="F10" i="9" a="1"/>
  <c r="F10" i="9" s="1"/>
  <c r="F11" i="9" a="1"/>
  <c r="F11" i="9" s="1"/>
  <c r="F12" i="9" a="1"/>
  <c r="F12" i="9" s="1"/>
  <c r="F13" i="9" a="1"/>
  <c r="F13" i="9" s="1"/>
  <c r="F14" i="9" a="1"/>
  <c r="F14" i="9" s="1"/>
  <c r="F15" i="9" a="1"/>
  <c r="F15" i="9" s="1"/>
  <c r="F16" i="9" a="1"/>
  <c r="F16" i="9" s="1"/>
  <c r="F17" i="9" a="1"/>
  <c r="F17" i="9" s="1"/>
  <c r="F18" i="9" a="1"/>
  <c r="F18" i="9" s="1"/>
  <c r="F19" i="9" a="1"/>
  <c r="F19" i="9" s="1"/>
  <c r="F20" i="9" a="1"/>
  <c r="F20" i="9" s="1"/>
  <c r="F21" i="9" a="1"/>
  <c r="F21" i="9" s="1"/>
  <c r="F22" i="9" a="1"/>
  <c r="F22" i="9" s="1"/>
  <c r="F23" i="9" a="1"/>
  <c r="F23" i="9" s="1"/>
  <c r="F2" i="9" a="1"/>
  <c r="F2" i="9" s="1"/>
  <c r="E3" i="7" a="1"/>
  <c r="E3" i="7" s="1"/>
  <c r="E4" i="7" a="1"/>
  <c r="E4" i="7" s="1"/>
  <c r="E5" i="7" a="1"/>
  <c r="E5" i="7" s="1"/>
  <c r="E6" i="7" a="1"/>
  <c r="E6" i="7" s="1"/>
  <c r="E7" i="7" a="1"/>
  <c r="E7" i="7" s="1"/>
  <c r="E8" i="7" a="1"/>
  <c r="E8" i="7" s="1"/>
  <c r="E9" i="7" a="1"/>
  <c r="E9" i="7" s="1"/>
  <c r="E10" i="7" a="1"/>
  <c r="E10" i="7" s="1"/>
  <c r="E11" i="7" a="1"/>
  <c r="E11" i="7" s="1"/>
  <c r="E12" i="7" a="1"/>
  <c r="E12" i="7" s="1"/>
  <c r="E13" i="7" a="1"/>
  <c r="E13" i="7" s="1"/>
  <c r="E14" i="7" a="1"/>
  <c r="E14" i="7" s="1"/>
  <c r="E15" i="7" a="1"/>
  <c r="E15" i="7" s="1"/>
  <c r="E16" i="7" a="1"/>
  <c r="E16" i="7" s="1"/>
  <c r="E17" i="7" a="1"/>
  <c r="E17" i="7" s="1"/>
  <c r="E18" i="7" a="1"/>
  <c r="E18" i="7" s="1"/>
  <c r="E19" i="7" a="1"/>
  <c r="E19" i="7" s="1"/>
  <c r="E20" i="7" a="1"/>
  <c r="E20" i="7" s="1"/>
  <c r="E22" i="7" a="1"/>
  <c r="E22" i="7" s="1"/>
  <c r="E23" i="7" a="1"/>
  <c r="E23" i="7" s="1"/>
  <c r="E2" i="7" a="1"/>
  <c r="E2" i="7" s="1"/>
  <c r="F23" i="4"/>
  <c r="F24" i="4" s="1"/>
  <c r="G23" i="4"/>
  <c r="G24" i="4" s="1"/>
  <c r="H23" i="4"/>
  <c r="H24" i="4" s="1"/>
  <c r="I23" i="4"/>
  <c r="I24" i="4" s="1"/>
  <c r="E23" i="4"/>
  <c r="E24" i="4" s="1"/>
  <c r="E3" i="4" a="1"/>
  <c r="E3" i="4" s="1"/>
  <c r="E4" i="4" a="1"/>
  <c r="E4" i="4" s="1"/>
  <c r="E5" i="4" a="1"/>
  <c r="E5" i="4" s="1"/>
  <c r="E6" i="4" a="1"/>
  <c r="E6" i="4" s="1"/>
  <c r="E7" i="4" a="1"/>
  <c r="E7" i="4" s="1"/>
  <c r="E8" i="4" a="1"/>
  <c r="E8" i="4"/>
  <c r="E9" i="4" a="1"/>
  <c r="E9" i="4" s="1"/>
  <c r="E10" i="4" a="1"/>
  <c r="E10" i="4" s="1"/>
  <c r="E11" i="4" a="1"/>
  <c r="E11" i="4" s="1"/>
  <c r="E12" i="4" a="1"/>
  <c r="E12" i="4" s="1"/>
  <c r="E13" i="4" a="1"/>
  <c r="E13" i="4" s="1"/>
  <c r="E14" i="4" a="1"/>
  <c r="E14" i="4" s="1"/>
  <c r="E15" i="4" a="1"/>
  <c r="E15" i="4" s="1"/>
  <c r="E16" i="4" a="1"/>
  <c r="E16" i="4" s="1"/>
  <c r="E17" i="4" a="1"/>
  <c r="E17" i="4" s="1"/>
  <c r="E18" i="4" a="1"/>
  <c r="E18" i="4" s="1"/>
  <c r="E19" i="4" a="1"/>
  <c r="E19" i="4" s="1"/>
  <c r="E20" i="4" a="1"/>
  <c r="E20" i="4" s="1"/>
  <c r="E21" i="4" a="1"/>
  <c r="E21" i="4" s="1"/>
  <c r="E22" i="4" a="1"/>
  <c r="E22" i="4" s="1"/>
  <c r="E25" i="4" a="1"/>
  <c r="E25" i="4" s="1"/>
  <c r="E26" i="4" a="1"/>
  <c r="E26" i="4" s="1"/>
  <c r="E2" i="4" a="1"/>
  <c r="E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<sst xmlns="http://schemas.openxmlformats.org/spreadsheetml/2006/main" count="31736" uniqueCount="74">
  <si>
    <t>codigo</t>
  </si>
  <si>
    <t>glosa</t>
  </si>
  <si>
    <t>pais</t>
  </si>
  <si>
    <t>valor</t>
  </si>
  <si>
    <t>anio</t>
  </si>
  <si>
    <t>variable</t>
  </si>
  <si>
    <t>C</t>
  </si>
  <si>
    <t>Industrias manufactureras</t>
  </si>
  <si>
    <t>Chile</t>
  </si>
  <si>
    <t>consumo_energetico</t>
  </si>
  <si>
    <t>C10</t>
  </si>
  <si>
    <t>Elaboración de productos alimenticios</t>
  </si>
  <si>
    <t>C11</t>
  </si>
  <si>
    <t>Elaboración de bebidas</t>
  </si>
  <si>
    <t>C12</t>
  </si>
  <si>
    <t>Elaboración de productos de tabaco</t>
  </si>
  <si>
    <t>C13</t>
  </si>
  <si>
    <t>Fabricación de productos textiles</t>
  </si>
  <si>
    <t>C14</t>
  </si>
  <si>
    <t>Fabricación de prendas de vestir</t>
  </si>
  <si>
    <t>C15</t>
  </si>
  <si>
    <t>Fabricación de productos de cuero y productos conexos</t>
  </si>
  <si>
    <t>C16</t>
  </si>
  <si>
    <t>Producción de madera y fabricación de productos de madera y corcho, excepto muebles; fabricación de artículos de paja y de materiales trenzables</t>
  </si>
  <si>
    <t>C17</t>
  </si>
  <si>
    <t>Fabricación de papel y de productos de papel</t>
  </si>
  <si>
    <t>C18</t>
  </si>
  <si>
    <t>Impresión y reproducción de grabaciones</t>
  </si>
  <si>
    <t>C19</t>
  </si>
  <si>
    <t>Fabricación de coque y productos de la refinación del petróleo</t>
  </si>
  <si>
    <t>C20</t>
  </si>
  <si>
    <t>Fabricación de sustancias y productos químicos</t>
  </si>
  <si>
    <t>C21</t>
  </si>
  <si>
    <t>Fabricación de productos farmacéuticos, sustancias químicas medicinales y productos botánicos de uso farmacéutico</t>
  </si>
  <si>
    <t>C22</t>
  </si>
  <si>
    <t>Fabricación de productos de caucho y de plástico</t>
  </si>
  <si>
    <t>C23</t>
  </si>
  <si>
    <t>Fabricación de otros productos minerales no metálicos</t>
  </si>
  <si>
    <t>C24</t>
  </si>
  <si>
    <t>Fabricación de metales comunes</t>
  </si>
  <si>
    <t>C25</t>
  </si>
  <si>
    <t>Fabricación de productos elaborados de metal, excepto maquinaria y equipo</t>
  </si>
  <si>
    <t>C26</t>
  </si>
  <si>
    <t>Fabricación de productos de informática, de electrónica y de óptica</t>
  </si>
  <si>
    <t>C27</t>
  </si>
  <si>
    <t>Fabricación de equipo eléctrico</t>
  </si>
  <si>
    <t>C28</t>
  </si>
  <si>
    <t>Fabricación de maquinaria y equipo n.c.p.</t>
  </si>
  <si>
    <t>C29</t>
  </si>
  <si>
    <t>Fabricación de vehículos automotores, remolques y semirremolques</t>
  </si>
  <si>
    <t>C30</t>
  </si>
  <si>
    <t>Fabricación de otro equipo de transporte</t>
  </si>
  <si>
    <t>C31</t>
  </si>
  <si>
    <t>Fabricación de muebles</t>
  </si>
  <si>
    <t>C32</t>
  </si>
  <si>
    <t>Otras industrias manufactureras</t>
  </si>
  <si>
    <t>C33</t>
  </si>
  <si>
    <t>Reparación e instalación de maquinaria y equipo</t>
  </si>
  <si>
    <t>CXX</t>
  </si>
  <si>
    <t>Otras empresas/establecimientos anonimizados</t>
  </si>
  <si>
    <t>Colombia</t>
  </si>
  <si>
    <t>Ecuador</t>
  </si>
  <si>
    <t>Perú</t>
  </si>
  <si>
    <t>Brasil</t>
  </si>
  <si>
    <t>consumo_intermedio_por_actividad_economica</t>
  </si>
  <si>
    <t>México</t>
  </si>
  <si>
    <t>Uruguay</t>
  </si>
  <si>
    <t>horas_trabajadas_por_actividad_economica</t>
  </si>
  <si>
    <t>nivel_ocupados_por_actividad_economica</t>
  </si>
  <si>
    <t>remuneracion_por_actividad_economica</t>
  </si>
  <si>
    <t>valor_agregado_por_actividad_economica</t>
  </si>
  <si>
    <t>valor_bruto_produccion_por_actividad_economica</t>
  </si>
  <si>
    <t>Industria manufacturera</t>
  </si>
  <si>
    <t>codigo_malo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</si>
</sst>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_);_(* \(#,##0.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64" fontId="4" fillId="3" borderId="0" xfId="1" applyNumberFormat="1" applyFont="1" applyFill="1" applyAlignment="1">
      <alignment horizontal="right" vertical="center"/>
    </xf>
    <xf numFmtId="164" fontId="5" fillId="0" borderId="0" xfId="1" applyNumberFormat="1" applyFont="1" applyFill="1" applyAlignment="1">
      <alignment horizontal="right" vertic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ymler\CEPAL\prod\Datos\deflactores\PER%202007-2024.xlsx" TargetMode="External"/><Relationship Id="rId1" Type="http://schemas.openxmlformats.org/officeDocument/2006/relationships/externalLinkPath" Target="deflactores/PER%202007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ymler\CEPAL\prod\Datos\deflactores\BRA%202000-2024.xlsx" TargetMode="External"/><Relationship Id="rId1" Type="http://schemas.openxmlformats.org/officeDocument/2006/relationships/externalLinkPath" Target="deflactores/BRA%202000-202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ymler\CEPAL\prod\Datos\deflactores\URY%202016-2023.xlsx" TargetMode="External"/><Relationship Id="rId1" Type="http://schemas.openxmlformats.org/officeDocument/2006/relationships/externalLinkPath" Target="deflactores/URY%202016-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llonesSoles"/>
      <sheetName val="MillonesSoles07"/>
      <sheetName val="Deflactores"/>
      <sheetName val="Sheet1"/>
    </sheetNames>
    <sheetDataSet>
      <sheetData sheetId="0"/>
      <sheetData sheetId="1"/>
      <sheetData sheetId="2" refreshError="1"/>
      <sheetData sheetId="3">
        <row r="2">
          <cell r="D2">
            <v>132.88560621854245</v>
          </cell>
          <cell r="E2">
            <v>135.60459977198192</v>
          </cell>
          <cell r="F2">
            <v>139.45704193254329</v>
          </cell>
          <cell r="G2">
            <v>140.35475996745322</v>
          </cell>
          <cell r="H2">
            <v>145.48799406911132</v>
          </cell>
          <cell r="I2">
            <v>157.83664161280311</v>
          </cell>
          <cell r="J2">
            <v>182.29555112305957</v>
          </cell>
        </row>
        <row r="3">
          <cell r="D3">
            <v>169.00668576886341</v>
          </cell>
          <cell r="E3">
            <v>157.04607046070461</v>
          </cell>
          <cell r="F3">
            <v>145.49804262722924</v>
          </cell>
          <cell r="G3">
            <v>124.93049119555144</v>
          </cell>
          <cell r="H3">
            <v>99.739583333333343</v>
          </cell>
          <cell r="I3">
            <v>203.87096774193546</v>
          </cell>
          <cell r="J3">
            <v>240.76062639821026</v>
          </cell>
        </row>
        <row r="4">
          <cell r="D4">
            <v>136.25</v>
          </cell>
          <cell r="E4">
            <v>121.62162162162163</v>
          </cell>
          <cell r="F4">
            <v>125.70123939986955</v>
          </cell>
          <cell r="G4">
            <v>133.62533692722371</v>
          </cell>
          <cell r="H4">
            <v>119.68253968253968</v>
          </cell>
          <cell r="I4">
            <v>129.901269393512</v>
          </cell>
          <cell r="J4">
            <v>132.03703703703704</v>
          </cell>
        </row>
        <row r="5">
          <cell r="D5">
            <v>198.88888888888889</v>
          </cell>
          <cell r="E5">
            <v>223.02993280390959</v>
          </cell>
          <cell r="F5">
            <v>210.39915966386556</v>
          </cell>
          <cell r="G5">
            <v>230.59760956175296</v>
          </cell>
          <cell r="H5">
            <v>250.56254136333553</v>
          </cell>
          <cell r="I5">
            <v>305.70175438596488</v>
          </cell>
          <cell r="J5">
            <v>318.65942028985506</v>
          </cell>
        </row>
        <row r="6">
          <cell r="D6">
            <v>90.823327615780443</v>
          </cell>
          <cell r="E6">
            <v>99.272486772486772</v>
          </cell>
          <cell r="F6">
            <v>108.69837296620777</v>
          </cell>
          <cell r="G6">
            <v>113.38962605548855</v>
          </cell>
          <cell r="H6">
            <v>105.90405904059041</v>
          </cell>
          <cell r="I6">
            <v>112.72727272727272</v>
          </cell>
          <cell r="J6">
            <v>102.9532403609516</v>
          </cell>
        </row>
        <row r="7">
          <cell r="D7">
            <v>94.265514532600164</v>
          </cell>
          <cell r="E7">
            <v>97.190584662110851</v>
          </cell>
          <cell r="F7">
            <v>94.966691339748337</v>
          </cell>
          <cell r="G7">
            <v>94.616639477977159</v>
          </cell>
          <cell r="H7">
            <v>96.492595479345283</v>
          </cell>
          <cell r="I7">
            <v>130.71192052980132</v>
          </cell>
          <cell r="J7">
            <v>164.49760765550238</v>
          </cell>
        </row>
        <row r="8">
          <cell r="D8">
            <v>115.23569023569023</v>
          </cell>
          <cell r="E8">
            <v>105.95533498759305</v>
          </cell>
          <cell r="F8">
            <v>100.7234726688103</v>
          </cell>
          <cell r="G8">
            <v>95.129870129870127</v>
          </cell>
          <cell r="H8">
            <v>72.523961661341858</v>
          </cell>
          <cell r="I8">
            <v>109.18918918918918</v>
          </cell>
          <cell r="J8">
            <v>138.67502238137871</v>
          </cell>
        </row>
        <row r="9">
          <cell r="D9">
            <v>149.2134831460674</v>
          </cell>
          <cell r="E9">
            <v>144.42030953027424</v>
          </cell>
          <cell r="F9">
            <v>158.58229223248236</v>
          </cell>
          <cell r="G9">
            <v>147.78715784088001</v>
          </cell>
          <cell r="H9">
            <v>131.34796238244516</v>
          </cell>
          <cell r="I9">
            <v>133.77958403060003</v>
          </cell>
          <cell r="J9">
            <v>195.14419521814148</v>
          </cell>
        </row>
        <row r="10">
          <cell r="D10">
            <v>183.82608695652175</v>
          </cell>
          <cell r="E10">
            <v>141.02964118564742</v>
          </cell>
          <cell r="F10">
            <v>123.06501547987617</v>
          </cell>
          <cell r="G10">
            <v>163.14984709480123</v>
          </cell>
          <cell r="H10">
            <v>159.02439024390245</v>
          </cell>
          <cell r="I10">
            <v>230.88235294117646</v>
          </cell>
          <cell r="J10">
            <v>249.16107382550337</v>
          </cell>
        </row>
        <row r="11">
          <cell r="B11" t="str">
            <v>C10</v>
          </cell>
          <cell r="D11">
            <v>163.48039215686273</v>
          </cell>
          <cell r="E11">
            <v>162.89453425712085</v>
          </cell>
          <cell r="F11">
            <v>189.21193573068095</v>
          </cell>
          <cell r="G11">
            <v>193.37899543378995</v>
          </cell>
          <cell r="H11">
            <v>208.00850460666194</v>
          </cell>
          <cell r="I11">
            <v>184.50312717164698</v>
          </cell>
          <cell r="J11">
            <v>178.38214783821479</v>
          </cell>
        </row>
        <row r="12">
          <cell r="D12">
            <v>177.23577235772359</v>
          </cell>
          <cell r="E12">
            <v>176.0910815939279</v>
          </cell>
          <cell r="F12">
            <v>169.33085501858736</v>
          </cell>
          <cell r="G12">
            <v>171.78423236514521</v>
          </cell>
          <cell r="H12">
            <v>133.21033210332104</v>
          </cell>
          <cell r="I12">
            <v>120.92198581560282</v>
          </cell>
          <cell r="J12">
            <v>219.95753715498938</v>
          </cell>
        </row>
        <row r="13">
          <cell r="B13" t="str">
            <v>C11</v>
          </cell>
          <cell r="D13">
            <v>155.60378847671666</v>
          </cell>
          <cell r="E13">
            <v>173.53174603174602</v>
          </cell>
          <cell r="F13">
            <v>200.48543689320391</v>
          </cell>
          <cell r="G13">
            <v>204.74885844748857</v>
          </cell>
          <cell r="H13">
            <v>188.73707533234861</v>
          </cell>
          <cell r="I13">
            <v>177.77400746521889</v>
          </cell>
          <cell r="J13">
            <v>202.78911564625849</v>
          </cell>
        </row>
        <row r="14">
          <cell r="B14" t="str">
            <v>C13</v>
          </cell>
          <cell r="D14">
            <v>110.38345540715208</v>
          </cell>
          <cell r="E14">
            <v>111.94094659140252</v>
          </cell>
          <cell r="F14">
            <v>117.31123388581952</v>
          </cell>
          <cell r="G14">
            <v>126.45241038318913</v>
          </cell>
          <cell r="H14">
            <v>120.91767881241566</v>
          </cell>
          <cell r="I14">
            <v>129.43882244710213</v>
          </cell>
          <cell r="J14">
            <v>147.34325185972369</v>
          </cell>
        </row>
        <row r="15">
          <cell r="B15" t="str">
            <v>C14</v>
          </cell>
          <cell r="D15">
            <v>116.00614439324117</v>
          </cell>
          <cell r="E15">
            <v>110.94742923165799</v>
          </cell>
          <cell r="F15">
            <v>113.53361094586556</v>
          </cell>
          <cell r="G15">
            <v>128.31215970961887</v>
          </cell>
          <cell r="H15">
            <v>113.17008603573792</v>
          </cell>
          <cell r="I15">
            <v>97.710547833197055</v>
          </cell>
          <cell r="J15">
            <v>118.16291161178509</v>
          </cell>
        </row>
        <row r="16">
          <cell r="B16" t="str">
            <v>C15</v>
          </cell>
          <cell r="D16">
            <v>105.30973451327435</v>
          </cell>
          <cell r="E16">
            <v>110.98677517802645</v>
          </cell>
          <cell r="F16">
            <v>115.22727272727273</v>
          </cell>
          <cell r="G16">
            <v>116.75041876046902</v>
          </cell>
          <cell r="H16">
            <v>106.78210678210678</v>
          </cell>
          <cell r="I16">
            <v>105.01981505944518</v>
          </cell>
          <cell r="J16">
            <v>120.02989536621824</v>
          </cell>
        </row>
        <row r="17">
          <cell r="B17" t="str">
            <v>C16</v>
          </cell>
          <cell r="D17">
            <v>113.46633416458853</v>
          </cell>
          <cell r="E17">
            <v>111.23499142367066</v>
          </cell>
          <cell r="F17">
            <v>113.42905405405406</v>
          </cell>
          <cell r="G17">
            <v>116.98113207547169</v>
          </cell>
          <cell r="H17">
            <v>120.93690248565964</v>
          </cell>
          <cell r="I17">
            <v>140.10938924339106</v>
          </cell>
          <cell r="J17">
            <v>133.8044758539458</v>
          </cell>
        </row>
        <row r="18">
          <cell r="B18" t="str">
            <v>C17</v>
          </cell>
          <cell r="D18">
            <v>138.7142186766776</v>
          </cell>
          <cell r="E18">
            <v>142.23794781070322</v>
          </cell>
          <cell r="F18">
            <v>147.98903107861062</v>
          </cell>
          <cell r="G18">
            <v>153.37773549000951</v>
          </cell>
          <cell r="H18">
            <v>140.09237875288682</v>
          </cell>
          <cell r="I18">
            <v>130.47294002925403</v>
          </cell>
          <cell r="J18">
            <v>129.59641255605382</v>
          </cell>
        </row>
        <row r="19">
          <cell r="B19" t="str">
            <v>C18</v>
          </cell>
          <cell r="D19">
            <v>116.88948306595366</v>
          </cell>
          <cell r="E19">
            <v>108.37310195227765</v>
          </cell>
          <cell r="F19">
            <v>111.86046511627907</v>
          </cell>
          <cell r="G19">
            <v>119.87028301886792</v>
          </cell>
          <cell r="H19">
            <v>109.34629929767694</v>
          </cell>
          <cell r="I19">
            <v>105.67583382094791</v>
          </cell>
          <cell r="J19">
            <v>120.36253776435046</v>
          </cell>
        </row>
        <row r="20">
          <cell r="B20" t="str">
            <v>C19</v>
          </cell>
          <cell r="D20">
            <v>285.28764539453005</v>
          </cell>
          <cell r="E20">
            <v>360.25557011795547</v>
          </cell>
          <cell r="F20">
            <v>443.52465047829287</v>
          </cell>
          <cell r="G20">
            <v>455.6521739130435</v>
          </cell>
          <cell r="H20">
            <v>572.9493087557604</v>
          </cell>
          <cell r="I20">
            <v>876.62141779788851</v>
          </cell>
          <cell r="J20">
            <v>1052.1079258010118</v>
          </cell>
        </row>
        <row r="21">
          <cell r="D21">
            <v>89.044943820224717</v>
          </cell>
          <cell r="E21">
            <v>89.626556016597519</v>
          </cell>
          <cell r="F21">
            <v>91.395045632333776</v>
          </cell>
          <cell r="G21">
            <v>98.728813559322035</v>
          </cell>
          <cell r="H21">
            <v>119.87096774193549</v>
          </cell>
          <cell r="I21">
            <v>118.1169757489301</v>
          </cell>
          <cell r="J21">
            <v>114.21874999999999</v>
          </cell>
        </row>
        <row r="22">
          <cell r="B22" t="str">
            <v>C20</v>
          </cell>
          <cell r="D22">
            <v>127.68409218662168</v>
          </cell>
          <cell r="E22">
            <v>128.13496280552604</v>
          </cell>
          <cell r="F22">
            <v>129.29376202253366</v>
          </cell>
          <cell r="G22">
            <v>125.90949423247559</v>
          </cell>
          <cell r="H22">
            <v>115.61026715557882</v>
          </cell>
          <cell r="I22">
            <v>115.7643691867398</v>
          </cell>
          <cell r="J22">
            <v>139.94531444195874</v>
          </cell>
        </row>
        <row r="23">
          <cell r="B23" t="str">
            <v>C21</v>
          </cell>
          <cell r="D23">
            <v>123.28042328042328</v>
          </cell>
          <cell r="E23">
            <v>122.26322263222633</v>
          </cell>
          <cell r="F23">
            <v>123.20987654320987</v>
          </cell>
          <cell r="G23">
            <v>123.954802259887</v>
          </cell>
          <cell r="H23">
            <v>112.23628691983123</v>
          </cell>
          <cell r="I23">
            <v>98.591549295774655</v>
          </cell>
          <cell r="J23">
            <v>107.54310344827587</v>
          </cell>
        </row>
        <row r="24">
          <cell r="B24" t="str">
            <v>C22</v>
          </cell>
          <cell r="D24">
            <v>135.38895606610237</v>
          </cell>
          <cell r="E24">
            <v>123.29411764705883</v>
          </cell>
          <cell r="F24">
            <v>132.26172465960667</v>
          </cell>
          <cell r="G24">
            <v>136.03305785123968</v>
          </cell>
          <cell r="H24">
            <v>134.06326034063261</v>
          </cell>
          <cell r="I24">
            <v>149.09694065610026</v>
          </cell>
          <cell r="J24">
            <v>180.15936254980082</v>
          </cell>
        </row>
        <row r="25">
          <cell r="B25" t="str">
            <v>C23</v>
          </cell>
          <cell r="D25">
            <v>114.86057183198024</v>
          </cell>
          <cell r="E25">
            <v>111.1931330472103</v>
          </cell>
          <cell r="F25">
            <v>112.47889226612631</v>
          </cell>
          <cell r="G25">
            <v>114.04674610449131</v>
          </cell>
          <cell r="H25">
            <v>102.56532066508312</v>
          </cell>
          <cell r="I25">
            <v>100.61871616395979</v>
          </cell>
          <cell r="J25">
            <v>117.19178082191782</v>
          </cell>
        </row>
        <row r="26">
          <cell r="D26">
            <v>71.951219512195124</v>
          </cell>
          <cell r="E26">
            <v>83.233929754804507</v>
          </cell>
          <cell r="F26">
            <v>84.967320261437905</v>
          </cell>
          <cell r="G26">
            <v>80.960698689956331</v>
          </cell>
          <cell r="H26">
            <v>123.46335697399526</v>
          </cell>
          <cell r="I26">
            <v>165.63728242560359</v>
          </cell>
          <cell r="J26">
            <v>156.68906536346975</v>
          </cell>
        </row>
        <row r="27">
          <cell r="B27" t="str">
            <v>C24</v>
          </cell>
          <cell r="D27">
            <v>80.660377358490564</v>
          </cell>
          <cell r="E27">
            <v>84.240814519698986</v>
          </cell>
          <cell r="F27">
            <v>76.288817500382436</v>
          </cell>
          <cell r="G27">
            <v>78.79809903418672</v>
          </cell>
          <cell r="H27">
            <v>154.64705882352939</v>
          </cell>
          <cell r="I27">
            <v>150.91863517060366</v>
          </cell>
          <cell r="J27">
            <v>123.50278101151208</v>
          </cell>
        </row>
        <row r="28">
          <cell r="B28" t="str">
            <v>C25</v>
          </cell>
          <cell r="D28">
            <v>148.32836809003643</v>
          </cell>
          <cell r="E28">
            <v>149.37125748502993</v>
          </cell>
          <cell r="F28">
            <v>152.84003684372121</v>
          </cell>
          <cell r="G28">
            <v>166.47681041497154</v>
          </cell>
          <cell r="H28">
            <v>173.43425348768179</v>
          </cell>
          <cell r="I28">
            <v>169.18539325842696</v>
          </cell>
          <cell r="J28">
            <v>180.83522175461314</v>
          </cell>
        </row>
        <row r="29">
          <cell r="B29" t="str">
            <v>C26</v>
          </cell>
          <cell r="D29">
            <v>110.00000000000001</v>
          </cell>
          <cell r="E29">
            <v>109.19540229885058</v>
          </cell>
          <cell r="F29">
            <v>107.44680851063831</v>
          </cell>
          <cell r="G29">
            <v>108.47457627118644</v>
          </cell>
          <cell r="H29">
            <v>94.140625</v>
          </cell>
          <cell r="I29">
            <v>98.672566371681413</v>
          </cell>
          <cell r="J29">
            <v>118.45238095238095</v>
          </cell>
        </row>
        <row r="30">
          <cell r="B30" t="str">
            <v>C28</v>
          </cell>
          <cell r="D30">
            <v>135.52431610942247</v>
          </cell>
          <cell r="E30">
            <v>131.5024805102764</v>
          </cell>
          <cell r="F30">
            <v>135.73255389112165</v>
          </cell>
          <cell r="G30">
            <v>136.5361803084223</v>
          </cell>
          <cell r="H30">
            <v>114.95487752470991</v>
          </cell>
          <cell r="I30">
            <v>128.77758913412563</v>
          </cell>
          <cell r="J30">
            <v>160.69605568445476</v>
          </cell>
        </row>
        <row r="31">
          <cell r="B31" t="str">
            <v>C30</v>
          </cell>
          <cell r="D31">
            <v>149.41118743866534</v>
          </cell>
          <cell r="E31">
            <v>152.76785714285714</v>
          </cell>
          <cell r="F31">
            <v>155.0660792951542</v>
          </cell>
          <cell r="G31">
            <v>169.85345429169573</v>
          </cell>
          <cell r="H31">
            <v>189.04382470119523</v>
          </cell>
          <cell r="I31">
            <v>198.63336475023564</v>
          </cell>
          <cell r="J31">
            <v>206.31988332523093</v>
          </cell>
        </row>
        <row r="32">
          <cell r="B32" t="str">
            <v>C31</v>
          </cell>
          <cell r="D32">
            <v>137.51295336787567</v>
          </cell>
          <cell r="E32">
            <v>135.27724665391969</v>
          </cell>
          <cell r="F32">
            <v>136.62230380908673</v>
          </cell>
          <cell r="G32">
            <v>135.16090584028606</v>
          </cell>
          <cell r="H32">
            <v>124.88292226038089</v>
          </cell>
          <cell r="I32">
            <v>127.64826175869122</v>
          </cell>
          <cell r="J32">
            <v>157.79193205944799</v>
          </cell>
        </row>
        <row r="33">
          <cell r="B33" t="str">
            <v>C32</v>
          </cell>
          <cell r="D33">
            <v>126.14811750103433</v>
          </cell>
          <cell r="E33">
            <v>123.71094498754074</v>
          </cell>
          <cell r="F33">
            <v>120.35836828059475</v>
          </cell>
          <cell r="G33">
            <v>120.42158189905241</v>
          </cell>
          <cell r="H33">
            <v>117.93245600126842</v>
          </cell>
          <cell r="I33">
            <v>112.17958001448226</v>
          </cell>
          <cell r="J33">
            <v>118.96267426172989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riente58"/>
      <sheetName val="constante58"/>
      <sheetName val="Deflactores"/>
      <sheetName val="Industria"/>
      <sheetName val="Sheet1"/>
      <sheetName val="Deflactor C 2000-2024"/>
    </sheetNames>
    <sheetDataSet>
      <sheetData sheetId="0"/>
      <sheetData sheetId="1"/>
      <sheetData sheetId="2"/>
      <sheetData sheetId="3">
        <row r="2">
          <cell r="A2" t="str">
            <v>C11</v>
          </cell>
          <cell r="C2">
            <v>114.03015813463395</v>
          </cell>
          <cell r="D2">
            <v>99.301777294160317</v>
          </cell>
          <cell r="E2">
            <v>95.364422568894085</v>
          </cell>
          <cell r="F2">
            <v>122.22156406877045</v>
          </cell>
          <cell r="G2">
            <v>114.53670231695668</v>
          </cell>
        </row>
        <row r="3">
          <cell r="A3" t="str">
            <v>C12</v>
          </cell>
          <cell r="C3">
            <v>82.944109157701391</v>
          </cell>
          <cell r="D3">
            <v>113.17535545023696</v>
          </cell>
          <cell r="E3">
            <v>96.855828220858896</v>
          </cell>
          <cell r="F3">
            <v>99.84375</v>
          </cell>
          <cell r="G3">
            <v>89.15040183696901</v>
          </cell>
        </row>
        <row r="4">
          <cell r="A4" t="str">
            <v>C13</v>
          </cell>
          <cell r="C4">
            <v>109.32227221597299</v>
          </cell>
          <cell r="D4">
            <v>107.45998794615952</v>
          </cell>
          <cell r="E4">
            <v>108.46297850364728</v>
          </cell>
          <cell r="F4">
            <v>84.029193240844236</v>
          </cell>
          <cell r="G4">
            <v>138.94268703823255</v>
          </cell>
        </row>
        <row r="5">
          <cell r="A5" t="str">
            <v>C14</v>
          </cell>
          <cell r="C5">
            <v>101.93620593172916</v>
          </cell>
          <cell r="D5">
            <v>108.12745060717957</v>
          </cell>
          <cell r="E5">
            <v>97.420991438537158</v>
          </cell>
          <cell r="F5">
            <v>115.65923505669807</v>
          </cell>
          <cell r="G5">
            <v>105.89597500459473</v>
          </cell>
        </row>
        <row r="6">
          <cell r="A6" t="str">
            <v>C15</v>
          </cell>
          <cell r="C6">
            <v>104.40092794759825</v>
          </cell>
          <cell r="D6">
            <v>106.87075296863202</v>
          </cell>
          <cell r="E6">
            <v>102.77408195848857</v>
          </cell>
          <cell r="F6">
            <v>106.45313235986811</v>
          </cell>
          <cell r="G6">
            <v>117.47412305922944</v>
          </cell>
        </row>
        <row r="7">
          <cell r="A7" t="str">
            <v>C16</v>
          </cell>
          <cell r="C7">
            <v>111.9037912759886</v>
          </cell>
          <cell r="D7">
            <v>104.4687277896233</v>
          </cell>
          <cell r="E7">
            <v>108.29923501156378</v>
          </cell>
          <cell r="F7">
            <v>119.46457990115323</v>
          </cell>
          <cell r="G7">
            <v>119.38003417134489</v>
          </cell>
        </row>
        <row r="8">
          <cell r="A8" t="str">
            <v>C17</v>
          </cell>
          <cell r="C8">
            <v>102.61768340635884</v>
          </cell>
          <cell r="D8">
            <v>113.8986452584044</v>
          </cell>
          <cell r="E8">
            <v>101.92952201216934</v>
          </cell>
          <cell r="F8">
            <v>95.378601601412271</v>
          </cell>
          <cell r="G8">
            <v>96.562873864261007</v>
          </cell>
        </row>
        <row r="9">
          <cell r="A9" t="str">
            <v>C18</v>
          </cell>
          <cell r="C9">
            <v>93.027796921663224</v>
          </cell>
          <cell r="D9">
            <v>126.30801428043826</v>
          </cell>
          <cell r="E9">
            <v>85.168210628961489</v>
          </cell>
          <cell r="F9">
            <v>108.33333333333333</v>
          </cell>
          <cell r="G9">
            <v>81.173765246950609</v>
          </cell>
        </row>
        <row r="10">
          <cell r="A10" t="str">
            <v>C19</v>
          </cell>
          <cell r="C10">
            <v>84.092029580936739</v>
          </cell>
          <cell r="D10">
            <v>76.738748210045486</v>
          </cell>
          <cell r="E10">
            <v>136.58590743116551</v>
          </cell>
          <cell r="F10">
            <v>112.73683132488989</v>
          </cell>
          <cell r="G10">
            <v>134.82428592791985</v>
          </cell>
        </row>
        <row r="11">
          <cell r="C11">
            <v>85.85164835164835</v>
          </cell>
          <cell r="D11">
            <v>111.27848590189262</v>
          </cell>
          <cell r="E11">
            <v>103.6671469740634</v>
          </cell>
          <cell r="F11">
            <v>134.47252094741705</v>
          </cell>
          <cell r="G11">
            <v>133.77086784758507</v>
          </cell>
        </row>
        <row r="12">
          <cell r="A12" t="str">
            <v>C20</v>
          </cell>
          <cell r="C12">
            <v>82.719808811625484</v>
          </cell>
          <cell r="D12">
            <v>98.868322623957042</v>
          </cell>
          <cell r="E12">
            <v>115.72870071777801</v>
          </cell>
          <cell r="F12">
            <v>117.59356879283078</v>
          </cell>
          <cell r="G12">
            <v>177.85226912091397</v>
          </cell>
        </row>
        <row r="13">
          <cell r="C13">
            <v>100.94848428491726</v>
          </cell>
          <cell r="D13">
            <v>120.38027332144978</v>
          </cell>
          <cell r="E13">
            <v>107.23125884016973</v>
          </cell>
          <cell r="F13">
            <v>142.53108499403851</v>
          </cell>
          <cell r="G13">
            <v>216.66459085813923</v>
          </cell>
        </row>
        <row r="14">
          <cell r="A14" t="str">
            <v>C21</v>
          </cell>
          <cell r="C14">
            <v>124.48946183752814</v>
          </cell>
          <cell r="D14">
            <v>103.97812182437683</v>
          </cell>
          <cell r="E14">
            <v>106.60508630132929</v>
          </cell>
          <cell r="F14">
            <v>106.48135810036511</v>
          </cell>
          <cell r="G14">
            <v>117.61181696105774</v>
          </cell>
        </row>
        <row r="15">
          <cell r="C15">
            <v>129.39387356072126</v>
          </cell>
          <cell r="D15">
            <v>80.35082072738976</v>
          </cell>
          <cell r="E15">
            <v>140.46364594309799</v>
          </cell>
          <cell r="F15">
            <v>117.19823356231601</v>
          </cell>
          <cell r="G15">
            <v>70.731225296442688</v>
          </cell>
        </row>
        <row r="16">
          <cell r="C16">
            <v>111.02783725910064</v>
          </cell>
          <cell r="D16">
            <v>96.722763507528782</v>
          </cell>
          <cell r="E16">
            <v>122.3570527133288</v>
          </cell>
          <cell r="F16">
            <v>101.6200182537268</v>
          </cell>
          <cell r="G16">
            <v>85.013869105630107</v>
          </cell>
        </row>
        <row r="17">
          <cell r="C17">
            <v>82.434740180531847</v>
          </cell>
          <cell r="D17">
            <v>106.00315955766193</v>
          </cell>
          <cell r="E17">
            <v>92.241634586911459</v>
          </cell>
          <cell r="F17">
            <v>151.72304773948784</v>
          </cell>
          <cell r="G17">
            <v>68.943374197314654</v>
          </cell>
        </row>
        <row r="18">
          <cell r="C18">
            <v>132.67716535433073</v>
          </cell>
          <cell r="D18">
            <v>72.850058035243222</v>
          </cell>
          <cell r="E18">
            <v>101.98475478210844</v>
          </cell>
          <cell r="F18">
            <v>119.90862522497576</v>
          </cell>
          <cell r="G18">
            <v>96.287854119179414</v>
          </cell>
        </row>
        <row r="19">
          <cell r="A19" t="str">
            <v>C22</v>
          </cell>
          <cell r="C19">
            <v>95.141305408305968</v>
          </cell>
          <cell r="D19">
            <v>97.337142106645658</v>
          </cell>
          <cell r="E19">
            <v>104.11267221388623</v>
          </cell>
          <cell r="F19">
            <v>112.56068802885282</v>
          </cell>
          <cell r="G19">
            <v>108.13474807212849</v>
          </cell>
        </row>
        <row r="20">
          <cell r="A20" t="str">
            <v>C23</v>
          </cell>
          <cell r="C20">
            <v>90.173709106809241</v>
          </cell>
          <cell r="D20">
            <v>105.87153609305508</v>
          </cell>
          <cell r="E20">
            <v>100.26275365833939</v>
          </cell>
          <cell r="F20">
            <v>127.12128223465567</v>
          </cell>
          <cell r="G20">
            <v>125.93867702448212</v>
          </cell>
        </row>
        <row r="21">
          <cell r="C21">
            <v>110.29705228348251</v>
          </cell>
          <cell r="D21">
            <v>168.30157088688628</v>
          </cell>
          <cell r="E21">
            <v>70.416366690664745</v>
          </cell>
          <cell r="F21">
            <v>92.928923807783676</v>
          </cell>
          <cell r="G21">
            <v>415.48814263458542</v>
          </cell>
        </row>
        <row r="22">
          <cell r="A22" t="str">
            <v>C24</v>
          </cell>
          <cell r="C22">
            <v>99.863442846815005</v>
          </cell>
          <cell r="D22">
            <v>136.93397856895956</v>
          </cell>
          <cell r="E22">
            <v>93.881002718212031</v>
          </cell>
          <cell r="F22">
            <v>141.35172413793106</v>
          </cell>
          <cell r="G22">
            <v>144.87437927135062</v>
          </cell>
        </row>
        <row r="23">
          <cell r="A23" t="str">
            <v>C25</v>
          </cell>
          <cell r="C23">
            <v>91.705503931379567</v>
          </cell>
          <cell r="D23">
            <v>105.49245420318283</v>
          </cell>
          <cell r="E23">
            <v>110.58739866306357</v>
          </cell>
          <cell r="F23">
            <v>101.46026929641569</v>
          </cell>
          <cell r="G23">
            <v>124.1520327159009</v>
          </cell>
        </row>
        <row r="24">
          <cell r="A24" t="str">
            <v>C33</v>
          </cell>
          <cell r="C24">
            <v>106.19495397655785</v>
          </cell>
          <cell r="D24">
            <v>100.36006745567525</v>
          </cell>
          <cell r="E24">
            <v>111.79674721476407</v>
          </cell>
          <cell r="F24">
            <v>112.54312395907684</v>
          </cell>
          <cell r="G24">
            <v>110.76781397490502</v>
          </cell>
        </row>
        <row r="25">
          <cell r="A25" t="str">
            <v>C27</v>
          </cell>
          <cell r="C25">
            <v>84.462478812471105</v>
          </cell>
          <cell r="D25">
            <v>120.23766654663306</v>
          </cell>
          <cell r="E25">
            <v>108.38329287023734</v>
          </cell>
          <cell r="F25">
            <v>97.249063756992925</v>
          </cell>
          <cell r="G25">
            <v>133.56412345008596</v>
          </cell>
        </row>
        <row r="26">
          <cell r="A26" t="str">
            <v>C26</v>
          </cell>
          <cell r="C26">
            <v>90.199200487837928</v>
          </cell>
          <cell r="D26">
            <v>91.609961417046648</v>
          </cell>
          <cell r="E26">
            <v>108.07339449541284</v>
          </cell>
          <cell r="F26">
            <v>103.79536237912031</v>
          </cell>
          <cell r="G26">
            <v>119.80368520750817</v>
          </cell>
        </row>
        <row r="27">
          <cell r="A27" t="str">
            <v>C29</v>
          </cell>
          <cell r="C27">
            <v>123.82479950647749</v>
          </cell>
          <cell r="D27">
            <v>97.677256469598149</v>
          </cell>
          <cell r="E27">
            <v>101.59721026347512</v>
          </cell>
          <cell r="F27">
            <v>88.734708782180022</v>
          </cell>
          <cell r="G27">
            <v>139.05799074326163</v>
          </cell>
        </row>
        <row r="28">
          <cell r="C28">
            <v>107.07219909583276</v>
          </cell>
          <cell r="D28">
            <v>122.30403124110158</v>
          </cell>
          <cell r="E28">
            <v>102.84005017529188</v>
          </cell>
          <cell r="F28">
            <v>109.31263858093125</v>
          </cell>
          <cell r="G28">
            <v>118.00370760786593</v>
          </cell>
        </row>
        <row r="29">
          <cell r="A29" t="str">
            <v>C30</v>
          </cell>
          <cell r="C29">
            <v>125.49555707450443</v>
          </cell>
          <cell r="D29">
            <v>83.671550575883415</v>
          </cell>
          <cell r="E29">
            <v>112.65729993891264</v>
          </cell>
          <cell r="F29">
            <v>95.368261199696278</v>
          </cell>
          <cell r="G29">
            <v>89.039864122289941</v>
          </cell>
        </row>
        <row r="30">
          <cell r="A30" t="str">
            <v>C31</v>
          </cell>
          <cell r="C30">
            <v>97.252992674647132</v>
          </cell>
          <cell r="D30">
            <v>101.63364297808081</v>
          </cell>
          <cell r="E30">
            <v>107.04150876883757</v>
          </cell>
          <cell r="F30">
            <v>110.02926421404682</v>
          </cell>
          <cell r="G30">
            <v>103.73753573669897</v>
          </cell>
        </row>
      </sheetData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riente"/>
      <sheetName val="constante"/>
      <sheetName val="Deflactores"/>
    </sheetNames>
    <sheetDataSet>
      <sheetData sheetId="0" refreshError="1"/>
      <sheetData sheetId="1" refreshError="1"/>
      <sheetData sheetId="2">
        <row r="2">
          <cell r="I2">
            <v>100.69885484849084</v>
          </cell>
          <cell r="J2">
            <v>100.02583313778777</v>
          </cell>
          <cell r="K2">
            <v>145.38284469509685</v>
          </cell>
          <cell r="L2">
            <v>155.40756088635024</v>
          </cell>
          <cell r="M2">
            <v>170.59580464356</v>
          </cell>
          <cell r="N2">
            <v>183.07698007117358</v>
          </cell>
        </row>
        <row r="3">
          <cell r="I3">
            <v>112.27950902290023</v>
          </cell>
          <cell r="J3">
            <v>158.39885808636382</v>
          </cell>
          <cell r="K3">
            <v>175.53339577990062</v>
          </cell>
          <cell r="L3">
            <v>213.66510439928263</v>
          </cell>
          <cell r="M3">
            <v>239.18263937804744</v>
          </cell>
          <cell r="N3">
            <v>156.44564049713367</v>
          </cell>
        </row>
        <row r="4">
          <cell r="I4">
            <v>105.54895467552241</v>
          </cell>
          <cell r="J4">
            <v>112.76739558043147</v>
          </cell>
          <cell r="K4">
            <v>136.4843008003036</v>
          </cell>
          <cell r="L4">
            <v>128.77096116550047</v>
          </cell>
          <cell r="M4">
            <v>119.5116081476052</v>
          </cell>
          <cell r="N4">
            <v>114.79974333638252</v>
          </cell>
        </row>
        <row r="5">
          <cell r="I5">
            <v>111.00103695194173</v>
          </cell>
          <cell r="J5">
            <v>125.66003617346111</v>
          </cell>
          <cell r="K5">
            <v>149.68747527361771</v>
          </cell>
          <cell r="L5">
            <v>150.49935870496728</v>
          </cell>
          <cell r="M5">
            <v>163.37060292070024</v>
          </cell>
          <cell r="N5">
            <v>169.76736619109275</v>
          </cell>
        </row>
        <row r="6">
          <cell r="I6">
            <v>89.993084356773551</v>
          </cell>
          <cell r="J6">
            <v>123.30735391456496</v>
          </cell>
          <cell r="K6">
            <v>128.46227937234383</v>
          </cell>
          <cell r="L6">
            <v>130.66152409437959</v>
          </cell>
          <cell r="M6">
            <v>104.88044028669441</v>
          </cell>
          <cell r="N6">
            <v>118.05929196404792</v>
          </cell>
        </row>
        <row r="7">
          <cell r="H7">
            <v>93.802218938407151</v>
          </cell>
          <cell r="I7">
            <v>101.79088099932547</v>
          </cell>
          <cell r="J7">
            <v>97.640083889572963</v>
          </cell>
          <cell r="K7">
            <v>127.13586104112669</v>
          </cell>
          <cell r="L7">
            <v>161.76904523906416</v>
          </cell>
          <cell r="M7">
            <v>142.03641936999261</v>
          </cell>
          <cell r="N7">
            <v>163.25658406146275</v>
          </cell>
        </row>
        <row r="8">
          <cell r="H8">
            <v>100.1117518851246</v>
          </cell>
          <cell r="I8">
            <v>112.42661618718965</v>
          </cell>
          <cell r="J8">
            <v>122.89947530048455</v>
          </cell>
          <cell r="K8">
            <v>131.7873638118208</v>
          </cell>
          <cell r="L8">
            <v>140.54625530246525</v>
          </cell>
          <cell r="M8">
            <v>149.61010856415163</v>
          </cell>
          <cell r="N8">
            <v>138.2865334769005</v>
          </cell>
        </row>
        <row r="9">
          <cell r="H9">
            <v>141.45789923437465</v>
          </cell>
          <cell r="I9">
            <v>132.75708431730865</v>
          </cell>
          <cell r="J9">
            <v>154.67988312770987</v>
          </cell>
          <cell r="K9">
            <v>164.33257781935504</v>
          </cell>
          <cell r="L9">
            <v>172.7091583094593</v>
          </cell>
          <cell r="M9">
            <v>239.07372439982262</v>
          </cell>
          <cell r="N9">
            <v>178.63091453206658</v>
          </cell>
        </row>
        <row r="10">
          <cell r="H10">
            <v>120.25808769116996</v>
          </cell>
          <cell r="I10">
            <v>124.35300262566346</v>
          </cell>
          <cell r="J10">
            <v>133.21790519697745</v>
          </cell>
          <cell r="K10">
            <v>159.59888444849898</v>
          </cell>
          <cell r="L10">
            <v>172.79421749128701</v>
          </cell>
          <cell r="M10">
            <v>205.05113832767043</v>
          </cell>
          <cell r="N10">
            <v>265.75351948450475</v>
          </cell>
        </row>
        <row r="11">
          <cell r="H11">
            <v>115.45465277846102</v>
          </cell>
          <cell r="I11">
            <v>135.4453640274283</v>
          </cell>
          <cell r="J11">
            <v>151.8397827620517</v>
          </cell>
          <cell r="K11">
            <v>169.67848777490161</v>
          </cell>
          <cell r="L11">
            <v>176.12467185818508</v>
          </cell>
          <cell r="M11">
            <v>183.27575334896093</v>
          </cell>
          <cell r="N11">
            <v>181.53148374093928</v>
          </cell>
        </row>
        <row r="12">
          <cell r="H12">
            <v>116.69288889852309</v>
          </cell>
          <cell r="I12">
            <v>118.04898160024757</v>
          </cell>
          <cell r="J12">
            <v>126.43194656316498</v>
          </cell>
          <cell r="K12">
            <v>125.16625447626556</v>
          </cell>
          <cell r="L12">
            <v>93.998850378469299</v>
          </cell>
          <cell r="M12">
            <v>102.73335502900068</v>
          </cell>
          <cell r="N12">
            <v>118.37407026596938</v>
          </cell>
        </row>
        <row r="13">
          <cell r="H13">
            <v>112.16080889427842</v>
          </cell>
          <cell r="I13">
            <v>124.49496242007088</v>
          </cell>
          <cell r="J13">
            <v>134.26815237165465</v>
          </cell>
          <cell r="K13">
            <v>136.65951693469199</v>
          </cell>
          <cell r="L13">
            <v>141.15437002872014</v>
          </cell>
          <cell r="M13">
            <v>156.44134261761761</v>
          </cell>
          <cell r="N13">
            <v>177.94733678924362</v>
          </cell>
        </row>
        <row r="14">
          <cell r="H14">
            <v>99.261220740549504</v>
          </cell>
          <cell r="I14">
            <v>103.28482721009273</v>
          </cell>
          <cell r="J14">
            <v>110.61410331613999</v>
          </cell>
          <cell r="K14">
            <v>113.90110441922643</v>
          </cell>
          <cell r="L14">
            <v>112.60243052983041</v>
          </cell>
          <cell r="M14">
            <v>97.870943477254201</v>
          </cell>
          <cell r="N14">
            <v>131.21541738823254</v>
          </cell>
        </row>
        <row r="15">
          <cell r="F15" t="str">
            <v>C11</v>
          </cell>
          <cell r="H15">
            <v>109.48621184080174</v>
          </cell>
          <cell r="I15">
            <v>130.97125300252478</v>
          </cell>
          <cell r="J15">
            <v>141.89860678189606</v>
          </cell>
          <cell r="K15">
            <v>145.81518651846599</v>
          </cell>
          <cell r="L15">
            <v>163.84090965502955</v>
          </cell>
          <cell r="M15">
            <v>175.34251880378167</v>
          </cell>
          <cell r="N15">
            <v>180.58226895246165</v>
          </cell>
        </row>
        <row r="16">
          <cell r="F16" t="str">
            <v>C13</v>
          </cell>
          <cell r="H16">
            <v>104.57566119969744</v>
          </cell>
          <cell r="I16">
            <v>123.31797760156698</v>
          </cell>
          <cell r="J16">
            <v>117.45975585671036</v>
          </cell>
          <cell r="K16">
            <v>118.61048518281791</v>
          </cell>
          <cell r="L16">
            <v>136.00529048561015</v>
          </cell>
          <cell r="M16">
            <v>145.4341015773399</v>
          </cell>
          <cell r="N16">
            <v>133.65277148716373</v>
          </cell>
        </row>
        <row r="17">
          <cell r="F17" t="str">
            <v>C14</v>
          </cell>
          <cell r="H17">
            <v>100.46887469810673</v>
          </cell>
          <cell r="I17">
            <v>120.63816491449468</v>
          </cell>
          <cell r="J17">
            <v>131.41852838129915</v>
          </cell>
          <cell r="K17">
            <v>146.36159768364692</v>
          </cell>
          <cell r="L17">
            <v>158.71642300351033</v>
          </cell>
          <cell r="M17">
            <v>182.52083265542095</v>
          </cell>
          <cell r="N17">
            <v>169.56435147113802</v>
          </cell>
        </row>
        <row r="18">
          <cell r="F18" t="str">
            <v>C15</v>
          </cell>
          <cell r="H18">
            <v>114.26550878270749</v>
          </cell>
          <cell r="I18">
            <v>75.692239784023585</v>
          </cell>
          <cell r="J18">
            <v>186.44936572179611</v>
          </cell>
          <cell r="K18">
            <v>256.78232830542271</v>
          </cell>
          <cell r="L18">
            <v>175.42214295485664</v>
          </cell>
          <cell r="M18">
            <v>172.38163776877892</v>
          </cell>
          <cell r="N18">
            <v>163.11028694595549</v>
          </cell>
        </row>
        <row r="19">
          <cell r="F19" t="str">
            <v>C16</v>
          </cell>
          <cell r="H19">
            <v>91.71636267911083</v>
          </cell>
          <cell r="I19">
            <v>104.20861387935605</v>
          </cell>
          <cell r="J19">
            <v>118.46038965900665</v>
          </cell>
          <cell r="K19">
            <v>137.70776153398867</v>
          </cell>
          <cell r="L19">
            <v>197.38919346898831</v>
          </cell>
          <cell r="M19">
            <v>170.17161943768386</v>
          </cell>
          <cell r="N19">
            <v>124.187739395791</v>
          </cell>
        </row>
        <row r="20">
          <cell r="F20" t="str">
            <v>C17</v>
          </cell>
          <cell r="H20">
            <v>99.818380422259693</v>
          </cell>
          <cell r="I20">
            <v>175.6063441527281</v>
          </cell>
          <cell r="J20">
            <v>159.40255872367479</v>
          </cell>
          <cell r="K20">
            <v>77.560790260425833</v>
          </cell>
          <cell r="L20">
            <v>207.67555180123202</v>
          </cell>
          <cell r="M20">
            <v>269.9908225187778</v>
          </cell>
          <cell r="N20">
            <v>144.11100252357943</v>
          </cell>
        </row>
        <row r="21">
          <cell r="F21" t="str">
            <v>C18</v>
          </cell>
          <cell r="H21">
            <v>107.61748803921579</v>
          </cell>
          <cell r="I21">
            <v>109.52470993888438</v>
          </cell>
          <cell r="J21">
            <v>112.3970063446726</v>
          </cell>
          <cell r="K21">
            <v>116.93525227479375</v>
          </cell>
          <cell r="L21">
            <v>121.08206126762818</v>
          </cell>
          <cell r="M21">
            <v>127.70266873356928</v>
          </cell>
          <cell r="N21">
            <v>138.62657070074013</v>
          </cell>
        </row>
        <row r="22">
          <cell r="F22" t="str">
            <v>C19</v>
          </cell>
          <cell r="H22">
            <v>91.443228245884725</v>
          </cell>
          <cell r="I22">
            <v>81.536083216377264</v>
          </cell>
          <cell r="J22">
            <v>80.392794310026233</v>
          </cell>
          <cell r="K22">
            <v>78.715495341808591</v>
          </cell>
          <cell r="L22">
            <v>65.796738477016305</v>
          </cell>
          <cell r="M22">
            <v>93.470336231191354</v>
          </cell>
          <cell r="N22">
            <v>89.876754111521677</v>
          </cell>
        </row>
        <row r="23">
          <cell r="H23">
            <v>97.374960948711049</v>
          </cell>
          <cell r="I23">
            <v>91.619920609002577</v>
          </cell>
          <cell r="J23">
            <v>107.72309002382305</v>
          </cell>
          <cell r="K23">
            <v>151.1439463123929</v>
          </cell>
          <cell r="L23">
            <v>749.65496949822125</v>
          </cell>
          <cell r="M23">
            <v>842.48019735201751</v>
          </cell>
          <cell r="N23">
            <v>854.59964039435351</v>
          </cell>
        </row>
        <row r="24">
          <cell r="F24" t="str">
            <v>C20</v>
          </cell>
          <cell r="H24">
            <v>100.08518189256823</v>
          </cell>
          <cell r="I24">
            <v>100.7028778178495</v>
          </cell>
          <cell r="J24">
            <v>117.89802233631104</v>
          </cell>
          <cell r="K24">
            <v>144.32836287658915</v>
          </cell>
          <cell r="L24">
            <v>138.92075104860297</v>
          </cell>
          <cell r="M24">
            <v>161.91838891271419</v>
          </cell>
          <cell r="N24">
            <v>173.02240742772145</v>
          </cell>
        </row>
        <row r="25">
          <cell r="F25" t="str">
            <v>C21</v>
          </cell>
          <cell r="H25">
            <v>98.716161777824638</v>
          </cell>
          <cell r="I25">
            <v>107.5647085530625</v>
          </cell>
          <cell r="J25">
            <v>121.12555315540388</v>
          </cell>
          <cell r="K25">
            <v>139.02776228438475</v>
          </cell>
          <cell r="L25">
            <v>148.51596985444041</v>
          </cell>
          <cell r="M25">
            <v>130.15609389789557</v>
          </cell>
          <cell r="N25">
            <v>113.38879291954478</v>
          </cell>
        </row>
        <row r="26">
          <cell r="F26" t="str">
            <v>C22</v>
          </cell>
          <cell r="H26">
            <v>93.436103262719072</v>
          </cell>
          <cell r="I26">
            <v>103.65526681263162</v>
          </cell>
          <cell r="J26">
            <v>129.0227325520672</v>
          </cell>
          <cell r="K26">
            <v>136.35417917656471</v>
          </cell>
          <cell r="L26">
            <v>156.39818458638533</v>
          </cell>
          <cell r="M26">
            <v>163.72064313588254</v>
          </cell>
          <cell r="N26">
            <v>183.49621140040651</v>
          </cell>
        </row>
        <row r="27">
          <cell r="F27" t="str">
            <v>C23</v>
          </cell>
          <cell r="H27">
            <v>125.40875386447171</v>
          </cell>
          <cell r="I27">
            <v>119.25777877094224</v>
          </cell>
          <cell r="J27">
            <v>137.31168454384311</v>
          </cell>
          <cell r="K27">
            <v>140.73372605044176</v>
          </cell>
          <cell r="L27">
            <v>147.54159094176487</v>
          </cell>
          <cell r="M27">
            <v>194.73360266342979</v>
          </cell>
          <cell r="N27">
            <v>278.4141036411624</v>
          </cell>
        </row>
        <row r="28">
          <cell r="F28" t="str">
            <v>C31</v>
          </cell>
          <cell r="H28">
            <v>100.87256118571648</v>
          </cell>
          <cell r="I28">
            <v>110.88170991457437</v>
          </cell>
          <cell r="J28">
            <v>131.20190868680365</v>
          </cell>
          <cell r="K28">
            <v>154.38505752371162</v>
          </cell>
          <cell r="L28">
            <v>191.09957537871821</v>
          </cell>
          <cell r="M28">
            <v>188.87000220483969</v>
          </cell>
          <cell r="N28">
            <v>154.94376517332131</v>
          </cell>
        </row>
        <row r="29">
          <cell r="F29" t="str">
            <v>C27</v>
          </cell>
          <cell r="H29">
            <v>100.67339555211183</v>
          </cell>
          <cell r="I29">
            <v>104.31392088468201</v>
          </cell>
          <cell r="J29">
            <v>128.1728847839708</v>
          </cell>
          <cell r="K29">
            <v>155.80430099762572</v>
          </cell>
          <cell r="L29">
            <v>155.4000885622205</v>
          </cell>
          <cell r="M29">
            <v>167.48785477801945</v>
          </cell>
          <cell r="N29">
            <v>176.36272977561012</v>
          </cell>
        </row>
        <row r="30">
          <cell r="F30" t="str">
            <v>C30</v>
          </cell>
          <cell r="H30">
            <v>108.67081241696934</v>
          </cell>
          <cell r="I30">
            <v>75.124698800518345</v>
          </cell>
          <cell r="J30">
            <v>78.734894592048647</v>
          </cell>
          <cell r="K30">
            <v>76.860996936781049</v>
          </cell>
          <cell r="L30">
            <v>110.13745075062667</v>
          </cell>
          <cell r="M30">
            <v>101.01109989433877</v>
          </cell>
          <cell r="N30">
            <v>183.47647453863905</v>
          </cell>
        </row>
        <row r="31">
          <cell r="F31" t="str">
            <v>C32</v>
          </cell>
          <cell r="H31">
            <v>109.76692027466717</v>
          </cell>
          <cell r="I31">
            <v>117.16063901235793</v>
          </cell>
          <cell r="J31">
            <v>123.31769148359872</v>
          </cell>
          <cell r="K31">
            <v>141.57609326380475</v>
          </cell>
          <cell r="L31">
            <v>153.10190611988989</v>
          </cell>
          <cell r="M31">
            <v>161.83114305519621</v>
          </cell>
          <cell r="N31">
            <v>145.24620620826528</v>
          </cell>
        </row>
        <row r="32">
          <cell r="I32">
            <v>106.32593962823971</v>
          </cell>
          <cell r="J32">
            <v>97.229494302068815</v>
          </cell>
          <cell r="K32">
            <v>120.28783216096907</v>
          </cell>
          <cell r="L32">
            <v>148.28831666413788</v>
          </cell>
          <cell r="M32">
            <v>117.39711888165787</v>
          </cell>
          <cell r="N32">
            <v>120.95806096027324</v>
          </cell>
        </row>
        <row r="33">
          <cell r="I33">
            <v>121.51566971948911</v>
          </cell>
          <cell r="J33">
            <v>123.78184133240084</v>
          </cell>
          <cell r="K33">
            <v>136.94151183752365</v>
          </cell>
          <cell r="L33">
            <v>153.73931544349338</v>
          </cell>
          <cell r="M33">
            <v>162.06502413102956</v>
          </cell>
          <cell r="N33">
            <v>176.7268063621753</v>
          </cell>
        </row>
        <row r="34">
          <cell r="I34">
            <v>117.47366353688386</v>
          </cell>
          <cell r="J34">
            <v>128.69843858867577</v>
          </cell>
          <cell r="K34">
            <v>138.05832411526418</v>
          </cell>
          <cell r="L34">
            <v>152.14648911122634</v>
          </cell>
          <cell r="M34">
            <v>170.0680943581676</v>
          </cell>
          <cell r="N34">
            <v>180.70136735248101</v>
          </cell>
        </row>
        <row r="35">
          <cell r="I35">
            <v>111.33568583773987</v>
          </cell>
          <cell r="J35">
            <v>120.54698878659921</v>
          </cell>
          <cell r="K35">
            <v>138.4953836709999</v>
          </cell>
          <cell r="L35">
            <v>151.61410116051673</v>
          </cell>
          <cell r="M35">
            <v>164.62407285090023</v>
          </cell>
          <cell r="N35">
            <v>177.85780142178515</v>
          </cell>
        </row>
        <row r="36">
          <cell r="I36">
            <v>106.67889261850689</v>
          </cell>
          <cell r="J36">
            <v>147.71182489700098</v>
          </cell>
          <cell r="K36">
            <v>146.48225284141881</v>
          </cell>
          <cell r="L36">
            <v>422.37216931086328</v>
          </cell>
          <cell r="M36">
            <v>421.24895506307797</v>
          </cell>
          <cell r="N36">
            <v>292.19525367124015</v>
          </cell>
        </row>
        <row r="37">
          <cell r="I37">
            <v>111.30155325733671</v>
          </cell>
          <cell r="J37">
            <v>121.46189840965505</v>
          </cell>
          <cell r="K37">
            <v>131.3611489808662</v>
          </cell>
          <cell r="L37">
            <v>138.80907732368931</v>
          </cell>
          <cell r="M37">
            <v>147.53683745628911</v>
          </cell>
          <cell r="N37">
            <v>155.99742430147302</v>
          </cell>
        </row>
        <row r="38">
          <cell r="I38">
            <v>115.77305917937844</v>
          </cell>
          <cell r="J38">
            <v>118.64133163011941</v>
          </cell>
          <cell r="K38">
            <v>129.012105759348</v>
          </cell>
          <cell r="L38">
            <v>135.30392989495755</v>
          </cell>
          <cell r="M38">
            <v>143.42486461984788</v>
          </cell>
          <cell r="N38">
            <v>164.96661268220038</v>
          </cell>
        </row>
        <row r="39">
          <cell r="I39">
            <v>112.128175877705</v>
          </cell>
          <cell r="J39">
            <v>118.38220220191269</v>
          </cell>
          <cell r="K39">
            <v>122.75357811693135</v>
          </cell>
          <cell r="L39">
            <v>126.48495393940242</v>
          </cell>
          <cell r="M39">
            <v>131.23243994353112</v>
          </cell>
          <cell r="N39">
            <v>126.38364397981863</v>
          </cell>
        </row>
        <row r="40">
          <cell r="I40">
            <v>112.77925806364837</v>
          </cell>
          <cell r="J40">
            <v>119.06952680284107</v>
          </cell>
          <cell r="K40">
            <v>123.24602368816488</v>
          </cell>
          <cell r="L40">
            <v>130.53633557275987</v>
          </cell>
          <cell r="M40">
            <v>146.86406423287175</v>
          </cell>
          <cell r="N40">
            <v>160.68784888247592</v>
          </cell>
        </row>
        <row r="41">
          <cell r="I41">
            <v>113.37014114848469</v>
          </cell>
          <cell r="J41">
            <v>118.14632120393694</v>
          </cell>
          <cell r="K41">
            <v>125.71347813626434</v>
          </cell>
          <cell r="L41">
            <v>132.82691448115889</v>
          </cell>
          <cell r="M41">
            <v>137.68481730268189</v>
          </cell>
          <cell r="N41">
            <v>146.26963593066506</v>
          </cell>
        </row>
        <row r="42">
          <cell r="I42">
            <v>116.12058374975672</v>
          </cell>
          <cell r="J42">
            <v>128.5980320420565</v>
          </cell>
          <cell r="K42">
            <v>139.23307037967737</v>
          </cell>
          <cell r="L42">
            <v>147.82493136680699</v>
          </cell>
          <cell r="M42">
            <v>157.67877713955309</v>
          </cell>
          <cell r="N42">
            <v>171.00775854953102</v>
          </cell>
        </row>
        <row r="43">
          <cell r="I43">
            <v>116.38987420560858</v>
          </cell>
          <cell r="J43">
            <v>124.87720749590426</v>
          </cell>
          <cell r="K43">
            <v>130.76733913442411</v>
          </cell>
          <cell r="L43">
            <v>139.22773133549134</v>
          </cell>
          <cell r="M43">
            <v>145.0675968155453</v>
          </cell>
          <cell r="N43">
            <v>152.02706727144752</v>
          </cell>
        </row>
        <row r="44">
          <cell r="I44">
            <v>118.04922130754234</v>
          </cell>
          <cell r="J44">
            <v>130.64207944227698</v>
          </cell>
          <cell r="K44">
            <v>138.2362740374968</v>
          </cell>
          <cell r="L44">
            <v>149.33432819493925</v>
          </cell>
          <cell r="M44">
            <v>159.1868442862116</v>
          </cell>
          <cell r="N44">
            <v>175.74543112541508</v>
          </cell>
        </row>
        <row r="45">
          <cell r="I45">
            <v>116.92473182142112</v>
          </cell>
          <cell r="J45">
            <v>127.54219968116043</v>
          </cell>
          <cell r="K45">
            <v>189.84891952790733</v>
          </cell>
          <cell r="L45">
            <v>173.58724804987838</v>
          </cell>
          <cell r="M45">
            <v>158.76106041818184</v>
          </cell>
          <cell r="N45">
            <v>177.70701092666982</v>
          </cell>
        </row>
        <row r="46">
          <cell r="I46">
            <v>119.26392681362141</v>
          </cell>
          <cell r="J46">
            <v>127.55154632933233</v>
          </cell>
          <cell r="K46">
            <v>139.06356418902737</v>
          </cell>
          <cell r="L46">
            <v>145.89296769250333</v>
          </cell>
          <cell r="M46">
            <v>157.46667956531996</v>
          </cell>
          <cell r="N46">
            <v>176.82301678063175</v>
          </cell>
        </row>
        <row r="47">
          <cell r="I47">
            <v>112.83683728652368</v>
          </cell>
          <cell r="J47">
            <v>125.07694637260242</v>
          </cell>
          <cell r="K47">
            <v>151.30913280721973</v>
          </cell>
          <cell r="L47">
            <v>159.0914964023286</v>
          </cell>
          <cell r="M47">
            <v>178.63763335358021</v>
          </cell>
          <cell r="N47">
            <v>198.93533075294229</v>
          </cell>
        </row>
        <row r="48">
          <cell r="I48">
            <v>119.40942868616631</v>
          </cell>
          <cell r="J48">
            <v>129.1518091055672</v>
          </cell>
          <cell r="K48">
            <v>137.7673278041359</v>
          </cell>
          <cell r="L48">
            <v>146.98929253459602</v>
          </cell>
          <cell r="M48">
            <v>155.91771341325301</v>
          </cell>
          <cell r="N48">
            <v>173.29032655457894</v>
          </cell>
        </row>
        <row r="49">
          <cell r="I49">
            <v>120.89616122103088</v>
          </cell>
          <cell r="J49">
            <v>130.7660786556429</v>
          </cell>
          <cell r="K49">
            <v>141.03998062944595</v>
          </cell>
          <cell r="L49">
            <v>149.71356953857799</v>
          </cell>
          <cell r="M49">
            <v>161.69711247939972</v>
          </cell>
          <cell r="N49">
            <v>172.75142952868813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ymler OFarrill" refreshedDate="45999.549764583331" createdVersion="8" refreshedVersion="8" minRefreshableVersion="3" recordCount="7826" xr:uid="{1AF85C0C-6446-4072-81F3-815E3C80A373}">
  <cacheSource type="worksheet">
    <worksheetSource ref="A1:F7827" sheet="Sheet1"/>
  </cacheSource>
  <cacheFields count="6">
    <cacheField name="codigo" numFmtId="0">
      <sharedItems count="26">
        <s v="C"/>
        <s v="C10"/>
        <s v="C11"/>
        <s v="C12"/>
        <s v="C13"/>
        <s v="C14"/>
        <s v="C15"/>
        <s v="C16"/>
        <s v="C17"/>
        <s v="C18"/>
        <s v="C19"/>
        <s v="C20"/>
        <s v="C21"/>
        <s v="C22"/>
        <s v="C23"/>
        <s v="C24"/>
        <s v="C25"/>
        <s v="C26"/>
        <s v="C27"/>
        <s v="C28"/>
        <s v="C29"/>
        <s v="C30"/>
        <s v="C31"/>
        <s v="C32"/>
        <s v="C33"/>
        <s v="CXX"/>
      </sharedItems>
    </cacheField>
    <cacheField name="glosa" numFmtId="0">
      <sharedItems count="26">
        <s v="Industrias manufactureras"/>
        <s v="Elaboración de productos alimenticios"/>
        <s v="Elaboración de bebidas"/>
        <s v="Elaboración de productos de tabaco"/>
        <s v="Fabricación de productos textiles"/>
        <s v="Fabricación de prendas de vestir"/>
        <s v="Fabricación de productos de cuero y productos conexos"/>
        <s v="Producción de madera y fabricación de productos de madera y corcho, excepto muebles; fabricación de artículos de paja y de materiales trenzables"/>
        <s v="Fabricación de papel y de productos de papel"/>
        <s v="Impresión y reproducción de grabaciones"/>
        <s v="Fabricación de coque y productos de la refinación del petróleo"/>
        <s v="Fabricación de sustancias y productos químicos"/>
        <s v="Fabricación de productos farmacéuticos, sustancias químicas medicinales y productos botánicos de uso farmacéutico"/>
        <s v="Fabricación de productos de caucho y de plástico"/>
        <s v="Fabricación de otros productos minerales no metálicos"/>
        <s v="Fabricación de metales comunes"/>
        <s v="Fabricación de productos elaborados de metal, excepto maquinaria y equipo"/>
        <s v="Fabricación de productos de informática, de electrónica y de óptica"/>
        <s v="Fabricación de equipo eléctrico"/>
        <s v="Fabricación de maquinaria y equipo n.c.p."/>
        <s v="Fabricación de vehículos automotores, remolques y semirremolques"/>
        <s v="Fabricación de otro equipo de transporte"/>
        <s v="Fabricación de muebles"/>
        <s v="Otras industrias manufactureras"/>
        <s v="Reparación e instalación de maquinaria y equipo"/>
        <s v="Otras empresas/establecimientos anonimizados"/>
      </sharedItems>
    </cacheField>
    <cacheField name="pais" numFmtId="0">
      <sharedItems count="7">
        <s v="Chile"/>
        <s v="Colombia"/>
        <s v="Ecuador"/>
        <s v="Perú"/>
        <s v="Brasil"/>
        <s v="México"/>
        <s v="Uruguay"/>
      </sharedItems>
    </cacheField>
    <cacheField name="valor" numFmtId="0">
      <sharedItems containsString="0" containsBlank="1" containsNumber="1" minValue="-399987916744" maxValue="11400406000"/>
    </cacheField>
    <cacheField name="anio" numFmtId="0">
      <sharedItems containsSemiMixedTypes="0" containsString="0" containsNumber="1" containsInteger="1" minValue="2016" maxValue="2022" count="7">
        <n v="2016"/>
        <n v="2017"/>
        <n v="2018"/>
        <n v="2019"/>
        <n v="2020"/>
        <n v="2021"/>
        <n v="2022"/>
      </sharedItems>
    </cacheField>
    <cacheField name="variab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26">
  <r>
    <x v="0"/>
    <x v="0"/>
    <x v="0"/>
    <n v="33425"/>
    <x v="0"/>
    <s v="consumo_energetico"/>
  </r>
  <r>
    <x v="1"/>
    <x v="1"/>
    <x v="0"/>
    <n v="9954"/>
    <x v="0"/>
    <s v="consumo_energetico"/>
  </r>
  <r>
    <x v="2"/>
    <x v="2"/>
    <x v="0"/>
    <n v="1044"/>
    <x v="0"/>
    <s v="consumo_energetico"/>
  </r>
  <r>
    <x v="3"/>
    <x v="3"/>
    <x v="0"/>
    <m/>
    <x v="0"/>
    <s v="consumo_energetico"/>
  </r>
  <r>
    <x v="4"/>
    <x v="4"/>
    <x v="0"/>
    <n v="258"/>
    <x v="0"/>
    <s v="consumo_energetico"/>
  </r>
  <r>
    <x v="5"/>
    <x v="5"/>
    <x v="0"/>
    <n v="75"/>
    <x v="0"/>
    <s v="consumo_energetico"/>
  </r>
  <r>
    <x v="6"/>
    <x v="6"/>
    <x v="0"/>
    <n v="22"/>
    <x v="0"/>
    <s v="consumo_energetico"/>
  </r>
  <r>
    <x v="7"/>
    <x v="7"/>
    <x v="0"/>
    <n v="4673"/>
    <x v="0"/>
    <s v="consumo_energetico"/>
  </r>
  <r>
    <x v="8"/>
    <x v="8"/>
    <x v="0"/>
    <n v="4331"/>
    <x v="0"/>
    <s v="consumo_energetico"/>
  </r>
  <r>
    <x v="9"/>
    <x v="9"/>
    <x v="0"/>
    <n v="300"/>
    <x v="0"/>
    <s v="consumo_energetico"/>
  </r>
  <r>
    <x v="10"/>
    <x v="10"/>
    <x v="0"/>
    <m/>
    <x v="0"/>
    <s v="consumo_energetico"/>
  </r>
  <r>
    <x v="11"/>
    <x v="11"/>
    <x v="0"/>
    <n v="2551"/>
    <x v="0"/>
    <s v="consumo_energetico"/>
  </r>
  <r>
    <x v="12"/>
    <x v="12"/>
    <x v="0"/>
    <n v="205"/>
    <x v="0"/>
    <s v="consumo_energetico"/>
  </r>
  <r>
    <x v="13"/>
    <x v="13"/>
    <x v="0"/>
    <n v="1814"/>
    <x v="0"/>
    <s v="consumo_energetico"/>
  </r>
  <r>
    <x v="14"/>
    <x v="14"/>
    <x v="0"/>
    <n v="2507"/>
    <x v="0"/>
    <s v="consumo_energetico"/>
  </r>
  <r>
    <x v="15"/>
    <x v="15"/>
    <x v="0"/>
    <n v="285"/>
    <x v="0"/>
    <s v="consumo_energetico"/>
  </r>
  <r>
    <x v="16"/>
    <x v="16"/>
    <x v="0"/>
    <n v="2287"/>
    <x v="0"/>
    <s v="consumo_energetico"/>
  </r>
  <r>
    <x v="17"/>
    <x v="17"/>
    <x v="0"/>
    <n v="14"/>
    <x v="0"/>
    <s v="consumo_energetico"/>
  </r>
  <r>
    <x v="18"/>
    <x v="18"/>
    <x v="0"/>
    <n v="220"/>
    <x v="0"/>
    <s v="consumo_energetico"/>
  </r>
  <r>
    <x v="19"/>
    <x v="19"/>
    <x v="0"/>
    <n v="1289"/>
    <x v="0"/>
    <s v="consumo_energetico"/>
  </r>
  <r>
    <x v="20"/>
    <x v="20"/>
    <x v="0"/>
    <n v="14"/>
    <x v="0"/>
    <s v="consumo_energetico"/>
  </r>
  <r>
    <x v="21"/>
    <x v="21"/>
    <x v="0"/>
    <n v="11"/>
    <x v="0"/>
    <s v="consumo_energetico"/>
  </r>
  <r>
    <x v="22"/>
    <x v="22"/>
    <x v="0"/>
    <n v="96"/>
    <x v="0"/>
    <s v="consumo_energetico"/>
  </r>
  <r>
    <x v="23"/>
    <x v="23"/>
    <x v="0"/>
    <n v="87"/>
    <x v="0"/>
    <s v="consumo_energetico"/>
  </r>
  <r>
    <x v="24"/>
    <x v="24"/>
    <x v="0"/>
    <n v="152"/>
    <x v="0"/>
    <s v="consumo_energetico"/>
  </r>
  <r>
    <x v="25"/>
    <x v="25"/>
    <x v="0"/>
    <n v="1226"/>
    <x v="0"/>
    <s v="consumo_energetico"/>
  </r>
  <r>
    <x v="0"/>
    <x v="0"/>
    <x v="1"/>
    <n v="48750"/>
    <x v="0"/>
    <s v="consumo_energetico"/>
  </r>
  <r>
    <x v="1"/>
    <x v="1"/>
    <x v="1"/>
    <n v="9114"/>
    <x v="0"/>
    <s v="consumo_energetico"/>
  </r>
  <r>
    <x v="2"/>
    <x v="2"/>
    <x v="1"/>
    <n v="1543"/>
    <x v="0"/>
    <s v="consumo_energetico"/>
  </r>
  <r>
    <x v="3"/>
    <x v="3"/>
    <x v="1"/>
    <m/>
    <x v="0"/>
    <s v="consumo_energetico"/>
  </r>
  <r>
    <x v="4"/>
    <x v="4"/>
    <x v="1"/>
    <n v="2022"/>
    <x v="0"/>
    <s v="consumo_energetico"/>
  </r>
  <r>
    <x v="5"/>
    <x v="5"/>
    <x v="1"/>
    <n v="545"/>
    <x v="0"/>
    <s v="consumo_energetico"/>
  </r>
  <r>
    <x v="6"/>
    <x v="6"/>
    <x v="1"/>
    <n v="298"/>
    <x v="0"/>
    <s v="consumo_energetico"/>
  </r>
  <r>
    <x v="7"/>
    <x v="7"/>
    <x v="1"/>
    <n v="371"/>
    <x v="0"/>
    <s v="consumo_energetico"/>
  </r>
  <r>
    <x v="8"/>
    <x v="8"/>
    <x v="1"/>
    <n v="4484"/>
    <x v="0"/>
    <s v="consumo_energetico"/>
  </r>
  <r>
    <x v="9"/>
    <x v="9"/>
    <x v="1"/>
    <n v="361"/>
    <x v="0"/>
    <s v="consumo_energetico"/>
  </r>
  <r>
    <x v="10"/>
    <x v="10"/>
    <x v="1"/>
    <n v="2117"/>
    <x v="0"/>
    <s v="consumo_energetico"/>
  </r>
  <r>
    <x v="11"/>
    <x v="11"/>
    <x v="1"/>
    <n v="5260"/>
    <x v="0"/>
    <s v="consumo_energetico"/>
  </r>
  <r>
    <x v="12"/>
    <x v="12"/>
    <x v="1"/>
    <n v="557"/>
    <x v="0"/>
    <s v="consumo_energetico"/>
  </r>
  <r>
    <x v="13"/>
    <x v="13"/>
    <x v="1"/>
    <n v="3609"/>
    <x v="0"/>
    <s v="consumo_energetico"/>
  </r>
  <r>
    <x v="14"/>
    <x v="14"/>
    <x v="1"/>
    <n v="6606"/>
    <x v="0"/>
    <s v="consumo_energetico"/>
  </r>
  <r>
    <x v="15"/>
    <x v="15"/>
    <x v="1"/>
    <n v="4280"/>
    <x v="0"/>
    <s v="consumo_energetico"/>
  </r>
  <r>
    <x v="16"/>
    <x v="16"/>
    <x v="1"/>
    <n v="734"/>
    <x v="0"/>
    <s v="consumo_energetico"/>
  </r>
  <r>
    <x v="17"/>
    <x v="17"/>
    <x v="1"/>
    <n v="3"/>
    <x v="0"/>
    <s v="consumo_energetico"/>
  </r>
  <r>
    <x v="18"/>
    <x v="18"/>
    <x v="1"/>
    <n v="565"/>
    <x v="0"/>
    <s v="consumo_energetico"/>
  </r>
  <r>
    <x v="19"/>
    <x v="19"/>
    <x v="1"/>
    <n v="243"/>
    <x v="0"/>
    <s v="consumo_energetico"/>
  </r>
  <r>
    <x v="20"/>
    <x v="20"/>
    <x v="1"/>
    <n v="260"/>
    <x v="0"/>
    <s v="consumo_energetico"/>
  </r>
  <r>
    <x v="21"/>
    <x v="21"/>
    <x v="1"/>
    <n v="69"/>
    <x v="0"/>
    <s v="consumo_energetico"/>
  </r>
  <r>
    <x v="22"/>
    <x v="22"/>
    <x v="1"/>
    <n v="242"/>
    <x v="0"/>
    <s v="consumo_energetico"/>
  </r>
  <r>
    <x v="23"/>
    <x v="23"/>
    <x v="1"/>
    <n v="5458"/>
    <x v="0"/>
    <s v="consumo_energetico"/>
  </r>
  <r>
    <x v="24"/>
    <x v="24"/>
    <x v="1"/>
    <m/>
    <x v="0"/>
    <s v="consumo_energetico"/>
  </r>
  <r>
    <x v="25"/>
    <x v="25"/>
    <x v="1"/>
    <m/>
    <x v="0"/>
    <s v="consumo_energetico"/>
  </r>
  <r>
    <x v="0"/>
    <x v="0"/>
    <x v="2"/>
    <n v="27693"/>
    <x v="0"/>
    <s v="consumo_energetico"/>
  </r>
  <r>
    <x v="1"/>
    <x v="1"/>
    <x v="2"/>
    <n v="12821"/>
    <x v="0"/>
    <s v="consumo_energetico"/>
  </r>
  <r>
    <x v="2"/>
    <x v="2"/>
    <x v="2"/>
    <n v="657"/>
    <x v="0"/>
    <s v="consumo_energetico"/>
  </r>
  <r>
    <x v="3"/>
    <x v="3"/>
    <x v="2"/>
    <n v="0"/>
    <x v="0"/>
    <s v="consumo_energetico"/>
  </r>
  <r>
    <x v="4"/>
    <x v="4"/>
    <x v="2"/>
    <n v="705"/>
    <x v="0"/>
    <s v="consumo_energetico"/>
  </r>
  <r>
    <x v="5"/>
    <x v="5"/>
    <x v="2"/>
    <n v="192"/>
    <x v="0"/>
    <s v="consumo_energetico"/>
  </r>
  <r>
    <x v="6"/>
    <x v="6"/>
    <x v="2"/>
    <n v="39"/>
    <x v="0"/>
    <s v="consumo_energetico"/>
  </r>
  <r>
    <x v="7"/>
    <x v="7"/>
    <x v="2"/>
    <n v="155"/>
    <x v="0"/>
    <s v="consumo_energetico"/>
  </r>
  <r>
    <x v="8"/>
    <x v="8"/>
    <x v="2"/>
    <n v="1654"/>
    <x v="0"/>
    <s v="consumo_energetico"/>
  </r>
  <r>
    <x v="9"/>
    <x v="9"/>
    <x v="2"/>
    <n v="64"/>
    <x v="0"/>
    <s v="consumo_energetico"/>
  </r>
  <r>
    <x v="10"/>
    <x v="10"/>
    <x v="2"/>
    <n v="32"/>
    <x v="0"/>
    <s v="consumo_energetico"/>
  </r>
  <r>
    <x v="11"/>
    <x v="11"/>
    <x v="2"/>
    <n v="871"/>
    <x v="0"/>
    <s v="consumo_energetico"/>
  </r>
  <r>
    <x v="12"/>
    <x v="12"/>
    <x v="2"/>
    <n v="112"/>
    <x v="0"/>
    <s v="consumo_energetico"/>
  </r>
  <r>
    <x v="13"/>
    <x v="13"/>
    <x v="2"/>
    <n v="701"/>
    <x v="0"/>
    <s v="consumo_energetico"/>
  </r>
  <r>
    <x v="14"/>
    <x v="14"/>
    <x v="2"/>
    <n v="7653"/>
    <x v="0"/>
    <s v="consumo_energetico"/>
  </r>
  <r>
    <x v="15"/>
    <x v="15"/>
    <x v="2"/>
    <n v="1129"/>
    <x v="0"/>
    <s v="consumo_energetico"/>
  </r>
  <r>
    <x v="16"/>
    <x v="16"/>
    <x v="2"/>
    <n v="281"/>
    <x v="0"/>
    <s v="consumo_energetico"/>
  </r>
  <r>
    <x v="17"/>
    <x v="17"/>
    <x v="2"/>
    <n v="1"/>
    <x v="0"/>
    <s v="consumo_energetico"/>
  </r>
  <r>
    <x v="18"/>
    <x v="18"/>
    <x v="2"/>
    <n v="176"/>
    <x v="0"/>
    <s v="consumo_energetico"/>
  </r>
  <r>
    <x v="19"/>
    <x v="19"/>
    <x v="2"/>
    <n v="110"/>
    <x v="0"/>
    <s v="consumo_energetico"/>
  </r>
  <r>
    <x v="20"/>
    <x v="20"/>
    <x v="2"/>
    <n v="113"/>
    <x v="0"/>
    <s v="consumo_energetico"/>
  </r>
  <r>
    <x v="21"/>
    <x v="21"/>
    <x v="2"/>
    <n v="6"/>
    <x v="0"/>
    <s v="consumo_energetico"/>
  </r>
  <r>
    <x v="22"/>
    <x v="22"/>
    <x v="2"/>
    <n v="58"/>
    <x v="0"/>
    <s v="consumo_energetico"/>
  </r>
  <r>
    <x v="23"/>
    <x v="23"/>
    <x v="2"/>
    <n v="35"/>
    <x v="0"/>
    <s v="consumo_energetico"/>
  </r>
  <r>
    <x v="24"/>
    <x v="24"/>
    <x v="2"/>
    <n v="115"/>
    <x v="0"/>
    <s v="consumo_energetico"/>
  </r>
  <r>
    <x v="25"/>
    <x v="25"/>
    <x v="2"/>
    <m/>
    <x v="0"/>
    <s v="consumo_energetico"/>
  </r>
  <r>
    <x v="0"/>
    <x v="0"/>
    <x v="3"/>
    <n v="46982"/>
    <x v="0"/>
    <s v="consumo_energetico"/>
  </r>
  <r>
    <x v="1"/>
    <x v="1"/>
    <x v="3"/>
    <n v="12759"/>
    <x v="0"/>
    <s v="consumo_energetico"/>
  </r>
  <r>
    <x v="2"/>
    <x v="2"/>
    <x v="3"/>
    <n v="1602"/>
    <x v="0"/>
    <s v="consumo_energetico"/>
  </r>
  <r>
    <x v="3"/>
    <x v="3"/>
    <x v="3"/>
    <m/>
    <x v="0"/>
    <s v="consumo_energetico"/>
  </r>
  <r>
    <x v="4"/>
    <x v="4"/>
    <x v="3"/>
    <n v="3385"/>
    <x v="0"/>
    <s v="consumo_energetico"/>
  </r>
  <r>
    <x v="5"/>
    <x v="5"/>
    <x v="3"/>
    <n v="537"/>
    <x v="0"/>
    <s v="consumo_energetico"/>
  </r>
  <r>
    <x v="6"/>
    <x v="6"/>
    <x v="3"/>
    <n v="1328"/>
    <x v="0"/>
    <s v="consumo_energetico"/>
  </r>
  <r>
    <x v="7"/>
    <x v="7"/>
    <x v="3"/>
    <n v="162"/>
    <x v="0"/>
    <s v="consumo_energetico"/>
  </r>
  <r>
    <x v="8"/>
    <x v="8"/>
    <x v="3"/>
    <n v="1848"/>
    <x v="0"/>
    <s v="consumo_energetico"/>
  </r>
  <r>
    <x v="9"/>
    <x v="9"/>
    <x v="3"/>
    <n v="461"/>
    <x v="0"/>
    <s v="consumo_energetico"/>
  </r>
  <r>
    <x v="10"/>
    <x v="10"/>
    <x v="3"/>
    <m/>
    <x v="0"/>
    <s v="consumo_energetico"/>
  </r>
  <r>
    <x v="11"/>
    <x v="11"/>
    <x v="3"/>
    <n v="4372"/>
    <x v="0"/>
    <s v="consumo_energetico"/>
  </r>
  <r>
    <x v="12"/>
    <x v="12"/>
    <x v="3"/>
    <n v="367"/>
    <x v="0"/>
    <s v="consumo_energetico"/>
  </r>
  <r>
    <x v="13"/>
    <x v="13"/>
    <x v="3"/>
    <n v="3646"/>
    <x v="0"/>
    <s v="consumo_energetico"/>
  </r>
  <r>
    <x v="14"/>
    <x v="14"/>
    <x v="3"/>
    <n v="6381"/>
    <x v="0"/>
    <s v="consumo_energetico"/>
  </r>
  <r>
    <x v="15"/>
    <x v="15"/>
    <x v="3"/>
    <n v="8835"/>
    <x v="0"/>
    <s v="consumo_energetico"/>
  </r>
  <r>
    <x v="16"/>
    <x v="16"/>
    <x v="3"/>
    <n v="502"/>
    <x v="0"/>
    <s v="consumo_energetico"/>
  </r>
  <r>
    <x v="17"/>
    <x v="17"/>
    <x v="3"/>
    <n v="19"/>
    <x v="0"/>
    <s v="consumo_energetico"/>
  </r>
  <r>
    <x v="18"/>
    <x v="18"/>
    <x v="3"/>
    <n v="246"/>
    <x v="0"/>
    <s v="consumo_energetico"/>
  </r>
  <r>
    <x v="19"/>
    <x v="19"/>
    <x v="3"/>
    <n v="119"/>
    <x v="0"/>
    <s v="consumo_energetico"/>
  </r>
  <r>
    <x v="20"/>
    <x v="20"/>
    <x v="3"/>
    <n v="83"/>
    <x v="0"/>
    <s v="consumo_energetico"/>
  </r>
  <r>
    <x v="21"/>
    <x v="21"/>
    <x v="3"/>
    <n v="38"/>
    <x v="0"/>
    <s v="consumo_energetico"/>
  </r>
  <r>
    <x v="22"/>
    <x v="22"/>
    <x v="3"/>
    <n v="149"/>
    <x v="0"/>
    <s v="consumo_energetico"/>
  </r>
  <r>
    <x v="23"/>
    <x v="23"/>
    <x v="3"/>
    <n v="72"/>
    <x v="0"/>
    <s v="consumo_energetico"/>
  </r>
  <r>
    <x v="24"/>
    <x v="24"/>
    <x v="3"/>
    <n v="59"/>
    <x v="0"/>
    <s v="consumo_energetico"/>
  </r>
  <r>
    <x v="25"/>
    <x v="25"/>
    <x v="3"/>
    <m/>
    <x v="0"/>
    <s v="consumo_energetico"/>
  </r>
  <r>
    <x v="0"/>
    <x v="0"/>
    <x v="0"/>
    <n v="43341"/>
    <x v="1"/>
    <s v="consumo_energetico"/>
  </r>
  <r>
    <x v="1"/>
    <x v="1"/>
    <x v="0"/>
    <n v="10558"/>
    <x v="1"/>
    <s v="consumo_energetico"/>
  </r>
  <r>
    <x v="2"/>
    <x v="2"/>
    <x v="0"/>
    <n v="1175"/>
    <x v="1"/>
    <s v="consumo_energetico"/>
  </r>
  <r>
    <x v="3"/>
    <x v="3"/>
    <x v="0"/>
    <m/>
    <x v="1"/>
    <s v="consumo_energetico"/>
  </r>
  <r>
    <x v="4"/>
    <x v="4"/>
    <x v="0"/>
    <n v="259"/>
    <x v="1"/>
    <s v="consumo_energetico"/>
  </r>
  <r>
    <x v="5"/>
    <x v="5"/>
    <x v="0"/>
    <n v="361"/>
    <x v="1"/>
    <s v="consumo_energetico"/>
  </r>
  <r>
    <x v="6"/>
    <x v="6"/>
    <x v="0"/>
    <n v="24"/>
    <x v="1"/>
    <s v="consumo_energetico"/>
  </r>
  <r>
    <x v="7"/>
    <x v="7"/>
    <x v="0"/>
    <n v="6756"/>
    <x v="1"/>
    <s v="consumo_energetico"/>
  </r>
  <r>
    <x v="8"/>
    <x v="8"/>
    <x v="0"/>
    <n v="4285"/>
    <x v="1"/>
    <s v="consumo_energetico"/>
  </r>
  <r>
    <x v="9"/>
    <x v="9"/>
    <x v="0"/>
    <n v="887"/>
    <x v="1"/>
    <s v="consumo_energetico"/>
  </r>
  <r>
    <x v="10"/>
    <x v="10"/>
    <x v="0"/>
    <m/>
    <x v="1"/>
    <s v="consumo_energetico"/>
  </r>
  <r>
    <x v="11"/>
    <x v="11"/>
    <x v="0"/>
    <n v="5038"/>
    <x v="1"/>
    <s v="consumo_energetico"/>
  </r>
  <r>
    <x v="12"/>
    <x v="12"/>
    <x v="0"/>
    <n v="2460"/>
    <x v="1"/>
    <s v="consumo_energetico"/>
  </r>
  <r>
    <x v="13"/>
    <x v="13"/>
    <x v="0"/>
    <n v="2357"/>
    <x v="1"/>
    <s v="consumo_energetico"/>
  </r>
  <r>
    <x v="14"/>
    <x v="14"/>
    <x v="0"/>
    <n v="2940"/>
    <x v="1"/>
    <s v="consumo_energetico"/>
  </r>
  <r>
    <x v="15"/>
    <x v="15"/>
    <x v="0"/>
    <n v="2603"/>
    <x v="1"/>
    <s v="consumo_energetico"/>
  </r>
  <r>
    <x v="16"/>
    <x v="16"/>
    <x v="0"/>
    <n v="928"/>
    <x v="1"/>
    <s v="consumo_energetico"/>
  </r>
  <r>
    <x v="17"/>
    <x v="17"/>
    <x v="0"/>
    <n v="11"/>
    <x v="1"/>
    <s v="consumo_energetico"/>
  </r>
  <r>
    <x v="18"/>
    <x v="18"/>
    <x v="0"/>
    <n v="877"/>
    <x v="1"/>
    <s v="consumo_energetico"/>
  </r>
  <r>
    <x v="19"/>
    <x v="19"/>
    <x v="0"/>
    <n v="818"/>
    <x v="1"/>
    <s v="consumo_energetico"/>
  </r>
  <r>
    <x v="20"/>
    <x v="20"/>
    <x v="0"/>
    <n v="411"/>
    <x v="1"/>
    <s v="consumo_energetico"/>
  </r>
  <r>
    <x v="21"/>
    <x v="21"/>
    <x v="0"/>
    <n v="10"/>
    <x v="1"/>
    <s v="consumo_energetico"/>
  </r>
  <r>
    <x v="22"/>
    <x v="22"/>
    <x v="0"/>
    <n v="113"/>
    <x v="1"/>
    <s v="consumo_energetico"/>
  </r>
  <r>
    <x v="23"/>
    <x v="23"/>
    <x v="0"/>
    <n v="10"/>
    <x v="1"/>
    <s v="consumo_energetico"/>
  </r>
  <r>
    <x v="24"/>
    <x v="24"/>
    <x v="0"/>
    <n v="161"/>
    <x v="1"/>
    <s v="consumo_energetico"/>
  </r>
  <r>
    <x v="25"/>
    <x v="25"/>
    <x v="0"/>
    <n v="286"/>
    <x v="1"/>
    <s v="consumo_energetico"/>
  </r>
  <r>
    <x v="0"/>
    <x v="0"/>
    <x v="1"/>
    <n v="48212"/>
    <x v="1"/>
    <s v="consumo_energetico"/>
  </r>
  <r>
    <x v="1"/>
    <x v="1"/>
    <x v="1"/>
    <n v="9305"/>
    <x v="1"/>
    <s v="consumo_energetico"/>
  </r>
  <r>
    <x v="2"/>
    <x v="2"/>
    <x v="1"/>
    <n v="1462"/>
    <x v="1"/>
    <s v="consumo_energetico"/>
  </r>
  <r>
    <x v="3"/>
    <x v="3"/>
    <x v="1"/>
    <m/>
    <x v="1"/>
    <s v="consumo_energetico"/>
  </r>
  <r>
    <x v="4"/>
    <x v="4"/>
    <x v="1"/>
    <n v="1685"/>
    <x v="1"/>
    <s v="consumo_energetico"/>
  </r>
  <r>
    <x v="5"/>
    <x v="5"/>
    <x v="1"/>
    <n v="531"/>
    <x v="1"/>
    <s v="consumo_energetico"/>
  </r>
  <r>
    <x v="6"/>
    <x v="6"/>
    <x v="1"/>
    <n v="285"/>
    <x v="1"/>
    <s v="consumo_energetico"/>
  </r>
  <r>
    <x v="7"/>
    <x v="7"/>
    <x v="1"/>
    <n v="343"/>
    <x v="1"/>
    <s v="consumo_energetico"/>
  </r>
  <r>
    <x v="8"/>
    <x v="8"/>
    <x v="1"/>
    <n v="4534"/>
    <x v="1"/>
    <s v="consumo_energetico"/>
  </r>
  <r>
    <x v="9"/>
    <x v="9"/>
    <x v="1"/>
    <n v="366"/>
    <x v="1"/>
    <s v="consumo_energetico"/>
  </r>
  <r>
    <x v="10"/>
    <x v="10"/>
    <x v="1"/>
    <n v="2499"/>
    <x v="1"/>
    <s v="consumo_energetico"/>
  </r>
  <r>
    <x v="11"/>
    <x v="11"/>
    <x v="1"/>
    <n v="5267"/>
    <x v="1"/>
    <s v="consumo_energetico"/>
  </r>
  <r>
    <x v="12"/>
    <x v="12"/>
    <x v="1"/>
    <n v="569"/>
    <x v="1"/>
    <s v="consumo_energetico"/>
  </r>
  <r>
    <x v="13"/>
    <x v="13"/>
    <x v="1"/>
    <n v="3432"/>
    <x v="1"/>
    <s v="consumo_energetico"/>
  </r>
  <r>
    <x v="14"/>
    <x v="14"/>
    <x v="1"/>
    <n v="6473"/>
    <x v="1"/>
    <s v="consumo_energetico"/>
  </r>
  <r>
    <x v="15"/>
    <x v="15"/>
    <x v="1"/>
    <n v="4249"/>
    <x v="1"/>
    <s v="consumo_energetico"/>
  </r>
  <r>
    <x v="16"/>
    <x v="16"/>
    <x v="1"/>
    <n v="715"/>
    <x v="1"/>
    <s v="consumo_energetico"/>
  </r>
  <r>
    <x v="17"/>
    <x v="17"/>
    <x v="1"/>
    <n v="3"/>
    <x v="1"/>
    <s v="consumo_energetico"/>
  </r>
  <r>
    <x v="18"/>
    <x v="18"/>
    <x v="1"/>
    <n v="532"/>
    <x v="1"/>
    <s v="consumo_energetico"/>
  </r>
  <r>
    <x v="19"/>
    <x v="19"/>
    <x v="1"/>
    <n v="217"/>
    <x v="1"/>
    <s v="consumo_energetico"/>
  </r>
  <r>
    <x v="20"/>
    <x v="20"/>
    <x v="1"/>
    <n v="229"/>
    <x v="1"/>
    <s v="consumo_energetico"/>
  </r>
  <r>
    <x v="21"/>
    <x v="21"/>
    <x v="1"/>
    <n v="71"/>
    <x v="1"/>
    <s v="consumo_energetico"/>
  </r>
  <r>
    <x v="22"/>
    <x v="22"/>
    <x v="1"/>
    <n v="231"/>
    <x v="1"/>
    <s v="consumo_energetico"/>
  </r>
  <r>
    <x v="23"/>
    <x v="23"/>
    <x v="1"/>
    <n v="5201"/>
    <x v="1"/>
    <s v="consumo_energetico"/>
  </r>
  <r>
    <x v="24"/>
    <x v="24"/>
    <x v="1"/>
    <m/>
    <x v="1"/>
    <s v="consumo_energetico"/>
  </r>
  <r>
    <x v="25"/>
    <x v="25"/>
    <x v="1"/>
    <m/>
    <x v="1"/>
    <s v="consumo_energetico"/>
  </r>
  <r>
    <x v="0"/>
    <x v="0"/>
    <x v="2"/>
    <n v="39176"/>
    <x v="1"/>
    <s v="consumo_energetico"/>
  </r>
  <r>
    <x v="1"/>
    <x v="1"/>
    <x v="2"/>
    <n v="15661"/>
    <x v="1"/>
    <s v="consumo_energetico"/>
  </r>
  <r>
    <x v="2"/>
    <x v="2"/>
    <x v="2"/>
    <n v="854"/>
    <x v="1"/>
    <s v="consumo_energetico"/>
  </r>
  <r>
    <x v="3"/>
    <x v="3"/>
    <x v="2"/>
    <n v="3"/>
    <x v="1"/>
    <s v="consumo_energetico"/>
  </r>
  <r>
    <x v="4"/>
    <x v="4"/>
    <x v="2"/>
    <n v="1397"/>
    <x v="1"/>
    <s v="consumo_energetico"/>
  </r>
  <r>
    <x v="5"/>
    <x v="5"/>
    <x v="2"/>
    <n v="88"/>
    <x v="1"/>
    <s v="consumo_energetico"/>
  </r>
  <r>
    <x v="6"/>
    <x v="6"/>
    <x v="2"/>
    <n v="56"/>
    <x v="1"/>
    <s v="consumo_energetico"/>
  </r>
  <r>
    <x v="7"/>
    <x v="7"/>
    <x v="2"/>
    <n v="489"/>
    <x v="1"/>
    <s v="consumo_energetico"/>
  </r>
  <r>
    <x v="8"/>
    <x v="8"/>
    <x v="2"/>
    <n v="2263"/>
    <x v="1"/>
    <s v="consumo_energetico"/>
  </r>
  <r>
    <x v="9"/>
    <x v="9"/>
    <x v="2"/>
    <n v="106"/>
    <x v="1"/>
    <s v="consumo_energetico"/>
  </r>
  <r>
    <x v="10"/>
    <x v="10"/>
    <x v="2"/>
    <n v="45"/>
    <x v="1"/>
    <s v="consumo_energetico"/>
  </r>
  <r>
    <x v="11"/>
    <x v="11"/>
    <x v="2"/>
    <n v="661"/>
    <x v="1"/>
    <s v="consumo_energetico"/>
  </r>
  <r>
    <x v="12"/>
    <x v="12"/>
    <x v="2"/>
    <n v="166"/>
    <x v="1"/>
    <s v="consumo_energetico"/>
  </r>
  <r>
    <x v="13"/>
    <x v="13"/>
    <x v="2"/>
    <n v="724"/>
    <x v="1"/>
    <s v="consumo_energetico"/>
  </r>
  <r>
    <x v="14"/>
    <x v="14"/>
    <x v="2"/>
    <n v="13371"/>
    <x v="1"/>
    <s v="consumo_energetico"/>
  </r>
  <r>
    <x v="15"/>
    <x v="15"/>
    <x v="2"/>
    <n v="1769"/>
    <x v="1"/>
    <s v="consumo_energetico"/>
  </r>
  <r>
    <x v="16"/>
    <x v="16"/>
    <x v="2"/>
    <n v="515"/>
    <x v="1"/>
    <s v="consumo_energetico"/>
  </r>
  <r>
    <x v="17"/>
    <x v="17"/>
    <x v="2"/>
    <n v="1"/>
    <x v="1"/>
    <s v="consumo_energetico"/>
  </r>
  <r>
    <x v="18"/>
    <x v="18"/>
    <x v="2"/>
    <n v="382"/>
    <x v="1"/>
    <s v="consumo_energetico"/>
  </r>
  <r>
    <x v="19"/>
    <x v="19"/>
    <x v="2"/>
    <n v="104"/>
    <x v="1"/>
    <s v="consumo_energetico"/>
  </r>
  <r>
    <x v="20"/>
    <x v="20"/>
    <x v="2"/>
    <n v="205"/>
    <x v="1"/>
    <s v="consumo_energetico"/>
  </r>
  <r>
    <x v="21"/>
    <x v="21"/>
    <x v="2"/>
    <n v="18"/>
    <x v="1"/>
    <s v="consumo_energetico"/>
  </r>
  <r>
    <x v="22"/>
    <x v="22"/>
    <x v="2"/>
    <n v="69"/>
    <x v="1"/>
    <s v="consumo_energetico"/>
  </r>
  <r>
    <x v="23"/>
    <x v="23"/>
    <x v="2"/>
    <n v="27"/>
    <x v="1"/>
    <s v="consumo_energetico"/>
  </r>
  <r>
    <x v="24"/>
    <x v="24"/>
    <x v="2"/>
    <n v="190"/>
    <x v="1"/>
    <s v="consumo_energetico"/>
  </r>
  <r>
    <x v="25"/>
    <x v="25"/>
    <x v="2"/>
    <m/>
    <x v="1"/>
    <s v="consumo_energetico"/>
  </r>
  <r>
    <x v="0"/>
    <x v="0"/>
    <x v="3"/>
    <n v="37890"/>
    <x v="1"/>
    <s v="consumo_energetico"/>
  </r>
  <r>
    <x v="1"/>
    <x v="1"/>
    <x v="3"/>
    <n v="5427"/>
    <x v="1"/>
    <s v="consumo_energetico"/>
  </r>
  <r>
    <x v="2"/>
    <x v="2"/>
    <x v="3"/>
    <n v="1163"/>
    <x v="1"/>
    <s v="consumo_energetico"/>
  </r>
  <r>
    <x v="3"/>
    <x v="3"/>
    <x v="3"/>
    <m/>
    <x v="1"/>
    <s v="consumo_energetico"/>
  </r>
  <r>
    <x v="4"/>
    <x v="4"/>
    <x v="3"/>
    <n v="4288"/>
    <x v="1"/>
    <s v="consumo_energetico"/>
  </r>
  <r>
    <x v="5"/>
    <x v="5"/>
    <x v="3"/>
    <n v="618"/>
    <x v="1"/>
    <s v="consumo_energetico"/>
  </r>
  <r>
    <x v="6"/>
    <x v="6"/>
    <x v="3"/>
    <n v="1386"/>
    <x v="1"/>
    <s v="consumo_energetico"/>
  </r>
  <r>
    <x v="7"/>
    <x v="7"/>
    <x v="3"/>
    <n v="196"/>
    <x v="1"/>
    <s v="consumo_energetico"/>
  </r>
  <r>
    <x v="8"/>
    <x v="8"/>
    <x v="3"/>
    <n v="1148"/>
    <x v="1"/>
    <s v="consumo_energetico"/>
  </r>
  <r>
    <x v="9"/>
    <x v="9"/>
    <x v="3"/>
    <n v="379"/>
    <x v="1"/>
    <s v="consumo_energetico"/>
  </r>
  <r>
    <x v="10"/>
    <x v="10"/>
    <x v="3"/>
    <n v="0"/>
    <x v="1"/>
    <s v="consumo_energetico"/>
  </r>
  <r>
    <x v="11"/>
    <x v="11"/>
    <x v="3"/>
    <n v="4040"/>
    <x v="1"/>
    <s v="consumo_energetico"/>
  </r>
  <r>
    <x v="12"/>
    <x v="12"/>
    <x v="3"/>
    <n v="517"/>
    <x v="1"/>
    <s v="consumo_energetico"/>
  </r>
  <r>
    <x v="13"/>
    <x v="13"/>
    <x v="3"/>
    <n v="3276"/>
    <x v="1"/>
    <s v="consumo_energetico"/>
  </r>
  <r>
    <x v="14"/>
    <x v="14"/>
    <x v="3"/>
    <n v="5809"/>
    <x v="1"/>
    <s v="consumo_energetico"/>
  </r>
  <r>
    <x v="15"/>
    <x v="15"/>
    <x v="3"/>
    <n v="8622"/>
    <x v="1"/>
    <s v="consumo_energetico"/>
  </r>
  <r>
    <x v="16"/>
    <x v="16"/>
    <x v="3"/>
    <n v="309"/>
    <x v="1"/>
    <s v="consumo_energetico"/>
  </r>
  <r>
    <x v="17"/>
    <x v="17"/>
    <x v="3"/>
    <n v="0"/>
    <x v="1"/>
    <s v="consumo_energetico"/>
  </r>
  <r>
    <x v="18"/>
    <x v="18"/>
    <x v="3"/>
    <n v="290"/>
    <x v="1"/>
    <s v="consumo_energetico"/>
  </r>
  <r>
    <x v="19"/>
    <x v="19"/>
    <x v="3"/>
    <n v="56"/>
    <x v="1"/>
    <s v="consumo_energetico"/>
  </r>
  <r>
    <x v="20"/>
    <x v="20"/>
    <x v="3"/>
    <n v="87"/>
    <x v="1"/>
    <s v="consumo_energetico"/>
  </r>
  <r>
    <x v="21"/>
    <x v="21"/>
    <x v="3"/>
    <n v="38"/>
    <x v="1"/>
    <s v="consumo_energetico"/>
  </r>
  <r>
    <x v="22"/>
    <x v="22"/>
    <x v="3"/>
    <n v="103"/>
    <x v="1"/>
    <s v="consumo_energetico"/>
  </r>
  <r>
    <x v="23"/>
    <x v="23"/>
    <x v="3"/>
    <n v="111"/>
    <x v="1"/>
    <s v="consumo_energetico"/>
  </r>
  <r>
    <x v="24"/>
    <x v="24"/>
    <x v="3"/>
    <n v="15"/>
    <x v="1"/>
    <s v="consumo_energetico"/>
  </r>
  <r>
    <x v="25"/>
    <x v="25"/>
    <x v="3"/>
    <m/>
    <x v="1"/>
    <s v="consumo_energetico"/>
  </r>
  <r>
    <x v="0"/>
    <x v="0"/>
    <x v="0"/>
    <n v="30813"/>
    <x v="2"/>
    <s v="consumo_energetico"/>
  </r>
  <r>
    <x v="1"/>
    <x v="1"/>
    <x v="0"/>
    <n v="8734"/>
    <x v="2"/>
    <s v="consumo_energetico"/>
  </r>
  <r>
    <x v="2"/>
    <x v="2"/>
    <x v="0"/>
    <n v="1176"/>
    <x v="2"/>
    <s v="consumo_energetico"/>
  </r>
  <r>
    <x v="3"/>
    <x v="3"/>
    <x v="0"/>
    <m/>
    <x v="2"/>
    <s v="consumo_energetico"/>
  </r>
  <r>
    <x v="4"/>
    <x v="4"/>
    <x v="0"/>
    <n v="466"/>
    <x v="2"/>
    <s v="consumo_energetico"/>
  </r>
  <r>
    <x v="5"/>
    <x v="5"/>
    <x v="0"/>
    <n v="132"/>
    <x v="2"/>
    <s v="consumo_energetico"/>
  </r>
  <r>
    <x v="6"/>
    <x v="6"/>
    <x v="0"/>
    <n v="25"/>
    <x v="2"/>
    <s v="consumo_energetico"/>
  </r>
  <r>
    <x v="7"/>
    <x v="7"/>
    <x v="0"/>
    <n v="4002"/>
    <x v="2"/>
    <s v="consumo_energetico"/>
  </r>
  <r>
    <x v="8"/>
    <x v="8"/>
    <x v="0"/>
    <n v="2170"/>
    <x v="2"/>
    <s v="consumo_energetico"/>
  </r>
  <r>
    <x v="9"/>
    <x v="9"/>
    <x v="0"/>
    <n v="349"/>
    <x v="2"/>
    <s v="consumo_energetico"/>
  </r>
  <r>
    <x v="10"/>
    <x v="10"/>
    <x v="0"/>
    <n v="0"/>
    <x v="2"/>
    <s v="consumo_energetico"/>
  </r>
  <r>
    <x v="11"/>
    <x v="11"/>
    <x v="0"/>
    <n v="2844"/>
    <x v="2"/>
    <s v="consumo_energetico"/>
  </r>
  <r>
    <x v="12"/>
    <x v="12"/>
    <x v="0"/>
    <n v="265"/>
    <x v="2"/>
    <s v="consumo_energetico"/>
  </r>
  <r>
    <x v="13"/>
    <x v="13"/>
    <x v="0"/>
    <n v="1761"/>
    <x v="2"/>
    <s v="consumo_energetico"/>
  </r>
  <r>
    <x v="14"/>
    <x v="14"/>
    <x v="0"/>
    <n v="3602"/>
    <x v="2"/>
    <s v="consumo_energetico"/>
  </r>
  <r>
    <x v="15"/>
    <x v="15"/>
    <x v="0"/>
    <n v="1878"/>
    <x v="2"/>
    <s v="consumo_energetico"/>
  </r>
  <r>
    <x v="16"/>
    <x v="16"/>
    <x v="0"/>
    <n v="918"/>
    <x v="2"/>
    <s v="consumo_energetico"/>
  </r>
  <r>
    <x v="17"/>
    <x v="17"/>
    <x v="0"/>
    <n v="7"/>
    <x v="2"/>
    <s v="consumo_energetico"/>
  </r>
  <r>
    <x v="18"/>
    <x v="18"/>
    <x v="0"/>
    <n v="155"/>
    <x v="2"/>
    <s v="consumo_energetico"/>
  </r>
  <r>
    <x v="19"/>
    <x v="19"/>
    <x v="0"/>
    <n v="898"/>
    <x v="2"/>
    <s v="consumo_energetico"/>
  </r>
  <r>
    <x v="20"/>
    <x v="20"/>
    <x v="0"/>
    <n v="86"/>
    <x v="2"/>
    <s v="consumo_energetico"/>
  </r>
  <r>
    <x v="21"/>
    <x v="21"/>
    <x v="0"/>
    <n v="14"/>
    <x v="2"/>
    <s v="consumo_energetico"/>
  </r>
  <r>
    <x v="22"/>
    <x v="22"/>
    <x v="0"/>
    <n v="135"/>
    <x v="2"/>
    <s v="consumo_energetico"/>
  </r>
  <r>
    <x v="23"/>
    <x v="23"/>
    <x v="0"/>
    <n v="12"/>
    <x v="2"/>
    <s v="consumo_energetico"/>
  </r>
  <r>
    <x v="24"/>
    <x v="24"/>
    <x v="0"/>
    <n v="362"/>
    <x v="2"/>
    <s v="consumo_energetico"/>
  </r>
  <r>
    <x v="25"/>
    <x v="25"/>
    <x v="0"/>
    <n v="810"/>
    <x v="2"/>
    <s v="consumo_energetico"/>
  </r>
  <r>
    <x v="0"/>
    <x v="0"/>
    <x v="1"/>
    <n v="50128"/>
    <x v="2"/>
    <s v="consumo_energetico"/>
  </r>
  <r>
    <x v="1"/>
    <x v="1"/>
    <x v="1"/>
    <n v="9958"/>
    <x v="2"/>
    <s v="consumo_energetico"/>
  </r>
  <r>
    <x v="2"/>
    <x v="2"/>
    <x v="1"/>
    <n v="988"/>
    <x v="2"/>
    <s v="consumo_energetico"/>
  </r>
  <r>
    <x v="3"/>
    <x v="3"/>
    <x v="1"/>
    <m/>
    <x v="2"/>
    <s v="consumo_energetico"/>
  </r>
  <r>
    <x v="4"/>
    <x v="4"/>
    <x v="1"/>
    <n v="1695"/>
    <x v="2"/>
    <s v="consumo_energetico"/>
  </r>
  <r>
    <x v="5"/>
    <x v="5"/>
    <x v="1"/>
    <n v="498"/>
    <x v="2"/>
    <s v="consumo_energetico"/>
  </r>
  <r>
    <x v="6"/>
    <x v="6"/>
    <x v="1"/>
    <n v="213"/>
    <x v="2"/>
    <s v="consumo_energetico"/>
  </r>
  <r>
    <x v="7"/>
    <x v="7"/>
    <x v="1"/>
    <n v="329"/>
    <x v="2"/>
    <s v="consumo_energetico"/>
  </r>
  <r>
    <x v="8"/>
    <x v="8"/>
    <x v="1"/>
    <n v="4753"/>
    <x v="2"/>
    <s v="consumo_energetico"/>
  </r>
  <r>
    <x v="9"/>
    <x v="9"/>
    <x v="1"/>
    <n v="360"/>
    <x v="2"/>
    <s v="consumo_energetico"/>
  </r>
  <r>
    <x v="10"/>
    <x v="10"/>
    <x v="1"/>
    <n v="1888"/>
    <x v="2"/>
    <s v="consumo_energetico"/>
  </r>
  <r>
    <x v="11"/>
    <x v="11"/>
    <x v="1"/>
    <n v="4995"/>
    <x v="2"/>
    <s v="consumo_energetico"/>
  </r>
  <r>
    <x v="12"/>
    <x v="12"/>
    <x v="1"/>
    <n v="603"/>
    <x v="2"/>
    <s v="consumo_energetico"/>
  </r>
  <r>
    <x v="13"/>
    <x v="13"/>
    <x v="1"/>
    <n v="3533"/>
    <x v="2"/>
    <s v="consumo_energetico"/>
  </r>
  <r>
    <x v="14"/>
    <x v="14"/>
    <x v="1"/>
    <n v="6442"/>
    <x v="2"/>
    <s v="consumo_energetico"/>
  </r>
  <r>
    <x v="15"/>
    <x v="15"/>
    <x v="1"/>
    <n v="3984"/>
    <x v="2"/>
    <s v="consumo_energetico"/>
  </r>
  <r>
    <x v="16"/>
    <x v="16"/>
    <x v="1"/>
    <n v="718"/>
    <x v="2"/>
    <s v="consumo_energetico"/>
  </r>
  <r>
    <x v="17"/>
    <x v="17"/>
    <x v="1"/>
    <m/>
    <x v="2"/>
    <s v="consumo_energetico"/>
  </r>
  <r>
    <x v="18"/>
    <x v="18"/>
    <x v="1"/>
    <n v="556"/>
    <x v="2"/>
    <s v="consumo_energetico"/>
  </r>
  <r>
    <x v="19"/>
    <x v="19"/>
    <x v="1"/>
    <n v="223"/>
    <x v="2"/>
    <s v="consumo_energetico"/>
  </r>
  <r>
    <x v="20"/>
    <x v="20"/>
    <x v="1"/>
    <n v="181"/>
    <x v="2"/>
    <s v="consumo_energetico"/>
  </r>
  <r>
    <x v="21"/>
    <x v="21"/>
    <x v="1"/>
    <n v="74"/>
    <x v="2"/>
    <s v="consumo_energetico"/>
  </r>
  <r>
    <x v="22"/>
    <x v="22"/>
    <x v="1"/>
    <n v="216"/>
    <x v="2"/>
    <s v="consumo_energetico"/>
  </r>
  <r>
    <x v="23"/>
    <x v="23"/>
    <x v="1"/>
    <n v="7910"/>
    <x v="2"/>
    <s v="consumo_energetico"/>
  </r>
  <r>
    <x v="24"/>
    <x v="24"/>
    <x v="1"/>
    <m/>
    <x v="2"/>
    <s v="consumo_energetico"/>
  </r>
  <r>
    <x v="25"/>
    <x v="25"/>
    <x v="1"/>
    <m/>
    <x v="2"/>
    <s v="consumo_energetico"/>
  </r>
  <r>
    <x v="0"/>
    <x v="0"/>
    <x v="2"/>
    <n v="42609"/>
    <x v="2"/>
    <s v="consumo_energetico"/>
  </r>
  <r>
    <x v="1"/>
    <x v="1"/>
    <x v="2"/>
    <n v="18548"/>
    <x v="2"/>
    <s v="consumo_energetico"/>
  </r>
  <r>
    <x v="2"/>
    <x v="2"/>
    <x v="2"/>
    <n v="1106"/>
    <x v="2"/>
    <s v="consumo_energetico"/>
  </r>
  <r>
    <x v="3"/>
    <x v="3"/>
    <x v="2"/>
    <n v="2"/>
    <x v="2"/>
    <s v="consumo_energetico"/>
  </r>
  <r>
    <x v="4"/>
    <x v="4"/>
    <x v="2"/>
    <n v="1407"/>
    <x v="2"/>
    <s v="consumo_energetico"/>
  </r>
  <r>
    <x v="5"/>
    <x v="5"/>
    <x v="2"/>
    <n v="245"/>
    <x v="2"/>
    <s v="consumo_energetico"/>
  </r>
  <r>
    <x v="6"/>
    <x v="6"/>
    <x v="2"/>
    <n v="54"/>
    <x v="2"/>
    <s v="consumo_energetico"/>
  </r>
  <r>
    <x v="7"/>
    <x v="7"/>
    <x v="2"/>
    <n v="173"/>
    <x v="2"/>
    <s v="consumo_energetico"/>
  </r>
  <r>
    <x v="8"/>
    <x v="8"/>
    <x v="2"/>
    <n v="4036"/>
    <x v="2"/>
    <s v="consumo_energetico"/>
  </r>
  <r>
    <x v="9"/>
    <x v="9"/>
    <x v="2"/>
    <n v="76"/>
    <x v="2"/>
    <s v="consumo_energetico"/>
  </r>
  <r>
    <x v="10"/>
    <x v="10"/>
    <x v="2"/>
    <n v="38"/>
    <x v="2"/>
    <s v="consumo_energetico"/>
  </r>
  <r>
    <x v="11"/>
    <x v="11"/>
    <x v="2"/>
    <n v="640"/>
    <x v="2"/>
    <s v="consumo_energetico"/>
  </r>
  <r>
    <x v="12"/>
    <x v="12"/>
    <x v="2"/>
    <n v="177"/>
    <x v="2"/>
    <s v="consumo_energetico"/>
  </r>
  <r>
    <x v="13"/>
    <x v="13"/>
    <x v="2"/>
    <n v="945"/>
    <x v="2"/>
    <s v="consumo_energetico"/>
  </r>
  <r>
    <x v="14"/>
    <x v="14"/>
    <x v="2"/>
    <n v="12942"/>
    <x v="2"/>
    <s v="consumo_energetico"/>
  </r>
  <r>
    <x v="15"/>
    <x v="15"/>
    <x v="2"/>
    <n v="980"/>
    <x v="2"/>
    <s v="consumo_energetico"/>
  </r>
  <r>
    <x v="16"/>
    <x v="16"/>
    <x v="2"/>
    <n v="253"/>
    <x v="2"/>
    <s v="consumo_energetico"/>
  </r>
  <r>
    <x v="17"/>
    <x v="17"/>
    <x v="2"/>
    <n v="9"/>
    <x v="2"/>
    <s v="consumo_energetico"/>
  </r>
  <r>
    <x v="18"/>
    <x v="18"/>
    <x v="2"/>
    <n v="219"/>
    <x v="2"/>
    <s v="consumo_energetico"/>
  </r>
  <r>
    <x v="19"/>
    <x v="19"/>
    <x v="2"/>
    <n v="211"/>
    <x v="2"/>
    <s v="consumo_energetico"/>
  </r>
  <r>
    <x v="20"/>
    <x v="20"/>
    <x v="2"/>
    <n v="97"/>
    <x v="2"/>
    <s v="consumo_energetico"/>
  </r>
  <r>
    <x v="21"/>
    <x v="21"/>
    <x v="2"/>
    <n v="66"/>
    <x v="2"/>
    <s v="consumo_energetico"/>
  </r>
  <r>
    <x v="22"/>
    <x v="22"/>
    <x v="2"/>
    <n v="58"/>
    <x v="2"/>
    <s v="consumo_energetico"/>
  </r>
  <r>
    <x v="23"/>
    <x v="23"/>
    <x v="2"/>
    <n v="204"/>
    <x v="2"/>
    <s v="consumo_energetico"/>
  </r>
  <r>
    <x v="24"/>
    <x v="24"/>
    <x v="2"/>
    <n v="110"/>
    <x v="2"/>
    <s v="consumo_energetico"/>
  </r>
  <r>
    <x v="25"/>
    <x v="25"/>
    <x v="2"/>
    <m/>
    <x v="2"/>
    <s v="consumo_energetico"/>
  </r>
  <r>
    <x v="0"/>
    <x v="0"/>
    <x v="3"/>
    <n v="59157"/>
    <x v="2"/>
    <s v="consumo_energetico"/>
  </r>
  <r>
    <x v="1"/>
    <x v="1"/>
    <x v="3"/>
    <n v="9978"/>
    <x v="2"/>
    <s v="consumo_energetico"/>
  </r>
  <r>
    <x v="2"/>
    <x v="2"/>
    <x v="3"/>
    <n v="1178"/>
    <x v="2"/>
    <s v="consumo_energetico"/>
  </r>
  <r>
    <x v="3"/>
    <x v="3"/>
    <x v="3"/>
    <m/>
    <x v="2"/>
    <s v="consumo_energetico"/>
  </r>
  <r>
    <x v="4"/>
    <x v="4"/>
    <x v="3"/>
    <n v="2940"/>
    <x v="2"/>
    <s v="consumo_energetico"/>
  </r>
  <r>
    <x v="5"/>
    <x v="5"/>
    <x v="3"/>
    <n v="859"/>
    <x v="2"/>
    <s v="consumo_energetico"/>
  </r>
  <r>
    <x v="6"/>
    <x v="6"/>
    <x v="3"/>
    <n v="143"/>
    <x v="2"/>
    <s v="consumo_energetico"/>
  </r>
  <r>
    <x v="7"/>
    <x v="7"/>
    <x v="3"/>
    <n v="310"/>
    <x v="2"/>
    <s v="consumo_energetico"/>
  </r>
  <r>
    <x v="8"/>
    <x v="8"/>
    <x v="3"/>
    <n v="1287"/>
    <x v="2"/>
    <s v="consumo_energetico"/>
  </r>
  <r>
    <x v="9"/>
    <x v="9"/>
    <x v="3"/>
    <n v="396"/>
    <x v="2"/>
    <s v="consumo_energetico"/>
  </r>
  <r>
    <x v="10"/>
    <x v="10"/>
    <x v="3"/>
    <n v="0"/>
    <x v="2"/>
    <s v="consumo_energetico"/>
  </r>
  <r>
    <x v="11"/>
    <x v="11"/>
    <x v="3"/>
    <n v="13459"/>
    <x v="2"/>
    <s v="consumo_energetico"/>
  </r>
  <r>
    <x v="12"/>
    <x v="12"/>
    <x v="3"/>
    <n v="376"/>
    <x v="2"/>
    <s v="consumo_energetico"/>
  </r>
  <r>
    <x v="13"/>
    <x v="13"/>
    <x v="3"/>
    <n v="6037"/>
    <x v="2"/>
    <s v="consumo_energetico"/>
  </r>
  <r>
    <x v="14"/>
    <x v="14"/>
    <x v="3"/>
    <n v="8478"/>
    <x v="2"/>
    <s v="consumo_energetico"/>
  </r>
  <r>
    <x v="15"/>
    <x v="15"/>
    <x v="3"/>
    <n v="12394"/>
    <x v="2"/>
    <s v="consumo_energetico"/>
  </r>
  <r>
    <x v="16"/>
    <x v="16"/>
    <x v="3"/>
    <n v="471"/>
    <x v="2"/>
    <s v="consumo_energetico"/>
  </r>
  <r>
    <x v="17"/>
    <x v="17"/>
    <x v="3"/>
    <n v="12"/>
    <x v="2"/>
    <s v="consumo_energetico"/>
  </r>
  <r>
    <x v="18"/>
    <x v="18"/>
    <x v="3"/>
    <n v="251"/>
    <x v="2"/>
    <s v="consumo_energetico"/>
  </r>
  <r>
    <x v="19"/>
    <x v="19"/>
    <x v="3"/>
    <n v="71"/>
    <x v="2"/>
    <s v="consumo_energetico"/>
  </r>
  <r>
    <x v="20"/>
    <x v="20"/>
    <x v="3"/>
    <n v="60"/>
    <x v="2"/>
    <s v="consumo_energetico"/>
  </r>
  <r>
    <x v="21"/>
    <x v="21"/>
    <x v="3"/>
    <n v="42"/>
    <x v="2"/>
    <s v="consumo_energetico"/>
  </r>
  <r>
    <x v="22"/>
    <x v="22"/>
    <x v="3"/>
    <n v="163"/>
    <x v="2"/>
    <s v="consumo_energetico"/>
  </r>
  <r>
    <x v="23"/>
    <x v="23"/>
    <x v="3"/>
    <n v="199"/>
    <x v="2"/>
    <s v="consumo_energetico"/>
  </r>
  <r>
    <x v="24"/>
    <x v="24"/>
    <x v="3"/>
    <n v="45"/>
    <x v="2"/>
    <s v="consumo_energetico"/>
  </r>
  <r>
    <x v="25"/>
    <x v="25"/>
    <x v="3"/>
    <m/>
    <x v="2"/>
    <s v="consumo_energetico"/>
  </r>
  <r>
    <x v="0"/>
    <x v="0"/>
    <x v="0"/>
    <m/>
    <x v="3"/>
    <s v="consumo_energetico"/>
  </r>
  <r>
    <x v="1"/>
    <x v="1"/>
    <x v="0"/>
    <m/>
    <x v="3"/>
    <s v="consumo_energetico"/>
  </r>
  <r>
    <x v="2"/>
    <x v="2"/>
    <x v="0"/>
    <m/>
    <x v="3"/>
    <s v="consumo_energetico"/>
  </r>
  <r>
    <x v="3"/>
    <x v="3"/>
    <x v="0"/>
    <m/>
    <x v="3"/>
    <s v="consumo_energetico"/>
  </r>
  <r>
    <x v="4"/>
    <x v="4"/>
    <x v="0"/>
    <m/>
    <x v="3"/>
    <s v="consumo_energetico"/>
  </r>
  <r>
    <x v="5"/>
    <x v="5"/>
    <x v="0"/>
    <m/>
    <x v="3"/>
    <s v="consumo_energetico"/>
  </r>
  <r>
    <x v="6"/>
    <x v="6"/>
    <x v="0"/>
    <m/>
    <x v="3"/>
    <s v="consumo_energetico"/>
  </r>
  <r>
    <x v="7"/>
    <x v="7"/>
    <x v="0"/>
    <m/>
    <x v="3"/>
    <s v="consumo_energetico"/>
  </r>
  <r>
    <x v="8"/>
    <x v="8"/>
    <x v="0"/>
    <m/>
    <x v="3"/>
    <s v="consumo_energetico"/>
  </r>
  <r>
    <x v="9"/>
    <x v="9"/>
    <x v="0"/>
    <m/>
    <x v="3"/>
    <s v="consumo_energetico"/>
  </r>
  <r>
    <x v="10"/>
    <x v="10"/>
    <x v="0"/>
    <m/>
    <x v="3"/>
    <s v="consumo_energetico"/>
  </r>
  <r>
    <x v="11"/>
    <x v="11"/>
    <x v="0"/>
    <m/>
    <x v="3"/>
    <s v="consumo_energetico"/>
  </r>
  <r>
    <x v="12"/>
    <x v="12"/>
    <x v="0"/>
    <m/>
    <x v="3"/>
    <s v="consumo_energetico"/>
  </r>
  <r>
    <x v="13"/>
    <x v="13"/>
    <x v="0"/>
    <m/>
    <x v="3"/>
    <s v="consumo_energetico"/>
  </r>
  <r>
    <x v="14"/>
    <x v="14"/>
    <x v="0"/>
    <m/>
    <x v="3"/>
    <s v="consumo_energetico"/>
  </r>
  <r>
    <x v="15"/>
    <x v="15"/>
    <x v="0"/>
    <m/>
    <x v="3"/>
    <s v="consumo_energetico"/>
  </r>
  <r>
    <x v="16"/>
    <x v="16"/>
    <x v="0"/>
    <m/>
    <x v="3"/>
    <s v="consumo_energetico"/>
  </r>
  <r>
    <x v="17"/>
    <x v="17"/>
    <x v="0"/>
    <m/>
    <x v="3"/>
    <s v="consumo_energetico"/>
  </r>
  <r>
    <x v="18"/>
    <x v="18"/>
    <x v="0"/>
    <m/>
    <x v="3"/>
    <s v="consumo_energetico"/>
  </r>
  <r>
    <x v="19"/>
    <x v="19"/>
    <x v="0"/>
    <m/>
    <x v="3"/>
    <s v="consumo_energetico"/>
  </r>
  <r>
    <x v="20"/>
    <x v="20"/>
    <x v="0"/>
    <m/>
    <x v="3"/>
    <s v="consumo_energetico"/>
  </r>
  <r>
    <x v="21"/>
    <x v="21"/>
    <x v="0"/>
    <m/>
    <x v="3"/>
    <s v="consumo_energetico"/>
  </r>
  <r>
    <x v="22"/>
    <x v="22"/>
    <x v="0"/>
    <m/>
    <x v="3"/>
    <s v="consumo_energetico"/>
  </r>
  <r>
    <x v="23"/>
    <x v="23"/>
    <x v="0"/>
    <m/>
    <x v="3"/>
    <s v="consumo_energetico"/>
  </r>
  <r>
    <x v="24"/>
    <x v="24"/>
    <x v="0"/>
    <m/>
    <x v="3"/>
    <s v="consumo_energetico"/>
  </r>
  <r>
    <x v="25"/>
    <x v="25"/>
    <x v="0"/>
    <m/>
    <x v="3"/>
    <s v="consumo_energetico"/>
  </r>
  <r>
    <x v="0"/>
    <x v="0"/>
    <x v="1"/>
    <n v="52511"/>
    <x v="3"/>
    <s v="consumo_energetico"/>
  </r>
  <r>
    <x v="1"/>
    <x v="1"/>
    <x v="1"/>
    <n v="10016"/>
    <x v="3"/>
    <s v="consumo_energetico"/>
  </r>
  <r>
    <x v="2"/>
    <x v="2"/>
    <x v="1"/>
    <n v="1251"/>
    <x v="3"/>
    <s v="consumo_energetico"/>
  </r>
  <r>
    <x v="3"/>
    <x v="3"/>
    <x v="1"/>
    <m/>
    <x v="3"/>
    <s v="consumo_energetico"/>
  </r>
  <r>
    <x v="4"/>
    <x v="4"/>
    <x v="1"/>
    <n v="1809"/>
    <x v="3"/>
    <s v="consumo_energetico"/>
  </r>
  <r>
    <x v="5"/>
    <x v="5"/>
    <x v="1"/>
    <n v="468"/>
    <x v="3"/>
    <s v="consumo_energetico"/>
  </r>
  <r>
    <x v="6"/>
    <x v="6"/>
    <x v="1"/>
    <n v="195"/>
    <x v="3"/>
    <s v="consumo_energetico"/>
  </r>
  <r>
    <x v="7"/>
    <x v="7"/>
    <x v="1"/>
    <n v="299"/>
    <x v="3"/>
    <s v="consumo_energetico"/>
  </r>
  <r>
    <x v="8"/>
    <x v="8"/>
    <x v="1"/>
    <n v="4770"/>
    <x v="3"/>
    <s v="consumo_energetico"/>
  </r>
  <r>
    <x v="9"/>
    <x v="9"/>
    <x v="1"/>
    <n v="376"/>
    <x v="3"/>
    <s v="consumo_energetico"/>
  </r>
  <r>
    <x v="10"/>
    <x v="10"/>
    <x v="1"/>
    <n v="1853"/>
    <x v="3"/>
    <s v="consumo_energetico"/>
  </r>
  <r>
    <x v="11"/>
    <x v="11"/>
    <x v="1"/>
    <n v="5335"/>
    <x v="3"/>
    <s v="consumo_energetico"/>
  </r>
  <r>
    <x v="12"/>
    <x v="12"/>
    <x v="1"/>
    <n v="596"/>
    <x v="3"/>
    <s v="consumo_energetico"/>
  </r>
  <r>
    <x v="13"/>
    <x v="13"/>
    <x v="1"/>
    <n v="3680"/>
    <x v="3"/>
    <s v="consumo_energetico"/>
  </r>
  <r>
    <x v="14"/>
    <x v="14"/>
    <x v="1"/>
    <n v="6532"/>
    <x v="3"/>
    <s v="consumo_energetico"/>
  </r>
  <r>
    <x v="15"/>
    <x v="15"/>
    <x v="1"/>
    <n v="4162"/>
    <x v="3"/>
    <s v="consumo_energetico"/>
  </r>
  <r>
    <x v="16"/>
    <x v="16"/>
    <x v="1"/>
    <n v="695"/>
    <x v="3"/>
    <s v="consumo_energetico"/>
  </r>
  <r>
    <x v="17"/>
    <x v="17"/>
    <x v="1"/>
    <m/>
    <x v="3"/>
    <s v="consumo_energetico"/>
  </r>
  <r>
    <x v="18"/>
    <x v="18"/>
    <x v="1"/>
    <n v="561"/>
    <x v="3"/>
    <s v="consumo_energetico"/>
  </r>
  <r>
    <x v="19"/>
    <x v="19"/>
    <x v="1"/>
    <n v="238"/>
    <x v="3"/>
    <s v="consumo_energetico"/>
  </r>
  <r>
    <x v="20"/>
    <x v="20"/>
    <x v="1"/>
    <n v="162"/>
    <x v="3"/>
    <s v="consumo_energetico"/>
  </r>
  <r>
    <x v="21"/>
    <x v="21"/>
    <x v="1"/>
    <n v="74"/>
    <x v="3"/>
    <s v="consumo_energetico"/>
  </r>
  <r>
    <x v="22"/>
    <x v="22"/>
    <x v="1"/>
    <n v="231"/>
    <x v="3"/>
    <s v="consumo_energetico"/>
  </r>
  <r>
    <x v="23"/>
    <x v="23"/>
    <x v="1"/>
    <n v="9196"/>
    <x v="3"/>
    <s v="consumo_energetico"/>
  </r>
  <r>
    <x v="24"/>
    <x v="24"/>
    <x v="1"/>
    <m/>
    <x v="3"/>
    <s v="consumo_energetico"/>
  </r>
  <r>
    <x v="25"/>
    <x v="25"/>
    <x v="1"/>
    <m/>
    <x v="3"/>
    <s v="consumo_energetico"/>
  </r>
  <r>
    <x v="0"/>
    <x v="0"/>
    <x v="2"/>
    <n v="46786"/>
    <x v="3"/>
    <s v="consumo_energetico"/>
  </r>
  <r>
    <x v="1"/>
    <x v="1"/>
    <x v="2"/>
    <n v="17478"/>
    <x v="3"/>
    <s v="consumo_energetico"/>
  </r>
  <r>
    <x v="2"/>
    <x v="2"/>
    <x v="2"/>
    <n v="1089"/>
    <x v="3"/>
    <s v="consumo_energetico"/>
  </r>
  <r>
    <x v="3"/>
    <x v="3"/>
    <x v="2"/>
    <n v="5"/>
    <x v="3"/>
    <s v="consumo_energetico"/>
  </r>
  <r>
    <x v="4"/>
    <x v="4"/>
    <x v="2"/>
    <n v="1031"/>
    <x v="3"/>
    <s v="consumo_energetico"/>
  </r>
  <r>
    <x v="5"/>
    <x v="5"/>
    <x v="2"/>
    <n v="197"/>
    <x v="3"/>
    <s v="consumo_energetico"/>
  </r>
  <r>
    <x v="6"/>
    <x v="6"/>
    <x v="2"/>
    <n v="82"/>
    <x v="3"/>
    <s v="consumo_energetico"/>
  </r>
  <r>
    <x v="7"/>
    <x v="7"/>
    <x v="2"/>
    <n v="233"/>
    <x v="3"/>
    <s v="consumo_energetico"/>
  </r>
  <r>
    <x v="8"/>
    <x v="8"/>
    <x v="2"/>
    <n v="3178"/>
    <x v="3"/>
    <s v="consumo_energetico"/>
  </r>
  <r>
    <x v="9"/>
    <x v="9"/>
    <x v="2"/>
    <n v="64"/>
    <x v="3"/>
    <s v="consumo_energetico"/>
  </r>
  <r>
    <x v="10"/>
    <x v="10"/>
    <x v="2"/>
    <n v="417"/>
    <x v="3"/>
    <s v="consumo_energetico"/>
  </r>
  <r>
    <x v="11"/>
    <x v="11"/>
    <x v="2"/>
    <n v="895"/>
    <x v="3"/>
    <s v="consumo_energetico"/>
  </r>
  <r>
    <x v="12"/>
    <x v="12"/>
    <x v="2"/>
    <n v="237"/>
    <x v="3"/>
    <s v="consumo_energetico"/>
  </r>
  <r>
    <x v="13"/>
    <x v="13"/>
    <x v="2"/>
    <n v="2966"/>
    <x v="3"/>
    <s v="consumo_energetico"/>
  </r>
  <r>
    <x v="14"/>
    <x v="14"/>
    <x v="2"/>
    <n v="16541"/>
    <x v="3"/>
    <s v="consumo_energetico"/>
  </r>
  <r>
    <x v="15"/>
    <x v="15"/>
    <x v="2"/>
    <n v="1175"/>
    <x v="3"/>
    <s v="consumo_energetico"/>
  </r>
  <r>
    <x v="16"/>
    <x v="16"/>
    <x v="2"/>
    <n v="304"/>
    <x v="3"/>
    <s v="consumo_energetico"/>
  </r>
  <r>
    <x v="17"/>
    <x v="17"/>
    <x v="2"/>
    <n v="2"/>
    <x v="3"/>
    <s v="consumo_energetico"/>
  </r>
  <r>
    <x v="18"/>
    <x v="18"/>
    <x v="2"/>
    <n v="227"/>
    <x v="3"/>
    <s v="consumo_energetico"/>
  </r>
  <r>
    <x v="19"/>
    <x v="19"/>
    <x v="2"/>
    <n v="159"/>
    <x v="3"/>
    <s v="consumo_energetico"/>
  </r>
  <r>
    <x v="20"/>
    <x v="20"/>
    <x v="2"/>
    <n v="173"/>
    <x v="3"/>
    <s v="consumo_energetico"/>
  </r>
  <r>
    <x v="21"/>
    <x v="21"/>
    <x v="2"/>
    <n v="14"/>
    <x v="3"/>
    <s v="consumo_energetico"/>
  </r>
  <r>
    <x v="22"/>
    <x v="22"/>
    <x v="2"/>
    <n v="172"/>
    <x v="3"/>
    <s v="consumo_energetico"/>
  </r>
  <r>
    <x v="23"/>
    <x v="23"/>
    <x v="2"/>
    <n v="2"/>
    <x v="3"/>
    <s v="consumo_energetico"/>
  </r>
  <r>
    <x v="24"/>
    <x v="24"/>
    <x v="2"/>
    <n v="134"/>
    <x v="3"/>
    <s v="consumo_energetico"/>
  </r>
  <r>
    <x v="25"/>
    <x v="25"/>
    <x v="2"/>
    <m/>
    <x v="3"/>
    <s v="consumo_energetico"/>
  </r>
  <r>
    <x v="0"/>
    <x v="0"/>
    <x v="3"/>
    <m/>
    <x v="3"/>
    <s v="consumo_energetico"/>
  </r>
  <r>
    <x v="1"/>
    <x v="1"/>
    <x v="3"/>
    <m/>
    <x v="3"/>
    <s v="consumo_energetico"/>
  </r>
  <r>
    <x v="2"/>
    <x v="2"/>
    <x v="3"/>
    <m/>
    <x v="3"/>
    <s v="consumo_energetico"/>
  </r>
  <r>
    <x v="3"/>
    <x v="3"/>
    <x v="3"/>
    <m/>
    <x v="3"/>
    <s v="consumo_energetico"/>
  </r>
  <r>
    <x v="4"/>
    <x v="4"/>
    <x v="3"/>
    <m/>
    <x v="3"/>
    <s v="consumo_energetico"/>
  </r>
  <r>
    <x v="5"/>
    <x v="5"/>
    <x v="3"/>
    <m/>
    <x v="3"/>
    <s v="consumo_energetico"/>
  </r>
  <r>
    <x v="6"/>
    <x v="6"/>
    <x v="3"/>
    <m/>
    <x v="3"/>
    <s v="consumo_energetico"/>
  </r>
  <r>
    <x v="7"/>
    <x v="7"/>
    <x v="3"/>
    <m/>
    <x v="3"/>
    <s v="consumo_energetico"/>
  </r>
  <r>
    <x v="8"/>
    <x v="8"/>
    <x v="3"/>
    <m/>
    <x v="3"/>
    <s v="consumo_energetico"/>
  </r>
  <r>
    <x v="9"/>
    <x v="9"/>
    <x v="3"/>
    <m/>
    <x v="3"/>
    <s v="consumo_energetico"/>
  </r>
  <r>
    <x v="10"/>
    <x v="10"/>
    <x v="3"/>
    <m/>
    <x v="3"/>
    <s v="consumo_energetico"/>
  </r>
  <r>
    <x v="11"/>
    <x v="11"/>
    <x v="3"/>
    <m/>
    <x v="3"/>
    <s v="consumo_energetico"/>
  </r>
  <r>
    <x v="12"/>
    <x v="12"/>
    <x v="3"/>
    <m/>
    <x v="3"/>
    <s v="consumo_energetico"/>
  </r>
  <r>
    <x v="13"/>
    <x v="13"/>
    <x v="3"/>
    <m/>
    <x v="3"/>
    <s v="consumo_energetico"/>
  </r>
  <r>
    <x v="14"/>
    <x v="14"/>
    <x v="3"/>
    <m/>
    <x v="3"/>
    <s v="consumo_energetico"/>
  </r>
  <r>
    <x v="15"/>
    <x v="15"/>
    <x v="3"/>
    <m/>
    <x v="3"/>
    <s v="consumo_energetico"/>
  </r>
  <r>
    <x v="16"/>
    <x v="16"/>
    <x v="3"/>
    <m/>
    <x v="3"/>
    <s v="consumo_energetico"/>
  </r>
  <r>
    <x v="17"/>
    <x v="17"/>
    <x v="3"/>
    <m/>
    <x v="3"/>
    <s v="consumo_energetico"/>
  </r>
  <r>
    <x v="18"/>
    <x v="18"/>
    <x v="3"/>
    <m/>
    <x v="3"/>
    <s v="consumo_energetico"/>
  </r>
  <r>
    <x v="19"/>
    <x v="19"/>
    <x v="3"/>
    <m/>
    <x v="3"/>
    <s v="consumo_energetico"/>
  </r>
  <r>
    <x v="20"/>
    <x v="20"/>
    <x v="3"/>
    <m/>
    <x v="3"/>
    <s v="consumo_energetico"/>
  </r>
  <r>
    <x v="21"/>
    <x v="21"/>
    <x v="3"/>
    <m/>
    <x v="3"/>
    <s v="consumo_energetico"/>
  </r>
  <r>
    <x v="22"/>
    <x v="22"/>
    <x v="3"/>
    <m/>
    <x v="3"/>
    <s v="consumo_energetico"/>
  </r>
  <r>
    <x v="23"/>
    <x v="23"/>
    <x v="3"/>
    <m/>
    <x v="3"/>
    <s v="consumo_energetico"/>
  </r>
  <r>
    <x v="24"/>
    <x v="24"/>
    <x v="3"/>
    <m/>
    <x v="3"/>
    <s v="consumo_energetico"/>
  </r>
  <r>
    <x v="25"/>
    <x v="25"/>
    <x v="3"/>
    <m/>
    <x v="3"/>
    <s v="consumo_energetico"/>
  </r>
  <r>
    <x v="0"/>
    <x v="0"/>
    <x v="0"/>
    <m/>
    <x v="4"/>
    <s v="consumo_energetico"/>
  </r>
  <r>
    <x v="1"/>
    <x v="1"/>
    <x v="0"/>
    <m/>
    <x v="4"/>
    <s v="consumo_energetico"/>
  </r>
  <r>
    <x v="2"/>
    <x v="2"/>
    <x v="0"/>
    <m/>
    <x v="4"/>
    <s v="consumo_energetico"/>
  </r>
  <r>
    <x v="3"/>
    <x v="3"/>
    <x v="0"/>
    <m/>
    <x v="4"/>
    <s v="consumo_energetico"/>
  </r>
  <r>
    <x v="4"/>
    <x v="4"/>
    <x v="0"/>
    <m/>
    <x v="4"/>
    <s v="consumo_energetico"/>
  </r>
  <r>
    <x v="5"/>
    <x v="5"/>
    <x v="0"/>
    <m/>
    <x v="4"/>
    <s v="consumo_energetico"/>
  </r>
  <r>
    <x v="6"/>
    <x v="6"/>
    <x v="0"/>
    <m/>
    <x v="4"/>
    <s v="consumo_energetico"/>
  </r>
  <r>
    <x v="7"/>
    <x v="7"/>
    <x v="0"/>
    <m/>
    <x v="4"/>
    <s v="consumo_energetico"/>
  </r>
  <r>
    <x v="8"/>
    <x v="8"/>
    <x v="0"/>
    <m/>
    <x v="4"/>
    <s v="consumo_energetico"/>
  </r>
  <r>
    <x v="9"/>
    <x v="9"/>
    <x v="0"/>
    <m/>
    <x v="4"/>
    <s v="consumo_energetico"/>
  </r>
  <r>
    <x v="10"/>
    <x v="10"/>
    <x v="0"/>
    <m/>
    <x v="4"/>
    <s v="consumo_energetico"/>
  </r>
  <r>
    <x v="11"/>
    <x v="11"/>
    <x v="0"/>
    <m/>
    <x v="4"/>
    <s v="consumo_energetico"/>
  </r>
  <r>
    <x v="12"/>
    <x v="12"/>
    <x v="0"/>
    <m/>
    <x v="4"/>
    <s v="consumo_energetico"/>
  </r>
  <r>
    <x v="13"/>
    <x v="13"/>
    <x v="0"/>
    <m/>
    <x v="4"/>
    <s v="consumo_energetico"/>
  </r>
  <r>
    <x v="14"/>
    <x v="14"/>
    <x v="0"/>
    <m/>
    <x v="4"/>
    <s v="consumo_energetico"/>
  </r>
  <r>
    <x v="15"/>
    <x v="15"/>
    <x v="0"/>
    <m/>
    <x v="4"/>
    <s v="consumo_energetico"/>
  </r>
  <r>
    <x v="16"/>
    <x v="16"/>
    <x v="0"/>
    <m/>
    <x v="4"/>
    <s v="consumo_energetico"/>
  </r>
  <r>
    <x v="17"/>
    <x v="17"/>
    <x v="0"/>
    <m/>
    <x v="4"/>
    <s v="consumo_energetico"/>
  </r>
  <r>
    <x v="18"/>
    <x v="18"/>
    <x v="0"/>
    <m/>
    <x v="4"/>
    <s v="consumo_energetico"/>
  </r>
  <r>
    <x v="19"/>
    <x v="19"/>
    <x v="0"/>
    <m/>
    <x v="4"/>
    <s v="consumo_energetico"/>
  </r>
  <r>
    <x v="20"/>
    <x v="20"/>
    <x v="0"/>
    <m/>
    <x v="4"/>
    <s v="consumo_energetico"/>
  </r>
  <r>
    <x v="21"/>
    <x v="21"/>
    <x v="0"/>
    <m/>
    <x v="4"/>
    <s v="consumo_energetico"/>
  </r>
  <r>
    <x v="22"/>
    <x v="22"/>
    <x v="0"/>
    <m/>
    <x v="4"/>
    <s v="consumo_energetico"/>
  </r>
  <r>
    <x v="23"/>
    <x v="23"/>
    <x v="0"/>
    <m/>
    <x v="4"/>
    <s v="consumo_energetico"/>
  </r>
  <r>
    <x v="24"/>
    <x v="24"/>
    <x v="0"/>
    <m/>
    <x v="4"/>
    <s v="consumo_energetico"/>
  </r>
  <r>
    <x v="25"/>
    <x v="25"/>
    <x v="0"/>
    <m/>
    <x v="4"/>
    <s v="consumo_energetico"/>
  </r>
  <r>
    <x v="0"/>
    <x v="0"/>
    <x v="1"/>
    <n v="49571"/>
    <x v="4"/>
    <s v="consumo_energetico"/>
  </r>
  <r>
    <x v="1"/>
    <x v="1"/>
    <x v="1"/>
    <n v="10361"/>
    <x v="4"/>
    <s v="consumo_energetico"/>
  </r>
  <r>
    <x v="2"/>
    <x v="2"/>
    <x v="1"/>
    <n v="1140"/>
    <x v="4"/>
    <s v="consumo_energetico"/>
  </r>
  <r>
    <x v="3"/>
    <x v="3"/>
    <x v="1"/>
    <m/>
    <x v="4"/>
    <s v="consumo_energetico"/>
  </r>
  <r>
    <x v="4"/>
    <x v="4"/>
    <x v="1"/>
    <n v="1494"/>
    <x v="4"/>
    <s v="consumo_energetico"/>
  </r>
  <r>
    <x v="5"/>
    <x v="5"/>
    <x v="1"/>
    <n v="348"/>
    <x v="4"/>
    <s v="consumo_energetico"/>
  </r>
  <r>
    <x v="6"/>
    <x v="6"/>
    <x v="1"/>
    <n v="143"/>
    <x v="4"/>
    <s v="consumo_energetico"/>
  </r>
  <r>
    <x v="7"/>
    <x v="7"/>
    <x v="1"/>
    <n v="265"/>
    <x v="4"/>
    <s v="consumo_energetico"/>
  </r>
  <r>
    <x v="8"/>
    <x v="8"/>
    <x v="1"/>
    <n v="4431"/>
    <x v="4"/>
    <s v="consumo_energetico"/>
  </r>
  <r>
    <x v="9"/>
    <x v="9"/>
    <x v="1"/>
    <n v="316"/>
    <x v="4"/>
    <s v="consumo_energetico"/>
  </r>
  <r>
    <x v="10"/>
    <x v="10"/>
    <x v="1"/>
    <n v="1633"/>
    <x v="4"/>
    <s v="consumo_energetico"/>
  </r>
  <r>
    <x v="11"/>
    <x v="11"/>
    <x v="1"/>
    <n v="5268"/>
    <x v="4"/>
    <s v="consumo_energetico"/>
  </r>
  <r>
    <x v="12"/>
    <x v="12"/>
    <x v="1"/>
    <n v="586"/>
    <x v="4"/>
    <s v="consumo_energetico"/>
  </r>
  <r>
    <x v="13"/>
    <x v="13"/>
    <x v="1"/>
    <n v="3693"/>
    <x v="4"/>
    <s v="consumo_energetico"/>
  </r>
  <r>
    <x v="14"/>
    <x v="14"/>
    <x v="1"/>
    <n v="6225"/>
    <x v="4"/>
    <s v="consumo_energetico"/>
  </r>
  <r>
    <x v="15"/>
    <x v="15"/>
    <x v="1"/>
    <n v="3802"/>
    <x v="4"/>
    <s v="consumo_energetico"/>
  </r>
  <r>
    <x v="16"/>
    <x v="16"/>
    <x v="1"/>
    <n v="622"/>
    <x v="4"/>
    <s v="consumo_energetico"/>
  </r>
  <r>
    <x v="17"/>
    <x v="17"/>
    <x v="1"/>
    <m/>
    <x v="4"/>
    <s v="consumo_energetico"/>
  </r>
  <r>
    <x v="18"/>
    <x v="18"/>
    <x v="1"/>
    <n v="554"/>
    <x v="4"/>
    <s v="consumo_energetico"/>
  </r>
  <r>
    <x v="19"/>
    <x v="19"/>
    <x v="1"/>
    <n v="205"/>
    <x v="4"/>
    <s v="consumo_energetico"/>
  </r>
  <r>
    <x v="20"/>
    <x v="20"/>
    <x v="1"/>
    <n v="114"/>
    <x v="4"/>
    <s v="consumo_energetico"/>
  </r>
  <r>
    <x v="21"/>
    <x v="21"/>
    <x v="1"/>
    <n v="68"/>
    <x v="4"/>
    <s v="consumo_energetico"/>
  </r>
  <r>
    <x v="22"/>
    <x v="22"/>
    <x v="1"/>
    <n v="188"/>
    <x v="4"/>
    <s v="consumo_energetico"/>
  </r>
  <r>
    <x v="23"/>
    <x v="23"/>
    <x v="1"/>
    <n v="8103"/>
    <x v="4"/>
    <s v="consumo_energetico"/>
  </r>
  <r>
    <x v="24"/>
    <x v="24"/>
    <x v="1"/>
    <m/>
    <x v="4"/>
    <s v="consumo_energetico"/>
  </r>
  <r>
    <x v="25"/>
    <x v="25"/>
    <x v="1"/>
    <m/>
    <x v="4"/>
    <s v="consumo_energetico"/>
  </r>
  <r>
    <x v="0"/>
    <x v="0"/>
    <x v="2"/>
    <n v="31807"/>
    <x v="4"/>
    <s v="consumo_energetico"/>
  </r>
  <r>
    <x v="1"/>
    <x v="1"/>
    <x v="2"/>
    <n v="11819"/>
    <x v="4"/>
    <s v="consumo_energetico"/>
  </r>
  <r>
    <x v="2"/>
    <x v="2"/>
    <x v="2"/>
    <n v="636"/>
    <x v="4"/>
    <s v="consumo_energetico"/>
  </r>
  <r>
    <x v="3"/>
    <x v="3"/>
    <x v="2"/>
    <n v="0"/>
    <x v="4"/>
    <s v="consumo_energetico"/>
  </r>
  <r>
    <x v="4"/>
    <x v="4"/>
    <x v="2"/>
    <n v="529"/>
    <x v="4"/>
    <s v="consumo_energetico"/>
  </r>
  <r>
    <x v="5"/>
    <x v="5"/>
    <x v="2"/>
    <n v="70"/>
    <x v="4"/>
    <s v="consumo_energetico"/>
  </r>
  <r>
    <x v="6"/>
    <x v="6"/>
    <x v="2"/>
    <n v="51"/>
    <x v="4"/>
    <s v="consumo_energetico"/>
  </r>
  <r>
    <x v="7"/>
    <x v="7"/>
    <x v="2"/>
    <n v="148"/>
    <x v="4"/>
    <s v="consumo_energetico"/>
  </r>
  <r>
    <x v="8"/>
    <x v="8"/>
    <x v="2"/>
    <n v="3033"/>
    <x v="4"/>
    <s v="consumo_energetico"/>
  </r>
  <r>
    <x v="9"/>
    <x v="9"/>
    <x v="2"/>
    <n v="72"/>
    <x v="4"/>
    <s v="consumo_energetico"/>
  </r>
  <r>
    <x v="10"/>
    <x v="10"/>
    <x v="2"/>
    <n v="109"/>
    <x v="4"/>
    <s v="consumo_energetico"/>
  </r>
  <r>
    <x v="11"/>
    <x v="11"/>
    <x v="2"/>
    <n v="967"/>
    <x v="4"/>
    <s v="consumo_energetico"/>
  </r>
  <r>
    <x v="12"/>
    <x v="12"/>
    <x v="2"/>
    <n v="104"/>
    <x v="4"/>
    <s v="consumo_energetico"/>
  </r>
  <r>
    <x v="13"/>
    <x v="13"/>
    <x v="2"/>
    <n v="731"/>
    <x v="4"/>
    <s v="consumo_energetico"/>
  </r>
  <r>
    <x v="14"/>
    <x v="14"/>
    <x v="2"/>
    <n v="12003"/>
    <x v="4"/>
    <s v="consumo_energetico"/>
  </r>
  <r>
    <x v="15"/>
    <x v="15"/>
    <x v="2"/>
    <n v="692"/>
    <x v="4"/>
    <s v="consumo_energetico"/>
  </r>
  <r>
    <x v="16"/>
    <x v="16"/>
    <x v="2"/>
    <n v="391"/>
    <x v="4"/>
    <s v="consumo_energetico"/>
  </r>
  <r>
    <x v="17"/>
    <x v="17"/>
    <x v="2"/>
    <n v="0"/>
    <x v="4"/>
    <s v="consumo_energetico"/>
  </r>
  <r>
    <x v="18"/>
    <x v="18"/>
    <x v="2"/>
    <n v="163"/>
    <x v="4"/>
    <s v="consumo_energetico"/>
  </r>
  <r>
    <x v="19"/>
    <x v="19"/>
    <x v="2"/>
    <n v="110"/>
    <x v="4"/>
    <s v="consumo_energetico"/>
  </r>
  <r>
    <x v="20"/>
    <x v="20"/>
    <x v="2"/>
    <n v="75"/>
    <x v="4"/>
    <s v="consumo_energetico"/>
  </r>
  <r>
    <x v="21"/>
    <x v="21"/>
    <x v="2"/>
    <n v="9"/>
    <x v="4"/>
    <s v="consumo_energetico"/>
  </r>
  <r>
    <x v="22"/>
    <x v="22"/>
    <x v="2"/>
    <n v="27"/>
    <x v="4"/>
    <s v="consumo_energetico"/>
  </r>
  <r>
    <x v="23"/>
    <x v="23"/>
    <x v="2"/>
    <n v="1"/>
    <x v="4"/>
    <s v="consumo_energetico"/>
  </r>
  <r>
    <x v="24"/>
    <x v="24"/>
    <x v="2"/>
    <n v="54"/>
    <x v="4"/>
    <s v="consumo_energetico"/>
  </r>
  <r>
    <x v="25"/>
    <x v="25"/>
    <x v="2"/>
    <m/>
    <x v="4"/>
    <s v="consumo_energetico"/>
  </r>
  <r>
    <x v="0"/>
    <x v="0"/>
    <x v="3"/>
    <m/>
    <x v="4"/>
    <s v="consumo_energetico"/>
  </r>
  <r>
    <x v="1"/>
    <x v="1"/>
    <x v="3"/>
    <m/>
    <x v="4"/>
    <s v="consumo_energetico"/>
  </r>
  <r>
    <x v="2"/>
    <x v="2"/>
    <x v="3"/>
    <m/>
    <x v="4"/>
    <s v="consumo_energetico"/>
  </r>
  <r>
    <x v="3"/>
    <x v="3"/>
    <x v="3"/>
    <m/>
    <x v="4"/>
    <s v="consumo_energetico"/>
  </r>
  <r>
    <x v="4"/>
    <x v="4"/>
    <x v="3"/>
    <m/>
    <x v="4"/>
    <s v="consumo_energetico"/>
  </r>
  <r>
    <x v="5"/>
    <x v="5"/>
    <x v="3"/>
    <m/>
    <x v="4"/>
    <s v="consumo_energetico"/>
  </r>
  <r>
    <x v="6"/>
    <x v="6"/>
    <x v="3"/>
    <m/>
    <x v="4"/>
    <s v="consumo_energetico"/>
  </r>
  <r>
    <x v="7"/>
    <x v="7"/>
    <x v="3"/>
    <m/>
    <x v="4"/>
    <s v="consumo_energetico"/>
  </r>
  <r>
    <x v="8"/>
    <x v="8"/>
    <x v="3"/>
    <m/>
    <x v="4"/>
    <s v="consumo_energetico"/>
  </r>
  <r>
    <x v="9"/>
    <x v="9"/>
    <x v="3"/>
    <m/>
    <x v="4"/>
    <s v="consumo_energetico"/>
  </r>
  <r>
    <x v="10"/>
    <x v="10"/>
    <x v="3"/>
    <m/>
    <x v="4"/>
    <s v="consumo_energetico"/>
  </r>
  <r>
    <x v="11"/>
    <x v="11"/>
    <x v="3"/>
    <m/>
    <x v="4"/>
    <s v="consumo_energetico"/>
  </r>
  <r>
    <x v="12"/>
    <x v="12"/>
    <x v="3"/>
    <m/>
    <x v="4"/>
    <s v="consumo_energetico"/>
  </r>
  <r>
    <x v="13"/>
    <x v="13"/>
    <x v="3"/>
    <m/>
    <x v="4"/>
    <s v="consumo_energetico"/>
  </r>
  <r>
    <x v="14"/>
    <x v="14"/>
    <x v="3"/>
    <m/>
    <x v="4"/>
    <s v="consumo_energetico"/>
  </r>
  <r>
    <x v="15"/>
    <x v="15"/>
    <x v="3"/>
    <m/>
    <x v="4"/>
    <s v="consumo_energetico"/>
  </r>
  <r>
    <x v="16"/>
    <x v="16"/>
    <x v="3"/>
    <m/>
    <x v="4"/>
    <s v="consumo_energetico"/>
  </r>
  <r>
    <x v="17"/>
    <x v="17"/>
    <x v="3"/>
    <m/>
    <x v="4"/>
    <s v="consumo_energetico"/>
  </r>
  <r>
    <x v="18"/>
    <x v="18"/>
    <x v="3"/>
    <m/>
    <x v="4"/>
    <s v="consumo_energetico"/>
  </r>
  <r>
    <x v="19"/>
    <x v="19"/>
    <x v="3"/>
    <m/>
    <x v="4"/>
    <s v="consumo_energetico"/>
  </r>
  <r>
    <x v="20"/>
    <x v="20"/>
    <x v="3"/>
    <m/>
    <x v="4"/>
    <s v="consumo_energetico"/>
  </r>
  <r>
    <x v="21"/>
    <x v="21"/>
    <x v="3"/>
    <m/>
    <x v="4"/>
    <s v="consumo_energetico"/>
  </r>
  <r>
    <x v="22"/>
    <x v="22"/>
    <x v="3"/>
    <m/>
    <x v="4"/>
    <s v="consumo_energetico"/>
  </r>
  <r>
    <x v="23"/>
    <x v="23"/>
    <x v="3"/>
    <m/>
    <x v="4"/>
    <s v="consumo_energetico"/>
  </r>
  <r>
    <x v="24"/>
    <x v="24"/>
    <x v="3"/>
    <m/>
    <x v="4"/>
    <s v="consumo_energetico"/>
  </r>
  <r>
    <x v="25"/>
    <x v="25"/>
    <x v="3"/>
    <m/>
    <x v="4"/>
    <s v="consumo_energetico"/>
  </r>
  <r>
    <x v="0"/>
    <x v="0"/>
    <x v="0"/>
    <n v="17523894"/>
    <x v="5"/>
    <s v="consumo_energetico"/>
  </r>
  <r>
    <x v="1"/>
    <x v="1"/>
    <x v="0"/>
    <n v="17505414"/>
    <x v="5"/>
    <s v="consumo_energetico"/>
  </r>
  <r>
    <x v="2"/>
    <x v="2"/>
    <x v="0"/>
    <n v="171"/>
    <x v="5"/>
    <s v="consumo_energetico"/>
  </r>
  <r>
    <x v="3"/>
    <x v="3"/>
    <x v="0"/>
    <m/>
    <x v="5"/>
    <s v="consumo_energetico"/>
  </r>
  <r>
    <x v="4"/>
    <x v="4"/>
    <x v="0"/>
    <n v="12"/>
    <x v="5"/>
    <s v="consumo_energetico"/>
  </r>
  <r>
    <x v="5"/>
    <x v="5"/>
    <x v="0"/>
    <n v="0"/>
    <x v="5"/>
    <s v="consumo_energetico"/>
  </r>
  <r>
    <x v="6"/>
    <x v="6"/>
    <x v="0"/>
    <n v="0"/>
    <x v="5"/>
    <s v="consumo_energetico"/>
  </r>
  <r>
    <x v="7"/>
    <x v="7"/>
    <x v="0"/>
    <n v="865"/>
    <x v="5"/>
    <s v="consumo_energetico"/>
  </r>
  <r>
    <x v="8"/>
    <x v="8"/>
    <x v="0"/>
    <n v="6544"/>
    <x v="5"/>
    <s v="consumo_energetico"/>
  </r>
  <r>
    <x v="9"/>
    <x v="9"/>
    <x v="0"/>
    <n v="2"/>
    <x v="5"/>
    <s v="consumo_energetico"/>
  </r>
  <r>
    <x v="10"/>
    <x v="10"/>
    <x v="0"/>
    <m/>
    <x v="5"/>
    <s v="consumo_energetico"/>
  </r>
  <r>
    <x v="11"/>
    <x v="11"/>
    <x v="0"/>
    <n v="3409"/>
    <x v="5"/>
    <s v="consumo_energetico"/>
  </r>
  <r>
    <x v="12"/>
    <x v="12"/>
    <x v="0"/>
    <n v="39"/>
    <x v="5"/>
    <s v="consumo_energetico"/>
  </r>
  <r>
    <x v="13"/>
    <x v="13"/>
    <x v="0"/>
    <n v="390"/>
    <x v="5"/>
    <s v="consumo_energetico"/>
  </r>
  <r>
    <x v="14"/>
    <x v="14"/>
    <x v="0"/>
    <n v="131"/>
    <x v="5"/>
    <s v="consumo_energetico"/>
  </r>
  <r>
    <x v="15"/>
    <x v="15"/>
    <x v="0"/>
    <n v="64"/>
    <x v="5"/>
    <s v="consumo_energetico"/>
  </r>
  <r>
    <x v="16"/>
    <x v="16"/>
    <x v="0"/>
    <n v="534"/>
    <x v="5"/>
    <s v="consumo_energetico"/>
  </r>
  <r>
    <x v="17"/>
    <x v="17"/>
    <x v="0"/>
    <n v="231"/>
    <x v="5"/>
    <s v="consumo_energetico"/>
  </r>
  <r>
    <x v="18"/>
    <x v="18"/>
    <x v="0"/>
    <n v="85"/>
    <x v="5"/>
    <s v="consumo_energetico"/>
  </r>
  <r>
    <x v="19"/>
    <x v="19"/>
    <x v="0"/>
    <n v="58"/>
    <x v="5"/>
    <s v="consumo_energetico"/>
  </r>
  <r>
    <x v="20"/>
    <x v="20"/>
    <x v="0"/>
    <n v="0"/>
    <x v="5"/>
    <s v="consumo_energetico"/>
  </r>
  <r>
    <x v="21"/>
    <x v="21"/>
    <x v="0"/>
    <m/>
    <x v="5"/>
    <s v="consumo_energetico"/>
  </r>
  <r>
    <x v="22"/>
    <x v="22"/>
    <x v="0"/>
    <n v="55"/>
    <x v="5"/>
    <s v="consumo_energetico"/>
  </r>
  <r>
    <x v="23"/>
    <x v="23"/>
    <x v="0"/>
    <n v="1"/>
    <x v="5"/>
    <s v="consumo_energetico"/>
  </r>
  <r>
    <x v="24"/>
    <x v="24"/>
    <x v="0"/>
    <n v="23"/>
    <x v="5"/>
    <s v="consumo_energetico"/>
  </r>
  <r>
    <x v="25"/>
    <x v="25"/>
    <x v="0"/>
    <n v="5856"/>
    <x v="5"/>
    <s v="consumo_energetico"/>
  </r>
  <r>
    <x v="0"/>
    <x v="0"/>
    <x v="1"/>
    <n v="59974"/>
    <x v="5"/>
    <s v="consumo_energetico"/>
  </r>
  <r>
    <x v="1"/>
    <x v="1"/>
    <x v="1"/>
    <n v="12270"/>
    <x v="5"/>
    <s v="consumo_energetico"/>
  </r>
  <r>
    <x v="2"/>
    <x v="2"/>
    <x v="1"/>
    <n v="1415"/>
    <x v="5"/>
    <s v="consumo_energetico"/>
  </r>
  <r>
    <x v="3"/>
    <x v="3"/>
    <x v="1"/>
    <m/>
    <x v="5"/>
    <s v="consumo_energetico"/>
  </r>
  <r>
    <x v="4"/>
    <x v="4"/>
    <x v="1"/>
    <n v="2070"/>
    <x v="5"/>
    <s v="consumo_energetico"/>
  </r>
  <r>
    <x v="5"/>
    <x v="5"/>
    <x v="1"/>
    <n v="597"/>
    <x v="5"/>
    <s v="consumo_energetico"/>
  </r>
  <r>
    <x v="6"/>
    <x v="6"/>
    <x v="1"/>
    <n v="181"/>
    <x v="5"/>
    <s v="consumo_energetico"/>
  </r>
  <r>
    <x v="7"/>
    <x v="7"/>
    <x v="1"/>
    <n v="349"/>
    <x v="5"/>
    <s v="consumo_energetico"/>
  </r>
  <r>
    <x v="8"/>
    <x v="8"/>
    <x v="1"/>
    <n v="4435"/>
    <x v="5"/>
    <s v="consumo_energetico"/>
  </r>
  <r>
    <x v="9"/>
    <x v="9"/>
    <x v="1"/>
    <n v="443"/>
    <x v="5"/>
    <s v="consumo_energetico"/>
  </r>
  <r>
    <x v="10"/>
    <x v="10"/>
    <x v="1"/>
    <n v="2648"/>
    <x v="5"/>
    <s v="consumo_energetico"/>
  </r>
  <r>
    <x v="11"/>
    <x v="11"/>
    <x v="1"/>
    <n v="6417"/>
    <x v="5"/>
    <s v="consumo_energetico"/>
  </r>
  <r>
    <x v="12"/>
    <x v="12"/>
    <x v="1"/>
    <n v="731"/>
    <x v="5"/>
    <s v="consumo_energetico"/>
  </r>
  <r>
    <x v="13"/>
    <x v="13"/>
    <x v="1"/>
    <n v="5004"/>
    <x v="5"/>
    <s v="consumo_energetico"/>
  </r>
  <r>
    <x v="14"/>
    <x v="14"/>
    <x v="1"/>
    <n v="7866"/>
    <x v="5"/>
    <s v="consumo_energetico"/>
  </r>
  <r>
    <x v="15"/>
    <x v="15"/>
    <x v="1"/>
    <n v="3482"/>
    <x v="5"/>
    <s v="consumo_energetico"/>
  </r>
  <r>
    <x v="16"/>
    <x v="16"/>
    <x v="1"/>
    <n v="893"/>
    <x v="5"/>
    <s v="consumo_energetico"/>
  </r>
  <r>
    <x v="17"/>
    <x v="17"/>
    <x v="1"/>
    <m/>
    <x v="5"/>
    <s v="consumo_energetico"/>
  </r>
  <r>
    <x v="18"/>
    <x v="18"/>
    <x v="1"/>
    <n v="670"/>
    <x v="5"/>
    <s v="consumo_energetico"/>
  </r>
  <r>
    <x v="19"/>
    <x v="19"/>
    <x v="1"/>
    <n v="252"/>
    <x v="5"/>
    <s v="consumo_energetico"/>
  </r>
  <r>
    <x v="20"/>
    <x v="20"/>
    <x v="1"/>
    <n v="207"/>
    <x v="5"/>
    <s v="consumo_energetico"/>
  </r>
  <r>
    <x v="21"/>
    <x v="21"/>
    <x v="1"/>
    <n v="77"/>
    <x v="5"/>
    <s v="consumo_energetico"/>
  </r>
  <r>
    <x v="22"/>
    <x v="22"/>
    <x v="1"/>
    <n v="268"/>
    <x v="5"/>
    <s v="consumo_energetico"/>
  </r>
  <r>
    <x v="23"/>
    <x v="23"/>
    <x v="1"/>
    <n v="9687"/>
    <x v="5"/>
    <s v="consumo_energetico"/>
  </r>
  <r>
    <x v="24"/>
    <x v="24"/>
    <x v="1"/>
    <m/>
    <x v="5"/>
    <s v="consumo_energetico"/>
  </r>
  <r>
    <x v="25"/>
    <x v="25"/>
    <x v="1"/>
    <m/>
    <x v="5"/>
    <s v="consumo_energetico"/>
  </r>
  <r>
    <x v="0"/>
    <x v="0"/>
    <x v="2"/>
    <n v="30295"/>
    <x v="5"/>
    <s v="consumo_energetico"/>
  </r>
  <r>
    <x v="1"/>
    <x v="1"/>
    <x v="2"/>
    <n v="10549"/>
    <x v="5"/>
    <s v="consumo_energetico"/>
  </r>
  <r>
    <x v="2"/>
    <x v="2"/>
    <x v="2"/>
    <n v="647"/>
    <x v="5"/>
    <s v="consumo_energetico"/>
  </r>
  <r>
    <x v="3"/>
    <x v="3"/>
    <x v="2"/>
    <n v="0"/>
    <x v="5"/>
    <s v="consumo_energetico"/>
  </r>
  <r>
    <x v="4"/>
    <x v="4"/>
    <x v="2"/>
    <n v="734"/>
    <x v="5"/>
    <s v="consumo_energetico"/>
  </r>
  <r>
    <x v="5"/>
    <x v="5"/>
    <x v="2"/>
    <n v="117"/>
    <x v="5"/>
    <s v="consumo_energetico"/>
  </r>
  <r>
    <x v="6"/>
    <x v="6"/>
    <x v="2"/>
    <n v="17"/>
    <x v="5"/>
    <s v="consumo_energetico"/>
  </r>
  <r>
    <x v="7"/>
    <x v="7"/>
    <x v="2"/>
    <n v="146"/>
    <x v="5"/>
    <s v="consumo_energetico"/>
  </r>
  <r>
    <x v="8"/>
    <x v="8"/>
    <x v="2"/>
    <n v="3338"/>
    <x v="5"/>
    <s v="consumo_energetico"/>
  </r>
  <r>
    <x v="9"/>
    <x v="9"/>
    <x v="2"/>
    <n v="38"/>
    <x v="5"/>
    <s v="consumo_energetico"/>
  </r>
  <r>
    <x v="10"/>
    <x v="10"/>
    <x v="2"/>
    <n v="30"/>
    <x v="5"/>
    <s v="consumo_energetico"/>
  </r>
  <r>
    <x v="11"/>
    <x v="11"/>
    <x v="2"/>
    <n v="2467"/>
    <x v="5"/>
    <s v="consumo_energetico"/>
  </r>
  <r>
    <x v="12"/>
    <x v="12"/>
    <x v="2"/>
    <n v="116"/>
    <x v="5"/>
    <s v="consumo_energetico"/>
  </r>
  <r>
    <x v="13"/>
    <x v="13"/>
    <x v="2"/>
    <n v="827"/>
    <x v="5"/>
    <s v="consumo_energetico"/>
  </r>
  <r>
    <x v="14"/>
    <x v="14"/>
    <x v="2"/>
    <n v="8465"/>
    <x v="5"/>
    <s v="consumo_energetico"/>
  </r>
  <r>
    <x v="15"/>
    <x v="15"/>
    <x v="2"/>
    <n v="1534"/>
    <x v="5"/>
    <s v="consumo_energetico"/>
  </r>
  <r>
    <x v="16"/>
    <x v="16"/>
    <x v="2"/>
    <n v="444"/>
    <x v="5"/>
    <s v="consumo_energetico"/>
  </r>
  <r>
    <x v="17"/>
    <x v="17"/>
    <x v="2"/>
    <n v="0"/>
    <x v="5"/>
    <s v="consumo_energetico"/>
  </r>
  <r>
    <x v="18"/>
    <x v="18"/>
    <x v="2"/>
    <n v="426"/>
    <x v="5"/>
    <s v="consumo_energetico"/>
  </r>
  <r>
    <x v="19"/>
    <x v="19"/>
    <x v="2"/>
    <n v="153"/>
    <x v="5"/>
    <s v="consumo_energetico"/>
  </r>
  <r>
    <x v="20"/>
    <x v="20"/>
    <x v="2"/>
    <n v="73"/>
    <x v="5"/>
    <s v="consumo_energetico"/>
  </r>
  <r>
    <x v="21"/>
    <x v="21"/>
    <x v="2"/>
    <n v="9"/>
    <x v="5"/>
    <s v="consumo_energetico"/>
  </r>
  <r>
    <x v="22"/>
    <x v="22"/>
    <x v="2"/>
    <n v="46"/>
    <x v="5"/>
    <s v="consumo_energetico"/>
  </r>
  <r>
    <x v="23"/>
    <x v="23"/>
    <x v="2"/>
    <n v="0"/>
    <x v="5"/>
    <s v="consumo_energetico"/>
  </r>
  <r>
    <x v="24"/>
    <x v="24"/>
    <x v="2"/>
    <n v="106"/>
    <x v="5"/>
    <s v="consumo_energetico"/>
  </r>
  <r>
    <x v="25"/>
    <x v="25"/>
    <x v="2"/>
    <m/>
    <x v="5"/>
    <s v="consumo_energetico"/>
  </r>
  <r>
    <x v="0"/>
    <x v="0"/>
    <x v="3"/>
    <m/>
    <x v="5"/>
    <s v="consumo_energetico"/>
  </r>
  <r>
    <x v="1"/>
    <x v="1"/>
    <x v="3"/>
    <m/>
    <x v="5"/>
    <s v="consumo_energetico"/>
  </r>
  <r>
    <x v="2"/>
    <x v="2"/>
    <x v="3"/>
    <m/>
    <x v="5"/>
    <s v="consumo_energetico"/>
  </r>
  <r>
    <x v="3"/>
    <x v="3"/>
    <x v="3"/>
    <m/>
    <x v="5"/>
    <s v="consumo_energetico"/>
  </r>
  <r>
    <x v="4"/>
    <x v="4"/>
    <x v="3"/>
    <m/>
    <x v="5"/>
    <s v="consumo_energetico"/>
  </r>
  <r>
    <x v="5"/>
    <x v="5"/>
    <x v="3"/>
    <m/>
    <x v="5"/>
    <s v="consumo_energetico"/>
  </r>
  <r>
    <x v="6"/>
    <x v="6"/>
    <x v="3"/>
    <m/>
    <x v="5"/>
    <s v="consumo_energetico"/>
  </r>
  <r>
    <x v="7"/>
    <x v="7"/>
    <x v="3"/>
    <m/>
    <x v="5"/>
    <s v="consumo_energetico"/>
  </r>
  <r>
    <x v="8"/>
    <x v="8"/>
    <x v="3"/>
    <m/>
    <x v="5"/>
    <s v="consumo_energetico"/>
  </r>
  <r>
    <x v="9"/>
    <x v="9"/>
    <x v="3"/>
    <m/>
    <x v="5"/>
    <s v="consumo_energetico"/>
  </r>
  <r>
    <x v="10"/>
    <x v="10"/>
    <x v="3"/>
    <m/>
    <x v="5"/>
    <s v="consumo_energetico"/>
  </r>
  <r>
    <x v="11"/>
    <x v="11"/>
    <x v="3"/>
    <m/>
    <x v="5"/>
    <s v="consumo_energetico"/>
  </r>
  <r>
    <x v="12"/>
    <x v="12"/>
    <x v="3"/>
    <m/>
    <x v="5"/>
    <s v="consumo_energetico"/>
  </r>
  <r>
    <x v="13"/>
    <x v="13"/>
    <x v="3"/>
    <m/>
    <x v="5"/>
    <s v="consumo_energetico"/>
  </r>
  <r>
    <x v="14"/>
    <x v="14"/>
    <x v="3"/>
    <m/>
    <x v="5"/>
    <s v="consumo_energetico"/>
  </r>
  <r>
    <x v="15"/>
    <x v="15"/>
    <x v="3"/>
    <m/>
    <x v="5"/>
    <s v="consumo_energetico"/>
  </r>
  <r>
    <x v="16"/>
    <x v="16"/>
    <x v="3"/>
    <m/>
    <x v="5"/>
    <s v="consumo_energetico"/>
  </r>
  <r>
    <x v="17"/>
    <x v="17"/>
    <x v="3"/>
    <m/>
    <x v="5"/>
    <s v="consumo_energetico"/>
  </r>
  <r>
    <x v="18"/>
    <x v="18"/>
    <x v="3"/>
    <m/>
    <x v="5"/>
    <s v="consumo_energetico"/>
  </r>
  <r>
    <x v="19"/>
    <x v="19"/>
    <x v="3"/>
    <m/>
    <x v="5"/>
    <s v="consumo_energetico"/>
  </r>
  <r>
    <x v="20"/>
    <x v="20"/>
    <x v="3"/>
    <m/>
    <x v="5"/>
    <s v="consumo_energetico"/>
  </r>
  <r>
    <x v="21"/>
    <x v="21"/>
    <x v="3"/>
    <m/>
    <x v="5"/>
    <s v="consumo_energetico"/>
  </r>
  <r>
    <x v="22"/>
    <x v="22"/>
    <x v="3"/>
    <m/>
    <x v="5"/>
    <s v="consumo_energetico"/>
  </r>
  <r>
    <x v="23"/>
    <x v="23"/>
    <x v="3"/>
    <m/>
    <x v="5"/>
    <s v="consumo_energetico"/>
  </r>
  <r>
    <x v="24"/>
    <x v="24"/>
    <x v="3"/>
    <m/>
    <x v="5"/>
    <s v="consumo_energetico"/>
  </r>
  <r>
    <x v="25"/>
    <x v="25"/>
    <x v="3"/>
    <m/>
    <x v="5"/>
    <s v="consumo_energetico"/>
  </r>
  <r>
    <x v="0"/>
    <x v="0"/>
    <x v="0"/>
    <n v="4884812"/>
    <x v="6"/>
    <s v="consumo_energetico"/>
  </r>
  <r>
    <x v="1"/>
    <x v="1"/>
    <x v="0"/>
    <n v="1979970"/>
    <x v="6"/>
    <s v="consumo_energetico"/>
  </r>
  <r>
    <x v="2"/>
    <x v="2"/>
    <x v="0"/>
    <n v="298"/>
    <x v="6"/>
    <s v="consumo_energetico"/>
  </r>
  <r>
    <x v="3"/>
    <x v="3"/>
    <x v="0"/>
    <n v="17"/>
    <x v="6"/>
    <s v="consumo_energetico"/>
  </r>
  <r>
    <x v="4"/>
    <x v="4"/>
    <x v="0"/>
    <n v="0"/>
    <x v="6"/>
    <s v="consumo_energetico"/>
  </r>
  <r>
    <x v="5"/>
    <x v="5"/>
    <x v="0"/>
    <m/>
    <x v="6"/>
    <s v="consumo_energetico"/>
  </r>
  <r>
    <x v="6"/>
    <x v="6"/>
    <x v="0"/>
    <n v="1169290"/>
    <x v="6"/>
    <s v="consumo_energetico"/>
  </r>
  <r>
    <x v="7"/>
    <x v="7"/>
    <x v="0"/>
    <n v="10901"/>
    <x v="6"/>
    <s v="consumo_energetico"/>
  </r>
  <r>
    <x v="8"/>
    <x v="8"/>
    <x v="0"/>
    <n v="8"/>
    <x v="6"/>
    <s v="consumo_energetico"/>
  </r>
  <r>
    <x v="9"/>
    <x v="9"/>
    <x v="0"/>
    <m/>
    <x v="6"/>
    <s v="consumo_energetico"/>
  </r>
  <r>
    <x v="10"/>
    <x v="10"/>
    <x v="0"/>
    <n v="1682382"/>
    <x v="6"/>
    <s v="consumo_energetico"/>
  </r>
  <r>
    <x v="11"/>
    <x v="11"/>
    <x v="0"/>
    <n v="46"/>
    <x v="6"/>
    <s v="consumo_energetico"/>
  </r>
  <r>
    <x v="12"/>
    <x v="12"/>
    <x v="0"/>
    <n v="270"/>
    <x v="6"/>
    <s v="consumo_energetico"/>
  </r>
  <r>
    <x v="13"/>
    <x v="13"/>
    <x v="0"/>
    <n v="881"/>
    <x v="6"/>
    <s v="consumo_energetico"/>
  </r>
  <r>
    <x v="14"/>
    <x v="14"/>
    <x v="0"/>
    <n v="121"/>
    <x v="6"/>
    <s v="consumo_energetico"/>
  </r>
  <r>
    <x v="15"/>
    <x v="15"/>
    <x v="0"/>
    <n v="33268"/>
    <x v="6"/>
    <s v="consumo_energetico"/>
  </r>
  <r>
    <x v="16"/>
    <x v="16"/>
    <x v="0"/>
    <n v="4"/>
    <x v="6"/>
    <s v="consumo_energetico"/>
  </r>
  <r>
    <x v="17"/>
    <x v="17"/>
    <x v="0"/>
    <n v="33"/>
    <x v="6"/>
    <s v="consumo_energetico"/>
  </r>
  <r>
    <x v="18"/>
    <x v="18"/>
    <x v="0"/>
    <n v="30"/>
    <x v="6"/>
    <s v="consumo_energetico"/>
  </r>
  <r>
    <x v="19"/>
    <x v="19"/>
    <x v="0"/>
    <n v="0"/>
    <x v="6"/>
    <s v="consumo_energetico"/>
  </r>
  <r>
    <x v="20"/>
    <x v="20"/>
    <x v="0"/>
    <n v="0"/>
    <x v="6"/>
    <s v="consumo_energetico"/>
  </r>
  <r>
    <x v="21"/>
    <x v="21"/>
    <x v="0"/>
    <n v="71"/>
    <x v="6"/>
    <s v="consumo_energetico"/>
  </r>
  <r>
    <x v="22"/>
    <x v="22"/>
    <x v="0"/>
    <n v="5"/>
    <x v="6"/>
    <s v="consumo_energetico"/>
  </r>
  <r>
    <x v="23"/>
    <x v="23"/>
    <x v="0"/>
    <n v="19"/>
    <x v="6"/>
    <s v="consumo_energetico"/>
  </r>
  <r>
    <x v="24"/>
    <x v="24"/>
    <x v="0"/>
    <n v="7192"/>
    <x v="6"/>
    <s v="consumo_energetico"/>
  </r>
  <r>
    <x v="25"/>
    <x v="25"/>
    <x v="0"/>
    <m/>
    <x v="6"/>
    <s v="consumo_energetico"/>
  </r>
  <r>
    <x v="0"/>
    <x v="0"/>
    <x v="1"/>
    <n v="63721"/>
    <x v="6"/>
    <s v="consumo_energetico"/>
  </r>
  <r>
    <x v="1"/>
    <x v="1"/>
    <x v="1"/>
    <n v="13123"/>
    <x v="6"/>
    <s v="consumo_energetico"/>
  </r>
  <r>
    <x v="2"/>
    <x v="2"/>
    <x v="1"/>
    <n v="1768"/>
    <x v="6"/>
    <s v="consumo_energetico"/>
  </r>
  <r>
    <x v="3"/>
    <x v="3"/>
    <x v="1"/>
    <n v="2081"/>
    <x v="6"/>
    <s v="consumo_energetico"/>
  </r>
  <r>
    <x v="4"/>
    <x v="4"/>
    <x v="1"/>
    <n v="600"/>
    <x v="6"/>
    <s v="consumo_energetico"/>
  </r>
  <r>
    <x v="5"/>
    <x v="5"/>
    <x v="1"/>
    <n v="199"/>
    <x v="6"/>
    <s v="consumo_energetico"/>
  </r>
  <r>
    <x v="6"/>
    <x v="6"/>
    <x v="1"/>
    <n v="386"/>
    <x v="6"/>
    <s v="consumo_energetico"/>
  </r>
  <r>
    <x v="7"/>
    <x v="7"/>
    <x v="1"/>
    <n v="4487"/>
    <x v="6"/>
    <s v="consumo_energetico"/>
  </r>
  <r>
    <x v="8"/>
    <x v="8"/>
    <x v="1"/>
    <n v="472"/>
    <x v="6"/>
    <s v="consumo_energetico"/>
  </r>
  <r>
    <x v="9"/>
    <x v="9"/>
    <x v="1"/>
    <n v="2722"/>
    <x v="6"/>
    <s v="consumo_energetico"/>
  </r>
  <r>
    <x v="10"/>
    <x v="10"/>
    <x v="1"/>
    <n v="6526"/>
    <x v="6"/>
    <s v="consumo_energetico"/>
  </r>
  <r>
    <x v="11"/>
    <x v="11"/>
    <x v="1"/>
    <n v="792"/>
    <x v="6"/>
    <s v="consumo_energetico"/>
  </r>
  <r>
    <x v="12"/>
    <x v="12"/>
    <x v="1"/>
    <n v="5298"/>
    <x v="6"/>
    <s v="consumo_energetico"/>
  </r>
  <r>
    <x v="13"/>
    <x v="13"/>
    <x v="1"/>
    <n v="8777"/>
    <x v="6"/>
    <s v="consumo_energetico"/>
  </r>
  <r>
    <x v="14"/>
    <x v="14"/>
    <x v="1"/>
    <n v="3833"/>
    <x v="6"/>
    <s v="consumo_energetico"/>
  </r>
  <r>
    <x v="15"/>
    <x v="15"/>
    <x v="1"/>
    <n v="861"/>
    <x v="6"/>
    <s v="consumo_energetico"/>
  </r>
  <r>
    <x v="16"/>
    <x v="16"/>
    <x v="1"/>
    <m/>
    <x v="6"/>
    <s v="consumo_energetico"/>
  </r>
  <r>
    <x v="17"/>
    <x v="17"/>
    <x v="1"/>
    <n v="691"/>
    <x v="6"/>
    <s v="consumo_energetico"/>
  </r>
  <r>
    <x v="18"/>
    <x v="18"/>
    <x v="1"/>
    <n v="267"/>
    <x v="6"/>
    <s v="consumo_energetico"/>
  </r>
  <r>
    <x v="19"/>
    <x v="19"/>
    <x v="1"/>
    <n v="223"/>
    <x v="6"/>
    <s v="consumo_energetico"/>
  </r>
  <r>
    <x v="20"/>
    <x v="20"/>
    <x v="1"/>
    <n v="86"/>
    <x v="6"/>
    <s v="consumo_energetico"/>
  </r>
  <r>
    <x v="21"/>
    <x v="21"/>
    <x v="1"/>
    <n v="269"/>
    <x v="6"/>
    <s v="consumo_energetico"/>
  </r>
  <r>
    <x v="22"/>
    <x v="22"/>
    <x v="1"/>
    <n v="10249"/>
    <x v="6"/>
    <s v="consumo_energetico"/>
  </r>
  <r>
    <x v="23"/>
    <x v="23"/>
    <x v="1"/>
    <m/>
    <x v="6"/>
    <s v="consumo_energetico"/>
  </r>
  <r>
    <x v="24"/>
    <x v="24"/>
    <x v="1"/>
    <m/>
    <x v="6"/>
    <s v="consumo_energetico"/>
  </r>
  <r>
    <x v="25"/>
    <x v="25"/>
    <x v="1"/>
    <m/>
    <x v="6"/>
    <s v="consumo_energetico"/>
  </r>
  <r>
    <x v="0"/>
    <x v="0"/>
    <x v="2"/>
    <n v="42197"/>
    <x v="6"/>
    <s v="consumo_energetico"/>
  </r>
  <r>
    <x v="1"/>
    <x v="1"/>
    <x v="2"/>
    <n v="14662"/>
    <x v="6"/>
    <s v="consumo_energetico"/>
  </r>
  <r>
    <x v="2"/>
    <x v="2"/>
    <x v="2"/>
    <n v="736"/>
    <x v="6"/>
    <s v="consumo_energetico"/>
  </r>
  <r>
    <x v="3"/>
    <x v="3"/>
    <x v="2"/>
    <n v="1417"/>
    <x v="6"/>
    <s v="consumo_energetico"/>
  </r>
  <r>
    <x v="4"/>
    <x v="4"/>
    <x v="2"/>
    <n v="149"/>
    <x v="6"/>
    <s v="consumo_energetico"/>
  </r>
  <r>
    <x v="5"/>
    <x v="5"/>
    <x v="2"/>
    <n v="28"/>
    <x v="6"/>
    <s v="consumo_energetico"/>
  </r>
  <r>
    <x v="6"/>
    <x v="6"/>
    <x v="2"/>
    <n v="297"/>
    <x v="6"/>
    <s v="consumo_energetico"/>
  </r>
  <r>
    <x v="7"/>
    <x v="7"/>
    <x v="2"/>
    <n v="2884"/>
    <x v="6"/>
    <s v="consumo_energetico"/>
  </r>
  <r>
    <x v="8"/>
    <x v="8"/>
    <x v="2"/>
    <n v="86"/>
    <x v="6"/>
    <s v="consumo_energetico"/>
  </r>
  <r>
    <x v="9"/>
    <x v="9"/>
    <x v="2"/>
    <n v="621"/>
    <x v="6"/>
    <s v="consumo_energetico"/>
  </r>
  <r>
    <x v="10"/>
    <x v="10"/>
    <x v="2"/>
    <n v="1398"/>
    <x v="6"/>
    <s v="consumo_energetico"/>
  </r>
  <r>
    <x v="11"/>
    <x v="11"/>
    <x v="2"/>
    <n v="159"/>
    <x v="6"/>
    <s v="consumo_energetico"/>
  </r>
  <r>
    <x v="12"/>
    <x v="12"/>
    <x v="2"/>
    <n v="952"/>
    <x v="6"/>
    <s v="consumo_energetico"/>
  </r>
  <r>
    <x v="13"/>
    <x v="13"/>
    <x v="2"/>
    <n v="16377"/>
    <x v="6"/>
    <s v="consumo_energetico"/>
  </r>
  <r>
    <x v="14"/>
    <x v="14"/>
    <x v="2"/>
    <n v="939"/>
    <x v="6"/>
    <s v="consumo_energetico"/>
  </r>
  <r>
    <x v="15"/>
    <x v="15"/>
    <x v="2"/>
    <n v="525"/>
    <x v="6"/>
    <s v="consumo_energetico"/>
  </r>
  <r>
    <x v="16"/>
    <x v="16"/>
    <x v="2"/>
    <n v="3"/>
    <x v="6"/>
    <s v="consumo_energetico"/>
  </r>
  <r>
    <x v="17"/>
    <x v="17"/>
    <x v="2"/>
    <n v="394"/>
    <x v="6"/>
    <s v="consumo_energetico"/>
  </r>
  <r>
    <x v="18"/>
    <x v="18"/>
    <x v="2"/>
    <n v="236"/>
    <x v="6"/>
    <s v="consumo_energetico"/>
  </r>
  <r>
    <x v="19"/>
    <x v="19"/>
    <x v="2"/>
    <n v="92"/>
    <x v="6"/>
    <s v="consumo_energetico"/>
  </r>
  <r>
    <x v="20"/>
    <x v="20"/>
    <x v="2"/>
    <n v="11"/>
    <x v="6"/>
    <s v="consumo_energetico"/>
  </r>
  <r>
    <x v="21"/>
    <x v="21"/>
    <x v="2"/>
    <n v="95"/>
    <x v="6"/>
    <s v="consumo_energetico"/>
  </r>
  <r>
    <x v="22"/>
    <x v="22"/>
    <x v="2"/>
    <n v="0"/>
    <x v="6"/>
    <s v="consumo_energetico"/>
  </r>
  <r>
    <x v="23"/>
    <x v="23"/>
    <x v="2"/>
    <n v="124"/>
    <x v="6"/>
    <s v="consumo_energetico"/>
  </r>
  <r>
    <x v="24"/>
    <x v="24"/>
    <x v="2"/>
    <m/>
    <x v="6"/>
    <s v="consumo_energetico"/>
  </r>
  <r>
    <x v="25"/>
    <x v="25"/>
    <x v="2"/>
    <m/>
    <x v="6"/>
    <s v="consumo_energetico"/>
  </r>
  <r>
    <x v="0"/>
    <x v="0"/>
    <x v="3"/>
    <m/>
    <x v="6"/>
    <s v="consumo_energetico"/>
  </r>
  <r>
    <x v="1"/>
    <x v="1"/>
    <x v="3"/>
    <m/>
    <x v="6"/>
    <s v="consumo_energetico"/>
  </r>
  <r>
    <x v="2"/>
    <x v="2"/>
    <x v="3"/>
    <m/>
    <x v="6"/>
    <s v="consumo_energetico"/>
  </r>
  <r>
    <x v="3"/>
    <x v="3"/>
    <x v="3"/>
    <m/>
    <x v="6"/>
    <s v="consumo_energetico"/>
  </r>
  <r>
    <x v="4"/>
    <x v="4"/>
    <x v="3"/>
    <m/>
    <x v="6"/>
    <s v="consumo_energetico"/>
  </r>
  <r>
    <x v="5"/>
    <x v="5"/>
    <x v="3"/>
    <m/>
    <x v="6"/>
    <s v="consumo_energetico"/>
  </r>
  <r>
    <x v="6"/>
    <x v="6"/>
    <x v="3"/>
    <m/>
    <x v="6"/>
    <s v="consumo_energetico"/>
  </r>
  <r>
    <x v="7"/>
    <x v="7"/>
    <x v="3"/>
    <m/>
    <x v="6"/>
    <s v="consumo_energetico"/>
  </r>
  <r>
    <x v="8"/>
    <x v="8"/>
    <x v="3"/>
    <m/>
    <x v="6"/>
    <s v="consumo_energetico"/>
  </r>
  <r>
    <x v="9"/>
    <x v="9"/>
    <x v="3"/>
    <m/>
    <x v="6"/>
    <s v="consumo_energetico"/>
  </r>
  <r>
    <x v="10"/>
    <x v="10"/>
    <x v="3"/>
    <m/>
    <x v="6"/>
    <s v="consumo_energetico"/>
  </r>
  <r>
    <x v="11"/>
    <x v="11"/>
    <x v="3"/>
    <m/>
    <x v="6"/>
    <s v="consumo_energetico"/>
  </r>
  <r>
    <x v="12"/>
    <x v="12"/>
    <x v="3"/>
    <m/>
    <x v="6"/>
    <s v="consumo_energetico"/>
  </r>
  <r>
    <x v="13"/>
    <x v="13"/>
    <x v="3"/>
    <m/>
    <x v="6"/>
    <s v="consumo_energetico"/>
  </r>
  <r>
    <x v="14"/>
    <x v="14"/>
    <x v="3"/>
    <m/>
    <x v="6"/>
    <s v="consumo_energetico"/>
  </r>
  <r>
    <x v="15"/>
    <x v="15"/>
    <x v="3"/>
    <m/>
    <x v="6"/>
    <s v="consumo_energetico"/>
  </r>
  <r>
    <x v="16"/>
    <x v="16"/>
    <x v="3"/>
    <m/>
    <x v="6"/>
    <s v="consumo_energetico"/>
  </r>
  <r>
    <x v="17"/>
    <x v="17"/>
    <x v="3"/>
    <m/>
    <x v="6"/>
    <s v="consumo_energetico"/>
  </r>
  <r>
    <x v="18"/>
    <x v="18"/>
    <x v="3"/>
    <m/>
    <x v="6"/>
    <s v="consumo_energetico"/>
  </r>
  <r>
    <x v="19"/>
    <x v="19"/>
    <x v="3"/>
    <m/>
    <x v="6"/>
    <s v="consumo_energetico"/>
  </r>
  <r>
    <x v="20"/>
    <x v="20"/>
    <x v="3"/>
    <m/>
    <x v="6"/>
    <s v="consumo_energetico"/>
  </r>
  <r>
    <x v="21"/>
    <x v="21"/>
    <x v="3"/>
    <m/>
    <x v="6"/>
    <s v="consumo_energetico"/>
  </r>
  <r>
    <x v="22"/>
    <x v="22"/>
    <x v="3"/>
    <m/>
    <x v="6"/>
    <s v="consumo_energetico"/>
  </r>
  <r>
    <x v="23"/>
    <x v="23"/>
    <x v="3"/>
    <m/>
    <x v="6"/>
    <s v="consumo_energetico"/>
  </r>
  <r>
    <x v="24"/>
    <x v="24"/>
    <x v="3"/>
    <m/>
    <x v="6"/>
    <s v="consumo_energetico"/>
  </r>
  <r>
    <x v="25"/>
    <x v="25"/>
    <x v="3"/>
    <m/>
    <x v="6"/>
    <s v="consumo_energetico"/>
  </r>
  <r>
    <x v="0"/>
    <x v="0"/>
    <x v="4"/>
    <n v="492983.58"/>
    <x v="0"/>
    <s v="consumo_intermedio_por_actividad_economica"/>
  </r>
  <r>
    <x v="1"/>
    <x v="1"/>
    <x v="4"/>
    <n v="132032.41"/>
    <x v="0"/>
    <s v="consumo_intermedio_por_actividad_economica"/>
  </r>
  <r>
    <x v="2"/>
    <x v="2"/>
    <x v="4"/>
    <n v="15502.74"/>
    <x v="0"/>
    <s v="consumo_intermedio_por_actividad_economica"/>
  </r>
  <r>
    <x v="3"/>
    <x v="3"/>
    <x v="4"/>
    <n v="2544.17"/>
    <x v="0"/>
    <s v="consumo_intermedio_por_actividad_economica"/>
  </r>
  <r>
    <x v="4"/>
    <x v="4"/>
    <x v="4"/>
    <n v="7550.45"/>
    <x v="0"/>
    <s v="consumo_intermedio_por_actividad_economica"/>
  </r>
  <r>
    <x v="5"/>
    <x v="5"/>
    <x v="4"/>
    <n v="6409.67"/>
    <x v="0"/>
    <s v="consumo_intermedio_por_actividad_economica"/>
  </r>
  <r>
    <x v="6"/>
    <x v="6"/>
    <x v="4"/>
    <n v="6740.74"/>
    <x v="0"/>
    <s v="consumo_intermedio_por_actividad_economica"/>
  </r>
  <r>
    <x v="7"/>
    <x v="7"/>
    <x v="4"/>
    <n v="3596.46"/>
    <x v="0"/>
    <s v="consumo_intermedio_por_actividad_economica"/>
  </r>
  <r>
    <x v="8"/>
    <x v="8"/>
    <x v="4"/>
    <n v="16110.53"/>
    <x v="0"/>
    <s v="consumo_intermedio_por_actividad_economica"/>
  </r>
  <r>
    <x v="9"/>
    <x v="9"/>
    <x v="4"/>
    <n v="2075.29"/>
    <x v="0"/>
    <s v="consumo_intermedio_por_actividad_economica"/>
  </r>
  <r>
    <x v="10"/>
    <x v="10"/>
    <x v="4"/>
    <n v="40745.64"/>
    <x v="0"/>
    <s v="consumo_intermedio_por_actividad_economica"/>
  </r>
  <r>
    <x v="11"/>
    <x v="11"/>
    <x v="4"/>
    <n v="58811.24"/>
    <x v="0"/>
    <s v="consumo_intermedio_por_actividad_economica"/>
  </r>
  <r>
    <x v="12"/>
    <x v="12"/>
    <x v="4"/>
    <n v="8859.41"/>
    <x v="0"/>
    <s v="consumo_intermedio_por_actividad_economica"/>
  </r>
  <r>
    <x v="13"/>
    <x v="13"/>
    <x v="4"/>
    <n v="18498.21"/>
    <x v="0"/>
    <s v="consumo_intermedio_por_actividad_economica"/>
  </r>
  <r>
    <x v="14"/>
    <x v="14"/>
    <x v="4"/>
    <n v="13827.2"/>
    <x v="0"/>
    <s v="consumo_intermedio_por_actividad_economica"/>
  </r>
  <r>
    <x v="15"/>
    <x v="15"/>
    <x v="4"/>
    <n v="33151.980000000003"/>
    <x v="0"/>
    <s v="consumo_intermedio_por_actividad_economica"/>
  </r>
  <r>
    <x v="16"/>
    <x v="16"/>
    <x v="4"/>
    <n v="12383.62"/>
    <x v="0"/>
    <s v="consumo_intermedio_por_actividad_economica"/>
  </r>
  <r>
    <x v="17"/>
    <x v="17"/>
    <x v="4"/>
    <n v="16498.34"/>
    <x v="0"/>
    <s v="consumo_intermedio_por_actividad_economica"/>
  </r>
  <r>
    <x v="18"/>
    <x v="18"/>
    <x v="4"/>
    <n v="13359.92"/>
    <x v="0"/>
    <s v="consumo_intermedio_por_actividad_economica"/>
  </r>
  <r>
    <x v="19"/>
    <x v="19"/>
    <x v="4"/>
    <n v="17858.2"/>
    <x v="0"/>
    <s v="consumo_intermedio_por_actividad_economica"/>
  </r>
  <r>
    <x v="20"/>
    <x v="20"/>
    <x v="4"/>
    <n v="48704.62"/>
    <x v="0"/>
    <s v="consumo_intermedio_por_actividad_economica"/>
  </r>
  <r>
    <x v="21"/>
    <x v="21"/>
    <x v="4"/>
    <n v="5630.85"/>
    <x v="0"/>
    <s v="consumo_intermedio_por_actividad_economica"/>
  </r>
  <r>
    <x v="22"/>
    <x v="22"/>
    <x v="4"/>
    <n v="4677.4799999999996"/>
    <x v="0"/>
    <s v="consumo_intermedio_por_actividad_economica"/>
  </r>
  <r>
    <x v="23"/>
    <x v="23"/>
    <x v="4"/>
    <n v="3324.28"/>
    <x v="0"/>
    <s v="consumo_intermedio_por_actividad_economica"/>
  </r>
  <r>
    <x v="24"/>
    <x v="24"/>
    <x v="4"/>
    <n v="4090.13"/>
    <x v="0"/>
    <s v="consumo_intermedio_por_actividad_economica"/>
  </r>
  <r>
    <x v="25"/>
    <x v="25"/>
    <x v="4"/>
    <m/>
    <x v="0"/>
    <s v="consumo_intermedio_por_actividad_economica"/>
  </r>
  <r>
    <x v="0"/>
    <x v="0"/>
    <x v="0"/>
    <n v="42375.76"/>
    <x v="0"/>
    <s v="consumo_intermedio_por_actividad_economica"/>
  </r>
  <r>
    <x v="1"/>
    <x v="1"/>
    <x v="0"/>
    <n v="15325.54"/>
    <x v="0"/>
    <s v="consumo_intermedio_por_actividad_economica"/>
  </r>
  <r>
    <x v="2"/>
    <x v="2"/>
    <x v="0"/>
    <n v="3828.27"/>
    <x v="0"/>
    <s v="consumo_intermedio_por_actividad_economica"/>
  </r>
  <r>
    <x v="3"/>
    <x v="3"/>
    <x v="0"/>
    <m/>
    <x v="0"/>
    <s v="consumo_intermedio_por_actividad_economica"/>
  </r>
  <r>
    <x v="4"/>
    <x v="4"/>
    <x v="0"/>
    <n v="192.08"/>
    <x v="0"/>
    <s v="consumo_intermedio_por_actividad_economica"/>
  </r>
  <r>
    <x v="5"/>
    <x v="5"/>
    <x v="0"/>
    <n v="225.63"/>
    <x v="0"/>
    <s v="consumo_intermedio_por_actividad_economica"/>
  </r>
  <r>
    <x v="6"/>
    <x v="6"/>
    <x v="0"/>
    <n v="139.30000000000001"/>
    <x v="0"/>
    <s v="consumo_intermedio_por_actividad_economica"/>
  </r>
  <r>
    <x v="7"/>
    <x v="7"/>
    <x v="0"/>
    <n v="2404.81"/>
    <x v="0"/>
    <s v="consumo_intermedio_por_actividad_economica"/>
  </r>
  <r>
    <x v="8"/>
    <x v="8"/>
    <x v="0"/>
    <n v="3162.19"/>
    <x v="0"/>
    <s v="consumo_intermedio_por_actividad_economica"/>
  </r>
  <r>
    <x v="9"/>
    <x v="9"/>
    <x v="0"/>
    <n v="325.5"/>
    <x v="0"/>
    <s v="consumo_intermedio_por_actividad_economica"/>
  </r>
  <r>
    <x v="10"/>
    <x v="10"/>
    <x v="0"/>
    <m/>
    <x v="0"/>
    <s v="consumo_intermedio_por_actividad_economica"/>
  </r>
  <r>
    <x v="11"/>
    <x v="11"/>
    <x v="0"/>
    <n v="6160.78"/>
    <x v="0"/>
    <s v="consumo_intermedio_por_actividad_economica"/>
  </r>
  <r>
    <x v="12"/>
    <x v="12"/>
    <x v="0"/>
    <n v="663.4"/>
    <x v="0"/>
    <s v="consumo_intermedio_por_actividad_economica"/>
  </r>
  <r>
    <x v="13"/>
    <x v="13"/>
    <x v="0"/>
    <n v="1920.29"/>
    <x v="0"/>
    <s v="consumo_intermedio_por_actividad_economica"/>
  </r>
  <r>
    <x v="14"/>
    <x v="14"/>
    <x v="0"/>
    <n v="1485.23"/>
    <x v="0"/>
    <s v="consumo_intermedio_por_actividad_economica"/>
  </r>
  <r>
    <x v="15"/>
    <x v="15"/>
    <x v="0"/>
    <n v="1140.46"/>
    <x v="0"/>
    <s v="consumo_intermedio_por_actividad_economica"/>
  </r>
  <r>
    <x v="16"/>
    <x v="16"/>
    <x v="0"/>
    <n v="1565.3"/>
    <x v="0"/>
    <s v="consumo_intermedio_por_actividad_economica"/>
  </r>
  <r>
    <x v="17"/>
    <x v="17"/>
    <x v="0"/>
    <n v="31.72"/>
    <x v="0"/>
    <s v="consumo_intermedio_por_actividad_economica"/>
  </r>
  <r>
    <x v="18"/>
    <x v="18"/>
    <x v="0"/>
    <n v="583.73"/>
    <x v="0"/>
    <s v="consumo_intermedio_por_actividad_economica"/>
  </r>
  <r>
    <x v="19"/>
    <x v="19"/>
    <x v="0"/>
    <n v="837.39"/>
    <x v="0"/>
    <s v="consumo_intermedio_por_actividad_economica"/>
  </r>
  <r>
    <x v="20"/>
    <x v="20"/>
    <x v="0"/>
    <n v="76.040000000000006"/>
    <x v="0"/>
    <s v="consumo_intermedio_por_actividad_economica"/>
  </r>
  <r>
    <x v="21"/>
    <x v="21"/>
    <x v="0"/>
    <n v="37.21"/>
    <x v="0"/>
    <s v="consumo_intermedio_por_actividad_economica"/>
  </r>
  <r>
    <x v="22"/>
    <x v="22"/>
    <x v="0"/>
    <n v="257.95"/>
    <x v="0"/>
    <s v="consumo_intermedio_por_actividad_economica"/>
  </r>
  <r>
    <x v="23"/>
    <x v="23"/>
    <x v="0"/>
    <n v="60.15"/>
    <x v="0"/>
    <s v="consumo_intermedio_por_actividad_economica"/>
  </r>
  <r>
    <x v="24"/>
    <x v="24"/>
    <x v="0"/>
    <n v="614.66999999999996"/>
    <x v="0"/>
    <s v="consumo_intermedio_por_actividad_economica"/>
  </r>
  <r>
    <x v="25"/>
    <x v="25"/>
    <x v="0"/>
    <n v="1338.12"/>
    <x v="0"/>
    <s v="consumo_intermedio_por_actividad_economica"/>
  </r>
  <r>
    <x v="0"/>
    <x v="0"/>
    <x v="1"/>
    <n v="43606.68"/>
    <x v="0"/>
    <s v="consumo_intermedio_por_actividad_economica"/>
  </r>
  <r>
    <x v="1"/>
    <x v="1"/>
    <x v="1"/>
    <n v="11427.44"/>
    <x v="0"/>
    <s v="consumo_intermedio_por_actividad_economica"/>
  </r>
  <r>
    <x v="2"/>
    <x v="2"/>
    <x v="1"/>
    <n v="1286.7"/>
    <x v="0"/>
    <s v="consumo_intermedio_por_actividad_economica"/>
  </r>
  <r>
    <x v="3"/>
    <x v="3"/>
    <x v="1"/>
    <m/>
    <x v="0"/>
    <s v="consumo_intermedio_por_actividad_economica"/>
  </r>
  <r>
    <x v="4"/>
    <x v="4"/>
    <x v="1"/>
    <n v="846.98"/>
    <x v="0"/>
    <s v="consumo_intermedio_por_actividad_economica"/>
  </r>
  <r>
    <x v="5"/>
    <x v="5"/>
    <x v="1"/>
    <n v="1303.99"/>
    <x v="0"/>
    <s v="consumo_intermedio_por_actividad_economica"/>
  </r>
  <r>
    <x v="6"/>
    <x v="6"/>
    <x v="1"/>
    <n v="322.89"/>
    <x v="0"/>
    <s v="consumo_intermedio_por_actividad_economica"/>
  </r>
  <r>
    <x v="7"/>
    <x v="7"/>
    <x v="1"/>
    <n v="177.9"/>
    <x v="0"/>
    <s v="consumo_intermedio_por_actividad_economica"/>
  </r>
  <r>
    <x v="8"/>
    <x v="8"/>
    <x v="1"/>
    <n v="1487.54"/>
    <x v="0"/>
    <s v="consumo_intermedio_por_actividad_economica"/>
  </r>
  <r>
    <x v="9"/>
    <x v="9"/>
    <x v="1"/>
    <n v="418.05"/>
    <x v="0"/>
    <s v="consumo_intermedio_por_actividad_economica"/>
  </r>
  <r>
    <x v="10"/>
    <x v="10"/>
    <x v="1"/>
    <n v="9900.74"/>
    <x v="0"/>
    <s v="consumo_intermedio_por_actividad_economica"/>
  </r>
  <r>
    <x v="11"/>
    <x v="11"/>
    <x v="1"/>
    <n v="4043.08"/>
    <x v="0"/>
    <s v="consumo_intermedio_por_actividad_economica"/>
  </r>
  <r>
    <x v="12"/>
    <x v="12"/>
    <x v="1"/>
    <n v="611.78"/>
    <x v="0"/>
    <s v="consumo_intermedio_por_actividad_economica"/>
  </r>
  <r>
    <x v="13"/>
    <x v="13"/>
    <x v="1"/>
    <n v="1668.83"/>
    <x v="0"/>
    <s v="consumo_intermedio_por_actividad_economica"/>
  </r>
  <r>
    <x v="14"/>
    <x v="14"/>
    <x v="1"/>
    <n v="1768.52"/>
    <x v="0"/>
    <s v="consumo_intermedio_por_actividad_economica"/>
  </r>
  <r>
    <x v="15"/>
    <x v="15"/>
    <x v="1"/>
    <n v="2911.42"/>
    <x v="0"/>
    <s v="consumo_intermedio_por_actividad_economica"/>
  </r>
  <r>
    <x v="16"/>
    <x v="16"/>
    <x v="1"/>
    <n v="901.84"/>
    <x v="0"/>
    <s v="consumo_intermedio_por_actividad_economica"/>
  </r>
  <r>
    <x v="17"/>
    <x v="17"/>
    <x v="1"/>
    <n v="14.03"/>
    <x v="0"/>
    <s v="consumo_intermedio_por_actividad_economica"/>
  </r>
  <r>
    <x v="18"/>
    <x v="18"/>
    <x v="1"/>
    <n v="899.63"/>
    <x v="0"/>
    <s v="consumo_intermedio_por_actividad_economica"/>
  </r>
  <r>
    <x v="19"/>
    <x v="19"/>
    <x v="1"/>
    <n v="316.33999999999997"/>
    <x v="0"/>
    <s v="consumo_intermedio_por_actividad_economica"/>
  </r>
  <r>
    <x v="20"/>
    <x v="20"/>
    <x v="1"/>
    <n v="1049.95"/>
    <x v="0"/>
    <s v="consumo_intermedio_por_actividad_economica"/>
  </r>
  <r>
    <x v="21"/>
    <x v="21"/>
    <x v="1"/>
    <n v="531.66999999999996"/>
    <x v="0"/>
    <s v="consumo_intermedio_por_actividad_economica"/>
  </r>
  <r>
    <x v="22"/>
    <x v="22"/>
    <x v="1"/>
    <n v="355.76"/>
    <x v="0"/>
    <s v="consumo_intermedio_por_actividad_economica"/>
  </r>
  <r>
    <x v="23"/>
    <x v="23"/>
    <x v="1"/>
    <n v="1361.6"/>
    <x v="0"/>
    <s v="consumo_intermedio_por_actividad_economica"/>
  </r>
  <r>
    <x v="24"/>
    <x v="24"/>
    <x v="1"/>
    <m/>
    <x v="0"/>
    <s v="consumo_intermedio_por_actividad_economica"/>
  </r>
  <r>
    <x v="25"/>
    <x v="25"/>
    <x v="1"/>
    <m/>
    <x v="0"/>
    <s v="consumo_intermedio_por_actividad_economica"/>
  </r>
  <r>
    <x v="0"/>
    <x v="0"/>
    <x v="2"/>
    <n v="18299.45"/>
    <x v="0"/>
    <s v="consumo_intermedio_por_actividad_economica"/>
  </r>
  <r>
    <x v="1"/>
    <x v="1"/>
    <x v="2"/>
    <n v="9063.8799999999992"/>
    <x v="0"/>
    <s v="consumo_intermedio_por_actividad_economica"/>
  </r>
  <r>
    <x v="2"/>
    <x v="2"/>
    <x v="2"/>
    <n v="778.2"/>
    <x v="0"/>
    <s v="consumo_intermedio_por_actividad_economica"/>
  </r>
  <r>
    <x v="3"/>
    <x v="3"/>
    <x v="2"/>
    <n v="29.29"/>
    <x v="0"/>
    <s v="consumo_intermedio_por_actividad_economica"/>
  </r>
  <r>
    <x v="4"/>
    <x v="4"/>
    <x v="2"/>
    <n v="313.27999999999997"/>
    <x v="0"/>
    <s v="consumo_intermedio_por_actividad_economica"/>
  </r>
  <r>
    <x v="5"/>
    <x v="5"/>
    <x v="2"/>
    <n v="297.64"/>
    <x v="0"/>
    <s v="consumo_intermedio_por_actividad_economica"/>
  </r>
  <r>
    <x v="6"/>
    <x v="6"/>
    <x v="2"/>
    <n v="87.24"/>
    <x v="0"/>
    <s v="consumo_intermedio_por_actividad_economica"/>
  </r>
  <r>
    <x v="7"/>
    <x v="7"/>
    <x v="2"/>
    <n v="355.01"/>
    <x v="0"/>
    <s v="consumo_intermedio_por_actividad_economica"/>
  </r>
  <r>
    <x v="8"/>
    <x v="8"/>
    <x v="2"/>
    <n v="1014.23"/>
    <x v="0"/>
    <s v="consumo_intermedio_por_actividad_economica"/>
  </r>
  <r>
    <x v="9"/>
    <x v="9"/>
    <x v="2"/>
    <n v="166.53"/>
    <x v="0"/>
    <s v="consumo_intermedio_por_actividad_economica"/>
  </r>
  <r>
    <x v="10"/>
    <x v="10"/>
    <x v="2"/>
    <n v="109.36"/>
    <x v="0"/>
    <s v="consumo_intermedio_por_actividad_economica"/>
  </r>
  <r>
    <x v="11"/>
    <x v="11"/>
    <x v="2"/>
    <n v="915.13"/>
    <x v="0"/>
    <s v="consumo_intermedio_por_actividad_economica"/>
  </r>
  <r>
    <x v="12"/>
    <x v="12"/>
    <x v="2"/>
    <n v="287.04000000000002"/>
    <x v="0"/>
    <s v="consumo_intermedio_por_actividad_economica"/>
  </r>
  <r>
    <x v="13"/>
    <x v="13"/>
    <x v="2"/>
    <n v="936.05"/>
    <x v="0"/>
    <s v="consumo_intermedio_por_actividad_economica"/>
  </r>
  <r>
    <x v="14"/>
    <x v="14"/>
    <x v="2"/>
    <n v="868.63"/>
    <x v="0"/>
    <s v="consumo_intermedio_por_actividad_economica"/>
  </r>
  <r>
    <x v="15"/>
    <x v="15"/>
    <x v="2"/>
    <n v="843.77"/>
    <x v="0"/>
    <s v="consumo_intermedio_por_actividad_economica"/>
  </r>
  <r>
    <x v="16"/>
    <x v="16"/>
    <x v="2"/>
    <n v="393.5"/>
    <x v="0"/>
    <s v="consumo_intermedio_por_actividad_economica"/>
  </r>
  <r>
    <x v="17"/>
    <x v="17"/>
    <x v="2"/>
    <n v="188.56"/>
    <x v="0"/>
    <s v="consumo_intermedio_por_actividad_economica"/>
  </r>
  <r>
    <x v="18"/>
    <x v="18"/>
    <x v="2"/>
    <n v="403.5"/>
    <x v="0"/>
    <s v="consumo_intermedio_por_actividad_economica"/>
  </r>
  <r>
    <x v="19"/>
    <x v="19"/>
    <x v="2"/>
    <n v="62.74"/>
    <x v="0"/>
    <s v="consumo_intermedio_por_actividad_economica"/>
  </r>
  <r>
    <x v="20"/>
    <x v="20"/>
    <x v="2"/>
    <n v="561.54999999999995"/>
    <x v="0"/>
    <s v="consumo_intermedio_por_actividad_economica"/>
  </r>
  <r>
    <x v="21"/>
    <x v="21"/>
    <x v="2"/>
    <n v="88.11"/>
    <x v="0"/>
    <s v="consumo_intermedio_por_actividad_economica"/>
  </r>
  <r>
    <x v="22"/>
    <x v="22"/>
    <x v="2"/>
    <n v="180.98"/>
    <x v="0"/>
    <s v="consumo_intermedio_por_actividad_economica"/>
  </r>
  <r>
    <x v="23"/>
    <x v="23"/>
    <x v="2"/>
    <n v="79.680000000000007"/>
    <x v="0"/>
    <s v="consumo_intermedio_por_actividad_economica"/>
  </r>
  <r>
    <x v="24"/>
    <x v="24"/>
    <x v="2"/>
    <n v="275.55"/>
    <x v="0"/>
    <s v="consumo_intermedio_por_actividad_economica"/>
  </r>
  <r>
    <x v="25"/>
    <x v="25"/>
    <x v="2"/>
    <m/>
    <x v="0"/>
    <s v="consumo_intermedio_por_actividad_economica"/>
  </r>
  <r>
    <x v="0"/>
    <x v="0"/>
    <x v="5"/>
    <n v="271916.92"/>
    <x v="0"/>
    <s v="consumo_intermedio_por_actividad_economica"/>
  </r>
  <r>
    <x v="1"/>
    <x v="1"/>
    <x v="5"/>
    <n v="39244.74"/>
    <x v="0"/>
    <s v="consumo_intermedio_por_actividad_economica"/>
  </r>
  <r>
    <x v="2"/>
    <x v="2"/>
    <x v="5"/>
    <n v="11600.96"/>
    <x v="0"/>
    <s v="consumo_intermedio_por_actividad_economica"/>
  </r>
  <r>
    <x v="3"/>
    <x v="3"/>
    <x v="5"/>
    <n v="488.77"/>
    <x v="0"/>
    <s v="consumo_intermedio_por_actividad_economica"/>
  </r>
  <r>
    <x v="4"/>
    <x v="4"/>
    <x v="5"/>
    <n v="8051.33"/>
    <x v="0"/>
    <s v="consumo_intermedio_por_actividad_economica"/>
  </r>
  <r>
    <x v="5"/>
    <x v="5"/>
    <x v="5"/>
    <n v="2392.9899999999998"/>
    <x v="0"/>
    <s v="consumo_intermedio_por_actividad_economica"/>
  </r>
  <r>
    <x v="6"/>
    <x v="6"/>
    <x v="5"/>
    <n v="1827.75"/>
    <x v="0"/>
    <s v="consumo_intermedio_por_actividad_economica"/>
  </r>
  <r>
    <x v="7"/>
    <x v="7"/>
    <x v="5"/>
    <n v="904.21"/>
    <x v="0"/>
    <s v="consumo_intermedio_por_actividad_economica"/>
  </r>
  <r>
    <x v="8"/>
    <x v="8"/>
    <x v="5"/>
    <n v="7663.34"/>
    <x v="0"/>
    <s v="consumo_intermedio_por_actividad_economica"/>
  </r>
  <r>
    <x v="9"/>
    <x v="9"/>
    <x v="5"/>
    <n v="585.97"/>
    <x v="0"/>
    <s v="consumo_intermedio_por_actividad_economica"/>
  </r>
  <r>
    <x v="10"/>
    <x v="10"/>
    <x v="5"/>
    <n v="16568.169999999998"/>
    <x v="0"/>
    <s v="consumo_intermedio_por_actividad_economica"/>
  </r>
  <r>
    <x v="11"/>
    <x v="11"/>
    <x v="5"/>
    <n v="28131.18"/>
    <x v="0"/>
    <s v="consumo_intermedio_por_actividad_economica"/>
  </r>
  <r>
    <x v="12"/>
    <x v="12"/>
    <x v="5"/>
    <n v="888.85"/>
    <x v="0"/>
    <s v="consumo_intermedio_por_actividad_economica"/>
  </r>
  <r>
    <x v="13"/>
    <x v="13"/>
    <x v="5"/>
    <n v="11674.62"/>
    <x v="0"/>
    <s v="consumo_intermedio_por_actividad_economica"/>
  </r>
  <r>
    <x v="14"/>
    <x v="14"/>
    <x v="5"/>
    <n v="12845.3"/>
    <x v="0"/>
    <s v="consumo_intermedio_por_actividad_economica"/>
  </r>
  <r>
    <x v="15"/>
    <x v="15"/>
    <x v="5"/>
    <n v="19622.68"/>
    <x v="0"/>
    <s v="consumo_intermedio_por_actividad_economica"/>
  </r>
  <r>
    <x v="16"/>
    <x v="16"/>
    <x v="5"/>
    <n v="12649.2"/>
    <x v="0"/>
    <s v="consumo_intermedio_por_actividad_economica"/>
  </r>
  <r>
    <x v="17"/>
    <x v="17"/>
    <x v="5"/>
    <n v="4298.41"/>
    <x v="0"/>
    <s v="consumo_intermedio_por_actividad_economica"/>
  </r>
  <r>
    <x v="18"/>
    <x v="18"/>
    <x v="5"/>
    <n v="17210.71"/>
    <x v="0"/>
    <s v="consumo_intermedio_por_actividad_economica"/>
  </r>
  <r>
    <x v="19"/>
    <x v="19"/>
    <x v="5"/>
    <n v="23948.44"/>
    <x v="0"/>
    <s v="consumo_intermedio_por_actividad_economica"/>
  </r>
  <r>
    <x v="20"/>
    <x v="20"/>
    <x v="5"/>
    <n v="50037.31"/>
    <x v="0"/>
    <s v="consumo_intermedio_por_actividad_economica"/>
  </r>
  <r>
    <x v="21"/>
    <x v="21"/>
    <x v="5"/>
    <n v="529.32000000000005"/>
    <x v="0"/>
    <s v="consumo_intermedio_por_actividad_economica"/>
  </r>
  <r>
    <x v="22"/>
    <x v="22"/>
    <x v="5"/>
    <n v="428.65"/>
    <x v="0"/>
    <s v="consumo_intermedio_por_actividad_economica"/>
  </r>
  <r>
    <x v="23"/>
    <x v="23"/>
    <x v="5"/>
    <n v="324.02"/>
    <x v="0"/>
    <s v="consumo_intermedio_por_actividad_economica"/>
  </r>
  <r>
    <x v="24"/>
    <x v="24"/>
    <x v="5"/>
    <m/>
    <x v="0"/>
    <s v="consumo_intermedio_por_actividad_economica"/>
  </r>
  <r>
    <x v="25"/>
    <x v="25"/>
    <x v="5"/>
    <m/>
    <x v="0"/>
    <s v="consumo_intermedio_por_actividad_economica"/>
  </r>
  <r>
    <x v="0"/>
    <x v="0"/>
    <x v="3"/>
    <n v="41808.76"/>
    <x v="0"/>
    <s v="consumo_intermedio_por_actividad_economica"/>
  </r>
  <r>
    <x v="1"/>
    <x v="1"/>
    <x v="3"/>
    <n v="16112.64"/>
    <x v="0"/>
    <s v="consumo_intermedio_por_actividad_economica"/>
  </r>
  <r>
    <x v="2"/>
    <x v="2"/>
    <x v="3"/>
    <n v="2293.42"/>
    <x v="0"/>
    <s v="consumo_intermedio_por_actividad_economica"/>
  </r>
  <r>
    <x v="3"/>
    <x v="3"/>
    <x v="3"/>
    <m/>
    <x v="0"/>
    <s v="consumo_intermedio_por_actividad_economica"/>
  </r>
  <r>
    <x v="4"/>
    <x v="4"/>
    <x v="3"/>
    <n v="1301.8699999999999"/>
    <x v="0"/>
    <s v="consumo_intermedio_por_actividad_economica"/>
  </r>
  <r>
    <x v="5"/>
    <x v="5"/>
    <x v="3"/>
    <n v="1283.76"/>
    <x v="0"/>
    <s v="consumo_intermedio_por_actividad_economica"/>
  </r>
  <r>
    <x v="6"/>
    <x v="6"/>
    <x v="3"/>
    <n v="272.88"/>
    <x v="0"/>
    <s v="consumo_intermedio_por_actividad_economica"/>
  </r>
  <r>
    <x v="7"/>
    <x v="7"/>
    <x v="3"/>
    <n v="214.12"/>
    <x v="0"/>
    <s v="consumo_intermedio_por_actividad_economica"/>
  </r>
  <r>
    <x v="8"/>
    <x v="8"/>
    <x v="3"/>
    <n v="1576.68"/>
    <x v="0"/>
    <s v="consumo_intermedio_por_actividad_economica"/>
  </r>
  <r>
    <x v="9"/>
    <x v="9"/>
    <x v="3"/>
    <n v="498.55"/>
    <x v="0"/>
    <s v="consumo_intermedio_por_actividad_economica"/>
  </r>
  <r>
    <x v="10"/>
    <x v="10"/>
    <x v="3"/>
    <n v="4671.25"/>
    <x v="0"/>
    <s v="consumo_intermedio_por_actividad_economica"/>
  </r>
  <r>
    <x v="11"/>
    <x v="11"/>
    <x v="3"/>
    <n v="2402.5700000000002"/>
    <x v="0"/>
    <s v="consumo_intermedio_por_actividad_economica"/>
  </r>
  <r>
    <x v="12"/>
    <x v="12"/>
    <x v="3"/>
    <n v="599.35"/>
    <x v="0"/>
    <s v="consumo_intermedio_por_actividad_economica"/>
  </r>
  <r>
    <x v="13"/>
    <x v="13"/>
    <x v="3"/>
    <n v="2083.04"/>
    <x v="0"/>
    <s v="consumo_intermedio_por_actividad_economica"/>
  </r>
  <r>
    <x v="14"/>
    <x v="14"/>
    <x v="3"/>
    <n v="2339.16"/>
    <x v="0"/>
    <s v="consumo_intermedio_por_actividad_economica"/>
  </r>
  <r>
    <x v="15"/>
    <x v="15"/>
    <x v="3"/>
    <n v="2646.7"/>
    <x v="0"/>
    <s v="consumo_intermedio_por_actividad_economica"/>
  </r>
  <r>
    <x v="16"/>
    <x v="16"/>
    <x v="3"/>
    <n v="1352.26"/>
    <x v="0"/>
    <s v="consumo_intermedio_por_actividad_economica"/>
  </r>
  <r>
    <x v="17"/>
    <x v="17"/>
    <x v="3"/>
    <n v="34.35"/>
    <x v="0"/>
    <s v="consumo_intermedio_por_actividad_economica"/>
  </r>
  <r>
    <x v="18"/>
    <x v="18"/>
    <x v="3"/>
    <n v="550.33000000000004"/>
    <x v="0"/>
    <s v="consumo_intermedio_por_actividad_economica"/>
  </r>
  <r>
    <x v="19"/>
    <x v="19"/>
    <x v="3"/>
    <n v="301.08"/>
    <x v="0"/>
    <s v="consumo_intermedio_por_actividad_economica"/>
  </r>
  <r>
    <x v="20"/>
    <x v="20"/>
    <x v="3"/>
    <n v="344.78"/>
    <x v="0"/>
    <s v="consumo_intermedio_por_actividad_economica"/>
  </r>
  <r>
    <x v="21"/>
    <x v="21"/>
    <x v="3"/>
    <n v="162.13"/>
    <x v="0"/>
    <s v="consumo_intermedio_por_actividad_economica"/>
  </r>
  <r>
    <x v="22"/>
    <x v="22"/>
    <x v="3"/>
    <n v="348.17"/>
    <x v="0"/>
    <s v="consumo_intermedio_por_actividad_economica"/>
  </r>
  <r>
    <x v="23"/>
    <x v="23"/>
    <x v="3"/>
    <n v="167.57"/>
    <x v="0"/>
    <s v="consumo_intermedio_por_actividad_economica"/>
  </r>
  <r>
    <x v="24"/>
    <x v="24"/>
    <x v="3"/>
    <n v="252.1"/>
    <x v="0"/>
    <s v="consumo_intermedio_por_actividad_economica"/>
  </r>
  <r>
    <x v="25"/>
    <x v="25"/>
    <x v="3"/>
    <m/>
    <x v="0"/>
    <s v="consumo_intermedio_por_actividad_economica"/>
  </r>
  <r>
    <x v="0"/>
    <x v="0"/>
    <x v="6"/>
    <n v="10938.45"/>
    <x v="0"/>
    <s v="consumo_intermedio_por_actividad_economica"/>
  </r>
  <r>
    <x v="1"/>
    <x v="1"/>
    <x v="6"/>
    <n v="5228.96"/>
    <x v="0"/>
    <s v="consumo_intermedio_por_actividad_economica"/>
  </r>
  <r>
    <x v="2"/>
    <x v="2"/>
    <x v="6"/>
    <n v="502.23"/>
    <x v="0"/>
    <s v="consumo_intermedio_por_actividad_economica"/>
  </r>
  <r>
    <x v="3"/>
    <x v="3"/>
    <x v="6"/>
    <m/>
    <x v="0"/>
    <s v="consumo_intermedio_por_actividad_economica"/>
  </r>
  <r>
    <x v="4"/>
    <x v="4"/>
    <x v="6"/>
    <n v="253.04"/>
    <x v="0"/>
    <s v="consumo_intermedio_por_actividad_economica"/>
  </r>
  <r>
    <x v="5"/>
    <x v="5"/>
    <x v="6"/>
    <n v="48.99"/>
    <x v="0"/>
    <s v="consumo_intermedio_por_actividad_economica"/>
  </r>
  <r>
    <x v="6"/>
    <x v="6"/>
    <x v="6"/>
    <n v="305.86"/>
    <x v="0"/>
    <s v="consumo_intermedio_por_actividad_economica"/>
  </r>
  <r>
    <x v="7"/>
    <x v="7"/>
    <x v="6"/>
    <n v="133.54"/>
    <x v="0"/>
    <s v="consumo_intermedio_por_actividad_economica"/>
  </r>
  <r>
    <x v="8"/>
    <x v="8"/>
    <x v="6"/>
    <n v="1116.5999999999999"/>
    <x v="0"/>
    <s v="consumo_intermedio_por_actividad_economica"/>
  </r>
  <r>
    <x v="9"/>
    <x v="9"/>
    <x v="6"/>
    <n v="86.16"/>
    <x v="0"/>
    <s v="consumo_intermedio_por_actividad_economica"/>
  </r>
  <r>
    <x v="10"/>
    <x v="10"/>
    <x v="6"/>
    <n v="1035.44"/>
    <x v="0"/>
    <s v="consumo_intermedio_por_actividad_economica"/>
  </r>
  <r>
    <x v="11"/>
    <x v="11"/>
    <x v="6"/>
    <n v="829.75"/>
    <x v="0"/>
    <s v="consumo_intermedio_por_actividad_economica"/>
  </r>
  <r>
    <x v="12"/>
    <x v="12"/>
    <x v="6"/>
    <n v="302.5"/>
    <x v="0"/>
    <s v="consumo_intermedio_por_actividad_economica"/>
  </r>
  <r>
    <x v="13"/>
    <x v="13"/>
    <x v="6"/>
    <n v="320.91000000000003"/>
    <x v="0"/>
    <s v="consumo_intermedio_por_actividad_economica"/>
  </r>
  <r>
    <x v="14"/>
    <x v="14"/>
    <x v="6"/>
    <n v="204.97"/>
    <x v="0"/>
    <s v="consumo_intermedio_por_actividad_economica"/>
  </r>
  <r>
    <x v="15"/>
    <x v="15"/>
    <x v="6"/>
    <n v="64.290000000000006"/>
    <x v="0"/>
    <s v="consumo_intermedio_por_actividad_economica"/>
  </r>
  <r>
    <x v="16"/>
    <x v="16"/>
    <x v="6"/>
    <n v="171.97"/>
    <x v="0"/>
    <s v="consumo_intermedio_por_actividad_economica"/>
  </r>
  <r>
    <x v="17"/>
    <x v="17"/>
    <x v="6"/>
    <n v="2.67"/>
    <x v="0"/>
    <s v="consumo_intermedio_por_actividad_economica"/>
  </r>
  <r>
    <x v="18"/>
    <x v="18"/>
    <x v="6"/>
    <n v="98.53"/>
    <x v="0"/>
    <s v="consumo_intermedio_por_actividad_economica"/>
  </r>
  <r>
    <x v="19"/>
    <x v="19"/>
    <x v="6"/>
    <n v="9.92"/>
    <x v="0"/>
    <s v="consumo_intermedio_por_actividad_economica"/>
  </r>
  <r>
    <x v="20"/>
    <x v="20"/>
    <x v="6"/>
    <n v="67.459999999999994"/>
    <x v="0"/>
    <s v="consumo_intermedio_por_actividad_economica"/>
  </r>
  <r>
    <x v="21"/>
    <x v="21"/>
    <x v="6"/>
    <m/>
    <x v="0"/>
    <s v="consumo_intermedio_por_actividad_economica"/>
  </r>
  <r>
    <x v="22"/>
    <x v="22"/>
    <x v="6"/>
    <n v="68.03"/>
    <x v="0"/>
    <s v="consumo_intermedio_por_actividad_economica"/>
  </r>
  <r>
    <x v="23"/>
    <x v="23"/>
    <x v="6"/>
    <n v="23.11"/>
    <x v="0"/>
    <s v="consumo_intermedio_por_actividad_economica"/>
  </r>
  <r>
    <x v="24"/>
    <x v="24"/>
    <x v="6"/>
    <n v="63.52"/>
    <x v="0"/>
    <s v="consumo_intermedio_por_actividad_economica"/>
  </r>
  <r>
    <x v="25"/>
    <x v="25"/>
    <x v="6"/>
    <m/>
    <x v="0"/>
    <s v="consumo_intermedio_por_actividad_economica"/>
  </r>
  <r>
    <x v="0"/>
    <x v="0"/>
    <x v="4"/>
    <n v="580998.01"/>
    <x v="1"/>
    <s v="consumo_intermedio_por_actividad_economica"/>
  </r>
  <r>
    <x v="1"/>
    <x v="1"/>
    <x v="4"/>
    <n v="147117.66"/>
    <x v="1"/>
    <s v="consumo_intermedio_por_actividad_economica"/>
  </r>
  <r>
    <x v="2"/>
    <x v="2"/>
    <x v="4"/>
    <n v="16672.05"/>
    <x v="1"/>
    <s v="consumo_intermedio_por_actividad_economica"/>
  </r>
  <r>
    <x v="3"/>
    <x v="3"/>
    <x v="4"/>
    <n v="2917.68"/>
    <x v="1"/>
    <s v="consumo_intermedio_por_actividad_economica"/>
  </r>
  <r>
    <x v="4"/>
    <x v="4"/>
    <x v="4"/>
    <n v="8819.9599999999991"/>
    <x v="1"/>
    <s v="consumo_intermedio_por_actividad_economica"/>
  </r>
  <r>
    <x v="5"/>
    <x v="5"/>
    <x v="4"/>
    <n v="7394.61"/>
    <x v="1"/>
    <s v="consumo_intermedio_por_actividad_economica"/>
  </r>
  <r>
    <x v="6"/>
    <x v="6"/>
    <x v="4"/>
    <n v="7303.07"/>
    <x v="1"/>
    <s v="consumo_intermedio_por_actividad_economica"/>
  </r>
  <r>
    <x v="7"/>
    <x v="7"/>
    <x v="4"/>
    <n v="4158.5"/>
    <x v="1"/>
    <s v="consumo_intermedio_por_actividad_economica"/>
  </r>
  <r>
    <x v="8"/>
    <x v="8"/>
    <x v="4"/>
    <n v="17375.77"/>
    <x v="1"/>
    <s v="consumo_intermedio_por_actividad_economica"/>
  </r>
  <r>
    <x v="9"/>
    <x v="9"/>
    <x v="4"/>
    <n v="1909.51"/>
    <x v="1"/>
    <s v="consumo_intermedio_por_actividad_economica"/>
  </r>
  <r>
    <x v="10"/>
    <x v="10"/>
    <x v="4"/>
    <n v="52921.64"/>
    <x v="1"/>
    <s v="consumo_intermedio_por_actividad_economica"/>
  </r>
  <r>
    <x v="11"/>
    <x v="11"/>
    <x v="4"/>
    <n v="68100.479999999996"/>
    <x v="1"/>
    <s v="consumo_intermedio_por_actividad_economica"/>
  </r>
  <r>
    <x v="12"/>
    <x v="12"/>
    <x v="4"/>
    <n v="9861.49"/>
    <x v="1"/>
    <s v="consumo_intermedio_por_actividad_economica"/>
  </r>
  <r>
    <x v="13"/>
    <x v="13"/>
    <x v="4"/>
    <n v="21002.17"/>
    <x v="1"/>
    <s v="consumo_intermedio_por_actividad_economica"/>
  </r>
  <r>
    <x v="14"/>
    <x v="14"/>
    <x v="4"/>
    <n v="14767.3"/>
    <x v="1"/>
    <s v="consumo_intermedio_por_actividad_economica"/>
  </r>
  <r>
    <x v="15"/>
    <x v="15"/>
    <x v="4"/>
    <n v="43274.09"/>
    <x v="1"/>
    <s v="consumo_intermedio_por_actividad_economica"/>
  </r>
  <r>
    <x v="16"/>
    <x v="16"/>
    <x v="4"/>
    <n v="14072.7"/>
    <x v="1"/>
    <s v="consumo_intermedio_por_actividad_economica"/>
  </r>
  <r>
    <x v="17"/>
    <x v="17"/>
    <x v="4"/>
    <n v="22043.59"/>
    <x v="1"/>
    <s v="consumo_intermedio_por_actividad_economica"/>
  </r>
  <r>
    <x v="18"/>
    <x v="18"/>
    <x v="4"/>
    <n v="15548.38"/>
    <x v="1"/>
    <s v="consumo_intermedio_por_actividad_economica"/>
  </r>
  <r>
    <x v="19"/>
    <x v="19"/>
    <x v="4"/>
    <n v="21649.01"/>
    <x v="1"/>
    <s v="consumo_intermedio_por_actividad_economica"/>
  </r>
  <r>
    <x v="20"/>
    <x v="20"/>
    <x v="4"/>
    <n v="62111.67"/>
    <x v="1"/>
    <s v="consumo_intermedio_por_actividad_economica"/>
  </r>
  <r>
    <x v="21"/>
    <x v="21"/>
    <x v="4"/>
    <n v="8227.7800000000007"/>
    <x v="1"/>
    <s v="consumo_intermedio_por_actividad_economica"/>
  </r>
  <r>
    <x v="22"/>
    <x v="22"/>
    <x v="4"/>
    <n v="5437.68"/>
    <x v="1"/>
    <s v="consumo_intermedio_por_actividad_economica"/>
  </r>
  <r>
    <x v="23"/>
    <x v="23"/>
    <x v="4"/>
    <n v="3770.75"/>
    <x v="1"/>
    <s v="consumo_intermedio_por_actividad_economica"/>
  </r>
  <r>
    <x v="24"/>
    <x v="24"/>
    <x v="4"/>
    <n v="4540.47"/>
    <x v="1"/>
    <s v="consumo_intermedio_por_actividad_economica"/>
  </r>
  <r>
    <x v="25"/>
    <x v="25"/>
    <x v="4"/>
    <m/>
    <x v="1"/>
    <s v="consumo_intermedio_por_actividad_economica"/>
  </r>
  <r>
    <x v="0"/>
    <x v="0"/>
    <x v="0"/>
    <n v="48998.26"/>
    <x v="1"/>
    <s v="consumo_intermedio_por_actividad_economica"/>
  </r>
  <r>
    <x v="1"/>
    <x v="1"/>
    <x v="0"/>
    <n v="16496.43"/>
    <x v="1"/>
    <s v="consumo_intermedio_por_actividad_economica"/>
  </r>
  <r>
    <x v="2"/>
    <x v="2"/>
    <x v="0"/>
    <n v="4061.51"/>
    <x v="1"/>
    <s v="consumo_intermedio_por_actividad_economica"/>
  </r>
  <r>
    <x v="3"/>
    <x v="3"/>
    <x v="0"/>
    <m/>
    <x v="1"/>
    <s v="consumo_intermedio_por_actividad_economica"/>
  </r>
  <r>
    <x v="4"/>
    <x v="4"/>
    <x v="0"/>
    <n v="177.69"/>
    <x v="1"/>
    <s v="consumo_intermedio_por_actividad_economica"/>
  </r>
  <r>
    <x v="5"/>
    <x v="5"/>
    <x v="0"/>
    <n v="196.56"/>
    <x v="1"/>
    <s v="consumo_intermedio_por_actividad_economica"/>
  </r>
  <r>
    <x v="6"/>
    <x v="6"/>
    <x v="0"/>
    <n v="167.71"/>
    <x v="1"/>
    <s v="consumo_intermedio_por_actividad_economica"/>
  </r>
  <r>
    <x v="7"/>
    <x v="7"/>
    <x v="0"/>
    <n v="2505.58"/>
    <x v="1"/>
    <s v="consumo_intermedio_por_actividad_economica"/>
  </r>
  <r>
    <x v="8"/>
    <x v="8"/>
    <x v="0"/>
    <n v="3628.59"/>
    <x v="1"/>
    <s v="consumo_intermedio_por_actividad_economica"/>
  </r>
  <r>
    <x v="9"/>
    <x v="9"/>
    <x v="0"/>
    <n v="308.52999999999997"/>
    <x v="1"/>
    <s v="consumo_intermedio_por_actividad_economica"/>
  </r>
  <r>
    <x v="10"/>
    <x v="10"/>
    <x v="0"/>
    <m/>
    <x v="1"/>
    <s v="consumo_intermedio_por_actividad_economica"/>
  </r>
  <r>
    <x v="11"/>
    <x v="11"/>
    <x v="0"/>
    <n v="9758.26"/>
    <x v="1"/>
    <s v="consumo_intermedio_por_actividad_economica"/>
  </r>
  <r>
    <x v="12"/>
    <x v="12"/>
    <x v="0"/>
    <n v="775.51"/>
    <x v="1"/>
    <s v="consumo_intermedio_por_actividad_economica"/>
  </r>
  <r>
    <x v="13"/>
    <x v="13"/>
    <x v="0"/>
    <n v="1818.41"/>
    <x v="1"/>
    <s v="consumo_intermedio_por_actividad_economica"/>
  </r>
  <r>
    <x v="14"/>
    <x v="14"/>
    <x v="0"/>
    <n v="1685.45"/>
    <x v="1"/>
    <s v="consumo_intermedio_por_actividad_economica"/>
  </r>
  <r>
    <x v="15"/>
    <x v="15"/>
    <x v="0"/>
    <n v="1412.87"/>
    <x v="1"/>
    <s v="consumo_intermedio_por_actividad_economica"/>
  </r>
  <r>
    <x v="16"/>
    <x v="16"/>
    <x v="0"/>
    <n v="1572.1"/>
    <x v="1"/>
    <s v="consumo_intermedio_por_actividad_economica"/>
  </r>
  <r>
    <x v="17"/>
    <x v="17"/>
    <x v="0"/>
    <n v="42.58"/>
    <x v="1"/>
    <s v="consumo_intermedio_por_actividad_economica"/>
  </r>
  <r>
    <x v="18"/>
    <x v="18"/>
    <x v="0"/>
    <n v="569.47"/>
    <x v="1"/>
    <s v="consumo_intermedio_por_actividad_economica"/>
  </r>
  <r>
    <x v="19"/>
    <x v="19"/>
    <x v="0"/>
    <n v="496.07"/>
    <x v="1"/>
    <s v="consumo_intermedio_por_actividad_economica"/>
  </r>
  <r>
    <x v="20"/>
    <x v="20"/>
    <x v="0"/>
    <n v="68.59"/>
    <x v="1"/>
    <s v="consumo_intermedio_por_actividad_economica"/>
  </r>
  <r>
    <x v="21"/>
    <x v="21"/>
    <x v="0"/>
    <n v="44.01"/>
    <x v="1"/>
    <s v="consumo_intermedio_por_actividad_economica"/>
  </r>
  <r>
    <x v="22"/>
    <x v="22"/>
    <x v="0"/>
    <n v="356.13"/>
    <x v="1"/>
    <s v="consumo_intermedio_por_actividad_economica"/>
  </r>
  <r>
    <x v="23"/>
    <x v="23"/>
    <x v="0"/>
    <n v="65.66"/>
    <x v="1"/>
    <s v="consumo_intermedio_por_actividad_economica"/>
  </r>
  <r>
    <x v="24"/>
    <x v="24"/>
    <x v="0"/>
    <n v="932.18"/>
    <x v="1"/>
    <s v="consumo_intermedio_por_actividad_economica"/>
  </r>
  <r>
    <x v="25"/>
    <x v="25"/>
    <x v="0"/>
    <n v="1858.37"/>
    <x v="1"/>
    <s v="consumo_intermedio_por_actividad_economica"/>
  </r>
  <r>
    <x v="0"/>
    <x v="0"/>
    <x v="1"/>
    <n v="44708.639999999999"/>
    <x v="1"/>
    <s v="consumo_intermedio_por_actividad_economica"/>
  </r>
  <r>
    <x v="1"/>
    <x v="1"/>
    <x v="1"/>
    <n v="11841.25"/>
    <x v="1"/>
    <s v="consumo_intermedio_por_actividad_economica"/>
  </r>
  <r>
    <x v="2"/>
    <x v="2"/>
    <x v="1"/>
    <n v="1229.1600000000001"/>
    <x v="1"/>
    <s v="consumo_intermedio_por_actividad_economica"/>
  </r>
  <r>
    <x v="3"/>
    <x v="3"/>
    <x v="1"/>
    <m/>
    <x v="1"/>
    <s v="consumo_intermedio_por_actividad_economica"/>
  </r>
  <r>
    <x v="4"/>
    <x v="4"/>
    <x v="1"/>
    <n v="726.93"/>
    <x v="1"/>
    <s v="consumo_intermedio_por_actividad_economica"/>
  </r>
  <r>
    <x v="5"/>
    <x v="5"/>
    <x v="1"/>
    <n v="1331.68"/>
    <x v="1"/>
    <s v="consumo_intermedio_por_actividad_economica"/>
  </r>
  <r>
    <x v="6"/>
    <x v="6"/>
    <x v="1"/>
    <n v="328.47"/>
    <x v="1"/>
    <s v="consumo_intermedio_por_actividad_economica"/>
  </r>
  <r>
    <x v="7"/>
    <x v="7"/>
    <x v="1"/>
    <n v="179.84"/>
    <x v="1"/>
    <s v="consumo_intermedio_por_actividad_economica"/>
  </r>
  <r>
    <x v="8"/>
    <x v="8"/>
    <x v="1"/>
    <n v="1588.15"/>
    <x v="1"/>
    <s v="consumo_intermedio_por_actividad_economica"/>
  </r>
  <r>
    <x v="9"/>
    <x v="9"/>
    <x v="1"/>
    <n v="445.25"/>
    <x v="1"/>
    <s v="consumo_intermedio_por_actividad_economica"/>
  </r>
  <r>
    <x v="10"/>
    <x v="10"/>
    <x v="1"/>
    <n v="11390.06"/>
    <x v="1"/>
    <s v="consumo_intermedio_por_actividad_economica"/>
  </r>
  <r>
    <x v="11"/>
    <x v="11"/>
    <x v="1"/>
    <n v="4305.3900000000003"/>
    <x v="1"/>
    <s v="consumo_intermedio_por_actividad_economica"/>
  </r>
  <r>
    <x v="12"/>
    <x v="12"/>
    <x v="1"/>
    <n v="598.1"/>
    <x v="1"/>
    <s v="consumo_intermedio_por_actividad_economica"/>
  </r>
  <r>
    <x v="13"/>
    <x v="13"/>
    <x v="1"/>
    <n v="1693.3"/>
    <x v="1"/>
    <s v="consumo_intermedio_por_actividad_economica"/>
  </r>
  <r>
    <x v="14"/>
    <x v="14"/>
    <x v="1"/>
    <n v="1675.84"/>
    <x v="1"/>
    <s v="consumo_intermedio_por_actividad_economica"/>
  </r>
  <r>
    <x v="15"/>
    <x v="15"/>
    <x v="1"/>
    <n v="2008.26"/>
    <x v="1"/>
    <s v="consumo_intermedio_por_actividad_economica"/>
  </r>
  <r>
    <x v="16"/>
    <x v="16"/>
    <x v="1"/>
    <n v="875.06"/>
    <x v="1"/>
    <s v="consumo_intermedio_por_actividad_economica"/>
  </r>
  <r>
    <x v="17"/>
    <x v="17"/>
    <x v="1"/>
    <n v="15.84"/>
    <x v="1"/>
    <s v="consumo_intermedio_por_actividad_economica"/>
  </r>
  <r>
    <x v="18"/>
    <x v="18"/>
    <x v="1"/>
    <n v="925.27"/>
    <x v="1"/>
    <s v="consumo_intermedio_por_actividad_economica"/>
  </r>
  <r>
    <x v="19"/>
    <x v="19"/>
    <x v="1"/>
    <n v="298.02"/>
    <x v="1"/>
    <s v="consumo_intermedio_por_actividad_economica"/>
  </r>
  <r>
    <x v="20"/>
    <x v="20"/>
    <x v="1"/>
    <n v="947.12"/>
    <x v="1"/>
    <s v="consumo_intermedio_por_actividad_economica"/>
  </r>
  <r>
    <x v="21"/>
    <x v="21"/>
    <x v="1"/>
    <n v="493.38"/>
    <x v="1"/>
    <s v="consumo_intermedio_por_actividad_economica"/>
  </r>
  <r>
    <x v="22"/>
    <x v="22"/>
    <x v="1"/>
    <n v="343.32"/>
    <x v="1"/>
    <s v="consumo_intermedio_por_actividad_economica"/>
  </r>
  <r>
    <x v="23"/>
    <x v="23"/>
    <x v="1"/>
    <n v="1468.95"/>
    <x v="1"/>
    <s v="consumo_intermedio_por_actividad_economica"/>
  </r>
  <r>
    <x v="24"/>
    <x v="24"/>
    <x v="1"/>
    <m/>
    <x v="1"/>
    <s v="consumo_intermedio_por_actividad_economica"/>
  </r>
  <r>
    <x v="25"/>
    <x v="25"/>
    <x v="1"/>
    <m/>
    <x v="1"/>
    <s v="consumo_intermedio_por_actividad_economica"/>
  </r>
  <r>
    <x v="0"/>
    <x v="0"/>
    <x v="2"/>
    <n v="20289"/>
    <x v="1"/>
    <s v="consumo_intermedio_por_actividad_economica"/>
  </r>
  <r>
    <x v="1"/>
    <x v="1"/>
    <x v="2"/>
    <n v="10261.219999999999"/>
    <x v="1"/>
    <s v="consumo_intermedio_por_actividad_economica"/>
  </r>
  <r>
    <x v="2"/>
    <x v="2"/>
    <x v="2"/>
    <n v="782.53"/>
    <x v="1"/>
    <s v="consumo_intermedio_por_actividad_economica"/>
  </r>
  <r>
    <x v="3"/>
    <x v="3"/>
    <x v="2"/>
    <n v="24.12"/>
    <x v="1"/>
    <s v="consumo_intermedio_por_actividad_economica"/>
  </r>
  <r>
    <x v="4"/>
    <x v="4"/>
    <x v="2"/>
    <n v="342.52"/>
    <x v="1"/>
    <s v="consumo_intermedio_por_actividad_economica"/>
  </r>
  <r>
    <x v="5"/>
    <x v="5"/>
    <x v="2"/>
    <n v="163.15"/>
    <x v="1"/>
    <s v="consumo_intermedio_por_actividad_economica"/>
  </r>
  <r>
    <x v="6"/>
    <x v="6"/>
    <x v="2"/>
    <n v="127.81"/>
    <x v="1"/>
    <s v="consumo_intermedio_por_actividad_economica"/>
  </r>
  <r>
    <x v="7"/>
    <x v="7"/>
    <x v="2"/>
    <n v="304.67"/>
    <x v="1"/>
    <s v="consumo_intermedio_por_actividad_economica"/>
  </r>
  <r>
    <x v="8"/>
    <x v="8"/>
    <x v="2"/>
    <n v="1146.46"/>
    <x v="1"/>
    <s v="consumo_intermedio_por_actividad_economica"/>
  </r>
  <r>
    <x v="9"/>
    <x v="9"/>
    <x v="2"/>
    <n v="229.72"/>
    <x v="1"/>
    <s v="consumo_intermedio_por_actividad_economica"/>
  </r>
  <r>
    <x v="10"/>
    <x v="10"/>
    <x v="2"/>
    <n v="129.22"/>
    <x v="1"/>
    <s v="consumo_intermedio_por_actividad_economica"/>
  </r>
  <r>
    <x v="11"/>
    <x v="11"/>
    <x v="2"/>
    <n v="990.93"/>
    <x v="1"/>
    <s v="consumo_intermedio_por_actividad_economica"/>
  </r>
  <r>
    <x v="12"/>
    <x v="12"/>
    <x v="2"/>
    <n v="247.25"/>
    <x v="1"/>
    <s v="consumo_intermedio_por_actividad_economica"/>
  </r>
  <r>
    <x v="13"/>
    <x v="13"/>
    <x v="2"/>
    <n v="879.81"/>
    <x v="1"/>
    <s v="consumo_intermedio_por_actividad_economica"/>
  </r>
  <r>
    <x v="14"/>
    <x v="14"/>
    <x v="2"/>
    <n v="851.87"/>
    <x v="1"/>
    <s v="consumo_intermedio_por_actividad_economica"/>
  </r>
  <r>
    <x v="15"/>
    <x v="15"/>
    <x v="2"/>
    <n v="1111"/>
    <x v="1"/>
    <s v="consumo_intermedio_por_actividad_economica"/>
  </r>
  <r>
    <x v="16"/>
    <x v="16"/>
    <x v="2"/>
    <n v="579.30999999999995"/>
    <x v="1"/>
    <s v="consumo_intermedio_por_actividad_economica"/>
  </r>
  <r>
    <x v="17"/>
    <x v="17"/>
    <x v="2"/>
    <n v="217.76"/>
    <x v="1"/>
    <s v="consumo_intermedio_por_actividad_economica"/>
  </r>
  <r>
    <x v="18"/>
    <x v="18"/>
    <x v="2"/>
    <n v="473.15"/>
    <x v="1"/>
    <s v="consumo_intermedio_por_actividad_economica"/>
  </r>
  <r>
    <x v="19"/>
    <x v="19"/>
    <x v="2"/>
    <n v="72.75"/>
    <x v="1"/>
    <s v="consumo_intermedio_por_actividad_economica"/>
  </r>
  <r>
    <x v="20"/>
    <x v="20"/>
    <x v="2"/>
    <n v="673.21"/>
    <x v="1"/>
    <s v="consumo_intermedio_por_actividad_economica"/>
  </r>
  <r>
    <x v="21"/>
    <x v="21"/>
    <x v="2"/>
    <n v="213.97"/>
    <x v="1"/>
    <s v="consumo_intermedio_por_actividad_economica"/>
  </r>
  <r>
    <x v="22"/>
    <x v="22"/>
    <x v="2"/>
    <n v="240.1"/>
    <x v="1"/>
    <s v="consumo_intermedio_por_actividad_economica"/>
  </r>
  <r>
    <x v="23"/>
    <x v="23"/>
    <x v="2"/>
    <n v="79.39"/>
    <x v="1"/>
    <s v="consumo_intermedio_por_actividad_economica"/>
  </r>
  <r>
    <x v="24"/>
    <x v="24"/>
    <x v="2"/>
    <n v="147.08000000000001"/>
    <x v="1"/>
    <s v="consumo_intermedio_por_actividad_economica"/>
  </r>
  <r>
    <x v="25"/>
    <x v="25"/>
    <x v="2"/>
    <m/>
    <x v="1"/>
    <s v="consumo_intermedio_por_actividad_economica"/>
  </r>
  <r>
    <x v="0"/>
    <x v="0"/>
    <x v="5"/>
    <n v="299323.21999999997"/>
    <x v="1"/>
    <s v="consumo_intermedio_por_actividad_economica"/>
  </r>
  <r>
    <x v="1"/>
    <x v="1"/>
    <x v="5"/>
    <n v="41336.9"/>
    <x v="1"/>
    <s v="consumo_intermedio_por_actividad_economica"/>
  </r>
  <r>
    <x v="2"/>
    <x v="2"/>
    <x v="5"/>
    <n v="12770.89"/>
    <x v="1"/>
    <s v="consumo_intermedio_por_actividad_economica"/>
  </r>
  <r>
    <x v="3"/>
    <x v="3"/>
    <x v="5"/>
    <n v="468.34"/>
    <x v="1"/>
    <s v="consumo_intermedio_por_actividad_economica"/>
  </r>
  <r>
    <x v="4"/>
    <x v="4"/>
    <x v="5"/>
    <n v="8365.9500000000007"/>
    <x v="1"/>
    <s v="consumo_intermedio_por_actividad_economica"/>
  </r>
  <r>
    <x v="5"/>
    <x v="5"/>
    <x v="5"/>
    <n v="2463.48"/>
    <x v="1"/>
    <s v="consumo_intermedio_por_actividad_economica"/>
  </r>
  <r>
    <x v="6"/>
    <x v="6"/>
    <x v="5"/>
    <n v="1239.9000000000001"/>
    <x v="1"/>
    <s v="consumo_intermedio_por_actividad_economica"/>
  </r>
  <r>
    <x v="7"/>
    <x v="7"/>
    <x v="5"/>
    <n v="963.93"/>
    <x v="1"/>
    <s v="consumo_intermedio_por_actividad_economica"/>
  </r>
  <r>
    <x v="8"/>
    <x v="8"/>
    <x v="5"/>
    <n v="8348.64"/>
    <x v="1"/>
    <s v="consumo_intermedio_por_actividad_economica"/>
  </r>
  <r>
    <x v="9"/>
    <x v="9"/>
    <x v="5"/>
    <n v="608.28"/>
    <x v="1"/>
    <s v="consumo_intermedio_por_actividad_economica"/>
  </r>
  <r>
    <x v="10"/>
    <x v="10"/>
    <x v="5"/>
    <n v="17311.740000000002"/>
    <x v="1"/>
    <s v="consumo_intermedio_por_actividad_economica"/>
  </r>
  <r>
    <x v="11"/>
    <x v="11"/>
    <x v="5"/>
    <n v="30995.87"/>
    <x v="1"/>
    <s v="consumo_intermedio_por_actividad_economica"/>
  </r>
  <r>
    <x v="12"/>
    <x v="12"/>
    <x v="5"/>
    <n v="885"/>
    <x v="1"/>
    <s v="consumo_intermedio_por_actividad_economica"/>
  </r>
  <r>
    <x v="13"/>
    <x v="13"/>
    <x v="5"/>
    <n v="12296.61"/>
    <x v="1"/>
    <s v="consumo_intermedio_por_actividad_economica"/>
  </r>
  <r>
    <x v="14"/>
    <x v="14"/>
    <x v="5"/>
    <n v="14063.77"/>
    <x v="1"/>
    <s v="consumo_intermedio_por_actividad_economica"/>
  </r>
  <r>
    <x v="15"/>
    <x v="15"/>
    <x v="5"/>
    <n v="22198.91"/>
    <x v="1"/>
    <s v="consumo_intermedio_por_actividad_economica"/>
  </r>
  <r>
    <x v="16"/>
    <x v="16"/>
    <x v="5"/>
    <n v="13376.45"/>
    <x v="1"/>
    <s v="consumo_intermedio_por_actividad_economica"/>
  </r>
  <r>
    <x v="17"/>
    <x v="17"/>
    <x v="5"/>
    <n v="4429.29"/>
    <x v="1"/>
    <s v="consumo_intermedio_por_actividad_economica"/>
  </r>
  <r>
    <x v="18"/>
    <x v="18"/>
    <x v="5"/>
    <n v="19049.439999999999"/>
    <x v="1"/>
    <s v="consumo_intermedio_por_actividad_economica"/>
  </r>
  <r>
    <x v="19"/>
    <x v="19"/>
    <x v="5"/>
    <n v="26147.74"/>
    <x v="1"/>
    <s v="consumo_intermedio_por_actividad_economica"/>
  </r>
  <r>
    <x v="20"/>
    <x v="20"/>
    <x v="5"/>
    <n v="60638.46"/>
    <x v="1"/>
    <s v="consumo_intermedio_por_actividad_economica"/>
  </r>
  <r>
    <x v="21"/>
    <x v="21"/>
    <x v="5"/>
    <n v="590.03"/>
    <x v="1"/>
    <s v="consumo_intermedio_por_actividad_economica"/>
  </r>
  <r>
    <x v="22"/>
    <x v="22"/>
    <x v="5"/>
    <n v="442.23"/>
    <x v="1"/>
    <s v="consumo_intermedio_por_actividad_economica"/>
  </r>
  <r>
    <x v="23"/>
    <x v="23"/>
    <x v="5"/>
    <n v="331.37"/>
    <x v="1"/>
    <s v="consumo_intermedio_por_actividad_economica"/>
  </r>
  <r>
    <x v="24"/>
    <x v="24"/>
    <x v="5"/>
    <m/>
    <x v="1"/>
    <s v="consumo_intermedio_por_actividad_economica"/>
  </r>
  <r>
    <x v="25"/>
    <x v="25"/>
    <x v="5"/>
    <m/>
    <x v="1"/>
    <s v="consumo_intermedio_por_actividad_economica"/>
  </r>
  <r>
    <x v="0"/>
    <x v="0"/>
    <x v="3"/>
    <n v="54390.44"/>
    <x v="1"/>
    <s v="consumo_intermedio_por_actividad_economica"/>
  </r>
  <r>
    <x v="1"/>
    <x v="1"/>
    <x v="3"/>
    <n v="22845.49"/>
    <x v="1"/>
    <s v="consumo_intermedio_por_actividad_economica"/>
  </r>
  <r>
    <x v="2"/>
    <x v="2"/>
    <x v="3"/>
    <n v="1734.82"/>
    <x v="1"/>
    <s v="consumo_intermedio_por_actividad_economica"/>
  </r>
  <r>
    <x v="3"/>
    <x v="3"/>
    <x v="3"/>
    <m/>
    <x v="1"/>
    <s v="consumo_intermedio_por_actividad_economica"/>
  </r>
  <r>
    <x v="4"/>
    <x v="4"/>
    <x v="3"/>
    <n v="1386.13"/>
    <x v="1"/>
    <s v="consumo_intermedio_por_actividad_economica"/>
  </r>
  <r>
    <x v="5"/>
    <x v="5"/>
    <x v="3"/>
    <n v="1423.12"/>
    <x v="1"/>
    <s v="consumo_intermedio_por_actividad_economica"/>
  </r>
  <r>
    <x v="6"/>
    <x v="6"/>
    <x v="3"/>
    <n v="256.02"/>
    <x v="1"/>
    <s v="consumo_intermedio_por_actividad_economica"/>
  </r>
  <r>
    <x v="7"/>
    <x v="7"/>
    <x v="3"/>
    <n v="236.82"/>
    <x v="1"/>
    <s v="consumo_intermedio_por_actividad_economica"/>
  </r>
  <r>
    <x v="8"/>
    <x v="8"/>
    <x v="3"/>
    <n v="880.04"/>
    <x v="1"/>
    <s v="consumo_intermedio_por_actividad_economica"/>
  </r>
  <r>
    <x v="9"/>
    <x v="9"/>
    <x v="3"/>
    <n v="571.4"/>
    <x v="1"/>
    <s v="consumo_intermedio_por_actividad_economica"/>
  </r>
  <r>
    <x v="10"/>
    <x v="10"/>
    <x v="3"/>
    <n v="5015.7299999999996"/>
    <x v="1"/>
    <s v="consumo_intermedio_por_actividad_economica"/>
  </r>
  <r>
    <x v="11"/>
    <x v="11"/>
    <x v="3"/>
    <n v="3752.56"/>
    <x v="1"/>
    <s v="consumo_intermedio_por_actividad_economica"/>
  </r>
  <r>
    <x v="12"/>
    <x v="12"/>
    <x v="3"/>
    <n v="604.20000000000005"/>
    <x v="1"/>
    <s v="consumo_intermedio_por_actividad_economica"/>
  </r>
  <r>
    <x v="13"/>
    <x v="13"/>
    <x v="3"/>
    <n v="2820.5"/>
    <x v="1"/>
    <s v="consumo_intermedio_por_actividad_economica"/>
  </r>
  <r>
    <x v="14"/>
    <x v="14"/>
    <x v="3"/>
    <n v="2922.96"/>
    <x v="1"/>
    <s v="consumo_intermedio_por_actividad_economica"/>
  </r>
  <r>
    <x v="15"/>
    <x v="15"/>
    <x v="3"/>
    <n v="5056.6499999999996"/>
    <x v="1"/>
    <s v="consumo_intermedio_por_actividad_economica"/>
  </r>
  <r>
    <x v="16"/>
    <x v="16"/>
    <x v="3"/>
    <n v="1449.19"/>
    <x v="1"/>
    <s v="consumo_intermedio_por_actividad_economica"/>
  </r>
  <r>
    <x v="17"/>
    <x v="17"/>
    <x v="3"/>
    <n v="13.31"/>
    <x v="1"/>
    <s v="consumo_intermedio_por_actividad_economica"/>
  </r>
  <r>
    <x v="18"/>
    <x v="18"/>
    <x v="3"/>
    <n v="593.92999999999995"/>
    <x v="1"/>
    <s v="consumo_intermedio_por_actividad_economica"/>
  </r>
  <r>
    <x v="19"/>
    <x v="19"/>
    <x v="3"/>
    <n v="810.34"/>
    <x v="1"/>
    <s v="consumo_intermedio_por_actividad_economica"/>
  </r>
  <r>
    <x v="20"/>
    <x v="20"/>
    <x v="3"/>
    <n v="348.89"/>
    <x v="1"/>
    <s v="consumo_intermedio_por_actividad_economica"/>
  </r>
  <r>
    <x v="21"/>
    <x v="21"/>
    <x v="3"/>
    <n v="177.55"/>
    <x v="1"/>
    <s v="consumo_intermedio_por_actividad_economica"/>
  </r>
  <r>
    <x v="22"/>
    <x v="22"/>
    <x v="3"/>
    <n v="281.29000000000002"/>
    <x v="1"/>
    <s v="consumo_intermedio_por_actividad_economica"/>
  </r>
  <r>
    <x v="23"/>
    <x v="23"/>
    <x v="3"/>
    <n v="972.93"/>
    <x v="1"/>
    <s v="consumo_intermedio_por_actividad_economica"/>
  </r>
  <r>
    <x v="24"/>
    <x v="24"/>
    <x v="3"/>
    <n v="236.57"/>
    <x v="1"/>
    <s v="consumo_intermedio_por_actividad_economica"/>
  </r>
  <r>
    <x v="25"/>
    <x v="25"/>
    <x v="3"/>
    <m/>
    <x v="1"/>
    <s v="consumo_intermedio_por_actividad_economica"/>
  </r>
  <r>
    <x v="0"/>
    <x v="0"/>
    <x v="6"/>
    <m/>
    <x v="1"/>
    <s v="consumo_intermedio_por_actividad_economica"/>
  </r>
  <r>
    <x v="1"/>
    <x v="1"/>
    <x v="6"/>
    <m/>
    <x v="1"/>
    <s v="consumo_intermedio_por_actividad_economica"/>
  </r>
  <r>
    <x v="2"/>
    <x v="2"/>
    <x v="6"/>
    <m/>
    <x v="1"/>
    <s v="consumo_intermedio_por_actividad_economica"/>
  </r>
  <r>
    <x v="3"/>
    <x v="3"/>
    <x v="6"/>
    <m/>
    <x v="1"/>
    <s v="consumo_intermedio_por_actividad_economica"/>
  </r>
  <r>
    <x v="4"/>
    <x v="4"/>
    <x v="6"/>
    <m/>
    <x v="1"/>
    <s v="consumo_intermedio_por_actividad_economica"/>
  </r>
  <r>
    <x v="5"/>
    <x v="5"/>
    <x v="6"/>
    <m/>
    <x v="1"/>
    <s v="consumo_intermedio_por_actividad_economica"/>
  </r>
  <r>
    <x v="6"/>
    <x v="6"/>
    <x v="6"/>
    <m/>
    <x v="1"/>
    <s v="consumo_intermedio_por_actividad_economica"/>
  </r>
  <r>
    <x v="7"/>
    <x v="7"/>
    <x v="6"/>
    <m/>
    <x v="1"/>
    <s v="consumo_intermedio_por_actividad_economica"/>
  </r>
  <r>
    <x v="8"/>
    <x v="8"/>
    <x v="6"/>
    <m/>
    <x v="1"/>
    <s v="consumo_intermedio_por_actividad_economica"/>
  </r>
  <r>
    <x v="9"/>
    <x v="9"/>
    <x v="6"/>
    <m/>
    <x v="1"/>
    <s v="consumo_intermedio_por_actividad_economica"/>
  </r>
  <r>
    <x v="10"/>
    <x v="10"/>
    <x v="6"/>
    <m/>
    <x v="1"/>
    <s v="consumo_intermedio_por_actividad_economica"/>
  </r>
  <r>
    <x v="11"/>
    <x v="11"/>
    <x v="6"/>
    <m/>
    <x v="1"/>
    <s v="consumo_intermedio_por_actividad_economica"/>
  </r>
  <r>
    <x v="12"/>
    <x v="12"/>
    <x v="6"/>
    <m/>
    <x v="1"/>
    <s v="consumo_intermedio_por_actividad_economica"/>
  </r>
  <r>
    <x v="13"/>
    <x v="13"/>
    <x v="6"/>
    <m/>
    <x v="1"/>
    <s v="consumo_intermedio_por_actividad_economica"/>
  </r>
  <r>
    <x v="14"/>
    <x v="14"/>
    <x v="6"/>
    <m/>
    <x v="1"/>
    <s v="consumo_intermedio_por_actividad_economica"/>
  </r>
  <r>
    <x v="15"/>
    <x v="15"/>
    <x v="6"/>
    <m/>
    <x v="1"/>
    <s v="consumo_intermedio_por_actividad_economica"/>
  </r>
  <r>
    <x v="16"/>
    <x v="16"/>
    <x v="6"/>
    <m/>
    <x v="1"/>
    <s v="consumo_intermedio_por_actividad_economica"/>
  </r>
  <r>
    <x v="17"/>
    <x v="17"/>
    <x v="6"/>
    <m/>
    <x v="1"/>
    <s v="consumo_intermedio_por_actividad_economica"/>
  </r>
  <r>
    <x v="18"/>
    <x v="18"/>
    <x v="6"/>
    <m/>
    <x v="1"/>
    <s v="consumo_intermedio_por_actividad_economica"/>
  </r>
  <r>
    <x v="19"/>
    <x v="19"/>
    <x v="6"/>
    <m/>
    <x v="1"/>
    <s v="consumo_intermedio_por_actividad_economica"/>
  </r>
  <r>
    <x v="20"/>
    <x v="20"/>
    <x v="6"/>
    <m/>
    <x v="1"/>
    <s v="consumo_intermedio_por_actividad_economica"/>
  </r>
  <r>
    <x v="21"/>
    <x v="21"/>
    <x v="6"/>
    <m/>
    <x v="1"/>
    <s v="consumo_intermedio_por_actividad_economica"/>
  </r>
  <r>
    <x v="22"/>
    <x v="22"/>
    <x v="6"/>
    <m/>
    <x v="1"/>
    <s v="consumo_intermedio_por_actividad_economica"/>
  </r>
  <r>
    <x v="23"/>
    <x v="23"/>
    <x v="6"/>
    <m/>
    <x v="1"/>
    <s v="consumo_intermedio_por_actividad_economica"/>
  </r>
  <r>
    <x v="24"/>
    <x v="24"/>
    <x v="6"/>
    <m/>
    <x v="1"/>
    <s v="consumo_intermedio_por_actividad_economica"/>
  </r>
  <r>
    <x v="25"/>
    <x v="25"/>
    <x v="6"/>
    <m/>
    <x v="1"/>
    <s v="consumo_intermedio_por_actividad_economica"/>
  </r>
  <r>
    <x v="0"/>
    <x v="0"/>
    <x v="4"/>
    <n v="584580.31000000006"/>
    <x v="2"/>
    <s v="consumo_intermedio_por_actividad_economica"/>
  </r>
  <r>
    <x v="1"/>
    <x v="1"/>
    <x v="4"/>
    <n v="137127.13"/>
    <x v="2"/>
    <s v="consumo_intermedio_por_actividad_economica"/>
  </r>
  <r>
    <x v="2"/>
    <x v="2"/>
    <x v="4"/>
    <n v="15598.71"/>
    <x v="2"/>
    <s v="consumo_intermedio_por_actividad_economica"/>
  </r>
  <r>
    <x v="3"/>
    <x v="3"/>
    <x v="4"/>
    <n v="2745.97"/>
    <x v="2"/>
    <s v="consumo_intermedio_por_actividad_economica"/>
  </r>
  <r>
    <x v="4"/>
    <x v="4"/>
    <x v="4"/>
    <n v="8426.5400000000009"/>
    <x v="2"/>
    <s v="consumo_intermedio_por_actividad_economica"/>
  </r>
  <r>
    <x v="5"/>
    <x v="5"/>
    <x v="4"/>
    <n v="6212.52"/>
    <x v="2"/>
    <s v="consumo_intermedio_por_actividad_economica"/>
  </r>
  <r>
    <x v="6"/>
    <x v="6"/>
    <x v="4"/>
    <n v="6067.1"/>
    <x v="2"/>
    <s v="consumo_intermedio_por_actividad_economica"/>
  </r>
  <r>
    <x v="7"/>
    <x v="7"/>
    <x v="4"/>
    <n v="4657.38"/>
    <x v="2"/>
    <s v="consumo_intermedio_por_actividad_economica"/>
  </r>
  <r>
    <x v="8"/>
    <x v="8"/>
    <x v="4"/>
    <n v="18905.669999999998"/>
    <x v="2"/>
    <s v="consumo_intermedio_por_actividad_economica"/>
  </r>
  <r>
    <x v="9"/>
    <x v="9"/>
    <x v="4"/>
    <n v="1735.4"/>
    <x v="2"/>
    <s v="consumo_intermedio_por_actividad_economica"/>
  </r>
  <r>
    <x v="10"/>
    <x v="10"/>
    <x v="4"/>
    <n v="52474.080000000002"/>
    <x v="2"/>
    <s v="consumo_intermedio_por_actividad_economica"/>
  </r>
  <r>
    <x v="11"/>
    <x v="11"/>
    <x v="4"/>
    <n v="75162.350000000006"/>
    <x v="2"/>
    <s v="consumo_intermedio_por_actividad_economica"/>
  </r>
  <r>
    <x v="12"/>
    <x v="12"/>
    <x v="4"/>
    <n v="10484.01"/>
    <x v="2"/>
    <s v="consumo_intermedio_por_actividad_economica"/>
  </r>
  <r>
    <x v="13"/>
    <x v="13"/>
    <x v="4"/>
    <n v="20663.259999999998"/>
    <x v="2"/>
    <s v="consumo_intermedio_por_actividad_economica"/>
  </r>
  <r>
    <x v="14"/>
    <x v="14"/>
    <x v="4"/>
    <n v="13962.21"/>
    <x v="2"/>
    <s v="consumo_intermedio_por_actividad_economica"/>
  </r>
  <r>
    <x v="15"/>
    <x v="15"/>
    <x v="4"/>
    <n v="48814.3"/>
    <x v="2"/>
    <s v="consumo_intermedio_por_actividad_economica"/>
  </r>
  <r>
    <x v="16"/>
    <x v="16"/>
    <x v="4"/>
    <n v="14702.52"/>
    <x v="2"/>
    <s v="consumo_intermedio_por_actividad_economica"/>
  </r>
  <r>
    <x v="17"/>
    <x v="17"/>
    <x v="4"/>
    <n v="23405.08"/>
    <x v="2"/>
    <s v="consumo_intermedio_por_actividad_economica"/>
  </r>
  <r>
    <x v="18"/>
    <x v="18"/>
    <x v="4"/>
    <n v="15011.44"/>
    <x v="2"/>
    <s v="consumo_intermedio_por_actividad_economica"/>
  </r>
  <r>
    <x v="19"/>
    <x v="19"/>
    <x v="4"/>
    <n v="23068.36"/>
    <x v="2"/>
    <s v="consumo_intermedio_por_actividad_economica"/>
  </r>
  <r>
    <x v="20"/>
    <x v="20"/>
    <x v="4"/>
    <n v="63722.52"/>
    <x v="2"/>
    <s v="consumo_intermedio_por_actividad_economica"/>
  </r>
  <r>
    <x v="21"/>
    <x v="21"/>
    <x v="4"/>
    <n v="8242.01"/>
    <x v="2"/>
    <s v="consumo_intermedio_por_actividad_economica"/>
  </r>
  <r>
    <x v="22"/>
    <x v="22"/>
    <x v="4"/>
    <n v="5283.97"/>
    <x v="2"/>
    <s v="consumo_intermedio_por_actividad_economica"/>
  </r>
  <r>
    <x v="23"/>
    <x v="23"/>
    <x v="4"/>
    <n v="3803.82"/>
    <x v="2"/>
    <s v="consumo_intermedio_por_actividad_economica"/>
  </r>
  <r>
    <x v="24"/>
    <x v="24"/>
    <x v="4"/>
    <n v="4303.96"/>
    <x v="2"/>
    <s v="consumo_intermedio_por_actividad_economica"/>
  </r>
  <r>
    <x v="25"/>
    <x v="25"/>
    <x v="4"/>
    <m/>
    <x v="2"/>
    <s v="consumo_intermedio_por_actividad_economica"/>
  </r>
  <r>
    <x v="0"/>
    <x v="0"/>
    <x v="0"/>
    <n v="47939.15"/>
    <x v="2"/>
    <s v="consumo_intermedio_por_actividad_economica"/>
  </r>
  <r>
    <x v="1"/>
    <x v="1"/>
    <x v="0"/>
    <n v="16899.29"/>
    <x v="2"/>
    <s v="consumo_intermedio_por_actividad_economica"/>
  </r>
  <r>
    <x v="2"/>
    <x v="2"/>
    <x v="0"/>
    <n v="3084.72"/>
    <x v="2"/>
    <s v="consumo_intermedio_por_actividad_economica"/>
  </r>
  <r>
    <x v="3"/>
    <x v="3"/>
    <x v="0"/>
    <m/>
    <x v="2"/>
    <s v="consumo_intermedio_por_actividad_economica"/>
  </r>
  <r>
    <x v="4"/>
    <x v="4"/>
    <x v="0"/>
    <n v="243.97"/>
    <x v="2"/>
    <s v="consumo_intermedio_por_actividad_economica"/>
  </r>
  <r>
    <x v="5"/>
    <x v="5"/>
    <x v="0"/>
    <n v="168.01"/>
    <x v="2"/>
    <s v="consumo_intermedio_por_actividad_economica"/>
  </r>
  <r>
    <x v="6"/>
    <x v="6"/>
    <x v="0"/>
    <n v="162.66"/>
    <x v="2"/>
    <s v="consumo_intermedio_por_actividad_economica"/>
  </r>
  <r>
    <x v="7"/>
    <x v="7"/>
    <x v="0"/>
    <n v="2146.5300000000002"/>
    <x v="2"/>
    <s v="consumo_intermedio_por_actividad_economica"/>
  </r>
  <r>
    <x v="8"/>
    <x v="8"/>
    <x v="0"/>
    <n v="4471.93"/>
    <x v="2"/>
    <s v="consumo_intermedio_por_actividad_economica"/>
  </r>
  <r>
    <x v="9"/>
    <x v="9"/>
    <x v="0"/>
    <n v="453.14"/>
    <x v="2"/>
    <s v="consumo_intermedio_por_actividad_economica"/>
  </r>
  <r>
    <x v="10"/>
    <x v="10"/>
    <x v="0"/>
    <n v="20.63"/>
    <x v="2"/>
    <s v="consumo_intermedio_por_actividad_economica"/>
  </r>
  <r>
    <x v="11"/>
    <x v="11"/>
    <x v="0"/>
    <n v="8849.57"/>
    <x v="2"/>
    <s v="consumo_intermedio_por_actividad_economica"/>
  </r>
  <r>
    <x v="12"/>
    <x v="12"/>
    <x v="0"/>
    <n v="757.59"/>
    <x v="2"/>
    <s v="consumo_intermedio_por_actividad_economica"/>
  </r>
  <r>
    <x v="13"/>
    <x v="13"/>
    <x v="0"/>
    <n v="1998.43"/>
    <x v="2"/>
    <s v="consumo_intermedio_por_actividad_economica"/>
  </r>
  <r>
    <x v="14"/>
    <x v="14"/>
    <x v="0"/>
    <n v="2060.6999999999998"/>
    <x v="2"/>
    <s v="consumo_intermedio_por_actividad_economica"/>
  </r>
  <r>
    <x v="15"/>
    <x v="15"/>
    <x v="0"/>
    <n v="1364.38"/>
    <x v="2"/>
    <s v="consumo_intermedio_por_actividad_economica"/>
  </r>
  <r>
    <x v="16"/>
    <x v="16"/>
    <x v="0"/>
    <n v="1660.93"/>
    <x v="2"/>
    <s v="consumo_intermedio_por_actividad_economica"/>
  </r>
  <r>
    <x v="17"/>
    <x v="17"/>
    <x v="0"/>
    <n v="60.43"/>
    <x v="2"/>
    <s v="consumo_intermedio_por_actividad_economica"/>
  </r>
  <r>
    <x v="18"/>
    <x v="18"/>
    <x v="0"/>
    <n v="422.3"/>
    <x v="2"/>
    <s v="consumo_intermedio_por_actividad_economica"/>
  </r>
  <r>
    <x v="19"/>
    <x v="19"/>
    <x v="0"/>
    <n v="1640.09"/>
    <x v="2"/>
    <s v="consumo_intermedio_por_actividad_economica"/>
  </r>
  <r>
    <x v="20"/>
    <x v="20"/>
    <x v="0"/>
    <n v="257.14999999999998"/>
    <x v="2"/>
    <s v="consumo_intermedio_por_actividad_economica"/>
  </r>
  <r>
    <x v="21"/>
    <x v="21"/>
    <x v="0"/>
    <n v="56.12"/>
    <x v="2"/>
    <s v="consumo_intermedio_por_actividad_economica"/>
  </r>
  <r>
    <x v="22"/>
    <x v="22"/>
    <x v="0"/>
    <n v="383.55"/>
    <x v="2"/>
    <s v="consumo_intermedio_por_actividad_economica"/>
  </r>
  <r>
    <x v="23"/>
    <x v="23"/>
    <x v="0"/>
    <n v="48"/>
    <x v="2"/>
    <s v="consumo_intermedio_por_actividad_economica"/>
  </r>
  <r>
    <x v="24"/>
    <x v="24"/>
    <x v="0"/>
    <n v="706.25"/>
    <x v="2"/>
    <s v="consumo_intermedio_por_actividad_economica"/>
  </r>
  <r>
    <x v="25"/>
    <x v="25"/>
    <x v="0"/>
    <n v="22.78"/>
    <x v="2"/>
    <s v="consumo_intermedio_por_actividad_economica"/>
  </r>
  <r>
    <x v="0"/>
    <x v="0"/>
    <x v="1"/>
    <n v="48069.73"/>
    <x v="2"/>
    <s v="consumo_intermedio_por_actividad_economica"/>
  </r>
  <r>
    <x v="1"/>
    <x v="1"/>
    <x v="1"/>
    <n v="12166.57"/>
    <x v="2"/>
    <s v="consumo_intermedio_por_actividad_economica"/>
  </r>
  <r>
    <x v="2"/>
    <x v="2"/>
    <x v="1"/>
    <n v="836.98"/>
    <x v="2"/>
    <s v="consumo_intermedio_por_actividad_economica"/>
  </r>
  <r>
    <x v="3"/>
    <x v="3"/>
    <x v="1"/>
    <m/>
    <x v="2"/>
    <s v="consumo_intermedio_por_actividad_economica"/>
  </r>
  <r>
    <x v="4"/>
    <x v="4"/>
    <x v="1"/>
    <n v="781.38"/>
    <x v="2"/>
    <s v="consumo_intermedio_por_actividad_economica"/>
  </r>
  <r>
    <x v="5"/>
    <x v="5"/>
    <x v="1"/>
    <n v="1248.04"/>
    <x v="2"/>
    <s v="consumo_intermedio_por_actividad_economica"/>
  </r>
  <r>
    <x v="6"/>
    <x v="6"/>
    <x v="1"/>
    <n v="250.4"/>
    <x v="2"/>
    <s v="consumo_intermedio_por_actividad_economica"/>
  </r>
  <r>
    <x v="7"/>
    <x v="7"/>
    <x v="1"/>
    <n v="183.58"/>
    <x v="2"/>
    <s v="consumo_intermedio_por_actividad_economica"/>
  </r>
  <r>
    <x v="8"/>
    <x v="8"/>
    <x v="1"/>
    <n v="1698.45"/>
    <x v="2"/>
    <s v="consumo_intermedio_por_actividad_economica"/>
  </r>
  <r>
    <x v="9"/>
    <x v="9"/>
    <x v="1"/>
    <n v="454.8"/>
    <x v="2"/>
    <s v="consumo_intermedio_por_actividad_economica"/>
  </r>
  <r>
    <x v="10"/>
    <x v="10"/>
    <x v="1"/>
    <n v="9620.34"/>
    <x v="2"/>
    <s v="consumo_intermedio_por_actividad_economica"/>
  </r>
  <r>
    <x v="11"/>
    <x v="11"/>
    <x v="1"/>
    <n v="4486.18"/>
    <x v="2"/>
    <s v="consumo_intermedio_por_actividad_economica"/>
  </r>
  <r>
    <x v="12"/>
    <x v="12"/>
    <x v="1"/>
    <n v="614.15"/>
    <x v="2"/>
    <s v="consumo_intermedio_por_actividad_economica"/>
  </r>
  <r>
    <x v="13"/>
    <x v="13"/>
    <x v="1"/>
    <n v="1858.23"/>
    <x v="2"/>
    <s v="consumo_intermedio_por_actividad_economica"/>
  </r>
  <r>
    <x v="14"/>
    <x v="14"/>
    <x v="1"/>
    <n v="1733.22"/>
    <x v="2"/>
    <s v="consumo_intermedio_por_actividad_economica"/>
  </r>
  <r>
    <x v="15"/>
    <x v="15"/>
    <x v="1"/>
    <n v="2139.98"/>
    <x v="2"/>
    <s v="consumo_intermedio_por_actividad_economica"/>
  </r>
  <r>
    <x v="16"/>
    <x v="16"/>
    <x v="1"/>
    <n v="969.28"/>
    <x v="2"/>
    <s v="consumo_intermedio_por_actividad_economica"/>
  </r>
  <r>
    <x v="17"/>
    <x v="17"/>
    <x v="1"/>
    <m/>
    <x v="2"/>
    <s v="consumo_intermedio_por_actividad_economica"/>
  </r>
  <r>
    <x v="18"/>
    <x v="18"/>
    <x v="1"/>
    <n v="975.41"/>
    <x v="2"/>
    <s v="consumo_intermedio_por_actividad_economica"/>
  </r>
  <r>
    <x v="19"/>
    <x v="19"/>
    <x v="1"/>
    <n v="294.5"/>
    <x v="2"/>
    <s v="consumo_intermedio_por_actividad_economica"/>
  </r>
  <r>
    <x v="20"/>
    <x v="20"/>
    <x v="1"/>
    <n v="726.04"/>
    <x v="2"/>
    <s v="consumo_intermedio_por_actividad_economica"/>
  </r>
  <r>
    <x v="21"/>
    <x v="21"/>
    <x v="1"/>
    <n v="507.16"/>
    <x v="2"/>
    <s v="consumo_intermedio_por_actividad_economica"/>
  </r>
  <r>
    <x v="22"/>
    <x v="22"/>
    <x v="1"/>
    <n v="361.25"/>
    <x v="2"/>
    <s v="consumo_intermedio_por_actividad_economica"/>
  </r>
  <r>
    <x v="23"/>
    <x v="23"/>
    <x v="1"/>
    <n v="6163.79"/>
    <x v="2"/>
    <s v="consumo_intermedio_por_actividad_economica"/>
  </r>
  <r>
    <x v="24"/>
    <x v="24"/>
    <x v="1"/>
    <m/>
    <x v="2"/>
    <s v="consumo_intermedio_por_actividad_economica"/>
  </r>
  <r>
    <x v="25"/>
    <x v="25"/>
    <x v="1"/>
    <m/>
    <x v="2"/>
    <s v="consumo_intermedio_por_actividad_economica"/>
  </r>
  <r>
    <x v="0"/>
    <x v="0"/>
    <x v="2"/>
    <n v="21263.040000000001"/>
    <x v="2"/>
    <s v="consumo_intermedio_por_actividad_economica"/>
  </r>
  <r>
    <x v="1"/>
    <x v="1"/>
    <x v="2"/>
    <n v="10531.54"/>
    <x v="2"/>
    <s v="consumo_intermedio_por_actividad_economica"/>
  </r>
  <r>
    <x v="2"/>
    <x v="2"/>
    <x v="2"/>
    <n v="886.25"/>
    <x v="2"/>
    <s v="consumo_intermedio_por_actividad_economica"/>
  </r>
  <r>
    <x v="3"/>
    <x v="3"/>
    <x v="2"/>
    <n v="19.600000000000001"/>
    <x v="2"/>
    <s v="consumo_intermedio_por_actividad_economica"/>
  </r>
  <r>
    <x v="4"/>
    <x v="4"/>
    <x v="2"/>
    <n v="405.56"/>
    <x v="2"/>
    <s v="consumo_intermedio_por_actividad_economica"/>
  </r>
  <r>
    <x v="5"/>
    <x v="5"/>
    <x v="2"/>
    <n v="312.22000000000003"/>
    <x v="2"/>
    <s v="consumo_intermedio_por_actividad_economica"/>
  </r>
  <r>
    <x v="6"/>
    <x v="6"/>
    <x v="2"/>
    <n v="86.9"/>
    <x v="2"/>
    <s v="consumo_intermedio_por_actividad_economica"/>
  </r>
  <r>
    <x v="7"/>
    <x v="7"/>
    <x v="2"/>
    <n v="332.64"/>
    <x v="2"/>
    <s v="consumo_intermedio_por_actividad_economica"/>
  </r>
  <r>
    <x v="8"/>
    <x v="8"/>
    <x v="2"/>
    <n v="1245.94"/>
    <x v="2"/>
    <s v="consumo_intermedio_por_actividad_economica"/>
  </r>
  <r>
    <x v="9"/>
    <x v="9"/>
    <x v="2"/>
    <n v="200.33"/>
    <x v="2"/>
    <s v="consumo_intermedio_por_actividad_economica"/>
  </r>
  <r>
    <x v="10"/>
    <x v="10"/>
    <x v="2"/>
    <n v="134.16999999999999"/>
    <x v="2"/>
    <s v="consumo_intermedio_por_actividad_economica"/>
  </r>
  <r>
    <x v="11"/>
    <x v="11"/>
    <x v="2"/>
    <n v="1089.24"/>
    <x v="2"/>
    <s v="consumo_intermedio_por_actividad_economica"/>
  </r>
  <r>
    <x v="12"/>
    <x v="12"/>
    <x v="2"/>
    <n v="346.37"/>
    <x v="2"/>
    <s v="consumo_intermedio_por_actividad_economica"/>
  </r>
  <r>
    <x v="13"/>
    <x v="13"/>
    <x v="2"/>
    <n v="1111.8399999999999"/>
    <x v="2"/>
    <s v="consumo_intermedio_por_actividad_economica"/>
  </r>
  <r>
    <x v="14"/>
    <x v="14"/>
    <x v="2"/>
    <n v="857.26"/>
    <x v="2"/>
    <s v="consumo_intermedio_por_actividad_economica"/>
  </r>
  <r>
    <x v="15"/>
    <x v="15"/>
    <x v="2"/>
    <n v="1111.8800000000001"/>
    <x v="2"/>
    <s v="consumo_intermedio_por_actividad_economica"/>
  </r>
  <r>
    <x v="16"/>
    <x v="16"/>
    <x v="2"/>
    <n v="500"/>
    <x v="2"/>
    <s v="consumo_intermedio_por_actividad_economica"/>
  </r>
  <r>
    <x v="17"/>
    <x v="17"/>
    <x v="2"/>
    <n v="300.01"/>
    <x v="2"/>
    <s v="consumo_intermedio_por_actividad_economica"/>
  </r>
  <r>
    <x v="18"/>
    <x v="18"/>
    <x v="2"/>
    <n v="453.07"/>
    <x v="2"/>
    <s v="consumo_intermedio_por_actividad_economica"/>
  </r>
  <r>
    <x v="19"/>
    <x v="19"/>
    <x v="2"/>
    <n v="63.58"/>
    <x v="2"/>
    <s v="consumo_intermedio_por_actividad_economica"/>
  </r>
  <r>
    <x v="20"/>
    <x v="20"/>
    <x v="2"/>
    <n v="621.77"/>
    <x v="2"/>
    <s v="consumo_intermedio_por_actividad_economica"/>
  </r>
  <r>
    <x v="21"/>
    <x v="21"/>
    <x v="2"/>
    <n v="212.51"/>
    <x v="2"/>
    <s v="consumo_intermedio_por_actividad_economica"/>
  </r>
  <r>
    <x v="22"/>
    <x v="22"/>
    <x v="2"/>
    <n v="230.25"/>
    <x v="2"/>
    <s v="consumo_intermedio_por_actividad_economica"/>
  </r>
  <r>
    <x v="23"/>
    <x v="23"/>
    <x v="2"/>
    <n v="96.14"/>
    <x v="2"/>
    <s v="consumo_intermedio_por_actividad_economica"/>
  </r>
  <r>
    <x v="24"/>
    <x v="24"/>
    <x v="2"/>
    <n v="113.97"/>
    <x v="2"/>
    <s v="consumo_intermedio_por_actividad_economica"/>
  </r>
  <r>
    <x v="25"/>
    <x v="25"/>
    <x v="2"/>
    <m/>
    <x v="2"/>
    <s v="consumo_intermedio_por_actividad_economica"/>
  </r>
  <r>
    <x v="0"/>
    <x v="0"/>
    <x v="5"/>
    <n v="315015.76"/>
    <x v="2"/>
    <s v="consumo_intermedio_por_actividad_economica"/>
  </r>
  <r>
    <x v="1"/>
    <x v="1"/>
    <x v="5"/>
    <n v="42764.160000000003"/>
    <x v="2"/>
    <s v="consumo_intermedio_por_actividad_economica"/>
  </r>
  <r>
    <x v="2"/>
    <x v="2"/>
    <x v="5"/>
    <n v="13588.28"/>
    <x v="2"/>
    <s v="consumo_intermedio_por_actividad_economica"/>
  </r>
  <r>
    <x v="3"/>
    <x v="3"/>
    <x v="5"/>
    <n v="464.91"/>
    <x v="2"/>
    <s v="consumo_intermedio_por_actividad_economica"/>
  </r>
  <r>
    <x v="4"/>
    <x v="4"/>
    <x v="5"/>
    <n v="8763.2900000000009"/>
    <x v="2"/>
    <s v="consumo_intermedio_por_actividad_economica"/>
  </r>
  <r>
    <x v="5"/>
    <x v="5"/>
    <x v="5"/>
    <n v="2516.67"/>
    <x v="2"/>
    <s v="consumo_intermedio_por_actividad_economica"/>
  </r>
  <r>
    <x v="6"/>
    <x v="6"/>
    <x v="5"/>
    <n v="1240.27"/>
    <x v="2"/>
    <s v="consumo_intermedio_por_actividad_economica"/>
  </r>
  <r>
    <x v="7"/>
    <x v="7"/>
    <x v="5"/>
    <n v="976.25"/>
    <x v="2"/>
    <s v="consumo_intermedio_por_actividad_economica"/>
  </r>
  <r>
    <x v="8"/>
    <x v="8"/>
    <x v="5"/>
    <n v="8939.33"/>
    <x v="2"/>
    <s v="consumo_intermedio_por_actividad_economica"/>
  </r>
  <r>
    <x v="9"/>
    <x v="9"/>
    <x v="5"/>
    <n v="575.47"/>
    <x v="2"/>
    <s v="consumo_intermedio_por_actividad_economica"/>
  </r>
  <r>
    <x v="10"/>
    <x v="10"/>
    <x v="5"/>
    <n v="17983.759999999998"/>
    <x v="2"/>
    <s v="consumo_intermedio_por_actividad_economica"/>
  </r>
  <r>
    <x v="11"/>
    <x v="11"/>
    <x v="5"/>
    <n v="31824.07"/>
    <x v="2"/>
    <s v="consumo_intermedio_por_actividad_economica"/>
  </r>
  <r>
    <x v="12"/>
    <x v="12"/>
    <x v="5"/>
    <n v="914.18"/>
    <x v="2"/>
    <s v="consumo_intermedio_por_actividad_economica"/>
  </r>
  <r>
    <x v="13"/>
    <x v="13"/>
    <x v="5"/>
    <n v="12694.85"/>
    <x v="2"/>
    <s v="consumo_intermedio_por_actividad_economica"/>
  </r>
  <r>
    <x v="14"/>
    <x v="14"/>
    <x v="5"/>
    <n v="15074.82"/>
    <x v="2"/>
    <s v="consumo_intermedio_por_actividad_economica"/>
  </r>
  <r>
    <x v="15"/>
    <x v="15"/>
    <x v="5"/>
    <n v="23764.93"/>
    <x v="2"/>
    <s v="consumo_intermedio_por_actividad_economica"/>
  </r>
  <r>
    <x v="16"/>
    <x v="16"/>
    <x v="5"/>
    <n v="14319.97"/>
    <x v="2"/>
    <s v="consumo_intermedio_por_actividad_economica"/>
  </r>
  <r>
    <x v="17"/>
    <x v="17"/>
    <x v="5"/>
    <n v="4529.67"/>
    <x v="2"/>
    <s v="consumo_intermedio_por_actividad_economica"/>
  </r>
  <r>
    <x v="18"/>
    <x v="18"/>
    <x v="5"/>
    <n v="19988.13"/>
    <x v="2"/>
    <s v="consumo_intermedio_por_actividad_economica"/>
  </r>
  <r>
    <x v="19"/>
    <x v="19"/>
    <x v="5"/>
    <n v="28034.42"/>
    <x v="2"/>
    <s v="consumo_intermedio_por_actividad_economica"/>
  </r>
  <r>
    <x v="20"/>
    <x v="20"/>
    <x v="5"/>
    <n v="64543.14"/>
    <x v="2"/>
    <s v="consumo_intermedio_por_actividad_economica"/>
  </r>
  <r>
    <x v="21"/>
    <x v="21"/>
    <x v="5"/>
    <n v="725.71"/>
    <x v="2"/>
    <s v="consumo_intermedio_por_actividad_economica"/>
  </r>
  <r>
    <x v="22"/>
    <x v="22"/>
    <x v="5"/>
    <n v="438.4"/>
    <x v="2"/>
    <s v="consumo_intermedio_por_actividad_economica"/>
  </r>
  <r>
    <x v="23"/>
    <x v="23"/>
    <x v="5"/>
    <n v="351.08"/>
    <x v="2"/>
    <s v="consumo_intermedio_por_actividad_economica"/>
  </r>
  <r>
    <x v="24"/>
    <x v="24"/>
    <x v="5"/>
    <m/>
    <x v="2"/>
    <s v="consumo_intermedio_por_actividad_economica"/>
  </r>
  <r>
    <x v="25"/>
    <x v="25"/>
    <x v="5"/>
    <m/>
    <x v="2"/>
    <s v="consumo_intermedio_por_actividad_economica"/>
  </r>
  <r>
    <x v="0"/>
    <x v="0"/>
    <x v="3"/>
    <n v="58215.11"/>
    <x v="2"/>
    <s v="consumo_intermedio_por_actividad_economica"/>
  </r>
  <r>
    <x v="1"/>
    <x v="1"/>
    <x v="3"/>
    <n v="22017.84"/>
    <x v="2"/>
    <s v="consumo_intermedio_por_actividad_economica"/>
  </r>
  <r>
    <x v="2"/>
    <x v="2"/>
    <x v="3"/>
    <n v="2223.16"/>
    <x v="2"/>
    <s v="consumo_intermedio_por_actividad_economica"/>
  </r>
  <r>
    <x v="3"/>
    <x v="3"/>
    <x v="3"/>
    <m/>
    <x v="2"/>
    <s v="consumo_intermedio_por_actividad_economica"/>
  </r>
  <r>
    <x v="4"/>
    <x v="4"/>
    <x v="3"/>
    <n v="1694.67"/>
    <x v="2"/>
    <s v="consumo_intermedio_por_actividad_economica"/>
  </r>
  <r>
    <x v="5"/>
    <x v="5"/>
    <x v="3"/>
    <n v="1525.96"/>
    <x v="2"/>
    <s v="consumo_intermedio_por_actividad_economica"/>
  </r>
  <r>
    <x v="6"/>
    <x v="6"/>
    <x v="3"/>
    <n v="255.82"/>
    <x v="2"/>
    <s v="consumo_intermedio_por_actividad_economica"/>
  </r>
  <r>
    <x v="7"/>
    <x v="7"/>
    <x v="3"/>
    <n v="328.05"/>
    <x v="2"/>
    <s v="consumo_intermedio_por_actividad_economica"/>
  </r>
  <r>
    <x v="8"/>
    <x v="8"/>
    <x v="3"/>
    <n v="1873.57"/>
    <x v="2"/>
    <s v="consumo_intermedio_por_actividad_economica"/>
  </r>
  <r>
    <x v="9"/>
    <x v="9"/>
    <x v="3"/>
    <n v="438.13"/>
    <x v="2"/>
    <s v="consumo_intermedio_por_actividad_economica"/>
  </r>
  <r>
    <x v="10"/>
    <x v="10"/>
    <x v="3"/>
    <n v="7320.42"/>
    <x v="2"/>
    <s v="consumo_intermedio_por_actividad_economica"/>
  </r>
  <r>
    <x v="11"/>
    <x v="11"/>
    <x v="3"/>
    <n v="3721.51"/>
    <x v="2"/>
    <s v="consumo_intermedio_por_actividad_economica"/>
  </r>
  <r>
    <x v="12"/>
    <x v="12"/>
    <x v="3"/>
    <n v="552"/>
    <x v="2"/>
    <s v="consumo_intermedio_por_actividad_economica"/>
  </r>
  <r>
    <x v="13"/>
    <x v="13"/>
    <x v="3"/>
    <n v="3083.31"/>
    <x v="2"/>
    <s v="consumo_intermedio_por_actividad_economica"/>
  </r>
  <r>
    <x v="14"/>
    <x v="14"/>
    <x v="3"/>
    <n v="3664.89"/>
    <x v="2"/>
    <s v="consumo_intermedio_por_actividad_economica"/>
  </r>
  <r>
    <x v="15"/>
    <x v="15"/>
    <x v="3"/>
    <n v="5065.3900000000003"/>
    <x v="2"/>
    <s v="consumo_intermedio_por_actividad_economica"/>
  </r>
  <r>
    <x v="16"/>
    <x v="16"/>
    <x v="3"/>
    <n v="1445.09"/>
    <x v="2"/>
    <s v="consumo_intermedio_por_actividad_economica"/>
  </r>
  <r>
    <x v="17"/>
    <x v="17"/>
    <x v="3"/>
    <n v="27.19"/>
    <x v="2"/>
    <s v="consumo_intermedio_por_actividad_economica"/>
  </r>
  <r>
    <x v="18"/>
    <x v="18"/>
    <x v="3"/>
    <n v="585.05999999999995"/>
    <x v="2"/>
    <s v="consumo_intermedio_por_actividad_economica"/>
  </r>
  <r>
    <x v="19"/>
    <x v="19"/>
    <x v="3"/>
    <n v="412.59"/>
    <x v="2"/>
    <s v="consumo_intermedio_por_actividad_economica"/>
  </r>
  <r>
    <x v="20"/>
    <x v="20"/>
    <x v="3"/>
    <n v="756.94"/>
    <x v="2"/>
    <s v="consumo_intermedio_por_actividad_economica"/>
  </r>
  <r>
    <x v="21"/>
    <x v="21"/>
    <x v="3"/>
    <n v="166.15"/>
    <x v="2"/>
    <s v="consumo_intermedio_por_actividad_economica"/>
  </r>
  <r>
    <x v="22"/>
    <x v="22"/>
    <x v="3"/>
    <n v="319.88"/>
    <x v="2"/>
    <s v="consumo_intermedio_por_actividad_economica"/>
  </r>
  <r>
    <x v="23"/>
    <x v="23"/>
    <x v="3"/>
    <n v="406.51"/>
    <x v="2"/>
    <s v="consumo_intermedio_por_actividad_economica"/>
  </r>
  <r>
    <x v="24"/>
    <x v="24"/>
    <x v="3"/>
    <n v="330.98"/>
    <x v="2"/>
    <s v="consumo_intermedio_por_actividad_economica"/>
  </r>
  <r>
    <x v="25"/>
    <x v="25"/>
    <x v="3"/>
    <m/>
    <x v="2"/>
    <s v="consumo_intermedio_por_actividad_economica"/>
  </r>
  <r>
    <x v="0"/>
    <x v="0"/>
    <x v="6"/>
    <n v="11882.67"/>
    <x v="2"/>
    <s v="consumo_intermedio_por_actividad_economica"/>
  </r>
  <r>
    <x v="1"/>
    <x v="1"/>
    <x v="6"/>
    <n v="5574.25"/>
    <x v="2"/>
    <s v="consumo_intermedio_por_actividad_economica"/>
  </r>
  <r>
    <x v="2"/>
    <x v="2"/>
    <x v="6"/>
    <n v="528.29"/>
    <x v="2"/>
    <s v="consumo_intermedio_por_actividad_economica"/>
  </r>
  <r>
    <x v="3"/>
    <x v="3"/>
    <x v="6"/>
    <m/>
    <x v="2"/>
    <s v="consumo_intermedio_por_actividad_economica"/>
  </r>
  <r>
    <x v="4"/>
    <x v="4"/>
    <x v="6"/>
    <n v="220.29"/>
    <x v="2"/>
    <s v="consumo_intermedio_por_actividad_economica"/>
  </r>
  <r>
    <x v="5"/>
    <x v="5"/>
    <x v="6"/>
    <n v="46.36"/>
    <x v="2"/>
    <s v="consumo_intermedio_por_actividad_economica"/>
  </r>
  <r>
    <x v="6"/>
    <x v="6"/>
    <x v="6"/>
    <n v="240.53"/>
    <x v="2"/>
    <s v="consumo_intermedio_por_actividad_economica"/>
  </r>
  <r>
    <x v="7"/>
    <x v="7"/>
    <x v="6"/>
    <n v="296.89"/>
    <x v="2"/>
    <s v="consumo_intermedio_por_actividad_economica"/>
  </r>
  <r>
    <x v="8"/>
    <x v="8"/>
    <x v="6"/>
    <n v="1085.81"/>
    <x v="2"/>
    <s v="consumo_intermedio_por_actividad_economica"/>
  </r>
  <r>
    <x v="9"/>
    <x v="9"/>
    <x v="6"/>
    <n v="71.81"/>
    <x v="2"/>
    <s v="consumo_intermedio_por_actividad_economica"/>
  </r>
  <r>
    <x v="10"/>
    <x v="10"/>
    <x v="6"/>
    <n v="1521.27"/>
    <x v="2"/>
    <s v="consumo_intermedio_por_actividad_economica"/>
  </r>
  <r>
    <x v="11"/>
    <x v="11"/>
    <x v="6"/>
    <n v="728.27"/>
    <x v="2"/>
    <s v="consumo_intermedio_por_actividad_economica"/>
  </r>
  <r>
    <x v="12"/>
    <x v="12"/>
    <x v="6"/>
    <n v="333.75"/>
    <x v="2"/>
    <s v="consumo_intermedio_por_actividad_economica"/>
  </r>
  <r>
    <x v="13"/>
    <x v="13"/>
    <x v="6"/>
    <n v="348.42"/>
    <x v="2"/>
    <s v="consumo_intermedio_por_actividad_economica"/>
  </r>
  <r>
    <x v="14"/>
    <x v="14"/>
    <x v="6"/>
    <n v="216.95"/>
    <x v="2"/>
    <s v="consumo_intermedio_por_actividad_economica"/>
  </r>
  <r>
    <x v="15"/>
    <x v="15"/>
    <x v="6"/>
    <n v="66.06"/>
    <x v="2"/>
    <s v="consumo_intermedio_por_actividad_economica"/>
  </r>
  <r>
    <x v="16"/>
    <x v="16"/>
    <x v="6"/>
    <n v="181.95"/>
    <x v="2"/>
    <s v="consumo_intermedio_por_actividad_economica"/>
  </r>
  <r>
    <x v="17"/>
    <x v="17"/>
    <x v="6"/>
    <n v="1.95"/>
    <x v="2"/>
    <s v="consumo_intermedio_por_actividad_economica"/>
  </r>
  <r>
    <x v="18"/>
    <x v="18"/>
    <x v="6"/>
    <n v="67.53"/>
    <x v="2"/>
    <s v="consumo_intermedio_por_actividad_economica"/>
  </r>
  <r>
    <x v="19"/>
    <x v="19"/>
    <x v="6"/>
    <n v="5.56"/>
    <x v="2"/>
    <s v="consumo_intermedio_por_actividad_economica"/>
  </r>
  <r>
    <x v="20"/>
    <x v="20"/>
    <x v="6"/>
    <n v="194.57"/>
    <x v="2"/>
    <s v="consumo_intermedio_por_actividad_economica"/>
  </r>
  <r>
    <x v="21"/>
    <x v="21"/>
    <x v="6"/>
    <m/>
    <x v="2"/>
    <s v="consumo_intermedio_por_actividad_economica"/>
  </r>
  <r>
    <x v="22"/>
    <x v="22"/>
    <x v="6"/>
    <n v="41.17"/>
    <x v="2"/>
    <s v="consumo_intermedio_por_actividad_economica"/>
  </r>
  <r>
    <x v="23"/>
    <x v="23"/>
    <x v="6"/>
    <n v="22.04"/>
    <x v="2"/>
    <s v="consumo_intermedio_por_actividad_economica"/>
  </r>
  <r>
    <x v="24"/>
    <x v="24"/>
    <x v="6"/>
    <n v="88.95"/>
    <x v="2"/>
    <s v="consumo_intermedio_por_actividad_economica"/>
  </r>
  <r>
    <x v="25"/>
    <x v="25"/>
    <x v="6"/>
    <m/>
    <x v="2"/>
    <s v="consumo_intermedio_por_actividad_economica"/>
  </r>
  <r>
    <x v="0"/>
    <x v="0"/>
    <x v="4"/>
    <n v="562466.02"/>
    <x v="3"/>
    <s v="consumo_intermedio_por_actividad_economica"/>
  </r>
  <r>
    <x v="1"/>
    <x v="1"/>
    <x v="4"/>
    <n v="130332.83"/>
    <x v="3"/>
    <s v="consumo_intermedio_por_actividad_economica"/>
  </r>
  <r>
    <x v="2"/>
    <x v="2"/>
    <x v="4"/>
    <n v="16558.080000000002"/>
    <x v="3"/>
    <s v="consumo_intermedio_por_actividad_economica"/>
  </r>
  <r>
    <x v="3"/>
    <x v="3"/>
    <x v="4"/>
    <n v="2713.15"/>
    <x v="3"/>
    <s v="consumo_intermedio_por_actividad_economica"/>
  </r>
  <r>
    <x v="4"/>
    <x v="4"/>
    <x v="4"/>
    <n v="8101.41"/>
    <x v="3"/>
    <s v="consumo_intermedio_por_actividad_economica"/>
  </r>
  <r>
    <x v="5"/>
    <x v="5"/>
    <x v="4"/>
    <n v="5964.08"/>
    <x v="3"/>
    <s v="consumo_intermedio_por_actividad_economica"/>
  </r>
  <r>
    <x v="6"/>
    <x v="6"/>
    <x v="4"/>
    <n v="5574.18"/>
    <x v="3"/>
    <s v="consumo_intermedio_por_actividad_economica"/>
  </r>
  <r>
    <x v="7"/>
    <x v="7"/>
    <x v="4"/>
    <n v="4247.84"/>
    <x v="3"/>
    <s v="consumo_intermedio_por_actividad_economica"/>
  </r>
  <r>
    <x v="8"/>
    <x v="8"/>
    <x v="4"/>
    <n v="18831.87"/>
    <x v="3"/>
    <s v="consumo_intermedio_por_actividad_economica"/>
  </r>
  <r>
    <x v="9"/>
    <x v="9"/>
    <x v="4"/>
    <n v="1776.59"/>
    <x v="3"/>
    <s v="consumo_intermedio_por_actividad_economica"/>
  </r>
  <r>
    <x v="10"/>
    <x v="10"/>
    <x v="4"/>
    <n v="47186.42"/>
    <x v="3"/>
    <s v="consumo_intermedio_por_actividad_economica"/>
  </r>
  <r>
    <x v="11"/>
    <x v="11"/>
    <x v="4"/>
    <n v="76438.460000000006"/>
    <x v="3"/>
    <s v="consumo_intermedio_por_actividad_economica"/>
  </r>
  <r>
    <x v="12"/>
    <x v="12"/>
    <x v="4"/>
    <n v="9308.77"/>
    <x v="3"/>
    <s v="consumo_intermedio_por_actividad_economica"/>
  </r>
  <r>
    <x v="13"/>
    <x v="13"/>
    <x v="4"/>
    <n v="19761.259999999998"/>
    <x v="3"/>
    <s v="consumo_intermedio_por_actividad_economica"/>
  </r>
  <r>
    <x v="14"/>
    <x v="14"/>
    <x v="4"/>
    <n v="13890.17"/>
    <x v="3"/>
    <s v="consumo_intermedio_por_actividad_economica"/>
  </r>
  <r>
    <x v="15"/>
    <x v="15"/>
    <x v="4"/>
    <n v="45020.12"/>
    <x v="3"/>
    <s v="consumo_intermedio_por_actividad_economica"/>
  </r>
  <r>
    <x v="16"/>
    <x v="16"/>
    <x v="4"/>
    <n v="13852.75"/>
    <x v="3"/>
    <s v="consumo_intermedio_por_actividad_economica"/>
  </r>
  <r>
    <x v="17"/>
    <x v="17"/>
    <x v="4"/>
    <n v="20862.29"/>
    <x v="3"/>
    <s v="consumo_intermedio_por_actividad_economica"/>
  </r>
  <r>
    <x v="18"/>
    <x v="18"/>
    <x v="4"/>
    <n v="15455.76"/>
    <x v="3"/>
    <s v="consumo_intermedio_por_actividad_economica"/>
  </r>
  <r>
    <x v="19"/>
    <x v="19"/>
    <x v="4"/>
    <n v="23391.18"/>
    <x v="3"/>
    <s v="consumo_intermedio_por_actividad_economica"/>
  </r>
  <r>
    <x v="20"/>
    <x v="20"/>
    <x v="4"/>
    <n v="63722.33"/>
    <x v="3"/>
    <s v="consumo_intermedio_por_actividad_economica"/>
  </r>
  <r>
    <x v="21"/>
    <x v="21"/>
    <x v="4"/>
    <n v="7308.49"/>
    <x v="3"/>
    <s v="consumo_intermedio_por_actividad_economica"/>
  </r>
  <r>
    <x v="22"/>
    <x v="22"/>
    <x v="4"/>
    <n v="5095.7700000000004"/>
    <x v="3"/>
    <s v="consumo_intermedio_por_actividad_economica"/>
  </r>
  <r>
    <x v="23"/>
    <x v="23"/>
    <x v="4"/>
    <n v="3558.72"/>
    <x v="3"/>
    <s v="consumo_intermedio_por_actividad_economica"/>
  </r>
  <r>
    <x v="24"/>
    <x v="24"/>
    <x v="4"/>
    <n v="3513.5"/>
    <x v="3"/>
    <s v="consumo_intermedio_por_actividad_economica"/>
  </r>
  <r>
    <x v="25"/>
    <x v="25"/>
    <x v="4"/>
    <m/>
    <x v="3"/>
    <s v="consumo_intermedio_por_actividad_economica"/>
  </r>
  <r>
    <x v="0"/>
    <x v="0"/>
    <x v="0"/>
    <n v="47494.07"/>
    <x v="3"/>
    <s v="consumo_intermedio_por_actividad_economica"/>
  </r>
  <r>
    <x v="1"/>
    <x v="1"/>
    <x v="0"/>
    <n v="16556.080000000002"/>
    <x v="3"/>
    <s v="consumo_intermedio_por_actividad_economica"/>
  </r>
  <r>
    <x v="2"/>
    <x v="2"/>
    <x v="0"/>
    <n v="3135.23"/>
    <x v="3"/>
    <s v="consumo_intermedio_por_actividad_economica"/>
  </r>
  <r>
    <x v="3"/>
    <x v="3"/>
    <x v="0"/>
    <m/>
    <x v="3"/>
    <s v="consumo_intermedio_por_actividad_economica"/>
  </r>
  <r>
    <x v="4"/>
    <x v="4"/>
    <x v="0"/>
    <n v="189.51"/>
    <x v="3"/>
    <s v="consumo_intermedio_por_actividad_economica"/>
  </r>
  <r>
    <x v="5"/>
    <x v="5"/>
    <x v="0"/>
    <n v="151.38"/>
    <x v="3"/>
    <s v="consumo_intermedio_por_actividad_economica"/>
  </r>
  <r>
    <x v="6"/>
    <x v="6"/>
    <x v="0"/>
    <n v="98.81"/>
    <x v="3"/>
    <s v="consumo_intermedio_por_actividad_economica"/>
  </r>
  <r>
    <x v="7"/>
    <x v="7"/>
    <x v="0"/>
    <n v="2297.8200000000002"/>
    <x v="3"/>
    <s v="consumo_intermedio_por_actividad_economica"/>
  </r>
  <r>
    <x v="8"/>
    <x v="8"/>
    <x v="0"/>
    <n v="3394.52"/>
    <x v="3"/>
    <s v="consumo_intermedio_por_actividad_economica"/>
  </r>
  <r>
    <x v="9"/>
    <x v="9"/>
    <x v="0"/>
    <n v="300.5"/>
    <x v="3"/>
    <s v="consumo_intermedio_por_actividad_economica"/>
  </r>
  <r>
    <x v="10"/>
    <x v="10"/>
    <x v="0"/>
    <m/>
    <x v="3"/>
    <s v="consumo_intermedio_por_actividad_economica"/>
  </r>
  <r>
    <x v="11"/>
    <x v="11"/>
    <x v="0"/>
    <n v="8522.7099999999991"/>
    <x v="3"/>
    <s v="consumo_intermedio_por_actividad_economica"/>
  </r>
  <r>
    <x v="12"/>
    <x v="12"/>
    <x v="0"/>
    <n v="686.84"/>
    <x v="3"/>
    <s v="consumo_intermedio_por_actividad_economica"/>
  </r>
  <r>
    <x v="13"/>
    <x v="13"/>
    <x v="0"/>
    <n v="1880.28"/>
    <x v="3"/>
    <s v="consumo_intermedio_por_actividad_economica"/>
  </r>
  <r>
    <x v="14"/>
    <x v="14"/>
    <x v="0"/>
    <n v="1813.59"/>
    <x v="3"/>
    <s v="consumo_intermedio_por_actividad_economica"/>
  </r>
  <r>
    <x v="15"/>
    <x v="15"/>
    <x v="0"/>
    <n v="1407.8"/>
    <x v="3"/>
    <s v="consumo_intermedio_por_actividad_economica"/>
  </r>
  <r>
    <x v="16"/>
    <x v="16"/>
    <x v="0"/>
    <n v="1722.98"/>
    <x v="3"/>
    <s v="consumo_intermedio_por_actividad_economica"/>
  </r>
  <r>
    <x v="17"/>
    <x v="17"/>
    <x v="0"/>
    <n v="50.52"/>
    <x v="3"/>
    <s v="consumo_intermedio_por_actividad_economica"/>
  </r>
  <r>
    <x v="18"/>
    <x v="18"/>
    <x v="0"/>
    <n v="484.18"/>
    <x v="3"/>
    <s v="consumo_intermedio_por_actividad_economica"/>
  </r>
  <r>
    <x v="19"/>
    <x v="19"/>
    <x v="0"/>
    <n v="655.52"/>
    <x v="3"/>
    <s v="consumo_intermedio_por_actividad_economica"/>
  </r>
  <r>
    <x v="20"/>
    <x v="20"/>
    <x v="0"/>
    <n v="64.39"/>
    <x v="3"/>
    <s v="consumo_intermedio_por_actividad_economica"/>
  </r>
  <r>
    <x v="21"/>
    <x v="21"/>
    <x v="0"/>
    <n v="41.93"/>
    <x v="3"/>
    <s v="consumo_intermedio_por_actividad_economica"/>
  </r>
  <r>
    <x v="22"/>
    <x v="22"/>
    <x v="0"/>
    <n v="355.42"/>
    <x v="3"/>
    <s v="consumo_intermedio_por_actividad_economica"/>
  </r>
  <r>
    <x v="23"/>
    <x v="23"/>
    <x v="0"/>
    <n v="48.23"/>
    <x v="3"/>
    <s v="consumo_intermedio_por_actividad_economica"/>
  </r>
  <r>
    <x v="24"/>
    <x v="24"/>
    <x v="0"/>
    <n v="705.78"/>
    <x v="3"/>
    <s v="consumo_intermedio_por_actividad_economica"/>
  </r>
  <r>
    <x v="25"/>
    <x v="25"/>
    <x v="0"/>
    <n v="2930.05"/>
    <x v="3"/>
    <s v="consumo_intermedio_por_actividad_economica"/>
  </r>
  <r>
    <x v="0"/>
    <x v="0"/>
    <x v="1"/>
    <n v="46570.05"/>
    <x v="3"/>
    <s v="consumo_intermedio_por_actividad_economica"/>
  </r>
  <r>
    <x v="1"/>
    <x v="1"/>
    <x v="1"/>
    <n v="11746.67"/>
    <x v="3"/>
    <s v="consumo_intermedio_por_actividad_economica"/>
  </r>
  <r>
    <x v="2"/>
    <x v="2"/>
    <x v="1"/>
    <n v="1096.8"/>
    <x v="3"/>
    <s v="consumo_intermedio_por_actividad_economica"/>
  </r>
  <r>
    <x v="3"/>
    <x v="3"/>
    <x v="1"/>
    <m/>
    <x v="3"/>
    <s v="consumo_intermedio_por_actividad_economica"/>
  </r>
  <r>
    <x v="4"/>
    <x v="4"/>
    <x v="1"/>
    <n v="814.05"/>
    <x v="3"/>
    <s v="consumo_intermedio_por_actividad_economica"/>
  </r>
  <r>
    <x v="5"/>
    <x v="5"/>
    <x v="1"/>
    <n v="1135.2"/>
    <x v="3"/>
    <s v="consumo_intermedio_por_actividad_economica"/>
  </r>
  <r>
    <x v="6"/>
    <x v="6"/>
    <x v="1"/>
    <n v="213.78"/>
    <x v="3"/>
    <s v="consumo_intermedio_por_actividad_economica"/>
  </r>
  <r>
    <x v="7"/>
    <x v="7"/>
    <x v="1"/>
    <n v="159.86000000000001"/>
    <x v="3"/>
    <s v="consumo_intermedio_por_actividad_economica"/>
  </r>
  <r>
    <x v="8"/>
    <x v="8"/>
    <x v="1"/>
    <n v="1668.68"/>
    <x v="3"/>
    <s v="consumo_intermedio_por_actividad_economica"/>
  </r>
  <r>
    <x v="9"/>
    <x v="9"/>
    <x v="1"/>
    <n v="432.47"/>
    <x v="3"/>
    <s v="consumo_intermedio_por_actividad_economica"/>
  </r>
  <r>
    <x v="10"/>
    <x v="10"/>
    <x v="1"/>
    <n v="9349.2199999999993"/>
    <x v="3"/>
    <s v="consumo_intermedio_por_actividad_economica"/>
  </r>
  <r>
    <x v="11"/>
    <x v="11"/>
    <x v="1"/>
    <n v="4438.26"/>
    <x v="3"/>
    <s v="consumo_intermedio_por_actividad_economica"/>
  </r>
  <r>
    <x v="12"/>
    <x v="12"/>
    <x v="1"/>
    <n v="582.83000000000004"/>
    <x v="3"/>
    <s v="consumo_intermedio_por_actividad_economica"/>
  </r>
  <r>
    <x v="13"/>
    <x v="13"/>
    <x v="1"/>
    <n v="1727.5"/>
    <x v="3"/>
    <s v="consumo_intermedio_por_actividad_economica"/>
  </r>
  <r>
    <x v="14"/>
    <x v="14"/>
    <x v="1"/>
    <n v="1669.69"/>
    <x v="3"/>
    <s v="consumo_intermedio_por_actividad_economica"/>
  </r>
  <r>
    <x v="15"/>
    <x v="15"/>
    <x v="1"/>
    <n v="1806.53"/>
    <x v="3"/>
    <s v="consumo_intermedio_por_actividad_economica"/>
  </r>
  <r>
    <x v="16"/>
    <x v="16"/>
    <x v="1"/>
    <n v="895.83"/>
    <x v="3"/>
    <s v="consumo_intermedio_por_actividad_economica"/>
  </r>
  <r>
    <x v="17"/>
    <x v="17"/>
    <x v="1"/>
    <m/>
    <x v="3"/>
    <s v="consumo_intermedio_por_actividad_economica"/>
  </r>
  <r>
    <x v="18"/>
    <x v="18"/>
    <x v="1"/>
    <n v="893.94"/>
    <x v="3"/>
    <s v="consumo_intermedio_por_actividad_economica"/>
  </r>
  <r>
    <x v="19"/>
    <x v="19"/>
    <x v="1"/>
    <n v="301.26"/>
    <x v="3"/>
    <s v="consumo_intermedio_por_actividad_economica"/>
  </r>
  <r>
    <x v="20"/>
    <x v="20"/>
    <x v="1"/>
    <n v="685.04"/>
    <x v="3"/>
    <s v="consumo_intermedio_por_actividad_economica"/>
  </r>
  <r>
    <x v="21"/>
    <x v="21"/>
    <x v="1"/>
    <n v="525.86"/>
    <x v="3"/>
    <s v="consumo_intermedio_por_actividad_economica"/>
  </r>
  <r>
    <x v="22"/>
    <x v="22"/>
    <x v="1"/>
    <n v="320.79000000000002"/>
    <x v="3"/>
    <s v="consumo_intermedio_por_actividad_economica"/>
  </r>
  <r>
    <x v="23"/>
    <x v="23"/>
    <x v="1"/>
    <n v="6105.79"/>
    <x v="3"/>
    <s v="consumo_intermedio_por_actividad_economica"/>
  </r>
  <r>
    <x v="24"/>
    <x v="24"/>
    <x v="1"/>
    <m/>
    <x v="3"/>
    <s v="consumo_intermedio_por_actividad_economica"/>
  </r>
  <r>
    <x v="25"/>
    <x v="25"/>
    <x v="1"/>
    <m/>
    <x v="3"/>
    <s v="consumo_intermedio_por_actividad_economica"/>
  </r>
  <r>
    <x v="0"/>
    <x v="0"/>
    <x v="2"/>
    <n v="20696.439999999999"/>
    <x v="3"/>
    <s v="consumo_intermedio_por_actividad_economica"/>
  </r>
  <r>
    <x v="1"/>
    <x v="1"/>
    <x v="2"/>
    <n v="10543.25"/>
    <x v="3"/>
    <s v="consumo_intermedio_por_actividad_economica"/>
  </r>
  <r>
    <x v="2"/>
    <x v="2"/>
    <x v="2"/>
    <n v="730.66"/>
    <x v="3"/>
    <s v="consumo_intermedio_por_actividad_economica"/>
  </r>
  <r>
    <x v="3"/>
    <x v="3"/>
    <x v="2"/>
    <n v="13.83"/>
    <x v="3"/>
    <s v="consumo_intermedio_por_actividad_economica"/>
  </r>
  <r>
    <x v="4"/>
    <x v="4"/>
    <x v="2"/>
    <n v="307.54000000000002"/>
    <x v="3"/>
    <s v="consumo_intermedio_por_actividad_economica"/>
  </r>
  <r>
    <x v="5"/>
    <x v="5"/>
    <x v="2"/>
    <n v="194.73"/>
    <x v="3"/>
    <s v="consumo_intermedio_por_actividad_economica"/>
  </r>
  <r>
    <x v="6"/>
    <x v="6"/>
    <x v="2"/>
    <n v="120.97"/>
    <x v="3"/>
    <s v="consumo_intermedio_por_actividad_economica"/>
  </r>
  <r>
    <x v="7"/>
    <x v="7"/>
    <x v="2"/>
    <n v="415.87"/>
    <x v="3"/>
    <s v="consumo_intermedio_por_actividad_economica"/>
  </r>
  <r>
    <x v="8"/>
    <x v="8"/>
    <x v="2"/>
    <n v="1210.1099999999999"/>
    <x v="3"/>
    <s v="consumo_intermedio_por_actividad_economica"/>
  </r>
  <r>
    <x v="9"/>
    <x v="9"/>
    <x v="2"/>
    <n v="284.98"/>
    <x v="3"/>
    <s v="consumo_intermedio_por_actividad_economica"/>
  </r>
  <r>
    <x v="10"/>
    <x v="10"/>
    <x v="2"/>
    <n v="177.72"/>
    <x v="3"/>
    <s v="consumo_intermedio_por_actividad_economica"/>
  </r>
  <r>
    <x v="11"/>
    <x v="11"/>
    <x v="2"/>
    <n v="975.24"/>
    <x v="3"/>
    <s v="consumo_intermedio_por_actividad_economica"/>
  </r>
  <r>
    <x v="12"/>
    <x v="12"/>
    <x v="2"/>
    <n v="359.74"/>
    <x v="3"/>
    <s v="consumo_intermedio_por_actividad_economica"/>
  </r>
  <r>
    <x v="13"/>
    <x v="13"/>
    <x v="2"/>
    <n v="1006.57"/>
    <x v="3"/>
    <s v="consumo_intermedio_por_actividad_economica"/>
  </r>
  <r>
    <x v="14"/>
    <x v="14"/>
    <x v="2"/>
    <n v="870.26"/>
    <x v="3"/>
    <s v="consumo_intermedio_por_actividad_economica"/>
  </r>
  <r>
    <x v="15"/>
    <x v="15"/>
    <x v="2"/>
    <n v="1030.58"/>
    <x v="3"/>
    <s v="consumo_intermedio_por_actividad_economica"/>
  </r>
  <r>
    <x v="16"/>
    <x v="16"/>
    <x v="2"/>
    <n v="630.80999999999995"/>
    <x v="3"/>
    <s v="consumo_intermedio_por_actividad_economica"/>
  </r>
  <r>
    <x v="17"/>
    <x v="17"/>
    <x v="2"/>
    <n v="152.59"/>
    <x v="3"/>
    <s v="consumo_intermedio_por_actividad_economica"/>
  </r>
  <r>
    <x v="18"/>
    <x v="18"/>
    <x v="2"/>
    <n v="529.21"/>
    <x v="3"/>
    <s v="consumo_intermedio_por_actividad_economica"/>
  </r>
  <r>
    <x v="19"/>
    <x v="19"/>
    <x v="2"/>
    <n v="51.69"/>
    <x v="3"/>
    <s v="consumo_intermedio_por_actividad_economica"/>
  </r>
  <r>
    <x v="20"/>
    <x v="20"/>
    <x v="2"/>
    <n v="536.32000000000005"/>
    <x v="3"/>
    <s v="consumo_intermedio_por_actividad_economica"/>
  </r>
  <r>
    <x v="21"/>
    <x v="21"/>
    <x v="2"/>
    <n v="187.39"/>
    <x v="3"/>
    <s v="consumo_intermedio_por_actividad_economica"/>
  </r>
  <r>
    <x v="22"/>
    <x v="22"/>
    <x v="2"/>
    <n v="240.27"/>
    <x v="3"/>
    <s v="consumo_intermedio_por_actividad_economica"/>
  </r>
  <r>
    <x v="23"/>
    <x v="23"/>
    <x v="2"/>
    <n v="20.51"/>
    <x v="3"/>
    <s v="consumo_intermedio_por_actividad_economica"/>
  </r>
  <r>
    <x v="24"/>
    <x v="24"/>
    <x v="2"/>
    <n v="105.6"/>
    <x v="3"/>
    <s v="consumo_intermedio_por_actividad_economica"/>
  </r>
  <r>
    <x v="25"/>
    <x v="25"/>
    <x v="2"/>
    <m/>
    <x v="3"/>
    <s v="consumo_intermedio_por_actividad_economica"/>
  </r>
  <r>
    <x v="0"/>
    <x v="0"/>
    <x v="5"/>
    <n v="317502.05"/>
    <x v="3"/>
    <s v="consumo_intermedio_por_actividad_economica"/>
  </r>
  <r>
    <x v="1"/>
    <x v="1"/>
    <x v="5"/>
    <n v="44150.48"/>
    <x v="3"/>
    <s v="consumo_intermedio_por_actividad_economica"/>
  </r>
  <r>
    <x v="2"/>
    <x v="2"/>
    <x v="5"/>
    <n v="14580.69"/>
    <x v="3"/>
    <s v="consumo_intermedio_por_actividad_economica"/>
  </r>
  <r>
    <x v="3"/>
    <x v="3"/>
    <x v="5"/>
    <n v="492.17"/>
    <x v="3"/>
    <s v="consumo_intermedio_por_actividad_economica"/>
  </r>
  <r>
    <x v="4"/>
    <x v="4"/>
    <x v="5"/>
    <n v="8904.7199999999993"/>
    <x v="3"/>
    <s v="consumo_intermedio_por_actividad_economica"/>
  </r>
  <r>
    <x v="5"/>
    <x v="5"/>
    <x v="5"/>
    <n v="2513.9699999999998"/>
    <x v="3"/>
    <s v="consumo_intermedio_por_actividad_economica"/>
  </r>
  <r>
    <x v="6"/>
    <x v="6"/>
    <x v="5"/>
    <n v="1803.73"/>
    <x v="3"/>
    <s v="consumo_intermedio_por_actividad_economica"/>
  </r>
  <r>
    <x v="7"/>
    <x v="7"/>
    <x v="5"/>
    <n v="959.75"/>
    <x v="3"/>
    <s v="consumo_intermedio_por_actividad_economica"/>
  </r>
  <r>
    <x v="8"/>
    <x v="8"/>
    <x v="5"/>
    <n v="9172.89"/>
    <x v="3"/>
    <s v="consumo_intermedio_por_actividad_economica"/>
  </r>
  <r>
    <x v="9"/>
    <x v="9"/>
    <x v="5"/>
    <n v="502.55"/>
    <x v="3"/>
    <s v="consumo_intermedio_por_actividad_economica"/>
  </r>
  <r>
    <x v="10"/>
    <x v="10"/>
    <x v="5"/>
    <n v="15817.87"/>
    <x v="3"/>
    <s v="consumo_intermedio_por_actividad_economica"/>
  </r>
  <r>
    <x v="11"/>
    <x v="11"/>
    <x v="5"/>
    <n v="29743.29"/>
    <x v="3"/>
    <s v="consumo_intermedio_por_actividad_economica"/>
  </r>
  <r>
    <x v="12"/>
    <x v="12"/>
    <x v="5"/>
    <n v="907.89"/>
    <x v="3"/>
    <s v="consumo_intermedio_por_actividad_economica"/>
  </r>
  <r>
    <x v="13"/>
    <x v="13"/>
    <x v="5"/>
    <n v="13161.34"/>
    <x v="3"/>
    <s v="consumo_intermedio_por_actividad_economica"/>
  </r>
  <r>
    <x v="14"/>
    <x v="14"/>
    <x v="5"/>
    <n v="14967.49"/>
    <x v="3"/>
    <s v="consumo_intermedio_por_actividad_economica"/>
  </r>
  <r>
    <x v="15"/>
    <x v="15"/>
    <x v="5"/>
    <n v="22505.55"/>
    <x v="3"/>
    <s v="consumo_intermedio_por_actividad_economica"/>
  </r>
  <r>
    <x v="16"/>
    <x v="16"/>
    <x v="5"/>
    <n v="14340.91"/>
    <x v="3"/>
    <s v="consumo_intermedio_por_actividad_economica"/>
  </r>
  <r>
    <x v="17"/>
    <x v="17"/>
    <x v="5"/>
    <n v="4634.96"/>
    <x v="3"/>
    <s v="consumo_intermedio_por_actividad_economica"/>
  </r>
  <r>
    <x v="18"/>
    <x v="18"/>
    <x v="5"/>
    <n v="20357.650000000001"/>
    <x v="3"/>
    <s v="consumo_intermedio_por_actividad_economica"/>
  </r>
  <r>
    <x v="19"/>
    <x v="19"/>
    <x v="5"/>
    <n v="28999.51"/>
    <x v="3"/>
    <s v="consumo_intermedio_por_actividad_economica"/>
  </r>
  <r>
    <x v="20"/>
    <x v="20"/>
    <x v="5"/>
    <n v="67084.67"/>
    <x v="3"/>
    <s v="consumo_intermedio_por_actividad_economica"/>
  </r>
  <r>
    <x v="21"/>
    <x v="21"/>
    <x v="5"/>
    <n v="1091.82"/>
    <x v="3"/>
    <s v="consumo_intermedio_por_actividad_economica"/>
  </r>
  <r>
    <x v="22"/>
    <x v="22"/>
    <x v="5"/>
    <n v="427.43"/>
    <x v="3"/>
    <s v="consumo_intermedio_por_actividad_economica"/>
  </r>
  <r>
    <x v="23"/>
    <x v="23"/>
    <x v="5"/>
    <n v="380.72"/>
    <x v="3"/>
    <s v="consumo_intermedio_por_actividad_economica"/>
  </r>
  <r>
    <x v="24"/>
    <x v="24"/>
    <x v="5"/>
    <m/>
    <x v="3"/>
    <s v="consumo_intermedio_por_actividad_economica"/>
  </r>
  <r>
    <x v="25"/>
    <x v="25"/>
    <x v="5"/>
    <m/>
    <x v="3"/>
    <s v="consumo_intermedio_por_actividad_economica"/>
  </r>
  <r>
    <x v="0"/>
    <x v="0"/>
    <x v="3"/>
    <n v="47980.05"/>
    <x v="3"/>
    <s v="consumo_intermedio_por_actividad_economica"/>
  </r>
  <r>
    <x v="1"/>
    <x v="1"/>
    <x v="3"/>
    <n v="19449.009999999998"/>
    <x v="3"/>
    <s v="consumo_intermedio_por_actividad_economica"/>
  </r>
  <r>
    <x v="2"/>
    <x v="2"/>
    <x v="3"/>
    <n v="1827.21"/>
    <x v="3"/>
    <s v="consumo_intermedio_por_actividad_economica"/>
  </r>
  <r>
    <x v="3"/>
    <x v="3"/>
    <x v="3"/>
    <m/>
    <x v="3"/>
    <s v="consumo_intermedio_por_actividad_economica"/>
  </r>
  <r>
    <x v="4"/>
    <x v="4"/>
    <x v="3"/>
    <n v="1258.96"/>
    <x v="3"/>
    <s v="consumo_intermedio_por_actividad_economica"/>
  </r>
  <r>
    <x v="5"/>
    <x v="5"/>
    <x v="3"/>
    <n v="1417.69"/>
    <x v="3"/>
    <s v="consumo_intermedio_por_actividad_economica"/>
  </r>
  <r>
    <x v="6"/>
    <x v="6"/>
    <x v="3"/>
    <n v="94.09"/>
    <x v="3"/>
    <s v="consumo_intermedio_por_actividad_economica"/>
  </r>
  <r>
    <x v="7"/>
    <x v="7"/>
    <x v="3"/>
    <n v="110.65"/>
    <x v="3"/>
    <s v="consumo_intermedio_por_actividad_economica"/>
  </r>
  <r>
    <x v="8"/>
    <x v="8"/>
    <x v="3"/>
    <n v="1532.9"/>
    <x v="3"/>
    <s v="consumo_intermedio_por_actividad_economica"/>
  </r>
  <r>
    <x v="9"/>
    <x v="9"/>
    <x v="3"/>
    <n v="416.44"/>
    <x v="3"/>
    <s v="consumo_intermedio_por_actividad_economica"/>
  </r>
  <r>
    <x v="10"/>
    <x v="10"/>
    <x v="3"/>
    <n v="5048.9799999999996"/>
    <x v="3"/>
    <s v="consumo_intermedio_por_actividad_economica"/>
  </r>
  <r>
    <x v="11"/>
    <x v="11"/>
    <x v="3"/>
    <n v="2707.13"/>
    <x v="3"/>
    <s v="consumo_intermedio_por_actividad_economica"/>
  </r>
  <r>
    <x v="12"/>
    <x v="12"/>
    <x v="3"/>
    <n v="512.12"/>
    <x v="3"/>
    <s v="consumo_intermedio_por_actividad_economica"/>
  </r>
  <r>
    <x v="13"/>
    <x v="13"/>
    <x v="3"/>
    <n v="2169"/>
    <x v="3"/>
    <s v="consumo_intermedio_por_actividad_economica"/>
  </r>
  <r>
    <x v="14"/>
    <x v="14"/>
    <x v="3"/>
    <n v="2501.02"/>
    <x v="3"/>
    <s v="consumo_intermedio_por_actividad_economica"/>
  </r>
  <r>
    <x v="15"/>
    <x v="15"/>
    <x v="3"/>
    <n v="4913.5"/>
    <x v="3"/>
    <s v="consumo_intermedio_por_actividad_economica"/>
  </r>
  <r>
    <x v="16"/>
    <x v="16"/>
    <x v="3"/>
    <n v="1639.58"/>
    <x v="3"/>
    <s v="consumo_intermedio_por_actividad_economica"/>
  </r>
  <r>
    <x v="17"/>
    <x v="17"/>
    <x v="3"/>
    <n v="11.24"/>
    <x v="3"/>
    <s v="consumo_intermedio_por_actividad_economica"/>
  </r>
  <r>
    <x v="18"/>
    <x v="18"/>
    <x v="3"/>
    <n v="641.83000000000004"/>
    <x v="3"/>
    <s v="consumo_intermedio_por_actividad_economica"/>
  </r>
  <r>
    <x v="19"/>
    <x v="19"/>
    <x v="3"/>
    <n v="322.22000000000003"/>
    <x v="3"/>
    <s v="consumo_intermedio_por_actividad_economica"/>
  </r>
  <r>
    <x v="20"/>
    <x v="20"/>
    <x v="3"/>
    <n v="221.77"/>
    <x v="3"/>
    <s v="consumo_intermedio_por_actividad_economica"/>
  </r>
  <r>
    <x v="21"/>
    <x v="21"/>
    <x v="3"/>
    <n v="179.14"/>
    <x v="3"/>
    <s v="consumo_intermedio_por_actividad_economica"/>
  </r>
  <r>
    <x v="22"/>
    <x v="22"/>
    <x v="3"/>
    <n v="153.72999999999999"/>
    <x v="3"/>
    <s v="consumo_intermedio_por_actividad_economica"/>
  </r>
  <r>
    <x v="23"/>
    <x v="23"/>
    <x v="3"/>
    <n v="524.35"/>
    <x v="3"/>
    <s v="consumo_intermedio_por_actividad_economica"/>
  </r>
  <r>
    <x v="24"/>
    <x v="24"/>
    <x v="3"/>
    <n v="327.49"/>
    <x v="3"/>
    <s v="consumo_intermedio_por_actividad_economica"/>
  </r>
  <r>
    <x v="25"/>
    <x v="25"/>
    <x v="3"/>
    <m/>
    <x v="3"/>
    <s v="consumo_intermedio_por_actividad_economica"/>
  </r>
  <r>
    <x v="0"/>
    <x v="0"/>
    <x v="6"/>
    <n v="10244.709999999999"/>
    <x v="3"/>
    <s v="consumo_intermedio_por_actividad_economica"/>
  </r>
  <r>
    <x v="1"/>
    <x v="1"/>
    <x v="6"/>
    <n v="5259.52"/>
    <x v="3"/>
    <s v="consumo_intermedio_por_actividad_economica"/>
  </r>
  <r>
    <x v="2"/>
    <x v="2"/>
    <x v="6"/>
    <n v="481.84"/>
    <x v="3"/>
    <s v="consumo_intermedio_por_actividad_economica"/>
  </r>
  <r>
    <x v="3"/>
    <x v="3"/>
    <x v="6"/>
    <m/>
    <x v="3"/>
    <s v="consumo_intermedio_por_actividad_economica"/>
  </r>
  <r>
    <x v="4"/>
    <x v="4"/>
    <x v="6"/>
    <n v="148.28"/>
    <x v="3"/>
    <s v="consumo_intermedio_por_actividad_economica"/>
  </r>
  <r>
    <x v="5"/>
    <x v="5"/>
    <x v="6"/>
    <n v="33.380000000000003"/>
    <x v="3"/>
    <s v="consumo_intermedio_por_actividad_economica"/>
  </r>
  <r>
    <x v="6"/>
    <x v="6"/>
    <x v="6"/>
    <n v="201.53"/>
    <x v="3"/>
    <s v="consumo_intermedio_por_actividad_economica"/>
  </r>
  <r>
    <x v="7"/>
    <x v="7"/>
    <x v="6"/>
    <n v="183.92"/>
    <x v="3"/>
    <s v="consumo_intermedio_por_actividad_economica"/>
  </r>
  <r>
    <x v="8"/>
    <x v="8"/>
    <x v="6"/>
    <n v="1024.17"/>
    <x v="3"/>
    <s v="consumo_intermedio_por_actividad_economica"/>
  </r>
  <r>
    <x v="9"/>
    <x v="9"/>
    <x v="6"/>
    <n v="78.569999999999993"/>
    <x v="3"/>
    <s v="consumo_intermedio_por_actividad_economica"/>
  </r>
  <r>
    <x v="10"/>
    <x v="10"/>
    <x v="6"/>
    <n v="754.31"/>
    <x v="3"/>
    <s v="consumo_intermedio_por_actividad_economica"/>
  </r>
  <r>
    <x v="11"/>
    <x v="11"/>
    <x v="6"/>
    <n v="614.72"/>
    <x v="3"/>
    <s v="consumo_intermedio_por_actividad_economica"/>
  </r>
  <r>
    <x v="12"/>
    <x v="12"/>
    <x v="6"/>
    <n v="269.29000000000002"/>
    <x v="3"/>
    <s v="consumo_intermedio_por_actividad_economica"/>
  </r>
  <r>
    <x v="13"/>
    <x v="13"/>
    <x v="6"/>
    <n v="312.81"/>
    <x v="3"/>
    <s v="consumo_intermedio_por_actividad_economica"/>
  </r>
  <r>
    <x v="14"/>
    <x v="14"/>
    <x v="6"/>
    <n v="352.38"/>
    <x v="3"/>
    <s v="consumo_intermedio_por_actividad_economica"/>
  </r>
  <r>
    <x v="15"/>
    <x v="15"/>
    <x v="6"/>
    <n v="52.88"/>
    <x v="3"/>
    <s v="consumo_intermedio_por_actividad_economica"/>
  </r>
  <r>
    <x v="16"/>
    <x v="16"/>
    <x v="6"/>
    <n v="167.03"/>
    <x v="3"/>
    <s v="consumo_intermedio_por_actividad_economica"/>
  </r>
  <r>
    <x v="17"/>
    <x v="17"/>
    <x v="6"/>
    <n v="3.12"/>
    <x v="3"/>
    <s v="consumo_intermedio_por_actividad_economica"/>
  </r>
  <r>
    <x v="18"/>
    <x v="18"/>
    <x v="6"/>
    <n v="63.37"/>
    <x v="3"/>
    <s v="consumo_intermedio_por_actividad_economica"/>
  </r>
  <r>
    <x v="19"/>
    <x v="19"/>
    <x v="6"/>
    <n v="2.56"/>
    <x v="3"/>
    <s v="consumo_intermedio_por_actividad_economica"/>
  </r>
  <r>
    <x v="20"/>
    <x v="20"/>
    <x v="6"/>
    <n v="122.48"/>
    <x v="3"/>
    <s v="consumo_intermedio_por_actividad_economica"/>
  </r>
  <r>
    <x v="21"/>
    <x v="21"/>
    <x v="6"/>
    <m/>
    <x v="3"/>
    <s v="consumo_intermedio_por_actividad_economica"/>
  </r>
  <r>
    <x v="22"/>
    <x v="22"/>
    <x v="6"/>
    <n v="34.869999999999997"/>
    <x v="3"/>
    <s v="consumo_intermedio_por_actividad_economica"/>
  </r>
  <r>
    <x v="23"/>
    <x v="23"/>
    <x v="6"/>
    <n v="14.13"/>
    <x v="3"/>
    <s v="consumo_intermedio_por_actividad_economica"/>
  </r>
  <r>
    <x v="24"/>
    <x v="24"/>
    <x v="6"/>
    <n v="69.55"/>
    <x v="3"/>
    <s v="consumo_intermedio_por_actividad_economica"/>
  </r>
  <r>
    <x v="25"/>
    <x v="25"/>
    <x v="6"/>
    <m/>
    <x v="3"/>
    <s v="consumo_intermedio_por_actividad_economica"/>
  </r>
  <r>
    <x v="0"/>
    <x v="0"/>
    <x v="4"/>
    <n v="471390.41"/>
    <x v="4"/>
    <s v="consumo_intermedio_por_actividad_economica"/>
  </r>
  <r>
    <x v="1"/>
    <x v="1"/>
    <x v="4"/>
    <n v="129984.42"/>
    <x v="4"/>
    <s v="consumo_intermedio_por_actividad_economica"/>
  </r>
  <r>
    <x v="2"/>
    <x v="2"/>
    <x v="4"/>
    <n v="13742.21"/>
    <x v="4"/>
    <s v="consumo_intermedio_por_actividad_economica"/>
  </r>
  <r>
    <x v="3"/>
    <x v="3"/>
    <x v="4"/>
    <n v="2239.73"/>
    <x v="4"/>
    <s v="consumo_intermedio_por_actividad_economica"/>
  </r>
  <r>
    <x v="4"/>
    <x v="4"/>
    <x v="4"/>
    <n v="6320.95"/>
    <x v="4"/>
    <s v="consumo_intermedio_por_actividad_economica"/>
  </r>
  <r>
    <x v="5"/>
    <x v="5"/>
    <x v="4"/>
    <n v="4181.34"/>
    <x v="4"/>
    <s v="consumo_intermedio_por_actividad_economica"/>
  </r>
  <r>
    <x v="6"/>
    <x v="6"/>
    <x v="4"/>
    <n v="3715.05"/>
    <x v="4"/>
    <s v="consumo_intermedio_por_actividad_economica"/>
  </r>
  <r>
    <x v="7"/>
    <x v="7"/>
    <x v="4"/>
    <n v="3633.62"/>
    <x v="4"/>
    <s v="consumo_intermedio_por_actividad_economica"/>
  </r>
  <r>
    <x v="8"/>
    <x v="8"/>
    <x v="4"/>
    <n v="15461.01"/>
    <x v="4"/>
    <s v="consumo_intermedio_por_actividad_economica"/>
  </r>
  <r>
    <x v="9"/>
    <x v="9"/>
    <x v="4"/>
    <n v="1301.4100000000001"/>
    <x v="4"/>
    <s v="consumo_intermedio_por_actividad_economica"/>
  </r>
  <r>
    <x v="10"/>
    <x v="10"/>
    <x v="4"/>
    <n v="28239.72"/>
    <x v="4"/>
    <s v="consumo_intermedio_por_actividad_economica"/>
  </r>
  <r>
    <x v="11"/>
    <x v="11"/>
    <x v="4"/>
    <n v="63188.61"/>
    <x v="4"/>
    <s v="consumo_intermedio_por_actividad_economica"/>
  </r>
  <r>
    <x v="12"/>
    <x v="12"/>
    <x v="4"/>
    <n v="8012.14"/>
    <x v="4"/>
    <s v="consumo_intermedio_por_actividad_economica"/>
  </r>
  <r>
    <x v="13"/>
    <x v="13"/>
    <x v="4"/>
    <n v="17379.759999999998"/>
    <x v="4"/>
    <s v="consumo_intermedio_por_actividad_economica"/>
  </r>
  <r>
    <x v="14"/>
    <x v="14"/>
    <x v="4"/>
    <n v="11596.86"/>
    <x v="4"/>
    <s v="consumo_intermedio_por_actividad_economica"/>
  </r>
  <r>
    <x v="15"/>
    <x v="15"/>
    <x v="4"/>
    <n v="36630.17"/>
    <x v="4"/>
    <s v="consumo_intermedio_por_actividad_economica"/>
  </r>
  <r>
    <x v="16"/>
    <x v="16"/>
    <x v="4"/>
    <n v="12841.19"/>
    <x v="4"/>
    <s v="consumo_intermedio_por_actividad_economica"/>
  </r>
  <r>
    <x v="17"/>
    <x v="17"/>
    <x v="4"/>
    <n v="17858.86"/>
    <x v="4"/>
    <s v="consumo_intermedio_por_actividad_economica"/>
  </r>
  <r>
    <x v="18"/>
    <x v="18"/>
    <x v="4"/>
    <n v="14312.41"/>
    <x v="4"/>
    <s v="consumo_intermedio_por_actividad_economica"/>
  </r>
  <r>
    <x v="19"/>
    <x v="19"/>
    <x v="4"/>
    <n v="20140.810000000001"/>
    <x v="4"/>
    <s v="consumo_intermedio_por_actividad_economica"/>
  </r>
  <r>
    <x v="20"/>
    <x v="20"/>
    <x v="4"/>
    <n v="43110.76"/>
    <x v="4"/>
    <s v="consumo_intermedio_por_actividad_economica"/>
  </r>
  <r>
    <x v="21"/>
    <x v="21"/>
    <x v="4"/>
    <n v="6741.75"/>
    <x v="4"/>
    <s v="consumo_intermedio_por_actividad_economica"/>
  </r>
  <r>
    <x v="22"/>
    <x v="22"/>
    <x v="4"/>
    <n v="4405.03"/>
    <x v="4"/>
    <s v="consumo_intermedio_por_actividad_economica"/>
  </r>
  <r>
    <x v="23"/>
    <x v="23"/>
    <x v="4"/>
    <n v="3089.45"/>
    <x v="4"/>
    <s v="consumo_intermedio_por_actividad_economica"/>
  </r>
  <r>
    <x v="24"/>
    <x v="24"/>
    <x v="4"/>
    <n v="3263.15"/>
    <x v="4"/>
    <s v="consumo_intermedio_por_actividad_economica"/>
  </r>
  <r>
    <x v="25"/>
    <x v="25"/>
    <x v="4"/>
    <m/>
    <x v="4"/>
    <s v="consumo_intermedio_por_actividad_economica"/>
  </r>
  <r>
    <x v="0"/>
    <x v="0"/>
    <x v="0"/>
    <n v="43825.42"/>
    <x v="4"/>
    <s v="consumo_intermedio_por_actividad_economica"/>
  </r>
  <r>
    <x v="1"/>
    <x v="1"/>
    <x v="0"/>
    <n v="17287.150000000001"/>
    <x v="4"/>
    <s v="consumo_intermedio_por_actividad_economica"/>
  </r>
  <r>
    <x v="2"/>
    <x v="2"/>
    <x v="0"/>
    <n v="2992.96"/>
    <x v="4"/>
    <s v="consumo_intermedio_por_actividad_economica"/>
  </r>
  <r>
    <x v="3"/>
    <x v="3"/>
    <x v="0"/>
    <m/>
    <x v="4"/>
    <s v="consumo_intermedio_por_actividad_economica"/>
  </r>
  <r>
    <x v="4"/>
    <x v="4"/>
    <x v="0"/>
    <n v="167.14"/>
    <x v="4"/>
    <s v="consumo_intermedio_por_actividad_economica"/>
  </r>
  <r>
    <x v="5"/>
    <x v="5"/>
    <x v="0"/>
    <n v="72.31"/>
    <x v="4"/>
    <s v="consumo_intermedio_por_actividad_economica"/>
  </r>
  <r>
    <x v="6"/>
    <x v="6"/>
    <x v="0"/>
    <n v="45.34"/>
    <x v="4"/>
    <s v="consumo_intermedio_por_actividad_economica"/>
  </r>
  <r>
    <x v="7"/>
    <x v="7"/>
    <x v="0"/>
    <n v="2285.87"/>
    <x v="4"/>
    <s v="consumo_intermedio_por_actividad_economica"/>
  </r>
  <r>
    <x v="8"/>
    <x v="8"/>
    <x v="0"/>
    <n v="2987.27"/>
    <x v="4"/>
    <s v="consumo_intermedio_por_actividad_economica"/>
  </r>
  <r>
    <x v="9"/>
    <x v="9"/>
    <x v="0"/>
    <n v="188.76"/>
    <x v="4"/>
    <s v="consumo_intermedio_por_actividad_economica"/>
  </r>
  <r>
    <x v="10"/>
    <x v="10"/>
    <x v="0"/>
    <m/>
    <x v="4"/>
    <s v="consumo_intermedio_por_actividad_economica"/>
  </r>
  <r>
    <x v="11"/>
    <x v="11"/>
    <x v="0"/>
    <n v="6636.38"/>
    <x v="4"/>
    <s v="consumo_intermedio_por_actividad_economica"/>
  </r>
  <r>
    <x v="12"/>
    <x v="12"/>
    <x v="0"/>
    <n v="648.11"/>
    <x v="4"/>
    <s v="consumo_intermedio_por_actividad_economica"/>
  </r>
  <r>
    <x v="13"/>
    <x v="13"/>
    <x v="0"/>
    <n v="1602.6"/>
    <x v="4"/>
    <s v="consumo_intermedio_por_actividad_economica"/>
  </r>
  <r>
    <x v="14"/>
    <x v="14"/>
    <x v="0"/>
    <n v="1670.9"/>
    <x v="4"/>
    <s v="consumo_intermedio_por_actividad_economica"/>
  </r>
  <r>
    <x v="15"/>
    <x v="15"/>
    <x v="0"/>
    <n v="1496.83"/>
    <x v="4"/>
    <s v="consumo_intermedio_por_actividad_economica"/>
  </r>
  <r>
    <x v="16"/>
    <x v="16"/>
    <x v="0"/>
    <n v="1316.4"/>
    <x v="4"/>
    <s v="consumo_intermedio_por_actividad_economica"/>
  </r>
  <r>
    <x v="17"/>
    <x v="17"/>
    <x v="0"/>
    <n v="14.25"/>
    <x v="4"/>
    <s v="consumo_intermedio_por_actividad_economica"/>
  </r>
  <r>
    <x v="18"/>
    <x v="18"/>
    <x v="0"/>
    <n v="495.45"/>
    <x v="4"/>
    <s v="consumo_intermedio_por_actividad_economica"/>
  </r>
  <r>
    <x v="19"/>
    <x v="19"/>
    <x v="0"/>
    <n v="550.67999999999995"/>
    <x v="4"/>
    <s v="consumo_intermedio_por_actividad_economica"/>
  </r>
  <r>
    <x v="20"/>
    <x v="20"/>
    <x v="0"/>
    <n v="45.03"/>
    <x v="4"/>
    <s v="consumo_intermedio_por_actividad_economica"/>
  </r>
  <r>
    <x v="21"/>
    <x v="21"/>
    <x v="0"/>
    <n v="56.16"/>
    <x v="4"/>
    <s v="consumo_intermedio_por_actividad_economica"/>
  </r>
  <r>
    <x v="22"/>
    <x v="22"/>
    <x v="0"/>
    <n v="305.20999999999998"/>
    <x v="4"/>
    <s v="consumo_intermedio_por_actividad_economica"/>
  </r>
  <r>
    <x v="23"/>
    <x v="23"/>
    <x v="0"/>
    <n v="49.25"/>
    <x v="4"/>
    <s v="consumo_intermedio_por_actividad_economica"/>
  </r>
  <r>
    <x v="24"/>
    <x v="24"/>
    <x v="0"/>
    <n v="702.58"/>
    <x v="4"/>
    <s v="consumo_intermedio_por_actividad_economica"/>
  </r>
  <r>
    <x v="25"/>
    <x v="25"/>
    <x v="0"/>
    <n v="2208.79"/>
    <x v="4"/>
    <s v="consumo_intermedio_por_actividad_economica"/>
  </r>
  <r>
    <x v="0"/>
    <x v="0"/>
    <x v="1"/>
    <n v="37801.01"/>
    <x v="4"/>
    <s v="consumo_intermedio_por_actividad_economica"/>
  </r>
  <r>
    <x v="1"/>
    <x v="1"/>
    <x v="1"/>
    <n v="11359.43"/>
    <x v="4"/>
    <s v="consumo_intermedio_por_actividad_economica"/>
  </r>
  <r>
    <x v="2"/>
    <x v="2"/>
    <x v="1"/>
    <n v="879.57"/>
    <x v="4"/>
    <s v="consumo_intermedio_por_actividad_economica"/>
  </r>
  <r>
    <x v="3"/>
    <x v="3"/>
    <x v="1"/>
    <m/>
    <x v="4"/>
    <s v="consumo_intermedio_por_actividad_economica"/>
  </r>
  <r>
    <x v="4"/>
    <x v="4"/>
    <x v="1"/>
    <n v="608.54"/>
    <x v="4"/>
    <s v="consumo_intermedio_por_actividad_economica"/>
  </r>
  <r>
    <x v="5"/>
    <x v="5"/>
    <x v="1"/>
    <n v="827.24"/>
    <x v="4"/>
    <s v="consumo_intermedio_por_actividad_economica"/>
  </r>
  <r>
    <x v="6"/>
    <x v="6"/>
    <x v="1"/>
    <n v="138.81"/>
    <x v="4"/>
    <s v="consumo_intermedio_por_actividad_economica"/>
  </r>
  <r>
    <x v="7"/>
    <x v="7"/>
    <x v="1"/>
    <n v="125.45"/>
    <x v="4"/>
    <s v="consumo_intermedio_por_actividad_economica"/>
  </r>
  <r>
    <x v="8"/>
    <x v="8"/>
    <x v="1"/>
    <n v="1388.78"/>
    <x v="4"/>
    <s v="consumo_intermedio_por_actividad_economica"/>
  </r>
  <r>
    <x v="9"/>
    <x v="9"/>
    <x v="1"/>
    <n v="335.17"/>
    <x v="4"/>
    <s v="consumo_intermedio_por_actividad_economica"/>
  </r>
  <r>
    <x v="10"/>
    <x v="10"/>
    <x v="1"/>
    <n v="6186.02"/>
    <x v="4"/>
    <s v="consumo_intermedio_por_actividad_economica"/>
  </r>
  <r>
    <x v="11"/>
    <x v="11"/>
    <x v="1"/>
    <n v="3933.09"/>
    <x v="4"/>
    <s v="consumo_intermedio_por_actividad_economica"/>
  </r>
  <r>
    <x v="12"/>
    <x v="12"/>
    <x v="1"/>
    <n v="566.23"/>
    <x v="4"/>
    <s v="consumo_intermedio_por_actividad_economica"/>
  </r>
  <r>
    <x v="13"/>
    <x v="13"/>
    <x v="1"/>
    <n v="1533.21"/>
    <x v="4"/>
    <s v="consumo_intermedio_por_actividad_economica"/>
  </r>
  <r>
    <x v="14"/>
    <x v="14"/>
    <x v="1"/>
    <n v="1261.33"/>
    <x v="4"/>
    <s v="consumo_intermedio_por_actividad_economica"/>
  </r>
  <r>
    <x v="15"/>
    <x v="15"/>
    <x v="1"/>
    <n v="1465.3"/>
    <x v="4"/>
    <s v="consumo_intermedio_por_actividad_economica"/>
  </r>
  <r>
    <x v="16"/>
    <x v="16"/>
    <x v="1"/>
    <n v="764.92"/>
    <x v="4"/>
    <s v="consumo_intermedio_por_actividad_economica"/>
  </r>
  <r>
    <x v="17"/>
    <x v="17"/>
    <x v="1"/>
    <m/>
    <x v="4"/>
    <s v="consumo_intermedio_por_actividad_economica"/>
  </r>
  <r>
    <x v="18"/>
    <x v="18"/>
    <x v="1"/>
    <n v="821.22"/>
    <x v="4"/>
    <s v="consumo_intermedio_por_actividad_economica"/>
  </r>
  <r>
    <x v="19"/>
    <x v="19"/>
    <x v="1"/>
    <n v="217.37"/>
    <x v="4"/>
    <s v="consumo_intermedio_por_actividad_economica"/>
  </r>
  <r>
    <x v="20"/>
    <x v="20"/>
    <x v="1"/>
    <n v="322.72000000000003"/>
    <x v="4"/>
    <s v="consumo_intermedio_por_actividad_economica"/>
  </r>
  <r>
    <x v="21"/>
    <x v="21"/>
    <x v="1"/>
    <n v="450.03"/>
    <x v="4"/>
    <s v="consumo_intermedio_por_actividad_economica"/>
  </r>
  <r>
    <x v="22"/>
    <x v="22"/>
    <x v="1"/>
    <n v="247.1"/>
    <x v="4"/>
    <s v="consumo_intermedio_por_actividad_economica"/>
  </r>
  <r>
    <x v="23"/>
    <x v="23"/>
    <x v="1"/>
    <n v="4369.4799999999996"/>
    <x v="4"/>
    <s v="consumo_intermedio_por_actividad_economica"/>
  </r>
  <r>
    <x v="24"/>
    <x v="24"/>
    <x v="1"/>
    <m/>
    <x v="4"/>
    <s v="consumo_intermedio_por_actividad_economica"/>
  </r>
  <r>
    <x v="25"/>
    <x v="25"/>
    <x v="1"/>
    <m/>
    <x v="4"/>
    <s v="consumo_intermedio_por_actividad_economica"/>
  </r>
  <r>
    <x v="0"/>
    <x v="0"/>
    <x v="2"/>
    <n v="18513.7"/>
    <x v="4"/>
    <s v="consumo_intermedio_por_actividad_economica"/>
  </r>
  <r>
    <x v="1"/>
    <x v="1"/>
    <x v="2"/>
    <n v="10705.98"/>
    <x v="4"/>
    <s v="consumo_intermedio_por_actividad_economica"/>
  </r>
  <r>
    <x v="2"/>
    <x v="2"/>
    <x v="2"/>
    <n v="607.19000000000005"/>
    <x v="4"/>
    <s v="consumo_intermedio_por_actividad_economica"/>
  </r>
  <r>
    <x v="3"/>
    <x v="3"/>
    <x v="2"/>
    <n v="7.26"/>
    <x v="4"/>
    <s v="consumo_intermedio_por_actividad_economica"/>
  </r>
  <r>
    <x v="4"/>
    <x v="4"/>
    <x v="2"/>
    <n v="143.93"/>
    <x v="4"/>
    <s v="consumo_intermedio_por_actividad_economica"/>
  </r>
  <r>
    <x v="5"/>
    <x v="5"/>
    <x v="2"/>
    <n v="52.96"/>
    <x v="4"/>
    <s v="consumo_intermedio_por_actividad_economica"/>
  </r>
  <r>
    <x v="6"/>
    <x v="6"/>
    <x v="2"/>
    <n v="82.98"/>
    <x v="4"/>
    <s v="consumo_intermedio_por_actividad_economica"/>
  </r>
  <r>
    <x v="7"/>
    <x v="7"/>
    <x v="2"/>
    <n v="420.56"/>
    <x v="4"/>
    <s v="consumo_intermedio_por_actividad_economica"/>
  </r>
  <r>
    <x v="8"/>
    <x v="8"/>
    <x v="2"/>
    <n v="1062.83"/>
    <x v="4"/>
    <s v="consumo_intermedio_por_actividad_economica"/>
  </r>
  <r>
    <x v="9"/>
    <x v="9"/>
    <x v="2"/>
    <n v="176.2"/>
    <x v="4"/>
    <s v="consumo_intermedio_por_actividad_economica"/>
  </r>
  <r>
    <x v="10"/>
    <x v="10"/>
    <x v="2"/>
    <n v="115.37"/>
    <x v="4"/>
    <s v="consumo_intermedio_por_actividad_economica"/>
  </r>
  <r>
    <x v="11"/>
    <x v="11"/>
    <x v="2"/>
    <n v="916.31"/>
    <x v="4"/>
    <s v="consumo_intermedio_por_actividad_economica"/>
  </r>
  <r>
    <x v="12"/>
    <x v="12"/>
    <x v="2"/>
    <n v="302.47000000000003"/>
    <x v="4"/>
    <s v="consumo_intermedio_por_actividad_economica"/>
  </r>
  <r>
    <x v="13"/>
    <x v="13"/>
    <x v="2"/>
    <n v="1086"/>
    <x v="4"/>
    <s v="consumo_intermedio_por_actividad_economica"/>
  </r>
  <r>
    <x v="14"/>
    <x v="14"/>
    <x v="2"/>
    <n v="463.69"/>
    <x v="4"/>
    <s v="consumo_intermedio_por_actividad_economica"/>
  </r>
  <r>
    <x v="15"/>
    <x v="15"/>
    <x v="2"/>
    <n v="797.65"/>
    <x v="4"/>
    <s v="consumo_intermedio_por_actividad_economica"/>
  </r>
  <r>
    <x v="16"/>
    <x v="16"/>
    <x v="2"/>
    <n v="328.28"/>
    <x v="4"/>
    <s v="consumo_intermedio_por_actividad_economica"/>
  </r>
  <r>
    <x v="17"/>
    <x v="17"/>
    <x v="2"/>
    <n v="121.18"/>
    <x v="4"/>
    <s v="consumo_intermedio_por_actividad_economica"/>
  </r>
  <r>
    <x v="18"/>
    <x v="18"/>
    <x v="2"/>
    <n v="486.37"/>
    <x v="4"/>
    <s v="consumo_intermedio_por_actividad_economica"/>
  </r>
  <r>
    <x v="19"/>
    <x v="19"/>
    <x v="2"/>
    <n v="75.08"/>
    <x v="4"/>
    <s v="consumo_intermedio_por_actividad_economica"/>
  </r>
  <r>
    <x v="20"/>
    <x v="20"/>
    <x v="2"/>
    <n v="191.77"/>
    <x v="4"/>
    <s v="consumo_intermedio_por_actividad_economica"/>
  </r>
  <r>
    <x v="21"/>
    <x v="21"/>
    <x v="2"/>
    <n v="122.08"/>
    <x v="4"/>
    <s v="consumo_intermedio_por_actividad_economica"/>
  </r>
  <r>
    <x v="22"/>
    <x v="22"/>
    <x v="2"/>
    <n v="145.88999999999999"/>
    <x v="4"/>
    <s v="consumo_intermedio_por_actividad_economica"/>
  </r>
  <r>
    <x v="23"/>
    <x v="23"/>
    <x v="2"/>
    <n v="10.77"/>
    <x v="4"/>
    <s v="consumo_intermedio_por_actividad_economica"/>
  </r>
  <r>
    <x v="24"/>
    <x v="24"/>
    <x v="2"/>
    <n v="90.9"/>
    <x v="4"/>
    <s v="consumo_intermedio_por_actividad_economica"/>
  </r>
  <r>
    <x v="25"/>
    <x v="25"/>
    <x v="2"/>
    <m/>
    <x v="4"/>
    <s v="consumo_intermedio_por_actividad_economica"/>
  </r>
  <r>
    <x v="0"/>
    <x v="0"/>
    <x v="5"/>
    <n v="270701.96999999997"/>
    <x v="4"/>
    <s v="consumo_intermedio_por_actividad_economica"/>
  </r>
  <r>
    <x v="1"/>
    <x v="1"/>
    <x v="5"/>
    <n v="41828.54"/>
    <x v="4"/>
    <s v="consumo_intermedio_por_actividad_economica"/>
  </r>
  <r>
    <x v="2"/>
    <x v="2"/>
    <x v="5"/>
    <n v="12988.96"/>
    <x v="4"/>
    <s v="consumo_intermedio_por_actividad_economica"/>
  </r>
  <r>
    <x v="3"/>
    <x v="3"/>
    <x v="5"/>
    <n v="319.92"/>
    <x v="4"/>
    <s v="consumo_intermedio_por_actividad_economica"/>
  </r>
  <r>
    <x v="4"/>
    <x v="4"/>
    <x v="5"/>
    <n v="6910.16"/>
    <x v="4"/>
    <s v="consumo_intermedio_por_actividad_economica"/>
  </r>
  <r>
    <x v="5"/>
    <x v="5"/>
    <x v="5"/>
    <n v="1553.4"/>
    <x v="4"/>
    <s v="consumo_intermedio_por_actividad_economica"/>
  </r>
  <r>
    <x v="6"/>
    <x v="6"/>
    <x v="5"/>
    <n v="1235.9000000000001"/>
    <x v="4"/>
    <s v="consumo_intermedio_por_actividad_economica"/>
  </r>
  <r>
    <x v="7"/>
    <x v="7"/>
    <x v="5"/>
    <n v="810.34"/>
    <x v="4"/>
    <s v="consumo_intermedio_por_actividad_economica"/>
  </r>
  <r>
    <x v="8"/>
    <x v="8"/>
    <x v="5"/>
    <n v="7962.26"/>
    <x v="4"/>
    <s v="consumo_intermedio_por_actividad_economica"/>
  </r>
  <r>
    <x v="9"/>
    <x v="9"/>
    <x v="5"/>
    <n v="306.92"/>
    <x v="4"/>
    <s v="consumo_intermedio_por_actividad_economica"/>
  </r>
  <r>
    <x v="10"/>
    <x v="10"/>
    <x v="5"/>
    <n v="11306.13"/>
    <x v="4"/>
    <s v="consumo_intermedio_por_actividad_economica"/>
  </r>
  <r>
    <x v="11"/>
    <x v="11"/>
    <x v="5"/>
    <n v="24894.27"/>
    <x v="4"/>
    <s v="consumo_intermedio_por_actividad_economica"/>
  </r>
  <r>
    <x v="12"/>
    <x v="12"/>
    <x v="5"/>
    <n v="880.9"/>
    <x v="4"/>
    <s v="consumo_intermedio_por_actividad_economica"/>
  </r>
  <r>
    <x v="13"/>
    <x v="13"/>
    <x v="5"/>
    <n v="10959.72"/>
    <x v="4"/>
    <s v="consumo_intermedio_por_actividad_economica"/>
  </r>
  <r>
    <x v="14"/>
    <x v="14"/>
    <x v="5"/>
    <n v="12326.37"/>
    <x v="4"/>
    <s v="consumo_intermedio_por_actividad_economica"/>
  </r>
  <r>
    <x v="15"/>
    <x v="15"/>
    <x v="5"/>
    <n v="20188.12"/>
    <x v="4"/>
    <s v="consumo_intermedio_por_actividad_economica"/>
  </r>
  <r>
    <x v="16"/>
    <x v="16"/>
    <x v="5"/>
    <n v="12462.14"/>
    <x v="4"/>
    <s v="consumo_intermedio_por_actividad_economica"/>
  </r>
  <r>
    <x v="17"/>
    <x v="17"/>
    <x v="5"/>
    <n v="3990.92"/>
    <x v="4"/>
    <s v="consumo_intermedio_por_actividad_economica"/>
  </r>
  <r>
    <x v="18"/>
    <x v="18"/>
    <x v="5"/>
    <n v="17999.22"/>
    <x v="4"/>
    <s v="consumo_intermedio_por_actividad_economica"/>
  </r>
  <r>
    <x v="19"/>
    <x v="19"/>
    <x v="5"/>
    <n v="24882.44"/>
    <x v="4"/>
    <s v="consumo_intermedio_por_actividad_economica"/>
  </r>
  <r>
    <x v="20"/>
    <x v="20"/>
    <x v="5"/>
    <n v="55388.94"/>
    <x v="4"/>
    <s v="consumo_intermedio_por_actividad_economica"/>
  </r>
  <r>
    <x v="21"/>
    <x v="21"/>
    <x v="5"/>
    <n v="821.67"/>
    <x v="4"/>
    <s v="consumo_intermedio_por_actividad_economica"/>
  </r>
  <r>
    <x v="22"/>
    <x v="22"/>
    <x v="5"/>
    <n v="337.51"/>
    <x v="4"/>
    <s v="consumo_intermedio_por_actividad_economica"/>
  </r>
  <r>
    <x v="23"/>
    <x v="23"/>
    <x v="5"/>
    <n v="347.22"/>
    <x v="4"/>
    <s v="consumo_intermedio_por_actividad_economica"/>
  </r>
  <r>
    <x v="24"/>
    <x v="24"/>
    <x v="5"/>
    <m/>
    <x v="4"/>
    <s v="consumo_intermedio_por_actividad_economica"/>
  </r>
  <r>
    <x v="25"/>
    <x v="25"/>
    <x v="5"/>
    <m/>
    <x v="4"/>
    <s v="consumo_intermedio_por_actividad_economica"/>
  </r>
  <r>
    <x v="0"/>
    <x v="0"/>
    <x v="3"/>
    <n v="24367.599999999999"/>
    <x v="4"/>
    <s v="consumo_intermedio_por_actividad_economica"/>
  </r>
  <r>
    <x v="1"/>
    <x v="1"/>
    <x v="3"/>
    <n v="11138.95"/>
    <x v="4"/>
    <s v="consumo_intermedio_por_actividad_economica"/>
  </r>
  <r>
    <x v="2"/>
    <x v="2"/>
    <x v="3"/>
    <n v="1231.9100000000001"/>
    <x v="4"/>
    <s v="consumo_intermedio_por_actividad_economica"/>
  </r>
  <r>
    <x v="3"/>
    <x v="3"/>
    <x v="3"/>
    <m/>
    <x v="4"/>
    <s v="consumo_intermedio_por_actividad_economica"/>
  </r>
  <r>
    <x v="4"/>
    <x v="4"/>
    <x v="3"/>
    <n v="614.46"/>
    <x v="4"/>
    <s v="consumo_intermedio_por_actividad_economica"/>
  </r>
  <r>
    <x v="5"/>
    <x v="5"/>
    <x v="3"/>
    <n v="453.25"/>
    <x v="4"/>
    <s v="consumo_intermedio_por_actividad_economica"/>
  </r>
  <r>
    <x v="6"/>
    <x v="6"/>
    <x v="3"/>
    <n v="39.25"/>
    <x v="4"/>
    <s v="consumo_intermedio_por_actividad_economica"/>
  </r>
  <r>
    <x v="7"/>
    <x v="7"/>
    <x v="3"/>
    <n v="116.38"/>
    <x v="4"/>
    <s v="consumo_intermedio_por_actividad_economica"/>
  </r>
  <r>
    <x v="8"/>
    <x v="8"/>
    <x v="3"/>
    <n v="801.63"/>
    <x v="4"/>
    <s v="consumo_intermedio_por_actividad_economica"/>
  </r>
  <r>
    <x v="9"/>
    <x v="9"/>
    <x v="3"/>
    <n v="93.12"/>
    <x v="4"/>
    <s v="consumo_intermedio_por_actividad_economica"/>
  </r>
  <r>
    <x v="10"/>
    <x v="10"/>
    <x v="3"/>
    <m/>
    <x v="4"/>
    <s v="consumo_intermedio_por_actividad_economica"/>
  </r>
  <r>
    <x v="11"/>
    <x v="11"/>
    <x v="3"/>
    <n v="2096.89"/>
    <x v="4"/>
    <s v="consumo_intermedio_por_actividad_economica"/>
  </r>
  <r>
    <x v="12"/>
    <x v="12"/>
    <x v="3"/>
    <n v="481.94"/>
    <x v="4"/>
    <s v="consumo_intermedio_por_actividad_economica"/>
  </r>
  <r>
    <x v="13"/>
    <x v="13"/>
    <x v="3"/>
    <n v="1539.39"/>
    <x v="4"/>
    <s v="consumo_intermedio_por_actividad_economica"/>
  </r>
  <r>
    <x v="14"/>
    <x v="14"/>
    <x v="3"/>
    <n v="1441.68"/>
    <x v="4"/>
    <s v="consumo_intermedio_por_actividad_economica"/>
  </r>
  <r>
    <x v="15"/>
    <x v="15"/>
    <x v="3"/>
    <n v="2354.4699999999998"/>
    <x v="4"/>
    <s v="consumo_intermedio_por_actividad_economica"/>
  </r>
  <r>
    <x v="16"/>
    <x v="16"/>
    <x v="3"/>
    <n v="703.78"/>
    <x v="4"/>
    <s v="consumo_intermedio_por_actividad_economica"/>
  </r>
  <r>
    <x v="17"/>
    <x v="17"/>
    <x v="3"/>
    <n v="6.64"/>
    <x v="4"/>
    <s v="consumo_intermedio_por_actividad_economica"/>
  </r>
  <r>
    <x v="18"/>
    <x v="18"/>
    <x v="3"/>
    <n v="352.75"/>
    <x v="4"/>
    <s v="consumo_intermedio_por_actividad_economica"/>
  </r>
  <r>
    <x v="19"/>
    <x v="19"/>
    <x v="3"/>
    <n v="179.05"/>
    <x v="4"/>
    <s v="consumo_intermedio_por_actividad_economica"/>
  </r>
  <r>
    <x v="20"/>
    <x v="20"/>
    <x v="3"/>
    <n v="96.76"/>
    <x v="4"/>
    <s v="consumo_intermedio_por_actividad_economica"/>
  </r>
  <r>
    <x v="21"/>
    <x v="21"/>
    <x v="3"/>
    <n v="97.75"/>
    <x v="4"/>
    <s v="consumo_intermedio_por_actividad_economica"/>
  </r>
  <r>
    <x v="22"/>
    <x v="22"/>
    <x v="3"/>
    <n v="118.68"/>
    <x v="4"/>
    <s v="consumo_intermedio_por_actividad_economica"/>
  </r>
  <r>
    <x v="23"/>
    <x v="23"/>
    <x v="3"/>
    <n v="236.82"/>
    <x v="4"/>
    <s v="consumo_intermedio_por_actividad_economica"/>
  </r>
  <r>
    <x v="24"/>
    <x v="24"/>
    <x v="3"/>
    <n v="172.05"/>
    <x v="4"/>
    <s v="consumo_intermedio_por_actividad_economica"/>
  </r>
  <r>
    <x v="25"/>
    <x v="25"/>
    <x v="3"/>
    <m/>
    <x v="4"/>
    <s v="consumo_intermedio_por_actividad_economica"/>
  </r>
  <r>
    <x v="0"/>
    <x v="0"/>
    <x v="6"/>
    <m/>
    <x v="4"/>
    <s v="consumo_intermedio_por_actividad_economica"/>
  </r>
  <r>
    <x v="1"/>
    <x v="1"/>
    <x v="6"/>
    <m/>
    <x v="4"/>
    <s v="consumo_intermedio_por_actividad_economica"/>
  </r>
  <r>
    <x v="2"/>
    <x v="2"/>
    <x v="6"/>
    <m/>
    <x v="4"/>
    <s v="consumo_intermedio_por_actividad_economica"/>
  </r>
  <r>
    <x v="3"/>
    <x v="3"/>
    <x v="6"/>
    <m/>
    <x v="4"/>
    <s v="consumo_intermedio_por_actividad_economica"/>
  </r>
  <r>
    <x v="4"/>
    <x v="4"/>
    <x v="6"/>
    <m/>
    <x v="4"/>
    <s v="consumo_intermedio_por_actividad_economica"/>
  </r>
  <r>
    <x v="5"/>
    <x v="5"/>
    <x v="6"/>
    <m/>
    <x v="4"/>
    <s v="consumo_intermedio_por_actividad_economica"/>
  </r>
  <r>
    <x v="6"/>
    <x v="6"/>
    <x v="6"/>
    <m/>
    <x v="4"/>
    <s v="consumo_intermedio_por_actividad_economica"/>
  </r>
  <r>
    <x v="7"/>
    <x v="7"/>
    <x v="6"/>
    <m/>
    <x v="4"/>
    <s v="consumo_intermedio_por_actividad_economica"/>
  </r>
  <r>
    <x v="8"/>
    <x v="8"/>
    <x v="6"/>
    <m/>
    <x v="4"/>
    <s v="consumo_intermedio_por_actividad_economica"/>
  </r>
  <r>
    <x v="9"/>
    <x v="9"/>
    <x v="6"/>
    <m/>
    <x v="4"/>
    <s v="consumo_intermedio_por_actividad_economica"/>
  </r>
  <r>
    <x v="10"/>
    <x v="10"/>
    <x v="6"/>
    <m/>
    <x v="4"/>
    <s v="consumo_intermedio_por_actividad_economica"/>
  </r>
  <r>
    <x v="11"/>
    <x v="11"/>
    <x v="6"/>
    <m/>
    <x v="4"/>
    <s v="consumo_intermedio_por_actividad_economica"/>
  </r>
  <r>
    <x v="12"/>
    <x v="12"/>
    <x v="6"/>
    <m/>
    <x v="4"/>
    <s v="consumo_intermedio_por_actividad_economica"/>
  </r>
  <r>
    <x v="13"/>
    <x v="13"/>
    <x v="6"/>
    <m/>
    <x v="4"/>
    <s v="consumo_intermedio_por_actividad_economica"/>
  </r>
  <r>
    <x v="14"/>
    <x v="14"/>
    <x v="6"/>
    <m/>
    <x v="4"/>
    <s v="consumo_intermedio_por_actividad_economica"/>
  </r>
  <r>
    <x v="15"/>
    <x v="15"/>
    <x v="6"/>
    <m/>
    <x v="4"/>
    <s v="consumo_intermedio_por_actividad_economica"/>
  </r>
  <r>
    <x v="16"/>
    <x v="16"/>
    <x v="6"/>
    <m/>
    <x v="4"/>
    <s v="consumo_intermedio_por_actividad_economica"/>
  </r>
  <r>
    <x v="17"/>
    <x v="17"/>
    <x v="6"/>
    <m/>
    <x v="4"/>
    <s v="consumo_intermedio_por_actividad_economica"/>
  </r>
  <r>
    <x v="18"/>
    <x v="18"/>
    <x v="6"/>
    <m/>
    <x v="4"/>
    <s v="consumo_intermedio_por_actividad_economica"/>
  </r>
  <r>
    <x v="19"/>
    <x v="19"/>
    <x v="6"/>
    <m/>
    <x v="4"/>
    <s v="consumo_intermedio_por_actividad_economica"/>
  </r>
  <r>
    <x v="20"/>
    <x v="20"/>
    <x v="6"/>
    <m/>
    <x v="4"/>
    <s v="consumo_intermedio_por_actividad_economica"/>
  </r>
  <r>
    <x v="21"/>
    <x v="21"/>
    <x v="6"/>
    <m/>
    <x v="4"/>
    <s v="consumo_intermedio_por_actividad_economica"/>
  </r>
  <r>
    <x v="22"/>
    <x v="22"/>
    <x v="6"/>
    <m/>
    <x v="4"/>
    <s v="consumo_intermedio_por_actividad_economica"/>
  </r>
  <r>
    <x v="23"/>
    <x v="23"/>
    <x v="6"/>
    <m/>
    <x v="4"/>
    <s v="consumo_intermedio_por_actividad_economica"/>
  </r>
  <r>
    <x v="24"/>
    <x v="24"/>
    <x v="6"/>
    <m/>
    <x v="4"/>
    <s v="consumo_intermedio_por_actividad_economica"/>
  </r>
  <r>
    <x v="25"/>
    <x v="25"/>
    <x v="6"/>
    <m/>
    <x v="4"/>
    <s v="consumo_intermedio_por_actividad_economica"/>
  </r>
  <r>
    <x v="0"/>
    <x v="0"/>
    <x v="4"/>
    <n v="20908.88"/>
    <x v="5"/>
    <s v="consumo_intermedio_por_actividad_economica"/>
  </r>
  <r>
    <x v="1"/>
    <x v="1"/>
    <x v="4"/>
    <n v="319885.96999999997"/>
    <x v="5"/>
    <s v="consumo_intermedio_por_actividad_economica"/>
  </r>
  <r>
    <x v="2"/>
    <x v="2"/>
    <x v="4"/>
    <n v="29832.06"/>
    <x v="5"/>
    <s v="consumo_intermedio_por_actividad_economica"/>
  </r>
  <r>
    <x v="3"/>
    <x v="3"/>
    <x v="4"/>
    <n v="4966.91"/>
    <x v="5"/>
    <s v="consumo_intermedio_por_actividad_economica"/>
  </r>
  <r>
    <x v="4"/>
    <x v="4"/>
    <x v="4"/>
    <n v="18344.240000000002"/>
    <x v="5"/>
    <s v="consumo_intermedio_por_actividad_economica"/>
  </r>
  <r>
    <x v="5"/>
    <x v="5"/>
    <x v="4"/>
    <n v="11157.7"/>
    <x v="5"/>
    <s v="consumo_intermedio_por_actividad_economica"/>
  </r>
  <r>
    <x v="6"/>
    <x v="6"/>
    <x v="4"/>
    <n v="10422.9"/>
    <x v="5"/>
    <s v="consumo_intermedio_por_actividad_economica"/>
  </r>
  <r>
    <x v="7"/>
    <x v="7"/>
    <x v="4"/>
    <n v="10991.1"/>
    <x v="5"/>
    <s v="consumo_intermedio_por_actividad_economica"/>
  </r>
  <r>
    <x v="8"/>
    <x v="8"/>
    <x v="4"/>
    <n v="41279.69"/>
    <x v="5"/>
    <s v="consumo_intermedio_por_actividad_economica"/>
  </r>
  <r>
    <x v="9"/>
    <x v="9"/>
    <x v="4"/>
    <n v="2850.8"/>
    <x v="5"/>
    <s v="consumo_intermedio_por_actividad_economica"/>
  </r>
  <r>
    <x v="10"/>
    <x v="10"/>
    <x v="4"/>
    <n v="-233134.62"/>
    <x v="5"/>
    <s v="consumo_intermedio_por_actividad_economica"/>
  </r>
  <r>
    <x v="11"/>
    <x v="11"/>
    <x v="4"/>
    <n v="-129102.64"/>
    <x v="5"/>
    <s v="consumo_intermedio_por_actividad_economica"/>
  </r>
  <r>
    <x v="12"/>
    <x v="12"/>
    <x v="4"/>
    <n v="17608.759999999998"/>
    <x v="5"/>
    <s v="consumo_intermedio_por_actividad_economica"/>
  </r>
  <r>
    <x v="13"/>
    <x v="13"/>
    <x v="4"/>
    <n v="48971.05"/>
    <x v="5"/>
    <s v="consumo_intermedio_por_actividad_economica"/>
  </r>
  <r>
    <x v="14"/>
    <x v="14"/>
    <x v="4"/>
    <n v="31174.14"/>
    <x v="5"/>
    <s v="consumo_intermedio_por_actividad_economica"/>
  </r>
  <r>
    <x v="15"/>
    <x v="15"/>
    <x v="4"/>
    <n v="122438.83"/>
    <x v="5"/>
    <s v="consumo_intermedio_por_actividad_economica"/>
  </r>
  <r>
    <x v="16"/>
    <x v="16"/>
    <x v="4"/>
    <n v="38781.97"/>
    <x v="5"/>
    <s v="consumo_intermedio_por_actividad_economica"/>
  </r>
  <r>
    <x v="17"/>
    <x v="17"/>
    <x v="4"/>
    <n v="-271342.34000000003"/>
    <x v="5"/>
    <s v="consumo_intermedio_por_actividad_economica"/>
  </r>
  <r>
    <x v="18"/>
    <x v="18"/>
    <x v="4"/>
    <n v="38863.67"/>
    <x v="5"/>
    <s v="consumo_intermedio_por_actividad_economica"/>
  </r>
  <r>
    <x v="19"/>
    <x v="19"/>
    <x v="4"/>
    <n v="65027.91"/>
    <x v="5"/>
    <s v="consumo_intermedio_por_actividad_economica"/>
  </r>
  <r>
    <x v="20"/>
    <x v="20"/>
    <x v="4"/>
    <n v="117232.76"/>
    <x v="5"/>
    <s v="consumo_intermedio_por_actividad_economica"/>
  </r>
  <r>
    <x v="21"/>
    <x v="21"/>
    <x v="4"/>
    <n v="-300851.73"/>
    <x v="5"/>
    <s v="consumo_intermedio_por_actividad_economica"/>
  </r>
  <r>
    <x v="22"/>
    <x v="22"/>
    <x v="4"/>
    <n v="11383.85"/>
    <x v="5"/>
    <s v="consumo_intermedio_por_actividad_economica"/>
  </r>
  <r>
    <x v="23"/>
    <x v="23"/>
    <x v="4"/>
    <n v="7895.72"/>
    <x v="5"/>
    <s v="consumo_intermedio_por_actividad_economica"/>
  </r>
  <r>
    <x v="24"/>
    <x v="24"/>
    <x v="4"/>
    <n v="6230.18"/>
    <x v="5"/>
    <s v="consumo_intermedio_por_actividad_economica"/>
  </r>
  <r>
    <x v="25"/>
    <x v="25"/>
    <x v="4"/>
    <m/>
    <x v="5"/>
    <s v="consumo_intermedio_por_actividad_economica"/>
  </r>
  <r>
    <x v="0"/>
    <x v="0"/>
    <x v="0"/>
    <n v="50233.57"/>
    <x v="5"/>
    <s v="consumo_intermedio_por_actividad_economica"/>
  </r>
  <r>
    <x v="1"/>
    <x v="1"/>
    <x v="0"/>
    <n v="17894.55"/>
    <x v="5"/>
    <s v="consumo_intermedio_por_actividad_economica"/>
  </r>
  <r>
    <x v="2"/>
    <x v="2"/>
    <x v="0"/>
    <n v="3396.06"/>
    <x v="5"/>
    <s v="consumo_intermedio_por_actividad_economica"/>
  </r>
  <r>
    <x v="3"/>
    <x v="3"/>
    <x v="0"/>
    <m/>
    <x v="5"/>
    <s v="consumo_intermedio_por_actividad_economica"/>
  </r>
  <r>
    <x v="4"/>
    <x v="4"/>
    <x v="0"/>
    <n v="170.07"/>
    <x v="5"/>
    <s v="consumo_intermedio_por_actividad_economica"/>
  </r>
  <r>
    <x v="5"/>
    <x v="5"/>
    <x v="0"/>
    <n v="71.66"/>
    <x v="5"/>
    <s v="consumo_intermedio_por_actividad_economica"/>
  </r>
  <r>
    <x v="6"/>
    <x v="6"/>
    <x v="0"/>
    <n v="24.27"/>
    <x v="5"/>
    <s v="consumo_intermedio_por_actividad_economica"/>
  </r>
  <r>
    <x v="7"/>
    <x v="7"/>
    <x v="0"/>
    <n v="2357.75"/>
    <x v="5"/>
    <s v="consumo_intermedio_por_actividad_economica"/>
  </r>
  <r>
    <x v="8"/>
    <x v="8"/>
    <x v="0"/>
    <n v="3030.68"/>
    <x v="5"/>
    <s v="consumo_intermedio_por_actividad_economica"/>
  </r>
  <r>
    <x v="9"/>
    <x v="9"/>
    <x v="0"/>
    <n v="238.31"/>
    <x v="5"/>
    <s v="consumo_intermedio_por_actividad_economica"/>
  </r>
  <r>
    <x v="10"/>
    <x v="10"/>
    <x v="0"/>
    <m/>
    <x v="5"/>
    <s v="consumo_intermedio_por_actividad_economica"/>
  </r>
  <r>
    <x v="11"/>
    <x v="11"/>
    <x v="0"/>
    <n v="9308.32"/>
    <x v="5"/>
    <s v="consumo_intermedio_por_actividad_economica"/>
  </r>
  <r>
    <x v="12"/>
    <x v="12"/>
    <x v="0"/>
    <n v="780.95"/>
    <x v="5"/>
    <s v="consumo_intermedio_por_actividad_economica"/>
  </r>
  <r>
    <x v="13"/>
    <x v="13"/>
    <x v="0"/>
    <n v="2120.84"/>
    <x v="5"/>
    <s v="consumo_intermedio_por_actividad_economica"/>
  </r>
  <r>
    <x v="14"/>
    <x v="14"/>
    <x v="0"/>
    <n v="1840.07"/>
    <x v="5"/>
    <s v="consumo_intermedio_por_actividad_economica"/>
  </r>
  <r>
    <x v="15"/>
    <x v="15"/>
    <x v="0"/>
    <n v="2163.8000000000002"/>
    <x v="5"/>
    <s v="consumo_intermedio_por_actividad_economica"/>
  </r>
  <r>
    <x v="16"/>
    <x v="16"/>
    <x v="0"/>
    <n v="1561.6"/>
    <x v="5"/>
    <s v="consumo_intermedio_por_actividad_economica"/>
  </r>
  <r>
    <x v="17"/>
    <x v="17"/>
    <x v="0"/>
    <n v="8.24"/>
    <x v="5"/>
    <s v="consumo_intermedio_por_actividad_economica"/>
  </r>
  <r>
    <x v="18"/>
    <x v="18"/>
    <x v="0"/>
    <n v="859.72"/>
    <x v="5"/>
    <s v="consumo_intermedio_por_actividad_economica"/>
  </r>
  <r>
    <x v="19"/>
    <x v="19"/>
    <x v="0"/>
    <n v="558.32000000000005"/>
    <x v="5"/>
    <s v="consumo_intermedio_por_actividad_economica"/>
  </r>
  <r>
    <x v="20"/>
    <x v="20"/>
    <x v="0"/>
    <n v="43.09"/>
    <x v="5"/>
    <s v="consumo_intermedio_por_actividad_economica"/>
  </r>
  <r>
    <x v="21"/>
    <x v="21"/>
    <x v="0"/>
    <n v="24.49"/>
    <x v="5"/>
    <s v="consumo_intermedio_por_actividad_economica"/>
  </r>
  <r>
    <x v="22"/>
    <x v="22"/>
    <x v="0"/>
    <n v="461.57"/>
    <x v="5"/>
    <s v="consumo_intermedio_por_actividad_economica"/>
  </r>
  <r>
    <x v="23"/>
    <x v="23"/>
    <x v="0"/>
    <n v="79.290000000000006"/>
    <x v="5"/>
    <s v="consumo_intermedio_por_actividad_economica"/>
  </r>
  <r>
    <x v="24"/>
    <x v="24"/>
    <x v="0"/>
    <n v="768.04"/>
    <x v="5"/>
    <s v="consumo_intermedio_por_actividad_economica"/>
  </r>
  <r>
    <x v="25"/>
    <x v="25"/>
    <x v="0"/>
    <n v="2471.88"/>
    <x v="5"/>
    <s v="consumo_intermedio_por_actividad_economica"/>
  </r>
  <r>
    <x v="0"/>
    <x v="0"/>
    <x v="1"/>
    <n v="56191.87"/>
    <x v="5"/>
    <s v="consumo_intermedio_por_actividad_economica"/>
  </r>
  <r>
    <x v="1"/>
    <x v="1"/>
    <x v="1"/>
    <n v="15856.99"/>
    <x v="5"/>
    <s v="consumo_intermedio_por_actividad_economica"/>
  </r>
  <r>
    <x v="2"/>
    <x v="2"/>
    <x v="1"/>
    <n v="1234.28"/>
    <x v="5"/>
    <s v="consumo_intermedio_por_actividad_economica"/>
  </r>
  <r>
    <x v="3"/>
    <x v="3"/>
    <x v="1"/>
    <m/>
    <x v="5"/>
    <s v="consumo_intermedio_por_actividad_economica"/>
  </r>
  <r>
    <x v="4"/>
    <x v="4"/>
    <x v="1"/>
    <n v="974.38"/>
    <x v="5"/>
    <s v="consumo_intermedio_por_actividad_economica"/>
  </r>
  <r>
    <x v="5"/>
    <x v="5"/>
    <x v="1"/>
    <n v="1260.3"/>
    <x v="5"/>
    <s v="consumo_intermedio_por_actividad_economica"/>
  </r>
  <r>
    <x v="6"/>
    <x v="6"/>
    <x v="1"/>
    <n v="200.57"/>
    <x v="5"/>
    <s v="consumo_intermedio_por_actividad_economica"/>
  </r>
  <r>
    <x v="7"/>
    <x v="7"/>
    <x v="1"/>
    <n v="188.01"/>
    <x v="5"/>
    <s v="consumo_intermedio_por_actividad_economica"/>
  </r>
  <r>
    <x v="8"/>
    <x v="8"/>
    <x v="1"/>
    <n v="1867.37"/>
    <x v="5"/>
    <s v="consumo_intermedio_por_actividad_economica"/>
  </r>
  <r>
    <x v="9"/>
    <x v="9"/>
    <x v="1"/>
    <n v="478.47"/>
    <x v="5"/>
    <s v="consumo_intermedio_por_actividad_economica"/>
  </r>
  <r>
    <x v="10"/>
    <x v="10"/>
    <x v="1"/>
    <n v="9036.2099999999991"/>
    <x v="5"/>
    <s v="consumo_intermedio_por_actividad_economica"/>
  </r>
  <r>
    <x v="11"/>
    <x v="11"/>
    <x v="1"/>
    <n v="6519.2"/>
    <x v="5"/>
    <s v="consumo_intermedio_por_actividad_economica"/>
  </r>
  <r>
    <x v="12"/>
    <x v="12"/>
    <x v="1"/>
    <n v="785.69"/>
    <x v="5"/>
    <s v="consumo_intermedio_por_actividad_economica"/>
  </r>
  <r>
    <x v="13"/>
    <x v="13"/>
    <x v="1"/>
    <n v="2591.1999999999998"/>
    <x v="5"/>
    <s v="consumo_intermedio_por_actividad_economica"/>
  </r>
  <r>
    <x v="14"/>
    <x v="14"/>
    <x v="1"/>
    <n v="1847.43"/>
    <x v="5"/>
    <s v="consumo_intermedio_por_actividad_economica"/>
  </r>
  <r>
    <x v="15"/>
    <x v="15"/>
    <x v="1"/>
    <n v="2202.98"/>
    <x v="5"/>
    <s v="consumo_intermedio_por_actividad_economica"/>
  </r>
  <r>
    <x v="16"/>
    <x v="16"/>
    <x v="1"/>
    <n v="1206.98"/>
    <x v="5"/>
    <s v="consumo_intermedio_por_actividad_economica"/>
  </r>
  <r>
    <x v="17"/>
    <x v="17"/>
    <x v="1"/>
    <m/>
    <x v="5"/>
    <s v="consumo_intermedio_por_actividad_economica"/>
  </r>
  <r>
    <x v="18"/>
    <x v="18"/>
    <x v="1"/>
    <n v="1129.8800000000001"/>
    <x v="5"/>
    <s v="consumo_intermedio_por_actividad_economica"/>
  </r>
  <r>
    <x v="19"/>
    <x v="19"/>
    <x v="1"/>
    <n v="284.8"/>
    <x v="5"/>
    <s v="consumo_intermedio_por_actividad_economica"/>
  </r>
  <r>
    <x v="20"/>
    <x v="20"/>
    <x v="1"/>
    <n v="469.77"/>
    <x v="5"/>
    <s v="consumo_intermedio_por_actividad_economica"/>
  </r>
  <r>
    <x v="21"/>
    <x v="21"/>
    <x v="1"/>
    <n v="600.58000000000004"/>
    <x v="5"/>
    <s v="consumo_intermedio_por_actividad_economica"/>
  </r>
  <r>
    <x v="22"/>
    <x v="22"/>
    <x v="1"/>
    <n v="385.96"/>
    <x v="5"/>
    <s v="consumo_intermedio_por_actividad_economica"/>
  </r>
  <r>
    <x v="23"/>
    <x v="23"/>
    <x v="1"/>
    <n v="7070.82"/>
    <x v="5"/>
    <s v="consumo_intermedio_por_actividad_economica"/>
  </r>
  <r>
    <x v="24"/>
    <x v="24"/>
    <x v="1"/>
    <m/>
    <x v="5"/>
    <s v="consumo_intermedio_por_actividad_economica"/>
  </r>
  <r>
    <x v="25"/>
    <x v="25"/>
    <x v="1"/>
    <m/>
    <x v="5"/>
    <s v="consumo_intermedio_por_actividad_economica"/>
  </r>
  <r>
    <x v="0"/>
    <x v="0"/>
    <x v="2"/>
    <n v="23304.98"/>
    <x v="5"/>
    <s v="consumo_intermedio_por_actividad_economica"/>
  </r>
  <r>
    <x v="1"/>
    <x v="1"/>
    <x v="2"/>
    <n v="12853.66"/>
    <x v="5"/>
    <s v="consumo_intermedio_por_actividad_economica"/>
  </r>
  <r>
    <x v="2"/>
    <x v="2"/>
    <x v="2"/>
    <n v="701.99"/>
    <x v="5"/>
    <s v="consumo_intermedio_por_actividad_economica"/>
  </r>
  <r>
    <x v="3"/>
    <x v="3"/>
    <x v="2"/>
    <n v="6.56"/>
    <x v="5"/>
    <s v="consumo_intermedio_por_actividad_economica"/>
  </r>
  <r>
    <x v="4"/>
    <x v="4"/>
    <x v="2"/>
    <n v="293.43"/>
    <x v="5"/>
    <s v="consumo_intermedio_por_actividad_economica"/>
  </r>
  <r>
    <x v="5"/>
    <x v="5"/>
    <x v="2"/>
    <n v="122.61"/>
    <x v="5"/>
    <s v="consumo_intermedio_por_actividad_economica"/>
  </r>
  <r>
    <x v="6"/>
    <x v="6"/>
    <x v="2"/>
    <n v="75.31"/>
    <x v="5"/>
    <s v="consumo_intermedio_por_actividad_economica"/>
  </r>
  <r>
    <x v="7"/>
    <x v="7"/>
    <x v="2"/>
    <n v="353.09"/>
    <x v="5"/>
    <s v="consumo_intermedio_por_actividad_economica"/>
  </r>
  <r>
    <x v="8"/>
    <x v="8"/>
    <x v="2"/>
    <n v="1346.73"/>
    <x v="5"/>
    <s v="consumo_intermedio_por_actividad_economica"/>
  </r>
  <r>
    <x v="9"/>
    <x v="9"/>
    <x v="2"/>
    <n v="126.86"/>
    <x v="5"/>
    <s v="consumo_intermedio_por_actividad_economica"/>
  </r>
  <r>
    <x v="10"/>
    <x v="10"/>
    <x v="2"/>
    <n v="144.59"/>
    <x v="5"/>
    <s v="consumo_intermedio_por_actividad_economica"/>
  </r>
  <r>
    <x v="11"/>
    <x v="11"/>
    <x v="2"/>
    <n v="1418.59"/>
    <x v="5"/>
    <s v="consumo_intermedio_por_actividad_economica"/>
  </r>
  <r>
    <x v="12"/>
    <x v="12"/>
    <x v="2"/>
    <n v="302.58999999999997"/>
    <x v="5"/>
    <s v="consumo_intermedio_por_actividad_economica"/>
  </r>
  <r>
    <x v="13"/>
    <x v="13"/>
    <x v="2"/>
    <n v="1226.45"/>
    <x v="5"/>
    <s v="consumo_intermedio_por_actividad_economica"/>
  </r>
  <r>
    <x v="14"/>
    <x v="14"/>
    <x v="2"/>
    <n v="733.15"/>
    <x v="5"/>
    <s v="consumo_intermedio_por_actividad_economica"/>
  </r>
  <r>
    <x v="15"/>
    <x v="15"/>
    <x v="2"/>
    <n v="1271.75"/>
    <x v="5"/>
    <s v="consumo_intermedio_por_actividad_economica"/>
  </r>
  <r>
    <x v="16"/>
    <x v="16"/>
    <x v="2"/>
    <n v="485.88"/>
    <x v="5"/>
    <s v="consumo_intermedio_por_actividad_economica"/>
  </r>
  <r>
    <x v="17"/>
    <x v="17"/>
    <x v="2"/>
    <n v="160.76"/>
    <x v="5"/>
    <s v="consumo_intermedio_por_actividad_economica"/>
  </r>
  <r>
    <x v="18"/>
    <x v="18"/>
    <x v="2"/>
    <n v="595.57000000000005"/>
    <x v="5"/>
    <s v="consumo_intermedio_por_actividad_economica"/>
  </r>
  <r>
    <x v="19"/>
    <x v="19"/>
    <x v="2"/>
    <n v="199.54"/>
    <x v="5"/>
    <s v="consumo_intermedio_por_actividad_economica"/>
  </r>
  <r>
    <x v="20"/>
    <x v="20"/>
    <x v="2"/>
    <n v="320.24"/>
    <x v="5"/>
    <s v="consumo_intermedio_por_actividad_economica"/>
  </r>
  <r>
    <x v="21"/>
    <x v="21"/>
    <x v="2"/>
    <n v="146.79"/>
    <x v="5"/>
    <s v="consumo_intermedio_por_actividad_economica"/>
  </r>
  <r>
    <x v="22"/>
    <x v="22"/>
    <x v="2"/>
    <n v="206.25"/>
    <x v="5"/>
    <s v="consumo_intermedio_por_actividad_economica"/>
  </r>
  <r>
    <x v="23"/>
    <x v="23"/>
    <x v="2"/>
    <n v="8.7200000000000006"/>
    <x v="5"/>
    <s v="consumo_intermedio_por_actividad_economica"/>
  </r>
  <r>
    <x v="24"/>
    <x v="24"/>
    <x v="2"/>
    <n v="203.87"/>
    <x v="5"/>
    <s v="consumo_intermedio_por_actividad_economica"/>
  </r>
  <r>
    <x v="25"/>
    <x v="25"/>
    <x v="2"/>
    <m/>
    <x v="5"/>
    <s v="consumo_intermedio_por_actividad_economica"/>
  </r>
  <r>
    <x v="0"/>
    <x v="0"/>
    <x v="5"/>
    <n v="335962.89"/>
    <x v="5"/>
    <s v="consumo_intermedio_por_actividad_economica"/>
  </r>
  <r>
    <x v="1"/>
    <x v="1"/>
    <x v="5"/>
    <n v="49771.47"/>
    <x v="5"/>
    <s v="consumo_intermedio_por_actividad_economica"/>
  </r>
  <r>
    <x v="2"/>
    <x v="2"/>
    <x v="5"/>
    <n v="14717.97"/>
    <x v="5"/>
    <s v="consumo_intermedio_por_actividad_economica"/>
  </r>
  <r>
    <x v="3"/>
    <x v="3"/>
    <x v="5"/>
    <n v="356.99"/>
    <x v="5"/>
    <s v="consumo_intermedio_por_actividad_economica"/>
  </r>
  <r>
    <x v="4"/>
    <x v="4"/>
    <x v="5"/>
    <n v="11287.32"/>
    <x v="5"/>
    <s v="consumo_intermedio_por_actividad_economica"/>
  </r>
  <r>
    <x v="5"/>
    <x v="5"/>
    <x v="5"/>
    <n v="2715.13"/>
    <x v="5"/>
    <s v="consumo_intermedio_por_actividad_economica"/>
  </r>
  <r>
    <x v="6"/>
    <x v="6"/>
    <x v="5"/>
    <n v="1928.08"/>
    <x v="5"/>
    <s v="consumo_intermedio_por_actividad_economica"/>
  </r>
  <r>
    <x v="7"/>
    <x v="7"/>
    <x v="5"/>
    <n v="2339.2199999999998"/>
    <x v="5"/>
    <s v="consumo_intermedio_por_actividad_economica"/>
  </r>
  <r>
    <x v="8"/>
    <x v="8"/>
    <x v="5"/>
    <n v="10834.77"/>
    <x v="5"/>
    <s v="consumo_intermedio_por_actividad_economica"/>
  </r>
  <r>
    <x v="9"/>
    <x v="9"/>
    <x v="5"/>
    <n v="430.81"/>
    <x v="5"/>
    <s v="consumo_intermedio_por_actividad_economica"/>
  </r>
  <r>
    <x v="10"/>
    <x v="10"/>
    <x v="5"/>
    <n v="12221.46"/>
    <x v="5"/>
    <s v="consumo_intermedio_por_actividad_economica"/>
  </r>
  <r>
    <x v="11"/>
    <x v="11"/>
    <x v="5"/>
    <n v="28928.14"/>
    <x v="5"/>
    <s v="consumo_intermedio_por_actividad_economica"/>
  </r>
  <r>
    <x v="12"/>
    <x v="12"/>
    <x v="5"/>
    <n v="1006.63"/>
    <x v="5"/>
    <s v="consumo_intermedio_por_actividad_economica"/>
  </r>
  <r>
    <x v="13"/>
    <x v="13"/>
    <x v="5"/>
    <n v="16243.2"/>
    <x v="5"/>
    <s v="consumo_intermedio_por_actividad_economica"/>
  </r>
  <r>
    <x v="14"/>
    <x v="14"/>
    <x v="5"/>
    <n v="15133.45"/>
    <x v="5"/>
    <s v="consumo_intermedio_por_actividad_economica"/>
  </r>
  <r>
    <x v="15"/>
    <x v="15"/>
    <x v="5"/>
    <n v="35070.81"/>
    <x v="5"/>
    <s v="consumo_intermedio_por_actividad_economica"/>
  </r>
  <r>
    <x v="16"/>
    <x v="16"/>
    <x v="5"/>
    <n v="18326.25"/>
    <x v="5"/>
    <s v="consumo_intermedio_por_actividad_economica"/>
  </r>
  <r>
    <x v="17"/>
    <x v="17"/>
    <x v="5"/>
    <n v="4038.96"/>
    <x v="5"/>
    <s v="consumo_intermedio_por_actividad_economica"/>
  </r>
  <r>
    <x v="18"/>
    <x v="18"/>
    <x v="5"/>
    <n v="20531.95"/>
    <x v="5"/>
    <s v="consumo_intermedio_por_actividad_economica"/>
  </r>
  <r>
    <x v="19"/>
    <x v="19"/>
    <x v="5"/>
    <n v="26854.09"/>
    <x v="5"/>
    <s v="consumo_intermedio_por_actividad_economica"/>
  </r>
  <r>
    <x v="20"/>
    <x v="20"/>
    <x v="5"/>
    <n v="60970.67"/>
    <x v="5"/>
    <s v="consumo_intermedio_por_actividad_economica"/>
  </r>
  <r>
    <x v="21"/>
    <x v="21"/>
    <x v="5"/>
    <n v="580.4"/>
    <x v="5"/>
    <s v="consumo_intermedio_por_actividad_economica"/>
  </r>
  <r>
    <x v="22"/>
    <x v="22"/>
    <x v="5"/>
    <n v="1226.83"/>
    <x v="5"/>
    <s v="consumo_intermedio_por_actividad_economica"/>
  </r>
  <r>
    <x v="23"/>
    <x v="23"/>
    <x v="5"/>
    <n v="448.29"/>
    <x v="5"/>
    <s v="consumo_intermedio_por_actividad_economica"/>
  </r>
  <r>
    <x v="24"/>
    <x v="24"/>
    <x v="5"/>
    <m/>
    <x v="5"/>
    <s v="consumo_intermedio_por_actividad_economica"/>
  </r>
  <r>
    <x v="25"/>
    <x v="25"/>
    <x v="5"/>
    <m/>
    <x v="5"/>
    <s v="consumo_intermedio_por_actividad_economica"/>
  </r>
  <r>
    <x v="0"/>
    <x v="0"/>
    <x v="3"/>
    <m/>
    <x v="5"/>
    <s v="consumo_intermedio_por_actividad_economica"/>
  </r>
  <r>
    <x v="1"/>
    <x v="1"/>
    <x v="3"/>
    <m/>
    <x v="5"/>
    <s v="consumo_intermedio_por_actividad_economica"/>
  </r>
  <r>
    <x v="2"/>
    <x v="2"/>
    <x v="3"/>
    <m/>
    <x v="5"/>
    <s v="consumo_intermedio_por_actividad_economica"/>
  </r>
  <r>
    <x v="3"/>
    <x v="3"/>
    <x v="3"/>
    <m/>
    <x v="5"/>
    <s v="consumo_intermedio_por_actividad_economica"/>
  </r>
  <r>
    <x v="4"/>
    <x v="4"/>
    <x v="3"/>
    <m/>
    <x v="5"/>
    <s v="consumo_intermedio_por_actividad_economica"/>
  </r>
  <r>
    <x v="5"/>
    <x v="5"/>
    <x v="3"/>
    <m/>
    <x v="5"/>
    <s v="consumo_intermedio_por_actividad_economica"/>
  </r>
  <r>
    <x v="6"/>
    <x v="6"/>
    <x v="3"/>
    <m/>
    <x v="5"/>
    <s v="consumo_intermedio_por_actividad_economica"/>
  </r>
  <r>
    <x v="7"/>
    <x v="7"/>
    <x v="3"/>
    <m/>
    <x v="5"/>
    <s v="consumo_intermedio_por_actividad_economica"/>
  </r>
  <r>
    <x v="8"/>
    <x v="8"/>
    <x v="3"/>
    <m/>
    <x v="5"/>
    <s v="consumo_intermedio_por_actividad_economica"/>
  </r>
  <r>
    <x v="9"/>
    <x v="9"/>
    <x v="3"/>
    <m/>
    <x v="5"/>
    <s v="consumo_intermedio_por_actividad_economica"/>
  </r>
  <r>
    <x v="10"/>
    <x v="10"/>
    <x v="3"/>
    <m/>
    <x v="5"/>
    <s v="consumo_intermedio_por_actividad_economica"/>
  </r>
  <r>
    <x v="11"/>
    <x v="11"/>
    <x v="3"/>
    <m/>
    <x v="5"/>
    <s v="consumo_intermedio_por_actividad_economica"/>
  </r>
  <r>
    <x v="12"/>
    <x v="12"/>
    <x v="3"/>
    <m/>
    <x v="5"/>
    <s v="consumo_intermedio_por_actividad_economica"/>
  </r>
  <r>
    <x v="13"/>
    <x v="13"/>
    <x v="3"/>
    <m/>
    <x v="5"/>
    <s v="consumo_intermedio_por_actividad_economica"/>
  </r>
  <r>
    <x v="14"/>
    <x v="14"/>
    <x v="3"/>
    <m/>
    <x v="5"/>
    <s v="consumo_intermedio_por_actividad_economica"/>
  </r>
  <r>
    <x v="15"/>
    <x v="15"/>
    <x v="3"/>
    <m/>
    <x v="5"/>
    <s v="consumo_intermedio_por_actividad_economica"/>
  </r>
  <r>
    <x v="16"/>
    <x v="16"/>
    <x v="3"/>
    <m/>
    <x v="5"/>
    <s v="consumo_intermedio_por_actividad_economica"/>
  </r>
  <r>
    <x v="17"/>
    <x v="17"/>
    <x v="3"/>
    <m/>
    <x v="5"/>
    <s v="consumo_intermedio_por_actividad_economica"/>
  </r>
  <r>
    <x v="18"/>
    <x v="18"/>
    <x v="3"/>
    <m/>
    <x v="5"/>
    <s v="consumo_intermedio_por_actividad_economica"/>
  </r>
  <r>
    <x v="19"/>
    <x v="19"/>
    <x v="3"/>
    <m/>
    <x v="5"/>
    <s v="consumo_intermedio_por_actividad_economica"/>
  </r>
  <r>
    <x v="20"/>
    <x v="20"/>
    <x v="3"/>
    <m/>
    <x v="5"/>
    <s v="consumo_intermedio_por_actividad_economica"/>
  </r>
  <r>
    <x v="21"/>
    <x v="21"/>
    <x v="3"/>
    <m/>
    <x v="5"/>
    <s v="consumo_intermedio_por_actividad_economica"/>
  </r>
  <r>
    <x v="22"/>
    <x v="22"/>
    <x v="3"/>
    <m/>
    <x v="5"/>
    <s v="consumo_intermedio_por_actividad_economica"/>
  </r>
  <r>
    <x v="23"/>
    <x v="23"/>
    <x v="3"/>
    <m/>
    <x v="5"/>
    <s v="consumo_intermedio_por_actividad_economica"/>
  </r>
  <r>
    <x v="24"/>
    <x v="24"/>
    <x v="3"/>
    <m/>
    <x v="5"/>
    <s v="consumo_intermedio_por_actividad_economica"/>
  </r>
  <r>
    <x v="25"/>
    <x v="25"/>
    <x v="3"/>
    <m/>
    <x v="5"/>
    <s v="consumo_intermedio_por_actividad_economica"/>
  </r>
  <r>
    <x v="0"/>
    <x v="0"/>
    <x v="6"/>
    <m/>
    <x v="5"/>
    <s v="consumo_intermedio_por_actividad_economica"/>
  </r>
  <r>
    <x v="1"/>
    <x v="1"/>
    <x v="6"/>
    <m/>
    <x v="5"/>
    <s v="consumo_intermedio_por_actividad_economica"/>
  </r>
  <r>
    <x v="2"/>
    <x v="2"/>
    <x v="6"/>
    <m/>
    <x v="5"/>
    <s v="consumo_intermedio_por_actividad_economica"/>
  </r>
  <r>
    <x v="3"/>
    <x v="3"/>
    <x v="6"/>
    <m/>
    <x v="5"/>
    <s v="consumo_intermedio_por_actividad_economica"/>
  </r>
  <r>
    <x v="4"/>
    <x v="4"/>
    <x v="6"/>
    <m/>
    <x v="5"/>
    <s v="consumo_intermedio_por_actividad_economica"/>
  </r>
  <r>
    <x v="5"/>
    <x v="5"/>
    <x v="6"/>
    <m/>
    <x v="5"/>
    <s v="consumo_intermedio_por_actividad_economica"/>
  </r>
  <r>
    <x v="6"/>
    <x v="6"/>
    <x v="6"/>
    <m/>
    <x v="5"/>
    <s v="consumo_intermedio_por_actividad_economica"/>
  </r>
  <r>
    <x v="7"/>
    <x v="7"/>
    <x v="6"/>
    <m/>
    <x v="5"/>
    <s v="consumo_intermedio_por_actividad_economica"/>
  </r>
  <r>
    <x v="8"/>
    <x v="8"/>
    <x v="6"/>
    <m/>
    <x v="5"/>
    <s v="consumo_intermedio_por_actividad_economica"/>
  </r>
  <r>
    <x v="9"/>
    <x v="9"/>
    <x v="6"/>
    <m/>
    <x v="5"/>
    <s v="consumo_intermedio_por_actividad_economica"/>
  </r>
  <r>
    <x v="10"/>
    <x v="10"/>
    <x v="6"/>
    <m/>
    <x v="5"/>
    <s v="consumo_intermedio_por_actividad_economica"/>
  </r>
  <r>
    <x v="11"/>
    <x v="11"/>
    <x v="6"/>
    <m/>
    <x v="5"/>
    <s v="consumo_intermedio_por_actividad_economica"/>
  </r>
  <r>
    <x v="12"/>
    <x v="12"/>
    <x v="6"/>
    <m/>
    <x v="5"/>
    <s v="consumo_intermedio_por_actividad_economica"/>
  </r>
  <r>
    <x v="13"/>
    <x v="13"/>
    <x v="6"/>
    <m/>
    <x v="5"/>
    <s v="consumo_intermedio_por_actividad_economica"/>
  </r>
  <r>
    <x v="14"/>
    <x v="14"/>
    <x v="6"/>
    <m/>
    <x v="5"/>
    <s v="consumo_intermedio_por_actividad_economica"/>
  </r>
  <r>
    <x v="15"/>
    <x v="15"/>
    <x v="6"/>
    <m/>
    <x v="5"/>
    <s v="consumo_intermedio_por_actividad_economica"/>
  </r>
  <r>
    <x v="16"/>
    <x v="16"/>
    <x v="6"/>
    <m/>
    <x v="5"/>
    <s v="consumo_intermedio_por_actividad_economica"/>
  </r>
  <r>
    <x v="17"/>
    <x v="17"/>
    <x v="6"/>
    <m/>
    <x v="5"/>
    <s v="consumo_intermedio_por_actividad_economica"/>
  </r>
  <r>
    <x v="18"/>
    <x v="18"/>
    <x v="6"/>
    <m/>
    <x v="5"/>
    <s v="consumo_intermedio_por_actividad_economica"/>
  </r>
  <r>
    <x v="19"/>
    <x v="19"/>
    <x v="6"/>
    <m/>
    <x v="5"/>
    <s v="consumo_intermedio_por_actividad_economica"/>
  </r>
  <r>
    <x v="20"/>
    <x v="20"/>
    <x v="6"/>
    <m/>
    <x v="5"/>
    <s v="consumo_intermedio_por_actividad_economica"/>
  </r>
  <r>
    <x v="21"/>
    <x v="21"/>
    <x v="6"/>
    <m/>
    <x v="5"/>
    <s v="consumo_intermedio_por_actividad_economica"/>
  </r>
  <r>
    <x v="22"/>
    <x v="22"/>
    <x v="6"/>
    <m/>
    <x v="5"/>
    <s v="consumo_intermedio_por_actividad_economica"/>
  </r>
  <r>
    <x v="23"/>
    <x v="23"/>
    <x v="6"/>
    <m/>
    <x v="5"/>
    <s v="consumo_intermedio_por_actividad_economica"/>
  </r>
  <r>
    <x v="24"/>
    <x v="24"/>
    <x v="6"/>
    <m/>
    <x v="5"/>
    <s v="consumo_intermedio_por_actividad_economica"/>
  </r>
  <r>
    <x v="25"/>
    <x v="25"/>
    <x v="6"/>
    <m/>
    <x v="5"/>
    <s v="consumo_intermedio_por_actividad_economica"/>
  </r>
  <r>
    <x v="0"/>
    <x v="0"/>
    <x v="4"/>
    <n v="262113.59"/>
    <x v="6"/>
    <s v="consumo_intermedio_por_actividad_economica"/>
  </r>
  <r>
    <x v="1"/>
    <x v="1"/>
    <x v="4"/>
    <n v="393684.11"/>
    <x v="6"/>
    <s v="consumo_intermedio_por_actividad_economica"/>
  </r>
  <r>
    <x v="2"/>
    <x v="2"/>
    <x v="4"/>
    <n v="37102.080000000002"/>
    <x v="6"/>
    <s v="consumo_intermedio_por_actividad_economica"/>
  </r>
  <r>
    <x v="3"/>
    <x v="3"/>
    <x v="4"/>
    <n v="6580.72"/>
    <x v="6"/>
    <s v="consumo_intermedio_por_actividad_economica"/>
  </r>
  <r>
    <x v="4"/>
    <x v="4"/>
    <x v="4"/>
    <n v="19999.05"/>
    <x v="6"/>
    <s v="consumo_intermedio_por_actividad_economica"/>
  </r>
  <r>
    <x v="5"/>
    <x v="5"/>
    <x v="4"/>
    <n v="13611.04"/>
    <x v="6"/>
    <s v="consumo_intermedio_por_actividad_economica"/>
  </r>
  <r>
    <x v="6"/>
    <x v="6"/>
    <x v="4"/>
    <n v="13437.49"/>
    <x v="6"/>
    <s v="consumo_intermedio_por_actividad_economica"/>
  </r>
  <r>
    <x v="7"/>
    <x v="7"/>
    <x v="4"/>
    <n v="12875.18"/>
    <x v="6"/>
    <s v="consumo_intermedio_por_actividad_economica"/>
  </r>
  <r>
    <x v="8"/>
    <x v="8"/>
    <x v="4"/>
    <n v="49058.5"/>
    <x v="6"/>
    <s v="consumo_intermedio_por_actividad_economica"/>
  </r>
  <r>
    <x v="9"/>
    <x v="9"/>
    <x v="4"/>
    <n v="3662.37"/>
    <x v="6"/>
    <s v="consumo_intermedio_por_actividad_economica"/>
  </r>
  <r>
    <x v="10"/>
    <x v="10"/>
    <x v="4"/>
    <n v="-194830.95"/>
    <x v="6"/>
    <s v="consumo_intermedio_por_actividad_economica"/>
  </r>
  <r>
    <x v="11"/>
    <x v="11"/>
    <x v="4"/>
    <n v="-102772.48"/>
    <x v="6"/>
    <s v="consumo_intermedio_por_actividad_economica"/>
  </r>
  <r>
    <x v="12"/>
    <x v="12"/>
    <x v="4"/>
    <n v="20944.79"/>
    <x v="6"/>
    <s v="consumo_intermedio_por_actividad_economica"/>
  </r>
  <r>
    <x v="13"/>
    <x v="13"/>
    <x v="4"/>
    <n v="55575.03"/>
    <x v="6"/>
    <s v="consumo_intermedio_por_actividad_economica"/>
  </r>
  <r>
    <x v="14"/>
    <x v="14"/>
    <x v="4"/>
    <n v="38968.550000000003"/>
    <x v="6"/>
    <s v="consumo_intermedio_por_actividad_economica"/>
  </r>
  <r>
    <x v="15"/>
    <x v="15"/>
    <x v="4"/>
    <n v="136323.47"/>
    <x v="6"/>
    <s v="consumo_intermedio_por_actividad_economica"/>
  </r>
  <r>
    <x v="16"/>
    <x v="16"/>
    <x v="4"/>
    <n v="41080.25"/>
    <x v="6"/>
    <s v="consumo_intermedio_por_actividad_economica"/>
  </r>
  <r>
    <x v="17"/>
    <x v="17"/>
    <x v="4"/>
    <n v="-277919.44"/>
    <x v="6"/>
    <s v="consumo_intermedio_por_actividad_economica"/>
  </r>
  <r>
    <x v="18"/>
    <x v="18"/>
    <x v="4"/>
    <n v="44593.919999999998"/>
    <x v="6"/>
    <s v="consumo_intermedio_por_actividad_economica"/>
  </r>
  <r>
    <x v="19"/>
    <x v="19"/>
    <x v="4"/>
    <n v="78989.89"/>
    <x v="6"/>
    <s v="consumo_intermedio_por_actividad_economica"/>
  </r>
  <r>
    <x v="20"/>
    <x v="20"/>
    <x v="4"/>
    <n v="148997.91"/>
    <x v="6"/>
    <s v="consumo_intermedio_por_actividad_economica"/>
  </r>
  <r>
    <x v="21"/>
    <x v="21"/>
    <x v="4"/>
    <n v="-308093.7"/>
    <x v="6"/>
    <s v="consumo_intermedio_por_actividad_economica"/>
  </r>
  <r>
    <x v="22"/>
    <x v="22"/>
    <x v="4"/>
    <n v="11778.9"/>
    <x v="6"/>
    <s v="consumo_intermedio_por_actividad_economica"/>
  </r>
  <r>
    <x v="23"/>
    <x v="23"/>
    <x v="4"/>
    <n v="8940.51"/>
    <x v="6"/>
    <s v="consumo_intermedio_por_actividad_economica"/>
  </r>
  <r>
    <x v="24"/>
    <x v="24"/>
    <x v="4"/>
    <n v="9526.4"/>
    <x v="6"/>
    <s v="consumo_intermedio_por_actividad_economica"/>
  </r>
  <r>
    <x v="25"/>
    <x v="25"/>
    <x v="4"/>
    <m/>
    <x v="6"/>
    <s v="consumo_intermedio_por_actividad_economica"/>
  </r>
  <r>
    <x v="0"/>
    <x v="0"/>
    <x v="0"/>
    <n v="62164.26"/>
    <x v="6"/>
    <s v="consumo_intermedio_por_actividad_economica"/>
  </r>
  <r>
    <x v="1"/>
    <x v="1"/>
    <x v="0"/>
    <n v="23480.55"/>
    <x v="6"/>
    <s v="consumo_intermedio_por_actividad_economica"/>
  </r>
  <r>
    <x v="2"/>
    <x v="2"/>
    <x v="0"/>
    <n v="3562.66"/>
    <x v="6"/>
    <s v="consumo_intermedio_por_actividad_economica"/>
  </r>
  <r>
    <x v="3"/>
    <x v="3"/>
    <x v="0"/>
    <m/>
    <x v="6"/>
    <s v="consumo_intermedio_por_actividad_economica"/>
  </r>
  <r>
    <x v="4"/>
    <x v="4"/>
    <x v="0"/>
    <n v="194.85"/>
    <x v="6"/>
    <s v="consumo_intermedio_por_actividad_economica"/>
  </r>
  <r>
    <x v="5"/>
    <x v="5"/>
    <x v="0"/>
    <n v="79.239999999999995"/>
    <x v="6"/>
    <s v="consumo_intermedio_por_actividad_economica"/>
  </r>
  <r>
    <x v="6"/>
    <x v="6"/>
    <x v="0"/>
    <n v="26.14"/>
    <x v="6"/>
    <s v="consumo_intermedio_por_actividad_economica"/>
  </r>
  <r>
    <x v="7"/>
    <x v="7"/>
    <x v="0"/>
    <n v="2898.76"/>
    <x v="6"/>
    <s v="consumo_intermedio_por_actividad_economica"/>
  </r>
  <r>
    <x v="8"/>
    <x v="8"/>
    <x v="0"/>
    <n v="3622.15"/>
    <x v="6"/>
    <s v="consumo_intermedio_por_actividad_economica"/>
  </r>
  <r>
    <x v="9"/>
    <x v="9"/>
    <x v="0"/>
    <n v="179.7"/>
    <x v="6"/>
    <s v="consumo_intermedio_por_actividad_economica"/>
  </r>
  <r>
    <x v="10"/>
    <x v="10"/>
    <x v="0"/>
    <m/>
    <x v="6"/>
    <s v="consumo_intermedio_por_actividad_economica"/>
  </r>
  <r>
    <x v="11"/>
    <x v="11"/>
    <x v="0"/>
    <n v="11966.68"/>
    <x v="6"/>
    <s v="consumo_intermedio_por_actividad_economica"/>
  </r>
  <r>
    <x v="12"/>
    <x v="12"/>
    <x v="0"/>
    <n v="868.48"/>
    <x v="6"/>
    <s v="consumo_intermedio_por_actividad_economica"/>
  </r>
  <r>
    <x v="13"/>
    <x v="13"/>
    <x v="0"/>
    <n v="2224.4699999999998"/>
    <x v="6"/>
    <s v="consumo_intermedio_por_actividad_economica"/>
  </r>
  <r>
    <x v="14"/>
    <x v="14"/>
    <x v="0"/>
    <n v="2118.04"/>
    <x v="6"/>
    <s v="consumo_intermedio_por_actividad_economica"/>
  </r>
  <r>
    <x v="15"/>
    <x v="15"/>
    <x v="0"/>
    <n v="2347.39"/>
    <x v="6"/>
    <s v="consumo_intermedio_por_actividad_economica"/>
  </r>
  <r>
    <x v="16"/>
    <x v="16"/>
    <x v="0"/>
    <n v="1729.36"/>
    <x v="6"/>
    <s v="consumo_intermedio_por_actividad_economica"/>
  </r>
  <r>
    <x v="17"/>
    <x v="17"/>
    <x v="0"/>
    <n v="10.53"/>
    <x v="6"/>
    <s v="consumo_intermedio_por_actividad_economica"/>
  </r>
  <r>
    <x v="18"/>
    <x v="18"/>
    <x v="0"/>
    <n v="767.52"/>
    <x v="6"/>
    <s v="consumo_intermedio_por_actividad_economica"/>
  </r>
  <r>
    <x v="19"/>
    <x v="19"/>
    <x v="0"/>
    <n v="571.87"/>
    <x v="6"/>
    <s v="consumo_intermedio_por_actividad_economica"/>
  </r>
  <r>
    <x v="20"/>
    <x v="20"/>
    <x v="0"/>
    <n v="47.77"/>
    <x v="6"/>
    <s v="consumo_intermedio_por_actividad_economica"/>
  </r>
  <r>
    <x v="21"/>
    <x v="21"/>
    <x v="0"/>
    <n v="34.25"/>
    <x v="6"/>
    <s v="consumo_intermedio_por_actividad_economica"/>
  </r>
  <r>
    <x v="22"/>
    <x v="22"/>
    <x v="0"/>
    <n v="1364.21"/>
    <x v="6"/>
    <s v="consumo_intermedio_por_actividad_economica"/>
  </r>
  <r>
    <x v="23"/>
    <x v="23"/>
    <x v="0"/>
    <n v="90.3"/>
    <x v="6"/>
    <s v="consumo_intermedio_por_actividad_economica"/>
  </r>
  <r>
    <x v="24"/>
    <x v="24"/>
    <x v="0"/>
    <n v="597.26"/>
    <x v="6"/>
    <s v="consumo_intermedio_por_actividad_economica"/>
  </r>
  <r>
    <x v="25"/>
    <x v="25"/>
    <x v="0"/>
    <n v="3382.08"/>
    <x v="6"/>
    <s v="consumo_intermedio_por_actividad_economica"/>
  </r>
  <r>
    <x v="0"/>
    <x v="0"/>
    <x v="1"/>
    <n v="64450.49"/>
    <x v="6"/>
    <s v="consumo_intermedio_por_actividad_economica"/>
  </r>
  <r>
    <x v="1"/>
    <x v="1"/>
    <x v="1"/>
    <n v="18650.13"/>
    <x v="6"/>
    <s v="consumo_intermedio_por_actividad_economica"/>
  </r>
  <r>
    <x v="2"/>
    <x v="2"/>
    <x v="1"/>
    <n v="1349.55"/>
    <x v="6"/>
    <s v="consumo_intermedio_por_actividad_economica"/>
  </r>
  <r>
    <x v="3"/>
    <x v="3"/>
    <x v="1"/>
    <m/>
    <x v="6"/>
    <s v="consumo_intermedio_por_actividad_economica"/>
  </r>
  <r>
    <x v="4"/>
    <x v="4"/>
    <x v="1"/>
    <n v="1049.1600000000001"/>
    <x v="6"/>
    <s v="consumo_intermedio_por_actividad_economica"/>
  </r>
  <r>
    <x v="5"/>
    <x v="5"/>
    <x v="1"/>
    <n v="1421.96"/>
    <x v="6"/>
    <s v="consumo_intermedio_por_actividad_economica"/>
  </r>
  <r>
    <x v="6"/>
    <x v="6"/>
    <x v="1"/>
    <n v="218.77"/>
    <x v="6"/>
    <s v="consumo_intermedio_por_actividad_economica"/>
  </r>
  <r>
    <x v="7"/>
    <x v="7"/>
    <x v="1"/>
    <n v="222.72"/>
    <x v="6"/>
    <s v="consumo_intermedio_por_actividad_economica"/>
  </r>
  <r>
    <x v="8"/>
    <x v="8"/>
    <x v="1"/>
    <n v="2145.29"/>
    <x v="6"/>
    <s v="consumo_intermedio_por_actividad_economica"/>
  </r>
  <r>
    <x v="9"/>
    <x v="9"/>
    <x v="1"/>
    <n v="580.34"/>
    <x v="6"/>
    <s v="consumo_intermedio_por_actividad_economica"/>
  </r>
  <r>
    <x v="10"/>
    <x v="10"/>
    <x v="1"/>
    <n v="10673.52"/>
    <x v="6"/>
    <s v="consumo_intermedio_por_actividad_economica"/>
  </r>
  <r>
    <x v="11"/>
    <x v="11"/>
    <x v="1"/>
    <n v="6875.98"/>
    <x v="6"/>
    <s v="consumo_intermedio_por_actividad_economica"/>
  </r>
  <r>
    <x v="12"/>
    <x v="12"/>
    <x v="1"/>
    <n v="842.44"/>
    <x v="6"/>
    <s v="consumo_intermedio_por_actividad_economica"/>
  </r>
  <r>
    <x v="13"/>
    <x v="13"/>
    <x v="1"/>
    <n v="2700.34"/>
    <x v="6"/>
    <s v="consumo_intermedio_por_actividad_economica"/>
  </r>
  <r>
    <x v="14"/>
    <x v="14"/>
    <x v="1"/>
    <n v="2148.5300000000002"/>
    <x v="6"/>
    <s v="consumo_intermedio_por_actividad_economica"/>
  </r>
  <r>
    <x v="15"/>
    <x v="15"/>
    <x v="1"/>
    <n v="2355.23"/>
    <x v="6"/>
    <s v="consumo_intermedio_por_actividad_economica"/>
  </r>
  <r>
    <x v="16"/>
    <x v="16"/>
    <x v="1"/>
    <n v="1401.65"/>
    <x v="6"/>
    <s v="consumo_intermedio_por_actividad_economica"/>
  </r>
  <r>
    <x v="17"/>
    <x v="17"/>
    <x v="1"/>
    <m/>
    <x v="6"/>
    <s v="consumo_intermedio_por_actividad_economica"/>
  </r>
  <r>
    <x v="18"/>
    <x v="18"/>
    <x v="1"/>
    <n v="1249.1500000000001"/>
    <x v="6"/>
    <s v="consumo_intermedio_por_actividad_economica"/>
  </r>
  <r>
    <x v="19"/>
    <x v="19"/>
    <x v="1"/>
    <n v="316.14999999999998"/>
    <x v="6"/>
    <s v="consumo_intermedio_por_actividad_economica"/>
  </r>
  <r>
    <x v="20"/>
    <x v="20"/>
    <x v="1"/>
    <n v="586.11"/>
    <x v="6"/>
    <s v="consumo_intermedio_por_actividad_economica"/>
  </r>
  <r>
    <x v="21"/>
    <x v="21"/>
    <x v="1"/>
    <n v="706.43"/>
    <x v="6"/>
    <s v="consumo_intermedio_por_actividad_economica"/>
  </r>
  <r>
    <x v="22"/>
    <x v="22"/>
    <x v="1"/>
    <n v="368.49"/>
    <x v="6"/>
    <s v="consumo_intermedio_por_actividad_economica"/>
  </r>
  <r>
    <x v="23"/>
    <x v="23"/>
    <x v="1"/>
    <n v="8588.5499999999993"/>
    <x v="6"/>
    <s v="consumo_intermedio_por_actividad_economica"/>
  </r>
  <r>
    <x v="24"/>
    <x v="24"/>
    <x v="1"/>
    <m/>
    <x v="6"/>
    <s v="consumo_intermedio_por_actividad_economica"/>
  </r>
  <r>
    <x v="25"/>
    <x v="25"/>
    <x v="1"/>
    <m/>
    <x v="6"/>
    <s v="consumo_intermedio_por_actividad_economica"/>
  </r>
  <r>
    <x v="0"/>
    <x v="0"/>
    <x v="2"/>
    <n v="35602.639999999999"/>
    <x v="6"/>
    <s v="consumo_intermedio_por_actividad_economica"/>
  </r>
  <r>
    <x v="1"/>
    <x v="1"/>
    <x v="2"/>
    <n v="15139.11"/>
    <x v="6"/>
    <s v="consumo_intermedio_por_actividad_economica"/>
  </r>
  <r>
    <x v="2"/>
    <x v="2"/>
    <x v="2"/>
    <n v="856.29"/>
    <x v="6"/>
    <s v="consumo_intermedio_por_actividad_economica"/>
  </r>
  <r>
    <x v="3"/>
    <x v="3"/>
    <x v="2"/>
    <m/>
    <x v="6"/>
    <s v="consumo_intermedio_por_actividad_economica"/>
  </r>
  <r>
    <x v="4"/>
    <x v="4"/>
    <x v="2"/>
    <n v="524.36"/>
    <x v="6"/>
    <s v="consumo_intermedio_por_actividad_economica"/>
  </r>
  <r>
    <x v="5"/>
    <x v="5"/>
    <x v="2"/>
    <n v="114.85"/>
    <x v="6"/>
    <s v="consumo_intermedio_por_actividad_economica"/>
  </r>
  <r>
    <x v="6"/>
    <x v="6"/>
    <x v="2"/>
    <n v="98.93"/>
    <x v="6"/>
    <s v="consumo_intermedio_por_actividad_economica"/>
  </r>
  <r>
    <x v="7"/>
    <x v="7"/>
    <x v="2"/>
    <n v="374.13"/>
    <x v="6"/>
    <s v="consumo_intermedio_por_actividad_economica"/>
  </r>
  <r>
    <x v="8"/>
    <x v="8"/>
    <x v="2"/>
    <n v="1667.88"/>
    <x v="6"/>
    <s v="consumo_intermedio_por_actividad_economica"/>
  </r>
  <r>
    <x v="9"/>
    <x v="9"/>
    <x v="2"/>
    <n v="184.26"/>
    <x v="6"/>
    <s v="consumo_intermedio_por_actividad_economica"/>
  </r>
  <r>
    <x v="10"/>
    <x v="10"/>
    <x v="2"/>
    <n v="8237.5400000000009"/>
    <x v="6"/>
    <s v="consumo_intermedio_por_actividad_economica"/>
  </r>
  <r>
    <x v="11"/>
    <x v="11"/>
    <x v="2"/>
    <n v="1495.5"/>
    <x v="6"/>
    <s v="consumo_intermedio_por_actividad_economica"/>
  </r>
  <r>
    <x v="12"/>
    <x v="12"/>
    <x v="2"/>
    <n v="283.02"/>
    <x v="6"/>
    <s v="consumo_intermedio_por_actividad_economica"/>
  </r>
  <r>
    <x v="13"/>
    <x v="13"/>
    <x v="2"/>
    <n v="1689.42"/>
    <x v="6"/>
    <s v="consumo_intermedio_por_actividad_economica"/>
  </r>
  <r>
    <x v="14"/>
    <x v="14"/>
    <x v="2"/>
    <n v="872.07"/>
    <x v="6"/>
    <s v="consumo_intermedio_por_actividad_economica"/>
  </r>
  <r>
    <x v="15"/>
    <x v="15"/>
    <x v="2"/>
    <n v="1417.76"/>
    <x v="6"/>
    <s v="consumo_intermedio_por_actividad_economica"/>
  </r>
  <r>
    <x v="16"/>
    <x v="16"/>
    <x v="2"/>
    <n v="746.05"/>
    <x v="6"/>
    <s v="consumo_intermedio_por_actividad_economica"/>
  </r>
  <r>
    <x v="17"/>
    <x v="17"/>
    <x v="2"/>
    <n v="255.67"/>
    <x v="6"/>
    <s v="consumo_intermedio_por_actividad_economica"/>
  </r>
  <r>
    <x v="18"/>
    <x v="18"/>
    <x v="2"/>
    <n v="525.51"/>
    <x v="6"/>
    <s v="consumo_intermedio_por_actividad_economica"/>
  </r>
  <r>
    <x v="19"/>
    <x v="19"/>
    <x v="2"/>
    <n v="76.73"/>
    <x v="6"/>
    <s v="consumo_intermedio_por_actividad_economica"/>
  </r>
  <r>
    <x v="20"/>
    <x v="20"/>
    <x v="2"/>
    <n v="329.87"/>
    <x v="6"/>
    <s v="consumo_intermedio_por_actividad_economica"/>
  </r>
  <r>
    <x v="21"/>
    <x v="21"/>
    <x v="2"/>
    <n v="157.83000000000001"/>
    <x v="6"/>
    <s v="consumo_intermedio_por_actividad_economica"/>
  </r>
  <r>
    <x v="22"/>
    <x v="22"/>
    <x v="2"/>
    <n v="312.69"/>
    <x v="6"/>
    <s v="consumo_intermedio_por_actividad_economica"/>
  </r>
  <r>
    <x v="23"/>
    <x v="23"/>
    <x v="2"/>
    <n v="5.73"/>
    <x v="6"/>
    <s v="consumo_intermedio_por_actividad_economica"/>
  </r>
  <r>
    <x v="24"/>
    <x v="24"/>
    <x v="2"/>
    <n v="237.44"/>
    <x v="6"/>
    <s v="consumo_intermedio_por_actividad_economica"/>
  </r>
  <r>
    <x v="25"/>
    <x v="25"/>
    <x v="2"/>
    <m/>
    <x v="6"/>
    <s v="consumo_intermedio_por_actividad_economica"/>
  </r>
  <r>
    <x v="0"/>
    <x v="0"/>
    <x v="5"/>
    <n v="380564.08"/>
    <x v="6"/>
    <s v="consumo_intermedio_por_actividad_economica"/>
  </r>
  <r>
    <x v="1"/>
    <x v="1"/>
    <x v="5"/>
    <n v="56143.5"/>
    <x v="6"/>
    <s v="consumo_intermedio_por_actividad_economica"/>
  </r>
  <r>
    <x v="2"/>
    <x v="2"/>
    <x v="5"/>
    <n v="16734.099999999999"/>
    <x v="6"/>
    <s v="consumo_intermedio_por_actividad_economica"/>
  </r>
  <r>
    <x v="3"/>
    <x v="3"/>
    <x v="5"/>
    <n v="335"/>
    <x v="6"/>
    <s v="consumo_intermedio_por_actividad_economica"/>
  </r>
  <r>
    <x v="4"/>
    <x v="4"/>
    <x v="5"/>
    <n v="12012.93"/>
    <x v="6"/>
    <s v="consumo_intermedio_por_actividad_economica"/>
  </r>
  <r>
    <x v="5"/>
    <x v="5"/>
    <x v="5"/>
    <n v="2954.73"/>
    <x v="6"/>
    <s v="consumo_intermedio_por_actividad_economica"/>
  </r>
  <r>
    <x v="6"/>
    <x v="6"/>
    <x v="5"/>
    <n v="2327.14"/>
    <x v="6"/>
    <s v="consumo_intermedio_por_actividad_economica"/>
  </r>
  <r>
    <x v="7"/>
    <x v="7"/>
    <x v="5"/>
    <n v="2723.94"/>
    <x v="6"/>
    <s v="consumo_intermedio_por_actividad_economica"/>
  </r>
  <r>
    <x v="8"/>
    <x v="8"/>
    <x v="5"/>
    <n v="12555.88"/>
    <x v="6"/>
    <s v="consumo_intermedio_por_actividad_economica"/>
  </r>
  <r>
    <x v="9"/>
    <x v="9"/>
    <x v="5"/>
    <n v="483.32"/>
    <x v="6"/>
    <s v="consumo_intermedio_por_actividad_economica"/>
  </r>
  <r>
    <x v="10"/>
    <x v="10"/>
    <x v="5"/>
    <n v="19304.150000000001"/>
    <x v="6"/>
    <s v="consumo_intermedio_por_actividad_economica"/>
  </r>
  <r>
    <x v="11"/>
    <x v="11"/>
    <x v="5"/>
    <n v="34634.46"/>
    <x v="6"/>
    <s v="consumo_intermedio_por_actividad_economica"/>
  </r>
  <r>
    <x v="12"/>
    <x v="12"/>
    <x v="5"/>
    <n v="1032.54"/>
    <x v="6"/>
    <s v="consumo_intermedio_por_actividad_economica"/>
  </r>
  <r>
    <x v="13"/>
    <x v="13"/>
    <x v="5"/>
    <n v="17555.62"/>
    <x v="6"/>
    <s v="consumo_intermedio_por_actividad_economica"/>
  </r>
  <r>
    <x v="14"/>
    <x v="14"/>
    <x v="5"/>
    <n v="16307.04"/>
    <x v="6"/>
    <s v="consumo_intermedio_por_actividad_economica"/>
  </r>
  <r>
    <x v="15"/>
    <x v="15"/>
    <x v="5"/>
    <n v="36587.089999999997"/>
    <x v="6"/>
    <s v="consumo_intermedio_por_actividad_economica"/>
  </r>
  <r>
    <x v="16"/>
    <x v="16"/>
    <x v="5"/>
    <n v="18977.8"/>
    <x v="6"/>
    <s v="consumo_intermedio_por_actividad_economica"/>
  </r>
  <r>
    <x v="17"/>
    <x v="17"/>
    <x v="5"/>
    <n v="4277.0600000000004"/>
    <x v="6"/>
    <s v="consumo_intermedio_por_actividad_economica"/>
  </r>
  <r>
    <x v="18"/>
    <x v="18"/>
    <x v="5"/>
    <n v="21646.400000000001"/>
    <x v="6"/>
    <s v="consumo_intermedio_por_actividad_economica"/>
  </r>
  <r>
    <x v="19"/>
    <x v="19"/>
    <x v="5"/>
    <n v="29324.11"/>
    <x v="6"/>
    <s v="consumo_intermedio_por_actividad_economica"/>
  </r>
  <r>
    <x v="20"/>
    <x v="20"/>
    <x v="5"/>
    <n v="72295.429999999993"/>
    <x v="6"/>
    <s v="consumo_intermedio_por_actividad_economica"/>
  </r>
  <r>
    <x v="21"/>
    <x v="21"/>
    <x v="5"/>
    <n v="592.28"/>
    <x v="6"/>
    <s v="consumo_intermedio_por_actividad_economica"/>
  </r>
  <r>
    <x v="22"/>
    <x v="22"/>
    <x v="5"/>
    <n v="1238.57"/>
    <x v="6"/>
    <s v="consumo_intermedio_por_actividad_economica"/>
  </r>
  <r>
    <x v="23"/>
    <x v="23"/>
    <x v="5"/>
    <n v="520.99"/>
    <x v="6"/>
    <s v="consumo_intermedio_por_actividad_economica"/>
  </r>
  <r>
    <x v="24"/>
    <x v="24"/>
    <x v="5"/>
    <m/>
    <x v="6"/>
    <s v="consumo_intermedio_por_actividad_economica"/>
  </r>
  <r>
    <x v="25"/>
    <x v="25"/>
    <x v="5"/>
    <m/>
    <x v="6"/>
    <s v="consumo_intermedio_por_actividad_economica"/>
  </r>
  <r>
    <x v="0"/>
    <x v="0"/>
    <x v="3"/>
    <m/>
    <x v="6"/>
    <s v="consumo_intermedio_por_actividad_economica"/>
  </r>
  <r>
    <x v="1"/>
    <x v="1"/>
    <x v="3"/>
    <m/>
    <x v="6"/>
    <s v="consumo_intermedio_por_actividad_economica"/>
  </r>
  <r>
    <x v="2"/>
    <x v="2"/>
    <x v="3"/>
    <m/>
    <x v="6"/>
    <s v="consumo_intermedio_por_actividad_economica"/>
  </r>
  <r>
    <x v="3"/>
    <x v="3"/>
    <x v="3"/>
    <m/>
    <x v="6"/>
    <s v="consumo_intermedio_por_actividad_economica"/>
  </r>
  <r>
    <x v="4"/>
    <x v="4"/>
    <x v="3"/>
    <m/>
    <x v="6"/>
    <s v="consumo_intermedio_por_actividad_economica"/>
  </r>
  <r>
    <x v="5"/>
    <x v="5"/>
    <x v="3"/>
    <m/>
    <x v="6"/>
    <s v="consumo_intermedio_por_actividad_economica"/>
  </r>
  <r>
    <x v="6"/>
    <x v="6"/>
    <x v="3"/>
    <m/>
    <x v="6"/>
    <s v="consumo_intermedio_por_actividad_economica"/>
  </r>
  <r>
    <x v="7"/>
    <x v="7"/>
    <x v="3"/>
    <m/>
    <x v="6"/>
    <s v="consumo_intermedio_por_actividad_economica"/>
  </r>
  <r>
    <x v="8"/>
    <x v="8"/>
    <x v="3"/>
    <m/>
    <x v="6"/>
    <s v="consumo_intermedio_por_actividad_economica"/>
  </r>
  <r>
    <x v="9"/>
    <x v="9"/>
    <x v="3"/>
    <m/>
    <x v="6"/>
    <s v="consumo_intermedio_por_actividad_economica"/>
  </r>
  <r>
    <x v="10"/>
    <x v="10"/>
    <x v="3"/>
    <m/>
    <x v="6"/>
    <s v="consumo_intermedio_por_actividad_economica"/>
  </r>
  <r>
    <x v="11"/>
    <x v="11"/>
    <x v="3"/>
    <m/>
    <x v="6"/>
    <s v="consumo_intermedio_por_actividad_economica"/>
  </r>
  <r>
    <x v="12"/>
    <x v="12"/>
    <x v="3"/>
    <m/>
    <x v="6"/>
    <s v="consumo_intermedio_por_actividad_economica"/>
  </r>
  <r>
    <x v="13"/>
    <x v="13"/>
    <x v="3"/>
    <m/>
    <x v="6"/>
    <s v="consumo_intermedio_por_actividad_economica"/>
  </r>
  <r>
    <x v="14"/>
    <x v="14"/>
    <x v="3"/>
    <m/>
    <x v="6"/>
    <s v="consumo_intermedio_por_actividad_economica"/>
  </r>
  <r>
    <x v="15"/>
    <x v="15"/>
    <x v="3"/>
    <m/>
    <x v="6"/>
    <s v="consumo_intermedio_por_actividad_economica"/>
  </r>
  <r>
    <x v="16"/>
    <x v="16"/>
    <x v="3"/>
    <m/>
    <x v="6"/>
    <s v="consumo_intermedio_por_actividad_economica"/>
  </r>
  <r>
    <x v="17"/>
    <x v="17"/>
    <x v="3"/>
    <m/>
    <x v="6"/>
    <s v="consumo_intermedio_por_actividad_economica"/>
  </r>
  <r>
    <x v="18"/>
    <x v="18"/>
    <x v="3"/>
    <m/>
    <x v="6"/>
    <s v="consumo_intermedio_por_actividad_economica"/>
  </r>
  <r>
    <x v="19"/>
    <x v="19"/>
    <x v="3"/>
    <m/>
    <x v="6"/>
    <s v="consumo_intermedio_por_actividad_economica"/>
  </r>
  <r>
    <x v="20"/>
    <x v="20"/>
    <x v="3"/>
    <m/>
    <x v="6"/>
    <s v="consumo_intermedio_por_actividad_economica"/>
  </r>
  <r>
    <x v="21"/>
    <x v="21"/>
    <x v="3"/>
    <m/>
    <x v="6"/>
    <s v="consumo_intermedio_por_actividad_economica"/>
  </r>
  <r>
    <x v="22"/>
    <x v="22"/>
    <x v="3"/>
    <m/>
    <x v="6"/>
    <s v="consumo_intermedio_por_actividad_economica"/>
  </r>
  <r>
    <x v="23"/>
    <x v="23"/>
    <x v="3"/>
    <m/>
    <x v="6"/>
    <s v="consumo_intermedio_por_actividad_economica"/>
  </r>
  <r>
    <x v="24"/>
    <x v="24"/>
    <x v="3"/>
    <m/>
    <x v="6"/>
    <s v="consumo_intermedio_por_actividad_economica"/>
  </r>
  <r>
    <x v="25"/>
    <x v="25"/>
    <x v="3"/>
    <m/>
    <x v="6"/>
    <s v="consumo_intermedio_por_actividad_economica"/>
  </r>
  <r>
    <x v="0"/>
    <x v="0"/>
    <x v="6"/>
    <m/>
    <x v="6"/>
    <s v="consumo_intermedio_por_actividad_economica"/>
  </r>
  <r>
    <x v="1"/>
    <x v="1"/>
    <x v="6"/>
    <m/>
    <x v="6"/>
    <s v="consumo_intermedio_por_actividad_economica"/>
  </r>
  <r>
    <x v="2"/>
    <x v="2"/>
    <x v="6"/>
    <m/>
    <x v="6"/>
    <s v="consumo_intermedio_por_actividad_economica"/>
  </r>
  <r>
    <x v="3"/>
    <x v="3"/>
    <x v="6"/>
    <m/>
    <x v="6"/>
    <s v="consumo_intermedio_por_actividad_economica"/>
  </r>
  <r>
    <x v="4"/>
    <x v="4"/>
    <x v="6"/>
    <m/>
    <x v="6"/>
    <s v="consumo_intermedio_por_actividad_economica"/>
  </r>
  <r>
    <x v="5"/>
    <x v="5"/>
    <x v="6"/>
    <m/>
    <x v="6"/>
    <s v="consumo_intermedio_por_actividad_economica"/>
  </r>
  <r>
    <x v="6"/>
    <x v="6"/>
    <x v="6"/>
    <m/>
    <x v="6"/>
    <s v="consumo_intermedio_por_actividad_economica"/>
  </r>
  <r>
    <x v="7"/>
    <x v="7"/>
    <x v="6"/>
    <m/>
    <x v="6"/>
    <s v="consumo_intermedio_por_actividad_economica"/>
  </r>
  <r>
    <x v="8"/>
    <x v="8"/>
    <x v="6"/>
    <m/>
    <x v="6"/>
    <s v="consumo_intermedio_por_actividad_economica"/>
  </r>
  <r>
    <x v="9"/>
    <x v="9"/>
    <x v="6"/>
    <m/>
    <x v="6"/>
    <s v="consumo_intermedio_por_actividad_economica"/>
  </r>
  <r>
    <x v="10"/>
    <x v="10"/>
    <x v="6"/>
    <m/>
    <x v="6"/>
    <s v="consumo_intermedio_por_actividad_economica"/>
  </r>
  <r>
    <x v="11"/>
    <x v="11"/>
    <x v="6"/>
    <m/>
    <x v="6"/>
    <s v="consumo_intermedio_por_actividad_economica"/>
  </r>
  <r>
    <x v="12"/>
    <x v="12"/>
    <x v="6"/>
    <m/>
    <x v="6"/>
    <s v="consumo_intermedio_por_actividad_economica"/>
  </r>
  <r>
    <x v="13"/>
    <x v="13"/>
    <x v="6"/>
    <m/>
    <x v="6"/>
    <s v="consumo_intermedio_por_actividad_economica"/>
  </r>
  <r>
    <x v="14"/>
    <x v="14"/>
    <x v="6"/>
    <m/>
    <x v="6"/>
    <s v="consumo_intermedio_por_actividad_economica"/>
  </r>
  <r>
    <x v="15"/>
    <x v="15"/>
    <x v="6"/>
    <m/>
    <x v="6"/>
    <s v="consumo_intermedio_por_actividad_economica"/>
  </r>
  <r>
    <x v="16"/>
    <x v="16"/>
    <x v="6"/>
    <m/>
    <x v="6"/>
    <s v="consumo_intermedio_por_actividad_economica"/>
  </r>
  <r>
    <x v="17"/>
    <x v="17"/>
    <x v="6"/>
    <m/>
    <x v="6"/>
    <s v="consumo_intermedio_por_actividad_economica"/>
  </r>
  <r>
    <x v="18"/>
    <x v="18"/>
    <x v="6"/>
    <m/>
    <x v="6"/>
    <s v="consumo_intermedio_por_actividad_economica"/>
  </r>
  <r>
    <x v="19"/>
    <x v="19"/>
    <x v="6"/>
    <m/>
    <x v="6"/>
    <s v="consumo_intermedio_por_actividad_economica"/>
  </r>
  <r>
    <x v="20"/>
    <x v="20"/>
    <x v="6"/>
    <m/>
    <x v="6"/>
    <s v="consumo_intermedio_por_actividad_economica"/>
  </r>
  <r>
    <x v="21"/>
    <x v="21"/>
    <x v="6"/>
    <m/>
    <x v="6"/>
    <s v="consumo_intermedio_por_actividad_economica"/>
  </r>
  <r>
    <x v="22"/>
    <x v="22"/>
    <x v="6"/>
    <m/>
    <x v="6"/>
    <s v="consumo_intermedio_por_actividad_economica"/>
  </r>
  <r>
    <x v="23"/>
    <x v="23"/>
    <x v="6"/>
    <m/>
    <x v="6"/>
    <s v="consumo_intermedio_por_actividad_economica"/>
  </r>
  <r>
    <x v="24"/>
    <x v="24"/>
    <x v="6"/>
    <m/>
    <x v="6"/>
    <s v="consumo_intermedio_por_actividad_economica"/>
  </r>
  <r>
    <x v="25"/>
    <x v="25"/>
    <x v="6"/>
    <m/>
    <x v="6"/>
    <s v="consumo_intermedio_por_actividad_economica"/>
  </r>
  <r>
    <x v="0"/>
    <x v="0"/>
    <x v="0"/>
    <n v="101056881"/>
    <x v="0"/>
    <s v="horas_trabajadas_por_actividad_economica"/>
  </r>
  <r>
    <x v="1"/>
    <x v="1"/>
    <x v="0"/>
    <n v="31016877"/>
    <x v="0"/>
    <s v="horas_trabajadas_por_actividad_economica"/>
  </r>
  <r>
    <x v="2"/>
    <x v="2"/>
    <x v="0"/>
    <n v="4488877"/>
    <x v="0"/>
    <s v="horas_trabajadas_por_actividad_economica"/>
  </r>
  <r>
    <x v="3"/>
    <x v="3"/>
    <x v="0"/>
    <m/>
    <x v="0"/>
    <s v="horas_trabajadas_por_actividad_economica"/>
  </r>
  <r>
    <x v="4"/>
    <x v="4"/>
    <x v="0"/>
    <n v="2278349"/>
    <x v="0"/>
    <s v="horas_trabajadas_por_actividad_economica"/>
  </r>
  <r>
    <x v="5"/>
    <x v="5"/>
    <x v="0"/>
    <n v="2538829"/>
    <x v="0"/>
    <s v="horas_trabajadas_por_actividad_economica"/>
  </r>
  <r>
    <x v="6"/>
    <x v="6"/>
    <x v="0"/>
    <n v="1195228"/>
    <x v="0"/>
    <s v="horas_trabajadas_por_actividad_economica"/>
  </r>
  <r>
    <x v="7"/>
    <x v="7"/>
    <x v="0"/>
    <n v="13803356"/>
    <x v="0"/>
    <s v="horas_trabajadas_por_actividad_economica"/>
  </r>
  <r>
    <x v="8"/>
    <x v="8"/>
    <x v="0"/>
    <n v="12290612"/>
    <x v="0"/>
    <s v="horas_trabajadas_por_actividad_economica"/>
  </r>
  <r>
    <x v="9"/>
    <x v="9"/>
    <x v="0"/>
    <n v="1135090"/>
    <x v="0"/>
    <s v="horas_trabajadas_por_actividad_economica"/>
  </r>
  <r>
    <x v="10"/>
    <x v="10"/>
    <x v="0"/>
    <m/>
    <x v="0"/>
    <s v="horas_trabajadas_por_actividad_economica"/>
  </r>
  <r>
    <x v="11"/>
    <x v="11"/>
    <x v="0"/>
    <n v="4951722"/>
    <x v="0"/>
    <s v="horas_trabajadas_por_actividad_economica"/>
  </r>
  <r>
    <x v="12"/>
    <x v="12"/>
    <x v="0"/>
    <n v="2754327"/>
    <x v="0"/>
    <s v="horas_trabajadas_por_actividad_economica"/>
  </r>
  <r>
    <x v="13"/>
    <x v="13"/>
    <x v="0"/>
    <n v="5032232"/>
    <x v="0"/>
    <s v="horas_trabajadas_por_actividad_economica"/>
  </r>
  <r>
    <x v="14"/>
    <x v="14"/>
    <x v="0"/>
    <n v="4006104"/>
    <x v="0"/>
    <s v="horas_trabajadas_por_actividad_economica"/>
  </r>
  <r>
    <x v="15"/>
    <x v="15"/>
    <x v="0"/>
    <n v="1020551"/>
    <x v="0"/>
    <s v="horas_trabajadas_por_actividad_economica"/>
  </r>
  <r>
    <x v="16"/>
    <x v="16"/>
    <x v="0"/>
    <n v="3933024"/>
    <x v="0"/>
    <s v="horas_trabajadas_por_actividad_economica"/>
  </r>
  <r>
    <x v="17"/>
    <x v="17"/>
    <x v="0"/>
    <n v="320721"/>
    <x v="0"/>
    <s v="horas_trabajadas_por_actividad_economica"/>
  </r>
  <r>
    <x v="18"/>
    <x v="18"/>
    <x v="0"/>
    <n v="1703095"/>
    <x v="0"/>
    <s v="horas_trabajadas_por_actividad_economica"/>
  </r>
  <r>
    <x v="19"/>
    <x v="19"/>
    <x v="0"/>
    <n v="1367467"/>
    <x v="0"/>
    <s v="horas_trabajadas_por_actividad_economica"/>
  </r>
  <r>
    <x v="20"/>
    <x v="20"/>
    <x v="0"/>
    <n v="148983"/>
    <x v="0"/>
    <s v="horas_trabajadas_por_actividad_economica"/>
  </r>
  <r>
    <x v="21"/>
    <x v="21"/>
    <x v="0"/>
    <n v="140001"/>
    <x v="0"/>
    <s v="horas_trabajadas_por_actividad_economica"/>
  </r>
  <r>
    <x v="22"/>
    <x v="22"/>
    <x v="0"/>
    <n v="1169120"/>
    <x v="0"/>
    <s v="horas_trabajadas_por_actividad_economica"/>
  </r>
  <r>
    <x v="23"/>
    <x v="23"/>
    <x v="0"/>
    <n v="232095"/>
    <x v="0"/>
    <s v="horas_trabajadas_por_actividad_economica"/>
  </r>
  <r>
    <x v="24"/>
    <x v="24"/>
    <x v="0"/>
    <n v="2499647"/>
    <x v="0"/>
    <s v="horas_trabajadas_por_actividad_economica"/>
  </r>
  <r>
    <x v="25"/>
    <x v="25"/>
    <x v="0"/>
    <n v="3030562"/>
    <x v="0"/>
    <s v="horas_trabajadas_por_actividad_economica"/>
  </r>
  <r>
    <x v="0"/>
    <x v="0"/>
    <x v="2"/>
    <n v="632851339"/>
    <x v="0"/>
    <s v="horas_trabajadas_por_actividad_economica"/>
  </r>
  <r>
    <x v="1"/>
    <x v="1"/>
    <x v="2"/>
    <n v="286681305"/>
    <x v="0"/>
    <s v="horas_trabajadas_por_actividad_economica"/>
  </r>
  <r>
    <x v="2"/>
    <x v="2"/>
    <x v="2"/>
    <n v="22386232"/>
    <x v="0"/>
    <s v="horas_trabajadas_por_actividad_economica"/>
  </r>
  <r>
    <x v="3"/>
    <x v="3"/>
    <x v="2"/>
    <n v="251952"/>
    <x v="0"/>
    <s v="horas_trabajadas_por_actividad_economica"/>
  </r>
  <r>
    <x v="4"/>
    <x v="4"/>
    <x v="2"/>
    <n v="28462782"/>
    <x v="0"/>
    <s v="horas_trabajadas_por_actividad_economica"/>
  </r>
  <r>
    <x v="5"/>
    <x v="5"/>
    <x v="2"/>
    <n v="28937982"/>
    <x v="0"/>
    <s v="horas_trabajadas_por_actividad_economica"/>
  </r>
  <r>
    <x v="6"/>
    <x v="6"/>
    <x v="2"/>
    <n v="5392632"/>
    <x v="0"/>
    <s v="horas_trabajadas_por_actividad_economica"/>
  </r>
  <r>
    <x v="7"/>
    <x v="7"/>
    <x v="2"/>
    <n v="14436666"/>
    <x v="0"/>
    <s v="horas_trabajadas_por_actividad_economica"/>
  </r>
  <r>
    <x v="8"/>
    <x v="8"/>
    <x v="2"/>
    <n v="24113935"/>
    <x v="0"/>
    <s v="horas_trabajadas_por_actividad_economica"/>
  </r>
  <r>
    <x v="9"/>
    <x v="9"/>
    <x v="2"/>
    <n v="13214916"/>
    <x v="0"/>
    <s v="horas_trabajadas_por_actividad_economica"/>
  </r>
  <r>
    <x v="10"/>
    <x v="10"/>
    <x v="2"/>
    <n v="1366092"/>
    <x v="0"/>
    <s v="horas_trabajadas_por_actividad_economica"/>
  </r>
  <r>
    <x v="11"/>
    <x v="11"/>
    <x v="2"/>
    <n v="21325121"/>
    <x v="0"/>
    <s v="horas_trabajadas_por_actividad_economica"/>
  </r>
  <r>
    <x v="12"/>
    <x v="12"/>
    <x v="2"/>
    <n v="10937136"/>
    <x v="0"/>
    <s v="horas_trabajadas_por_actividad_economica"/>
  </r>
  <r>
    <x v="13"/>
    <x v="13"/>
    <x v="2"/>
    <n v="41308706"/>
    <x v="0"/>
    <s v="horas_trabajadas_por_actividad_economica"/>
  </r>
  <r>
    <x v="14"/>
    <x v="14"/>
    <x v="2"/>
    <n v="31081770"/>
    <x v="0"/>
    <s v="horas_trabajadas_por_actividad_economica"/>
  </r>
  <r>
    <x v="15"/>
    <x v="15"/>
    <x v="2"/>
    <n v="21570007"/>
    <x v="0"/>
    <s v="horas_trabajadas_por_actividad_economica"/>
  </r>
  <r>
    <x v="16"/>
    <x v="16"/>
    <x v="2"/>
    <n v="14697216"/>
    <x v="0"/>
    <s v="horas_trabajadas_por_actividad_economica"/>
  </r>
  <r>
    <x v="17"/>
    <x v="17"/>
    <x v="2"/>
    <n v="1684848"/>
    <x v="0"/>
    <s v="horas_trabajadas_por_actividad_economica"/>
  </r>
  <r>
    <x v="18"/>
    <x v="18"/>
    <x v="2"/>
    <n v="14566728"/>
    <x v="0"/>
    <s v="horas_trabajadas_por_actividad_economica"/>
  </r>
  <r>
    <x v="19"/>
    <x v="19"/>
    <x v="2"/>
    <n v="4821288"/>
    <x v="0"/>
    <s v="horas_trabajadas_por_actividad_economica"/>
  </r>
  <r>
    <x v="20"/>
    <x v="20"/>
    <x v="2"/>
    <n v="9384110"/>
    <x v="0"/>
    <s v="horas_trabajadas_por_actividad_economica"/>
  </r>
  <r>
    <x v="21"/>
    <x v="21"/>
    <x v="2"/>
    <n v="2932644"/>
    <x v="0"/>
    <s v="horas_trabajadas_por_actividad_economica"/>
  </r>
  <r>
    <x v="22"/>
    <x v="22"/>
    <x v="2"/>
    <n v="10678692"/>
    <x v="0"/>
    <s v="horas_trabajadas_por_actividad_economica"/>
  </r>
  <r>
    <x v="23"/>
    <x v="23"/>
    <x v="2"/>
    <n v="3636678"/>
    <x v="0"/>
    <s v="horas_trabajadas_por_actividad_economica"/>
  </r>
  <r>
    <x v="24"/>
    <x v="24"/>
    <x v="2"/>
    <n v="18981895"/>
    <x v="0"/>
    <s v="horas_trabajadas_por_actividad_economica"/>
  </r>
  <r>
    <x v="25"/>
    <x v="25"/>
    <x v="2"/>
    <m/>
    <x v="0"/>
    <s v="horas_trabajadas_por_actividad_economica"/>
  </r>
  <r>
    <x v="0"/>
    <x v="0"/>
    <x v="5"/>
    <n v="9728846000"/>
    <x v="0"/>
    <s v="horas_trabajadas_por_actividad_economica"/>
  </r>
  <r>
    <x v="1"/>
    <x v="1"/>
    <x v="5"/>
    <n v="2196004000"/>
    <x v="0"/>
    <s v="horas_trabajadas_por_actividad_economica"/>
  </r>
  <r>
    <x v="2"/>
    <x v="2"/>
    <x v="5"/>
    <n v="362524000"/>
    <x v="0"/>
    <s v="horas_trabajadas_por_actividad_economica"/>
  </r>
  <r>
    <x v="3"/>
    <x v="3"/>
    <x v="5"/>
    <n v="5289000"/>
    <x v="0"/>
    <s v="horas_trabajadas_por_actividad_economica"/>
  </r>
  <r>
    <x v="4"/>
    <x v="4"/>
    <x v="5"/>
    <n v="612933000"/>
    <x v="0"/>
    <s v="horas_trabajadas_por_actividad_economica"/>
  </r>
  <r>
    <x v="5"/>
    <x v="5"/>
    <x v="5"/>
    <n v="373941000"/>
    <x v="0"/>
    <s v="horas_trabajadas_por_actividad_economica"/>
  </r>
  <r>
    <x v="6"/>
    <x v="6"/>
    <x v="5"/>
    <n v="176470000"/>
    <x v="0"/>
    <s v="horas_trabajadas_por_actividad_economica"/>
  </r>
  <r>
    <x v="7"/>
    <x v="7"/>
    <x v="5"/>
    <n v="70157000"/>
    <x v="0"/>
    <s v="horas_trabajadas_por_actividad_economica"/>
  </r>
  <r>
    <x v="8"/>
    <x v="8"/>
    <x v="5"/>
    <n v="189251000"/>
    <x v="0"/>
    <s v="horas_trabajadas_por_actividad_economica"/>
  </r>
  <r>
    <x v="9"/>
    <x v="9"/>
    <x v="5"/>
    <n v="36498000"/>
    <x v="0"/>
    <s v="horas_trabajadas_por_actividad_economica"/>
  </r>
  <r>
    <x v="10"/>
    <x v="10"/>
    <x v="5"/>
    <n v="67953000"/>
    <x v="0"/>
    <s v="horas_trabajadas_por_actividad_economica"/>
  </r>
  <r>
    <x v="11"/>
    <x v="11"/>
    <x v="5"/>
    <n v="428028000"/>
    <x v="0"/>
    <s v="horas_trabajadas_por_actividad_economica"/>
  </r>
  <r>
    <x v="12"/>
    <x v="12"/>
    <x v="5"/>
    <n v="158981000"/>
    <x v="0"/>
    <s v="horas_trabajadas_por_actividad_economica"/>
  </r>
  <r>
    <x v="13"/>
    <x v="13"/>
    <x v="5"/>
    <n v="554825000"/>
    <x v="0"/>
    <s v="horas_trabajadas_por_actividad_economica"/>
  </r>
  <r>
    <x v="14"/>
    <x v="14"/>
    <x v="5"/>
    <n v="408741000"/>
    <x v="0"/>
    <s v="horas_trabajadas_por_actividad_economica"/>
  </r>
  <r>
    <x v="15"/>
    <x v="15"/>
    <x v="5"/>
    <n v="274358000"/>
    <x v="0"/>
    <s v="horas_trabajadas_por_actividad_economica"/>
  </r>
  <r>
    <x v="16"/>
    <x v="16"/>
    <x v="5"/>
    <n v="678895000"/>
    <x v="0"/>
    <s v="horas_trabajadas_por_actividad_economica"/>
  </r>
  <r>
    <x v="17"/>
    <x v="17"/>
    <x v="5"/>
    <n v="720198000"/>
    <x v="0"/>
    <s v="horas_trabajadas_por_actividad_economica"/>
  </r>
  <r>
    <x v="18"/>
    <x v="18"/>
    <x v="5"/>
    <n v="1152982000"/>
    <x v="0"/>
    <s v="horas_trabajadas_por_actividad_economica"/>
  </r>
  <r>
    <x v="19"/>
    <x v="19"/>
    <x v="5"/>
    <n v="920965000"/>
    <x v="0"/>
    <s v="horas_trabajadas_por_actividad_economica"/>
  </r>
  <r>
    <x v="20"/>
    <x v="20"/>
    <x v="5"/>
    <n v="206303000"/>
    <x v="0"/>
    <s v="horas_trabajadas_por_actividad_economica"/>
  </r>
  <r>
    <x v="21"/>
    <x v="21"/>
    <x v="5"/>
    <n v="32890000"/>
    <x v="0"/>
    <s v="horas_trabajadas_por_actividad_economica"/>
  </r>
  <r>
    <x v="22"/>
    <x v="22"/>
    <x v="5"/>
    <n v="69559000"/>
    <x v="0"/>
    <s v="horas_trabajadas_por_actividad_economica"/>
  </r>
  <r>
    <x v="23"/>
    <x v="23"/>
    <x v="5"/>
    <n v="31101000"/>
    <x v="0"/>
    <s v="horas_trabajadas_por_actividad_economica"/>
  </r>
  <r>
    <x v="24"/>
    <x v="24"/>
    <x v="5"/>
    <m/>
    <x v="0"/>
    <s v="horas_trabajadas_por_actividad_economica"/>
  </r>
  <r>
    <x v="25"/>
    <x v="25"/>
    <x v="5"/>
    <m/>
    <x v="0"/>
    <s v="horas_trabajadas_por_actividad_economica"/>
  </r>
  <r>
    <x v="0"/>
    <x v="0"/>
    <x v="3"/>
    <m/>
    <x v="0"/>
    <s v="horas_trabajadas_por_actividad_economica"/>
  </r>
  <r>
    <x v="1"/>
    <x v="1"/>
    <x v="3"/>
    <m/>
    <x v="0"/>
    <s v="horas_trabajadas_por_actividad_economica"/>
  </r>
  <r>
    <x v="2"/>
    <x v="2"/>
    <x v="3"/>
    <m/>
    <x v="0"/>
    <s v="horas_trabajadas_por_actividad_economica"/>
  </r>
  <r>
    <x v="3"/>
    <x v="3"/>
    <x v="3"/>
    <m/>
    <x v="0"/>
    <s v="horas_trabajadas_por_actividad_economica"/>
  </r>
  <r>
    <x v="4"/>
    <x v="4"/>
    <x v="3"/>
    <m/>
    <x v="0"/>
    <s v="horas_trabajadas_por_actividad_economica"/>
  </r>
  <r>
    <x v="5"/>
    <x v="5"/>
    <x v="3"/>
    <m/>
    <x v="0"/>
    <s v="horas_trabajadas_por_actividad_economica"/>
  </r>
  <r>
    <x v="6"/>
    <x v="6"/>
    <x v="3"/>
    <m/>
    <x v="0"/>
    <s v="horas_trabajadas_por_actividad_economica"/>
  </r>
  <r>
    <x v="7"/>
    <x v="7"/>
    <x v="3"/>
    <m/>
    <x v="0"/>
    <s v="horas_trabajadas_por_actividad_economica"/>
  </r>
  <r>
    <x v="8"/>
    <x v="8"/>
    <x v="3"/>
    <m/>
    <x v="0"/>
    <s v="horas_trabajadas_por_actividad_economica"/>
  </r>
  <r>
    <x v="9"/>
    <x v="9"/>
    <x v="3"/>
    <m/>
    <x v="0"/>
    <s v="horas_trabajadas_por_actividad_economica"/>
  </r>
  <r>
    <x v="10"/>
    <x v="10"/>
    <x v="3"/>
    <m/>
    <x v="0"/>
    <s v="horas_trabajadas_por_actividad_economica"/>
  </r>
  <r>
    <x v="11"/>
    <x v="11"/>
    <x v="3"/>
    <m/>
    <x v="0"/>
    <s v="horas_trabajadas_por_actividad_economica"/>
  </r>
  <r>
    <x v="12"/>
    <x v="12"/>
    <x v="3"/>
    <m/>
    <x v="0"/>
    <s v="horas_trabajadas_por_actividad_economica"/>
  </r>
  <r>
    <x v="13"/>
    <x v="13"/>
    <x v="3"/>
    <m/>
    <x v="0"/>
    <s v="horas_trabajadas_por_actividad_economica"/>
  </r>
  <r>
    <x v="14"/>
    <x v="14"/>
    <x v="3"/>
    <m/>
    <x v="0"/>
    <s v="horas_trabajadas_por_actividad_economica"/>
  </r>
  <r>
    <x v="15"/>
    <x v="15"/>
    <x v="3"/>
    <m/>
    <x v="0"/>
    <s v="horas_trabajadas_por_actividad_economica"/>
  </r>
  <r>
    <x v="16"/>
    <x v="16"/>
    <x v="3"/>
    <m/>
    <x v="0"/>
    <s v="horas_trabajadas_por_actividad_economica"/>
  </r>
  <r>
    <x v="17"/>
    <x v="17"/>
    <x v="3"/>
    <m/>
    <x v="0"/>
    <s v="horas_trabajadas_por_actividad_economica"/>
  </r>
  <r>
    <x v="18"/>
    <x v="18"/>
    <x v="3"/>
    <m/>
    <x v="0"/>
    <s v="horas_trabajadas_por_actividad_economica"/>
  </r>
  <r>
    <x v="19"/>
    <x v="19"/>
    <x v="3"/>
    <m/>
    <x v="0"/>
    <s v="horas_trabajadas_por_actividad_economica"/>
  </r>
  <r>
    <x v="20"/>
    <x v="20"/>
    <x v="3"/>
    <m/>
    <x v="0"/>
    <s v="horas_trabajadas_por_actividad_economica"/>
  </r>
  <r>
    <x v="21"/>
    <x v="21"/>
    <x v="3"/>
    <m/>
    <x v="0"/>
    <s v="horas_trabajadas_por_actividad_economica"/>
  </r>
  <r>
    <x v="22"/>
    <x v="22"/>
    <x v="3"/>
    <m/>
    <x v="0"/>
    <s v="horas_trabajadas_por_actividad_economica"/>
  </r>
  <r>
    <x v="23"/>
    <x v="23"/>
    <x v="3"/>
    <m/>
    <x v="0"/>
    <s v="horas_trabajadas_por_actividad_economica"/>
  </r>
  <r>
    <x v="24"/>
    <x v="24"/>
    <x v="3"/>
    <m/>
    <x v="0"/>
    <s v="horas_trabajadas_por_actividad_economica"/>
  </r>
  <r>
    <x v="25"/>
    <x v="25"/>
    <x v="3"/>
    <m/>
    <x v="0"/>
    <s v="horas_trabajadas_por_actividad_economica"/>
  </r>
  <r>
    <x v="0"/>
    <x v="0"/>
    <x v="0"/>
    <n v="1073712438"/>
    <x v="1"/>
    <s v="horas_trabajadas_por_actividad_economica"/>
  </r>
  <r>
    <x v="1"/>
    <x v="1"/>
    <x v="0"/>
    <n v="346744812"/>
    <x v="1"/>
    <s v="horas_trabajadas_por_actividad_economica"/>
  </r>
  <r>
    <x v="2"/>
    <x v="2"/>
    <x v="0"/>
    <n v="46563560"/>
    <x v="1"/>
    <s v="horas_trabajadas_por_actividad_economica"/>
  </r>
  <r>
    <x v="3"/>
    <x v="3"/>
    <x v="0"/>
    <m/>
    <x v="1"/>
    <s v="horas_trabajadas_por_actividad_economica"/>
  </r>
  <r>
    <x v="4"/>
    <x v="4"/>
    <x v="0"/>
    <n v="11421573"/>
    <x v="1"/>
    <s v="horas_trabajadas_por_actividad_economica"/>
  </r>
  <r>
    <x v="5"/>
    <x v="5"/>
    <x v="0"/>
    <n v="56501310"/>
    <x v="1"/>
    <s v="horas_trabajadas_por_actividad_economica"/>
  </r>
  <r>
    <x v="6"/>
    <x v="6"/>
    <x v="0"/>
    <n v="14269415"/>
    <x v="1"/>
    <s v="horas_trabajadas_por_actividad_economica"/>
  </r>
  <r>
    <x v="7"/>
    <x v="7"/>
    <x v="0"/>
    <n v="69582191"/>
    <x v="1"/>
    <s v="horas_trabajadas_por_actividad_economica"/>
  </r>
  <r>
    <x v="8"/>
    <x v="8"/>
    <x v="0"/>
    <n v="59183448"/>
    <x v="1"/>
    <s v="horas_trabajadas_por_actividad_economica"/>
  </r>
  <r>
    <x v="9"/>
    <x v="9"/>
    <x v="0"/>
    <n v="18989792"/>
    <x v="1"/>
    <s v="horas_trabajadas_por_actividad_economica"/>
  </r>
  <r>
    <x v="10"/>
    <x v="10"/>
    <x v="0"/>
    <m/>
    <x v="1"/>
    <s v="horas_trabajadas_por_actividad_economica"/>
  </r>
  <r>
    <x v="11"/>
    <x v="11"/>
    <x v="0"/>
    <n v="62985395"/>
    <x v="1"/>
    <s v="horas_trabajadas_por_actividad_economica"/>
  </r>
  <r>
    <x v="12"/>
    <x v="12"/>
    <x v="0"/>
    <n v="24095339"/>
    <x v="1"/>
    <s v="horas_trabajadas_por_actividad_economica"/>
  </r>
  <r>
    <x v="13"/>
    <x v="13"/>
    <x v="0"/>
    <n v="60559880"/>
    <x v="1"/>
    <s v="horas_trabajadas_por_actividad_economica"/>
  </r>
  <r>
    <x v="14"/>
    <x v="14"/>
    <x v="0"/>
    <n v="40405262"/>
    <x v="1"/>
    <s v="horas_trabajadas_por_actividad_economica"/>
  </r>
  <r>
    <x v="15"/>
    <x v="15"/>
    <x v="0"/>
    <n v="12162764"/>
    <x v="1"/>
    <s v="horas_trabajadas_por_actividad_economica"/>
  </r>
  <r>
    <x v="16"/>
    <x v="16"/>
    <x v="0"/>
    <n v="73851787"/>
    <x v="1"/>
    <s v="horas_trabajadas_por_actividad_economica"/>
  </r>
  <r>
    <x v="17"/>
    <x v="17"/>
    <x v="0"/>
    <n v="3021821"/>
    <x v="1"/>
    <s v="horas_trabajadas_por_actividad_economica"/>
  </r>
  <r>
    <x v="18"/>
    <x v="18"/>
    <x v="0"/>
    <n v="18657544"/>
    <x v="1"/>
    <s v="horas_trabajadas_por_actividad_economica"/>
  </r>
  <r>
    <x v="19"/>
    <x v="19"/>
    <x v="0"/>
    <n v="23781319"/>
    <x v="1"/>
    <s v="horas_trabajadas_por_actividad_economica"/>
  </r>
  <r>
    <x v="20"/>
    <x v="20"/>
    <x v="0"/>
    <n v="2672490"/>
    <x v="1"/>
    <s v="horas_trabajadas_por_actividad_economica"/>
  </r>
  <r>
    <x v="21"/>
    <x v="21"/>
    <x v="0"/>
    <n v="1389074"/>
    <x v="1"/>
    <s v="horas_trabajadas_por_actividad_economica"/>
  </r>
  <r>
    <x v="22"/>
    <x v="22"/>
    <x v="0"/>
    <n v="24734598"/>
    <x v="1"/>
    <s v="horas_trabajadas_por_actividad_economica"/>
  </r>
  <r>
    <x v="23"/>
    <x v="23"/>
    <x v="0"/>
    <n v="3027847"/>
    <x v="1"/>
    <s v="horas_trabajadas_por_actividad_economica"/>
  </r>
  <r>
    <x v="24"/>
    <x v="24"/>
    <x v="0"/>
    <n v="66349936"/>
    <x v="1"/>
    <s v="horas_trabajadas_por_actividad_economica"/>
  </r>
  <r>
    <x v="25"/>
    <x v="25"/>
    <x v="0"/>
    <n v="32761268"/>
    <x v="1"/>
    <s v="horas_trabajadas_por_actividad_economica"/>
  </r>
  <r>
    <x v="0"/>
    <x v="0"/>
    <x v="2"/>
    <n v="661444347"/>
    <x v="1"/>
    <s v="horas_trabajadas_por_actividad_economica"/>
  </r>
  <r>
    <x v="1"/>
    <x v="1"/>
    <x v="2"/>
    <n v="304455572"/>
    <x v="1"/>
    <s v="horas_trabajadas_por_actividad_economica"/>
  </r>
  <r>
    <x v="2"/>
    <x v="2"/>
    <x v="2"/>
    <n v="22715255"/>
    <x v="1"/>
    <s v="horas_trabajadas_por_actividad_economica"/>
  </r>
  <r>
    <x v="3"/>
    <x v="3"/>
    <x v="2"/>
    <n v="170460"/>
    <x v="1"/>
    <s v="horas_trabajadas_por_actividad_economica"/>
  </r>
  <r>
    <x v="4"/>
    <x v="4"/>
    <x v="2"/>
    <n v="21746584"/>
    <x v="1"/>
    <s v="horas_trabajadas_por_actividad_economica"/>
  </r>
  <r>
    <x v="5"/>
    <x v="5"/>
    <x v="2"/>
    <n v="14558152"/>
    <x v="1"/>
    <s v="horas_trabajadas_por_actividad_economica"/>
  </r>
  <r>
    <x v="6"/>
    <x v="6"/>
    <x v="2"/>
    <n v="8527972"/>
    <x v="1"/>
    <s v="horas_trabajadas_por_actividad_economica"/>
  </r>
  <r>
    <x v="7"/>
    <x v="7"/>
    <x v="2"/>
    <n v="11823389"/>
    <x v="1"/>
    <s v="horas_trabajadas_por_actividad_economica"/>
  </r>
  <r>
    <x v="8"/>
    <x v="8"/>
    <x v="2"/>
    <n v="28633216"/>
    <x v="1"/>
    <s v="horas_trabajadas_por_actividad_economica"/>
  </r>
  <r>
    <x v="9"/>
    <x v="9"/>
    <x v="2"/>
    <n v="16027141"/>
    <x v="1"/>
    <s v="horas_trabajadas_por_actividad_economica"/>
  </r>
  <r>
    <x v="10"/>
    <x v="10"/>
    <x v="2"/>
    <n v="2279493"/>
    <x v="1"/>
    <s v="horas_trabajadas_por_actividad_economica"/>
  </r>
  <r>
    <x v="11"/>
    <x v="11"/>
    <x v="2"/>
    <n v="24902617"/>
    <x v="1"/>
    <s v="horas_trabajadas_por_actividad_economica"/>
  </r>
  <r>
    <x v="12"/>
    <x v="12"/>
    <x v="2"/>
    <n v="11229144"/>
    <x v="1"/>
    <s v="horas_trabajadas_por_actividad_economica"/>
  </r>
  <r>
    <x v="13"/>
    <x v="13"/>
    <x v="2"/>
    <n v="36784661"/>
    <x v="1"/>
    <s v="horas_trabajadas_por_actividad_economica"/>
  </r>
  <r>
    <x v="14"/>
    <x v="14"/>
    <x v="2"/>
    <n v="24060571"/>
    <x v="1"/>
    <s v="horas_trabajadas_por_actividad_economica"/>
  </r>
  <r>
    <x v="15"/>
    <x v="15"/>
    <x v="2"/>
    <n v="26951849"/>
    <x v="1"/>
    <s v="horas_trabajadas_por_actividad_economica"/>
  </r>
  <r>
    <x v="16"/>
    <x v="16"/>
    <x v="2"/>
    <n v="34312304"/>
    <x v="1"/>
    <s v="horas_trabajadas_por_actividad_economica"/>
  </r>
  <r>
    <x v="17"/>
    <x v="17"/>
    <x v="2"/>
    <n v="2045808"/>
    <x v="1"/>
    <s v="horas_trabajadas_por_actividad_economica"/>
  </r>
  <r>
    <x v="18"/>
    <x v="18"/>
    <x v="2"/>
    <n v="14356145"/>
    <x v="1"/>
    <s v="horas_trabajadas_por_actividad_economica"/>
  </r>
  <r>
    <x v="19"/>
    <x v="19"/>
    <x v="2"/>
    <n v="4641225"/>
    <x v="1"/>
    <s v="horas_trabajadas_por_actividad_economica"/>
  </r>
  <r>
    <x v="20"/>
    <x v="20"/>
    <x v="2"/>
    <n v="13289503"/>
    <x v="1"/>
    <s v="horas_trabajadas_por_actividad_economica"/>
  </r>
  <r>
    <x v="21"/>
    <x v="21"/>
    <x v="2"/>
    <n v="3535139"/>
    <x v="1"/>
    <s v="horas_trabajadas_por_actividad_economica"/>
  </r>
  <r>
    <x v="22"/>
    <x v="22"/>
    <x v="2"/>
    <n v="16333529"/>
    <x v="1"/>
    <s v="horas_trabajadas_por_actividad_economica"/>
  </r>
  <r>
    <x v="23"/>
    <x v="23"/>
    <x v="2"/>
    <n v="6510611"/>
    <x v="1"/>
    <s v="horas_trabajadas_por_actividad_economica"/>
  </r>
  <r>
    <x v="24"/>
    <x v="24"/>
    <x v="2"/>
    <n v="11553996"/>
    <x v="1"/>
    <s v="horas_trabajadas_por_actividad_economica"/>
  </r>
  <r>
    <x v="25"/>
    <x v="25"/>
    <x v="2"/>
    <m/>
    <x v="1"/>
    <s v="horas_trabajadas_por_actividad_economica"/>
  </r>
  <r>
    <x v="0"/>
    <x v="0"/>
    <x v="5"/>
    <n v="9997286000"/>
    <x v="1"/>
    <s v="horas_trabajadas_por_actividad_economica"/>
  </r>
  <r>
    <x v="1"/>
    <x v="1"/>
    <x v="5"/>
    <n v="2208004000"/>
    <x v="1"/>
    <s v="horas_trabajadas_por_actividad_economica"/>
  </r>
  <r>
    <x v="2"/>
    <x v="2"/>
    <x v="5"/>
    <n v="363259000"/>
    <x v="1"/>
    <s v="horas_trabajadas_por_actividad_economica"/>
  </r>
  <r>
    <x v="3"/>
    <x v="3"/>
    <x v="5"/>
    <n v="5468000"/>
    <x v="1"/>
    <s v="horas_trabajadas_por_actividad_economica"/>
  </r>
  <r>
    <x v="4"/>
    <x v="4"/>
    <x v="5"/>
    <n v="640524000"/>
    <x v="1"/>
    <s v="horas_trabajadas_por_actividad_economica"/>
  </r>
  <r>
    <x v="5"/>
    <x v="5"/>
    <x v="5"/>
    <n v="361977000"/>
    <x v="1"/>
    <s v="horas_trabajadas_por_actividad_economica"/>
  </r>
  <r>
    <x v="6"/>
    <x v="6"/>
    <x v="5"/>
    <n v="135605000"/>
    <x v="1"/>
    <s v="horas_trabajadas_por_actividad_economica"/>
  </r>
  <r>
    <x v="7"/>
    <x v="7"/>
    <x v="5"/>
    <n v="72850000"/>
    <x v="1"/>
    <s v="horas_trabajadas_por_actividad_economica"/>
  </r>
  <r>
    <x v="8"/>
    <x v="8"/>
    <x v="5"/>
    <n v="197634000"/>
    <x v="1"/>
    <s v="horas_trabajadas_por_actividad_economica"/>
  </r>
  <r>
    <x v="9"/>
    <x v="9"/>
    <x v="5"/>
    <n v="36226000"/>
    <x v="1"/>
    <s v="horas_trabajadas_por_actividad_economica"/>
  </r>
  <r>
    <x v="10"/>
    <x v="10"/>
    <x v="5"/>
    <n v="66390000"/>
    <x v="1"/>
    <s v="horas_trabajadas_por_actividad_economica"/>
  </r>
  <r>
    <x v="11"/>
    <x v="11"/>
    <x v="5"/>
    <n v="428835000"/>
    <x v="1"/>
    <s v="horas_trabajadas_por_actividad_economica"/>
  </r>
  <r>
    <x v="12"/>
    <x v="12"/>
    <x v="5"/>
    <n v="170484000"/>
    <x v="1"/>
    <s v="horas_trabajadas_por_actividad_economica"/>
  </r>
  <r>
    <x v="13"/>
    <x v="13"/>
    <x v="5"/>
    <n v="577525000"/>
    <x v="1"/>
    <s v="horas_trabajadas_por_actividad_economica"/>
  </r>
  <r>
    <x v="14"/>
    <x v="14"/>
    <x v="5"/>
    <n v="419068000"/>
    <x v="1"/>
    <s v="horas_trabajadas_por_actividad_economica"/>
  </r>
  <r>
    <x v="15"/>
    <x v="15"/>
    <x v="5"/>
    <n v="285176000"/>
    <x v="1"/>
    <s v="horas_trabajadas_por_actividad_economica"/>
  </r>
  <r>
    <x v="16"/>
    <x v="16"/>
    <x v="5"/>
    <n v="707744000"/>
    <x v="1"/>
    <s v="horas_trabajadas_por_actividad_economica"/>
  </r>
  <r>
    <x v="17"/>
    <x v="17"/>
    <x v="5"/>
    <n v="759586000"/>
    <x v="1"/>
    <s v="horas_trabajadas_por_actividad_economica"/>
  </r>
  <r>
    <x v="18"/>
    <x v="18"/>
    <x v="5"/>
    <n v="1212415000"/>
    <x v="1"/>
    <s v="horas_trabajadas_por_actividad_economica"/>
  </r>
  <r>
    <x v="19"/>
    <x v="19"/>
    <x v="5"/>
    <n v="982627000"/>
    <x v="1"/>
    <s v="horas_trabajadas_por_actividad_economica"/>
  </r>
  <r>
    <x v="20"/>
    <x v="20"/>
    <x v="5"/>
    <n v="227577000"/>
    <x v="1"/>
    <s v="horas_trabajadas_por_actividad_economica"/>
  </r>
  <r>
    <x v="21"/>
    <x v="21"/>
    <x v="5"/>
    <n v="36701000"/>
    <x v="1"/>
    <s v="horas_trabajadas_por_actividad_economica"/>
  </r>
  <r>
    <x v="22"/>
    <x v="22"/>
    <x v="5"/>
    <n v="70637000"/>
    <x v="1"/>
    <s v="horas_trabajadas_por_actividad_economica"/>
  </r>
  <r>
    <x v="23"/>
    <x v="23"/>
    <x v="5"/>
    <n v="30974000"/>
    <x v="1"/>
    <s v="horas_trabajadas_por_actividad_economica"/>
  </r>
  <r>
    <x v="24"/>
    <x v="24"/>
    <x v="5"/>
    <m/>
    <x v="1"/>
    <s v="horas_trabajadas_por_actividad_economica"/>
  </r>
  <r>
    <x v="25"/>
    <x v="25"/>
    <x v="5"/>
    <m/>
    <x v="1"/>
    <s v="horas_trabajadas_por_actividad_economica"/>
  </r>
  <r>
    <x v="0"/>
    <x v="0"/>
    <x v="3"/>
    <m/>
    <x v="1"/>
    <s v="horas_trabajadas_por_actividad_economica"/>
  </r>
  <r>
    <x v="1"/>
    <x v="1"/>
    <x v="3"/>
    <m/>
    <x v="1"/>
    <s v="horas_trabajadas_por_actividad_economica"/>
  </r>
  <r>
    <x v="2"/>
    <x v="2"/>
    <x v="3"/>
    <m/>
    <x v="1"/>
    <s v="horas_trabajadas_por_actividad_economica"/>
  </r>
  <r>
    <x v="3"/>
    <x v="3"/>
    <x v="3"/>
    <m/>
    <x v="1"/>
    <s v="horas_trabajadas_por_actividad_economica"/>
  </r>
  <r>
    <x v="4"/>
    <x v="4"/>
    <x v="3"/>
    <m/>
    <x v="1"/>
    <s v="horas_trabajadas_por_actividad_economica"/>
  </r>
  <r>
    <x v="5"/>
    <x v="5"/>
    <x v="3"/>
    <m/>
    <x v="1"/>
    <s v="horas_trabajadas_por_actividad_economica"/>
  </r>
  <r>
    <x v="6"/>
    <x v="6"/>
    <x v="3"/>
    <m/>
    <x v="1"/>
    <s v="horas_trabajadas_por_actividad_economica"/>
  </r>
  <r>
    <x v="7"/>
    <x v="7"/>
    <x v="3"/>
    <m/>
    <x v="1"/>
    <s v="horas_trabajadas_por_actividad_economica"/>
  </r>
  <r>
    <x v="8"/>
    <x v="8"/>
    <x v="3"/>
    <m/>
    <x v="1"/>
    <s v="horas_trabajadas_por_actividad_economica"/>
  </r>
  <r>
    <x v="9"/>
    <x v="9"/>
    <x v="3"/>
    <m/>
    <x v="1"/>
    <s v="horas_trabajadas_por_actividad_economica"/>
  </r>
  <r>
    <x v="10"/>
    <x v="10"/>
    <x v="3"/>
    <m/>
    <x v="1"/>
    <s v="horas_trabajadas_por_actividad_economica"/>
  </r>
  <r>
    <x v="11"/>
    <x v="11"/>
    <x v="3"/>
    <m/>
    <x v="1"/>
    <s v="horas_trabajadas_por_actividad_economica"/>
  </r>
  <r>
    <x v="12"/>
    <x v="12"/>
    <x v="3"/>
    <m/>
    <x v="1"/>
    <s v="horas_trabajadas_por_actividad_economica"/>
  </r>
  <r>
    <x v="13"/>
    <x v="13"/>
    <x v="3"/>
    <m/>
    <x v="1"/>
    <s v="horas_trabajadas_por_actividad_economica"/>
  </r>
  <r>
    <x v="14"/>
    <x v="14"/>
    <x v="3"/>
    <m/>
    <x v="1"/>
    <s v="horas_trabajadas_por_actividad_economica"/>
  </r>
  <r>
    <x v="15"/>
    <x v="15"/>
    <x v="3"/>
    <m/>
    <x v="1"/>
    <s v="horas_trabajadas_por_actividad_economica"/>
  </r>
  <r>
    <x v="16"/>
    <x v="16"/>
    <x v="3"/>
    <m/>
    <x v="1"/>
    <s v="horas_trabajadas_por_actividad_economica"/>
  </r>
  <r>
    <x v="17"/>
    <x v="17"/>
    <x v="3"/>
    <m/>
    <x v="1"/>
    <s v="horas_trabajadas_por_actividad_economica"/>
  </r>
  <r>
    <x v="18"/>
    <x v="18"/>
    <x v="3"/>
    <m/>
    <x v="1"/>
    <s v="horas_trabajadas_por_actividad_economica"/>
  </r>
  <r>
    <x v="19"/>
    <x v="19"/>
    <x v="3"/>
    <m/>
    <x v="1"/>
    <s v="horas_trabajadas_por_actividad_economica"/>
  </r>
  <r>
    <x v="20"/>
    <x v="20"/>
    <x v="3"/>
    <m/>
    <x v="1"/>
    <s v="horas_trabajadas_por_actividad_economica"/>
  </r>
  <r>
    <x v="21"/>
    <x v="21"/>
    <x v="3"/>
    <m/>
    <x v="1"/>
    <s v="horas_trabajadas_por_actividad_economica"/>
  </r>
  <r>
    <x v="22"/>
    <x v="22"/>
    <x v="3"/>
    <m/>
    <x v="1"/>
    <s v="horas_trabajadas_por_actividad_economica"/>
  </r>
  <r>
    <x v="23"/>
    <x v="23"/>
    <x v="3"/>
    <m/>
    <x v="1"/>
    <s v="horas_trabajadas_por_actividad_economica"/>
  </r>
  <r>
    <x v="24"/>
    <x v="24"/>
    <x v="3"/>
    <m/>
    <x v="1"/>
    <s v="horas_trabajadas_por_actividad_economica"/>
  </r>
  <r>
    <x v="25"/>
    <x v="25"/>
    <x v="3"/>
    <m/>
    <x v="1"/>
    <s v="horas_trabajadas_por_actividad_economica"/>
  </r>
  <r>
    <x v="0"/>
    <x v="0"/>
    <x v="0"/>
    <n v="1075705045"/>
    <x v="2"/>
    <s v="horas_trabajadas_por_actividad_economica"/>
  </r>
  <r>
    <x v="1"/>
    <x v="1"/>
    <x v="0"/>
    <n v="393932463"/>
    <x v="2"/>
    <s v="horas_trabajadas_por_actividad_economica"/>
  </r>
  <r>
    <x v="2"/>
    <x v="2"/>
    <x v="0"/>
    <n v="38657080"/>
    <x v="2"/>
    <s v="horas_trabajadas_por_actividad_economica"/>
  </r>
  <r>
    <x v="3"/>
    <x v="3"/>
    <x v="0"/>
    <m/>
    <x v="2"/>
    <s v="horas_trabajadas_por_actividad_economica"/>
  </r>
  <r>
    <x v="4"/>
    <x v="4"/>
    <x v="0"/>
    <n v="71039445"/>
    <x v="2"/>
    <s v="horas_trabajadas_por_actividad_economica"/>
  </r>
  <r>
    <x v="5"/>
    <x v="5"/>
    <x v="0"/>
    <n v="14707986"/>
    <x v="2"/>
    <s v="horas_trabajadas_por_actividad_economica"/>
  </r>
  <r>
    <x v="6"/>
    <x v="6"/>
    <x v="0"/>
    <n v="14102289"/>
    <x v="2"/>
    <s v="horas_trabajadas_por_actividad_economica"/>
  </r>
  <r>
    <x v="7"/>
    <x v="7"/>
    <x v="0"/>
    <n v="68380094"/>
    <x v="2"/>
    <s v="horas_trabajadas_por_actividad_economica"/>
  </r>
  <r>
    <x v="8"/>
    <x v="8"/>
    <x v="0"/>
    <n v="44900714"/>
    <x v="2"/>
    <s v="horas_trabajadas_por_actividad_economica"/>
  </r>
  <r>
    <x v="9"/>
    <x v="9"/>
    <x v="0"/>
    <n v="20341359"/>
    <x v="2"/>
    <s v="horas_trabajadas_por_actividad_economica"/>
  </r>
  <r>
    <x v="10"/>
    <x v="10"/>
    <x v="0"/>
    <n v="152518"/>
    <x v="2"/>
    <s v="horas_trabajadas_por_actividad_economica"/>
  </r>
  <r>
    <x v="11"/>
    <x v="11"/>
    <x v="0"/>
    <n v="53656246"/>
    <x v="2"/>
    <s v="horas_trabajadas_por_actividad_economica"/>
  </r>
  <r>
    <x v="12"/>
    <x v="12"/>
    <x v="0"/>
    <n v="25675544"/>
    <x v="2"/>
    <s v="horas_trabajadas_por_actividad_economica"/>
  </r>
  <r>
    <x v="13"/>
    <x v="13"/>
    <x v="0"/>
    <n v="58803191"/>
    <x v="2"/>
    <s v="horas_trabajadas_por_actividad_economica"/>
  </r>
  <r>
    <x v="14"/>
    <x v="14"/>
    <x v="0"/>
    <n v="43762448"/>
    <x v="2"/>
    <s v="horas_trabajadas_por_actividad_economica"/>
  </r>
  <r>
    <x v="15"/>
    <x v="15"/>
    <x v="0"/>
    <n v="16268945"/>
    <x v="2"/>
    <s v="horas_trabajadas_por_actividad_economica"/>
  </r>
  <r>
    <x v="16"/>
    <x v="16"/>
    <x v="0"/>
    <n v="75402185"/>
    <x v="2"/>
    <s v="horas_trabajadas_por_actividad_economica"/>
  </r>
  <r>
    <x v="17"/>
    <x v="17"/>
    <x v="0"/>
    <n v="5507306"/>
    <x v="2"/>
    <s v="horas_trabajadas_por_actividad_economica"/>
  </r>
  <r>
    <x v="18"/>
    <x v="18"/>
    <x v="0"/>
    <n v="16263165"/>
    <x v="2"/>
    <s v="horas_trabajadas_por_actividad_economica"/>
  </r>
  <r>
    <x v="19"/>
    <x v="19"/>
    <x v="0"/>
    <n v="22340542"/>
    <x v="2"/>
    <s v="horas_trabajadas_por_actividad_economica"/>
  </r>
  <r>
    <x v="20"/>
    <x v="20"/>
    <x v="0"/>
    <n v="4818157"/>
    <x v="2"/>
    <s v="horas_trabajadas_por_actividad_economica"/>
  </r>
  <r>
    <x v="21"/>
    <x v="21"/>
    <x v="0"/>
    <n v="1727951"/>
    <x v="2"/>
    <s v="horas_trabajadas_por_actividad_economica"/>
  </r>
  <r>
    <x v="22"/>
    <x v="22"/>
    <x v="0"/>
    <n v="25213233"/>
    <x v="2"/>
    <s v="horas_trabajadas_por_actividad_economica"/>
  </r>
  <r>
    <x v="23"/>
    <x v="23"/>
    <x v="0"/>
    <n v="2784591"/>
    <x v="2"/>
    <s v="horas_trabajadas_por_actividad_economica"/>
  </r>
  <r>
    <x v="24"/>
    <x v="24"/>
    <x v="0"/>
    <n v="55325776"/>
    <x v="2"/>
    <s v="horas_trabajadas_por_actividad_economica"/>
  </r>
  <r>
    <x v="25"/>
    <x v="25"/>
    <x v="0"/>
    <n v="1941807"/>
    <x v="2"/>
    <s v="horas_trabajadas_por_actividad_economica"/>
  </r>
  <r>
    <x v="0"/>
    <x v="0"/>
    <x v="2"/>
    <n v="683380785"/>
    <x v="2"/>
    <s v="horas_trabajadas_por_actividad_economica"/>
  </r>
  <r>
    <x v="1"/>
    <x v="1"/>
    <x v="2"/>
    <n v="331458282"/>
    <x v="2"/>
    <s v="horas_trabajadas_por_actividad_economica"/>
  </r>
  <r>
    <x v="2"/>
    <x v="2"/>
    <x v="2"/>
    <n v="25682106"/>
    <x v="2"/>
    <s v="horas_trabajadas_por_actividad_economica"/>
  </r>
  <r>
    <x v="3"/>
    <x v="3"/>
    <x v="2"/>
    <n v="116184"/>
    <x v="2"/>
    <s v="horas_trabajadas_por_actividad_economica"/>
  </r>
  <r>
    <x v="4"/>
    <x v="4"/>
    <x v="2"/>
    <n v="25113345"/>
    <x v="2"/>
    <s v="horas_trabajadas_por_actividad_economica"/>
  </r>
  <r>
    <x v="5"/>
    <x v="5"/>
    <x v="2"/>
    <n v="24876740"/>
    <x v="2"/>
    <s v="horas_trabajadas_por_actividad_economica"/>
  </r>
  <r>
    <x v="6"/>
    <x v="6"/>
    <x v="2"/>
    <n v="6254388"/>
    <x v="2"/>
    <s v="horas_trabajadas_por_actividad_economica"/>
  </r>
  <r>
    <x v="7"/>
    <x v="7"/>
    <x v="2"/>
    <n v="11754374"/>
    <x v="2"/>
    <s v="horas_trabajadas_por_actividad_economica"/>
  </r>
  <r>
    <x v="8"/>
    <x v="8"/>
    <x v="2"/>
    <n v="23881560"/>
    <x v="2"/>
    <s v="horas_trabajadas_por_actividad_economica"/>
  </r>
  <r>
    <x v="9"/>
    <x v="9"/>
    <x v="2"/>
    <n v="12913959"/>
    <x v="2"/>
    <s v="horas_trabajadas_por_actividad_economica"/>
  </r>
  <r>
    <x v="10"/>
    <x v="10"/>
    <x v="2"/>
    <n v="1691184"/>
    <x v="2"/>
    <s v="horas_trabajadas_por_actividad_economica"/>
  </r>
  <r>
    <x v="11"/>
    <x v="11"/>
    <x v="2"/>
    <n v="24045575"/>
    <x v="2"/>
    <s v="horas_trabajadas_por_actividad_economica"/>
  </r>
  <r>
    <x v="12"/>
    <x v="12"/>
    <x v="2"/>
    <n v="15754735"/>
    <x v="2"/>
    <s v="horas_trabajadas_por_actividad_economica"/>
  </r>
  <r>
    <x v="13"/>
    <x v="13"/>
    <x v="2"/>
    <n v="43475292"/>
    <x v="2"/>
    <s v="horas_trabajadas_por_actividad_economica"/>
  </r>
  <r>
    <x v="14"/>
    <x v="14"/>
    <x v="2"/>
    <n v="27733295"/>
    <x v="2"/>
    <s v="horas_trabajadas_por_actividad_economica"/>
  </r>
  <r>
    <x v="15"/>
    <x v="15"/>
    <x v="2"/>
    <n v="19250340"/>
    <x v="2"/>
    <s v="horas_trabajadas_por_actividad_economica"/>
  </r>
  <r>
    <x v="16"/>
    <x v="16"/>
    <x v="2"/>
    <n v="20229774"/>
    <x v="2"/>
    <s v="horas_trabajadas_por_actividad_economica"/>
  </r>
  <r>
    <x v="17"/>
    <x v="17"/>
    <x v="2"/>
    <n v="6357602"/>
    <x v="2"/>
    <s v="horas_trabajadas_por_actividad_economica"/>
  </r>
  <r>
    <x v="18"/>
    <x v="18"/>
    <x v="2"/>
    <n v="13093740"/>
    <x v="2"/>
    <s v="horas_trabajadas_por_actividad_economica"/>
  </r>
  <r>
    <x v="19"/>
    <x v="19"/>
    <x v="2"/>
    <n v="5656608"/>
    <x v="2"/>
    <s v="horas_trabajadas_por_actividad_economica"/>
  </r>
  <r>
    <x v="20"/>
    <x v="20"/>
    <x v="2"/>
    <n v="6385864"/>
    <x v="2"/>
    <s v="horas_trabajadas_por_actividad_economica"/>
  </r>
  <r>
    <x v="21"/>
    <x v="21"/>
    <x v="2"/>
    <n v="5853175"/>
    <x v="2"/>
    <s v="horas_trabajadas_por_actividad_economica"/>
  </r>
  <r>
    <x v="22"/>
    <x v="22"/>
    <x v="2"/>
    <n v="13140399"/>
    <x v="2"/>
    <s v="horas_trabajadas_por_actividad_economica"/>
  </r>
  <r>
    <x v="23"/>
    <x v="23"/>
    <x v="2"/>
    <n v="15356269"/>
    <x v="2"/>
    <s v="horas_trabajadas_por_actividad_economica"/>
  </r>
  <r>
    <x v="24"/>
    <x v="24"/>
    <x v="2"/>
    <n v="3305989"/>
    <x v="2"/>
    <s v="horas_trabajadas_por_actividad_economica"/>
  </r>
  <r>
    <x v="25"/>
    <x v="25"/>
    <x v="2"/>
    <m/>
    <x v="2"/>
    <s v="horas_trabajadas_por_actividad_economica"/>
  </r>
  <r>
    <x v="0"/>
    <x v="0"/>
    <x v="5"/>
    <n v="10236076000"/>
    <x v="2"/>
    <s v="horas_trabajadas_por_actividad_economica"/>
  </r>
  <r>
    <x v="1"/>
    <x v="1"/>
    <x v="5"/>
    <n v="2190335000"/>
    <x v="2"/>
    <s v="horas_trabajadas_por_actividad_economica"/>
  </r>
  <r>
    <x v="2"/>
    <x v="2"/>
    <x v="5"/>
    <n v="366036000"/>
    <x v="2"/>
    <s v="horas_trabajadas_por_actividad_economica"/>
  </r>
  <r>
    <x v="3"/>
    <x v="3"/>
    <x v="5"/>
    <n v="5246000"/>
    <x v="2"/>
    <s v="horas_trabajadas_por_actividad_economica"/>
  </r>
  <r>
    <x v="4"/>
    <x v="4"/>
    <x v="5"/>
    <n v="670848000"/>
    <x v="2"/>
    <s v="horas_trabajadas_por_actividad_economica"/>
  </r>
  <r>
    <x v="5"/>
    <x v="5"/>
    <x v="5"/>
    <n v="354434000"/>
    <x v="2"/>
    <s v="horas_trabajadas_por_actividad_economica"/>
  </r>
  <r>
    <x v="6"/>
    <x v="6"/>
    <x v="5"/>
    <n v="129956000"/>
    <x v="2"/>
    <s v="horas_trabajadas_por_actividad_economica"/>
  </r>
  <r>
    <x v="7"/>
    <x v="7"/>
    <x v="5"/>
    <n v="72312000"/>
    <x v="2"/>
    <s v="horas_trabajadas_por_actividad_economica"/>
  </r>
  <r>
    <x v="8"/>
    <x v="8"/>
    <x v="5"/>
    <n v="203056000"/>
    <x v="2"/>
    <s v="horas_trabajadas_por_actividad_economica"/>
  </r>
  <r>
    <x v="9"/>
    <x v="9"/>
    <x v="5"/>
    <n v="34366000"/>
    <x v="2"/>
    <s v="horas_trabajadas_por_actividad_economica"/>
  </r>
  <r>
    <x v="10"/>
    <x v="10"/>
    <x v="5"/>
    <n v="64138000"/>
    <x v="2"/>
    <s v="horas_trabajadas_por_actividad_economica"/>
  </r>
  <r>
    <x v="11"/>
    <x v="11"/>
    <x v="5"/>
    <n v="432357000"/>
    <x v="2"/>
    <s v="horas_trabajadas_por_actividad_economica"/>
  </r>
  <r>
    <x v="12"/>
    <x v="12"/>
    <x v="5"/>
    <n v="165262000"/>
    <x v="2"/>
    <s v="horas_trabajadas_por_actividad_economica"/>
  </r>
  <r>
    <x v="13"/>
    <x v="13"/>
    <x v="5"/>
    <n v="597604000"/>
    <x v="2"/>
    <s v="horas_trabajadas_por_actividad_economica"/>
  </r>
  <r>
    <x v="14"/>
    <x v="14"/>
    <x v="5"/>
    <n v="432982000"/>
    <x v="2"/>
    <s v="horas_trabajadas_por_actividad_economica"/>
  </r>
  <r>
    <x v="15"/>
    <x v="15"/>
    <x v="5"/>
    <n v="294383000"/>
    <x v="2"/>
    <s v="horas_trabajadas_por_actividad_economica"/>
  </r>
  <r>
    <x v="16"/>
    <x v="16"/>
    <x v="5"/>
    <n v="716437000"/>
    <x v="2"/>
    <s v="horas_trabajadas_por_actividad_economica"/>
  </r>
  <r>
    <x v="17"/>
    <x v="17"/>
    <x v="5"/>
    <n v="794353000"/>
    <x v="2"/>
    <s v="horas_trabajadas_por_actividad_economica"/>
  </r>
  <r>
    <x v="18"/>
    <x v="18"/>
    <x v="5"/>
    <n v="1285224000"/>
    <x v="2"/>
    <s v="horas_trabajadas_por_actividad_economica"/>
  </r>
  <r>
    <x v="19"/>
    <x v="19"/>
    <x v="5"/>
    <n v="1029599000"/>
    <x v="2"/>
    <s v="horas_trabajadas_por_actividad_economica"/>
  </r>
  <r>
    <x v="20"/>
    <x v="20"/>
    <x v="5"/>
    <n v="254737000"/>
    <x v="2"/>
    <s v="horas_trabajadas_por_actividad_economica"/>
  </r>
  <r>
    <x v="21"/>
    <x v="21"/>
    <x v="5"/>
    <n v="44729000"/>
    <x v="2"/>
    <s v="horas_trabajadas_por_actividad_economica"/>
  </r>
  <r>
    <x v="22"/>
    <x v="22"/>
    <x v="5"/>
    <n v="67571000"/>
    <x v="2"/>
    <s v="horas_trabajadas_por_actividad_economica"/>
  </r>
  <r>
    <x v="23"/>
    <x v="23"/>
    <x v="5"/>
    <n v="30111000"/>
    <x v="2"/>
    <s v="horas_trabajadas_por_actividad_economica"/>
  </r>
  <r>
    <x v="24"/>
    <x v="24"/>
    <x v="5"/>
    <m/>
    <x v="2"/>
    <s v="horas_trabajadas_por_actividad_economica"/>
  </r>
  <r>
    <x v="25"/>
    <x v="25"/>
    <x v="5"/>
    <m/>
    <x v="2"/>
    <s v="horas_trabajadas_por_actividad_economica"/>
  </r>
  <r>
    <x v="0"/>
    <x v="0"/>
    <x v="3"/>
    <m/>
    <x v="2"/>
    <s v="horas_trabajadas_por_actividad_economica"/>
  </r>
  <r>
    <x v="1"/>
    <x v="1"/>
    <x v="3"/>
    <m/>
    <x v="2"/>
    <s v="horas_trabajadas_por_actividad_economica"/>
  </r>
  <r>
    <x v="2"/>
    <x v="2"/>
    <x v="3"/>
    <m/>
    <x v="2"/>
    <s v="horas_trabajadas_por_actividad_economica"/>
  </r>
  <r>
    <x v="3"/>
    <x v="3"/>
    <x v="3"/>
    <m/>
    <x v="2"/>
    <s v="horas_trabajadas_por_actividad_economica"/>
  </r>
  <r>
    <x v="4"/>
    <x v="4"/>
    <x v="3"/>
    <m/>
    <x v="2"/>
    <s v="horas_trabajadas_por_actividad_economica"/>
  </r>
  <r>
    <x v="5"/>
    <x v="5"/>
    <x v="3"/>
    <m/>
    <x v="2"/>
    <s v="horas_trabajadas_por_actividad_economica"/>
  </r>
  <r>
    <x v="6"/>
    <x v="6"/>
    <x v="3"/>
    <m/>
    <x v="2"/>
    <s v="horas_trabajadas_por_actividad_economica"/>
  </r>
  <r>
    <x v="7"/>
    <x v="7"/>
    <x v="3"/>
    <m/>
    <x v="2"/>
    <s v="horas_trabajadas_por_actividad_economica"/>
  </r>
  <r>
    <x v="8"/>
    <x v="8"/>
    <x v="3"/>
    <m/>
    <x v="2"/>
    <s v="horas_trabajadas_por_actividad_economica"/>
  </r>
  <r>
    <x v="9"/>
    <x v="9"/>
    <x v="3"/>
    <m/>
    <x v="2"/>
    <s v="horas_trabajadas_por_actividad_economica"/>
  </r>
  <r>
    <x v="10"/>
    <x v="10"/>
    <x v="3"/>
    <m/>
    <x v="2"/>
    <s v="horas_trabajadas_por_actividad_economica"/>
  </r>
  <r>
    <x v="11"/>
    <x v="11"/>
    <x v="3"/>
    <m/>
    <x v="2"/>
    <s v="horas_trabajadas_por_actividad_economica"/>
  </r>
  <r>
    <x v="12"/>
    <x v="12"/>
    <x v="3"/>
    <m/>
    <x v="2"/>
    <s v="horas_trabajadas_por_actividad_economica"/>
  </r>
  <r>
    <x v="13"/>
    <x v="13"/>
    <x v="3"/>
    <m/>
    <x v="2"/>
    <s v="horas_trabajadas_por_actividad_economica"/>
  </r>
  <r>
    <x v="14"/>
    <x v="14"/>
    <x v="3"/>
    <m/>
    <x v="2"/>
    <s v="horas_trabajadas_por_actividad_economica"/>
  </r>
  <r>
    <x v="15"/>
    <x v="15"/>
    <x v="3"/>
    <m/>
    <x v="2"/>
    <s v="horas_trabajadas_por_actividad_economica"/>
  </r>
  <r>
    <x v="16"/>
    <x v="16"/>
    <x v="3"/>
    <m/>
    <x v="2"/>
    <s v="horas_trabajadas_por_actividad_economica"/>
  </r>
  <r>
    <x v="17"/>
    <x v="17"/>
    <x v="3"/>
    <m/>
    <x v="2"/>
    <s v="horas_trabajadas_por_actividad_economica"/>
  </r>
  <r>
    <x v="18"/>
    <x v="18"/>
    <x v="3"/>
    <m/>
    <x v="2"/>
    <s v="horas_trabajadas_por_actividad_economica"/>
  </r>
  <r>
    <x v="19"/>
    <x v="19"/>
    <x v="3"/>
    <m/>
    <x v="2"/>
    <s v="horas_trabajadas_por_actividad_economica"/>
  </r>
  <r>
    <x v="20"/>
    <x v="20"/>
    <x v="3"/>
    <m/>
    <x v="2"/>
    <s v="horas_trabajadas_por_actividad_economica"/>
  </r>
  <r>
    <x v="21"/>
    <x v="21"/>
    <x v="3"/>
    <m/>
    <x v="2"/>
    <s v="horas_trabajadas_por_actividad_economica"/>
  </r>
  <r>
    <x v="22"/>
    <x v="22"/>
    <x v="3"/>
    <m/>
    <x v="2"/>
    <s v="horas_trabajadas_por_actividad_economica"/>
  </r>
  <r>
    <x v="23"/>
    <x v="23"/>
    <x v="3"/>
    <m/>
    <x v="2"/>
    <s v="horas_trabajadas_por_actividad_economica"/>
  </r>
  <r>
    <x v="24"/>
    <x v="24"/>
    <x v="3"/>
    <m/>
    <x v="2"/>
    <s v="horas_trabajadas_por_actividad_economica"/>
  </r>
  <r>
    <x v="25"/>
    <x v="25"/>
    <x v="3"/>
    <m/>
    <x v="2"/>
    <s v="horas_trabajadas_por_actividad_economica"/>
  </r>
  <r>
    <x v="0"/>
    <x v="0"/>
    <x v="0"/>
    <n v="869734140"/>
    <x v="3"/>
    <s v="horas_trabajadas_por_actividad_economica"/>
  </r>
  <r>
    <x v="1"/>
    <x v="1"/>
    <x v="0"/>
    <n v="323394091"/>
    <x v="3"/>
    <s v="horas_trabajadas_por_actividad_economica"/>
  </r>
  <r>
    <x v="2"/>
    <x v="2"/>
    <x v="0"/>
    <n v="40205704"/>
    <x v="3"/>
    <s v="horas_trabajadas_por_actividad_economica"/>
  </r>
  <r>
    <x v="3"/>
    <x v="3"/>
    <x v="0"/>
    <m/>
    <x v="3"/>
    <s v="horas_trabajadas_por_actividad_economica"/>
  </r>
  <r>
    <x v="4"/>
    <x v="4"/>
    <x v="0"/>
    <n v="7905251"/>
    <x v="3"/>
    <s v="horas_trabajadas_por_actividad_economica"/>
  </r>
  <r>
    <x v="5"/>
    <x v="5"/>
    <x v="0"/>
    <n v="9511259"/>
    <x v="3"/>
    <s v="horas_trabajadas_por_actividad_economica"/>
  </r>
  <r>
    <x v="6"/>
    <x v="6"/>
    <x v="0"/>
    <n v="5365094"/>
    <x v="3"/>
    <s v="horas_trabajadas_por_actividad_economica"/>
  </r>
  <r>
    <x v="7"/>
    <x v="7"/>
    <x v="0"/>
    <n v="53748548"/>
    <x v="3"/>
    <s v="horas_trabajadas_por_actividad_economica"/>
  </r>
  <r>
    <x v="8"/>
    <x v="8"/>
    <x v="0"/>
    <n v="55432947"/>
    <x v="3"/>
    <s v="horas_trabajadas_por_actividad_economica"/>
  </r>
  <r>
    <x v="9"/>
    <x v="9"/>
    <x v="0"/>
    <n v="13551030"/>
    <x v="3"/>
    <s v="horas_trabajadas_por_actividad_economica"/>
  </r>
  <r>
    <x v="10"/>
    <x v="10"/>
    <x v="0"/>
    <m/>
    <x v="3"/>
    <s v="horas_trabajadas_por_actividad_economica"/>
  </r>
  <r>
    <x v="11"/>
    <x v="11"/>
    <x v="0"/>
    <n v="48238728"/>
    <x v="3"/>
    <s v="horas_trabajadas_por_actividad_economica"/>
  </r>
  <r>
    <x v="12"/>
    <x v="12"/>
    <x v="0"/>
    <n v="28734657"/>
    <x v="3"/>
    <s v="horas_trabajadas_por_actividad_economica"/>
  </r>
  <r>
    <x v="13"/>
    <x v="13"/>
    <x v="0"/>
    <n v="44399108"/>
    <x v="3"/>
    <s v="horas_trabajadas_por_actividad_economica"/>
  </r>
  <r>
    <x v="14"/>
    <x v="14"/>
    <x v="0"/>
    <n v="39787815"/>
    <x v="3"/>
    <s v="horas_trabajadas_por_actividad_economica"/>
  </r>
  <r>
    <x v="15"/>
    <x v="15"/>
    <x v="0"/>
    <n v="14956365"/>
    <x v="3"/>
    <s v="horas_trabajadas_por_actividad_economica"/>
  </r>
  <r>
    <x v="16"/>
    <x v="16"/>
    <x v="0"/>
    <n v="49346305"/>
    <x v="3"/>
    <s v="horas_trabajadas_por_actividad_economica"/>
  </r>
  <r>
    <x v="17"/>
    <x v="17"/>
    <x v="0"/>
    <n v="1376462"/>
    <x v="3"/>
    <s v="horas_trabajadas_por_actividad_economica"/>
  </r>
  <r>
    <x v="18"/>
    <x v="18"/>
    <x v="0"/>
    <n v="15826763"/>
    <x v="3"/>
    <s v="horas_trabajadas_por_actividad_economica"/>
  </r>
  <r>
    <x v="19"/>
    <x v="19"/>
    <x v="0"/>
    <n v="18957745"/>
    <x v="3"/>
    <s v="horas_trabajadas_por_actividad_economica"/>
  </r>
  <r>
    <x v="20"/>
    <x v="20"/>
    <x v="0"/>
    <n v="2604851"/>
    <x v="3"/>
    <s v="horas_trabajadas_por_actividad_economica"/>
  </r>
  <r>
    <x v="21"/>
    <x v="21"/>
    <x v="0"/>
    <n v="1535531"/>
    <x v="3"/>
    <s v="horas_trabajadas_por_actividad_economica"/>
  </r>
  <r>
    <x v="22"/>
    <x v="22"/>
    <x v="0"/>
    <n v="19795470"/>
    <x v="3"/>
    <s v="horas_trabajadas_por_actividad_economica"/>
  </r>
  <r>
    <x v="23"/>
    <x v="23"/>
    <x v="0"/>
    <n v="2139316"/>
    <x v="3"/>
    <s v="horas_trabajadas_por_actividad_economica"/>
  </r>
  <r>
    <x v="24"/>
    <x v="24"/>
    <x v="0"/>
    <n v="42530733"/>
    <x v="3"/>
    <s v="horas_trabajadas_por_actividad_economica"/>
  </r>
  <r>
    <x v="25"/>
    <x v="25"/>
    <x v="0"/>
    <n v="30390358"/>
    <x v="3"/>
    <s v="horas_trabajadas_por_actividad_economica"/>
  </r>
  <r>
    <x v="0"/>
    <x v="0"/>
    <x v="2"/>
    <n v="649678000"/>
    <x v="3"/>
    <s v="horas_trabajadas_por_actividad_economica"/>
  </r>
  <r>
    <x v="1"/>
    <x v="1"/>
    <x v="2"/>
    <n v="306247281"/>
    <x v="3"/>
    <s v="horas_trabajadas_por_actividad_economica"/>
  </r>
  <r>
    <x v="2"/>
    <x v="2"/>
    <x v="2"/>
    <n v="23152776"/>
    <x v="3"/>
    <s v="horas_trabajadas_por_actividad_economica"/>
  </r>
  <r>
    <x v="3"/>
    <x v="3"/>
    <x v="2"/>
    <n v="92268"/>
    <x v="3"/>
    <s v="horas_trabajadas_por_actividad_economica"/>
  </r>
  <r>
    <x v="4"/>
    <x v="4"/>
    <x v="2"/>
    <n v="19144071"/>
    <x v="3"/>
    <s v="horas_trabajadas_por_actividad_economica"/>
  </r>
  <r>
    <x v="5"/>
    <x v="5"/>
    <x v="2"/>
    <n v="19747875"/>
    <x v="3"/>
    <s v="horas_trabajadas_por_actividad_economica"/>
  </r>
  <r>
    <x v="6"/>
    <x v="6"/>
    <x v="2"/>
    <n v="9358801"/>
    <x v="3"/>
    <s v="horas_trabajadas_por_actividad_economica"/>
  </r>
  <r>
    <x v="7"/>
    <x v="7"/>
    <x v="2"/>
    <n v="13337473"/>
    <x v="3"/>
    <s v="horas_trabajadas_por_actividad_economica"/>
  </r>
  <r>
    <x v="8"/>
    <x v="8"/>
    <x v="2"/>
    <n v="24170904"/>
    <x v="3"/>
    <s v="horas_trabajadas_por_actividad_economica"/>
  </r>
  <r>
    <x v="9"/>
    <x v="9"/>
    <x v="2"/>
    <n v="15115925"/>
    <x v="3"/>
    <s v="horas_trabajadas_por_actividad_economica"/>
  </r>
  <r>
    <x v="10"/>
    <x v="10"/>
    <x v="2"/>
    <n v="4719663"/>
    <x v="3"/>
    <s v="horas_trabajadas_por_actividad_economica"/>
  </r>
  <r>
    <x v="11"/>
    <x v="11"/>
    <x v="2"/>
    <n v="24206141"/>
    <x v="3"/>
    <s v="horas_trabajadas_por_actividad_economica"/>
  </r>
  <r>
    <x v="12"/>
    <x v="12"/>
    <x v="2"/>
    <n v="19015190"/>
    <x v="3"/>
    <s v="horas_trabajadas_por_actividad_economica"/>
  </r>
  <r>
    <x v="13"/>
    <x v="13"/>
    <x v="2"/>
    <n v="48720267"/>
    <x v="3"/>
    <s v="horas_trabajadas_por_actividad_economica"/>
  </r>
  <r>
    <x v="14"/>
    <x v="14"/>
    <x v="2"/>
    <n v="24729741"/>
    <x v="3"/>
    <s v="horas_trabajadas_por_actividad_economica"/>
  </r>
  <r>
    <x v="15"/>
    <x v="15"/>
    <x v="2"/>
    <n v="14715300"/>
    <x v="3"/>
    <s v="horas_trabajadas_por_actividad_economica"/>
  </r>
  <r>
    <x v="16"/>
    <x v="16"/>
    <x v="2"/>
    <n v="23173159"/>
    <x v="3"/>
    <s v="horas_trabajadas_por_actividad_economica"/>
  </r>
  <r>
    <x v="17"/>
    <x v="17"/>
    <x v="2"/>
    <n v="1709196"/>
    <x v="3"/>
    <s v="horas_trabajadas_por_actividad_economica"/>
  </r>
  <r>
    <x v="18"/>
    <x v="18"/>
    <x v="2"/>
    <n v="16598392"/>
    <x v="3"/>
    <s v="horas_trabajadas_por_actividad_economica"/>
  </r>
  <r>
    <x v="19"/>
    <x v="19"/>
    <x v="2"/>
    <n v="3563676"/>
    <x v="3"/>
    <s v="horas_trabajadas_por_actividad_economica"/>
  </r>
  <r>
    <x v="20"/>
    <x v="20"/>
    <x v="2"/>
    <n v="16973343"/>
    <x v="3"/>
    <s v="horas_trabajadas_por_actividad_economica"/>
  </r>
  <r>
    <x v="21"/>
    <x v="21"/>
    <x v="2"/>
    <n v="3502716"/>
    <x v="3"/>
    <s v="horas_trabajadas_por_actividad_economica"/>
  </r>
  <r>
    <x v="22"/>
    <x v="22"/>
    <x v="2"/>
    <n v="12793596"/>
    <x v="3"/>
    <s v="horas_trabajadas_por_actividad_economica"/>
  </r>
  <r>
    <x v="23"/>
    <x v="23"/>
    <x v="2"/>
    <n v="1053816"/>
    <x v="3"/>
    <s v="horas_trabajadas_por_actividad_economica"/>
  </r>
  <r>
    <x v="24"/>
    <x v="24"/>
    <x v="2"/>
    <n v="3836421"/>
    <x v="3"/>
    <s v="horas_trabajadas_por_actividad_economica"/>
  </r>
  <r>
    <x v="25"/>
    <x v="25"/>
    <x v="2"/>
    <m/>
    <x v="3"/>
    <s v="horas_trabajadas_por_actividad_economica"/>
  </r>
  <r>
    <x v="0"/>
    <x v="0"/>
    <x v="5"/>
    <n v="10353163000"/>
    <x v="3"/>
    <s v="horas_trabajadas_por_actividad_economica"/>
  </r>
  <r>
    <x v="1"/>
    <x v="1"/>
    <x v="5"/>
    <n v="2171751000"/>
    <x v="3"/>
    <s v="horas_trabajadas_por_actividad_economica"/>
  </r>
  <r>
    <x v="2"/>
    <x v="2"/>
    <x v="5"/>
    <n v="369621000"/>
    <x v="3"/>
    <s v="horas_trabajadas_por_actividad_economica"/>
  </r>
  <r>
    <x v="3"/>
    <x v="3"/>
    <x v="5"/>
    <n v="5786000"/>
    <x v="3"/>
    <s v="horas_trabajadas_por_actividad_economica"/>
  </r>
  <r>
    <x v="4"/>
    <x v="4"/>
    <x v="5"/>
    <n v="678635000"/>
    <x v="3"/>
    <s v="horas_trabajadas_por_actividad_economica"/>
  </r>
  <r>
    <x v="5"/>
    <x v="5"/>
    <x v="5"/>
    <n v="348384000"/>
    <x v="3"/>
    <s v="horas_trabajadas_por_actividad_economica"/>
  </r>
  <r>
    <x v="6"/>
    <x v="6"/>
    <x v="5"/>
    <n v="161930000"/>
    <x v="3"/>
    <s v="horas_trabajadas_por_actividad_economica"/>
  </r>
  <r>
    <x v="7"/>
    <x v="7"/>
    <x v="5"/>
    <n v="69731000"/>
    <x v="3"/>
    <s v="horas_trabajadas_por_actividad_economica"/>
  </r>
  <r>
    <x v="8"/>
    <x v="8"/>
    <x v="5"/>
    <n v="204237000"/>
    <x v="3"/>
    <s v="horas_trabajadas_por_actividad_economica"/>
  </r>
  <r>
    <x v="9"/>
    <x v="9"/>
    <x v="5"/>
    <n v="35708000"/>
    <x v="3"/>
    <s v="horas_trabajadas_por_actividad_economica"/>
  </r>
  <r>
    <x v="10"/>
    <x v="10"/>
    <x v="5"/>
    <n v="61297000"/>
    <x v="3"/>
    <s v="horas_trabajadas_por_actividad_economica"/>
  </r>
  <r>
    <x v="11"/>
    <x v="11"/>
    <x v="5"/>
    <n v="436515000"/>
    <x v="3"/>
    <s v="horas_trabajadas_por_actividad_economica"/>
  </r>
  <r>
    <x v="12"/>
    <x v="12"/>
    <x v="5"/>
    <n v="168915000"/>
    <x v="3"/>
    <s v="horas_trabajadas_por_actividad_economica"/>
  </r>
  <r>
    <x v="13"/>
    <x v="13"/>
    <x v="5"/>
    <n v="606235000"/>
    <x v="3"/>
    <s v="horas_trabajadas_por_actividad_economica"/>
  </r>
  <r>
    <x v="14"/>
    <x v="14"/>
    <x v="5"/>
    <n v="428326000"/>
    <x v="3"/>
    <s v="horas_trabajadas_por_actividad_economica"/>
  </r>
  <r>
    <x v="15"/>
    <x v="15"/>
    <x v="5"/>
    <n v="293900000"/>
    <x v="3"/>
    <s v="horas_trabajadas_por_actividad_economica"/>
  </r>
  <r>
    <x v="16"/>
    <x v="16"/>
    <x v="5"/>
    <n v="735504000"/>
    <x v="3"/>
    <s v="horas_trabajadas_por_actividad_economica"/>
  </r>
  <r>
    <x v="17"/>
    <x v="17"/>
    <x v="5"/>
    <n v="823339000"/>
    <x v="3"/>
    <s v="horas_trabajadas_por_actividad_economica"/>
  </r>
  <r>
    <x v="18"/>
    <x v="18"/>
    <x v="5"/>
    <n v="1298249000"/>
    <x v="3"/>
    <s v="horas_trabajadas_por_actividad_economica"/>
  </r>
  <r>
    <x v="19"/>
    <x v="19"/>
    <x v="5"/>
    <n v="1034377000"/>
    <x v="3"/>
    <s v="horas_trabajadas_por_actividad_economica"/>
  </r>
  <r>
    <x v="20"/>
    <x v="20"/>
    <x v="5"/>
    <n v="268818000"/>
    <x v="3"/>
    <s v="horas_trabajadas_por_actividad_economica"/>
  </r>
  <r>
    <x v="21"/>
    <x v="21"/>
    <x v="5"/>
    <n v="56274000"/>
    <x v="3"/>
    <s v="horas_trabajadas_por_actividad_economica"/>
  </r>
  <r>
    <x v="22"/>
    <x v="22"/>
    <x v="5"/>
    <n v="63980000"/>
    <x v="3"/>
    <s v="horas_trabajadas_por_actividad_economica"/>
  </r>
  <r>
    <x v="23"/>
    <x v="23"/>
    <x v="5"/>
    <n v="31651000"/>
    <x v="3"/>
    <s v="horas_trabajadas_por_actividad_economica"/>
  </r>
  <r>
    <x v="24"/>
    <x v="24"/>
    <x v="5"/>
    <m/>
    <x v="3"/>
    <s v="horas_trabajadas_por_actividad_economica"/>
  </r>
  <r>
    <x v="25"/>
    <x v="25"/>
    <x v="5"/>
    <m/>
    <x v="3"/>
    <s v="horas_trabajadas_por_actividad_economica"/>
  </r>
  <r>
    <x v="0"/>
    <x v="0"/>
    <x v="3"/>
    <n v="121833381"/>
    <x v="3"/>
    <s v="horas_trabajadas_por_actividad_economica"/>
  </r>
  <r>
    <x v="1"/>
    <x v="1"/>
    <x v="3"/>
    <n v="79039205"/>
    <x v="3"/>
    <s v="horas_trabajadas_por_actividad_economica"/>
  </r>
  <r>
    <x v="2"/>
    <x v="2"/>
    <x v="3"/>
    <n v="1975889"/>
    <x v="3"/>
    <s v="horas_trabajadas_por_actividad_economica"/>
  </r>
  <r>
    <x v="3"/>
    <x v="3"/>
    <x v="3"/>
    <m/>
    <x v="3"/>
    <s v="horas_trabajadas_por_actividad_economica"/>
  </r>
  <r>
    <x v="4"/>
    <x v="4"/>
    <x v="3"/>
    <n v="3541774"/>
    <x v="3"/>
    <s v="horas_trabajadas_por_actividad_economica"/>
  </r>
  <r>
    <x v="5"/>
    <x v="5"/>
    <x v="3"/>
    <n v="6809625"/>
    <x v="3"/>
    <s v="horas_trabajadas_por_actividad_economica"/>
  </r>
  <r>
    <x v="6"/>
    <x v="6"/>
    <x v="3"/>
    <n v="318670"/>
    <x v="3"/>
    <s v="horas_trabajadas_por_actividad_economica"/>
  </r>
  <r>
    <x v="7"/>
    <x v="7"/>
    <x v="3"/>
    <n v="474802"/>
    <x v="3"/>
    <s v="horas_trabajadas_por_actividad_economica"/>
  </r>
  <r>
    <x v="8"/>
    <x v="8"/>
    <x v="3"/>
    <n v="2358696"/>
    <x v="3"/>
    <s v="horas_trabajadas_por_actividad_economica"/>
  </r>
  <r>
    <x v="9"/>
    <x v="9"/>
    <x v="3"/>
    <n v="927701"/>
    <x v="3"/>
    <s v="horas_trabajadas_por_actividad_economica"/>
  </r>
  <r>
    <x v="10"/>
    <x v="10"/>
    <x v="3"/>
    <n v="791039"/>
    <x v="3"/>
    <s v="horas_trabajadas_por_actividad_economica"/>
  </r>
  <r>
    <x v="11"/>
    <x v="11"/>
    <x v="3"/>
    <n v="3745896"/>
    <x v="3"/>
    <s v="horas_trabajadas_por_actividad_economica"/>
  </r>
  <r>
    <x v="12"/>
    <x v="12"/>
    <x v="3"/>
    <n v="1863004"/>
    <x v="3"/>
    <s v="horas_trabajadas_por_actividad_economica"/>
  </r>
  <r>
    <x v="13"/>
    <x v="13"/>
    <x v="3"/>
    <n v="5354777"/>
    <x v="3"/>
    <s v="horas_trabajadas_por_actividad_economica"/>
  </r>
  <r>
    <x v="14"/>
    <x v="14"/>
    <x v="3"/>
    <n v="3806756"/>
    <x v="3"/>
    <s v="horas_trabajadas_por_actividad_economica"/>
  </r>
  <r>
    <x v="15"/>
    <x v="15"/>
    <x v="3"/>
    <n v="1297670"/>
    <x v="3"/>
    <s v="horas_trabajadas_por_actividad_economica"/>
  </r>
  <r>
    <x v="16"/>
    <x v="16"/>
    <x v="3"/>
    <n v="3332679"/>
    <x v="3"/>
    <s v="horas_trabajadas_por_actividad_economica"/>
  </r>
  <r>
    <x v="17"/>
    <x v="17"/>
    <x v="3"/>
    <n v="33432"/>
    <x v="3"/>
    <s v="horas_trabajadas_por_actividad_economica"/>
  </r>
  <r>
    <x v="18"/>
    <x v="18"/>
    <x v="3"/>
    <n v="1044449"/>
    <x v="3"/>
    <s v="horas_trabajadas_por_actividad_economica"/>
  </r>
  <r>
    <x v="19"/>
    <x v="19"/>
    <x v="3"/>
    <n v="1316215"/>
    <x v="3"/>
    <s v="horas_trabajadas_por_actividad_economica"/>
  </r>
  <r>
    <x v="20"/>
    <x v="20"/>
    <x v="3"/>
    <n v="642163"/>
    <x v="3"/>
    <s v="horas_trabajadas_por_actividad_economica"/>
  </r>
  <r>
    <x v="21"/>
    <x v="21"/>
    <x v="3"/>
    <n v="414253"/>
    <x v="3"/>
    <s v="horas_trabajadas_por_actividad_economica"/>
  </r>
  <r>
    <x v="22"/>
    <x v="22"/>
    <x v="3"/>
    <n v="437032"/>
    <x v="3"/>
    <s v="horas_trabajadas_por_actividad_economica"/>
  </r>
  <r>
    <x v="23"/>
    <x v="23"/>
    <x v="3"/>
    <n v="618890"/>
    <x v="3"/>
    <s v="horas_trabajadas_por_actividad_economica"/>
  </r>
  <r>
    <x v="24"/>
    <x v="24"/>
    <x v="3"/>
    <n v="1688764"/>
    <x v="3"/>
    <s v="horas_trabajadas_por_actividad_economica"/>
  </r>
  <r>
    <x v="25"/>
    <x v="25"/>
    <x v="3"/>
    <m/>
    <x v="3"/>
    <s v="horas_trabajadas_por_actividad_economica"/>
  </r>
  <r>
    <x v="0"/>
    <x v="0"/>
    <x v="0"/>
    <n v="797222153"/>
    <x v="4"/>
    <s v="horas_trabajadas_por_actividad_economica"/>
  </r>
  <r>
    <x v="1"/>
    <x v="1"/>
    <x v="0"/>
    <n v="312780233"/>
    <x v="4"/>
    <s v="horas_trabajadas_por_actividad_economica"/>
  </r>
  <r>
    <x v="2"/>
    <x v="2"/>
    <x v="0"/>
    <n v="40577468"/>
    <x v="4"/>
    <s v="horas_trabajadas_por_actividad_economica"/>
  </r>
  <r>
    <x v="3"/>
    <x v="3"/>
    <x v="0"/>
    <m/>
    <x v="4"/>
    <s v="horas_trabajadas_por_actividad_economica"/>
  </r>
  <r>
    <x v="4"/>
    <x v="4"/>
    <x v="0"/>
    <n v="6522588"/>
    <x v="4"/>
    <s v="horas_trabajadas_por_actividad_economica"/>
  </r>
  <r>
    <x v="5"/>
    <x v="5"/>
    <x v="0"/>
    <n v="6017653"/>
    <x v="4"/>
    <s v="horas_trabajadas_por_actividad_economica"/>
  </r>
  <r>
    <x v="6"/>
    <x v="6"/>
    <x v="0"/>
    <n v="1840763"/>
    <x v="4"/>
    <s v="horas_trabajadas_por_actividad_economica"/>
  </r>
  <r>
    <x v="7"/>
    <x v="7"/>
    <x v="0"/>
    <n v="51180556"/>
    <x v="4"/>
    <s v="horas_trabajadas_por_actividad_economica"/>
  </r>
  <r>
    <x v="8"/>
    <x v="8"/>
    <x v="0"/>
    <n v="45088667"/>
    <x v="4"/>
    <s v="horas_trabajadas_por_actividad_economica"/>
  </r>
  <r>
    <x v="9"/>
    <x v="9"/>
    <x v="0"/>
    <n v="8279001"/>
    <x v="4"/>
    <s v="horas_trabajadas_por_actividad_economica"/>
  </r>
  <r>
    <x v="10"/>
    <x v="10"/>
    <x v="0"/>
    <m/>
    <x v="4"/>
    <s v="horas_trabajadas_por_actividad_economica"/>
  </r>
  <r>
    <x v="11"/>
    <x v="11"/>
    <x v="0"/>
    <n v="44139071"/>
    <x v="4"/>
    <s v="horas_trabajadas_por_actividad_economica"/>
  </r>
  <r>
    <x v="12"/>
    <x v="12"/>
    <x v="0"/>
    <n v="23038067"/>
    <x v="4"/>
    <s v="horas_trabajadas_por_actividad_economica"/>
  </r>
  <r>
    <x v="13"/>
    <x v="13"/>
    <x v="0"/>
    <n v="42710251"/>
    <x v="4"/>
    <s v="horas_trabajadas_por_actividad_economica"/>
  </r>
  <r>
    <x v="14"/>
    <x v="14"/>
    <x v="0"/>
    <n v="33749079"/>
    <x v="4"/>
    <s v="horas_trabajadas_por_actividad_economica"/>
  </r>
  <r>
    <x v="15"/>
    <x v="15"/>
    <x v="0"/>
    <n v="16573945"/>
    <x v="4"/>
    <s v="horas_trabajadas_por_actividad_economica"/>
  </r>
  <r>
    <x v="16"/>
    <x v="16"/>
    <x v="0"/>
    <n v="37076193"/>
    <x v="4"/>
    <s v="horas_trabajadas_por_actividad_economica"/>
  </r>
  <r>
    <x v="17"/>
    <x v="17"/>
    <x v="0"/>
    <n v="386240"/>
    <x v="4"/>
    <s v="horas_trabajadas_por_actividad_economica"/>
  </r>
  <r>
    <x v="18"/>
    <x v="18"/>
    <x v="0"/>
    <n v="11640782"/>
    <x v="4"/>
    <s v="horas_trabajadas_por_actividad_economica"/>
  </r>
  <r>
    <x v="19"/>
    <x v="19"/>
    <x v="0"/>
    <n v="17326700"/>
    <x v="4"/>
    <s v="horas_trabajadas_por_actividad_economica"/>
  </r>
  <r>
    <x v="20"/>
    <x v="20"/>
    <x v="0"/>
    <n v="1588204"/>
    <x v="4"/>
    <s v="horas_trabajadas_por_actividad_economica"/>
  </r>
  <r>
    <x v="21"/>
    <x v="21"/>
    <x v="0"/>
    <n v="1719113"/>
    <x v="4"/>
    <s v="horas_trabajadas_por_actividad_economica"/>
  </r>
  <r>
    <x v="22"/>
    <x v="22"/>
    <x v="0"/>
    <n v="17583905"/>
    <x v="4"/>
    <s v="horas_trabajadas_por_actividad_economica"/>
  </r>
  <r>
    <x v="23"/>
    <x v="23"/>
    <x v="0"/>
    <n v="2011099"/>
    <x v="4"/>
    <s v="horas_trabajadas_por_actividad_economica"/>
  </r>
  <r>
    <x v="24"/>
    <x v="24"/>
    <x v="0"/>
    <n v="46048468"/>
    <x v="4"/>
    <s v="horas_trabajadas_por_actividad_economica"/>
  </r>
  <r>
    <x v="25"/>
    <x v="25"/>
    <x v="0"/>
    <n v="29344097"/>
    <x v="4"/>
    <s v="horas_trabajadas_por_actividad_economica"/>
  </r>
  <r>
    <x v="0"/>
    <x v="0"/>
    <x v="2"/>
    <n v="611226144"/>
    <x v="4"/>
    <s v="horas_trabajadas_por_actividad_economica"/>
  </r>
  <r>
    <x v="1"/>
    <x v="1"/>
    <x v="2"/>
    <n v="337998736"/>
    <x v="4"/>
    <s v="horas_trabajadas_por_actividad_economica"/>
  </r>
  <r>
    <x v="2"/>
    <x v="2"/>
    <x v="2"/>
    <n v="19531350"/>
    <x v="4"/>
    <s v="horas_trabajadas_por_actividad_economica"/>
  </r>
  <r>
    <x v="3"/>
    <x v="3"/>
    <x v="2"/>
    <n v="84828"/>
    <x v="4"/>
    <s v="horas_trabajadas_por_actividad_economica"/>
  </r>
  <r>
    <x v="4"/>
    <x v="4"/>
    <x v="2"/>
    <n v="13078448"/>
    <x v="4"/>
    <s v="horas_trabajadas_por_actividad_economica"/>
  </r>
  <r>
    <x v="5"/>
    <x v="5"/>
    <x v="2"/>
    <n v="6689866"/>
    <x v="4"/>
    <s v="horas_trabajadas_por_actividad_economica"/>
  </r>
  <r>
    <x v="6"/>
    <x v="6"/>
    <x v="2"/>
    <n v="6857311"/>
    <x v="4"/>
    <s v="horas_trabajadas_por_actividad_economica"/>
  </r>
  <r>
    <x v="7"/>
    <x v="7"/>
    <x v="2"/>
    <n v="12131820"/>
    <x v="4"/>
    <s v="horas_trabajadas_por_actividad_economica"/>
  </r>
  <r>
    <x v="8"/>
    <x v="8"/>
    <x v="2"/>
    <n v="25469099"/>
    <x v="4"/>
    <s v="horas_trabajadas_por_actividad_economica"/>
  </r>
  <r>
    <x v="9"/>
    <x v="9"/>
    <x v="2"/>
    <n v="10409266"/>
    <x v="4"/>
    <s v="horas_trabajadas_por_actividad_economica"/>
  </r>
  <r>
    <x v="10"/>
    <x v="10"/>
    <x v="2"/>
    <n v="1858932"/>
    <x v="4"/>
    <s v="horas_trabajadas_por_actividad_economica"/>
  </r>
  <r>
    <x v="11"/>
    <x v="11"/>
    <x v="2"/>
    <n v="24932809"/>
    <x v="4"/>
    <s v="horas_trabajadas_por_actividad_economica"/>
  </r>
  <r>
    <x v="12"/>
    <x v="12"/>
    <x v="2"/>
    <n v="14488014"/>
    <x v="4"/>
    <s v="horas_trabajadas_por_actividad_economica"/>
  </r>
  <r>
    <x v="13"/>
    <x v="13"/>
    <x v="2"/>
    <n v="50845793"/>
    <x v="4"/>
    <s v="horas_trabajadas_por_actividad_economica"/>
  </r>
  <r>
    <x v="14"/>
    <x v="14"/>
    <x v="2"/>
    <n v="18414552"/>
    <x v="4"/>
    <s v="horas_trabajadas_por_actividad_economica"/>
  </r>
  <r>
    <x v="15"/>
    <x v="15"/>
    <x v="2"/>
    <n v="13756403"/>
    <x v="4"/>
    <s v="horas_trabajadas_por_actividad_economica"/>
  </r>
  <r>
    <x v="16"/>
    <x v="16"/>
    <x v="2"/>
    <n v="11036752"/>
    <x v="4"/>
    <s v="horas_trabajadas_por_actividad_economica"/>
  </r>
  <r>
    <x v="17"/>
    <x v="17"/>
    <x v="2"/>
    <n v="1449196"/>
    <x v="4"/>
    <s v="horas_trabajadas_por_actividad_economica"/>
  </r>
  <r>
    <x v="18"/>
    <x v="18"/>
    <x v="2"/>
    <n v="17215008"/>
    <x v="4"/>
    <s v="horas_trabajadas_por_actividad_economica"/>
  </r>
  <r>
    <x v="19"/>
    <x v="19"/>
    <x v="2"/>
    <n v="6125244"/>
    <x v="4"/>
    <s v="horas_trabajadas_por_actividad_economica"/>
  </r>
  <r>
    <x v="20"/>
    <x v="20"/>
    <x v="2"/>
    <n v="2756130"/>
    <x v="4"/>
    <s v="horas_trabajadas_por_actividad_economica"/>
  </r>
  <r>
    <x v="21"/>
    <x v="21"/>
    <x v="2"/>
    <n v="3143304"/>
    <x v="4"/>
    <s v="horas_trabajadas_por_actividad_economica"/>
  </r>
  <r>
    <x v="22"/>
    <x v="22"/>
    <x v="2"/>
    <n v="8814996"/>
    <x v="4"/>
    <s v="horas_trabajadas_por_actividad_economica"/>
  </r>
  <r>
    <x v="23"/>
    <x v="23"/>
    <x v="2"/>
    <n v="501312"/>
    <x v="4"/>
    <s v="horas_trabajadas_por_actividad_economica"/>
  </r>
  <r>
    <x v="24"/>
    <x v="24"/>
    <x v="2"/>
    <n v="3636972"/>
    <x v="4"/>
    <s v="horas_trabajadas_por_actividad_economica"/>
  </r>
  <r>
    <x v="25"/>
    <x v="25"/>
    <x v="2"/>
    <m/>
    <x v="4"/>
    <s v="horas_trabajadas_por_actividad_economica"/>
  </r>
  <r>
    <x v="0"/>
    <x v="0"/>
    <x v="5"/>
    <n v="9582008000"/>
    <x v="4"/>
    <s v="horas_trabajadas_por_actividad_economica"/>
  </r>
  <r>
    <x v="1"/>
    <x v="1"/>
    <x v="5"/>
    <n v="2120935000"/>
    <x v="4"/>
    <s v="horas_trabajadas_por_actividad_economica"/>
  </r>
  <r>
    <x v="2"/>
    <x v="2"/>
    <x v="5"/>
    <n v="373884000"/>
    <x v="4"/>
    <s v="horas_trabajadas_por_actividad_economica"/>
  </r>
  <r>
    <x v="3"/>
    <x v="3"/>
    <x v="5"/>
    <n v="5522000"/>
    <x v="4"/>
    <s v="horas_trabajadas_por_actividad_economica"/>
  </r>
  <r>
    <x v="4"/>
    <x v="4"/>
    <x v="5"/>
    <n v="587930000"/>
    <x v="4"/>
    <s v="horas_trabajadas_por_actividad_economica"/>
  </r>
  <r>
    <x v="5"/>
    <x v="5"/>
    <x v="5"/>
    <n v="263012000"/>
    <x v="4"/>
    <s v="horas_trabajadas_por_actividad_economica"/>
  </r>
  <r>
    <x v="6"/>
    <x v="6"/>
    <x v="5"/>
    <n v="113294000"/>
    <x v="4"/>
    <s v="horas_trabajadas_por_actividad_economica"/>
  </r>
  <r>
    <x v="7"/>
    <x v="7"/>
    <x v="5"/>
    <n v="58917000"/>
    <x v="4"/>
    <s v="horas_trabajadas_por_actividad_economica"/>
  </r>
  <r>
    <x v="8"/>
    <x v="8"/>
    <x v="5"/>
    <n v="196574000"/>
    <x v="4"/>
    <s v="horas_trabajadas_por_actividad_economica"/>
  </r>
  <r>
    <x v="9"/>
    <x v="9"/>
    <x v="5"/>
    <n v="30968000"/>
    <x v="4"/>
    <s v="horas_trabajadas_por_actividad_economica"/>
  </r>
  <r>
    <x v="10"/>
    <x v="10"/>
    <x v="5"/>
    <n v="59921000"/>
    <x v="4"/>
    <s v="horas_trabajadas_por_actividad_economica"/>
  </r>
  <r>
    <x v="11"/>
    <x v="11"/>
    <x v="5"/>
    <n v="428844000"/>
    <x v="4"/>
    <s v="horas_trabajadas_por_actividad_economica"/>
  </r>
  <r>
    <x v="12"/>
    <x v="12"/>
    <x v="5"/>
    <n v="184820000"/>
    <x v="4"/>
    <s v="horas_trabajadas_por_actividad_economica"/>
  </r>
  <r>
    <x v="13"/>
    <x v="13"/>
    <x v="5"/>
    <n v="563090000"/>
    <x v="4"/>
    <s v="horas_trabajadas_por_actividad_economica"/>
  </r>
  <r>
    <x v="14"/>
    <x v="14"/>
    <x v="5"/>
    <n v="382690000"/>
    <x v="4"/>
    <s v="horas_trabajadas_por_actividad_economica"/>
  </r>
  <r>
    <x v="15"/>
    <x v="15"/>
    <x v="5"/>
    <n v="275145000"/>
    <x v="4"/>
    <s v="horas_trabajadas_por_actividad_economica"/>
  </r>
  <r>
    <x v="16"/>
    <x v="16"/>
    <x v="5"/>
    <n v="662988000"/>
    <x v="4"/>
    <s v="horas_trabajadas_por_actividad_economica"/>
  </r>
  <r>
    <x v="17"/>
    <x v="17"/>
    <x v="5"/>
    <n v="798527000"/>
    <x v="4"/>
    <s v="horas_trabajadas_por_actividad_economica"/>
  </r>
  <r>
    <x v="18"/>
    <x v="18"/>
    <x v="5"/>
    <n v="1191671000"/>
    <x v="4"/>
    <s v="horas_trabajadas_por_actividad_economica"/>
  </r>
  <r>
    <x v="19"/>
    <x v="19"/>
    <x v="5"/>
    <n v="927673000"/>
    <x v="4"/>
    <s v="horas_trabajadas_por_actividad_economica"/>
  </r>
  <r>
    <x v="20"/>
    <x v="20"/>
    <x v="5"/>
    <n v="212619000"/>
    <x v="4"/>
    <s v="horas_trabajadas_por_actividad_economica"/>
  </r>
  <r>
    <x v="21"/>
    <x v="21"/>
    <x v="5"/>
    <n v="53613000"/>
    <x v="4"/>
    <s v="horas_trabajadas_por_actividad_economica"/>
  </r>
  <r>
    <x v="22"/>
    <x v="22"/>
    <x v="5"/>
    <n v="59728000"/>
    <x v="4"/>
    <s v="horas_trabajadas_por_actividad_economica"/>
  </r>
  <r>
    <x v="23"/>
    <x v="23"/>
    <x v="5"/>
    <n v="29643000"/>
    <x v="4"/>
    <s v="horas_trabajadas_por_actividad_economica"/>
  </r>
  <r>
    <x v="24"/>
    <x v="24"/>
    <x v="5"/>
    <m/>
    <x v="4"/>
    <s v="horas_trabajadas_por_actividad_economica"/>
  </r>
  <r>
    <x v="25"/>
    <x v="25"/>
    <x v="5"/>
    <m/>
    <x v="4"/>
    <s v="horas_trabajadas_por_actividad_economica"/>
  </r>
  <r>
    <x v="0"/>
    <x v="0"/>
    <x v="3"/>
    <m/>
    <x v="4"/>
    <s v="horas_trabajadas_por_actividad_economica"/>
  </r>
  <r>
    <x v="1"/>
    <x v="1"/>
    <x v="3"/>
    <m/>
    <x v="4"/>
    <s v="horas_trabajadas_por_actividad_economica"/>
  </r>
  <r>
    <x v="2"/>
    <x v="2"/>
    <x v="3"/>
    <m/>
    <x v="4"/>
    <s v="horas_trabajadas_por_actividad_economica"/>
  </r>
  <r>
    <x v="3"/>
    <x v="3"/>
    <x v="3"/>
    <m/>
    <x v="4"/>
    <s v="horas_trabajadas_por_actividad_economica"/>
  </r>
  <r>
    <x v="4"/>
    <x v="4"/>
    <x v="3"/>
    <m/>
    <x v="4"/>
    <s v="horas_trabajadas_por_actividad_economica"/>
  </r>
  <r>
    <x v="5"/>
    <x v="5"/>
    <x v="3"/>
    <m/>
    <x v="4"/>
    <s v="horas_trabajadas_por_actividad_economica"/>
  </r>
  <r>
    <x v="6"/>
    <x v="6"/>
    <x v="3"/>
    <m/>
    <x v="4"/>
    <s v="horas_trabajadas_por_actividad_economica"/>
  </r>
  <r>
    <x v="7"/>
    <x v="7"/>
    <x v="3"/>
    <m/>
    <x v="4"/>
    <s v="horas_trabajadas_por_actividad_economica"/>
  </r>
  <r>
    <x v="8"/>
    <x v="8"/>
    <x v="3"/>
    <m/>
    <x v="4"/>
    <s v="horas_trabajadas_por_actividad_economica"/>
  </r>
  <r>
    <x v="9"/>
    <x v="9"/>
    <x v="3"/>
    <m/>
    <x v="4"/>
    <s v="horas_trabajadas_por_actividad_economica"/>
  </r>
  <r>
    <x v="10"/>
    <x v="10"/>
    <x v="3"/>
    <m/>
    <x v="4"/>
    <s v="horas_trabajadas_por_actividad_economica"/>
  </r>
  <r>
    <x v="11"/>
    <x v="11"/>
    <x v="3"/>
    <m/>
    <x v="4"/>
    <s v="horas_trabajadas_por_actividad_economica"/>
  </r>
  <r>
    <x v="12"/>
    <x v="12"/>
    <x v="3"/>
    <m/>
    <x v="4"/>
    <s v="horas_trabajadas_por_actividad_economica"/>
  </r>
  <r>
    <x v="13"/>
    <x v="13"/>
    <x v="3"/>
    <m/>
    <x v="4"/>
    <s v="horas_trabajadas_por_actividad_economica"/>
  </r>
  <r>
    <x v="14"/>
    <x v="14"/>
    <x v="3"/>
    <m/>
    <x v="4"/>
    <s v="horas_trabajadas_por_actividad_economica"/>
  </r>
  <r>
    <x v="15"/>
    <x v="15"/>
    <x v="3"/>
    <m/>
    <x v="4"/>
    <s v="horas_trabajadas_por_actividad_economica"/>
  </r>
  <r>
    <x v="16"/>
    <x v="16"/>
    <x v="3"/>
    <m/>
    <x v="4"/>
    <s v="horas_trabajadas_por_actividad_economica"/>
  </r>
  <r>
    <x v="17"/>
    <x v="17"/>
    <x v="3"/>
    <m/>
    <x v="4"/>
    <s v="horas_trabajadas_por_actividad_economica"/>
  </r>
  <r>
    <x v="18"/>
    <x v="18"/>
    <x v="3"/>
    <m/>
    <x v="4"/>
    <s v="horas_trabajadas_por_actividad_economica"/>
  </r>
  <r>
    <x v="19"/>
    <x v="19"/>
    <x v="3"/>
    <m/>
    <x v="4"/>
    <s v="horas_trabajadas_por_actividad_economica"/>
  </r>
  <r>
    <x v="20"/>
    <x v="20"/>
    <x v="3"/>
    <m/>
    <x v="4"/>
    <s v="horas_trabajadas_por_actividad_economica"/>
  </r>
  <r>
    <x v="21"/>
    <x v="21"/>
    <x v="3"/>
    <m/>
    <x v="4"/>
    <s v="horas_trabajadas_por_actividad_economica"/>
  </r>
  <r>
    <x v="22"/>
    <x v="22"/>
    <x v="3"/>
    <m/>
    <x v="4"/>
    <s v="horas_trabajadas_por_actividad_economica"/>
  </r>
  <r>
    <x v="23"/>
    <x v="23"/>
    <x v="3"/>
    <m/>
    <x v="4"/>
    <s v="horas_trabajadas_por_actividad_economica"/>
  </r>
  <r>
    <x v="24"/>
    <x v="24"/>
    <x v="3"/>
    <m/>
    <x v="4"/>
    <s v="horas_trabajadas_por_actividad_economica"/>
  </r>
  <r>
    <x v="25"/>
    <x v="25"/>
    <x v="3"/>
    <m/>
    <x v="4"/>
    <s v="horas_trabajadas_por_actividad_economica"/>
  </r>
  <r>
    <x v="0"/>
    <x v="0"/>
    <x v="0"/>
    <n v="932348360"/>
    <x v="5"/>
    <s v="horas_trabajadas_por_actividad_economica"/>
  </r>
  <r>
    <x v="1"/>
    <x v="1"/>
    <x v="0"/>
    <n v="369017188"/>
    <x v="5"/>
    <s v="horas_trabajadas_por_actividad_economica"/>
  </r>
  <r>
    <x v="2"/>
    <x v="2"/>
    <x v="0"/>
    <n v="37149709"/>
    <x v="5"/>
    <s v="horas_trabajadas_por_actividad_economica"/>
  </r>
  <r>
    <x v="3"/>
    <x v="3"/>
    <x v="0"/>
    <m/>
    <x v="5"/>
    <s v="horas_trabajadas_por_actividad_economica"/>
  </r>
  <r>
    <x v="4"/>
    <x v="4"/>
    <x v="0"/>
    <n v="7281023"/>
    <x v="5"/>
    <s v="horas_trabajadas_por_actividad_economica"/>
  </r>
  <r>
    <x v="5"/>
    <x v="5"/>
    <x v="0"/>
    <n v="6176745"/>
    <x v="5"/>
    <s v="horas_trabajadas_por_actividad_economica"/>
  </r>
  <r>
    <x v="6"/>
    <x v="6"/>
    <x v="0"/>
    <n v="2349584"/>
    <x v="5"/>
    <s v="horas_trabajadas_por_actividad_economica"/>
  </r>
  <r>
    <x v="7"/>
    <x v="7"/>
    <x v="0"/>
    <n v="59475824"/>
    <x v="5"/>
    <s v="horas_trabajadas_por_actividad_economica"/>
  </r>
  <r>
    <x v="8"/>
    <x v="8"/>
    <x v="0"/>
    <n v="47604712"/>
    <x v="5"/>
    <s v="horas_trabajadas_por_actividad_economica"/>
  </r>
  <r>
    <x v="9"/>
    <x v="9"/>
    <x v="0"/>
    <n v="10206855"/>
    <x v="5"/>
    <s v="horas_trabajadas_por_actividad_economica"/>
  </r>
  <r>
    <x v="10"/>
    <x v="10"/>
    <x v="0"/>
    <m/>
    <x v="5"/>
    <s v="horas_trabajadas_por_actividad_economica"/>
  </r>
  <r>
    <x v="11"/>
    <x v="11"/>
    <x v="0"/>
    <n v="47704654"/>
    <x v="5"/>
    <s v="horas_trabajadas_por_actividad_economica"/>
  </r>
  <r>
    <x v="12"/>
    <x v="12"/>
    <x v="0"/>
    <n v="27741776"/>
    <x v="5"/>
    <s v="horas_trabajadas_por_actividad_economica"/>
  </r>
  <r>
    <x v="13"/>
    <x v="13"/>
    <x v="0"/>
    <n v="48007475"/>
    <x v="5"/>
    <s v="horas_trabajadas_por_actividad_economica"/>
  </r>
  <r>
    <x v="14"/>
    <x v="14"/>
    <x v="0"/>
    <n v="35161577"/>
    <x v="5"/>
    <s v="horas_trabajadas_por_actividad_economica"/>
  </r>
  <r>
    <x v="15"/>
    <x v="15"/>
    <x v="0"/>
    <n v="21609575"/>
    <x v="5"/>
    <s v="horas_trabajadas_por_actividad_economica"/>
  </r>
  <r>
    <x v="16"/>
    <x v="16"/>
    <x v="0"/>
    <n v="48343251"/>
    <x v="5"/>
    <s v="horas_trabajadas_por_actividad_economica"/>
  </r>
  <r>
    <x v="17"/>
    <x v="17"/>
    <x v="0"/>
    <n v="794507"/>
    <x v="5"/>
    <s v="horas_trabajadas_por_actividad_economica"/>
  </r>
  <r>
    <x v="18"/>
    <x v="18"/>
    <x v="0"/>
    <n v="12893780"/>
    <x v="5"/>
    <s v="horas_trabajadas_por_actividad_economica"/>
  </r>
  <r>
    <x v="19"/>
    <x v="19"/>
    <x v="0"/>
    <n v="28537404"/>
    <x v="5"/>
    <s v="horas_trabajadas_por_actividad_economica"/>
  </r>
  <r>
    <x v="20"/>
    <x v="20"/>
    <x v="0"/>
    <n v="1829247"/>
    <x v="5"/>
    <s v="horas_trabajadas_por_actividad_economica"/>
  </r>
  <r>
    <x v="21"/>
    <x v="21"/>
    <x v="0"/>
    <n v="901698"/>
    <x v="5"/>
    <s v="horas_trabajadas_por_actividad_economica"/>
  </r>
  <r>
    <x v="22"/>
    <x v="22"/>
    <x v="0"/>
    <n v="20336360"/>
    <x v="5"/>
    <s v="horas_trabajadas_por_actividad_economica"/>
  </r>
  <r>
    <x v="23"/>
    <x v="23"/>
    <x v="0"/>
    <n v="3620579"/>
    <x v="5"/>
    <s v="horas_trabajadas_por_actividad_economica"/>
  </r>
  <r>
    <x v="24"/>
    <x v="24"/>
    <x v="0"/>
    <n v="53502634"/>
    <x v="5"/>
    <s v="horas_trabajadas_por_actividad_economica"/>
  </r>
  <r>
    <x v="25"/>
    <x v="25"/>
    <x v="0"/>
    <n v="42102203"/>
    <x v="5"/>
    <s v="horas_trabajadas_por_actividad_economica"/>
  </r>
  <r>
    <x v="0"/>
    <x v="0"/>
    <x v="2"/>
    <m/>
    <x v="5"/>
    <s v="horas_trabajadas_por_actividad_economica"/>
  </r>
  <r>
    <x v="1"/>
    <x v="1"/>
    <x v="2"/>
    <m/>
    <x v="5"/>
    <s v="horas_trabajadas_por_actividad_economica"/>
  </r>
  <r>
    <x v="2"/>
    <x v="2"/>
    <x v="2"/>
    <m/>
    <x v="5"/>
    <s v="horas_trabajadas_por_actividad_economica"/>
  </r>
  <r>
    <x v="3"/>
    <x v="3"/>
    <x v="2"/>
    <m/>
    <x v="5"/>
    <s v="horas_trabajadas_por_actividad_economica"/>
  </r>
  <r>
    <x v="4"/>
    <x v="4"/>
    <x v="2"/>
    <m/>
    <x v="5"/>
    <s v="horas_trabajadas_por_actividad_economica"/>
  </r>
  <r>
    <x v="5"/>
    <x v="5"/>
    <x v="2"/>
    <m/>
    <x v="5"/>
    <s v="horas_trabajadas_por_actividad_economica"/>
  </r>
  <r>
    <x v="6"/>
    <x v="6"/>
    <x v="2"/>
    <m/>
    <x v="5"/>
    <s v="horas_trabajadas_por_actividad_economica"/>
  </r>
  <r>
    <x v="7"/>
    <x v="7"/>
    <x v="2"/>
    <m/>
    <x v="5"/>
    <s v="horas_trabajadas_por_actividad_economica"/>
  </r>
  <r>
    <x v="8"/>
    <x v="8"/>
    <x v="2"/>
    <m/>
    <x v="5"/>
    <s v="horas_trabajadas_por_actividad_economica"/>
  </r>
  <r>
    <x v="9"/>
    <x v="9"/>
    <x v="2"/>
    <m/>
    <x v="5"/>
    <s v="horas_trabajadas_por_actividad_economica"/>
  </r>
  <r>
    <x v="10"/>
    <x v="10"/>
    <x v="2"/>
    <m/>
    <x v="5"/>
    <s v="horas_trabajadas_por_actividad_economica"/>
  </r>
  <r>
    <x v="11"/>
    <x v="11"/>
    <x v="2"/>
    <m/>
    <x v="5"/>
    <s v="horas_trabajadas_por_actividad_economica"/>
  </r>
  <r>
    <x v="12"/>
    <x v="12"/>
    <x v="2"/>
    <m/>
    <x v="5"/>
    <s v="horas_trabajadas_por_actividad_economica"/>
  </r>
  <r>
    <x v="13"/>
    <x v="13"/>
    <x v="2"/>
    <m/>
    <x v="5"/>
    <s v="horas_trabajadas_por_actividad_economica"/>
  </r>
  <r>
    <x v="14"/>
    <x v="14"/>
    <x v="2"/>
    <m/>
    <x v="5"/>
    <s v="horas_trabajadas_por_actividad_economica"/>
  </r>
  <r>
    <x v="15"/>
    <x v="15"/>
    <x v="2"/>
    <m/>
    <x v="5"/>
    <s v="horas_trabajadas_por_actividad_economica"/>
  </r>
  <r>
    <x v="16"/>
    <x v="16"/>
    <x v="2"/>
    <m/>
    <x v="5"/>
    <s v="horas_trabajadas_por_actividad_economica"/>
  </r>
  <r>
    <x v="17"/>
    <x v="17"/>
    <x v="2"/>
    <m/>
    <x v="5"/>
    <s v="horas_trabajadas_por_actividad_economica"/>
  </r>
  <r>
    <x v="18"/>
    <x v="18"/>
    <x v="2"/>
    <m/>
    <x v="5"/>
    <s v="horas_trabajadas_por_actividad_economica"/>
  </r>
  <r>
    <x v="19"/>
    <x v="19"/>
    <x v="2"/>
    <m/>
    <x v="5"/>
    <s v="horas_trabajadas_por_actividad_economica"/>
  </r>
  <r>
    <x v="20"/>
    <x v="20"/>
    <x v="2"/>
    <m/>
    <x v="5"/>
    <s v="horas_trabajadas_por_actividad_economica"/>
  </r>
  <r>
    <x v="21"/>
    <x v="21"/>
    <x v="2"/>
    <m/>
    <x v="5"/>
    <s v="horas_trabajadas_por_actividad_economica"/>
  </r>
  <r>
    <x v="22"/>
    <x v="22"/>
    <x v="2"/>
    <m/>
    <x v="5"/>
    <s v="horas_trabajadas_por_actividad_economica"/>
  </r>
  <r>
    <x v="23"/>
    <x v="23"/>
    <x v="2"/>
    <m/>
    <x v="5"/>
    <s v="horas_trabajadas_por_actividad_economica"/>
  </r>
  <r>
    <x v="24"/>
    <x v="24"/>
    <x v="2"/>
    <m/>
    <x v="5"/>
    <s v="horas_trabajadas_por_actividad_economica"/>
  </r>
  <r>
    <x v="25"/>
    <x v="25"/>
    <x v="2"/>
    <m/>
    <x v="5"/>
    <s v="horas_trabajadas_por_actividad_economica"/>
  </r>
  <r>
    <x v="0"/>
    <x v="0"/>
    <x v="5"/>
    <n v="10372235000"/>
    <x v="5"/>
    <s v="horas_trabajadas_por_actividad_economica"/>
  </r>
  <r>
    <x v="1"/>
    <x v="1"/>
    <x v="5"/>
    <n v="2129290000"/>
    <x v="5"/>
    <s v="horas_trabajadas_por_actividad_economica"/>
  </r>
  <r>
    <x v="2"/>
    <x v="2"/>
    <x v="5"/>
    <n v="340531000"/>
    <x v="5"/>
    <s v="horas_trabajadas_por_actividad_economica"/>
  </r>
  <r>
    <x v="3"/>
    <x v="3"/>
    <x v="5"/>
    <n v="2475000"/>
    <x v="5"/>
    <s v="horas_trabajadas_por_actividad_economica"/>
  </r>
  <r>
    <x v="4"/>
    <x v="4"/>
    <x v="5"/>
    <n v="884417000"/>
    <x v="5"/>
    <s v="horas_trabajadas_por_actividad_economica"/>
  </r>
  <r>
    <x v="5"/>
    <x v="5"/>
    <x v="5"/>
    <n v="535040000"/>
    <x v="5"/>
    <s v="horas_trabajadas_por_actividad_economica"/>
  </r>
  <r>
    <x v="6"/>
    <x v="6"/>
    <x v="5"/>
    <n v="276730000"/>
    <x v="5"/>
    <s v="horas_trabajadas_por_actividad_economica"/>
  </r>
  <r>
    <x v="7"/>
    <x v="7"/>
    <x v="5"/>
    <n v="248062000"/>
    <x v="5"/>
    <s v="horas_trabajadas_por_actividad_economica"/>
  </r>
  <r>
    <x v="8"/>
    <x v="8"/>
    <x v="5"/>
    <n v="253192000"/>
    <x v="5"/>
    <s v="horas_trabajadas_por_actividad_economica"/>
  </r>
  <r>
    <x v="9"/>
    <x v="9"/>
    <x v="5"/>
    <n v="27089000"/>
    <x v="5"/>
    <s v="horas_trabajadas_por_actividad_economica"/>
  </r>
  <r>
    <x v="10"/>
    <x v="10"/>
    <x v="5"/>
    <n v="55399000"/>
    <x v="5"/>
    <s v="horas_trabajadas_por_actividad_economica"/>
  </r>
  <r>
    <x v="11"/>
    <x v="11"/>
    <x v="5"/>
    <n v="360517000"/>
    <x v="5"/>
    <s v="horas_trabajadas_por_actividad_economica"/>
  </r>
  <r>
    <x v="12"/>
    <x v="12"/>
    <x v="5"/>
    <n v="193955000"/>
    <x v="5"/>
    <s v="horas_trabajadas_por_actividad_economica"/>
  </r>
  <r>
    <x v="13"/>
    <x v="13"/>
    <x v="5"/>
    <n v="566273000"/>
    <x v="5"/>
    <s v="horas_trabajadas_por_actividad_economica"/>
  </r>
  <r>
    <x v="14"/>
    <x v="14"/>
    <x v="5"/>
    <n v="427416000"/>
    <x v="5"/>
    <s v="horas_trabajadas_por_actividad_economica"/>
  </r>
  <r>
    <x v="15"/>
    <x v="15"/>
    <x v="5"/>
    <n v="235929000"/>
    <x v="5"/>
    <s v="horas_trabajadas_por_actividad_economica"/>
  </r>
  <r>
    <x v="16"/>
    <x v="16"/>
    <x v="5"/>
    <n v="795164000"/>
    <x v="5"/>
    <s v="horas_trabajadas_por_actividad_economica"/>
  </r>
  <r>
    <x v="17"/>
    <x v="17"/>
    <x v="5"/>
    <n v="761417000"/>
    <x v="5"/>
    <s v="horas_trabajadas_por_actividad_economica"/>
  </r>
  <r>
    <x v="18"/>
    <x v="18"/>
    <x v="5"/>
    <n v="945812000"/>
    <x v="5"/>
    <s v="horas_trabajadas_por_actividad_economica"/>
  </r>
  <r>
    <x v="19"/>
    <x v="19"/>
    <x v="5"/>
    <n v="859873000"/>
    <x v="5"/>
    <s v="horas_trabajadas_por_actividad_economica"/>
  </r>
  <r>
    <x v="20"/>
    <x v="20"/>
    <x v="5"/>
    <n v="191954000"/>
    <x v="5"/>
    <s v="horas_trabajadas_por_actividad_economica"/>
  </r>
  <r>
    <x v="21"/>
    <x v="21"/>
    <x v="5"/>
    <n v="38673000"/>
    <x v="5"/>
    <s v="horas_trabajadas_por_actividad_economica"/>
  </r>
  <r>
    <x v="22"/>
    <x v="22"/>
    <x v="5"/>
    <n v="223440000"/>
    <x v="5"/>
    <s v="horas_trabajadas_por_actividad_economica"/>
  </r>
  <r>
    <x v="23"/>
    <x v="23"/>
    <x v="5"/>
    <n v="19587000"/>
    <x v="5"/>
    <s v="horas_trabajadas_por_actividad_economica"/>
  </r>
  <r>
    <x v="24"/>
    <x v="24"/>
    <x v="5"/>
    <m/>
    <x v="5"/>
    <s v="horas_trabajadas_por_actividad_economica"/>
  </r>
  <r>
    <x v="25"/>
    <x v="25"/>
    <x v="5"/>
    <m/>
    <x v="5"/>
    <s v="horas_trabajadas_por_actividad_economica"/>
  </r>
  <r>
    <x v="0"/>
    <x v="0"/>
    <x v="3"/>
    <m/>
    <x v="5"/>
    <s v="horas_trabajadas_por_actividad_economica"/>
  </r>
  <r>
    <x v="1"/>
    <x v="1"/>
    <x v="3"/>
    <m/>
    <x v="5"/>
    <s v="horas_trabajadas_por_actividad_economica"/>
  </r>
  <r>
    <x v="2"/>
    <x v="2"/>
    <x v="3"/>
    <m/>
    <x v="5"/>
    <s v="horas_trabajadas_por_actividad_economica"/>
  </r>
  <r>
    <x v="3"/>
    <x v="3"/>
    <x v="3"/>
    <m/>
    <x v="5"/>
    <s v="horas_trabajadas_por_actividad_economica"/>
  </r>
  <r>
    <x v="4"/>
    <x v="4"/>
    <x v="3"/>
    <m/>
    <x v="5"/>
    <s v="horas_trabajadas_por_actividad_economica"/>
  </r>
  <r>
    <x v="5"/>
    <x v="5"/>
    <x v="3"/>
    <m/>
    <x v="5"/>
    <s v="horas_trabajadas_por_actividad_economica"/>
  </r>
  <r>
    <x v="6"/>
    <x v="6"/>
    <x v="3"/>
    <m/>
    <x v="5"/>
    <s v="horas_trabajadas_por_actividad_economica"/>
  </r>
  <r>
    <x v="7"/>
    <x v="7"/>
    <x v="3"/>
    <m/>
    <x v="5"/>
    <s v="horas_trabajadas_por_actividad_economica"/>
  </r>
  <r>
    <x v="8"/>
    <x v="8"/>
    <x v="3"/>
    <m/>
    <x v="5"/>
    <s v="horas_trabajadas_por_actividad_economica"/>
  </r>
  <r>
    <x v="9"/>
    <x v="9"/>
    <x v="3"/>
    <m/>
    <x v="5"/>
    <s v="horas_trabajadas_por_actividad_economica"/>
  </r>
  <r>
    <x v="10"/>
    <x v="10"/>
    <x v="3"/>
    <m/>
    <x v="5"/>
    <s v="horas_trabajadas_por_actividad_economica"/>
  </r>
  <r>
    <x v="11"/>
    <x v="11"/>
    <x v="3"/>
    <m/>
    <x v="5"/>
    <s v="horas_trabajadas_por_actividad_economica"/>
  </r>
  <r>
    <x v="12"/>
    <x v="12"/>
    <x v="3"/>
    <m/>
    <x v="5"/>
    <s v="horas_trabajadas_por_actividad_economica"/>
  </r>
  <r>
    <x v="13"/>
    <x v="13"/>
    <x v="3"/>
    <m/>
    <x v="5"/>
    <s v="horas_trabajadas_por_actividad_economica"/>
  </r>
  <r>
    <x v="14"/>
    <x v="14"/>
    <x v="3"/>
    <m/>
    <x v="5"/>
    <s v="horas_trabajadas_por_actividad_economica"/>
  </r>
  <r>
    <x v="15"/>
    <x v="15"/>
    <x v="3"/>
    <m/>
    <x v="5"/>
    <s v="horas_trabajadas_por_actividad_economica"/>
  </r>
  <r>
    <x v="16"/>
    <x v="16"/>
    <x v="3"/>
    <m/>
    <x v="5"/>
    <s v="horas_trabajadas_por_actividad_economica"/>
  </r>
  <r>
    <x v="17"/>
    <x v="17"/>
    <x v="3"/>
    <m/>
    <x v="5"/>
    <s v="horas_trabajadas_por_actividad_economica"/>
  </r>
  <r>
    <x v="18"/>
    <x v="18"/>
    <x v="3"/>
    <m/>
    <x v="5"/>
    <s v="horas_trabajadas_por_actividad_economica"/>
  </r>
  <r>
    <x v="19"/>
    <x v="19"/>
    <x v="3"/>
    <m/>
    <x v="5"/>
    <s v="horas_trabajadas_por_actividad_economica"/>
  </r>
  <r>
    <x v="20"/>
    <x v="20"/>
    <x v="3"/>
    <m/>
    <x v="5"/>
    <s v="horas_trabajadas_por_actividad_economica"/>
  </r>
  <r>
    <x v="21"/>
    <x v="21"/>
    <x v="3"/>
    <m/>
    <x v="5"/>
    <s v="horas_trabajadas_por_actividad_economica"/>
  </r>
  <r>
    <x v="22"/>
    <x v="22"/>
    <x v="3"/>
    <m/>
    <x v="5"/>
    <s v="horas_trabajadas_por_actividad_economica"/>
  </r>
  <r>
    <x v="23"/>
    <x v="23"/>
    <x v="3"/>
    <m/>
    <x v="5"/>
    <s v="horas_trabajadas_por_actividad_economica"/>
  </r>
  <r>
    <x v="24"/>
    <x v="24"/>
    <x v="3"/>
    <m/>
    <x v="5"/>
    <s v="horas_trabajadas_por_actividad_economica"/>
  </r>
  <r>
    <x v="25"/>
    <x v="25"/>
    <x v="3"/>
    <m/>
    <x v="5"/>
    <s v="horas_trabajadas_por_actividad_economica"/>
  </r>
  <r>
    <x v="0"/>
    <x v="0"/>
    <x v="0"/>
    <n v="1092543554"/>
    <x v="6"/>
    <s v="horas_trabajadas_por_actividad_economica"/>
  </r>
  <r>
    <x v="1"/>
    <x v="1"/>
    <x v="0"/>
    <n v="325709306"/>
    <x v="6"/>
    <s v="horas_trabajadas_por_actividad_economica"/>
  </r>
  <r>
    <x v="2"/>
    <x v="2"/>
    <x v="0"/>
    <n v="41784005"/>
    <x v="6"/>
    <s v="horas_trabajadas_por_actividad_economica"/>
  </r>
  <r>
    <x v="3"/>
    <x v="3"/>
    <x v="0"/>
    <m/>
    <x v="6"/>
    <s v="horas_trabajadas_por_actividad_economica"/>
  </r>
  <r>
    <x v="4"/>
    <x v="4"/>
    <x v="0"/>
    <n v="6975368"/>
    <x v="6"/>
    <s v="horas_trabajadas_por_actividad_economica"/>
  </r>
  <r>
    <x v="5"/>
    <x v="5"/>
    <x v="0"/>
    <n v="5144154"/>
    <x v="6"/>
    <s v="horas_trabajadas_por_actividad_economica"/>
  </r>
  <r>
    <x v="6"/>
    <x v="6"/>
    <x v="0"/>
    <n v="2303957"/>
    <x v="6"/>
    <s v="horas_trabajadas_por_actividad_economica"/>
  </r>
  <r>
    <x v="7"/>
    <x v="7"/>
    <x v="0"/>
    <n v="59028193"/>
    <x v="6"/>
    <s v="horas_trabajadas_por_actividad_economica"/>
  </r>
  <r>
    <x v="8"/>
    <x v="8"/>
    <x v="0"/>
    <n v="41329078"/>
    <x v="6"/>
    <s v="horas_trabajadas_por_actividad_economica"/>
  </r>
  <r>
    <x v="9"/>
    <x v="9"/>
    <x v="0"/>
    <n v="8097498"/>
    <x v="6"/>
    <s v="horas_trabajadas_por_actividad_economica"/>
  </r>
  <r>
    <x v="10"/>
    <x v="10"/>
    <x v="0"/>
    <m/>
    <x v="6"/>
    <s v="horas_trabajadas_por_actividad_economica"/>
  </r>
  <r>
    <x v="11"/>
    <x v="11"/>
    <x v="0"/>
    <n v="50543083"/>
    <x v="6"/>
    <s v="horas_trabajadas_por_actividad_economica"/>
  </r>
  <r>
    <x v="12"/>
    <x v="12"/>
    <x v="0"/>
    <n v="25510784"/>
    <x v="6"/>
    <s v="horas_trabajadas_por_actividad_economica"/>
  </r>
  <r>
    <x v="13"/>
    <x v="13"/>
    <x v="0"/>
    <n v="45869421"/>
    <x v="6"/>
    <s v="horas_trabajadas_por_actividad_economica"/>
  </r>
  <r>
    <x v="14"/>
    <x v="14"/>
    <x v="0"/>
    <n v="36709787"/>
    <x v="6"/>
    <s v="horas_trabajadas_por_actividad_economica"/>
  </r>
  <r>
    <x v="15"/>
    <x v="15"/>
    <x v="0"/>
    <n v="19553082"/>
    <x v="6"/>
    <s v="horas_trabajadas_por_actividad_economica"/>
  </r>
  <r>
    <x v="16"/>
    <x v="16"/>
    <x v="0"/>
    <n v="111122284"/>
    <x v="6"/>
    <s v="horas_trabajadas_por_actividad_economica"/>
  </r>
  <r>
    <x v="17"/>
    <x v="17"/>
    <x v="0"/>
    <n v="848523"/>
    <x v="6"/>
    <s v="horas_trabajadas_por_actividad_economica"/>
  </r>
  <r>
    <x v="18"/>
    <x v="18"/>
    <x v="0"/>
    <n v="188976789"/>
    <x v="6"/>
    <s v="horas_trabajadas_por_actividad_economica"/>
  </r>
  <r>
    <x v="19"/>
    <x v="19"/>
    <x v="0"/>
    <n v="18234682"/>
    <x v="6"/>
    <s v="horas_trabajadas_por_actividad_economica"/>
  </r>
  <r>
    <x v="20"/>
    <x v="20"/>
    <x v="0"/>
    <n v="1587114"/>
    <x v="6"/>
    <s v="horas_trabajadas_por_actividad_economica"/>
  </r>
  <r>
    <x v="21"/>
    <x v="21"/>
    <x v="0"/>
    <n v="1897033"/>
    <x v="6"/>
    <s v="horas_trabajadas_por_actividad_economica"/>
  </r>
  <r>
    <x v="22"/>
    <x v="22"/>
    <x v="0"/>
    <n v="19078222"/>
    <x v="6"/>
    <s v="horas_trabajadas_por_actividad_economica"/>
  </r>
  <r>
    <x v="23"/>
    <x v="23"/>
    <x v="0"/>
    <n v="3308540"/>
    <x v="6"/>
    <s v="horas_trabajadas_por_actividad_economica"/>
  </r>
  <r>
    <x v="24"/>
    <x v="24"/>
    <x v="0"/>
    <n v="45198398"/>
    <x v="6"/>
    <s v="horas_trabajadas_por_actividad_economica"/>
  </r>
  <r>
    <x v="25"/>
    <x v="25"/>
    <x v="0"/>
    <n v="33734243"/>
    <x v="6"/>
    <s v="horas_trabajadas_por_actividad_economica"/>
  </r>
  <r>
    <x v="0"/>
    <x v="0"/>
    <x v="2"/>
    <m/>
    <x v="6"/>
    <s v="horas_trabajadas_por_actividad_economica"/>
  </r>
  <r>
    <x v="1"/>
    <x v="1"/>
    <x v="2"/>
    <m/>
    <x v="6"/>
    <s v="horas_trabajadas_por_actividad_economica"/>
  </r>
  <r>
    <x v="2"/>
    <x v="2"/>
    <x v="2"/>
    <m/>
    <x v="6"/>
    <s v="horas_trabajadas_por_actividad_economica"/>
  </r>
  <r>
    <x v="3"/>
    <x v="3"/>
    <x v="2"/>
    <m/>
    <x v="6"/>
    <s v="horas_trabajadas_por_actividad_economica"/>
  </r>
  <r>
    <x v="4"/>
    <x v="4"/>
    <x v="2"/>
    <m/>
    <x v="6"/>
    <s v="horas_trabajadas_por_actividad_economica"/>
  </r>
  <r>
    <x v="5"/>
    <x v="5"/>
    <x v="2"/>
    <m/>
    <x v="6"/>
    <s v="horas_trabajadas_por_actividad_economica"/>
  </r>
  <r>
    <x v="6"/>
    <x v="6"/>
    <x v="2"/>
    <m/>
    <x v="6"/>
    <s v="horas_trabajadas_por_actividad_economica"/>
  </r>
  <r>
    <x v="7"/>
    <x v="7"/>
    <x v="2"/>
    <m/>
    <x v="6"/>
    <s v="horas_trabajadas_por_actividad_economica"/>
  </r>
  <r>
    <x v="8"/>
    <x v="8"/>
    <x v="2"/>
    <m/>
    <x v="6"/>
    <s v="horas_trabajadas_por_actividad_economica"/>
  </r>
  <r>
    <x v="9"/>
    <x v="9"/>
    <x v="2"/>
    <m/>
    <x v="6"/>
    <s v="horas_trabajadas_por_actividad_economica"/>
  </r>
  <r>
    <x v="10"/>
    <x v="10"/>
    <x v="2"/>
    <m/>
    <x v="6"/>
    <s v="horas_trabajadas_por_actividad_economica"/>
  </r>
  <r>
    <x v="11"/>
    <x v="11"/>
    <x v="2"/>
    <m/>
    <x v="6"/>
    <s v="horas_trabajadas_por_actividad_economica"/>
  </r>
  <r>
    <x v="12"/>
    <x v="12"/>
    <x v="2"/>
    <m/>
    <x v="6"/>
    <s v="horas_trabajadas_por_actividad_economica"/>
  </r>
  <r>
    <x v="13"/>
    <x v="13"/>
    <x v="2"/>
    <m/>
    <x v="6"/>
    <s v="horas_trabajadas_por_actividad_economica"/>
  </r>
  <r>
    <x v="14"/>
    <x v="14"/>
    <x v="2"/>
    <m/>
    <x v="6"/>
    <s v="horas_trabajadas_por_actividad_economica"/>
  </r>
  <r>
    <x v="15"/>
    <x v="15"/>
    <x v="2"/>
    <m/>
    <x v="6"/>
    <s v="horas_trabajadas_por_actividad_economica"/>
  </r>
  <r>
    <x v="16"/>
    <x v="16"/>
    <x v="2"/>
    <m/>
    <x v="6"/>
    <s v="horas_trabajadas_por_actividad_economica"/>
  </r>
  <r>
    <x v="17"/>
    <x v="17"/>
    <x v="2"/>
    <m/>
    <x v="6"/>
    <s v="horas_trabajadas_por_actividad_economica"/>
  </r>
  <r>
    <x v="18"/>
    <x v="18"/>
    <x v="2"/>
    <m/>
    <x v="6"/>
    <s v="horas_trabajadas_por_actividad_economica"/>
  </r>
  <r>
    <x v="19"/>
    <x v="19"/>
    <x v="2"/>
    <m/>
    <x v="6"/>
    <s v="horas_trabajadas_por_actividad_economica"/>
  </r>
  <r>
    <x v="20"/>
    <x v="20"/>
    <x v="2"/>
    <m/>
    <x v="6"/>
    <s v="horas_trabajadas_por_actividad_economica"/>
  </r>
  <r>
    <x v="21"/>
    <x v="21"/>
    <x v="2"/>
    <m/>
    <x v="6"/>
    <s v="horas_trabajadas_por_actividad_economica"/>
  </r>
  <r>
    <x v="22"/>
    <x v="22"/>
    <x v="2"/>
    <m/>
    <x v="6"/>
    <s v="horas_trabajadas_por_actividad_economica"/>
  </r>
  <r>
    <x v="23"/>
    <x v="23"/>
    <x v="2"/>
    <m/>
    <x v="6"/>
    <s v="horas_trabajadas_por_actividad_economica"/>
  </r>
  <r>
    <x v="24"/>
    <x v="24"/>
    <x v="2"/>
    <m/>
    <x v="6"/>
    <s v="horas_trabajadas_por_actividad_economica"/>
  </r>
  <r>
    <x v="25"/>
    <x v="25"/>
    <x v="2"/>
    <m/>
    <x v="6"/>
    <s v="horas_trabajadas_por_actividad_economica"/>
  </r>
  <r>
    <x v="0"/>
    <x v="0"/>
    <x v="5"/>
    <n v="11400406000"/>
    <x v="6"/>
    <s v="horas_trabajadas_por_actividad_economica"/>
  </r>
  <r>
    <x v="1"/>
    <x v="1"/>
    <x v="5"/>
    <n v="2300096000"/>
    <x v="6"/>
    <s v="horas_trabajadas_por_actividad_economica"/>
  </r>
  <r>
    <x v="2"/>
    <x v="2"/>
    <x v="5"/>
    <n v="372278000"/>
    <x v="6"/>
    <s v="horas_trabajadas_por_actividad_economica"/>
  </r>
  <r>
    <x v="3"/>
    <x v="3"/>
    <x v="5"/>
    <n v="4809000"/>
    <x v="6"/>
    <s v="horas_trabajadas_por_actividad_economica"/>
  </r>
  <r>
    <x v="4"/>
    <x v="4"/>
    <x v="5"/>
    <n v="926765000"/>
    <x v="6"/>
    <s v="horas_trabajadas_por_actividad_economica"/>
  </r>
  <r>
    <x v="5"/>
    <x v="5"/>
    <x v="5"/>
    <n v="549161000"/>
    <x v="6"/>
    <s v="horas_trabajadas_por_actividad_economica"/>
  </r>
  <r>
    <x v="6"/>
    <x v="6"/>
    <x v="5"/>
    <n v="281939000"/>
    <x v="6"/>
    <s v="horas_trabajadas_por_actividad_economica"/>
  </r>
  <r>
    <x v="7"/>
    <x v="7"/>
    <x v="5"/>
    <n v="245456000"/>
    <x v="6"/>
    <s v="horas_trabajadas_por_actividad_economica"/>
  </r>
  <r>
    <x v="8"/>
    <x v="8"/>
    <x v="5"/>
    <n v="263796000"/>
    <x v="6"/>
    <s v="horas_trabajadas_por_actividad_economica"/>
  </r>
  <r>
    <x v="9"/>
    <x v="9"/>
    <x v="5"/>
    <n v="28876000"/>
    <x v="6"/>
    <s v="horas_trabajadas_por_actividad_economica"/>
  </r>
  <r>
    <x v="10"/>
    <x v="10"/>
    <x v="5"/>
    <n v="56915000"/>
    <x v="6"/>
    <s v="horas_trabajadas_por_actividad_economica"/>
  </r>
  <r>
    <x v="11"/>
    <x v="11"/>
    <x v="5"/>
    <n v="416657000"/>
    <x v="6"/>
    <s v="horas_trabajadas_por_actividad_economica"/>
  </r>
  <r>
    <x v="12"/>
    <x v="12"/>
    <x v="5"/>
    <n v="199940000"/>
    <x v="6"/>
    <s v="horas_trabajadas_por_actividad_economica"/>
  </r>
  <r>
    <x v="13"/>
    <x v="13"/>
    <x v="5"/>
    <n v="655670000"/>
    <x v="6"/>
    <s v="horas_trabajadas_por_actividad_economica"/>
  </r>
  <r>
    <x v="14"/>
    <x v="14"/>
    <x v="5"/>
    <n v="494764000"/>
    <x v="6"/>
    <s v="horas_trabajadas_por_actividad_economica"/>
  </r>
  <r>
    <x v="15"/>
    <x v="15"/>
    <x v="5"/>
    <n v="280483000"/>
    <x v="6"/>
    <s v="horas_trabajadas_por_actividad_economica"/>
  </r>
  <r>
    <x v="16"/>
    <x v="16"/>
    <x v="5"/>
    <n v="889476000"/>
    <x v="6"/>
    <s v="horas_trabajadas_por_actividad_economica"/>
  </r>
  <r>
    <x v="17"/>
    <x v="17"/>
    <x v="5"/>
    <n v="835032000"/>
    <x v="6"/>
    <s v="horas_trabajadas_por_actividad_economica"/>
  </r>
  <r>
    <x v="18"/>
    <x v="18"/>
    <x v="5"/>
    <n v="1053875000"/>
    <x v="6"/>
    <s v="horas_trabajadas_por_actividad_economica"/>
  </r>
  <r>
    <x v="19"/>
    <x v="19"/>
    <x v="5"/>
    <n v="1007666000"/>
    <x v="6"/>
    <s v="horas_trabajadas_por_actividad_economica"/>
  </r>
  <r>
    <x v="20"/>
    <x v="20"/>
    <x v="5"/>
    <n v="240227000"/>
    <x v="6"/>
    <s v="horas_trabajadas_por_actividad_economica"/>
  </r>
  <r>
    <x v="21"/>
    <x v="21"/>
    <x v="5"/>
    <n v="50382000"/>
    <x v="6"/>
    <s v="horas_trabajadas_por_actividad_economica"/>
  </r>
  <r>
    <x v="22"/>
    <x v="22"/>
    <x v="5"/>
    <n v="225978000"/>
    <x v="6"/>
    <s v="horas_trabajadas_por_actividad_economica"/>
  </r>
  <r>
    <x v="23"/>
    <x v="23"/>
    <x v="5"/>
    <n v="20165000"/>
    <x v="6"/>
    <s v="horas_trabajadas_por_actividad_economica"/>
  </r>
  <r>
    <x v="24"/>
    <x v="24"/>
    <x v="5"/>
    <m/>
    <x v="6"/>
    <s v="horas_trabajadas_por_actividad_economica"/>
  </r>
  <r>
    <x v="25"/>
    <x v="25"/>
    <x v="5"/>
    <m/>
    <x v="6"/>
    <s v="horas_trabajadas_por_actividad_economica"/>
  </r>
  <r>
    <x v="0"/>
    <x v="0"/>
    <x v="3"/>
    <m/>
    <x v="6"/>
    <s v="horas_trabajadas_por_actividad_economica"/>
  </r>
  <r>
    <x v="1"/>
    <x v="1"/>
    <x v="3"/>
    <m/>
    <x v="6"/>
    <s v="horas_trabajadas_por_actividad_economica"/>
  </r>
  <r>
    <x v="2"/>
    <x v="2"/>
    <x v="3"/>
    <m/>
    <x v="6"/>
    <s v="horas_trabajadas_por_actividad_economica"/>
  </r>
  <r>
    <x v="3"/>
    <x v="3"/>
    <x v="3"/>
    <m/>
    <x v="6"/>
    <s v="horas_trabajadas_por_actividad_economica"/>
  </r>
  <r>
    <x v="4"/>
    <x v="4"/>
    <x v="3"/>
    <m/>
    <x v="6"/>
    <s v="horas_trabajadas_por_actividad_economica"/>
  </r>
  <r>
    <x v="5"/>
    <x v="5"/>
    <x v="3"/>
    <m/>
    <x v="6"/>
    <s v="horas_trabajadas_por_actividad_economica"/>
  </r>
  <r>
    <x v="6"/>
    <x v="6"/>
    <x v="3"/>
    <m/>
    <x v="6"/>
    <s v="horas_trabajadas_por_actividad_economica"/>
  </r>
  <r>
    <x v="7"/>
    <x v="7"/>
    <x v="3"/>
    <m/>
    <x v="6"/>
    <s v="horas_trabajadas_por_actividad_economica"/>
  </r>
  <r>
    <x v="8"/>
    <x v="8"/>
    <x v="3"/>
    <m/>
    <x v="6"/>
    <s v="horas_trabajadas_por_actividad_economica"/>
  </r>
  <r>
    <x v="9"/>
    <x v="9"/>
    <x v="3"/>
    <m/>
    <x v="6"/>
    <s v="horas_trabajadas_por_actividad_economica"/>
  </r>
  <r>
    <x v="10"/>
    <x v="10"/>
    <x v="3"/>
    <m/>
    <x v="6"/>
    <s v="horas_trabajadas_por_actividad_economica"/>
  </r>
  <r>
    <x v="11"/>
    <x v="11"/>
    <x v="3"/>
    <m/>
    <x v="6"/>
    <s v="horas_trabajadas_por_actividad_economica"/>
  </r>
  <r>
    <x v="12"/>
    <x v="12"/>
    <x v="3"/>
    <m/>
    <x v="6"/>
    <s v="horas_trabajadas_por_actividad_economica"/>
  </r>
  <r>
    <x v="13"/>
    <x v="13"/>
    <x v="3"/>
    <m/>
    <x v="6"/>
    <s v="horas_trabajadas_por_actividad_economica"/>
  </r>
  <r>
    <x v="14"/>
    <x v="14"/>
    <x v="3"/>
    <m/>
    <x v="6"/>
    <s v="horas_trabajadas_por_actividad_economica"/>
  </r>
  <r>
    <x v="15"/>
    <x v="15"/>
    <x v="3"/>
    <m/>
    <x v="6"/>
    <s v="horas_trabajadas_por_actividad_economica"/>
  </r>
  <r>
    <x v="16"/>
    <x v="16"/>
    <x v="3"/>
    <m/>
    <x v="6"/>
    <s v="horas_trabajadas_por_actividad_economica"/>
  </r>
  <r>
    <x v="17"/>
    <x v="17"/>
    <x v="3"/>
    <m/>
    <x v="6"/>
    <s v="horas_trabajadas_por_actividad_economica"/>
  </r>
  <r>
    <x v="18"/>
    <x v="18"/>
    <x v="3"/>
    <m/>
    <x v="6"/>
    <s v="horas_trabajadas_por_actividad_economica"/>
  </r>
  <r>
    <x v="19"/>
    <x v="19"/>
    <x v="3"/>
    <m/>
    <x v="6"/>
    <s v="horas_trabajadas_por_actividad_economica"/>
  </r>
  <r>
    <x v="20"/>
    <x v="20"/>
    <x v="3"/>
    <m/>
    <x v="6"/>
    <s v="horas_trabajadas_por_actividad_economica"/>
  </r>
  <r>
    <x v="21"/>
    <x v="21"/>
    <x v="3"/>
    <m/>
    <x v="6"/>
    <s v="horas_trabajadas_por_actividad_economica"/>
  </r>
  <r>
    <x v="22"/>
    <x v="22"/>
    <x v="3"/>
    <m/>
    <x v="6"/>
    <s v="horas_trabajadas_por_actividad_economica"/>
  </r>
  <r>
    <x v="23"/>
    <x v="23"/>
    <x v="3"/>
    <m/>
    <x v="6"/>
    <s v="horas_trabajadas_por_actividad_economica"/>
  </r>
  <r>
    <x v="24"/>
    <x v="24"/>
    <x v="3"/>
    <m/>
    <x v="6"/>
    <s v="horas_trabajadas_por_actividad_economica"/>
  </r>
  <r>
    <x v="25"/>
    <x v="25"/>
    <x v="3"/>
    <m/>
    <x v="6"/>
    <s v="horas_trabajadas_por_actividad_economica"/>
  </r>
  <r>
    <x v="0"/>
    <x v="0"/>
    <x v="4"/>
    <n v="5675564"/>
    <x v="0"/>
    <s v="nivel_ocupados_por_actividad_economica"/>
  </r>
  <r>
    <x v="1"/>
    <x v="1"/>
    <x v="4"/>
    <n v="1465753"/>
    <x v="0"/>
    <s v="nivel_ocupados_por_actividad_economica"/>
  </r>
  <r>
    <x v="2"/>
    <x v="2"/>
    <x v="4"/>
    <n v="157273"/>
    <x v="0"/>
    <s v="nivel_ocupados_por_actividad_economica"/>
  </r>
  <r>
    <x v="3"/>
    <x v="3"/>
    <x v="4"/>
    <n v="17431"/>
    <x v="0"/>
    <s v="nivel_ocupados_por_actividad_economica"/>
  </r>
  <r>
    <x v="4"/>
    <x v="4"/>
    <x v="4"/>
    <n v="198629"/>
    <x v="0"/>
    <s v="nivel_ocupados_por_actividad_economica"/>
  </r>
  <r>
    <x v="5"/>
    <x v="5"/>
    <x v="4"/>
    <n v="366205"/>
    <x v="0"/>
    <s v="nivel_ocupados_por_actividad_economica"/>
  </r>
  <r>
    <x v="6"/>
    <x v="6"/>
    <x v="4"/>
    <n v="295957"/>
    <x v="0"/>
    <s v="nivel_ocupados_por_actividad_economica"/>
  </r>
  <r>
    <x v="7"/>
    <x v="7"/>
    <x v="4"/>
    <n v="99150"/>
    <x v="0"/>
    <s v="nivel_ocupados_por_actividad_economica"/>
  </r>
  <r>
    <x v="8"/>
    <x v="8"/>
    <x v="4"/>
    <n v="163139"/>
    <x v="0"/>
    <s v="nivel_ocupados_por_actividad_economica"/>
  </r>
  <r>
    <x v="9"/>
    <x v="9"/>
    <x v="4"/>
    <n v="45925"/>
    <x v="0"/>
    <s v="nivel_ocupados_por_actividad_economica"/>
  </r>
  <r>
    <x v="10"/>
    <x v="10"/>
    <x v="4"/>
    <n v="73081"/>
    <x v="0"/>
    <s v="nivel_ocupados_por_actividad_economica"/>
  </r>
  <r>
    <x v="11"/>
    <x v="11"/>
    <x v="4"/>
    <n v="349409"/>
    <x v="0"/>
    <s v="nivel_ocupados_por_actividad_economica"/>
  </r>
  <r>
    <x v="12"/>
    <x v="12"/>
    <x v="4"/>
    <n v="100743"/>
    <x v="0"/>
    <s v="nivel_ocupados_por_actividad_economica"/>
  </r>
  <r>
    <x v="13"/>
    <x v="13"/>
    <x v="4"/>
    <n v="296550"/>
    <x v="0"/>
    <s v="nivel_ocupados_por_actividad_economica"/>
  </r>
  <r>
    <x v="14"/>
    <x v="14"/>
    <x v="4"/>
    <n v="260917"/>
    <x v="0"/>
    <s v="nivel_ocupados_por_actividad_economica"/>
  </r>
  <r>
    <x v="15"/>
    <x v="15"/>
    <x v="4"/>
    <n v="185386"/>
    <x v="0"/>
    <s v="nivel_ocupados_por_actividad_economica"/>
  </r>
  <r>
    <x v="16"/>
    <x v="16"/>
    <x v="4"/>
    <n v="244309"/>
    <x v="0"/>
    <s v="nivel_ocupados_por_actividad_economica"/>
  </r>
  <r>
    <x v="17"/>
    <x v="17"/>
    <x v="4"/>
    <n v="111056"/>
    <x v="0"/>
    <s v="nivel_ocupados_por_actividad_economica"/>
  </r>
  <r>
    <x v="18"/>
    <x v="18"/>
    <x v="4"/>
    <n v="184311"/>
    <x v="0"/>
    <s v="nivel_ocupados_por_actividad_economica"/>
  </r>
  <r>
    <x v="19"/>
    <x v="19"/>
    <x v="4"/>
    <n v="261864"/>
    <x v="0"/>
    <s v="nivel_ocupados_por_actividad_economica"/>
  </r>
  <r>
    <x v="20"/>
    <x v="20"/>
    <x v="4"/>
    <n v="385665"/>
    <x v="0"/>
    <s v="nivel_ocupados_por_actividad_economica"/>
  </r>
  <r>
    <x v="21"/>
    <x v="21"/>
    <x v="4"/>
    <n v="68850"/>
    <x v="0"/>
    <s v="nivel_ocupados_por_actividad_economica"/>
  </r>
  <r>
    <x v="22"/>
    <x v="22"/>
    <x v="4"/>
    <n v="143879"/>
    <x v="0"/>
    <s v="nivel_ocupados_por_actividad_economica"/>
  </r>
  <r>
    <x v="23"/>
    <x v="23"/>
    <x v="4"/>
    <n v="102735"/>
    <x v="0"/>
    <s v="nivel_ocupados_por_actividad_economica"/>
  </r>
  <r>
    <x v="24"/>
    <x v="24"/>
    <x v="4"/>
    <n v="97347"/>
    <x v="0"/>
    <s v="nivel_ocupados_por_actividad_economica"/>
  </r>
  <r>
    <x v="25"/>
    <x v="25"/>
    <x v="4"/>
    <m/>
    <x v="0"/>
    <s v="nivel_ocupados_por_actividad_economica"/>
  </r>
  <r>
    <x v="0"/>
    <x v="0"/>
    <x v="0"/>
    <n v="435475"/>
    <x v="0"/>
    <s v="nivel_ocupados_por_actividad_economica"/>
  </r>
  <r>
    <x v="1"/>
    <x v="1"/>
    <x v="0"/>
    <n v="150226"/>
    <x v="0"/>
    <s v="nivel_ocupados_por_actividad_economica"/>
  </r>
  <r>
    <x v="2"/>
    <x v="2"/>
    <x v="0"/>
    <n v="20797"/>
    <x v="0"/>
    <s v="nivel_ocupados_por_actividad_economica"/>
  </r>
  <r>
    <x v="3"/>
    <x v="3"/>
    <x v="0"/>
    <m/>
    <x v="0"/>
    <s v="nivel_ocupados_por_actividad_economica"/>
  </r>
  <r>
    <x v="4"/>
    <x v="4"/>
    <x v="0"/>
    <n v="6025"/>
    <x v="0"/>
    <s v="nivel_ocupados_por_actividad_economica"/>
  </r>
  <r>
    <x v="5"/>
    <x v="5"/>
    <x v="0"/>
    <n v="8550"/>
    <x v="0"/>
    <s v="nivel_ocupados_por_actividad_economica"/>
  </r>
  <r>
    <x v="6"/>
    <x v="6"/>
    <x v="0"/>
    <n v="5885"/>
    <x v="0"/>
    <s v="nivel_ocupados_por_actividad_economica"/>
  </r>
  <r>
    <x v="7"/>
    <x v="7"/>
    <x v="0"/>
    <n v="27734"/>
    <x v="0"/>
    <s v="nivel_ocupados_por_actividad_economica"/>
  </r>
  <r>
    <x v="8"/>
    <x v="8"/>
    <x v="0"/>
    <n v="21365"/>
    <x v="0"/>
    <s v="nivel_ocupados_por_actividad_economica"/>
  </r>
  <r>
    <x v="9"/>
    <x v="9"/>
    <x v="0"/>
    <n v="9267"/>
    <x v="0"/>
    <s v="nivel_ocupados_por_actividad_economica"/>
  </r>
  <r>
    <x v="10"/>
    <x v="10"/>
    <x v="0"/>
    <m/>
    <x v="0"/>
    <s v="nivel_ocupados_por_actividad_economica"/>
  </r>
  <r>
    <x v="11"/>
    <x v="11"/>
    <x v="0"/>
    <n v="27652"/>
    <x v="0"/>
    <s v="nivel_ocupados_por_actividad_economica"/>
  </r>
  <r>
    <x v="12"/>
    <x v="12"/>
    <x v="0"/>
    <n v="10167"/>
    <x v="0"/>
    <s v="nivel_ocupados_por_actividad_economica"/>
  </r>
  <r>
    <x v="13"/>
    <x v="13"/>
    <x v="0"/>
    <n v="28144"/>
    <x v="0"/>
    <s v="nivel_ocupados_por_actividad_economica"/>
  </r>
  <r>
    <x v="14"/>
    <x v="14"/>
    <x v="0"/>
    <n v="15908"/>
    <x v="0"/>
    <s v="nivel_ocupados_por_actividad_economica"/>
  </r>
  <r>
    <x v="15"/>
    <x v="15"/>
    <x v="0"/>
    <n v="7512"/>
    <x v="0"/>
    <s v="nivel_ocupados_por_actividad_economica"/>
  </r>
  <r>
    <x v="16"/>
    <x v="16"/>
    <x v="0"/>
    <n v="26559"/>
    <x v="0"/>
    <s v="nivel_ocupados_por_actividad_economica"/>
  </r>
  <r>
    <x v="17"/>
    <x v="17"/>
    <x v="0"/>
    <n v="2601"/>
    <x v="0"/>
    <s v="nivel_ocupados_por_actividad_economica"/>
  </r>
  <r>
    <x v="18"/>
    <x v="18"/>
    <x v="0"/>
    <n v="8630"/>
    <x v="0"/>
    <s v="nivel_ocupados_por_actividad_economica"/>
  </r>
  <r>
    <x v="19"/>
    <x v="19"/>
    <x v="0"/>
    <n v="10803"/>
    <x v="0"/>
    <s v="nivel_ocupados_por_actividad_economica"/>
  </r>
  <r>
    <x v="20"/>
    <x v="20"/>
    <x v="0"/>
    <n v="1132"/>
    <x v="0"/>
    <s v="nivel_ocupados_por_actividad_economica"/>
  </r>
  <r>
    <x v="21"/>
    <x v="21"/>
    <x v="0"/>
    <n v="846"/>
    <x v="0"/>
    <s v="nivel_ocupados_por_actividad_economica"/>
  </r>
  <r>
    <x v="22"/>
    <x v="22"/>
    <x v="0"/>
    <n v="10906"/>
    <x v="0"/>
    <s v="nivel_ocupados_por_actividad_economica"/>
  </r>
  <r>
    <x v="23"/>
    <x v="23"/>
    <x v="0"/>
    <n v="1703"/>
    <x v="0"/>
    <s v="nivel_ocupados_por_actividad_economica"/>
  </r>
  <r>
    <x v="24"/>
    <x v="24"/>
    <x v="0"/>
    <n v="23802"/>
    <x v="0"/>
    <s v="nivel_ocupados_por_actividad_economica"/>
  </r>
  <r>
    <x v="25"/>
    <x v="25"/>
    <x v="0"/>
    <n v="9253"/>
    <x v="0"/>
    <s v="nivel_ocupados_por_actividad_economica"/>
  </r>
  <r>
    <x v="0"/>
    <x v="0"/>
    <x v="1"/>
    <n v="616982"/>
    <x v="0"/>
    <s v="nivel_ocupados_por_actividad_economica"/>
  </r>
  <r>
    <x v="1"/>
    <x v="1"/>
    <x v="1"/>
    <n v="136901"/>
    <x v="0"/>
    <s v="nivel_ocupados_por_actividad_economica"/>
  </r>
  <r>
    <x v="2"/>
    <x v="2"/>
    <x v="1"/>
    <n v="14623"/>
    <x v="0"/>
    <s v="nivel_ocupados_por_actividad_economica"/>
  </r>
  <r>
    <x v="3"/>
    <x v="3"/>
    <x v="1"/>
    <m/>
    <x v="0"/>
    <s v="nivel_ocupados_por_actividad_economica"/>
  </r>
  <r>
    <x v="4"/>
    <x v="4"/>
    <x v="1"/>
    <n v="31088"/>
    <x v="0"/>
    <s v="nivel_ocupados_por_actividad_economica"/>
  </r>
  <r>
    <x v="5"/>
    <x v="5"/>
    <x v="1"/>
    <n v="70326"/>
    <x v="0"/>
    <s v="nivel_ocupados_por_actividad_economica"/>
  </r>
  <r>
    <x v="6"/>
    <x v="6"/>
    <x v="1"/>
    <n v="19665"/>
    <x v="0"/>
    <s v="nivel_ocupados_por_actividad_economica"/>
  </r>
  <r>
    <x v="7"/>
    <x v="7"/>
    <x v="1"/>
    <n v="5628"/>
    <x v="0"/>
    <s v="nivel_ocupados_por_actividad_economica"/>
  </r>
  <r>
    <x v="8"/>
    <x v="8"/>
    <x v="1"/>
    <n v="16103"/>
    <x v="0"/>
    <s v="nivel_ocupados_por_actividad_economica"/>
  </r>
  <r>
    <x v="9"/>
    <x v="9"/>
    <x v="1"/>
    <n v="17609"/>
    <x v="0"/>
    <s v="nivel_ocupados_por_actividad_economica"/>
  </r>
  <r>
    <x v="10"/>
    <x v="10"/>
    <x v="1"/>
    <n v="4309"/>
    <x v="0"/>
    <s v="nivel_ocupados_por_actividad_economica"/>
  </r>
  <r>
    <x v="11"/>
    <x v="11"/>
    <x v="1"/>
    <n v="46299"/>
    <x v="0"/>
    <s v="nivel_ocupados_por_actividad_economica"/>
  </r>
  <r>
    <x v="12"/>
    <x v="12"/>
    <x v="1"/>
    <n v="21740"/>
    <x v="0"/>
    <s v="nivel_ocupados_por_actividad_economica"/>
  </r>
  <r>
    <x v="13"/>
    <x v="13"/>
    <x v="1"/>
    <n v="47314"/>
    <x v="0"/>
    <s v="nivel_ocupados_por_actividad_economica"/>
  </r>
  <r>
    <x v="14"/>
    <x v="14"/>
    <x v="1"/>
    <n v="38375"/>
    <x v="0"/>
    <s v="nivel_ocupados_por_actividad_economica"/>
  </r>
  <r>
    <x v="15"/>
    <x v="15"/>
    <x v="1"/>
    <n v="13345"/>
    <x v="0"/>
    <s v="nivel_ocupados_por_actividad_economica"/>
  </r>
  <r>
    <x v="16"/>
    <x v="16"/>
    <x v="1"/>
    <n v="33951"/>
    <x v="0"/>
    <s v="nivel_ocupados_por_actividad_economica"/>
  </r>
  <r>
    <x v="17"/>
    <x v="17"/>
    <x v="1"/>
    <n v="411"/>
    <x v="0"/>
    <s v="nivel_ocupados_por_actividad_economica"/>
  </r>
  <r>
    <x v="18"/>
    <x v="18"/>
    <x v="1"/>
    <n v="17994"/>
    <x v="0"/>
    <s v="nivel_ocupados_por_actividad_economica"/>
  </r>
  <r>
    <x v="19"/>
    <x v="19"/>
    <x v="1"/>
    <n v="17254"/>
    <x v="0"/>
    <s v="nivel_ocupados_por_actividad_economica"/>
  </r>
  <r>
    <x v="20"/>
    <x v="20"/>
    <x v="1"/>
    <n v="12653"/>
    <x v="0"/>
    <s v="nivel_ocupados_por_actividad_economica"/>
  </r>
  <r>
    <x v="21"/>
    <x v="21"/>
    <x v="1"/>
    <n v="6265"/>
    <x v="0"/>
    <s v="nivel_ocupados_por_actividad_economica"/>
  </r>
  <r>
    <x v="22"/>
    <x v="22"/>
    <x v="1"/>
    <n v="18908"/>
    <x v="0"/>
    <s v="nivel_ocupados_por_actividad_economica"/>
  </r>
  <r>
    <x v="23"/>
    <x v="23"/>
    <x v="1"/>
    <n v="26221"/>
    <x v="0"/>
    <s v="nivel_ocupados_por_actividad_economica"/>
  </r>
  <r>
    <x v="24"/>
    <x v="24"/>
    <x v="1"/>
    <m/>
    <x v="0"/>
    <s v="nivel_ocupados_por_actividad_economica"/>
  </r>
  <r>
    <x v="25"/>
    <x v="25"/>
    <x v="1"/>
    <m/>
    <x v="0"/>
    <s v="nivel_ocupados_por_actividad_economica"/>
  </r>
  <r>
    <x v="0"/>
    <x v="0"/>
    <x v="2"/>
    <n v="248528"/>
    <x v="0"/>
    <s v="nivel_ocupados_por_actividad_economica"/>
  </r>
  <r>
    <x v="1"/>
    <x v="1"/>
    <x v="2"/>
    <n v="112477"/>
    <x v="0"/>
    <s v="nivel_ocupados_por_actividad_economica"/>
  </r>
  <r>
    <x v="2"/>
    <x v="2"/>
    <x v="2"/>
    <n v="8266"/>
    <x v="0"/>
    <s v="nivel_ocupados_por_actividad_economica"/>
  </r>
  <r>
    <x v="3"/>
    <x v="3"/>
    <x v="2"/>
    <n v="132"/>
    <x v="0"/>
    <s v="nivel_ocupados_por_actividad_economica"/>
  </r>
  <r>
    <x v="4"/>
    <x v="4"/>
    <x v="2"/>
    <n v="10818"/>
    <x v="0"/>
    <s v="nivel_ocupados_por_actividad_economica"/>
  </r>
  <r>
    <x v="5"/>
    <x v="5"/>
    <x v="2"/>
    <n v="12245"/>
    <x v="0"/>
    <s v="nivel_ocupados_por_actividad_economica"/>
  </r>
  <r>
    <x v="6"/>
    <x v="6"/>
    <x v="2"/>
    <n v="2373"/>
    <x v="0"/>
    <s v="nivel_ocupados_por_actividad_economica"/>
  </r>
  <r>
    <x v="7"/>
    <x v="7"/>
    <x v="2"/>
    <n v="6622"/>
    <x v="0"/>
    <s v="nivel_ocupados_por_actividad_economica"/>
  </r>
  <r>
    <x v="8"/>
    <x v="8"/>
    <x v="2"/>
    <n v="9208"/>
    <x v="0"/>
    <s v="nivel_ocupados_por_actividad_economica"/>
  </r>
  <r>
    <x v="9"/>
    <x v="9"/>
    <x v="2"/>
    <n v="4668"/>
    <x v="0"/>
    <s v="nivel_ocupados_por_actividad_economica"/>
  </r>
  <r>
    <x v="10"/>
    <x v="10"/>
    <x v="2"/>
    <n v="658"/>
    <x v="0"/>
    <s v="nivel_ocupados_por_actividad_economica"/>
  </r>
  <r>
    <x v="11"/>
    <x v="11"/>
    <x v="2"/>
    <n v="8607"/>
    <x v="0"/>
    <s v="nivel_ocupados_por_actividad_economica"/>
  </r>
  <r>
    <x v="12"/>
    <x v="12"/>
    <x v="2"/>
    <n v="4257"/>
    <x v="0"/>
    <s v="nivel_ocupados_por_actividad_economica"/>
  </r>
  <r>
    <x v="13"/>
    <x v="13"/>
    <x v="2"/>
    <n v="15725"/>
    <x v="0"/>
    <s v="nivel_ocupados_por_actividad_economica"/>
  </r>
  <r>
    <x v="14"/>
    <x v="14"/>
    <x v="2"/>
    <n v="12323"/>
    <x v="0"/>
    <s v="nivel_ocupados_por_actividad_economica"/>
  </r>
  <r>
    <x v="15"/>
    <x v="15"/>
    <x v="2"/>
    <n v="8416"/>
    <x v="0"/>
    <s v="nivel_ocupados_por_actividad_economica"/>
  </r>
  <r>
    <x v="16"/>
    <x v="16"/>
    <x v="2"/>
    <n v="5714"/>
    <x v="0"/>
    <s v="nivel_ocupados_por_actividad_economica"/>
  </r>
  <r>
    <x v="17"/>
    <x v="17"/>
    <x v="2"/>
    <n v="600"/>
    <x v="0"/>
    <s v="nivel_ocupados_por_actividad_economica"/>
  </r>
  <r>
    <x v="18"/>
    <x v="18"/>
    <x v="2"/>
    <n v="5677"/>
    <x v="0"/>
    <s v="nivel_ocupados_por_actividad_economica"/>
  </r>
  <r>
    <x v="19"/>
    <x v="19"/>
    <x v="2"/>
    <n v="1599"/>
    <x v="0"/>
    <s v="nivel_ocupados_por_actividad_economica"/>
  </r>
  <r>
    <x v="20"/>
    <x v="20"/>
    <x v="2"/>
    <n v="3749"/>
    <x v="0"/>
    <s v="nivel_ocupados_por_actividad_economica"/>
  </r>
  <r>
    <x v="21"/>
    <x v="21"/>
    <x v="2"/>
    <n v="1199"/>
    <x v="0"/>
    <s v="nivel_ocupados_por_actividad_economica"/>
  </r>
  <r>
    <x v="22"/>
    <x v="22"/>
    <x v="2"/>
    <n v="4151"/>
    <x v="0"/>
    <s v="nivel_ocupados_por_actividad_economica"/>
  </r>
  <r>
    <x v="23"/>
    <x v="23"/>
    <x v="2"/>
    <n v="1560"/>
    <x v="0"/>
    <s v="nivel_ocupados_por_actividad_economica"/>
  </r>
  <r>
    <x v="24"/>
    <x v="24"/>
    <x v="2"/>
    <n v="7477"/>
    <x v="0"/>
    <s v="nivel_ocupados_por_actividad_economica"/>
  </r>
  <r>
    <x v="25"/>
    <x v="25"/>
    <x v="2"/>
    <m/>
    <x v="0"/>
    <s v="nivel_ocupados_por_actividad_economica"/>
  </r>
  <r>
    <x v="0"/>
    <x v="0"/>
    <x v="5"/>
    <n v="4054915"/>
    <x v="0"/>
    <s v="nivel_ocupados_por_actividad_economica"/>
  </r>
  <r>
    <x v="1"/>
    <x v="1"/>
    <x v="5"/>
    <n v="822478"/>
    <x v="0"/>
    <s v="nivel_ocupados_por_actividad_economica"/>
  </r>
  <r>
    <x v="2"/>
    <x v="2"/>
    <x v="5"/>
    <n v="143540"/>
    <x v="0"/>
    <s v="nivel_ocupados_por_actividad_economica"/>
  </r>
  <r>
    <x v="3"/>
    <x v="3"/>
    <x v="5"/>
    <n v="2255"/>
    <x v="0"/>
    <s v="nivel_ocupados_por_actividad_economica"/>
  </r>
  <r>
    <x v="4"/>
    <x v="4"/>
    <x v="5"/>
    <n v="267263"/>
    <x v="0"/>
    <s v="nivel_ocupados_por_actividad_economica"/>
  </r>
  <r>
    <x v="5"/>
    <x v="5"/>
    <x v="5"/>
    <n v="163230"/>
    <x v="0"/>
    <s v="nivel_ocupados_por_actividad_economica"/>
  </r>
  <r>
    <x v="6"/>
    <x v="6"/>
    <x v="5"/>
    <n v="77648"/>
    <x v="0"/>
    <s v="nivel_ocupados_por_actividad_economica"/>
  </r>
  <r>
    <x v="7"/>
    <x v="7"/>
    <x v="5"/>
    <n v="30096"/>
    <x v="0"/>
    <s v="nivel_ocupados_por_actividad_economica"/>
  </r>
  <r>
    <x v="8"/>
    <x v="8"/>
    <x v="5"/>
    <n v="73176"/>
    <x v="0"/>
    <s v="nivel_ocupados_por_actividad_economica"/>
  </r>
  <r>
    <x v="9"/>
    <x v="9"/>
    <x v="5"/>
    <n v="14687"/>
    <x v="0"/>
    <s v="nivel_ocupados_por_actividad_economica"/>
  </r>
  <r>
    <x v="10"/>
    <x v="10"/>
    <x v="5"/>
    <n v="29891"/>
    <x v="0"/>
    <s v="nivel_ocupados_por_actividad_economica"/>
  </r>
  <r>
    <x v="11"/>
    <x v="11"/>
    <x v="5"/>
    <n v="180664"/>
    <x v="0"/>
    <s v="nivel_ocupados_por_actividad_economica"/>
  </r>
  <r>
    <x v="12"/>
    <x v="12"/>
    <x v="5"/>
    <n v="66946"/>
    <x v="0"/>
    <s v="nivel_ocupados_por_actividad_economica"/>
  </r>
  <r>
    <x v="13"/>
    <x v="13"/>
    <x v="5"/>
    <n v="232773"/>
    <x v="0"/>
    <s v="nivel_ocupados_por_actividad_economica"/>
  </r>
  <r>
    <x v="14"/>
    <x v="14"/>
    <x v="5"/>
    <n v="163864"/>
    <x v="0"/>
    <s v="nivel_ocupados_por_actividad_economica"/>
  </r>
  <r>
    <x v="15"/>
    <x v="15"/>
    <x v="5"/>
    <n v="112225"/>
    <x v="0"/>
    <s v="nivel_ocupados_por_actividad_economica"/>
  </r>
  <r>
    <x v="16"/>
    <x v="16"/>
    <x v="5"/>
    <n v="298576"/>
    <x v="0"/>
    <s v="nivel_ocupados_por_actividad_economica"/>
  </r>
  <r>
    <x v="17"/>
    <x v="17"/>
    <x v="5"/>
    <n v="305617"/>
    <x v="0"/>
    <s v="nivel_ocupados_por_actividad_economica"/>
  </r>
  <r>
    <x v="18"/>
    <x v="18"/>
    <x v="5"/>
    <n v="521154"/>
    <x v="0"/>
    <s v="nivel_ocupados_por_actividad_economica"/>
  </r>
  <r>
    <x v="19"/>
    <x v="19"/>
    <x v="5"/>
    <n v="394320"/>
    <x v="0"/>
    <s v="nivel_ocupados_por_actividad_economica"/>
  </r>
  <r>
    <x v="20"/>
    <x v="20"/>
    <x v="5"/>
    <n v="97006"/>
    <x v="0"/>
    <s v="nivel_ocupados_por_actividad_economica"/>
  </r>
  <r>
    <x v="21"/>
    <x v="21"/>
    <x v="5"/>
    <n v="14172"/>
    <x v="0"/>
    <s v="nivel_ocupados_por_actividad_economica"/>
  </r>
  <r>
    <x v="22"/>
    <x v="22"/>
    <x v="5"/>
    <n v="29903"/>
    <x v="0"/>
    <s v="nivel_ocupados_por_actividad_economica"/>
  </r>
  <r>
    <x v="23"/>
    <x v="23"/>
    <x v="5"/>
    <n v="13431"/>
    <x v="0"/>
    <s v="nivel_ocupados_por_actividad_economica"/>
  </r>
  <r>
    <x v="24"/>
    <x v="24"/>
    <x v="5"/>
    <m/>
    <x v="0"/>
    <s v="nivel_ocupados_por_actividad_economica"/>
  </r>
  <r>
    <x v="25"/>
    <x v="25"/>
    <x v="5"/>
    <m/>
    <x v="0"/>
    <s v="nivel_ocupados_por_actividad_economica"/>
  </r>
  <r>
    <x v="0"/>
    <x v="0"/>
    <x v="3"/>
    <n v="642083"/>
    <x v="0"/>
    <s v="nivel_ocupados_por_actividad_economica"/>
  </r>
  <r>
    <x v="1"/>
    <x v="1"/>
    <x v="3"/>
    <n v="251886"/>
    <x v="0"/>
    <s v="nivel_ocupados_por_actividad_economica"/>
  </r>
  <r>
    <x v="2"/>
    <x v="2"/>
    <x v="3"/>
    <n v="15365"/>
    <x v="0"/>
    <s v="nivel_ocupados_por_actividad_economica"/>
  </r>
  <r>
    <x v="3"/>
    <x v="3"/>
    <x v="3"/>
    <m/>
    <x v="0"/>
    <s v="nivel_ocupados_por_actividad_economica"/>
  </r>
  <r>
    <x v="4"/>
    <x v="4"/>
    <x v="3"/>
    <n v="38484"/>
    <x v="0"/>
    <s v="nivel_ocupados_por_actividad_economica"/>
  </r>
  <r>
    <x v="5"/>
    <x v="5"/>
    <x v="3"/>
    <n v="54805"/>
    <x v="0"/>
    <s v="nivel_ocupados_por_actividad_economica"/>
  </r>
  <r>
    <x v="6"/>
    <x v="6"/>
    <x v="3"/>
    <n v="9119"/>
    <x v="0"/>
    <s v="nivel_ocupados_por_actividad_economica"/>
  </r>
  <r>
    <x v="7"/>
    <x v="7"/>
    <x v="3"/>
    <n v="8106"/>
    <x v="0"/>
    <s v="nivel_ocupados_por_actividad_economica"/>
  </r>
  <r>
    <x v="8"/>
    <x v="8"/>
    <x v="3"/>
    <n v="12179"/>
    <x v="0"/>
    <s v="nivel_ocupados_por_actividad_economica"/>
  </r>
  <r>
    <x v="9"/>
    <x v="9"/>
    <x v="3"/>
    <n v="15531"/>
    <x v="0"/>
    <s v="nivel_ocupados_por_actividad_economica"/>
  </r>
  <r>
    <x v="10"/>
    <x v="10"/>
    <x v="3"/>
    <n v="4730"/>
    <x v="0"/>
    <s v="nivel_ocupados_por_actividad_economica"/>
  </r>
  <r>
    <x v="11"/>
    <x v="11"/>
    <x v="3"/>
    <n v="31968"/>
    <x v="0"/>
    <s v="nivel_ocupados_por_actividad_economica"/>
  </r>
  <r>
    <x v="12"/>
    <x v="12"/>
    <x v="3"/>
    <n v="12717"/>
    <x v="0"/>
    <s v="nivel_ocupados_por_actividad_economica"/>
  </r>
  <r>
    <x v="13"/>
    <x v="13"/>
    <x v="3"/>
    <n v="40770"/>
    <x v="0"/>
    <s v="nivel_ocupados_por_actividad_economica"/>
  </r>
  <r>
    <x v="14"/>
    <x v="14"/>
    <x v="3"/>
    <n v="27749"/>
    <x v="0"/>
    <s v="nivel_ocupados_por_actividad_economica"/>
  </r>
  <r>
    <x v="15"/>
    <x v="15"/>
    <x v="3"/>
    <n v="10513"/>
    <x v="0"/>
    <s v="nivel_ocupados_por_actividad_economica"/>
  </r>
  <r>
    <x v="16"/>
    <x v="16"/>
    <x v="3"/>
    <n v="44696"/>
    <x v="0"/>
    <s v="nivel_ocupados_por_actividad_economica"/>
  </r>
  <r>
    <x v="17"/>
    <x v="17"/>
    <x v="3"/>
    <n v="1747"/>
    <x v="0"/>
    <s v="nivel_ocupados_por_actividad_economica"/>
  </r>
  <r>
    <x v="18"/>
    <x v="18"/>
    <x v="3"/>
    <n v="7467"/>
    <x v="0"/>
    <s v="nivel_ocupados_por_actividad_economica"/>
  </r>
  <r>
    <x v="19"/>
    <x v="19"/>
    <x v="3"/>
    <n v="11071"/>
    <x v="0"/>
    <s v="nivel_ocupados_por_actividad_economica"/>
  </r>
  <r>
    <x v="20"/>
    <x v="20"/>
    <x v="3"/>
    <n v="6305"/>
    <x v="0"/>
    <s v="nivel_ocupados_por_actividad_economica"/>
  </r>
  <r>
    <x v="21"/>
    <x v="21"/>
    <x v="3"/>
    <n v="3256"/>
    <x v="0"/>
    <s v="nivel_ocupados_por_actividad_economica"/>
  </r>
  <r>
    <x v="22"/>
    <x v="22"/>
    <x v="3"/>
    <n v="10226"/>
    <x v="0"/>
    <s v="nivel_ocupados_por_actividad_economica"/>
  </r>
  <r>
    <x v="23"/>
    <x v="23"/>
    <x v="3"/>
    <n v="6881"/>
    <x v="0"/>
    <s v="nivel_ocupados_por_actividad_economica"/>
  </r>
  <r>
    <x v="24"/>
    <x v="24"/>
    <x v="3"/>
    <n v="16499"/>
    <x v="0"/>
    <s v="nivel_ocupados_por_actividad_economica"/>
  </r>
  <r>
    <x v="25"/>
    <x v="25"/>
    <x v="3"/>
    <m/>
    <x v="0"/>
    <s v="nivel_ocupados_por_actividad_economica"/>
  </r>
  <r>
    <x v="0"/>
    <x v="0"/>
    <x v="6"/>
    <n v="98575"/>
    <x v="0"/>
    <s v="nivel_ocupados_por_actividad_economica"/>
  </r>
  <r>
    <x v="1"/>
    <x v="1"/>
    <x v="6"/>
    <n v="48451"/>
    <x v="0"/>
    <s v="nivel_ocupados_por_actividad_economica"/>
  </r>
  <r>
    <x v="2"/>
    <x v="2"/>
    <x v="6"/>
    <n v="4501"/>
    <x v="0"/>
    <s v="nivel_ocupados_por_actividad_economica"/>
  </r>
  <r>
    <x v="3"/>
    <x v="3"/>
    <x v="6"/>
    <m/>
    <x v="0"/>
    <s v="nivel_ocupados_por_actividad_economica"/>
  </r>
  <r>
    <x v="4"/>
    <x v="4"/>
    <x v="6"/>
    <n v="1872"/>
    <x v="0"/>
    <s v="nivel_ocupados_por_actividad_economica"/>
  </r>
  <r>
    <x v="5"/>
    <x v="5"/>
    <x v="6"/>
    <n v="2317"/>
    <x v="0"/>
    <s v="nivel_ocupados_por_actividad_economica"/>
  </r>
  <r>
    <x v="6"/>
    <x v="6"/>
    <x v="6"/>
    <n v="3590"/>
    <x v="0"/>
    <s v="nivel_ocupados_por_actividad_economica"/>
  </r>
  <r>
    <x v="7"/>
    <x v="7"/>
    <x v="6"/>
    <n v="2165"/>
    <x v="0"/>
    <s v="nivel_ocupados_por_actividad_economica"/>
  </r>
  <r>
    <x v="8"/>
    <x v="8"/>
    <x v="6"/>
    <n v="2796"/>
    <x v="0"/>
    <s v="nivel_ocupados_por_actividad_economica"/>
  </r>
  <r>
    <x v="9"/>
    <x v="9"/>
    <x v="6"/>
    <n v="2606"/>
    <x v="0"/>
    <s v="nivel_ocupados_por_actividad_economica"/>
  </r>
  <r>
    <x v="10"/>
    <x v="10"/>
    <x v="6"/>
    <n v="2081"/>
    <x v="0"/>
    <s v="nivel_ocupados_por_actividad_economica"/>
  </r>
  <r>
    <x v="11"/>
    <x v="11"/>
    <x v="6"/>
    <n v="5071"/>
    <x v="0"/>
    <s v="nivel_ocupados_por_actividad_economica"/>
  </r>
  <r>
    <x v="12"/>
    <x v="12"/>
    <x v="6"/>
    <n v="4336"/>
    <x v="0"/>
    <s v="nivel_ocupados_por_actividad_economica"/>
  </r>
  <r>
    <x v="13"/>
    <x v="13"/>
    <x v="6"/>
    <n v="3823"/>
    <x v="0"/>
    <s v="nivel_ocupados_por_actividad_economica"/>
  </r>
  <r>
    <x v="14"/>
    <x v="14"/>
    <x v="6"/>
    <n v="2968"/>
    <x v="0"/>
    <s v="nivel_ocupados_por_actividad_economica"/>
  </r>
  <r>
    <x v="15"/>
    <x v="15"/>
    <x v="6"/>
    <n v="975"/>
    <x v="0"/>
    <s v="nivel_ocupados_por_actividad_economica"/>
  </r>
  <r>
    <x v="16"/>
    <x v="16"/>
    <x v="6"/>
    <n v="3312"/>
    <x v="0"/>
    <s v="nivel_ocupados_por_actividad_economica"/>
  </r>
  <r>
    <x v="17"/>
    <x v="17"/>
    <x v="6"/>
    <n v="72"/>
    <x v="0"/>
    <s v="nivel_ocupados_por_actividad_economica"/>
  </r>
  <r>
    <x v="18"/>
    <x v="18"/>
    <x v="6"/>
    <n v="1142"/>
    <x v="0"/>
    <s v="nivel_ocupados_por_actividad_economica"/>
  </r>
  <r>
    <x v="19"/>
    <x v="19"/>
    <x v="6"/>
    <n v="273"/>
    <x v="0"/>
    <s v="nivel_ocupados_por_actividad_economica"/>
  </r>
  <r>
    <x v="20"/>
    <x v="20"/>
    <x v="6"/>
    <n v="2276"/>
    <x v="0"/>
    <s v="nivel_ocupados_por_actividad_economica"/>
  </r>
  <r>
    <x v="21"/>
    <x v="21"/>
    <x v="6"/>
    <m/>
    <x v="0"/>
    <s v="nivel_ocupados_por_actividad_economica"/>
  </r>
  <r>
    <x v="22"/>
    <x v="22"/>
    <x v="6"/>
    <n v="1648"/>
    <x v="0"/>
    <s v="nivel_ocupados_por_actividad_economica"/>
  </r>
  <r>
    <x v="23"/>
    <x v="23"/>
    <x v="6"/>
    <n v="739"/>
    <x v="0"/>
    <s v="nivel_ocupados_por_actividad_economica"/>
  </r>
  <r>
    <x v="24"/>
    <x v="24"/>
    <x v="6"/>
    <n v="1551"/>
    <x v="0"/>
    <s v="nivel_ocupados_por_actividad_economica"/>
  </r>
  <r>
    <x v="25"/>
    <x v="25"/>
    <x v="6"/>
    <m/>
    <x v="0"/>
    <s v="nivel_ocupados_por_actividad_economica"/>
  </r>
  <r>
    <x v="0"/>
    <x v="0"/>
    <x v="4"/>
    <n v="5683610"/>
    <x v="1"/>
    <s v="nivel_ocupados_por_actividad_economica"/>
  </r>
  <r>
    <x v="1"/>
    <x v="1"/>
    <x v="4"/>
    <n v="1496577"/>
    <x v="1"/>
    <s v="nivel_ocupados_por_actividad_economica"/>
  </r>
  <r>
    <x v="2"/>
    <x v="2"/>
    <x v="4"/>
    <n v="153451"/>
    <x v="1"/>
    <s v="nivel_ocupados_por_actividad_economica"/>
  </r>
  <r>
    <x v="3"/>
    <x v="3"/>
    <x v="4"/>
    <n v="17401"/>
    <x v="1"/>
    <s v="nivel_ocupados_por_actividad_economica"/>
  </r>
  <r>
    <x v="4"/>
    <x v="4"/>
    <x v="4"/>
    <n v="202088"/>
    <x v="1"/>
    <s v="nivel_ocupados_por_actividad_economica"/>
  </r>
  <r>
    <x v="5"/>
    <x v="5"/>
    <x v="4"/>
    <n v="365217"/>
    <x v="1"/>
    <s v="nivel_ocupados_por_actividad_economica"/>
  </r>
  <r>
    <x v="6"/>
    <x v="6"/>
    <x v="4"/>
    <n v="289655"/>
    <x v="1"/>
    <s v="nivel_ocupados_por_actividad_economica"/>
  </r>
  <r>
    <x v="7"/>
    <x v="7"/>
    <x v="4"/>
    <n v="99199"/>
    <x v="1"/>
    <s v="nivel_ocupados_por_actividad_economica"/>
  </r>
  <r>
    <x v="8"/>
    <x v="8"/>
    <x v="4"/>
    <n v="163568"/>
    <x v="1"/>
    <s v="nivel_ocupados_por_actividad_economica"/>
  </r>
  <r>
    <x v="9"/>
    <x v="9"/>
    <x v="4"/>
    <n v="44595"/>
    <x v="1"/>
    <s v="nivel_ocupados_por_actividad_economica"/>
  </r>
  <r>
    <x v="10"/>
    <x v="10"/>
    <x v="4"/>
    <n v="68000"/>
    <x v="1"/>
    <s v="nivel_ocupados_por_actividad_economica"/>
  </r>
  <r>
    <x v="11"/>
    <x v="11"/>
    <x v="4"/>
    <n v="356736"/>
    <x v="1"/>
    <s v="nivel_ocupados_por_actividad_economica"/>
  </r>
  <r>
    <x v="12"/>
    <x v="12"/>
    <x v="4"/>
    <n v="102454"/>
    <x v="1"/>
    <s v="nivel_ocupados_por_actividad_economica"/>
  </r>
  <r>
    <x v="13"/>
    <x v="13"/>
    <x v="4"/>
    <n v="291509"/>
    <x v="1"/>
    <s v="nivel_ocupados_por_actividad_economica"/>
  </r>
  <r>
    <x v="14"/>
    <x v="14"/>
    <x v="4"/>
    <n v="246684"/>
    <x v="1"/>
    <s v="nivel_ocupados_por_actividad_economica"/>
  </r>
  <r>
    <x v="15"/>
    <x v="15"/>
    <x v="4"/>
    <n v="190389"/>
    <x v="1"/>
    <s v="nivel_ocupados_por_actividad_economica"/>
  </r>
  <r>
    <x v="16"/>
    <x v="16"/>
    <x v="4"/>
    <n v="233895"/>
    <x v="1"/>
    <s v="nivel_ocupados_por_actividad_economica"/>
  </r>
  <r>
    <x v="17"/>
    <x v="17"/>
    <x v="4"/>
    <n v="111332"/>
    <x v="1"/>
    <s v="nivel_ocupados_por_actividad_economica"/>
  </r>
  <r>
    <x v="18"/>
    <x v="18"/>
    <x v="4"/>
    <n v="179751"/>
    <x v="1"/>
    <s v="nivel_ocupados_por_actividad_economica"/>
  </r>
  <r>
    <x v="19"/>
    <x v="19"/>
    <x v="4"/>
    <n v="255911"/>
    <x v="1"/>
    <s v="nivel_ocupados_por_actividad_economica"/>
  </r>
  <r>
    <x v="20"/>
    <x v="20"/>
    <x v="4"/>
    <n v="398545"/>
    <x v="1"/>
    <s v="nivel_ocupados_por_actividad_economica"/>
  </r>
  <r>
    <x v="21"/>
    <x v="21"/>
    <x v="4"/>
    <n v="72484"/>
    <x v="1"/>
    <s v="nivel_ocupados_por_actividad_economica"/>
  </r>
  <r>
    <x v="22"/>
    <x v="22"/>
    <x v="4"/>
    <n v="146532"/>
    <x v="1"/>
    <s v="nivel_ocupados_por_actividad_economica"/>
  </r>
  <r>
    <x v="23"/>
    <x v="23"/>
    <x v="4"/>
    <n v="101523"/>
    <x v="1"/>
    <s v="nivel_ocupados_por_actividad_economica"/>
  </r>
  <r>
    <x v="24"/>
    <x v="24"/>
    <x v="4"/>
    <n v="96114"/>
    <x v="1"/>
    <s v="nivel_ocupados_por_actividad_economica"/>
  </r>
  <r>
    <x v="25"/>
    <x v="25"/>
    <x v="4"/>
    <m/>
    <x v="1"/>
    <s v="nivel_ocupados_por_actividad_economica"/>
  </r>
  <r>
    <x v="0"/>
    <x v="0"/>
    <x v="0"/>
    <n v="497080"/>
    <x v="1"/>
    <s v="nivel_ocupados_por_actividad_economica"/>
  </r>
  <r>
    <x v="1"/>
    <x v="1"/>
    <x v="0"/>
    <n v="155407"/>
    <x v="1"/>
    <s v="nivel_ocupados_por_actividad_economica"/>
  </r>
  <r>
    <x v="2"/>
    <x v="2"/>
    <x v="0"/>
    <n v="21228"/>
    <x v="1"/>
    <s v="nivel_ocupados_por_actividad_economica"/>
  </r>
  <r>
    <x v="3"/>
    <x v="3"/>
    <x v="0"/>
    <m/>
    <x v="1"/>
    <s v="nivel_ocupados_por_actividad_economica"/>
  </r>
  <r>
    <x v="4"/>
    <x v="4"/>
    <x v="0"/>
    <n v="5063"/>
    <x v="1"/>
    <s v="nivel_ocupados_por_actividad_economica"/>
  </r>
  <r>
    <x v="5"/>
    <x v="5"/>
    <x v="0"/>
    <n v="26102"/>
    <x v="1"/>
    <s v="nivel_ocupados_por_actividad_economica"/>
  </r>
  <r>
    <x v="6"/>
    <x v="6"/>
    <x v="0"/>
    <n v="6236"/>
    <x v="1"/>
    <s v="nivel_ocupados_por_actividad_economica"/>
  </r>
  <r>
    <x v="7"/>
    <x v="7"/>
    <x v="0"/>
    <n v="30167"/>
    <x v="1"/>
    <s v="nivel_ocupados_por_actividad_economica"/>
  </r>
  <r>
    <x v="8"/>
    <x v="8"/>
    <x v="0"/>
    <n v="21879"/>
    <x v="1"/>
    <s v="nivel_ocupados_por_actividad_economica"/>
  </r>
  <r>
    <x v="9"/>
    <x v="9"/>
    <x v="0"/>
    <n v="8578"/>
    <x v="1"/>
    <s v="nivel_ocupados_por_actividad_economica"/>
  </r>
  <r>
    <x v="10"/>
    <x v="10"/>
    <x v="0"/>
    <m/>
    <x v="1"/>
    <s v="nivel_ocupados_por_actividad_economica"/>
  </r>
  <r>
    <x v="11"/>
    <x v="11"/>
    <x v="0"/>
    <n v="30781"/>
    <x v="1"/>
    <s v="nivel_ocupados_por_actividad_economica"/>
  </r>
  <r>
    <x v="12"/>
    <x v="12"/>
    <x v="0"/>
    <n v="10933"/>
    <x v="1"/>
    <s v="nivel_ocupados_por_actividad_economica"/>
  </r>
  <r>
    <x v="13"/>
    <x v="13"/>
    <x v="0"/>
    <n v="25792"/>
    <x v="1"/>
    <s v="nivel_ocupados_por_actividad_economica"/>
  </r>
  <r>
    <x v="14"/>
    <x v="14"/>
    <x v="0"/>
    <n v="18012"/>
    <x v="1"/>
    <s v="nivel_ocupados_por_actividad_economica"/>
  </r>
  <r>
    <x v="15"/>
    <x v="15"/>
    <x v="0"/>
    <n v="6679"/>
    <x v="1"/>
    <s v="nivel_ocupados_por_actividad_economica"/>
  </r>
  <r>
    <x v="16"/>
    <x v="16"/>
    <x v="0"/>
    <n v="37396"/>
    <x v="1"/>
    <s v="nivel_ocupados_por_actividad_economica"/>
  </r>
  <r>
    <x v="17"/>
    <x v="17"/>
    <x v="0"/>
    <n v="1335"/>
    <x v="1"/>
    <s v="nivel_ocupados_por_actividad_economica"/>
  </r>
  <r>
    <x v="18"/>
    <x v="18"/>
    <x v="0"/>
    <n v="8249"/>
    <x v="1"/>
    <s v="nivel_ocupados_por_actividad_economica"/>
  </r>
  <r>
    <x v="19"/>
    <x v="19"/>
    <x v="0"/>
    <n v="10188"/>
    <x v="1"/>
    <s v="nivel_ocupados_por_actividad_economica"/>
  </r>
  <r>
    <x v="20"/>
    <x v="20"/>
    <x v="0"/>
    <n v="1155"/>
    <x v="1"/>
    <s v="nivel_ocupados_por_actividad_economica"/>
  </r>
  <r>
    <x v="21"/>
    <x v="21"/>
    <x v="0"/>
    <n v="613"/>
    <x v="1"/>
    <s v="nivel_ocupados_por_actividad_economica"/>
  </r>
  <r>
    <x v="22"/>
    <x v="22"/>
    <x v="0"/>
    <n v="11169"/>
    <x v="1"/>
    <s v="nivel_ocupados_por_actividad_economica"/>
  </r>
  <r>
    <x v="23"/>
    <x v="23"/>
    <x v="0"/>
    <n v="1368"/>
    <x v="1"/>
    <s v="nivel_ocupados_por_actividad_economica"/>
  </r>
  <r>
    <x v="24"/>
    <x v="24"/>
    <x v="0"/>
    <n v="44332"/>
    <x v="1"/>
    <s v="nivel_ocupados_por_actividad_economica"/>
  </r>
  <r>
    <x v="25"/>
    <x v="25"/>
    <x v="0"/>
    <n v="14411"/>
    <x v="1"/>
    <s v="nivel_ocupados_por_actividad_economica"/>
  </r>
  <r>
    <x v="0"/>
    <x v="0"/>
    <x v="1"/>
    <n v="607373"/>
    <x v="1"/>
    <s v="nivel_ocupados_por_actividad_economica"/>
  </r>
  <r>
    <x v="1"/>
    <x v="1"/>
    <x v="1"/>
    <n v="139104"/>
    <x v="1"/>
    <s v="nivel_ocupados_por_actividad_economica"/>
  </r>
  <r>
    <x v="2"/>
    <x v="2"/>
    <x v="1"/>
    <n v="13582"/>
    <x v="1"/>
    <s v="nivel_ocupados_por_actividad_economica"/>
  </r>
  <r>
    <x v="3"/>
    <x v="3"/>
    <x v="1"/>
    <m/>
    <x v="1"/>
    <s v="nivel_ocupados_por_actividad_economica"/>
  </r>
  <r>
    <x v="4"/>
    <x v="4"/>
    <x v="1"/>
    <n v="26784"/>
    <x v="1"/>
    <s v="nivel_ocupados_por_actividad_economica"/>
  </r>
  <r>
    <x v="5"/>
    <x v="5"/>
    <x v="1"/>
    <n v="69960"/>
    <x v="1"/>
    <s v="nivel_ocupados_por_actividad_economica"/>
  </r>
  <r>
    <x v="6"/>
    <x v="6"/>
    <x v="1"/>
    <n v="19094"/>
    <x v="1"/>
    <s v="nivel_ocupados_por_actividad_economica"/>
  </r>
  <r>
    <x v="7"/>
    <x v="7"/>
    <x v="1"/>
    <n v="5127"/>
    <x v="1"/>
    <s v="nivel_ocupados_por_actividad_economica"/>
  </r>
  <r>
    <x v="8"/>
    <x v="8"/>
    <x v="1"/>
    <n v="15513"/>
    <x v="1"/>
    <s v="nivel_ocupados_por_actividad_economica"/>
  </r>
  <r>
    <x v="9"/>
    <x v="9"/>
    <x v="1"/>
    <n v="17660"/>
    <x v="1"/>
    <s v="nivel_ocupados_por_actividad_economica"/>
  </r>
  <r>
    <x v="10"/>
    <x v="10"/>
    <x v="1"/>
    <n v="4293"/>
    <x v="1"/>
    <s v="nivel_ocupados_por_actividad_economica"/>
  </r>
  <r>
    <x v="11"/>
    <x v="11"/>
    <x v="1"/>
    <n v="47083"/>
    <x v="1"/>
    <s v="nivel_ocupados_por_actividad_economica"/>
  </r>
  <r>
    <x v="12"/>
    <x v="12"/>
    <x v="1"/>
    <n v="21933"/>
    <x v="1"/>
    <s v="nivel_ocupados_por_actividad_economica"/>
  </r>
  <r>
    <x v="13"/>
    <x v="13"/>
    <x v="1"/>
    <n v="46809"/>
    <x v="1"/>
    <s v="nivel_ocupados_por_actividad_economica"/>
  </r>
  <r>
    <x v="14"/>
    <x v="14"/>
    <x v="1"/>
    <n v="35678"/>
    <x v="1"/>
    <s v="nivel_ocupados_por_actividad_economica"/>
  </r>
  <r>
    <x v="15"/>
    <x v="15"/>
    <x v="1"/>
    <n v="13010"/>
    <x v="1"/>
    <s v="nivel_ocupados_por_actividad_economica"/>
  </r>
  <r>
    <x v="16"/>
    <x v="16"/>
    <x v="1"/>
    <n v="33628"/>
    <x v="1"/>
    <s v="nivel_ocupados_por_actividad_economica"/>
  </r>
  <r>
    <x v="17"/>
    <x v="17"/>
    <x v="1"/>
    <n v="296"/>
    <x v="1"/>
    <s v="nivel_ocupados_por_actividad_economica"/>
  </r>
  <r>
    <x v="18"/>
    <x v="18"/>
    <x v="1"/>
    <n v="17713"/>
    <x v="1"/>
    <s v="nivel_ocupados_por_actividad_economica"/>
  </r>
  <r>
    <x v="19"/>
    <x v="19"/>
    <x v="1"/>
    <n v="16116"/>
    <x v="1"/>
    <s v="nivel_ocupados_por_actividad_economica"/>
  </r>
  <r>
    <x v="20"/>
    <x v="20"/>
    <x v="1"/>
    <n v="12132"/>
    <x v="1"/>
    <s v="nivel_ocupados_por_actividad_economica"/>
  </r>
  <r>
    <x v="21"/>
    <x v="21"/>
    <x v="1"/>
    <n v="6057"/>
    <x v="1"/>
    <s v="nivel_ocupados_por_actividad_economica"/>
  </r>
  <r>
    <x v="22"/>
    <x v="22"/>
    <x v="1"/>
    <n v="18739"/>
    <x v="1"/>
    <s v="nivel_ocupados_por_actividad_economica"/>
  </r>
  <r>
    <x v="23"/>
    <x v="23"/>
    <x v="1"/>
    <n v="27062"/>
    <x v="1"/>
    <s v="nivel_ocupados_por_actividad_economica"/>
  </r>
  <r>
    <x v="24"/>
    <x v="24"/>
    <x v="1"/>
    <m/>
    <x v="1"/>
    <s v="nivel_ocupados_por_actividad_economica"/>
  </r>
  <r>
    <x v="25"/>
    <x v="25"/>
    <x v="1"/>
    <m/>
    <x v="1"/>
    <s v="nivel_ocupados_por_actividad_economica"/>
  </r>
  <r>
    <x v="0"/>
    <x v="0"/>
    <x v="2"/>
    <n v="249793"/>
    <x v="1"/>
    <s v="nivel_ocupados_por_actividad_economica"/>
  </r>
  <r>
    <x v="1"/>
    <x v="1"/>
    <x v="2"/>
    <n v="114078"/>
    <x v="1"/>
    <s v="nivel_ocupados_por_actividad_economica"/>
  </r>
  <r>
    <x v="2"/>
    <x v="2"/>
    <x v="2"/>
    <n v="8035"/>
    <x v="1"/>
    <s v="nivel_ocupados_por_actividad_economica"/>
  </r>
  <r>
    <x v="3"/>
    <x v="3"/>
    <x v="2"/>
    <n v="88"/>
    <x v="1"/>
    <s v="nivel_ocupados_por_actividad_economica"/>
  </r>
  <r>
    <x v="4"/>
    <x v="4"/>
    <x v="2"/>
    <n v="8671"/>
    <x v="1"/>
    <s v="nivel_ocupados_por_actividad_economica"/>
  </r>
  <r>
    <x v="5"/>
    <x v="5"/>
    <x v="2"/>
    <n v="5905"/>
    <x v="1"/>
    <s v="nivel_ocupados_por_actividad_economica"/>
  </r>
  <r>
    <x v="6"/>
    <x v="6"/>
    <x v="2"/>
    <n v="3314"/>
    <x v="1"/>
    <s v="nivel_ocupados_por_actividad_economica"/>
  </r>
  <r>
    <x v="7"/>
    <x v="7"/>
    <x v="2"/>
    <n v="4758"/>
    <x v="1"/>
    <s v="nivel_ocupados_por_actividad_economica"/>
  </r>
  <r>
    <x v="8"/>
    <x v="8"/>
    <x v="2"/>
    <n v="11025"/>
    <x v="1"/>
    <s v="nivel_ocupados_por_actividad_economica"/>
  </r>
  <r>
    <x v="9"/>
    <x v="9"/>
    <x v="2"/>
    <n v="6913"/>
    <x v="1"/>
    <s v="nivel_ocupados_por_actividad_economica"/>
  </r>
  <r>
    <x v="10"/>
    <x v="10"/>
    <x v="2"/>
    <n v="889"/>
    <x v="1"/>
    <s v="nivel_ocupados_por_actividad_economica"/>
  </r>
  <r>
    <x v="11"/>
    <x v="11"/>
    <x v="2"/>
    <n v="9236"/>
    <x v="1"/>
    <s v="nivel_ocupados_por_actividad_economica"/>
  </r>
  <r>
    <x v="12"/>
    <x v="12"/>
    <x v="2"/>
    <n v="4568"/>
    <x v="1"/>
    <s v="nivel_ocupados_por_actividad_economica"/>
  </r>
  <r>
    <x v="13"/>
    <x v="13"/>
    <x v="2"/>
    <n v="13020"/>
    <x v="1"/>
    <s v="nivel_ocupados_por_actividad_economica"/>
  </r>
  <r>
    <x v="14"/>
    <x v="14"/>
    <x v="2"/>
    <n v="9417"/>
    <x v="1"/>
    <s v="nivel_ocupados_por_actividad_economica"/>
  </r>
  <r>
    <x v="15"/>
    <x v="15"/>
    <x v="2"/>
    <n v="10002"/>
    <x v="1"/>
    <s v="nivel_ocupados_por_actividad_economica"/>
  </r>
  <r>
    <x v="16"/>
    <x v="16"/>
    <x v="2"/>
    <n v="11992"/>
    <x v="1"/>
    <s v="nivel_ocupados_por_actividad_economica"/>
  </r>
  <r>
    <x v="17"/>
    <x v="17"/>
    <x v="2"/>
    <n v="787"/>
    <x v="1"/>
    <s v="nivel_ocupados_por_actividad_economica"/>
  </r>
  <r>
    <x v="18"/>
    <x v="18"/>
    <x v="2"/>
    <n v="5923"/>
    <x v="1"/>
    <s v="nivel_ocupados_por_actividad_economica"/>
  </r>
  <r>
    <x v="19"/>
    <x v="19"/>
    <x v="2"/>
    <n v="1682"/>
    <x v="1"/>
    <s v="nivel_ocupados_por_actividad_economica"/>
  </r>
  <r>
    <x v="20"/>
    <x v="20"/>
    <x v="2"/>
    <n v="4679"/>
    <x v="1"/>
    <s v="nivel_ocupados_por_actividad_economica"/>
  </r>
  <r>
    <x v="21"/>
    <x v="21"/>
    <x v="2"/>
    <n v="1597"/>
    <x v="1"/>
    <s v="nivel_ocupados_por_actividad_economica"/>
  </r>
  <r>
    <x v="22"/>
    <x v="22"/>
    <x v="2"/>
    <n v="5810"/>
    <x v="1"/>
    <s v="nivel_ocupados_por_actividad_economica"/>
  </r>
  <r>
    <x v="23"/>
    <x v="23"/>
    <x v="2"/>
    <n v="3202"/>
    <x v="1"/>
    <s v="nivel_ocupados_por_actividad_economica"/>
  </r>
  <r>
    <x v="24"/>
    <x v="24"/>
    <x v="2"/>
    <n v="4191"/>
    <x v="1"/>
    <s v="nivel_ocupados_por_actividad_economica"/>
  </r>
  <r>
    <x v="25"/>
    <x v="25"/>
    <x v="2"/>
    <m/>
    <x v="1"/>
    <s v="nivel_ocupados_por_actividad_economica"/>
  </r>
  <r>
    <x v="0"/>
    <x v="0"/>
    <x v="5"/>
    <n v="4170595"/>
    <x v="1"/>
    <s v="nivel_ocupados_por_actividad_economica"/>
  </r>
  <r>
    <x v="1"/>
    <x v="1"/>
    <x v="5"/>
    <n v="831352"/>
    <x v="1"/>
    <s v="nivel_ocupados_por_actividad_economica"/>
  </r>
  <r>
    <x v="2"/>
    <x v="2"/>
    <x v="5"/>
    <n v="144420"/>
    <x v="1"/>
    <s v="nivel_ocupados_por_actividad_economica"/>
  </r>
  <r>
    <x v="3"/>
    <x v="3"/>
    <x v="5"/>
    <n v="2256"/>
    <x v="1"/>
    <s v="nivel_ocupados_por_actividad_economica"/>
  </r>
  <r>
    <x v="4"/>
    <x v="4"/>
    <x v="5"/>
    <n v="279075"/>
    <x v="1"/>
    <s v="nivel_ocupados_por_actividad_economica"/>
  </r>
  <r>
    <x v="5"/>
    <x v="5"/>
    <x v="5"/>
    <n v="158490"/>
    <x v="1"/>
    <s v="nivel_ocupados_por_actividad_economica"/>
  </r>
  <r>
    <x v="6"/>
    <x v="6"/>
    <x v="5"/>
    <n v="60775"/>
    <x v="1"/>
    <s v="nivel_ocupados_por_actividad_economica"/>
  </r>
  <r>
    <x v="7"/>
    <x v="7"/>
    <x v="5"/>
    <n v="31428"/>
    <x v="1"/>
    <s v="nivel_ocupados_por_actividad_economica"/>
  </r>
  <r>
    <x v="8"/>
    <x v="8"/>
    <x v="5"/>
    <n v="76183"/>
    <x v="1"/>
    <s v="nivel_ocupados_por_actividad_economica"/>
  </r>
  <r>
    <x v="9"/>
    <x v="9"/>
    <x v="5"/>
    <n v="14285"/>
    <x v="1"/>
    <s v="nivel_ocupados_por_actividad_economica"/>
  </r>
  <r>
    <x v="10"/>
    <x v="10"/>
    <x v="5"/>
    <n v="29704"/>
    <x v="1"/>
    <s v="nivel_ocupados_por_actividad_economica"/>
  </r>
  <r>
    <x v="11"/>
    <x v="11"/>
    <x v="5"/>
    <n v="181711"/>
    <x v="1"/>
    <s v="nivel_ocupados_por_actividad_economica"/>
  </r>
  <r>
    <x v="12"/>
    <x v="12"/>
    <x v="5"/>
    <n v="71485"/>
    <x v="1"/>
    <s v="nivel_ocupados_por_actividad_economica"/>
  </r>
  <r>
    <x v="13"/>
    <x v="13"/>
    <x v="5"/>
    <n v="242195"/>
    <x v="1"/>
    <s v="nivel_ocupados_por_actividad_economica"/>
  </r>
  <r>
    <x v="14"/>
    <x v="14"/>
    <x v="5"/>
    <n v="168350"/>
    <x v="1"/>
    <s v="nivel_ocupados_por_actividad_economica"/>
  </r>
  <r>
    <x v="15"/>
    <x v="15"/>
    <x v="5"/>
    <n v="115918"/>
    <x v="1"/>
    <s v="nivel_ocupados_por_actividad_economica"/>
  </r>
  <r>
    <x v="16"/>
    <x v="16"/>
    <x v="5"/>
    <n v="310393"/>
    <x v="1"/>
    <s v="nivel_ocupados_por_actividad_economica"/>
  </r>
  <r>
    <x v="17"/>
    <x v="17"/>
    <x v="5"/>
    <n v="323971"/>
    <x v="1"/>
    <s v="nivel_ocupados_por_actividad_economica"/>
  </r>
  <r>
    <x v="18"/>
    <x v="18"/>
    <x v="5"/>
    <n v="543889"/>
    <x v="1"/>
    <s v="nivel_ocupados_por_actividad_economica"/>
  </r>
  <r>
    <x v="19"/>
    <x v="19"/>
    <x v="5"/>
    <n v="418417"/>
    <x v="1"/>
    <s v="nivel_ocupados_por_actividad_economica"/>
  </r>
  <r>
    <x v="20"/>
    <x v="20"/>
    <x v="5"/>
    <n v="106024"/>
    <x v="1"/>
    <s v="nivel_ocupados_por_actividad_economica"/>
  </r>
  <r>
    <x v="21"/>
    <x v="21"/>
    <x v="5"/>
    <n v="16225"/>
    <x v="1"/>
    <s v="nivel_ocupados_por_actividad_economica"/>
  </r>
  <r>
    <x v="22"/>
    <x v="22"/>
    <x v="5"/>
    <n v="30635"/>
    <x v="1"/>
    <s v="nivel_ocupados_por_actividad_economica"/>
  </r>
  <r>
    <x v="23"/>
    <x v="23"/>
    <x v="5"/>
    <n v="13414"/>
    <x v="1"/>
    <s v="nivel_ocupados_por_actividad_economica"/>
  </r>
  <r>
    <x v="24"/>
    <x v="24"/>
    <x v="5"/>
    <m/>
    <x v="1"/>
    <s v="nivel_ocupados_por_actividad_economica"/>
  </r>
  <r>
    <x v="25"/>
    <x v="25"/>
    <x v="5"/>
    <m/>
    <x v="1"/>
    <s v="nivel_ocupados_por_actividad_economica"/>
  </r>
  <r>
    <x v="0"/>
    <x v="0"/>
    <x v="3"/>
    <n v="747533"/>
    <x v="1"/>
    <s v="nivel_ocupados_por_actividad_economica"/>
  </r>
  <r>
    <x v="1"/>
    <x v="1"/>
    <x v="3"/>
    <n v="341923"/>
    <x v="1"/>
    <s v="nivel_ocupados_por_actividad_economica"/>
  </r>
  <r>
    <x v="2"/>
    <x v="2"/>
    <x v="3"/>
    <n v="14298"/>
    <x v="1"/>
    <s v="nivel_ocupados_por_actividad_economica"/>
  </r>
  <r>
    <x v="3"/>
    <x v="3"/>
    <x v="3"/>
    <m/>
    <x v="1"/>
    <s v="nivel_ocupados_por_actividad_economica"/>
  </r>
  <r>
    <x v="4"/>
    <x v="4"/>
    <x v="3"/>
    <n v="35407"/>
    <x v="1"/>
    <s v="nivel_ocupados_por_actividad_economica"/>
  </r>
  <r>
    <x v="5"/>
    <x v="5"/>
    <x v="3"/>
    <n v="63276"/>
    <x v="1"/>
    <s v="nivel_ocupados_por_actividad_economica"/>
  </r>
  <r>
    <x v="6"/>
    <x v="6"/>
    <x v="3"/>
    <n v="8524"/>
    <x v="1"/>
    <s v="nivel_ocupados_por_actividad_economica"/>
  </r>
  <r>
    <x v="7"/>
    <x v="7"/>
    <x v="3"/>
    <n v="8062"/>
    <x v="1"/>
    <s v="nivel_ocupados_por_actividad_economica"/>
  </r>
  <r>
    <x v="8"/>
    <x v="8"/>
    <x v="3"/>
    <n v="9250"/>
    <x v="1"/>
    <s v="nivel_ocupados_por_actividad_economica"/>
  </r>
  <r>
    <x v="9"/>
    <x v="9"/>
    <x v="3"/>
    <n v="15671"/>
    <x v="1"/>
    <s v="nivel_ocupados_por_actividad_economica"/>
  </r>
  <r>
    <x v="10"/>
    <x v="10"/>
    <x v="3"/>
    <n v="4175"/>
    <x v="1"/>
    <s v="nivel_ocupados_por_actividad_economica"/>
  </r>
  <r>
    <x v="11"/>
    <x v="11"/>
    <x v="3"/>
    <n v="36137"/>
    <x v="1"/>
    <s v="nivel_ocupados_por_actividad_economica"/>
  </r>
  <r>
    <x v="12"/>
    <x v="12"/>
    <x v="3"/>
    <n v="15498"/>
    <x v="1"/>
    <s v="nivel_ocupados_por_actividad_economica"/>
  </r>
  <r>
    <x v="13"/>
    <x v="13"/>
    <x v="3"/>
    <n v="41341"/>
    <x v="1"/>
    <s v="nivel_ocupados_por_actividad_economica"/>
  </r>
  <r>
    <x v="14"/>
    <x v="14"/>
    <x v="3"/>
    <n v="30011"/>
    <x v="1"/>
    <s v="nivel_ocupados_por_actividad_economica"/>
  </r>
  <r>
    <x v="15"/>
    <x v="15"/>
    <x v="3"/>
    <n v="11210"/>
    <x v="1"/>
    <s v="nivel_ocupados_por_actividad_economica"/>
  </r>
  <r>
    <x v="16"/>
    <x v="16"/>
    <x v="3"/>
    <n v="49297"/>
    <x v="1"/>
    <s v="nivel_ocupados_por_actividad_economica"/>
  </r>
  <r>
    <x v="17"/>
    <x v="17"/>
    <x v="3"/>
    <n v="1001"/>
    <x v="1"/>
    <s v="nivel_ocupados_por_actividad_economica"/>
  </r>
  <r>
    <x v="18"/>
    <x v="18"/>
    <x v="3"/>
    <n v="8008"/>
    <x v="1"/>
    <s v="nivel_ocupados_por_actividad_economica"/>
  </r>
  <r>
    <x v="19"/>
    <x v="19"/>
    <x v="3"/>
    <n v="10486"/>
    <x v="1"/>
    <s v="nivel_ocupados_por_actividad_economica"/>
  </r>
  <r>
    <x v="20"/>
    <x v="20"/>
    <x v="3"/>
    <n v="6557"/>
    <x v="1"/>
    <s v="nivel_ocupados_por_actividad_economica"/>
  </r>
  <r>
    <x v="21"/>
    <x v="21"/>
    <x v="3"/>
    <n v="2953"/>
    <x v="1"/>
    <s v="nivel_ocupados_por_actividad_economica"/>
  </r>
  <r>
    <x v="22"/>
    <x v="22"/>
    <x v="3"/>
    <n v="7703"/>
    <x v="1"/>
    <s v="nivel_ocupados_por_actividad_economica"/>
  </r>
  <r>
    <x v="23"/>
    <x v="23"/>
    <x v="3"/>
    <n v="12413"/>
    <x v="1"/>
    <s v="nivel_ocupados_por_actividad_economica"/>
  </r>
  <r>
    <x v="24"/>
    <x v="24"/>
    <x v="3"/>
    <n v="14321"/>
    <x v="1"/>
    <s v="nivel_ocupados_por_actividad_economica"/>
  </r>
  <r>
    <x v="25"/>
    <x v="25"/>
    <x v="3"/>
    <m/>
    <x v="1"/>
    <s v="nivel_ocupados_por_actividad_economica"/>
  </r>
  <r>
    <x v="0"/>
    <x v="0"/>
    <x v="6"/>
    <n v="95406"/>
    <x v="1"/>
    <s v="nivel_ocupados_por_actividad_economica"/>
  </r>
  <r>
    <x v="1"/>
    <x v="1"/>
    <x v="6"/>
    <n v="48125"/>
    <x v="1"/>
    <s v="nivel_ocupados_por_actividad_economica"/>
  </r>
  <r>
    <x v="2"/>
    <x v="2"/>
    <x v="6"/>
    <n v="4029"/>
    <x v="1"/>
    <s v="nivel_ocupados_por_actividad_economica"/>
  </r>
  <r>
    <x v="3"/>
    <x v="3"/>
    <x v="6"/>
    <m/>
    <x v="1"/>
    <s v="nivel_ocupados_por_actividad_economica"/>
  </r>
  <r>
    <x v="4"/>
    <x v="4"/>
    <x v="6"/>
    <n v="1608"/>
    <x v="1"/>
    <s v="nivel_ocupados_por_actividad_economica"/>
  </r>
  <r>
    <x v="5"/>
    <x v="5"/>
    <x v="6"/>
    <n v="1997"/>
    <x v="1"/>
    <s v="nivel_ocupados_por_actividad_economica"/>
  </r>
  <r>
    <x v="6"/>
    <x v="6"/>
    <x v="6"/>
    <n v="3762"/>
    <x v="1"/>
    <s v="nivel_ocupados_por_actividad_economica"/>
  </r>
  <r>
    <x v="7"/>
    <x v="7"/>
    <x v="6"/>
    <n v="2514"/>
    <x v="1"/>
    <s v="nivel_ocupados_por_actividad_economica"/>
  </r>
  <r>
    <x v="8"/>
    <x v="8"/>
    <x v="6"/>
    <n v="2047"/>
    <x v="1"/>
    <s v="nivel_ocupados_por_actividad_economica"/>
  </r>
  <r>
    <x v="9"/>
    <x v="9"/>
    <x v="6"/>
    <n v="2440"/>
    <x v="1"/>
    <s v="nivel_ocupados_por_actividad_economica"/>
  </r>
  <r>
    <x v="10"/>
    <x v="10"/>
    <x v="6"/>
    <n v="1675"/>
    <x v="1"/>
    <s v="nivel_ocupados_por_actividad_economica"/>
  </r>
  <r>
    <x v="11"/>
    <x v="11"/>
    <x v="6"/>
    <n v="4824"/>
    <x v="1"/>
    <s v="nivel_ocupados_por_actividad_economica"/>
  </r>
  <r>
    <x v="12"/>
    <x v="12"/>
    <x v="6"/>
    <n v="4390"/>
    <x v="1"/>
    <s v="nivel_ocupados_por_actividad_economica"/>
  </r>
  <r>
    <x v="13"/>
    <x v="13"/>
    <x v="6"/>
    <n v="3535"/>
    <x v="1"/>
    <s v="nivel_ocupados_por_actividad_economica"/>
  </r>
  <r>
    <x v="14"/>
    <x v="14"/>
    <x v="6"/>
    <n v="2756"/>
    <x v="1"/>
    <s v="nivel_ocupados_por_actividad_economica"/>
  </r>
  <r>
    <x v="15"/>
    <x v="15"/>
    <x v="6"/>
    <n v="794"/>
    <x v="1"/>
    <s v="nivel_ocupados_por_actividad_economica"/>
  </r>
  <r>
    <x v="16"/>
    <x v="16"/>
    <x v="6"/>
    <n v="3094"/>
    <x v="1"/>
    <s v="nivel_ocupados_por_actividad_economica"/>
  </r>
  <r>
    <x v="17"/>
    <x v="17"/>
    <x v="6"/>
    <n v="116"/>
    <x v="1"/>
    <s v="nivel_ocupados_por_actividad_economica"/>
  </r>
  <r>
    <x v="18"/>
    <x v="18"/>
    <x v="6"/>
    <n v="842"/>
    <x v="1"/>
    <s v="nivel_ocupados_por_actividad_economica"/>
  </r>
  <r>
    <x v="19"/>
    <x v="19"/>
    <x v="6"/>
    <n v="132"/>
    <x v="1"/>
    <s v="nivel_ocupados_por_actividad_economica"/>
  </r>
  <r>
    <x v="20"/>
    <x v="20"/>
    <x v="6"/>
    <n v="2803"/>
    <x v="1"/>
    <s v="nivel_ocupados_por_actividad_economica"/>
  </r>
  <r>
    <x v="21"/>
    <x v="21"/>
    <x v="6"/>
    <m/>
    <x v="1"/>
    <s v="nivel_ocupados_por_actividad_economica"/>
  </r>
  <r>
    <x v="22"/>
    <x v="22"/>
    <x v="6"/>
    <n v="1361"/>
    <x v="1"/>
    <s v="nivel_ocupados_por_actividad_economica"/>
  </r>
  <r>
    <x v="23"/>
    <x v="23"/>
    <x v="6"/>
    <n v="756"/>
    <x v="1"/>
    <s v="nivel_ocupados_por_actividad_economica"/>
  </r>
  <r>
    <x v="24"/>
    <x v="24"/>
    <x v="6"/>
    <n v="1799"/>
    <x v="1"/>
    <s v="nivel_ocupados_por_actividad_economica"/>
  </r>
  <r>
    <x v="25"/>
    <x v="25"/>
    <x v="6"/>
    <m/>
    <x v="1"/>
    <s v="nivel_ocupados_por_actividad_economica"/>
  </r>
  <r>
    <x v="0"/>
    <x v="0"/>
    <x v="4"/>
    <n v="5676048"/>
    <x v="2"/>
    <s v="nivel_ocupados_por_actividad_economica"/>
  </r>
  <r>
    <x v="1"/>
    <x v="1"/>
    <x v="4"/>
    <n v="1423812"/>
    <x v="2"/>
    <s v="nivel_ocupados_por_actividad_economica"/>
  </r>
  <r>
    <x v="2"/>
    <x v="2"/>
    <x v="4"/>
    <n v="156183"/>
    <x v="2"/>
    <s v="nivel_ocupados_por_actividad_economica"/>
  </r>
  <r>
    <x v="3"/>
    <x v="3"/>
    <x v="4"/>
    <n v="16866"/>
    <x v="2"/>
    <s v="nivel_ocupados_por_actividad_economica"/>
  </r>
  <r>
    <x v="4"/>
    <x v="4"/>
    <x v="4"/>
    <n v="198189"/>
    <x v="2"/>
    <s v="nivel_ocupados_por_actividad_economica"/>
  </r>
  <r>
    <x v="5"/>
    <x v="5"/>
    <x v="4"/>
    <n v="349146"/>
    <x v="2"/>
    <s v="nivel_ocupados_por_actividad_economica"/>
  </r>
  <r>
    <x v="6"/>
    <x v="6"/>
    <x v="4"/>
    <n v="278661"/>
    <x v="2"/>
    <s v="nivel_ocupados_por_actividad_economica"/>
  </r>
  <r>
    <x v="7"/>
    <x v="7"/>
    <x v="4"/>
    <n v="102127"/>
    <x v="2"/>
    <s v="nivel_ocupados_por_actividad_economica"/>
  </r>
  <r>
    <x v="8"/>
    <x v="8"/>
    <x v="4"/>
    <n v="163811"/>
    <x v="2"/>
    <s v="nivel_ocupados_por_actividad_economica"/>
  </r>
  <r>
    <x v="9"/>
    <x v="9"/>
    <x v="4"/>
    <n v="43540"/>
    <x v="2"/>
    <s v="nivel_ocupados_por_actividad_economica"/>
  </r>
  <r>
    <x v="10"/>
    <x v="10"/>
    <x v="4"/>
    <n v="66296"/>
    <x v="2"/>
    <s v="nivel_ocupados_por_actividad_economica"/>
  </r>
  <r>
    <x v="11"/>
    <x v="11"/>
    <x v="4"/>
    <n v="413216"/>
    <x v="2"/>
    <s v="nivel_ocupados_por_actividad_economica"/>
  </r>
  <r>
    <x v="12"/>
    <x v="12"/>
    <x v="4"/>
    <n v="104260"/>
    <x v="2"/>
    <s v="nivel_ocupados_por_actividad_economica"/>
  </r>
  <r>
    <x v="13"/>
    <x v="13"/>
    <x v="4"/>
    <n v="290279"/>
    <x v="2"/>
    <s v="nivel_ocupados_por_actividad_economica"/>
  </r>
  <r>
    <x v="14"/>
    <x v="14"/>
    <x v="4"/>
    <n v="240747"/>
    <x v="2"/>
    <s v="nivel_ocupados_por_actividad_economica"/>
  </r>
  <r>
    <x v="15"/>
    <x v="15"/>
    <x v="4"/>
    <n v="199522"/>
    <x v="2"/>
    <s v="nivel_ocupados_por_actividad_economica"/>
  </r>
  <r>
    <x v="16"/>
    <x v="16"/>
    <x v="4"/>
    <n v="232943"/>
    <x v="2"/>
    <s v="nivel_ocupados_por_actividad_economica"/>
  </r>
  <r>
    <x v="17"/>
    <x v="17"/>
    <x v="4"/>
    <n v="107965"/>
    <x v="2"/>
    <s v="nivel_ocupados_por_actividad_economica"/>
  </r>
  <r>
    <x v="18"/>
    <x v="18"/>
    <x v="4"/>
    <n v="176289"/>
    <x v="2"/>
    <s v="nivel_ocupados_por_actividad_economica"/>
  </r>
  <r>
    <x v="19"/>
    <x v="19"/>
    <x v="4"/>
    <n v="268903"/>
    <x v="2"/>
    <s v="nivel_ocupados_por_actividad_economica"/>
  </r>
  <r>
    <x v="20"/>
    <x v="20"/>
    <x v="4"/>
    <n v="413474"/>
    <x v="2"/>
    <s v="nivel_ocupados_por_actividad_economica"/>
  </r>
  <r>
    <x v="21"/>
    <x v="21"/>
    <x v="4"/>
    <n v="67138"/>
    <x v="2"/>
    <s v="nivel_ocupados_por_actividad_economica"/>
  </r>
  <r>
    <x v="22"/>
    <x v="22"/>
    <x v="4"/>
    <n v="149937"/>
    <x v="2"/>
    <s v="nivel_ocupados_por_actividad_economica"/>
  </r>
  <r>
    <x v="23"/>
    <x v="23"/>
    <x v="4"/>
    <n v="104777"/>
    <x v="2"/>
    <s v="nivel_ocupados_por_actividad_economica"/>
  </r>
  <r>
    <x v="24"/>
    <x v="24"/>
    <x v="4"/>
    <n v="107967"/>
    <x v="2"/>
    <s v="nivel_ocupados_por_actividad_economica"/>
  </r>
  <r>
    <x v="25"/>
    <x v="25"/>
    <x v="4"/>
    <m/>
    <x v="2"/>
    <s v="nivel_ocupados_por_actividad_economica"/>
  </r>
  <r>
    <x v="0"/>
    <x v="0"/>
    <x v="0"/>
    <n v="515340"/>
    <x v="2"/>
    <s v="nivel_ocupados_por_actividad_economica"/>
  </r>
  <r>
    <x v="1"/>
    <x v="1"/>
    <x v="0"/>
    <n v="199351"/>
    <x v="2"/>
    <s v="nivel_ocupados_por_actividad_economica"/>
  </r>
  <r>
    <x v="2"/>
    <x v="2"/>
    <x v="0"/>
    <n v="19077"/>
    <x v="2"/>
    <s v="nivel_ocupados_por_actividad_economica"/>
  </r>
  <r>
    <x v="3"/>
    <x v="3"/>
    <x v="0"/>
    <m/>
    <x v="2"/>
    <s v="nivel_ocupados_por_actividad_economica"/>
  </r>
  <r>
    <x v="4"/>
    <x v="4"/>
    <x v="0"/>
    <n v="32254"/>
    <x v="2"/>
    <s v="nivel_ocupados_por_actividad_economica"/>
  </r>
  <r>
    <x v="5"/>
    <x v="5"/>
    <x v="0"/>
    <n v="7589"/>
    <x v="2"/>
    <s v="nivel_ocupados_por_actividad_economica"/>
  </r>
  <r>
    <x v="6"/>
    <x v="6"/>
    <x v="0"/>
    <n v="6350"/>
    <x v="2"/>
    <s v="nivel_ocupados_por_actividad_economica"/>
  </r>
  <r>
    <x v="7"/>
    <x v="7"/>
    <x v="0"/>
    <n v="29899"/>
    <x v="2"/>
    <s v="nivel_ocupados_por_actividad_economica"/>
  </r>
  <r>
    <x v="8"/>
    <x v="8"/>
    <x v="0"/>
    <n v="22421"/>
    <x v="2"/>
    <s v="nivel_ocupados_por_actividad_economica"/>
  </r>
  <r>
    <x v="9"/>
    <x v="9"/>
    <x v="0"/>
    <n v="8941"/>
    <x v="2"/>
    <s v="nivel_ocupados_por_actividad_economica"/>
  </r>
  <r>
    <x v="10"/>
    <x v="10"/>
    <x v="0"/>
    <n v="92"/>
    <x v="2"/>
    <s v="nivel_ocupados_por_actividad_economica"/>
  </r>
  <r>
    <x v="11"/>
    <x v="11"/>
    <x v="0"/>
    <n v="24583"/>
    <x v="2"/>
    <s v="nivel_ocupados_por_actividad_economica"/>
  </r>
  <r>
    <x v="12"/>
    <x v="12"/>
    <x v="0"/>
    <n v="11275"/>
    <x v="2"/>
    <s v="nivel_ocupados_por_actividad_economica"/>
  </r>
  <r>
    <x v="13"/>
    <x v="13"/>
    <x v="0"/>
    <n v="26628"/>
    <x v="2"/>
    <s v="nivel_ocupados_por_actividad_economica"/>
  </r>
  <r>
    <x v="14"/>
    <x v="14"/>
    <x v="0"/>
    <n v="19637"/>
    <x v="2"/>
    <s v="nivel_ocupados_por_actividad_economica"/>
  </r>
  <r>
    <x v="15"/>
    <x v="15"/>
    <x v="0"/>
    <n v="9299"/>
    <x v="2"/>
    <s v="nivel_ocupados_por_actividad_economica"/>
  </r>
  <r>
    <x v="16"/>
    <x v="16"/>
    <x v="0"/>
    <n v="35276"/>
    <x v="2"/>
    <s v="nivel_ocupados_por_actividad_economica"/>
  </r>
  <r>
    <x v="17"/>
    <x v="17"/>
    <x v="0"/>
    <n v="2705"/>
    <x v="2"/>
    <s v="nivel_ocupados_por_actividad_economica"/>
  </r>
  <r>
    <x v="18"/>
    <x v="18"/>
    <x v="0"/>
    <n v="7469"/>
    <x v="2"/>
    <s v="nivel_ocupados_por_actividad_economica"/>
  </r>
  <r>
    <x v="19"/>
    <x v="19"/>
    <x v="0"/>
    <n v="10034"/>
    <x v="2"/>
    <s v="nivel_ocupados_por_actividad_economica"/>
  </r>
  <r>
    <x v="20"/>
    <x v="20"/>
    <x v="0"/>
    <n v="2143"/>
    <x v="2"/>
    <s v="nivel_ocupados_por_actividad_economica"/>
  </r>
  <r>
    <x v="21"/>
    <x v="21"/>
    <x v="0"/>
    <n v="853"/>
    <x v="2"/>
    <s v="nivel_ocupados_por_actividad_economica"/>
  </r>
  <r>
    <x v="22"/>
    <x v="22"/>
    <x v="0"/>
    <n v="11435"/>
    <x v="2"/>
    <s v="nivel_ocupados_por_actividad_economica"/>
  </r>
  <r>
    <x v="23"/>
    <x v="23"/>
    <x v="0"/>
    <n v="1339"/>
    <x v="2"/>
    <s v="nivel_ocupados_por_actividad_economica"/>
  </r>
  <r>
    <x v="24"/>
    <x v="24"/>
    <x v="0"/>
    <n v="25787"/>
    <x v="2"/>
    <s v="nivel_ocupados_por_actividad_economica"/>
  </r>
  <r>
    <x v="25"/>
    <x v="25"/>
    <x v="0"/>
    <n v="903"/>
    <x v="2"/>
    <s v="nivel_ocupados_por_actividad_economica"/>
  </r>
  <r>
    <x v="0"/>
    <x v="0"/>
    <x v="1"/>
    <n v="602089"/>
    <x v="2"/>
    <s v="nivel_ocupados_por_actividad_economica"/>
  </r>
  <r>
    <x v="1"/>
    <x v="1"/>
    <x v="1"/>
    <n v="139983"/>
    <x v="2"/>
    <s v="nivel_ocupados_por_actividad_economica"/>
  </r>
  <r>
    <x v="2"/>
    <x v="2"/>
    <x v="1"/>
    <n v="10796"/>
    <x v="2"/>
    <s v="nivel_ocupados_por_actividad_economica"/>
  </r>
  <r>
    <x v="3"/>
    <x v="3"/>
    <x v="1"/>
    <m/>
    <x v="2"/>
    <s v="nivel_ocupados_por_actividad_economica"/>
  </r>
  <r>
    <x v="4"/>
    <x v="4"/>
    <x v="1"/>
    <n v="26141"/>
    <x v="2"/>
    <s v="nivel_ocupados_por_actividad_economica"/>
  </r>
  <r>
    <x v="5"/>
    <x v="5"/>
    <x v="1"/>
    <n v="67442"/>
    <x v="2"/>
    <s v="nivel_ocupados_por_actividad_economica"/>
  </r>
  <r>
    <x v="6"/>
    <x v="6"/>
    <x v="1"/>
    <n v="16040"/>
    <x v="2"/>
    <s v="nivel_ocupados_por_actividad_economica"/>
  </r>
  <r>
    <x v="7"/>
    <x v="7"/>
    <x v="1"/>
    <n v="4386"/>
    <x v="2"/>
    <s v="nivel_ocupados_por_actividad_economica"/>
  </r>
  <r>
    <x v="8"/>
    <x v="8"/>
    <x v="1"/>
    <n v="15574"/>
    <x v="2"/>
    <s v="nivel_ocupados_por_actividad_economica"/>
  </r>
  <r>
    <x v="9"/>
    <x v="9"/>
    <x v="1"/>
    <n v="17388"/>
    <x v="2"/>
    <s v="nivel_ocupados_por_actividad_economica"/>
  </r>
  <r>
    <x v="10"/>
    <x v="10"/>
    <x v="1"/>
    <n v="3822"/>
    <x v="2"/>
    <s v="nivel_ocupados_por_actividad_economica"/>
  </r>
  <r>
    <x v="11"/>
    <x v="11"/>
    <x v="1"/>
    <n v="46793"/>
    <x v="2"/>
    <s v="nivel_ocupados_por_actividad_economica"/>
  </r>
  <r>
    <x v="12"/>
    <x v="12"/>
    <x v="1"/>
    <n v="22525"/>
    <x v="2"/>
    <s v="nivel_ocupados_por_actividad_economica"/>
  </r>
  <r>
    <x v="13"/>
    <x v="13"/>
    <x v="1"/>
    <n v="46499"/>
    <x v="2"/>
    <s v="nivel_ocupados_por_actividad_economica"/>
  </r>
  <r>
    <x v="14"/>
    <x v="14"/>
    <x v="1"/>
    <n v="32763"/>
    <x v="2"/>
    <s v="nivel_ocupados_por_actividad_economica"/>
  </r>
  <r>
    <x v="15"/>
    <x v="15"/>
    <x v="1"/>
    <n v="12432"/>
    <x v="2"/>
    <s v="nivel_ocupados_por_actividad_economica"/>
  </r>
  <r>
    <x v="16"/>
    <x v="16"/>
    <x v="1"/>
    <n v="31735"/>
    <x v="2"/>
    <s v="nivel_ocupados_por_actividad_economica"/>
  </r>
  <r>
    <x v="17"/>
    <x v="17"/>
    <x v="1"/>
    <m/>
    <x v="2"/>
    <s v="nivel_ocupados_por_actividad_economica"/>
  </r>
  <r>
    <x v="18"/>
    <x v="18"/>
    <x v="1"/>
    <n v="18190"/>
    <x v="2"/>
    <s v="nivel_ocupados_por_actividad_economica"/>
  </r>
  <r>
    <x v="19"/>
    <x v="19"/>
    <x v="1"/>
    <n v="15735"/>
    <x v="2"/>
    <s v="nivel_ocupados_por_actividad_economica"/>
  </r>
  <r>
    <x v="20"/>
    <x v="20"/>
    <x v="1"/>
    <n v="11111"/>
    <x v="2"/>
    <s v="nivel_ocupados_por_actividad_economica"/>
  </r>
  <r>
    <x v="21"/>
    <x v="21"/>
    <x v="1"/>
    <n v="5974"/>
    <x v="2"/>
    <s v="nivel_ocupados_por_actividad_economica"/>
  </r>
  <r>
    <x v="22"/>
    <x v="22"/>
    <x v="1"/>
    <n v="18549"/>
    <x v="2"/>
    <s v="nivel_ocupados_por_actividad_economica"/>
  </r>
  <r>
    <x v="23"/>
    <x v="23"/>
    <x v="1"/>
    <n v="38211"/>
    <x v="2"/>
    <s v="nivel_ocupados_por_actividad_economica"/>
  </r>
  <r>
    <x v="24"/>
    <x v="24"/>
    <x v="1"/>
    <m/>
    <x v="2"/>
    <s v="nivel_ocupados_por_actividad_economica"/>
  </r>
  <r>
    <x v="25"/>
    <x v="25"/>
    <x v="1"/>
    <m/>
    <x v="2"/>
    <s v="nivel_ocupados_por_actividad_economica"/>
  </r>
  <r>
    <x v="0"/>
    <x v="0"/>
    <x v="2"/>
    <n v="255840"/>
    <x v="2"/>
    <s v="nivel_ocupados_por_actividad_economica"/>
  </r>
  <r>
    <x v="1"/>
    <x v="1"/>
    <x v="2"/>
    <n v="124042"/>
    <x v="2"/>
    <s v="nivel_ocupados_por_actividad_economica"/>
  </r>
  <r>
    <x v="2"/>
    <x v="2"/>
    <x v="2"/>
    <n v="9075"/>
    <x v="2"/>
    <s v="nivel_ocupados_por_actividad_economica"/>
  </r>
  <r>
    <x v="3"/>
    <x v="3"/>
    <x v="2"/>
    <n v="60"/>
    <x v="2"/>
    <s v="nivel_ocupados_por_actividad_economica"/>
  </r>
  <r>
    <x v="4"/>
    <x v="4"/>
    <x v="2"/>
    <n v="9174"/>
    <x v="2"/>
    <s v="nivel_ocupados_por_actividad_economica"/>
  </r>
  <r>
    <x v="5"/>
    <x v="5"/>
    <x v="2"/>
    <n v="8477"/>
    <x v="2"/>
    <s v="nivel_ocupados_por_actividad_economica"/>
  </r>
  <r>
    <x v="6"/>
    <x v="6"/>
    <x v="2"/>
    <n v="2342"/>
    <x v="2"/>
    <s v="nivel_ocupados_por_actividad_economica"/>
  </r>
  <r>
    <x v="7"/>
    <x v="7"/>
    <x v="2"/>
    <n v="4130"/>
    <x v="2"/>
    <s v="nivel_ocupados_por_actividad_economica"/>
  </r>
  <r>
    <x v="8"/>
    <x v="8"/>
    <x v="2"/>
    <n v="9104"/>
    <x v="2"/>
    <s v="nivel_ocupados_por_actividad_economica"/>
  </r>
  <r>
    <x v="9"/>
    <x v="9"/>
    <x v="2"/>
    <n v="5020"/>
    <x v="2"/>
    <s v="nivel_ocupados_por_actividad_economica"/>
  </r>
  <r>
    <x v="10"/>
    <x v="10"/>
    <x v="2"/>
    <n v="738"/>
    <x v="2"/>
    <s v="nivel_ocupados_por_actividad_economica"/>
  </r>
  <r>
    <x v="11"/>
    <x v="11"/>
    <x v="2"/>
    <n v="9487"/>
    <x v="2"/>
    <s v="nivel_ocupados_por_actividad_economica"/>
  </r>
  <r>
    <x v="12"/>
    <x v="12"/>
    <x v="2"/>
    <n v="6953"/>
    <x v="2"/>
    <s v="nivel_ocupados_por_actividad_economica"/>
  </r>
  <r>
    <x v="13"/>
    <x v="13"/>
    <x v="2"/>
    <n v="16272"/>
    <x v="2"/>
    <s v="nivel_ocupados_por_actividad_economica"/>
  </r>
  <r>
    <x v="14"/>
    <x v="14"/>
    <x v="2"/>
    <n v="10324"/>
    <x v="2"/>
    <s v="nivel_ocupados_por_actividad_economica"/>
  </r>
  <r>
    <x v="15"/>
    <x v="15"/>
    <x v="2"/>
    <n v="7169"/>
    <x v="2"/>
    <s v="nivel_ocupados_por_actividad_economica"/>
  </r>
  <r>
    <x v="16"/>
    <x v="16"/>
    <x v="2"/>
    <n v="7664"/>
    <x v="2"/>
    <s v="nivel_ocupados_por_actividad_economica"/>
  </r>
  <r>
    <x v="17"/>
    <x v="17"/>
    <x v="2"/>
    <n v="2663"/>
    <x v="2"/>
    <s v="nivel_ocupados_por_actividad_economica"/>
  </r>
  <r>
    <x v="18"/>
    <x v="18"/>
    <x v="2"/>
    <n v="5265"/>
    <x v="2"/>
    <s v="nivel_ocupados_por_actividad_economica"/>
  </r>
  <r>
    <x v="19"/>
    <x v="19"/>
    <x v="2"/>
    <n v="1939"/>
    <x v="2"/>
    <s v="nivel_ocupados_por_actividad_economica"/>
  </r>
  <r>
    <x v="20"/>
    <x v="20"/>
    <x v="2"/>
    <n v="2542"/>
    <x v="2"/>
    <s v="nivel_ocupados_por_actividad_economica"/>
  </r>
  <r>
    <x v="21"/>
    <x v="21"/>
    <x v="2"/>
    <n v="2073"/>
    <x v="2"/>
    <s v="nivel_ocupados_por_actividad_economica"/>
  </r>
  <r>
    <x v="22"/>
    <x v="22"/>
    <x v="2"/>
    <n v="4576"/>
    <x v="2"/>
    <s v="nivel_ocupados_por_actividad_economica"/>
  </r>
  <r>
    <x v="23"/>
    <x v="23"/>
    <x v="2"/>
    <n v="5398"/>
    <x v="2"/>
    <s v="nivel_ocupados_por_actividad_economica"/>
  </r>
  <r>
    <x v="24"/>
    <x v="24"/>
    <x v="2"/>
    <n v="1343"/>
    <x v="2"/>
    <s v="nivel_ocupados_por_actividad_economica"/>
  </r>
  <r>
    <x v="25"/>
    <x v="25"/>
    <x v="2"/>
    <m/>
    <x v="2"/>
    <s v="nivel_ocupados_por_actividad_economica"/>
  </r>
  <r>
    <x v="0"/>
    <x v="0"/>
    <x v="5"/>
    <n v="4278409"/>
    <x v="2"/>
    <s v="nivel_ocupados_por_actividad_economica"/>
  </r>
  <r>
    <x v="1"/>
    <x v="1"/>
    <x v="5"/>
    <n v="830544"/>
    <x v="2"/>
    <s v="nivel_ocupados_por_actividad_economica"/>
  </r>
  <r>
    <x v="2"/>
    <x v="2"/>
    <x v="5"/>
    <n v="144859"/>
    <x v="2"/>
    <s v="nivel_ocupados_por_actividad_economica"/>
  </r>
  <r>
    <x v="3"/>
    <x v="3"/>
    <x v="5"/>
    <n v="2131"/>
    <x v="2"/>
    <s v="nivel_ocupados_por_actividad_economica"/>
  </r>
  <r>
    <x v="4"/>
    <x v="4"/>
    <x v="5"/>
    <n v="293092"/>
    <x v="2"/>
    <s v="nivel_ocupados_por_actividad_economica"/>
  </r>
  <r>
    <x v="5"/>
    <x v="5"/>
    <x v="5"/>
    <n v="155105"/>
    <x v="2"/>
    <s v="nivel_ocupados_por_actividad_economica"/>
  </r>
  <r>
    <x v="6"/>
    <x v="6"/>
    <x v="5"/>
    <n v="58368"/>
    <x v="2"/>
    <s v="nivel_ocupados_por_actividad_economica"/>
  </r>
  <r>
    <x v="7"/>
    <x v="7"/>
    <x v="5"/>
    <n v="31103"/>
    <x v="2"/>
    <s v="nivel_ocupados_por_actividad_economica"/>
  </r>
  <r>
    <x v="8"/>
    <x v="8"/>
    <x v="5"/>
    <n v="77185"/>
    <x v="2"/>
    <s v="nivel_ocupados_por_actividad_economica"/>
  </r>
  <r>
    <x v="9"/>
    <x v="9"/>
    <x v="5"/>
    <n v="14041"/>
    <x v="2"/>
    <s v="nivel_ocupados_por_actividad_economica"/>
  </r>
  <r>
    <x v="10"/>
    <x v="10"/>
    <x v="5"/>
    <n v="28578"/>
    <x v="2"/>
    <s v="nivel_ocupados_por_actividad_economica"/>
  </r>
  <r>
    <x v="11"/>
    <x v="11"/>
    <x v="5"/>
    <n v="181139"/>
    <x v="2"/>
    <s v="nivel_ocupados_por_actividad_economica"/>
  </r>
  <r>
    <x v="12"/>
    <x v="12"/>
    <x v="5"/>
    <n v="70730"/>
    <x v="2"/>
    <s v="nivel_ocupados_por_actividad_economica"/>
  </r>
  <r>
    <x v="13"/>
    <x v="13"/>
    <x v="5"/>
    <n v="250318"/>
    <x v="2"/>
    <s v="nivel_ocupados_por_actividad_economica"/>
  </r>
  <r>
    <x v="14"/>
    <x v="14"/>
    <x v="5"/>
    <n v="173191"/>
    <x v="2"/>
    <s v="nivel_ocupados_por_actividad_economica"/>
  </r>
  <r>
    <x v="15"/>
    <x v="15"/>
    <x v="5"/>
    <n v="118038"/>
    <x v="2"/>
    <s v="nivel_ocupados_por_actividad_economica"/>
  </r>
  <r>
    <x v="16"/>
    <x v="16"/>
    <x v="5"/>
    <n v="317843"/>
    <x v="2"/>
    <s v="nivel_ocupados_por_actividad_economica"/>
  </r>
  <r>
    <x v="17"/>
    <x v="17"/>
    <x v="5"/>
    <n v="340483"/>
    <x v="2"/>
    <s v="nivel_ocupados_por_actividad_economica"/>
  </r>
  <r>
    <x v="18"/>
    <x v="18"/>
    <x v="5"/>
    <n v="578569"/>
    <x v="2"/>
    <s v="nivel_ocupados_por_actividad_economica"/>
  </r>
  <r>
    <x v="19"/>
    <x v="19"/>
    <x v="5"/>
    <n v="437243"/>
    <x v="2"/>
    <s v="nivel_ocupados_por_actividad_economica"/>
  </r>
  <r>
    <x v="20"/>
    <x v="20"/>
    <x v="5"/>
    <n v="113533"/>
    <x v="2"/>
    <s v="nivel_ocupados_por_actividad_economica"/>
  </r>
  <r>
    <x v="21"/>
    <x v="21"/>
    <x v="5"/>
    <n v="19226"/>
    <x v="2"/>
    <s v="nivel_ocupados_por_actividad_economica"/>
  </r>
  <r>
    <x v="22"/>
    <x v="22"/>
    <x v="5"/>
    <n v="29565"/>
    <x v="2"/>
    <s v="nivel_ocupados_por_actividad_economica"/>
  </r>
  <r>
    <x v="23"/>
    <x v="23"/>
    <x v="5"/>
    <n v="13525"/>
    <x v="2"/>
    <s v="nivel_ocupados_por_actividad_economica"/>
  </r>
  <r>
    <x v="24"/>
    <x v="24"/>
    <x v="5"/>
    <m/>
    <x v="2"/>
    <s v="nivel_ocupados_por_actividad_economica"/>
  </r>
  <r>
    <x v="25"/>
    <x v="25"/>
    <x v="5"/>
    <m/>
    <x v="2"/>
    <s v="nivel_ocupados_por_actividad_economica"/>
  </r>
  <r>
    <x v="0"/>
    <x v="0"/>
    <x v="3"/>
    <n v="761619"/>
    <x v="2"/>
    <s v="nivel_ocupados_por_actividad_economica"/>
  </r>
  <r>
    <x v="1"/>
    <x v="1"/>
    <x v="3"/>
    <n v="349294"/>
    <x v="2"/>
    <s v="nivel_ocupados_por_actividad_economica"/>
  </r>
  <r>
    <x v="2"/>
    <x v="2"/>
    <x v="3"/>
    <n v="14185"/>
    <x v="2"/>
    <s v="nivel_ocupados_por_actividad_economica"/>
  </r>
  <r>
    <x v="3"/>
    <x v="3"/>
    <x v="3"/>
    <m/>
    <x v="2"/>
    <s v="nivel_ocupados_por_actividad_economica"/>
  </r>
  <r>
    <x v="4"/>
    <x v="4"/>
    <x v="3"/>
    <n v="38888"/>
    <x v="2"/>
    <s v="nivel_ocupados_por_actividad_economica"/>
  </r>
  <r>
    <x v="5"/>
    <x v="5"/>
    <x v="3"/>
    <n v="64024"/>
    <x v="2"/>
    <s v="nivel_ocupados_por_actividad_economica"/>
  </r>
  <r>
    <x v="6"/>
    <x v="6"/>
    <x v="3"/>
    <n v="8377"/>
    <x v="2"/>
    <s v="nivel_ocupados_por_actividad_economica"/>
  </r>
  <r>
    <x v="7"/>
    <x v="7"/>
    <x v="3"/>
    <n v="9307"/>
    <x v="2"/>
    <s v="nivel_ocupados_por_actividad_economica"/>
  </r>
  <r>
    <x v="8"/>
    <x v="8"/>
    <x v="3"/>
    <n v="10157"/>
    <x v="2"/>
    <s v="nivel_ocupados_por_actividad_economica"/>
  </r>
  <r>
    <x v="9"/>
    <x v="9"/>
    <x v="3"/>
    <n v="14827"/>
    <x v="2"/>
    <s v="nivel_ocupados_por_actividad_economica"/>
  </r>
  <r>
    <x v="10"/>
    <x v="10"/>
    <x v="3"/>
    <n v="6263"/>
    <x v="2"/>
    <s v="nivel_ocupados_por_actividad_economica"/>
  </r>
  <r>
    <x v="11"/>
    <x v="11"/>
    <x v="3"/>
    <n v="33696"/>
    <x v="2"/>
    <s v="nivel_ocupados_por_actividad_economica"/>
  </r>
  <r>
    <x v="12"/>
    <x v="12"/>
    <x v="3"/>
    <n v="13970"/>
    <x v="2"/>
    <s v="nivel_ocupados_por_actividad_economica"/>
  </r>
  <r>
    <x v="13"/>
    <x v="13"/>
    <x v="3"/>
    <n v="42360"/>
    <x v="2"/>
    <s v="nivel_ocupados_por_actividad_economica"/>
  </r>
  <r>
    <x v="14"/>
    <x v="14"/>
    <x v="3"/>
    <n v="28758"/>
    <x v="2"/>
    <s v="nivel_ocupados_por_actividad_economica"/>
  </r>
  <r>
    <x v="15"/>
    <x v="15"/>
    <x v="3"/>
    <n v="14337"/>
    <x v="2"/>
    <s v="nivel_ocupados_por_actividad_economica"/>
  </r>
  <r>
    <x v="16"/>
    <x v="16"/>
    <x v="3"/>
    <n v="48188"/>
    <x v="2"/>
    <s v="nivel_ocupados_por_actividad_economica"/>
  </r>
  <r>
    <x v="17"/>
    <x v="17"/>
    <x v="3"/>
    <n v="742"/>
    <x v="2"/>
    <s v="nivel_ocupados_por_actividad_economica"/>
  </r>
  <r>
    <x v="18"/>
    <x v="18"/>
    <x v="3"/>
    <n v="7929"/>
    <x v="2"/>
    <s v="nivel_ocupados_por_actividad_economica"/>
  </r>
  <r>
    <x v="19"/>
    <x v="19"/>
    <x v="3"/>
    <n v="11792"/>
    <x v="2"/>
    <s v="nivel_ocupados_por_actividad_economica"/>
  </r>
  <r>
    <x v="20"/>
    <x v="20"/>
    <x v="3"/>
    <n v="10660"/>
    <x v="2"/>
    <s v="nivel_ocupados_por_actividad_economica"/>
  </r>
  <r>
    <x v="21"/>
    <x v="21"/>
    <x v="3"/>
    <n v="3069"/>
    <x v="2"/>
    <s v="nivel_ocupados_por_actividad_economica"/>
  </r>
  <r>
    <x v="22"/>
    <x v="22"/>
    <x v="3"/>
    <n v="9356"/>
    <x v="2"/>
    <s v="nivel_ocupados_por_actividad_economica"/>
  </r>
  <r>
    <x v="23"/>
    <x v="23"/>
    <x v="3"/>
    <n v="12189"/>
    <x v="2"/>
    <s v="nivel_ocupados_por_actividad_economica"/>
  </r>
  <r>
    <x v="24"/>
    <x v="24"/>
    <x v="3"/>
    <n v="9240"/>
    <x v="2"/>
    <s v="nivel_ocupados_por_actividad_economica"/>
  </r>
  <r>
    <x v="25"/>
    <x v="25"/>
    <x v="3"/>
    <m/>
    <x v="2"/>
    <s v="nivel_ocupados_por_actividad_economica"/>
  </r>
  <r>
    <x v="0"/>
    <x v="0"/>
    <x v="6"/>
    <n v="93087"/>
    <x v="2"/>
    <s v="nivel_ocupados_por_actividad_economica"/>
  </r>
  <r>
    <x v="1"/>
    <x v="1"/>
    <x v="6"/>
    <n v="47751"/>
    <x v="2"/>
    <s v="nivel_ocupados_por_actividad_economica"/>
  </r>
  <r>
    <x v="2"/>
    <x v="2"/>
    <x v="6"/>
    <n v="4318"/>
    <x v="2"/>
    <s v="nivel_ocupados_por_actividad_economica"/>
  </r>
  <r>
    <x v="3"/>
    <x v="3"/>
    <x v="6"/>
    <m/>
    <x v="2"/>
    <s v="nivel_ocupados_por_actividad_economica"/>
  </r>
  <r>
    <x v="4"/>
    <x v="4"/>
    <x v="6"/>
    <n v="1361"/>
    <x v="2"/>
    <s v="nivel_ocupados_por_actividad_economica"/>
  </r>
  <r>
    <x v="5"/>
    <x v="5"/>
    <x v="6"/>
    <n v="1470"/>
    <x v="2"/>
    <s v="nivel_ocupados_por_actividad_economica"/>
  </r>
  <r>
    <x v="6"/>
    <x v="6"/>
    <x v="6"/>
    <n v="3231"/>
    <x v="2"/>
    <s v="nivel_ocupados_por_actividad_economica"/>
  </r>
  <r>
    <x v="7"/>
    <x v="7"/>
    <x v="6"/>
    <n v="2072"/>
    <x v="2"/>
    <s v="nivel_ocupados_por_actividad_economica"/>
  </r>
  <r>
    <x v="8"/>
    <x v="8"/>
    <x v="6"/>
    <n v="2434"/>
    <x v="2"/>
    <s v="nivel_ocupados_por_actividad_economica"/>
  </r>
  <r>
    <x v="9"/>
    <x v="9"/>
    <x v="6"/>
    <n v="2133"/>
    <x v="2"/>
    <s v="nivel_ocupados_por_actividad_economica"/>
  </r>
  <r>
    <x v="10"/>
    <x v="10"/>
    <x v="6"/>
    <n v="1785"/>
    <x v="2"/>
    <s v="nivel_ocupados_por_actividad_economica"/>
  </r>
  <r>
    <x v="11"/>
    <x v="11"/>
    <x v="6"/>
    <n v="4490"/>
    <x v="2"/>
    <s v="nivel_ocupados_por_actividad_economica"/>
  </r>
  <r>
    <x v="12"/>
    <x v="12"/>
    <x v="6"/>
    <n v="4541"/>
    <x v="2"/>
    <s v="nivel_ocupados_por_actividad_economica"/>
  </r>
  <r>
    <x v="13"/>
    <x v="13"/>
    <x v="6"/>
    <n v="3446"/>
    <x v="2"/>
    <s v="nivel_ocupados_por_actividad_economica"/>
  </r>
  <r>
    <x v="14"/>
    <x v="14"/>
    <x v="6"/>
    <n v="2432"/>
    <x v="2"/>
    <s v="nivel_ocupados_por_actividad_economica"/>
  </r>
  <r>
    <x v="15"/>
    <x v="15"/>
    <x v="6"/>
    <n v="700"/>
    <x v="2"/>
    <s v="nivel_ocupados_por_actividad_economica"/>
  </r>
  <r>
    <x v="16"/>
    <x v="16"/>
    <x v="6"/>
    <n v="3145"/>
    <x v="2"/>
    <s v="nivel_ocupados_por_actividad_economica"/>
  </r>
  <r>
    <x v="17"/>
    <x v="17"/>
    <x v="6"/>
    <n v="65"/>
    <x v="2"/>
    <s v="nivel_ocupados_por_actividad_economica"/>
  </r>
  <r>
    <x v="18"/>
    <x v="18"/>
    <x v="6"/>
    <n v="957"/>
    <x v="2"/>
    <s v="nivel_ocupados_por_actividad_economica"/>
  </r>
  <r>
    <x v="19"/>
    <x v="19"/>
    <x v="6"/>
    <n v="194"/>
    <x v="2"/>
    <s v="nivel_ocupados_por_actividad_economica"/>
  </r>
  <r>
    <x v="20"/>
    <x v="20"/>
    <x v="6"/>
    <n v="2803"/>
    <x v="2"/>
    <s v="nivel_ocupados_por_actividad_economica"/>
  </r>
  <r>
    <x v="21"/>
    <x v="21"/>
    <x v="6"/>
    <m/>
    <x v="2"/>
    <s v="nivel_ocupados_por_actividad_economica"/>
  </r>
  <r>
    <x v="22"/>
    <x v="22"/>
    <x v="6"/>
    <n v="1052"/>
    <x v="2"/>
    <s v="nivel_ocupados_por_actividad_economica"/>
  </r>
  <r>
    <x v="23"/>
    <x v="23"/>
    <x v="6"/>
    <n v="570"/>
    <x v="2"/>
    <s v="nivel_ocupados_por_actividad_economica"/>
  </r>
  <r>
    <x v="24"/>
    <x v="24"/>
    <x v="6"/>
    <n v="2127"/>
    <x v="2"/>
    <s v="nivel_ocupados_por_actividad_economica"/>
  </r>
  <r>
    <x v="25"/>
    <x v="25"/>
    <x v="6"/>
    <m/>
    <x v="2"/>
    <s v="nivel_ocupados_por_actividad_economica"/>
  </r>
  <r>
    <x v="0"/>
    <x v="0"/>
    <x v="4"/>
    <n v="5661100"/>
    <x v="3"/>
    <s v="nivel_ocupados_por_actividad_economica"/>
  </r>
  <r>
    <x v="1"/>
    <x v="1"/>
    <x v="4"/>
    <n v="1379421"/>
    <x v="3"/>
    <s v="nivel_ocupados_por_actividad_economica"/>
  </r>
  <r>
    <x v="2"/>
    <x v="2"/>
    <x v="4"/>
    <n v="158777"/>
    <x v="3"/>
    <s v="nivel_ocupados_por_actividad_economica"/>
  </r>
  <r>
    <x v="3"/>
    <x v="3"/>
    <x v="4"/>
    <n v="15334"/>
    <x v="3"/>
    <s v="nivel_ocupados_por_actividad_economica"/>
  </r>
  <r>
    <x v="4"/>
    <x v="4"/>
    <x v="4"/>
    <n v="198248"/>
    <x v="3"/>
    <s v="nivel_ocupados_por_actividad_economica"/>
  </r>
  <r>
    <x v="5"/>
    <x v="5"/>
    <x v="4"/>
    <n v="339308"/>
    <x v="3"/>
    <s v="nivel_ocupados_por_actividad_economica"/>
  </r>
  <r>
    <x v="6"/>
    <x v="6"/>
    <x v="4"/>
    <n v="274894"/>
    <x v="3"/>
    <s v="nivel_ocupados_por_actividad_economica"/>
  </r>
  <r>
    <x v="7"/>
    <x v="7"/>
    <x v="4"/>
    <n v="97845"/>
    <x v="3"/>
    <s v="nivel_ocupados_por_actividad_economica"/>
  </r>
  <r>
    <x v="8"/>
    <x v="8"/>
    <x v="4"/>
    <n v="166100"/>
    <x v="3"/>
    <s v="nivel_ocupados_por_actividad_economica"/>
  </r>
  <r>
    <x v="9"/>
    <x v="9"/>
    <x v="4"/>
    <n v="44471"/>
    <x v="3"/>
    <s v="nivel_ocupados_por_actividad_economica"/>
  </r>
  <r>
    <x v="10"/>
    <x v="10"/>
    <x v="4"/>
    <n v="68585"/>
    <x v="3"/>
    <s v="nivel_ocupados_por_actividad_economica"/>
  </r>
  <r>
    <x v="11"/>
    <x v="11"/>
    <x v="4"/>
    <n v="460662"/>
    <x v="3"/>
    <s v="nivel_ocupados_por_actividad_economica"/>
  </r>
  <r>
    <x v="12"/>
    <x v="12"/>
    <x v="4"/>
    <n v="103706"/>
    <x v="3"/>
    <s v="nivel_ocupados_por_actividad_economica"/>
  </r>
  <r>
    <x v="13"/>
    <x v="13"/>
    <x v="4"/>
    <n v="286973"/>
    <x v="3"/>
    <s v="nivel_ocupados_por_actividad_economica"/>
  </r>
  <r>
    <x v="14"/>
    <x v="14"/>
    <x v="4"/>
    <n v="236461"/>
    <x v="3"/>
    <s v="nivel_ocupados_por_actividad_economica"/>
  </r>
  <r>
    <x v="15"/>
    <x v="15"/>
    <x v="4"/>
    <n v="199799"/>
    <x v="3"/>
    <s v="nivel_ocupados_por_actividad_economica"/>
  </r>
  <r>
    <x v="16"/>
    <x v="16"/>
    <x v="4"/>
    <n v="234512"/>
    <x v="3"/>
    <s v="nivel_ocupados_por_actividad_economica"/>
  </r>
  <r>
    <x v="17"/>
    <x v="17"/>
    <x v="4"/>
    <n v="101865"/>
    <x v="3"/>
    <s v="nivel_ocupados_por_actividad_economica"/>
  </r>
  <r>
    <x v="18"/>
    <x v="18"/>
    <x v="4"/>
    <n v="180890"/>
    <x v="3"/>
    <s v="nivel_ocupados_por_actividad_economica"/>
  </r>
  <r>
    <x v="19"/>
    <x v="19"/>
    <x v="4"/>
    <n v="277842"/>
    <x v="3"/>
    <s v="nivel_ocupados_por_actividad_economica"/>
  </r>
  <r>
    <x v="20"/>
    <x v="20"/>
    <x v="4"/>
    <n v="408222"/>
    <x v="3"/>
    <s v="nivel_ocupados_por_actividad_economica"/>
  </r>
  <r>
    <x v="21"/>
    <x v="21"/>
    <x v="4"/>
    <n v="66735"/>
    <x v="3"/>
    <s v="nivel_ocupados_por_actividad_economica"/>
  </r>
  <r>
    <x v="22"/>
    <x v="22"/>
    <x v="4"/>
    <n v="148702"/>
    <x v="3"/>
    <s v="nivel_ocupados_por_actividad_economica"/>
  </r>
  <r>
    <x v="23"/>
    <x v="23"/>
    <x v="4"/>
    <n v="102810"/>
    <x v="3"/>
    <s v="nivel_ocupados_por_actividad_economica"/>
  </r>
  <r>
    <x v="24"/>
    <x v="24"/>
    <x v="4"/>
    <n v="108938"/>
    <x v="3"/>
    <s v="nivel_ocupados_por_actividad_economica"/>
  </r>
  <r>
    <x v="25"/>
    <x v="25"/>
    <x v="4"/>
    <m/>
    <x v="3"/>
    <s v="nivel_ocupados_por_actividad_economica"/>
  </r>
  <r>
    <x v="0"/>
    <x v="0"/>
    <x v="0"/>
    <n v="486263"/>
    <x v="3"/>
    <s v="nivel_ocupados_por_actividad_economica"/>
  </r>
  <r>
    <x v="1"/>
    <x v="1"/>
    <x v="0"/>
    <n v="167758"/>
    <x v="3"/>
    <s v="nivel_ocupados_por_actividad_economica"/>
  </r>
  <r>
    <x v="2"/>
    <x v="2"/>
    <x v="0"/>
    <n v="22664"/>
    <x v="3"/>
    <s v="nivel_ocupados_por_actividad_economica"/>
  </r>
  <r>
    <x v="3"/>
    <x v="3"/>
    <x v="0"/>
    <m/>
    <x v="3"/>
    <s v="nivel_ocupados_por_actividad_economica"/>
  </r>
  <r>
    <x v="4"/>
    <x v="4"/>
    <x v="0"/>
    <n v="4548"/>
    <x v="3"/>
    <s v="nivel_ocupados_por_actividad_economica"/>
  </r>
  <r>
    <x v="5"/>
    <x v="5"/>
    <x v="0"/>
    <n v="6673"/>
    <x v="3"/>
    <s v="nivel_ocupados_por_actividad_economica"/>
  </r>
  <r>
    <x v="6"/>
    <x v="6"/>
    <x v="0"/>
    <n v="5140"/>
    <x v="3"/>
    <s v="nivel_ocupados_por_actividad_economica"/>
  </r>
  <r>
    <x v="7"/>
    <x v="7"/>
    <x v="0"/>
    <n v="29459"/>
    <x v="3"/>
    <s v="nivel_ocupados_por_actividad_economica"/>
  </r>
  <r>
    <x v="8"/>
    <x v="8"/>
    <x v="0"/>
    <n v="25948"/>
    <x v="3"/>
    <s v="nivel_ocupados_por_actividad_economica"/>
  </r>
  <r>
    <x v="9"/>
    <x v="9"/>
    <x v="0"/>
    <n v="8049"/>
    <x v="3"/>
    <s v="nivel_ocupados_por_actividad_economica"/>
  </r>
  <r>
    <x v="10"/>
    <x v="10"/>
    <x v="0"/>
    <m/>
    <x v="3"/>
    <s v="nivel_ocupados_por_actividad_economica"/>
  </r>
  <r>
    <x v="11"/>
    <x v="11"/>
    <x v="0"/>
    <n v="28315"/>
    <x v="3"/>
    <s v="nivel_ocupados_por_actividad_economica"/>
  </r>
  <r>
    <x v="12"/>
    <x v="12"/>
    <x v="0"/>
    <n v="13914"/>
    <x v="3"/>
    <s v="nivel_ocupados_por_actividad_economica"/>
  </r>
  <r>
    <x v="13"/>
    <x v="13"/>
    <x v="0"/>
    <n v="28173"/>
    <x v="3"/>
    <s v="nivel_ocupados_por_actividad_economica"/>
  </r>
  <r>
    <x v="14"/>
    <x v="14"/>
    <x v="0"/>
    <n v="20455"/>
    <x v="3"/>
    <s v="nivel_ocupados_por_actividad_economica"/>
  </r>
  <r>
    <x v="15"/>
    <x v="15"/>
    <x v="0"/>
    <n v="7855"/>
    <x v="3"/>
    <s v="nivel_ocupados_por_actividad_economica"/>
  </r>
  <r>
    <x v="16"/>
    <x v="16"/>
    <x v="0"/>
    <n v="33199"/>
    <x v="3"/>
    <s v="nivel_ocupados_por_actividad_economica"/>
  </r>
  <r>
    <x v="17"/>
    <x v="17"/>
    <x v="0"/>
    <n v="1777"/>
    <x v="3"/>
    <s v="nivel_ocupados_por_actividad_economica"/>
  </r>
  <r>
    <x v="18"/>
    <x v="18"/>
    <x v="0"/>
    <n v="9217"/>
    <x v="3"/>
    <s v="nivel_ocupados_por_actividad_economica"/>
  </r>
  <r>
    <x v="19"/>
    <x v="19"/>
    <x v="0"/>
    <n v="11341"/>
    <x v="3"/>
    <s v="nivel_ocupados_por_actividad_economica"/>
  </r>
  <r>
    <x v="20"/>
    <x v="20"/>
    <x v="0"/>
    <n v="1538"/>
    <x v="3"/>
    <s v="nivel_ocupados_por_actividad_economica"/>
  </r>
  <r>
    <x v="21"/>
    <x v="21"/>
    <x v="0"/>
    <n v="929"/>
    <x v="3"/>
    <s v="nivel_ocupados_por_actividad_economica"/>
  </r>
  <r>
    <x v="22"/>
    <x v="22"/>
    <x v="0"/>
    <n v="11033"/>
    <x v="3"/>
    <s v="nivel_ocupados_por_actividad_economica"/>
  </r>
  <r>
    <x v="23"/>
    <x v="23"/>
    <x v="0"/>
    <n v="1350"/>
    <x v="3"/>
    <s v="nivel_ocupados_por_actividad_economica"/>
  </r>
  <r>
    <x v="24"/>
    <x v="24"/>
    <x v="0"/>
    <n v="29003"/>
    <x v="3"/>
    <s v="nivel_ocupados_por_actividad_economica"/>
  </r>
  <r>
    <x v="25"/>
    <x v="25"/>
    <x v="0"/>
    <n v="17925"/>
    <x v="3"/>
    <s v="nivel_ocupados_por_actividad_economica"/>
  </r>
  <r>
    <x v="0"/>
    <x v="0"/>
    <x v="1"/>
    <n v="600663"/>
    <x v="3"/>
    <s v="nivel_ocupados_por_actividad_economica"/>
  </r>
  <r>
    <x v="1"/>
    <x v="1"/>
    <x v="1"/>
    <n v="142268"/>
    <x v="3"/>
    <s v="nivel_ocupados_por_actividad_economica"/>
  </r>
  <r>
    <x v="2"/>
    <x v="2"/>
    <x v="1"/>
    <n v="11366"/>
    <x v="3"/>
    <s v="nivel_ocupados_por_actividad_economica"/>
  </r>
  <r>
    <x v="3"/>
    <x v="3"/>
    <x v="1"/>
    <m/>
    <x v="3"/>
    <s v="nivel_ocupados_por_actividad_economica"/>
  </r>
  <r>
    <x v="4"/>
    <x v="4"/>
    <x v="1"/>
    <n v="26461"/>
    <x v="3"/>
    <s v="nivel_ocupados_por_actividad_economica"/>
  </r>
  <r>
    <x v="5"/>
    <x v="5"/>
    <x v="1"/>
    <n v="65878"/>
    <x v="3"/>
    <s v="nivel_ocupados_por_actividad_economica"/>
  </r>
  <r>
    <x v="6"/>
    <x v="6"/>
    <x v="1"/>
    <n v="14677"/>
    <x v="3"/>
    <s v="nivel_ocupados_por_actividad_economica"/>
  </r>
  <r>
    <x v="7"/>
    <x v="7"/>
    <x v="1"/>
    <n v="4095"/>
    <x v="3"/>
    <s v="nivel_ocupados_por_actividad_economica"/>
  </r>
  <r>
    <x v="8"/>
    <x v="8"/>
    <x v="1"/>
    <n v="15663"/>
    <x v="3"/>
    <s v="nivel_ocupados_por_actividad_economica"/>
  </r>
  <r>
    <x v="9"/>
    <x v="9"/>
    <x v="1"/>
    <n v="17443"/>
    <x v="3"/>
    <s v="nivel_ocupados_por_actividad_economica"/>
  </r>
  <r>
    <x v="10"/>
    <x v="10"/>
    <x v="1"/>
    <n v="3787"/>
    <x v="3"/>
    <s v="nivel_ocupados_por_actividad_economica"/>
  </r>
  <r>
    <x v="11"/>
    <x v="11"/>
    <x v="1"/>
    <n v="49077"/>
    <x v="3"/>
    <s v="nivel_ocupados_por_actividad_economica"/>
  </r>
  <r>
    <x v="12"/>
    <x v="12"/>
    <x v="1"/>
    <n v="23393"/>
    <x v="3"/>
    <s v="nivel_ocupados_por_actividad_economica"/>
  </r>
  <r>
    <x v="13"/>
    <x v="13"/>
    <x v="1"/>
    <n v="46763"/>
    <x v="3"/>
    <s v="nivel_ocupados_por_actividad_economica"/>
  </r>
  <r>
    <x v="14"/>
    <x v="14"/>
    <x v="1"/>
    <n v="31566"/>
    <x v="3"/>
    <s v="nivel_ocupados_por_actividad_economica"/>
  </r>
  <r>
    <x v="15"/>
    <x v="15"/>
    <x v="1"/>
    <n v="12322"/>
    <x v="3"/>
    <s v="nivel_ocupados_por_actividad_economica"/>
  </r>
  <r>
    <x v="16"/>
    <x v="16"/>
    <x v="1"/>
    <n v="29813"/>
    <x v="3"/>
    <s v="nivel_ocupados_por_actividad_economica"/>
  </r>
  <r>
    <x v="17"/>
    <x v="17"/>
    <x v="1"/>
    <m/>
    <x v="3"/>
    <s v="nivel_ocupados_por_actividad_economica"/>
  </r>
  <r>
    <x v="18"/>
    <x v="18"/>
    <x v="1"/>
    <n v="17641"/>
    <x v="3"/>
    <s v="nivel_ocupados_por_actividad_economica"/>
  </r>
  <r>
    <x v="19"/>
    <x v="19"/>
    <x v="1"/>
    <n v="15241"/>
    <x v="3"/>
    <s v="nivel_ocupados_por_actividad_economica"/>
  </r>
  <r>
    <x v="20"/>
    <x v="20"/>
    <x v="1"/>
    <n v="12236"/>
    <x v="3"/>
    <s v="nivel_ocupados_por_actividad_economica"/>
  </r>
  <r>
    <x v="21"/>
    <x v="21"/>
    <x v="1"/>
    <n v="5644"/>
    <x v="3"/>
    <s v="nivel_ocupados_por_actividad_economica"/>
  </r>
  <r>
    <x v="22"/>
    <x v="22"/>
    <x v="1"/>
    <n v="18286"/>
    <x v="3"/>
    <s v="nivel_ocupados_por_actividad_economica"/>
  </r>
  <r>
    <x v="23"/>
    <x v="23"/>
    <x v="1"/>
    <n v="37043"/>
    <x v="3"/>
    <s v="nivel_ocupados_por_actividad_economica"/>
  </r>
  <r>
    <x v="24"/>
    <x v="24"/>
    <x v="1"/>
    <m/>
    <x v="3"/>
    <s v="nivel_ocupados_por_actividad_economica"/>
  </r>
  <r>
    <x v="25"/>
    <x v="25"/>
    <x v="1"/>
    <m/>
    <x v="3"/>
    <s v="nivel_ocupados_por_actividad_economica"/>
  </r>
  <r>
    <x v="0"/>
    <x v="0"/>
    <x v="2"/>
    <n v="241097"/>
    <x v="3"/>
    <s v="nivel_ocupados_por_actividad_economica"/>
  </r>
  <r>
    <x v="1"/>
    <x v="1"/>
    <x v="2"/>
    <n v="112738"/>
    <x v="3"/>
    <s v="nivel_ocupados_por_actividad_economica"/>
  </r>
  <r>
    <x v="2"/>
    <x v="2"/>
    <x v="2"/>
    <n v="7352"/>
    <x v="3"/>
    <s v="nivel_ocupados_por_actividad_economica"/>
  </r>
  <r>
    <x v="3"/>
    <x v="3"/>
    <x v="2"/>
    <n v="46"/>
    <x v="3"/>
    <s v="nivel_ocupados_por_actividad_economica"/>
  </r>
  <r>
    <x v="4"/>
    <x v="4"/>
    <x v="2"/>
    <n v="7545"/>
    <x v="3"/>
    <s v="nivel_ocupados_por_actividad_economica"/>
  </r>
  <r>
    <x v="5"/>
    <x v="5"/>
    <x v="2"/>
    <n v="8090"/>
    <x v="3"/>
    <s v="nivel_ocupados_por_actividad_economica"/>
  </r>
  <r>
    <x v="6"/>
    <x v="6"/>
    <x v="2"/>
    <n v="3427"/>
    <x v="3"/>
    <s v="nivel_ocupados_por_actividad_economica"/>
  </r>
  <r>
    <x v="7"/>
    <x v="7"/>
    <x v="2"/>
    <n v="4989"/>
    <x v="3"/>
    <s v="nivel_ocupados_por_actividad_economica"/>
  </r>
  <r>
    <x v="8"/>
    <x v="8"/>
    <x v="2"/>
    <n v="8840"/>
    <x v="3"/>
    <s v="nivel_ocupados_por_actividad_economica"/>
  </r>
  <r>
    <x v="9"/>
    <x v="9"/>
    <x v="2"/>
    <n v="5110"/>
    <x v="3"/>
    <s v="nivel_ocupados_por_actividad_economica"/>
  </r>
  <r>
    <x v="10"/>
    <x v="10"/>
    <x v="2"/>
    <n v="1811"/>
    <x v="3"/>
    <s v="nivel_ocupados_por_actividad_economica"/>
  </r>
  <r>
    <x v="11"/>
    <x v="11"/>
    <x v="2"/>
    <n v="9271"/>
    <x v="3"/>
    <s v="nivel_ocupados_por_actividad_economica"/>
  </r>
  <r>
    <x v="12"/>
    <x v="12"/>
    <x v="2"/>
    <n v="7479"/>
    <x v="3"/>
    <s v="nivel_ocupados_por_actividad_economica"/>
  </r>
  <r>
    <x v="13"/>
    <x v="13"/>
    <x v="2"/>
    <n v="16732"/>
    <x v="3"/>
    <s v="nivel_ocupados_por_actividad_economica"/>
  </r>
  <r>
    <x v="14"/>
    <x v="14"/>
    <x v="2"/>
    <n v="9531"/>
    <x v="3"/>
    <s v="nivel_ocupados_por_actividad_economica"/>
  </r>
  <r>
    <x v="15"/>
    <x v="15"/>
    <x v="2"/>
    <n v="5464"/>
    <x v="3"/>
    <s v="nivel_ocupados_por_actividad_economica"/>
  </r>
  <r>
    <x v="16"/>
    <x v="16"/>
    <x v="2"/>
    <n v="8797"/>
    <x v="3"/>
    <s v="nivel_ocupados_por_actividad_economica"/>
  </r>
  <r>
    <x v="17"/>
    <x v="17"/>
    <x v="2"/>
    <n v="625"/>
    <x v="3"/>
    <s v="nivel_ocupados_por_actividad_economica"/>
  </r>
  <r>
    <x v="18"/>
    <x v="18"/>
    <x v="2"/>
    <n v="6751"/>
    <x v="3"/>
    <s v="nivel_ocupados_por_actividad_economica"/>
  </r>
  <r>
    <x v="19"/>
    <x v="19"/>
    <x v="2"/>
    <n v="1275"/>
    <x v="3"/>
    <s v="nivel_ocupados_por_actividad_economica"/>
  </r>
  <r>
    <x v="20"/>
    <x v="20"/>
    <x v="2"/>
    <n v="6670"/>
    <x v="3"/>
    <s v="nivel_ocupados_por_actividad_economica"/>
  </r>
  <r>
    <x v="21"/>
    <x v="21"/>
    <x v="2"/>
    <n v="1402"/>
    <x v="3"/>
    <s v="nivel_ocupados_por_actividad_economica"/>
  </r>
  <r>
    <x v="22"/>
    <x v="22"/>
    <x v="2"/>
    <n v="4955"/>
    <x v="3"/>
    <s v="nivel_ocupados_por_actividad_economica"/>
  </r>
  <r>
    <x v="23"/>
    <x v="23"/>
    <x v="2"/>
    <n v="459"/>
    <x v="3"/>
    <s v="nivel_ocupados_por_actividad_economica"/>
  </r>
  <r>
    <x v="24"/>
    <x v="24"/>
    <x v="2"/>
    <n v="1730"/>
    <x v="3"/>
    <s v="nivel_ocupados_por_actividad_economica"/>
  </r>
  <r>
    <x v="25"/>
    <x v="25"/>
    <x v="2"/>
    <m/>
    <x v="3"/>
    <s v="nivel_ocupados_por_actividad_economica"/>
  </r>
  <r>
    <x v="0"/>
    <x v="0"/>
    <x v="5"/>
    <n v="4343319"/>
    <x v="3"/>
    <s v="nivel_ocupados_por_actividad_economica"/>
  </r>
  <r>
    <x v="1"/>
    <x v="1"/>
    <x v="5"/>
    <n v="832902"/>
    <x v="3"/>
    <s v="nivel_ocupados_por_actividad_economica"/>
  </r>
  <r>
    <x v="2"/>
    <x v="2"/>
    <x v="5"/>
    <n v="146372"/>
    <x v="3"/>
    <s v="nivel_ocupados_por_actividad_economica"/>
  </r>
  <r>
    <x v="3"/>
    <x v="3"/>
    <x v="5"/>
    <n v="2313"/>
    <x v="3"/>
    <s v="nivel_ocupados_por_actividad_economica"/>
  </r>
  <r>
    <x v="4"/>
    <x v="4"/>
    <x v="5"/>
    <n v="295986"/>
    <x v="3"/>
    <s v="nivel_ocupados_por_actividad_economica"/>
  </r>
  <r>
    <x v="5"/>
    <x v="5"/>
    <x v="5"/>
    <n v="152060"/>
    <x v="3"/>
    <s v="nivel_ocupados_por_actividad_economica"/>
  </r>
  <r>
    <x v="6"/>
    <x v="6"/>
    <x v="5"/>
    <n v="72175"/>
    <x v="3"/>
    <s v="nivel_ocupados_por_actividad_economica"/>
  </r>
  <r>
    <x v="7"/>
    <x v="7"/>
    <x v="5"/>
    <n v="30191"/>
    <x v="3"/>
    <s v="nivel_ocupados_por_actividad_economica"/>
  </r>
  <r>
    <x v="8"/>
    <x v="8"/>
    <x v="5"/>
    <n v="78204"/>
    <x v="3"/>
    <s v="nivel_ocupados_por_actividad_economica"/>
  </r>
  <r>
    <x v="9"/>
    <x v="9"/>
    <x v="5"/>
    <n v="14521"/>
    <x v="3"/>
    <s v="nivel_ocupados_por_actividad_economica"/>
  </r>
  <r>
    <x v="10"/>
    <x v="10"/>
    <x v="5"/>
    <n v="27306"/>
    <x v="3"/>
    <s v="nivel_ocupados_por_actividad_economica"/>
  </r>
  <r>
    <x v="11"/>
    <x v="11"/>
    <x v="5"/>
    <n v="184074"/>
    <x v="3"/>
    <s v="nivel_ocupados_por_actividad_economica"/>
  </r>
  <r>
    <x v="12"/>
    <x v="12"/>
    <x v="5"/>
    <n v="71986"/>
    <x v="3"/>
    <s v="nivel_ocupados_por_actividad_economica"/>
  </r>
  <r>
    <x v="13"/>
    <x v="13"/>
    <x v="5"/>
    <n v="256784"/>
    <x v="3"/>
    <s v="nivel_ocupados_por_actividad_economica"/>
  </r>
  <r>
    <x v="14"/>
    <x v="14"/>
    <x v="5"/>
    <n v="171479"/>
    <x v="3"/>
    <s v="nivel_ocupados_por_actividad_economica"/>
  </r>
  <r>
    <x v="15"/>
    <x v="15"/>
    <x v="5"/>
    <n v="119262"/>
    <x v="3"/>
    <s v="nivel_ocupados_por_actividad_economica"/>
  </r>
  <r>
    <x v="16"/>
    <x v="16"/>
    <x v="5"/>
    <n v="319739"/>
    <x v="3"/>
    <s v="nivel_ocupados_por_actividad_economica"/>
  </r>
  <r>
    <x v="17"/>
    <x v="17"/>
    <x v="5"/>
    <n v="353822"/>
    <x v="3"/>
    <s v="nivel_ocupados_por_actividad_economica"/>
  </r>
  <r>
    <x v="18"/>
    <x v="18"/>
    <x v="5"/>
    <n v="582995"/>
    <x v="3"/>
    <s v="nivel_ocupados_por_actividad_economica"/>
  </r>
  <r>
    <x v="19"/>
    <x v="19"/>
    <x v="5"/>
    <n v="444514"/>
    <x v="3"/>
    <s v="nivel_ocupados_por_actividad_economica"/>
  </r>
  <r>
    <x v="20"/>
    <x v="20"/>
    <x v="5"/>
    <n v="119758"/>
    <x v="3"/>
    <s v="nivel_ocupados_por_actividad_economica"/>
  </r>
  <r>
    <x v="21"/>
    <x v="21"/>
    <x v="5"/>
    <n v="23541"/>
    <x v="3"/>
    <s v="nivel_ocupados_por_actividad_economica"/>
  </r>
  <r>
    <x v="22"/>
    <x v="22"/>
    <x v="5"/>
    <n v="28996"/>
    <x v="3"/>
    <s v="nivel_ocupados_por_actividad_economica"/>
  </r>
  <r>
    <x v="23"/>
    <x v="23"/>
    <x v="5"/>
    <n v="14339"/>
    <x v="3"/>
    <s v="nivel_ocupados_por_actividad_economica"/>
  </r>
  <r>
    <x v="24"/>
    <x v="24"/>
    <x v="5"/>
    <m/>
    <x v="3"/>
    <s v="nivel_ocupados_por_actividad_economica"/>
  </r>
  <r>
    <x v="25"/>
    <x v="25"/>
    <x v="5"/>
    <m/>
    <x v="3"/>
    <s v="nivel_ocupados_por_actividad_economica"/>
  </r>
  <r>
    <x v="0"/>
    <x v="0"/>
    <x v="3"/>
    <m/>
    <x v="3"/>
    <s v="nivel_ocupados_por_actividad_economica"/>
  </r>
  <r>
    <x v="1"/>
    <x v="1"/>
    <x v="3"/>
    <m/>
    <x v="3"/>
    <s v="nivel_ocupados_por_actividad_economica"/>
  </r>
  <r>
    <x v="2"/>
    <x v="2"/>
    <x v="3"/>
    <m/>
    <x v="3"/>
    <s v="nivel_ocupados_por_actividad_economica"/>
  </r>
  <r>
    <x v="3"/>
    <x v="3"/>
    <x v="3"/>
    <m/>
    <x v="3"/>
    <s v="nivel_ocupados_por_actividad_economica"/>
  </r>
  <r>
    <x v="4"/>
    <x v="4"/>
    <x v="3"/>
    <m/>
    <x v="3"/>
    <s v="nivel_ocupados_por_actividad_economica"/>
  </r>
  <r>
    <x v="5"/>
    <x v="5"/>
    <x v="3"/>
    <m/>
    <x v="3"/>
    <s v="nivel_ocupados_por_actividad_economica"/>
  </r>
  <r>
    <x v="6"/>
    <x v="6"/>
    <x v="3"/>
    <m/>
    <x v="3"/>
    <s v="nivel_ocupados_por_actividad_economica"/>
  </r>
  <r>
    <x v="7"/>
    <x v="7"/>
    <x v="3"/>
    <m/>
    <x v="3"/>
    <s v="nivel_ocupados_por_actividad_economica"/>
  </r>
  <r>
    <x v="8"/>
    <x v="8"/>
    <x v="3"/>
    <m/>
    <x v="3"/>
    <s v="nivel_ocupados_por_actividad_economica"/>
  </r>
  <r>
    <x v="9"/>
    <x v="9"/>
    <x v="3"/>
    <m/>
    <x v="3"/>
    <s v="nivel_ocupados_por_actividad_economica"/>
  </r>
  <r>
    <x v="10"/>
    <x v="10"/>
    <x v="3"/>
    <m/>
    <x v="3"/>
    <s v="nivel_ocupados_por_actividad_economica"/>
  </r>
  <r>
    <x v="11"/>
    <x v="11"/>
    <x v="3"/>
    <m/>
    <x v="3"/>
    <s v="nivel_ocupados_por_actividad_economica"/>
  </r>
  <r>
    <x v="12"/>
    <x v="12"/>
    <x v="3"/>
    <m/>
    <x v="3"/>
    <s v="nivel_ocupados_por_actividad_economica"/>
  </r>
  <r>
    <x v="13"/>
    <x v="13"/>
    <x v="3"/>
    <m/>
    <x v="3"/>
    <s v="nivel_ocupados_por_actividad_economica"/>
  </r>
  <r>
    <x v="14"/>
    <x v="14"/>
    <x v="3"/>
    <m/>
    <x v="3"/>
    <s v="nivel_ocupados_por_actividad_economica"/>
  </r>
  <r>
    <x v="15"/>
    <x v="15"/>
    <x v="3"/>
    <m/>
    <x v="3"/>
    <s v="nivel_ocupados_por_actividad_economica"/>
  </r>
  <r>
    <x v="16"/>
    <x v="16"/>
    <x v="3"/>
    <m/>
    <x v="3"/>
    <s v="nivel_ocupados_por_actividad_economica"/>
  </r>
  <r>
    <x v="17"/>
    <x v="17"/>
    <x v="3"/>
    <m/>
    <x v="3"/>
    <s v="nivel_ocupados_por_actividad_economica"/>
  </r>
  <r>
    <x v="18"/>
    <x v="18"/>
    <x v="3"/>
    <m/>
    <x v="3"/>
    <s v="nivel_ocupados_por_actividad_economica"/>
  </r>
  <r>
    <x v="19"/>
    <x v="19"/>
    <x v="3"/>
    <m/>
    <x v="3"/>
    <s v="nivel_ocupados_por_actividad_economica"/>
  </r>
  <r>
    <x v="20"/>
    <x v="20"/>
    <x v="3"/>
    <m/>
    <x v="3"/>
    <s v="nivel_ocupados_por_actividad_economica"/>
  </r>
  <r>
    <x v="21"/>
    <x v="21"/>
    <x v="3"/>
    <m/>
    <x v="3"/>
    <s v="nivel_ocupados_por_actividad_economica"/>
  </r>
  <r>
    <x v="22"/>
    <x v="22"/>
    <x v="3"/>
    <m/>
    <x v="3"/>
    <s v="nivel_ocupados_por_actividad_economica"/>
  </r>
  <r>
    <x v="23"/>
    <x v="23"/>
    <x v="3"/>
    <m/>
    <x v="3"/>
    <s v="nivel_ocupados_por_actividad_economica"/>
  </r>
  <r>
    <x v="24"/>
    <x v="24"/>
    <x v="3"/>
    <m/>
    <x v="3"/>
    <s v="nivel_ocupados_por_actividad_economica"/>
  </r>
  <r>
    <x v="25"/>
    <x v="25"/>
    <x v="3"/>
    <m/>
    <x v="3"/>
    <s v="nivel_ocupados_por_actividad_economica"/>
  </r>
  <r>
    <x v="0"/>
    <x v="0"/>
    <x v="6"/>
    <n v="85923"/>
    <x v="3"/>
    <s v="nivel_ocupados_por_actividad_economica"/>
  </r>
  <r>
    <x v="1"/>
    <x v="1"/>
    <x v="6"/>
    <n v="45433"/>
    <x v="3"/>
    <s v="nivel_ocupados_por_actividad_economica"/>
  </r>
  <r>
    <x v="2"/>
    <x v="2"/>
    <x v="6"/>
    <n v="4256"/>
    <x v="3"/>
    <s v="nivel_ocupados_por_actividad_economica"/>
  </r>
  <r>
    <x v="3"/>
    <x v="3"/>
    <x v="6"/>
    <m/>
    <x v="3"/>
    <s v="nivel_ocupados_por_actividad_economica"/>
  </r>
  <r>
    <x v="4"/>
    <x v="4"/>
    <x v="6"/>
    <n v="1200"/>
    <x v="3"/>
    <s v="nivel_ocupados_por_actividad_economica"/>
  </r>
  <r>
    <x v="5"/>
    <x v="5"/>
    <x v="6"/>
    <n v="1164"/>
    <x v="3"/>
    <s v="nivel_ocupados_por_actividad_economica"/>
  </r>
  <r>
    <x v="6"/>
    <x v="6"/>
    <x v="6"/>
    <n v="3173"/>
    <x v="3"/>
    <s v="nivel_ocupados_por_actividad_economica"/>
  </r>
  <r>
    <x v="7"/>
    <x v="7"/>
    <x v="6"/>
    <n v="1586"/>
    <x v="3"/>
    <s v="nivel_ocupados_por_actividad_economica"/>
  </r>
  <r>
    <x v="8"/>
    <x v="8"/>
    <x v="6"/>
    <n v="1855"/>
    <x v="3"/>
    <s v="nivel_ocupados_por_actividad_economica"/>
  </r>
  <r>
    <x v="9"/>
    <x v="9"/>
    <x v="6"/>
    <n v="2255"/>
    <x v="3"/>
    <s v="nivel_ocupados_por_actividad_economica"/>
  </r>
  <r>
    <x v="10"/>
    <x v="10"/>
    <x v="6"/>
    <n v="1308"/>
    <x v="3"/>
    <s v="nivel_ocupados_por_actividad_economica"/>
  </r>
  <r>
    <x v="11"/>
    <x v="11"/>
    <x v="6"/>
    <n v="4170"/>
    <x v="3"/>
    <s v="nivel_ocupados_por_actividad_economica"/>
  </r>
  <r>
    <x v="12"/>
    <x v="12"/>
    <x v="6"/>
    <n v="4207"/>
    <x v="3"/>
    <s v="nivel_ocupados_por_actividad_economica"/>
  </r>
  <r>
    <x v="13"/>
    <x v="13"/>
    <x v="6"/>
    <n v="3051"/>
    <x v="3"/>
    <s v="nivel_ocupados_por_actividad_economica"/>
  </r>
  <r>
    <x v="14"/>
    <x v="14"/>
    <x v="6"/>
    <n v="2369"/>
    <x v="3"/>
    <s v="nivel_ocupados_por_actividad_economica"/>
  </r>
  <r>
    <x v="15"/>
    <x v="15"/>
    <x v="6"/>
    <n v="676"/>
    <x v="3"/>
    <s v="nivel_ocupados_por_actividad_economica"/>
  </r>
  <r>
    <x v="16"/>
    <x v="16"/>
    <x v="6"/>
    <n v="2836"/>
    <x v="3"/>
    <s v="nivel_ocupados_por_actividad_economica"/>
  </r>
  <r>
    <x v="17"/>
    <x v="17"/>
    <x v="6"/>
    <n v="79"/>
    <x v="3"/>
    <s v="nivel_ocupados_por_actividad_economica"/>
  </r>
  <r>
    <x v="18"/>
    <x v="18"/>
    <x v="6"/>
    <n v="811"/>
    <x v="3"/>
    <s v="nivel_ocupados_por_actividad_economica"/>
  </r>
  <r>
    <x v="19"/>
    <x v="19"/>
    <x v="6"/>
    <n v="87"/>
    <x v="3"/>
    <s v="nivel_ocupados_por_actividad_economica"/>
  </r>
  <r>
    <x v="20"/>
    <x v="20"/>
    <x v="6"/>
    <n v="2553"/>
    <x v="3"/>
    <s v="nivel_ocupados_por_actividad_economica"/>
  </r>
  <r>
    <x v="21"/>
    <x v="21"/>
    <x v="6"/>
    <m/>
    <x v="3"/>
    <s v="nivel_ocupados_por_actividad_economica"/>
  </r>
  <r>
    <x v="22"/>
    <x v="22"/>
    <x v="6"/>
    <n v="848"/>
    <x v="3"/>
    <s v="nivel_ocupados_por_actividad_economica"/>
  </r>
  <r>
    <x v="23"/>
    <x v="23"/>
    <x v="6"/>
    <n v="494"/>
    <x v="3"/>
    <s v="nivel_ocupados_por_actividad_economica"/>
  </r>
  <r>
    <x v="24"/>
    <x v="24"/>
    <x v="6"/>
    <n v="1503"/>
    <x v="3"/>
    <s v="nivel_ocupados_por_actividad_economica"/>
  </r>
  <r>
    <x v="25"/>
    <x v="25"/>
    <x v="6"/>
    <m/>
    <x v="3"/>
    <s v="nivel_ocupados_por_actividad_economica"/>
  </r>
  <r>
    <x v="0"/>
    <x v="0"/>
    <x v="4"/>
    <n v="5767790"/>
    <x v="4"/>
    <s v="nivel_ocupados_por_actividad_economica"/>
  </r>
  <r>
    <x v="1"/>
    <x v="1"/>
    <x v="4"/>
    <n v="1528892"/>
    <x v="4"/>
    <s v="nivel_ocupados_por_actividad_economica"/>
  </r>
  <r>
    <x v="2"/>
    <x v="2"/>
    <x v="4"/>
    <n v="155006"/>
    <x v="4"/>
    <s v="nivel_ocupados_por_actividad_economica"/>
  </r>
  <r>
    <x v="3"/>
    <x v="3"/>
    <x v="4"/>
    <n v="15626"/>
    <x v="4"/>
    <s v="nivel_ocupados_por_actividad_economica"/>
  </r>
  <r>
    <x v="4"/>
    <x v="4"/>
    <x v="4"/>
    <n v="202051"/>
    <x v="4"/>
    <s v="nivel_ocupados_por_actividad_economica"/>
  </r>
  <r>
    <x v="5"/>
    <x v="5"/>
    <x v="4"/>
    <n v="305799"/>
    <x v="4"/>
    <s v="nivel_ocupados_por_actividad_economica"/>
  </r>
  <r>
    <x v="6"/>
    <x v="6"/>
    <x v="4"/>
    <n v="255718"/>
    <x v="4"/>
    <s v="nivel_ocupados_por_actividad_economica"/>
  </r>
  <r>
    <x v="7"/>
    <x v="7"/>
    <x v="4"/>
    <n v="108185"/>
    <x v="4"/>
    <s v="nivel_ocupados_por_actividad_economica"/>
  </r>
  <r>
    <x v="8"/>
    <x v="8"/>
    <x v="4"/>
    <n v="167520"/>
    <x v="4"/>
    <s v="nivel_ocupados_por_actividad_economica"/>
  </r>
  <r>
    <x v="9"/>
    <x v="9"/>
    <x v="4"/>
    <n v="39980"/>
    <x v="4"/>
    <s v="nivel_ocupados_por_actividad_economica"/>
  </r>
  <r>
    <x v="10"/>
    <x v="10"/>
    <x v="4"/>
    <n v="68972"/>
    <x v="4"/>
    <s v="nivel_ocupados_por_actividad_economica"/>
  </r>
  <r>
    <x v="11"/>
    <x v="11"/>
    <x v="4"/>
    <n v="374586"/>
    <x v="4"/>
    <s v="nivel_ocupados_por_actividad_economica"/>
  </r>
  <r>
    <x v="12"/>
    <x v="12"/>
    <x v="4"/>
    <n v="109367"/>
    <x v="4"/>
    <s v="nivel_ocupados_por_actividad_economica"/>
  </r>
  <r>
    <x v="13"/>
    <x v="13"/>
    <x v="4"/>
    <n v="302932"/>
    <x v="4"/>
    <s v="nivel_ocupados_por_actividad_economica"/>
  </r>
  <r>
    <x v="14"/>
    <x v="14"/>
    <x v="4"/>
    <n v="250326"/>
    <x v="4"/>
    <s v="nivel_ocupados_por_actividad_economica"/>
  </r>
  <r>
    <x v="15"/>
    <x v="15"/>
    <x v="4"/>
    <n v="203196"/>
    <x v="4"/>
    <s v="nivel_ocupados_por_actividad_economica"/>
  </r>
  <r>
    <x v="16"/>
    <x v="16"/>
    <x v="4"/>
    <n v="247351"/>
    <x v="4"/>
    <s v="nivel_ocupados_por_actividad_economica"/>
  </r>
  <r>
    <x v="17"/>
    <x v="17"/>
    <x v="4"/>
    <n v="100036"/>
    <x v="4"/>
    <s v="nivel_ocupados_por_actividad_economica"/>
  </r>
  <r>
    <x v="18"/>
    <x v="18"/>
    <x v="4"/>
    <n v="192930"/>
    <x v="4"/>
    <s v="nivel_ocupados_por_actividad_economica"/>
  </r>
  <r>
    <x v="19"/>
    <x v="19"/>
    <x v="4"/>
    <n v="291232"/>
    <x v="4"/>
    <s v="nivel_ocupados_por_actividad_economica"/>
  </r>
  <r>
    <x v="20"/>
    <x v="20"/>
    <x v="4"/>
    <n v="398366"/>
    <x v="4"/>
    <s v="nivel_ocupados_por_actividad_economica"/>
  </r>
  <r>
    <x v="21"/>
    <x v="21"/>
    <x v="4"/>
    <n v="70893"/>
    <x v="4"/>
    <s v="nivel_ocupados_por_actividad_economica"/>
  </r>
  <r>
    <x v="22"/>
    <x v="22"/>
    <x v="4"/>
    <n v="157629"/>
    <x v="4"/>
    <s v="nivel_ocupados_por_actividad_economica"/>
  </r>
  <r>
    <x v="23"/>
    <x v="23"/>
    <x v="4"/>
    <n v="102959"/>
    <x v="4"/>
    <s v="nivel_ocupados_por_actividad_economica"/>
  </r>
  <r>
    <x v="24"/>
    <x v="24"/>
    <x v="4"/>
    <n v="118238"/>
    <x v="4"/>
    <s v="nivel_ocupados_por_actividad_economica"/>
  </r>
  <r>
    <x v="25"/>
    <x v="25"/>
    <x v="4"/>
    <m/>
    <x v="4"/>
    <s v="nivel_ocupados_por_actividad_economica"/>
  </r>
  <r>
    <x v="0"/>
    <x v="0"/>
    <x v="0"/>
    <n v="447528"/>
    <x v="4"/>
    <s v="nivel_ocupados_por_actividad_economica"/>
  </r>
  <r>
    <x v="1"/>
    <x v="1"/>
    <x v="0"/>
    <n v="162764"/>
    <x v="4"/>
    <s v="nivel_ocupados_por_actividad_economica"/>
  </r>
  <r>
    <x v="2"/>
    <x v="2"/>
    <x v="0"/>
    <n v="25976"/>
    <x v="4"/>
    <s v="nivel_ocupados_por_actividad_economica"/>
  </r>
  <r>
    <x v="3"/>
    <x v="3"/>
    <x v="0"/>
    <m/>
    <x v="4"/>
    <s v="nivel_ocupados_por_actividad_economica"/>
  </r>
  <r>
    <x v="4"/>
    <x v="4"/>
    <x v="0"/>
    <n v="4192"/>
    <x v="4"/>
    <s v="nivel_ocupados_por_actividad_economica"/>
  </r>
  <r>
    <x v="5"/>
    <x v="5"/>
    <x v="0"/>
    <n v="4408"/>
    <x v="4"/>
    <s v="nivel_ocupados_por_actividad_economica"/>
  </r>
  <r>
    <x v="6"/>
    <x v="6"/>
    <x v="0"/>
    <n v="1373"/>
    <x v="4"/>
    <s v="nivel_ocupados_por_actividad_economica"/>
  </r>
  <r>
    <x v="7"/>
    <x v="7"/>
    <x v="0"/>
    <n v="26149"/>
    <x v="4"/>
    <s v="nivel_ocupados_por_actividad_economica"/>
  </r>
  <r>
    <x v="8"/>
    <x v="8"/>
    <x v="0"/>
    <n v="24193"/>
    <x v="4"/>
    <s v="nivel_ocupados_por_actividad_economica"/>
  </r>
  <r>
    <x v="9"/>
    <x v="9"/>
    <x v="0"/>
    <n v="5445"/>
    <x v="4"/>
    <s v="nivel_ocupados_por_actividad_economica"/>
  </r>
  <r>
    <x v="10"/>
    <x v="10"/>
    <x v="0"/>
    <m/>
    <x v="4"/>
    <s v="nivel_ocupados_por_actividad_economica"/>
  </r>
  <r>
    <x v="11"/>
    <x v="11"/>
    <x v="0"/>
    <n v="26833"/>
    <x v="4"/>
    <s v="nivel_ocupados_por_actividad_economica"/>
  </r>
  <r>
    <x v="12"/>
    <x v="12"/>
    <x v="0"/>
    <n v="10723"/>
    <x v="4"/>
    <s v="nivel_ocupados_por_actividad_economica"/>
  </r>
  <r>
    <x v="13"/>
    <x v="13"/>
    <x v="0"/>
    <n v="24196"/>
    <x v="4"/>
    <s v="nivel_ocupados_por_actividad_economica"/>
  </r>
  <r>
    <x v="14"/>
    <x v="14"/>
    <x v="0"/>
    <n v="17218"/>
    <x v="4"/>
    <s v="nivel_ocupados_por_actividad_economica"/>
  </r>
  <r>
    <x v="15"/>
    <x v="15"/>
    <x v="0"/>
    <n v="8832"/>
    <x v="4"/>
    <s v="nivel_ocupados_por_actividad_economica"/>
  </r>
  <r>
    <x v="16"/>
    <x v="16"/>
    <x v="0"/>
    <n v="27332"/>
    <x v="4"/>
    <s v="nivel_ocupados_por_actividad_economica"/>
  </r>
  <r>
    <x v="17"/>
    <x v="17"/>
    <x v="0"/>
    <n v="171"/>
    <x v="4"/>
    <s v="nivel_ocupados_por_actividad_economica"/>
  </r>
  <r>
    <x v="18"/>
    <x v="18"/>
    <x v="0"/>
    <n v="7693"/>
    <x v="4"/>
    <s v="nivel_ocupados_por_actividad_economica"/>
  </r>
  <r>
    <x v="19"/>
    <x v="19"/>
    <x v="0"/>
    <n v="11119"/>
    <x v="4"/>
    <s v="nivel_ocupados_por_actividad_economica"/>
  </r>
  <r>
    <x v="20"/>
    <x v="20"/>
    <x v="0"/>
    <n v="1391"/>
    <x v="4"/>
    <s v="nivel_ocupados_por_actividad_economica"/>
  </r>
  <r>
    <x v="21"/>
    <x v="21"/>
    <x v="0"/>
    <n v="970"/>
    <x v="4"/>
    <s v="nivel_ocupados_por_actividad_economica"/>
  </r>
  <r>
    <x v="22"/>
    <x v="22"/>
    <x v="0"/>
    <n v="10391"/>
    <x v="4"/>
    <s v="nivel_ocupados_por_actividad_economica"/>
  </r>
  <r>
    <x v="23"/>
    <x v="23"/>
    <x v="0"/>
    <n v="1224"/>
    <x v="4"/>
    <s v="nivel_ocupados_por_actividad_economica"/>
  </r>
  <r>
    <x v="24"/>
    <x v="24"/>
    <x v="0"/>
    <n v="28539"/>
    <x v="4"/>
    <s v="nivel_ocupados_por_actividad_economica"/>
  </r>
  <r>
    <x v="25"/>
    <x v="25"/>
    <x v="0"/>
    <n v="16396"/>
    <x v="4"/>
    <s v="nivel_ocupados_por_actividad_economica"/>
  </r>
  <r>
    <x v="0"/>
    <x v="0"/>
    <x v="1"/>
    <n v="568874"/>
    <x v="4"/>
    <s v="nivel_ocupados_por_actividad_economica"/>
  </r>
  <r>
    <x v="1"/>
    <x v="1"/>
    <x v="1"/>
    <n v="138848"/>
    <x v="4"/>
    <s v="nivel_ocupados_por_actividad_economica"/>
  </r>
  <r>
    <x v="2"/>
    <x v="2"/>
    <x v="1"/>
    <n v="10684"/>
    <x v="4"/>
    <s v="nivel_ocupados_por_actividad_economica"/>
  </r>
  <r>
    <x v="3"/>
    <x v="3"/>
    <x v="1"/>
    <m/>
    <x v="4"/>
    <s v="nivel_ocupados_por_actividad_economica"/>
  </r>
  <r>
    <x v="4"/>
    <x v="4"/>
    <x v="1"/>
    <n v="24787"/>
    <x v="4"/>
    <s v="nivel_ocupados_por_actividad_economica"/>
  </r>
  <r>
    <x v="5"/>
    <x v="5"/>
    <x v="1"/>
    <n v="57094"/>
    <x v="4"/>
    <s v="nivel_ocupados_por_actividad_economica"/>
  </r>
  <r>
    <x v="6"/>
    <x v="6"/>
    <x v="1"/>
    <n v="11764"/>
    <x v="4"/>
    <s v="nivel_ocupados_por_actividad_economica"/>
  </r>
  <r>
    <x v="7"/>
    <x v="7"/>
    <x v="1"/>
    <n v="3915"/>
    <x v="4"/>
    <s v="nivel_ocupados_por_actividad_economica"/>
  </r>
  <r>
    <x v="8"/>
    <x v="8"/>
    <x v="1"/>
    <n v="15691"/>
    <x v="4"/>
    <s v="nivel_ocupados_por_actividad_economica"/>
  </r>
  <r>
    <x v="9"/>
    <x v="9"/>
    <x v="1"/>
    <n v="15730"/>
    <x v="4"/>
    <s v="nivel_ocupados_por_actividad_economica"/>
  </r>
  <r>
    <x v="10"/>
    <x v="10"/>
    <x v="1"/>
    <n v="3681"/>
    <x v="4"/>
    <s v="nivel_ocupados_por_actividad_economica"/>
  </r>
  <r>
    <x v="11"/>
    <x v="11"/>
    <x v="1"/>
    <n v="47870"/>
    <x v="4"/>
    <s v="nivel_ocupados_por_actividad_economica"/>
  </r>
  <r>
    <x v="12"/>
    <x v="12"/>
    <x v="1"/>
    <n v="23585"/>
    <x v="4"/>
    <s v="nivel_ocupados_por_actividad_economica"/>
  </r>
  <r>
    <x v="13"/>
    <x v="13"/>
    <x v="1"/>
    <n v="47641"/>
    <x v="4"/>
    <s v="nivel_ocupados_por_actividad_economica"/>
  </r>
  <r>
    <x v="14"/>
    <x v="14"/>
    <x v="1"/>
    <n v="30493"/>
    <x v="4"/>
    <s v="nivel_ocupados_por_actividad_economica"/>
  </r>
  <r>
    <x v="15"/>
    <x v="15"/>
    <x v="1"/>
    <n v="12136"/>
    <x v="4"/>
    <s v="nivel_ocupados_por_actividad_economica"/>
  </r>
  <r>
    <x v="16"/>
    <x v="16"/>
    <x v="1"/>
    <n v="27297"/>
    <x v="4"/>
    <s v="nivel_ocupados_por_actividad_economica"/>
  </r>
  <r>
    <x v="17"/>
    <x v="17"/>
    <x v="1"/>
    <m/>
    <x v="4"/>
    <s v="nivel_ocupados_por_actividad_economica"/>
  </r>
  <r>
    <x v="18"/>
    <x v="18"/>
    <x v="1"/>
    <n v="16920"/>
    <x v="4"/>
    <s v="nivel_ocupados_por_actividad_economica"/>
  </r>
  <r>
    <x v="19"/>
    <x v="19"/>
    <x v="1"/>
    <n v="14293"/>
    <x v="4"/>
    <s v="nivel_ocupados_por_actividad_economica"/>
  </r>
  <r>
    <x v="20"/>
    <x v="20"/>
    <x v="1"/>
    <n v="10242"/>
    <x v="4"/>
    <s v="nivel_ocupados_por_actividad_economica"/>
  </r>
  <r>
    <x v="21"/>
    <x v="21"/>
    <x v="1"/>
    <n v="5286"/>
    <x v="4"/>
    <s v="nivel_ocupados_por_actividad_economica"/>
  </r>
  <r>
    <x v="22"/>
    <x v="22"/>
    <x v="1"/>
    <n v="15633"/>
    <x v="4"/>
    <s v="nivel_ocupados_por_actividad_economica"/>
  </r>
  <r>
    <x v="23"/>
    <x v="23"/>
    <x v="1"/>
    <n v="35284"/>
    <x v="4"/>
    <s v="nivel_ocupados_por_actividad_economica"/>
  </r>
  <r>
    <x v="24"/>
    <x v="24"/>
    <x v="1"/>
    <m/>
    <x v="4"/>
    <s v="nivel_ocupados_por_actividad_economica"/>
  </r>
  <r>
    <x v="25"/>
    <x v="25"/>
    <x v="1"/>
    <m/>
    <x v="4"/>
    <s v="nivel_ocupados_por_actividad_economica"/>
  </r>
  <r>
    <x v="0"/>
    <x v="0"/>
    <x v="2"/>
    <n v="234404"/>
    <x v="4"/>
    <s v="nivel_ocupados_por_actividad_economica"/>
  </r>
  <r>
    <x v="1"/>
    <x v="1"/>
    <x v="2"/>
    <n v="128484"/>
    <x v="4"/>
    <s v="nivel_ocupados_por_actividad_economica"/>
  </r>
  <r>
    <x v="2"/>
    <x v="2"/>
    <x v="2"/>
    <n v="6765"/>
    <x v="4"/>
    <s v="nivel_ocupados_por_actividad_economica"/>
  </r>
  <r>
    <x v="3"/>
    <x v="3"/>
    <x v="2"/>
    <n v="44"/>
    <x v="4"/>
    <s v="nivel_ocupados_por_actividad_economica"/>
  </r>
  <r>
    <x v="4"/>
    <x v="4"/>
    <x v="2"/>
    <n v="4780"/>
    <x v="4"/>
    <s v="nivel_ocupados_por_actividad_economica"/>
  </r>
  <r>
    <x v="5"/>
    <x v="5"/>
    <x v="2"/>
    <n v="2752"/>
    <x v="4"/>
    <s v="nivel_ocupados_por_actividad_economica"/>
  </r>
  <r>
    <x v="6"/>
    <x v="6"/>
    <x v="2"/>
    <n v="3556"/>
    <x v="4"/>
    <s v="nivel_ocupados_por_actividad_economica"/>
  </r>
  <r>
    <x v="7"/>
    <x v="7"/>
    <x v="2"/>
    <n v="4688"/>
    <x v="4"/>
    <s v="nivel_ocupados_por_actividad_economica"/>
  </r>
  <r>
    <x v="8"/>
    <x v="8"/>
    <x v="2"/>
    <n v="8739"/>
    <x v="4"/>
    <s v="nivel_ocupados_por_actividad_economica"/>
  </r>
  <r>
    <x v="9"/>
    <x v="9"/>
    <x v="2"/>
    <n v="4387"/>
    <x v="4"/>
    <s v="nivel_ocupados_por_actividad_economica"/>
  </r>
  <r>
    <x v="10"/>
    <x v="10"/>
    <x v="2"/>
    <n v="774"/>
    <x v="4"/>
    <s v="nivel_ocupados_por_actividad_economica"/>
  </r>
  <r>
    <x v="11"/>
    <x v="11"/>
    <x v="2"/>
    <n v="10256"/>
    <x v="4"/>
    <s v="nivel_ocupados_por_actividad_economica"/>
  </r>
  <r>
    <x v="12"/>
    <x v="12"/>
    <x v="2"/>
    <n v="5529"/>
    <x v="4"/>
    <s v="nivel_ocupados_por_actividad_economica"/>
  </r>
  <r>
    <x v="13"/>
    <x v="13"/>
    <x v="2"/>
    <n v="19533"/>
    <x v="4"/>
    <s v="nivel_ocupados_por_actividad_economica"/>
  </r>
  <r>
    <x v="14"/>
    <x v="14"/>
    <x v="2"/>
    <n v="8059"/>
    <x v="4"/>
    <s v="nivel_ocupados_por_actividad_economica"/>
  </r>
  <r>
    <x v="15"/>
    <x v="15"/>
    <x v="2"/>
    <n v="5256"/>
    <x v="4"/>
    <s v="nivel_ocupados_por_actividad_economica"/>
  </r>
  <r>
    <x v="16"/>
    <x v="16"/>
    <x v="2"/>
    <n v="3804"/>
    <x v="4"/>
    <s v="nivel_ocupados_por_actividad_economica"/>
  </r>
  <r>
    <x v="17"/>
    <x v="17"/>
    <x v="2"/>
    <n v="606"/>
    <x v="4"/>
    <s v="nivel_ocupados_por_actividad_economica"/>
  </r>
  <r>
    <x v="18"/>
    <x v="18"/>
    <x v="2"/>
    <n v="6871"/>
    <x v="4"/>
    <s v="nivel_ocupados_por_actividad_economica"/>
  </r>
  <r>
    <x v="19"/>
    <x v="19"/>
    <x v="2"/>
    <n v="2017"/>
    <x v="4"/>
    <s v="nivel_ocupados_por_actividad_economica"/>
  </r>
  <r>
    <x v="20"/>
    <x v="20"/>
    <x v="2"/>
    <n v="1255"/>
    <x v="4"/>
    <s v="nivel_ocupados_por_actividad_economica"/>
  </r>
  <r>
    <x v="21"/>
    <x v="21"/>
    <x v="2"/>
    <n v="1310"/>
    <x v="4"/>
    <s v="nivel_ocupados_por_actividad_economica"/>
  </r>
  <r>
    <x v="22"/>
    <x v="22"/>
    <x v="2"/>
    <n v="3290"/>
    <x v="4"/>
    <s v="nivel_ocupados_por_actividad_economica"/>
  </r>
  <r>
    <x v="23"/>
    <x v="23"/>
    <x v="2"/>
    <n v="286"/>
    <x v="4"/>
    <s v="nivel_ocupados_por_actividad_economica"/>
  </r>
  <r>
    <x v="24"/>
    <x v="24"/>
    <x v="2"/>
    <n v="1357"/>
    <x v="4"/>
    <s v="nivel_ocupados_por_actividad_economica"/>
  </r>
  <r>
    <x v="25"/>
    <x v="25"/>
    <x v="2"/>
    <m/>
    <x v="4"/>
    <s v="nivel_ocupados_por_actividad_economica"/>
  </r>
  <r>
    <x v="0"/>
    <x v="0"/>
    <x v="5"/>
    <n v="4240745"/>
    <x v="4"/>
    <s v="nivel_ocupados_por_actividad_economica"/>
  </r>
  <r>
    <x v="1"/>
    <x v="1"/>
    <x v="5"/>
    <n v="838625"/>
    <x v="4"/>
    <s v="nivel_ocupados_por_actividad_economica"/>
  </r>
  <r>
    <x v="2"/>
    <x v="2"/>
    <x v="5"/>
    <n v="148950"/>
    <x v="4"/>
    <s v="nivel_ocupados_por_actividad_economica"/>
  </r>
  <r>
    <x v="3"/>
    <x v="3"/>
    <x v="5"/>
    <n v="2359"/>
    <x v="4"/>
    <s v="nivel_ocupados_por_actividad_economica"/>
  </r>
  <r>
    <x v="4"/>
    <x v="4"/>
    <x v="5"/>
    <n v="278997"/>
    <x v="4"/>
    <s v="nivel_ocupados_por_actividad_economica"/>
  </r>
  <r>
    <x v="5"/>
    <x v="5"/>
    <x v="5"/>
    <n v="132083"/>
    <x v="4"/>
    <s v="nivel_ocupados_por_actividad_economica"/>
  </r>
  <r>
    <x v="6"/>
    <x v="6"/>
    <x v="5"/>
    <n v="62627"/>
    <x v="4"/>
    <s v="nivel_ocupados_por_actividad_economica"/>
  </r>
  <r>
    <x v="7"/>
    <x v="7"/>
    <x v="5"/>
    <n v="27647"/>
    <x v="4"/>
    <s v="nivel_ocupados_por_actividad_economica"/>
  </r>
  <r>
    <x v="8"/>
    <x v="8"/>
    <x v="5"/>
    <n v="76896"/>
    <x v="4"/>
    <s v="nivel_ocupados_por_actividad_economica"/>
  </r>
  <r>
    <x v="9"/>
    <x v="9"/>
    <x v="5"/>
    <n v="13594"/>
    <x v="4"/>
    <s v="nivel_ocupados_por_actividad_economica"/>
  </r>
  <r>
    <x v="10"/>
    <x v="10"/>
    <x v="5"/>
    <n v="26784"/>
    <x v="4"/>
    <s v="nivel_ocupados_por_actividad_economica"/>
  </r>
  <r>
    <x v="11"/>
    <x v="11"/>
    <x v="5"/>
    <n v="183534"/>
    <x v="4"/>
    <s v="nivel_ocupados_por_actividad_economica"/>
  </r>
  <r>
    <x v="12"/>
    <x v="12"/>
    <x v="5"/>
    <n v="79365"/>
    <x v="4"/>
    <s v="nivel_ocupados_por_actividad_economica"/>
  </r>
  <r>
    <x v="13"/>
    <x v="13"/>
    <x v="5"/>
    <n v="248879"/>
    <x v="4"/>
    <s v="nivel_ocupados_por_actividad_economica"/>
  </r>
  <r>
    <x v="14"/>
    <x v="14"/>
    <x v="5"/>
    <n v="163668"/>
    <x v="4"/>
    <s v="nivel_ocupados_por_actividad_economica"/>
  </r>
  <r>
    <x v="15"/>
    <x v="15"/>
    <x v="5"/>
    <n v="115048"/>
    <x v="4"/>
    <s v="nivel_ocupados_por_actividad_economica"/>
  </r>
  <r>
    <x v="16"/>
    <x v="16"/>
    <x v="5"/>
    <n v="303739"/>
    <x v="4"/>
    <s v="nivel_ocupados_por_actividad_economica"/>
  </r>
  <r>
    <x v="17"/>
    <x v="17"/>
    <x v="5"/>
    <n v="348538"/>
    <x v="4"/>
    <s v="nivel_ocupados_por_actividad_economica"/>
  </r>
  <r>
    <x v="18"/>
    <x v="18"/>
    <x v="5"/>
    <n v="581401"/>
    <x v="4"/>
    <s v="nivel_ocupados_por_actividad_economica"/>
  </r>
  <r>
    <x v="19"/>
    <x v="19"/>
    <x v="5"/>
    <n v="429334"/>
    <x v="4"/>
    <s v="nivel_ocupados_por_actividad_economica"/>
  </r>
  <r>
    <x v="20"/>
    <x v="20"/>
    <x v="5"/>
    <n v="111281"/>
    <x v="4"/>
    <s v="nivel_ocupados_por_actividad_economica"/>
  </r>
  <r>
    <x v="21"/>
    <x v="21"/>
    <x v="5"/>
    <n v="24166"/>
    <x v="4"/>
    <s v="nivel_ocupados_por_actividad_economica"/>
  </r>
  <r>
    <x v="22"/>
    <x v="22"/>
    <x v="5"/>
    <n v="28184"/>
    <x v="4"/>
    <s v="nivel_ocupados_por_actividad_economica"/>
  </r>
  <r>
    <x v="23"/>
    <x v="23"/>
    <x v="5"/>
    <n v="15046"/>
    <x v="4"/>
    <s v="nivel_ocupados_por_actividad_economica"/>
  </r>
  <r>
    <x v="24"/>
    <x v="24"/>
    <x v="5"/>
    <m/>
    <x v="4"/>
    <s v="nivel_ocupados_por_actividad_economica"/>
  </r>
  <r>
    <x v="25"/>
    <x v="25"/>
    <x v="5"/>
    <m/>
    <x v="4"/>
    <s v="nivel_ocupados_por_actividad_economica"/>
  </r>
  <r>
    <x v="0"/>
    <x v="0"/>
    <x v="3"/>
    <m/>
    <x v="4"/>
    <s v="nivel_ocupados_por_actividad_economica"/>
  </r>
  <r>
    <x v="1"/>
    <x v="1"/>
    <x v="3"/>
    <m/>
    <x v="4"/>
    <s v="nivel_ocupados_por_actividad_economica"/>
  </r>
  <r>
    <x v="2"/>
    <x v="2"/>
    <x v="3"/>
    <m/>
    <x v="4"/>
    <s v="nivel_ocupados_por_actividad_economica"/>
  </r>
  <r>
    <x v="3"/>
    <x v="3"/>
    <x v="3"/>
    <m/>
    <x v="4"/>
    <s v="nivel_ocupados_por_actividad_economica"/>
  </r>
  <r>
    <x v="4"/>
    <x v="4"/>
    <x v="3"/>
    <m/>
    <x v="4"/>
    <s v="nivel_ocupados_por_actividad_economica"/>
  </r>
  <r>
    <x v="5"/>
    <x v="5"/>
    <x v="3"/>
    <m/>
    <x v="4"/>
    <s v="nivel_ocupados_por_actividad_economica"/>
  </r>
  <r>
    <x v="6"/>
    <x v="6"/>
    <x v="3"/>
    <m/>
    <x v="4"/>
    <s v="nivel_ocupados_por_actividad_economica"/>
  </r>
  <r>
    <x v="7"/>
    <x v="7"/>
    <x v="3"/>
    <m/>
    <x v="4"/>
    <s v="nivel_ocupados_por_actividad_economica"/>
  </r>
  <r>
    <x v="8"/>
    <x v="8"/>
    <x v="3"/>
    <m/>
    <x v="4"/>
    <s v="nivel_ocupados_por_actividad_economica"/>
  </r>
  <r>
    <x v="9"/>
    <x v="9"/>
    <x v="3"/>
    <m/>
    <x v="4"/>
    <s v="nivel_ocupados_por_actividad_economica"/>
  </r>
  <r>
    <x v="10"/>
    <x v="10"/>
    <x v="3"/>
    <m/>
    <x v="4"/>
    <s v="nivel_ocupados_por_actividad_economica"/>
  </r>
  <r>
    <x v="11"/>
    <x v="11"/>
    <x v="3"/>
    <m/>
    <x v="4"/>
    <s v="nivel_ocupados_por_actividad_economica"/>
  </r>
  <r>
    <x v="12"/>
    <x v="12"/>
    <x v="3"/>
    <m/>
    <x v="4"/>
    <s v="nivel_ocupados_por_actividad_economica"/>
  </r>
  <r>
    <x v="13"/>
    <x v="13"/>
    <x v="3"/>
    <m/>
    <x v="4"/>
    <s v="nivel_ocupados_por_actividad_economica"/>
  </r>
  <r>
    <x v="14"/>
    <x v="14"/>
    <x v="3"/>
    <m/>
    <x v="4"/>
    <s v="nivel_ocupados_por_actividad_economica"/>
  </r>
  <r>
    <x v="15"/>
    <x v="15"/>
    <x v="3"/>
    <m/>
    <x v="4"/>
    <s v="nivel_ocupados_por_actividad_economica"/>
  </r>
  <r>
    <x v="16"/>
    <x v="16"/>
    <x v="3"/>
    <m/>
    <x v="4"/>
    <s v="nivel_ocupados_por_actividad_economica"/>
  </r>
  <r>
    <x v="17"/>
    <x v="17"/>
    <x v="3"/>
    <m/>
    <x v="4"/>
    <s v="nivel_ocupados_por_actividad_economica"/>
  </r>
  <r>
    <x v="18"/>
    <x v="18"/>
    <x v="3"/>
    <m/>
    <x v="4"/>
    <s v="nivel_ocupados_por_actividad_economica"/>
  </r>
  <r>
    <x v="19"/>
    <x v="19"/>
    <x v="3"/>
    <m/>
    <x v="4"/>
    <s v="nivel_ocupados_por_actividad_economica"/>
  </r>
  <r>
    <x v="20"/>
    <x v="20"/>
    <x v="3"/>
    <m/>
    <x v="4"/>
    <s v="nivel_ocupados_por_actividad_economica"/>
  </r>
  <r>
    <x v="21"/>
    <x v="21"/>
    <x v="3"/>
    <m/>
    <x v="4"/>
    <s v="nivel_ocupados_por_actividad_economica"/>
  </r>
  <r>
    <x v="22"/>
    <x v="22"/>
    <x v="3"/>
    <m/>
    <x v="4"/>
    <s v="nivel_ocupados_por_actividad_economica"/>
  </r>
  <r>
    <x v="23"/>
    <x v="23"/>
    <x v="3"/>
    <m/>
    <x v="4"/>
    <s v="nivel_ocupados_por_actividad_economica"/>
  </r>
  <r>
    <x v="24"/>
    <x v="24"/>
    <x v="3"/>
    <m/>
    <x v="4"/>
    <s v="nivel_ocupados_por_actividad_economica"/>
  </r>
  <r>
    <x v="25"/>
    <x v="25"/>
    <x v="3"/>
    <m/>
    <x v="4"/>
    <s v="nivel_ocupados_por_actividad_economica"/>
  </r>
  <r>
    <x v="0"/>
    <x v="0"/>
    <x v="6"/>
    <m/>
    <x v="4"/>
    <s v="nivel_ocupados_por_actividad_economica"/>
  </r>
  <r>
    <x v="1"/>
    <x v="1"/>
    <x v="6"/>
    <m/>
    <x v="4"/>
    <s v="nivel_ocupados_por_actividad_economica"/>
  </r>
  <r>
    <x v="2"/>
    <x v="2"/>
    <x v="6"/>
    <m/>
    <x v="4"/>
    <s v="nivel_ocupados_por_actividad_economica"/>
  </r>
  <r>
    <x v="3"/>
    <x v="3"/>
    <x v="6"/>
    <m/>
    <x v="4"/>
    <s v="nivel_ocupados_por_actividad_economica"/>
  </r>
  <r>
    <x v="4"/>
    <x v="4"/>
    <x v="6"/>
    <m/>
    <x v="4"/>
    <s v="nivel_ocupados_por_actividad_economica"/>
  </r>
  <r>
    <x v="5"/>
    <x v="5"/>
    <x v="6"/>
    <m/>
    <x v="4"/>
    <s v="nivel_ocupados_por_actividad_economica"/>
  </r>
  <r>
    <x v="6"/>
    <x v="6"/>
    <x v="6"/>
    <m/>
    <x v="4"/>
    <s v="nivel_ocupados_por_actividad_economica"/>
  </r>
  <r>
    <x v="7"/>
    <x v="7"/>
    <x v="6"/>
    <m/>
    <x v="4"/>
    <s v="nivel_ocupados_por_actividad_economica"/>
  </r>
  <r>
    <x v="8"/>
    <x v="8"/>
    <x v="6"/>
    <m/>
    <x v="4"/>
    <s v="nivel_ocupados_por_actividad_economica"/>
  </r>
  <r>
    <x v="9"/>
    <x v="9"/>
    <x v="6"/>
    <m/>
    <x v="4"/>
    <s v="nivel_ocupados_por_actividad_economica"/>
  </r>
  <r>
    <x v="10"/>
    <x v="10"/>
    <x v="6"/>
    <m/>
    <x v="4"/>
    <s v="nivel_ocupados_por_actividad_economica"/>
  </r>
  <r>
    <x v="11"/>
    <x v="11"/>
    <x v="6"/>
    <m/>
    <x v="4"/>
    <s v="nivel_ocupados_por_actividad_economica"/>
  </r>
  <r>
    <x v="12"/>
    <x v="12"/>
    <x v="6"/>
    <m/>
    <x v="4"/>
    <s v="nivel_ocupados_por_actividad_economica"/>
  </r>
  <r>
    <x v="13"/>
    <x v="13"/>
    <x v="6"/>
    <m/>
    <x v="4"/>
    <s v="nivel_ocupados_por_actividad_economica"/>
  </r>
  <r>
    <x v="14"/>
    <x v="14"/>
    <x v="6"/>
    <m/>
    <x v="4"/>
    <s v="nivel_ocupados_por_actividad_economica"/>
  </r>
  <r>
    <x v="15"/>
    <x v="15"/>
    <x v="6"/>
    <m/>
    <x v="4"/>
    <s v="nivel_ocupados_por_actividad_economica"/>
  </r>
  <r>
    <x v="16"/>
    <x v="16"/>
    <x v="6"/>
    <m/>
    <x v="4"/>
    <s v="nivel_ocupados_por_actividad_economica"/>
  </r>
  <r>
    <x v="17"/>
    <x v="17"/>
    <x v="6"/>
    <m/>
    <x v="4"/>
    <s v="nivel_ocupados_por_actividad_economica"/>
  </r>
  <r>
    <x v="18"/>
    <x v="18"/>
    <x v="6"/>
    <m/>
    <x v="4"/>
    <s v="nivel_ocupados_por_actividad_economica"/>
  </r>
  <r>
    <x v="19"/>
    <x v="19"/>
    <x v="6"/>
    <m/>
    <x v="4"/>
    <s v="nivel_ocupados_por_actividad_economica"/>
  </r>
  <r>
    <x v="20"/>
    <x v="20"/>
    <x v="6"/>
    <m/>
    <x v="4"/>
    <s v="nivel_ocupados_por_actividad_economica"/>
  </r>
  <r>
    <x v="21"/>
    <x v="21"/>
    <x v="6"/>
    <m/>
    <x v="4"/>
    <s v="nivel_ocupados_por_actividad_economica"/>
  </r>
  <r>
    <x v="22"/>
    <x v="22"/>
    <x v="6"/>
    <m/>
    <x v="4"/>
    <s v="nivel_ocupados_por_actividad_economica"/>
  </r>
  <r>
    <x v="23"/>
    <x v="23"/>
    <x v="6"/>
    <m/>
    <x v="4"/>
    <s v="nivel_ocupados_por_actividad_economica"/>
  </r>
  <r>
    <x v="24"/>
    <x v="24"/>
    <x v="6"/>
    <m/>
    <x v="4"/>
    <s v="nivel_ocupados_por_actividad_economica"/>
  </r>
  <r>
    <x v="25"/>
    <x v="25"/>
    <x v="6"/>
    <m/>
    <x v="4"/>
    <s v="nivel_ocupados_por_actividad_economica"/>
  </r>
  <r>
    <x v="0"/>
    <x v="0"/>
    <x v="4"/>
    <n v="-399987916744"/>
    <x v="5"/>
    <s v="nivel_ocupados_por_actividad_economica"/>
  </r>
  <r>
    <x v="1"/>
    <x v="1"/>
    <x v="4"/>
    <n v="3113636"/>
    <x v="5"/>
    <s v="nivel_ocupados_por_actividad_economica"/>
  </r>
  <r>
    <x v="2"/>
    <x v="2"/>
    <x v="4"/>
    <n v="314574"/>
    <x v="5"/>
    <s v="nivel_ocupados_por_actividad_economica"/>
  </r>
  <r>
    <x v="3"/>
    <x v="3"/>
    <x v="4"/>
    <n v="31364"/>
    <x v="5"/>
    <s v="nivel_ocupados_por_actividad_economica"/>
  </r>
  <r>
    <x v="4"/>
    <x v="4"/>
    <x v="4"/>
    <n v="421706"/>
    <x v="5"/>
    <s v="nivel_ocupados_por_actividad_economica"/>
  </r>
  <r>
    <x v="5"/>
    <x v="5"/>
    <x v="4"/>
    <n v="668038"/>
    <x v="5"/>
    <s v="nivel_ocupados_por_actividad_economica"/>
  </r>
  <r>
    <x v="6"/>
    <x v="6"/>
    <x v="4"/>
    <n v="555348"/>
    <x v="5"/>
    <s v="nivel_ocupados_por_actividad_economica"/>
  </r>
  <r>
    <x v="7"/>
    <x v="7"/>
    <x v="4"/>
    <n v="242390"/>
    <x v="5"/>
    <s v="nivel_ocupados_por_actividad_economica"/>
  </r>
  <r>
    <x v="8"/>
    <x v="8"/>
    <x v="4"/>
    <n v="345518"/>
    <x v="5"/>
    <s v="nivel_ocupados_por_actividad_economica"/>
  </r>
  <r>
    <x v="9"/>
    <x v="9"/>
    <x v="4"/>
    <n v="78271"/>
    <x v="5"/>
    <s v="nivel_ocupados_por_actividad_economica"/>
  </r>
  <r>
    <x v="10"/>
    <x v="10"/>
    <x v="4"/>
    <n v="-99999868698"/>
    <x v="5"/>
    <s v="nivel_ocupados_por_actividad_economica"/>
  </r>
  <r>
    <x v="11"/>
    <x v="11"/>
    <x v="4"/>
    <n v="-99999196124"/>
    <x v="5"/>
    <s v="nivel_ocupados_por_actividad_economica"/>
  </r>
  <r>
    <x v="12"/>
    <x v="12"/>
    <x v="4"/>
    <n v="221951"/>
    <x v="5"/>
    <s v="nivel_ocupados_por_actividad_economica"/>
  </r>
  <r>
    <x v="13"/>
    <x v="13"/>
    <x v="4"/>
    <n v="616034"/>
    <x v="5"/>
    <s v="nivel_ocupados_por_actividad_economica"/>
  </r>
  <r>
    <x v="14"/>
    <x v="14"/>
    <x v="4"/>
    <n v="544451"/>
    <x v="5"/>
    <s v="nivel_ocupados_por_actividad_economica"/>
  </r>
  <r>
    <x v="15"/>
    <x v="15"/>
    <x v="4"/>
    <n v="433987"/>
    <x v="5"/>
    <s v="nivel_ocupados_por_actividad_economica"/>
  </r>
  <r>
    <x v="16"/>
    <x v="16"/>
    <x v="4"/>
    <n v="534315"/>
    <x v="5"/>
    <s v="nivel_ocupados_por_actividad_economica"/>
  </r>
  <r>
    <x v="17"/>
    <x v="17"/>
    <x v="4"/>
    <n v="-99999783472"/>
    <x v="5"/>
    <s v="nivel_ocupados_por_actividad_economica"/>
  </r>
  <r>
    <x v="18"/>
    <x v="18"/>
    <x v="4"/>
    <n v="403866"/>
    <x v="5"/>
    <s v="nivel_ocupados_por_actividad_economica"/>
  </r>
  <r>
    <x v="19"/>
    <x v="19"/>
    <x v="4"/>
    <n v="656800"/>
    <x v="5"/>
    <s v="nivel_ocupados_por_actividad_economica"/>
  </r>
  <r>
    <x v="20"/>
    <x v="20"/>
    <x v="4"/>
    <n v="814973"/>
    <x v="5"/>
    <s v="nivel_ocupados_por_actividad_economica"/>
  </r>
  <r>
    <x v="21"/>
    <x v="21"/>
    <x v="4"/>
    <n v="-99999858169"/>
    <x v="5"/>
    <s v="nivel_ocupados_por_actividad_economica"/>
  </r>
  <r>
    <x v="22"/>
    <x v="22"/>
    <x v="4"/>
    <n v="312695"/>
    <x v="5"/>
    <s v="nivel_ocupados_por_actividad_economica"/>
  </r>
  <r>
    <x v="23"/>
    <x v="23"/>
    <x v="4"/>
    <n v="212743"/>
    <x v="5"/>
    <s v="nivel_ocupados_por_actividad_economica"/>
  </r>
  <r>
    <x v="24"/>
    <x v="24"/>
    <x v="4"/>
    <n v="267059"/>
    <x v="5"/>
    <s v="nivel_ocupados_por_actividad_economica"/>
  </r>
  <r>
    <x v="25"/>
    <x v="25"/>
    <x v="4"/>
    <m/>
    <x v="5"/>
    <s v="nivel_ocupados_por_actividad_economica"/>
  </r>
  <r>
    <x v="0"/>
    <x v="0"/>
    <x v="0"/>
    <n v="468268"/>
    <x v="5"/>
    <s v="nivel_ocupados_por_actividad_economica"/>
  </r>
  <r>
    <x v="1"/>
    <x v="1"/>
    <x v="0"/>
    <n v="184026"/>
    <x v="5"/>
    <s v="nivel_ocupados_por_actividad_economica"/>
  </r>
  <r>
    <x v="2"/>
    <x v="2"/>
    <x v="0"/>
    <n v="21831"/>
    <x v="5"/>
    <s v="nivel_ocupados_por_actividad_economica"/>
  </r>
  <r>
    <x v="3"/>
    <x v="3"/>
    <x v="0"/>
    <m/>
    <x v="5"/>
    <s v="nivel_ocupados_por_actividad_economica"/>
  </r>
  <r>
    <x v="4"/>
    <x v="4"/>
    <x v="0"/>
    <n v="3838"/>
    <x v="5"/>
    <s v="nivel_ocupados_por_actividad_economica"/>
  </r>
  <r>
    <x v="5"/>
    <x v="5"/>
    <x v="0"/>
    <n v="3398"/>
    <x v="5"/>
    <s v="nivel_ocupados_por_actividad_economica"/>
  </r>
  <r>
    <x v="6"/>
    <x v="6"/>
    <x v="0"/>
    <n v="1111"/>
    <x v="5"/>
    <s v="nivel_ocupados_por_actividad_economica"/>
  </r>
  <r>
    <x v="7"/>
    <x v="7"/>
    <x v="0"/>
    <n v="28476"/>
    <x v="5"/>
    <s v="nivel_ocupados_por_actividad_economica"/>
  </r>
  <r>
    <x v="8"/>
    <x v="8"/>
    <x v="0"/>
    <n v="22562"/>
    <x v="5"/>
    <s v="nivel_ocupados_por_actividad_economica"/>
  </r>
  <r>
    <x v="9"/>
    <x v="9"/>
    <x v="0"/>
    <n v="5067"/>
    <x v="5"/>
    <s v="nivel_ocupados_por_actividad_economica"/>
  </r>
  <r>
    <x v="10"/>
    <x v="10"/>
    <x v="0"/>
    <m/>
    <x v="5"/>
    <s v="nivel_ocupados_por_actividad_economica"/>
  </r>
  <r>
    <x v="11"/>
    <x v="11"/>
    <x v="0"/>
    <n v="27730"/>
    <x v="5"/>
    <s v="nivel_ocupados_por_actividad_economica"/>
  </r>
  <r>
    <x v="12"/>
    <x v="12"/>
    <x v="0"/>
    <n v="12552"/>
    <x v="5"/>
    <s v="nivel_ocupados_por_actividad_economica"/>
  </r>
  <r>
    <x v="13"/>
    <x v="13"/>
    <x v="0"/>
    <n v="25690"/>
    <x v="5"/>
    <s v="nivel_ocupados_por_actividad_economica"/>
  </r>
  <r>
    <x v="14"/>
    <x v="14"/>
    <x v="0"/>
    <n v="16921"/>
    <x v="5"/>
    <s v="nivel_ocupados_por_actividad_economica"/>
  </r>
  <r>
    <x v="15"/>
    <x v="15"/>
    <x v="0"/>
    <n v="9370"/>
    <x v="5"/>
    <s v="nivel_ocupados_por_actividad_economica"/>
  </r>
  <r>
    <x v="16"/>
    <x v="16"/>
    <x v="0"/>
    <n v="23501"/>
    <x v="5"/>
    <s v="nivel_ocupados_por_actividad_economica"/>
  </r>
  <r>
    <x v="17"/>
    <x v="17"/>
    <x v="0"/>
    <n v="388"/>
    <x v="5"/>
    <s v="nivel_ocupados_por_actividad_economica"/>
  </r>
  <r>
    <x v="18"/>
    <x v="18"/>
    <x v="0"/>
    <n v="7017"/>
    <x v="5"/>
    <s v="nivel_ocupados_por_actividad_economica"/>
  </r>
  <r>
    <x v="19"/>
    <x v="19"/>
    <x v="0"/>
    <n v="14401"/>
    <x v="5"/>
    <s v="nivel_ocupados_por_actividad_economica"/>
  </r>
  <r>
    <x v="20"/>
    <x v="20"/>
    <x v="0"/>
    <n v="1079"/>
    <x v="5"/>
    <s v="nivel_ocupados_por_actividad_economica"/>
  </r>
  <r>
    <x v="21"/>
    <x v="21"/>
    <x v="0"/>
    <n v="516"/>
    <x v="5"/>
    <s v="nivel_ocupados_por_actividad_economica"/>
  </r>
  <r>
    <x v="22"/>
    <x v="22"/>
    <x v="0"/>
    <n v="10418"/>
    <x v="5"/>
    <s v="nivel_ocupados_por_actividad_economica"/>
  </r>
  <r>
    <x v="23"/>
    <x v="23"/>
    <x v="0"/>
    <n v="1707"/>
    <x v="5"/>
    <s v="nivel_ocupados_por_actividad_economica"/>
  </r>
  <r>
    <x v="24"/>
    <x v="24"/>
    <x v="0"/>
    <n v="28156"/>
    <x v="5"/>
    <s v="nivel_ocupados_por_actividad_economica"/>
  </r>
  <r>
    <x v="25"/>
    <x v="25"/>
    <x v="0"/>
    <n v="18513"/>
    <x v="5"/>
    <s v="nivel_ocupados_por_actividad_economica"/>
  </r>
  <r>
    <x v="0"/>
    <x v="0"/>
    <x v="1"/>
    <n v="681246"/>
    <x v="5"/>
    <s v="nivel_ocupados_por_actividad_economica"/>
  </r>
  <r>
    <x v="1"/>
    <x v="1"/>
    <x v="1"/>
    <n v="164970"/>
    <x v="5"/>
    <s v="nivel_ocupados_por_actividad_economica"/>
  </r>
  <r>
    <x v="2"/>
    <x v="2"/>
    <x v="1"/>
    <n v="12873"/>
    <x v="5"/>
    <s v="nivel_ocupados_por_actividad_economica"/>
  </r>
  <r>
    <x v="3"/>
    <x v="3"/>
    <x v="1"/>
    <m/>
    <x v="5"/>
    <s v="nivel_ocupados_por_actividad_economica"/>
  </r>
  <r>
    <x v="4"/>
    <x v="4"/>
    <x v="1"/>
    <n v="29821"/>
    <x v="5"/>
    <s v="nivel_ocupados_por_actividad_economica"/>
  </r>
  <r>
    <x v="5"/>
    <x v="5"/>
    <x v="1"/>
    <n v="65975"/>
    <x v="5"/>
    <s v="nivel_ocupados_por_actividad_economica"/>
  </r>
  <r>
    <x v="6"/>
    <x v="6"/>
    <x v="1"/>
    <n v="13369"/>
    <x v="5"/>
    <s v="nivel_ocupados_por_actividad_economica"/>
  </r>
  <r>
    <x v="7"/>
    <x v="7"/>
    <x v="1"/>
    <n v="4580"/>
    <x v="5"/>
    <s v="nivel_ocupados_por_actividad_economica"/>
  </r>
  <r>
    <x v="8"/>
    <x v="8"/>
    <x v="1"/>
    <n v="19016"/>
    <x v="5"/>
    <s v="nivel_ocupados_por_actividad_economica"/>
  </r>
  <r>
    <x v="9"/>
    <x v="9"/>
    <x v="1"/>
    <n v="17736"/>
    <x v="5"/>
    <s v="nivel_ocupados_por_actividad_economica"/>
  </r>
  <r>
    <x v="10"/>
    <x v="10"/>
    <x v="1"/>
    <n v="4931"/>
    <x v="5"/>
    <s v="nivel_ocupados_por_actividad_economica"/>
  </r>
  <r>
    <x v="11"/>
    <x v="11"/>
    <x v="1"/>
    <n v="55998"/>
    <x v="5"/>
    <s v="nivel_ocupados_por_actividad_economica"/>
  </r>
  <r>
    <x v="12"/>
    <x v="12"/>
    <x v="1"/>
    <n v="29576"/>
    <x v="5"/>
    <s v="nivel_ocupados_por_actividad_economica"/>
  </r>
  <r>
    <x v="13"/>
    <x v="13"/>
    <x v="1"/>
    <n v="59742"/>
    <x v="5"/>
    <s v="nivel_ocupados_por_actividad_economica"/>
  </r>
  <r>
    <x v="14"/>
    <x v="14"/>
    <x v="1"/>
    <n v="36227"/>
    <x v="5"/>
    <s v="nivel_ocupados_por_actividad_economica"/>
  </r>
  <r>
    <x v="15"/>
    <x v="15"/>
    <x v="1"/>
    <n v="12078"/>
    <x v="5"/>
    <s v="nivel_ocupados_por_actividad_economica"/>
  </r>
  <r>
    <x v="16"/>
    <x v="16"/>
    <x v="1"/>
    <n v="32953"/>
    <x v="5"/>
    <s v="nivel_ocupados_por_actividad_economica"/>
  </r>
  <r>
    <x v="17"/>
    <x v="17"/>
    <x v="1"/>
    <m/>
    <x v="5"/>
    <s v="nivel_ocupados_por_actividad_economica"/>
  </r>
  <r>
    <x v="18"/>
    <x v="18"/>
    <x v="1"/>
    <n v="21108"/>
    <x v="5"/>
    <s v="nivel_ocupados_por_actividad_economica"/>
  </r>
  <r>
    <x v="19"/>
    <x v="19"/>
    <x v="1"/>
    <n v="16703"/>
    <x v="5"/>
    <s v="nivel_ocupados_por_actividad_economica"/>
  </r>
  <r>
    <x v="20"/>
    <x v="20"/>
    <x v="1"/>
    <n v="11254"/>
    <x v="5"/>
    <s v="nivel_ocupados_por_actividad_economica"/>
  </r>
  <r>
    <x v="21"/>
    <x v="21"/>
    <x v="1"/>
    <n v="7468"/>
    <x v="5"/>
    <s v="nivel_ocupados_por_actividad_economica"/>
  </r>
  <r>
    <x v="22"/>
    <x v="22"/>
    <x v="1"/>
    <n v="18910"/>
    <x v="5"/>
    <s v="nivel_ocupados_por_actividad_economica"/>
  </r>
  <r>
    <x v="23"/>
    <x v="23"/>
    <x v="1"/>
    <n v="45958"/>
    <x v="5"/>
    <s v="nivel_ocupados_por_actividad_economica"/>
  </r>
  <r>
    <x v="24"/>
    <x v="24"/>
    <x v="1"/>
    <m/>
    <x v="5"/>
    <s v="nivel_ocupados_por_actividad_economica"/>
  </r>
  <r>
    <x v="25"/>
    <x v="25"/>
    <x v="1"/>
    <m/>
    <x v="5"/>
    <s v="nivel_ocupados_por_actividad_economica"/>
  </r>
  <r>
    <x v="0"/>
    <x v="0"/>
    <x v="2"/>
    <n v="246628"/>
    <x v="5"/>
    <s v="nivel_ocupados_por_actividad_economica"/>
  </r>
  <r>
    <x v="1"/>
    <x v="1"/>
    <x v="2"/>
    <n v="133281"/>
    <x v="5"/>
    <s v="nivel_ocupados_por_actividad_economica"/>
  </r>
  <r>
    <x v="2"/>
    <x v="2"/>
    <x v="2"/>
    <n v="8270"/>
    <x v="5"/>
    <s v="nivel_ocupados_por_actividad_economica"/>
  </r>
  <r>
    <x v="3"/>
    <x v="3"/>
    <x v="2"/>
    <n v="2"/>
    <x v="5"/>
    <s v="nivel_ocupados_por_actividad_economica"/>
  </r>
  <r>
    <x v="4"/>
    <x v="4"/>
    <x v="2"/>
    <n v="6017"/>
    <x v="5"/>
    <s v="nivel_ocupados_por_actividad_economica"/>
  </r>
  <r>
    <x v="5"/>
    <x v="5"/>
    <x v="2"/>
    <n v="3588"/>
    <x v="5"/>
    <s v="nivel_ocupados_por_actividad_economica"/>
  </r>
  <r>
    <x v="6"/>
    <x v="6"/>
    <x v="2"/>
    <n v="1502"/>
    <x v="5"/>
    <s v="nivel_ocupados_por_actividad_economica"/>
  </r>
  <r>
    <x v="7"/>
    <x v="7"/>
    <x v="2"/>
    <n v="3773"/>
    <x v="5"/>
    <s v="nivel_ocupados_por_actividad_economica"/>
  </r>
  <r>
    <x v="8"/>
    <x v="8"/>
    <x v="2"/>
    <n v="9491"/>
    <x v="5"/>
    <s v="nivel_ocupados_por_actividad_economica"/>
  </r>
  <r>
    <x v="9"/>
    <x v="9"/>
    <x v="2"/>
    <n v="2432"/>
    <x v="5"/>
    <s v="nivel_ocupados_por_actividad_economica"/>
  </r>
  <r>
    <x v="10"/>
    <x v="10"/>
    <x v="2"/>
    <n v="695"/>
    <x v="5"/>
    <s v="nivel_ocupados_por_actividad_economica"/>
  </r>
  <r>
    <x v="11"/>
    <x v="11"/>
    <x v="2"/>
    <n v="13668"/>
    <x v="5"/>
    <s v="nivel_ocupados_por_actividad_economica"/>
  </r>
  <r>
    <x v="12"/>
    <x v="12"/>
    <x v="2"/>
    <n v="6880"/>
    <x v="5"/>
    <s v="nivel_ocupados_por_actividad_economica"/>
  </r>
  <r>
    <x v="13"/>
    <x v="13"/>
    <x v="2"/>
    <n v="15832"/>
    <x v="5"/>
    <s v="nivel_ocupados_por_actividad_economica"/>
  </r>
  <r>
    <x v="14"/>
    <x v="14"/>
    <x v="2"/>
    <n v="7475"/>
    <x v="5"/>
    <s v="nivel_ocupados_por_actividad_economica"/>
  </r>
  <r>
    <x v="15"/>
    <x v="15"/>
    <x v="2"/>
    <n v="6248"/>
    <x v="5"/>
    <s v="nivel_ocupados_por_actividad_economica"/>
  </r>
  <r>
    <x v="16"/>
    <x v="16"/>
    <x v="2"/>
    <n v="4383"/>
    <x v="5"/>
    <s v="nivel_ocupados_por_actividad_economica"/>
  </r>
  <r>
    <x v="17"/>
    <x v="17"/>
    <x v="2"/>
    <n v="698"/>
    <x v="5"/>
    <s v="nivel_ocupados_por_actividad_economica"/>
  </r>
  <r>
    <x v="18"/>
    <x v="18"/>
    <x v="2"/>
    <n v="7503"/>
    <x v="5"/>
    <s v="nivel_ocupados_por_actividad_economica"/>
  </r>
  <r>
    <x v="19"/>
    <x v="19"/>
    <x v="2"/>
    <n v="2777"/>
    <x v="5"/>
    <s v="nivel_ocupados_por_actividad_economica"/>
  </r>
  <r>
    <x v="20"/>
    <x v="20"/>
    <x v="2"/>
    <n v="1284"/>
    <x v="5"/>
    <s v="nivel_ocupados_por_actividad_economica"/>
  </r>
  <r>
    <x v="21"/>
    <x v="21"/>
    <x v="2"/>
    <n v="1421"/>
    <x v="5"/>
    <s v="nivel_ocupados_por_actividad_economica"/>
  </r>
  <r>
    <x v="22"/>
    <x v="22"/>
    <x v="2"/>
    <n v="3334"/>
    <x v="5"/>
    <s v="nivel_ocupados_por_actividad_economica"/>
  </r>
  <r>
    <x v="23"/>
    <x v="23"/>
    <x v="2"/>
    <n v="192"/>
    <x v="5"/>
    <s v="nivel_ocupados_por_actividad_economica"/>
  </r>
  <r>
    <x v="24"/>
    <x v="24"/>
    <x v="2"/>
    <n v="5876"/>
    <x v="5"/>
    <s v="nivel_ocupados_por_actividad_economica"/>
  </r>
  <r>
    <x v="25"/>
    <x v="25"/>
    <x v="2"/>
    <m/>
    <x v="5"/>
    <s v="nivel_ocupados_por_actividad_economica"/>
  </r>
  <r>
    <x v="0"/>
    <x v="0"/>
    <x v="5"/>
    <n v="4397872"/>
    <x v="5"/>
    <s v="nivel_ocupados_por_actividad_economica"/>
  </r>
  <r>
    <x v="1"/>
    <x v="1"/>
    <x v="5"/>
    <n v="797707"/>
    <x v="5"/>
    <s v="nivel_ocupados_por_actividad_economica"/>
  </r>
  <r>
    <x v="2"/>
    <x v="2"/>
    <x v="5"/>
    <n v="133590"/>
    <x v="5"/>
    <s v="nivel_ocupados_por_actividad_economica"/>
  </r>
  <r>
    <x v="3"/>
    <x v="3"/>
    <x v="5"/>
    <n v="1091"/>
    <x v="5"/>
    <s v="nivel_ocupados_por_actividad_economica"/>
  </r>
  <r>
    <x v="4"/>
    <x v="4"/>
    <x v="5"/>
    <n v="389993"/>
    <x v="5"/>
    <s v="nivel_ocupados_por_actividad_economica"/>
  </r>
  <r>
    <x v="5"/>
    <x v="5"/>
    <x v="5"/>
    <n v="240698"/>
    <x v="5"/>
    <s v="nivel_ocupados_por_actividad_economica"/>
  </r>
  <r>
    <x v="6"/>
    <x v="6"/>
    <x v="5"/>
    <n v="128615"/>
    <x v="5"/>
    <s v="nivel_ocupados_por_actividad_economica"/>
  </r>
  <r>
    <x v="7"/>
    <x v="7"/>
    <x v="5"/>
    <n v="114569"/>
    <x v="5"/>
    <s v="nivel_ocupados_por_actividad_economica"/>
  </r>
  <r>
    <x v="8"/>
    <x v="8"/>
    <x v="5"/>
    <n v="101753"/>
    <x v="5"/>
    <s v="nivel_ocupados_por_actividad_economica"/>
  </r>
  <r>
    <x v="9"/>
    <x v="9"/>
    <x v="5"/>
    <n v="10758"/>
    <x v="5"/>
    <s v="nivel_ocupados_por_actividad_economica"/>
  </r>
  <r>
    <x v="10"/>
    <x v="10"/>
    <x v="5"/>
    <n v="24381"/>
    <x v="5"/>
    <s v="nivel_ocupados_por_actividad_economica"/>
  </r>
  <r>
    <x v="11"/>
    <x v="11"/>
    <x v="5"/>
    <n v="150155"/>
    <x v="5"/>
    <s v="nivel_ocupados_por_actividad_economica"/>
  </r>
  <r>
    <x v="12"/>
    <x v="12"/>
    <x v="5"/>
    <n v="80209"/>
    <x v="5"/>
    <s v="nivel_ocupados_por_actividad_economica"/>
  </r>
  <r>
    <x v="13"/>
    <x v="13"/>
    <x v="5"/>
    <n v="235130"/>
    <x v="5"/>
    <s v="nivel_ocupados_por_actividad_economica"/>
  </r>
  <r>
    <x v="14"/>
    <x v="14"/>
    <x v="5"/>
    <n v="174691"/>
    <x v="5"/>
    <s v="nivel_ocupados_por_actividad_economica"/>
  </r>
  <r>
    <x v="15"/>
    <x v="15"/>
    <x v="5"/>
    <n v="96838"/>
    <x v="5"/>
    <s v="nivel_ocupados_por_actividad_economica"/>
  </r>
  <r>
    <x v="16"/>
    <x v="16"/>
    <x v="5"/>
    <n v="361048"/>
    <x v="5"/>
    <s v="nivel_ocupados_por_actividad_economica"/>
  </r>
  <r>
    <x v="17"/>
    <x v="17"/>
    <x v="5"/>
    <n v="323466"/>
    <x v="5"/>
    <s v="nivel_ocupados_por_actividad_economica"/>
  </r>
  <r>
    <x v="18"/>
    <x v="18"/>
    <x v="5"/>
    <n v="425942"/>
    <x v="5"/>
    <s v="nivel_ocupados_por_actividad_economica"/>
  </r>
  <r>
    <x v="19"/>
    <x v="19"/>
    <x v="5"/>
    <n v="370071"/>
    <x v="5"/>
    <s v="nivel_ocupados_por_actividad_economica"/>
  </r>
  <r>
    <x v="20"/>
    <x v="20"/>
    <x v="5"/>
    <n v="94079"/>
    <x v="5"/>
    <s v="nivel_ocupados_por_actividad_economica"/>
  </r>
  <r>
    <x v="21"/>
    <x v="21"/>
    <x v="5"/>
    <n v="17224"/>
    <x v="5"/>
    <s v="nivel_ocupados_por_actividad_economica"/>
  </r>
  <r>
    <x v="22"/>
    <x v="22"/>
    <x v="5"/>
    <n v="117557"/>
    <x v="5"/>
    <s v="nivel_ocupados_por_actividad_economica"/>
  </r>
  <r>
    <x v="23"/>
    <x v="23"/>
    <x v="5"/>
    <n v="8307"/>
    <x v="5"/>
    <s v="nivel_ocupados_por_actividad_economica"/>
  </r>
  <r>
    <x v="24"/>
    <x v="24"/>
    <x v="5"/>
    <m/>
    <x v="5"/>
    <s v="nivel_ocupados_por_actividad_economica"/>
  </r>
  <r>
    <x v="25"/>
    <x v="25"/>
    <x v="5"/>
    <m/>
    <x v="5"/>
    <s v="nivel_ocupados_por_actividad_economica"/>
  </r>
  <r>
    <x v="0"/>
    <x v="0"/>
    <x v="3"/>
    <m/>
    <x v="5"/>
    <s v="nivel_ocupados_por_actividad_economica"/>
  </r>
  <r>
    <x v="1"/>
    <x v="1"/>
    <x v="3"/>
    <m/>
    <x v="5"/>
    <s v="nivel_ocupados_por_actividad_economica"/>
  </r>
  <r>
    <x v="2"/>
    <x v="2"/>
    <x v="3"/>
    <m/>
    <x v="5"/>
    <s v="nivel_ocupados_por_actividad_economica"/>
  </r>
  <r>
    <x v="3"/>
    <x v="3"/>
    <x v="3"/>
    <m/>
    <x v="5"/>
    <s v="nivel_ocupados_por_actividad_economica"/>
  </r>
  <r>
    <x v="4"/>
    <x v="4"/>
    <x v="3"/>
    <m/>
    <x v="5"/>
    <s v="nivel_ocupados_por_actividad_economica"/>
  </r>
  <r>
    <x v="5"/>
    <x v="5"/>
    <x v="3"/>
    <m/>
    <x v="5"/>
    <s v="nivel_ocupados_por_actividad_economica"/>
  </r>
  <r>
    <x v="6"/>
    <x v="6"/>
    <x v="3"/>
    <m/>
    <x v="5"/>
    <s v="nivel_ocupados_por_actividad_economica"/>
  </r>
  <r>
    <x v="7"/>
    <x v="7"/>
    <x v="3"/>
    <m/>
    <x v="5"/>
    <s v="nivel_ocupados_por_actividad_economica"/>
  </r>
  <r>
    <x v="8"/>
    <x v="8"/>
    <x v="3"/>
    <m/>
    <x v="5"/>
    <s v="nivel_ocupados_por_actividad_economica"/>
  </r>
  <r>
    <x v="9"/>
    <x v="9"/>
    <x v="3"/>
    <m/>
    <x v="5"/>
    <s v="nivel_ocupados_por_actividad_economica"/>
  </r>
  <r>
    <x v="10"/>
    <x v="10"/>
    <x v="3"/>
    <m/>
    <x v="5"/>
    <s v="nivel_ocupados_por_actividad_economica"/>
  </r>
  <r>
    <x v="11"/>
    <x v="11"/>
    <x v="3"/>
    <m/>
    <x v="5"/>
    <s v="nivel_ocupados_por_actividad_economica"/>
  </r>
  <r>
    <x v="12"/>
    <x v="12"/>
    <x v="3"/>
    <m/>
    <x v="5"/>
    <s v="nivel_ocupados_por_actividad_economica"/>
  </r>
  <r>
    <x v="13"/>
    <x v="13"/>
    <x v="3"/>
    <m/>
    <x v="5"/>
    <s v="nivel_ocupados_por_actividad_economica"/>
  </r>
  <r>
    <x v="14"/>
    <x v="14"/>
    <x v="3"/>
    <m/>
    <x v="5"/>
    <s v="nivel_ocupados_por_actividad_economica"/>
  </r>
  <r>
    <x v="15"/>
    <x v="15"/>
    <x v="3"/>
    <m/>
    <x v="5"/>
    <s v="nivel_ocupados_por_actividad_economica"/>
  </r>
  <r>
    <x v="16"/>
    <x v="16"/>
    <x v="3"/>
    <m/>
    <x v="5"/>
    <s v="nivel_ocupados_por_actividad_economica"/>
  </r>
  <r>
    <x v="17"/>
    <x v="17"/>
    <x v="3"/>
    <m/>
    <x v="5"/>
    <s v="nivel_ocupados_por_actividad_economica"/>
  </r>
  <r>
    <x v="18"/>
    <x v="18"/>
    <x v="3"/>
    <m/>
    <x v="5"/>
    <s v="nivel_ocupados_por_actividad_economica"/>
  </r>
  <r>
    <x v="19"/>
    <x v="19"/>
    <x v="3"/>
    <m/>
    <x v="5"/>
    <s v="nivel_ocupados_por_actividad_economica"/>
  </r>
  <r>
    <x v="20"/>
    <x v="20"/>
    <x v="3"/>
    <m/>
    <x v="5"/>
    <s v="nivel_ocupados_por_actividad_economica"/>
  </r>
  <r>
    <x v="21"/>
    <x v="21"/>
    <x v="3"/>
    <m/>
    <x v="5"/>
    <s v="nivel_ocupados_por_actividad_economica"/>
  </r>
  <r>
    <x v="22"/>
    <x v="22"/>
    <x v="3"/>
    <m/>
    <x v="5"/>
    <s v="nivel_ocupados_por_actividad_economica"/>
  </r>
  <r>
    <x v="23"/>
    <x v="23"/>
    <x v="3"/>
    <m/>
    <x v="5"/>
    <s v="nivel_ocupados_por_actividad_economica"/>
  </r>
  <r>
    <x v="24"/>
    <x v="24"/>
    <x v="3"/>
    <m/>
    <x v="5"/>
    <s v="nivel_ocupados_por_actividad_economica"/>
  </r>
  <r>
    <x v="25"/>
    <x v="25"/>
    <x v="3"/>
    <m/>
    <x v="5"/>
    <s v="nivel_ocupados_por_actividad_economica"/>
  </r>
  <r>
    <x v="0"/>
    <x v="0"/>
    <x v="6"/>
    <m/>
    <x v="5"/>
    <s v="nivel_ocupados_por_actividad_economica"/>
  </r>
  <r>
    <x v="1"/>
    <x v="1"/>
    <x v="6"/>
    <m/>
    <x v="5"/>
    <s v="nivel_ocupados_por_actividad_economica"/>
  </r>
  <r>
    <x v="2"/>
    <x v="2"/>
    <x v="6"/>
    <m/>
    <x v="5"/>
    <s v="nivel_ocupados_por_actividad_economica"/>
  </r>
  <r>
    <x v="3"/>
    <x v="3"/>
    <x v="6"/>
    <m/>
    <x v="5"/>
    <s v="nivel_ocupados_por_actividad_economica"/>
  </r>
  <r>
    <x v="4"/>
    <x v="4"/>
    <x v="6"/>
    <m/>
    <x v="5"/>
    <s v="nivel_ocupados_por_actividad_economica"/>
  </r>
  <r>
    <x v="5"/>
    <x v="5"/>
    <x v="6"/>
    <m/>
    <x v="5"/>
    <s v="nivel_ocupados_por_actividad_economica"/>
  </r>
  <r>
    <x v="6"/>
    <x v="6"/>
    <x v="6"/>
    <m/>
    <x v="5"/>
    <s v="nivel_ocupados_por_actividad_economica"/>
  </r>
  <r>
    <x v="7"/>
    <x v="7"/>
    <x v="6"/>
    <m/>
    <x v="5"/>
    <s v="nivel_ocupados_por_actividad_economica"/>
  </r>
  <r>
    <x v="8"/>
    <x v="8"/>
    <x v="6"/>
    <m/>
    <x v="5"/>
    <s v="nivel_ocupados_por_actividad_economica"/>
  </r>
  <r>
    <x v="9"/>
    <x v="9"/>
    <x v="6"/>
    <m/>
    <x v="5"/>
    <s v="nivel_ocupados_por_actividad_economica"/>
  </r>
  <r>
    <x v="10"/>
    <x v="10"/>
    <x v="6"/>
    <m/>
    <x v="5"/>
    <s v="nivel_ocupados_por_actividad_economica"/>
  </r>
  <r>
    <x v="11"/>
    <x v="11"/>
    <x v="6"/>
    <m/>
    <x v="5"/>
    <s v="nivel_ocupados_por_actividad_economica"/>
  </r>
  <r>
    <x v="12"/>
    <x v="12"/>
    <x v="6"/>
    <m/>
    <x v="5"/>
    <s v="nivel_ocupados_por_actividad_economica"/>
  </r>
  <r>
    <x v="13"/>
    <x v="13"/>
    <x v="6"/>
    <m/>
    <x v="5"/>
    <s v="nivel_ocupados_por_actividad_economica"/>
  </r>
  <r>
    <x v="14"/>
    <x v="14"/>
    <x v="6"/>
    <m/>
    <x v="5"/>
    <s v="nivel_ocupados_por_actividad_economica"/>
  </r>
  <r>
    <x v="15"/>
    <x v="15"/>
    <x v="6"/>
    <m/>
    <x v="5"/>
    <s v="nivel_ocupados_por_actividad_economica"/>
  </r>
  <r>
    <x v="16"/>
    <x v="16"/>
    <x v="6"/>
    <m/>
    <x v="5"/>
    <s v="nivel_ocupados_por_actividad_economica"/>
  </r>
  <r>
    <x v="17"/>
    <x v="17"/>
    <x v="6"/>
    <m/>
    <x v="5"/>
    <s v="nivel_ocupados_por_actividad_economica"/>
  </r>
  <r>
    <x v="18"/>
    <x v="18"/>
    <x v="6"/>
    <m/>
    <x v="5"/>
    <s v="nivel_ocupados_por_actividad_economica"/>
  </r>
  <r>
    <x v="19"/>
    <x v="19"/>
    <x v="6"/>
    <m/>
    <x v="5"/>
    <s v="nivel_ocupados_por_actividad_economica"/>
  </r>
  <r>
    <x v="20"/>
    <x v="20"/>
    <x v="6"/>
    <m/>
    <x v="5"/>
    <s v="nivel_ocupados_por_actividad_economica"/>
  </r>
  <r>
    <x v="21"/>
    <x v="21"/>
    <x v="6"/>
    <m/>
    <x v="5"/>
    <s v="nivel_ocupados_por_actividad_economica"/>
  </r>
  <r>
    <x v="22"/>
    <x v="22"/>
    <x v="6"/>
    <m/>
    <x v="5"/>
    <s v="nivel_ocupados_por_actividad_economica"/>
  </r>
  <r>
    <x v="23"/>
    <x v="23"/>
    <x v="6"/>
    <m/>
    <x v="5"/>
    <s v="nivel_ocupados_por_actividad_economica"/>
  </r>
  <r>
    <x v="24"/>
    <x v="24"/>
    <x v="6"/>
    <m/>
    <x v="5"/>
    <s v="nivel_ocupados_por_actividad_economica"/>
  </r>
  <r>
    <x v="25"/>
    <x v="25"/>
    <x v="6"/>
    <m/>
    <x v="5"/>
    <s v="nivel_ocupados_por_actividad_economica"/>
  </r>
  <r>
    <x v="0"/>
    <x v="0"/>
    <x v="4"/>
    <n v="-399987570625"/>
    <x v="6"/>
    <s v="nivel_ocupados_por_actividad_economica"/>
  </r>
  <r>
    <x v="1"/>
    <x v="1"/>
    <x v="4"/>
    <n v="3276607"/>
    <x v="6"/>
    <s v="nivel_ocupados_por_actividad_economica"/>
  </r>
  <r>
    <x v="2"/>
    <x v="2"/>
    <x v="4"/>
    <n v="327675"/>
    <x v="6"/>
    <s v="nivel_ocupados_por_actividad_economica"/>
  </r>
  <r>
    <x v="3"/>
    <x v="3"/>
    <x v="4"/>
    <n v="29910"/>
    <x v="6"/>
    <s v="nivel_ocupados_por_actividad_economica"/>
  </r>
  <r>
    <x v="4"/>
    <x v="4"/>
    <x v="4"/>
    <n v="406309"/>
    <x v="6"/>
    <s v="nivel_ocupados_por_actividad_economica"/>
  </r>
  <r>
    <x v="5"/>
    <x v="5"/>
    <x v="4"/>
    <n v="662432"/>
    <x v="6"/>
    <s v="nivel_ocupados_por_actividad_economica"/>
  </r>
  <r>
    <x v="6"/>
    <x v="6"/>
    <x v="4"/>
    <n v="593513"/>
    <x v="6"/>
    <s v="nivel_ocupados_por_actividad_economica"/>
  </r>
  <r>
    <x v="7"/>
    <x v="7"/>
    <x v="4"/>
    <n v="222357"/>
    <x v="6"/>
    <s v="nivel_ocupados_por_actividad_economica"/>
  </r>
  <r>
    <x v="8"/>
    <x v="8"/>
    <x v="4"/>
    <n v="363760"/>
    <x v="6"/>
    <s v="nivel_ocupados_por_actividad_economica"/>
  </r>
  <r>
    <x v="9"/>
    <x v="9"/>
    <x v="4"/>
    <n v="77288"/>
    <x v="6"/>
    <s v="nivel_ocupados_por_actividad_economica"/>
  </r>
  <r>
    <x v="10"/>
    <x v="10"/>
    <x v="4"/>
    <n v="-99999860751"/>
    <x v="6"/>
    <s v="nivel_ocupados_por_actividad_economica"/>
  </r>
  <r>
    <x v="11"/>
    <x v="11"/>
    <x v="4"/>
    <n v="-99999207775"/>
    <x v="6"/>
    <s v="nivel_ocupados_por_actividad_economica"/>
  </r>
  <r>
    <x v="12"/>
    <x v="12"/>
    <x v="4"/>
    <n v="236895"/>
    <x v="6"/>
    <s v="nivel_ocupados_por_actividad_economica"/>
  </r>
  <r>
    <x v="13"/>
    <x v="13"/>
    <x v="4"/>
    <n v="621606"/>
    <x v="6"/>
    <s v="nivel_ocupados_por_actividad_economica"/>
  </r>
  <r>
    <x v="14"/>
    <x v="14"/>
    <x v="4"/>
    <n v="539877"/>
    <x v="6"/>
    <s v="nivel_ocupados_por_actividad_economica"/>
  </r>
  <r>
    <x v="15"/>
    <x v="15"/>
    <x v="4"/>
    <n v="453158"/>
    <x v="6"/>
    <s v="nivel_ocupados_por_actividad_economica"/>
  </r>
  <r>
    <x v="16"/>
    <x v="16"/>
    <x v="4"/>
    <n v="533409"/>
    <x v="6"/>
    <s v="nivel_ocupados_por_actividad_economica"/>
  </r>
  <r>
    <x v="17"/>
    <x v="17"/>
    <x v="4"/>
    <n v="-99999770053"/>
    <x v="6"/>
    <s v="nivel_ocupados_por_actividad_economica"/>
  </r>
  <r>
    <x v="18"/>
    <x v="18"/>
    <x v="4"/>
    <n v="417570"/>
    <x v="6"/>
    <s v="nivel_ocupados_por_actividad_economica"/>
  </r>
  <r>
    <x v="19"/>
    <x v="19"/>
    <x v="4"/>
    <n v="677947"/>
    <x v="6"/>
    <s v="nivel_ocupados_por_actividad_economica"/>
  </r>
  <r>
    <x v="20"/>
    <x v="20"/>
    <x v="4"/>
    <n v="853120"/>
    <x v="6"/>
    <s v="nivel_ocupados_por_actividad_economica"/>
  </r>
  <r>
    <x v="21"/>
    <x v="21"/>
    <x v="4"/>
    <n v="-99999850798"/>
    <x v="6"/>
    <s v="nivel_ocupados_por_actividad_economica"/>
  </r>
  <r>
    <x v="22"/>
    <x v="22"/>
    <x v="4"/>
    <n v="304165"/>
    <x v="6"/>
    <s v="nivel_ocupados_por_actividad_economica"/>
  </r>
  <r>
    <x v="23"/>
    <x v="23"/>
    <x v="4"/>
    <n v="218223"/>
    <x v="6"/>
    <s v="nivel_ocupados_por_actividad_economica"/>
  </r>
  <r>
    <x v="24"/>
    <x v="24"/>
    <x v="4"/>
    <n v="302931"/>
    <x v="6"/>
    <s v="nivel_ocupados_por_actividad_economica"/>
  </r>
  <r>
    <x v="25"/>
    <x v="25"/>
    <x v="4"/>
    <m/>
    <x v="6"/>
    <s v="nivel_ocupados_por_actividad_economica"/>
  </r>
  <r>
    <x v="0"/>
    <x v="0"/>
    <x v="0"/>
    <n v="537675"/>
    <x v="6"/>
    <s v="nivel_ocupados_por_actividad_economica"/>
  </r>
  <r>
    <x v="1"/>
    <x v="1"/>
    <x v="0"/>
    <n v="169707"/>
    <x v="6"/>
    <s v="nivel_ocupados_por_actividad_economica"/>
  </r>
  <r>
    <x v="2"/>
    <x v="2"/>
    <x v="0"/>
    <n v="22736"/>
    <x v="6"/>
    <s v="nivel_ocupados_por_actividad_economica"/>
  </r>
  <r>
    <x v="3"/>
    <x v="3"/>
    <x v="0"/>
    <m/>
    <x v="6"/>
    <s v="nivel_ocupados_por_actividad_economica"/>
  </r>
  <r>
    <x v="4"/>
    <x v="4"/>
    <x v="0"/>
    <n v="3378"/>
    <x v="6"/>
    <s v="nivel_ocupados_por_actividad_economica"/>
  </r>
  <r>
    <x v="5"/>
    <x v="5"/>
    <x v="0"/>
    <n v="2743"/>
    <x v="6"/>
    <s v="nivel_ocupados_por_actividad_economica"/>
  </r>
  <r>
    <x v="6"/>
    <x v="6"/>
    <x v="0"/>
    <n v="1044"/>
    <x v="6"/>
    <s v="nivel_ocupados_por_actividad_economica"/>
  </r>
  <r>
    <x v="7"/>
    <x v="7"/>
    <x v="0"/>
    <n v="28977"/>
    <x v="6"/>
    <s v="nivel_ocupados_por_actividad_economica"/>
  </r>
  <r>
    <x v="8"/>
    <x v="8"/>
    <x v="0"/>
    <n v="18439"/>
    <x v="6"/>
    <s v="nivel_ocupados_por_actividad_economica"/>
  </r>
  <r>
    <x v="9"/>
    <x v="9"/>
    <x v="0"/>
    <n v="3954"/>
    <x v="6"/>
    <s v="nivel_ocupados_por_actividad_economica"/>
  </r>
  <r>
    <x v="10"/>
    <x v="10"/>
    <x v="0"/>
    <m/>
    <x v="6"/>
    <s v="nivel_ocupados_por_actividad_economica"/>
  </r>
  <r>
    <x v="11"/>
    <x v="11"/>
    <x v="0"/>
    <n v="31148"/>
    <x v="6"/>
    <s v="nivel_ocupados_por_actividad_economica"/>
  </r>
  <r>
    <x v="12"/>
    <x v="12"/>
    <x v="0"/>
    <n v="11481"/>
    <x v="6"/>
    <s v="nivel_ocupados_por_actividad_economica"/>
  </r>
  <r>
    <x v="13"/>
    <x v="13"/>
    <x v="0"/>
    <n v="22901"/>
    <x v="6"/>
    <s v="nivel_ocupados_por_actividad_economica"/>
  </r>
  <r>
    <x v="14"/>
    <x v="14"/>
    <x v="0"/>
    <n v="18519"/>
    <x v="6"/>
    <s v="nivel_ocupados_por_actividad_economica"/>
  </r>
  <r>
    <x v="15"/>
    <x v="15"/>
    <x v="0"/>
    <n v="8199"/>
    <x v="6"/>
    <s v="nivel_ocupados_por_actividad_economica"/>
  </r>
  <r>
    <x v="16"/>
    <x v="16"/>
    <x v="0"/>
    <n v="48915"/>
    <x v="6"/>
    <s v="nivel_ocupados_por_actividad_economica"/>
  </r>
  <r>
    <x v="17"/>
    <x v="17"/>
    <x v="0"/>
    <n v="375"/>
    <x v="6"/>
    <s v="nivel_ocupados_por_actividad_economica"/>
  </r>
  <r>
    <x v="18"/>
    <x v="18"/>
    <x v="0"/>
    <n v="82894"/>
    <x v="6"/>
    <s v="nivel_ocupados_por_actividad_economica"/>
  </r>
  <r>
    <x v="19"/>
    <x v="19"/>
    <x v="0"/>
    <n v="9137"/>
    <x v="6"/>
    <s v="nivel_ocupados_por_actividad_economica"/>
  </r>
  <r>
    <x v="20"/>
    <x v="20"/>
    <x v="0"/>
    <n v="792"/>
    <x v="6"/>
    <s v="nivel_ocupados_por_actividad_economica"/>
  </r>
  <r>
    <x v="21"/>
    <x v="21"/>
    <x v="0"/>
    <n v="704"/>
    <x v="6"/>
    <s v="nivel_ocupados_por_actividad_economica"/>
  </r>
  <r>
    <x v="22"/>
    <x v="22"/>
    <x v="0"/>
    <n v="9248"/>
    <x v="6"/>
    <s v="nivel_ocupados_por_actividad_economica"/>
  </r>
  <r>
    <x v="23"/>
    <x v="23"/>
    <x v="0"/>
    <n v="1635"/>
    <x v="6"/>
    <s v="nivel_ocupados_por_actividad_economica"/>
  </r>
  <r>
    <x v="24"/>
    <x v="24"/>
    <x v="0"/>
    <n v="24961"/>
    <x v="6"/>
    <s v="nivel_ocupados_por_actividad_economica"/>
  </r>
  <r>
    <x v="25"/>
    <x v="25"/>
    <x v="0"/>
    <n v="15788"/>
    <x v="6"/>
    <s v="nivel_ocupados_por_actividad_economica"/>
  </r>
  <r>
    <x v="0"/>
    <x v="0"/>
    <x v="1"/>
    <n v="710060"/>
    <x v="6"/>
    <s v="nivel_ocupados_por_actividad_economica"/>
  </r>
  <r>
    <x v="1"/>
    <x v="1"/>
    <x v="1"/>
    <n v="171298"/>
    <x v="6"/>
    <s v="nivel_ocupados_por_actividad_economica"/>
  </r>
  <r>
    <x v="2"/>
    <x v="2"/>
    <x v="1"/>
    <n v="13515"/>
    <x v="6"/>
    <s v="nivel_ocupados_por_actividad_economica"/>
  </r>
  <r>
    <x v="3"/>
    <x v="3"/>
    <x v="1"/>
    <m/>
    <x v="6"/>
    <s v="nivel_ocupados_por_actividad_economica"/>
  </r>
  <r>
    <x v="4"/>
    <x v="4"/>
    <x v="1"/>
    <n v="30767"/>
    <x v="6"/>
    <s v="nivel_ocupados_por_actividad_economica"/>
  </r>
  <r>
    <x v="5"/>
    <x v="5"/>
    <x v="1"/>
    <n v="68536"/>
    <x v="6"/>
    <s v="nivel_ocupados_por_actividad_economica"/>
  </r>
  <r>
    <x v="6"/>
    <x v="6"/>
    <x v="1"/>
    <n v="14750"/>
    <x v="6"/>
    <s v="nivel_ocupados_por_actividad_economica"/>
  </r>
  <r>
    <x v="7"/>
    <x v="7"/>
    <x v="1"/>
    <n v="4266"/>
    <x v="6"/>
    <s v="nivel_ocupados_por_actividad_economica"/>
  </r>
  <r>
    <x v="8"/>
    <x v="8"/>
    <x v="1"/>
    <n v="19673"/>
    <x v="6"/>
    <s v="nivel_ocupados_por_actividad_economica"/>
  </r>
  <r>
    <x v="9"/>
    <x v="9"/>
    <x v="1"/>
    <n v="18216"/>
    <x v="6"/>
    <s v="nivel_ocupados_por_actividad_economica"/>
  </r>
  <r>
    <x v="10"/>
    <x v="10"/>
    <x v="1"/>
    <n v="6194"/>
    <x v="6"/>
    <s v="nivel_ocupados_por_actividad_economica"/>
  </r>
  <r>
    <x v="11"/>
    <x v="11"/>
    <x v="1"/>
    <n v="57474"/>
    <x v="6"/>
    <s v="nivel_ocupados_por_actividad_economica"/>
  </r>
  <r>
    <x v="12"/>
    <x v="12"/>
    <x v="1"/>
    <n v="31605"/>
    <x v="6"/>
    <s v="nivel_ocupados_por_actividad_economica"/>
  </r>
  <r>
    <x v="13"/>
    <x v="13"/>
    <x v="1"/>
    <n v="60997"/>
    <x v="6"/>
    <s v="nivel_ocupados_por_actividad_economica"/>
  </r>
  <r>
    <x v="14"/>
    <x v="14"/>
    <x v="1"/>
    <n v="38781"/>
    <x v="6"/>
    <s v="nivel_ocupados_por_actividad_economica"/>
  </r>
  <r>
    <x v="15"/>
    <x v="15"/>
    <x v="1"/>
    <n v="12795"/>
    <x v="6"/>
    <s v="nivel_ocupados_por_actividad_economica"/>
  </r>
  <r>
    <x v="16"/>
    <x v="16"/>
    <x v="1"/>
    <n v="34774"/>
    <x v="6"/>
    <s v="nivel_ocupados_por_actividad_economica"/>
  </r>
  <r>
    <x v="17"/>
    <x v="17"/>
    <x v="1"/>
    <m/>
    <x v="6"/>
    <s v="nivel_ocupados_por_actividad_economica"/>
  </r>
  <r>
    <x v="18"/>
    <x v="18"/>
    <x v="1"/>
    <n v="20855"/>
    <x v="6"/>
    <s v="nivel_ocupados_por_actividad_economica"/>
  </r>
  <r>
    <x v="19"/>
    <x v="19"/>
    <x v="1"/>
    <n v="17143"/>
    <x v="6"/>
    <s v="nivel_ocupados_por_actividad_economica"/>
  </r>
  <r>
    <x v="20"/>
    <x v="20"/>
    <x v="1"/>
    <n v="11869"/>
    <x v="6"/>
    <s v="nivel_ocupados_por_actividad_economica"/>
  </r>
  <r>
    <x v="21"/>
    <x v="21"/>
    <x v="1"/>
    <n v="7764"/>
    <x v="6"/>
    <s v="nivel_ocupados_por_actividad_economica"/>
  </r>
  <r>
    <x v="22"/>
    <x v="22"/>
    <x v="1"/>
    <n v="18849"/>
    <x v="6"/>
    <s v="nivel_ocupados_por_actividad_economica"/>
  </r>
  <r>
    <x v="23"/>
    <x v="23"/>
    <x v="1"/>
    <n v="49939"/>
    <x v="6"/>
    <s v="nivel_ocupados_por_actividad_economica"/>
  </r>
  <r>
    <x v="24"/>
    <x v="24"/>
    <x v="1"/>
    <m/>
    <x v="6"/>
    <s v="nivel_ocupados_por_actividad_economica"/>
  </r>
  <r>
    <x v="25"/>
    <x v="25"/>
    <x v="1"/>
    <m/>
    <x v="6"/>
    <s v="nivel_ocupados_por_actividad_economica"/>
  </r>
  <r>
    <x v="0"/>
    <x v="0"/>
    <x v="2"/>
    <n v="267802"/>
    <x v="6"/>
    <s v="nivel_ocupados_por_actividad_economica"/>
  </r>
  <r>
    <x v="1"/>
    <x v="1"/>
    <x v="2"/>
    <n v="135753"/>
    <x v="6"/>
    <s v="nivel_ocupados_por_actividad_economica"/>
  </r>
  <r>
    <x v="2"/>
    <x v="2"/>
    <x v="2"/>
    <n v="7041"/>
    <x v="6"/>
    <s v="nivel_ocupados_por_actividad_economica"/>
  </r>
  <r>
    <x v="3"/>
    <x v="3"/>
    <x v="2"/>
    <m/>
    <x v="6"/>
    <s v="nivel_ocupados_por_actividad_economica"/>
  </r>
  <r>
    <x v="4"/>
    <x v="4"/>
    <x v="2"/>
    <n v="11427"/>
    <x v="6"/>
    <s v="nivel_ocupados_por_actividad_economica"/>
  </r>
  <r>
    <x v="5"/>
    <x v="5"/>
    <x v="2"/>
    <n v="5664"/>
    <x v="6"/>
    <s v="nivel_ocupados_por_actividad_economica"/>
  </r>
  <r>
    <x v="6"/>
    <x v="6"/>
    <x v="2"/>
    <n v="1812"/>
    <x v="6"/>
    <s v="nivel_ocupados_por_actividad_economica"/>
  </r>
  <r>
    <x v="7"/>
    <x v="7"/>
    <x v="2"/>
    <n v="3400"/>
    <x v="6"/>
    <s v="nivel_ocupados_por_actividad_economica"/>
  </r>
  <r>
    <x v="8"/>
    <x v="8"/>
    <x v="2"/>
    <n v="8871"/>
    <x v="6"/>
    <s v="nivel_ocupados_por_actividad_economica"/>
  </r>
  <r>
    <x v="9"/>
    <x v="9"/>
    <x v="2"/>
    <n v="3557"/>
    <x v="6"/>
    <s v="nivel_ocupados_por_actividad_economica"/>
  </r>
  <r>
    <x v="10"/>
    <x v="10"/>
    <x v="2"/>
    <n v="4286"/>
    <x v="6"/>
    <s v="nivel_ocupados_por_actividad_economica"/>
  </r>
  <r>
    <x v="11"/>
    <x v="11"/>
    <x v="2"/>
    <n v="11971"/>
    <x v="6"/>
    <s v="nivel_ocupados_por_actividad_economica"/>
  </r>
  <r>
    <x v="12"/>
    <x v="12"/>
    <x v="2"/>
    <n v="4911"/>
    <x v="6"/>
    <s v="nivel_ocupados_por_actividad_economica"/>
  </r>
  <r>
    <x v="13"/>
    <x v="13"/>
    <x v="2"/>
    <n v="17841"/>
    <x v="6"/>
    <s v="nivel_ocupados_por_actividad_economica"/>
  </r>
  <r>
    <x v="14"/>
    <x v="14"/>
    <x v="2"/>
    <n v="8630"/>
    <x v="6"/>
    <s v="nivel_ocupados_por_actividad_economica"/>
  </r>
  <r>
    <x v="15"/>
    <x v="15"/>
    <x v="2"/>
    <n v="6660"/>
    <x v="6"/>
    <s v="nivel_ocupados_por_actividad_economica"/>
  </r>
  <r>
    <x v="16"/>
    <x v="16"/>
    <x v="2"/>
    <n v="7997"/>
    <x v="6"/>
    <s v="nivel_ocupados_por_actividad_economica"/>
  </r>
  <r>
    <x v="17"/>
    <x v="17"/>
    <x v="2"/>
    <n v="1206"/>
    <x v="6"/>
    <s v="nivel_ocupados_por_actividad_economica"/>
  </r>
  <r>
    <x v="18"/>
    <x v="18"/>
    <x v="2"/>
    <n v="4914"/>
    <x v="6"/>
    <s v="nivel_ocupados_por_actividad_economica"/>
  </r>
  <r>
    <x v="19"/>
    <x v="19"/>
    <x v="2"/>
    <n v="1778"/>
    <x v="6"/>
    <s v="nivel_ocupados_por_actividad_economica"/>
  </r>
  <r>
    <x v="20"/>
    <x v="20"/>
    <x v="2"/>
    <n v="1167"/>
    <x v="6"/>
    <s v="nivel_ocupados_por_actividad_economica"/>
  </r>
  <r>
    <x v="21"/>
    <x v="21"/>
    <x v="2"/>
    <n v="1439"/>
    <x v="6"/>
    <s v="nivel_ocupados_por_actividad_economica"/>
  </r>
  <r>
    <x v="22"/>
    <x v="22"/>
    <x v="2"/>
    <n v="6039"/>
    <x v="6"/>
    <s v="nivel_ocupados_por_actividad_economica"/>
  </r>
  <r>
    <x v="23"/>
    <x v="23"/>
    <x v="2"/>
    <n v="207"/>
    <x v="6"/>
    <s v="nivel_ocupados_por_actividad_economica"/>
  </r>
  <r>
    <x v="24"/>
    <x v="24"/>
    <x v="2"/>
    <n v="11226"/>
    <x v="6"/>
    <s v="nivel_ocupados_por_actividad_economica"/>
  </r>
  <r>
    <x v="25"/>
    <x v="25"/>
    <x v="2"/>
    <m/>
    <x v="6"/>
    <s v="nivel_ocupados_por_actividad_economica"/>
  </r>
  <r>
    <x v="0"/>
    <x v="0"/>
    <x v="5"/>
    <n v="4817026"/>
    <x v="6"/>
    <s v="nivel_ocupados_por_actividad_economica"/>
  </r>
  <r>
    <x v="1"/>
    <x v="1"/>
    <x v="5"/>
    <n v="867750"/>
    <x v="6"/>
    <s v="nivel_ocupados_por_actividad_economica"/>
  </r>
  <r>
    <x v="2"/>
    <x v="2"/>
    <x v="5"/>
    <n v="147255"/>
    <x v="6"/>
    <s v="nivel_ocupados_por_actividad_economica"/>
  </r>
  <r>
    <x v="3"/>
    <x v="3"/>
    <x v="5"/>
    <n v="2052"/>
    <x v="6"/>
    <s v="nivel_ocupados_por_actividad_economica"/>
  </r>
  <r>
    <x v="4"/>
    <x v="4"/>
    <x v="5"/>
    <n v="409561"/>
    <x v="6"/>
    <s v="nivel_ocupados_por_actividad_economica"/>
  </r>
  <r>
    <x v="5"/>
    <x v="5"/>
    <x v="5"/>
    <n v="248644"/>
    <x v="6"/>
    <s v="nivel_ocupados_por_actividad_economica"/>
  </r>
  <r>
    <x v="6"/>
    <x v="6"/>
    <x v="5"/>
    <n v="130461"/>
    <x v="6"/>
    <s v="nivel_ocupados_por_actividad_economica"/>
  </r>
  <r>
    <x v="7"/>
    <x v="7"/>
    <x v="5"/>
    <n v="110973"/>
    <x v="6"/>
    <s v="nivel_ocupados_por_actividad_economica"/>
  </r>
  <r>
    <x v="8"/>
    <x v="8"/>
    <x v="5"/>
    <n v="105534"/>
    <x v="6"/>
    <s v="nivel_ocupados_por_actividad_economica"/>
  </r>
  <r>
    <x v="9"/>
    <x v="9"/>
    <x v="5"/>
    <n v="10968"/>
    <x v="6"/>
    <s v="nivel_ocupados_por_actividad_economica"/>
  </r>
  <r>
    <x v="10"/>
    <x v="10"/>
    <x v="5"/>
    <n v="24944"/>
    <x v="6"/>
    <s v="nivel_ocupados_por_actividad_economica"/>
  </r>
  <r>
    <x v="11"/>
    <x v="11"/>
    <x v="5"/>
    <n v="172475"/>
    <x v="6"/>
    <s v="nivel_ocupados_por_actividad_economica"/>
  </r>
  <r>
    <x v="12"/>
    <x v="12"/>
    <x v="5"/>
    <n v="82654"/>
    <x v="6"/>
    <s v="nivel_ocupados_por_actividad_economica"/>
  </r>
  <r>
    <x v="13"/>
    <x v="13"/>
    <x v="5"/>
    <n v="270749"/>
    <x v="6"/>
    <s v="nivel_ocupados_por_actividad_economica"/>
  </r>
  <r>
    <x v="14"/>
    <x v="14"/>
    <x v="5"/>
    <n v="200648"/>
    <x v="6"/>
    <s v="nivel_ocupados_por_actividad_economica"/>
  </r>
  <r>
    <x v="15"/>
    <x v="15"/>
    <x v="5"/>
    <n v="115329"/>
    <x v="6"/>
    <s v="nivel_ocupados_por_actividad_economica"/>
  </r>
  <r>
    <x v="16"/>
    <x v="16"/>
    <x v="5"/>
    <n v="394669"/>
    <x v="6"/>
    <s v="nivel_ocupados_por_actividad_economica"/>
  </r>
  <r>
    <x v="17"/>
    <x v="17"/>
    <x v="5"/>
    <n v="360173"/>
    <x v="6"/>
    <s v="nivel_ocupados_por_actividad_economica"/>
  </r>
  <r>
    <x v="18"/>
    <x v="18"/>
    <x v="5"/>
    <n v="476609"/>
    <x v="6"/>
    <s v="nivel_ocupados_por_actividad_economica"/>
  </r>
  <r>
    <x v="19"/>
    <x v="19"/>
    <x v="5"/>
    <n v="426464"/>
    <x v="6"/>
    <s v="nivel_ocupados_por_actividad_economica"/>
  </r>
  <r>
    <x v="20"/>
    <x v="20"/>
    <x v="5"/>
    <n v="114234"/>
    <x v="6"/>
    <s v="nivel_ocupados_por_actividad_economica"/>
  </r>
  <r>
    <x v="21"/>
    <x v="21"/>
    <x v="5"/>
    <n v="24304"/>
    <x v="6"/>
    <s v="nivel_ocupados_por_actividad_economica"/>
  </r>
  <r>
    <x v="22"/>
    <x v="22"/>
    <x v="5"/>
    <n v="111994"/>
    <x v="6"/>
    <s v="nivel_ocupados_por_actividad_economica"/>
  </r>
  <r>
    <x v="23"/>
    <x v="23"/>
    <x v="5"/>
    <n v="8582"/>
    <x v="6"/>
    <s v="nivel_ocupados_por_actividad_economica"/>
  </r>
  <r>
    <x v="24"/>
    <x v="24"/>
    <x v="5"/>
    <m/>
    <x v="6"/>
    <s v="nivel_ocupados_por_actividad_economica"/>
  </r>
  <r>
    <x v="25"/>
    <x v="25"/>
    <x v="5"/>
    <m/>
    <x v="6"/>
    <s v="nivel_ocupados_por_actividad_economica"/>
  </r>
  <r>
    <x v="0"/>
    <x v="0"/>
    <x v="3"/>
    <m/>
    <x v="6"/>
    <s v="nivel_ocupados_por_actividad_economica"/>
  </r>
  <r>
    <x v="1"/>
    <x v="1"/>
    <x v="3"/>
    <m/>
    <x v="6"/>
    <s v="nivel_ocupados_por_actividad_economica"/>
  </r>
  <r>
    <x v="2"/>
    <x v="2"/>
    <x v="3"/>
    <m/>
    <x v="6"/>
    <s v="nivel_ocupados_por_actividad_economica"/>
  </r>
  <r>
    <x v="3"/>
    <x v="3"/>
    <x v="3"/>
    <m/>
    <x v="6"/>
    <s v="nivel_ocupados_por_actividad_economica"/>
  </r>
  <r>
    <x v="4"/>
    <x v="4"/>
    <x v="3"/>
    <m/>
    <x v="6"/>
    <s v="nivel_ocupados_por_actividad_economica"/>
  </r>
  <r>
    <x v="5"/>
    <x v="5"/>
    <x v="3"/>
    <m/>
    <x v="6"/>
    <s v="nivel_ocupados_por_actividad_economica"/>
  </r>
  <r>
    <x v="6"/>
    <x v="6"/>
    <x v="3"/>
    <m/>
    <x v="6"/>
    <s v="nivel_ocupados_por_actividad_economica"/>
  </r>
  <r>
    <x v="7"/>
    <x v="7"/>
    <x v="3"/>
    <m/>
    <x v="6"/>
    <s v="nivel_ocupados_por_actividad_economica"/>
  </r>
  <r>
    <x v="8"/>
    <x v="8"/>
    <x v="3"/>
    <m/>
    <x v="6"/>
    <s v="nivel_ocupados_por_actividad_economica"/>
  </r>
  <r>
    <x v="9"/>
    <x v="9"/>
    <x v="3"/>
    <m/>
    <x v="6"/>
    <s v="nivel_ocupados_por_actividad_economica"/>
  </r>
  <r>
    <x v="10"/>
    <x v="10"/>
    <x v="3"/>
    <m/>
    <x v="6"/>
    <s v="nivel_ocupados_por_actividad_economica"/>
  </r>
  <r>
    <x v="11"/>
    <x v="11"/>
    <x v="3"/>
    <m/>
    <x v="6"/>
    <s v="nivel_ocupados_por_actividad_economica"/>
  </r>
  <r>
    <x v="12"/>
    <x v="12"/>
    <x v="3"/>
    <m/>
    <x v="6"/>
    <s v="nivel_ocupados_por_actividad_economica"/>
  </r>
  <r>
    <x v="13"/>
    <x v="13"/>
    <x v="3"/>
    <m/>
    <x v="6"/>
    <s v="nivel_ocupados_por_actividad_economica"/>
  </r>
  <r>
    <x v="14"/>
    <x v="14"/>
    <x v="3"/>
    <m/>
    <x v="6"/>
    <s v="nivel_ocupados_por_actividad_economica"/>
  </r>
  <r>
    <x v="15"/>
    <x v="15"/>
    <x v="3"/>
    <m/>
    <x v="6"/>
    <s v="nivel_ocupados_por_actividad_economica"/>
  </r>
  <r>
    <x v="16"/>
    <x v="16"/>
    <x v="3"/>
    <m/>
    <x v="6"/>
    <s v="nivel_ocupados_por_actividad_economica"/>
  </r>
  <r>
    <x v="17"/>
    <x v="17"/>
    <x v="3"/>
    <m/>
    <x v="6"/>
    <s v="nivel_ocupados_por_actividad_economica"/>
  </r>
  <r>
    <x v="18"/>
    <x v="18"/>
    <x v="3"/>
    <m/>
    <x v="6"/>
    <s v="nivel_ocupados_por_actividad_economica"/>
  </r>
  <r>
    <x v="19"/>
    <x v="19"/>
    <x v="3"/>
    <m/>
    <x v="6"/>
    <s v="nivel_ocupados_por_actividad_economica"/>
  </r>
  <r>
    <x v="20"/>
    <x v="20"/>
    <x v="3"/>
    <m/>
    <x v="6"/>
    <s v="nivel_ocupados_por_actividad_economica"/>
  </r>
  <r>
    <x v="21"/>
    <x v="21"/>
    <x v="3"/>
    <m/>
    <x v="6"/>
    <s v="nivel_ocupados_por_actividad_economica"/>
  </r>
  <r>
    <x v="22"/>
    <x v="22"/>
    <x v="3"/>
    <m/>
    <x v="6"/>
    <s v="nivel_ocupados_por_actividad_economica"/>
  </r>
  <r>
    <x v="23"/>
    <x v="23"/>
    <x v="3"/>
    <m/>
    <x v="6"/>
    <s v="nivel_ocupados_por_actividad_economica"/>
  </r>
  <r>
    <x v="24"/>
    <x v="24"/>
    <x v="3"/>
    <m/>
    <x v="6"/>
    <s v="nivel_ocupados_por_actividad_economica"/>
  </r>
  <r>
    <x v="25"/>
    <x v="25"/>
    <x v="3"/>
    <m/>
    <x v="6"/>
    <s v="nivel_ocupados_por_actividad_economica"/>
  </r>
  <r>
    <x v="0"/>
    <x v="0"/>
    <x v="6"/>
    <m/>
    <x v="6"/>
    <s v="nivel_ocupados_por_actividad_economica"/>
  </r>
  <r>
    <x v="1"/>
    <x v="1"/>
    <x v="6"/>
    <m/>
    <x v="6"/>
    <s v="nivel_ocupados_por_actividad_economica"/>
  </r>
  <r>
    <x v="2"/>
    <x v="2"/>
    <x v="6"/>
    <m/>
    <x v="6"/>
    <s v="nivel_ocupados_por_actividad_economica"/>
  </r>
  <r>
    <x v="3"/>
    <x v="3"/>
    <x v="6"/>
    <m/>
    <x v="6"/>
    <s v="nivel_ocupados_por_actividad_economica"/>
  </r>
  <r>
    <x v="4"/>
    <x v="4"/>
    <x v="6"/>
    <m/>
    <x v="6"/>
    <s v="nivel_ocupados_por_actividad_economica"/>
  </r>
  <r>
    <x v="5"/>
    <x v="5"/>
    <x v="6"/>
    <m/>
    <x v="6"/>
    <s v="nivel_ocupados_por_actividad_economica"/>
  </r>
  <r>
    <x v="6"/>
    <x v="6"/>
    <x v="6"/>
    <m/>
    <x v="6"/>
    <s v="nivel_ocupados_por_actividad_economica"/>
  </r>
  <r>
    <x v="7"/>
    <x v="7"/>
    <x v="6"/>
    <m/>
    <x v="6"/>
    <s v="nivel_ocupados_por_actividad_economica"/>
  </r>
  <r>
    <x v="8"/>
    <x v="8"/>
    <x v="6"/>
    <m/>
    <x v="6"/>
    <s v="nivel_ocupados_por_actividad_economica"/>
  </r>
  <r>
    <x v="9"/>
    <x v="9"/>
    <x v="6"/>
    <m/>
    <x v="6"/>
    <s v="nivel_ocupados_por_actividad_economica"/>
  </r>
  <r>
    <x v="10"/>
    <x v="10"/>
    <x v="6"/>
    <m/>
    <x v="6"/>
    <s v="nivel_ocupados_por_actividad_economica"/>
  </r>
  <r>
    <x v="11"/>
    <x v="11"/>
    <x v="6"/>
    <m/>
    <x v="6"/>
    <s v="nivel_ocupados_por_actividad_economica"/>
  </r>
  <r>
    <x v="12"/>
    <x v="12"/>
    <x v="6"/>
    <m/>
    <x v="6"/>
    <s v="nivel_ocupados_por_actividad_economica"/>
  </r>
  <r>
    <x v="13"/>
    <x v="13"/>
    <x v="6"/>
    <m/>
    <x v="6"/>
    <s v="nivel_ocupados_por_actividad_economica"/>
  </r>
  <r>
    <x v="14"/>
    <x v="14"/>
    <x v="6"/>
    <m/>
    <x v="6"/>
    <s v="nivel_ocupados_por_actividad_economica"/>
  </r>
  <r>
    <x v="15"/>
    <x v="15"/>
    <x v="6"/>
    <m/>
    <x v="6"/>
    <s v="nivel_ocupados_por_actividad_economica"/>
  </r>
  <r>
    <x v="16"/>
    <x v="16"/>
    <x v="6"/>
    <m/>
    <x v="6"/>
    <s v="nivel_ocupados_por_actividad_economica"/>
  </r>
  <r>
    <x v="17"/>
    <x v="17"/>
    <x v="6"/>
    <m/>
    <x v="6"/>
    <s v="nivel_ocupados_por_actividad_economica"/>
  </r>
  <r>
    <x v="18"/>
    <x v="18"/>
    <x v="6"/>
    <m/>
    <x v="6"/>
    <s v="nivel_ocupados_por_actividad_economica"/>
  </r>
  <r>
    <x v="19"/>
    <x v="19"/>
    <x v="6"/>
    <m/>
    <x v="6"/>
    <s v="nivel_ocupados_por_actividad_economica"/>
  </r>
  <r>
    <x v="20"/>
    <x v="20"/>
    <x v="6"/>
    <m/>
    <x v="6"/>
    <s v="nivel_ocupados_por_actividad_economica"/>
  </r>
  <r>
    <x v="21"/>
    <x v="21"/>
    <x v="6"/>
    <m/>
    <x v="6"/>
    <s v="nivel_ocupados_por_actividad_economica"/>
  </r>
  <r>
    <x v="22"/>
    <x v="22"/>
    <x v="6"/>
    <m/>
    <x v="6"/>
    <s v="nivel_ocupados_por_actividad_economica"/>
  </r>
  <r>
    <x v="23"/>
    <x v="23"/>
    <x v="6"/>
    <m/>
    <x v="6"/>
    <s v="nivel_ocupados_por_actividad_economica"/>
  </r>
  <r>
    <x v="24"/>
    <x v="24"/>
    <x v="6"/>
    <m/>
    <x v="6"/>
    <s v="nivel_ocupados_por_actividad_economica"/>
  </r>
  <r>
    <x v="25"/>
    <x v="25"/>
    <x v="6"/>
    <m/>
    <x v="6"/>
    <s v="nivel_ocupados_por_actividad_economica"/>
  </r>
  <r>
    <x v="0"/>
    <x v="0"/>
    <x v="4"/>
    <n v="107638.63"/>
    <x v="0"/>
    <s v="remuneracion_por_actividad_economica"/>
  </r>
  <r>
    <x v="1"/>
    <x v="1"/>
    <x v="4"/>
    <n v="19541.259999999998"/>
    <x v="0"/>
    <s v="remuneracion_por_actividad_economica"/>
  </r>
  <r>
    <x v="2"/>
    <x v="2"/>
    <x v="4"/>
    <n v="2838.09"/>
    <x v="0"/>
    <s v="remuneracion_por_actividad_economica"/>
  </r>
  <r>
    <x v="3"/>
    <x v="3"/>
    <x v="4"/>
    <n v="494.75"/>
    <x v="0"/>
    <s v="remuneracion_por_actividad_economica"/>
  </r>
  <r>
    <x v="4"/>
    <x v="4"/>
    <x v="4"/>
    <n v="2299.94"/>
    <x v="0"/>
    <s v="remuneracion_por_actividad_economica"/>
  </r>
  <r>
    <x v="5"/>
    <x v="5"/>
    <x v="4"/>
    <n v="2824.06"/>
    <x v="0"/>
    <s v="remuneracion_por_actividad_economica"/>
  </r>
  <r>
    <x v="6"/>
    <x v="6"/>
    <x v="4"/>
    <n v="2240"/>
    <x v="0"/>
    <s v="remuneracion_por_actividad_economica"/>
  </r>
  <r>
    <x v="7"/>
    <x v="7"/>
    <x v="4"/>
    <n v="1099.49"/>
    <x v="0"/>
    <s v="remuneracion_por_actividad_economica"/>
  </r>
  <r>
    <x v="8"/>
    <x v="8"/>
    <x v="4"/>
    <n v="3390.61"/>
    <x v="0"/>
    <s v="remuneracion_por_actividad_economica"/>
  </r>
  <r>
    <x v="9"/>
    <x v="9"/>
    <x v="4"/>
    <n v="847.9"/>
    <x v="0"/>
    <s v="remuneracion_por_actividad_economica"/>
  </r>
  <r>
    <x v="10"/>
    <x v="10"/>
    <x v="4"/>
    <n v="10588.42"/>
    <x v="0"/>
    <s v="remuneracion_por_actividad_economica"/>
  </r>
  <r>
    <x v="11"/>
    <x v="11"/>
    <x v="4"/>
    <n v="8776.0499999999993"/>
    <x v="0"/>
    <s v="remuneracion_por_actividad_economica"/>
  </r>
  <r>
    <x v="12"/>
    <x v="12"/>
    <x v="4"/>
    <n v="3490.02"/>
    <x v="0"/>
    <s v="remuneracion_por_actividad_economica"/>
  </r>
  <r>
    <x v="13"/>
    <x v="13"/>
    <x v="4"/>
    <n v="4840.68"/>
    <x v="0"/>
    <s v="remuneracion_por_actividad_economica"/>
  </r>
  <r>
    <x v="14"/>
    <x v="14"/>
    <x v="4"/>
    <n v="4289.13"/>
    <x v="0"/>
    <s v="remuneracion_por_actividad_economica"/>
  </r>
  <r>
    <x v="15"/>
    <x v="15"/>
    <x v="4"/>
    <n v="5403.83"/>
    <x v="0"/>
    <s v="remuneracion_por_actividad_economica"/>
  </r>
  <r>
    <x v="16"/>
    <x v="16"/>
    <x v="4"/>
    <n v="4010.78"/>
    <x v="0"/>
    <s v="remuneracion_por_actividad_economica"/>
  </r>
  <r>
    <x v="17"/>
    <x v="17"/>
    <x v="4"/>
    <n v="2665.88"/>
    <x v="0"/>
    <s v="remuneracion_por_actividad_economica"/>
  </r>
  <r>
    <x v="18"/>
    <x v="18"/>
    <x v="4"/>
    <n v="4004.89"/>
    <x v="0"/>
    <s v="remuneracion_por_actividad_economica"/>
  </r>
  <r>
    <x v="19"/>
    <x v="19"/>
    <x v="4"/>
    <n v="6557.63"/>
    <x v="0"/>
    <s v="remuneracion_por_actividad_economica"/>
  </r>
  <r>
    <x v="20"/>
    <x v="20"/>
    <x v="4"/>
    <n v="10789.33"/>
    <x v="0"/>
    <s v="remuneracion_por_actividad_economica"/>
  </r>
  <r>
    <x v="21"/>
    <x v="21"/>
    <x v="4"/>
    <n v="1754.5"/>
    <x v="0"/>
    <s v="remuneracion_por_actividad_economica"/>
  </r>
  <r>
    <x v="22"/>
    <x v="22"/>
    <x v="4"/>
    <n v="1524.92"/>
    <x v="0"/>
    <s v="remuneracion_por_actividad_economica"/>
  </r>
  <r>
    <x v="23"/>
    <x v="23"/>
    <x v="4"/>
    <n v="1471.44"/>
    <x v="0"/>
    <s v="remuneracion_por_actividad_economica"/>
  </r>
  <r>
    <x v="24"/>
    <x v="24"/>
    <x v="4"/>
    <n v="1895.03"/>
    <x v="0"/>
    <s v="remuneracion_por_actividad_economica"/>
  </r>
  <r>
    <x v="25"/>
    <x v="25"/>
    <x v="4"/>
    <m/>
    <x v="0"/>
    <s v="remuneracion_por_actividad_economica"/>
  </r>
  <r>
    <x v="0"/>
    <x v="0"/>
    <x v="0"/>
    <n v="6456.91"/>
    <x v="0"/>
    <s v="remuneracion_por_actividad_economica"/>
  </r>
  <r>
    <x v="1"/>
    <x v="1"/>
    <x v="0"/>
    <n v="1842.43"/>
    <x v="0"/>
    <s v="remuneracion_por_actividad_economica"/>
  </r>
  <r>
    <x v="2"/>
    <x v="2"/>
    <x v="0"/>
    <n v="299.16000000000003"/>
    <x v="0"/>
    <s v="remuneracion_por_actividad_economica"/>
  </r>
  <r>
    <x v="3"/>
    <x v="3"/>
    <x v="0"/>
    <m/>
    <x v="0"/>
    <s v="remuneracion_por_actividad_economica"/>
  </r>
  <r>
    <x v="4"/>
    <x v="4"/>
    <x v="0"/>
    <n v="65.010000000000005"/>
    <x v="0"/>
    <s v="remuneracion_por_actividad_economica"/>
  </r>
  <r>
    <x v="5"/>
    <x v="5"/>
    <x v="0"/>
    <n v="90.28"/>
    <x v="0"/>
    <s v="remuneracion_por_actividad_economica"/>
  </r>
  <r>
    <x v="6"/>
    <x v="6"/>
    <x v="0"/>
    <n v="67.650000000000006"/>
    <x v="0"/>
    <s v="remuneracion_por_actividad_economica"/>
  </r>
  <r>
    <x v="7"/>
    <x v="7"/>
    <x v="0"/>
    <n v="363.92"/>
    <x v="0"/>
    <s v="remuneracion_por_actividad_economica"/>
  </r>
  <r>
    <x v="8"/>
    <x v="8"/>
    <x v="0"/>
    <n v="358.46"/>
    <x v="0"/>
    <s v="remuneracion_por_actividad_economica"/>
  </r>
  <r>
    <x v="9"/>
    <x v="9"/>
    <x v="0"/>
    <n v="142.04"/>
    <x v="0"/>
    <s v="remuneracion_por_actividad_economica"/>
  </r>
  <r>
    <x v="10"/>
    <x v="10"/>
    <x v="0"/>
    <m/>
    <x v="0"/>
    <s v="remuneracion_por_actividad_economica"/>
  </r>
  <r>
    <x v="11"/>
    <x v="11"/>
    <x v="0"/>
    <n v="718.38"/>
    <x v="0"/>
    <s v="remuneracion_por_actividad_economica"/>
  </r>
  <r>
    <x v="12"/>
    <x v="12"/>
    <x v="0"/>
    <n v="234.95"/>
    <x v="0"/>
    <s v="remuneracion_por_actividad_economica"/>
  </r>
  <r>
    <x v="13"/>
    <x v="13"/>
    <x v="0"/>
    <n v="398.72"/>
    <x v="0"/>
    <s v="remuneracion_por_actividad_economica"/>
  </r>
  <r>
    <x v="14"/>
    <x v="14"/>
    <x v="0"/>
    <n v="269.99"/>
    <x v="0"/>
    <s v="remuneracion_por_actividad_economica"/>
  </r>
  <r>
    <x v="15"/>
    <x v="15"/>
    <x v="0"/>
    <n v="127.25"/>
    <x v="0"/>
    <s v="remuneracion_por_actividad_economica"/>
  </r>
  <r>
    <x v="16"/>
    <x v="16"/>
    <x v="0"/>
    <n v="394.1"/>
    <x v="0"/>
    <s v="remuneracion_por_actividad_economica"/>
  </r>
  <r>
    <x v="17"/>
    <x v="17"/>
    <x v="0"/>
    <n v="33.85"/>
    <x v="0"/>
    <s v="remuneracion_por_actividad_economica"/>
  </r>
  <r>
    <x v="18"/>
    <x v="18"/>
    <x v="0"/>
    <n v="154.01"/>
    <x v="0"/>
    <s v="remuneracion_por_actividad_economica"/>
  </r>
  <r>
    <x v="19"/>
    <x v="19"/>
    <x v="0"/>
    <n v="209.35"/>
    <x v="0"/>
    <s v="remuneracion_por_actividad_economica"/>
  </r>
  <r>
    <x v="20"/>
    <x v="20"/>
    <x v="0"/>
    <n v="17.84"/>
    <x v="0"/>
    <s v="remuneracion_por_actividad_economica"/>
  </r>
  <r>
    <x v="21"/>
    <x v="21"/>
    <x v="0"/>
    <n v="14.23"/>
    <x v="0"/>
    <s v="remuneracion_por_actividad_economica"/>
  </r>
  <r>
    <x v="22"/>
    <x v="22"/>
    <x v="0"/>
    <n v="101.86"/>
    <x v="0"/>
    <s v="remuneracion_por_actividad_economica"/>
  </r>
  <r>
    <x v="23"/>
    <x v="23"/>
    <x v="0"/>
    <n v="18.63"/>
    <x v="0"/>
    <s v="remuneracion_por_actividad_economica"/>
  </r>
  <r>
    <x v="24"/>
    <x v="24"/>
    <x v="0"/>
    <n v="389.1"/>
    <x v="0"/>
    <s v="remuneracion_por_actividad_economica"/>
  </r>
  <r>
    <x v="25"/>
    <x v="25"/>
    <x v="0"/>
    <n v="145.69999999999999"/>
    <x v="0"/>
    <s v="remuneracion_por_actividad_economica"/>
  </r>
  <r>
    <x v="0"/>
    <x v="0"/>
    <x v="1"/>
    <n v="6229.46"/>
    <x v="0"/>
    <s v="remuneracion_por_actividad_economica"/>
  </r>
  <r>
    <x v="1"/>
    <x v="1"/>
    <x v="1"/>
    <n v="1404.62"/>
    <x v="0"/>
    <s v="remuneracion_por_actividad_economica"/>
  </r>
  <r>
    <x v="2"/>
    <x v="2"/>
    <x v="1"/>
    <n v="236.91"/>
    <x v="0"/>
    <s v="remuneracion_por_actividad_economica"/>
  </r>
  <r>
    <x v="3"/>
    <x v="3"/>
    <x v="1"/>
    <m/>
    <x v="0"/>
    <s v="remuneracion_por_actividad_economica"/>
  </r>
  <r>
    <x v="4"/>
    <x v="4"/>
    <x v="1"/>
    <n v="264.51"/>
    <x v="0"/>
    <s v="remuneracion_por_actividad_economica"/>
  </r>
  <r>
    <x v="5"/>
    <x v="5"/>
    <x v="1"/>
    <n v="472.27"/>
    <x v="0"/>
    <s v="remuneracion_por_actividad_economica"/>
  </r>
  <r>
    <x v="6"/>
    <x v="6"/>
    <x v="1"/>
    <n v="137.02000000000001"/>
    <x v="0"/>
    <s v="remuneracion_por_actividad_economica"/>
  </r>
  <r>
    <x v="7"/>
    <x v="7"/>
    <x v="1"/>
    <n v="40.36"/>
    <x v="0"/>
    <s v="remuneracion_por_actividad_economica"/>
  </r>
  <r>
    <x v="8"/>
    <x v="8"/>
    <x v="1"/>
    <n v="217.63"/>
    <x v="0"/>
    <s v="remuneracion_por_actividad_economica"/>
  </r>
  <r>
    <x v="9"/>
    <x v="9"/>
    <x v="1"/>
    <n v="155.29"/>
    <x v="0"/>
    <s v="remuneracion_por_actividad_economica"/>
  </r>
  <r>
    <x v="10"/>
    <x v="10"/>
    <x v="1"/>
    <n v="101.82"/>
    <x v="0"/>
    <s v="remuneracion_por_actividad_economica"/>
  </r>
  <r>
    <x v="11"/>
    <x v="11"/>
    <x v="1"/>
    <n v="618.51"/>
    <x v="0"/>
    <s v="remuneracion_por_actividad_economica"/>
  </r>
  <r>
    <x v="12"/>
    <x v="12"/>
    <x v="1"/>
    <n v="301.72000000000003"/>
    <x v="0"/>
    <s v="remuneracion_por_actividad_economica"/>
  </r>
  <r>
    <x v="13"/>
    <x v="13"/>
    <x v="1"/>
    <n v="416.11"/>
    <x v="0"/>
    <s v="remuneracion_por_actividad_economica"/>
  </r>
  <r>
    <x v="14"/>
    <x v="14"/>
    <x v="1"/>
    <n v="424.4"/>
    <x v="0"/>
    <s v="remuneracion_por_actividad_economica"/>
  </r>
  <r>
    <x v="15"/>
    <x v="15"/>
    <x v="1"/>
    <n v="164.72"/>
    <x v="0"/>
    <s v="remuneracion_por_actividad_economica"/>
  </r>
  <r>
    <x v="16"/>
    <x v="16"/>
    <x v="1"/>
    <n v="317.52999999999997"/>
    <x v="0"/>
    <s v="remuneracion_por_actividad_economica"/>
  </r>
  <r>
    <x v="17"/>
    <x v="17"/>
    <x v="1"/>
    <n v="3.16"/>
    <x v="0"/>
    <s v="remuneracion_por_actividad_economica"/>
  </r>
  <r>
    <x v="18"/>
    <x v="18"/>
    <x v="1"/>
    <n v="184.76"/>
    <x v="0"/>
    <s v="remuneracion_por_actividad_economica"/>
  </r>
  <r>
    <x v="19"/>
    <x v="19"/>
    <x v="1"/>
    <n v="154.93"/>
    <x v="0"/>
    <s v="remuneracion_por_actividad_economica"/>
  </r>
  <r>
    <x v="20"/>
    <x v="20"/>
    <x v="1"/>
    <n v="140.03"/>
    <x v="0"/>
    <s v="remuneracion_por_actividad_economica"/>
  </r>
  <r>
    <x v="21"/>
    <x v="21"/>
    <x v="1"/>
    <n v="64.930000000000007"/>
    <x v="0"/>
    <s v="remuneracion_por_actividad_economica"/>
  </r>
  <r>
    <x v="22"/>
    <x v="22"/>
    <x v="1"/>
    <n v="143.03"/>
    <x v="0"/>
    <s v="remuneracion_por_actividad_economica"/>
  </r>
  <r>
    <x v="23"/>
    <x v="23"/>
    <x v="1"/>
    <n v="265.2"/>
    <x v="0"/>
    <s v="remuneracion_por_actividad_economica"/>
  </r>
  <r>
    <x v="24"/>
    <x v="24"/>
    <x v="1"/>
    <m/>
    <x v="0"/>
    <s v="remuneracion_por_actividad_economica"/>
  </r>
  <r>
    <x v="25"/>
    <x v="25"/>
    <x v="1"/>
    <m/>
    <x v="0"/>
    <s v="remuneracion_por_actividad_economica"/>
  </r>
  <r>
    <x v="0"/>
    <x v="0"/>
    <x v="2"/>
    <n v="3832.64"/>
    <x v="0"/>
    <s v="remuneracion_por_actividad_economica"/>
  </r>
  <r>
    <x v="1"/>
    <x v="1"/>
    <x v="2"/>
    <n v="1595.32"/>
    <x v="0"/>
    <s v="remuneracion_por_actividad_economica"/>
  </r>
  <r>
    <x v="2"/>
    <x v="2"/>
    <x v="2"/>
    <n v="210.58"/>
    <x v="0"/>
    <s v="remuneracion_por_actividad_economica"/>
  </r>
  <r>
    <x v="3"/>
    <x v="3"/>
    <x v="2"/>
    <n v="2.52"/>
    <x v="0"/>
    <s v="remuneracion_por_actividad_economica"/>
  </r>
  <r>
    <x v="4"/>
    <x v="4"/>
    <x v="2"/>
    <n v="122.93"/>
    <x v="0"/>
    <s v="remuneracion_por_actividad_economica"/>
  </r>
  <r>
    <x v="5"/>
    <x v="5"/>
    <x v="2"/>
    <n v="129.11000000000001"/>
    <x v="0"/>
    <s v="remuneracion_por_actividad_economica"/>
  </r>
  <r>
    <x v="6"/>
    <x v="6"/>
    <x v="2"/>
    <n v="32.06"/>
    <x v="0"/>
    <s v="remuneracion_por_actividad_economica"/>
  </r>
  <r>
    <x v="7"/>
    <x v="7"/>
    <x v="2"/>
    <n v="89.88"/>
    <x v="0"/>
    <s v="remuneracion_por_actividad_economica"/>
  </r>
  <r>
    <x v="8"/>
    <x v="8"/>
    <x v="2"/>
    <n v="165.5"/>
    <x v="0"/>
    <s v="remuneracion_por_actividad_economica"/>
  </r>
  <r>
    <x v="9"/>
    <x v="9"/>
    <x v="2"/>
    <n v="84.66"/>
    <x v="0"/>
    <s v="remuneracion_por_actividad_economica"/>
  </r>
  <r>
    <x v="10"/>
    <x v="10"/>
    <x v="2"/>
    <n v="14.34"/>
    <x v="0"/>
    <s v="remuneracion_por_actividad_economica"/>
  </r>
  <r>
    <x v="11"/>
    <x v="11"/>
    <x v="2"/>
    <n v="200.91"/>
    <x v="0"/>
    <s v="remuneracion_por_actividad_economica"/>
  </r>
  <r>
    <x v="12"/>
    <x v="12"/>
    <x v="2"/>
    <n v="80.45"/>
    <x v="0"/>
    <s v="remuneracion_por_actividad_economica"/>
  </r>
  <r>
    <x v="13"/>
    <x v="13"/>
    <x v="2"/>
    <n v="248.95"/>
    <x v="0"/>
    <s v="remuneracion_por_actividad_economica"/>
  </r>
  <r>
    <x v="14"/>
    <x v="14"/>
    <x v="2"/>
    <n v="223.43"/>
    <x v="0"/>
    <s v="remuneracion_por_actividad_economica"/>
  </r>
  <r>
    <x v="15"/>
    <x v="15"/>
    <x v="2"/>
    <n v="139.80000000000001"/>
    <x v="0"/>
    <s v="remuneracion_por_actividad_economica"/>
  </r>
  <r>
    <x v="16"/>
    <x v="16"/>
    <x v="2"/>
    <n v="98.34"/>
    <x v="0"/>
    <s v="remuneracion_por_actividad_economica"/>
  </r>
  <r>
    <x v="17"/>
    <x v="17"/>
    <x v="2"/>
    <n v="9.57"/>
    <x v="0"/>
    <s v="remuneracion_por_actividad_economica"/>
  </r>
  <r>
    <x v="18"/>
    <x v="18"/>
    <x v="2"/>
    <n v="86.94"/>
    <x v="0"/>
    <s v="remuneracion_por_actividad_economica"/>
  </r>
  <r>
    <x v="19"/>
    <x v="19"/>
    <x v="2"/>
    <n v="32.19"/>
    <x v="0"/>
    <s v="remuneracion_por_actividad_economica"/>
  </r>
  <r>
    <x v="20"/>
    <x v="20"/>
    <x v="2"/>
    <n v="60.99"/>
    <x v="0"/>
    <s v="remuneracion_por_actividad_economica"/>
  </r>
  <r>
    <x v="21"/>
    <x v="21"/>
    <x v="2"/>
    <n v="18.71"/>
    <x v="0"/>
    <s v="remuneracion_por_actividad_economica"/>
  </r>
  <r>
    <x v="22"/>
    <x v="22"/>
    <x v="2"/>
    <n v="61.15"/>
    <x v="0"/>
    <s v="remuneracion_por_actividad_economica"/>
  </r>
  <r>
    <x v="23"/>
    <x v="23"/>
    <x v="2"/>
    <n v="19.95"/>
    <x v="0"/>
    <s v="remuneracion_por_actividad_economica"/>
  </r>
  <r>
    <x v="24"/>
    <x v="24"/>
    <x v="2"/>
    <n v="104.36"/>
    <x v="0"/>
    <s v="remuneracion_por_actividad_economica"/>
  </r>
  <r>
    <x v="25"/>
    <x v="25"/>
    <x v="2"/>
    <m/>
    <x v="0"/>
    <s v="remuneracion_por_actividad_economica"/>
  </r>
  <r>
    <x v="0"/>
    <x v="0"/>
    <x v="5"/>
    <n v="27366.58"/>
    <x v="0"/>
    <s v="remuneracion_por_actividad_economica"/>
  </r>
  <r>
    <x v="1"/>
    <x v="1"/>
    <x v="5"/>
    <n v="3182.83"/>
    <x v="0"/>
    <s v="remuneracion_por_actividad_economica"/>
  </r>
  <r>
    <x v="2"/>
    <x v="2"/>
    <x v="5"/>
    <n v="779.35"/>
    <x v="0"/>
    <s v="remuneracion_por_actividad_economica"/>
  </r>
  <r>
    <x v="3"/>
    <x v="3"/>
    <x v="5"/>
    <n v="19.420000000000002"/>
    <x v="0"/>
    <s v="remuneracion_por_actividad_economica"/>
  </r>
  <r>
    <x v="4"/>
    <x v="4"/>
    <x v="5"/>
    <n v="1629.44"/>
    <x v="0"/>
    <s v="remuneracion_por_actividad_economica"/>
  </r>
  <r>
    <x v="5"/>
    <x v="5"/>
    <x v="5"/>
    <n v="695.63"/>
    <x v="0"/>
    <s v="remuneracion_por_actividad_economica"/>
  </r>
  <r>
    <x v="6"/>
    <x v="6"/>
    <x v="5"/>
    <n v="383.65"/>
    <x v="0"/>
    <s v="remuneracion_por_actividad_economica"/>
  </r>
  <r>
    <x v="7"/>
    <x v="7"/>
    <x v="5"/>
    <n v="157.38"/>
    <x v="0"/>
    <s v="remuneracion_por_actividad_economica"/>
  </r>
  <r>
    <x v="8"/>
    <x v="8"/>
    <x v="5"/>
    <n v="623.30999999999995"/>
    <x v="0"/>
    <s v="remuneracion_por_actividad_economica"/>
  </r>
  <r>
    <x v="9"/>
    <x v="9"/>
    <x v="5"/>
    <n v="122.35"/>
    <x v="0"/>
    <s v="remuneracion_por_actividad_economica"/>
  </r>
  <r>
    <x v="10"/>
    <x v="10"/>
    <x v="5"/>
    <n v="772.73"/>
    <x v="0"/>
    <s v="remuneracion_por_actividad_economica"/>
  </r>
  <r>
    <x v="11"/>
    <x v="11"/>
    <x v="5"/>
    <n v="2096.59"/>
    <x v="0"/>
    <s v="remuneracion_por_actividad_economica"/>
  </r>
  <r>
    <x v="12"/>
    <x v="12"/>
    <x v="5"/>
    <n v="608.03"/>
    <x v="0"/>
    <s v="remuneracion_por_actividad_economica"/>
  </r>
  <r>
    <x v="13"/>
    <x v="13"/>
    <x v="5"/>
    <n v="1441.69"/>
    <x v="0"/>
    <s v="remuneracion_por_actividad_economica"/>
  </r>
  <r>
    <x v="14"/>
    <x v="14"/>
    <x v="5"/>
    <n v="1367.01"/>
    <x v="0"/>
    <s v="remuneracion_por_actividad_economica"/>
  </r>
  <r>
    <x v="15"/>
    <x v="15"/>
    <x v="5"/>
    <n v="1149.72"/>
    <x v="0"/>
    <s v="remuneracion_por_actividad_economica"/>
  </r>
  <r>
    <x v="16"/>
    <x v="16"/>
    <x v="5"/>
    <n v="1494.08"/>
    <x v="0"/>
    <s v="remuneracion_por_actividad_economica"/>
  </r>
  <r>
    <x v="17"/>
    <x v="17"/>
    <x v="5"/>
    <n v="2541.04"/>
    <x v="0"/>
    <s v="remuneracion_por_actividad_economica"/>
  </r>
  <r>
    <x v="18"/>
    <x v="18"/>
    <x v="5"/>
    <n v="3471.33"/>
    <x v="0"/>
    <s v="remuneracion_por_actividad_economica"/>
  </r>
  <r>
    <x v="19"/>
    <x v="19"/>
    <x v="5"/>
    <n v="3140.11"/>
    <x v="0"/>
    <s v="remuneracion_por_actividad_economica"/>
  </r>
  <r>
    <x v="20"/>
    <x v="20"/>
    <x v="5"/>
    <n v="1334.72"/>
    <x v="0"/>
    <s v="remuneracion_por_actividad_economica"/>
  </r>
  <r>
    <x v="21"/>
    <x v="21"/>
    <x v="5"/>
    <n v="95.12"/>
    <x v="0"/>
    <s v="remuneracion_por_actividad_economica"/>
  </r>
  <r>
    <x v="22"/>
    <x v="22"/>
    <x v="5"/>
    <n v="161.31"/>
    <x v="0"/>
    <s v="remuneracion_por_actividad_economica"/>
  </r>
  <r>
    <x v="23"/>
    <x v="23"/>
    <x v="5"/>
    <n v="99.74"/>
    <x v="0"/>
    <s v="remuneracion_por_actividad_economica"/>
  </r>
  <r>
    <x v="24"/>
    <x v="24"/>
    <x v="5"/>
    <m/>
    <x v="0"/>
    <s v="remuneracion_por_actividad_economica"/>
  </r>
  <r>
    <x v="25"/>
    <x v="25"/>
    <x v="5"/>
    <m/>
    <x v="0"/>
    <s v="remuneracion_por_actividad_economica"/>
  </r>
  <r>
    <x v="0"/>
    <x v="0"/>
    <x v="3"/>
    <n v="6042.31"/>
    <x v="0"/>
    <s v="remuneracion_por_actividad_economica"/>
  </r>
  <r>
    <x v="1"/>
    <x v="1"/>
    <x v="3"/>
    <n v="1597.63"/>
    <x v="0"/>
    <s v="remuneracion_por_actividad_economica"/>
  </r>
  <r>
    <x v="2"/>
    <x v="2"/>
    <x v="3"/>
    <n v="205.51"/>
    <x v="0"/>
    <s v="remuneracion_por_actividad_economica"/>
  </r>
  <r>
    <x v="3"/>
    <x v="3"/>
    <x v="3"/>
    <m/>
    <x v="0"/>
    <s v="remuneracion_por_actividad_economica"/>
  </r>
  <r>
    <x v="4"/>
    <x v="4"/>
    <x v="3"/>
    <n v="331.03"/>
    <x v="0"/>
    <s v="remuneracion_por_actividad_economica"/>
  </r>
  <r>
    <x v="5"/>
    <x v="5"/>
    <x v="3"/>
    <n v="370.19"/>
    <x v="0"/>
    <s v="remuneracion_por_actividad_economica"/>
  </r>
  <r>
    <x v="6"/>
    <x v="6"/>
    <x v="3"/>
    <n v="54.29"/>
    <x v="0"/>
    <s v="remuneracion_por_actividad_economica"/>
  </r>
  <r>
    <x v="7"/>
    <x v="7"/>
    <x v="3"/>
    <n v="46.81"/>
    <x v="0"/>
    <s v="remuneracion_por_actividad_economica"/>
  </r>
  <r>
    <x v="8"/>
    <x v="8"/>
    <x v="3"/>
    <n v="171.59"/>
    <x v="0"/>
    <s v="remuneracion_por_actividad_economica"/>
  </r>
  <r>
    <x v="9"/>
    <x v="9"/>
    <x v="3"/>
    <n v="140.03"/>
    <x v="0"/>
    <s v="remuneracion_por_actividad_economica"/>
  </r>
  <r>
    <x v="10"/>
    <x v="10"/>
    <x v="3"/>
    <n v="219.69"/>
    <x v="0"/>
    <s v="remuneracion_por_actividad_economica"/>
  </r>
  <r>
    <x v="11"/>
    <x v="11"/>
    <x v="3"/>
    <n v="495.01"/>
    <x v="0"/>
    <s v="remuneracion_por_actividad_economica"/>
  </r>
  <r>
    <x v="12"/>
    <x v="12"/>
    <x v="3"/>
    <n v="232.29"/>
    <x v="0"/>
    <s v="remuneracion_por_actividad_economica"/>
  </r>
  <r>
    <x v="13"/>
    <x v="13"/>
    <x v="3"/>
    <n v="422.05"/>
    <x v="0"/>
    <s v="remuneracion_por_actividad_economica"/>
  </r>
  <r>
    <x v="14"/>
    <x v="14"/>
    <x v="3"/>
    <n v="445.48"/>
    <x v="0"/>
    <s v="remuneracion_por_actividad_economica"/>
  </r>
  <r>
    <x v="15"/>
    <x v="15"/>
    <x v="3"/>
    <n v="219.1"/>
    <x v="0"/>
    <s v="remuneracion_por_actividad_economica"/>
  </r>
  <r>
    <x v="16"/>
    <x v="16"/>
    <x v="3"/>
    <n v="400.27"/>
    <x v="0"/>
    <s v="remuneracion_por_actividad_economica"/>
  </r>
  <r>
    <x v="17"/>
    <x v="17"/>
    <x v="3"/>
    <n v="14.88"/>
    <x v="0"/>
    <s v="remuneracion_por_actividad_economica"/>
  </r>
  <r>
    <x v="18"/>
    <x v="18"/>
    <x v="3"/>
    <n v="124.14"/>
    <x v="0"/>
    <s v="remuneracion_por_actividad_economica"/>
  </r>
  <r>
    <x v="19"/>
    <x v="19"/>
    <x v="3"/>
    <n v="132.04"/>
    <x v="0"/>
    <s v="remuneracion_por_actividad_economica"/>
  </r>
  <r>
    <x v="20"/>
    <x v="20"/>
    <x v="3"/>
    <n v="60.11"/>
    <x v="0"/>
    <s v="remuneracion_por_actividad_economica"/>
  </r>
  <r>
    <x v="21"/>
    <x v="21"/>
    <x v="3"/>
    <n v="37.36"/>
    <x v="0"/>
    <s v="remuneracion_por_actividad_economica"/>
  </r>
  <r>
    <x v="22"/>
    <x v="22"/>
    <x v="3"/>
    <n v="95.9"/>
    <x v="0"/>
    <s v="remuneracion_por_actividad_economica"/>
  </r>
  <r>
    <x v="23"/>
    <x v="23"/>
    <x v="3"/>
    <n v="51.09"/>
    <x v="0"/>
    <s v="remuneracion_por_actividad_economica"/>
  </r>
  <r>
    <x v="24"/>
    <x v="24"/>
    <x v="3"/>
    <n v="175.82"/>
    <x v="0"/>
    <s v="remuneracion_por_actividad_economica"/>
  </r>
  <r>
    <x v="25"/>
    <x v="25"/>
    <x v="3"/>
    <m/>
    <x v="0"/>
    <s v="remuneracion_por_actividad_economica"/>
  </r>
  <r>
    <x v="0"/>
    <x v="0"/>
    <x v="6"/>
    <n v="1754.05"/>
    <x v="0"/>
    <s v="remuneracion_por_actividad_economica"/>
  </r>
  <r>
    <x v="1"/>
    <x v="1"/>
    <x v="6"/>
    <n v="751.89"/>
    <x v="0"/>
    <s v="remuneracion_por_actividad_economica"/>
  </r>
  <r>
    <x v="2"/>
    <x v="2"/>
    <x v="6"/>
    <n v="96.72"/>
    <x v="0"/>
    <s v="remuneracion_por_actividad_economica"/>
  </r>
  <r>
    <x v="3"/>
    <x v="3"/>
    <x v="6"/>
    <m/>
    <x v="0"/>
    <s v="remuneracion_por_actividad_economica"/>
  </r>
  <r>
    <x v="4"/>
    <x v="4"/>
    <x v="6"/>
    <n v="24.49"/>
    <x v="0"/>
    <s v="remuneracion_por_actividad_economica"/>
  </r>
  <r>
    <x v="5"/>
    <x v="5"/>
    <x v="6"/>
    <n v="20.329999999999998"/>
    <x v="0"/>
    <s v="remuneracion_por_actividad_economica"/>
  </r>
  <r>
    <x v="6"/>
    <x v="6"/>
    <x v="6"/>
    <n v="64.349999999999994"/>
    <x v="0"/>
    <s v="remuneracion_por_actividad_economica"/>
  </r>
  <r>
    <x v="7"/>
    <x v="7"/>
    <x v="6"/>
    <n v="25.57"/>
    <x v="0"/>
    <s v="remuneracion_por_actividad_economica"/>
  </r>
  <r>
    <x v="8"/>
    <x v="8"/>
    <x v="6"/>
    <n v="66.760000000000005"/>
    <x v="0"/>
    <s v="remuneracion_por_actividad_economica"/>
  </r>
  <r>
    <x v="9"/>
    <x v="9"/>
    <x v="6"/>
    <n v="40.340000000000003"/>
    <x v="0"/>
    <s v="remuneracion_por_actividad_economica"/>
  </r>
  <r>
    <x v="10"/>
    <x v="10"/>
    <x v="6"/>
    <n v="53.7"/>
    <x v="0"/>
    <s v="remuneracion_por_actividad_economica"/>
  </r>
  <r>
    <x v="11"/>
    <x v="11"/>
    <x v="6"/>
    <n v="129.96"/>
    <x v="0"/>
    <s v="remuneracion_por_actividad_economica"/>
  </r>
  <r>
    <x v="12"/>
    <x v="12"/>
    <x v="6"/>
    <n v="126.54"/>
    <x v="0"/>
    <s v="remuneracion_por_actividad_economica"/>
  </r>
  <r>
    <x v="13"/>
    <x v="13"/>
    <x v="6"/>
    <n v="69.47"/>
    <x v="0"/>
    <s v="remuneracion_por_actividad_economica"/>
  </r>
  <r>
    <x v="14"/>
    <x v="14"/>
    <x v="6"/>
    <n v="68.44"/>
    <x v="0"/>
    <s v="remuneracion_por_actividad_economica"/>
  </r>
  <r>
    <x v="15"/>
    <x v="15"/>
    <x v="6"/>
    <n v="20.99"/>
    <x v="0"/>
    <s v="remuneracion_por_actividad_economica"/>
  </r>
  <r>
    <x v="16"/>
    <x v="16"/>
    <x v="6"/>
    <n v="59.86"/>
    <x v="0"/>
    <s v="remuneracion_por_actividad_economica"/>
  </r>
  <r>
    <x v="17"/>
    <x v="17"/>
    <x v="6"/>
    <n v="0.67"/>
    <x v="0"/>
    <s v="remuneracion_por_actividad_economica"/>
  </r>
  <r>
    <x v="18"/>
    <x v="18"/>
    <x v="6"/>
    <n v="22.54"/>
    <x v="0"/>
    <s v="remuneracion_por_actividad_economica"/>
  </r>
  <r>
    <x v="19"/>
    <x v="19"/>
    <x v="6"/>
    <n v="4.5199999999999996"/>
    <x v="0"/>
    <s v="remuneracion_por_actividad_economica"/>
  </r>
  <r>
    <x v="20"/>
    <x v="20"/>
    <x v="6"/>
    <n v="35.96"/>
    <x v="0"/>
    <s v="remuneracion_por_actividad_economica"/>
  </r>
  <r>
    <x v="21"/>
    <x v="21"/>
    <x v="6"/>
    <m/>
    <x v="0"/>
    <s v="remuneracion_por_actividad_economica"/>
  </r>
  <r>
    <x v="22"/>
    <x v="22"/>
    <x v="6"/>
    <n v="22.81"/>
    <x v="0"/>
    <s v="remuneracion_por_actividad_economica"/>
  </r>
  <r>
    <x v="23"/>
    <x v="23"/>
    <x v="6"/>
    <n v="10.75"/>
    <x v="0"/>
    <s v="remuneracion_por_actividad_economica"/>
  </r>
  <r>
    <x v="24"/>
    <x v="24"/>
    <x v="6"/>
    <n v="37.39"/>
    <x v="0"/>
    <s v="remuneracion_por_actividad_economica"/>
  </r>
  <r>
    <x v="25"/>
    <x v="25"/>
    <x v="6"/>
    <m/>
    <x v="0"/>
    <s v="remuneracion_por_actividad_economica"/>
  </r>
  <r>
    <x v="0"/>
    <x v="0"/>
    <x v="4"/>
    <n v="118530.32"/>
    <x v="1"/>
    <s v="remuneracion_por_actividad_economica"/>
  </r>
  <r>
    <x v="1"/>
    <x v="1"/>
    <x v="4"/>
    <n v="22330.95"/>
    <x v="1"/>
    <s v="remuneracion_por_actividad_economica"/>
  </r>
  <r>
    <x v="2"/>
    <x v="2"/>
    <x v="4"/>
    <n v="3270.92"/>
    <x v="1"/>
    <s v="remuneracion_por_actividad_economica"/>
  </r>
  <r>
    <x v="3"/>
    <x v="3"/>
    <x v="4"/>
    <n v="570.42999999999995"/>
    <x v="1"/>
    <s v="remuneracion_por_actividad_economica"/>
  </r>
  <r>
    <x v="4"/>
    <x v="4"/>
    <x v="4"/>
    <n v="2719.97"/>
    <x v="1"/>
    <s v="remuneracion_por_actividad_economica"/>
  </r>
  <r>
    <x v="5"/>
    <x v="5"/>
    <x v="4"/>
    <n v="3236.73"/>
    <x v="1"/>
    <s v="remuneracion_por_actividad_economica"/>
  </r>
  <r>
    <x v="6"/>
    <x v="6"/>
    <x v="4"/>
    <n v="2575.7399999999998"/>
    <x v="1"/>
    <s v="remuneracion_por_actividad_economica"/>
  </r>
  <r>
    <x v="7"/>
    <x v="7"/>
    <x v="4"/>
    <n v="1241.52"/>
    <x v="1"/>
    <s v="remuneracion_por_actividad_economica"/>
  </r>
  <r>
    <x v="8"/>
    <x v="8"/>
    <x v="4"/>
    <n v="4079.45"/>
    <x v="1"/>
    <s v="remuneracion_por_actividad_economica"/>
  </r>
  <r>
    <x v="9"/>
    <x v="9"/>
    <x v="4"/>
    <n v="935.79"/>
    <x v="1"/>
    <s v="remuneracion_por_actividad_economica"/>
  </r>
  <r>
    <x v="10"/>
    <x v="10"/>
    <x v="4"/>
    <n v="7815.78"/>
    <x v="1"/>
    <s v="remuneracion_por_actividad_economica"/>
  </r>
  <r>
    <x v="11"/>
    <x v="11"/>
    <x v="4"/>
    <n v="10562.8"/>
    <x v="1"/>
    <s v="remuneracion_por_actividad_economica"/>
  </r>
  <r>
    <x v="12"/>
    <x v="12"/>
    <x v="4"/>
    <n v="4153.1400000000003"/>
    <x v="1"/>
    <s v="remuneracion_por_actividad_economica"/>
  </r>
  <r>
    <x v="13"/>
    <x v="13"/>
    <x v="4"/>
    <n v="5425.99"/>
    <x v="1"/>
    <s v="remuneracion_por_actividad_economica"/>
  </r>
  <r>
    <x v="14"/>
    <x v="14"/>
    <x v="4"/>
    <n v="4512.37"/>
    <x v="1"/>
    <s v="remuneracion_por_actividad_economica"/>
  </r>
  <r>
    <x v="15"/>
    <x v="15"/>
    <x v="4"/>
    <n v="5962.55"/>
    <x v="1"/>
    <s v="remuneracion_por_actividad_economica"/>
  </r>
  <r>
    <x v="16"/>
    <x v="16"/>
    <x v="4"/>
    <n v="4488.1899999999996"/>
    <x v="1"/>
    <s v="remuneracion_por_actividad_economica"/>
  </r>
  <r>
    <x v="17"/>
    <x v="17"/>
    <x v="4"/>
    <n v="3047.61"/>
    <x v="1"/>
    <s v="remuneracion_por_actividad_economica"/>
  </r>
  <r>
    <x v="18"/>
    <x v="18"/>
    <x v="4"/>
    <n v="4346.47"/>
    <x v="1"/>
    <s v="remuneracion_por_actividad_economica"/>
  </r>
  <r>
    <x v="19"/>
    <x v="19"/>
    <x v="4"/>
    <n v="7146.61"/>
    <x v="1"/>
    <s v="remuneracion_por_actividad_economica"/>
  </r>
  <r>
    <x v="20"/>
    <x v="20"/>
    <x v="4"/>
    <n v="12212.45"/>
    <x v="1"/>
    <s v="remuneracion_por_actividad_economica"/>
  </r>
  <r>
    <x v="21"/>
    <x v="21"/>
    <x v="4"/>
    <n v="2449.66"/>
    <x v="1"/>
    <s v="remuneracion_por_actividad_economica"/>
  </r>
  <r>
    <x v="22"/>
    <x v="22"/>
    <x v="4"/>
    <n v="1730.72"/>
    <x v="1"/>
    <s v="remuneracion_por_actividad_economica"/>
  </r>
  <r>
    <x v="23"/>
    <x v="23"/>
    <x v="4"/>
    <n v="1643.53"/>
    <x v="1"/>
    <s v="remuneracion_por_actividad_economica"/>
  </r>
  <r>
    <x v="24"/>
    <x v="24"/>
    <x v="4"/>
    <n v="2070.9499999999998"/>
    <x v="1"/>
    <s v="remuneracion_por_actividad_economica"/>
  </r>
  <r>
    <x v="25"/>
    <x v="25"/>
    <x v="4"/>
    <m/>
    <x v="1"/>
    <s v="remuneracion_por_actividad_economica"/>
  </r>
  <r>
    <x v="0"/>
    <x v="0"/>
    <x v="0"/>
    <n v="6973.62"/>
    <x v="1"/>
    <s v="remuneracion_por_actividad_economica"/>
  </r>
  <r>
    <x v="1"/>
    <x v="1"/>
    <x v="0"/>
    <n v="1855.75"/>
    <x v="1"/>
    <s v="remuneracion_por_actividad_economica"/>
  </r>
  <r>
    <x v="2"/>
    <x v="2"/>
    <x v="0"/>
    <n v="278.14"/>
    <x v="1"/>
    <s v="remuneracion_por_actividad_economica"/>
  </r>
  <r>
    <x v="3"/>
    <x v="3"/>
    <x v="0"/>
    <m/>
    <x v="1"/>
    <s v="remuneracion_por_actividad_economica"/>
  </r>
  <r>
    <x v="4"/>
    <x v="4"/>
    <x v="0"/>
    <n v="63.12"/>
    <x v="1"/>
    <s v="remuneracion_por_actividad_economica"/>
  </r>
  <r>
    <x v="5"/>
    <x v="5"/>
    <x v="0"/>
    <n v="79.89"/>
    <x v="1"/>
    <s v="remuneracion_por_actividad_economica"/>
  </r>
  <r>
    <x v="6"/>
    <x v="6"/>
    <x v="0"/>
    <n v="78.84"/>
    <x v="1"/>
    <s v="remuneracion_por_actividad_economica"/>
  </r>
  <r>
    <x v="7"/>
    <x v="7"/>
    <x v="0"/>
    <n v="399.62"/>
    <x v="1"/>
    <s v="remuneracion_por_actividad_economica"/>
  </r>
  <r>
    <x v="8"/>
    <x v="8"/>
    <x v="0"/>
    <n v="411.6"/>
    <x v="1"/>
    <s v="remuneracion_por_actividad_economica"/>
  </r>
  <r>
    <x v="9"/>
    <x v="9"/>
    <x v="0"/>
    <n v="171.28"/>
    <x v="1"/>
    <s v="remuneracion_por_actividad_economica"/>
  </r>
  <r>
    <x v="10"/>
    <x v="10"/>
    <x v="0"/>
    <m/>
    <x v="1"/>
    <s v="remuneracion_por_actividad_economica"/>
  </r>
  <r>
    <x v="11"/>
    <x v="11"/>
    <x v="0"/>
    <n v="710.89"/>
    <x v="1"/>
    <s v="remuneracion_por_actividad_economica"/>
  </r>
  <r>
    <x v="12"/>
    <x v="12"/>
    <x v="0"/>
    <n v="276.82"/>
    <x v="1"/>
    <s v="remuneracion_por_actividad_economica"/>
  </r>
  <r>
    <x v="13"/>
    <x v="13"/>
    <x v="0"/>
    <n v="394.49"/>
    <x v="1"/>
    <s v="remuneracion_por_actividad_economica"/>
  </r>
  <r>
    <x v="14"/>
    <x v="14"/>
    <x v="0"/>
    <n v="298.91000000000003"/>
    <x v="1"/>
    <s v="remuneracion_por_actividad_economica"/>
  </r>
  <r>
    <x v="15"/>
    <x v="15"/>
    <x v="0"/>
    <n v="252.99"/>
    <x v="1"/>
    <s v="remuneracion_por_actividad_economica"/>
  </r>
  <r>
    <x v="16"/>
    <x v="16"/>
    <x v="0"/>
    <n v="384.97"/>
    <x v="1"/>
    <s v="remuneracion_por_actividad_economica"/>
  </r>
  <r>
    <x v="17"/>
    <x v="17"/>
    <x v="0"/>
    <n v="19.43"/>
    <x v="1"/>
    <s v="remuneracion_por_actividad_economica"/>
  </r>
  <r>
    <x v="18"/>
    <x v="18"/>
    <x v="0"/>
    <n v="149.66"/>
    <x v="1"/>
    <s v="remuneracion_por_actividad_economica"/>
  </r>
  <r>
    <x v="19"/>
    <x v="19"/>
    <x v="0"/>
    <n v="203.87"/>
    <x v="1"/>
    <s v="remuneracion_por_actividad_economica"/>
  </r>
  <r>
    <x v="20"/>
    <x v="20"/>
    <x v="0"/>
    <n v="18.440000000000001"/>
    <x v="1"/>
    <s v="remuneracion_por_actividad_economica"/>
  </r>
  <r>
    <x v="21"/>
    <x v="21"/>
    <x v="0"/>
    <n v="11.58"/>
    <x v="1"/>
    <s v="remuneracion_por_actividad_economica"/>
  </r>
  <r>
    <x v="22"/>
    <x v="22"/>
    <x v="0"/>
    <n v="127.65"/>
    <x v="1"/>
    <s v="remuneracion_por_actividad_economica"/>
  </r>
  <r>
    <x v="23"/>
    <x v="23"/>
    <x v="0"/>
    <n v="15.76"/>
    <x v="1"/>
    <s v="remuneracion_por_actividad_economica"/>
  </r>
  <r>
    <x v="24"/>
    <x v="24"/>
    <x v="0"/>
    <n v="467.74"/>
    <x v="1"/>
    <s v="remuneracion_por_actividad_economica"/>
  </r>
  <r>
    <x v="25"/>
    <x v="25"/>
    <x v="0"/>
    <n v="302.18"/>
    <x v="1"/>
    <s v="remuneracion_por_actividad_economica"/>
  </r>
  <r>
    <x v="0"/>
    <x v="0"/>
    <x v="1"/>
    <n v="6657.34"/>
    <x v="1"/>
    <s v="remuneracion_por_actividad_economica"/>
  </r>
  <r>
    <x v="1"/>
    <x v="1"/>
    <x v="1"/>
    <n v="1442.6"/>
    <x v="1"/>
    <s v="remuneracion_por_actividad_economica"/>
  </r>
  <r>
    <x v="2"/>
    <x v="2"/>
    <x v="1"/>
    <n v="235.61"/>
    <x v="1"/>
    <s v="remuneracion_por_actividad_economica"/>
  </r>
  <r>
    <x v="3"/>
    <x v="3"/>
    <x v="1"/>
    <m/>
    <x v="1"/>
    <s v="remuneracion_por_actividad_economica"/>
  </r>
  <r>
    <x v="4"/>
    <x v="4"/>
    <x v="1"/>
    <n v="255.25"/>
    <x v="1"/>
    <s v="remuneracion_por_actividad_economica"/>
  </r>
  <r>
    <x v="5"/>
    <x v="5"/>
    <x v="1"/>
    <n v="523.64"/>
    <x v="1"/>
    <s v="remuneracion_por_actividad_economica"/>
  </r>
  <r>
    <x v="6"/>
    <x v="6"/>
    <x v="1"/>
    <n v="147.97999999999999"/>
    <x v="1"/>
    <s v="remuneracion_por_actividad_economica"/>
  </r>
  <r>
    <x v="7"/>
    <x v="7"/>
    <x v="1"/>
    <n v="40.92"/>
    <x v="1"/>
    <s v="remuneracion_por_actividad_economica"/>
  </r>
  <r>
    <x v="8"/>
    <x v="8"/>
    <x v="1"/>
    <n v="239.3"/>
    <x v="1"/>
    <s v="remuneracion_por_actividad_economica"/>
  </r>
  <r>
    <x v="9"/>
    <x v="9"/>
    <x v="1"/>
    <n v="172.52"/>
    <x v="1"/>
    <s v="remuneracion_por_actividad_economica"/>
  </r>
  <r>
    <x v="10"/>
    <x v="10"/>
    <x v="1"/>
    <n v="126.34"/>
    <x v="1"/>
    <s v="remuneracion_por_actividad_economica"/>
  </r>
  <r>
    <x v="11"/>
    <x v="11"/>
    <x v="1"/>
    <n v="722.98"/>
    <x v="1"/>
    <s v="remuneracion_por_actividad_economica"/>
  </r>
  <r>
    <x v="12"/>
    <x v="12"/>
    <x v="1"/>
    <n v="335.69"/>
    <x v="1"/>
    <s v="remuneracion_por_actividad_economica"/>
  </r>
  <r>
    <x v="13"/>
    <x v="13"/>
    <x v="1"/>
    <n v="447.61"/>
    <x v="1"/>
    <s v="remuneracion_por_actividad_economica"/>
  </r>
  <r>
    <x v="14"/>
    <x v="14"/>
    <x v="1"/>
    <n v="426.53"/>
    <x v="1"/>
    <s v="remuneracion_por_actividad_economica"/>
  </r>
  <r>
    <x v="15"/>
    <x v="15"/>
    <x v="1"/>
    <n v="173.81"/>
    <x v="1"/>
    <s v="remuneracion_por_actividad_economica"/>
  </r>
  <r>
    <x v="16"/>
    <x v="16"/>
    <x v="1"/>
    <n v="327.62"/>
    <x v="1"/>
    <s v="remuneracion_por_actividad_economica"/>
  </r>
  <r>
    <x v="17"/>
    <x v="17"/>
    <x v="1"/>
    <n v="2.3199999999999998"/>
    <x v="1"/>
    <s v="remuneracion_por_actividad_economica"/>
  </r>
  <r>
    <x v="18"/>
    <x v="18"/>
    <x v="1"/>
    <n v="206.65"/>
    <x v="1"/>
    <s v="remuneracion_por_actividad_economica"/>
  </r>
  <r>
    <x v="19"/>
    <x v="19"/>
    <x v="1"/>
    <n v="156.99"/>
    <x v="1"/>
    <s v="remuneracion_por_actividad_economica"/>
  </r>
  <r>
    <x v="20"/>
    <x v="20"/>
    <x v="1"/>
    <n v="148.41999999999999"/>
    <x v="1"/>
    <s v="remuneracion_por_actividad_economica"/>
  </r>
  <r>
    <x v="21"/>
    <x v="21"/>
    <x v="1"/>
    <n v="73.05"/>
    <x v="1"/>
    <s v="remuneracion_por_actividad_economica"/>
  </r>
  <r>
    <x v="22"/>
    <x v="22"/>
    <x v="1"/>
    <n v="154.22"/>
    <x v="1"/>
    <s v="remuneracion_por_actividad_economica"/>
  </r>
  <r>
    <x v="23"/>
    <x v="23"/>
    <x v="1"/>
    <n v="297.29000000000002"/>
    <x v="1"/>
    <s v="remuneracion_por_actividad_economica"/>
  </r>
  <r>
    <x v="24"/>
    <x v="24"/>
    <x v="1"/>
    <m/>
    <x v="1"/>
    <s v="remuneracion_por_actividad_economica"/>
  </r>
  <r>
    <x v="25"/>
    <x v="25"/>
    <x v="1"/>
    <m/>
    <x v="1"/>
    <s v="remuneracion_por_actividad_economica"/>
  </r>
  <r>
    <x v="0"/>
    <x v="0"/>
    <x v="2"/>
    <n v="4005.28"/>
    <x v="1"/>
    <s v="remuneracion_por_actividad_economica"/>
  </r>
  <r>
    <x v="1"/>
    <x v="1"/>
    <x v="2"/>
    <n v="1697.3"/>
    <x v="1"/>
    <s v="remuneracion_por_actividad_economica"/>
  </r>
  <r>
    <x v="2"/>
    <x v="2"/>
    <x v="2"/>
    <n v="202.01"/>
    <x v="1"/>
    <s v="remuneracion_por_actividad_economica"/>
  </r>
  <r>
    <x v="3"/>
    <x v="3"/>
    <x v="2"/>
    <n v="2.29"/>
    <x v="1"/>
    <s v="remuneracion_por_actividad_economica"/>
  </r>
  <r>
    <x v="4"/>
    <x v="4"/>
    <x v="2"/>
    <n v="118.03"/>
    <x v="1"/>
    <s v="remuneracion_por_actividad_economica"/>
  </r>
  <r>
    <x v="5"/>
    <x v="5"/>
    <x v="2"/>
    <n v="58.45"/>
    <x v="1"/>
    <s v="remuneracion_por_actividad_economica"/>
  </r>
  <r>
    <x v="6"/>
    <x v="6"/>
    <x v="2"/>
    <n v="43.05"/>
    <x v="1"/>
    <s v="remuneracion_por_actividad_economica"/>
  </r>
  <r>
    <x v="7"/>
    <x v="7"/>
    <x v="2"/>
    <n v="75.900000000000006"/>
    <x v="1"/>
    <s v="remuneracion_por_actividad_economica"/>
  </r>
  <r>
    <x v="8"/>
    <x v="8"/>
    <x v="2"/>
    <n v="190.77"/>
    <x v="1"/>
    <s v="remuneracion_por_actividad_economica"/>
  </r>
  <r>
    <x v="9"/>
    <x v="9"/>
    <x v="2"/>
    <n v="120.51"/>
    <x v="1"/>
    <s v="remuneracion_por_actividad_economica"/>
  </r>
  <r>
    <x v="10"/>
    <x v="10"/>
    <x v="2"/>
    <n v="17.510000000000002"/>
    <x v="1"/>
    <s v="remuneracion_por_actividad_economica"/>
  </r>
  <r>
    <x v="11"/>
    <x v="11"/>
    <x v="2"/>
    <n v="218.46"/>
    <x v="1"/>
    <s v="remuneracion_por_actividad_economica"/>
  </r>
  <r>
    <x v="12"/>
    <x v="12"/>
    <x v="2"/>
    <n v="85.43"/>
    <x v="1"/>
    <s v="remuneracion_por_actividad_economica"/>
  </r>
  <r>
    <x v="13"/>
    <x v="13"/>
    <x v="2"/>
    <n v="234.34"/>
    <x v="1"/>
    <s v="remuneracion_por_actividad_economica"/>
  </r>
  <r>
    <x v="14"/>
    <x v="14"/>
    <x v="2"/>
    <n v="189.73"/>
    <x v="1"/>
    <s v="remuneracion_por_actividad_economica"/>
  </r>
  <r>
    <x v="15"/>
    <x v="15"/>
    <x v="2"/>
    <n v="162.4"/>
    <x v="1"/>
    <s v="remuneracion_por_actividad_economica"/>
  </r>
  <r>
    <x v="16"/>
    <x v="16"/>
    <x v="2"/>
    <n v="162.47"/>
    <x v="1"/>
    <s v="remuneracion_por_actividad_economica"/>
  </r>
  <r>
    <x v="17"/>
    <x v="17"/>
    <x v="2"/>
    <n v="15.64"/>
    <x v="1"/>
    <s v="remuneracion_por_actividad_economica"/>
  </r>
  <r>
    <x v="18"/>
    <x v="18"/>
    <x v="2"/>
    <n v="95.98"/>
    <x v="1"/>
    <s v="remuneracion_por_actividad_economica"/>
  </r>
  <r>
    <x v="19"/>
    <x v="19"/>
    <x v="2"/>
    <n v="36.51"/>
    <x v="1"/>
    <s v="remuneracion_por_actividad_economica"/>
  </r>
  <r>
    <x v="20"/>
    <x v="20"/>
    <x v="2"/>
    <n v="70.59"/>
    <x v="1"/>
    <s v="remuneracion_por_actividad_economica"/>
  </r>
  <r>
    <x v="21"/>
    <x v="21"/>
    <x v="2"/>
    <n v="24.75"/>
    <x v="1"/>
    <s v="remuneracion_por_actividad_economica"/>
  </r>
  <r>
    <x v="22"/>
    <x v="22"/>
    <x v="2"/>
    <n v="84.92"/>
    <x v="1"/>
    <s v="remuneracion_por_actividad_economica"/>
  </r>
  <r>
    <x v="23"/>
    <x v="23"/>
    <x v="2"/>
    <n v="40.729999999999997"/>
    <x v="1"/>
    <s v="remuneracion_por_actividad_economica"/>
  </r>
  <r>
    <x v="24"/>
    <x v="24"/>
    <x v="2"/>
    <n v="57.51"/>
    <x v="1"/>
    <s v="remuneracion_por_actividad_economica"/>
  </r>
  <r>
    <x v="25"/>
    <x v="25"/>
    <x v="2"/>
    <m/>
    <x v="1"/>
    <s v="remuneracion_por_actividad_economica"/>
  </r>
  <r>
    <x v="0"/>
    <x v="0"/>
    <x v="5"/>
    <n v="29451.200000000001"/>
    <x v="1"/>
    <s v="remuneracion_por_actividad_economica"/>
  </r>
  <r>
    <x v="1"/>
    <x v="1"/>
    <x v="5"/>
    <n v="3321.28"/>
    <x v="1"/>
    <s v="remuneracion_por_actividad_economica"/>
  </r>
  <r>
    <x v="2"/>
    <x v="2"/>
    <x v="5"/>
    <n v="818.51"/>
    <x v="1"/>
    <s v="remuneracion_por_actividad_economica"/>
  </r>
  <r>
    <x v="3"/>
    <x v="3"/>
    <x v="5"/>
    <n v="20.84"/>
    <x v="1"/>
    <s v="remuneracion_por_actividad_economica"/>
  </r>
  <r>
    <x v="4"/>
    <x v="4"/>
    <x v="5"/>
    <n v="1768.42"/>
    <x v="1"/>
    <s v="remuneracion_por_actividad_economica"/>
  </r>
  <r>
    <x v="5"/>
    <x v="5"/>
    <x v="5"/>
    <n v="714.15"/>
    <x v="1"/>
    <s v="remuneracion_por_actividad_economica"/>
  </r>
  <r>
    <x v="6"/>
    <x v="6"/>
    <x v="5"/>
    <n v="297.49"/>
    <x v="1"/>
    <s v="remuneracion_por_actividad_economica"/>
  </r>
  <r>
    <x v="7"/>
    <x v="7"/>
    <x v="5"/>
    <n v="172.21"/>
    <x v="1"/>
    <s v="remuneracion_por_actividad_economica"/>
  </r>
  <r>
    <x v="8"/>
    <x v="8"/>
    <x v="5"/>
    <n v="661.18"/>
    <x v="1"/>
    <s v="remuneracion_por_actividad_economica"/>
  </r>
  <r>
    <x v="9"/>
    <x v="9"/>
    <x v="5"/>
    <n v="121.11"/>
    <x v="1"/>
    <s v="remuneracion_por_actividad_economica"/>
  </r>
  <r>
    <x v="10"/>
    <x v="10"/>
    <x v="5"/>
    <n v="733.94"/>
    <x v="1"/>
    <s v="remuneracion_por_actividad_economica"/>
  </r>
  <r>
    <x v="11"/>
    <x v="11"/>
    <x v="5"/>
    <n v="2188.56"/>
    <x v="1"/>
    <s v="remuneracion_por_actividad_economica"/>
  </r>
  <r>
    <x v="12"/>
    <x v="12"/>
    <x v="5"/>
    <n v="671.5"/>
    <x v="1"/>
    <s v="remuneracion_por_actividad_economica"/>
  </r>
  <r>
    <x v="13"/>
    <x v="13"/>
    <x v="5"/>
    <n v="1602.86"/>
    <x v="1"/>
    <s v="remuneracion_por_actividad_economica"/>
  </r>
  <r>
    <x v="14"/>
    <x v="14"/>
    <x v="5"/>
    <n v="1491.5"/>
    <x v="1"/>
    <s v="remuneracion_por_actividad_economica"/>
  </r>
  <r>
    <x v="15"/>
    <x v="15"/>
    <x v="5"/>
    <n v="1219.1300000000001"/>
    <x v="1"/>
    <s v="remuneracion_por_actividad_economica"/>
  </r>
  <r>
    <x v="16"/>
    <x v="16"/>
    <x v="5"/>
    <n v="1621.38"/>
    <x v="1"/>
    <s v="remuneracion_por_actividad_economica"/>
  </r>
  <r>
    <x v="17"/>
    <x v="17"/>
    <x v="5"/>
    <n v="2876.37"/>
    <x v="1"/>
    <s v="remuneracion_por_actividad_economica"/>
  </r>
  <r>
    <x v="18"/>
    <x v="18"/>
    <x v="5"/>
    <n v="3789.89"/>
    <x v="1"/>
    <s v="remuneracion_por_actividad_economica"/>
  </r>
  <r>
    <x v="19"/>
    <x v="19"/>
    <x v="5"/>
    <n v="3451.56"/>
    <x v="1"/>
    <s v="remuneracion_por_actividad_economica"/>
  </r>
  <r>
    <x v="20"/>
    <x v="20"/>
    <x v="5"/>
    <n v="1527.19"/>
    <x v="1"/>
    <s v="remuneracion_por_actividad_economica"/>
  </r>
  <r>
    <x v="21"/>
    <x v="21"/>
    <x v="5"/>
    <n v="107.25"/>
    <x v="1"/>
    <s v="remuneracion_por_actividad_economica"/>
  </r>
  <r>
    <x v="22"/>
    <x v="22"/>
    <x v="5"/>
    <n v="171.55"/>
    <x v="1"/>
    <s v="remuneracion_por_actividad_economica"/>
  </r>
  <r>
    <x v="23"/>
    <x v="23"/>
    <x v="5"/>
    <n v="103.33"/>
    <x v="1"/>
    <s v="remuneracion_por_actividad_economica"/>
  </r>
  <r>
    <x v="24"/>
    <x v="24"/>
    <x v="5"/>
    <m/>
    <x v="1"/>
    <s v="remuneracion_por_actividad_economica"/>
  </r>
  <r>
    <x v="25"/>
    <x v="25"/>
    <x v="5"/>
    <m/>
    <x v="1"/>
    <s v="remuneracion_por_actividad_economica"/>
  </r>
  <r>
    <x v="0"/>
    <x v="0"/>
    <x v="3"/>
    <n v="8298.9500000000007"/>
    <x v="1"/>
    <s v="remuneracion_por_actividad_economica"/>
  </r>
  <r>
    <x v="1"/>
    <x v="1"/>
    <x v="3"/>
    <n v="3080.1"/>
    <x v="1"/>
    <s v="remuneracion_por_actividad_economica"/>
  </r>
  <r>
    <x v="2"/>
    <x v="2"/>
    <x v="3"/>
    <n v="319.54000000000002"/>
    <x v="1"/>
    <s v="remuneracion_por_actividad_economica"/>
  </r>
  <r>
    <x v="3"/>
    <x v="3"/>
    <x v="3"/>
    <m/>
    <x v="1"/>
    <s v="remuneracion_por_actividad_economica"/>
  </r>
  <r>
    <x v="4"/>
    <x v="4"/>
    <x v="3"/>
    <n v="332.59"/>
    <x v="1"/>
    <s v="remuneracion_por_actividad_economica"/>
  </r>
  <r>
    <x v="5"/>
    <x v="5"/>
    <x v="3"/>
    <n v="421.88"/>
    <x v="1"/>
    <s v="remuneracion_por_actividad_economica"/>
  </r>
  <r>
    <x v="6"/>
    <x v="6"/>
    <x v="3"/>
    <n v="59.88"/>
    <x v="1"/>
    <s v="remuneracion_por_actividad_economica"/>
  </r>
  <r>
    <x v="7"/>
    <x v="7"/>
    <x v="3"/>
    <n v="45.03"/>
    <x v="1"/>
    <s v="remuneracion_por_actividad_economica"/>
  </r>
  <r>
    <x v="8"/>
    <x v="8"/>
    <x v="3"/>
    <n v="126.19"/>
    <x v="1"/>
    <s v="remuneracion_por_actividad_economica"/>
  </r>
  <r>
    <x v="9"/>
    <x v="9"/>
    <x v="3"/>
    <n v="157.22999999999999"/>
    <x v="1"/>
    <s v="remuneracion_por_actividad_economica"/>
  </r>
  <r>
    <x v="10"/>
    <x v="10"/>
    <x v="3"/>
    <n v="229.47"/>
    <x v="1"/>
    <s v="remuneracion_por_actividad_economica"/>
  </r>
  <r>
    <x v="11"/>
    <x v="11"/>
    <x v="3"/>
    <n v="642.57000000000005"/>
    <x v="1"/>
    <s v="remuneracion_por_actividad_economica"/>
  </r>
  <r>
    <x v="12"/>
    <x v="12"/>
    <x v="3"/>
    <n v="289.52"/>
    <x v="1"/>
    <s v="remuneracion_por_actividad_economica"/>
  </r>
  <r>
    <x v="13"/>
    <x v="13"/>
    <x v="3"/>
    <n v="551.66"/>
    <x v="1"/>
    <s v="remuneracion_por_actividad_economica"/>
  </r>
  <r>
    <x v="14"/>
    <x v="14"/>
    <x v="3"/>
    <n v="553.33000000000004"/>
    <x v="1"/>
    <s v="remuneracion_por_actividad_economica"/>
  </r>
  <r>
    <x v="15"/>
    <x v="15"/>
    <x v="3"/>
    <n v="297.32"/>
    <x v="1"/>
    <s v="remuneracion_por_actividad_economica"/>
  </r>
  <r>
    <x v="16"/>
    <x v="16"/>
    <x v="3"/>
    <n v="446.53"/>
    <x v="1"/>
    <s v="remuneracion_por_actividad_economica"/>
  </r>
  <r>
    <x v="17"/>
    <x v="17"/>
    <x v="3"/>
    <n v="10.65"/>
    <x v="1"/>
    <s v="remuneracion_por_actividad_economica"/>
  </r>
  <r>
    <x v="18"/>
    <x v="18"/>
    <x v="3"/>
    <n v="113.51"/>
    <x v="1"/>
    <s v="remuneracion_por_actividad_economica"/>
  </r>
  <r>
    <x v="19"/>
    <x v="19"/>
    <x v="3"/>
    <n v="130.55000000000001"/>
    <x v="1"/>
    <s v="remuneracion_por_actividad_economica"/>
  </r>
  <r>
    <x v="20"/>
    <x v="20"/>
    <x v="3"/>
    <n v="61.13"/>
    <x v="1"/>
    <s v="remuneracion_por_actividad_economica"/>
  </r>
  <r>
    <x v="21"/>
    <x v="21"/>
    <x v="3"/>
    <n v="32.549999999999997"/>
    <x v="1"/>
    <s v="remuneracion_por_actividad_economica"/>
  </r>
  <r>
    <x v="22"/>
    <x v="22"/>
    <x v="3"/>
    <n v="84.06"/>
    <x v="1"/>
    <s v="remuneracion_por_actividad_economica"/>
  </r>
  <r>
    <x v="23"/>
    <x v="23"/>
    <x v="3"/>
    <n v="162.36000000000001"/>
    <x v="1"/>
    <s v="remuneracion_por_actividad_economica"/>
  </r>
  <r>
    <x v="24"/>
    <x v="24"/>
    <x v="3"/>
    <n v="151.30000000000001"/>
    <x v="1"/>
    <s v="remuneracion_por_actividad_economica"/>
  </r>
  <r>
    <x v="25"/>
    <x v="25"/>
    <x v="3"/>
    <m/>
    <x v="1"/>
    <s v="remuneracion_por_actividad_economica"/>
  </r>
  <r>
    <x v="0"/>
    <x v="0"/>
    <x v="6"/>
    <n v="1935.37"/>
    <x v="1"/>
    <s v="remuneracion_por_actividad_economica"/>
  </r>
  <r>
    <x v="1"/>
    <x v="1"/>
    <x v="6"/>
    <n v="874.73"/>
    <x v="1"/>
    <s v="remuneracion_por_actividad_economica"/>
  </r>
  <r>
    <x v="2"/>
    <x v="2"/>
    <x v="6"/>
    <n v="110.31"/>
    <x v="1"/>
    <s v="remuneracion_por_actividad_economica"/>
  </r>
  <r>
    <x v="3"/>
    <x v="3"/>
    <x v="6"/>
    <m/>
    <x v="1"/>
    <s v="remuneracion_por_actividad_economica"/>
  </r>
  <r>
    <x v="4"/>
    <x v="4"/>
    <x v="6"/>
    <n v="26.92"/>
    <x v="1"/>
    <s v="remuneracion_por_actividad_economica"/>
  </r>
  <r>
    <x v="5"/>
    <x v="5"/>
    <x v="6"/>
    <n v="19.04"/>
    <x v="1"/>
    <s v="remuneracion_por_actividad_economica"/>
  </r>
  <r>
    <x v="6"/>
    <x v="6"/>
    <x v="6"/>
    <n v="64.5"/>
    <x v="1"/>
    <s v="remuneracion_por_actividad_economica"/>
  </r>
  <r>
    <x v="7"/>
    <x v="7"/>
    <x v="6"/>
    <n v="34.68"/>
    <x v="1"/>
    <s v="remuneracion_por_actividad_economica"/>
  </r>
  <r>
    <x v="8"/>
    <x v="8"/>
    <x v="6"/>
    <n v="62.27"/>
    <x v="1"/>
    <s v="remuneracion_por_actividad_economica"/>
  </r>
  <r>
    <x v="9"/>
    <x v="9"/>
    <x v="6"/>
    <n v="41.25"/>
    <x v="1"/>
    <s v="remuneracion_por_actividad_economica"/>
  </r>
  <r>
    <x v="10"/>
    <x v="10"/>
    <x v="6"/>
    <n v="42.27"/>
    <x v="1"/>
    <s v="remuneracion_por_actividad_economica"/>
  </r>
  <r>
    <x v="11"/>
    <x v="11"/>
    <x v="6"/>
    <n v="140.82"/>
    <x v="1"/>
    <s v="remuneracion_por_actividad_economica"/>
  </r>
  <r>
    <x v="12"/>
    <x v="12"/>
    <x v="6"/>
    <n v="143.65"/>
    <x v="1"/>
    <s v="remuneracion_por_actividad_economica"/>
  </r>
  <r>
    <x v="13"/>
    <x v="13"/>
    <x v="6"/>
    <n v="70.14"/>
    <x v="1"/>
    <s v="remuneracion_por_actividad_economica"/>
  </r>
  <r>
    <x v="14"/>
    <x v="14"/>
    <x v="6"/>
    <n v="71.5"/>
    <x v="1"/>
    <s v="remuneracion_por_actividad_economica"/>
  </r>
  <r>
    <x v="15"/>
    <x v="15"/>
    <x v="6"/>
    <n v="16.03"/>
    <x v="1"/>
    <s v="remuneracion_por_actividad_economica"/>
  </r>
  <r>
    <x v="16"/>
    <x v="16"/>
    <x v="6"/>
    <n v="57.14"/>
    <x v="1"/>
    <s v="remuneracion_por_actividad_economica"/>
  </r>
  <r>
    <x v="17"/>
    <x v="17"/>
    <x v="6"/>
    <n v="0.86"/>
    <x v="1"/>
    <s v="remuneracion_por_actividad_economica"/>
  </r>
  <r>
    <x v="18"/>
    <x v="18"/>
    <x v="6"/>
    <n v="18.27"/>
    <x v="1"/>
    <s v="remuneracion_por_actividad_economica"/>
  </r>
  <r>
    <x v="19"/>
    <x v="19"/>
    <x v="6"/>
    <n v="2.31"/>
    <x v="1"/>
    <s v="remuneracion_por_actividad_economica"/>
  </r>
  <r>
    <x v="20"/>
    <x v="20"/>
    <x v="6"/>
    <n v="50.66"/>
    <x v="1"/>
    <s v="remuneracion_por_actividad_economica"/>
  </r>
  <r>
    <x v="21"/>
    <x v="21"/>
    <x v="6"/>
    <m/>
    <x v="1"/>
    <s v="remuneracion_por_actividad_economica"/>
  </r>
  <r>
    <x v="22"/>
    <x v="22"/>
    <x v="6"/>
    <n v="21.23"/>
    <x v="1"/>
    <s v="remuneracion_por_actividad_economica"/>
  </r>
  <r>
    <x v="23"/>
    <x v="23"/>
    <x v="6"/>
    <n v="12.6"/>
    <x v="1"/>
    <s v="remuneracion_por_actividad_economica"/>
  </r>
  <r>
    <x v="24"/>
    <x v="24"/>
    <x v="6"/>
    <n v="54.19"/>
    <x v="1"/>
    <s v="remuneracion_por_actividad_economica"/>
  </r>
  <r>
    <x v="25"/>
    <x v="25"/>
    <x v="6"/>
    <m/>
    <x v="1"/>
    <s v="remuneracion_por_actividad_economica"/>
  </r>
  <r>
    <x v="0"/>
    <x v="0"/>
    <x v="4"/>
    <n v="106134.67"/>
    <x v="2"/>
    <s v="remuneracion_por_actividad_economica"/>
  </r>
  <r>
    <x v="1"/>
    <x v="1"/>
    <x v="4"/>
    <n v="19169.47"/>
    <x v="2"/>
    <s v="remuneracion_por_actividad_economica"/>
  </r>
  <r>
    <x v="2"/>
    <x v="2"/>
    <x v="4"/>
    <n v="2974.48"/>
    <x v="2"/>
    <s v="remuneracion_por_actividad_economica"/>
  </r>
  <r>
    <x v="3"/>
    <x v="3"/>
    <x v="4"/>
    <n v="525.12"/>
    <x v="2"/>
    <s v="remuneracion_por_actividad_economica"/>
  </r>
  <r>
    <x v="4"/>
    <x v="4"/>
    <x v="4"/>
    <n v="2407.12"/>
    <x v="2"/>
    <s v="remuneracion_por_actividad_economica"/>
  </r>
  <r>
    <x v="5"/>
    <x v="5"/>
    <x v="4"/>
    <n v="2811.67"/>
    <x v="2"/>
    <s v="remuneracion_por_actividad_economica"/>
  </r>
  <r>
    <x v="6"/>
    <x v="6"/>
    <x v="4"/>
    <n v="2242.64"/>
    <x v="2"/>
    <s v="remuneracion_por_actividad_economica"/>
  </r>
  <r>
    <x v="7"/>
    <x v="7"/>
    <x v="4"/>
    <n v="1157.73"/>
    <x v="2"/>
    <s v="remuneracion_por_actividad_economica"/>
  </r>
  <r>
    <x v="8"/>
    <x v="8"/>
    <x v="4"/>
    <n v="3708.74"/>
    <x v="2"/>
    <s v="remuneracion_por_actividad_economica"/>
  </r>
  <r>
    <x v="9"/>
    <x v="9"/>
    <x v="4"/>
    <n v="800.17"/>
    <x v="2"/>
    <s v="remuneracion_por_actividad_economica"/>
  </r>
  <r>
    <x v="10"/>
    <x v="10"/>
    <x v="4"/>
    <n v="6860.04"/>
    <x v="2"/>
    <s v="remuneracion_por_actividad_economica"/>
  </r>
  <r>
    <x v="11"/>
    <x v="11"/>
    <x v="4"/>
    <n v="10174.219999999999"/>
    <x v="2"/>
    <s v="remuneracion_por_actividad_economica"/>
  </r>
  <r>
    <x v="12"/>
    <x v="12"/>
    <x v="4"/>
    <n v="3804.31"/>
    <x v="2"/>
    <s v="remuneracion_por_actividad_economica"/>
  </r>
  <r>
    <x v="13"/>
    <x v="13"/>
    <x v="4"/>
    <n v="4867.71"/>
    <x v="2"/>
    <s v="remuneracion_por_actividad_economica"/>
  </r>
  <r>
    <x v="14"/>
    <x v="14"/>
    <x v="4"/>
    <n v="3976.13"/>
    <x v="2"/>
    <s v="remuneracion_por_actividad_economica"/>
  </r>
  <r>
    <x v="15"/>
    <x v="15"/>
    <x v="4"/>
    <n v="5511.23"/>
    <x v="2"/>
    <s v="remuneracion_por_actividad_economica"/>
  </r>
  <r>
    <x v="16"/>
    <x v="16"/>
    <x v="4"/>
    <n v="3996.64"/>
    <x v="2"/>
    <s v="remuneracion_por_actividad_economica"/>
  </r>
  <r>
    <x v="17"/>
    <x v="17"/>
    <x v="4"/>
    <n v="2679.25"/>
    <x v="2"/>
    <s v="remuneracion_por_actividad_economica"/>
  </r>
  <r>
    <x v="18"/>
    <x v="18"/>
    <x v="4"/>
    <n v="3802.13"/>
    <x v="2"/>
    <s v="remuneracion_por_actividad_economica"/>
  </r>
  <r>
    <x v="19"/>
    <x v="19"/>
    <x v="4"/>
    <n v="6319.54"/>
    <x v="2"/>
    <s v="remuneracion_por_actividad_economica"/>
  </r>
  <r>
    <x v="20"/>
    <x v="20"/>
    <x v="4"/>
    <n v="11092.6"/>
    <x v="2"/>
    <s v="remuneracion_por_actividad_economica"/>
  </r>
  <r>
    <x v="21"/>
    <x v="21"/>
    <x v="4"/>
    <n v="2079.6799999999998"/>
    <x v="2"/>
    <s v="remuneracion_por_actividad_economica"/>
  </r>
  <r>
    <x v="22"/>
    <x v="22"/>
    <x v="4"/>
    <n v="1638.05"/>
    <x v="2"/>
    <s v="remuneracion_por_actividad_economica"/>
  </r>
  <r>
    <x v="23"/>
    <x v="23"/>
    <x v="4"/>
    <n v="1513.64"/>
    <x v="2"/>
    <s v="remuneracion_por_actividad_economica"/>
  </r>
  <r>
    <x v="24"/>
    <x v="24"/>
    <x v="4"/>
    <n v="2022.36"/>
    <x v="2"/>
    <s v="remuneracion_por_actividad_economica"/>
  </r>
  <r>
    <x v="25"/>
    <x v="25"/>
    <x v="4"/>
    <m/>
    <x v="2"/>
    <s v="remuneracion_por_actividad_economica"/>
  </r>
  <r>
    <x v="0"/>
    <x v="0"/>
    <x v="0"/>
    <n v="9396.01"/>
    <x v="2"/>
    <s v="remuneracion_por_actividad_economica"/>
  </r>
  <r>
    <x v="1"/>
    <x v="1"/>
    <x v="0"/>
    <n v="2110"/>
    <x v="2"/>
    <s v="remuneracion_por_actividad_economica"/>
  </r>
  <r>
    <x v="2"/>
    <x v="2"/>
    <x v="0"/>
    <n v="349.82"/>
    <x v="2"/>
    <s v="remuneracion_por_actividad_economica"/>
  </r>
  <r>
    <x v="3"/>
    <x v="3"/>
    <x v="0"/>
    <m/>
    <x v="2"/>
    <s v="remuneracion_por_actividad_economica"/>
  </r>
  <r>
    <x v="4"/>
    <x v="4"/>
    <x v="0"/>
    <n v="72.89"/>
    <x v="2"/>
    <s v="remuneracion_por_actividad_economica"/>
  </r>
  <r>
    <x v="5"/>
    <x v="5"/>
    <x v="0"/>
    <n v="74.069999999999993"/>
    <x v="2"/>
    <s v="remuneracion_por_actividad_economica"/>
  </r>
  <r>
    <x v="6"/>
    <x v="6"/>
    <x v="0"/>
    <n v="84.01"/>
    <x v="2"/>
    <s v="remuneracion_por_actividad_economica"/>
  </r>
  <r>
    <x v="7"/>
    <x v="7"/>
    <x v="0"/>
    <n v="422"/>
    <x v="2"/>
    <s v="remuneracion_por_actividad_economica"/>
  </r>
  <r>
    <x v="8"/>
    <x v="8"/>
    <x v="0"/>
    <n v="439.34"/>
    <x v="2"/>
    <s v="remuneracion_por_actividad_economica"/>
  </r>
  <r>
    <x v="9"/>
    <x v="9"/>
    <x v="0"/>
    <n v="212.82"/>
    <x v="2"/>
    <s v="remuneracion_por_actividad_economica"/>
  </r>
  <r>
    <x v="10"/>
    <x v="10"/>
    <x v="0"/>
    <n v="1.1399999999999999"/>
    <x v="2"/>
    <s v="remuneracion_por_actividad_economica"/>
  </r>
  <r>
    <x v="11"/>
    <x v="11"/>
    <x v="0"/>
    <n v="2188.2600000000002"/>
    <x v="2"/>
    <s v="remuneracion_por_actividad_economica"/>
  </r>
  <r>
    <x v="12"/>
    <x v="12"/>
    <x v="0"/>
    <n v="265.83"/>
    <x v="2"/>
    <s v="remuneracion_por_actividad_economica"/>
  </r>
  <r>
    <x v="13"/>
    <x v="13"/>
    <x v="0"/>
    <n v="420.66"/>
    <x v="2"/>
    <s v="remuneracion_por_actividad_economica"/>
  </r>
  <r>
    <x v="14"/>
    <x v="14"/>
    <x v="0"/>
    <n v="358.05"/>
    <x v="2"/>
    <s v="remuneracion_por_actividad_economica"/>
  </r>
  <r>
    <x v="15"/>
    <x v="15"/>
    <x v="0"/>
    <n v="146.72999999999999"/>
    <x v="2"/>
    <s v="remuneracion_por_actividad_economica"/>
  </r>
  <r>
    <x v="16"/>
    <x v="16"/>
    <x v="0"/>
    <n v="1006.27"/>
    <x v="2"/>
    <s v="remuneracion_por_actividad_economica"/>
  </r>
  <r>
    <x v="17"/>
    <x v="17"/>
    <x v="0"/>
    <n v="55.69"/>
    <x v="2"/>
    <s v="remuneracion_por_actividad_economica"/>
  </r>
  <r>
    <x v="18"/>
    <x v="18"/>
    <x v="0"/>
    <n v="178.64"/>
    <x v="2"/>
    <s v="remuneracion_por_actividad_economica"/>
  </r>
  <r>
    <x v="19"/>
    <x v="19"/>
    <x v="0"/>
    <n v="299.83"/>
    <x v="2"/>
    <s v="remuneracion_por_actividad_economica"/>
  </r>
  <r>
    <x v="20"/>
    <x v="20"/>
    <x v="0"/>
    <n v="37.75"/>
    <x v="2"/>
    <s v="remuneracion_por_actividad_economica"/>
  </r>
  <r>
    <x v="21"/>
    <x v="21"/>
    <x v="0"/>
    <n v="12.22"/>
    <x v="2"/>
    <s v="remuneracion_por_actividad_economica"/>
  </r>
  <r>
    <x v="22"/>
    <x v="22"/>
    <x v="0"/>
    <n v="152.96"/>
    <x v="2"/>
    <s v="remuneracion_por_actividad_economica"/>
  </r>
  <r>
    <x v="23"/>
    <x v="23"/>
    <x v="0"/>
    <n v="17.07"/>
    <x v="2"/>
    <s v="remuneracion_por_actividad_economica"/>
  </r>
  <r>
    <x v="24"/>
    <x v="24"/>
    <x v="0"/>
    <n v="483.94"/>
    <x v="2"/>
    <s v="remuneracion_por_actividad_economica"/>
  </r>
  <r>
    <x v="25"/>
    <x v="25"/>
    <x v="0"/>
    <n v="6.02"/>
    <x v="2"/>
    <s v="remuneracion_por_actividad_economica"/>
  </r>
  <r>
    <x v="0"/>
    <x v="0"/>
    <x v="1"/>
    <n v="7004.59"/>
    <x v="2"/>
    <s v="remuneracion_por_actividad_economica"/>
  </r>
  <r>
    <x v="1"/>
    <x v="1"/>
    <x v="1"/>
    <n v="1518.37"/>
    <x v="2"/>
    <s v="remuneracion_por_actividad_economica"/>
  </r>
  <r>
    <x v="2"/>
    <x v="2"/>
    <x v="1"/>
    <n v="179.6"/>
    <x v="2"/>
    <s v="remuneracion_por_actividad_economica"/>
  </r>
  <r>
    <x v="3"/>
    <x v="3"/>
    <x v="1"/>
    <m/>
    <x v="2"/>
    <s v="remuneracion_por_actividad_economica"/>
  </r>
  <r>
    <x v="4"/>
    <x v="4"/>
    <x v="1"/>
    <n v="267.19"/>
    <x v="2"/>
    <s v="remuneracion_por_actividad_economica"/>
  </r>
  <r>
    <x v="5"/>
    <x v="5"/>
    <x v="1"/>
    <n v="528.79999999999995"/>
    <x v="2"/>
    <s v="remuneracion_por_actividad_economica"/>
  </r>
  <r>
    <x v="6"/>
    <x v="6"/>
    <x v="1"/>
    <n v="125.94"/>
    <x v="2"/>
    <s v="remuneracion_por_actividad_economica"/>
  </r>
  <r>
    <x v="7"/>
    <x v="7"/>
    <x v="1"/>
    <n v="36.96"/>
    <x v="2"/>
    <s v="remuneracion_por_actividad_economica"/>
  </r>
  <r>
    <x v="8"/>
    <x v="8"/>
    <x v="1"/>
    <n v="260.82"/>
    <x v="2"/>
    <s v="remuneracion_por_actividad_economica"/>
  </r>
  <r>
    <x v="9"/>
    <x v="9"/>
    <x v="1"/>
    <n v="177.49"/>
    <x v="2"/>
    <s v="remuneracion_por_actividad_economica"/>
  </r>
  <r>
    <x v="10"/>
    <x v="10"/>
    <x v="1"/>
    <n v="94.16"/>
    <x v="2"/>
    <s v="remuneracion_por_actividad_economica"/>
  </r>
  <r>
    <x v="11"/>
    <x v="11"/>
    <x v="1"/>
    <n v="746.18"/>
    <x v="2"/>
    <s v="remuneracion_por_actividad_economica"/>
  </r>
  <r>
    <x v="12"/>
    <x v="12"/>
    <x v="1"/>
    <n v="364.08"/>
    <x v="2"/>
    <s v="remuneracion_por_actividad_economica"/>
  </r>
  <r>
    <x v="13"/>
    <x v="13"/>
    <x v="1"/>
    <n v="477.91"/>
    <x v="2"/>
    <s v="remuneracion_por_actividad_economica"/>
  </r>
  <r>
    <x v="14"/>
    <x v="14"/>
    <x v="1"/>
    <n v="418.38"/>
    <x v="2"/>
    <s v="remuneracion_por_actividad_economica"/>
  </r>
  <r>
    <x v="15"/>
    <x v="15"/>
    <x v="1"/>
    <n v="177.51"/>
    <x v="2"/>
    <s v="remuneracion_por_actividad_economica"/>
  </r>
  <r>
    <x v="16"/>
    <x v="16"/>
    <x v="1"/>
    <n v="338.9"/>
    <x v="2"/>
    <s v="remuneracion_por_actividad_economica"/>
  </r>
  <r>
    <x v="17"/>
    <x v="17"/>
    <x v="1"/>
    <m/>
    <x v="2"/>
    <s v="remuneracion_por_actividad_economica"/>
  </r>
  <r>
    <x v="18"/>
    <x v="18"/>
    <x v="1"/>
    <n v="237.06"/>
    <x v="2"/>
    <s v="remuneracion_por_actividad_economica"/>
  </r>
  <r>
    <x v="19"/>
    <x v="19"/>
    <x v="1"/>
    <n v="164.25"/>
    <x v="2"/>
    <s v="remuneracion_por_actividad_economica"/>
  </r>
  <r>
    <x v="20"/>
    <x v="20"/>
    <x v="1"/>
    <n v="128.5"/>
    <x v="2"/>
    <s v="remuneracion_por_actividad_economica"/>
  </r>
  <r>
    <x v="21"/>
    <x v="21"/>
    <x v="1"/>
    <n v="76.260000000000005"/>
    <x v="2"/>
    <s v="remuneracion_por_actividad_economica"/>
  </r>
  <r>
    <x v="22"/>
    <x v="22"/>
    <x v="1"/>
    <n v="158.9"/>
    <x v="2"/>
    <s v="remuneracion_por_actividad_economica"/>
  </r>
  <r>
    <x v="23"/>
    <x v="23"/>
    <x v="1"/>
    <n v="527.33000000000004"/>
    <x v="2"/>
    <s v="remuneracion_por_actividad_economica"/>
  </r>
  <r>
    <x v="24"/>
    <x v="24"/>
    <x v="1"/>
    <m/>
    <x v="2"/>
    <s v="remuneracion_por_actividad_economica"/>
  </r>
  <r>
    <x v="25"/>
    <x v="25"/>
    <x v="1"/>
    <m/>
    <x v="2"/>
    <s v="remuneracion_por_actividad_economica"/>
  </r>
  <r>
    <x v="0"/>
    <x v="0"/>
    <x v="2"/>
    <n v="4186.03"/>
    <x v="2"/>
    <s v="remuneracion_por_actividad_economica"/>
  </r>
  <r>
    <x v="1"/>
    <x v="1"/>
    <x v="2"/>
    <n v="1794.94"/>
    <x v="2"/>
    <s v="remuneracion_por_actividad_economica"/>
  </r>
  <r>
    <x v="2"/>
    <x v="2"/>
    <x v="2"/>
    <n v="217.45"/>
    <x v="2"/>
    <s v="remuneracion_por_actividad_economica"/>
  </r>
  <r>
    <x v="3"/>
    <x v="3"/>
    <x v="2"/>
    <n v="2"/>
    <x v="2"/>
    <s v="remuneracion_por_actividad_economica"/>
  </r>
  <r>
    <x v="4"/>
    <x v="4"/>
    <x v="2"/>
    <n v="129.29"/>
    <x v="2"/>
    <s v="remuneracion_por_actividad_economica"/>
  </r>
  <r>
    <x v="5"/>
    <x v="5"/>
    <x v="2"/>
    <n v="95.24"/>
    <x v="2"/>
    <s v="remuneracion_por_actividad_economica"/>
  </r>
  <r>
    <x v="6"/>
    <x v="6"/>
    <x v="2"/>
    <n v="32.54"/>
    <x v="2"/>
    <s v="remuneracion_por_actividad_economica"/>
  </r>
  <r>
    <x v="7"/>
    <x v="7"/>
    <x v="2"/>
    <n v="69.83"/>
    <x v="2"/>
    <s v="remuneracion_por_actividad_economica"/>
  </r>
  <r>
    <x v="8"/>
    <x v="8"/>
    <x v="2"/>
    <n v="188.86"/>
    <x v="2"/>
    <s v="remuneracion_por_actividad_economica"/>
  </r>
  <r>
    <x v="9"/>
    <x v="9"/>
    <x v="2"/>
    <n v="99.29"/>
    <x v="2"/>
    <s v="remuneracion_por_actividad_economica"/>
  </r>
  <r>
    <x v="10"/>
    <x v="10"/>
    <x v="2"/>
    <n v="17.100000000000001"/>
    <x v="2"/>
    <s v="remuneracion_por_actividad_economica"/>
  </r>
  <r>
    <x v="11"/>
    <x v="11"/>
    <x v="2"/>
    <n v="233.57"/>
    <x v="2"/>
    <s v="remuneracion_por_actividad_economica"/>
  </r>
  <r>
    <x v="12"/>
    <x v="12"/>
    <x v="2"/>
    <n v="135.78"/>
    <x v="2"/>
    <s v="remuneracion_por_actividad_economica"/>
  </r>
  <r>
    <x v="13"/>
    <x v="13"/>
    <x v="2"/>
    <n v="279.2"/>
    <x v="2"/>
    <s v="remuneracion_por_actividad_economica"/>
  </r>
  <r>
    <x v="14"/>
    <x v="14"/>
    <x v="2"/>
    <n v="206.23"/>
    <x v="2"/>
    <s v="remuneracion_por_actividad_economica"/>
  </r>
  <r>
    <x v="15"/>
    <x v="15"/>
    <x v="2"/>
    <n v="134.11000000000001"/>
    <x v="2"/>
    <s v="remuneracion_por_actividad_economica"/>
  </r>
  <r>
    <x v="16"/>
    <x v="16"/>
    <x v="2"/>
    <n v="144.49"/>
    <x v="2"/>
    <s v="remuneracion_por_actividad_economica"/>
  </r>
  <r>
    <x v="17"/>
    <x v="17"/>
    <x v="2"/>
    <n v="48.73"/>
    <x v="2"/>
    <s v="remuneracion_por_actividad_economica"/>
  </r>
  <r>
    <x v="18"/>
    <x v="18"/>
    <x v="2"/>
    <n v="84.41"/>
    <x v="2"/>
    <s v="remuneracion_por_actividad_economica"/>
  </r>
  <r>
    <x v="19"/>
    <x v="19"/>
    <x v="2"/>
    <n v="33.909999999999997"/>
    <x v="2"/>
    <s v="remuneracion_por_actividad_economica"/>
  </r>
  <r>
    <x v="20"/>
    <x v="20"/>
    <x v="2"/>
    <n v="49.87"/>
    <x v="2"/>
    <s v="remuneracion_por_actividad_economica"/>
  </r>
  <r>
    <x v="21"/>
    <x v="21"/>
    <x v="2"/>
    <n v="34.04"/>
    <x v="2"/>
    <s v="remuneracion_por_actividad_economica"/>
  </r>
  <r>
    <x v="22"/>
    <x v="22"/>
    <x v="2"/>
    <n v="68.66"/>
    <x v="2"/>
    <s v="remuneracion_por_actividad_economica"/>
  </r>
  <r>
    <x v="23"/>
    <x v="23"/>
    <x v="2"/>
    <n v="50.81"/>
    <x v="2"/>
    <s v="remuneracion_por_actividad_economica"/>
  </r>
  <r>
    <x v="24"/>
    <x v="24"/>
    <x v="2"/>
    <n v="35.68"/>
    <x v="2"/>
    <s v="remuneracion_por_actividad_economica"/>
  </r>
  <r>
    <x v="25"/>
    <x v="25"/>
    <x v="2"/>
    <m/>
    <x v="2"/>
    <s v="remuneracion_por_actividad_economica"/>
  </r>
  <r>
    <x v="0"/>
    <x v="0"/>
    <x v="5"/>
    <n v="31661.31"/>
    <x v="2"/>
    <s v="remuneracion_por_actividad_economica"/>
  </r>
  <r>
    <x v="1"/>
    <x v="1"/>
    <x v="5"/>
    <n v="3469.26"/>
    <x v="2"/>
    <s v="remuneracion_por_actividad_economica"/>
  </r>
  <r>
    <x v="2"/>
    <x v="2"/>
    <x v="5"/>
    <n v="897.55"/>
    <x v="2"/>
    <s v="remuneracion_por_actividad_economica"/>
  </r>
  <r>
    <x v="3"/>
    <x v="3"/>
    <x v="5"/>
    <n v="18.829999999999998"/>
    <x v="2"/>
    <s v="remuneracion_por_actividad_economica"/>
  </r>
  <r>
    <x v="4"/>
    <x v="4"/>
    <x v="5"/>
    <n v="1905.09"/>
    <x v="2"/>
    <s v="remuneracion_por_actividad_economica"/>
  </r>
  <r>
    <x v="5"/>
    <x v="5"/>
    <x v="5"/>
    <n v="725.57"/>
    <x v="2"/>
    <s v="remuneracion_por_actividad_economica"/>
  </r>
  <r>
    <x v="6"/>
    <x v="6"/>
    <x v="5"/>
    <n v="300.77"/>
    <x v="2"/>
    <s v="remuneracion_por_actividad_economica"/>
  </r>
  <r>
    <x v="7"/>
    <x v="7"/>
    <x v="5"/>
    <n v="179.68"/>
    <x v="2"/>
    <s v="remuneracion_por_actividad_economica"/>
  </r>
  <r>
    <x v="8"/>
    <x v="8"/>
    <x v="5"/>
    <n v="687.78"/>
    <x v="2"/>
    <s v="remuneracion_por_actividad_economica"/>
  </r>
  <r>
    <x v="9"/>
    <x v="9"/>
    <x v="5"/>
    <n v="119.62"/>
    <x v="2"/>
    <s v="remuneracion_por_actividad_economica"/>
  </r>
  <r>
    <x v="10"/>
    <x v="10"/>
    <x v="5"/>
    <n v="670.44"/>
    <x v="2"/>
    <s v="remuneracion_por_actividad_economica"/>
  </r>
  <r>
    <x v="11"/>
    <x v="11"/>
    <x v="5"/>
    <n v="2208.13"/>
    <x v="2"/>
    <s v="remuneracion_por_actividad_economica"/>
  </r>
  <r>
    <x v="12"/>
    <x v="12"/>
    <x v="5"/>
    <n v="708.4"/>
    <x v="2"/>
    <s v="remuneracion_por_actividad_economica"/>
  </r>
  <r>
    <x v="13"/>
    <x v="13"/>
    <x v="5"/>
    <n v="1773.62"/>
    <x v="2"/>
    <s v="remuneracion_por_actividad_economica"/>
  </r>
  <r>
    <x v="14"/>
    <x v="14"/>
    <x v="5"/>
    <n v="1612.87"/>
    <x v="2"/>
    <s v="remuneracion_por_actividad_economica"/>
  </r>
  <r>
    <x v="15"/>
    <x v="15"/>
    <x v="5"/>
    <n v="1302.51"/>
    <x v="2"/>
    <s v="remuneracion_por_actividad_economica"/>
  </r>
  <r>
    <x v="16"/>
    <x v="16"/>
    <x v="5"/>
    <n v="1727.79"/>
    <x v="2"/>
    <s v="remuneracion_por_actividad_economica"/>
  </r>
  <r>
    <x v="17"/>
    <x v="17"/>
    <x v="5"/>
    <n v="3193.1"/>
    <x v="2"/>
    <s v="remuneracion_por_actividad_economica"/>
  </r>
  <r>
    <x v="18"/>
    <x v="18"/>
    <x v="5"/>
    <n v="4264.76"/>
    <x v="2"/>
    <s v="remuneracion_por_actividad_economica"/>
  </r>
  <r>
    <x v="19"/>
    <x v="19"/>
    <x v="5"/>
    <n v="3742.68"/>
    <x v="2"/>
    <s v="remuneracion_por_actividad_economica"/>
  </r>
  <r>
    <x v="20"/>
    <x v="20"/>
    <x v="5"/>
    <n v="1729.36"/>
    <x v="2"/>
    <s v="remuneracion_por_actividad_economica"/>
  </r>
  <r>
    <x v="21"/>
    <x v="21"/>
    <x v="5"/>
    <n v="129.53"/>
    <x v="2"/>
    <s v="remuneracion_por_actividad_economica"/>
  </r>
  <r>
    <x v="22"/>
    <x v="22"/>
    <x v="5"/>
    <n v="180"/>
    <x v="2"/>
    <s v="remuneracion_por_actividad_economica"/>
  </r>
  <r>
    <x v="23"/>
    <x v="23"/>
    <x v="5"/>
    <n v="113.97"/>
    <x v="2"/>
    <s v="remuneracion_por_actividad_economica"/>
  </r>
  <r>
    <x v="24"/>
    <x v="24"/>
    <x v="5"/>
    <m/>
    <x v="2"/>
    <s v="remuneracion_por_actividad_economica"/>
  </r>
  <r>
    <x v="25"/>
    <x v="25"/>
    <x v="5"/>
    <m/>
    <x v="2"/>
    <s v="remuneracion_por_actividad_economica"/>
  </r>
  <r>
    <x v="0"/>
    <x v="0"/>
    <x v="3"/>
    <n v="9376.24"/>
    <x v="2"/>
    <s v="remuneracion_por_actividad_economica"/>
  </r>
  <r>
    <x v="1"/>
    <x v="1"/>
    <x v="3"/>
    <n v="3814.09"/>
    <x v="2"/>
    <s v="remuneracion_por_actividad_economica"/>
  </r>
  <r>
    <x v="2"/>
    <x v="2"/>
    <x v="3"/>
    <n v="364.85"/>
    <x v="2"/>
    <s v="remuneracion_por_actividad_economica"/>
  </r>
  <r>
    <x v="3"/>
    <x v="3"/>
    <x v="3"/>
    <m/>
    <x v="2"/>
    <s v="remuneracion_por_actividad_economica"/>
  </r>
  <r>
    <x v="4"/>
    <x v="4"/>
    <x v="3"/>
    <n v="381.89"/>
    <x v="2"/>
    <s v="remuneracion_por_actividad_economica"/>
  </r>
  <r>
    <x v="5"/>
    <x v="5"/>
    <x v="3"/>
    <n v="467.75"/>
    <x v="2"/>
    <s v="remuneracion_por_actividad_economica"/>
  </r>
  <r>
    <x v="6"/>
    <x v="6"/>
    <x v="3"/>
    <n v="60.47"/>
    <x v="2"/>
    <s v="remuneracion_por_actividad_economica"/>
  </r>
  <r>
    <x v="7"/>
    <x v="7"/>
    <x v="3"/>
    <n v="64.489999999999995"/>
    <x v="2"/>
    <s v="remuneracion_por_actividad_economica"/>
  </r>
  <r>
    <x v="8"/>
    <x v="8"/>
    <x v="3"/>
    <n v="180.9"/>
    <x v="2"/>
    <s v="remuneracion_por_actividad_economica"/>
  </r>
  <r>
    <x v="9"/>
    <x v="9"/>
    <x v="3"/>
    <n v="136.66"/>
    <x v="2"/>
    <s v="remuneracion_por_actividad_economica"/>
  </r>
  <r>
    <x v="10"/>
    <x v="10"/>
    <x v="3"/>
    <n v="298.17"/>
    <x v="2"/>
    <s v="remuneracion_por_actividad_economica"/>
  </r>
  <r>
    <x v="11"/>
    <x v="11"/>
    <x v="3"/>
    <n v="621.6"/>
    <x v="2"/>
    <s v="remuneracion_por_actividad_economica"/>
  </r>
  <r>
    <x v="12"/>
    <x v="12"/>
    <x v="3"/>
    <n v="249.45"/>
    <x v="2"/>
    <s v="remuneracion_por_actividad_economica"/>
  </r>
  <r>
    <x v="13"/>
    <x v="13"/>
    <x v="3"/>
    <n v="510.35"/>
    <x v="2"/>
    <s v="remuneracion_por_actividad_economica"/>
  </r>
  <r>
    <x v="14"/>
    <x v="14"/>
    <x v="3"/>
    <n v="594.12"/>
    <x v="2"/>
    <s v="remuneracion_por_actividad_economica"/>
  </r>
  <r>
    <x v="15"/>
    <x v="15"/>
    <x v="3"/>
    <n v="364.69"/>
    <x v="2"/>
    <s v="remuneracion_por_actividad_economica"/>
  </r>
  <r>
    <x v="16"/>
    <x v="16"/>
    <x v="3"/>
    <n v="459.86"/>
    <x v="2"/>
    <s v="remuneracion_por_actividad_economica"/>
  </r>
  <r>
    <x v="17"/>
    <x v="17"/>
    <x v="3"/>
    <n v="7.12"/>
    <x v="2"/>
    <s v="remuneracion_por_actividad_economica"/>
  </r>
  <r>
    <x v="18"/>
    <x v="18"/>
    <x v="3"/>
    <n v="126.47"/>
    <x v="2"/>
    <s v="remuneracion_por_actividad_economica"/>
  </r>
  <r>
    <x v="19"/>
    <x v="19"/>
    <x v="3"/>
    <n v="140.91"/>
    <x v="2"/>
    <s v="remuneracion_por_actividad_economica"/>
  </r>
  <r>
    <x v="20"/>
    <x v="20"/>
    <x v="3"/>
    <n v="123.75"/>
    <x v="2"/>
    <s v="remuneracion_por_actividad_economica"/>
  </r>
  <r>
    <x v="21"/>
    <x v="21"/>
    <x v="3"/>
    <n v="35.979999999999997"/>
    <x v="2"/>
    <s v="remuneracion_por_actividad_economica"/>
  </r>
  <r>
    <x v="22"/>
    <x v="22"/>
    <x v="3"/>
    <n v="94.09"/>
    <x v="2"/>
    <s v="remuneracion_por_actividad_economica"/>
  </r>
  <r>
    <x v="23"/>
    <x v="23"/>
    <x v="3"/>
    <n v="117.72"/>
    <x v="2"/>
    <s v="remuneracion_por_actividad_economica"/>
  </r>
  <r>
    <x v="24"/>
    <x v="24"/>
    <x v="3"/>
    <n v="160.86000000000001"/>
    <x v="2"/>
    <s v="remuneracion_por_actividad_economica"/>
  </r>
  <r>
    <x v="25"/>
    <x v="25"/>
    <x v="3"/>
    <m/>
    <x v="2"/>
    <s v="remuneracion_por_actividad_economica"/>
  </r>
  <r>
    <x v="0"/>
    <x v="0"/>
    <x v="6"/>
    <n v="1961.41"/>
    <x v="2"/>
    <s v="remuneracion_por_actividad_economica"/>
  </r>
  <r>
    <x v="1"/>
    <x v="1"/>
    <x v="6"/>
    <n v="899.63"/>
    <x v="2"/>
    <s v="remuneracion_por_actividad_economica"/>
  </r>
  <r>
    <x v="2"/>
    <x v="2"/>
    <x v="6"/>
    <n v="119.46"/>
    <x v="2"/>
    <s v="remuneracion_por_actividad_economica"/>
  </r>
  <r>
    <x v="3"/>
    <x v="3"/>
    <x v="6"/>
    <m/>
    <x v="2"/>
    <s v="remuneracion_por_actividad_economica"/>
  </r>
  <r>
    <x v="4"/>
    <x v="4"/>
    <x v="6"/>
    <n v="21.24"/>
    <x v="2"/>
    <s v="remuneracion_por_actividad_economica"/>
  </r>
  <r>
    <x v="5"/>
    <x v="5"/>
    <x v="6"/>
    <n v="15.43"/>
    <x v="2"/>
    <s v="remuneracion_por_actividad_economica"/>
  </r>
  <r>
    <x v="6"/>
    <x v="6"/>
    <x v="6"/>
    <n v="60.7"/>
    <x v="2"/>
    <s v="remuneracion_por_actividad_economica"/>
  </r>
  <r>
    <x v="7"/>
    <x v="7"/>
    <x v="6"/>
    <n v="31.57"/>
    <x v="2"/>
    <s v="remuneracion_por_actividad_economica"/>
  </r>
  <r>
    <x v="8"/>
    <x v="8"/>
    <x v="6"/>
    <n v="59.52"/>
    <x v="2"/>
    <s v="remuneracion_por_actividad_economica"/>
  </r>
  <r>
    <x v="9"/>
    <x v="9"/>
    <x v="6"/>
    <n v="39.25"/>
    <x v="2"/>
    <s v="remuneracion_por_actividad_economica"/>
  </r>
  <r>
    <x v="10"/>
    <x v="10"/>
    <x v="6"/>
    <n v="51.51"/>
    <x v="2"/>
    <s v="remuneracion_por_actividad_economica"/>
  </r>
  <r>
    <x v="11"/>
    <x v="11"/>
    <x v="6"/>
    <n v="133.47"/>
    <x v="2"/>
    <s v="remuneracion_por_actividad_economica"/>
  </r>
  <r>
    <x v="12"/>
    <x v="12"/>
    <x v="6"/>
    <n v="152.30000000000001"/>
    <x v="2"/>
    <s v="remuneracion_por_actividad_economica"/>
  </r>
  <r>
    <x v="13"/>
    <x v="13"/>
    <x v="6"/>
    <n v="74.150000000000006"/>
    <x v="2"/>
    <s v="remuneracion_por_actividad_economica"/>
  </r>
  <r>
    <x v="14"/>
    <x v="14"/>
    <x v="6"/>
    <n v="67.56"/>
    <x v="2"/>
    <s v="remuneracion_por_actividad_economica"/>
  </r>
  <r>
    <x v="15"/>
    <x v="15"/>
    <x v="6"/>
    <n v="14.79"/>
    <x v="2"/>
    <s v="remuneracion_por_actividad_economica"/>
  </r>
  <r>
    <x v="16"/>
    <x v="16"/>
    <x v="6"/>
    <n v="62.36"/>
    <x v="2"/>
    <s v="remuneracion_por_actividad_economica"/>
  </r>
  <r>
    <x v="17"/>
    <x v="17"/>
    <x v="6"/>
    <n v="0.9"/>
    <x v="2"/>
    <s v="remuneracion_por_actividad_economica"/>
  </r>
  <r>
    <x v="18"/>
    <x v="18"/>
    <x v="6"/>
    <n v="18.03"/>
    <x v="2"/>
    <s v="remuneracion_por_actividad_economica"/>
  </r>
  <r>
    <x v="19"/>
    <x v="19"/>
    <x v="6"/>
    <n v="3.96"/>
    <x v="2"/>
    <s v="remuneracion_por_actividad_economica"/>
  </r>
  <r>
    <x v="20"/>
    <x v="20"/>
    <x v="6"/>
    <n v="49.78"/>
    <x v="2"/>
    <s v="remuneracion_por_actividad_economica"/>
  </r>
  <r>
    <x v="21"/>
    <x v="21"/>
    <x v="6"/>
    <m/>
    <x v="2"/>
    <s v="remuneracion_por_actividad_economica"/>
  </r>
  <r>
    <x v="22"/>
    <x v="22"/>
    <x v="6"/>
    <n v="16.41"/>
    <x v="2"/>
    <s v="remuneracion_por_actividad_economica"/>
  </r>
  <r>
    <x v="23"/>
    <x v="23"/>
    <x v="6"/>
    <n v="9.75"/>
    <x v="2"/>
    <s v="remuneracion_por_actividad_economica"/>
  </r>
  <r>
    <x v="24"/>
    <x v="24"/>
    <x v="6"/>
    <n v="59.64"/>
    <x v="2"/>
    <s v="remuneracion_por_actividad_economica"/>
  </r>
  <r>
    <x v="25"/>
    <x v="25"/>
    <x v="6"/>
    <m/>
    <x v="2"/>
    <s v="remuneracion_por_actividad_economica"/>
  </r>
  <r>
    <x v="0"/>
    <x v="0"/>
    <x v="4"/>
    <n v="101689.13"/>
    <x v="3"/>
    <s v="remuneracion_por_actividad_economica"/>
  </r>
  <r>
    <x v="1"/>
    <x v="1"/>
    <x v="4"/>
    <n v="17612.54"/>
    <x v="3"/>
    <s v="remuneracion_por_actividad_economica"/>
  </r>
  <r>
    <x v="2"/>
    <x v="2"/>
    <x v="4"/>
    <n v="2928.92"/>
    <x v="3"/>
    <s v="remuneracion_por_actividad_economica"/>
  </r>
  <r>
    <x v="3"/>
    <x v="3"/>
    <x v="4"/>
    <n v="465.48"/>
    <x v="3"/>
    <s v="remuneracion_por_actividad_economica"/>
  </r>
  <r>
    <x v="4"/>
    <x v="4"/>
    <x v="4"/>
    <n v="2290.59"/>
    <x v="3"/>
    <s v="remuneracion_por_actividad_economica"/>
  </r>
  <r>
    <x v="5"/>
    <x v="5"/>
    <x v="4"/>
    <n v="2647.21"/>
    <x v="3"/>
    <s v="remuneracion_por_actividad_economica"/>
  </r>
  <r>
    <x v="6"/>
    <x v="6"/>
    <x v="4"/>
    <n v="2129.54"/>
    <x v="3"/>
    <s v="remuneracion_por_actividad_economica"/>
  </r>
  <r>
    <x v="7"/>
    <x v="7"/>
    <x v="4"/>
    <n v="1065.57"/>
    <x v="3"/>
    <s v="remuneracion_por_actividad_economica"/>
  </r>
  <r>
    <x v="8"/>
    <x v="8"/>
    <x v="4"/>
    <n v="3605.64"/>
    <x v="3"/>
    <s v="remuneracion_por_actividad_economica"/>
  </r>
  <r>
    <x v="9"/>
    <x v="9"/>
    <x v="4"/>
    <n v="772.36"/>
    <x v="3"/>
    <s v="remuneracion_por_actividad_economica"/>
  </r>
  <r>
    <x v="10"/>
    <x v="10"/>
    <x v="4"/>
    <n v="6560.26"/>
    <x v="3"/>
    <s v="remuneracion_por_actividad_economica"/>
  </r>
  <r>
    <x v="11"/>
    <x v="11"/>
    <x v="4"/>
    <n v="10448.36"/>
    <x v="3"/>
    <s v="remuneracion_por_actividad_economica"/>
  </r>
  <r>
    <x v="12"/>
    <x v="12"/>
    <x v="4"/>
    <n v="3614.56"/>
    <x v="3"/>
    <s v="remuneracion_por_actividad_economica"/>
  </r>
  <r>
    <x v="13"/>
    <x v="13"/>
    <x v="4"/>
    <n v="4629.99"/>
    <x v="3"/>
    <s v="remuneracion_por_actividad_economica"/>
  </r>
  <r>
    <x v="14"/>
    <x v="14"/>
    <x v="4"/>
    <n v="3797"/>
    <x v="3"/>
    <s v="remuneracion_por_actividad_economica"/>
  </r>
  <r>
    <x v="15"/>
    <x v="15"/>
    <x v="4"/>
    <n v="5244.63"/>
    <x v="3"/>
    <s v="remuneracion_por_actividad_economica"/>
  </r>
  <r>
    <x v="16"/>
    <x v="16"/>
    <x v="4"/>
    <n v="3728.08"/>
    <x v="3"/>
    <s v="remuneracion_por_actividad_economica"/>
  </r>
  <r>
    <x v="17"/>
    <x v="17"/>
    <x v="4"/>
    <n v="2535.54"/>
    <x v="3"/>
    <s v="remuneracion_por_actividad_economica"/>
  </r>
  <r>
    <x v="18"/>
    <x v="18"/>
    <x v="4"/>
    <n v="3606.44"/>
    <x v="3"/>
    <s v="remuneracion_por_actividad_economica"/>
  </r>
  <r>
    <x v="19"/>
    <x v="19"/>
    <x v="4"/>
    <n v="6420.12"/>
    <x v="3"/>
    <s v="remuneracion_por_actividad_economica"/>
  </r>
  <r>
    <x v="20"/>
    <x v="20"/>
    <x v="4"/>
    <n v="10751.98"/>
    <x v="3"/>
    <s v="remuneracion_por_actividad_economica"/>
  </r>
  <r>
    <x v="21"/>
    <x v="21"/>
    <x v="4"/>
    <n v="1835.31"/>
    <x v="3"/>
    <s v="remuneracion_por_actividad_economica"/>
  </r>
  <r>
    <x v="22"/>
    <x v="22"/>
    <x v="4"/>
    <n v="1597.17"/>
    <x v="3"/>
    <s v="remuneracion_por_actividad_economica"/>
  </r>
  <r>
    <x v="23"/>
    <x v="23"/>
    <x v="4"/>
    <n v="1460.55"/>
    <x v="3"/>
    <s v="remuneracion_por_actividad_economica"/>
  </r>
  <r>
    <x v="24"/>
    <x v="24"/>
    <x v="4"/>
    <n v="1941.29"/>
    <x v="3"/>
    <s v="remuneracion_por_actividad_economica"/>
  </r>
  <r>
    <x v="25"/>
    <x v="25"/>
    <x v="4"/>
    <m/>
    <x v="3"/>
    <s v="remuneracion_por_actividad_economica"/>
  </r>
  <r>
    <x v="0"/>
    <x v="0"/>
    <x v="0"/>
    <n v="7238.54"/>
    <x v="3"/>
    <s v="remuneracion_por_actividad_economica"/>
  </r>
  <r>
    <x v="1"/>
    <x v="1"/>
    <x v="0"/>
    <n v="2046.9"/>
    <x v="3"/>
    <s v="remuneracion_por_actividad_economica"/>
  </r>
  <r>
    <x v="2"/>
    <x v="2"/>
    <x v="0"/>
    <n v="360.31"/>
    <x v="3"/>
    <s v="remuneracion_por_actividad_economica"/>
  </r>
  <r>
    <x v="3"/>
    <x v="3"/>
    <x v="0"/>
    <m/>
    <x v="3"/>
    <s v="remuneracion_por_actividad_economica"/>
  </r>
  <r>
    <x v="4"/>
    <x v="4"/>
    <x v="0"/>
    <n v="55.82"/>
    <x v="3"/>
    <s v="remuneracion_por_actividad_economica"/>
  </r>
  <r>
    <x v="5"/>
    <x v="5"/>
    <x v="0"/>
    <n v="62.8"/>
    <x v="3"/>
    <s v="remuneracion_por_actividad_economica"/>
  </r>
  <r>
    <x v="6"/>
    <x v="6"/>
    <x v="0"/>
    <n v="66.94"/>
    <x v="3"/>
    <s v="remuneracion_por_actividad_economica"/>
  </r>
  <r>
    <x v="7"/>
    <x v="7"/>
    <x v="0"/>
    <n v="381.55"/>
    <x v="3"/>
    <s v="remuneracion_por_actividad_economica"/>
  </r>
  <r>
    <x v="8"/>
    <x v="8"/>
    <x v="0"/>
    <n v="411.83"/>
    <x v="3"/>
    <s v="remuneracion_por_actividad_economica"/>
  </r>
  <r>
    <x v="9"/>
    <x v="9"/>
    <x v="0"/>
    <n v="146.08000000000001"/>
    <x v="3"/>
    <s v="remuneracion_por_actividad_economica"/>
  </r>
  <r>
    <x v="10"/>
    <x v="10"/>
    <x v="0"/>
    <m/>
    <x v="3"/>
    <s v="remuneracion_por_actividad_economica"/>
  </r>
  <r>
    <x v="11"/>
    <x v="11"/>
    <x v="0"/>
    <n v="678.59"/>
    <x v="3"/>
    <s v="remuneracion_por_actividad_economica"/>
  </r>
  <r>
    <x v="12"/>
    <x v="12"/>
    <x v="0"/>
    <n v="254.03"/>
    <x v="3"/>
    <s v="remuneracion_por_actividad_economica"/>
  </r>
  <r>
    <x v="13"/>
    <x v="13"/>
    <x v="0"/>
    <n v="447.25"/>
    <x v="3"/>
    <s v="remuneracion_por_actividad_economica"/>
  </r>
  <r>
    <x v="14"/>
    <x v="14"/>
    <x v="0"/>
    <n v="344.75"/>
    <x v="3"/>
    <s v="remuneracion_por_actividad_economica"/>
  </r>
  <r>
    <x v="15"/>
    <x v="15"/>
    <x v="0"/>
    <n v="143.33000000000001"/>
    <x v="3"/>
    <s v="remuneracion_por_actividad_economica"/>
  </r>
  <r>
    <x v="16"/>
    <x v="16"/>
    <x v="0"/>
    <n v="491.81"/>
    <x v="3"/>
    <s v="remuneracion_por_actividad_economica"/>
  </r>
  <r>
    <x v="17"/>
    <x v="17"/>
    <x v="0"/>
    <n v="35.08"/>
    <x v="3"/>
    <s v="remuneracion_por_actividad_economica"/>
  </r>
  <r>
    <x v="18"/>
    <x v="18"/>
    <x v="0"/>
    <n v="146.54"/>
    <x v="3"/>
    <s v="remuneracion_por_actividad_economica"/>
  </r>
  <r>
    <x v="19"/>
    <x v="19"/>
    <x v="0"/>
    <n v="235.56"/>
    <x v="3"/>
    <s v="remuneracion_por_actividad_economica"/>
  </r>
  <r>
    <x v="20"/>
    <x v="20"/>
    <x v="0"/>
    <n v="18.47"/>
    <x v="3"/>
    <s v="remuneracion_por_actividad_economica"/>
  </r>
  <r>
    <x v="21"/>
    <x v="21"/>
    <x v="0"/>
    <n v="19.89"/>
    <x v="3"/>
    <s v="remuneracion_por_actividad_economica"/>
  </r>
  <r>
    <x v="22"/>
    <x v="22"/>
    <x v="0"/>
    <n v="135.04"/>
    <x v="3"/>
    <s v="remuneracion_por_actividad_economica"/>
  </r>
  <r>
    <x v="23"/>
    <x v="23"/>
    <x v="0"/>
    <n v="17.899999999999999"/>
    <x v="3"/>
    <s v="remuneracion_por_actividad_economica"/>
  </r>
  <r>
    <x v="24"/>
    <x v="24"/>
    <x v="0"/>
    <n v="471.22"/>
    <x v="3"/>
    <s v="remuneracion_por_actividad_economica"/>
  </r>
  <r>
    <x v="25"/>
    <x v="25"/>
    <x v="0"/>
    <n v="266.85000000000002"/>
    <x v="3"/>
    <s v="remuneracion_por_actividad_economica"/>
  </r>
  <r>
    <x v="0"/>
    <x v="0"/>
    <x v="1"/>
    <n v="6860.01"/>
    <x v="3"/>
    <s v="remuneracion_por_actividad_economica"/>
  </r>
  <r>
    <x v="1"/>
    <x v="1"/>
    <x v="1"/>
    <n v="1542.69"/>
    <x v="3"/>
    <s v="remuneracion_por_actividad_economica"/>
  </r>
  <r>
    <x v="2"/>
    <x v="2"/>
    <x v="1"/>
    <n v="217.89"/>
    <x v="3"/>
    <s v="remuneracion_por_actividad_economica"/>
  </r>
  <r>
    <x v="3"/>
    <x v="3"/>
    <x v="1"/>
    <m/>
    <x v="3"/>
    <s v="remuneracion_por_actividad_economica"/>
  </r>
  <r>
    <x v="4"/>
    <x v="4"/>
    <x v="1"/>
    <n v="254.11"/>
    <x v="3"/>
    <s v="remuneracion_por_actividad_economica"/>
  </r>
  <r>
    <x v="5"/>
    <x v="5"/>
    <x v="1"/>
    <n v="504.31"/>
    <x v="3"/>
    <s v="remuneracion_por_actividad_economica"/>
  </r>
  <r>
    <x v="6"/>
    <x v="6"/>
    <x v="1"/>
    <n v="111.41"/>
    <x v="3"/>
    <s v="remuneracion_por_actividad_economica"/>
  </r>
  <r>
    <x v="7"/>
    <x v="7"/>
    <x v="1"/>
    <n v="34.74"/>
    <x v="3"/>
    <s v="remuneracion_por_actividad_economica"/>
  </r>
  <r>
    <x v="8"/>
    <x v="8"/>
    <x v="1"/>
    <n v="249.33"/>
    <x v="3"/>
    <s v="remuneracion_por_actividad_economica"/>
  </r>
  <r>
    <x v="9"/>
    <x v="9"/>
    <x v="1"/>
    <n v="171.9"/>
    <x v="3"/>
    <s v="remuneracion_por_actividad_economica"/>
  </r>
  <r>
    <x v="10"/>
    <x v="10"/>
    <x v="1"/>
    <n v="91.68"/>
    <x v="3"/>
    <s v="remuneracion_por_actividad_economica"/>
  </r>
  <r>
    <x v="11"/>
    <x v="11"/>
    <x v="1"/>
    <n v="728.62"/>
    <x v="3"/>
    <s v="remuneracion_por_actividad_economica"/>
  </r>
  <r>
    <x v="12"/>
    <x v="12"/>
    <x v="1"/>
    <n v="392.48"/>
    <x v="3"/>
    <s v="remuneracion_por_actividad_economica"/>
  </r>
  <r>
    <x v="13"/>
    <x v="13"/>
    <x v="1"/>
    <n v="457.06"/>
    <x v="3"/>
    <s v="remuneracion_por_actividad_economica"/>
  </r>
  <r>
    <x v="14"/>
    <x v="14"/>
    <x v="1"/>
    <n v="388.5"/>
    <x v="3"/>
    <s v="remuneracion_por_actividad_economica"/>
  </r>
  <r>
    <x v="15"/>
    <x v="15"/>
    <x v="1"/>
    <n v="170.81"/>
    <x v="3"/>
    <s v="remuneracion_por_actividad_economica"/>
  </r>
  <r>
    <x v="16"/>
    <x v="16"/>
    <x v="1"/>
    <n v="303.05"/>
    <x v="3"/>
    <s v="remuneracion_por_actividad_economica"/>
  </r>
  <r>
    <x v="17"/>
    <x v="17"/>
    <x v="1"/>
    <m/>
    <x v="3"/>
    <s v="remuneracion_por_actividad_economica"/>
  </r>
  <r>
    <x v="18"/>
    <x v="18"/>
    <x v="1"/>
    <n v="214.79"/>
    <x v="3"/>
    <s v="remuneracion_por_actividad_economica"/>
  </r>
  <r>
    <x v="19"/>
    <x v="19"/>
    <x v="1"/>
    <n v="157.28"/>
    <x v="3"/>
    <s v="remuneracion_por_actividad_economica"/>
  </r>
  <r>
    <x v="20"/>
    <x v="20"/>
    <x v="1"/>
    <n v="129.84"/>
    <x v="3"/>
    <s v="remuneracion_por_actividad_economica"/>
  </r>
  <r>
    <x v="21"/>
    <x v="21"/>
    <x v="1"/>
    <n v="67.61"/>
    <x v="3"/>
    <s v="remuneracion_por_actividad_economica"/>
  </r>
  <r>
    <x v="22"/>
    <x v="22"/>
    <x v="1"/>
    <n v="151.30000000000001"/>
    <x v="3"/>
    <s v="remuneracion_por_actividad_economica"/>
  </r>
  <r>
    <x v="23"/>
    <x v="23"/>
    <x v="1"/>
    <n v="520.61"/>
    <x v="3"/>
    <s v="remuneracion_por_actividad_economica"/>
  </r>
  <r>
    <x v="24"/>
    <x v="24"/>
    <x v="1"/>
    <m/>
    <x v="3"/>
    <s v="remuneracion_por_actividad_economica"/>
  </r>
  <r>
    <x v="25"/>
    <x v="25"/>
    <x v="1"/>
    <m/>
    <x v="3"/>
    <s v="remuneracion_por_actividad_economica"/>
  </r>
  <r>
    <x v="0"/>
    <x v="0"/>
    <x v="2"/>
    <n v="4035.29"/>
    <x v="3"/>
    <s v="remuneracion_por_actividad_economica"/>
  </r>
  <r>
    <x v="1"/>
    <x v="1"/>
    <x v="2"/>
    <n v="1721.7"/>
    <x v="3"/>
    <s v="remuneracion_por_actividad_economica"/>
  </r>
  <r>
    <x v="2"/>
    <x v="2"/>
    <x v="2"/>
    <n v="174.29"/>
    <x v="3"/>
    <s v="remuneracion_por_actividad_economica"/>
  </r>
  <r>
    <x v="3"/>
    <x v="3"/>
    <x v="2"/>
    <n v="2.2000000000000002"/>
    <x v="3"/>
    <s v="remuneracion_por_actividad_economica"/>
  </r>
  <r>
    <x v="4"/>
    <x v="4"/>
    <x v="2"/>
    <n v="108.45"/>
    <x v="3"/>
    <s v="remuneracion_por_actividad_economica"/>
  </r>
  <r>
    <x v="5"/>
    <x v="5"/>
    <x v="2"/>
    <n v="84.18"/>
    <x v="3"/>
    <s v="remuneracion_por_actividad_economica"/>
  </r>
  <r>
    <x v="6"/>
    <x v="6"/>
    <x v="2"/>
    <n v="43.36"/>
    <x v="3"/>
    <s v="remuneracion_por_actividad_economica"/>
  </r>
  <r>
    <x v="7"/>
    <x v="7"/>
    <x v="2"/>
    <n v="78.59"/>
    <x v="3"/>
    <s v="remuneracion_por_actividad_economica"/>
  </r>
  <r>
    <x v="8"/>
    <x v="8"/>
    <x v="2"/>
    <n v="181.62"/>
    <x v="3"/>
    <s v="remuneracion_por_actividad_economica"/>
  </r>
  <r>
    <x v="9"/>
    <x v="9"/>
    <x v="2"/>
    <n v="100.51"/>
    <x v="3"/>
    <s v="remuneracion_por_actividad_economica"/>
  </r>
  <r>
    <x v="10"/>
    <x v="10"/>
    <x v="2"/>
    <n v="43.72"/>
    <x v="3"/>
    <s v="remuneracion_por_actividad_economica"/>
  </r>
  <r>
    <x v="11"/>
    <x v="11"/>
    <x v="2"/>
    <n v="231.03"/>
    <x v="3"/>
    <s v="remuneracion_por_actividad_economica"/>
  </r>
  <r>
    <x v="12"/>
    <x v="12"/>
    <x v="2"/>
    <n v="136.36000000000001"/>
    <x v="3"/>
    <s v="remuneracion_por_actividad_economica"/>
  </r>
  <r>
    <x v="13"/>
    <x v="13"/>
    <x v="2"/>
    <n v="284.81"/>
    <x v="3"/>
    <s v="remuneracion_por_actividad_economica"/>
  </r>
  <r>
    <x v="14"/>
    <x v="14"/>
    <x v="2"/>
    <n v="197.84"/>
    <x v="3"/>
    <s v="remuneracion_por_actividad_economica"/>
  </r>
  <r>
    <x v="15"/>
    <x v="15"/>
    <x v="2"/>
    <n v="116.65"/>
    <x v="3"/>
    <s v="remuneracion_por_actividad_economica"/>
  </r>
  <r>
    <x v="16"/>
    <x v="16"/>
    <x v="2"/>
    <n v="160.78"/>
    <x v="3"/>
    <s v="remuneracion_por_actividad_economica"/>
  </r>
  <r>
    <x v="17"/>
    <x v="17"/>
    <x v="2"/>
    <n v="12.12"/>
    <x v="3"/>
    <s v="remuneracion_por_actividad_economica"/>
  </r>
  <r>
    <x v="18"/>
    <x v="18"/>
    <x v="2"/>
    <n v="108.5"/>
    <x v="3"/>
    <s v="remuneracion_por_actividad_economica"/>
  </r>
  <r>
    <x v="19"/>
    <x v="19"/>
    <x v="2"/>
    <n v="24.91"/>
    <x v="3"/>
    <s v="remuneracion_por_actividad_economica"/>
  </r>
  <r>
    <x v="20"/>
    <x v="20"/>
    <x v="2"/>
    <n v="81.75"/>
    <x v="3"/>
    <s v="remuneracion_por_actividad_economica"/>
  </r>
  <r>
    <x v="21"/>
    <x v="21"/>
    <x v="2"/>
    <n v="21.19"/>
    <x v="3"/>
    <s v="remuneracion_por_actividad_economica"/>
  </r>
  <r>
    <x v="22"/>
    <x v="22"/>
    <x v="2"/>
    <n v="69.61"/>
    <x v="3"/>
    <s v="remuneracion_por_actividad_economica"/>
  </r>
  <r>
    <x v="23"/>
    <x v="23"/>
    <x v="2"/>
    <n v="9.1999999999999993"/>
    <x v="3"/>
    <s v="remuneracion_por_actividad_economica"/>
  </r>
  <r>
    <x v="24"/>
    <x v="24"/>
    <x v="2"/>
    <n v="41.92"/>
    <x v="3"/>
    <s v="remuneracion_por_actividad_economica"/>
  </r>
  <r>
    <x v="25"/>
    <x v="25"/>
    <x v="2"/>
    <m/>
    <x v="3"/>
    <s v="remuneracion_por_actividad_economica"/>
  </r>
  <r>
    <x v="0"/>
    <x v="0"/>
    <x v="5"/>
    <n v="33991.64"/>
    <x v="3"/>
    <s v="remuneracion_por_actividad_economica"/>
  </r>
  <r>
    <x v="1"/>
    <x v="1"/>
    <x v="5"/>
    <n v="3724.73"/>
    <x v="3"/>
    <s v="remuneracion_por_actividad_economica"/>
  </r>
  <r>
    <x v="2"/>
    <x v="2"/>
    <x v="5"/>
    <n v="944.28"/>
    <x v="3"/>
    <s v="remuneracion_por_actividad_economica"/>
  </r>
  <r>
    <x v="3"/>
    <x v="3"/>
    <x v="5"/>
    <n v="21.33"/>
    <x v="3"/>
    <s v="remuneracion_por_actividad_economica"/>
  </r>
  <r>
    <x v="4"/>
    <x v="4"/>
    <x v="5"/>
    <n v="2010.8"/>
    <x v="3"/>
    <s v="remuneracion_por_actividad_economica"/>
  </r>
  <r>
    <x v="5"/>
    <x v="5"/>
    <x v="5"/>
    <n v="743.42"/>
    <x v="3"/>
    <s v="remuneracion_por_actividad_economica"/>
  </r>
  <r>
    <x v="6"/>
    <x v="6"/>
    <x v="5"/>
    <n v="411.2"/>
    <x v="3"/>
    <s v="remuneracion_por_actividad_economica"/>
  </r>
  <r>
    <x v="7"/>
    <x v="7"/>
    <x v="5"/>
    <n v="188.99"/>
    <x v="3"/>
    <s v="remuneracion_por_actividad_economica"/>
  </r>
  <r>
    <x v="8"/>
    <x v="8"/>
    <x v="5"/>
    <n v="730.47"/>
    <x v="3"/>
    <s v="remuneracion_por_actividad_economica"/>
  </r>
  <r>
    <x v="9"/>
    <x v="9"/>
    <x v="5"/>
    <n v="126.73"/>
    <x v="3"/>
    <s v="remuneracion_por_actividad_economica"/>
  </r>
  <r>
    <x v="10"/>
    <x v="10"/>
    <x v="5"/>
    <n v="614.89"/>
    <x v="3"/>
    <s v="remuneracion_por_actividad_economica"/>
  </r>
  <r>
    <x v="11"/>
    <x v="11"/>
    <x v="5"/>
    <n v="2282.86"/>
    <x v="3"/>
    <s v="remuneracion_por_actividad_economica"/>
  </r>
  <r>
    <x v="12"/>
    <x v="12"/>
    <x v="5"/>
    <n v="775.58"/>
    <x v="3"/>
    <s v="remuneracion_por_actividad_economica"/>
  </r>
  <r>
    <x v="13"/>
    <x v="13"/>
    <x v="5"/>
    <n v="1931.67"/>
    <x v="3"/>
    <s v="remuneracion_por_actividad_economica"/>
  </r>
  <r>
    <x v="14"/>
    <x v="14"/>
    <x v="5"/>
    <n v="1668.93"/>
    <x v="3"/>
    <s v="remuneracion_por_actividad_economica"/>
  </r>
  <r>
    <x v="15"/>
    <x v="15"/>
    <x v="5"/>
    <n v="1440.71"/>
    <x v="3"/>
    <s v="remuneracion_por_actividad_economica"/>
  </r>
  <r>
    <x v="16"/>
    <x v="16"/>
    <x v="5"/>
    <n v="1832.27"/>
    <x v="3"/>
    <s v="remuneracion_por_actividad_economica"/>
  </r>
  <r>
    <x v="17"/>
    <x v="17"/>
    <x v="5"/>
    <n v="3574.1"/>
    <x v="3"/>
    <s v="remuneracion_por_actividad_economica"/>
  </r>
  <r>
    <x v="18"/>
    <x v="18"/>
    <x v="5"/>
    <n v="4621.92"/>
    <x v="3"/>
    <s v="remuneracion_por_actividad_economica"/>
  </r>
  <r>
    <x v="19"/>
    <x v="19"/>
    <x v="5"/>
    <n v="3998.2"/>
    <x v="3"/>
    <s v="remuneracion_por_actividad_economica"/>
  </r>
  <r>
    <x v="20"/>
    <x v="20"/>
    <x v="5"/>
    <n v="1877.94"/>
    <x v="3"/>
    <s v="remuneracion_por_actividad_economica"/>
  </r>
  <r>
    <x v="21"/>
    <x v="21"/>
    <x v="5"/>
    <n v="156.32"/>
    <x v="3"/>
    <s v="remuneracion_por_actividad_economica"/>
  </r>
  <r>
    <x v="22"/>
    <x v="22"/>
    <x v="5"/>
    <n v="186.03"/>
    <x v="3"/>
    <s v="remuneracion_por_actividad_economica"/>
  </r>
  <r>
    <x v="23"/>
    <x v="23"/>
    <x v="5"/>
    <n v="128.27000000000001"/>
    <x v="3"/>
    <s v="remuneracion_por_actividad_economica"/>
  </r>
  <r>
    <x v="24"/>
    <x v="24"/>
    <x v="5"/>
    <m/>
    <x v="3"/>
    <s v="remuneracion_por_actividad_economica"/>
  </r>
  <r>
    <x v="25"/>
    <x v="25"/>
    <x v="5"/>
    <m/>
    <x v="3"/>
    <s v="remuneracion_por_actividad_economica"/>
  </r>
  <r>
    <x v="0"/>
    <x v="0"/>
    <x v="3"/>
    <m/>
    <x v="3"/>
    <s v="remuneracion_por_actividad_economica"/>
  </r>
  <r>
    <x v="1"/>
    <x v="1"/>
    <x v="3"/>
    <m/>
    <x v="3"/>
    <s v="remuneracion_por_actividad_economica"/>
  </r>
  <r>
    <x v="2"/>
    <x v="2"/>
    <x v="3"/>
    <m/>
    <x v="3"/>
    <s v="remuneracion_por_actividad_economica"/>
  </r>
  <r>
    <x v="3"/>
    <x v="3"/>
    <x v="3"/>
    <m/>
    <x v="3"/>
    <s v="remuneracion_por_actividad_economica"/>
  </r>
  <r>
    <x v="4"/>
    <x v="4"/>
    <x v="3"/>
    <m/>
    <x v="3"/>
    <s v="remuneracion_por_actividad_economica"/>
  </r>
  <r>
    <x v="5"/>
    <x v="5"/>
    <x v="3"/>
    <m/>
    <x v="3"/>
    <s v="remuneracion_por_actividad_economica"/>
  </r>
  <r>
    <x v="6"/>
    <x v="6"/>
    <x v="3"/>
    <m/>
    <x v="3"/>
    <s v="remuneracion_por_actividad_economica"/>
  </r>
  <r>
    <x v="7"/>
    <x v="7"/>
    <x v="3"/>
    <m/>
    <x v="3"/>
    <s v="remuneracion_por_actividad_economica"/>
  </r>
  <r>
    <x v="8"/>
    <x v="8"/>
    <x v="3"/>
    <m/>
    <x v="3"/>
    <s v="remuneracion_por_actividad_economica"/>
  </r>
  <r>
    <x v="9"/>
    <x v="9"/>
    <x v="3"/>
    <m/>
    <x v="3"/>
    <s v="remuneracion_por_actividad_economica"/>
  </r>
  <r>
    <x v="10"/>
    <x v="10"/>
    <x v="3"/>
    <m/>
    <x v="3"/>
    <s v="remuneracion_por_actividad_economica"/>
  </r>
  <r>
    <x v="11"/>
    <x v="11"/>
    <x v="3"/>
    <m/>
    <x v="3"/>
    <s v="remuneracion_por_actividad_economica"/>
  </r>
  <r>
    <x v="12"/>
    <x v="12"/>
    <x v="3"/>
    <m/>
    <x v="3"/>
    <s v="remuneracion_por_actividad_economica"/>
  </r>
  <r>
    <x v="13"/>
    <x v="13"/>
    <x v="3"/>
    <m/>
    <x v="3"/>
    <s v="remuneracion_por_actividad_economica"/>
  </r>
  <r>
    <x v="14"/>
    <x v="14"/>
    <x v="3"/>
    <m/>
    <x v="3"/>
    <s v="remuneracion_por_actividad_economica"/>
  </r>
  <r>
    <x v="15"/>
    <x v="15"/>
    <x v="3"/>
    <m/>
    <x v="3"/>
    <s v="remuneracion_por_actividad_economica"/>
  </r>
  <r>
    <x v="16"/>
    <x v="16"/>
    <x v="3"/>
    <m/>
    <x v="3"/>
    <s v="remuneracion_por_actividad_economica"/>
  </r>
  <r>
    <x v="17"/>
    <x v="17"/>
    <x v="3"/>
    <m/>
    <x v="3"/>
    <s v="remuneracion_por_actividad_economica"/>
  </r>
  <r>
    <x v="18"/>
    <x v="18"/>
    <x v="3"/>
    <m/>
    <x v="3"/>
    <s v="remuneracion_por_actividad_economica"/>
  </r>
  <r>
    <x v="19"/>
    <x v="19"/>
    <x v="3"/>
    <m/>
    <x v="3"/>
    <s v="remuneracion_por_actividad_economica"/>
  </r>
  <r>
    <x v="20"/>
    <x v="20"/>
    <x v="3"/>
    <m/>
    <x v="3"/>
    <s v="remuneracion_por_actividad_economica"/>
  </r>
  <r>
    <x v="21"/>
    <x v="21"/>
    <x v="3"/>
    <m/>
    <x v="3"/>
    <s v="remuneracion_por_actividad_economica"/>
  </r>
  <r>
    <x v="22"/>
    <x v="22"/>
    <x v="3"/>
    <m/>
    <x v="3"/>
    <s v="remuneracion_por_actividad_economica"/>
  </r>
  <r>
    <x v="23"/>
    <x v="23"/>
    <x v="3"/>
    <m/>
    <x v="3"/>
    <s v="remuneracion_por_actividad_economica"/>
  </r>
  <r>
    <x v="24"/>
    <x v="24"/>
    <x v="3"/>
    <m/>
    <x v="3"/>
    <s v="remuneracion_por_actividad_economica"/>
  </r>
  <r>
    <x v="25"/>
    <x v="25"/>
    <x v="3"/>
    <m/>
    <x v="3"/>
    <s v="remuneracion_por_actividad_economica"/>
  </r>
  <r>
    <x v="0"/>
    <x v="0"/>
    <x v="6"/>
    <n v="1795.29"/>
    <x v="3"/>
    <s v="remuneracion_por_actividad_economica"/>
  </r>
  <r>
    <x v="1"/>
    <x v="1"/>
    <x v="6"/>
    <n v="838.21"/>
    <x v="3"/>
    <s v="remuneracion_por_actividad_economica"/>
  </r>
  <r>
    <x v="2"/>
    <x v="2"/>
    <x v="6"/>
    <n v="120.26"/>
    <x v="3"/>
    <s v="remuneracion_por_actividad_economica"/>
  </r>
  <r>
    <x v="3"/>
    <x v="3"/>
    <x v="6"/>
    <m/>
    <x v="3"/>
    <s v="remuneracion_por_actividad_economica"/>
  </r>
  <r>
    <x v="4"/>
    <x v="4"/>
    <x v="6"/>
    <n v="20.09"/>
    <x v="3"/>
    <s v="remuneracion_por_actividad_economica"/>
  </r>
  <r>
    <x v="5"/>
    <x v="5"/>
    <x v="6"/>
    <n v="11.79"/>
    <x v="3"/>
    <s v="remuneracion_por_actividad_economica"/>
  </r>
  <r>
    <x v="6"/>
    <x v="6"/>
    <x v="6"/>
    <n v="56.37"/>
    <x v="3"/>
    <s v="remuneracion_por_actividad_economica"/>
  </r>
  <r>
    <x v="7"/>
    <x v="7"/>
    <x v="6"/>
    <n v="26.17"/>
    <x v="3"/>
    <s v="remuneracion_por_actividad_economica"/>
  </r>
  <r>
    <x v="8"/>
    <x v="8"/>
    <x v="6"/>
    <n v="60.28"/>
    <x v="3"/>
    <s v="remuneracion_por_actividad_economica"/>
  </r>
  <r>
    <x v="9"/>
    <x v="9"/>
    <x v="6"/>
    <n v="38.4"/>
    <x v="3"/>
    <s v="remuneracion_por_actividad_economica"/>
  </r>
  <r>
    <x v="10"/>
    <x v="10"/>
    <x v="6"/>
    <n v="40.799999999999997"/>
    <x v="3"/>
    <s v="remuneracion_por_actividad_economica"/>
  </r>
  <r>
    <x v="11"/>
    <x v="11"/>
    <x v="6"/>
    <n v="116.12"/>
    <x v="3"/>
    <s v="remuneracion_por_actividad_economica"/>
  </r>
  <r>
    <x v="12"/>
    <x v="12"/>
    <x v="6"/>
    <n v="139.09"/>
    <x v="3"/>
    <s v="remuneracion_por_actividad_economica"/>
  </r>
  <r>
    <x v="13"/>
    <x v="13"/>
    <x v="6"/>
    <n v="61.16"/>
    <x v="3"/>
    <s v="remuneracion_por_actividad_economica"/>
  </r>
  <r>
    <x v="14"/>
    <x v="14"/>
    <x v="6"/>
    <n v="71.209999999999994"/>
    <x v="3"/>
    <s v="remuneracion_por_actividad_economica"/>
  </r>
  <r>
    <x v="15"/>
    <x v="15"/>
    <x v="6"/>
    <n v="16.309999999999999"/>
    <x v="3"/>
    <s v="remuneracion_por_actividad_economica"/>
  </r>
  <r>
    <x v="16"/>
    <x v="16"/>
    <x v="6"/>
    <n v="50.56"/>
    <x v="3"/>
    <s v="remuneracion_por_actividad_economica"/>
  </r>
  <r>
    <x v="17"/>
    <x v="17"/>
    <x v="6"/>
    <n v="0.71"/>
    <x v="3"/>
    <s v="remuneracion_por_actividad_economica"/>
  </r>
  <r>
    <x v="18"/>
    <x v="18"/>
    <x v="6"/>
    <n v="16.93"/>
    <x v="3"/>
    <s v="remuneracion_por_actividad_economica"/>
  </r>
  <r>
    <x v="19"/>
    <x v="19"/>
    <x v="6"/>
    <n v="1.91"/>
    <x v="3"/>
    <s v="remuneracion_por_actividad_economica"/>
  </r>
  <r>
    <x v="20"/>
    <x v="20"/>
    <x v="6"/>
    <n v="46.31"/>
    <x v="3"/>
    <s v="remuneracion_por_actividad_economica"/>
  </r>
  <r>
    <x v="21"/>
    <x v="21"/>
    <x v="6"/>
    <m/>
    <x v="3"/>
    <s v="remuneracion_por_actividad_economica"/>
  </r>
  <r>
    <x v="22"/>
    <x v="22"/>
    <x v="6"/>
    <n v="12.61"/>
    <x v="3"/>
    <s v="remuneracion_por_actividad_economica"/>
  </r>
  <r>
    <x v="23"/>
    <x v="23"/>
    <x v="6"/>
    <n v="8.36"/>
    <x v="3"/>
    <s v="remuneracion_por_actividad_economica"/>
  </r>
  <r>
    <x v="24"/>
    <x v="24"/>
    <x v="6"/>
    <n v="41.64"/>
    <x v="3"/>
    <s v="remuneracion_por_actividad_economica"/>
  </r>
  <r>
    <x v="25"/>
    <x v="25"/>
    <x v="6"/>
    <m/>
    <x v="3"/>
    <s v="remuneracion_por_actividad_economica"/>
  </r>
  <r>
    <x v="0"/>
    <x v="0"/>
    <x v="4"/>
    <n v="77675.33"/>
    <x v="4"/>
    <s v="remuneracion_por_actividad_economica"/>
  </r>
  <r>
    <x v="1"/>
    <x v="1"/>
    <x v="4"/>
    <n v="15340.57"/>
    <x v="4"/>
    <s v="remuneracion_por_actividad_economica"/>
  </r>
  <r>
    <x v="2"/>
    <x v="2"/>
    <x v="4"/>
    <n v="2186.4899999999998"/>
    <x v="4"/>
    <s v="remuneracion_por_actividad_economica"/>
  </r>
  <r>
    <x v="3"/>
    <x v="3"/>
    <x v="4"/>
    <n v="370.03"/>
    <x v="4"/>
    <s v="remuneracion_por_actividad_economica"/>
  </r>
  <r>
    <x v="4"/>
    <x v="4"/>
    <x v="4"/>
    <n v="1620.91"/>
    <x v="4"/>
    <s v="remuneracion_por_actividad_economica"/>
  </r>
  <r>
    <x v="5"/>
    <x v="5"/>
    <x v="4"/>
    <n v="1704.23"/>
    <x v="4"/>
    <s v="remuneracion_por_actividad_economica"/>
  </r>
  <r>
    <x v="6"/>
    <x v="6"/>
    <x v="4"/>
    <n v="1364.27"/>
    <x v="4"/>
    <s v="remuneracion_por_actividad_economica"/>
  </r>
  <r>
    <x v="7"/>
    <x v="7"/>
    <x v="4"/>
    <n v="839.2"/>
    <x v="4"/>
    <s v="remuneracion_por_actividad_economica"/>
  </r>
  <r>
    <x v="8"/>
    <x v="8"/>
    <x v="4"/>
    <n v="2742.74"/>
    <x v="4"/>
    <s v="remuneracion_por_actividad_economica"/>
  </r>
  <r>
    <x v="9"/>
    <x v="9"/>
    <x v="4"/>
    <n v="519.05999999999995"/>
    <x v="4"/>
    <s v="remuneracion_por_actividad_economica"/>
  </r>
  <r>
    <x v="10"/>
    <x v="10"/>
    <x v="4"/>
    <n v="5682.95"/>
    <x v="4"/>
    <s v="remuneracion_por_actividad_economica"/>
  </r>
  <r>
    <x v="11"/>
    <x v="11"/>
    <x v="4"/>
    <n v="7066.24"/>
    <x v="4"/>
    <s v="remuneracion_por_actividad_economica"/>
  </r>
  <r>
    <x v="12"/>
    <x v="12"/>
    <x v="4"/>
    <n v="2881.65"/>
    <x v="4"/>
    <s v="remuneracion_por_actividad_economica"/>
  </r>
  <r>
    <x v="13"/>
    <x v="13"/>
    <x v="4"/>
    <n v="3593.93"/>
    <x v="4"/>
    <s v="remuneracion_por_actividad_economica"/>
  </r>
  <r>
    <x v="14"/>
    <x v="14"/>
    <x v="4"/>
    <n v="2945.81"/>
    <x v="4"/>
    <s v="remuneracion_por_actividad_economica"/>
  </r>
  <r>
    <x v="15"/>
    <x v="15"/>
    <x v="4"/>
    <n v="3935.93"/>
    <x v="4"/>
    <s v="remuneracion_por_actividad_economica"/>
  </r>
  <r>
    <x v="16"/>
    <x v="16"/>
    <x v="4"/>
    <n v="2899.27"/>
    <x v="4"/>
    <s v="remuneracion_por_actividad_economica"/>
  </r>
  <r>
    <x v="17"/>
    <x v="17"/>
    <x v="4"/>
    <n v="1857.33"/>
    <x v="4"/>
    <s v="remuneracion_por_actividad_economica"/>
  </r>
  <r>
    <x v="18"/>
    <x v="18"/>
    <x v="4"/>
    <n v="2910.63"/>
    <x v="4"/>
    <s v="remuneracion_por_actividad_economica"/>
  </r>
  <r>
    <x v="19"/>
    <x v="19"/>
    <x v="4"/>
    <n v="4949.7299999999996"/>
    <x v="4"/>
    <s v="remuneracion_por_actividad_economica"/>
  </r>
  <r>
    <x v="20"/>
    <x v="20"/>
    <x v="4"/>
    <n v="7302.95"/>
    <x v="4"/>
    <s v="remuneracion_por_actividad_economica"/>
  </r>
  <r>
    <x v="21"/>
    <x v="21"/>
    <x v="4"/>
    <n v="1281.1500000000001"/>
    <x v="4"/>
    <s v="remuneracion_por_actividad_economica"/>
  </r>
  <r>
    <x v="22"/>
    <x v="22"/>
    <x v="4"/>
    <n v="1203.6500000000001"/>
    <x v="4"/>
    <s v="remuneracion_por_actividad_economica"/>
  </r>
  <r>
    <x v="23"/>
    <x v="23"/>
    <x v="4"/>
    <n v="1057.68"/>
    <x v="4"/>
    <s v="remuneracion_por_actividad_economica"/>
  </r>
  <r>
    <x v="24"/>
    <x v="24"/>
    <x v="4"/>
    <n v="1418.93"/>
    <x v="4"/>
    <s v="remuneracion_por_actividad_economica"/>
  </r>
  <r>
    <x v="25"/>
    <x v="25"/>
    <x v="4"/>
    <m/>
    <x v="4"/>
    <s v="remuneracion_por_actividad_economica"/>
  </r>
  <r>
    <x v="0"/>
    <x v="0"/>
    <x v="0"/>
    <n v="6736.62"/>
    <x v="4"/>
    <s v="remuneracion_por_actividad_economica"/>
  </r>
  <r>
    <x v="1"/>
    <x v="1"/>
    <x v="0"/>
    <n v="2240.29"/>
    <x v="4"/>
    <s v="remuneracion_por_actividad_economica"/>
  </r>
  <r>
    <x v="2"/>
    <x v="2"/>
    <x v="0"/>
    <n v="359.9"/>
    <x v="4"/>
    <s v="remuneracion_por_actividad_economica"/>
  </r>
  <r>
    <x v="3"/>
    <x v="3"/>
    <x v="0"/>
    <m/>
    <x v="4"/>
    <s v="remuneracion_por_actividad_economica"/>
  </r>
  <r>
    <x v="4"/>
    <x v="4"/>
    <x v="0"/>
    <n v="50.36"/>
    <x v="4"/>
    <s v="remuneracion_por_actividad_economica"/>
  </r>
  <r>
    <x v="5"/>
    <x v="5"/>
    <x v="0"/>
    <n v="37.520000000000003"/>
    <x v="4"/>
    <s v="remuneracion_por_actividad_economica"/>
  </r>
  <r>
    <x v="6"/>
    <x v="6"/>
    <x v="0"/>
    <n v="13.12"/>
    <x v="4"/>
    <s v="remuneracion_por_actividad_economica"/>
  </r>
  <r>
    <x v="7"/>
    <x v="7"/>
    <x v="0"/>
    <n v="345.73"/>
    <x v="4"/>
    <s v="remuneracion_por_actividad_economica"/>
  </r>
  <r>
    <x v="8"/>
    <x v="8"/>
    <x v="0"/>
    <n v="420.65"/>
    <x v="4"/>
    <s v="remuneracion_por_actividad_economica"/>
  </r>
  <r>
    <x v="9"/>
    <x v="9"/>
    <x v="0"/>
    <n v="93.17"/>
    <x v="4"/>
    <s v="remuneracion_por_actividad_economica"/>
  </r>
  <r>
    <x v="10"/>
    <x v="10"/>
    <x v="0"/>
    <m/>
    <x v="4"/>
    <s v="remuneracion_por_actividad_economica"/>
  </r>
  <r>
    <x v="11"/>
    <x v="11"/>
    <x v="0"/>
    <n v="652.39"/>
    <x v="4"/>
    <s v="remuneracion_por_actividad_economica"/>
  </r>
  <r>
    <x v="12"/>
    <x v="12"/>
    <x v="0"/>
    <n v="233.24"/>
    <x v="4"/>
    <s v="remuneracion_por_actividad_economica"/>
  </r>
  <r>
    <x v="13"/>
    <x v="13"/>
    <x v="0"/>
    <n v="397.95"/>
    <x v="4"/>
    <s v="remuneracion_por_actividad_economica"/>
  </r>
  <r>
    <x v="14"/>
    <x v="14"/>
    <x v="0"/>
    <n v="274.82"/>
    <x v="4"/>
    <s v="remuneracion_por_actividad_economica"/>
  </r>
  <r>
    <x v="15"/>
    <x v="15"/>
    <x v="0"/>
    <n v="132.02000000000001"/>
    <x v="4"/>
    <s v="remuneracion_por_actividad_economica"/>
  </r>
  <r>
    <x v="16"/>
    <x v="16"/>
    <x v="0"/>
    <n v="347.3"/>
    <x v="4"/>
    <s v="remuneracion_por_actividad_economica"/>
  </r>
  <r>
    <x v="17"/>
    <x v="17"/>
    <x v="0"/>
    <n v="2.66"/>
    <x v="4"/>
    <s v="remuneracion_por_actividad_economica"/>
  </r>
  <r>
    <x v="18"/>
    <x v="18"/>
    <x v="0"/>
    <n v="148.66"/>
    <x v="4"/>
    <s v="remuneracion_por_actividad_economica"/>
  </r>
  <r>
    <x v="19"/>
    <x v="19"/>
    <x v="0"/>
    <n v="182.87"/>
    <x v="4"/>
    <s v="remuneracion_por_actividad_economica"/>
  </r>
  <r>
    <x v="20"/>
    <x v="20"/>
    <x v="0"/>
    <n v="14.42"/>
    <x v="4"/>
    <s v="remuneracion_por_actividad_economica"/>
  </r>
  <r>
    <x v="21"/>
    <x v="21"/>
    <x v="0"/>
    <n v="14.93"/>
    <x v="4"/>
    <s v="remuneracion_por_actividad_economica"/>
  </r>
  <r>
    <x v="22"/>
    <x v="22"/>
    <x v="0"/>
    <n v="112.65"/>
    <x v="4"/>
    <s v="remuneracion_por_actividad_economica"/>
  </r>
  <r>
    <x v="23"/>
    <x v="23"/>
    <x v="0"/>
    <n v="15.55"/>
    <x v="4"/>
    <s v="remuneracion_por_actividad_economica"/>
  </r>
  <r>
    <x v="24"/>
    <x v="24"/>
    <x v="0"/>
    <n v="416.05"/>
    <x v="4"/>
    <s v="remuneracion_por_actividad_economica"/>
  </r>
  <r>
    <x v="25"/>
    <x v="25"/>
    <x v="0"/>
    <n v="230.37"/>
    <x v="4"/>
    <s v="remuneracion_por_actividad_economica"/>
  </r>
  <r>
    <x v="0"/>
    <x v="0"/>
    <x v="1"/>
    <n v="5802.99"/>
    <x v="4"/>
    <s v="remuneracion_por_actividad_economica"/>
  </r>
  <r>
    <x v="1"/>
    <x v="1"/>
    <x v="1"/>
    <n v="1342.65"/>
    <x v="4"/>
    <s v="remuneracion_por_actividad_economica"/>
  </r>
  <r>
    <x v="2"/>
    <x v="2"/>
    <x v="1"/>
    <n v="152.41"/>
    <x v="4"/>
    <s v="remuneracion_por_actividad_economica"/>
  </r>
  <r>
    <x v="3"/>
    <x v="3"/>
    <x v="1"/>
    <m/>
    <x v="4"/>
    <s v="remuneracion_por_actividad_economica"/>
  </r>
  <r>
    <x v="4"/>
    <x v="4"/>
    <x v="1"/>
    <n v="203.85"/>
    <x v="4"/>
    <s v="remuneracion_por_actividad_economica"/>
  </r>
  <r>
    <x v="5"/>
    <x v="5"/>
    <x v="1"/>
    <n v="383.66"/>
    <x v="4"/>
    <s v="remuneracion_por_actividad_economica"/>
  </r>
  <r>
    <x v="6"/>
    <x v="6"/>
    <x v="1"/>
    <n v="61.53"/>
    <x v="4"/>
    <s v="remuneracion_por_actividad_economica"/>
  </r>
  <r>
    <x v="7"/>
    <x v="7"/>
    <x v="1"/>
    <n v="30.05"/>
    <x v="4"/>
    <s v="remuneracion_por_actividad_economica"/>
  </r>
  <r>
    <x v="8"/>
    <x v="8"/>
    <x v="1"/>
    <n v="226.07"/>
    <x v="4"/>
    <s v="remuneracion_por_actividad_economica"/>
  </r>
  <r>
    <x v="9"/>
    <x v="9"/>
    <x v="1"/>
    <n v="141.56"/>
    <x v="4"/>
    <s v="remuneracion_por_actividad_economica"/>
  </r>
  <r>
    <x v="10"/>
    <x v="10"/>
    <x v="1"/>
    <n v="77.88"/>
    <x v="4"/>
    <s v="remuneracion_por_actividad_economica"/>
  </r>
  <r>
    <x v="11"/>
    <x v="11"/>
    <x v="1"/>
    <n v="635.32000000000005"/>
    <x v="4"/>
    <s v="remuneracion_por_actividad_economica"/>
  </r>
  <r>
    <x v="12"/>
    <x v="12"/>
    <x v="1"/>
    <n v="353.58"/>
    <x v="4"/>
    <s v="remuneracion_por_actividad_economica"/>
  </r>
  <r>
    <x v="13"/>
    <x v="13"/>
    <x v="1"/>
    <n v="424.74"/>
    <x v="4"/>
    <s v="remuneracion_por_actividad_economica"/>
  </r>
  <r>
    <x v="14"/>
    <x v="14"/>
    <x v="1"/>
    <n v="336.22"/>
    <x v="4"/>
    <s v="remuneracion_por_actividad_economica"/>
  </r>
  <r>
    <x v="15"/>
    <x v="15"/>
    <x v="1"/>
    <n v="146.84"/>
    <x v="4"/>
    <s v="remuneracion_por_actividad_economica"/>
  </r>
  <r>
    <x v="16"/>
    <x v="16"/>
    <x v="1"/>
    <n v="248.68"/>
    <x v="4"/>
    <s v="remuneracion_por_actividad_economica"/>
  </r>
  <r>
    <x v="17"/>
    <x v="17"/>
    <x v="1"/>
    <m/>
    <x v="4"/>
    <s v="remuneracion_por_actividad_economica"/>
  </r>
  <r>
    <x v="18"/>
    <x v="18"/>
    <x v="1"/>
    <n v="191.97"/>
    <x v="4"/>
    <s v="remuneracion_por_actividad_economica"/>
  </r>
  <r>
    <x v="19"/>
    <x v="19"/>
    <x v="1"/>
    <n v="129.06"/>
    <x v="4"/>
    <s v="remuneracion_por_actividad_economica"/>
  </r>
  <r>
    <x v="20"/>
    <x v="20"/>
    <x v="1"/>
    <n v="94.99"/>
    <x v="4"/>
    <s v="remuneracion_por_actividad_economica"/>
  </r>
  <r>
    <x v="21"/>
    <x v="21"/>
    <x v="1"/>
    <n v="55.15"/>
    <x v="4"/>
    <s v="remuneracion_por_actividad_economica"/>
  </r>
  <r>
    <x v="22"/>
    <x v="22"/>
    <x v="1"/>
    <n v="118.75"/>
    <x v="4"/>
    <s v="remuneracion_por_actividad_economica"/>
  </r>
  <r>
    <x v="23"/>
    <x v="23"/>
    <x v="1"/>
    <n v="448.03"/>
    <x v="4"/>
    <s v="remuneracion_por_actividad_economica"/>
  </r>
  <r>
    <x v="24"/>
    <x v="24"/>
    <x v="1"/>
    <m/>
    <x v="4"/>
    <s v="remuneracion_por_actividad_economica"/>
  </r>
  <r>
    <x v="25"/>
    <x v="25"/>
    <x v="1"/>
    <m/>
    <x v="4"/>
    <s v="remuneracion_por_actividad_economica"/>
  </r>
  <r>
    <x v="0"/>
    <x v="0"/>
    <x v="2"/>
    <n v="3816.78"/>
    <x v="4"/>
    <s v="remuneracion_por_actividad_economica"/>
  </r>
  <r>
    <x v="1"/>
    <x v="1"/>
    <x v="2"/>
    <n v="1903.11"/>
    <x v="4"/>
    <s v="remuneracion_por_actividad_economica"/>
  </r>
  <r>
    <x v="2"/>
    <x v="2"/>
    <x v="2"/>
    <n v="147.78"/>
    <x v="4"/>
    <s v="remuneracion_por_actividad_economica"/>
  </r>
  <r>
    <x v="3"/>
    <x v="3"/>
    <x v="2"/>
    <n v="1.69"/>
    <x v="4"/>
    <s v="remuneracion_por_actividad_economica"/>
  </r>
  <r>
    <x v="4"/>
    <x v="4"/>
    <x v="2"/>
    <n v="58.15"/>
    <x v="4"/>
    <s v="remuneracion_por_actividad_economica"/>
  </r>
  <r>
    <x v="5"/>
    <x v="5"/>
    <x v="2"/>
    <n v="25.91"/>
    <x v="4"/>
    <s v="remuneracion_por_actividad_economica"/>
  </r>
  <r>
    <x v="6"/>
    <x v="6"/>
    <x v="2"/>
    <n v="41.56"/>
    <x v="4"/>
    <s v="remuneracion_por_actividad_economica"/>
  </r>
  <r>
    <x v="7"/>
    <x v="7"/>
    <x v="2"/>
    <n v="82.05"/>
    <x v="4"/>
    <s v="remuneracion_por_actividad_economica"/>
  </r>
  <r>
    <x v="8"/>
    <x v="8"/>
    <x v="2"/>
    <n v="179.27"/>
    <x v="4"/>
    <s v="remuneracion_por_actividad_economica"/>
  </r>
  <r>
    <x v="9"/>
    <x v="9"/>
    <x v="2"/>
    <n v="76.11"/>
    <x v="4"/>
    <s v="remuneracion_por_actividad_economica"/>
  </r>
  <r>
    <x v="10"/>
    <x v="10"/>
    <x v="2"/>
    <n v="17.55"/>
    <x v="4"/>
    <s v="remuneracion_por_actividad_economica"/>
  </r>
  <r>
    <x v="11"/>
    <x v="11"/>
    <x v="2"/>
    <n v="225.22"/>
    <x v="4"/>
    <s v="remuneracion_por_actividad_economica"/>
  </r>
  <r>
    <x v="12"/>
    <x v="12"/>
    <x v="2"/>
    <n v="155.93"/>
    <x v="4"/>
    <s v="remuneracion_por_actividad_economica"/>
  </r>
  <r>
    <x v="13"/>
    <x v="13"/>
    <x v="2"/>
    <n v="288.55"/>
    <x v="4"/>
    <s v="remuneracion_por_actividad_economica"/>
  </r>
  <r>
    <x v="14"/>
    <x v="14"/>
    <x v="2"/>
    <n v="152.16"/>
    <x v="4"/>
    <s v="remuneracion_por_actividad_economica"/>
  </r>
  <r>
    <x v="15"/>
    <x v="15"/>
    <x v="2"/>
    <n v="104.18"/>
    <x v="4"/>
    <s v="remuneracion_por_actividad_economica"/>
  </r>
  <r>
    <x v="16"/>
    <x v="16"/>
    <x v="2"/>
    <n v="78.2"/>
    <x v="4"/>
    <s v="remuneracion_por_actividad_economica"/>
  </r>
  <r>
    <x v="17"/>
    <x v="17"/>
    <x v="2"/>
    <n v="11.9"/>
    <x v="4"/>
    <s v="remuneracion_por_actividad_economica"/>
  </r>
  <r>
    <x v="18"/>
    <x v="18"/>
    <x v="2"/>
    <n v="99.91"/>
    <x v="4"/>
    <s v="remuneracion_por_actividad_economica"/>
  </r>
  <r>
    <x v="19"/>
    <x v="19"/>
    <x v="2"/>
    <n v="35.83"/>
    <x v="4"/>
    <s v="remuneracion_por_actividad_economica"/>
  </r>
  <r>
    <x v="20"/>
    <x v="20"/>
    <x v="2"/>
    <n v="24.07"/>
    <x v="4"/>
    <s v="remuneracion_por_actividad_economica"/>
  </r>
  <r>
    <x v="21"/>
    <x v="21"/>
    <x v="2"/>
    <n v="19.48"/>
    <x v="4"/>
    <s v="remuneracion_por_actividad_economica"/>
  </r>
  <r>
    <x v="22"/>
    <x v="22"/>
    <x v="2"/>
    <n v="49.34"/>
    <x v="4"/>
    <s v="remuneracion_por_actividad_economica"/>
  </r>
  <r>
    <x v="23"/>
    <x v="23"/>
    <x v="2"/>
    <n v="4.88"/>
    <x v="4"/>
    <s v="remuneracion_por_actividad_economica"/>
  </r>
  <r>
    <x v="24"/>
    <x v="24"/>
    <x v="2"/>
    <n v="33.950000000000003"/>
    <x v="4"/>
    <s v="remuneracion_por_actividad_economica"/>
  </r>
  <r>
    <x v="25"/>
    <x v="25"/>
    <x v="2"/>
    <m/>
    <x v="4"/>
    <s v="remuneracion_por_actividad_economica"/>
  </r>
  <r>
    <x v="0"/>
    <x v="0"/>
    <x v="5"/>
    <n v="31124.71"/>
    <x v="4"/>
    <s v="remuneracion_por_actividad_economica"/>
  </r>
  <r>
    <x v="1"/>
    <x v="1"/>
    <x v="5"/>
    <n v="3495.98"/>
    <x v="4"/>
    <s v="remuneracion_por_actividad_economica"/>
  </r>
  <r>
    <x v="2"/>
    <x v="2"/>
    <x v="5"/>
    <n v="896.87"/>
    <x v="4"/>
    <s v="remuneracion_por_actividad_economica"/>
  </r>
  <r>
    <x v="3"/>
    <x v="3"/>
    <x v="5"/>
    <n v="20.77"/>
    <x v="4"/>
    <s v="remuneracion_por_actividad_economica"/>
  </r>
  <r>
    <x v="4"/>
    <x v="4"/>
    <x v="5"/>
    <n v="1778.66"/>
    <x v="4"/>
    <s v="remuneracion_por_actividad_economica"/>
  </r>
  <r>
    <x v="5"/>
    <x v="5"/>
    <x v="5"/>
    <n v="584.33000000000004"/>
    <x v="4"/>
    <s v="remuneracion_por_actividad_economica"/>
  </r>
  <r>
    <x v="6"/>
    <x v="6"/>
    <x v="5"/>
    <n v="325.52"/>
    <x v="4"/>
    <s v="remuneracion_por_actividad_economica"/>
  </r>
  <r>
    <x v="7"/>
    <x v="7"/>
    <x v="5"/>
    <n v="166.84"/>
    <x v="4"/>
    <s v="remuneracion_por_actividad_economica"/>
  </r>
  <r>
    <x v="8"/>
    <x v="8"/>
    <x v="5"/>
    <n v="673.3"/>
    <x v="4"/>
    <s v="remuneracion_por_actividad_economica"/>
  </r>
  <r>
    <x v="9"/>
    <x v="9"/>
    <x v="5"/>
    <n v="119.87"/>
    <x v="4"/>
    <s v="remuneracion_por_actividad_economica"/>
  </r>
  <r>
    <x v="10"/>
    <x v="10"/>
    <x v="5"/>
    <n v="536.6"/>
    <x v="4"/>
    <s v="remuneracion_por_actividad_economica"/>
  </r>
  <r>
    <x v="11"/>
    <x v="11"/>
    <x v="5"/>
    <n v="2086.2600000000002"/>
    <x v="4"/>
    <s v="remuneracion_por_actividad_economica"/>
  </r>
  <r>
    <x v="12"/>
    <x v="12"/>
    <x v="5"/>
    <n v="832.27"/>
    <x v="4"/>
    <s v="remuneracion_por_actividad_economica"/>
  </r>
  <r>
    <x v="13"/>
    <x v="13"/>
    <x v="5"/>
    <n v="1771.28"/>
    <x v="4"/>
    <s v="remuneracion_por_actividad_economica"/>
  </r>
  <r>
    <x v="14"/>
    <x v="14"/>
    <x v="5"/>
    <n v="1471.29"/>
    <x v="4"/>
    <s v="remuneracion_por_actividad_economica"/>
  </r>
  <r>
    <x v="15"/>
    <x v="15"/>
    <x v="5"/>
    <n v="1322.18"/>
    <x v="4"/>
    <s v="remuneracion_por_actividad_economica"/>
  </r>
  <r>
    <x v="16"/>
    <x v="16"/>
    <x v="5"/>
    <n v="1652.75"/>
    <x v="4"/>
    <s v="remuneracion_por_actividad_economica"/>
  </r>
  <r>
    <x v="17"/>
    <x v="17"/>
    <x v="5"/>
    <n v="3285.99"/>
    <x v="4"/>
    <s v="remuneracion_por_actividad_economica"/>
  </r>
  <r>
    <x v="18"/>
    <x v="18"/>
    <x v="5"/>
    <n v="4347.0200000000004"/>
    <x v="4"/>
    <s v="remuneracion_por_actividad_economica"/>
  </r>
  <r>
    <x v="19"/>
    <x v="19"/>
    <x v="5"/>
    <n v="3646.51"/>
    <x v="4"/>
    <s v="remuneracion_por_actividad_economica"/>
  </r>
  <r>
    <x v="20"/>
    <x v="20"/>
    <x v="5"/>
    <n v="1660.77"/>
    <x v="4"/>
    <s v="remuneracion_por_actividad_economica"/>
  </r>
  <r>
    <x v="21"/>
    <x v="21"/>
    <x v="5"/>
    <n v="167.06"/>
    <x v="4"/>
    <s v="remuneracion_por_actividad_economica"/>
  </r>
  <r>
    <x v="22"/>
    <x v="22"/>
    <x v="5"/>
    <n v="160.6"/>
    <x v="4"/>
    <s v="remuneracion_por_actividad_economica"/>
  </r>
  <r>
    <x v="23"/>
    <x v="23"/>
    <x v="5"/>
    <n v="121.99"/>
    <x v="4"/>
    <s v="remuneracion_por_actividad_economica"/>
  </r>
  <r>
    <x v="24"/>
    <x v="24"/>
    <x v="5"/>
    <m/>
    <x v="4"/>
    <s v="remuneracion_por_actividad_economica"/>
  </r>
  <r>
    <x v="25"/>
    <x v="25"/>
    <x v="5"/>
    <m/>
    <x v="4"/>
    <s v="remuneracion_por_actividad_economica"/>
  </r>
  <r>
    <x v="0"/>
    <x v="0"/>
    <x v="3"/>
    <m/>
    <x v="4"/>
    <s v="remuneracion_por_actividad_economica"/>
  </r>
  <r>
    <x v="1"/>
    <x v="1"/>
    <x v="3"/>
    <m/>
    <x v="4"/>
    <s v="remuneracion_por_actividad_economica"/>
  </r>
  <r>
    <x v="2"/>
    <x v="2"/>
    <x v="3"/>
    <m/>
    <x v="4"/>
    <s v="remuneracion_por_actividad_economica"/>
  </r>
  <r>
    <x v="3"/>
    <x v="3"/>
    <x v="3"/>
    <m/>
    <x v="4"/>
    <s v="remuneracion_por_actividad_economica"/>
  </r>
  <r>
    <x v="4"/>
    <x v="4"/>
    <x v="3"/>
    <m/>
    <x v="4"/>
    <s v="remuneracion_por_actividad_economica"/>
  </r>
  <r>
    <x v="5"/>
    <x v="5"/>
    <x v="3"/>
    <m/>
    <x v="4"/>
    <s v="remuneracion_por_actividad_economica"/>
  </r>
  <r>
    <x v="6"/>
    <x v="6"/>
    <x v="3"/>
    <m/>
    <x v="4"/>
    <s v="remuneracion_por_actividad_economica"/>
  </r>
  <r>
    <x v="7"/>
    <x v="7"/>
    <x v="3"/>
    <m/>
    <x v="4"/>
    <s v="remuneracion_por_actividad_economica"/>
  </r>
  <r>
    <x v="8"/>
    <x v="8"/>
    <x v="3"/>
    <m/>
    <x v="4"/>
    <s v="remuneracion_por_actividad_economica"/>
  </r>
  <r>
    <x v="9"/>
    <x v="9"/>
    <x v="3"/>
    <m/>
    <x v="4"/>
    <s v="remuneracion_por_actividad_economica"/>
  </r>
  <r>
    <x v="10"/>
    <x v="10"/>
    <x v="3"/>
    <m/>
    <x v="4"/>
    <s v="remuneracion_por_actividad_economica"/>
  </r>
  <r>
    <x v="11"/>
    <x v="11"/>
    <x v="3"/>
    <m/>
    <x v="4"/>
    <s v="remuneracion_por_actividad_economica"/>
  </r>
  <r>
    <x v="12"/>
    <x v="12"/>
    <x v="3"/>
    <m/>
    <x v="4"/>
    <s v="remuneracion_por_actividad_economica"/>
  </r>
  <r>
    <x v="13"/>
    <x v="13"/>
    <x v="3"/>
    <m/>
    <x v="4"/>
    <s v="remuneracion_por_actividad_economica"/>
  </r>
  <r>
    <x v="14"/>
    <x v="14"/>
    <x v="3"/>
    <m/>
    <x v="4"/>
    <s v="remuneracion_por_actividad_economica"/>
  </r>
  <r>
    <x v="15"/>
    <x v="15"/>
    <x v="3"/>
    <m/>
    <x v="4"/>
    <s v="remuneracion_por_actividad_economica"/>
  </r>
  <r>
    <x v="16"/>
    <x v="16"/>
    <x v="3"/>
    <m/>
    <x v="4"/>
    <s v="remuneracion_por_actividad_economica"/>
  </r>
  <r>
    <x v="17"/>
    <x v="17"/>
    <x v="3"/>
    <m/>
    <x v="4"/>
    <s v="remuneracion_por_actividad_economica"/>
  </r>
  <r>
    <x v="18"/>
    <x v="18"/>
    <x v="3"/>
    <m/>
    <x v="4"/>
    <s v="remuneracion_por_actividad_economica"/>
  </r>
  <r>
    <x v="19"/>
    <x v="19"/>
    <x v="3"/>
    <m/>
    <x v="4"/>
    <s v="remuneracion_por_actividad_economica"/>
  </r>
  <r>
    <x v="20"/>
    <x v="20"/>
    <x v="3"/>
    <m/>
    <x v="4"/>
    <s v="remuneracion_por_actividad_economica"/>
  </r>
  <r>
    <x v="21"/>
    <x v="21"/>
    <x v="3"/>
    <m/>
    <x v="4"/>
    <s v="remuneracion_por_actividad_economica"/>
  </r>
  <r>
    <x v="22"/>
    <x v="22"/>
    <x v="3"/>
    <m/>
    <x v="4"/>
    <s v="remuneracion_por_actividad_economica"/>
  </r>
  <r>
    <x v="23"/>
    <x v="23"/>
    <x v="3"/>
    <m/>
    <x v="4"/>
    <s v="remuneracion_por_actividad_economica"/>
  </r>
  <r>
    <x v="24"/>
    <x v="24"/>
    <x v="3"/>
    <m/>
    <x v="4"/>
    <s v="remuneracion_por_actividad_economica"/>
  </r>
  <r>
    <x v="25"/>
    <x v="25"/>
    <x v="3"/>
    <m/>
    <x v="4"/>
    <s v="remuneracion_por_actividad_economica"/>
  </r>
  <r>
    <x v="0"/>
    <x v="0"/>
    <x v="6"/>
    <m/>
    <x v="4"/>
    <s v="remuneracion_por_actividad_economica"/>
  </r>
  <r>
    <x v="1"/>
    <x v="1"/>
    <x v="6"/>
    <m/>
    <x v="4"/>
    <s v="remuneracion_por_actividad_economica"/>
  </r>
  <r>
    <x v="2"/>
    <x v="2"/>
    <x v="6"/>
    <m/>
    <x v="4"/>
    <s v="remuneracion_por_actividad_economica"/>
  </r>
  <r>
    <x v="3"/>
    <x v="3"/>
    <x v="6"/>
    <m/>
    <x v="4"/>
    <s v="remuneracion_por_actividad_economica"/>
  </r>
  <r>
    <x v="4"/>
    <x v="4"/>
    <x v="6"/>
    <m/>
    <x v="4"/>
    <s v="remuneracion_por_actividad_economica"/>
  </r>
  <r>
    <x v="5"/>
    <x v="5"/>
    <x v="6"/>
    <m/>
    <x v="4"/>
    <s v="remuneracion_por_actividad_economica"/>
  </r>
  <r>
    <x v="6"/>
    <x v="6"/>
    <x v="6"/>
    <m/>
    <x v="4"/>
    <s v="remuneracion_por_actividad_economica"/>
  </r>
  <r>
    <x v="7"/>
    <x v="7"/>
    <x v="6"/>
    <m/>
    <x v="4"/>
    <s v="remuneracion_por_actividad_economica"/>
  </r>
  <r>
    <x v="8"/>
    <x v="8"/>
    <x v="6"/>
    <m/>
    <x v="4"/>
    <s v="remuneracion_por_actividad_economica"/>
  </r>
  <r>
    <x v="9"/>
    <x v="9"/>
    <x v="6"/>
    <m/>
    <x v="4"/>
    <s v="remuneracion_por_actividad_economica"/>
  </r>
  <r>
    <x v="10"/>
    <x v="10"/>
    <x v="6"/>
    <m/>
    <x v="4"/>
    <s v="remuneracion_por_actividad_economica"/>
  </r>
  <r>
    <x v="11"/>
    <x v="11"/>
    <x v="6"/>
    <m/>
    <x v="4"/>
    <s v="remuneracion_por_actividad_economica"/>
  </r>
  <r>
    <x v="12"/>
    <x v="12"/>
    <x v="6"/>
    <m/>
    <x v="4"/>
    <s v="remuneracion_por_actividad_economica"/>
  </r>
  <r>
    <x v="13"/>
    <x v="13"/>
    <x v="6"/>
    <m/>
    <x v="4"/>
    <s v="remuneracion_por_actividad_economica"/>
  </r>
  <r>
    <x v="14"/>
    <x v="14"/>
    <x v="6"/>
    <m/>
    <x v="4"/>
    <s v="remuneracion_por_actividad_economica"/>
  </r>
  <r>
    <x v="15"/>
    <x v="15"/>
    <x v="6"/>
    <m/>
    <x v="4"/>
    <s v="remuneracion_por_actividad_economica"/>
  </r>
  <r>
    <x v="16"/>
    <x v="16"/>
    <x v="6"/>
    <m/>
    <x v="4"/>
    <s v="remuneracion_por_actividad_economica"/>
  </r>
  <r>
    <x v="17"/>
    <x v="17"/>
    <x v="6"/>
    <m/>
    <x v="4"/>
    <s v="remuneracion_por_actividad_economica"/>
  </r>
  <r>
    <x v="18"/>
    <x v="18"/>
    <x v="6"/>
    <m/>
    <x v="4"/>
    <s v="remuneracion_por_actividad_economica"/>
  </r>
  <r>
    <x v="19"/>
    <x v="19"/>
    <x v="6"/>
    <m/>
    <x v="4"/>
    <s v="remuneracion_por_actividad_economica"/>
  </r>
  <r>
    <x v="20"/>
    <x v="20"/>
    <x v="6"/>
    <m/>
    <x v="4"/>
    <s v="remuneracion_por_actividad_economica"/>
  </r>
  <r>
    <x v="21"/>
    <x v="21"/>
    <x v="6"/>
    <m/>
    <x v="4"/>
    <s v="remuneracion_por_actividad_economica"/>
  </r>
  <r>
    <x v="22"/>
    <x v="22"/>
    <x v="6"/>
    <m/>
    <x v="4"/>
    <s v="remuneracion_por_actividad_economica"/>
  </r>
  <r>
    <x v="23"/>
    <x v="23"/>
    <x v="6"/>
    <m/>
    <x v="4"/>
    <s v="remuneracion_por_actividad_economica"/>
  </r>
  <r>
    <x v="24"/>
    <x v="24"/>
    <x v="6"/>
    <m/>
    <x v="4"/>
    <s v="remuneracion_por_actividad_economica"/>
  </r>
  <r>
    <x v="25"/>
    <x v="25"/>
    <x v="6"/>
    <m/>
    <x v="4"/>
    <s v="remuneracion_por_actividad_economica"/>
  </r>
  <r>
    <x v="0"/>
    <x v="0"/>
    <x v="4"/>
    <n v="96130.18"/>
    <x v="5"/>
    <s v="remuneracion_por_actividad_economica"/>
  </r>
  <r>
    <x v="1"/>
    <x v="1"/>
    <x v="4"/>
    <n v="32845.47"/>
    <x v="5"/>
    <s v="remuneracion_por_actividad_economica"/>
  </r>
  <r>
    <x v="2"/>
    <x v="2"/>
    <x v="4"/>
    <n v="4683.01"/>
    <x v="5"/>
    <s v="remuneracion_por_actividad_economica"/>
  </r>
  <r>
    <x v="3"/>
    <x v="3"/>
    <x v="4"/>
    <n v="750.01"/>
    <x v="5"/>
    <s v="remuneracion_por_actividad_economica"/>
  </r>
  <r>
    <x v="4"/>
    <x v="4"/>
    <x v="4"/>
    <n v="3718.38"/>
    <x v="5"/>
    <s v="remuneracion_por_actividad_economica"/>
  </r>
  <r>
    <x v="5"/>
    <x v="5"/>
    <x v="4"/>
    <n v="3982.41"/>
    <x v="5"/>
    <s v="remuneracion_por_actividad_economica"/>
  </r>
  <r>
    <x v="6"/>
    <x v="6"/>
    <x v="4"/>
    <n v="3128.84"/>
    <x v="5"/>
    <s v="remuneracion_por_actividad_economica"/>
  </r>
  <r>
    <x v="7"/>
    <x v="7"/>
    <x v="4"/>
    <n v="2044.25"/>
    <x v="5"/>
    <s v="remuneracion_por_actividad_economica"/>
  </r>
  <r>
    <x v="8"/>
    <x v="8"/>
    <x v="4"/>
    <n v="5825.2"/>
    <x v="5"/>
    <s v="remuneracion_por_actividad_economica"/>
  </r>
  <r>
    <x v="9"/>
    <x v="9"/>
    <x v="4"/>
    <n v="1020.84"/>
    <x v="5"/>
    <s v="remuneracion_por_actividad_economica"/>
  </r>
  <r>
    <x v="10"/>
    <x v="10"/>
    <x v="4"/>
    <n v="-6539.14"/>
    <x v="5"/>
    <s v="remuneracion_por_actividad_economica"/>
  </r>
  <r>
    <x v="11"/>
    <x v="11"/>
    <x v="4"/>
    <n v="-2661.76"/>
    <x v="5"/>
    <s v="remuneracion_por_actividad_economica"/>
  </r>
  <r>
    <x v="12"/>
    <x v="12"/>
    <x v="4"/>
    <n v="6010.88"/>
    <x v="5"/>
    <s v="remuneracion_por_actividad_economica"/>
  </r>
  <r>
    <x v="13"/>
    <x v="13"/>
    <x v="4"/>
    <n v="7829.97"/>
    <x v="5"/>
    <s v="remuneracion_por_actividad_economica"/>
  </r>
  <r>
    <x v="14"/>
    <x v="14"/>
    <x v="4"/>
    <n v="6628.14"/>
    <x v="5"/>
    <s v="remuneracion_por_actividad_economica"/>
  </r>
  <r>
    <x v="15"/>
    <x v="15"/>
    <x v="4"/>
    <n v="8668.0300000000007"/>
    <x v="5"/>
    <s v="remuneracion_por_actividad_economica"/>
  </r>
  <r>
    <x v="16"/>
    <x v="16"/>
    <x v="4"/>
    <n v="6591.08"/>
    <x v="5"/>
    <s v="remuneracion_por_actividad_economica"/>
  </r>
  <r>
    <x v="17"/>
    <x v="17"/>
    <x v="4"/>
    <n v="-14503.58"/>
    <x v="5"/>
    <s v="remuneracion_por_actividad_economica"/>
  </r>
  <r>
    <x v="18"/>
    <x v="18"/>
    <x v="4"/>
    <n v="6426.59"/>
    <x v="5"/>
    <s v="remuneracion_por_actividad_economica"/>
  </r>
  <r>
    <x v="19"/>
    <x v="19"/>
    <x v="4"/>
    <n v="11382.72"/>
    <x v="5"/>
    <s v="remuneracion_por_actividad_economica"/>
  </r>
  <r>
    <x v="20"/>
    <x v="20"/>
    <x v="4"/>
    <n v="15705.44"/>
    <x v="5"/>
    <s v="remuneracion_por_actividad_economica"/>
  </r>
  <r>
    <x v="21"/>
    <x v="21"/>
    <x v="4"/>
    <n v="-15736.32"/>
    <x v="5"/>
    <s v="remuneracion_por_actividad_economica"/>
  </r>
  <r>
    <x v="22"/>
    <x v="22"/>
    <x v="4"/>
    <n v="2601.2800000000002"/>
    <x v="5"/>
    <s v="remuneracion_por_actividad_economica"/>
  </r>
  <r>
    <x v="23"/>
    <x v="23"/>
    <x v="4"/>
    <n v="2358.4899999999998"/>
    <x v="5"/>
    <s v="remuneracion_por_actividad_economica"/>
  </r>
  <r>
    <x v="24"/>
    <x v="24"/>
    <x v="4"/>
    <n v="3369.95"/>
    <x v="5"/>
    <s v="remuneracion_por_actividad_economica"/>
  </r>
  <r>
    <x v="25"/>
    <x v="25"/>
    <x v="4"/>
    <m/>
    <x v="5"/>
    <s v="remuneracion_por_actividad_economica"/>
  </r>
  <r>
    <x v="0"/>
    <x v="0"/>
    <x v="0"/>
    <n v="21867.06"/>
    <x v="5"/>
    <s v="remuneracion_por_actividad_economica"/>
  </r>
  <r>
    <x v="1"/>
    <x v="1"/>
    <x v="0"/>
    <n v="10798.14"/>
    <x v="5"/>
    <s v="remuneracion_por_actividad_economica"/>
  </r>
  <r>
    <x v="2"/>
    <x v="2"/>
    <x v="0"/>
    <n v="364.18"/>
    <x v="5"/>
    <s v="remuneracion_por_actividad_economica"/>
  </r>
  <r>
    <x v="3"/>
    <x v="3"/>
    <x v="0"/>
    <m/>
    <x v="5"/>
    <s v="remuneracion_por_actividad_economica"/>
  </r>
  <r>
    <x v="4"/>
    <x v="4"/>
    <x v="0"/>
    <n v="52.16"/>
    <x v="5"/>
    <s v="remuneracion_por_actividad_economica"/>
  </r>
  <r>
    <x v="5"/>
    <x v="5"/>
    <x v="0"/>
    <n v="31.45"/>
    <x v="5"/>
    <s v="remuneracion_por_actividad_economica"/>
  </r>
  <r>
    <x v="6"/>
    <x v="6"/>
    <x v="0"/>
    <n v="14.66"/>
    <x v="5"/>
    <s v="remuneracion_por_actividad_economica"/>
  </r>
  <r>
    <x v="7"/>
    <x v="7"/>
    <x v="0"/>
    <n v="4192.63"/>
    <x v="5"/>
    <s v="remuneracion_por_actividad_economica"/>
  </r>
  <r>
    <x v="8"/>
    <x v="8"/>
    <x v="0"/>
    <n v="415.55"/>
    <x v="5"/>
    <s v="remuneracion_por_actividad_economica"/>
  </r>
  <r>
    <x v="9"/>
    <x v="9"/>
    <x v="0"/>
    <n v="100.55"/>
    <x v="5"/>
    <s v="remuneracion_por_actividad_economica"/>
  </r>
  <r>
    <x v="10"/>
    <x v="10"/>
    <x v="0"/>
    <m/>
    <x v="5"/>
    <s v="remuneracion_por_actividad_economica"/>
  </r>
  <r>
    <x v="11"/>
    <x v="11"/>
    <x v="0"/>
    <n v="739.58"/>
    <x v="5"/>
    <s v="remuneracion_por_actividad_economica"/>
  </r>
  <r>
    <x v="12"/>
    <x v="12"/>
    <x v="0"/>
    <n v="258.01"/>
    <x v="5"/>
    <s v="remuneracion_por_actividad_economica"/>
  </r>
  <r>
    <x v="13"/>
    <x v="13"/>
    <x v="0"/>
    <n v="555.75"/>
    <x v="5"/>
    <s v="remuneracion_por_actividad_economica"/>
  </r>
  <r>
    <x v="14"/>
    <x v="14"/>
    <x v="0"/>
    <n v="351.19"/>
    <x v="5"/>
    <s v="remuneracion_por_actividad_economica"/>
  </r>
  <r>
    <x v="15"/>
    <x v="15"/>
    <x v="0"/>
    <n v="173.75"/>
    <x v="5"/>
    <s v="remuneracion_por_actividad_economica"/>
  </r>
  <r>
    <x v="16"/>
    <x v="16"/>
    <x v="0"/>
    <n v="491.16"/>
    <x v="5"/>
    <s v="remuneracion_por_actividad_economica"/>
  </r>
  <r>
    <x v="17"/>
    <x v="17"/>
    <x v="0"/>
    <n v="4.75"/>
    <x v="5"/>
    <s v="remuneracion_por_actividad_economica"/>
  </r>
  <r>
    <x v="18"/>
    <x v="18"/>
    <x v="0"/>
    <n v="141.29"/>
    <x v="5"/>
    <s v="remuneracion_por_actividad_economica"/>
  </r>
  <r>
    <x v="19"/>
    <x v="19"/>
    <x v="0"/>
    <n v="2272.0300000000002"/>
    <x v="5"/>
    <s v="remuneracion_por_actividad_economica"/>
  </r>
  <r>
    <x v="20"/>
    <x v="20"/>
    <x v="0"/>
    <n v="13.16"/>
    <x v="5"/>
    <s v="remuneracion_por_actividad_economica"/>
  </r>
  <r>
    <x v="21"/>
    <x v="21"/>
    <x v="0"/>
    <n v="10.050000000000001"/>
    <x v="5"/>
    <s v="remuneracion_por_actividad_economica"/>
  </r>
  <r>
    <x v="22"/>
    <x v="22"/>
    <x v="0"/>
    <n v="130.59"/>
    <x v="5"/>
    <s v="remuneracion_por_actividad_economica"/>
  </r>
  <r>
    <x v="23"/>
    <x v="23"/>
    <x v="0"/>
    <n v="22.74"/>
    <x v="5"/>
    <s v="remuneracion_por_actividad_economica"/>
  </r>
  <r>
    <x v="24"/>
    <x v="24"/>
    <x v="0"/>
    <n v="418.92"/>
    <x v="5"/>
    <s v="remuneracion_por_actividad_economica"/>
  </r>
  <r>
    <x v="25"/>
    <x v="25"/>
    <x v="0"/>
    <n v="314.77"/>
    <x v="5"/>
    <s v="remuneracion_por_actividad_economica"/>
  </r>
  <r>
    <x v="0"/>
    <x v="0"/>
    <x v="1"/>
    <n v="7909.81"/>
    <x v="5"/>
    <s v="remuneracion_por_actividad_economica"/>
  </r>
  <r>
    <x v="1"/>
    <x v="1"/>
    <x v="1"/>
    <n v="1842.04"/>
    <x v="5"/>
    <s v="remuneracion_por_actividad_economica"/>
  </r>
  <r>
    <x v="2"/>
    <x v="2"/>
    <x v="1"/>
    <n v="188.79"/>
    <x v="5"/>
    <s v="remuneracion_por_actividad_economica"/>
  </r>
  <r>
    <x v="3"/>
    <x v="3"/>
    <x v="1"/>
    <m/>
    <x v="5"/>
    <s v="remuneracion_por_actividad_economica"/>
  </r>
  <r>
    <x v="4"/>
    <x v="4"/>
    <x v="1"/>
    <n v="270.56"/>
    <x v="5"/>
    <s v="remuneracion_por_actividad_economica"/>
  </r>
  <r>
    <x v="5"/>
    <x v="5"/>
    <x v="1"/>
    <n v="541.04999999999995"/>
    <x v="5"/>
    <s v="remuneracion_por_actividad_economica"/>
  </r>
  <r>
    <x v="6"/>
    <x v="6"/>
    <x v="1"/>
    <n v="94.92"/>
    <x v="5"/>
    <s v="remuneracion_por_actividad_economica"/>
  </r>
  <r>
    <x v="7"/>
    <x v="7"/>
    <x v="1"/>
    <n v="38.44"/>
    <x v="5"/>
    <s v="remuneracion_por_actividad_economica"/>
  </r>
  <r>
    <x v="8"/>
    <x v="8"/>
    <x v="1"/>
    <n v="284.73"/>
    <x v="5"/>
    <s v="remuneracion_por_actividad_economica"/>
  </r>
  <r>
    <x v="9"/>
    <x v="9"/>
    <x v="1"/>
    <n v="178.64"/>
    <x v="5"/>
    <s v="remuneracion_por_actividad_economica"/>
  </r>
  <r>
    <x v="10"/>
    <x v="10"/>
    <x v="1"/>
    <n v="110.14"/>
    <x v="5"/>
    <s v="remuneracion_por_actividad_economica"/>
  </r>
  <r>
    <x v="11"/>
    <x v="11"/>
    <x v="1"/>
    <n v="878.8"/>
    <x v="5"/>
    <s v="remuneracion_por_actividad_economica"/>
  </r>
  <r>
    <x v="12"/>
    <x v="12"/>
    <x v="1"/>
    <n v="452.23"/>
    <x v="5"/>
    <s v="remuneracion_por_actividad_economica"/>
  </r>
  <r>
    <x v="13"/>
    <x v="13"/>
    <x v="1"/>
    <n v="704.23"/>
    <x v="5"/>
    <s v="remuneracion_por_actividad_economica"/>
  </r>
  <r>
    <x v="14"/>
    <x v="14"/>
    <x v="1"/>
    <n v="427.48"/>
    <x v="5"/>
    <s v="remuneracion_por_actividad_economica"/>
  </r>
  <r>
    <x v="15"/>
    <x v="15"/>
    <x v="1"/>
    <n v="159.97999999999999"/>
    <x v="5"/>
    <s v="remuneracion_por_actividad_economica"/>
  </r>
  <r>
    <x v="16"/>
    <x v="16"/>
    <x v="1"/>
    <n v="317.79000000000002"/>
    <x v="5"/>
    <s v="remuneracion_por_actividad_economica"/>
  </r>
  <r>
    <x v="17"/>
    <x v="17"/>
    <x v="1"/>
    <m/>
    <x v="5"/>
    <s v="remuneracion_por_actividad_economica"/>
  </r>
  <r>
    <x v="18"/>
    <x v="18"/>
    <x v="1"/>
    <n v="265.18"/>
    <x v="5"/>
    <s v="remuneracion_por_actividad_economica"/>
  </r>
  <r>
    <x v="19"/>
    <x v="19"/>
    <x v="1"/>
    <n v="163.77000000000001"/>
    <x v="5"/>
    <s v="remuneracion_por_actividad_economica"/>
  </r>
  <r>
    <x v="20"/>
    <x v="20"/>
    <x v="1"/>
    <n v="118.47"/>
    <x v="5"/>
    <s v="remuneracion_por_actividad_economica"/>
  </r>
  <r>
    <x v="21"/>
    <x v="21"/>
    <x v="1"/>
    <n v="76.37"/>
    <x v="5"/>
    <s v="remuneracion_por_actividad_economica"/>
  </r>
  <r>
    <x v="22"/>
    <x v="22"/>
    <x v="1"/>
    <n v="214.65"/>
    <x v="5"/>
    <s v="remuneracion_por_actividad_economica"/>
  </r>
  <r>
    <x v="23"/>
    <x v="23"/>
    <x v="1"/>
    <n v="581.54999999999995"/>
    <x v="5"/>
    <s v="remuneracion_por_actividad_economica"/>
  </r>
  <r>
    <x v="24"/>
    <x v="24"/>
    <x v="1"/>
    <m/>
    <x v="5"/>
    <s v="remuneracion_por_actividad_economica"/>
  </r>
  <r>
    <x v="25"/>
    <x v="25"/>
    <x v="1"/>
    <m/>
    <x v="5"/>
    <s v="remuneracion_por_actividad_economica"/>
  </r>
  <r>
    <x v="0"/>
    <x v="0"/>
    <x v="2"/>
    <n v="4201.3100000000004"/>
    <x v="5"/>
    <s v="remuneracion_por_actividad_economica"/>
  </r>
  <r>
    <x v="1"/>
    <x v="1"/>
    <x v="2"/>
    <n v="1963.65"/>
    <x v="5"/>
    <s v="remuneracion_por_actividad_economica"/>
  </r>
  <r>
    <x v="2"/>
    <x v="2"/>
    <x v="2"/>
    <n v="178.97"/>
    <x v="5"/>
    <s v="remuneracion_por_actividad_economica"/>
  </r>
  <r>
    <x v="3"/>
    <x v="3"/>
    <x v="2"/>
    <n v="3.63"/>
    <x v="5"/>
    <s v="remuneracion_por_actividad_economica"/>
  </r>
  <r>
    <x v="4"/>
    <x v="4"/>
    <x v="2"/>
    <n v="83.79"/>
    <x v="5"/>
    <s v="remuneracion_por_actividad_economica"/>
  </r>
  <r>
    <x v="5"/>
    <x v="5"/>
    <x v="2"/>
    <n v="36.909999999999997"/>
    <x v="5"/>
    <s v="remuneracion_por_actividad_economica"/>
  </r>
  <r>
    <x v="6"/>
    <x v="6"/>
    <x v="2"/>
    <n v="23.48"/>
    <x v="5"/>
    <s v="remuneracion_por_actividad_economica"/>
  </r>
  <r>
    <x v="7"/>
    <x v="7"/>
    <x v="2"/>
    <n v="77.63"/>
    <x v="5"/>
    <s v="remuneracion_por_actividad_economica"/>
  </r>
  <r>
    <x v="8"/>
    <x v="8"/>
    <x v="2"/>
    <n v="240.53"/>
    <x v="5"/>
    <s v="remuneracion_por_actividad_economica"/>
  </r>
  <r>
    <x v="9"/>
    <x v="9"/>
    <x v="2"/>
    <n v="48.14"/>
    <x v="5"/>
    <s v="remuneracion_por_actividad_economica"/>
  </r>
  <r>
    <x v="10"/>
    <x v="10"/>
    <x v="2"/>
    <n v="38.25"/>
    <x v="5"/>
    <s v="remuneracion_por_actividad_economica"/>
  </r>
  <r>
    <x v="11"/>
    <x v="11"/>
    <x v="2"/>
    <n v="306.31"/>
    <x v="5"/>
    <s v="remuneracion_por_actividad_economica"/>
  </r>
  <r>
    <x v="12"/>
    <x v="12"/>
    <x v="2"/>
    <n v="127.46"/>
    <x v="5"/>
    <s v="remuneracion_por_actividad_economica"/>
  </r>
  <r>
    <x v="13"/>
    <x v="13"/>
    <x v="2"/>
    <n v="264.29000000000002"/>
    <x v="5"/>
    <s v="remuneracion_por_actividad_economica"/>
  </r>
  <r>
    <x v="14"/>
    <x v="14"/>
    <x v="2"/>
    <n v="173.77"/>
    <x v="5"/>
    <s v="remuneracion_por_actividad_economica"/>
  </r>
  <r>
    <x v="15"/>
    <x v="15"/>
    <x v="2"/>
    <n v="150.15"/>
    <x v="5"/>
    <s v="remuneracion_por_actividad_economica"/>
  </r>
  <r>
    <x v="16"/>
    <x v="16"/>
    <x v="2"/>
    <n v="92.75"/>
    <x v="5"/>
    <s v="remuneracion_por_actividad_economica"/>
  </r>
  <r>
    <x v="17"/>
    <x v="17"/>
    <x v="2"/>
    <n v="14.23"/>
    <x v="5"/>
    <s v="remuneracion_por_actividad_economica"/>
  </r>
  <r>
    <x v="18"/>
    <x v="18"/>
    <x v="2"/>
    <n v="118.11"/>
    <x v="5"/>
    <s v="remuneracion_por_actividad_economica"/>
  </r>
  <r>
    <x v="19"/>
    <x v="19"/>
    <x v="2"/>
    <n v="46.35"/>
    <x v="5"/>
    <s v="remuneracion_por_actividad_economica"/>
  </r>
  <r>
    <x v="20"/>
    <x v="20"/>
    <x v="2"/>
    <n v="29.5"/>
    <x v="5"/>
    <s v="remuneracion_por_actividad_economica"/>
  </r>
  <r>
    <x v="21"/>
    <x v="21"/>
    <x v="2"/>
    <n v="22.7"/>
    <x v="5"/>
    <s v="remuneracion_por_actividad_economica"/>
  </r>
  <r>
    <x v="22"/>
    <x v="22"/>
    <x v="2"/>
    <n v="54.82"/>
    <x v="5"/>
    <s v="remuneracion_por_actividad_economica"/>
  </r>
  <r>
    <x v="23"/>
    <x v="23"/>
    <x v="2"/>
    <n v="4.9800000000000004"/>
    <x v="5"/>
    <s v="remuneracion_por_actividad_economica"/>
  </r>
  <r>
    <x v="24"/>
    <x v="24"/>
    <x v="2"/>
    <n v="100.91"/>
    <x v="5"/>
    <s v="remuneracion_por_actividad_economica"/>
  </r>
  <r>
    <x v="25"/>
    <x v="25"/>
    <x v="2"/>
    <m/>
    <x v="5"/>
    <s v="remuneracion_por_actividad_economica"/>
  </r>
  <r>
    <x v="0"/>
    <x v="0"/>
    <x v="5"/>
    <n v="42587.12"/>
    <x v="5"/>
    <s v="remuneracion_por_actividad_economica"/>
  </r>
  <r>
    <x v="1"/>
    <x v="1"/>
    <x v="5"/>
    <n v="4701.96"/>
    <x v="5"/>
    <s v="remuneracion_por_actividad_economica"/>
  </r>
  <r>
    <x v="2"/>
    <x v="2"/>
    <x v="5"/>
    <n v="1027.71"/>
    <x v="5"/>
    <s v="remuneracion_por_actividad_economica"/>
  </r>
  <r>
    <x v="3"/>
    <x v="3"/>
    <x v="5"/>
    <n v="34.11"/>
    <x v="5"/>
    <s v="remuneracion_por_actividad_economica"/>
  </r>
  <r>
    <x v="4"/>
    <x v="4"/>
    <x v="5"/>
    <n v="3018.45"/>
    <x v="5"/>
    <s v="remuneracion_por_actividad_economica"/>
  </r>
  <r>
    <x v="5"/>
    <x v="5"/>
    <x v="5"/>
    <n v="1010.31"/>
    <x v="5"/>
    <s v="remuneracion_por_actividad_economica"/>
  </r>
  <r>
    <x v="6"/>
    <x v="6"/>
    <x v="5"/>
    <n v="663.05"/>
    <x v="5"/>
    <s v="remuneracion_por_actividad_economica"/>
  </r>
  <r>
    <x v="7"/>
    <x v="7"/>
    <x v="5"/>
    <n v="528.20000000000005"/>
    <x v="5"/>
    <s v="remuneracion_por_actividad_economica"/>
  </r>
  <r>
    <x v="8"/>
    <x v="8"/>
    <x v="5"/>
    <n v="1137.52"/>
    <x v="5"/>
    <s v="remuneracion_por_actividad_economica"/>
  </r>
  <r>
    <x v="9"/>
    <x v="9"/>
    <x v="5"/>
    <n v="133.07"/>
    <x v="5"/>
    <s v="remuneracion_por_actividad_economica"/>
  </r>
  <r>
    <x v="10"/>
    <x v="10"/>
    <x v="5"/>
    <n v="596.42999999999995"/>
    <x v="5"/>
    <s v="remuneracion_por_actividad_economica"/>
  </r>
  <r>
    <x v="11"/>
    <x v="11"/>
    <x v="5"/>
    <n v="2662.6"/>
    <x v="5"/>
    <s v="remuneracion_por_actividad_economica"/>
  </r>
  <r>
    <x v="12"/>
    <x v="12"/>
    <x v="5"/>
    <n v="977.01"/>
    <x v="5"/>
    <s v="remuneracion_por_actividad_economica"/>
  </r>
  <r>
    <x v="13"/>
    <x v="13"/>
    <x v="5"/>
    <n v="2609.64"/>
    <x v="5"/>
    <s v="remuneracion_por_actividad_economica"/>
  </r>
  <r>
    <x v="14"/>
    <x v="14"/>
    <x v="5"/>
    <n v="2194.65"/>
    <x v="5"/>
    <s v="remuneracion_por_actividad_economica"/>
  </r>
  <r>
    <x v="15"/>
    <x v="15"/>
    <x v="5"/>
    <n v="1985.09"/>
    <x v="5"/>
    <s v="remuneracion_por_actividad_economica"/>
  </r>
  <r>
    <x v="16"/>
    <x v="16"/>
    <x v="5"/>
    <n v="2679.91"/>
    <x v="5"/>
    <s v="remuneracion_por_actividad_economica"/>
  </r>
  <r>
    <x v="17"/>
    <x v="17"/>
    <x v="5"/>
    <n v="3881.57"/>
    <x v="5"/>
    <s v="remuneracion_por_actividad_economica"/>
  </r>
  <r>
    <x v="18"/>
    <x v="18"/>
    <x v="5"/>
    <n v="4937.66"/>
    <x v="5"/>
    <s v="remuneracion_por_actividad_economica"/>
  </r>
  <r>
    <x v="19"/>
    <x v="19"/>
    <x v="5"/>
    <n v="5071.4399999999996"/>
    <x v="5"/>
    <s v="remuneracion_por_actividad_economica"/>
  </r>
  <r>
    <x v="20"/>
    <x v="20"/>
    <x v="5"/>
    <n v="1974.04"/>
    <x v="5"/>
    <s v="remuneracion_por_actividad_economica"/>
  </r>
  <r>
    <x v="21"/>
    <x v="21"/>
    <x v="5"/>
    <n v="207.71"/>
    <x v="5"/>
    <s v="remuneracion_por_actividad_economica"/>
  </r>
  <r>
    <x v="22"/>
    <x v="22"/>
    <x v="5"/>
    <n v="480.21"/>
    <x v="5"/>
    <s v="remuneracion_por_actividad_economica"/>
  </r>
  <r>
    <x v="23"/>
    <x v="23"/>
    <x v="5"/>
    <n v="74.78"/>
    <x v="5"/>
    <s v="remuneracion_por_actividad_economica"/>
  </r>
  <r>
    <x v="24"/>
    <x v="24"/>
    <x v="5"/>
    <m/>
    <x v="5"/>
    <s v="remuneracion_por_actividad_economica"/>
  </r>
  <r>
    <x v="25"/>
    <x v="25"/>
    <x v="5"/>
    <m/>
    <x v="5"/>
    <s v="remuneracion_por_actividad_economica"/>
  </r>
  <r>
    <x v="0"/>
    <x v="0"/>
    <x v="3"/>
    <m/>
    <x v="5"/>
    <s v="remuneracion_por_actividad_economica"/>
  </r>
  <r>
    <x v="1"/>
    <x v="1"/>
    <x v="3"/>
    <m/>
    <x v="5"/>
    <s v="remuneracion_por_actividad_economica"/>
  </r>
  <r>
    <x v="2"/>
    <x v="2"/>
    <x v="3"/>
    <m/>
    <x v="5"/>
    <s v="remuneracion_por_actividad_economica"/>
  </r>
  <r>
    <x v="3"/>
    <x v="3"/>
    <x v="3"/>
    <m/>
    <x v="5"/>
    <s v="remuneracion_por_actividad_economica"/>
  </r>
  <r>
    <x v="4"/>
    <x v="4"/>
    <x v="3"/>
    <m/>
    <x v="5"/>
    <s v="remuneracion_por_actividad_economica"/>
  </r>
  <r>
    <x v="5"/>
    <x v="5"/>
    <x v="3"/>
    <m/>
    <x v="5"/>
    <s v="remuneracion_por_actividad_economica"/>
  </r>
  <r>
    <x v="6"/>
    <x v="6"/>
    <x v="3"/>
    <m/>
    <x v="5"/>
    <s v="remuneracion_por_actividad_economica"/>
  </r>
  <r>
    <x v="7"/>
    <x v="7"/>
    <x v="3"/>
    <m/>
    <x v="5"/>
    <s v="remuneracion_por_actividad_economica"/>
  </r>
  <r>
    <x v="8"/>
    <x v="8"/>
    <x v="3"/>
    <m/>
    <x v="5"/>
    <s v="remuneracion_por_actividad_economica"/>
  </r>
  <r>
    <x v="9"/>
    <x v="9"/>
    <x v="3"/>
    <m/>
    <x v="5"/>
    <s v="remuneracion_por_actividad_economica"/>
  </r>
  <r>
    <x v="10"/>
    <x v="10"/>
    <x v="3"/>
    <m/>
    <x v="5"/>
    <s v="remuneracion_por_actividad_economica"/>
  </r>
  <r>
    <x v="11"/>
    <x v="11"/>
    <x v="3"/>
    <m/>
    <x v="5"/>
    <s v="remuneracion_por_actividad_economica"/>
  </r>
  <r>
    <x v="12"/>
    <x v="12"/>
    <x v="3"/>
    <m/>
    <x v="5"/>
    <s v="remuneracion_por_actividad_economica"/>
  </r>
  <r>
    <x v="13"/>
    <x v="13"/>
    <x v="3"/>
    <m/>
    <x v="5"/>
    <s v="remuneracion_por_actividad_economica"/>
  </r>
  <r>
    <x v="14"/>
    <x v="14"/>
    <x v="3"/>
    <m/>
    <x v="5"/>
    <s v="remuneracion_por_actividad_economica"/>
  </r>
  <r>
    <x v="15"/>
    <x v="15"/>
    <x v="3"/>
    <m/>
    <x v="5"/>
    <s v="remuneracion_por_actividad_economica"/>
  </r>
  <r>
    <x v="16"/>
    <x v="16"/>
    <x v="3"/>
    <m/>
    <x v="5"/>
    <s v="remuneracion_por_actividad_economica"/>
  </r>
  <r>
    <x v="17"/>
    <x v="17"/>
    <x v="3"/>
    <m/>
    <x v="5"/>
    <s v="remuneracion_por_actividad_economica"/>
  </r>
  <r>
    <x v="18"/>
    <x v="18"/>
    <x v="3"/>
    <m/>
    <x v="5"/>
    <s v="remuneracion_por_actividad_economica"/>
  </r>
  <r>
    <x v="19"/>
    <x v="19"/>
    <x v="3"/>
    <m/>
    <x v="5"/>
    <s v="remuneracion_por_actividad_economica"/>
  </r>
  <r>
    <x v="20"/>
    <x v="20"/>
    <x v="3"/>
    <m/>
    <x v="5"/>
    <s v="remuneracion_por_actividad_economica"/>
  </r>
  <r>
    <x v="21"/>
    <x v="21"/>
    <x v="3"/>
    <m/>
    <x v="5"/>
    <s v="remuneracion_por_actividad_economica"/>
  </r>
  <r>
    <x v="22"/>
    <x v="22"/>
    <x v="3"/>
    <m/>
    <x v="5"/>
    <s v="remuneracion_por_actividad_economica"/>
  </r>
  <r>
    <x v="23"/>
    <x v="23"/>
    <x v="3"/>
    <m/>
    <x v="5"/>
    <s v="remuneracion_por_actividad_economica"/>
  </r>
  <r>
    <x v="24"/>
    <x v="24"/>
    <x v="3"/>
    <m/>
    <x v="5"/>
    <s v="remuneracion_por_actividad_economica"/>
  </r>
  <r>
    <x v="25"/>
    <x v="25"/>
    <x v="3"/>
    <m/>
    <x v="5"/>
    <s v="remuneracion_por_actividad_economica"/>
  </r>
  <r>
    <x v="0"/>
    <x v="0"/>
    <x v="6"/>
    <m/>
    <x v="5"/>
    <s v="remuneracion_por_actividad_economica"/>
  </r>
  <r>
    <x v="1"/>
    <x v="1"/>
    <x v="6"/>
    <m/>
    <x v="5"/>
    <s v="remuneracion_por_actividad_economica"/>
  </r>
  <r>
    <x v="2"/>
    <x v="2"/>
    <x v="6"/>
    <m/>
    <x v="5"/>
    <s v="remuneracion_por_actividad_economica"/>
  </r>
  <r>
    <x v="3"/>
    <x v="3"/>
    <x v="6"/>
    <m/>
    <x v="5"/>
    <s v="remuneracion_por_actividad_economica"/>
  </r>
  <r>
    <x v="4"/>
    <x v="4"/>
    <x v="6"/>
    <m/>
    <x v="5"/>
    <s v="remuneracion_por_actividad_economica"/>
  </r>
  <r>
    <x v="5"/>
    <x v="5"/>
    <x v="6"/>
    <m/>
    <x v="5"/>
    <s v="remuneracion_por_actividad_economica"/>
  </r>
  <r>
    <x v="6"/>
    <x v="6"/>
    <x v="6"/>
    <m/>
    <x v="5"/>
    <s v="remuneracion_por_actividad_economica"/>
  </r>
  <r>
    <x v="7"/>
    <x v="7"/>
    <x v="6"/>
    <m/>
    <x v="5"/>
    <s v="remuneracion_por_actividad_economica"/>
  </r>
  <r>
    <x v="8"/>
    <x v="8"/>
    <x v="6"/>
    <m/>
    <x v="5"/>
    <s v="remuneracion_por_actividad_economica"/>
  </r>
  <r>
    <x v="9"/>
    <x v="9"/>
    <x v="6"/>
    <m/>
    <x v="5"/>
    <s v="remuneracion_por_actividad_economica"/>
  </r>
  <r>
    <x v="10"/>
    <x v="10"/>
    <x v="6"/>
    <m/>
    <x v="5"/>
    <s v="remuneracion_por_actividad_economica"/>
  </r>
  <r>
    <x v="11"/>
    <x v="11"/>
    <x v="6"/>
    <m/>
    <x v="5"/>
    <s v="remuneracion_por_actividad_economica"/>
  </r>
  <r>
    <x v="12"/>
    <x v="12"/>
    <x v="6"/>
    <m/>
    <x v="5"/>
    <s v="remuneracion_por_actividad_economica"/>
  </r>
  <r>
    <x v="13"/>
    <x v="13"/>
    <x v="6"/>
    <m/>
    <x v="5"/>
    <s v="remuneracion_por_actividad_economica"/>
  </r>
  <r>
    <x v="14"/>
    <x v="14"/>
    <x v="6"/>
    <m/>
    <x v="5"/>
    <s v="remuneracion_por_actividad_economica"/>
  </r>
  <r>
    <x v="15"/>
    <x v="15"/>
    <x v="6"/>
    <m/>
    <x v="5"/>
    <s v="remuneracion_por_actividad_economica"/>
  </r>
  <r>
    <x v="16"/>
    <x v="16"/>
    <x v="6"/>
    <m/>
    <x v="5"/>
    <s v="remuneracion_por_actividad_economica"/>
  </r>
  <r>
    <x v="17"/>
    <x v="17"/>
    <x v="6"/>
    <m/>
    <x v="5"/>
    <s v="remuneracion_por_actividad_economica"/>
  </r>
  <r>
    <x v="18"/>
    <x v="18"/>
    <x v="6"/>
    <m/>
    <x v="5"/>
    <s v="remuneracion_por_actividad_economica"/>
  </r>
  <r>
    <x v="19"/>
    <x v="19"/>
    <x v="6"/>
    <m/>
    <x v="5"/>
    <s v="remuneracion_por_actividad_economica"/>
  </r>
  <r>
    <x v="20"/>
    <x v="20"/>
    <x v="6"/>
    <m/>
    <x v="5"/>
    <s v="remuneracion_por_actividad_economica"/>
  </r>
  <r>
    <x v="21"/>
    <x v="21"/>
    <x v="6"/>
    <m/>
    <x v="5"/>
    <s v="remuneracion_por_actividad_economica"/>
  </r>
  <r>
    <x v="22"/>
    <x v="22"/>
    <x v="6"/>
    <m/>
    <x v="5"/>
    <s v="remuneracion_por_actividad_economica"/>
  </r>
  <r>
    <x v="23"/>
    <x v="23"/>
    <x v="6"/>
    <m/>
    <x v="5"/>
    <s v="remuneracion_por_actividad_economica"/>
  </r>
  <r>
    <x v="24"/>
    <x v="24"/>
    <x v="6"/>
    <m/>
    <x v="5"/>
    <s v="remuneracion_por_actividad_economica"/>
  </r>
  <r>
    <x v="25"/>
    <x v="25"/>
    <x v="6"/>
    <m/>
    <x v="5"/>
    <s v="remuneracion_por_actividad_economica"/>
  </r>
  <r>
    <x v="0"/>
    <x v="0"/>
    <x v="4"/>
    <n v="123228.49"/>
    <x v="6"/>
    <s v="remuneracion_por_actividad_economica"/>
  </r>
  <r>
    <x v="1"/>
    <x v="1"/>
    <x v="4"/>
    <n v="39205.46"/>
    <x v="6"/>
    <s v="remuneracion_por_actividad_economica"/>
  </r>
  <r>
    <x v="2"/>
    <x v="2"/>
    <x v="4"/>
    <n v="5468.12"/>
    <x v="6"/>
    <s v="remuneracion_por_actividad_economica"/>
  </r>
  <r>
    <x v="3"/>
    <x v="3"/>
    <x v="4"/>
    <n v="831.06"/>
    <x v="6"/>
    <s v="remuneracion_por_actividad_economica"/>
  </r>
  <r>
    <x v="4"/>
    <x v="4"/>
    <x v="4"/>
    <n v="4314.88"/>
    <x v="6"/>
    <s v="remuneracion_por_actividad_economica"/>
  </r>
  <r>
    <x v="5"/>
    <x v="5"/>
    <x v="4"/>
    <n v="4717.78"/>
    <x v="6"/>
    <s v="remuneracion_por_actividad_economica"/>
  </r>
  <r>
    <x v="6"/>
    <x v="6"/>
    <x v="4"/>
    <n v="3964.69"/>
    <x v="6"/>
    <s v="remuneracion_por_actividad_economica"/>
  </r>
  <r>
    <x v="7"/>
    <x v="7"/>
    <x v="4"/>
    <n v="2350.36"/>
    <x v="6"/>
    <s v="remuneracion_por_actividad_economica"/>
  </r>
  <r>
    <x v="8"/>
    <x v="8"/>
    <x v="4"/>
    <n v="7128.89"/>
    <x v="6"/>
    <s v="remuneracion_por_actividad_economica"/>
  </r>
  <r>
    <x v="9"/>
    <x v="9"/>
    <x v="4"/>
    <n v="1173.52"/>
    <x v="6"/>
    <s v="remuneracion_por_actividad_economica"/>
  </r>
  <r>
    <x v="10"/>
    <x v="10"/>
    <x v="4"/>
    <n v="-5767.54"/>
    <x v="6"/>
    <s v="remuneracion_por_actividad_economica"/>
  </r>
  <r>
    <x v="11"/>
    <x v="11"/>
    <x v="4"/>
    <n v="-1246.18"/>
    <x v="6"/>
    <s v="remuneracion_por_actividad_economica"/>
  </r>
  <r>
    <x v="12"/>
    <x v="12"/>
    <x v="4"/>
    <n v="6969.66"/>
    <x v="6"/>
    <s v="remuneracion_por_actividad_economica"/>
  </r>
  <r>
    <x v="13"/>
    <x v="13"/>
    <x v="4"/>
    <n v="9134.91"/>
    <x v="6"/>
    <s v="remuneracion_por_actividad_economica"/>
  </r>
  <r>
    <x v="14"/>
    <x v="14"/>
    <x v="4"/>
    <n v="7769.63"/>
    <x v="6"/>
    <s v="remuneracion_por_actividad_economica"/>
  </r>
  <r>
    <x v="15"/>
    <x v="15"/>
    <x v="4"/>
    <n v="10374.57"/>
    <x v="6"/>
    <s v="remuneracion_por_actividad_economica"/>
  </r>
  <r>
    <x v="16"/>
    <x v="16"/>
    <x v="4"/>
    <n v="7618.2"/>
    <x v="6"/>
    <s v="remuneracion_por_actividad_economica"/>
  </r>
  <r>
    <x v="17"/>
    <x v="17"/>
    <x v="4"/>
    <n v="-14480.37"/>
    <x v="6"/>
    <s v="remuneracion_por_actividad_economica"/>
  </r>
  <r>
    <x v="18"/>
    <x v="18"/>
    <x v="4"/>
    <n v="7620.43"/>
    <x v="6"/>
    <s v="remuneracion_por_actividad_economica"/>
  </r>
  <r>
    <x v="19"/>
    <x v="19"/>
    <x v="4"/>
    <n v="13789.74"/>
    <x v="6"/>
    <s v="remuneracion_por_actividad_economica"/>
  </r>
  <r>
    <x v="20"/>
    <x v="20"/>
    <x v="4"/>
    <n v="18423.41"/>
    <x v="6"/>
    <s v="remuneracion_por_actividad_economica"/>
  </r>
  <r>
    <x v="21"/>
    <x v="21"/>
    <x v="4"/>
    <n v="-15995.62"/>
    <x v="6"/>
    <s v="remuneracion_por_actividad_economica"/>
  </r>
  <r>
    <x v="22"/>
    <x v="22"/>
    <x v="4"/>
    <n v="2943.53"/>
    <x v="6"/>
    <s v="remuneracion_por_actividad_economica"/>
  </r>
  <r>
    <x v="23"/>
    <x v="23"/>
    <x v="4"/>
    <n v="2794.97"/>
    <x v="6"/>
    <s v="remuneracion_por_actividad_economica"/>
  </r>
  <r>
    <x v="24"/>
    <x v="24"/>
    <x v="4"/>
    <n v="4124.3900000000003"/>
    <x v="6"/>
    <s v="remuneracion_por_actividad_economica"/>
  </r>
  <r>
    <x v="25"/>
    <x v="25"/>
    <x v="4"/>
    <m/>
    <x v="6"/>
    <s v="remuneracion_por_actividad_economica"/>
  </r>
  <r>
    <x v="0"/>
    <x v="0"/>
    <x v="0"/>
    <n v="11201.63"/>
    <x v="6"/>
    <s v="remuneracion_por_actividad_economica"/>
  </r>
  <r>
    <x v="1"/>
    <x v="1"/>
    <x v="0"/>
    <n v="5507.46"/>
    <x v="6"/>
    <s v="remuneracion_por_actividad_economica"/>
  </r>
  <r>
    <x v="2"/>
    <x v="2"/>
    <x v="0"/>
    <n v="366.2"/>
    <x v="6"/>
    <s v="remuneracion_por_actividad_economica"/>
  </r>
  <r>
    <x v="3"/>
    <x v="3"/>
    <x v="0"/>
    <m/>
    <x v="6"/>
    <s v="remuneracion_por_actividad_economica"/>
  </r>
  <r>
    <x v="4"/>
    <x v="4"/>
    <x v="0"/>
    <n v="243.18"/>
    <x v="6"/>
    <s v="remuneracion_por_actividad_economica"/>
  </r>
  <r>
    <x v="5"/>
    <x v="5"/>
    <x v="0"/>
    <n v="38.68"/>
    <x v="6"/>
    <s v="remuneracion_por_actividad_economica"/>
  </r>
  <r>
    <x v="6"/>
    <x v="6"/>
    <x v="0"/>
    <n v="15.12"/>
    <x v="6"/>
    <s v="remuneracion_por_actividad_economica"/>
  </r>
  <r>
    <x v="7"/>
    <x v="7"/>
    <x v="0"/>
    <n v="374.64"/>
    <x v="6"/>
    <s v="remuneracion_por_actividad_economica"/>
  </r>
  <r>
    <x v="8"/>
    <x v="8"/>
    <x v="0"/>
    <n v="441.51"/>
    <x v="6"/>
    <s v="remuneracion_por_actividad_economica"/>
  </r>
  <r>
    <x v="9"/>
    <x v="9"/>
    <x v="0"/>
    <n v="81.900000000000006"/>
    <x v="6"/>
    <s v="remuneracion_por_actividad_economica"/>
  </r>
  <r>
    <x v="10"/>
    <x v="10"/>
    <x v="0"/>
    <m/>
    <x v="6"/>
    <s v="remuneracion_por_actividad_economica"/>
  </r>
  <r>
    <x v="11"/>
    <x v="11"/>
    <x v="0"/>
    <n v="694.27"/>
    <x v="6"/>
    <s v="remuneracion_por_actividad_economica"/>
  </r>
  <r>
    <x v="12"/>
    <x v="12"/>
    <x v="0"/>
    <n v="251.44"/>
    <x v="6"/>
    <s v="remuneracion_por_actividad_economica"/>
  </r>
  <r>
    <x v="13"/>
    <x v="13"/>
    <x v="0"/>
    <n v="389.38"/>
    <x v="6"/>
    <s v="remuneracion_por_actividad_economica"/>
  </r>
  <r>
    <x v="14"/>
    <x v="14"/>
    <x v="0"/>
    <n v="320.51"/>
    <x v="6"/>
    <s v="remuneracion_por_actividad_economica"/>
  </r>
  <r>
    <x v="15"/>
    <x v="15"/>
    <x v="0"/>
    <n v="134.63"/>
    <x v="6"/>
    <s v="remuneracion_por_actividad_economica"/>
  </r>
  <r>
    <x v="16"/>
    <x v="16"/>
    <x v="0"/>
    <n v="375.73"/>
    <x v="6"/>
    <s v="remuneracion_por_actividad_economica"/>
  </r>
  <r>
    <x v="17"/>
    <x v="17"/>
    <x v="0"/>
    <n v="5.41"/>
    <x v="6"/>
    <s v="remuneracion_por_actividad_economica"/>
  </r>
  <r>
    <x v="18"/>
    <x v="18"/>
    <x v="0"/>
    <n v="200.07"/>
    <x v="6"/>
    <s v="remuneracion_por_actividad_economica"/>
  </r>
  <r>
    <x v="19"/>
    <x v="19"/>
    <x v="0"/>
    <n v="959.97"/>
    <x v="6"/>
    <s v="remuneracion_por_actividad_economica"/>
  </r>
  <r>
    <x v="20"/>
    <x v="20"/>
    <x v="0"/>
    <n v="11.26"/>
    <x v="6"/>
    <s v="remuneracion_por_actividad_economica"/>
  </r>
  <r>
    <x v="21"/>
    <x v="21"/>
    <x v="0"/>
    <n v="11.07"/>
    <x v="6"/>
    <s v="remuneracion_por_actividad_economica"/>
  </r>
  <r>
    <x v="22"/>
    <x v="22"/>
    <x v="0"/>
    <n v="121.35"/>
    <x v="6"/>
    <s v="remuneracion_por_actividad_economica"/>
  </r>
  <r>
    <x v="23"/>
    <x v="23"/>
    <x v="0"/>
    <n v="29.67"/>
    <x v="6"/>
    <s v="remuneracion_por_actividad_economica"/>
  </r>
  <r>
    <x v="24"/>
    <x v="24"/>
    <x v="0"/>
    <n v="336.75"/>
    <x v="6"/>
    <s v="remuneracion_por_actividad_economica"/>
  </r>
  <r>
    <x v="25"/>
    <x v="25"/>
    <x v="0"/>
    <n v="291.43"/>
    <x v="6"/>
    <s v="remuneracion_por_actividad_economica"/>
  </r>
  <r>
    <x v="0"/>
    <x v="0"/>
    <x v="1"/>
    <n v="7549.77"/>
    <x v="6"/>
    <s v="remuneracion_por_actividad_economica"/>
  </r>
  <r>
    <x v="1"/>
    <x v="1"/>
    <x v="1"/>
    <n v="1672.54"/>
    <x v="6"/>
    <s v="remuneracion_por_actividad_economica"/>
  </r>
  <r>
    <x v="2"/>
    <x v="2"/>
    <x v="1"/>
    <n v="186.12"/>
    <x v="6"/>
    <s v="remuneracion_por_actividad_economica"/>
  </r>
  <r>
    <x v="3"/>
    <x v="3"/>
    <x v="1"/>
    <m/>
    <x v="6"/>
    <s v="remuneracion_por_actividad_economica"/>
  </r>
  <r>
    <x v="4"/>
    <x v="4"/>
    <x v="1"/>
    <n v="262.08"/>
    <x v="6"/>
    <s v="remuneracion_por_actividad_economica"/>
  </r>
  <r>
    <x v="5"/>
    <x v="5"/>
    <x v="1"/>
    <n v="532.16999999999996"/>
    <x v="6"/>
    <s v="remuneracion_por_actividad_economica"/>
  </r>
  <r>
    <x v="6"/>
    <x v="6"/>
    <x v="1"/>
    <n v="112.44"/>
    <x v="6"/>
    <s v="remuneracion_por_actividad_economica"/>
  </r>
  <r>
    <x v="7"/>
    <x v="7"/>
    <x v="1"/>
    <n v="34.06"/>
    <x v="6"/>
    <s v="remuneracion_por_actividad_economica"/>
  </r>
  <r>
    <x v="8"/>
    <x v="8"/>
    <x v="1"/>
    <n v="277.89"/>
    <x v="6"/>
    <s v="remuneracion_por_actividad_economica"/>
  </r>
  <r>
    <x v="9"/>
    <x v="9"/>
    <x v="1"/>
    <n v="162.44999999999999"/>
    <x v="6"/>
    <s v="remuneracion_por_actividad_economica"/>
  </r>
  <r>
    <x v="10"/>
    <x v="10"/>
    <x v="1"/>
    <n v="127"/>
    <x v="6"/>
    <s v="remuneracion_por_actividad_economica"/>
  </r>
  <r>
    <x v="11"/>
    <x v="11"/>
    <x v="1"/>
    <n v="773.36"/>
    <x v="6"/>
    <s v="remuneracion_por_actividad_economica"/>
  </r>
  <r>
    <x v="12"/>
    <x v="12"/>
    <x v="1"/>
    <n v="465.68"/>
    <x v="6"/>
    <s v="remuneracion_por_actividad_economica"/>
  </r>
  <r>
    <x v="13"/>
    <x v="13"/>
    <x v="1"/>
    <n v="683.47"/>
    <x v="6"/>
    <s v="remuneracion_por_actividad_economica"/>
  </r>
  <r>
    <x v="14"/>
    <x v="14"/>
    <x v="1"/>
    <n v="423.56"/>
    <x v="6"/>
    <s v="remuneracion_por_actividad_economica"/>
  </r>
  <r>
    <x v="15"/>
    <x v="15"/>
    <x v="1"/>
    <n v="160.15"/>
    <x v="6"/>
    <s v="remuneracion_por_actividad_economica"/>
  </r>
  <r>
    <x v="16"/>
    <x v="16"/>
    <x v="1"/>
    <n v="317.27999999999997"/>
    <x v="6"/>
    <s v="remuneracion_por_actividad_economica"/>
  </r>
  <r>
    <x v="17"/>
    <x v="17"/>
    <x v="1"/>
    <m/>
    <x v="6"/>
    <s v="remuneracion_por_actividad_economica"/>
  </r>
  <r>
    <x v="18"/>
    <x v="18"/>
    <x v="1"/>
    <n v="262.77"/>
    <x v="6"/>
    <s v="remuneracion_por_actividad_economica"/>
  </r>
  <r>
    <x v="19"/>
    <x v="19"/>
    <x v="1"/>
    <n v="189.62"/>
    <x v="6"/>
    <s v="remuneracion_por_actividad_economica"/>
  </r>
  <r>
    <x v="20"/>
    <x v="20"/>
    <x v="1"/>
    <n v="119.04"/>
    <x v="6"/>
    <s v="remuneracion_por_actividad_economica"/>
  </r>
  <r>
    <x v="21"/>
    <x v="21"/>
    <x v="1"/>
    <n v="70.319999999999993"/>
    <x v="6"/>
    <s v="remuneracion_por_actividad_economica"/>
  </r>
  <r>
    <x v="22"/>
    <x v="22"/>
    <x v="1"/>
    <n v="150.36000000000001"/>
    <x v="6"/>
    <s v="remuneracion_por_actividad_economica"/>
  </r>
  <r>
    <x v="23"/>
    <x v="23"/>
    <x v="1"/>
    <n v="567.41"/>
    <x v="6"/>
    <s v="remuneracion_por_actividad_economica"/>
  </r>
  <r>
    <x v="24"/>
    <x v="24"/>
    <x v="1"/>
    <m/>
    <x v="6"/>
    <s v="remuneracion_por_actividad_economica"/>
  </r>
  <r>
    <x v="25"/>
    <x v="25"/>
    <x v="1"/>
    <m/>
    <x v="6"/>
    <s v="remuneracion_por_actividad_economica"/>
  </r>
  <r>
    <x v="0"/>
    <x v="0"/>
    <x v="2"/>
    <n v="4854.8900000000003"/>
    <x v="6"/>
    <s v="remuneracion_por_actividad_economica"/>
  </r>
  <r>
    <x v="1"/>
    <x v="1"/>
    <x v="2"/>
    <n v="2108.75"/>
    <x v="6"/>
    <s v="remuneracion_por_actividad_economica"/>
  </r>
  <r>
    <x v="2"/>
    <x v="2"/>
    <x v="2"/>
    <n v="166.21"/>
    <x v="6"/>
    <s v="remuneracion_por_actividad_economica"/>
  </r>
  <r>
    <x v="3"/>
    <x v="3"/>
    <x v="2"/>
    <m/>
    <x v="6"/>
    <s v="remuneracion_por_actividad_economica"/>
  </r>
  <r>
    <x v="4"/>
    <x v="4"/>
    <x v="2"/>
    <n v="162.97999999999999"/>
    <x v="6"/>
    <s v="remuneracion_por_actividad_economica"/>
  </r>
  <r>
    <x v="5"/>
    <x v="5"/>
    <x v="2"/>
    <n v="52.45"/>
    <x v="6"/>
    <s v="remuneracion_por_actividad_economica"/>
  </r>
  <r>
    <x v="6"/>
    <x v="6"/>
    <x v="2"/>
    <n v="25.98"/>
    <x v="6"/>
    <s v="remuneracion_por_actividad_economica"/>
  </r>
  <r>
    <x v="7"/>
    <x v="7"/>
    <x v="2"/>
    <n v="68.53"/>
    <x v="6"/>
    <s v="remuneracion_por_actividad_economica"/>
  </r>
  <r>
    <x v="8"/>
    <x v="8"/>
    <x v="2"/>
    <n v="214.39"/>
    <x v="6"/>
    <s v="remuneracion_por_actividad_economica"/>
  </r>
  <r>
    <x v="9"/>
    <x v="9"/>
    <x v="2"/>
    <n v="62.16"/>
    <x v="6"/>
    <s v="remuneracion_por_actividad_economica"/>
  </r>
  <r>
    <x v="10"/>
    <x v="10"/>
    <x v="2"/>
    <n v="363.54"/>
    <x v="6"/>
    <s v="remuneracion_por_actividad_economica"/>
  </r>
  <r>
    <x v="11"/>
    <x v="11"/>
    <x v="2"/>
    <n v="264.49"/>
    <x v="6"/>
    <s v="remuneracion_por_actividad_economica"/>
  </r>
  <r>
    <x v="12"/>
    <x v="12"/>
    <x v="2"/>
    <n v="102.46"/>
    <x v="6"/>
    <s v="remuneracion_por_actividad_economica"/>
  </r>
  <r>
    <x v="13"/>
    <x v="13"/>
    <x v="2"/>
    <n v="310.43"/>
    <x v="6"/>
    <s v="remuneracion_por_actividad_economica"/>
  </r>
  <r>
    <x v="14"/>
    <x v="14"/>
    <x v="2"/>
    <n v="193.24"/>
    <x v="6"/>
    <s v="remuneracion_por_actividad_economica"/>
  </r>
  <r>
    <x v="15"/>
    <x v="15"/>
    <x v="2"/>
    <n v="138.80000000000001"/>
    <x v="6"/>
    <s v="remuneracion_por_actividad_economica"/>
  </r>
  <r>
    <x v="16"/>
    <x v="16"/>
    <x v="2"/>
    <n v="129.79"/>
    <x v="6"/>
    <s v="remuneracion_por_actividad_economica"/>
  </r>
  <r>
    <x v="17"/>
    <x v="17"/>
    <x v="2"/>
    <n v="20.07"/>
    <x v="6"/>
    <s v="remuneracion_por_actividad_economica"/>
  </r>
  <r>
    <x v="18"/>
    <x v="18"/>
    <x v="2"/>
    <n v="85.47"/>
    <x v="6"/>
    <s v="remuneracion_por_actividad_economica"/>
  </r>
  <r>
    <x v="19"/>
    <x v="19"/>
    <x v="2"/>
    <n v="35.119999999999997"/>
    <x v="6"/>
    <s v="remuneracion_por_actividad_economica"/>
  </r>
  <r>
    <x v="20"/>
    <x v="20"/>
    <x v="2"/>
    <n v="27.38"/>
    <x v="6"/>
    <s v="remuneracion_por_actividad_economica"/>
  </r>
  <r>
    <x v="21"/>
    <x v="21"/>
    <x v="2"/>
    <n v="25.77"/>
    <x v="6"/>
    <s v="remuneracion_por_actividad_economica"/>
  </r>
  <r>
    <x v="22"/>
    <x v="22"/>
    <x v="2"/>
    <n v="90.39"/>
    <x v="6"/>
    <s v="remuneracion_por_actividad_economica"/>
  </r>
  <r>
    <x v="23"/>
    <x v="23"/>
    <x v="2"/>
    <n v="3.44"/>
    <x v="6"/>
    <s v="remuneracion_por_actividad_economica"/>
  </r>
  <r>
    <x v="24"/>
    <x v="24"/>
    <x v="2"/>
    <n v="203.05"/>
    <x v="6"/>
    <s v="remuneracion_por_actividad_economica"/>
  </r>
  <r>
    <x v="25"/>
    <x v="25"/>
    <x v="2"/>
    <m/>
    <x v="6"/>
    <s v="remuneracion_por_actividad_economica"/>
  </r>
  <r>
    <x v="0"/>
    <x v="0"/>
    <x v="5"/>
    <n v="54465.42"/>
    <x v="6"/>
    <s v="remuneracion_por_actividad_economica"/>
  </r>
  <r>
    <x v="1"/>
    <x v="1"/>
    <x v="5"/>
    <n v="6101.3"/>
    <x v="6"/>
    <s v="remuneracion_por_actividad_economica"/>
  </r>
  <r>
    <x v="2"/>
    <x v="2"/>
    <x v="5"/>
    <n v="1368.22"/>
    <x v="6"/>
    <s v="remuneracion_por_actividad_economica"/>
  </r>
  <r>
    <x v="3"/>
    <x v="3"/>
    <x v="5"/>
    <n v="105.4"/>
    <x v="6"/>
    <s v="remuneracion_por_actividad_economica"/>
  </r>
  <r>
    <x v="4"/>
    <x v="4"/>
    <x v="5"/>
    <n v="3719.61"/>
    <x v="6"/>
    <s v="remuneracion_por_actividad_economica"/>
  </r>
  <r>
    <x v="5"/>
    <x v="5"/>
    <x v="5"/>
    <n v="1222.57"/>
    <x v="6"/>
    <s v="remuneracion_por_actividad_economica"/>
  </r>
  <r>
    <x v="6"/>
    <x v="6"/>
    <x v="5"/>
    <n v="804.67"/>
    <x v="6"/>
    <s v="remuneracion_por_actividad_economica"/>
  </r>
  <r>
    <x v="7"/>
    <x v="7"/>
    <x v="5"/>
    <n v="594.57000000000005"/>
    <x v="6"/>
    <s v="remuneracion_por_actividad_economica"/>
  </r>
  <r>
    <x v="8"/>
    <x v="8"/>
    <x v="5"/>
    <n v="1356.35"/>
    <x v="6"/>
    <s v="remuneracion_por_actividad_economica"/>
  </r>
  <r>
    <x v="9"/>
    <x v="9"/>
    <x v="5"/>
    <n v="150.47"/>
    <x v="6"/>
    <s v="remuneracion_por_actividad_economica"/>
  </r>
  <r>
    <x v="10"/>
    <x v="10"/>
    <x v="5"/>
    <n v="629.16999999999996"/>
    <x v="6"/>
    <s v="remuneracion_por_actividad_economica"/>
  </r>
  <r>
    <x v="11"/>
    <x v="11"/>
    <x v="5"/>
    <n v="3367.02"/>
    <x v="6"/>
    <s v="remuneracion_por_actividad_economica"/>
  </r>
  <r>
    <x v="12"/>
    <x v="12"/>
    <x v="5"/>
    <n v="1168.47"/>
    <x v="6"/>
    <s v="remuneracion_por_actividad_economica"/>
  </r>
  <r>
    <x v="13"/>
    <x v="13"/>
    <x v="5"/>
    <n v="3530.89"/>
    <x v="6"/>
    <s v="remuneracion_por_actividad_economica"/>
  </r>
  <r>
    <x v="14"/>
    <x v="14"/>
    <x v="5"/>
    <n v="2971.78"/>
    <x v="6"/>
    <s v="remuneracion_por_actividad_economica"/>
  </r>
  <r>
    <x v="15"/>
    <x v="15"/>
    <x v="5"/>
    <n v="2571.4299999999998"/>
    <x v="6"/>
    <s v="remuneracion_por_actividad_economica"/>
  </r>
  <r>
    <x v="16"/>
    <x v="16"/>
    <x v="5"/>
    <n v="3647.45"/>
    <x v="6"/>
    <s v="remuneracion_por_actividad_economica"/>
  </r>
  <r>
    <x v="17"/>
    <x v="17"/>
    <x v="5"/>
    <n v="4842.3900000000003"/>
    <x v="6"/>
    <s v="remuneracion_por_actividad_economica"/>
  </r>
  <r>
    <x v="18"/>
    <x v="18"/>
    <x v="5"/>
    <n v="6116.77"/>
    <x v="6"/>
    <s v="remuneracion_por_actividad_economica"/>
  </r>
  <r>
    <x v="19"/>
    <x v="19"/>
    <x v="5"/>
    <n v="6702.49"/>
    <x v="6"/>
    <s v="remuneracion_por_actividad_economica"/>
  </r>
  <r>
    <x v="20"/>
    <x v="20"/>
    <x v="5"/>
    <n v="2579.0700000000002"/>
    <x v="6"/>
    <s v="remuneracion_por_actividad_economica"/>
  </r>
  <r>
    <x v="21"/>
    <x v="21"/>
    <x v="5"/>
    <n v="297.64"/>
    <x v="6"/>
    <s v="remuneracion_por_actividad_economica"/>
  </r>
  <r>
    <x v="22"/>
    <x v="22"/>
    <x v="5"/>
    <n v="535.84"/>
    <x v="6"/>
    <s v="remuneracion_por_actividad_economica"/>
  </r>
  <r>
    <x v="23"/>
    <x v="23"/>
    <x v="5"/>
    <n v="81.849999999999994"/>
    <x v="6"/>
    <s v="remuneracion_por_actividad_economica"/>
  </r>
  <r>
    <x v="24"/>
    <x v="24"/>
    <x v="5"/>
    <m/>
    <x v="6"/>
    <s v="remuneracion_por_actividad_economica"/>
  </r>
  <r>
    <x v="25"/>
    <x v="25"/>
    <x v="5"/>
    <m/>
    <x v="6"/>
    <s v="remuneracion_por_actividad_economica"/>
  </r>
  <r>
    <x v="0"/>
    <x v="0"/>
    <x v="3"/>
    <m/>
    <x v="6"/>
    <s v="remuneracion_por_actividad_economica"/>
  </r>
  <r>
    <x v="1"/>
    <x v="1"/>
    <x v="3"/>
    <m/>
    <x v="6"/>
    <s v="remuneracion_por_actividad_economica"/>
  </r>
  <r>
    <x v="2"/>
    <x v="2"/>
    <x v="3"/>
    <m/>
    <x v="6"/>
    <s v="remuneracion_por_actividad_economica"/>
  </r>
  <r>
    <x v="3"/>
    <x v="3"/>
    <x v="3"/>
    <m/>
    <x v="6"/>
    <s v="remuneracion_por_actividad_economica"/>
  </r>
  <r>
    <x v="4"/>
    <x v="4"/>
    <x v="3"/>
    <m/>
    <x v="6"/>
    <s v="remuneracion_por_actividad_economica"/>
  </r>
  <r>
    <x v="5"/>
    <x v="5"/>
    <x v="3"/>
    <m/>
    <x v="6"/>
    <s v="remuneracion_por_actividad_economica"/>
  </r>
  <r>
    <x v="6"/>
    <x v="6"/>
    <x v="3"/>
    <m/>
    <x v="6"/>
    <s v="remuneracion_por_actividad_economica"/>
  </r>
  <r>
    <x v="7"/>
    <x v="7"/>
    <x v="3"/>
    <m/>
    <x v="6"/>
    <s v="remuneracion_por_actividad_economica"/>
  </r>
  <r>
    <x v="8"/>
    <x v="8"/>
    <x v="3"/>
    <m/>
    <x v="6"/>
    <s v="remuneracion_por_actividad_economica"/>
  </r>
  <r>
    <x v="9"/>
    <x v="9"/>
    <x v="3"/>
    <m/>
    <x v="6"/>
    <s v="remuneracion_por_actividad_economica"/>
  </r>
  <r>
    <x v="10"/>
    <x v="10"/>
    <x v="3"/>
    <m/>
    <x v="6"/>
    <s v="remuneracion_por_actividad_economica"/>
  </r>
  <r>
    <x v="11"/>
    <x v="11"/>
    <x v="3"/>
    <m/>
    <x v="6"/>
    <s v="remuneracion_por_actividad_economica"/>
  </r>
  <r>
    <x v="12"/>
    <x v="12"/>
    <x v="3"/>
    <m/>
    <x v="6"/>
    <s v="remuneracion_por_actividad_economica"/>
  </r>
  <r>
    <x v="13"/>
    <x v="13"/>
    <x v="3"/>
    <m/>
    <x v="6"/>
    <s v="remuneracion_por_actividad_economica"/>
  </r>
  <r>
    <x v="14"/>
    <x v="14"/>
    <x v="3"/>
    <m/>
    <x v="6"/>
    <s v="remuneracion_por_actividad_economica"/>
  </r>
  <r>
    <x v="15"/>
    <x v="15"/>
    <x v="3"/>
    <m/>
    <x v="6"/>
    <s v="remuneracion_por_actividad_economica"/>
  </r>
  <r>
    <x v="16"/>
    <x v="16"/>
    <x v="3"/>
    <m/>
    <x v="6"/>
    <s v="remuneracion_por_actividad_economica"/>
  </r>
  <r>
    <x v="17"/>
    <x v="17"/>
    <x v="3"/>
    <m/>
    <x v="6"/>
    <s v="remuneracion_por_actividad_economica"/>
  </r>
  <r>
    <x v="18"/>
    <x v="18"/>
    <x v="3"/>
    <m/>
    <x v="6"/>
    <s v="remuneracion_por_actividad_economica"/>
  </r>
  <r>
    <x v="19"/>
    <x v="19"/>
    <x v="3"/>
    <m/>
    <x v="6"/>
    <s v="remuneracion_por_actividad_economica"/>
  </r>
  <r>
    <x v="20"/>
    <x v="20"/>
    <x v="3"/>
    <m/>
    <x v="6"/>
    <s v="remuneracion_por_actividad_economica"/>
  </r>
  <r>
    <x v="21"/>
    <x v="21"/>
    <x v="3"/>
    <m/>
    <x v="6"/>
    <s v="remuneracion_por_actividad_economica"/>
  </r>
  <r>
    <x v="22"/>
    <x v="22"/>
    <x v="3"/>
    <m/>
    <x v="6"/>
    <s v="remuneracion_por_actividad_economica"/>
  </r>
  <r>
    <x v="23"/>
    <x v="23"/>
    <x v="3"/>
    <m/>
    <x v="6"/>
    <s v="remuneracion_por_actividad_economica"/>
  </r>
  <r>
    <x v="24"/>
    <x v="24"/>
    <x v="3"/>
    <m/>
    <x v="6"/>
    <s v="remuneracion_por_actividad_economica"/>
  </r>
  <r>
    <x v="25"/>
    <x v="25"/>
    <x v="3"/>
    <m/>
    <x v="6"/>
    <s v="remuneracion_por_actividad_economica"/>
  </r>
  <r>
    <x v="0"/>
    <x v="0"/>
    <x v="6"/>
    <m/>
    <x v="6"/>
    <s v="remuneracion_por_actividad_economica"/>
  </r>
  <r>
    <x v="1"/>
    <x v="1"/>
    <x v="6"/>
    <m/>
    <x v="6"/>
    <s v="remuneracion_por_actividad_economica"/>
  </r>
  <r>
    <x v="2"/>
    <x v="2"/>
    <x v="6"/>
    <m/>
    <x v="6"/>
    <s v="remuneracion_por_actividad_economica"/>
  </r>
  <r>
    <x v="3"/>
    <x v="3"/>
    <x v="6"/>
    <m/>
    <x v="6"/>
    <s v="remuneracion_por_actividad_economica"/>
  </r>
  <r>
    <x v="4"/>
    <x v="4"/>
    <x v="6"/>
    <m/>
    <x v="6"/>
    <s v="remuneracion_por_actividad_economica"/>
  </r>
  <r>
    <x v="5"/>
    <x v="5"/>
    <x v="6"/>
    <m/>
    <x v="6"/>
    <s v="remuneracion_por_actividad_economica"/>
  </r>
  <r>
    <x v="6"/>
    <x v="6"/>
    <x v="6"/>
    <m/>
    <x v="6"/>
    <s v="remuneracion_por_actividad_economica"/>
  </r>
  <r>
    <x v="7"/>
    <x v="7"/>
    <x v="6"/>
    <m/>
    <x v="6"/>
    <s v="remuneracion_por_actividad_economica"/>
  </r>
  <r>
    <x v="8"/>
    <x v="8"/>
    <x v="6"/>
    <m/>
    <x v="6"/>
    <s v="remuneracion_por_actividad_economica"/>
  </r>
  <r>
    <x v="9"/>
    <x v="9"/>
    <x v="6"/>
    <m/>
    <x v="6"/>
    <s v="remuneracion_por_actividad_economica"/>
  </r>
  <r>
    <x v="10"/>
    <x v="10"/>
    <x v="6"/>
    <m/>
    <x v="6"/>
    <s v="remuneracion_por_actividad_economica"/>
  </r>
  <r>
    <x v="11"/>
    <x v="11"/>
    <x v="6"/>
    <m/>
    <x v="6"/>
    <s v="remuneracion_por_actividad_economica"/>
  </r>
  <r>
    <x v="12"/>
    <x v="12"/>
    <x v="6"/>
    <m/>
    <x v="6"/>
    <s v="remuneracion_por_actividad_economica"/>
  </r>
  <r>
    <x v="13"/>
    <x v="13"/>
    <x v="6"/>
    <m/>
    <x v="6"/>
    <s v="remuneracion_por_actividad_economica"/>
  </r>
  <r>
    <x v="14"/>
    <x v="14"/>
    <x v="6"/>
    <m/>
    <x v="6"/>
    <s v="remuneracion_por_actividad_economica"/>
  </r>
  <r>
    <x v="15"/>
    <x v="15"/>
    <x v="6"/>
    <m/>
    <x v="6"/>
    <s v="remuneracion_por_actividad_economica"/>
  </r>
  <r>
    <x v="16"/>
    <x v="16"/>
    <x v="6"/>
    <m/>
    <x v="6"/>
    <s v="remuneracion_por_actividad_economica"/>
  </r>
  <r>
    <x v="17"/>
    <x v="17"/>
    <x v="6"/>
    <m/>
    <x v="6"/>
    <s v="remuneracion_por_actividad_economica"/>
  </r>
  <r>
    <x v="18"/>
    <x v="18"/>
    <x v="6"/>
    <m/>
    <x v="6"/>
    <s v="remuneracion_por_actividad_economica"/>
  </r>
  <r>
    <x v="19"/>
    <x v="19"/>
    <x v="6"/>
    <m/>
    <x v="6"/>
    <s v="remuneracion_por_actividad_economica"/>
  </r>
  <r>
    <x v="20"/>
    <x v="20"/>
    <x v="6"/>
    <m/>
    <x v="6"/>
    <s v="remuneracion_por_actividad_economica"/>
  </r>
  <r>
    <x v="21"/>
    <x v="21"/>
    <x v="6"/>
    <m/>
    <x v="6"/>
    <s v="remuneracion_por_actividad_economica"/>
  </r>
  <r>
    <x v="22"/>
    <x v="22"/>
    <x v="6"/>
    <m/>
    <x v="6"/>
    <s v="remuneracion_por_actividad_economica"/>
  </r>
  <r>
    <x v="23"/>
    <x v="23"/>
    <x v="6"/>
    <m/>
    <x v="6"/>
    <s v="remuneracion_por_actividad_economica"/>
  </r>
  <r>
    <x v="24"/>
    <x v="24"/>
    <x v="6"/>
    <m/>
    <x v="6"/>
    <s v="remuneracion_por_actividad_economica"/>
  </r>
  <r>
    <x v="25"/>
    <x v="25"/>
    <x v="6"/>
    <m/>
    <x v="6"/>
    <s v="remuneracion_por_actividad_economica"/>
  </r>
  <r>
    <x v="0"/>
    <x v="0"/>
    <x v="4"/>
    <n v="182077.6"/>
    <x v="0"/>
    <s v="valor_agregado_por_actividad_economica"/>
  </r>
  <r>
    <x v="1"/>
    <x v="1"/>
    <x v="4"/>
    <n v="35130.870000000003"/>
    <x v="0"/>
    <s v="valor_agregado_por_actividad_economica"/>
  </r>
  <r>
    <x v="2"/>
    <x v="2"/>
    <x v="4"/>
    <n v="7153.47"/>
    <x v="0"/>
    <s v="valor_agregado_por_actividad_economica"/>
  </r>
  <r>
    <x v="3"/>
    <x v="3"/>
    <x v="4"/>
    <n v="1043.73"/>
    <x v="0"/>
    <s v="valor_agregado_por_actividad_economica"/>
  </r>
  <r>
    <x v="4"/>
    <x v="4"/>
    <x v="4"/>
    <n v="3111.62"/>
    <x v="0"/>
    <s v="valor_agregado_por_actividad_economica"/>
  </r>
  <r>
    <x v="5"/>
    <x v="5"/>
    <x v="4"/>
    <n v="3769.54"/>
    <x v="0"/>
    <s v="valor_agregado_por_actividad_economica"/>
  </r>
  <r>
    <x v="6"/>
    <x v="6"/>
    <x v="4"/>
    <n v="3334.65"/>
    <x v="0"/>
    <s v="valor_agregado_por_actividad_economica"/>
  </r>
  <r>
    <x v="7"/>
    <x v="7"/>
    <x v="4"/>
    <n v="1792.99"/>
    <x v="0"/>
    <s v="valor_agregado_por_actividad_economica"/>
  </r>
  <r>
    <x v="8"/>
    <x v="8"/>
    <x v="4"/>
    <n v="8162.73"/>
    <x v="0"/>
    <s v="valor_agregado_por_actividad_economica"/>
  </r>
  <r>
    <x v="9"/>
    <x v="9"/>
    <x v="4"/>
    <n v="1241.46"/>
    <x v="0"/>
    <s v="valor_agregado_por_actividad_economica"/>
  </r>
  <r>
    <x v="10"/>
    <x v="10"/>
    <x v="4"/>
    <n v="25018.91"/>
    <x v="0"/>
    <s v="valor_agregado_por_actividad_economica"/>
  </r>
  <r>
    <x v="11"/>
    <x v="11"/>
    <x v="4"/>
    <n v="19660.62"/>
    <x v="0"/>
    <s v="valor_agregado_por_actividad_economica"/>
  </r>
  <r>
    <x v="12"/>
    <x v="12"/>
    <x v="4"/>
    <n v="5777.2"/>
    <x v="0"/>
    <s v="valor_agregado_por_actividad_economica"/>
  </r>
  <r>
    <x v="13"/>
    <x v="13"/>
    <x v="4"/>
    <n v="6954.19"/>
    <x v="0"/>
    <s v="valor_agregado_por_actividad_economica"/>
  </r>
  <r>
    <x v="14"/>
    <x v="14"/>
    <x v="4"/>
    <n v="5962.56"/>
    <x v="0"/>
    <s v="valor_agregado_por_actividad_economica"/>
  </r>
  <r>
    <x v="15"/>
    <x v="15"/>
    <x v="4"/>
    <n v="10359.44"/>
    <x v="0"/>
    <s v="valor_agregado_por_actividad_economica"/>
  </r>
  <r>
    <x v="16"/>
    <x v="16"/>
    <x v="4"/>
    <n v="5570.13"/>
    <x v="0"/>
    <s v="valor_agregado_por_actividad_economica"/>
  </r>
  <r>
    <x v="17"/>
    <x v="17"/>
    <x v="4"/>
    <n v="4461.75"/>
    <x v="0"/>
    <s v="valor_agregado_por_actividad_economica"/>
  </r>
  <r>
    <x v="18"/>
    <x v="18"/>
    <x v="4"/>
    <n v="5302.97"/>
    <x v="0"/>
    <s v="valor_agregado_por_actividad_economica"/>
  </r>
  <r>
    <x v="19"/>
    <x v="19"/>
    <x v="4"/>
    <n v="8779.58"/>
    <x v="0"/>
    <s v="valor_agregado_por_actividad_economica"/>
  </r>
  <r>
    <x v="20"/>
    <x v="20"/>
    <x v="4"/>
    <n v="10889.29"/>
    <x v="0"/>
    <s v="valor_agregado_por_actividad_economica"/>
  </r>
  <r>
    <x v="21"/>
    <x v="21"/>
    <x v="4"/>
    <n v="2031.27"/>
    <x v="0"/>
    <s v="valor_agregado_por_actividad_economica"/>
  </r>
  <r>
    <x v="22"/>
    <x v="22"/>
    <x v="4"/>
    <n v="1848.79"/>
    <x v="0"/>
    <s v="valor_agregado_por_actividad_economica"/>
  </r>
  <r>
    <x v="23"/>
    <x v="23"/>
    <x v="4"/>
    <n v="2207.5100000000002"/>
    <x v="0"/>
    <s v="valor_agregado_por_actividad_economica"/>
  </r>
  <r>
    <x v="24"/>
    <x v="24"/>
    <x v="4"/>
    <n v="2512.33"/>
    <x v="0"/>
    <s v="valor_agregado_por_actividad_economica"/>
  </r>
  <r>
    <x v="25"/>
    <x v="25"/>
    <x v="4"/>
    <m/>
    <x v="0"/>
    <s v="valor_agregado_por_actividad_economica"/>
  </r>
  <r>
    <x v="0"/>
    <x v="0"/>
    <x v="0"/>
    <n v="17213.849999999999"/>
    <x v="0"/>
    <s v="valor_agregado_por_actividad_economica"/>
  </r>
  <r>
    <x v="1"/>
    <x v="1"/>
    <x v="0"/>
    <n v="5717.74"/>
    <x v="0"/>
    <s v="valor_agregado_por_actividad_economica"/>
  </r>
  <r>
    <x v="2"/>
    <x v="2"/>
    <x v="0"/>
    <n v="1048.8800000000001"/>
    <x v="0"/>
    <s v="valor_agregado_por_actividad_economica"/>
  </r>
  <r>
    <x v="3"/>
    <x v="3"/>
    <x v="0"/>
    <m/>
    <x v="0"/>
    <s v="valor_agregado_por_actividad_economica"/>
  </r>
  <r>
    <x v="4"/>
    <x v="4"/>
    <x v="0"/>
    <n v="126.16"/>
    <x v="0"/>
    <s v="valor_agregado_por_actividad_economica"/>
  </r>
  <r>
    <x v="5"/>
    <x v="5"/>
    <x v="0"/>
    <n v="123.49"/>
    <x v="0"/>
    <s v="valor_agregado_por_actividad_economica"/>
  </r>
  <r>
    <x v="6"/>
    <x v="6"/>
    <x v="0"/>
    <n v="146.28"/>
    <x v="0"/>
    <s v="valor_agregado_por_actividad_economica"/>
  </r>
  <r>
    <x v="7"/>
    <x v="7"/>
    <x v="0"/>
    <n v="907.47"/>
    <x v="0"/>
    <s v="valor_agregado_por_actividad_economica"/>
  </r>
  <r>
    <x v="8"/>
    <x v="8"/>
    <x v="0"/>
    <n v="1268.74"/>
    <x v="0"/>
    <s v="valor_agregado_por_actividad_economica"/>
  </r>
  <r>
    <x v="9"/>
    <x v="9"/>
    <x v="0"/>
    <n v="198.14"/>
    <x v="0"/>
    <s v="valor_agregado_por_actividad_economica"/>
  </r>
  <r>
    <x v="10"/>
    <x v="10"/>
    <x v="0"/>
    <m/>
    <x v="0"/>
    <s v="valor_agregado_por_actividad_economica"/>
  </r>
  <r>
    <x v="11"/>
    <x v="11"/>
    <x v="0"/>
    <n v="3035.06"/>
    <x v="0"/>
    <s v="valor_agregado_por_actividad_economica"/>
  </r>
  <r>
    <x v="12"/>
    <x v="12"/>
    <x v="0"/>
    <n v="401.31"/>
    <x v="0"/>
    <s v="valor_agregado_por_actividad_economica"/>
  </r>
  <r>
    <x v="13"/>
    <x v="13"/>
    <x v="0"/>
    <n v="743.17"/>
    <x v="0"/>
    <s v="valor_agregado_por_actividad_economica"/>
  </r>
  <r>
    <x v="14"/>
    <x v="14"/>
    <x v="0"/>
    <n v="731.4"/>
    <x v="0"/>
    <s v="valor_agregado_por_actividad_economica"/>
  </r>
  <r>
    <x v="15"/>
    <x v="15"/>
    <x v="0"/>
    <n v="266.8"/>
    <x v="0"/>
    <s v="valor_agregado_por_actividad_economica"/>
  </r>
  <r>
    <x v="16"/>
    <x v="16"/>
    <x v="0"/>
    <n v="673.94"/>
    <x v="0"/>
    <s v="valor_agregado_por_actividad_economica"/>
  </r>
  <r>
    <x v="17"/>
    <x v="17"/>
    <x v="0"/>
    <n v="22.03"/>
    <x v="0"/>
    <s v="valor_agregado_por_actividad_economica"/>
  </r>
  <r>
    <x v="18"/>
    <x v="18"/>
    <x v="0"/>
    <n v="237.67"/>
    <x v="0"/>
    <s v="valor_agregado_por_actividad_economica"/>
  </r>
  <r>
    <x v="19"/>
    <x v="19"/>
    <x v="0"/>
    <n v="371.21"/>
    <x v="0"/>
    <s v="valor_agregado_por_actividad_economica"/>
  </r>
  <r>
    <x v="20"/>
    <x v="20"/>
    <x v="0"/>
    <n v="17.64"/>
    <x v="0"/>
    <s v="valor_agregado_por_actividad_economica"/>
  </r>
  <r>
    <x v="21"/>
    <x v="21"/>
    <x v="0"/>
    <n v="40.54"/>
    <x v="0"/>
    <s v="valor_agregado_por_actividad_economica"/>
  </r>
  <r>
    <x v="22"/>
    <x v="22"/>
    <x v="0"/>
    <n v="167.76"/>
    <x v="0"/>
    <s v="valor_agregado_por_actividad_economica"/>
  </r>
  <r>
    <x v="23"/>
    <x v="23"/>
    <x v="0"/>
    <n v="40.770000000000003"/>
    <x v="0"/>
    <s v="valor_agregado_por_actividad_economica"/>
  </r>
  <r>
    <x v="24"/>
    <x v="24"/>
    <x v="0"/>
    <n v="534.04"/>
    <x v="0"/>
    <s v="valor_agregado_por_actividad_economica"/>
  </r>
  <r>
    <x v="25"/>
    <x v="25"/>
    <x v="0"/>
    <n v="393.61"/>
    <x v="0"/>
    <s v="valor_agregado_por_actividad_economica"/>
  </r>
  <r>
    <x v="0"/>
    <x v="0"/>
    <x v="1"/>
    <n v="24077.86"/>
    <x v="0"/>
    <s v="valor_agregado_por_actividad_economica"/>
  </r>
  <r>
    <x v="1"/>
    <x v="1"/>
    <x v="1"/>
    <n v="5753.12"/>
    <x v="0"/>
    <s v="valor_agregado_por_actividad_economica"/>
  </r>
  <r>
    <x v="2"/>
    <x v="2"/>
    <x v="1"/>
    <n v="2351.33"/>
    <x v="0"/>
    <s v="valor_agregado_por_actividad_economica"/>
  </r>
  <r>
    <x v="3"/>
    <x v="3"/>
    <x v="1"/>
    <m/>
    <x v="0"/>
    <s v="valor_agregado_por_actividad_economica"/>
  </r>
  <r>
    <x v="4"/>
    <x v="4"/>
    <x v="1"/>
    <n v="535.91999999999996"/>
    <x v="0"/>
    <s v="valor_agregado_por_actividad_economica"/>
  </r>
  <r>
    <x v="5"/>
    <x v="5"/>
    <x v="1"/>
    <n v="1273.44"/>
    <x v="0"/>
    <s v="valor_agregado_por_actividad_economica"/>
  </r>
  <r>
    <x v="6"/>
    <x v="6"/>
    <x v="1"/>
    <n v="251.67"/>
    <x v="0"/>
    <s v="valor_agregado_por_actividad_economica"/>
  </r>
  <r>
    <x v="7"/>
    <x v="7"/>
    <x v="1"/>
    <n v="149.88999999999999"/>
    <x v="0"/>
    <s v="valor_agregado_por_actividad_economica"/>
  </r>
  <r>
    <x v="8"/>
    <x v="8"/>
    <x v="1"/>
    <n v="924.65"/>
    <x v="0"/>
    <s v="valor_agregado_por_actividad_economica"/>
  </r>
  <r>
    <x v="9"/>
    <x v="9"/>
    <x v="1"/>
    <n v="346.89"/>
    <x v="0"/>
    <s v="valor_agregado_por_actividad_economica"/>
  </r>
  <r>
    <x v="10"/>
    <x v="10"/>
    <x v="1"/>
    <n v="1451.65"/>
    <x v="0"/>
    <s v="valor_agregado_por_actividad_economica"/>
  </r>
  <r>
    <x v="11"/>
    <x v="11"/>
    <x v="1"/>
    <n v="2949.2"/>
    <x v="0"/>
    <s v="valor_agregado_por_actividad_economica"/>
  </r>
  <r>
    <x v="12"/>
    <x v="12"/>
    <x v="1"/>
    <n v="1102.46"/>
    <x v="0"/>
    <s v="valor_agregado_por_actividad_economica"/>
  </r>
  <r>
    <x v="13"/>
    <x v="13"/>
    <x v="1"/>
    <n v="1023.57"/>
    <x v="0"/>
    <s v="valor_agregado_por_actividad_economica"/>
  </r>
  <r>
    <x v="14"/>
    <x v="14"/>
    <x v="1"/>
    <n v="2099.71"/>
    <x v="0"/>
    <s v="valor_agregado_por_actividad_economica"/>
  </r>
  <r>
    <x v="15"/>
    <x v="15"/>
    <x v="1"/>
    <n v="623.51"/>
    <x v="0"/>
    <s v="valor_agregado_por_actividad_economica"/>
  </r>
  <r>
    <x v="16"/>
    <x v="16"/>
    <x v="1"/>
    <n v="623.49"/>
    <x v="0"/>
    <s v="valor_agregado_por_actividad_economica"/>
  </r>
  <r>
    <x v="17"/>
    <x v="17"/>
    <x v="1"/>
    <n v="5.54"/>
    <x v="0"/>
    <s v="valor_agregado_por_actividad_economica"/>
  </r>
  <r>
    <x v="18"/>
    <x v="18"/>
    <x v="1"/>
    <n v="477.17"/>
    <x v="0"/>
    <s v="valor_agregado_por_actividad_economica"/>
  </r>
  <r>
    <x v="19"/>
    <x v="19"/>
    <x v="1"/>
    <n v="350.87"/>
    <x v="0"/>
    <s v="valor_agregado_por_actividad_economica"/>
  </r>
  <r>
    <x v="20"/>
    <x v="20"/>
    <x v="1"/>
    <n v="463.21"/>
    <x v="0"/>
    <s v="valor_agregado_por_actividad_economica"/>
  </r>
  <r>
    <x v="21"/>
    <x v="21"/>
    <x v="1"/>
    <n v="123.63"/>
    <x v="0"/>
    <s v="valor_agregado_por_actividad_economica"/>
  </r>
  <r>
    <x v="22"/>
    <x v="22"/>
    <x v="1"/>
    <n v="321.38"/>
    <x v="0"/>
    <s v="valor_agregado_por_actividad_economica"/>
  </r>
  <r>
    <x v="23"/>
    <x v="23"/>
    <x v="1"/>
    <n v="875.56"/>
    <x v="0"/>
    <s v="valor_agregado_por_actividad_economica"/>
  </r>
  <r>
    <x v="24"/>
    <x v="24"/>
    <x v="1"/>
    <m/>
    <x v="0"/>
    <s v="valor_agregado_por_actividad_economica"/>
  </r>
  <r>
    <x v="25"/>
    <x v="25"/>
    <x v="1"/>
    <m/>
    <x v="0"/>
    <s v="valor_agregado_por_actividad_economica"/>
  </r>
  <r>
    <x v="0"/>
    <x v="0"/>
    <x v="2"/>
    <n v="6163.99"/>
    <x v="0"/>
    <s v="valor_agregado_por_actividad_economica"/>
  </r>
  <r>
    <x v="1"/>
    <x v="1"/>
    <x v="2"/>
    <n v="2348.98"/>
    <x v="0"/>
    <s v="valor_agregado_por_actividad_economica"/>
  </r>
  <r>
    <x v="2"/>
    <x v="2"/>
    <x v="2"/>
    <n v="458.47"/>
    <x v="0"/>
    <s v="valor_agregado_por_actividad_economica"/>
  </r>
  <r>
    <x v="3"/>
    <x v="3"/>
    <x v="2"/>
    <n v="2.82"/>
    <x v="0"/>
    <s v="valor_agregado_por_actividad_economica"/>
  </r>
  <r>
    <x v="4"/>
    <x v="4"/>
    <x v="2"/>
    <n v="161.36000000000001"/>
    <x v="0"/>
    <s v="valor_agregado_por_actividad_economica"/>
  </r>
  <r>
    <x v="5"/>
    <x v="5"/>
    <x v="2"/>
    <n v="150.9"/>
    <x v="0"/>
    <s v="valor_agregado_por_actividad_economica"/>
  </r>
  <r>
    <x v="6"/>
    <x v="6"/>
    <x v="2"/>
    <n v="44.9"/>
    <x v="0"/>
    <s v="valor_agregado_por_actividad_economica"/>
  </r>
  <r>
    <x v="7"/>
    <x v="7"/>
    <x v="2"/>
    <n v="141.29"/>
    <x v="0"/>
    <s v="valor_agregado_por_actividad_economica"/>
  </r>
  <r>
    <x v="8"/>
    <x v="8"/>
    <x v="2"/>
    <n v="278.95999999999998"/>
    <x v="0"/>
    <s v="valor_agregado_por_actividad_economica"/>
  </r>
  <r>
    <x v="9"/>
    <x v="9"/>
    <x v="2"/>
    <n v="106.69"/>
    <x v="0"/>
    <s v="valor_agregado_por_actividad_economica"/>
  </r>
  <r>
    <x v="10"/>
    <x v="10"/>
    <x v="2"/>
    <n v="27.62"/>
    <x v="0"/>
    <s v="valor_agregado_por_actividad_economica"/>
  </r>
  <r>
    <x v="11"/>
    <x v="11"/>
    <x v="2"/>
    <n v="366.45"/>
    <x v="0"/>
    <s v="valor_agregado_por_actividad_economica"/>
  </r>
  <r>
    <x v="12"/>
    <x v="12"/>
    <x v="2"/>
    <n v="120.65"/>
    <x v="0"/>
    <s v="valor_agregado_por_actividad_economica"/>
  </r>
  <r>
    <x v="13"/>
    <x v="13"/>
    <x v="2"/>
    <n v="421.78"/>
    <x v="0"/>
    <s v="valor_agregado_por_actividad_economica"/>
  </r>
  <r>
    <x v="14"/>
    <x v="14"/>
    <x v="2"/>
    <n v="555.59"/>
    <x v="0"/>
    <s v="valor_agregado_por_actividad_economica"/>
  </r>
  <r>
    <x v="15"/>
    <x v="15"/>
    <x v="2"/>
    <n v="259.57"/>
    <x v="0"/>
    <s v="valor_agregado_por_actividad_economica"/>
  </r>
  <r>
    <x v="16"/>
    <x v="16"/>
    <x v="2"/>
    <n v="161.74"/>
    <x v="0"/>
    <s v="valor_agregado_por_actividad_economica"/>
  </r>
  <r>
    <x v="17"/>
    <x v="17"/>
    <x v="2"/>
    <n v="16.29"/>
    <x v="0"/>
    <s v="valor_agregado_por_actividad_economica"/>
  </r>
  <r>
    <x v="18"/>
    <x v="18"/>
    <x v="2"/>
    <n v="127.83"/>
    <x v="0"/>
    <s v="valor_agregado_por_actividad_economica"/>
  </r>
  <r>
    <x v="19"/>
    <x v="19"/>
    <x v="2"/>
    <n v="36.96"/>
    <x v="0"/>
    <s v="valor_agregado_por_actividad_economica"/>
  </r>
  <r>
    <x v="20"/>
    <x v="20"/>
    <x v="2"/>
    <n v="108.84"/>
    <x v="0"/>
    <s v="valor_agregado_por_actividad_economica"/>
  </r>
  <r>
    <x v="21"/>
    <x v="21"/>
    <x v="2"/>
    <n v="21.89"/>
    <x v="0"/>
    <s v="valor_agregado_por_actividad_economica"/>
  </r>
  <r>
    <x v="22"/>
    <x v="22"/>
    <x v="2"/>
    <n v="91.89"/>
    <x v="0"/>
    <s v="valor_agregado_por_actividad_economica"/>
  </r>
  <r>
    <x v="23"/>
    <x v="23"/>
    <x v="2"/>
    <n v="36.950000000000003"/>
    <x v="0"/>
    <s v="valor_agregado_por_actividad_economica"/>
  </r>
  <r>
    <x v="24"/>
    <x v="24"/>
    <x v="2"/>
    <n v="115.57"/>
    <x v="0"/>
    <s v="valor_agregado_por_actividad_economica"/>
  </r>
  <r>
    <x v="25"/>
    <x v="25"/>
    <x v="2"/>
    <m/>
    <x v="0"/>
    <s v="valor_agregado_por_actividad_economica"/>
  </r>
  <r>
    <x v="0"/>
    <x v="0"/>
    <x v="5"/>
    <n v="142810.51"/>
    <x v="0"/>
    <s v="valor_agregado_por_actividad_economica"/>
  </r>
  <r>
    <x v="1"/>
    <x v="1"/>
    <x v="5"/>
    <n v="20779.939999999999"/>
    <x v="0"/>
    <s v="valor_agregado_por_actividad_economica"/>
  </r>
  <r>
    <x v="2"/>
    <x v="2"/>
    <x v="5"/>
    <n v="9173.25"/>
    <x v="0"/>
    <s v="valor_agregado_por_actividad_economica"/>
  </r>
  <r>
    <x v="3"/>
    <x v="3"/>
    <x v="5"/>
    <n v="609.97"/>
    <x v="0"/>
    <s v="valor_agregado_por_actividad_economica"/>
  </r>
  <r>
    <x v="4"/>
    <x v="4"/>
    <x v="5"/>
    <n v="5428.26"/>
    <x v="0"/>
    <s v="valor_agregado_por_actividad_economica"/>
  </r>
  <r>
    <x v="5"/>
    <x v="5"/>
    <x v="5"/>
    <n v="1588.46"/>
    <x v="0"/>
    <s v="valor_agregado_por_actividad_economica"/>
  </r>
  <r>
    <x v="6"/>
    <x v="6"/>
    <x v="5"/>
    <n v="949.24"/>
    <x v="0"/>
    <s v="valor_agregado_por_actividad_economica"/>
  </r>
  <r>
    <x v="7"/>
    <x v="7"/>
    <x v="5"/>
    <n v="439.33"/>
    <x v="0"/>
    <s v="valor_agregado_por_actividad_economica"/>
  </r>
  <r>
    <x v="8"/>
    <x v="8"/>
    <x v="5"/>
    <n v="2898.52"/>
    <x v="0"/>
    <s v="valor_agregado_por_actividad_economica"/>
  </r>
  <r>
    <x v="9"/>
    <x v="9"/>
    <x v="5"/>
    <n v="312.75"/>
    <x v="0"/>
    <s v="valor_agregado_por_actividad_economica"/>
  </r>
  <r>
    <x v="10"/>
    <x v="10"/>
    <x v="5"/>
    <n v="15253"/>
    <x v="0"/>
    <s v="valor_agregado_por_actividad_economica"/>
  </r>
  <r>
    <x v="11"/>
    <x v="11"/>
    <x v="5"/>
    <n v="12155.08"/>
    <x v="0"/>
    <s v="valor_agregado_por_actividad_economica"/>
  </r>
  <r>
    <x v="12"/>
    <x v="12"/>
    <x v="5"/>
    <n v="1159.2"/>
    <x v="0"/>
    <s v="valor_agregado_por_actividad_economica"/>
  </r>
  <r>
    <x v="13"/>
    <x v="13"/>
    <x v="5"/>
    <n v="5871.32"/>
    <x v="0"/>
    <s v="valor_agregado_por_actividad_economica"/>
  </r>
  <r>
    <x v="14"/>
    <x v="14"/>
    <x v="5"/>
    <n v="8376.06"/>
    <x v="0"/>
    <s v="valor_agregado_por_actividad_economica"/>
  </r>
  <r>
    <x v="15"/>
    <x v="15"/>
    <x v="5"/>
    <n v="8255.51"/>
    <x v="0"/>
    <s v="valor_agregado_por_actividad_economica"/>
  </r>
  <r>
    <x v="16"/>
    <x v="16"/>
    <x v="5"/>
    <n v="6385.46"/>
    <x v="0"/>
    <s v="valor_agregado_por_actividad_economica"/>
  </r>
  <r>
    <x v="17"/>
    <x v="17"/>
    <x v="5"/>
    <n v="4806.5600000000004"/>
    <x v="0"/>
    <s v="valor_agregado_por_actividad_economica"/>
  </r>
  <r>
    <x v="18"/>
    <x v="18"/>
    <x v="5"/>
    <n v="10340.51"/>
    <x v="0"/>
    <s v="valor_agregado_por_actividad_economica"/>
  </r>
  <r>
    <x v="19"/>
    <x v="19"/>
    <x v="5"/>
    <n v="12122.78"/>
    <x v="0"/>
    <s v="valor_agregado_por_actividad_economica"/>
  </r>
  <r>
    <x v="20"/>
    <x v="20"/>
    <x v="5"/>
    <n v="14887.5"/>
    <x v="0"/>
    <s v="valor_agregado_por_actividad_economica"/>
  </r>
  <r>
    <x v="21"/>
    <x v="21"/>
    <x v="5"/>
    <n v="433.2"/>
    <x v="0"/>
    <s v="valor_agregado_por_actividad_economica"/>
  </r>
  <r>
    <x v="22"/>
    <x v="22"/>
    <x v="5"/>
    <n v="350.27"/>
    <x v="0"/>
    <s v="valor_agregado_por_actividad_economica"/>
  </r>
  <r>
    <x v="23"/>
    <x v="23"/>
    <x v="5"/>
    <n v="234.34"/>
    <x v="0"/>
    <s v="valor_agregado_por_actividad_economica"/>
  </r>
  <r>
    <x v="24"/>
    <x v="24"/>
    <x v="5"/>
    <m/>
    <x v="0"/>
    <s v="valor_agregado_por_actividad_economica"/>
  </r>
  <r>
    <x v="25"/>
    <x v="25"/>
    <x v="5"/>
    <m/>
    <x v="0"/>
    <s v="valor_agregado_por_actividad_economica"/>
  </r>
  <r>
    <x v="0"/>
    <x v="0"/>
    <x v="3"/>
    <n v="15283.66"/>
    <x v="0"/>
    <s v="valor_agregado_por_actividad_economica"/>
  </r>
  <r>
    <x v="1"/>
    <x v="1"/>
    <x v="3"/>
    <n v="4498.42"/>
    <x v="0"/>
    <s v="valor_agregado_por_actividad_economica"/>
  </r>
  <r>
    <x v="2"/>
    <x v="2"/>
    <x v="3"/>
    <n v="1355.84"/>
    <x v="0"/>
    <s v="valor_agregado_por_actividad_economica"/>
  </r>
  <r>
    <x v="3"/>
    <x v="3"/>
    <x v="3"/>
    <m/>
    <x v="0"/>
    <s v="valor_agregado_por_actividad_economica"/>
  </r>
  <r>
    <x v="4"/>
    <x v="4"/>
    <x v="3"/>
    <n v="580.91"/>
    <x v="0"/>
    <s v="valor_agregado_por_actividad_economica"/>
  </r>
  <r>
    <x v="5"/>
    <x v="5"/>
    <x v="3"/>
    <n v="608.08000000000004"/>
    <x v="0"/>
    <s v="valor_agregado_por_actividad_economica"/>
  </r>
  <r>
    <x v="6"/>
    <x v="6"/>
    <x v="3"/>
    <n v="115.73"/>
    <x v="0"/>
    <s v="valor_agregado_por_actividad_economica"/>
  </r>
  <r>
    <x v="7"/>
    <x v="7"/>
    <x v="3"/>
    <n v="102.93"/>
    <x v="0"/>
    <s v="valor_agregado_por_actividad_economica"/>
  </r>
  <r>
    <x v="8"/>
    <x v="8"/>
    <x v="3"/>
    <n v="601.79999999999995"/>
    <x v="0"/>
    <s v="valor_agregado_por_actividad_economica"/>
  </r>
  <r>
    <x v="9"/>
    <x v="9"/>
    <x v="3"/>
    <n v="318.79000000000002"/>
    <x v="0"/>
    <s v="valor_agregado_por_actividad_economica"/>
  </r>
  <r>
    <x v="10"/>
    <x v="10"/>
    <x v="3"/>
    <n v="669.52"/>
    <x v="0"/>
    <s v="valor_agregado_por_actividad_economica"/>
  </r>
  <r>
    <x v="11"/>
    <x v="11"/>
    <x v="3"/>
    <n v="1152.9100000000001"/>
    <x v="0"/>
    <s v="valor_agregado_por_actividad_economica"/>
  </r>
  <r>
    <x v="12"/>
    <x v="12"/>
    <x v="3"/>
    <n v="512.16"/>
    <x v="0"/>
    <s v="valor_agregado_por_actividad_economica"/>
  </r>
  <r>
    <x v="13"/>
    <x v="13"/>
    <x v="3"/>
    <n v="998.19"/>
    <x v="0"/>
    <s v="valor_agregado_por_actividad_economica"/>
  </r>
  <r>
    <x v="14"/>
    <x v="14"/>
    <x v="3"/>
    <n v="1335.27"/>
    <x v="0"/>
    <s v="valor_agregado_por_actividad_economica"/>
  </r>
  <r>
    <x v="15"/>
    <x v="15"/>
    <x v="3"/>
    <n v="499.66"/>
    <x v="0"/>
    <s v="valor_agregado_por_actividad_economica"/>
  </r>
  <r>
    <x v="16"/>
    <x v="16"/>
    <x v="3"/>
    <n v="675.14"/>
    <x v="0"/>
    <s v="valor_agregado_por_actividad_economica"/>
  </r>
  <r>
    <x v="17"/>
    <x v="17"/>
    <x v="3"/>
    <n v="25.06"/>
    <x v="0"/>
    <s v="valor_agregado_por_actividad_economica"/>
  </r>
  <r>
    <x v="18"/>
    <x v="18"/>
    <x v="3"/>
    <n v="207.23"/>
    <x v="0"/>
    <s v="valor_agregado_por_actividad_economica"/>
  </r>
  <r>
    <x v="19"/>
    <x v="19"/>
    <x v="3"/>
    <n v="266.77999999999997"/>
    <x v="0"/>
    <s v="valor_agregado_por_actividad_economica"/>
  </r>
  <r>
    <x v="20"/>
    <x v="20"/>
    <x v="3"/>
    <n v="120.89"/>
    <x v="0"/>
    <s v="valor_agregado_por_actividad_economica"/>
  </r>
  <r>
    <x v="21"/>
    <x v="21"/>
    <x v="3"/>
    <n v="57.91"/>
    <x v="0"/>
    <s v="valor_agregado_por_actividad_economica"/>
  </r>
  <r>
    <x v="22"/>
    <x v="22"/>
    <x v="3"/>
    <n v="210.35"/>
    <x v="0"/>
    <s v="valor_agregado_por_actividad_economica"/>
  </r>
  <r>
    <x v="23"/>
    <x v="23"/>
    <x v="3"/>
    <n v="101.25"/>
    <x v="0"/>
    <s v="valor_agregado_por_actividad_economica"/>
  </r>
  <r>
    <x v="24"/>
    <x v="24"/>
    <x v="3"/>
    <n v="268.83999999999997"/>
    <x v="0"/>
    <s v="valor_agregado_por_actividad_economica"/>
  </r>
  <r>
    <x v="25"/>
    <x v="25"/>
    <x v="3"/>
    <m/>
    <x v="0"/>
    <s v="valor_agregado_por_actividad_economica"/>
  </r>
  <r>
    <x v="0"/>
    <x v="0"/>
    <x v="6"/>
    <n v="3763.99"/>
    <x v="0"/>
    <s v="valor_agregado_por_actividad_economica"/>
  </r>
  <r>
    <x v="1"/>
    <x v="1"/>
    <x v="6"/>
    <n v="1403.05"/>
    <x v="0"/>
    <s v="valor_agregado_por_actividad_economica"/>
  </r>
  <r>
    <x v="2"/>
    <x v="2"/>
    <x v="6"/>
    <n v="266.56"/>
    <x v="0"/>
    <s v="valor_agregado_por_actividad_economica"/>
  </r>
  <r>
    <x v="3"/>
    <x v="3"/>
    <x v="6"/>
    <m/>
    <x v="0"/>
    <s v="valor_agregado_por_actividad_economica"/>
  </r>
  <r>
    <x v="4"/>
    <x v="4"/>
    <x v="6"/>
    <n v="52.89"/>
    <x v="0"/>
    <s v="valor_agregado_por_actividad_economica"/>
  </r>
  <r>
    <x v="5"/>
    <x v="5"/>
    <x v="6"/>
    <n v="35.630000000000003"/>
    <x v="0"/>
    <s v="valor_agregado_por_actividad_economica"/>
  </r>
  <r>
    <x v="6"/>
    <x v="6"/>
    <x v="6"/>
    <n v="74.959999999999994"/>
    <x v="0"/>
    <s v="valor_agregado_por_actividad_economica"/>
  </r>
  <r>
    <x v="7"/>
    <x v="7"/>
    <x v="6"/>
    <n v="47.15"/>
    <x v="0"/>
    <s v="valor_agregado_por_actividad_economica"/>
  </r>
  <r>
    <x v="8"/>
    <x v="8"/>
    <x v="6"/>
    <n v="336.66"/>
    <x v="0"/>
    <s v="valor_agregado_por_actividad_economica"/>
  </r>
  <r>
    <x v="9"/>
    <x v="9"/>
    <x v="6"/>
    <n v="65.95"/>
    <x v="0"/>
    <s v="valor_agregado_por_actividad_economica"/>
  </r>
  <r>
    <x v="10"/>
    <x v="10"/>
    <x v="6"/>
    <n v="419.63"/>
    <x v="0"/>
    <s v="valor_agregado_por_actividad_economica"/>
  </r>
  <r>
    <x v="11"/>
    <x v="11"/>
    <x v="6"/>
    <n v="260.5"/>
    <x v="0"/>
    <s v="valor_agregado_por_actividad_economica"/>
  </r>
  <r>
    <x v="12"/>
    <x v="12"/>
    <x v="6"/>
    <n v="272.33"/>
    <x v="0"/>
    <s v="valor_agregado_por_actividad_economica"/>
  </r>
  <r>
    <x v="13"/>
    <x v="13"/>
    <x v="6"/>
    <n v="143.41"/>
    <x v="0"/>
    <s v="valor_agregado_por_actividad_economica"/>
  </r>
  <r>
    <x v="14"/>
    <x v="14"/>
    <x v="6"/>
    <n v="51.74"/>
    <x v="0"/>
    <s v="valor_agregado_por_actividad_economica"/>
  </r>
  <r>
    <x v="15"/>
    <x v="15"/>
    <x v="6"/>
    <n v="27.09"/>
    <x v="0"/>
    <s v="valor_agregado_por_actividad_economica"/>
  </r>
  <r>
    <x v="16"/>
    <x v="16"/>
    <x v="6"/>
    <n v="96.36"/>
    <x v="0"/>
    <s v="valor_agregado_por_actividad_economica"/>
  </r>
  <r>
    <x v="17"/>
    <x v="17"/>
    <x v="6"/>
    <n v="1.83"/>
    <x v="0"/>
    <s v="valor_agregado_por_actividad_economica"/>
  </r>
  <r>
    <x v="18"/>
    <x v="18"/>
    <x v="6"/>
    <n v="33.86"/>
    <x v="0"/>
    <s v="valor_agregado_por_actividad_economica"/>
  </r>
  <r>
    <x v="19"/>
    <x v="19"/>
    <x v="6"/>
    <n v="13.68"/>
    <x v="0"/>
    <s v="valor_agregado_por_actividad_economica"/>
  </r>
  <r>
    <x v="20"/>
    <x v="20"/>
    <x v="6"/>
    <n v="43.52"/>
    <x v="0"/>
    <s v="valor_agregado_por_actividad_economica"/>
  </r>
  <r>
    <x v="21"/>
    <x v="21"/>
    <x v="6"/>
    <m/>
    <x v="0"/>
    <s v="valor_agregado_por_actividad_economica"/>
  </r>
  <r>
    <x v="22"/>
    <x v="22"/>
    <x v="6"/>
    <n v="38.130000000000003"/>
    <x v="0"/>
    <s v="valor_agregado_por_actividad_economica"/>
  </r>
  <r>
    <x v="23"/>
    <x v="23"/>
    <x v="6"/>
    <n v="17.54"/>
    <x v="0"/>
    <s v="valor_agregado_por_actividad_economica"/>
  </r>
  <r>
    <x v="24"/>
    <x v="24"/>
    <x v="6"/>
    <n v="61.52"/>
    <x v="0"/>
    <s v="valor_agregado_por_actividad_economica"/>
  </r>
  <r>
    <x v="25"/>
    <x v="25"/>
    <x v="6"/>
    <m/>
    <x v="0"/>
    <s v="valor_agregado_por_actividad_economica"/>
  </r>
  <r>
    <x v="0"/>
    <x v="0"/>
    <x v="4"/>
    <n v="202753.23"/>
    <x v="1"/>
    <s v="valor_agregado_por_actividad_economica"/>
  </r>
  <r>
    <x v="1"/>
    <x v="1"/>
    <x v="4"/>
    <n v="39864.33"/>
    <x v="1"/>
    <s v="valor_agregado_por_actividad_economica"/>
  </r>
  <r>
    <x v="2"/>
    <x v="2"/>
    <x v="4"/>
    <n v="7699.36"/>
    <x v="1"/>
    <s v="valor_agregado_por_actividad_economica"/>
  </r>
  <r>
    <x v="3"/>
    <x v="3"/>
    <x v="4"/>
    <n v="1082.52"/>
    <x v="1"/>
    <s v="valor_agregado_por_actividad_economica"/>
  </r>
  <r>
    <x v="4"/>
    <x v="4"/>
    <x v="4"/>
    <n v="4030.87"/>
    <x v="1"/>
    <s v="valor_agregado_por_actividad_economica"/>
  </r>
  <r>
    <x v="5"/>
    <x v="5"/>
    <x v="4"/>
    <n v="4515.8500000000004"/>
    <x v="1"/>
    <s v="valor_agregado_por_actividad_economica"/>
  </r>
  <r>
    <x v="6"/>
    <x v="6"/>
    <x v="4"/>
    <n v="3889.95"/>
    <x v="1"/>
    <s v="valor_agregado_por_actividad_economica"/>
  </r>
  <r>
    <x v="7"/>
    <x v="7"/>
    <x v="4"/>
    <n v="2218.88"/>
    <x v="1"/>
    <s v="valor_agregado_por_actividad_economica"/>
  </r>
  <r>
    <x v="8"/>
    <x v="8"/>
    <x v="4"/>
    <n v="9825.58"/>
    <x v="1"/>
    <s v="valor_agregado_por_actividad_economica"/>
  </r>
  <r>
    <x v="9"/>
    <x v="9"/>
    <x v="4"/>
    <n v="1254.46"/>
    <x v="1"/>
    <s v="valor_agregado_por_actividad_economica"/>
  </r>
  <r>
    <x v="10"/>
    <x v="10"/>
    <x v="4"/>
    <n v="20824.13"/>
    <x v="1"/>
    <s v="valor_agregado_por_actividad_economica"/>
  </r>
  <r>
    <x v="11"/>
    <x v="11"/>
    <x v="4"/>
    <n v="21468.7"/>
    <x v="1"/>
    <s v="valor_agregado_por_actividad_economica"/>
  </r>
  <r>
    <x v="12"/>
    <x v="12"/>
    <x v="4"/>
    <n v="6901.87"/>
    <x v="1"/>
    <s v="valor_agregado_por_actividad_economica"/>
  </r>
  <r>
    <x v="13"/>
    <x v="13"/>
    <x v="4"/>
    <n v="7794.97"/>
    <x v="1"/>
    <s v="valor_agregado_por_actividad_economica"/>
  </r>
  <r>
    <x v="14"/>
    <x v="14"/>
    <x v="4"/>
    <n v="5758.44"/>
    <x v="1"/>
    <s v="valor_agregado_por_actividad_economica"/>
  </r>
  <r>
    <x v="15"/>
    <x v="15"/>
    <x v="4"/>
    <n v="12202.5"/>
    <x v="1"/>
    <s v="valor_agregado_por_actividad_economica"/>
  </r>
  <r>
    <x v="16"/>
    <x v="16"/>
    <x v="4"/>
    <n v="6105.41"/>
    <x v="1"/>
    <s v="valor_agregado_por_actividad_economica"/>
  </r>
  <r>
    <x v="17"/>
    <x v="17"/>
    <x v="4"/>
    <n v="5157.43"/>
    <x v="1"/>
    <s v="valor_agregado_por_actividad_economica"/>
  </r>
  <r>
    <x v="18"/>
    <x v="18"/>
    <x v="4"/>
    <n v="5618.79"/>
    <x v="1"/>
    <s v="valor_agregado_por_actividad_economica"/>
  </r>
  <r>
    <x v="19"/>
    <x v="19"/>
    <x v="4"/>
    <n v="9088.2000000000007"/>
    <x v="1"/>
    <s v="valor_agregado_por_actividad_economica"/>
  </r>
  <r>
    <x v="20"/>
    <x v="20"/>
    <x v="4"/>
    <n v="15814.61"/>
    <x v="1"/>
    <s v="valor_agregado_por_actividad_economica"/>
  </r>
  <r>
    <x v="21"/>
    <x v="21"/>
    <x v="4"/>
    <n v="3658.93"/>
    <x v="1"/>
    <s v="valor_agregado_por_actividad_economica"/>
  </r>
  <r>
    <x v="22"/>
    <x v="22"/>
    <x v="4"/>
    <n v="2137.16"/>
    <x v="1"/>
    <s v="valor_agregado_por_actividad_economica"/>
  </r>
  <r>
    <x v="23"/>
    <x v="23"/>
    <x v="4"/>
    <n v="2490.58"/>
    <x v="1"/>
    <s v="valor_agregado_por_actividad_economica"/>
  </r>
  <r>
    <x v="24"/>
    <x v="24"/>
    <x v="4"/>
    <n v="3349.71"/>
    <x v="1"/>
    <s v="valor_agregado_por_actividad_economica"/>
  </r>
  <r>
    <x v="25"/>
    <x v="25"/>
    <x v="4"/>
    <m/>
    <x v="1"/>
    <s v="valor_agregado_por_actividad_economica"/>
  </r>
  <r>
    <x v="0"/>
    <x v="0"/>
    <x v="0"/>
    <n v="26411.42"/>
    <x v="1"/>
    <s v="valor_agregado_por_actividad_economica"/>
  </r>
  <r>
    <x v="1"/>
    <x v="1"/>
    <x v="0"/>
    <n v="7853.61"/>
    <x v="1"/>
    <s v="valor_agregado_por_actividad_economica"/>
  </r>
  <r>
    <x v="2"/>
    <x v="2"/>
    <x v="0"/>
    <n v="3042.59"/>
    <x v="1"/>
    <s v="valor_agregado_por_actividad_economica"/>
  </r>
  <r>
    <x v="3"/>
    <x v="3"/>
    <x v="0"/>
    <m/>
    <x v="1"/>
    <s v="valor_agregado_por_actividad_economica"/>
  </r>
  <r>
    <x v="4"/>
    <x v="4"/>
    <x v="0"/>
    <n v="218.25"/>
    <x v="1"/>
    <s v="valor_agregado_por_actividad_economica"/>
  </r>
  <r>
    <x v="5"/>
    <x v="5"/>
    <x v="0"/>
    <n v="177.95"/>
    <x v="1"/>
    <s v="valor_agregado_por_actividad_economica"/>
  </r>
  <r>
    <x v="6"/>
    <x v="6"/>
    <x v="0"/>
    <n v="160.46"/>
    <x v="1"/>
    <s v="valor_agregado_por_actividad_economica"/>
  </r>
  <r>
    <x v="7"/>
    <x v="7"/>
    <x v="0"/>
    <n v="1131.56"/>
    <x v="1"/>
    <s v="valor_agregado_por_actividad_economica"/>
  </r>
  <r>
    <x v="8"/>
    <x v="8"/>
    <x v="0"/>
    <n v="2171.4899999999998"/>
    <x v="1"/>
    <s v="valor_agregado_por_actividad_economica"/>
  </r>
  <r>
    <x v="9"/>
    <x v="9"/>
    <x v="0"/>
    <n v="196.21"/>
    <x v="1"/>
    <s v="valor_agregado_por_actividad_economica"/>
  </r>
  <r>
    <x v="10"/>
    <x v="10"/>
    <x v="0"/>
    <m/>
    <x v="1"/>
    <s v="valor_agregado_por_actividad_economica"/>
  </r>
  <r>
    <x v="11"/>
    <x v="11"/>
    <x v="0"/>
    <n v="3174.34"/>
    <x v="1"/>
    <s v="valor_agregado_por_actividad_economica"/>
  </r>
  <r>
    <x v="12"/>
    <x v="12"/>
    <x v="0"/>
    <n v="583.25"/>
    <x v="1"/>
    <s v="valor_agregado_por_actividad_economica"/>
  </r>
  <r>
    <x v="13"/>
    <x v="13"/>
    <x v="0"/>
    <n v="1306.73"/>
    <x v="1"/>
    <s v="valor_agregado_por_actividad_economica"/>
  </r>
  <r>
    <x v="14"/>
    <x v="14"/>
    <x v="0"/>
    <n v="789.56"/>
    <x v="1"/>
    <s v="valor_agregado_por_actividad_economica"/>
  </r>
  <r>
    <x v="15"/>
    <x v="15"/>
    <x v="0"/>
    <n v="237.51"/>
    <x v="1"/>
    <s v="valor_agregado_por_actividad_economica"/>
  </r>
  <r>
    <x v="16"/>
    <x v="16"/>
    <x v="0"/>
    <n v="2567.08"/>
    <x v="1"/>
    <s v="valor_agregado_por_actividad_economica"/>
  </r>
  <r>
    <x v="17"/>
    <x v="17"/>
    <x v="0"/>
    <n v="-1"/>
    <x v="1"/>
    <s v="valor_agregado_por_actividad_economica"/>
  </r>
  <r>
    <x v="18"/>
    <x v="18"/>
    <x v="0"/>
    <n v="197.89"/>
    <x v="1"/>
    <s v="valor_agregado_por_actividad_economica"/>
  </r>
  <r>
    <x v="19"/>
    <x v="19"/>
    <x v="0"/>
    <n v="439.48"/>
    <x v="1"/>
    <s v="valor_agregado_por_actividad_economica"/>
  </r>
  <r>
    <x v="20"/>
    <x v="20"/>
    <x v="0"/>
    <n v="28.61"/>
    <x v="1"/>
    <s v="valor_agregado_por_actividad_economica"/>
  </r>
  <r>
    <x v="21"/>
    <x v="21"/>
    <x v="0"/>
    <n v="21.12"/>
    <x v="1"/>
    <s v="valor_agregado_por_actividad_economica"/>
  </r>
  <r>
    <x v="22"/>
    <x v="22"/>
    <x v="0"/>
    <n v="235.16"/>
    <x v="1"/>
    <s v="valor_agregado_por_actividad_economica"/>
  </r>
  <r>
    <x v="23"/>
    <x v="23"/>
    <x v="0"/>
    <n v="31.48"/>
    <x v="1"/>
    <s v="valor_agregado_por_actividad_economica"/>
  </r>
  <r>
    <x v="24"/>
    <x v="24"/>
    <x v="0"/>
    <n v="869.35"/>
    <x v="1"/>
    <s v="valor_agregado_por_actividad_economica"/>
  </r>
  <r>
    <x v="25"/>
    <x v="25"/>
    <x v="0"/>
    <n v="978.74"/>
    <x v="1"/>
    <s v="valor_agregado_por_actividad_economica"/>
  </r>
  <r>
    <x v="0"/>
    <x v="0"/>
    <x v="1"/>
    <n v="24554.61"/>
    <x v="1"/>
    <s v="valor_agregado_por_actividad_economica"/>
  </r>
  <r>
    <x v="1"/>
    <x v="1"/>
    <x v="1"/>
    <n v="5934.97"/>
    <x v="1"/>
    <s v="valor_agregado_por_actividad_economica"/>
  </r>
  <r>
    <x v="2"/>
    <x v="2"/>
    <x v="1"/>
    <n v="2509.81"/>
    <x v="1"/>
    <s v="valor_agregado_por_actividad_economica"/>
  </r>
  <r>
    <x v="3"/>
    <x v="3"/>
    <x v="1"/>
    <m/>
    <x v="1"/>
    <s v="valor_agregado_por_actividad_economica"/>
  </r>
  <r>
    <x v="4"/>
    <x v="4"/>
    <x v="1"/>
    <n v="479.3"/>
    <x v="1"/>
    <s v="valor_agregado_por_actividad_economica"/>
  </r>
  <r>
    <x v="5"/>
    <x v="5"/>
    <x v="1"/>
    <n v="1195.96"/>
    <x v="1"/>
    <s v="valor_agregado_por_actividad_economica"/>
  </r>
  <r>
    <x v="6"/>
    <x v="6"/>
    <x v="1"/>
    <n v="260.17"/>
    <x v="1"/>
    <s v="valor_agregado_por_actividad_economica"/>
  </r>
  <r>
    <x v="7"/>
    <x v="7"/>
    <x v="1"/>
    <n v="145.52000000000001"/>
    <x v="1"/>
    <s v="valor_agregado_por_actividad_economica"/>
  </r>
  <r>
    <x v="8"/>
    <x v="8"/>
    <x v="1"/>
    <n v="1030.82"/>
    <x v="1"/>
    <s v="valor_agregado_por_actividad_economica"/>
  </r>
  <r>
    <x v="9"/>
    <x v="9"/>
    <x v="1"/>
    <n v="378.71"/>
    <x v="1"/>
    <s v="valor_agregado_por_actividad_economica"/>
  </r>
  <r>
    <x v="10"/>
    <x v="10"/>
    <x v="1"/>
    <n v="1539.1"/>
    <x v="1"/>
    <s v="valor_agregado_por_actividad_economica"/>
  </r>
  <r>
    <x v="11"/>
    <x v="11"/>
    <x v="1"/>
    <n v="3037.33"/>
    <x v="1"/>
    <s v="valor_agregado_por_actividad_economica"/>
  </r>
  <r>
    <x v="12"/>
    <x v="12"/>
    <x v="1"/>
    <n v="1160.8699999999999"/>
    <x v="1"/>
    <s v="valor_agregado_por_actividad_economica"/>
  </r>
  <r>
    <x v="13"/>
    <x v="13"/>
    <x v="1"/>
    <n v="1054.71"/>
    <x v="1"/>
    <s v="valor_agregado_por_actividad_economica"/>
  </r>
  <r>
    <x v="14"/>
    <x v="14"/>
    <x v="1"/>
    <n v="1850.35"/>
    <x v="1"/>
    <s v="valor_agregado_por_actividad_economica"/>
  </r>
  <r>
    <x v="15"/>
    <x v="15"/>
    <x v="1"/>
    <n v="624.91"/>
    <x v="1"/>
    <s v="valor_agregado_por_actividad_economica"/>
  </r>
  <r>
    <x v="16"/>
    <x v="16"/>
    <x v="1"/>
    <n v="624.6"/>
    <x v="1"/>
    <s v="valor_agregado_por_actividad_economica"/>
  </r>
  <r>
    <x v="17"/>
    <x v="17"/>
    <x v="1"/>
    <n v="4.8600000000000003"/>
    <x v="1"/>
    <s v="valor_agregado_por_actividad_economica"/>
  </r>
  <r>
    <x v="18"/>
    <x v="18"/>
    <x v="1"/>
    <n v="455.46"/>
    <x v="1"/>
    <s v="valor_agregado_por_actividad_economica"/>
  </r>
  <r>
    <x v="19"/>
    <x v="19"/>
    <x v="1"/>
    <n v="298.62"/>
    <x v="1"/>
    <s v="valor_agregado_por_actividad_economica"/>
  </r>
  <r>
    <x v="20"/>
    <x v="20"/>
    <x v="1"/>
    <n v="437.55"/>
    <x v="1"/>
    <s v="valor_agregado_por_actividad_economica"/>
  </r>
  <r>
    <x v="21"/>
    <x v="21"/>
    <x v="1"/>
    <n v="136.31"/>
    <x v="1"/>
    <s v="valor_agregado_por_actividad_economica"/>
  </r>
  <r>
    <x v="22"/>
    <x v="22"/>
    <x v="1"/>
    <n v="332.76"/>
    <x v="1"/>
    <s v="valor_agregado_por_actividad_economica"/>
  </r>
  <r>
    <x v="23"/>
    <x v="23"/>
    <x v="1"/>
    <n v="1061.92"/>
    <x v="1"/>
    <s v="valor_agregado_por_actividad_economica"/>
  </r>
  <r>
    <x v="24"/>
    <x v="24"/>
    <x v="1"/>
    <m/>
    <x v="1"/>
    <s v="valor_agregado_por_actividad_economica"/>
  </r>
  <r>
    <x v="25"/>
    <x v="25"/>
    <x v="1"/>
    <m/>
    <x v="1"/>
    <s v="valor_agregado_por_actividad_economica"/>
  </r>
  <r>
    <x v="0"/>
    <x v="0"/>
    <x v="2"/>
    <n v="6770.48"/>
    <x v="1"/>
    <s v="valor_agregado_por_actividad_economica"/>
  </r>
  <r>
    <x v="1"/>
    <x v="1"/>
    <x v="2"/>
    <n v="2576.2199999999998"/>
    <x v="1"/>
    <s v="valor_agregado_por_actividad_economica"/>
  </r>
  <r>
    <x v="2"/>
    <x v="2"/>
    <x v="2"/>
    <n v="519.36"/>
    <x v="1"/>
    <s v="valor_agregado_por_actividad_economica"/>
  </r>
  <r>
    <x v="3"/>
    <x v="3"/>
    <x v="2"/>
    <n v="7.33"/>
    <x v="1"/>
    <s v="valor_agregado_por_actividad_economica"/>
  </r>
  <r>
    <x v="4"/>
    <x v="4"/>
    <x v="2"/>
    <n v="170.07"/>
    <x v="1"/>
    <s v="valor_agregado_por_actividad_economica"/>
  </r>
  <r>
    <x v="5"/>
    <x v="5"/>
    <x v="2"/>
    <n v="73.569999999999993"/>
    <x v="1"/>
    <s v="valor_agregado_por_actividad_economica"/>
  </r>
  <r>
    <x v="6"/>
    <x v="6"/>
    <x v="2"/>
    <n v="64.760000000000005"/>
    <x v="1"/>
    <s v="valor_agregado_por_actividad_economica"/>
  </r>
  <r>
    <x v="7"/>
    <x v="7"/>
    <x v="2"/>
    <n v="132.01"/>
    <x v="1"/>
    <s v="valor_agregado_por_actividad_economica"/>
  </r>
  <r>
    <x v="8"/>
    <x v="8"/>
    <x v="2"/>
    <n v="351.43"/>
    <x v="1"/>
    <s v="valor_agregado_por_actividad_economica"/>
  </r>
  <r>
    <x v="9"/>
    <x v="9"/>
    <x v="2"/>
    <n v="122.23"/>
    <x v="1"/>
    <s v="valor_agregado_por_actividad_economica"/>
  </r>
  <r>
    <x v="10"/>
    <x v="10"/>
    <x v="2"/>
    <n v="32.86"/>
    <x v="1"/>
    <s v="valor_agregado_por_actividad_economica"/>
  </r>
  <r>
    <x v="11"/>
    <x v="11"/>
    <x v="2"/>
    <n v="411.76"/>
    <x v="1"/>
    <s v="valor_agregado_por_actividad_economica"/>
  </r>
  <r>
    <x v="12"/>
    <x v="12"/>
    <x v="2"/>
    <n v="117.01"/>
    <x v="1"/>
    <s v="valor_agregado_por_actividad_economica"/>
  </r>
  <r>
    <x v="13"/>
    <x v="13"/>
    <x v="2"/>
    <n v="419.62"/>
    <x v="1"/>
    <s v="valor_agregado_por_actividad_economica"/>
  </r>
  <r>
    <x v="14"/>
    <x v="14"/>
    <x v="2"/>
    <n v="535.28"/>
    <x v="1"/>
    <s v="valor_agregado_por_actividad_economica"/>
  </r>
  <r>
    <x v="15"/>
    <x v="15"/>
    <x v="2"/>
    <n v="340.67"/>
    <x v="1"/>
    <s v="valor_agregado_por_actividad_economica"/>
  </r>
  <r>
    <x v="16"/>
    <x v="16"/>
    <x v="2"/>
    <n v="253.66"/>
    <x v="1"/>
    <s v="valor_agregado_por_actividad_economica"/>
  </r>
  <r>
    <x v="17"/>
    <x v="17"/>
    <x v="2"/>
    <n v="22.14"/>
    <x v="1"/>
    <s v="valor_agregado_por_actividad_economica"/>
  </r>
  <r>
    <x v="18"/>
    <x v="18"/>
    <x v="2"/>
    <n v="138.81"/>
    <x v="1"/>
    <s v="valor_agregado_por_actividad_economica"/>
  </r>
  <r>
    <x v="19"/>
    <x v="19"/>
    <x v="2"/>
    <n v="55.41"/>
    <x v="1"/>
    <s v="valor_agregado_por_actividad_economica"/>
  </r>
  <r>
    <x v="20"/>
    <x v="20"/>
    <x v="2"/>
    <n v="132.75"/>
    <x v="1"/>
    <s v="valor_agregado_por_actividad_economica"/>
  </r>
  <r>
    <x v="21"/>
    <x v="21"/>
    <x v="2"/>
    <n v="36.869999999999997"/>
    <x v="1"/>
    <s v="valor_agregado_por_actividad_economica"/>
  </r>
  <r>
    <x v="22"/>
    <x v="22"/>
    <x v="2"/>
    <n v="115.27"/>
    <x v="1"/>
    <s v="valor_agregado_por_actividad_economica"/>
  </r>
  <r>
    <x v="23"/>
    <x v="23"/>
    <x v="2"/>
    <n v="60.05"/>
    <x v="1"/>
    <s v="valor_agregado_por_actividad_economica"/>
  </r>
  <r>
    <x v="24"/>
    <x v="24"/>
    <x v="2"/>
    <n v="81.34"/>
    <x v="1"/>
    <s v="valor_agregado_por_actividad_economica"/>
  </r>
  <r>
    <x v="25"/>
    <x v="25"/>
    <x v="2"/>
    <m/>
    <x v="1"/>
    <s v="valor_agregado_por_actividad_economica"/>
  </r>
  <r>
    <x v="0"/>
    <x v="0"/>
    <x v="5"/>
    <n v="155833.42000000001"/>
    <x v="1"/>
    <s v="valor_agregado_por_actividad_economica"/>
  </r>
  <r>
    <x v="1"/>
    <x v="1"/>
    <x v="5"/>
    <n v="22168.95"/>
    <x v="1"/>
    <s v="valor_agregado_por_actividad_economica"/>
  </r>
  <r>
    <x v="2"/>
    <x v="2"/>
    <x v="5"/>
    <n v="9890.7900000000009"/>
    <x v="1"/>
    <s v="valor_agregado_por_actividad_economica"/>
  </r>
  <r>
    <x v="3"/>
    <x v="3"/>
    <x v="5"/>
    <n v="546"/>
    <x v="1"/>
    <s v="valor_agregado_por_actividad_economica"/>
  </r>
  <r>
    <x v="4"/>
    <x v="4"/>
    <x v="5"/>
    <n v="5495.03"/>
    <x v="1"/>
    <s v="valor_agregado_por_actividad_economica"/>
  </r>
  <r>
    <x v="5"/>
    <x v="5"/>
    <x v="5"/>
    <n v="1632.57"/>
    <x v="1"/>
    <s v="valor_agregado_por_actividad_economica"/>
  </r>
  <r>
    <x v="6"/>
    <x v="6"/>
    <x v="5"/>
    <n v="677.6"/>
    <x v="1"/>
    <s v="valor_agregado_por_actividad_economica"/>
  </r>
  <r>
    <x v="7"/>
    <x v="7"/>
    <x v="5"/>
    <n v="459.99"/>
    <x v="1"/>
    <s v="valor_agregado_por_actividad_economica"/>
  </r>
  <r>
    <x v="8"/>
    <x v="8"/>
    <x v="5"/>
    <n v="3188.58"/>
    <x v="1"/>
    <s v="valor_agregado_por_actividad_economica"/>
  </r>
  <r>
    <x v="9"/>
    <x v="9"/>
    <x v="5"/>
    <n v="312.02"/>
    <x v="1"/>
    <s v="valor_agregado_por_actividad_economica"/>
  </r>
  <r>
    <x v="10"/>
    <x v="10"/>
    <x v="5"/>
    <n v="15813.69"/>
    <x v="1"/>
    <s v="valor_agregado_por_actividad_economica"/>
  </r>
  <r>
    <x v="11"/>
    <x v="11"/>
    <x v="5"/>
    <n v="12965.58"/>
    <x v="1"/>
    <s v="valor_agregado_por_actividad_economica"/>
  </r>
  <r>
    <x v="12"/>
    <x v="12"/>
    <x v="5"/>
    <n v="1230.83"/>
    <x v="1"/>
    <s v="valor_agregado_por_actividad_economica"/>
  </r>
  <r>
    <x v="13"/>
    <x v="13"/>
    <x v="5"/>
    <n v="6249.47"/>
    <x v="1"/>
    <s v="valor_agregado_por_actividad_economica"/>
  </r>
  <r>
    <x v="14"/>
    <x v="14"/>
    <x v="5"/>
    <n v="9351.89"/>
    <x v="1"/>
    <s v="valor_agregado_por_actividad_economica"/>
  </r>
  <r>
    <x v="15"/>
    <x v="15"/>
    <x v="5"/>
    <n v="9389.56"/>
    <x v="1"/>
    <s v="valor_agregado_por_actividad_economica"/>
  </r>
  <r>
    <x v="16"/>
    <x v="16"/>
    <x v="5"/>
    <n v="6732.76"/>
    <x v="1"/>
    <s v="valor_agregado_por_actividad_economica"/>
  </r>
  <r>
    <x v="17"/>
    <x v="17"/>
    <x v="5"/>
    <n v="5221.1499999999996"/>
    <x v="1"/>
    <s v="valor_agregado_por_actividad_economica"/>
  </r>
  <r>
    <x v="18"/>
    <x v="18"/>
    <x v="5"/>
    <n v="11570.04"/>
    <x v="1"/>
    <s v="valor_agregado_por_actividad_economica"/>
  </r>
  <r>
    <x v="19"/>
    <x v="19"/>
    <x v="5"/>
    <n v="13720.27"/>
    <x v="1"/>
    <s v="valor_agregado_por_actividad_economica"/>
  </r>
  <r>
    <x v="20"/>
    <x v="20"/>
    <x v="5"/>
    <n v="18146.900000000001"/>
    <x v="1"/>
    <s v="valor_agregado_por_actividad_economica"/>
  </r>
  <r>
    <x v="21"/>
    <x v="21"/>
    <x v="5"/>
    <n v="454.6"/>
    <x v="1"/>
    <s v="valor_agregado_por_actividad_economica"/>
  </r>
  <r>
    <x v="22"/>
    <x v="22"/>
    <x v="5"/>
    <n v="377.22"/>
    <x v="1"/>
    <s v="valor_agregado_por_actividad_economica"/>
  </r>
  <r>
    <x v="23"/>
    <x v="23"/>
    <x v="5"/>
    <n v="237.93"/>
    <x v="1"/>
    <s v="valor_agregado_por_actividad_economica"/>
  </r>
  <r>
    <x v="24"/>
    <x v="24"/>
    <x v="5"/>
    <m/>
    <x v="1"/>
    <s v="valor_agregado_por_actividad_economica"/>
  </r>
  <r>
    <x v="25"/>
    <x v="25"/>
    <x v="5"/>
    <m/>
    <x v="1"/>
    <s v="valor_agregado_por_actividad_economica"/>
  </r>
  <r>
    <x v="0"/>
    <x v="0"/>
    <x v="3"/>
    <n v="19145.89"/>
    <x v="1"/>
    <s v="valor_agregado_por_actividad_economica"/>
  </r>
  <r>
    <x v="1"/>
    <x v="1"/>
    <x v="3"/>
    <n v="6480.76"/>
    <x v="1"/>
    <s v="valor_agregado_por_actividad_economica"/>
  </r>
  <r>
    <x v="2"/>
    <x v="2"/>
    <x v="3"/>
    <n v="1887.01"/>
    <x v="1"/>
    <s v="valor_agregado_por_actividad_economica"/>
  </r>
  <r>
    <x v="3"/>
    <x v="3"/>
    <x v="3"/>
    <m/>
    <x v="1"/>
    <s v="valor_agregado_por_actividad_economica"/>
  </r>
  <r>
    <x v="4"/>
    <x v="4"/>
    <x v="3"/>
    <n v="556.80999999999995"/>
    <x v="1"/>
    <s v="valor_agregado_por_actividad_economica"/>
  </r>
  <r>
    <x v="5"/>
    <x v="5"/>
    <x v="3"/>
    <n v="627.54999999999995"/>
    <x v="1"/>
    <s v="valor_agregado_por_actividad_economica"/>
  </r>
  <r>
    <x v="6"/>
    <x v="6"/>
    <x v="3"/>
    <n v="104.04"/>
    <x v="1"/>
    <s v="valor_agregado_por_actividad_economica"/>
  </r>
  <r>
    <x v="7"/>
    <x v="7"/>
    <x v="3"/>
    <n v="85.39"/>
    <x v="1"/>
    <s v="valor_agregado_por_actividad_economica"/>
  </r>
  <r>
    <x v="8"/>
    <x v="8"/>
    <x v="3"/>
    <n v="293.52999999999997"/>
    <x v="1"/>
    <s v="valor_agregado_por_actividad_economica"/>
  </r>
  <r>
    <x v="9"/>
    <x v="9"/>
    <x v="3"/>
    <n v="328.67"/>
    <x v="1"/>
    <s v="valor_agregado_por_actividad_economica"/>
  </r>
  <r>
    <x v="10"/>
    <x v="10"/>
    <x v="3"/>
    <n v="813.68"/>
    <x v="1"/>
    <s v="valor_agregado_por_actividad_economica"/>
  </r>
  <r>
    <x v="11"/>
    <x v="11"/>
    <x v="3"/>
    <n v="1443.92"/>
    <x v="1"/>
    <s v="valor_agregado_por_actividad_economica"/>
  </r>
  <r>
    <x v="12"/>
    <x v="12"/>
    <x v="3"/>
    <n v="607.39"/>
    <x v="1"/>
    <s v="valor_agregado_por_actividad_economica"/>
  </r>
  <r>
    <x v="13"/>
    <x v="13"/>
    <x v="3"/>
    <n v="1281.43"/>
    <x v="1"/>
    <s v="valor_agregado_por_actividad_economica"/>
  </r>
  <r>
    <x v="14"/>
    <x v="14"/>
    <x v="3"/>
    <n v="1578.19"/>
    <x v="1"/>
    <s v="valor_agregado_por_actividad_economica"/>
  </r>
  <r>
    <x v="15"/>
    <x v="15"/>
    <x v="3"/>
    <n v="700.13"/>
    <x v="1"/>
    <s v="valor_agregado_por_actividad_economica"/>
  </r>
  <r>
    <x v="16"/>
    <x v="16"/>
    <x v="3"/>
    <n v="703.9"/>
    <x v="1"/>
    <s v="valor_agregado_por_actividad_economica"/>
  </r>
  <r>
    <x v="17"/>
    <x v="17"/>
    <x v="3"/>
    <n v="18.420000000000002"/>
    <x v="1"/>
    <s v="valor_agregado_por_actividad_economica"/>
  </r>
  <r>
    <x v="18"/>
    <x v="18"/>
    <x v="3"/>
    <n v="250.18"/>
    <x v="1"/>
    <s v="valor_agregado_por_actividad_economica"/>
  </r>
  <r>
    <x v="19"/>
    <x v="19"/>
    <x v="3"/>
    <n v="317.74"/>
    <x v="1"/>
    <s v="valor_agregado_por_actividad_economica"/>
  </r>
  <r>
    <x v="20"/>
    <x v="20"/>
    <x v="3"/>
    <n v="132.87"/>
    <x v="1"/>
    <s v="valor_agregado_por_actividad_economica"/>
  </r>
  <r>
    <x v="21"/>
    <x v="21"/>
    <x v="3"/>
    <n v="54.89"/>
    <x v="1"/>
    <s v="valor_agregado_por_actividad_economica"/>
  </r>
  <r>
    <x v="22"/>
    <x v="22"/>
    <x v="3"/>
    <n v="167.23"/>
    <x v="1"/>
    <s v="valor_agregado_por_actividad_economica"/>
  </r>
  <r>
    <x v="23"/>
    <x v="23"/>
    <x v="3"/>
    <n v="489.39"/>
    <x v="1"/>
    <s v="valor_agregado_por_actividad_economica"/>
  </r>
  <r>
    <x v="24"/>
    <x v="24"/>
    <x v="3"/>
    <n v="222.77"/>
    <x v="1"/>
    <s v="valor_agregado_por_actividad_economica"/>
  </r>
  <r>
    <x v="25"/>
    <x v="25"/>
    <x v="3"/>
    <m/>
    <x v="1"/>
    <s v="valor_agregado_por_actividad_economica"/>
  </r>
  <r>
    <x v="0"/>
    <x v="0"/>
    <x v="6"/>
    <m/>
    <x v="1"/>
    <s v="valor_agregado_por_actividad_economica"/>
  </r>
  <r>
    <x v="1"/>
    <x v="1"/>
    <x v="6"/>
    <m/>
    <x v="1"/>
    <s v="valor_agregado_por_actividad_economica"/>
  </r>
  <r>
    <x v="2"/>
    <x v="2"/>
    <x v="6"/>
    <m/>
    <x v="1"/>
    <s v="valor_agregado_por_actividad_economica"/>
  </r>
  <r>
    <x v="3"/>
    <x v="3"/>
    <x v="6"/>
    <m/>
    <x v="1"/>
    <s v="valor_agregado_por_actividad_economica"/>
  </r>
  <r>
    <x v="4"/>
    <x v="4"/>
    <x v="6"/>
    <m/>
    <x v="1"/>
    <s v="valor_agregado_por_actividad_economica"/>
  </r>
  <r>
    <x v="5"/>
    <x v="5"/>
    <x v="6"/>
    <m/>
    <x v="1"/>
    <s v="valor_agregado_por_actividad_economica"/>
  </r>
  <r>
    <x v="6"/>
    <x v="6"/>
    <x v="6"/>
    <m/>
    <x v="1"/>
    <s v="valor_agregado_por_actividad_economica"/>
  </r>
  <r>
    <x v="7"/>
    <x v="7"/>
    <x v="6"/>
    <m/>
    <x v="1"/>
    <s v="valor_agregado_por_actividad_economica"/>
  </r>
  <r>
    <x v="8"/>
    <x v="8"/>
    <x v="6"/>
    <m/>
    <x v="1"/>
    <s v="valor_agregado_por_actividad_economica"/>
  </r>
  <r>
    <x v="9"/>
    <x v="9"/>
    <x v="6"/>
    <m/>
    <x v="1"/>
    <s v="valor_agregado_por_actividad_economica"/>
  </r>
  <r>
    <x v="10"/>
    <x v="10"/>
    <x v="6"/>
    <m/>
    <x v="1"/>
    <s v="valor_agregado_por_actividad_economica"/>
  </r>
  <r>
    <x v="11"/>
    <x v="11"/>
    <x v="6"/>
    <m/>
    <x v="1"/>
    <s v="valor_agregado_por_actividad_economica"/>
  </r>
  <r>
    <x v="12"/>
    <x v="12"/>
    <x v="6"/>
    <m/>
    <x v="1"/>
    <s v="valor_agregado_por_actividad_economica"/>
  </r>
  <r>
    <x v="13"/>
    <x v="13"/>
    <x v="6"/>
    <m/>
    <x v="1"/>
    <s v="valor_agregado_por_actividad_economica"/>
  </r>
  <r>
    <x v="14"/>
    <x v="14"/>
    <x v="6"/>
    <m/>
    <x v="1"/>
    <s v="valor_agregado_por_actividad_economica"/>
  </r>
  <r>
    <x v="15"/>
    <x v="15"/>
    <x v="6"/>
    <m/>
    <x v="1"/>
    <s v="valor_agregado_por_actividad_economica"/>
  </r>
  <r>
    <x v="16"/>
    <x v="16"/>
    <x v="6"/>
    <m/>
    <x v="1"/>
    <s v="valor_agregado_por_actividad_economica"/>
  </r>
  <r>
    <x v="17"/>
    <x v="17"/>
    <x v="6"/>
    <m/>
    <x v="1"/>
    <s v="valor_agregado_por_actividad_economica"/>
  </r>
  <r>
    <x v="18"/>
    <x v="18"/>
    <x v="6"/>
    <m/>
    <x v="1"/>
    <s v="valor_agregado_por_actividad_economica"/>
  </r>
  <r>
    <x v="19"/>
    <x v="19"/>
    <x v="6"/>
    <m/>
    <x v="1"/>
    <s v="valor_agregado_por_actividad_economica"/>
  </r>
  <r>
    <x v="20"/>
    <x v="20"/>
    <x v="6"/>
    <m/>
    <x v="1"/>
    <s v="valor_agregado_por_actividad_economica"/>
  </r>
  <r>
    <x v="21"/>
    <x v="21"/>
    <x v="6"/>
    <m/>
    <x v="1"/>
    <s v="valor_agregado_por_actividad_economica"/>
  </r>
  <r>
    <x v="22"/>
    <x v="22"/>
    <x v="6"/>
    <m/>
    <x v="1"/>
    <s v="valor_agregado_por_actividad_economica"/>
  </r>
  <r>
    <x v="23"/>
    <x v="23"/>
    <x v="6"/>
    <m/>
    <x v="1"/>
    <s v="valor_agregado_por_actividad_economica"/>
  </r>
  <r>
    <x v="24"/>
    <x v="24"/>
    <x v="6"/>
    <m/>
    <x v="1"/>
    <s v="valor_agregado_por_actividad_economica"/>
  </r>
  <r>
    <x v="25"/>
    <x v="25"/>
    <x v="6"/>
    <m/>
    <x v="1"/>
    <s v="valor_agregado_por_actividad_economica"/>
  </r>
  <r>
    <x v="0"/>
    <x v="0"/>
    <x v="4"/>
    <n v="192472.72"/>
    <x v="2"/>
    <s v="valor_agregado_por_actividad_economica"/>
  </r>
  <r>
    <x v="1"/>
    <x v="1"/>
    <x v="4"/>
    <n v="33707.56"/>
    <x v="2"/>
    <s v="valor_agregado_por_actividad_economica"/>
  </r>
  <r>
    <x v="2"/>
    <x v="2"/>
    <x v="4"/>
    <n v="6791.14"/>
    <x v="2"/>
    <s v="valor_agregado_por_actividad_economica"/>
  </r>
  <r>
    <x v="3"/>
    <x v="3"/>
    <x v="4"/>
    <n v="1030.6400000000001"/>
    <x v="2"/>
    <s v="valor_agregado_por_actividad_economica"/>
  </r>
  <r>
    <x v="4"/>
    <x v="4"/>
    <x v="4"/>
    <n v="3214.63"/>
    <x v="2"/>
    <s v="valor_agregado_por_actividad_economica"/>
  </r>
  <r>
    <x v="5"/>
    <x v="5"/>
    <x v="4"/>
    <n v="3954.84"/>
    <x v="2"/>
    <s v="valor_agregado_por_actividad_economica"/>
  </r>
  <r>
    <x v="6"/>
    <x v="6"/>
    <x v="4"/>
    <n v="3418.13"/>
    <x v="2"/>
    <s v="valor_agregado_por_actividad_economica"/>
  </r>
  <r>
    <x v="7"/>
    <x v="7"/>
    <x v="4"/>
    <n v="2198.56"/>
    <x v="2"/>
    <s v="valor_agregado_por_actividad_economica"/>
  </r>
  <r>
    <x v="8"/>
    <x v="8"/>
    <x v="4"/>
    <n v="9866.07"/>
    <x v="2"/>
    <s v="valor_agregado_por_actividad_economica"/>
  </r>
  <r>
    <x v="9"/>
    <x v="9"/>
    <x v="4"/>
    <n v="1135.9100000000001"/>
    <x v="2"/>
    <s v="valor_agregado_por_actividad_economica"/>
  </r>
  <r>
    <x v="10"/>
    <x v="10"/>
    <x v="4"/>
    <n v="24909.8"/>
    <x v="2"/>
    <s v="valor_agregado_por_actividad_economica"/>
  </r>
  <r>
    <x v="11"/>
    <x v="11"/>
    <x v="4"/>
    <n v="20340.669999999998"/>
    <x v="2"/>
    <s v="valor_agregado_por_actividad_economica"/>
  </r>
  <r>
    <x v="12"/>
    <x v="12"/>
    <x v="4"/>
    <n v="6445.86"/>
    <x v="2"/>
    <s v="valor_agregado_por_actividad_economica"/>
  </r>
  <r>
    <x v="13"/>
    <x v="13"/>
    <x v="4"/>
    <n v="6464.83"/>
    <x v="2"/>
    <s v="valor_agregado_por_actividad_economica"/>
  </r>
  <r>
    <x v="14"/>
    <x v="14"/>
    <x v="4"/>
    <n v="5847.98"/>
    <x v="2"/>
    <s v="valor_agregado_por_actividad_economica"/>
  </r>
  <r>
    <x v="15"/>
    <x v="15"/>
    <x v="4"/>
    <n v="15232.47"/>
    <x v="2"/>
    <s v="valor_agregado_por_actividad_economica"/>
  </r>
  <r>
    <x v="16"/>
    <x v="16"/>
    <x v="4"/>
    <n v="5718.4"/>
    <x v="2"/>
    <s v="valor_agregado_por_actividad_economica"/>
  </r>
  <r>
    <x v="17"/>
    <x v="17"/>
    <x v="4"/>
    <n v="3855.99"/>
    <x v="2"/>
    <s v="valor_agregado_por_actividad_economica"/>
  </r>
  <r>
    <x v="18"/>
    <x v="18"/>
    <x v="4"/>
    <n v="5089.41"/>
    <x v="2"/>
    <s v="valor_agregado_por_actividad_economica"/>
  </r>
  <r>
    <x v="19"/>
    <x v="19"/>
    <x v="4"/>
    <n v="8468.8700000000008"/>
    <x v="2"/>
    <s v="valor_agregado_por_actividad_economica"/>
  </r>
  <r>
    <x v="20"/>
    <x v="20"/>
    <x v="4"/>
    <n v="15279.96"/>
    <x v="2"/>
    <s v="valor_agregado_por_actividad_economica"/>
  </r>
  <r>
    <x v="21"/>
    <x v="21"/>
    <x v="4"/>
    <n v="2398.9699999999998"/>
    <x v="2"/>
    <s v="valor_agregado_por_actividad_economica"/>
  </r>
  <r>
    <x v="22"/>
    <x v="22"/>
    <x v="4"/>
    <n v="2128.37"/>
    <x v="2"/>
    <s v="valor_agregado_por_actividad_economica"/>
  </r>
  <r>
    <x v="23"/>
    <x v="23"/>
    <x v="4"/>
    <n v="2218.0700000000002"/>
    <x v="2"/>
    <s v="valor_agregado_por_actividad_economica"/>
  </r>
  <r>
    <x v="24"/>
    <x v="24"/>
    <x v="4"/>
    <n v="2755.59"/>
    <x v="2"/>
    <s v="valor_agregado_por_actividad_economica"/>
  </r>
  <r>
    <x v="25"/>
    <x v="25"/>
    <x v="4"/>
    <m/>
    <x v="2"/>
    <s v="valor_agregado_por_actividad_economica"/>
  </r>
  <r>
    <x v="0"/>
    <x v="0"/>
    <x v="0"/>
    <n v="30155.360000000001"/>
    <x v="2"/>
    <s v="valor_agregado_por_actividad_economica"/>
  </r>
  <r>
    <x v="1"/>
    <x v="1"/>
    <x v="0"/>
    <n v="9289.8700000000008"/>
    <x v="2"/>
    <s v="valor_agregado_por_actividad_economica"/>
  </r>
  <r>
    <x v="2"/>
    <x v="2"/>
    <x v="0"/>
    <n v="3776.86"/>
    <x v="2"/>
    <s v="valor_agregado_por_actividad_economica"/>
  </r>
  <r>
    <x v="3"/>
    <x v="3"/>
    <x v="0"/>
    <m/>
    <x v="2"/>
    <s v="valor_agregado_por_actividad_economica"/>
  </r>
  <r>
    <x v="4"/>
    <x v="4"/>
    <x v="0"/>
    <n v="141.27000000000001"/>
    <x v="2"/>
    <s v="valor_agregado_por_actividad_economica"/>
  </r>
  <r>
    <x v="5"/>
    <x v="5"/>
    <x v="0"/>
    <n v="673.41"/>
    <x v="2"/>
    <s v="valor_agregado_por_actividad_economica"/>
  </r>
  <r>
    <x v="6"/>
    <x v="6"/>
    <x v="0"/>
    <n v="159.81"/>
    <x v="2"/>
    <s v="valor_agregado_por_actividad_economica"/>
  </r>
  <r>
    <x v="7"/>
    <x v="7"/>
    <x v="0"/>
    <n v="1712.09"/>
    <x v="2"/>
    <s v="valor_agregado_por_actividad_economica"/>
  </r>
  <r>
    <x v="8"/>
    <x v="8"/>
    <x v="0"/>
    <n v="3081.75"/>
    <x v="2"/>
    <s v="valor_agregado_por_actividad_economica"/>
  </r>
  <r>
    <x v="9"/>
    <x v="9"/>
    <x v="0"/>
    <n v="507.94"/>
    <x v="2"/>
    <s v="valor_agregado_por_actividad_economica"/>
  </r>
  <r>
    <x v="10"/>
    <x v="10"/>
    <x v="0"/>
    <n v="3.63"/>
    <x v="2"/>
    <s v="valor_agregado_por_actividad_economica"/>
  </r>
  <r>
    <x v="11"/>
    <x v="11"/>
    <x v="0"/>
    <n v="3551.38"/>
    <x v="2"/>
    <s v="valor_agregado_por_actividad_economica"/>
  </r>
  <r>
    <x v="12"/>
    <x v="12"/>
    <x v="0"/>
    <n v="555.55999999999995"/>
    <x v="2"/>
    <s v="valor_agregado_por_actividad_economica"/>
  </r>
  <r>
    <x v="13"/>
    <x v="13"/>
    <x v="0"/>
    <n v="948.21"/>
    <x v="2"/>
    <s v="valor_agregado_por_actividad_economica"/>
  </r>
  <r>
    <x v="14"/>
    <x v="14"/>
    <x v="0"/>
    <n v="1467.69"/>
    <x v="2"/>
    <s v="valor_agregado_por_actividad_economica"/>
  </r>
  <r>
    <x v="15"/>
    <x v="15"/>
    <x v="0"/>
    <n v="795.31"/>
    <x v="2"/>
    <s v="valor_agregado_por_actividad_economica"/>
  </r>
  <r>
    <x v="16"/>
    <x v="16"/>
    <x v="0"/>
    <n v="1155.02"/>
    <x v="2"/>
    <s v="valor_agregado_por_actividad_economica"/>
  </r>
  <r>
    <x v="17"/>
    <x v="17"/>
    <x v="0"/>
    <n v="198.94"/>
    <x v="2"/>
    <s v="valor_agregado_por_actividad_economica"/>
  </r>
  <r>
    <x v="18"/>
    <x v="18"/>
    <x v="0"/>
    <n v="209.63"/>
    <x v="2"/>
    <s v="valor_agregado_por_actividad_economica"/>
  </r>
  <r>
    <x v="19"/>
    <x v="19"/>
    <x v="0"/>
    <n v="797.95"/>
    <x v="2"/>
    <s v="valor_agregado_por_actividad_economica"/>
  </r>
  <r>
    <x v="20"/>
    <x v="20"/>
    <x v="0"/>
    <n v="85.73"/>
    <x v="2"/>
    <s v="valor_agregado_por_actividad_economica"/>
  </r>
  <r>
    <x v="21"/>
    <x v="21"/>
    <x v="0"/>
    <n v="31.78"/>
    <x v="2"/>
    <s v="valor_agregado_por_actividad_economica"/>
  </r>
  <r>
    <x v="22"/>
    <x v="22"/>
    <x v="0"/>
    <n v="245.79"/>
    <x v="2"/>
    <s v="valor_agregado_por_actividad_economica"/>
  </r>
  <r>
    <x v="23"/>
    <x v="23"/>
    <x v="0"/>
    <n v="35.299999999999997"/>
    <x v="2"/>
    <s v="valor_agregado_por_actividad_economica"/>
  </r>
  <r>
    <x v="24"/>
    <x v="24"/>
    <x v="0"/>
    <n v="719.29"/>
    <x v="2"/>
    <s v="valor_agregado_por_actividad_economica"/>
  </r>
  <r>
    <x v="25"/>
    <x v="25"/>
    <x v="0"/>
    <n v="11.15"/>
    <x v="2"/>
    <s v="valor_agregado_por_actividad_economica"/>
  </r>
  <r>
    <x v="0"/>
    <x v="0"/>
    <x v="1"/>
    <n v="26424.720000000001"/>
    <x v="2"/>
    <s v="valor_agregado_por_actividad_economica"/>
  </r>
  <r>
    <x v="1"/>
    <x v="1"/>
    <x v="1"/>
    <n v="6270.68"/>
    <x v="2"/>
    <s v="valor_agregado_por_actividad_economica"/>
  </r>
  <r>
    <x v="2"/>
    <x v="2"/>
    <x v="1"/>
    <n v="1229.1500000000001"/>
    <x v="2"/>
    <s v="valor_agregado_por_actividad_economica"/>
  </r>
  <r>
    <x v="3"/>
    <x v="3"/>
    <x v="1"/>
    <m/>
    <x v="2"/>
    <s v="valor_agregado_por_actividad_economica"/>
  </r>
  <r>
    <x v="4"/>
    <x v="4"/>
    <x v="1"/>
    <n v="486.64"/>
    <x v="2"/>
    <s v="valor_agregado_por_actividad_economica"/>
  </r>
  <r>
    <x v="5"/>
    <x v="5"/>
    <x v="1"/>
    <n v="1219.1300000000001"/>
    <x v="2"/>
    <s v="valor_agregado_por_actividad_economica"/>
  </r>
  <r>
    <x v="6"/>
    <x v="6"/>
    <x v="1"/>
    <n v="212.34"/>
    <x v="2"/>
    <s v="valor_agregado_por_actividad_economica"/>
  </r>
  <r>
    <x v="7"/>
    <x v="7"/>
    <x v="1"/>
    <n v="127.72"/>
    <x v="2"/>
    <s v="valor_agregado_por_actividad_economica"/>
  </r>
  <r>
    <x v="8"/>
    <x v="8"/>
    <x v="1"/>
    <n v="1147.1300000000001"/>
    <x v="2"/>
    <s v="valor_agregado_por_actividad_economica"/>
  </r>
  <r>
    <x v="9"/>
    <x v="9"/>
    <x v="1"/>
    <n v="389.47"/>
    <x v="2"/>
    <s v="valor_agregado_por_actividad_economica"/>
  </r>
  <r>
    <x v="10"/>
    <x v="10"/>
    <x v="1"/>
    <n v="1597.1"/>
    <x v="2"/>
    <s v="valor_agregado_por_actividad_economica"/>
  </r>
  <r>
    <x v="11"/>
    <x v="11"/>
    <x v="1"/>
    <n v="3141.98"/>
    <x v="2"/>
    <s v="valor_agregado_por_actividad_economica"/>
  </r>
  <r>
    <x v="12"/>
    <x v="12"/>
    <x v="1"/>
    <n v="1286.1600000000001"/>
    <x v="2"/>
    <s v="valor_agregado_por_actividad_economica"/>
  </r>
  <r>
    <x v="13"/>
    <x v="13"/>
    <x v="1"/>
    <n v="1078.25"/>
    <x v="2"/>
    <s v="valor_agregado_por_actividad_economica"/>
  </r>
  <r>
    <x v="14"/>
    <x v="14"/>
    <x v="1"/>
    <n v="1755.11"/>
    <x v="2"/>
    <s v="valor_agregado_por_actividad_economica"/>
  </r>
  <r>
    <x v="15"/>
    <x v="15"/>
    <x v="1"/>
    <n v="691.71"/>
    <x v="2"/>
    <s v="valor_agregado_por_actividad_economica"/>
  </r>
  <r>
    <x v="16"/>
    <x v="16"/>
    <x v="1"/>
    <n v="681.48"/>
    <x v="2"/>
    <s v="valor_agregado_por_actividad_economica"/>
  </r>
  <r>
    <x v="17"/>
    <x v="17"/>
    <x v="1"/>
    <m/>
    <x v="2"/>
    <s v="valor_agregado_por_actividad_economica"/>
  </r>
  <r>
    <x v="18"/>
    <x v="18"/>
    <x v="1"/>
    <n v="539.53"/>
    <x v="2"/>
    <s v="valor_agregado_por_actividad_economica"/>
  </r>
  <r>
    <x v="19"/>
    <x v="19"/>
    <x v="1"/>
    <n v="309.60000000000002"/>
    <x v="2"/>
    <s v="valor_agregado_por_actividad_economica"/>
  </r>
  <r>
    <x v="20"/>
    <x v="20"/>
    <x v="1"/>
    <n v="312.76"/>
    <x v="2"/>
    <s v="valor_agregado_por_actividad_economica"/>
  </r>
  <r>
    <x v="21"/>
    <x v="21"/>
    <x v="1"/>
    <n v="165.18"/>
    <x v="2"/>
    <s v="valor_agregado_por_actividad_economica"/>
  </r>
  <r>
    <x v="22"/>
    <x v="22"/>
    <x v="1"/>
    <n v="342"/>
    <x v="2"/>
    <s v="valor_agregado_por_actividad_economica"/>
  </r>
  <r>
    <x v="23"/>
    <x v="23"/>
    <x v="1"/>
    <n v="3441.6"/>
    <x v="2"/>
    <s v="valor_agregado_por_actividad_economica"/>
  </r>
  <r>
    <x v="24"/>
    <x v="24"/>
    <x v="1"/>
    <m/>
    <x v="2"/>
    <s v="valor_agregado_por_actividad_economica"/>
  </r>
  <r>
    <x v="25"/>
    <x v="25"/>
    <x v="1"/>
    <m/>
    <x v="2"/>
    <s v="valor_agregado_por_actividad_economica"/>
  </r>
  <r>
    <x v="0"/>
    <x v="0"/>
    <x v="2"/>
    <n v="7162.9"/>
    <x v="2"/>
    <s v="valor_agregado_por_actividad_economica"/>
  </r>
  <r>
    <x v="1"/>
    <x v="1"/>
    <x v="2"/>
    <n v="2788.66"/>
    <x v="2"/>
    <s v="valor_agregado_por_actividad_economica"/>
  </r>
  <r>
    <x v="2"/>
    <x v="2"/>
    <x v="2"/>
    <n v="592.67999999999995"/>
    <x v="2"/>
    <s v="valor_agregado_por_actividad_economica"/>
  </r>
  <r>
    <x v="3"/>
    <x v="3"/>
    <x v="2"/>
    <n v="8.7899999999999991"/>
    <x v="2"/>
    <s v="valor_agregado_por_actividad_economica"/>
  </r>
  <r>
    <x v="4"/>
    <x v="4"/>
    <x v="2"/>
    <n v="175.46"/>
    <x v="2"/>
    <s v="valor_agregado_por_actividad_economica"/>
  </r>
  <r>
    <x v="5"/>
    <x v="5"/>
    <x v="2"/>
    <n v="122.66"/>
    <x v="2"/>
    <s v="valor_agregado_por_actividad_economica"/>
  </r>
  <r>
    <x v="6"/>
    <x v="6"/>
    <x v="2"/>
    <n v="43.16"/>
    <x v="2"/>
    <s v="valor_agregado_por_actividad_economica"/>
  </r>
  <r>
    <x v="7"/>
    <x v="7"/>
    <x v="2"/>
    <n v="113.34"/>
    <x v="2"/>
    <s v="valor_agregado_por_actividad_economica"/>
  </r>
  <r>
    <x v="8"/>
    <x v="8"/>
    <x v="2"/>
    <n v="383.44"/>
    <x v="2"/>
    <s v="valor_agregado_por_actividad_economica"/>
  </r>
  <r>
    <x v="9"/>
    <x v="9"/>
    <x v="2"/>
    <n v="98.71"/>
    <x v="2"/>
    <s v="valor_agregado_por_actividad_economica"/>
  </r>
  <r>
    <x v="10"/>
    <x v="10"/>
    <x v="2"/>
    <n v="25.55"/>
    <x v="2"/>
    <s v="valor_agregado_por_actividad_economica"/>
  </r>
  <r>
    <x v="11"/>
    <x v="11"/>
    <x v="2"/>
    <n v="465.61"/>
    <x v="2"/>
    <s v="valor_agregado_por_actividad_economica"/>
  </r>
  <r>
    <x v="12"/>
    <x v="12"/>
    <x v="2"/>
    <n v="180.71"/>
    <x v="2"/>
    <s v="valor_agregado_por_actividad_economica"/>
  </r>
  <r>
    <x v="13"/>
    <x v="13"/>
    <x v="2"/>
    <n v="451.03"/>
    <x v="2"/>
    <s v="valor_agregado_por_actividad_economica"/>
  </r>
  <r>
    <x v="14"/>
    <x v="14"/>
    <x v="2"/>
    <n v="681.18"/>
    <x v="2"/>
    <s v="valor_agregado_por_actividad_economica"/>
  </r>
  <r>
    <x v="15"/>
    <x v="15"/>
    <x v="2"/>
    <n v="244.66"/>
    <x v="2"/>
    <s v="valor_agregado_por_actividad_economica"/>
  </r>
  <r>
    <x v="16"/>
    <x v="16"/>
    <x v="2"/>
    <n v="198.81"/>
    <x v="2"/>
    <s v="valor_agregado_por_actividad_economica"/>
  </r>
  <r>
    <x v="17"/>
    <x v="17"/>
    <x v="2"/>
    <n v="55.98"/>
    <x v="2"/>
    <s v="valor_agregado_por_actividad_economica"/>
  </r>
  <r>
    <x v="18"/>
    <x v="18"/>
    <x v="2"/>
    <n v="124.85"/>
    <x v="2"/>
    <s v="valor_agregado_por_actividad_economica"/>
  </r>
  <r>
    <x v="19"/>
    <x v="19"/>
    <x v="2"/>
    <n v="47.4"/>
    <x v="2"/>
    <s v="valor_agregado_por_actividad_economica"/>
  </r>
  <r>
    <x v="20"/>
    <x v="20"/>
    <x v="2"/>
    <n v="101.15"/>
    <x v="2"/>
    <s v="valor_agregado_por_actividad_economica"/>
  </r>
  <r>
    <x v="21"/>
    <x v="21"/>
    <x v="2"/>
    <n v="55.71"/>
    <x v="2"/>
    <s v="valor_agregado_por_actividad_economica"/>
  </r>
  <r>
    <x v="22"/>
    <x v="22"/>
    <x v="2"/>
    <n v="90.14"/>
    <x v="2"/>
    <s v="valor_agregado_por_actividad_economica"/>
  </r>
  <r>
    <x v="23"/>
    <x v="23"/>
    <x v="2"/>
    <n v="56.94"/>
    <x v="2"/>
    <s v="valor_agregado_por_actividad_economica"/>
  </r>
  <r>
    <x v="24"/>
    <x v="24"/>
    <x v="2"/>
    <n v="56.28"/>
    <x v="2"/>
    <s v="valor_agregado_por_actividad_economica"/>
  </r>
  <r>
    <x v="25"/>
    <x v="25"/>
    <x v="2"/>
    <m/>
    <x v="2"/>
    <s v="valor_agregado_por_actividad_economica"/>
  </r>
  <r>
    <x v="0"/>
    <x v="0"/>
    <x v="5"/>
    <n v="164642.82999999999"/>
    <x v="2"/>
    <s v="valor_agregado_por_actividad_economica"/>
  </r>
  <r>
    <x v="1"/>
    <x v="1"/>
    <x v="5"/>
    <n v="22672.15"/>
    <x v="2"/>
    <s v="valor_agregado_por_actividad_economica"/>
  </r>
  <r>
    <x v="2"/>
    <x v="2"/>
    <x v="5"/>
    <n v="10670.2"/>
    <x v="2"/>
    <s v="valor_agregado_por_actividad_economica"/>
  </r>
  <r>
    <x v="3"/>
    <x v="3"/>
    <x v="5"/>
    <n v="517.23"/>
    <x v="2"/>
    <s v="valor_agregado_por_actividad_economica"/>
  </r>
  <r>
    <x v="4"/>
    <x v="4"/>
    <x v="5"/>
    <n v="5735.14"/>
    <x v="2"/>
    <s v="valor_agregado_por_actividad_economica"/>
  </r>
  <r>
    <x v="5"/>
    <x v="5"/>
    <x v="5"/>
    <n v="1681.75"/>
    <x v="2"/>
    <s v="valor_agregado_por_actividad_economica"/>
  </r>
  <r>
    <x v="6"/>
    <x v="6"/>
    <x v="5"/>
    <n v="717.31"/>
    <x v="2"/>
    <s v="valor_agregado_por_actividad_economica"/>
  </r>
  <r>
    <x v="7"/>
    <x v="7"/>
    <x v="5"/>
    <n v="460.99"/>
    <x v="2"/>
    <s v="valor_agregado_por_actividad_economica"/>
  </r>
  <r>
    <x v="8"/>
    <x v="8"/>
    <x v="5"/>
    <n v="3402.02"/>
    <x v="2"/>
    <s v="valor_agregado_por_actividad_economica"/>
  </r>
  <r>
    <x v="9"/>
    <x v="9"/>
    <x v="5"/>
    <n v="277.27"/>
    <x v="2"/>
    <s v="valor_agregado_por_actividad_economica"/>
  </r>
  <r>
    <x v="10"/>
    <x v="10"/>
    <x v="5"/>
    <n v="16466.39"/>
    <x v="2"/>
    <s v="valor_agregado_por_actividad_economica"/>
  </r>
  <r>
    <x v="11"/>
    <x v="11"/>
    <x v="5"/>
    <n v="13293.49"/>
    <x v="2"/>
    <s v="valor_agregado_por_actividad_economica"/>
  </r>
  <r>
    <x v="12"/>
    <x v="12"/>
    <x v="5"/>
    <n v="1271.6300000000001"/>
    <x v="2"/>
    <s v="valor_agregado_por_actividad_economica"/>
  </r>
  <r>
    <x v="13"/>
    <x v="13"/>
    <x v="5"/>
    <n v="6547.31"/>
    <x v="2"/>
    <s v="valor_agregado_por_actividad_economica"/>
  </r>
  <r>
    <x v="14"/>
    <x v="14"/>
    <x v="5"/>
    <n v="9797.59"/>
    <x v="2"/>
    <s v="valor_agregado_por_actividad_economica"/>
  </r>
  <r>
    <x v="15"/>
    <x v="15"/>
    <x v="5"/>
    <n v="10255.14"/>
    <x v="2"/>
    <s v="valor_agregado_por_actividad_economica"/>
  </r>
  <r>
    <x v="16"/>
    <x v="16"/>
    <x v="5"/>
    <n v="7235.65"/>
    <x v="2"/>
    <s v="valor_agregado_por_actividad_economica"/>
  </r>
  <r>
    <x v="17"/>
    <x v="17"/>
    <x v="5"/>
    <n v="5626.26"/>
    <x v="2"/>
    <s v="valor_agregado_por_actividad_economica"/>
  </r>
  <r>
    <x v="18"/>
    <x v="18"/>
    <x v="5"/>
    <n v="12357.34"/>
    <x v="2"/>
    <s v="valor_agregado_por_actividad_economica"/>
  </r>
  <r>
    <x v="19"/>
    <x v="19"/>
    <x v="5"/>
    <n v="14960.5"/>
    <x v="2"/>
    <s v="valor_agregado_por_actividad_economica"/>
  </r>
  <r>
    <x v="20"/>
    <x v="20"/>
    <x v="5"/>
    <n v="19504.22"/>
    <x v="2"/>
    <s v="valor_agregado_por_actividad_economica"/>
  </r>
  <r>
    <x v="21"/>
    <x v="21"/>
    <x v="5"/>
    <n v="545.15"/>
    <x v="2"/>
    <s v="valor_agregado_por_actividad_economica"/>
  </r>
  <r>
    <x v="22"/>
    <x v="22"/>
    <x v="5"/>
    <n v="394.07"/>
    <x v="2"/>
    <s v="valor_agregado_por_actividad_economica"/>
  </r>
  <r>
    <x v="23"/>
    <x v="23"/>
    <x v="5"/>
    <n v="254.03"/>
    <x v="2"/>
    <s v="valor_agregado_por_actividad_economica"/>
  </r>
  <r>
    <x v="24"/>
    <x v="24"/>
    <x v="5"/>
    <m/>
    <x v="2"/>
    <s v="valor_agregado_por_actividad_economica"/>
  </r>
  <r>
    <x v="25"/>
    <x v="25"/>
    <x v="5"/>
    <m/>
    <x v="2"/>
    <s v="valor_agregado_por_actividad_economica"/>
  </r>
  <r>
    <x v="0"/>
    <x v="0"/>
    <x v="3"/>
    <n v="20468.29"/>
    <x v="2"/>
    <s v="valor_agregado_por_actividad_economica"/>
  </r>
  <r>
    <x v="1"/>
    <x v="1"/>
    <x v="3"/>
    <n v="7711.81"/>
    <x v="2"/>
    <s v="valor_agregado_por_actividad_economica"/>
  </r>
  <r>
    <x v="2"/>
    <x v="2"/>
    <x v="3"/>
    <n v="1696.89"/>
    <x v="2"/>
    <s v="valor_agregado_por_actividad_economica"/>
  </r>
  <r>
    <x v="3"/>
    <x v="3"/>
    <x v="3"/>
    <m/>
    <x v="2"/>
    <s v="valor_agregado_por_actividad_economica"/>
  </r>
  <r>
    <x v="4"/>
    <x v="4"/>
    <x v="3"/>
    <n v="644.91"/>
    <x v="2"/>
    <s v="valor_agregado_por_actividad_economica"/>
  </r>
  <r>
    <x v="5"/>
    <x v="5"/>
    <x v="3"/>
    <n v="712.01"/>
    <x v="2"/>
    <s v="valor_agregado_por_actividad_economica"/>
  </r>
  <r>
    <x v="6"/>
    <x v="6"/>
    <x v="3"/>
    <n v="98.91"/>
    <x v="2"/>
    <s v="valor_agregado_por_actividad_economica"/>
  </r>
  <r>
    <x v="7"/>
    <x v="7"/>
    <x v="3"/>
    <n v="166.6"/>
    <x v="2"/>
    <s v="valor_agregado_por_actividad_economica"/>
  </r>
  <r>
    <x v="8"/>
    <x v="8"/>
    <x v="3"/>
    <n v="548.20000000000005"/>
    <x v="2"/>
    <s v="valor_agregado_por_actividad_economica"/>
  </r>
  <r>
    <x v="9"/>
    <x v="9"/>
    <x v="3"/>
    <n v="301.5"/>
    <x v="2"/>
    <s v="valor_agregado_por_actividad_economica"/>
  </r>
  <r>
    <x v="10"/>
    <x v="10"/>
    <x v="3"/>
    <n v="717.26"/>
    <x v="2"/>
    <s v="valor_agregado_por_actividad_economica"/>
  </r>
  <r>
    <x v="11"/>
    <x v="11"/>
    <x v="3"/>
    <n v="1516.54"/>
    <x v="2"/>
    <s v="valor_agregado_por_actividad_economica"/>
  </r>
  <r>
    <x v="12"/>
    <x v="12"/>
    <x v="3"/>
    <n v="583.1"/>
    <x v="2"/>
    <s v="valor_agregado_por_actividad_economica"/>
  </r>
  <r>
    <x v="13"/>
    <x v="13"/>
    <x v="3"/>
    <n v="1078.69"/>
    <x v="2"/>
    <s v="valor_agregado_por_actividad_economica"/>
  </r>
  <r>
    <x v="14"/>
    <x v="14"/>
    <x v="3"/>
    <n v="1701.94"/>
    <x v="2"/>
    <s v="valor_agregado_por_actividad_economica"/>
  </r>
  <r>
    <x v="15"/>
    <x v="15"/>
    <x v="3"/>
    <n v="779.3"/>
    <x v="2"/>
    <s v="valor_agregado_por_actividad_economica"/>
  </r>
  <r>
    <x v="16"/>
    <x v="16"/>
    <x v="3"/>
    <n v="760.97"/>
    <x v="2"/>
    <s v="valor_agregado_por_actividad_economica"/>
  </r>
  <r>
    <x v="17"/>
    <x v="17"/>
    <x v="3"/>
    <n v="15.2"/>
    <x v="2"/>
    <s v="valor_agregado_por_actividad_economica"/>
  </r>
  <r>
    <x v="18"/>
    <x v="18"/>
    <x v="3"/>
    <n v="228.88"/>
    <x v="2"/>
    <s v="valor_agregado_por_actividad_economica"/>
  </r>
  <r>
    <x v="19"/>
    <x v="19"/>
    <x v="3"/>
    <n v="239.89"/>
    <x v="2"/>
    <s v="valor_agregado_por_actividad_economica"/>
  </r>
  <r>
    <x v="20"/>
    <x v="20"/>
    <x v="3"/>
    <n v="220.91"/>
    <x v="2"/>
    <s v="valor_agregado_por_actividad_economica"/>
  </r>
  <r>
    <x v="21"/>
    <x v="21"/>
    <x v="3"/>
    <n v="57.79"/>
    <x v="2"/>
    <s v="valor_agregado_por_actividad_economica"/>
  </r>
  <r>
    <x v="22"/>
    <x v="22"/>
    <x v="3"/>
    <n v="183.85"/>
    <x v="2"/>
    <s v="valor_agregado_por_actividad_economica"/>
  </r>
  <r>
    <x v="23"/>
    <x v="23"/>
    <x v="3"/>
    <n v="261.61"/>
    <x v="2"/>
    <s v="valor_agregado_por_actividad_economica"/>
  </r>
  <r>
    <x v="24"/>
    <x v="24"/>
    <x v="3"/>
    <n v="241.53"/>
    <x v="2"/>
    <s v="valor_agregado_por_actividad_economica"/>
  </r>
  <r>
    <x v="25"/>
    <x v="25"/>
    <x v="3"/>
    <m/>
    <x v="2"/>
    <s v="valor_agregado_por_actividad_economica"/>
  </r>
  <r>
    <x v="0"/>
    <x v="0"/>
    <x v="6"/>
    <n v="4952.38"/>
    <x v="2"/>
    <s v="valor_agregado_por_actividad_economica"/>
  </r>
  <r>
    <x v="1"/>
    <x v="1"/>
    <x v="6"/>
    <n v="1784.83"/>
    <x v="2"/>
    <s v="valor_agregado_por_actividad_economica"/>
  </r>
  <r>
    <x v="2"/>
    <x v="2"/>
    <x v="6"/>
    <n v="329.92"/>
    <x v="2"/>
    <s v="valor_agregado_por_actividad_economica"/>
  </r>
  <r>
    <x v="3"/>
    <x v="3"/>
    <x v="6"/>
    <m/>
    <x v="2"/>
    <s v="valor_agregado_por_actividad_economica"/>
  </r>
  <r>
    <x v="4"/>
    <x v="4"/>
    <x v="6"/>
    <n v="25.48"/>
    <x v="2"/>
    <s v="valor_agregado_por_actividad_economica"/>
  </r>
  <r>
    <x v="5"/>
    <x v="5"/>
    <x v="6"/>
    <n v="28.32"/>
    <x v="2"/>
    <s v="valor_agregado_por_actividad_economica"/>
  </r>
  <r>
    <x v="6"/>
    <x v="6"/>
    <x v="6"/>
    <n v="89.11"/>
    <x v="2"/>
    <s v="valor_agregado_por_actividad_economica"/>
  </r>
  <r>
    <x v="7"/>
    <x v="7"/>
    <x v="6"/>
    <n v="85.47"/>
    <x v="2"/>
    <s v="valor_agregado_por_actividad_economica"/>
  </r>
  <r>
    <x v="8"/>
    <x v="8"/>
    <x v="6"/>
    <n v="854.28"/>
    <x v="2"/>
    <s v="valor_agregado_por_actividad_economica"/>
  </r>
  <r>
    <x v="9"/>
    <x v="9"/>
    <x v="6"/>
    <n v="66.069999999999993"/>
    <x v="2"/>
    <s v="valor_agregado_por_actividad_economica"/>
  </r>
  <r>
    <x v="10"/>
    <x v="10"/>
    <x v="6"/>
    <n v="509.46"/>
    <x v="2"/>
    <s v="valor_agregado_por_actividad_economica"/>
  </r>
  <r>
    <x v="11"/>
    <x v="11"/>
    <x v="6"/>
    <n v="271.67"/>
    <x v="2"/>
    <s v="valor_agregado_por_actividad_economica"/>
  </r>
  <r>
    <x v="12"/>
    <x v="12"/>
    <x v="6"/>
    <n v="279.45999999999998"/>
    <x v="2"/>
    <s v="valor_agregado_por_actividad_economica"/>
  </r>
  <r>
    <x v="13"/>
    <x v="13"/>
    <x v="6"/>
    <n v="153.1"/>
    <x v="2"/>
    <s v="valor_agregado_por_actividad_economica"/>
  </r>
  <r>
    <x v="14"/>
    <x v="14"/>
    <x v="6"/>
    <n v="95.11"/>
    <x v="2"/>
    <s v="valor_agregado_por_actividad_economica"/>
  </r>
  <r>
    <x v="15"/>
    <x v="15"/>
    <x v="6"/>
    <n v="32.26"/>
    <x v="2"/>
    <s v="valor_agregado_por_actividad_economica"/>
  </r>
  <r>
    <x v="16"/>
    <x v="16"/>
    <x v="6"/>
    <n v="89.59"/>
    <x v="2"/>
    <s v="valor_agregado_por_actividad_economica"/>
  </r>
  <r>
    <x v="17"/>
    <x v="17"/>
    <x v="6"/>
    <n v="1.98"/>
    <x v="2"/>
    <s v="valor_agregado_por_actividad_economica"/>
  </r>
  <r>
    <x v="18"/>
    <x v="18"/>
    <x v="6"/>
    <n v="43.26"/>
    <x v="2"/>
    <s v="valor_agregado_por_actividad_economica"/>
  </r>
  <r>
    <x v="19"/>
    <x v="19"/>
    <x v="6"/>
    <n v="6.43"/>
    <x v="2"/>
    <s v="valor_agregado_por_actividad_economica"/>
  </r>
  <r>
    <x v="20"/>
    <x v="20"/>
    <x v="6"/>
    <n v="77.59"/>
    <x v="2"/>
    <s v="valor_agregado_por_actividad_economica"/>
  </r>
  <r>
    <x v="21"/>
    <x v="21"/>
    <x v="6"/>
    <m/>
    <x v="2"/>
    <s v="valor_agregado_por_actividad_economica"/>
  </r>
  <r>
    <x v="22"/>
    <x v="22"/>
    <x v="6"/>
    <n v="25.52"/>
    <x v="2"/>
    <s v="valor_agregado_por_actividad_economica"/>
  </r>
  <r>
    <x v="23"/>
    <x v="23"/>
    <x v="6"/>
    <n v="14.77"/>
    <x v="2"/>
    <s v="valor_agregado_por_actividad_economica"/>
  </r>
  <r>
    <x v="24"/>
    <x v="24"/>
    <x v="6"/>
    <n v="88.7"/>
    <x v="2"/>
    <s v="valor_agregado_por_actividad_economica"/>
  </r>
  <r>
    <x v="25"/>
    <x v="25"/>
    <x v="6"/>
    <m/>
    <x v="2"/>
    <s v="valor_agregado_por_actividad_economica"/>
  </r>
  <r>
    <x v="0"/>
    <x v="0"/>
    <x v="4"/>
    <n v="199755.61"/>
    <x v="3"/>
    <s v="valor_agregado_por_actividad_economica"/>
  </r>
  <r>
    <x v="1"/>
    <x v="1"/>
    <x v="4"/>
    <n v="31123.93"/>
    <x v="3"/>
    <s v="valor_agregado_por_actividad_economica"/>
  </r>
  <r>
    <x v="2"/>
    <x v="2"/>
    <x v="4"/>
    <n v="6762.57"/>
    <x v="3"/>
    <s v="valor_agregado_por_actividad_economica"/>
  </r>
  <r>
    <x v="3"/>
    <x v="3"/>
    <x v="4"/>
    <n v="987.24"/>
    <x v="3"/>
    <s v="valor_agregado_por_actividad_economica"/>
  </r>
  <r>
    <x v="4"/>
    <x v="4"/>
    <x v="4"/>
    <n v="3166.14"/>
    <x v="3"/>
    <s v="valor_agregado_por_actividad_economica"/>
  </r>
  <r>
    <x v="5"/>
    <x v="5"/>
    <x v="4"/>
    <n v="3731.72"/>
    <x v="3"/>
    <s v="valor_agregado_por_actividad_economica"/>
  </r>
  <r>
    <x v="6"/>
    <x v="6"/>
    <x v="4"/>
    <n v="3113.07"/>
    <x v="3"/>
    <s v="valor_agregado_por_actividad_economica"/>
  </r>
  <r>
    <x v="7"/>
    <x v="7"/>
    <x v="4"/>
    <n v="2103.87"/>
    <x v="3"/>
    <s v="valor_agregado_por_actividad_economica"/>
  </r>
  <r>
    <x v="8"/>
    <x v="8"/>
    <x v="4"/>
    <n v="8025.54"/>
    <x v="3"/>
    <s v="valor_agregado_por_actividad_economica"/>
  </r>
  <r>
    <x v="9"/>
    <x v="9"/>
    <x v="4"/>
    <n v="1144.6500000000001"/>
    <x v="3"/>
    <s v="valor_agregado_por_actividad_economica"/>
  </r>
  <r>
    <x v="10"/>
    <x v="10"/>
    <x v="4"/>
    <n v="35367.58"/>
    <x v="3"/>
    <s v="valor_agregado_por_actividad_economica"/>
  </r>
  <r>
    <x v="11"/>
    <x v="11"/>
    <x v="4"/>
    <n v="23119.03"/>
    <x v="3"/>
    <s v="valor_agregado_por_actividad_economica"/>
  </r>
  <r>
    <x v="12"/>
    <x v="12"/>
    <x v="4"/>
    <n v="6361.28"/>
    <x v="3"/>
    <s v="valor_agregado_por_actividad_economica"/>
  </r>
  <r>
    <x v="13"/>
    <x v="13"/>
    <x v="4"/>
    <n v="6725.76"/>
    <x v="3"/>
    <s v="valor_agregado_por_actividad_economica"/>
  </r>
  <r>
    <x v="14"/>
    <x v="14"/>
    <x v="4"/>
    <n v="5405.48"/>
    <x v="3"/>
    <s v="valor_agregado_por_actividad_economica"/>
  </r>
  <r>
    <x v="15"/>
    <x v="15"/>
    <x v="4"/>
    <n v="13090.23"/>
    <x v="3"/>
    <s v="valor_agregado_por_actividad_economica"/>
  </r>
  <r>
    <x v="16"/>
    <x v="16"/>
    <x v="4"/>
    <n v="6065.84"/>
    <x v="3"/>
    <s v="valor_agregado_por_actividad_economica"/>
  </r>
  <r>
    <x v="17"/>
    <x v="17"/>
    <x v="4"/>
    <n v="4617.47"/>
    <x v="3"/>
    <s v="valor_agregado_por_actividad_economica"/>
  </r>
  <r>
    <x v="18"/>
    <x v="18"/>
    <x v="4"/>
    <n v="5539.38"/>
    <x v="3"/>
    <s v="valor_agregado_por_actividad_economica"/>
  </r>
  <r>
    <x v="19"/>
    <x v="19"/>
    <x v="4"/>
    <n v="9078.64"/>
    <x v="3"/>
    <s v="valor_agregado_por_actividad_economica"/>
  </r>
  <r>
    <x v="20"/>
    <x v="20"/>
    <x v="4"/>
    <n v="14534.23"/>
    <x v="3"/>
    <s v="valor_agregado_por_actividad_economica"/>
  </r>
  <r>
    <x v="21"/>
    <x v="21"/>
    <x v="4"/>
    <n v="2788.59"/>
    <x v="3"/>
    <s v="valor_agregado_por_actividad_economica"/>
  </r>
  <r>
    <x v="22"/>
    <x v="22"/>
    <x v="4"/>
    <n v="2203.5100000000002"/>
    <x v="3"/>
    <s v="valor_agregado_por_actividad_economica"/>
  </r>
  <r>
    <x v="23"/>
    <x v="23"/>
    <x v="4"/>
    <n v="2314.19"/>
    <x v="3"/>
    <s v="valor_agregado_por_actividad_economica"/>
  </r>
  <r>
    <x v="24"/>
    <x v="24"/>
    <x v="4"/>
    <n v="2385.67"/>
    <x v="3"/>
    <s v="valor_agregado_por_actividad_economica"/>
  </r>
  <r>
    <x v="25"/>
    <x v="25"/>
    <x v="4"/>
    <m/>
    <x v="3"/>
    <s v="valor_agregado_por_actividad_economica"/>
  </r>
  <r>
    <x v="0"/>
    <x v="0"/>
    <x v="0"/>
    <n v="22162.27"/>
    <x v="3"/>
    <s v="valor_agregado_por_actividad_economica"/>
  </r>
  <r>
    <x v="1"/>
    <x v="1"/>
    <x v="0"/>
    <n v="7685.19"/>
    <x v="3"/>
    <s v="valor_agregado_por_actividad_economica"/>
  </r>
  <r>
    <x v="2"/>
    <x v="2"/>
    <x v="0"/>
    <n v="1841.96"/>
    <x v="3"/>
    <s v="valor_agregado_por_actividad_economica"/>
  </r>
  <r>
    <x v="3"/>
    <x v="3"/>
    <x v="0"/>
    <m/>
    <x v="3"/>
    <s v="valor_agregado_por_actividad_economica"/>
  </r>
  <r>
    <x v="4"/>
    <x v="4"/>
    <x v="0"/>
    <n v="92.78"/>
    <x v="3"/>
    <s v="valor_agregado_por_actividad_economica"/>
  </r>
  <r>
    <x v="5"/>
    <x v="5"/>
    <x v="0"/>
    <n v="101"/>
    <x v="3"/>
    <s v="valor_agregado_por_actividad_economica"/>
  </r>
  <r>
    <x v="6"/>
    <x v="6"/>
    <x v="0"/>
    <n v="113.69"/>
    <x v="3"/>
    <s v="valor_agregado_por_actividad_economica"/>
  </r>
  <r>
    <x v="7"/>
    <x v="7"/>
    <x v="0"/>
    <n v="1149.24"/>
    <x v="3"/>
    <s v="valor_agregado_por_actividad_economica"/>
  </r>
  <r>
    <x v="8"/>
    <x v="8"/>
    <x v="0"/>
    <n v="1620.81"/>
    <x v="3"/>
    <s v="valor_agregado_por_actividad_economica"/>
  </r>
  <r>
    <x v="9"/>
    <x v="9"/>
    <x v="0"/>
    <n v="184.82"/>
    <x v="3"/>
    <s v="valor_agregado_por_actividad_economica"/>
  </r>
  <r>
    <x v="10"/>
    <x v="10"/>
    <x v="0"/>
    <m/>
    <x v="3"/>
    <s v="valor_agregado_por_actividad_economica"/>
  </r>
  <r>
    <x v="11"/>
    <x v="11"/>
    <x v="0"/>
    <n v="2876.27"/>
    <x v="3"/>
    <s v="valor_agregado_por_actividad_economica"/>
  </r>
  <r>
    <x v="12"/>
    <x v="12"/>
    <x v="0"/>
    <n v="638.33000000000004"/>
    <x v="3"/>
    <s v="valor_agregado_por_actividad_economica"/>
  </r>
  <r>
    <x v="13"/>
    <x v="13"/>
    <x v="0"/>
    <n v="889.8"/>
    <x v="3"/>
    <s v="valor_agregado_por_actividad_economica"/>
  </r>
  <r>
    <x v="14"/>
    <x v="14"/>
    <x v="0"/>
    <n v="913.13"/>
    <x v="3"/>
    <s v="valor_agregado_por_actividad_economica"/>
  </r>
  <r>
    <x v="15"/>
    <x v="15"/>
    <x v="0"/>
    <n v="170.13"/>
    <x v="3"/>
    <s v="valor_agregado_por_actividad_economica"/>
  </r>
  <r>
    <x v="16"/>
    <x v="16"/>
    <x v="0"/>
    <n v="929.04"/>
    <x v="3"/>
    <s v="valor_agregado_por_actividad_economica"/>
  </r>
  <r>
    <x v="17"/>
    <x v="17"/>
    <x v="0"/>
    <n v="96.25"/>
    <x v="3"/>
    <s v="valor_agregado_por_actividad_economica"/>
  </r>
  <r>
    <x v="18"/>
    <x v="18"/>
    <x v="0"/>
    <n v="187.38"/>
    <x v="3"/>
    <s v="valor_agregado_por_actividad_economica"/>
  </r>
  <r>
    <x v="19"/>
    <x v="19"/>
    <x v="0"/>
    <n v="415.84"/>
    <x v="3"/>
    <s v="valor_agregado_por_actividad_economica"/>
  </r>
  <r>
    <x v="20"/>
    <x v="20"/>
    <x v="0"/>
    <n v="29.83"/>
    <x v="3"/>
    <s v="valor_agregado_por_actividad_economica"/>
  </r>
  <r>
    <x v="21"/>
    <x v="21"/>
    <x v="0"/>
    <n v="42.19"/>
    <x v="3"/>
    <s v="valor_agregado_por_actividad_economica"/>
  </r>
  <r>
    <x v="22"/>
    <x v="22"/>
    <x v="0"/>
    <n v="245.35"/>
    <x v="3"/>
    <s v="valor_agregado_por_actividad_economica"/>
  </r>
  <r>
    <x v="23"/>
    <x v="23"/>
    <x v="0"/>
    <n v="29.2"/>
    <x v="3"/>
    <s v="valor_agregado_por_actividad_economica"/>
  </r>
  <r>
    <x v="24"/>
    <x v="24"/>
    <x v="0"/>
    <n v="795.19"/>
    <x v="3"/>
    <s v="valor_agregado_por_actividad_economica"/>
  </r>
  <r>
    <x v="25"/>
    <x v="25"/>
    <x v="0"/>
    <n v="1114.8499999999999"/>
    <x v="3"/>
    <s v="valor_agregado_por_actividad_economica"/>
  </r>
  <r>
    <x v="0"/>
    <x v="0"/>
    <x v="1"/>
    <n v="24543.47"/>
    <x v="3"/>
    <s v="valor_agregado_por_actividad_economica"/>
  </r>
  <r>
    <x v="1"/>
    <x v="1"/>
    <x v="1"/>
    <n v="5921.01"/>
    <x v="3"/>
    <s v="valor_agregado_por_actividad_economica"/>
  </r>
  <r>
    <x v="2"/>
    <x v="2"/>
    <x v="1"/>
    <n v="1370.18"/>
    <x v="3"/>
    <s v="valor_agregado_por_actividad_economica"/>
  </r>
  <r>
    <x v="3"/>
    <x v="3"/>
    <x v="1"/>
    <m/>
    <x v="3"/>
    <s v="valor_agregado_por_actividad_economica"/>
  </r>
  <r>
    <x v="4"/>
    <x v="4"/>
    <x v="1"/>
    <n v="515.41999999999996"/>
    <x v="3"/>
    <s v="valor_agregado_por_actividad_economica"/>
  </r>
  <r>
    <x v="5"/>
    <x v="5"/>
    <x v="1"/>
    <n v="1073.98"/>
    <x v="3"/>
    <s v="valor_agregado_por_actividad_economica"/>
  </r>
  <r>
    <x v="6"/>
    <x v="6"/>
    <x v="1"/>
    <n v="192.38"/>
    <x v="3"/>
    <s v="valor_agregado_por_actividad_economica"/>
  </r>
  <r>
    <x v="7"/>
    <x v="7"/>
    <x v="1"/>
    <n v="117.39"/>
    <x v="3"/>
    <s v="valor_agregado_por_actividad_economica"/>
  </r>
  <r>
    <x v="8"/>
    <x v="8"/>
    <x v="1"/>
    <n v="1110.6099999999999"/>
    <x v="3"/>
    <s v="valor_agregado_por_actividad_economica"/>
  </r>
  <r>
    <x v="9"/>
    <x v="9"/>
    <x v="1"/>
    <n v="391.88"/>
    <x v="3"/>
    <s v="valor_agregado_por_actividad_economica"/>
  </r>
  <r>
    <x v="10"/>
    <x v="10"/>
    <x v="1"/>
    <n v="1231.47"/>
    <x v="3"/>
    <s v="valor_agregado_por_actividad_economica"/>
  </r>
  <r>
    <x v="11"/>
    <x v="11"/>
    <x v="1"/>
    <n v="3067.75"/>
    <x v="3"/>
    <s v="valor_agregado_por_actividad_economica"/>
  </r>
  <r>
    <x v="12"/>
    <x v="12"/>
    <x v="1"/>
    <n v="1233.26"/>
    <x v="3"/>
    <s v="valor_agregado_por_actividad_economica"/>
  </r>
  <r>
    <x v="13"/>
    <x v="13"/>
    <x v="1"/>
    <n v="1055.6500000000001"/>
    <x v="3"/>
    <s v="valor_agregado_por_actividad_economica"/>
  </r>
  <r>
    <x v="14"/>
    <x v="14"/>
    <x v="1"/>
    <n v="1636.55"/>
    <x v="3"/>
    <s v="valor_agregado_por_actividad_economica"/>
  </r>
  <r>
    <x v="15"/>
    <x v="15"/>
    <x v="1"/>
    <n v="716.47"/>
    <x v="3"/>
    <s v="valor_agregado_por_actividad_economica"/>
  </r>
  <r>
    <x v="16"/>
    <x v="16"/>
    <x v="1"/>
    <n v="618.05999999999995"/>
    <x v="3"/>
    <s v="valor_agregado_por_actividad_economica"/>
  </r>
  <r>
    <x v="17"/>
    <x v="17"/>
    <x v="1"/>
    <m/>
    <x v="3"/>
    <s v="valor_agregado_por_actividad_economica"/>
  </r>
  <r>
    <x v="18"/>
    <x v="18"/>
    <x v="1"/>
    <n v="531.79"/>
    <x v="3"/>
    <s v="valor_agregado_por_actividad_economica"/>
  </r>
  <r>
    <x v="19"/>
    <x v="19"/>
    <x v="1"/>
    <n v="331.77"/>
    <x v="3"/>
    <s v="valor_agregado_por_actividad_economica"/>
  </r>
  <r>
    <x v="20"/>
    <x v="20"/>
    <x v="1"/>
    <n v="363.41"/>
    <x v="3"/>
    <s v="valor_agregado_por_actividad_economica"/>
  </r>
  <r>
    <x v="21"/>
    <x v="21"/>
    <x v="1"/>
    <n v="149.63"/>
    <x v="3"/>
    <s v="valor_agregado_por_actividad_economica"/>
  </r>
  <r>
    <x v="22"/>
    <x v="22"/>
    <x v="1"/>
    <n v="320.33999999999997"/>
    <x v="3"/>
    <s v="valor_agregado_por_actividad_economica"/>
  </r>
  <r>
    <x v="23"/>
    <x v="23"/>
    <x v="1"/>
    <n v="2594.4699999999998"/>
    <x v="3"/>
    <s v="valor_agregado_por_actividad_economica"/>
  </r>
  <r>
    <x v="24"/>
    <x v="24"/>
    <x v="1"/>
    <m/>
    <x v="3"/>
    <s v="valor_agregado_por_actividad_economica"/>
  </r>
  <r>
    <x v="25"/>
    <x v="25"/>
    <x v="1"/>
    <m/>
    <x v="3"/>
    <s v="valor_agregado_por_actividad_economica"/>
  </r>
  <r>
    <x v="0"/>
    <x v="0"/>
    <x v="2"/>
    <n v="6559.45"/>
    <x v="3"/>
    <s v="valor_agregado_por_actividad_economica"/>
  </r>
  <r>
    <x v="1"/>
    <x v="1"/>
    <x v="2"/>
    <n v="2644.1"/>
    <x v="3"/>
    <s v="valor_agregado_por_actividad_economica"/>
  </r>
  <r>
    <x v="2"/>
    <x v="2"/>
    <x v="2"/>
    <n v="443.62"/>
    <x v="3"/>
    <s v="valor_agregado_por_actividad_economica"/>
  </r>
  <r>
    <x v="3"/>
    <x v="3"/>
    <x v="2"/>
    <n v="2.86"/>
    <x v="3"/>
    <s v="valor_agregado_por_actividad_economica"/>
  </r>
  <r>
    <x v="4"/>
    <x v="4"/>
    <x v="2"/>
    <n v="140.55000000000001"/>
    <x v="3"/>
    <s v="valor_agregado_por_actividad_economica"/>
  </r>
  <r>
    <x v="5"/>
    <x v="5"/>
    <x v="2"/>
    <n v="103.28"/>
    <x v="3"/>
    <s v="valor_agregado_por_actividad_economica"/>
  </r>
  <r>
    <x v="6"/>
    <x v="6"/>
    <x v="2"/>
    <n v="60.05"/>
    <x v="3"/>
    <s v="valor_agregado_por_actividad_economica"/>
  </r>
  <r>
    <x v="7"/>
    <x v="7"/>
    <x v="2"/>
    <n v="117.95"/>
    <x v="3"/>
    <s v="valor_agregado_por_actividad_economica"/>
  </r>
  <r>
    <x v="8"/>
    <x v="8"/>
    <x v="2"/>
    <n v="363.96"/>
    <x v="3"/>
    <s v="valor_agregado_por_actividad_economica"/>
  </r>
  <r>
    <x v="9"/>
    <x v="9"/>
    <x v="2"/>
    <n v="102.61"/>
    <x v="3"/>
    <s v="valor_agregado_por_actividad_economica"/>
  </r>
  <r>
    <x v="10"/>
    <x v="10"/>
    <x v="2"/>
    <n v="86.94"/>
    <x v="3"/>
    <s v="valor_agregado_por_actividad_economica"/>
  </r>
  <r>
    <x v="11"/>
    <x v="11"/>
    <x v="2"/>
    <n v="426.46"/>
    <x v="3"/>
    <s v="valor_agregado_por_actividad_economica"/>
  </r>
  <r>
    <x v="12"/>
    <x v="12"/>
    <x v="2"/>
    <n v="181.92"/>
    <x v="3"/>
    <s v="valor_agregado_por_actividad_economica"/>
  </r>
  <r>
    <x v="13"/>
    <x v="13"/>
    <x v="2"/>
    <n v="464.28"/>
    <x v="3"/>
    <s v="valor_agregado_por_actividad_economica"/>
  </r>
  <r>
    <x v="14"/>
    <x v="14"/>
    <x v="2"/>
    <n v="449.79"/>
    <x v="3"/>
    <s v="valor_agregado_por_actividad_economica"/>
  </r>
  <r>
    <x v="15"/>
    <x v="15"/>
    <x v="2"/>
    <n v="199.19"/>
    <x v="3"/>
    <s v="valor_agregado_por_actividad_economica"/>
  </r>
  <r>
    <x v="16"/>
    <x v="16"/>
    <x v="2"/>
    <n v="214.12"/>
    <x v="3"/>
    <s v="valor_agregado_por_actividad_economica"/>
  </r>
  <r>
    <x v="17"/>
    <x v="17"/>
    <x v="2"/>
    <n v="24.29"/>
    <x v="3"/>
    <s v="valor_agregado_por_actividad_economica"/>
  </r>
  <r>
    <x v="18"/>
    <x v="18"/>
    <x v="2"/>
    <n v="157.76"/>
    <x v="3"/>
    <s v="valor_agregado_por_actividad_economica"/>
  </r>
  <r>
    <x v="19"/>
    <x v="19"/>
    <x v="2"/>
    <n v="38.56"/>
    <x v="3"/>
    <s v="valor_agregado_por_actividad_economica"/>
  </r>
  <r>
    <x v="20"/>
    <x v="20"/>
    <x v="2"/>
    <n v="128.96"/>
    <x v="3"/>
    <s v="valor_agregado_por_actividad_economica"/>
  </r>
  <r>
    <x v="21"/>
    <x v="21"/>
    <x v="2"/>
    <n v="27.52"/>
    <x v="3"/>
    <s v="valor_agregado_por_actividad_economica"/>
  </r>
  <r>
    <x v="22"/>
    <x v="22"/>
    <x v="2"/>
    <n v="103.82"/>
    <x v="3"/>
    <s v="valor_agregado_por_actividad_economica"/>
  </r>
  <r>
    <x v="23"/>
    <x v="23"/>
    <x v="2"/>
    <n v="16.13"/>
    <x v="3"/>
    <s v="valor_agregado_por_actividad_economica"/>
  </r>
  <r>
    <x v="24"/>
    <x v="24"/>
    <x v="2"/>
    <n v="60.73"/>
    <x v="3"/>
    <s v="valor_agregado_por_actividad_economica"/>
  </r>
  <r>
    <x v="25"/>
    <x v="25"/>
    <x v="2"/>
    <m/>
    <x v="3"/>
    <s v="valor_agregado_por_actividad_economica"/>
  </r>
  <r>
    <x v="0"/>
    <x v="0"/>
    <x v="5"/>
    <n v="166401.16"/>
    <x v="3"/>
    <s v="valor_agregado_por_actividad_economica"/>
  </r>
  <r>
    <x v="1"/>
    <x v="1"/>
    <x v="5"/>
    <n v="23602.27"/>
    <x v="3"/>
    <s v="valor_agregado_por_actividad_economica"/>
  </r>
  <r>
    <x v="2"/>
    <x v="2"/>
    <x v="5"/>
    <n v="11908.67"/>
    <x v="3"/>
    <s v="valor_agregado_por_actividad_economica"/>
  </r>
  <r>
    <x v="3"/>
    <x v="3"/>
    <x v="5"/>
    <n v="546.6"/>
    <x v="3"/>
    <s v="valor_agregado_por_actividad_economica"/>
  </r>
  <r>
    <x v="4"/>
    <x v="4"/>
    <x v="5"/>
    <n v="5702.63"/>
    <x v="3"/>
    <s v="valor_agregado_por_actividad_economica"/>
  </r>
  <r>
    <x v="5"/>
    <x v="5"/>
    <x v="5"/>
    <n v="1743.59"/>
    <x v="3"/>
    <s v="valor_agregado_por_actividad_economica"/>
  </r>
  <r>
    <x v="6"/>
    <x v="6"/>
    <x v="5"/>
    <n v="981.82"/>
    <x v="3"/>
    <s v="valor_agregado_por_actividad_economica"/>
  </r>
  <r>
    <x v="7"/>
    <x v="7"/>
    <x v="5"/>
    <n v="471.55"/>
    <x v="3"/>
    <s v="valor_agregado_por_actividad_economica"/>
  </r>
  <r>
    <x v="8"/>
    <x v="8"/>
    <x v="5"/>
    <n v="3546.24"/>
    <x v="3"/>
    <s v="valor_agregado_por_actividad_economica"/>
  </r>
  <r>
    <x v="9"/>
    <x v="9"/>
    <x v="5"/>
    <n v="307.08999999999997"/>
    <x v="3"/>
    <s v="valor_agregado_por_actividad_economica"/>
  </r>
  <r>
    <x v="10"/>
    <x v="10"/>
    <x v="5"/>
    <n v="14339.4"/>
    <x v="3"/>
    <s v="valor_agregado_por_actividad_economica"/>
  </r>
  <r>
    <x v="11"/>
    <x v="11"/>
    <x v="5"/>
    <n v="13024.54"/>
    <x v="3"/>
    <s v="valor_agregado_por_actividad_economica"/>
  </r>
  <r>
    <x v="12"/>
    <x v="12"/>
    <x v="5"/>
    <n v="1384.12"/>
    <x v="3"/>
    <s v="valor_agregado_por_actividad_economica"/>
  </r>
  <r>
    <x v="13"/>
    <x v="13"/>
    <x v="5"/>
    <n v="6550.39"/>
    <x v="3"/>
    <s v="valor_agregado_por_actividad_economica"/>
  </r>
  <r>
    <x v="14"/>
    <x v="14"/>
    <x v="5"/>
    <n v="9690.36"/>
    <x v="3"/>
    <s v="valor_agregado_por_actividad_economica"/>
  </r>
  <r>
    <x v="15"/>
    <x v="15"/>
    <x v="5"/>
    <n v="9504.6299999999992"/>
    <x v="3"/>
    <s v="valor_agregado_por_actividad_economica"/>
  </r>
  <r>
    <x v="16"/>
    <x v="16"/>
    <x v="5"/>
    <n v="7291.08"/>
    <x v="3"/>
    <s v="valor_agregado_por_actividad_economica"/>
  </r>
  <r>
    <x v="17"/>
    <x v="17"/>
    <x v="5"/>
    <n v="6307.71"/>
    <x v="3"/>
    <s v="valor_agregado_por_actividad_economica"/>
  </r>
  <r>
    <x v="18"/>
    <x v="18"/>
    <x v="5"/>
    <n v="12825.38"/>
    <x v="3"/>
    <s v="valor_agregado_por_actividad_economica"/>
  </r>
  <r>
    <x v="19"/>
    <x v="19"/>
    <x v="5"/>
    <n v="15628.58"/>
    <x v="3"/>
    <s v="valor_agregado_por_actividad_economica"/>
  </r>
  <r>
    <x v="20"/>
    <x v="20"/>
    <x v="5"/>
    <n v="19558.53"/>
    <x v="3"/>
    <s v="valor_agregado_por_actividad_economica"/>
  </r>
  <r>
    <x v="21"/>
    <x v="21"/>
    <x v="5"/>
    <n v="837.83"/>
    <x v="3"/>
    <s v="valor_agregado_por_actividad_economica"/>
  </r>
  <r>
    <x v="22"/>
    <x v="22"/>
    <x v="5"/>
    <n v="380.67"/>
    <x v="3"/>
    <s v="valor_agregado_por_actividad_economica"/>
  </r>
  <r>
    <x v="23"/>
    <x v="23"/>
    <x v="5"/>
    <n v="267.48"/>
    <x v="3"/>
    <s v="valor_agregado_por_actividad_economica"/>
  </r>
  <r>
    <x v="24"/>
    <x v="24"/>
    <x v="5"/>
    <m/>
    <x v="3"/>
    <s v="valor_agregado_por_actividad_economica"/>
  </r>
  <r>
    <x v="25"/>
    <x v="25"/>
    <x v="5"/>
    <m/>
    <x v="3"/>
    <s v="valor_agregado_por_actividad_economica"/>
  </r>
  <r>
    <x v="0"/>
    <x v="0"/>
    <x v="3"/>
    <n v="19645.990000000002"/>
    <x v="3"/>
    <s v="valor_agregado_por_actividad_economica"/>
  </r>
  <r>
    <x v="1"/>
    <x v="1"/>
    <x v="3"/>
    <n v="6506.64"/>
    <x v="3"/>
    <s v="valor_agregado_por_actividad_economica"/>
  </r>
  <r>
    <x v="2"/>
    <x v="2"/>
    <x v="3"/>
    <n v="1809.94"/>
    <x v="3"/>
    <s v="valor_agregado_por_actividad_economica"/>
  </r>
  <r>
    <x v="3"/>
    <x v="3"/>
    <x v="3"/>
    <m/>
    <x v="3"/>
    <s v="valor_agregado_por_actividad_economica"/>
  </r>
  <r>
    <x v="4"/>
    <x v="4"/>
    <x v="3"/>
    <n v="434.01"/>
    <x v="3"/>
    <s v="valor_agregado_por_actividad_economica"/>
  </r>
  <r>
    <x v="5"/>
    <x v="5"/>
    <x v="3"/>
    <n v="1639.41"/>
    <x v="3"/>
    <s v="valor_agregado_por_actividad_economica"/>
  </r>
  <r>
    <x v="6"/>
    <x v="6"/>
    <x v="3"/>
    <n v="40.409999999999997"/>
    <x v="3"/>
    <s v="valor_agregado_por_actividad_economica"/>
  </r>
  <r>
    <x v="7"/>
    <x v="7"/>
    <x v="3"/>
    <n v="53.34"/>
    <x v="3"/>
    <s v="valor_agregado_por_actividad_economica"/>
  </r>
  <r>
    <x v="8"/>
    <x v="8"/>
    <x v="3"/>
    <n v="318.89999999999998"/>
    <x v="3"/>
    <s v="valor_agregado_por_actividad_economica"/>
  </r>
  <r>
    <x v="9"/>
    <x v="9"/>
    <x v="3"/>
    <n v="466.94"/>
    <x v="3"/>
    <s v="valor_agregado_por_actividad_economica"/>
  </r>
  <r>
    <x v="10"/>
    <x v="10"/>
    <x v="3"/>
    <n v="939.8"/>
    <x v="3"/>
    <s v="valor_agregado_por_actividad_economica"/>
  </r>
  <r>
    <x v="11"/>
    <x v="11"/>
    <x v="3"/>
    <n v="1391.77"/>
    <x v="3"/>
    <s v="valor_agregado_por_actividad_economica"/>
  </r>
  <r>
    <x v="12"/>
    <x v="12"/>
    <x v="3"/>
    <n v="465.85"/>
    <x v="3"/>
    <s v="valor_agregado_por_actividad_economica"/>
  </r>
  <r>
    <x v="13"/>
    <x v="13"/>
    <x v="3"/>
    <n v="973.61"/>
    <x v="3"/>
    <s v="valor_agregado_por_actividad_economica"/>
  </r>
  <r>
    <x v="14"/>
    <x v="14"/>
    <x v="3"/>
    <n v="1755.38"/>
    <x v="3"/>
    <s v="valor_agregado_por_actividad_economica"/>
  </r>
  <r>
    <x v="15"/>
    <x v="15"/>
    <x v="3"/>
    <n v="758.7"/>
    <x v="3"/>
    <s v="valor_agregado_por_actividad_economica"/>
  </r>
  <r>
    <x v="16"/>
    <x v="16"/>
    <x v="3"/>
    <n v="683.32"/>
    <x v="3"/>
    <s v="valor_agregado_por_actividad_economica"/>
  </r>
  <r>
    <x v="17"/>
    <x v="17"/>
    <x v="3"/>
    <n v="4.91"/>
    <x v="3"/>
    <s v="valor_agregado_por_actividad_economica"/>
  </r>
  <r>
    <x v="18"/>
    <x v="18"/>
    <x v="3"/>
    <n v="233.61"/>
    <x v="3"/>
    <s v="valor_agregado_por_actividad_economica"/>
  </r>
  <r>
    <x v="19"/>
    <x v="19"/>
    <x v="3"/>
    <n v="198.8"/>
    <x v="3"/>
    <s v="valor_agregado_por_actividad_economica"/>
  </r>
  <r>
    <x v="20"/>
    <x v="20"/>
    <x v="3"/>
    <n v="109.18"/>
    <x v="3"/>
    <s v="valor_agregado_por_actividad_economica"/>
  </r>
  <r>
    <x v="21"/>
    <x v="21"/>
    <x v="3"/>
    <n v="56.49"/>
    <x v="3"/>
    <s v="valor_agregado_por_actividad_economica"/>
  </r>
  <r>
    <x v="22"/>
    <x v="22"/>
    <x v="3"/>
    <n v="103.61"/>
    <x v="3"/>
    <s v="valor_agregado_por_actividad_economica"/>
  </r>
  <r>
    <x v="23"/>
    <x v="23"/>
    <x v="3"/>
    <n v="225.31"/>
    <x v="3"/>
    <s v="valor_agregado_por_actividad_economica"/>
  </r>
  <r>
    <x v="24"/>
    <x v="24"/>
    <x v="3"/>
    <n v="476.06"/>
    <x v="3"/>
    <s v="valor_agregado_por_actividad_economica"/>
  </r>
  <r>
    <x v="25"/>
    <x v="25"/>
    <x v="3"/>
    <m/>
    <x v="3"/>
    <s v="valor_agregado_por_actividad_economica"/>
  </r>
  <r>
    <x v="0"/>
    <x v="0"/>
    <x v="6"/>
    <n v="4002.8"/>
    <x v="3"/>
    <s v="valor_agregado_por_actividad_economica"/>
  </r>
  <r>
    <x v="1"/>
    <x v="1"/>
    <x v="6"/>
    <n v="1440.16"/>
    <x v="3"/>
    <s v="valor_agregado_por_actividad_economica"/>
  </r>
  <r>
    <x v="2"/>
    <x v="2"/>
    <x v="6"/>
    <n v="296.98"/>
    <x v="3"/>
    <s v="valor_agregado_por_actividad_economica"/>
  </r>
  <r>
    <x v="3"/>
    <x v="3"/>
    <x v="6"/>
    <m/>
    <x v="3"/>
    <s v="valor_agregado_por_actividad_economica"/>
  </r>
  <r>
    <x v="4"/>
    <x v="4"/>
    <x v="6"/>
    <n v="37.17"/>
    <x v="3"/>
    <s v="valor_agregado_por_actividad_economica"/>
  </r>
  <r>
    <x v="5"/>
    <x v="5"/>
    <x v="6"/>
    <n v="22.88"/>
    <x v="3"/>
    <s v="valor_agregado_por_actividad_economica"/>
  </r>
  <r>
    <x v="6"/>
    <x v="6"/>
    <x v="6"/>
    <n v="62.69"/>
    <x v="3"/>
    <s v="valor_agregado_por_actividad_economica"/>
  </r>
  <r>
    <x v="7"/>
    <x v="7"/>
    <x v="6"/>
    <n v="61.8"/>
    <x v="3"/>
    <s v="valor_agregado_por_actividad_economica"/>
  </r>
  <r>
    <x v="8"/>
    <x v="8"/>
    <x v="6"/>
    <n v="642.12"/>
    <x v="3"/>
    <s v="valor_agregado_por_actividad_economica"/>
  </r>
  <r>
    <x v="9"/>
    <x v="9"/>
    <x v="6"/>
    <n v="64.010000000000005"/>
    <x v="3"/>
    <s v="valor_agregado_por_actividad_economica"/>
  </r>
  <r>
    <x v="10"/>
    <x v="10"/>
    <x v="6"/>
    <n v="192.71"/>
    <x v="3"/>
    <s v="valor_agregado_por_actividad_economica"/>
  </r>
  <r>
    <x v="11"/>
    <x v="11"/>
    <x v="6"/>
    <n v="254.71"/>
    <x v="3"/>
    <s v="valor_agregado_por_actividad_economica"/>
  </r>
  <r>
    <x v="12"/>
    <x v="12"/>
    <x v="6"/>
    <n v="281"/>
    <x v="3"/>
    <s v="valor_agregado_por_actividad_economica"/>
  </r>
  <r>
    <x v="13"/>
    <x v="13"/>
    <x v="6"/>
    <n v="125.15"/>
    <x v="3"/>
    <s v="valor_agregado_por_actividad_economica"/>
  </r>
  <r>
    <x v="14"/>
    <x v="14"/>
    <x v="6"/>
    <n v="168.64"/>
    <x v="3"/>
    <s v="valor_agregado_por_actividad_economica"/>
  </r>
  <r>
    <x v="15"/>
    <x v="15"/>
    <x v="6"/>
    <n v="50.39"/>
    <x v="3"/>
    <s v="valor_agregado_por_actividad_economica"/>
  </r>
  <r>
    <x v="16"/>
    <x v="16"/>
    <x v="6"/>
    <n v="70.989999999999995"/>
    <x v="3"/>
    <s v="valor_agregado_por_actividad_economica"/>
  </r>
  <r>
    <x v="17"/>
    <x v="17"/>
    <x v="6"/>
    <n v="2.11"/>
    <x v="3"/>
    <s v="valor_agregado_por_actividad_economica"/>
  </r>
  <r>
    <x v="18"/>
    <x v="18"/>
    <x v="6"/>
    <n v="36.61"/>
    <x v="3"/>
    <s v="valor_agregado_por_actividad_economica"/>
  </r>
  <r>
    <x v="19"/>
    <x v="19"/>
    <x v="6"/>
    <n v="5.49"/>
    <x v="3"/>
    <s v="valor_agregado_por_actividad_economica"/>
  </r>
  <r>
    <x v="20"/>
    <x v="20"/>
    <x v="6"/>
    <n v="72.400000000000006"/>
    <x v="3"/>
    <s v="valor_agregado_por_actividad_economica"/>
  </r>
  <r>
    <x v="21"/>
    <x v="21"/>
    <x v="6"/>
    <m/>
    <x v="3"/>
    <s v="valor_agregado_por_actividad_economica"/>
  </r>
  <r>
    <x v="22"/>
    <x v="22"/>
    <x v="6"/>
    <n v="18.18"/>
    <x v="3"/>
    <s v="valor_agregado_por_actividad_economica"/>
  </r>
  <r>
    <x v="23"/>
    <x v="23"/>
    <x v="6"/>
    <n v="13.76"/>
    <x v="3"/>
    <s v="valor_agregado_por_actividad_economica"/>
  </r>
  <r>
    <x v="24"/>
    <x v="24"/>
    <x v="6"/>
    <n v="82.85"/>
    <x v="3"/>
    <s v="valor_agregado_por_actividad_economica"/>
  </r>
  <r>
    <x v="25"/>
    <x v="25"/>
    <x v="6"/>
    <m/>
    <x v="3"/>
    <s v="valor_agregado_por_actividad_economica"/>
  </r>
  <r>
    <x v="0"/>
    <x v="0"/>
    <x v="4"/>
    <n v="171113.23"/>
    <x v="4"/>
    <s v="valor_agregado_por_actividad_economica"/>
  </r>
  <r>
    <x v="1"/>
    <x v="1"/>
    <x v="4"/>
    <n v="33904.79"/>
    <x v="4"/>
    <s v="valor_agregado_por_actividad_economica"/>
  </r>
  <r>
    <x v="2"/>
    <x v="2"/>
    <x v="4"/>
    <n v="5387.47"/>
    <x v="4"/>
    <s v="valor_agregado_por_actividad_economica"/>
  </r>
  <r>
    <x v="3"/>
    <x v="3"/>
    <x v="4"/>
    <n v="767.01"/>
    <x v="4"/>
    <s v="valor_agregado_por_actividad_economica"/>
  </r>
  <r>
    <x v="4"/>
    <x v="4"/>
    <x v="4"/>
    <n v="2435.19"/>
    <x v="4"/>
    <s v="valor_agregado_por_actividad_economica"/>
  </r>
  <r>
    <x v="5"/>
    <x v="5"/>
    <x v="4"/>
    <n v="2394.84"/>
    <x v="4"/>
    <s v="valor_agregado_por_actividad_economica"/>
  </r>
  <r>
    <x v="6"/>
    <x v="6"/>
    <x v="4"/>
    <n v="2035.28"/>
    <x v="4"/>
    <s v="valor_agregado_por_actividad_economica"/>
  </r>
  <r>
    <x v="7"/>
    <x v="7"/>
    <x v="4"/>
    <n v="2341.2800000000002"/>
    <x v="4"/>
    <s v="valor_agregado_por_actividad_economica"/>
  </r>
  <r>
    <x v="8"/>
    <x v="8"/>
    <x v="4"/>
    <n v="6468.58"/>
    <x v="4"/>
    <s v="valor_agregado_por_actividad_economica"/>
  </r>
  <r>
    <x v="9"/>
    <x v="9"/>
    <x v="4"/>
    <n v="721.35"/>
    <x v="4"/>
    <s v="valor_agregado_por_actividad_economica"/>
  </r>
  <r>
    <x v="10"/>
    <x v="10"/>
    <x v="4"/>
    <n v="32738.16"/>
    <x v="4"/>
    <s v="valor_agregado_por_actividad_economica"/>
  </r>
  <r>
    <x v="11"/>
    <x v="11"/>
    <x v="4"/>
    <n v="18585.95"/>
    <x v="4"/>
    <s v="valor_agregado_por_actividad_economica"/>
  </r>
  <r>
    <x v="12"/>
    <x v="12"/>
    <x v="4"/>
    <n v="5624.07"/>
    <x v="4"/>
    <s v="valor_agregado_por_actividad_economica"/>
  </r>
  <r>
    <x v="13"/>
    <x v="13"/>
    <x v="4"/>
    <n v="5902.1"/>
    <x v="4"/>
    <s v="valor_agregado_por_actividad_economica"/>
  </r>
  <r>
    <x v="14"/>
    <x v="14"/>
    <x v="4"/>
    <n v="5287.5"/>
    <x v="4"/>
    <s v="valor_agregado_por_actividad_economica"/>
  </r>
  <r>
    <x v="15"/>
    <x v="15"/>
    <x v="4"/>
    <n v="12365.65"/>
    <x v="4"/>
    <s v="valor_agregado_por_actividad_economica"/>
  </r>
  <r>
    <x v="16"/>
    <x v="16"/>
    <x v="4"/>
    <n v="5252.17"/>
    <x v="4"/>
    <s v="valor_agregado_por_actividad_economica"/>
  </r>
  <r>
    <x v="17"/>
    <x v="17"/>
    <x v="4"/>
    <n v="3166.71"/>
    <x v="4"/>
    <s v="valor_agregado_por_actividad_economica"/>
  </r>
  <r>
    <x v="18"/>
    <x v="18"/>
    <x v="4"/>
    <n v="4379.5600000000004"/>
    <x v="4"/>
    <s v="valor_agregado_por_actividad_economica"/>
  </r>
  <r>
    <x v="19"/>
    <x v="19"/>
    <x v="4"/>
    <n v="7372.24"/>
    <x v="4"/>
    <s v="valor_agregado_por_actividad_economica"/>
  </r>
  <r>
    <x v="20"/>
    <x v="20"/>
    <x v="4"/>
    <n v="7444.89"/>
    <x v="4"/>
    <s v="valor_agregado_por_actividad_economica"/>
  </r>
  <r>
    <x v="21"/>
    <x v="21"/>
    <x v="4"/>
    <n v="825.21"/>
    <x v="4"/>
    <s v="valor_agregado_por_actividad_economica"/>
  </r>
  <r>
    <x v="22"/>
    <x v="22"/>
    <x v="4"/>
    <n v="1840.91"/>
    <x v="4"/>
    <s v="valor_agregado_por_actividad_economica"/>
  </r>
  <r>
    <x v="23"/>
    <x v="23"/>
    <x v="4"/>
    <n v="1950.34"/>
    <x v="4"/>
    <s v="valor_agregado_por_actividad_economica"/>
  </r>
  <r>
    <x v="24"/>
    <x v="24"/>
    <x v="4"/>
    <n v="1921.98"/>
    <x v="4"/>
    <s v="valor_agregado_por_actividad_economica"/>
  </r>
  <r>
    <x v="25"/>
    <x v="25"/>
    <x v="4"/>
    <m/>
    <x v="4"/>
    <s v="valor_agregado_por_actividad_economica"/>
  </r>
  <r>
    <x v="0"/>
    <x v="0"/>
    <x v="0"/>
    <n v="19434.23"/>
    <x v="4"/>
    <s v="valor_agregado_por_actividad_economica"/>
  </r>
  <r>
    <x v="1"/>
    <x v="1"/>
    <x v="0"/>
    <n v="6164.59"/>
    <x v="4"/>
    <s v="valor_agregado_por_actividad_economica"/>
  </r>
  <r>
    <x v="2"/>
    <x v="2"/>
    <x v="0"/>
    <n v="1966.49"/>
    <x v="4"/>
    <s v="valor_agregado_por_actividad_economica"/>
  </r>
  <r>
    <x v="3"/>
    <x v="3"/>
    <x v="0"/>
    <m/>
    <x v="4"/>
    <s v="valor_agregado_por_actividad_economica"/>
  </r>
  <r>
    <x v="4"/>
    <x v="4"/>
    <x v="0"/>
    <n v="101.81"/>
    <x v="4"/>
    <s v="valor_agregado_por_actividad_economica"/>
  </r>
  <r>
    <x v="5"/>
    <x v="5"/>
    <x v="0"/>
    <n v="82.4"/>
    <x v="4"/>
    <s v="valor_agregado_por_actividad_economica"/>
  </r>
  <r>
    <x v="6"/>
    <x v="6"/>
    <x v="0"/>
    <n v="36.57"/>
    <x v="4"/>
    <s v="valor_agregado_por_actividad_economica"/>
  </r>
  <r>
    <x v="7"/>
    <x v="7"/>
    <x v="0"/>
    <n v="973.04"/>
    <x v="4"/>
    <s v="valor_agregado_por_actividad_economica"/>
  </r>
  <r>
    <x v="8"/>
    <x v="8"/>
    <x v="0"/>
    <n v="1339.75"/>
    <x v="4"/>
    <s v="valor_agregado_por_actividad_economica"/>
  </r>
  <r>
    <x v="9"/>
    <x v="9"/>
    <x v="0"/>
    <n v="92.03"/>
    <x v="4"/>
    <s v="valor_agregado_por_actividad_economica"/>
  </r>
  <r>
    <x v="10"/>
    <x v="10"/>
    <x v="0"/>
    <m/>
    <x v="4"/>
    <s v="valor_agregado_por_actividad_economica"/>
  </r>
  <r>
    <x v="11"/>
    <x v="11"/>
    <x v="0"/>
    <n v="2671.82"/>
    <x v="4"/>
    <s v="valor_agregado_por_actividad_economica"/>
  </r>
  <r>
    <x v="12"/>
    <x v="12"/>
    <x v="0"/>
    <n v="637.74"/>
    <x v="4"/>
    <s v="valor_agregado_por_actividad_economica"/>
  </r>
  <r>
    <x v="13"/>
    <x v="13"/>
    <x v="0"/>
    <n v="840.64"/>
    <x v="4"/>
    <s v="valor_agregado_por_actividad_economica"/>
  </r>
  <r>
    <x v="14"/>
    <x v="14"/>
    <x v="0"/>
    <n v="1012.83"/>
    <x v="4"/>
    <s v="valor_agregado_por_actividad_economica"/>
  </r>
  <r>
    <x v="15"/>
    <x v="15"/>
    <x v="0"/>
    <n v="236.99"/>
    <x v="4"/>
    <s v="valor_agregado_por_actividad_economica"/>
  </r>
  <r>
    <x v="16"/>
    <x v="16"/>
    <x v="0"/>
    <n v="894.61"/>
    <x v="4"/>
    <s v="valor_agregado_por_actividad_economica"/>
  </r>
  <r>
    <x v="17"/>
    <x v="17"/>
    <x v="0"/>
    <n v="1.1599999999999999"/>
    <x v="4"/>
    <s v="valor_agregado_por_actividad_economica"/>
  </r>
  <r>
    <x v="18"/>
    <x v="18"/>
    <x v="0"/>
    <n v="343.54"/>
    <x v="4"/>
    <s v="valor_agregado_por_actividad_economica"/>
  </r>
  <r>
    <x v="19"/>
    <x v="19"/>
    <x v="0"/>
    <n v="379.01"/>
    <x v="4"/>
    <s v="valor_agregado_por_actividad_economica"/>
  </r>
  <r>
    <x v="20"/>
    <x v="20"/>
    <x v="0"/>
    <n v="23.43"/>
    <x v="4"/>
    <s v="valor_agregado_por_actividad_economica"/>
  </r>
  <r>
    <x v="21"/>
    <x v="21"/>
    <x v="0"/>
    <n v="40.659999999999997"/>
    <x v="4"/>
    <s v="valor_agregado_por_actividad_economica"/>
  </r>
  <r>
    <x v="22"/>
    <x v="22"/>
    <x v="0"/>
    <n v="172.44"/>
    <x v="4"/>
    <s v="valor_agregado_por_actividad_economica"/>
  </r>
  <r>
    <x v="23"/>
    <x v="23"/>
    <x v="0"/>
    <n v="18.670000000000002"/>
    <x v="4"/>
    <s v="valor_agregado_por_actividad_economica"/>
  </r>
  <r>
    <x v="24"/>
    <x v="24"/>
    <x v="0"/>
    <n v="696.27"/>
    <x v="4"/>
    <s v="valor_agregado_por_actividad_economica"/>
  </r>
  <r>
    <x v="25"/>
    <x v="25"/>
    <x v="0"/>
    <n v="707.74"/>
    <x v="4"/>
    <s v="valor_agregado_por_actividad_economica"/>
  </r>
  <r>
    <x v="0"/>
    <x v="0"/>
    <x v="1"/>
    <n v="21101.27"/>
    <x v="4"/>
    <s v="valor_agregado_por_actividad_economica"/>
  </r>
  <r>
    <x v="1"/>
    <x v="1"/>
    <x v="1"/>
    <n v="5823.83"/>
    <x v="4"/>
    <s v="valor_agregado_por_actividad_economica"/>
  </r>
  <r>
    <x v="2"/>
    <x v="2"/>
    <x v="1"/>
    <n v="987.1"/>
    <x v="4"/>
    <s v="valor_agregado_por_actividad_economica"/>
  </r>
  <r>
    <x v="3"/>
    <x v="3"/>
    <x v="1"/>
    <m/>
    <x v="4"/>
    <s v="valor_agregado_por_actividad_economica"/>
  </r>
  <r>
    <x v="4"/>
    <x v="4"/>
    <x v="1"/>
    <n v="472.65"/>
    <x v="4"/>
    <s v="valor_agregado_por_actividad_economica"/>
  </r>
  <r>
    <x v="5"/>
    <x v="5"/>
    <x v="1"/>
    <n v="751.45"/>
    <x v="4"/>
    <s v="valor_agregado_por_actividad_economica"/>
  </r>
  <r>
    <x v="6"/>
    <x v="6"/>
    <x v="1"/>
    <n v="112.28"/>
    <x v="4"/>
    <s v="valor_agregado_por_actividad_economica"/>
  </r>
  <r>
    <x v="7"/>
    <x v="7"/>
    <x v="1"/>
    <n v="110.37"/>
    <x v="4"/>
    <s v="valor_agregado_por_actividad_economica"/>
  </r>
  <r>
    <x v="8"/>
    <x v="8"/>
    <x v="1"/>
    <n v="972.29"/>
    <x v="4"/>
    <s v="valor_agregado_por_actividad_economica"/>
  </r>
  <r>
    <x v="9"/>
    <x v="9"/>
    <x v="1"/>
    <n v="318.98"/>
    <x v="4"/>
    <s v="valor_agregado_por_actividad_economica"/>
  </r>
  <r>
    <x v="10"/>
    <x v="10"/>
    <x v="1"/>
    <n v="745.61"/>
    <x v="4"/>
    <s v="valor_agregado_por_actividad_economica"/>
  </r>
  <r>
    <x v="11"/>
    <x v="11"/>
    <x v="1"/>
    <n v="2792.07"/>
    <x v="4"/>
    <s v="valor_agregado_por_actividad_economica"/>
  </r>
  <r>
    <x v="12"/>
    <x v="12"/>
    <x v="1"/>
    <n v="1199"/>
    <x v="4"/>
    <s v="valor_agregado_por_actividad_economica"/>
  </r>
  <r>
    <x v="13"/>
    <x v="13"/>
    <x v="1"/>
    <n v="1006.8"/>
    <x v="4"/>
    <s v="valor_agregado_por_actividad_economica"/>
  </r>
  <r>
    <x v="14"/>
    <x v="14"/>
    <x v="1"/>
    <n v="1479.17"/>
    <x v="4"/>
    <s v="valor_agregado_por_actividad_economica"/>
  </r>
  <r>
    <x v="15"/>
    <x v="15"/>
    <x v="1"/>
    <n v="647.78"/>
    <x v="4"/>
    <s v="valor_agregado_por_actividad_economica"/>
  </r>
  <r>
    <x v="16"/>
    <x v="16"/>
    <x v="1"/>
    <n v="511.51"/>
    <x v="4"/>
    <s v="valor_agregado_por_actividad_economica"/>
  </r>
  <r>
    <x v="17"/>
    <x v="17"/>
    <x v="1"/>
    <m/>
    <x v="4"/>
    <s v="valor_agregado_por_actividad_economica"/>
  </r>
  <r>
    <x v="18"/>
    <x v="18"/>
    <x v="1"/>
    <n v="470.43"/>
    <x v="4"/>
    <s v="valor_agregado_por_actividad_economica"/>
  </r>
  <r>
    <x v="19"/>
    <x v="19"/>
    <x v="1"/>
    <n v="247.19"/>
    <x v="4"/>
    <s v="valor_agregado_por_actividad_economica"/>
  </r>
  <r>
    <x v="20"/>
    <x v="20"/>
    <x v="1"/>
    <n v="207.75"/>
    <x v="4"/>
    <s v="valor_agregado_por_actividad_economica"/>
  </r>
  <r>
    <x v="21"/>
    <x v="21"/>
    <x v="1"/>
    <n v="136.71"/>
    <x v="4"/>
    <s v="valor_agregado_por_actividad_economica"/>
  </r>
  <r>
    <x v="22"/>
    <x v="22"/>
    <x v="1"/>
    <n v="243.29"/>
    <x v="4"/>
    <s v="valor_agregado_por_actividad_economica"/>
  </r>
  <r>
    <x v="23"/>
    <x v="23"/>
    <x v="1"/>
    <n v="1865.01"/>
    <x v="4"/>
    <s v="valor_agregado_por_actividad_economica"/>
  </r>
  <r>
    <x v="24"/>
    <x v="24"/>
    <x v="1"/>
    <m/>
    <x v="4"/>
    <s v="valor_agregado_por_actividad_economica"/>
  </r>
  <r>
    <x v="25"/>
    <x v="25"/>
    <x v="1"/>
    <m/>
    <x v="4"/>
    <s v="valor_agregado_por_actividad_economica"/>
  </r>
  <r>
    <x v="0"/>
    <x v="0"/>
    <x v="2"/>
    <n v="6655.48"/>
    <x v="4"/>
    <s v="valor_agregado_por_actividad_economica"/>
  </r>
  <r>
    <x v="1"/>
    <x v="1"/>
    <x v="2"/>
    <n v="3187.1"/>
    <x v="4"/>
    <s v="valor_agregado_por_actividad_economica"/>
  </r>
  <r>
    <x v="2"/>
    <x v="2"/>
    <x v="2"/>
    <n v="349.57"/>
    <x v="4"/>
    <s v="valor_agregado_por_actividad_economica"/>
  </r>
  <r>
    <x v="3"/>
    <x v="3"/>
    <x v="2"/>
    <n v="4.6399999999999997"/>
    <x v="4"/>
    <s v="valor_agregado_por_actividad_economica"/>
  </r>
  <r>
    <x v="4"/>
    <x v="4"/>
    <x v="2"/>
    <n v="76.64"/>
    <x v="4"/>
    <s v="valor_agregado_por_actividad_economica"/>
  </r>
  <r>
    <x v="5"/>
    <x v="5"/>
    <x v="2"/>
    <n v="31.91"/>
    <x v="4"/>
    <s v="valor_agregado_por_actividad_economica"/>
  </r>
  <r>
    <x v="6"/>
    <x v="6"/>
    <x v="2"/>
    <n v="43.64"/>
    <x v="4"/>
    <s v="valor_agregado_por_actividad_economica"/>
  </r>
  <r>
    <x v="7"/>
    <x v="7"/>
    <x v="2"/>
    <n v="167.5"/>
    <x v="4"/>
    <s v="valor_agregado_por_actividad_economica"/>
  </r>
  <r>
    <x v="8"/>
    <x v="8"/>
    <x v="2"/>
    <n v="409.36"/>
    <x v="4"/>
    <s v="valor_agregado_por_actividad_economica"/>
  </r>
  <r>
    <x v="9"/>
    <x v="9"/>
    <x v="2"/>
    <n v="78.760000000000005"/>
    <x v="4"/>
    <s v="valor_agregado_por_actividad_economica"/>
  </r>
  <r>
    <x v="10"/>
    <x v="10"/>
    <x v="2"/>
    <n v="25.98"/>
    <x v="4"/>
    <s v="valor_agregado_por_actividad_economica"/>
  </r>
  <r>
    <x v="11"/>
    <x v="11"/>
    <x v="2"/>
    <n v="433.74"/>
    <x v="4"/>
    <s v="valor_agregado_por_actividad_economica"/>
  </r>
  <r>
    <x v="12"/>
    <x v="12"/>
    <x v="2"/>
    <n v="185.77"/>
    <x v="4"/>
    <s v="valor_agregado_por_actividad_economica"/>
  </r>
  <r>
    <x v="13"/>
    <x v="13"/>
    <x v="2"/>
    <n v="491.58"/>
    <x v="4"/>
    <s v="valor_agregado_por_actividad_economica"/>
  </r>
  <r>
    <x v="14"/>
    <x v="14"/>
    <x v="2"/>
    <n v="354.83"/>
    <x v="4"/>
    <s v="valor_agregado_por_actividad_economica"/>
  </r>
  <r>
    <x v="15"/>
    <x v="15"/>
    <x v="2"/>
    <n v="229.48"/>
    <x v="4"/>
    <s v="valor_agregado_por_actividad_economica"/>
  </r>
  <r>
    <x v="16"/>
    <x v="16"/>
    <x v="2"/>
    <n v="141.78"/>
    <x v="4"/>
    <s v="valor_agregado_por_actividad_economica"/>
  </r>
  <r>
    <x v="17"/>
    <x v="17"/>
    <x v="2"/>
    <n v="29.87"/>
    <x v="4"/>
    <s v="valor_agregado_por_actividad_economica"/>
  </r>
  <r>
    <x v="18"/>
    <x v="18"/>
    <x v="2"/>
    <n v="167.48"/>
    <x v="4"/>
    <s v="valor_agregado_por_actividad_economica"/>
  </r>
  <r>
    <x v="19"/>
    <x v="19"/>
    <x v="2"/>
    <n v="68.14"/>
    <x v="4"/>
    <s v="valor_agregado_por_actividad_economica"/>
  </r>
  <r>
    <x v="20"/>
    <x v="20"/>
    <x v="2"/>
    <n v="11.12"/>
    <x v="4"/>
    <s v="valor_agregado_por_actividad_economica"/>
  </r>
  <r>
    <x v="21"/>
    <x v="21"/>
    <x v="2"/>
    <n v="33.42"/>
    <x v="4"/>
    <s v="valor_agregado_por_actividad_economica"/>
  </r>
  <r>
    <x v="22"/>
    <x v="22"/>
    <x v="2"/>
    <n v="79.489999999999995"/>
    <x v="4"/>
    <s v="valor_agregado_por_actividad_economica"/>
  </r>
  <r>
    <x v="23"/>
    <x v="23"/>
    <x v="2"/>
    <n v="6.61"/>
    <x v="4"/>
    <s v="valor_agregado_por_actividad_economica"/>
  </r>
  <r>
    <x v="24"/>
    <x v="24"/>
    <x v="2"/>
    <n v="47.07"/>
    <x v="4"/>
    <s v="valor_agregado_por_actividad_economica"/>
  </r>
  <r>
    <x v="25"/>
    <x v="25"/>
    <x v="2"/>
    <m/>
    <x v="4"/>
    <s v="valor_agregado_por_actividad_economica"/>
  </r>
  <r>
    <x v="0"/>
    <x v="0"/>
    <x v="5"/>
    <n v="142209.22"/>
    <x v="4"/>
    <s v="valor_agregado_por_actividad_economica"/>
  </r>
  <r>
    <x v="1"/>
    <x v="1"/>
    <x v="5"/>
    <n v="21989.360000000001"/>
    <x v="4"/>
    <s v="valor_agregado_por_actividad_economica"/>
  </r>
  <r>
    <x v="2"/>
    <x v="2"/>
    <x v="5"/>
    <n v="10607.95"/>
    <x v="4"/>
    <s v="valor_agregado_por_actividad_economica"/>
  </r>
  <r>
    <x v="3"/>
    <x v="3"/>
    <x v="5"/>
    <n v="331.87"/>
    <x v="4"/>
    <s v="valor_agregado_por_actividad_economica"/>
  </r>
  <r>
    <x v="4"/>
    <x v="4"/>
    <x v="5"/>
    <n v="4454.7299999999996"/>
    <x v="4"/>
    <s v="valor_agregado_por_actividad_economica"/>
  </r>
  <r>
    <x v="5"/>
    <x v="5"/>
    <x v="5"/>
    <n v="1179.75"/>
    <x v="4"/>
    <s v="valor_agregado_por_actividad_economica"/>
  </r>
  <r>
    <x v="6"/>
    <x v="6"/>
    <x v="5"/>
    <n v="695.27"/>
    <x v="4"/>
    <s v="valor_agregado_por_actividad_economica"/>
  </r>
  <r>
    <x v="7"/>
    <x v="7"/>
    <x v="5"/>
    <n v="399.77"/>
    <x v="4"/>
    <s v="valor_agregado_por_actividad_economica"/>
  </r>
  <r>
    <x v="8"/>
    <x v="8"/>
    <x v="5"/>
    <n v="3111.96"/>
    <x v="4"/>
    <s v="valor_agregado_por_actividad_economica"/>
  </r>
  <r>
    <x v="9"/>
    <x v="9"/>
    <x v="5"/>
    <n v="252.07"/>
    <x v="4"/>
    <s v="valor_agregado_por_actividad_economica"/>
  </r>
  <r>
    <x v="10"/>
    <x v="10"/>
    <x v="5"/>
    <n v="9723.68"/>
    <x v="4"/>
    <s v="valor_agregado_por_actividad_economica"/>
  </r>
  <r>
    <x v="11"/>
    <x v="11"/>
    <x v="5"/>
    <n v="11282.75"/>
    <x v="4"/>
    <s v="valor_agregado_por_actividad_economica"/>
  </r>
  <r>
    <x v="12"/>
    <x v="12"/>
    <x v="5"/>
    <n v="1476.55"/>
    <x v="4"/>
    <s v="valor_agregado_por_actividad_economica"/>
  </r>
  <r>
    <x v="13"/>
    <x v="13"/>
    <x v="5"/>
    <n v="5458.32"/>
    <x v="4"/>
    <s v="valor_agregado_por_actividad_economica"/>
  </r>
  <r>
    <x v="14"/>
    <x v="14"/>
    <x v="5"/>
    <n v="8357.09"/>
    <x v="4"/>
    <s v="valor_agregado_por_actividad_economica"/>
  </r>
  <r>
    <x v="15"/>
    <x v="15"/>
    <x v="5"/>
    <n v="8133.84"/>
    <x v="4"/>
    <s v="valor_agregado_por_actividad_economica"/>
  </r>
  <r>
    <x v="16"/>
    <x v="16"/>
    <x v="5"/>
    <n v="6405.94"/>
    <x v="4"/>
    <s v="valor_agregado_por_actividad_economica"/>
  </r>
  <r>
    <x v="17"/>
    <x v="17"/>
    <x v="5"/>
    <n v="5878.48"/>
    <x v="4"/>
    <s v="valor_agregado_por_actividad_economica"/>
  </r>
  <r>
    <x v="18"/>
    <x v="18"/>
    <x v="5"/>
    <n v="11396.48"/>
    <x v="4"/>
    <s v="valor_agregado_por_actividad_economica"/>
  </r>
  <r>
    <x v="19"/>
    <x v="19"/>
    <x v="5"/>
    <n v="13320.18"/>
    <x v="4"/>
    <s v="valor_agregado_por_actividad_economica"/>
  </r>
  <r>
    <x v="20"/>
    <x v="20"/>
    <x v="5"/>
    <n v="16561.66"/>
    <x v="4"/>
    <s v="valor_agregado_por_actividad_economica"/>
  </r>
  <r>
    <x v="21"/>
    <x v="21"/>
    <x v="5"/>
    <n v="624.32000000000005"/>
    <x v="4"/>
    <s v="valor_agregado_por_actividad_economica"/>
  </r>
  <r>
    <x v="22"/>
    <x v="22"/>
    <x v="5"/>
    <n v="325.29000000000002"/>
    <x v="4"/>
    <s v="valor_agregado_por_actividad_economica"/>
  </r>
  <r>
    <x v="23"/>
    <x v="23"/>
    <x v="5"/>
    <n v="241.91"/>
    <x v="4"/>
    <s v="valor_agregado_por_actividad_economica"/>
  </r>
  <r>
    <x v="24"/>
    <x v="24"/>
    <x v="5"/>
    <m/>
    <x v="4"/>
    <s v="valor_agregado_por_actividad_economica"/>
  </r>
  <r>
    <x v="25"/>
    <x v="25"/>
    <x v="5"/>
    <m/>
    <x v="4"/>
    <s v="valor_agregado_por_actividad_economica"/>
  </r>
  <r>
    <x v="0"/>
    <x v="0"/>
    <x v="3"/>
    <n v="10658.19"/>
    <x v="4"/>
    <s v="valor_agregado_por_actividad_economica"/>
  </r>
  <r>
    <x v="1"/>
    <x v="1"/>
    <x v="3"/>
    <n v="3749.1"/>
    <x v="4"/>
    <s v="valor_agregado_por_actividad_economica"/>
  </r>
  <r>
    <x v="2"/>
    <x v="2"/>
    <x v="3"/>
    <n v="1169.3599999999999"/>
    <x v="4"/>
    <s v="valor_agregado_por_actividad_economica"/>
  </r>
  <r>
    <x v="3"/>
    <x v="3"/>
    <x v="3"/>
    <m/>
    <x v="4"/>
    <s v="valor_agregado_por_actividad_economica"/>
  </r>
  <r>
    <x v="4"/>
    <x v="4"/>
    <x v="3"/>
    <n v="275.27"/>
    <x v="4"/>
    <s v="valor_agregado_por_actividad_economica"/>
  </r>
  <r>
    <x v="5"/>
    <x v="5"/>
    <x v="3"/>
    <n v="288.45999999999998"/>
    <x v="4"/>
    <s v="valor_agregado_por_actividad_economica"/>
  </r>
  <r>
    <x v="6"/>
    <x v="6"/>
    <x v="3"/>
    <n v="18.899999999999999"/>
    <x v="4"/>
    <s v="valor_agregado_por_actividad_economica"/>
  </r>
  <r>
    <x v="7"/>
    <x v="7"/>
    <x v="3"/>
    <n v="39.19"/>
    <x v="4"/>
    <s v="valor_agregado_por_actividad_economica"/>
  </r>
  <r>
    <x v="8"/>
    <x v="8"/>
    <x v="3"/>
    <n v="426.62"/>
    <x v="4"/>
    <s v="valor_agregado_por_actividad_economica"/>
  </r>
  <r>
    <x v="9"/>
    <x v="9"/>
    <x v="3"/>
    <n v="106.74"/>
    <x v="4"/>
    <s v="valor_agregado_por_actividad_economica"/>
  </r>
  <r>
    <x v="10"/>
    <x v="10"/>
    <x v="3"/>
    <m/>
    <x v="4"/>
    <s v="valor_agregado_por_actividad_economica"/>
  </r>
  <r>
    <x v="11"/>
    <x v="11"/>
    <x v="3"/>
    <n v="920.95"/>
    <x v="4"/>
    <s v="valor_agregado_por_actividad_economica"/>
  </r>
  <r>
    <x v="12"/>
    <x v="12"/>
    <x v="3"/>
    <n v="471.37"/>
    <x v="4"/>
    <s v="valor_agregado_por_actividad_economica"/>
  </r>
  <r>
    <x v="13"/>
    <x v="13"/>
    <x v="3"/>
    <n v="795.27"/>
    <x v="4"/>
    <s v="valor_agregado_por_actividad_economica"/>
  </r>
  <r>
    <x v="14"/>
    <x v="14"/>
    <x v="3"/>
    <n v="809.54"/>
    <x v="4"/>
    <s v="valor_agregado_por_actividad_economica"/>
  </r>
  <r>
    <x v="15"/>
    <x v="15"/>
    <x v="3"/>
    <n v="520.17999999999995"/>
    <x v="4"/>
    <s v="valor_agregado_por_actividad_economica"/>
  </r>
  <r>
    <x v="16"/>
    <x v="16"/>
    <x v="3"/>
    <n v="358.64"/>
    <x v="4"/>
    <s v="valor_agregado_por_actividad_economica"/>
  </r>
  <r>
    <x v="17"/>
    <x v="17"/>
    <x v="3"/>
    <n v="3.92"/>
    <x v="4"/>
    <s v="valor_agregado_por_actividad_economica"/>
  </r>
  <r>
    <x v="18"/>
    <x v="18"/>
    <x v="3"/>
    <n v="134.66999999999999"/>
    <x v="4"/>
    <s v="valor_agregado_por_actividad_economica"/>
  </r>
  <r>
    <x v="19"/>
    <x v="19"/>
    <x v="3"/>
    <n v="127.76"/>
    <x v="4"/>
    <s v="valor_agregado_por_actividad_economica"/>
  </r>
  <r>
    <x v="20"/>
    <x v="20"/>
    <x v="3"/>
    <n v="40.549999999999997"/>
    <x v="4"/>
    <s v="valor_agregado_por_actividad_economica"/>
  </r>
  <r>
    <x v="21"/>
    <x v="21"/>
    <x v="3"/>
    <n v="27.72"/>
    <x v="4"/>
    <s v="valor_agregado_por_actividad_economica"/>
  </r>
  <r>
    <x v="22"/>
    <x v="22"/>
    <x v="3"/>
    <n v="103.85"/>
    <x v="4"/>
    <s v="valor_agregado_por_actividad_economica"/>
  </r>
  <r>
    <x v="23"/>
    <x v="23"/>
    <x v="3"/>
    <n v="121.69"/>
    <x v="4"/>
    <s v="valor_agregado_por_actividad_economica"/>
  </r>
  <r>
    <x v="24"/>
    <x v="24"/>
    <x v="3"/>
    <n v="148.44"/>
    <x v="4"/>
    <s v="valor_agregado_por_actividad_economica"/>
  </r>
  <r>
    <x v="25"/>
    <x v="25"/>
    <x v="3"/>
    <m/>
    <x v="4"/>
    <s v="valor_agregado_por_actividad_economica"/>
  </r>
  <r>
    <x v="0"/>
    <x v="0"/>
    <x v="6"/>
    <m/>
    <x v="4"/>
    <s v="valor_agregado_por_actividad_economica"/>
  </r>
  <r>
    <x v="1"/>
    <x v="1"/>
    <x v="6"/>
    <m/>
    <x v="4"/>
    <s v="valor_agregado_por_actividad_economica"/>
  </r>
  <r>
    <x v="2"/>
    <x v="2"/>
    <x v="6"/>
    <m/>
    <x v="4"/>
    <s v="valor_agregado_por_actividad_economica"/>
  </r>
  <r>
    <x v="3"/>
    <x v="3"/>
    <x v="6"/>
    <m/>
    <x v="4"/>
    <s v="valor_agregado_por_actividad_economica"/>
  </r>
  <r>
    <x v="4"/>
    <x v="4"/>
    <x v="6"/>
    <m/>
    <x v="4"/>
    <s v="valor_agregado_por_actividad_economica"/>
  </r>
  <r>
    <x v="5"/>
    <x v="5"/>
    <x v="6"/>
    <m/>
    <x v="4"/>
    <s v="valor_agregado_por_actividad_economica"/>
  </r>
  <r>
    <x v="6"/>
    <x v="6"/>
    <x v="6"/>
    <m/>
    <x v="4"/>
    <s v="valor_agregado_por_actividad_economica"/>
  </r>
  <r>
    <x v="7"/>
    <x v="7"/>
    <x v="6"/>
    <m/>
    <x v="4"/>
    <s v="valor_agregado_por_actividad_economica"/>
  </r>
  <r>
    <x v="8"/>
    <x v="8"/>
    <x v="6"/>
    <m/>
    <x v="4"/>
    <s v="valor_agregado_por_actividad_economica"/>
  </r>
  <r>
    <x v="9"/>
    <x v="9"/>
    <x v="6"/>
    <m/>
    <x v="4"/>
    <s v="valor_agregado_por_actividad_economica"/>
  </r>
  <r>
    <x v="10"/>
    <x v="10"/>
    <x v="6"/>
    <m/>
    <x v="4"/>
    <s v="valor_agregado_por_actividad_economica"/>
  </r>
  <r>
    <x v="11"/>
    <x v="11"/>
    <x v="6"/>
    <m/>
    <x v="4"/>
    <s v="valor_agregado_por_actividad_economica"/>
  </r>
  <r>
    <x v="12"/>
    <x v="12"/>
    <x v="6"/>
    <m/>
    <x v="4"/>
    <s v="valor_agregado_por_actividad_economica"/>
  </r>
  <r>
    <x v="13"/>
    <x v="13"/>
    <x v="6"/>
    <m/>
    <x v="4"/>
    <s v="valor_agregado_por_actividad_economica"/>
  </r>
  <r>
    <x v="14"/>
    <x v="14"/>
    <x v="6"/>
    <m/>
    <x v="4"/>
    <s v="valor_agregado_por_actividad_economica"/>
  </r>
  <r>
    <x v="15"/>
    <x v="15"/>
    <x v="6"/>
    <m/>
    <x v="4"/>
    <s v="valor_agregado_por_actividad_economica"/>
  </r>
  <r>
    <x v="16"/>
    <x v="16"/>
    <x v="6"/>
    <m/>
    <x v="4"/>
    <s v="valor_agregado_por_actividad_economica"/>
  </r>
  <r>
    <x v="17"/>
    <x v="17"/>
    <x v="6"/>
    <m/>
    <x v="4"/>
    <s v="valor_agregado_por_actividad_economica"/>
  </r>
  <r>
    <x v="18"/>
    <x v="18"/>
    <x v="6"/>
    <m/>
    <x v="4"/>
    <s v="valor_agregado_por_actividad_economica"/>
  </r>
  <r>
    <x v="19"/>
    <x v="19"/>
    <x v="6"/>
    <m/>
    <x v="4"/>
    <s v="valor_agregado_por_actividad_economica"/>
  </r>
  <r>
    <x v="20"/>
    <x v="20"/>
    <x v="6"/>
    <m/>
    <x v="4"/>
    <s v="valor_agregado_por_actividad_economica"/>
  </r>
  <r>
    <x v="21"/>
    <x v="21"/>
    <x v="6"/>
    <m/>
    <x v="4"/>
    <s v="valor_agregado_por_actividad_economica"/>
  </r>
  <r>
    <x v="22"/>
    <x v="22"/>
    <x v="6"/>
    <m/>
    <x v="4"/>
    <s v="valor_agregado_por_actividad_economica"/>
  </r>
  <r>
    <x v="23"/>
    <x v="23"/>
    <x v="6"/>
    <m/>
    <x v="4"/>
    <s v="valor_agregado_por_actividad_economica"/>
  </r>
  <r>
    <x v="24"/>
    <x v="24"/>
    <x v="6"/>
    <m/>
    <x v="4"/>
    <s v="valor_agregado_por_actividad_economica"/>
  </r>
  <r>
    <x v="25"/>
    <x v="25"/>
    <x v="6"/>
    <m/>
    <x v="4"/>
    <s v="valor_agregado_por_actividad_economica"/>
  </r>
  <r>
    <x v="0"/>
    <x v="0"/>
    <x v="4"/>
    <n v="1486961.83"/>
    <x v="5"/>
    <s v="valor_agregado_por_actividad_economica"/>
  </r>
  <r>
    <x v="1"/>
    <x v="1"/>
    <x v="4"/>
    <n v="66280.490000000005"/>
    <x v="5"/>
    <s v="valor_agregado_por_actividad_economica"/>
  </r>
  <r>
    <x v="2"/>
    <x v="2"/>
    <x v="4"/>
    <n v="11254.38"/>
    <x v="5"/>
    <s v="valor_agregado_por_actividad_economica"/>
  </r>
  <r>
    <x v="3"/>
    <x v="3"/>
    <x v="4"/>
    <n v="1254.23"/>
    <x v="5"/>
    <s v="valor_agregado_por_actividad_economica"/>
  </r>
  <r>
    <x v="4"/>
    <x v="4"/>
    <x v="4"/>
    <n v="6421.19"/>
    <x v="5"/>
    <s v="valor_agregado_por_actividad_economica"/>
  </r>
  <r>
    <x v="5"/>
    <x v="5"/>
    <x v="4"/>
    <n v="6125.23"/>
    <x v="5"/>
    <s v="valor_agregado_por_actividad_economica"/>
  </r>
  <r>
    <x v="6"/>
    <x v="6"/>
    <x v="4"/>
    <n v="4890.38"/>
    <x v="5"/>
    <s v="valor_agregado_por_actividad_economica"/>
  </r>
  <r>
    <x v="7"/>
    <x v="7"/>
    <x v="4"/>
    <n v="6786.83"/>
    <x v="5"/>
    <s v="valor_agregado_por_actividad_economica"/>
  </r>
  <r>
    <x v="8"/>
    <x v="8"/>
    <x v="4"/>
    <n v="14374.75"/>
    <x v="5"/>
    <s v="valor_agregado_por_actividad_economica"/>
  </r>
  <r>
    <x v="9"/>
    <x v="9"/>
    <x v="4"/>
    <n v="1635.44"/>
    <x v="5"/>
    <s v="valor_agregado_por_actividad_economica"/>
  </r>
  <r>
    <x v="10"/>
    <x v="10"/>
    <x v="4"/>
    <n v="366540.13"/>
    <x v="5"/>
    <s v="valor_agregado_por_actividad_economica"/>
  </r>
  <r>
    <x v="11"/>
    <x v="11"/>
    <x v="4"/>
    <n v="306067.08"/>
    <x v="5"/>
    <s v="valor_agregado_por_actividad_economica"/>
  </r>
  <r>
    <x v="12"/>
    <x v="12"/>
    <x v="4"/>
    <n v="12401.43"/>
    <x v="5"/>
    <s v="valor_agregado_por_actividad_economica"/>
  </r>
  <r>
    <x v="13"/>
    <x v="13"/>
    <x v="4"/>
    <n v="14388.98"/>
    <x v="5"/>
    <s v="valor_agregado_por_actividad_economica"/>
  </r>
  <r>
    <x v="14"/>
    <x v="14"/>
    <x v="4"/>
    <n v="14798.44"/>
    <x v="5"/>
    <s v="valor_agregado_por_actividad_economica"/>
  </r>
  <r>
    <x v="15"/>
    <x v="15"/>
    <x v="4"/>
    <n v="43147.31"/>
    <x v="5"/>
    <s v="valor_agregado_por_actividad_economica"/>
  </r>
  <r>
    <x v="16"/>
    <x v="16"/>
    <x v="4"/>
    <n v="12785.44"/>
    <x v="5"/>
    <s v="valor_agregado_por_actividad_economica"/>
  </r>
  <r>
    <x v="17"/>
    <x v="17"/>
    <x v="4"/>
    <n v="267424.39"/>
    <x v="5"/>
    <s v="valor_agregado_por_actividad_economica"/>
  </r>
  <r>
    <x v="18"/>
    <x v="18"/>
    <x v="4"/>
    <n v="10712.68"/>
    <x v="5"/>
    <s v="valor_agregado_por_actividad_economica"/>
  </r>
  <r>
    <x v="19"/>
    <x v="19"/>
    <x v="4"/>
    <n v="18866.689999999999"/>
    <x v="5"/>
    <s v="valor_agregado_por_actividad_economica"/>
  </r>
  <r>
    <x v="20"/>
    <x v="20"/>
    <x v="4"/>
    <n v="24688.03"/>
    <x v="5"/>
    <s v="valor_agregado_por_actividad_economica"/>
  </r>
  <r>
    <x v="21"/>
    <x v="21"/>
    <x v="4"/>
    <n v="263094.63"/>
    <x v="5"/>
    <s v="valor_agregado_por_actividad_economica"/>
  </r>
  <r>
    <x v="22"/>
    <x v="22"/>
    <x v="4"/>
    <n v="3824.25"/>
    <x v="5"/>
    <s v="valor_agregado_por_actividad_economica"/>
  </r>
  <r>
    <x v="23"/>
    <x v="23"/>
    <x v="4"/>
    <n v="4427.28"/>
    <x v="5"/>
    <s v="valor_agregado_por_actividad_economica"/>
  </r>
  <r>
    <x v="24"/>
    <x v="24"/>
    <x v="4"/>
    <n v="4772.1499999999996"/>
    <x v="5"/>
    <s v="valor_agregado_por_actividad_economica"/>
  </r>
  <r>
    <x v="25"/>
    <x v="25"/>
    <x v="4"/>
    <m/>
    <x v="5"/>
    <s v="valor_agregado_por_actividad_economica"/>
  </r>
  <r>
    <x v="0"/>
    <x v="0"/>
    <x v="0"/>
    <n v="26806.54"/>
    <x v="5"/>
    <s v="valor_agregado_por_actividad_economica"/>
  </r>
  <r>
    <x v="1"/>
    <x v="1"/>
    <x v="0"/>
    <n v="8326.6200000000008"/>
    <x v="5"/>
    <s v="valor_agregado_por_actividad_economica"/>
  </r>
  <r>
    <x v="2"/>
    <x v="2"/>
    <x v="0"/>
    <n v="2389.54"/>
    <x v="5"/>
    <s v="valor_agregado_por_actividad_economica"/>
  </r>
  <r>
    <x v="3"/>
    <x v="3"/>
    <x v="0"/>
    <m/>
    <x v="5"/>
    <s v="valor_agregado_por_actividad_economica"/>
  </r>
  <r>
    <x v="4"/>
    <x v="4"/>
    <x v="0"/>
    <n v="153.84"/>
    <x v="5"/>
    <s v="valor_agregado_por_actividad_economica"/>
  </r>
  <r>
    <x v="5"/>
    <x v="5"/>
    <x v="0"/>
    <n v="61.47"/>
    <x v="5"/>
    <s v="valor_agregado_por_actividad_economica"/>
  </r>
  <r>
    <x v="6"/>
    <x v="6"/>
    <x v="0"/>
    <n v="34.909999999999997"/>
    <x v="5"/>
    <s v="valor_agregado_por_actividad_economica"/>
  </r>
  <r>
    <x v="7"/>
    <x v="7"/>
    <x v="0"/>
    <n v="2086.6"/>
    <x v="5"/>
    <s v="valor_agregado_por_actividad_economica"/>
  </r>
  <r>
    <x v="8"/>
    <x v="8"/>
    <x v="0"/>
    <n v="2073.62"/>
    <x v="5"/>
    <s v="valor_agregado_por_actividad_economica"/>
  </r>
  <r>
    <x v="9"/>
    <x v="9"/>
    <x v="0"/>
    <n v="110.31"/>
    <x v="5"/>
    <s v="valor_agregado_por_actividad_economica"/>
  </r>
  <r>
    <x v="10"/>
    <x v="10"/>
    <x v="0"/>
    <m/>
    <x v="5"/>
    <s v="valor_agregado_por_actividad_economica"/>
  </r>
  <r>
    <x v="11"/>
    <x v="11"/>
    <x v="0"/>
    <n v="3661.86"/>
    <x v="5"/>
    <s v="valor_agregado_por_actividad_economica"/>
  </r>
  <r>
    <x v="12"/>
    <x v="12"/>
    <x v="0"/>
    <n v="811.04"/>
    <x v="5"/>
    <s v="valor_agregado_por_actividad_economica"/>
  </r>
  <r>
    <x v="13"/>
    <x v="13"/>
    <x v="0"/>
    <n v="947.22"/>
    <x v="5"/>
    <s v="valor_agregado_por_actividad_economica"/>
  </r>
  <r>
    <x v="14"/>
    <x v="14"/>
    <x v="0"/>
    <n v="1147.28"/>
    <x v="5"/>
    <s v="valor_agregado_por_actividad_economica"/>
  </r>
  <r>
    <x v="15"/>
    <x v="15"/>
    <x v="0"/>
    <n v="578.77"/>
    <x v="5"/>
    <s v="valor_agregado_por_actividad_economica"/>
  </r>
  <r>
    <x v="16"/>
    <x v="16"/>
    <x v="0"/>
    <n v="1071.0999999999999"/>
    <x v="5"/>
    <s v="valor_agregado_por_actividad_economica"/>
  </r>
  <r>
    <x v="17"/>
    <x v="17"/>
    <x v="0"/>
    <n v="1.84"/>
    <x v="5"/>
    <s v="valor_agregado_por_actividad_economica"/>
  </r>
  <r>
    <x v="18"/>
    <x v="18"/>
    <x v="0"/>
    <n v="362.49"/>
    <x v="5"/>
    <s v="valor_agregado_por_actividad_economica"/>
  </r>
  <r>
    <x v="19"/>
    <x v="19"/>
    <x v="0"/>
    <n v="476.06"/>
    <x v="5"/>
    <s v="valor_agregado_por_actividad_economica"/>
  </r>
  <r>
    <x v="20"/>
    <x v="20"/>
    <x v="0"/>
    <n v="23.98"/>
    <x v="5"/>
    <s v="valor_agregado_por_actividad_economica"/>
  </r>
  <r>
    <x v="21"/>
    <x v="21"/>
    <x v="0"/>
    <n v="16.72"/>
    <x v="5"/>
    <s v="valor_agregado_por_actividad_economica"/>
  </r>
  <r>
    <x v="22"/>
    <x v="22"/>
    <x v="0"/>
    <n v="234.01"/>
    <x v="5"/>
    <s v="valor_agregado_por_actividad_economica"/>
  </r>
  <r>
    <x v="23"/>
    <x v="23"/>
    <x v="0"/>
    <n v="53.27"/>
    <x v="5"/>
    <s v="valor_agregado_por_actividad_economica"/>
  </r>
  <r>
    <x v="24"/>
    <x v="24"/>
    <x v="0"/>
    <n v="695.92"/>
    <x v="5"/>
    <s v="valor_agregado_por_actividad_economica"/>
  </r>
  <r>
    <x v="25"/>
    <x v="25"/>
    <x v="0"/>
    <n v="1488.07"/>
    <x v="5"/>
    <s v="valor_agregado_por_actividad_economica"/>
  </r>
  <r>
    <x v="0"/>
    <x v="0"/>
    <x v="1"/>
    <n v="31190.77"/>
    <x v="5"/>
    <s v="valor_agregado_por_actividad_economica"/>
  </r>
  <r>
    <x v="1"/>
    <x v="1"/>
    <x v="1"/>
    <n v="8135.3"/>
    <x v="5"/>
    <s v="valor_agregado_por_actividad_economica"/>
  </r>
  <r>
    <x v="2"/>
    <x v="2"/>
    <x v="1"/>
    <n v="1575.25"/>
    <x v="5"/>
    <s v="valor_agregado_por_actividad_economica"/>
  </r>
  <r>
    <x v="3"/>
    <x v="3"/>
    <x v="1"/>
    <m/>
    <x v="5"/>
    <s v="valor_agregado_por_actividad_economica"/>
  </r>
  <r>
    <x v="4"/>
    <x v="4"/>
    <x v="1"/>
    <n v="649.01"/>
    <x v="5"/>
    <s v="valor_agregado_por_actividad_economica"/>
  </r>
  <r>
    <x v="5"/>
    <x v="5"/>
    <x v="1"/>
    <n v="1187.79"/>
    <x v="5"/>
    <s v="valor_agregado_por_actividad_economica"/>
  </r>
  <r>
    <x v="6"/>
    <x v="6"/>
    <x v="1"/>
    <n v="189.88"/>
    <x v="5"/>
    <s v="valor_agregado_por_actividad_economica"/>
  </r>
  <r>
    <x v="7"/>
    <x v="7"/>
    <x v="1"/>
    <n v="144.12"/>
    <x v="5"/>
    <s v="valor_agregado_por_actividad_economica"/>
  </r>
  <r>
    <x v="8"/>
    <x v="8"/>
    <x v="1"/>
    <n v="1125.8399999999999"/>
    <x v="5"/>
    <s v="valor_agregado_por_actividad_economica"/>
  </r>
  <r>
    <x v="9"/>
    <x v="9"/>
    <x v="1"/>
    <n v="423.47"/>
    <x v="5"/>
    <s v="valor_agregado_por_actividad_economica"/>
  </r>
  <r>
    <x v="10"/>
    <x v="10"/>
    <x v="1"/>
    <n v="1491.62"/>
    <x v="5"/>
    <s v="valor_agregado_por_actividad_economica"/>
  </r>
  <r>
    <x v="11"/>
    <x v="11"/>
    <x v="1"/>
    <n v="4130.18"/>
    <x v="5"/>
    <s v="valor_agregado_por_actividad_economica"/>
  </r>
  <r>
    <x v="12"/>
    <x v="12"/>
    <x v="1"/>
    <n v="1557.18"/>
    <x v="5"/>
    <s v="valor_agregado_por_actividad_economica"/>
  </r>
  <r>
    <x v="13"/>
    <x v="13"/>
    <x v="1"/>
    <n v="1603.93"/>
    <x v="5"/>
    <s v="valor_agregado_por_actividad_economica"/>
  </r>
  <r>
    <x v="14"/>
    <x v="14"/>
    <x v="1"/>
    <n v="1919.76"/>
    <x v="5"/>
    <s v="valor_agregado_por_actividad_economica"/>
  </r>
  <r>
    <x v="15"/>
    <x v="15"/>
    <x v="1"/>
    <n v="1050.46"/>
    <x v="5"/>
    <s v="valor_agregado_por_actividad_economica"/>
  </r>
  <r>
    <x v="16"/>
    <x v="16"/>
    <x v="1"/>
    <n v="811.81"/>
    <x v="5"/>
    <s v="valor_agregado_por_actividad_economica"/>
  </r>
  <r>
    <x v="17"/>
    <x v="17"/>
    <x v="1"/>
    <m/>
    <x v="5"/>
    <s v="valor_agregado_por_actividad_economica"/>
  </r>
  <r>
    <x v="18"/>
    <x v="18"/>
    <x v="1"/>
    <n v="732.56"/>
    <x v="5"/>
    <s v="valor_agregado_por_actividad_economica"/>
  </r>
  <r>
    <x v="19"/>
    <x v="19"/>
    <x v="1"/>
    <n v="350.24"/>
    <x v="5"/>
    <s v="valor_agregado_por_actividad_economica"/>
  </r>
  <r>
    <x v="20"/>
    <x v="20"/>
    <x v="1"/>
    <n v="281.57"/>
    <x v="5"/>
    <s v="valor_agregado_por_actividad_economica"/>
  </r>
  <r>
    <x v="21"/>
    <x v="21"/>
    <x v="1"/>
    <n v="220.39"/>
    <x v="5"/>
    <s v="valor_agregado_por_actividad_economica"/>
  </r>
  <r>
    <x v="22"/>
    <x v="22"/>
    <x v="1"/>
    <n v="393.56"/>
    <x v="5"/>
    <s v="valor_agregado_por_actividad_economica"/>
  </r>
  <r>
    <x v="23"/>
    <x v="23"/>
    <x v="1"/>
    <n v="3216.85"/>
    <x v="5"/>
    <s v="valor_agregado_por_actividad_economica"/>
  </r>
  <r>
    <x v="24"/>
    <x v="24"/>
    <x v="1"/>
    <m/>
    <x v="5"/>
    <s v="valor_agregado_por_actividad_economica"/>
  </r>
  <r>
    <x v="25"/>
    <x v="25"/>
    <x v="1"/>
    <m/>
    <x v="5"/>
    <s v="valor_agregado_por_actividad_economica"/>
  </r>
  <r>
    <x v="0"/>
    <x v="0"/>
    <x v="2"/>
    <n v="7836.9"/>
    <x v="5"/>
    <s v="valor_agregado_por_actividad_economica"/>
  </r>
  <r>
    <x v="1"/>
    <x v="1"/>
    <x v="2"/>
    <n v="3345.03"/>
    <x v="5"/>
    <s v="valor_agregado_por_actividad_economica"/>
  </r>
  <r>
    <x v="2"/>
    <x v="2"/>
    <x v="2"/>
    <n v="425.42"/>
    <x v="5"/>
    <s v="valor_agregado_por_actividad_economica"/>
  </r>
  <r>
    <x v="3"/>
    <x v="3"/>
    <x v="2"/>
    <n v="-2.19"/>
    <x v="5"/>
    <s v="valor_agregado_por_actividad_economica"/>
  </r>
  <r>
    <x v="4"/>
    <x v="4"/>
    <x v="2"/>
    <n v="140.49"/>
    <x v="5"/>
    <s v="valor_agregado_por_actividad_economica"/>
  </r>
  <r>
    <x v="5"/>
    <x v="5"/>
    <x v="2"/>
    <n v="47.92"/>
    <x v="5"/>
    <s v="valor_agregado_por_actividad_economica"/>
  </r>
  <r>
    <x v="6"/>
    <x v="6"/>
    <x v="2"/>
    <n v="29.34"/>
    <x v="5"/>
    <s v="valor_agregado_por_actividad_economica"/>
  </r>
  <r>
    <x v="7"/>
    <x v="7"/>
    <x v="2"/>
    <n v="168.1"/>
    <x v="5"/>
    <s v="valor_agregado_por_actividad_economica"/>
  </r>
  <r>
    <x v="8"/>
    <x v="8"/>
    <x v="2"/>
    <n v="452.25"/>
    <x v="5"/>
    <s v="valor_agregado_por_actividad_economica"/>
  </r>
  <r>
    <x v="9"/>
    <x v="9"/>
    <x v="2"/>
    <n v="66.930000000000007"/>
    <x v="5"/>
    <s v="valor_agregado_por_actividad_economica"/>
  </r>
  <r>
    <x v="10"/>
    <x v="10"/>
    <x v="2"/>
    <n v="33.71"/>
    <x v="5"/>
    <s v="valor_agregado_por_actividad_economica"/>
  </r>
  <r>
    <x v="11"/>
    <x v="11"/>
    <x v="2"/>
    <n v="622.75"/>
    <x v="5"/>
    <s v="valor_agregado_por_actividad_economica"/>
  </r>
  <r>
    <x v="12"/>
    <x v="12"/>
    <x v="2"/>
    <n v="189.14"/>
    <x v="5"/>
    <s v="valor_agregado_por_actividad_economica"/>
  </r>
  <r>
    <x v="13"/>
    <x v="13"/>
    <x v="2"/>
    <n v="546.76"/>
    <x v="5"/>
    <s v="valor_agregado_por_actividad_economica"/>
  </r>
  <r>
    <x v="14"/>
    <x v="14"/>
    <x v="2"/>
    <n v="536.22"/>
    <x v="5"/>
    <s v="valor_agregado_por_actividad_economica"/>
  </r>
  <r>
    <x v="15"/>
    <x v="15"/>
    <x v="2"/>
    <n v="432.02"/>
    <x v="5"/>
    <s v="valor_agregado_por_actividad_economica"/>
  </r>
  <r>
    <x v="16"/>
    <x v="16"/>
    <x v="2"/>
    <n v="186.66"/>
    <x v="5"/>
    <s v="valor_agregado_por_actividad_economica"/>
  </r>
  <r>
    <x v="17"/>
    <x v="17"/>
    <x v="2"/>
    <n v="37.31"/>
    <x v="5"/>
    <s v="valor_agregado_por_actividad_economica"/>
  </r>
  <r>
    <x v="18"/>
    <x v="18"/>
    <x v="2"/>
    <n v="195.9"/>
    <x v="5"/>
    <s v="valor_agregado_por_actividad_economica"/>
  </r>
  <r>
    <x v="19"/>
    <x v="19"/>
    <x v="2"/>
    <n v="63.59"/>
    <x v="5"/>
    <s v="valor_agregado_por_actividad_economica"/>
  </r>
  <r>
    <x v="20"/>
    <x v="20"/>
    <x v="2"/>
    <n v="34.619999999999997"/>
    <x v="5"/>
    <s v="valor_agregado_por_actividad_economica"/>
  </r>
  <r>
    <x v="21"/>
    <x v="21"/>
    <x v="2"/>
    <n v="40.090000000000003"/>
    <x v="5"/>
    <s v="valor_agregado_por_actividad_economica"/>
  </r>
  <r>
    <x v="22"/>
    <x v="22"/>
    <x v="2"/>
    <n v="90.03"/>
    <x v="5"/>
    <s v="valor_agregado_por_actividad_economica"/>
  </r>
  <r>
    <x v="23"/>
    <x v="23"/>
    <x v="2"/>
    <n v="7.49"/>
    <x v="5"/>
    <s v="valor_agregado_por_actividad_economica"/>
  </r>
  <r>
    <x v="24"/>
    <x v="24"/>
    <x v="2"/>
    <n v="147.32"/>
    <x v="5"/>
    <s v="valor_agregado_por_actividad_economica"/>
  </r>
  <r>
    <x v="25"/>
    <x v="25"/>
    <x v="2"/>
    <m/>
    <x v="5"/>
    <s v="valor_agregado_por_actividad_economica"/>
  </r>
  <r>
    <x v="0"/>
    <x v="0"/>
    <x v="5"/>
    <n v="186302.5"/>
    <x v="5"/>
    <s v="valor_agregado_por_actividad_economica"/>
  </r>
  <r>
    <x v="1"/>
    <x v="1"/>
    <x v="5"/>
    <n v="28000.81"/>
    <x v="5"/>
    <s v="valor_agregado_por_actividad_economica"/>
  </r>
  <r>
    <x v="2"/>
    <x v="2"/>
    <x v="5"/>
    <n v="12597.51"/>
    <x v="5"/>
    <s v="valor_agregado_por_actividad_economica"/>
  </r>
  <r>
    <x v="3"/>
    <x v="3"/>
    <x v="5"/>
    <n v="431.68"/>
    <x v="5"/>
    <s v="valor_agregado_por_actividad_economica"/>
  </r>
  <r>
    <x v="4"/>
    <x v="4"/>
    <x v="5"/>
    <n v="7723.25"/>
    <x v="5"/>
    <s v="valor_agregado_por_actividad_economica"/>
  </r>
  <r>
    <x v="5"/>
    <x v="5"/>
    <x v="5"/>
    <n v="2245.83"/>
    <x v="5"/>
    <s v="valor_agregado_por_actividad_economica"/>
  </r>
  <r>
    <x v="6"/>
    <x v="6"/>
    <x v="5"/>
    <n v="1319.12"/>
    <x v="5"/>
    <s v="valor_agregado_por_actividad_economica"/>
  </r>
  <r>
    <x v="7"/>
    <x v="7"/>
    <x v="5"/>
    <n v="1379.57"/>
    <x v="5"/>
    <s v="valor_agregado_por_actividad_economica"/>
  </r>
  <r>
    <x v="8"/>
    <x v="8"/>
    <x v="5"/>
    <n v="4407.6400000000003"/>
    <x v="5"/>
    <s v="valor_agregado_por_actividad_economica"/>
  </r>
  <r>
    <x v="9"/>
    <x v="9"/>
    <x v="5"/>
    <n v="295.74"/>
    <x v="5"/>
    <s v="valor_agregado_por_actividad_economica"/>
  </r>
  <r>
    <x v="10"/>
    <x v="10"/>
    <x v="5"/>
    <n v="9924.4599999999991"/>
    <x v="5"/>
    <s v="valor_agregado_por_actividad_economica"/>
  </r>
  <r>
    <x v="11"/>
    <x v="11"/>
    <x v="5"/>
    <n v="14550.83"/>
    <x v="5"/>
    <s v="valor_agregado_por_actividad_economica"/>
  </r>
  <r>
    <x v="12"/>
    <x v="12"/>
    <x v="5"/>
    <n v="1861.54"/>
    <x v="5"/>
    <s v="valor_agregado_por_actividad_economica"/>
  </r>
  <r>
    <x v="13"/>
    <x v="13"/>
    <x v="5"/>
    <n v="9150.83"/>
    <x v="5"/>
    <s v="valor_agregado_por_actividad_economica"/>
  </r>
  <r>
    <x v="14"/>
    <x v="14"/>
    <x v="5"/>
    <n v="11072.43"/>
    <x v="5"/>
    <s v="valor_agregado_por_actividad_economica"/>
  </r>
  <r>
    <x v="15"/>
    <x v="15"/>
    <x v="5"/>
    <n v="13262.12"/>
    <x v="5"/>
    <s v="valor_agregado_por_actividad_economica"/>
  </r>
  <r>
    <x v="16"/>
    <x v="16"/>
    <x v="5"/>
    <n v="10651.65"/>
    <x v="5"/>
    <s v="valor_agregado_por_actividad_economica"/>
  </r>
  <r>
    <x v="17"/>
    <x v="17"/>
    <x v="5"/>
    <n v="6977.41"/>
    <x v="5"/>
    <s v="valor_agregado_por_actividad_economica"/>
  </r>
  <r>
    <x v="18"/>
    <x v="18"/>
    <x v="5"/>
    <n v="13506.4"/>
    <x v="5"/>
    <s v="valor_agregado_por_actividad_economica"/>
  </r>
  <r>
    <x v="19"/>
    <x v="19"/>
    <x v="5"/>
    <n v="16521.22"/>
    <x v="5"/>
    <s v="valor_agregado_por_actividad_economica"/>
  </r>
  <r>
    <x v="20"/>
    <x v="20"/>
    <x v="5"/>
    <n v="18361.23"/>
    <x v="5"/>
    <s v="valor_agregado_por_actividad_economica"/>
  </r>
  <r>
    <x v="21"/>
    <x v="21"/>
    <x v="5"/>
    <n v="901.08"/>
    <x v="5"/>
    <s v="valor_agregado_por_actividad_economica"/>
  </r>
  <r>
    <x v="22"/>
    <x v="22"/>
    <x v="5"/>
    <n v="955.43"/>
    <x v="5"/>
    <s v="valor_agregado_por_actividad_economica"/>
  </r>
  <r>
    <x v="23"/>
    <x v="23"/>
    <x v="5"/>
    <n v="204.72"/>
    <x v="5"/>
    <s v="valor_agregado_por_actividad_economica"/>
  </r>
  <r>
    <x v="24"/>
    <x v="24"/>
    <x v="5"/>
    <m/>
    <x v="5"/>
    <s v="valor_agregado_por_actividad_economica"/>
  </r>
  <r>
    <x v="25"/>
    <x v="25"/>
    <x v="5"/>
    <m/>
    <x v="5"/>
    <s v="valor_agregado_por_actividad_economica"/>
  </r>
  <r>
    <x v="0"/>
    <x v="0"/>
    <x v="3"/>
    <m/>
    <x v="5"/>
    <s v="valor_agregado_por_actividad_economica"/>
  </r>
  <r>
    <x v="1"/>
    <x v="1"/>
    <x v="3"/>
    <m/>
    <x v="5"/>
    <s v="valor_agregado_por_actividad_economica"/>
  </r>
  <r>
    <x v="2"/>
    <x v="2"/>
    <x v="3"/>
    <m/>
    <x v="5"/>
    <s v="valor_agregado_por_actividad_economica"/>
  </r>
  <r>
    <x v="3"/>
    <x v="3"/>
    <x v="3"/>
    <m/>
    <x v="5"/>
    <s v="valor_agregado_por_actividad_economica"/>
  </r>
  <r>
    <x v="4"/>
    <x v="4"/>
    <x v="3"/>
    <m/>
    <x v="5"/>
    <s v="valor_agregado_por_actividad_economica"/>
  </r>
  <r>
    <x v="5"/>
    <x v="5"/>
    <x v="3"/>
    <m/>
    <x v="5"/>
    <s v="valor_agregado_por_actividad_economica"/>
  </r>
  <r>
    <x v="6"/>
    <x v="6"/>
    <x v="3"/>
    <m/>
    <x v="5"/>
    <s v="valor_agregado_por_actividad_economica"/>
  </r>
  <r>
    <x v="7"/>
    <x v="7"/>
    <x v="3"/>
    <m/>
    <x v="5"/>
    <s v="valor_agregado_por_actividad_economica"/>
  </r>
  <r>
    <x v="8"/>
    <x v="8"/>
    <x v="3"/>
    <m/>
    <x v="5"/>
    <s v="valor_agregado_por_actividad_economica"/>
  </r>
  <r>
    <x v="9"/>
    <x v="9"/>
    <x v="3"/>
    <m/>
    <x v="5"/>
    <s v="valor_agregado_por_actividad_economica"/>
  </r>
  <r>
    <x v="10"/>
    <x v="10"/>
    <x v="3"/>
    <m/>
    <x v="5"/>
    <s v="valor_agregado_por_actividad_economica"/>
  </r>
  <r>
    <x v="11"/>
    <x v="11"/>
    <x v="3"/>
    <m/>
    <x v="5"/>
    <s v="valor_agregado_por_actividad_economica"/>
  </r>
  <r>
    <x v="12"/>
    <x v="12"/>
    <x v="3"/>
    <m/>
    <x v="5"/>
    <s v="valor_agregado_por_actividad_economica"/>
  </r>
  <r>
    <x v="13"/>
    <x v="13"/>
    <x v="3"/>
    <m/>
    <x v="5"/>
    <s v="valor_agregado_por_actividad_economica"/>
  </r>
  <r>
    <x v="14"/>
    <x v="14"/>
    <x v="3"/>
    <m/>
    <x v="5"/>
    <s v="valor_agregado_por_actividad_economica"/>
  </r>
  <r>
    <x v="15"/>
    <x v="15"/>
    <x v="3"/>
    <m/>
    <x v="5"/>
    <s v="valor_agregado_por_actividad_economica"/>
  </r>
  <r>
    <x v="16"/>
    <x v="16"/>
    <x v="3"/>
    <m/>
    <x v="5"/>
    <s v="valor_agregado_por_actividad_economica"/>
  </r>
  <r>
    <x v="17"/>
    <x v="17"/>
    <x v="3"/>
    <m/>
    <x v="5"/>
    <s v="valor_agregado_por_actividad_economica"/>
  </r>
  <r>
    <x v="18"/>
    <x v="18"/>
    <x v="3"/>
    <m/>
    <x v="5"/>
    <s v="valor_agregado_por_actividad_economica"/>
  </r>
  <r>
    <x v="19"/>
    <x v="19"/>
    <x v="3"/>
    <m/>
    <x v="5"/>
    <s v="valor_agregado_por_actividad_economica"/>
  </r>
  <r>
    <x v="20"/>
    <x v="20"/>
    <x v="3"/>
    <m/>
    <x v="5"/>
    <s v="valor_agregado_por_actividad_economica"/>
  </r>
  <r>
    <x v="21"/>
    <x v="21"/>
    <x v="3"/>
    <m/>
    <x v="5"/>
    <s v="valor_agregado_por_actividad_economica"/>
  </r>
  <r>
    <x v="22"/>
    <x v="22"/>
    <x v="3"/>
    <m/>
    <x v="5"/>
    <s v="valor_agregado_por_actividad_economica"/>
  </r>
  <r>
    <x v="23"/>
    <x v="23"/>
    <x v="3"/>
    <m/>
    <x v="5"/>
    <s v="valor_agregado_por_actividad_economica"/>
  </r>
  <r>
    <x v="24"/>
    <x v="24"/>
    <x v="3"/>
    <m/>
    <x v="5"/>
    <s v="valor_agregado_por_actividad_economica"/>
  </r>
  <r>
    <x v="25"/>
    <x v="25"/>
    <x v="3"/>
    <m/>
    <x v="5"/>
    <s v="valor_agregado_por_actividad_economica"/>
  </r>
  <r>
    <x v="0"/>
    <x v="0"/>
    <x v="6"/>
    <m/>
    <x v="5"/>
    <s v="valor_agregado_por_actividad_economica"/>
  </r>
  <r>
    <x v="1"/>
    <x v="1"/>
    <x v="6"/>
    <m/>
    <x v="5"/>
    <s v="valor_agregado_por_actividad_economica"/>
  </r>
  <r>
    <x v="2"/>
    <x v="2"/>
    <x v="6"/>
    <m/>
    <x v="5"/>
    <s v="valor_agregado_por_actividad_economica"/>
  </r>
  <r>
    <x v="3"/>
    <x v="3"/>
    <x v="6"/>
    <m/>
    <x v="5"/>
    <s v="valor_agregado_por_actividad_economica"/>
  </r>
  <r>
    <x v="4"/>
    <x v="4"/>
    <x v="6"/>
    <m/>
    <x v="5"/>
    <s v="valor_agregado_por_actividad_economica"/>
  </r>
  <r>
    <x v="5"/>
    <x v="5"/>
    <x v="6"/>
    <m/>
    <x v="5"/>
    <s v="valor_agregado_por_actividad_economica"/>
  </r>
  <r>
    <x v="6"/>
    <x v="6"/>
    <x v="6"/>
    <m/>
    <x v="5"/>
    <s v="valor_agregado_por_actividad_economica"/>
  </r>
  <r>
    <x v="7"/>
    <x v="7"/>
    <x v="6"/>
    <m/>
    <x v="5"/>
    <s v="valor_agregado_por_actividad_economica"/>
  </r>
  <r>
    <x v="8"/>
    <x v="8"/>
    <x v="6"/>
    <m/>
    <x v="5"/>
    <s v="valor_agregado_por_actividad_economica"/>
  </r>
  <r>
    <x v="9"/>
    <x v="9"/>
    <x v="6"/>
    <m/>
    <x v="5"/>
    <s v="valor_agregado_por_actividad_economica"/>
  </r>
  <r>
    <x v="10"/>
    <x v="10"/>
    <x v="6"/>
    <m/>
    <x v="5"/>
    <s v="valor_agregado_por_actividad_economica"/>
  </r>
  <r>
    <x v="11"/>
    <x v="11"/>
    <x v="6"/>
    <m/>
    <x v="5"/>
    <s v="valor_agregado_por_actividad_economica"/>
  </r>
  <r>
    <x v="12"/>
    <x v="12"/>
    <x v="6"/>
    <m/>
    <x v="5"/>
    <s v="valor_agregado_por_actividad_economica"/>
  </r>
  <r>
    <x v="13"/>
    <x v="13"/>
    <x v="6"/>
    <m/>
    <x v="5"/>
    <s v="valor_agregado_por_actividad_economica"/>
  </r>
  <r>
    <x v="14"/>
    <x v="14"/>
    <x v="6"/>
    <m/>
    <x v="5"/>
    <s v="valor_agregado_por_actividad_economica"/>
  </r>
  <r>
    <x v="15"/>
    <x v="15"/>
    <x v="6"/>
    <m/>
    <x v="5"/>
    <s v="valor_agregado_por_actividad_economica"/>
  </r>
  <r>
    <x v="16"/>
    <x v="16"/>
    <x v="6"/>
    <m/>
    <x v="5"/>
    <s v="valor_agregado_por_actividad_economica"/>
  </r>
  <r>
    <x v="17"/>
    <x v="17"/>
    <x v="6"/>
    <m/>
    <x v="5"/>
    <s v="valor_agregado_por_actividad_economica"/>
  </r>
  <r>
    <x v="18"/>
    <x v="18"/>
    <x v="6"/>
    <m/>
    <x v="5"/>
    <s v="valor_agregado_por_actividad_economica"/>
  </r>
  <r>
    <x v="19"/>
    <x v="19"/>
    <x v="6"/>
    <m/>
    <x v="5"/>
    <s v="valor_agregado_por_actividad_economica"/>
  </r>
  <r>
    <x v="20"/>
    <x v="20"/>
    <x v="6"/>
    <m/>
    <x v="5"/>
    <s v="valor_agregado_por_actividad_economica"/>
  </r>
  <r>
    <x v="21"/>
    <x v="21"/>
    <x v="6"/>
    <m/>
    <x v="5"/>
    <s v="valor_agregado_por_actividad_economica"/>
  </r>
  <r>
    <x v="22"/>
    <x v="22"/>
    <x v="6"/>
    <m/>
    <x v="5"/>
    <s v="valor_agregado_por_actividad_economica"/>
  </r>
  <r>
    <x v="23"/>
    <x v="23"/>
    <x v="6"/>
    <m/>
    <x v="5"/>
    <s v="valor_agregado_por_actividad_economica"/>
  </r>
  <r>
    <x v="24"/>
    <x v="24"/>
    <x v="6"/>
    <m/>
    <x v="5"/>
    <s v="valor_agregado_por_actividad_economica"/>
  </r>
  <r>
    <x v="25"/>
    <x v="25"/>
    <x v="6"/>
    <m/>
    <x v="5"/>
    <s v="valor_agregado_por_actividad_economica"/>
  </r>
  <r>
    <x v="0"/>
    <x v="0"/>
    <x v="4"/>
    <n v="1656870.71"/>
    <x v="6"/>
    <s v="valor_agregado_por_actividad_economica"/>
  </r>
  <r>
    <x v="1"/>
    <x v="1"/>
    <x v="4"/>
    <n v="85765.72"/>
    <x v="6"/>
    <s v="valor_agregado_por_actividad_economica"/>
  </r>
  <r>
    <x v="2"/>
    <x v="2"/>
    <x v="4"/>
    <n v="15206.84"/>
    <x v="6"/>
    <s v="valor_agregado_por_actividad_economica"/>
  </r>
  <r>
    <x v="3"/>
    <x v="3"/>
    <x v="4"/>
    <n v="1605.87"/>
    <x v="6"/>
    <s v="valor_agregado_por_actividad_economica"/>
  </r>
  <r>
    <x v="4"/>
    <x v="4"/>
    <x v="4"/>
    <n v="7318.05"/>
    <x v="6"/>
    <s v="valor_agregado_por_actividad_economica"/>
  </r>
  <r>
    <x v="5"/>
    <x v="5"/>
    <x v="4"/>
    <n v="7193.11"/>
    <x v="6"/>
    <s v="valor_agregado_por_actividad_economica"/>
  </r>
  <r>
    <x v="6"/>
    <x v="6"/>
    <x v="4"/>
    <n v="6283.81"/>
    <x v="6"/>
    <s v="valor_agregado_por_actividad_economica"/>
  </r>
  <r>
    <x v="7"/>
    <x v="7"/>
    <x v="4"/>
    <n v="5822.17"/>
    <x v="6"/>
    <s v="valor_agregado_por_actividad_economica"/>
  </r>
  <r>
    <x v="8"/>
    <x v="8"/>
    <x v="4"/>
    <n v="17430.009999999998"/>
    <x v="6"/>
    <s v="valor_agregado_por_actividad_economica"/>
  </r>
  <r>
    <x v="9"/>
    <x v="9"/>
    <x v="4"/>
    <n v="1840.71"/>
    <x v="6"/>
    <s v="valor_agregado_por_actividad_economica"/>
  </r>
  <r>
    <x v="10"/>
    <x v="10"/>
    <x v="4"/>
    <n v="427206.33"/>
    <x v="6"/>
    <s v="valor_agregado_por_actividad_economica"/>
  </r>
  <r>
    <x v="11"/>
    <x v="11"/>
    <x v="4"/>
    <n v="330303.15999999997"/>
    <x v="6"/>
    <s v="valor_agregado_por_actividad_economica"/>
  </r>
  <r>
    <x v="12"/>
    <x v="12"/>
    <x v="4"/>
    <n v="14108.31"/>
    <x v="6"/>
    <s v="valor_agregado_por_actividad_economica"/>
  </r>
  <r>
    <x v="13"/>
    <x v="13"/>
    <x v="4"/>
    <n v="16428.560000000001"/>
    <x v="6"/>
    <s v="valor_agregado_por_actividad_economica"/>
  </r>
  <r>
    <x v="14"/>
    <x v="14"/>
    <x v="4"/>
    <n v="17683.07"/>
    <x v="6"/>
    <s v="valor_agregado_por_actividad_economica"/>
  </r>
  <r>
    <x v="15"/>
    <x v="15"/>
    <x v="4"/>
    <n v="36397.040000000001"/>
    <x v="6"/>
    <s v="valor_agregado_por_actividad_economica"/>
  </r>
  <r>
    <x v="16"/>
    <x v="16"/>
    <x v="4"/>
    <n v="15401.51"/>
    <x v="6"/>
    <s v="valor_agregado_por_actividad_economica"/>
  </r>
  <r>
    <x v="17"/>
    <x v="17"/>
    <x v="4"/>
    <n v="280999.37"/>
    <x v="6"/>
    <s v="valor_agregado_por_actividad_economica"/>
  </r>
  <r>
    <x v="18"/>
    <x v="18"/>
    <x v="4"/>
    <n v="13273.29"/>
    <x v="6"/>
    <s v="valor_agregado_por_actividad_economica"/>
  </r>
  <r>
    <x v="19"/>
    <x v="19"/>
    <x v="4"/>
    <n v="29217.39"/>
    <x v="6"/>
    <s v="valor_agregado_por_actividad_economica"/>
  </r>
  <r>
    <x v="20"/>
    <x v="20"/>
    <x v="4"/>
    <n v="38766.68"/>
    <x v="6"/>
    <s v="valor_agregado_por_actividad_economica"/>
  </r>
  <r>
    <x v="21"/>
    <x v="21"/>
    <x v="4"/>
    <n v="273476.67"/>
    <x v="6"/>
    <s v="valor_agregado_por_actividad_economica"/>
  </r>
  <r>
    <x v="22"/>
    <x v="22"/>
    <x v="4"/>
    <n v="4361.5"/>
    <x v="6"/>
    <s v="valor_agregado_por_actividad_economica"/>
  </r>
  <r>
    <x v="23"/>
    <x v="23"/>
    <x v="4"/>
    <n v="4976.6499999999996"/>
    <x v="6"/>
    <s v="valor_agregado_por_actividad_economica"/>
  </r>
  <r>
    <x v="24"/>
    <x v="24"/>
    <x v="4"/>
    <n v="5804.89"/>
    <x v="6"/>
    <s v="valor_agregado_por_actividad_economica"/>
  </r>
  <r>
    <x v="25"/>
    <x v="25"/>
    <x v="4"/>
    <m/>
    <x v="6"/>
    <s v="valor_agregado_por_actividad_economica"/>
  </r>
  <r>
    <x v="0"/>
    <x v="0"/>
    <x v="0"/>
    <n v="24124.83"/>
    <x v="6"/>
    <s v="valor_agregado_por_actividad_economica"/>
  </r>
  <r>
    <x v="1"/>
    <x v="1"/>
    <x v="0"/>
    <n v="5589.5"/>
    <x v="6"/>
    <s v="valor_agregado_por_actividad_economica"/>
  </r>
  <r>
    <x v="2"/>
    <x v="2"/>
    <x v="0"/>
    <n v="3274.24"/>
    <x v="6"/>
    <s v="valor_agregado_por_actividad_economica"/>
  </r>
  <r>
    <x v="3"/>
    <x v="3"/>
    <x v="0"/>
    <m/>
    <x v="6"/>
    <s v="valor_agregado_por_actividad_economica"/>
  </r>
  <r>
    <x v="4"/>
    <x v="4"/>
    <x v="0"/>
    <n v="127.94"/>
    <x v="6"/>
    <s v="valor_agregado_por_actividad_economica"/>
  </r>
  <r>
    <x v="5"/>
    <x v="5"/>
    <x v="0"/>
    <n v="52.75"/>
    <x v="6"/>
    <s v="valor_agregado_por_actividad_economica"/>
  </r>
  <r>
    <x v="6"/>
    <x v="6"/>
    <x v="0"/>
    <n v="25.73"/>
    <x v="6"/>
    <s v="valor_agregado_por_actividad_economica"/>
  </r>
  <r>
    <x v="7"/>
    <x v="7"/>
    <x v="0"/>
    <n v="1957.27"/>
    <x v="6"/>
    <s v="valor_agregado_por_actividad_economica"/>
  </r>
  <r>
    <x v="8"/>
    <x v="8"/>
    <x v="0"/>
    <n v="1631.84"/>
    <x v="6"/>
    <s v="valor_agregado_por_actividad_economica"/>
  </r>
  <r>
    <x v="9"/>
    <x v="9"/>
    <x v="0"/>
    <n v="102.09"/>
    <x v="6"/>
    <s v="valor_agregado_por_actividad_economica"/>
  </r>
  <r>
    <x v="10"/>
    <x v="10"/>
    <x v="0"/>
    <m/>
    <x v="6"/>
    <s v="valor_agregado_por_actividad_economica"/>
  </r>
  <r>
    <x v="11"/>
    <x v="11"/>
    <x v="0"/>
    <n v="4025.79"/>
    <x v="6"/>
    <s v="valor_agregado_por_actividad_economica"/>
  </r>
  <r>
    <x v="12"/>
    <x v="12"/>
    <x v="0"/>
    <n v="629.34"/>
    <x v="6"/>
    <s v="valor_agregado_por_actividad_economica"/>
  </r>
  <r>
    <x v="13"/>
    <x v="13"/>
    <x v="0"/>
    <n v="924.35"/>
    <x v="6"/>
    <s v="valor_agregado_por_actividad_economica"/>
  </r>
  <r>
    <x v="14"/>
    <x v="14"/>
    <x v="0"/>
    <n v="858.07"/>
    <x v="6"/>
    <s v="valor_agregado_por_actividad_economica"/>
  </r>
  <r>
    <x v="15"/>
    <x v="15"/>
    <x v="0"/>
    <n v="281.94"/>
    <x v="6"/>
    <s v="valor_agregado_por_actividad_economica"/>
  </r>
  <r>
    <x v="16"/>
    <x v="16"/>
    <x v="0"/>
    <n v="1170.83"/>
    <x v="6"/>
    <s v="valor_agregado_por_actividad_economica"/>
  </r>
  <r>
    <x v="17"/>
    <x v="17"/>
    <x v="0"/>
    <n v="8.86"/>
    <x v="6"/>
    <s v="valor_agregado_por_actividad_economica"/>
  </r>
  <r>
    <x v="18"/>
    <x v="18"/>
    <x v="0"/>
    <n v="235.14"/>
    <x v="6"/>
    <s v="valor_agregado_por_actividad_economica"/>
  </r>
  <r>
    <x v="19"/>
    <x v="19"/>
    <x v="0"/>
    <n v="418.52"/>
    <x v="6"/>
    <s v="valor_agregado_por_actividad_economica"/>
  </r>
  <r>
    <x v="20"/>
    <x v="20"/>
    <x v="0"/>
    <n v="21.3"/>
    <x v="6"/>
    <s v="valor_agregado_por_actividad_economica"/>
  </r>
  <r>
    <x v="21"/>
    <x v="21"/>
    <x v="0"/>
    <n v="19.53"/>
    <x v="6"/>
    <s v="valor_agregado_por_actividad_economica"/>
  </r>
  <r>
    <x v="22"/>
    <x v="22"/>
    <x v="0"/>
    <n v="297.62"/>
    <x v="6"/>
    <s v="valor_agregado_por_actividad_economica"/>
  </r>
  <r>
    <x v="23"/>
    <x v="23"/>
    <x v="0"/>
    <n v="66.010000000000005"/>
    <x v="6"/>
    <s v="valor_agregado_por_actividad_economica"/>
  </r>
  <r>
    <x v="24"/>
    <x v="24"/>
    <x v="0"/>
    <n v="654.57000000000005"/>
    <x v="6"/>
    <s v="valor_agregado_por_actividad_economica"/>
  </r>
  <r>
    <x v="25"/>
    <x v="25"/>
    <x v="0"/>
    <n v="1751.6"/>
    <x v="6"/>
    <s v="valor_agregado_por_actividad_economica"/>
  </r>
  <r>
    <x v="0"/>
    <x v="0"/>
    <x v="1"/>
    <n v="35137.97"/>
    <x v="6"/>
    <s v="valor_agregado_por_actividad_economica"/>
  </r>
  <r>
    <x v="1"/>
    <x v="1"/>
    <x v="1"/>
    <n v="9368.3700000000008"/>
    <x v="6"/>
    <s v="valor_agregado_por_actividad_economica"/>
  </r>
  <r>
    <x v="2"/>
    <x v="2"/>
    <x v="1"/>
    <n v="1753.29"/>
    <x v="6"/>
    <s v="valor_agregado_por_actividad_economica"/>
  </r>
  <r>
    <x v="3"/>
    <x v="3"/>
    <x v="1"/>
    <m/>
    <x v="6"/>
    <s v="valor_agregado_por_actividad_economica"/>
  </r>
  <r>
    <x v="4"/>
    <x v="4"/>
    <x v="1"/>
    <n v="715.39"/>
    <x v="6"/>
    <s v="valor_agregado_por_actividad_economica"/>
  </r>
  <r>
    <x v="5"/>
    <x v="5"/>
    <x v="1"/>
    <n v="1312.74"/>
    <x v="6"/>
    <s v="valor_agregado_por_actividad_economica"/>
  </r>
  <r>
    <x v="6"/>
    <x v="6"/>
    <x v="1"/>
    <n v="215.98"/>
    <x v="6"/>
    <s v="valor_agregado_por_actividad_economica"/>
  </r>
  <r>
    <x v="7"/>
    <x v="7"/>
    <x v="1"/>
    <n v="162.04"/>
    <x v="6"/>
    <s v="valor_agregado_por_actividad_economica"/>
  </r>
  <r>
    <x v="8"/>
    <x v="8"/>
    <x v="1"/>
    <n v="1436.19"/>
    <x v="6"/>
    <s v="valor_agregado_por_actividad_economica"/>
  </r>
  <r>
    <x v="9"/>
    <x v="9"/>
    <x v="1"/>
    <n v="532.52"/>
    <x v="6"/>
    <s v="valor_agregado_por_actividad_economica"/>
  </r>
  <r>
    <x v="10"/>
    <x v="10"/>
    <x v="1"/>
    <n v="1471.28"/>
    <x v="6"/>
    <s v="valor_agregado_por_actividad_economica"/>
  </r>
  <r>
    <x v="11"/>
    <x v="11"/>
    <x v="1"/>
    <n v="4641.8100000000004"/>
    <x v="6"/>
    <s v="valor_agregado_por_actividad_economica"/>
  </r>
  <r>
    <x v="12"/>
    <x v="12"/>
    <x v="1"/>
    <n v="1660.54"/>
    <x v="6"/>
    <s v="valor_agregado_por_actividad_economica"/>
  </r>
  <r>
    <x v="13"/>
    <x v="13"/>
    <x v="1"/>
    <n v="1818.39"/>
    <x v="6"/>
    <s v="valor_agregado_por_actividad_economica"/>
  </r>
  <r>
    <x v="14"/>
    <x v="14"/>
    <x v="1"/>
    <n v="2110.0700000000002"/>
    <x v="6"/>
    <s v="valor_agregado_por_actividad_economica"/>
  </r>
  <r>
    <x v="15"/>
    <x v="15"/>
    <x v="1"/>
    <n v="1018.25"/>
    <x v="6"/>
    <s v="valor_agregado_por_actividad_economica"/>
  </r>
  <r>
    <x v="16"/>
    <x v="16"/>
    <x v="1"/>
    <n v="945.74"/>
    <x v="6"/>
    <s v="valor_agregado_por_actividad_economica"/>
  </r>
  <r>
    <x v="17"/>
    <x v="17"/>
    <x v="1"/>
    <m/>
    <x v="6"/>
    <s v="valor_agregado_por_actividad_economica"/>
  </r>
  <r>
    <x v="18"/>
    <x v="18"/>
    <x v="1"/>
    <n v="733.03"/>
    <x v="6"/>
    <s v="valor_agregado_por_actividad_economica"/>
  </r>
  <r>
    <x v="19"/>
    <x v="19"/>
    <x v="1"/>
    <n v="375.54"/>
    <x v="6"/>
    <s v="valor_agregado_por_actividad_economica"/>
  </r>
  <r>
    <x v="20"/>
    <x v="20"/>
    <x v="1"/>
    <n v="346.78"/>
    <x v="6"/>
    <s v="valor_agregado_por_actividad_economica"/>
  </r>
  <r>
    <x v="21"/>
    <x v="21"/>
    <x v="1"/>
    <n v="235.16"/>
    <x v="6"/>
    <s v="valor_agregado_por_actividad_economica"/>
  </r>
  <r>
    <x v="22"/>
    <x v="22"/>
    <x v="1"/>
    <n v="393.58"/>
    <x v="6"/>
    <s v="valor_agregado_por_actividad_economica"/>
  </r>
  <r>
    <x v="23"/>
    <x v="23"/>
    <x v="1"/>
    <n v="3891.28"/>
    <x v="6"/>
    <s v="valor_agregado_por_actividad_economica"/>
  </r>
  <r>
    <x v="24"/>
    <x v="24"/>
    <x v="1"/>
    <m/>
    <x v="6"/>
    <s v="valor_agregado_por_actividad_economica"/>
  </r>
  <r>
    <x v="25"/>
    <x v="25"/>
    <x v="1"/>
    <m/>
    <x v="6"/>
    <s v="valor_agregado_por_actividad_economica"/>
  </r>
  <r>
    <x v="0"/>
    <x v="0"/>
    <x v="2"/>
    <n v="8256.73"/>
    <x v="6"/>
    <s v="valor_agregado_por_actividad_economica"/>
  </r>
  <r>
    <x v="1"/>
    <x v="1"/>
    <x v="2"/>
    <n v="3649.81"/>
    <x v="6"/>
    <s v="valor_agregado_por_actividad_economica"/>
  </r>
  <r>
    <x v="2"/>
    <x v="2"/>
    <x v="2"/>
    <n v="378.92"/>
    <x v="6"/>
    <s v="valor_agregado_por_actividad_economica"/>
  </r>
  <r>
    <x v="3"/>
    <x v="3"/>
    <x v="2"/>
    <m/>
    <x v="6"/>
    <s v="valor_agregado_por_actividad_economica"/>
  </r>
  <r>
    <x v="4"/>
    <x v="4"/>
    <x v="2"/>
    <n v="264.64"/>
    <x v="6"/>
    <s v="valor_agregado_por_actividad_economica"/>
  </r>
  <r>
    <x v="5"/>
    <x v="5"/>
    <x v="2"/>
    <n v="60.57"/>
    <x v="6"/>
    <s v="valor_agregado_por_actividad_economica"/>
  </r>
  <r>
    <x v="6"/>
    <x v="6"/>
    <x v="2"/>
    <n v="35.57"/>
    <x v="6"/>
    <s v="valor_agregado_por_actividad_economica"/>
  </r>
  <r>
    <x v="7"/>
    <x v="7"/>
    <x v="2"/>
    <n v="147.49"/>
    <x v="6"/>
    <s v="valor_agregado_por_actividad_economica"/>
  </r>
  <r>
    <x v="8"/>
    <x v="8"/>
    <x v="2"/>
    <n v="573.14"/>
    <x v="6"/>
    <s v="valor_agregado_por_actividad_economica"/>
  </r>
  <r>
    <x v="9"/>
    <x v="9"/>
    <x v="2"/>
    <n v="95.49"/>
    <x v="6"/>
    <s v="valor_agregado_por_actividad_economica"/>
  </r>
  <r>
    <x v="10"/>
    <x v="10"/>
    <x v="2"/>
    <n v="164.17"/>
    <x v="6"/>
    <s v="valor_agregado_por_actividad_economica"/>
  </r>
  <r>
    <x v="11"/>
    <x v="11"/>
    <x v="2"/>
    <n v="531.34"/>
    <x v="6"/>
    <s v="valor_agregado_por_actividad_economica"/>
  </r>
  <r>
    <x v="12"/>
    <x v="12"/>
    <x v="2"/>
    <n v="155.53"/>
    <x v="6"/>
    <s v="valor_agregado_por_actividad_economica"/>
  </r>
  <r>
    <x v="13"/>
    <x v="13"/>
    <x v="2"/>
    <n v="307.43"/>
    <x v="6"/>
    <s v="valor_agregado_por_actividad_economica"/>
  </r>
  <r>
    <x v="14"/>
    <x v="14"/>
    <x v="2"/>
    <n v="537.29999999999995"/>
    <x v="6"/>
    <s v="valor_agregado_por_actividad_economica"/>
  </r>
  <r>
    <x v="15"/>
    <x v="15"/>
    <x v="2"/>
    <n v="357.33"/>
    <x v="6"/>
    <s v="valor_agregado_por_actividad_economica"/>
  </r>
  <r>
    <x v="16"/>
    <x v="16"/>
    <x v="2"/>
    <n v="220.51"/>
    <x v="6"/>
    <s v="valor_agregado_por_actividad_economica"/>
  </r>
  <r>
    <x v="17"/>
    <x v="17"/>
    <x v="2"/>
    <n v="60.31"/>
    <x v="6"/>
    <s v="valor_agregado_por_actividad_economica"/>
  </r>
  <r>
    <x v="18"/>
    <x v="18"/>
    <x v="2"/>
    <n v="144.21"/>
    <x v="6"/>
    <s v="valor_agregado_por_actividad_economica"/>
  </r>
  <r>
    <x v="19"/>
    <x v="19"/>
    <x v="2"/>
    <n v="53.82"/>
    <x v="6"/>
    <s v="valor_agregado_por_actividad_economica"/>
  </r>
  <r>
    <x v="20"/>
    <x v="20"/>
    <x v="2"/>
    <n v="48.21"/>
    <x v="6"/>
    <s v="valor_agregado_por_actividad_economica"/>
  </r>
  <r>
    <x v="21"/>
    <x v="21"/>
    <x v="2"/>
    <n v="44.92"/>
    <x v="6"/>
    <s v="valor_agregado_por_actividad_economica"/>
  </r>
  <r>
    <x v="22"/>
    <x v="22"/>
    <x v="2"/>
    <n v="144.32"/>
    <x v="6"/>
    <s v="valor_agregado_por_actividad_economica"/>
  </r>
  <r>
    <x v="23"/>
    <x v="23"/>
    <x v="2"/>
    <n v="6.1"/>
    <x v="6"/>
    <s v="valor_agregado_por_actividad_economica"/>
  </r>
  <r>
    <x v="24"/>
    <x v="24"/>
    <x v="2"/>
    <n v="275.60000000000002"/>
    <x v="6"/>
    <s v="valor_agregado_por_actividad_economica"/>
  </r>
  <r>
    <x v="25"/>
    <x v="25"/>
    <x v="2"/>
    <m/>
    <x v="6"/>
    <s v="valor_agregado_por_actividad_economica"/>
  </r>
  <r>
    <x v="0"/>
    <x v="0"/>
    <x v="5"/>
    <n v="223927.31"/>
    <x v="6"/>
    <s v="valor_agregado_por_actividad_economica"/>
  </r>
  <r>
    <x v="1"/>
    <x v="1"/>
    <x v="5"/>
    <n v="32777.870000000003"/>
    <x v="6"/>
    <s v="valor_agregado_por_actividad_economica"/>
  </r>
  <r>
    <x v="2"/>
    <x v="2"/>
    <x v="5"/>
    <n v="14705.19"/>
    <x v="6"/>
    <s v="valor_agregado_por_actividad_economica"/>
  </r>
  <r>
    <x v="3"/>
    <x v="3"/>
    <x v="5"/>
    <n v="565.44000000000005"/>
    <x v="6"/>
    <s v="valor_agregado_por_actividad_economica"/>
  </r>
  <r>
    <x v="4"/>
    <x v="4"/>
    <x v="5"/>
    <n v="9055.2999999999993"/>
    <x v="6"/>
    <s v="valor_agregado_por_actividad_economica"/>
  </r>
  <r>
    <x v="5"/>
    <x v="5"/>
    <x v="5"/>
    <n v="2639.92"/>
    <x v="6"/>
    <s v="valor_agregado_por_actividad_economica"/>
  </r>
  <r>
    <x v="6"/>
    <x v="6"/>
    <x v="5"/>
    <n v="1562.29"/>
    <x v="6"/>
    <s v="valor_agregado_por_actividad_economica"/>
  </r>
  <r>
    <x v="7"/>
    <x v="7"/>
    <x v="5"/>
    <n v="1700.49"/>
    <x v="6"/>
    <s v="valor_agregado_por_actividad_economica"/>
  </r>
  <r>
    <x v="8"/>
    <x v="8"/>
    <x v="5"/>
    <n v="5293.22"/>
    <x v="6"/>
    <s v="valor_agregado_por_actividad_economica"/>
  </r>
  <r>
    <x v="9"/>
    <x v="9"/>
    <x v="5"/>
    <n v="362.3"/>
    <x v="6"/>
    <s v="valor_agregado_por_actividad_economica"/>
  </r>
  <r>
    <x v="10"/>
    <x v="10"/>
    <x v="5"/>
    <n v="16222.65"/>
    <x v="6"/>
    <s v="valor_agregado_por_actividad_economica"/>
  </r>
  <r>
    <x v="11"/>
    <x v="11"/>
    <x v="5"/>
    <n v="17101.09"/>
    <x v="6"/>
    <s v="valor_agregado_por_actividad_economica"/>
  </r>
  <r>
    <x v="12"/>
    <x v="12"/>
    <x v="5"/>
    <n v="2103.71"/>
    <x v="6"/>
    <s v="valor_agregado_por_actividad_economica"/>
  </r>
  <r>
    <x v="13"/>
    <x v="13"/>
    <x v="5"/>
    <n v="10667.99"/>
    <x v="6"/>
    <s v="valor_agregado_por_actividad_economica"/>
  </r>
  <r>
    <x v="14"/>
    <x v="14"/>
    <x v="5"/>
    <n v="12660.51"/>
    <x v="6"/>
    <s v="valor_agregado_por_actividad_economica"/>
  </r>
  <r>
    <x v="15"/>
    <x v="15"/>
    <x v="5"/>
    <n v="15101.03"/>
    <x v="6"/>
    <s v="valor_agregado_por_actividad_economica"/>
  </r>
  <r>
    <x v="16"/>
    <x v="16"/>
    <x v="5"/>
    <n v="12374.62"/>
    <x v="6"/>
    <s v="valor_agregado_por_actividad_economica"/>
  </r>
  <r>
    <x v="17"/>
    <x v="17"/>
    <x v="5"/>
    <n v="8448.43"/>
    <x v="6"/>
    <s v="valor_agregado_por_actividad_economica"/>
  </r>
  <r>
    <x v="18"/>
    <x v="18"/>
    <x v="5"/>
    <n v="15855.94"/>
    <x v="6"/>
    <s v="valor_agregado_por_actividad_economica"/>
  </r>
  <r>
    <x v="19"/>
    <x v="19"/>
    <x v="5"/>
    <n v="19933.3"/>
    <x v="6"/>
    <s v="valor_agregado_por_actividad_economica"/>
  </r>
  <r>
    <x v="20"/>
    <x v="20"/>
    <x v="5"/>
    <n v="22455.15"/>
    <x v="6"/>
    <s v="valor_agregado_por_actividad_economica"/>
  </r>
  <r>
    <x v="21"/>
    <x v="21"/>
    <x v="5"/>
    <n v="1028.25"/>
    <x v="6"/>
    <s v="valor_agregado_por_actividad_economica"/>
  </r>
  <r>
    <x v="22"/>
    <x v="22"/>
    <x v="5"/>
    <n v="1086.79"/>
    <x v="6"/>
    <s v="valor_agregado_por_actividad_economica"/>
  </r>
  <r>
    <x v="23"/>
    <x v="23"/>
    <x v="5"/>
    <n v="225.83"/>
    <x v="6"/>
    <s v="valor_agregado_por_actividad_economica"/>
  </r>
  <r>
    <x v="24"/>
    <x v="24"/>
    <x v="5"/>
    <m/>
    <x v="6"/>
    <s v="valor_agregado_por_actividad_economica"/>
  </r>
  <r>
    <x v="25"/>
    <x v="25"/>
    <x v="5"/>
    <m/>
    <x v="6"/>
    <s v="valor_agregado_por_actividad_economica"/>
  </r>
  <r>
    <x v="0"/>
    <x v="0"/>
    <x v="3"/>
    <m/>
    <x v="6"/>
    <s v="valor_agregado_por_actividad_economica"/>
  </r>
  <r>
    <x v="1"/>
    <x v="1"/>
    <x v="3"/>
    <m/>
    <x v="6"/>
    <s v="valor_agregado_por_actividad_economica"/>
  </r>
  <r>
    <x v="2"/>
    <x v="2"/>
    <x v="3"/>
    <m/>
    <x v="6"/>
    <s v="valor_agregado_por_actividad_economica"/>
  </r>
  <r>
    <x v="3"/>
    <x v="3"/>
    <x v="3"/>
    <m/>
    <x v="6"/>
    <s v="valor_agregado_por_actividad_economica"/>
  </r>
  <r>
    <x v="4"/>
    <x v="4"/>
    <x v="3"/>
    <m/>
    <x v="6"/>
    <s v="valor_agregado_por_actividad_economica"/>
  </r>
  <r>
    <x v="5"/>
    <x v="5"/>
    <x v="3"/>
    <m/>
    <x v="6"/>
    <s v="valor_agregado_por_actividad_economica"/>
  </r>
  <r>
    <x v="6"/>
    <x v="6"/>
    <x v="3"/>
    <m/>
    <x v="6"/>
    <s v="valor_agregado_por_actividad_economica"/>
  </r>
  <r>
    <x v="7"/>
    <x v="7"/>
    <x v="3"/>
    <m/>
    <x v="6"/>
    <s v="valor_agregado_por_actividad_economica"/>
  </r>
  <r>
    <x v="8"/>
    <x v="8"/>
    <x v="3"/>
    <m/>
    <x v="6"/>
    <s v="valor_agregado_por_actividad_economica"/>
  </r>
  <r>
    <x v="9"/>
    <x v="9"/>
    <x v="3"/>
    <m/>
    <x v="6"/>
    <s v="valor_agregado_por_actividad_economica"/>
  </r>
  <r>
    <x v="10"/>
    <x v="10"/>
    <x v="3"/>
    <m/>
    <x v="6"/>
    <s v="valor_agregado_por_actividad_economica"/>
  </r>
  <r>
    <x v="11"/>
    <x v="11"/>
    <x v="3"/>
    <m/>
    <x v="6"/>
    <s v="valor_agregado_por_actividad_economica"/>
  </r>
  <r>
    <x v="12"/>
    <x v="12"/>
    <x v="3"/>
    <m/>
    <x v="6"/>
    <s v="valor_agregado_por_actividad_economica"/>
  </r>
  <r>
    <x v="13"/>
    <x v="13"/>
    <x v="3"/>
    <m/>
    <x v="6"/>
    <s v="valor_agregado_por_actividad_economica"/>
  </r>
  <r>
    <x v="14"/>
    <x v="14"/>
    <x v="3"/>
    <m/>
    <x v="6"/>
    <s v="valor_agregado_por_actividad_economica"/>
  </r>
  <r>
    <x v="15"/>
    <x v="15"/>
    <x v="3"/>
    <m/>
    <x v="6"/>
    <s v="valor_agregado_por_actividad_economica"/>
  </r>
  <r>
    <x v="16"/>
    <x v="16"/>
    <x v="3"/>
    <m/>
    <x v="6"/>
    <s v="valor_agregado_por_actividad_economica"/>
  </r>
  <r>
    <x v="17"/>
    <x v="17"/>
    <x v="3"/>
    <m/>
    <x v="6"/>
    <s v="valor_agregado_por_actividad_economica"/>
  </r>
  <r>
    <x v="18"/>
    <x v="18"/>
    <x v="3"/>
    <m/>
    <x v="6"/>
    <s v="valor_agregado_por_actividad_economica"/>
  </r>
  <r>
    <x v="19"/>
    <x v="19"/>
    <x v="3"/>
    <m/>
    <x v="6"/>
    <s v="valor_agregado_por_actividad_economica"/>
  </r>
  <r>
    <x v="20"/>
    <x v="20"/>
    <x v="3"/>
    <m/>
    <x v="6"/>
    <s v="valor_agregado_por_actividad_economica"/>
  </r>
  <r>
    <x v="21"/>
    <x v="21"/>
    <x v="3"/>
    <m/>
    <x v="6"/>
    <s v="valor_agregado_por_actividad_economica"/>
  </r>
  <r>
    <x v="22"/>
    <x v="22"/>
    <x v="3"/>
    <m/>
    <x v="6"/>
    <s v="valor_agregado_por_actividad_economica"/>
  </r>
  <r>
    <x v="23"/>
    <x v="23"/>
    <x v="3"/>
    <m/>
    <x v="6"/>
    <s v="valor_agregado_por_actividad_economica"/>
  </r>
  <r>
    <x v="24"/>
    <x v="24"/>
    <x v="3"/>
    <m/>
    <x v="6"/>
    <s v="valor_agregado_por_actividad_economica"/>
  </r>
  <r>
    <x v="25"/>
    <x v="25"/>
    <x v="3"/>
    <m/>
    <x v="6"/>
    <s v="valor_agregado_por_actividad_economica"/>
  </r>
  <r>
    <x v="0"/>
    <x v="0"/>
    <x v="6"/>
    <m/>
    <x v="6"/>
    <s v="valor_agregado_por_actividad_economica"/>
  </r>
  <r>
    <x v="1"/>
    <x v="1"/>
    <x v="6"/>
    <m/>
    <x v="6"/>
    <s v="valor_agregado_por_actividad_economica"/>
  </r>
  <r>
    <x v="2"/>
    <x v="2"/>
    <x v="6"/>
    <m/>
    <x v="6"/>
    <s v="valor_agregado_por_actividad_economica"/>
  </r>
  <r>
    <x v="3"/>
    <x v="3"/>
    <x v="6"/>
    <m/>
    <x v="6"/>
    <s v="valor_agregado_por_actividad_economica"/>
  </r>
  <r>
    <x v="4"/>
    <x v="4"/>
    <x v="6"/>
    <m/>
    <x v="6"/>
    <s v="valor_agregado_por_actividad_economica"/>
  </r>
  <r>
    <x v="5"/>
    <x v="5"/>
    <x v="6"/>
    <m/>
    <x v="6"/>
    <s v="valor_agregado_por_actividad_economica"/>
  </r>
  <r>
    <x v="6"/>
    <x v="6"/>
    <x v="6"/>
    <m/>
    <x v="6"/>
    <s v="valor_agregado_por_actividad_economica"/>
  </r>
  <r>
    <x v="7"/>
    <x v="7"/>
    <x v="6"/>
    <m/>
    <x v="6"/>
    <s v="valor_agregado_por_actividad_economica"/>
  </r>
  <r>
    <x v="8"/>
    <x v="8"/>
    <x v="6"/>
    <m/>
    <x v="6"/>
    <s v="valor_agregado_por_actividad_economica"/>
  </r>
  <r>
    <x v="9"/>
    <x v="9"/>
    <x v="6"/>
    <m/>
    <x v="6"/>
    <s v="valor_agregado_por_actividad_economica"/>
  </r>
  <r>
    <x v="10"/>
    <x v="10"/>
    <x v="6"/>
    <m/>
    <x v="6"/>
    <s v="valor_agregado_por_actividad_economica"/>
  </r>
  <r>
    <x v="11"/>
    <x v="11"/>
    <x v="6"/>
    <m/>
    <x v="6"/>
    <s v="valor_agregado_por_actividad_economica"/>
  </r>
  <r>
    <x v="12"/>
    <x v="12"/>
    <x v="6"/>
    <m/>
    <x v="6"/>
    <s v="valor_agregado_por_actividad_economica"/>
  </r>
  <r>
    <x v="13"/>
    <x v="13"/>
    <x v="6"/>
    <m/>
    <x v="6"/>
    <s v="valor_agregado_por_actividad_economica"/>
  </r>
  <r>
    <x v="14"/>
    <x v="14"/>
    <x v="6"/>
    <m/>
    <x v="6"/>
    <s v="valor_agregado_por_actividad_economica"/>
  </r>
  <r>
    <x v="15"/>
    <x v="15"/>
    <x v="6"/>
    <m/>
    <x v="6"/>
    <s v="valor_agregado_por_actividad_economica"/>
  </r>
  <r>
    <x v="16"/>
    <x v="16"/>
    <x v="6"/>
    <m/>
    <x v="6"/>
    <s v="valor_agregado_por_actividad_economica"/>
  </r>
  <r>
    <x v="17"/>
    <x v="17"/>
    <x v="6"/>
    <m/>
    <x v="6"/>
    <s v="valor_agregado_por_actividad_economica"/>
  </r>
  <r>
    <x v="18"/>
    <x v="18"/>
    <x v="6"/>
    <m/>
    <x v="6"/>
    <s v="valor_agregado_por_actividad_economica"/>
  </r>
  <r>
    <x v="19"/>
    <x v="19"/>
    <x v="6"/>
    <m/>
    <x v="6"/>
    <s v="valor_agregado_por_actividad_economica"/>
  </r>
  <r>
    <x v="20"/>
    <x v="20"/>
    <x v="6"/>
    <m/>
    <x v="6"/>
    <s v="valor_agregado_por_actividad_economica"/>
  </r>
  <r>
    <x v="21"/>
    <x v="21"/>
    <x v="6"/>
    <m/>
    <x v="6"/>
    <s v="valor_agregado_por_actividad_economica"/>
  </r>
  <r>
    <x v="22"/>
    <x v="22"/>
    <x v="6"/>
    <m/>
    <x v="6"/>
    <s v="valor_agregado_por_actividad_economica"/>
  </r>
  <r>
    <x v="23"/>
    <x v="23"/>
    <x v="6"/>
    <m/>
    <x v="6"/>
    <s v="valor_agregado_por_actividad_economica"/>
  </r>
  <r>
    <x v="24"/>
    <x v="24"/>
    <x v="6"/>
    <m/>
    <x v="6"/>
    <s v="valor_agregado_por_actividad_economica"/>
  </r>
  <r>
    <x v="25"/>
    <x v="25"/>
    <x v="6"/>
    <m/>
    <x v="6"/>
    <s v="valor_agregado_por_actividad_economica"/>
  </r>
  <r>
    <x v="0"/>
    <x v="0"/>
    <x v="4"/>
    <n v="675061.19"/>
    <x v="0"/>
    <s v="valor_bruto_produccion_por_actividad_economica"/>
  </r>
  <r>
    <x v="1"/>
    <x v="1"/>
    <x v="4"/>
    <n v="167163.28"/>
    <x v="0"/>
    <s v="valor_bruto_produccion_por_actividad_economica"/>
  </r>
  <r>
    <x v="2"/>
    <x v="2"/>
    <x v="4"/>
    <n v="22656.2"/>
    <x v="0"/>
    <s v="valor_bruto_produccion_por_actividad_economica"/>
  </r>
  <r>
    <x v="3"/>
    <x v="3"/>
    <x v="4"/>
    <n v="3587.9"/>
    <x v="0"/>
    <s v="valor_bruto_produccion_por_actividad_economica"/>
  </r>
  <r>
    <x v="4"/>
    <x v="4"/>
    <x v="4"/>
    <n v="10662.06"/>
    <x v="0"/>
    <s v="valor_bruto_produccion_por_actividad_economica"/>
  </r>
  <r>
    <x v="5"/>
    <x v="5"/>
    <x v="4"/>
    <n v="10179.209999999999"/>
    <x v="0"/>
    <s v="valor_bruto_produccion_por_actividad_economica"/>
  </r>
  <r>
    <x v="6"/>
    <x v="6"/>
    <x v="4"/>
    <n v="10075.39"/>
    <x v="0"/>
    <s v="valor_bruto_produccion_por_actividad_economica"/>
  </r>
  <r>
    <x v="7"/>
    <x v="7"/>
    <x v="4"/>
    <n v="5389.45"/>
    <x v="0"/>
    <s v="valor_bruto_produccion_por_actividad_economica"/>
  </r>
  <r>
    <x v="8"/>
    <x v="8"/>
    <x v="4"/>
    <n v="24273.26"/>
    <x v="0"/>
    <s v="valor_bruto_produccion_por_actividad_economica"/>
  </r>
  <r>
    <x v="9"/>
    <x v="9"/>
    <x v="4"/>
    <n v="3316.75"/>
    <x v="0"/>
    <s v="valor_bruto_produccion_por_actividad_economica"/>
  </r>
  <r>
    <x v="10"/>
    <x v="10"/>
    <x v="4"/>
    <n v="65764.539999999994"/>
    <x v="0"/>
    <s v="valor_bruto_produccion_por_actividad_economica"/>
  </r>
  <r>
    <x v="11"/>
    <x v="11"/>
    <x v="4"/>
    <n v="78471.86"/>
    <x v="0"/>
    <s v="valor_bruto_produccion_por_actividad_economica"/>
  </r>
  <r>
    <x v="12"/>
    <x v="12"/>
    <x v="4"/>
    <n v="14636.62"/>
    <x v="0"/>
    <s v="valor_bruto_produccion_por_actividad_economica"/>
  </r>
  <r>
    <x v="13"/>
    <x v="13"/>
    <x v="4"/>
    <n v="25452.400000000001"/>
    <x v="0"/>
    <s v="valor_bruto_produccion_por_actividad_economica"/>
  </r>
  <r>
    <x v="14"/>
    <x v="14"/>
    <x v="4"/>
    <n v="19789.759999999998"/>
    <x v="0"/>
    <s v="valor_bruto_produccion_por_actividad_economica"/>
  </r>
  <r>
    <x v="15"/>
    <x v="15"/>
    <x v="4"/>
    <n v="43511.42"/>
    <x v="0"/>
    <s v="valor_bruto_produccion_por_actividad_economica"/>
  </r>
  <r>
    <x v="16"/>
    <x v="16"/>
    <x v="4"/>
    <n v="17953.75"/>
    <x v="0"/>
    <s v="valor_bruto_produccion_por_actividad_economica"/>
  </r>
  <r>
    <x v="17"/>
    <x v="17"/>
    <x v="4"/>
    <n v="20960.099999999999"/>
    <x v="0"/>
    <s v="valor_bruto_produccion_por_actividad_economica"/>
  </r>
  <r>
    <x v="18"/>
    <x v="18"/>
    <x v="4"/>
    <n v="18662.89"/>
    <x v="0"/>
    <s v="valor_bruto_produccion_por_actividad_economica"/>
  </r>
  <r>
    <x v="19"/>
    <x v="19"/>
    <x v="4"/>
    <n v="26637.79"/>
    <x v="0"/>
    <s v="valor_bruto_produccion_por_actividad_economica"/>
  </r>
  <r>
    <x v="20"/>
    <x v="20"/>
    <x v="4"/>
    <n v="59593.91"/>
    <x v="0"/>
    <s v="valor_bruto_produccion_por_actividad_economica"/>
  </r>
  <r>
    <x v="21"/>
    <x v="21"/>
    <x v="4"/>
    <n v="7662.12"/>
    <x v="0"/>
    <s v="valor_bruto_produccion_por_actividad_economica"/>
  </r>
  <r>
    <x v="22"/>
    <x v="22"/>
    <x v="4"/>
    <n v="6526.27"/>
    <x v="0"/>
    <s v="valor_bruto_produccion_por_actividad_economica"/>
  </r>
  <r>
    <x v="23"/>
    <x v="23"/>
    <x v="4"/>
    <n v="5531.8"/>
    <x v="0"/>
    <s v="valor_bruto_produccion_por_actividad_economica"/>
  </r>
  <r>
    <x v="24"/>
    <x v="24"/>
    <x v="4"/>
    <n v="6602.46"/>
    <x v="0"/>
    <s v="valor_bruto_produccion_por_actividad_economica"/>
  </r>
  <r>
    <x v="25"/>
    <x v="25"/>
    <x v="4"/>
    <m/>
    <x v="0"/>
    <s v="valor_bruto_produccion_por_actividad_economica"/>
  </r>
  <r>
    <x v="0"/>
    <x v="0"/>
    <x v="0"/>
    <n v="59589.59"/>
    <x v="0"/>
    <s v="valor_bruto_produccion_por_actividad_economica"/>
  </r>
  <r>
    <x v="1"/>
    <x v="1"/>
    <x v="0"/>
    <n v="21043.279999999999"/>
    <x v="0"/>
    <s v="valor_bruto_produccion_por_actividad_economica"/>
  </r>
  <r>
    <x v="2"/>
    <x v="2"/>
    <x v="0"/>
    <n v="4877.16"/>
    <x v="0"/>
    <s v="valor_bruto_produccion_por_actividad_economica"/>
  </r>
  <r>
    <x v="3"/>
    <x v="3"/>
    <x v="0"/>
    <m/>
    <x v="0"/>
    <s v="valor_bruto_produccion_por_actividad_economica"/>
  </r>
  <r>
    <x v="4"/>
    <x v="4"/>
    <x v="0"/>
    <n v="318.24"/>
    <x v="0"/>
    <s v="valor_bruto_produccion_por_actividad_economica"/>
  </r>
  <r>
    <x v="5"/>
    <x v="5"/>
    <x v="0"/>
    <n v="349.12"/>
    <x v="0"/>
    <s v="valor_bruto_produccion_por_actividad_economica"/>
  </r>
  <r>
    <x v="6"/>
    <x v="6"/>
    <x v="0"/>
    <n v="285.58"/>
    <x v="0"/>
    <s v="valor_bruto_produccion_por_actividad_economica"/>
  </r>
  <r>
    <x v="7"/>
    <x v="7"/>
    <x v="0"/>
    <n v="3312.28"/>
    <x v="0"/>
    <s v="valor_bruto_produccion_por_actividad_economica"/>
  </r>
  <r>
    <x v="8"/>
    <x v="8"/>
    <x v="0"/>
    <n v="4430.92"/>
    <x v="0"/>
    <s v="valor_bruto_produccion_por_actividad_economica"/>
  </r>
  <r>
    <x v="9"/>
    <x v="9"/>
    <x v="0"/>
    <n v="523.64"/>
    <x v="0"/>
    <s v="valor_bruto_produccion_por_actividad_economica"/>
  </r>
  <r>
    <x v="10"/>
    <x v="10"/>
    <x v="0"/>
    <m/>
    <x v="0"/>
    <s v="valor_bruto_produccion_por_actividad_economica"/>
  </r>
  <r>
    <x v="11"/>
    <x v="11"/>
    <x v="0"/>
    <n v="9195.84"/>
    <x v="0"/>
    <s v="valor_bruto_produccion_por_actividad_economica"/>
  </r>
  <r>
    <x v="12"/>
    <x v="12"/>
    <x v="0"/>
    <n v="1064.71"/>
    <x v="0"/>
    <s v="valor_bruto_produccion_por_actividad_economica"/>
  </r>
  <r>
    <x v="13"/>
    <x v="13"/>
    <x v="0"/>
    <n v="2663.46"/>
    <x v="0"/>
    <s v="valor_bruto_produccion_por_actividad_economica"/>
  </r>
  <r>
    <x v="14"/>
    <x v="14"/>
    <x v="0"/>
    <n v="2216.63"/>
    <x v="0"/>
    <s v="valor_bruto_produccion_por_actividad_economica"/>
  </r>
  <r>
    <x v="15"/>
    <x v="15"/>
    <x v="0"/>
    <n v="1407.26"/>
    <x v="0"/>
    <s v="valor_bruto_produccion_por_actividad_economica"/>
  </r>
  <r>
    <x v="16"/>
    <x v="16"/>
    <x v="0"/>
    <n v="2239.23"/>
    <x v="0"/>
    <s v="valor_bruto_produccion_por_actividad_economica"/>
  </r>
  <r>
    <x v="17"/>
    <x v="17"/>
    <x v="0"/>
    <n v="53.75"/>
    <x v="0"/>
    <s v="valor_bruto_produccion_por_actividad_economica"/>
  </r>
  <r>
    <x v="18"/>
    <x v="18"/>
    <x v="0"/>
    <n v="821.4"/>
    <x v="0"/>
    <s v="valor_bruto_produccion_por_actividad_economica"/>
  </r>
  <r>
    <x v="19"/>
    <x v="19"/>
    <x v="0"/>
    <n v="1208.5999999999999"/>
    <x v="0"/>
    <s v="valor_bruto_produccion_por_actividad_economica"/>
  </r>
  <r>
    <x v="20"/>
    <x v="20"/>
    <x v="0"/>
    <n v="93.68"/>
    <x v="0"/>
    <s v="valor_bruto_produccion_por_actividad_economica"/>
  </r>
  <r>
    <x v="21"/>
    <x v="21"/>
    <x v="0"/>
    <n v="77.75"/>
    <x v="0"/>
    <s v="valor_bruto_produccion_por_actividad_economica"/>
  </r>
  <r>
    <x v="22"/>
    <x v="22"/>
    <x v="0"/>
    <n v="425.71"/>
    <x v="0"/>
    <s v="valor_bruto_produccion_por_actividad_economica"/>
  </r>
  <r>
    <x v="23"/>
    <x v="23"/>
    <x v="0"/>
    <n v="100.92"/>
    <x v="0"/>
    <s v="valor_bruto_produccion_por_actividad_economica"/>
  </r>
  <r>
    <x v="24"/>
    <x v="24"/>
    <x v="0"/>
    <n v="1148.71"/>
    <x v="0"/>
    <s v="valor_bruto_produccion_por_actividad_economica"/>
  </r>
  <r>
    <x v="25"/>
    <x v="25"/>
    <x v="0"/>
    <n v="1731.72"/>
    <x v="0"/>
    <s v="valor_bruto_produccion_por_actividad_economica"/>
  </r>
  <r>
    <x v="0"/>
    <x v="0"/>
    <x v="1"/>
    <n v="67684.55"/>
    <x v="0"/>
    <s v="valor_bruto_produccion_por_actividad_economica"/>
  </r>
  <r>
    <x v="1"/>
    <x v="1"/>
    <x v="1"/>
    <n v="17180.560000000001"/>
    <x v="0"/>
    <s v="valor_bruto_produccion_por_actividad_economica"/>
  </r>
  <r>
    <x v="2"/>
    <x v="2"/>
    <x v="1"/>
    <n v="3638.03"/>
    <x v="0"/>
    <s v="valor_bruto_produccion_por_actividad_economica"/>
  </r>
  <r>
    <x v="3"/>
    <x v="3"/>
    <x v="1"/>
    <m/>
    <x v="0"/>
    <s v="valor_bruto_produccion_por_actividad_economica"/>
  </r>
  <r>
    <x v="4"/>
    <x v="4"/>
    <x v="1"/>
    <n v="1382.9"/>
    <x v="0"/>
    <s v="valor_bruto_produccion_por_actividad_economica"/>
  </r>
  <r>
    <x v="5"/>
    <x v="5"/>
    <x v="1"/>
    <n v="2577.4299999999998"/>
    <x v="0"/>
    <s v="valor_bruto_produccion_por_actividad_economica"/>
  </r>
  <r>
    <x v="6"/>
    <x v="6"/>
    <x v="1"/>
    <n v="574.55999999999995"/>
    <x v="0"/>
    <s v="valor_bruto_produccion_por_actividad_economica"/>
  </r>
  <r>
    <x v="7"/>
    <x v="7"/>
    <x v="1"/>
    <n v="327.8"/>
    <x v="0"/>
    <s v="valor_bruto_produccion_por_actividad_economica"/>
  </r>
  <r>
    <x v="8"/>
    <x v="8"/>
    <x v="1"/>
    <n v="2412.19"/>
    <x v="0"/>
    <s v="valor_bruto_produccion_por_actividad_economica"/>
  </r>
  <r>
    <x v="9"/>
    <x v="9"/>
    <x v="1"/>
    <n v="764.94"/>
    <x v="0"/>
    <s v="valor_bruto_produccion_por_actividad_economica"/>
  </r>
  <r>
    <x v="10"/>
    <x v="10"/>
    <x v="1"/>
    <n v="11352.39"/>
    <x v="0"/>
    <s v="valor_bruto_produccion_por_actividad_economica"/>
  </r>
  <r>
    <x v="11"/>
    <x v="11"/>
    <x v="1"/>
    <n v="6992.28"/>
    <x v="0"/>
    <s v="valor_bruto_produccion_por_actividad_economica"/>
  </r>
  <r>
    <x v="12"/>
    <x v="12"/>
    <x v="1"/>
    <n v="1714.24"/>
    <x v="0"/>
    <s v="valor_bruto_produccion_por_actividad_economica"/>
  </r>
  <r>
    <x v="13"/>
    <x v="13"/>
    <x v="1"/>
    <n v="2692.4"/>
    <x v="0"/>
    <s v="valor_bruto_produccion_por_actividad_economica"/>
  </r>
  <r>
    <x v="14"/>
    <x v="14"/>
    <x v="1"/>
    <n v="3868.23"/>
    <x v="0"/>
    <s v="valor_bruto_produccion_por_actividad_economica"/>
  </r>
  <r>
    <x v="15"/>
    <x v="15"/>
    <x v="1"/>
    <n v="3534.93"/>
    <x v="0"/>
    <s v="valor_bruto_produccion_por_actividad_economica"/>
  </r>
  <r>
    <x v="16"/>
    <x v="16"/>
    <x v="1"/>
    <n v="1525.33"/>
    <x v="0"/>
    <s v="valor_bruto_produccion_por_actividad_economica"/>
  </r>
  <r>
    <x v="17"/>
    <x v="17"/>
    <x v="1"/>
    <n v="19.559999999999999"/>
    <x v="0"/>
    <s v="valor_bruto_produccion_por_actividad_economica"/>
  </r>
  <r>
    <x v="18"/>
    <x v="18"/>
    <x v="1"/>
    <n v="1376.81"/>
    <x v="0"/>
    <s v="valor_bruto_produccion_por_actividad_economica"/>
  </r>
  <r>
    <x v="19"/>
    <x v="19"/>
    <x v="1"/>
    <n v="667.21"/>
    <x v="0"/>
    <s v="valor_bruto_produccion_por_actividad_economica"/>
  </r>
  <r>
    <x v="20"/>
    <x v="20"/>
    <x v="1"/>
    <n v="1513.16"/>
    <x v="0"/>
    <s v="valor_bruto_produccion_por_actividad_economica"/>
  </r>
  <r>
    <x v="21"/>
    <x v="21"/>
    <x v="1"/>
    <n v="655.29999999999995"/>
    <x v="0"/>
    <s v="valor_bruto_produccion_por_actividad_economica"/>
  </r>
  <r>
    <x v="22"/>
    <x v="22"/>
    <x v="1"/>
    <n v="677.14"/>
    <x v="0"/>
    <s v="valor_bruto_produccion_por_actividad_economica"/>
  </r>
  <r>
    <x v="23"/>
    <x v="23"/>
    <x v="1"/>
    <n v="2237.16"/>
    <x v="0"/>
    <s v="valor_bruto_produccion_por_actividad_economica"/>
  </r>
  <r>
    <x v="24"/>
    <x v="24"/>
    <x v="1"/>
    <m/>
    <x v="0"/>
    <s v="valor_bruto_produccion_por_actividad_economica"/>
  </r>
  <r>
    <x v="25"/>
    <x v="25"/>
    <x v="1"/>
    <m/>
    <x v="0"/>
    <s v="valor_bruto_produccion_por_actividad_economica"/>
  </r>
  <r>
    <x v="0"/>
    <x v="0"/>
    <x v="2"/>
    <n v="24463.46"/>
    <x v="0"/>
    <s v="valor_bruto_produccion_por_actividad_economica"/>
  </r>
  <r>
    <x v="1"/>
    <x v="1"/>
    <x v="2"/>
    <n v="11412.87"/>
    <x v="0"/>
    <s v="valor_bruto_produccion_por_actividad_economica"/>
  </r>
  <r>
    <x v="2"/>
    <x v="2"/>
    <x v="2"/>
    <n v="1236.67"/>
    <x v="0"/>
    <s v="valor_bruto_produccion_por_actividad_economica"/>
  </r>
  <r>
    <x v="3"/>
    <x v="3"/>
    <x v="2"/>
    <n v="32.119999999999997"/>
    <x v="0"/>
    <s v="valor_bruto_produccion_por_actividad_economica"/>
  </r>
  <r>
    <x v="4"/>
    <x v="4"/>
    <x v="2"/>
    <n v="474.64"/>
    <x v="0"/>
    <s v="valor_bruto_produccion_por_actividad_economica"/>
  </r>
  <r>
    <x v="5"/>
    <x v="5"/>
    <x v="2"/>
    <n v="448.53"/>
    <x v="0"/>
    <s v="valor_bruto_produccion_por_actividad_economica"/>
  </r>
  <r>
    <x v="6"/>
    <x v="6"/>
    <x v="2"/>
    <n v="132.13"/>
    <x v="0"/>
    <s v="valor_bruto_produccion_por_actividad_economica"/>
  </r>
  <r>
    <x v="7"/>
    <x v="7"/>
    <x v="2"/>
    <n v="496.31"/>
    <x v="0"/>
    <s v="valor_bruto_produccion_por_actividad_economica"/>
  </r>
  <r>
    <x v="8"/>
    <x v="8"/>
    <x v="2"/>
    <n v="1293.19"/>
    <x v="0"/>
    <s v="valor_bruto_produccion_por_actividad_economica"/>
  </r>
  <r>
    <x v="9"/>
    <x v="9"/>
    <x v="2"/>
    <n v="273.22000000000003"/>
    <x v="0"/>
    <s v="valor_bruto_produccion_por_actividad_economica"/>
  </r>
  <r>
    <x v="10"/>
    <x v="10"/>
    <x v="2"/>
    <n v="136.97999999999999"/>
    <x v="0"/>
    <s v="valor_bruto_produccion_por_actividad_economica"/>
  </r>
  <r>
    <x v="11"/>
    <x v="11"/>
    <x v="2"/>
    <n v="1281.5899999999999"/>
    <x v="0"/>
    <s v="valor_bruto_produccion_por_actividad_economica"/>
  </r>
  <r>
    <x v="12"/>
    <x v="12"/>
    <x v="2"/>
    <n v="407.69"/>
    <x v="0"/>
    <s v="valor_bruto_produccion_por_actividad_economica"/>
  </r>
  <r>
    <x v="13"/>
    <x v="13"/>
    <x v="2"/>
    <n v="1357.83"/>
    <x v="0"/>
    <s v="valor_bruto_produccion_por_actividad_economica"/>
  </r>
  <r>
    <x v="14"/>
    <x v="14"/>
    <x v="2"/>
    <n v="1424.22"/>
    <x v="0"/>
    <s v="valor_bruto_produccion_por_actividad_economica"/>
  </r>
  <r>
    <x v="15"/>
    <x v="15"/>
    <x v="2"/>
    <n v="1103.3399999999999"/>
    <x v="0"/>
    <s v="valor_bruto_produccion_por_actividad_economica"/>
  </r>
  <r>
    <x v="16"/>
    <x v="16"/>
    <x v="2"/>
    <n v="555.24"/>
    <x v="0"/>
    <s v="valor_bruto_produccion_por_actividad_economica"/>
  </r>
  <r>
    <x v="17"/>
    <x v="17"/>
    <x v="2"/>
    <n v="204.85"/>
    <x v="0"/>
    <s v="valor_bruto_produccion_por_actividad_economica"/>
  </r>
  <r>
    <x v="18"/>
    <x v="18"/>
    <x v="2"/>
    <n v="531.33000000000004"/>
    <x v="0"/>
    <s v="valor_bruto_produccion_por_actividad_economica"/>
  </r>
  <r>
    <x v="19"/>
    <x v="19"/>
    <x v="2"/>
    <n v="99.69"/>
    <x v="0"/>
    <s v="valor_bruto_produccion_por_actividad_economica"/>
  </r>
  <r>
    <x v="20"/>
    <x v="20"/>
    <x v="2"/>
    <n v="670.4"/>
    <x v="0"/>
    <s v="valor_bruto_produccion_por_actividad_economica"/>
  </r>
  <r>
    <x v="21"/>
    <x v="21"/>
    <x v="2"/>
    <n v="110"/>
    <x v="0"/>
    <s v="valor_bruto_produccion_por_actividad_economica"/>
  </r>
  <r>
    <x v="22"/>
    <x v="22"/>
    <x v="2"/>
    <n v="272.87"/>
    <x v="0"/>
    <s v="valor_bruto_produccion_por_actividad_economica"/>
  </r>
  <r>
    <x v="23"/>
    <x v="23"/>
    <x v="2"/>
    <n v="116.63"/>
    <x v="0"/>
    <s v="valor_bruto_produccion_por_actividad_economica"/>
  </r>
  <r>
    <x v="24"/>
    <x v="24"/>
    <x v="2"/>
    <n v="391.12"/>
    <x v="0"/>
    <s v="valor_bruto_produccion_por_actividad_economica"/>
  </r>
  <r>
    <x v="25"/>
    <x v="25"/>
    <x v="2"/>
    <m/>
    <x v="0"/>
    <s v="valor_bruto_produccion_por_actividad_economica"/>
  </r>
  <r>
    <x v="0"/>
    <x v="0"/>
    <x v="5"/>
    <n v="414727.42"/>
    <x v="0"/>
    <s v="valor_bruto_produccion_por_actividad_economica"/>
  </r>
  <r>
    <x v="1"/>
    <x v="1"/>
    <x v="5"/>
    <n v="60024.68"/>
    <x v="0"/>
    <s v="valor_bruto_produccion_por_actividad_economica"/>
  </r>
  <r>
    <x v="2"/>
    <x v="2"/>
    <x v="5"/>
    <n v="20774.22"/>
    <x v="0"/>
    <s v="valor_bruto_produccion_por_actividad_economica"/>
  </r>
  <r>
    <x v="3"/>
    <x v="3"/>
    <x v="5"/>
    <n v="1098.74"/>
    <x v="0"/>
    <s v="valor_bruto_produccion_por_actividad_economica"/>
  </r>
  <r>
    <x v="4"/>
    <x v="4"/>
    <x v="5"/>
    <n v="13479.59"/>
    <x v="0"/>
    <s v="valor_bruto_produccion_por_actividad_economica"/>
  </r>
  <r>
    <x v="5"/>
    <x v="5"/>
    <x v="5"/>
    <n v="3981.45"/>
    <x v="0"/>
    <s v="valor_bruto_produccion_por_actividad_economica"/>
  </r>
  <r>
    <x v="6"/>
    <x v="6"/>
    <x v="5"/>
    <n v="2776.98"/>
    <x v="0"/>
    <s v="valor_bruto_produccion_por_actividad_economica"/>
  </r>
  <r>
    <x v="7"/>
    <x v="7"/>
    <x v="5"/>
    <n v="1343.54"/>
    <x v="0"/>
    <s v="valor_bruto_produccion_por_actividad_economica"/>
  </r>
  <r>
    <x v="8"/>
    <x v="8"/>
    <x v="5"/>
    <n v="10561.86"/>
    <x v="0"/>
    <s v="valor_bruto_produccion_por_actividad_economica"/>
  </r>
  <r>
    <x v="9"/>
    <x v="9"/>
    <x v="5"/>
    <n v="898.72"/>
    <x v="0"/>
    <s v="valor_bruto_produccion_por_actividad_economica"/>
  </r>
  <r>
    <x v="10"/>
    <x v="10"/>
    <x v="5"/>
    <n v="31821.18"/>
    <x v="0"/>
    <s v="valor_bruto_produccion_por_actividad_economica"/>
  </r>
  <r>
    <x v="11"/>
    <x v="11"/>
    <x v="5"/>
    <n v="40286.25"/>
    <x v="0"/>
    <s v="valor_bruto_produccion_por_actividad_economica"/>
  </r>
  <r>
    <x v="12"/>
    <x v="12"/>
    <x v="5"/>
    <n v="2048.0500000000002"/>
    <x v="0"/>
    <s v="valor_bruto_produccion_por_actividad_economica"/>
  </r>
  <r>
    <x v="13"/>
    <x v="13"/>
    <x v="5"/>
    <n v="17545.939999999999"/>
    <x v="0"/>
    <s v="valor_bruto_produccion_por_actividad_economica"/>
  </r>
  <r>
    <x v="14"/>
    <x v="14"/>
    <x v="5"/>
    <n v="21221.360000000001"/>
    <x v="0"/>
    <s v="valor_bruto_produccion_por_actividad_economica"/>
  </r>
  <r>
    <x v="15"/>
    <x v="15"/>
    <x v="5"/>
    <n v="27878.19"/>
    <x v="0"/>
    <s v="valor_bruto_produccion_por_actividad_economica"/>
  </r>
  <r>
    <x v="16"/>
    <x v="16"/>
    <x v="5"/>
    <n v="19034.66"/>
    <x v="0"/>
    <s v="valor_bruto_produccion_por_actividad_economica"/>
  </r>
  <r>
    <x v="17"/>
    <x v="17"/>
    <x v="5"/>
    <n v="9104.9599999999991"/>
    <x v="0"/>
    <s v="valor_bruto_produccion_por_actividad_economica"/>
  </r>
  <r>
    <x v="18"/>
    <x v="18"/>
    <x v="5"/>
    <n v="27551.23"/>
    <x v="0"/>
    <s v="valor_bruto_produccion_por_actividad_economica"/>
  </r>
  <r>
    <x v="19"/>
    <x v="19"/>
    <x v="5"/>
    <n v="36071.22"/>
    <x v="0"/>
    <s v="valor_bruto_produccion_por_actividad_economica"/>
  </r>
  <r>
    <x v="20"/>
    <x v="20"/>
    <x v="5"/>
    <n v="64924.81"/>
    <x v="0"/>
    <s v="valor_bruto_produccion_por_actividad_economica"/>
  </r>
  <r>
    <x v="21"/>
    <x v="21"/>
    <x v="5"/>
    <n v="962.52"/>
    <x v="0"/>
    <s v="valor_bruto_produccion_por_actividad_economica"/>
  </r>
  <r>
    <x v="22"/>
    <x v="22"/>
    <x v="5"/>
    <n v="778.92"/>
    <x v="0"/>
    <s v="valor_bruto_produccion_por_actividad_economica"/>
  </r>
  <r>
    <x v="23"/>
    <x v="23"/>
    <x v="5"/>
    <n v="558.35"/>
    <x v="0"/>
    <s v="valor_bruto_produccion_por_actividad_economica"/>
  </r>
  <r>
    <x v="24"/>
    <x v="24"/>
    <x v="5"/>
    <m/>
    <x v="0"/>
    <s v="valor_bruto_produccion_por_actividad_economica"/>
  </r>
  <r>
    <x v="25"/>
    <x v="25"/>
    <x v="5"/>
    <m/>
    <x v="0"/>
    <s v="valor_bruto_produccion_por_actividad_economica"/>
  </r>
  <r>
    <x v="0"/>
    <x v="0"/>
    <x v="3"/>
    <n v="57092.37"/>
    <x v="0"/>
    <s v="valor_bruto_produccion_por_actividad_economica"/>
  </r>
  <r>
    <x v="1"/>
    <x v="1"/>
    <x v="3"/>
    <n v="20611.060000000001"/>
    <x v="0"/>
    <s v="valor_bruto_produccion_por_actividad_economica"/>
  </r>
  <r>
    <x v="2"/>
    <x v="2"/>
    <x v="3"/>
    <n v="3649.25"/>
    <x v="0"/>
    <s v="valor_bruto_produccion_por_actividad_economica"/>
  </r>
  <r>
    <x v="3"/>
    <x v="3"/>
    <x v="3"/>
    <m/>
    <x v="0"/>
    <s v="valor_bruto_produccion_por_actividad_economica"/>
  </r>
  <r>
    <x v="4"/>
    <x v="4"/>
    <x v="3"/>
    <n v="1882.77"/>
    <x v="0"/>
    <s v="valor_bruto_produccion_por_actividad_economica"/>
  </r>
  <r>
    <x v="5"/>
    <x v="5"/>
    <x v="3"/>
    <n v="1891.84"/>
    <x v="0"/>
    <s v="valor_bruto_produccion_por_actividad_economica"/>
  </r>
  <r>
    <x v="6"/>
    <x v="6"/>
    <x v="3"/>
    <n v="388.61"/>
    <x v="0"/>
    <s v="valor_bruto_produccion_por_actividad_economica"/>
  </r>
  <r>
    <x v="7"/>
    <x v="7"/>
    <x v="3"/>
    <n v="317.05"/>
    <x v="0"/>
    <s v="valor_bruto_produccion_por_actividad_economica"/>
  </r>
  <r>
    <x v="8"/>
    <x v="8"/>
    <x v="3"/>
    <n v="2178.4699999999998"/>
    <x v="0"/>
    <s v="valor_bruto_produccion_por_actividad_economica"/>
  </r>
  <r>
    <x v="9"/>
    <x v="9"/>
    <x v="3"/>
    <n v="817.34"/>
    <x v="0"/>
    <s v="valor_bruto_produccion_por_actividad_economica"/>
  </r>
  <r>
    <x v="10"/>
    <x v="10"/>
    <x v="3"/>
    <n v="5340.77"/>
    <x v="0"/>
    <s v="valor_bruto_produccion_por_actividad_economica"/>
  </r>
  <r>
    <x v="11"/>
    <x v="11"/>
    <x v="3"/>
    <n v="3555.48"/>
    <x v="0"/>
    <s v="valor_bruto_produccion_por_actividad_economica"/>
  </r>
  <r>
    <x v="12"/>
    <x v="12"/>
    <x v="3"/>
    <n v="1111.51"/>
    <x v="0"/>
    <s v="valor_bruto_produccion_por_actividad_economica"/>
  </r>
  <r>
    <x v="13"/>
    <x v="13"/>
    <x v="3"/>
    <n v="3081.22"/>
    <x v="0"/>
    <s v="valor_bruto_produccion_por_actividad_economica"/>
  </r>
  <r>
    <x v="14"/>
    <x v="14"/>
    <x v="3"/>
    <n v="3674.43"/>
    <x v="0"/>
    <s v="valor_bruto_produccion_por_actividad_economica"/>
  </r>
  <r>
    <x v="15"/>
    <x v="15"/>
    <x v="3"/>
    <n v="3146.36"/>
    <x v="0"/>
    <s v="valor_bruto_produccion_por_actividad_economica"/>
  </r>
  <r>
    <x v="16"/>
    <x v="16"/>
    <x v="3"/>
    <n v="2027.41"/>
    <x v="0"/>
    <s v="valor_bruto_produccion_por_actividad_economica"/>
  </r>
  <r>
    <x v="17"/>
    <x v="17"/>
    <x v="3"/>
    <n v="59.4"/>
    <x v="0"/>
    <s v="valor_bruto_produccion_por_actividad_economica"/>
  </r>
  <r>
    <x v="18"/>
    <x v="18"/>
    <x v="3"/>
    <n v="757.55"/>
    <x v="0"/>
    <s v="valor_bruto_produccion_por_actividad_economica"/>
  </r>
  <r>
    <x v="19"/>
    <x v="19"/>
    <x v="3"/>
    <n v="567.86"/>
    <x v="0"/>
    <s v="valor_bruto_produccion_por_actividad_economica"/>
  </r>
  <r>
    <x v="20"/>
    <x v="20"/>
    <x v="3"/>
    <n v="465.67"/>
    <x v="0"/>
    <s v="valor_bruto_produccion_por_actividad_economica"/>
  </r>
  <r>
    <x v="21"/>
    <x v="21"/>
    <x v="3"/>
    <n v="220.04"/>
    <x v="0"/>
    <s v="valor_bruto_produccion_por_actividad_economica"/>
  </r>
  <r>
    <x v="22"/>
    <x v="22"/>
    <x v="3"/>
    <n v="558.51"/>
    <x v="0"/>
    <s v="valor_bruto_produccion_por_actividad_economica"/>
  </r>
  <r>
    <x v="23"/>
    <x v="23"/>
    <x v="3"/>
    <n v="268.83"/>
    <x v="0"/>
    <s v="valor_bruto_produccion_por_actividad_economica"/>
  </r>
  <r>
    <x v="24"/>
    <x v="24"/>
    <x v="3"/>
    <n v="520.94000000000005"/>
    <x v="0"/>
    <s v="valor_bruto_produccion_por_actividad_economica"/>
  </r>
  <r>
    <x v="25"/>
    <x v="25"/>
    <x v="3"/>
    <m/>
    <x v="0"/>
    <s v="valor_bruto_produccion_por_actividad_economica"/>
  </r>
  <r>
    <x v="0"/>
    <x v="0"/>
    <x v="6"/>
    <n v="14702.48"/>
    <x v="0"/>
    <s v="valor_bruto_produccion_por_actividad_economica"/>
  </r>
  <r>
    <x v="1"/>
    <x v="1"/>
    <x v="6"/>
    <n v="6632.01"/>
    <x v="0"/>
    <s v="valor_bruto_produccion_por_actividad_economica"/>
  </r>
  <r>
    <x v="2"/>
    <x v="2"/>
    <x v="6"/>
    <n v="768.79"/>
    <x v="0"/>
    <s v="valor_bruto_produccion_por_actividad_economica"/>
  </r>
  <r>
    <x v="3"/>
    <x v="3"/>
    <x v="6"/>
    <m/>
    <x v="0"/>
    <s v="valor_bruto_produccion_por_actividad_economica"/>
  </r>
  <r>
    <x v="4"/>
    <x v="4"/>
    <x v="6"/>
    <n v="305.94"/>
    <x v="0"/>
    <s v="valor_bruto_produccion_por_actividad_economica"/>
  </r>
  <r>
    <x v="5"/>
    <x v="5"/>
    <x v="6"/>
    <n v="84.62"/>
    <x v="0"/>
    <s v="valor_bruto_produccion_por_actividad_economica"/>
  </r>
  <r>
    <x v="6"/>
    <x v="6"/>
    <x v="6"/>
    <n v="380.81"/>
    <x v="0"/>
    <s v="valor_bruto_produccion_por_actividad_economica"/>
  </r>
  <r>
    <x v="7"/>
    <x v="7"/>
    <x v="6"/>
    <n v="180.69"/>
    <x v="0"/>
    <s v="valor_bruto_produccion_por_actividad_economica"/>
  </r>
  <r>
    <x v="8"/>
    <x v="8"/>
    <x v="6"/>
    <n v="1453.26"/>
    <x v="0"/>
    <s v="valor_bruto_produccion_por_actividad_economica"/>
  </r>
  <r>
    <x v="9"/>
    <x v="9"/>
    <x v="6"/>
    <n v="152.11000000000001"/>
    <x v="0"/>
    <s v="valor_bruto_produccion_por_actividad_economica"/>
  </r>
  <r>
    <x v="10"/>
    <x v="10"/>
    <x v="6"/>
    <n v="1455.08"/>
    <x v="0"/>
    <s v="valor_bruto_produccion_por_actividad_economica"/>
  </r>
  <r>
    <x v="11"/>
    <x v="11"/>
    <x v="6"/>
    <n v="1090.25"/>
    <x v="0"/>
    <s v="valor_bruto_produccion_por_actividad_economica"/>
  </r>
  <r>
    <x v="12"/>
    <x v="12"/>
    <x v="6"/>
    <n v="574.83000000000004"/>
    <x v="0"/>
    <s v="valor_bruto_produccion_por_actividad_economica"/>
  </r>
  <r>
    <x v="13"/>
    <x v="13"/>
    <x v="6"/>
    <n v="464.32"/>
    <x v="0"/>
    <s v="valor_bruto_produccion_por_actividad_economica"/>
  </r>
  <r>
    <x v="14"/>
    <x v="14"/>
    <x v="6"/>
    <n v="256.72000000000003"/>
    <x v="0"/>
    <s v="valor_bruto_produccion_por_actividad_economica"/>
  </r>
  <r>
    <x v="15"/>
    <x v="15"/>
    <x v="6"/>
    <n v="91.38"/>
    <x v="0"/>
    <s v="valor_bruto_produccion_por_actividad_economica"/>
  </r>
  <r>
    <x v="16"/>
    <x v="16"/>
    <x v="6"/>
    <n v="268.33999999999997"/>
    <x v="0"/>
    <s v="valor_bruto_produccion_por_actividad_economica"/>
  </r>
  <r>
    <x v="17"/>
    <x v="17"/>
    <x v="6"/>
    <n v="4.5"/>
    <x v="0"/>
    <s v="valor_bruto_produccion_por_actividad_economica"/>
  </r>
  <r>
    <x v="18"/>
    <x v="18"/>
    <x v="6"/>
    <n v="132.38999999999999"/>
    <x v="0"/>
    <s v="valor_bruto_produccion_por_actividad_economica"/>
  </r>
  <r>
    <x v="19"/>
    <x v="19"/>
    <x v="6"/>
    <n v="23.61"/>
    <x v="0"/>
    <s v="valor_bruto_produccion_por_actividad_economica"/>
  </r>
  <r>
    <x v="20"/>
    <x v="20"/>
    <x v="6"/>
    <n v="110.97"/>
    <x v="0"/>
    <s v="valor_bruto_produccion_por_actividad_economica"/>
  </r>
  <r>
    <x v="21"/>
    <x v="21"/>
    <x v="6"/>
    <m/>
    <x v="0"/>
    <s v="valor_bruto_produccion_por_actividad_economica"/>
  </r>
  <r>
    <x v="22"/>
    <x v="22"/>
    <x v="6"/>
    <n v="106.17"/>
    <x v="0"/>
    <s v="valor_bruto_produccion_por_actividad_economica"/>
  </r>
  <r>
    <x v="23"/>
    <x v="23"/>
    <x v="6"/>
    <n v="40.65"/>
    <x v="0"/>
    <s v="valor_bruto_produccion_por_actividad_economica"/>
  </r>
  <r>
    <x v="24"/>
    <x v="24"/>
    <x v="6"/>
    <n v="125.04"/>
    <x v="0"/>
    <s v="valor_bruto_produccion_por_actividad_economica"/>
  </r>
  <r>
    <x v="25"/>
    <x v="25"/>
    <x v="6"/>
    <m/>
    <x v="0"/>
    <s v="valor_bruto_produccion_por_actividad_economica"/>
  </r>
  <r>
    <x v="0"/>
    <x v="0"/>
    <x v="4"/>
    <n v="783751.22"/>
    <x v="1"/>
    <s v="valor_bruto_produccion_por_actividad_economica"/>
  </r>
  <r>
    <x v="1"/>
    <x v="1"/>
    <x v="4"/>
    <n v="186981.99"/>
    <x v="1"/>
    <s v="valor_bruto_produccion_por_actividad_economica"/>
  </r>
  <r>
    <x v="2"/>
    <x v="2"/>
    <x v="4"/>
    <n v="24371.4"/>
    <x v="1"/>
    <s v="valor_bruto_produccion_por_actividad_economica"/>
  </r>
  <r>
    <x v="3"/>
    <x v="3"/>
    <x v="4"/>
    <n v="4000.2"/>
    <x v="1"/>
    <s v="valor_bruto_produccion_por_actividad_economica"/>
  </r>
  <r>
    <x v="4"/>
    <x v="4"/>
    <x v="4"/>
    <n v="12850.82"/>
    <x v="1"/>
    <s v="valor_bruto_produccion_por_actividad_economica"/>
  </r>
  <r>
    <x v="5"/>
    <x v="5"/>
    <x v="4"/>
    <n v="11910.46"/>
    <x v="1"/>
    <s v="valor_bruto_produccion_por_actividad_economica"/>
  </r>
  <r>
    <x v="6"/>
    <x v="6"/>
    <x v="4"/>
    <n v="11193.03"/>
    <x v="1"/>
    <s v="valor_bruto_produccion_por_actividad_economica"/>
  </r>
  <r>
    <x v="7"/>
    <x v="7"/>
    <x v="4"/>
    <n v="6377.38"/>
    <x v="1"/>
    <s v="valor_bruto_produccion_por_actividad_economica"/>
  </r>
  <r>
    <x v="8"/>
    <x v="8"/>
    <x v="4"/>
    <n v="27201.35"/>
    <x v="1"/>
    <s v="valor_bruto_produccion_por_actividad_economica"/>
  </r>
  <r>
    <x v="9"/>
    <x v="9"/>
    <x v="4"/>
    <n v="3163.97"/>
    <x v="1"/>
    <s v="valor_bruto_produccion_por_actividad_economica"/>
  </r>
  <r>
    <x v="10"/>
    <x v="10"/>
    <x v="4"/>
    <n v="73745.77"/>
    <x v="1"/>
    <s v="valor_bruto_produccion_por_actividad_economica"/>
  </r>
  <r>
    <x v="11"/>
    <x v="11"/>
    <x v="4"/>
    <n v="89569.18"/>
    <x v="1"/>
    <s v="valor_bruto_produccion_por_actividad_economica"/>
  </r>
  <r>
    <x v="12"/>
    <x v="12"/>
    <x v="4"/>
    <n v="16763.349999999999"/>
    <x v="1"/>
    <s v="valor_bruto_produccion_por_actividad_economica"/>
  </r>
  <r>
    <x v="13"/>
    <x v="13"/>
    <x v="4"/>
    <n v="28797.14"/>
    <x v="1"/>
    <s v="valor_bruto_produccion_por_actividad_economica"/>
  </r>
  <r>
    <x v="14"/>
    <x v="14"/>
    <x v="4"/>
    <n v="20525.740000000002"/>
    <x v="1"/>
    <s v="valor_bruto_produccion_por_actividad_economica"/>
  </r>
  <r>
    <x v="15"/>
    <x v="15"/>
    <x v="4"/>
    <n v="55476.6"/>
    <x v="1"/>
    <s v="valor_bruto_produccion_por_actividad_economica"/>
  </r>
  <r>
    <x v="16"/>
    <x v="16"/>
    <x v="4"/>
    <n v="20178.11"/>
    <x v="1"/>
    <s v="valor_bruto_produccion_por_actividad_economica"/>
  </r>
  <r>
    <x v="17"/>
    <x v="17"/>
    <x v="4"/>
    <n v="27201.02"/>
    <x v="1"/>
    <s v="valor_bruto_produccion_por_actividad_economica"/>
  </r>
  <r>
    <x v="18"/>
    <x v="18"/>
    <x v="4"/>
    <n v="21167.16"/>
    <x v="1"/>
    <s v="valor_bruto_produccion_por_actividad_economica"/>
  </r>
  <r>
    <x v="19"/>
    <x v="19"/>
    <x v="4"/>
    <n v="30737.21"/>
    <x v="1"/>
    <s v="valor_bruto_produccion_por_actividad_economica"/>
  </r>
  <r>
    <x v="20"/>
    <x v="20"/>
    <x v="4"/>
    <n v="77926.28"/>
    <x v="1"/>
    <s v="valor_bruto_produccion_por_actividad_economica"/>
  </r>
  <r>
    <x v="21"/>
    <x v="21"/>
    <x v="4"/>
    <n v="11886.7"/>
    <x v="1"/>
    <s v="valor_bruto_produccion_por_actividad_economica"/>
  </r>
  <r>
    <x v="22"/>
    <x v="22"/>
    <x v="4"/>
    <n v="7574.84"/>
    <x v="1"/>
    <s v="valor_bruto_produccion_por_actividad_economica"/>
  </r>
  <r>
    <x v="23"/>
    <x v="23"/>
    <x v="4"/>
    <n v="6261.34"/>
    <x v="1"/>
    <s v="valor_bruto_produccion_por_actividad_economica"/>
  </r>
  <r>
    <x v="24"/>
    <x v="24"/>
    <x v="4"/>
    <n v="7890.18"/>
    <x v="1"/>
    <s v="valor_bruto_produccion_por_actividad_economica"/>
  </r>
  <r>
    <x v="25"/>
    <x v="25"/>
    <x v="4"/>
    <m/>
    <x v="1"/>
    <s v="valor_bruto_produccion_por_actividad_economica"/>
  </r>
  <r>
    <x v="0"/>
    <x v="0"/>
    <x v="0"/>
    <n v="75409.67"/>
    <x v="1"/>
    <s v="valor_bruto_produccion_por_actividad_economica"/>
  </r>
  <r>
    <x v="1"/>
    <x v="1"/>
    <x v="0"/>
    <n v="24350.04"/>
    <x v="1"/>
    <s v="valor_bruto_produccion_por_actividad_economica"/>
  </r>
  <r>
    <x v="2"/>
    <x v="2"/>
    <x v="0"/>
    <n v="7104.09"/>
    <x v="1"/>
    <s v="valor_bruto_produccion_por_actividad_economica"/>
  </r>
  <r>
    <x v="3"/>
    <x v="3"/>
    <x v="0"/>
    <m/>
    <x v="1"/>
    <s v="valor_bruto_produccion_por_actividad_economica"/>
  </r>
  <r>
    <x v="4"/>
    <x v="4"/>
    <x v="0"/>
    <n v="395.94"/>
    <x v="1"/>
    <s v="valor_bruto_produccion_por_actividad_economica"/>
  </r>
  <r>
    <x v="5"/>
    <x v="5"/>
    <x v="0"/>
    <n v="374.52"/>
    <x v="1"/>
    <s v="valor_bruto_produccion_por_actividad_economica"/>
  </r>
  <r>
    <x v="6"/>
    <x v="6"/>
    <x v="0"/>
    <n v="328.16"/>
    <x v="1"/>
    <s v="valor_bruto_produccion_por_actividad_economica"/>
  </r>
  <r>
    <x v="7"/>
    <x v="7"/>
    <x v="0"/>
    <n v="3637.14"/>
    <x v="1"/>
    <s v="valor_bruto_produccion_por_actividad_economica"/>
  </r>
  <r>
    <x v="8"/>
    <x v="8"/>
    <x v="0"/>
    <n v="5800.08"/>
    <x v="1"/>
    <s v="valor_bruto_produccion_por_actividad_economica"/>
  </r>
  <r>
    <x v="9"/>
    <x v="9"/>
    <x v="0"/>
    <n v="504.74"/>
    <x v="1"/>
    <s v="valor_bruto_produccion_por_actividad_economica"/>
  </r>
  <r>
    <x v="10"/>
    <x v="10"/>
    <x v="0"/>
    <m/>
    <x v="1"/>
    <s v="valor_bruto_produccion_por_actividad_economica"/>
  </r>
  <r>
    <x v="11"/>
    <x v="11"/>
    <x v="0"/>
    <n v="12932.61"/>
    <x v="1"/>
    <s v="valor_bruto_produccion_por_actividad_economica"/>
  </r>
  <r>
    <x v="12"/>
    <x v="12"/>
    <x v="0"/>
    <n v="1358.75"/>
    <x v="1"/>
    <s v="valor_bruto_produccion_por_actividad_economica"/>
  </r>
  <r>
    <x v="13"/>
    <x v="13"/>
    <x v="0"/>
    <n v="3125.14"/>
    <x v="1"/>
    <s v="valor_bruto_produccion_por_actividad_economica"/>
  </r>
  <r>
    <x v="14"/>
    <x v="14"/>
    <x v="0"/>
    <n v="2475.0100000000002"/>
    <x v="1"/>
    <s v="valor_bruto_produccion_por_actividad_economica"/>
  </r>
  <r>
    <x v="15"/>
    <x v="15"/>
    <x v="0"/>
    <n v="1650.39"/>
    <x v="1"/>
    <s v="valor_bruto_produccion_por_actividad_economica"/>
  </r>
  <r>
    <x v="16"/>
    <x v="16"/>
    <x v="0"/>
    <n v="4139.18"/>
    <x v="1"/>
    <s v="valor_bruto_produccion_por_actividad_economica"/>
  </r>
  <r>
    <x v="17"/>
    <x v="17"/>
    <x v="0"/>
    <n v="41.58"/>
    <x v="1"/>
    <s v="valor_bruto_produccion_por_actividad_economica"/>
  </r>
  <r>
    <x v="18"/>
    <x v="18"/>
    <x v="0"/>
    <n v="767.36"/>
    <x v="1"/>
    <s v="valor_bruto_produccion_por_actividad_economica"/>
  </r>
  <r>
    <x v="19"/>
    <x v="19"/>
    <x v="0"/>
    <n v="935.55"/>
    <x v="1"/>
    <s v="valor_bruto_produccion_por_actividad_economica"/>
  </r>
  <r>
    <x v="20"/>
    <x v="20"/>
    <x v="0"/>
    <n v="97.19"/>
    <x v="1"/>
    <s v="valor_bruto_produccion_por_actividad_economica"/>
  </r>
  <r>
    <x v="21"/>
    <x v="21"/>
    <x v="0"/>
    <n v="65.13"/>
    <x v="1"/>
    <s v="valor_bruto_produccion_por_actividad_economica"/>
  </r>
  <r>
    <x v="22"/>
    <x v="22"/>
    <x v="0"/>
    <n v="591.29"/>
    <x v="1"/>
    <s v="valor_bruto_produccion_por_actividad_economica"/>
  </r>
  <r>
    <x v="23"/>
    <x v="23"/>
    <x v="0"/>
    <n v="97.14"/>
    <x v="1"/>
    <s v="valor_bruto_produccion_por_actividad_economica"/>
  </r>
  <r>
    <x v="24"/>
    <x v="24"/>
    <x v="0"/>
    <n v="1801.53"/>
    <x v="1"/>
    <s v="valor_bruto_produccion_por_actividad_economica"/>
  </r>
  <r>
    <x v="25"/>
    <x v="25"/>
    <x v="0"/>
    <n v="2837.11"/>
    <x v="1"/>
    <s v="valor_bruto_produccion_por_actividad_economica"/>
  </r>
  <r>
    <x v="0"/>
    <x v="0"/>
    <x v="1"/>
    <n v="69263.25"/>
    <x v="1"/>
    <s v="valor_bruto_produccion_por_actividad_economica"/>
  </r>
  <r>
    <x v="1"/>
    <x v="1"/>
    <x v="1"/>
    <n v="17776.21"/>
    <x v="1"/>
    <s v="valor_bruto_produccion_por_actividad_economica"/>
  </r>
  <r>
    <x v="2"/>
    <x v="2"/>
    <x v="1"/>
    <n v="3738.96"/>
    <x v="1"/>
    <s v="valor_bruto_produccion_por_actividad_economica"/>
  </r>
  <r>
    <x v="3"/>
    <x v="3"/>
    <x v="1"/>
    <m/>
    <x v="1"/>
    <s v="valor_bruto_produccion_por_actividad_economica"/>
  </r>
  <r>
    <x v="4"/>
    <x v="4"/>
    <x v="1"/>
    <n v="1206.23"/>
    <x v="1"/>
    <s v="valor_bruto_produccion_por_actividad_economica"/>
  </r>
  <r>
    <x v="5"/>
    <x v="5"/>
    <x v="1"/>
    <n v="2527.64"/>
    <x v="1"/>
    <s v="valor_bruto_produccion_por_actividad_economica"/>
  </r>
  <r>
    <x v="6"/>
    <x v="6"/>
    <x v="1"/>
    <n v="588.64"/>
    <x v="1"/>
    <s v="valor_bruto_produccion_por_actividad_economica"/>
  </r>
  <r>
    <x v="7"/>
    <x v="7"/>
    <x v="1"/>
    <n v="325.36"/>
    <x v="1"/>
    <s v="valor_bruto_produccion_por_actividad_economica"/>
  </r>
  <r>
    <x v="8"/>
    <x v="8"/>
    <x v="1"/>
    <n v="2618.9699999999998"/>
    <x v="1"/>
    <s v="valor_bruto_produccion_por_actividad_economica"/>
  </r>
  <r>
    <x v="9"/>
    <x v="9"/>
    <x v="1"/>
    <n v="823.96"/>
    <x v="1"/>
    <s v="valor_bruto_produccion_por_actividad_economica"/>
  </r>
  <r>
    <x v="10"/>
    <x v="10"/>
    <x v="1"/>
    <n v="12929.17"/>
    <x v="1"/>
    <s v="valor_bruto_produccion_por_actividad_economica"/>
  </r>
  <r>
    <x v="11"/>
    <x v="11"/>
    <x v="1"/>
    <n v="7342.72"/>
    <x v="1"/>
    <s v="valor_bruto_produccion_por_actividad_economica"/>
  </r>
  <r>
    <x v="12"/>
    <x v="12"/>
    <x v="1"/>
    <n v="1758.97"/>
    <x v="1"/>
    <s v="valor_bruto_produccion_por_actividad_economica"/>
  </r>
  <r>
    <x v="13"/>
    <x v="13"/>
    <x v="1"/>
    <n v="2748.01"/>
    <x v="1"/>
    <s v="valor_bruto_produccion_por_actividad_economica"/>
  </r>
  <r>
    <x v="14"/>
    <x v="14"/>
    <x v="1"/>
    <n v="3526.19"/>
    <x v="1"/>
    <s v="valor_bruto_produccion_por_actividad_economica"/>
  </r>
  <r>
    <x v="15"/>
    <x v="15"/>
    <x v="1"/>
    <n v="2633.17"/>
    <x v="1"/>
    <s v="valor_bruto_produccion_por_actividad_economica"/>
  </r>
  <r>
    <x v="16"/>
    <x v="16"/>
    <x v="1"/>
    <n v="1499.67"/>
    <x v="1"/>
    <s v="valor_bruto_produccion_por_actividad_economica"/>
  </r>
  <r>
    <x v="17"/>
    <x v="17"/>
    <x v="1"/>
    <n v="20.7"/>
    <x v="1"/>
    <s v="valor_bruto_produccion_por_actividad_economica"/>
  </r>
  <r>
    <x v="18"/>
    <x v="18"/>
    <x v="1"/>
    <n v="1380.73"/>
    <x v="1"/>
    <s v="valor_bruto_produccion_por_actividad_economica"/>
  </r>
  <r>
    <x v="19"/>
    <x v="19"/>
    <x v="1"/>
    <n v="596.64"/>
    <x v="1"/>
    <s v="valor_bruto_produccion_por_actividad_economica"/>
  </r>
  <r>
    <x v="20"/>
    <x v="20"/>
    <x v="1"/>
    <n v="1384.67"/>
    <x v="1"/>
    <s v="valor_bruto_produccion_por_actividad_economica"/>
  </r>
  <r>
    <x v="21"/>
    <x v="21"/>
    <x v="1"/>
    <n v="629.69000000000005"/>
    <x v="1"/>
    <s v="valor_bruto_produccion_por_actividad_economica"/>
  </r>
  <r>
    <x v="22"/>
    <x v="22"/>
    <x v="1"/>
    <n v="676.08"/>
    <x v="1"/>
    <s v="valor_bruto_produccion_por_actividad_economica"/>
  </r>
  <r>
    <x v="23"/>
    <x v="23"/>
    <x v="1"/>
    <n v="2530.87"/>
    <x v="1"/>
    <s v="valor_bruto_produccion_por_actividad_economica"/>
  </r>
  <r>
    <x v="24"/>
    <x v="24"/>
    <x v="1"/>
    <m/>
    <x v="1"/>
    <s v="valor_bruto_produccion_por_actividad_economica"/>
  </r>
  <r>
    <x v="25"/>
    <x v="25"/>
    <x v="1"/>
    <m/>
    <x v="1"/>
    <s v="valor_bruto_produccion_por_actividad_economica"/>
  </r>
  <r>
    <x v="0"/>
    <x v="0"/>
    <x v="2"/>
    <n v="27059.48"/>
    <x v="1"/>
    <s v="valor_bruto_produccion_por_actividad_economica"/>
  </r>
  <r>
    <x v="1"/>
    <x v="1"/>
    <x v="2"/>
    <n v="12837.44"/>
    <x v="1"/>
    <s v="valor_bruto_produccion_por_actividad_economica"/>
  </r>
  <r>
    <x v="2"/>
    <x v="2"/>
    <x v="2"/>
    <n v="1301.8900000000001"/>
    <x v="1"/>
    <s v="valor_bruto_produccion_por_actividad_economica"/>
  </r>
  <r>
    <x v="3"/>
    <x v="3"/>
    <x v="2"/>
    <n v="31.45"/>
    <x v="1"/>
    <s v="valor_bruto_produccion_por_actividad_economica"/>
  </r>
  <r>
    <x v="4"/>
    <x v="4"/>
    <x v="2"/>
    <n v="512.58000000000004"/>
    <x v="1"/>
    <s v="valor_bruto_produccion_por_actividad_economica"/>
  </r>
  <r>
    <x v="5"/>
    <x v="5"/>
    <x v="2"/>
    <n v="236.72"/>
    <x v="1"/>
    <s v="valor_bruto_produccion_por_actividad_economica"/>
  </r>
  <r>
    <x v="6"/>
    <x v="6"/>
    <x v="2"/>
    <n v="192.57"/>
    <x v="1"/>
    <s v="valor_bruto_produccion_por_actividad_economica"/>
  </r>
  <r>
    <x v="7"/>
    <x v="7"/>
    <x v="2"/>
    <n v="436.68"/>
    <x v="1"/>
    <s v="valor_bruto_produccion_por_actividad_economica"/>
  </r>
  <r>
    <x v="8"/>
    <x v="8"/>
    <x v="2"/>
    <n v="1497.89"/>
    <x v="1"/>
    <s v="valor_bruto_produccion_por_actividad_economica"/>
  </r>
  <r>
    <x v="9"/>
    <x v="9"/>
    <x v="2"/>
    <n v="351.96"/>
    <x v="1"/>
    <s v="valor_bruto_produccion_por_actividad_economica"/>
  </r>
  <r>
    <x v="10"/>
    <x v="10"/>
    <x v="2"/>
    <n v="162.08000000000001"/>
    <x v="1"/>
    <s v="valor_bruto_produccion_por_actividad_economica"/>
  </r>
  <r>
    <x v="11"/>
    <x v="11"/>
    <x v="2"/>
    <n v="1402.69"/>
    <x v="1"/>
    <s v="valor_bruto_produccion_por_actividad_economica"/>
  </r>
  <r>
    <x v="12"/>
    <x v="12"/>
    <x v="2"/>
    <n v="364.25"/>
    <x v="1"/>
    <s v="valor_bruto_produccion_por_actividad_economica"/>
  </r>
  <r>
    <x v="13"/>
    <x v="13"/>
    <x v="2"/>
    <n v="1299.43"/>
    <x v="1"/>
    <s v="valor_bruto_produccion_por_actividad_economica"/>
  </r>
  <r>
    <x v="14"/>
    <x v="14"/>
    <x v="2"/>
    <n v="1387.15"/>
    <x v="1"/>
    <s v="valor_bruto_produccion_por_actividad_economica"/>
  </r>
  <r>
    <x v="15"/>
    <x v="15"/>
    <x v="2"/>
    <n v="1451.68"/>
    <x v="1"/>
    <s v="valor_bruto_produccion_por_actividad_economica"/>
  </r>
  <r>
    <x v="16"/>
    <x v="16"/>
    <x v="2"/>
    <n v="832.96"/>
    <x v="1"/>
    <s v="valor_bruto_produccion_por_actividad_economica"/>
  </r>
  <r>
    <x v="17"/>
    <x v="17"/>
    <x v="2"/>
    <n v="239.9"/>
    <x v="1"/>
    <s v="valor_bruto_produccion_por_actividad_economica"/>
  </r>
  <r>
    <x v="18"/>
    <x v="18"/>
    <x v="2"/>
    <n v="611.96"/>
    <x v="1"/>
    <s v="valor_bruto_produccion_por_actividad_economica"/>
  </r>
  <r>
    <x v="19"/>
    <x v="19"/>
    <x v="2"/>
    <n v="128.16"/>
    <x v="1"/>
    <s v="valor_bruto_produccion_por_actividad_economica"/>
  </r>
  <r>
    <x v="20"/>
    <x v="20"/>
    <x v="2"/>
    <n v="805.96"/>
    <x v="1"/>
    <s v="valor_bruto_produccion_por_actividad_economica"/>
  </r>
  <r>
    <x v="21"/>
    <x v="21"/>
    <x v="2"/>
    <n v="250.84"/>
    <x v="1"/>
    <s v="valor_bruto_produccion_por_actividad_economica"/>
  </r>
  <r>
    <x v="22"/>
    <x v="22"/>
    <x v="2"/>
    <n v="355.38"/>
    <x v="1"/>
    <s v="valor_bruto_produccion_por_actividad_economica"/>
  </r>
  <r>
    <x v="23"/>
    <x v="23"/>
    <x v="2"/>
    <n v="139.44"/>
    <x v="1"/>
    <s v="valor_bruto_produccion_por_actividad_economica"/>
  </r>
  <r>
    <x v="24"/>
    <x v="24"/>
    <x v="2"/>
    <n v="228.42"/>
    <x v="1"/>
    <s v="valor_bruto_produccion_por_actividad_economica"/>
  </r>
  <r>
    <x v="25"/>
    <x v="25"/>
    <x v="2"/>
    <m/>
    <x v="1"/>
    <s v="valor_bruto_produccion_por_actividad_economica"/>
  </r>
  <r>
    <x v="0"/>
    <x v="0"/>
    <x v="5"/>
    <n v="455156.67"/>
    <x v="1"/>
    <s v="valor_bruto_produccion_por_actividad_economica"/>
  </r>
  <r>
    <x v="1"/>
    <x v="1"/>
    <x v="5"/>
    <n v="63505.85"/>
    <x v="1"/>
    <s v="valor_bruto_produccion_por_actividad_economica"/>
  </r>
  <r>
    <x v="2"/>
    <x v="2"/>
    <x v="5"/>
    <n v="22661.68"/>
    <x v="1"/>
    <s v="valor_bruto_produccion_por_actividad_economica"/>
  </r>
  <r>
    <x v="3"/>
    <x v="3"/>
    <x v="5"/>
    <n v="1014.33"/>
    <x v="1"/>
    <s v="valor_bruto_produccion_por_actividad_economica"/>
  </r>
  <r>
    <x v="4"/>
    <x v="4"/>
    <x v="5"/>
    <n v="13860.99"/>
    <x v="1"/>
    <s v="valor_bruto_produccion_por_actividad_economica"/>
  </r>
  <r>
    <x v="5"/>
    <x v="5"/>
    <x v="5"/>
    <n v="4096.05"/>
    <x v="1"/>
    <s v="valor_bruto_produccion_por_actividad_economica"/>
  </r>
  <r>
    <x v="6"/>
    <x v="6"/>
    <x v="5"/>
    <n v="1917.51"/>
    <x v="1"/>
    <s v="valor_bruto_produccion_por_actividad_economica"/>
  </r>
  <r>
    <x v="7"/>
    <x v="7"/>
    <x v="5"/>
    <n v="1423.92"/>
    <x v="1"/>
    <s v="valor_bruto_produccion_por_actividad_economica"/>
  </r>
  <r>
    <x v="8"/>
    <x v="8"/>
    <x v="5"/>
    <n v="11537.22"/>
    <x v="1"/>
    <s v="valor_bruto_produccion_por_actividad_economica"/>
  </r>
  <r>
    <x v="9"/>
    <x v="9"/>
    <x v="5"/>
    <n v="920.3"/>
    <x v="1"/>
    <s v="valor_bruto_produccion_por_actividad_economica"/>
  </r>
  <r>
    <x v="10"/>
    <x v="10"/>
    <x v="5"/>
    <n v="33125.440000000002"/>
    <x v="1"/>
    <s v="valor_bruto_produccion_por_actividad_economica"/>
  </r>
  <r>
    <x v="11"/>
    <x v="11"/>
    <x v="5"/>
    <n v="43961.45"/>
    <x v="1"/>
    <s v="valor_bruto_produccion_por_actividad_economica"/>
  </r>
  <r>
    <x v="12"/>
    <x v="12"/>
    <x v="5"/>
    <n v="2115.83"/>
    <x v="1"/>
    <s v="valor_bruto_produccion_por_actividad_economica"/>
  </r>
  <r>
    <x v="13"/>
    <x v="13"/>
    <x v="5"/>
    <n v="18546.080000000002"/>
    <x v="1"/>
    <s v="valor_bruto_produccion_por_actividad_economica"/>
  </r>
  <r>
    <x v="14"/>
    <x v="14"/>
    <x v="5"/>
    <n v="23415.67"/>
    <x v="1"/>
    <s v="valor_bruto_produccion_por_actividad_economica"/>
  </r>
  <r>
    <x v="15"/>
    <x v="15"/>
    <x v="5"/>
    <n v="31588.47"/>
    <x v="1"/>
    <s v="valor_bruto_produccion_por_actividad_economica"/>
  </r>
  <r>
    <x v="16"/>
    <x v="16"/>
    <x v="5"/>
    <n v="20109.21"/>
    <x v="1"/>
    <s v="valor_bruto_produccion_por_actividad_economica"/>
  </r>
  <r>
    <x v="17"/>
    <x v="17"/>
    <x v="5"/>
    <n v="9650.44"/>
    <x v="1"/>
    <s v="valor_bruto_produccion_por_actividad_economica"/>
  </r>
  <r>
    <x v="18"/>
    <x v="18"/>
    <x v="5"/>
    <n v="30619.48"/>
    <x v="1"/>
    <s v="valor_bruto_produccion_por_actividad_economica"/>
  </r>
  <r>
    <x v="19"/>
    <x v="19"/>
    <x v="5"/>
    <n v="39868.01"/>
    <x v="1"/>
    <s v="valor_bruto_produccion_por_actividad_economica"/>
  </r>
  <r>
    <x v="20"/>
    <x v="20"/>
    <x v="5"/>
    <n v="78785.37"/>
    <x v="1"/>
    <s v="valor_bruto_produccion_por_actividad_economica"/>
  </r>
  <r>
    <x v="21"/>
    <x v="21"/>
    <x v="5"/>
    <n v="1044.6400000000001"/>
    <x v="1"/>
    <s v="valor_bruto_produccion_por_actividad_economica"/>
  </r>
  <r>
    <x v="22"/>
    <x v="22"/>
    <x v="5"/>
    <n v="819.44"/>
    <x v="1"/>
    <s v="valor_bruto_produccion_por_actividad_economica"/>
  </r>
  <r>
    <x v="23"/>
    <x v="23"/>
    <x v="5"/>
    <n v="569.29"/>
    <x v="1"/>
    <s v="valor_bruto_produccion_por_actividad_economica"/>
  </r>
  <r>
    <x v="24"/>
    <x v="24"/>
    <x v="5"/>
    <m/>
    <x v="1"/>
    <s v="valor_bruto_produccion_por_actividad_economica"/>
  </r>
  <r>
    <x v="25"/>
    <x v="25"/>
    <x v="5"/>
    <m/>
    <x v="1"/>
    <s v="valor_bruto_produccion_por_actividad_economica"/>
  </r>
  <r>
    <x v="0"/>
    <x v="0"/>
    <x v="3"/>
    <n v="73536.350000000006"/>
    <x v="1"/>
    <s v="valor_bruto_produccion_por_actividad_economica"/>
  </r>
  <r>
    <x v="1"/>
    <x v="1"/>
    <x v="3"/>
    <n v="29326.25"/>
    <x v="1"/>
    <s v="valor_bruto_produccion_por_actividad_economica"/>
  </r>
  <r>
    <x v="2"/>
    <x v="2"/>
    <x v="3"/>
    <n v="3621.83"/>
    <x v="1"/>
    <s v="valor_bruto_produccion_por_actividad_economica"/>
  </r>
  <r>
    <x v="3"/>
    <x v="3"/>
    <x v="3"/>
    <m/>
    <x v="1"/>
    <s v="valor_bruto_produccion_por_actividad_economica"/>
  </r>
  <r>
    <x v="4"/>
    <x v="4"/>
    <x v="3"/>
    <n v="1942.94"/>
    <x v="1"/>
    <s v="valor_bruto_produccion_por_actividad_economica"/>
  </r>
  <r>
    <x v="5"/>
    <x v="5"/>
    <x v="3"/>
    <n v="2050.67"/>
    <x v="1"/>
    <s v="valor_bruto_produccion_por_actividad_economica"/>
  </r>
  <r>
    <x v="6"/>
    <x v="6"/>
    <x v="3"/>
    <n v="360.06"/>
    <x v="1"/>
    <s v="valor_bruto_produccion_por_actividad_economica"/>
  </r>
  <r>
    <x v="7"/>
    <x v="7"/>
    <x v="3"/>
    <n v="322.20999999999998"/>
    <x v="1"/>
    <s v="valor_bruto_produccion_por_actividad_economica"/>
  </r>
  <r>
    <x v="8"/>
    <x v="8"/>
    <x v="3"/>
    <n v="1173.57"/>
    <x v="1"/>
    <s v="valor_bruto_produccion_por_actividad_economica"/>
  </r>
  <r>
    <x v="9"/>
    <x v="9"/>
    <x v="3"/>
    <n v="900.07"/>
    <x v="1"/>
    <s v="valor_bruto_produccion_por_actividad_economica"/>
  </r>
  <r>
    <x v="10"/>
    <x v="10"/>
    <x v="3"/>
    <n v="5829.41"/>
    <x v="1"/>
    <s v="valor_bruto_produccion_por_actividad_economica"/>
  </r>
  <r>
    <x v="11"/>
    <x v="11"/>
    <x v="3"/>
    <n v="5196.4799999999996"/>
    <x v="1"/>
    <s v="valor_bruto_produccion_por_actividad_economica"/>
  </r>
  <r>
    <x v="12"/>
    <x v="12"/>
    <x v="3"/>
    <n v="1211.5899999999999"/>
    <x v="1"/>
    <s v="valor_bruto_produccion_por_actividad_economica"/>
  </r>
  <r>
    <x v="13"/>
    <x v="13"/>
    <x v="3"/>
    <n v="4101.93"/>
    <x v="1"/>
    <s v="valor_bruto_produccion_por_actividad_economica"/>
  </r>
  <r>
    <x v="14"/>
    <x v="14"/>
    <x v="3"/>
    <n v="4501.16"/>
    <x v="1"/>
    <s v="valor_bruto_produccion_por_actividad_economica"/>
  </r>
  <r>
    <x v="15"/>
    <x v="15"/>
    <x v="3"/>
    <n v="5756.78"/>
    <x v="1"/>
    <s v="valor_bruto_produccion_por_actividad_economica"/>
  </r>
  <r>
    <x v="16"/>
    <x v="16"/>
    <x v="3"/>
    <n v="2153.08"/>
    <x v="1"/>
    <s v="valor_bruto_produccion_por_actividad_economica"/>
  </r>
  <r>
    <x v="17"/>
    <x v="17"/>
    <x v="3"/>
    <n v="31.73"/>
    <x v="1"/>
    <s v="valor_bruto_produccion_por_actividad_economica"/>
  </r>
  <r>
    <x v="18"/>
    <x v="18"/>
    <x v="3"/>
    <n v="844.12"/>
    <x v="1"/>
    <s v="valor_bruto_produccion_por_actividad_economica"/>
  </r>
  <r>
    <x v="19"/>
    <x v="19"/>
    <x v="3"/>
    <n v="1128.0899999999999"/>
    <x v="1"/>
    <s v="valor_bruto_produccion_por_actividad_economica"/>
  </r>
  <r>
    <x v="20"/>
    <x v="20"/>
    <x v="3"/>
    <n v="481.76"/>
    <x v="1"/>
    <s v="valor_bruto_produccion_por_actividad_economica"/>
  </r>
  <r>
    <x v="21"/>
    <x v="21"/>
    <x v="3"/>
    <n v="232.44"/>
    <x v="1"/>
    <s v="valor_bruto_produccion_por_actividad_economica"/>
  </r>
  <r>
    <x v="22"/>
    <x v="22"/>
    <x v="3"/>
    <n v="448.52"/>
    <x v="1"/>
    <s v="valor_bruto_produccion_por_actividad_economica"/>
  </r>
  <r>
    <x v="23"/>
    <x v="23"/>
    <x v="3"/>
    <n v="1462.32"/>
    <x v="1"/>
    <s v="valor_bruto_produccion_por_actividad_economica"/>
  </r>
  <r>
    <x v="24"/>
    <x v="24"/>
    <x v="3"/>
    <n v="459.34"/>
    <x v="1"/>
    <s v="valor_bruto_produccion_por_actividad_economica"/>
  </r>
  <r>
    <x v="25"/>
    <x v="25"/>
    <x v="3"/>
    <m/>
    <x v="1"/>
    <s v="valor_bruto_produccion_por_actividad_economica"/>
  </r>
  <r>
    <x v="0"/>
    <x v="0"/>
    <x v="6"/>
    <m/>
    <x v="1"/>
    <s v="valor_bruto_produccion_por_actividad_economica"/>
  </r>
  <r>
    <x v="1"/>
    <x v="1"/>
    <x v="6"/>
    <m/>
    <x v="1"/>
    <s v="valor_bruto_produccion_por_actividad_economica"/>
  </r>
  <r>
    <x v="2"/>
    <x v="2"/>
    <x v="6"/>
    <m/>
    <x v="1"/>
    <s v="valor_bruto_produccion_por_actividad_economica"/>
  </r>
  <r>
    <x v="3"/>
    <x v="3"/>
    <x v="6"/>
    <m/>
    <x v="1"/>
    <s v="valor_bruto_produccion_por_actividad_economica"/>
  </r>
  <r>
    <x v="4"/>
    <x v="4"/>
    <x v="6"/>
    <m/>
    <x v="1"/>
    <s v="valor_bruto_produccion_por_actividad_economica"/>
  </r>
  <r>
    <x v="5"/>
    <x v="5"/>
    <x v="6"/>
    <m/>
    <x v="1"/>
    <s v="valor_bruto_produccion_por_actividad_economica"/>
  </r>
  <r>
    <x v="6"/>
    <x v="6"/>
    <x v="6"/>
    <m/>
    <x v="1"/>
    <s v="valor_bruto_produccion_por_actividad_economica"/>
  </r>
  <r>
    <x v="7"/>
    <x v="7"/>
    <x v="6"/>
    <m/>
    <x v="1"/>
    <s v="valor_bruto_produccion_por_actividad_economica"/>
  </r>
  <r>
    <x v="8"/>
    <x v="8"/>
    <x v="6"/>
    <m/>
    <x v="1"/>
    <s v="valor_bruto_produccion_por_actividad_economica"/>
  </r>
  <r>
    <x v="9"/>
    <x v="9"/>
    <x v="6"/>
    <m/>
    <x v="1"/>
    <s v="valor_bruto_produccion_por_actividad_economica"/>
  </r>
  <r>
    <x v="10"/>
    <x v="10"/>
    <x v="6"/>
    <m/>
    <x v="1"/>
    <s v="valor_bruto_produccion_por_actividad_economica"/>
  </r>
  <r>
    <x v="11"/>
    <x v="11"/>
    <x v="6"/>
    <m/>
    <x v="1"/>
    <s v="valor_bruto_produccion_por_actividad_economica"/>
  </r>
  <r>
    <x v="12"/>
    <x v="12"/>
    <x v="6"/>
    <m/>
    <x v="1"/>
    <s v="valor_bruto_produccion_por_actividad_economica"/>
  </r>
  <r>
    <x v="13"/>
    <x v="13"/>
    <x v="6"/>
    <m/>
    <x v="1"/>
    <s v="valor_bruto_produccion_por_actividad_economica"/>
  </r>
  <r>
    <x v="14"/>
    <x v="14"/>
    <x v="6"/>
    <m/>
    <x v="1"/>
    <s v="valor_bruto_produccion_por_actividad_economica"/>
  </r>
  <r>
    <x v="15"/>
    <x v="15"/>
    <x v="6"/>
    <m/>
    <x v="1"/>
    <s v="valor_bruto_produccion_por_actividad_economica"/>
  </r>
  <r>
    <x v="16"/>
    <x v="16"/>
    <x v="6"/>
    <m/>
    <x v="1"/>
    <s v="valor_bruto_produccion_por_actividad_economica"/>
  </r>
  <r>
    <x v="17"/>
    <x v="17"/>
    <x v="6"/>
    <m/>
    <x v="1"/>
    <s v="valor_bruto_produccion_por_actividad_economica"/>
  </r>
  <r>
    <x v="18"/>
    <x v="18"/>
    <x v="6"/>
    <m/>
    <x v="1"/>
    <s v="valor_bruto_produccion_por_actividad_economica"/>
  </r>
  <r>
    <x v="19"/>
    <x v="19"/>
    <x v="6"/>
    <m/>
    <x v="1"/>
    <s v="valor_bruto_produccion_por_actividad_economica"/>
  </r>
  <r>
    <x v="20"/>
    <x v="20"/>
    <x v="6"/>
    <m/>
    <x v="1"/>
    <s v="valor_bruto_produccion_por_actividad_economica"/>
  </r>
  <r>
    <x v="21"/>
    <x v="21"/>
    <x v="6"/>
    <m/>
    <x v="1"/>
    <s v="valor_bruto_produccion_por_actividad_economica"/>
  </r>
  <r>
    <x v="22"/>
    <x v="22"/>
    <x v="6"/>
    <m/>
    <x v="1"/>
    <s v="valor_bruto_produccion_por_actividad_economica"/>
  </r>
  <r>
    <x v="23"/>
    <x v="23"/>
    <x v="6"/>
    <m/>
    <x v="1"/>
    <s v="valor_bruto_produccion_por_actividad_economica"/>
  </r>
  <r>
    <x v="24"/>
    <x v="24"/>
    <x v="6"/>
    <m/>
    <x v="1"/>
    <s v="valor_bruto_produccion_por_actividad_economica"/>
  </r>
  <r>
    <x v="25"/>
    <x v="25"/>
    <x v="6"/>
    <m/>
    <x v="1"/>
    <s v="valor_bruto_produccion_por_actividad_economica"/>
  </r>
  <r>
    <x v="0"/>
    <x v="0"/>
    <x v="4"/>
    <n v="777053.04"/>
    <x v="2"/>
    <s v="valor_bruto_produccion_por_actividad_economica"/>
  </r>
  <r>
    <x v="1"/>
    <x v="1"/>
    <x v="4"/>
    <n v="170834.68"/>
    <x v="2"/>
    <s v="valor_bruto_produccion_por_actividad_economica"/>
  </r>
  <r>
    <x v="2"/>
    <x v="2"/>
    <x v="4"/>
    <n v="22389.85"/>
    <x v="2"/>
    <s v="valor_bruto_produccion_por_actividad_economica"/>
  </r>
  <r>
    <x v="3"/>
    <x v="3"/>
    <x v="4"/>
    <n v="3776.61"/>
    <x v="2"/>
    <s v="valor_bruto_produccion_por_actividad_economica"/>
  </r>
  <r>
    <x v="4"/>
    <x v="4"/>
    <x v="4"/>
    <n v="11641.17"/>
    <x v="2"/>
    <s v="valor_bruto_produccion_por_actividad_economica"/>
  </r>
  <r>
    <x v="5"/>
    <x v="5"/>
    <x v="4"/>
    <n v="10167.35"/>
    <x v="2"/>
    <s v="valor_bruto_produccion_por_actividad_economica"/>
  </r>
  <r>
    <x v="6"/>
    <x v="6"/>
    <x v="4"/>
    <n v="9485.23"/>
    <x v="2"/>
    <s v="valor_bruto_produccion_por_actividad_economica"/>
  </r>
  <r>
    <x v="7"/>
    <x v="7"/>
    <x v="4"/>
    <n v="6855.93"/>
    <x v="2"/>
    <s v="valor_bruto_produccion_por_actividad_economica"/>
  </r>
  <r>
    <x v="8"/>
    <x v="8"/>
    <x v="4"/>
    <n v="28771.74"/>
    <x v="2"/>
    <s v="valor_bruto_produccion_por_actividad_economica"/>
  </r>
  <r>
    <x v="9"/>
    <x v="9"/>
    <x v="4"/>
    <n v="2871.31"/>
    <x v="2"/>
    <s v="valor_bruto_produccion_por_actividad_economica"/>
  </r>
  <r>
    <x v="10"/>
    <x v="10"/>
    <x v="4"/>
    <n v="77383.88"/>
    <x v="2"/>
    <s v="valor_bruto_produccion_por_actividad_economica"/>
  </r>
  <r>
    <x v="11"/>
    <x v="11"/>
    <x v="4"/>
    <n v="95503.02"/>
    <x v="2"/>
    <s v="valor_bruto_produccion_por_actividad_economica"/>
  </r>
  <r>
    <x v="12"/>
    <x v="12"/>
    <x v="4"/>
    <n v="16929.87"/>
    <x v="2"/>
    <s v="valor_bruto_produccion_por_actividad_economica"/>
  </r>
  <r>
    <x v="13"/>
    <x v="13"/>
    <x v="4"/>
    <n v="27128.09"/>
    <x v="2"/>
    <s v="valor_bruto_produccion_por_actividad_economica"/>
  </r>
  <r>
    <x v="14"/>
    <x v="14"/>
    <x v="4"/>
    <n v="19810.2"/>
    <x v="2"/>
    <s v="valor_bruto_produccion_por_actividad_economica"/>
  </r>
  <r>
    <x v="15"/>
    <x v="15"/>
    <x v="4"/>
    <n v="64046.78"/>
    <x v="2"/>
    <s v="valor_bruto_produccion_por_actividad_economica"/>
  </r>
  <r>
    <x v="16"/>
    <x v="16"/>
    <x v="4"/>
    <n v="20420.919999999998"/>
    <x v="2"/>
    <s v="valor_bruto_produccion_por_actividad_economica"/>
  </r>
  <r>
    <x v="17"/>
    <x v="17"/>
    <x v="4"/>
    <n v="27261.07"/>
    <x v="2"/>
    <s v="valor_bruto_produccion_por_actividad_economica"/>
  </r>
  <r>
    <x v="18"/>
    <x v="18"/>
    <x v="4"/>
    <n v="20100.86"/>
    <x v="2"/>
    <s v="valor_bruto_produccion_por_actividad_economica"/>
  </r>
  <r>
    <x v="19"/>
    <x v="19"/>
    <x v="4"/>
    <n v="31537.24"/>
    <x v="2"/>
    <s v="valor_bruto_produccion_por_actividad_economica"/>
  </r>
  <r>
    <x v="20"/>
    <x v="20"/>
    <x v="4"/>
    <n v="79002.48"/>
    <x v="2"/>
    <s v="valor_bruto_produccion_por_actividad_economica"/>
  </r>
  <r>
    <x v="21"/>
    <x v="21"/>
    <x v="4"/>
    <n v="10640.97"/>
    <x v="2"/>
    <s v="valor_bruto_produccion_por_actividad_economica"/>
  </r>
  <r>
    <x v="22"/>
    <x v="22"/>
    <x v="4"/>
    <n v="7412.34"/>
    <x v="2"/>
    <s v="valor_bruto_produccion_por_actividad_economica"/>
  </r>
  <r>
    <x v="23"/>
    <x v="23"/>
    <x v="4"/>
    <n v="6021.9"/>
    <x v="2"/>
    <s v="valor_bruto_produccion_por_actividad_economica"/>
  </r>
  <r>
    <x v="24"/>
    <x v="24"/>
    <x v="4"/>
    <n v="7059.55"/>
    <x v="2"/>
    <s v="valor_bruto_produccion_por_actividad_economica"/>
  </r>
  <r>
    <x v="25"/>
    <x v="25"/>
    <x v="4"/>
    <m/>
    <x v="2"/>
    <s v="valor_bruto_produccion_por_actividad_economica"/>
  </r>
  <r>
    <x v="0"/>
    <x v="0"/>
    <x v="0"/>
    <n v="78094.5"/>
    <x v="2"/>
    <s v="valor_bruto_produccion_por_actividad_economica"/>
  </r>
  <r>
    <x v="1"/>
    <x v="1"/>
    <x v="0"/>
    <n v="26189.16"/>
    <x v="2"/>
    <s v="valor_bruto_produccion_por_actividad_economica"/>
  </r>
  <r>
    <x v="2"/>
    <x v="2"/>
    <x v="0"/>
    <n v="6861.58"/>
    <x v="2"/>
    <s v="valor_bruto_produccion_por_actividad_economica"/>
  </r>
  <r>
    <x v="3"/>
    <x v="3"/>
    <x v="0"/>
    <m/>
    <x v="2"/>
    <s v="valor_bruto_produccion_por_actividad_economica"/>
  </r>
  <r>
    <x v="4"/>
    <x v="4"/>
    <x v="0"/>
    <n v="385.24"/>
    <x v="2"/>
    <s v="valor_bruto_produccion_por_actividad_economica"/>
  </r>
  <r>
    <x v="5"/>
    <x v="5"/>
    <x v="0"/>
    <n v="841.42"/>
    <x v="2"/>
    <s v="valor_bruto_produccion_por_actividad_economica"/>
  </r>
  <r>
    <x v="6"/>
    <x v="6"/>
    <x v="0"/>
    <n v="322.47000000000003"/>
    <x v="2"/>
    <s v="valor_bruto_produccion_por_actividad_economica"/>
  </r>
  <r>
    <x v="7"/>
    <x v="7"/>
    <x v="0"/>
    <n v="3858.62"/>
    <x v="2"/>
    <s v="valor_bruto_produccion_por_actividad_economica"/>
  </r>
  <r>
    <x v="8"/>
    <x v="8"/>
    <x v="0"/>
    <n v="7553.67"/>
    <x v="2"/>
    <s v="valor_bruto_produccion_por_actividad_economica"/>
  </r>
  <r>
    <x v="9"/>
    <x v="9"/>
    <x v="0"/>
    <n v="961.07"/>
    <x v="2"/>
    <s v="valor_bruto_produccion_por_actividad_economica"/>
  </r>
  <r>
    <x v="10"/>
    <x v="10"/>
    <x v="0"/>
    <n v="24.25"/>
    <x v="2"/>
    <s v="valor_bruto_produccion_por_actividad_economica"/>
  </r>
  <r>
    <x v="11"/>
    <x v="11"/>
    <x v="0"/>
    <n v="12400.95"/>
    <x v="2"/>
    <s v="valor_bruto_produccion_por_actividad_economica"/>
  </r>
  <r>
    <x v="12"/>
    <x v="12"/>
    <x v="0"/>
    <n v="1313.15"/>
    <x v="2"/>
    <s v="valor_bruto_produccion_por_actividad_economica"/>
  </r>
  <r>
    <x v="13"/>
    <x v="13"/>
    <x v="0"/>
    <n v="2946.65"/>
    <x v="2"/>
    <s v="valor_bruto_produccion_por_actividad_economica"/>
  </r>
  <r>
    <x v="14"/>
    <x v="14"/>
    <x v="0"/>
    <n v="3528.39"/>
    <x v="2"/>
    <s v="valor_bruto_produccion_por_actividad_economica"/>
  </r>
  <r>
    <x v="15"/>
    <x v="15"/>
    <x v="0"/>
    <n v="2159.69"/>
    <x v="2"/>
    <s v="valor_bruto_produccion_por_actividad_economica"/>
  </r>
  <r>
    <x v="16"/>
    <x v="16"/>
    <x v="0"/>
    <n v="2815.96"/>
    <x v="2"/>
    <s v="valor_bruto_produccion_por_actividad_economica"/>
  </r>
  <r>
    <x v="17"/>
    <x v="17"/>
    <x v="0"/>
    <n v="259.37"/>
    <x v="2"/>
    <s v="valor_bruto_produccion_por_actividad_economica"/>
  </r>
  <r>
    <x v="18"/>
    <x v="18"/>
    <x v="0"/>
    <n v="631.92999999999995"/>
    <x v="2"/>
    <s v="valor_bruto_produccion_por_actividad_economica"/>
  </r>
  <r>
    <x v="19"/>
    <x v="19"/>
    <x v="0"/>
    <n v="2438.04"/>
    <x v="2"/>
    <s v="valor_bruto_produccion_por_actividad_economica"/>
  </r>
  <r>
    <x v="20"/>
    <x v="20"/>
    <x v="0"/>
    <n v="342.88"/>
    <x v="2"/>
    <s v="valor_bruto_produccion_por_actividad_economica"/>
  </r>
  <r>
    <x v="21"/>
    <x v="21"/>
    <x v="0"/>
    <n v="87.91"/>
    <x v="2"/>
    <s v="valor_bruto_produccion_por_actividad_economica"/>
  </r>
  <r>
    <x v="22"/>
    <x v="22"/>
    <x v="0"/>
    <n v="629.33000000000004"/>
    <x v="2"/>
    <s v="valor_bruto_produccion_por_actividad_economica"/>
  </r>
  <r>
    <x v="23"/>
    <x v="23"/>
    <x v="0"/>
    <n v="83.29"/>
    <x v="2"/>
    <s v="valor_bruto_produccion_por_actividad_economica"/>
  </r>
  <r>
    <x v="24"/>
    <x v="24"/>
    <x v="0"/>
    <n v="1425.54"/>
    <x v="2"/>
    <s v="valor_bruto_produccion_por_actividad_economica"/>
  </r>
  <r>
    <x v="25"/>
    <x v="25"/>
    <x v="0"/>
    <n v="33.94"/>
    <x v="2"/>
    <s v="valor_bruto_produccion_por_actividad_economica"/>
  </r>
  <r>
    <x v="0"/>
    <x v="0"/>
    <x v="1"/>
    <n v="74494.45"/>
    <x v="2"/>
    <s v="valor_bruto_produccion_por_actividad_economica"/>
  </r>
  <r>
    <x v="1"/>
    <x v="1"/>
    <x v="1"/>
    <n v="18437.25"/>
    <x v="2"/>
    <s v="valor_bruto_produccion_por_actividad_economica"/>
  </r>
  <r>
    <x v="2"/>
    <x v="2"/>
    <x v="1"/>
    <n v="2066.13"/>
    <x v="2"/>
    <s v="valor_bruto_produccion_por_actividad_economica"/>
  </r>
  <r>
    <x v="3"/>
    <x v="3"/>
    <x v="1"/>
    <m/>
    <x v="2"/>
    <s v="valor_bruto_produccion_por_actividad_economica"/>
  </r>
  <r>
    <x v="4"/>
    <x v="4"/>
    <x v="1"/>
    <n v="1268.02"/>
    <x v="2"/>
    <s v="valor_bruto_produccion_por_actividad_economica"/>
  </r>
  <r>
    <x v="5"/>
    <x v="5"/>
    <x v="1"/>
    <n v="2467.17"/>
    <x v="2"/>
    <s v="valor_bruto_produccion_por_actividad_economica"/>
  </r>
  <r>
    <x v="6"/>
    <x v="6"/>
    <x v="1"/>
    <n v="462.74"/>
    <x v="2"/>
    <s v="valor_bruto_produccion_por_actividad_economica"/>
  </r>
  <r>
    <x v="7"/>
    <x v="7"/>
    <x v="1"/>
    <n v="311.3"/>
    <x v="2"/>
    <s v="valor_bruto_produccion_por_actividad_economica"/>
  </r>
  <r>
    <x v="8"/>
    <x v="8"/>
    <x v="1"/>
    <n v="2845.58"/>
    <x v="2"/>
    <s v="valor_bruto_produccion_por_actividad_economica"/>
  </r>
  <r>
    <x v="9"/>
    <x v="9"/>
    <x v="1"/>
    <n v="844.27"/>
    <x v="2"/>
    <s v="valor_bruto_produccion_por_actividad_economica"/>
  </r>
  <r>
    <x v="10"/>
    <x v="10"/>
    <x v="1"/>
    <n v="11217.44"/>
    <x v="2"/>
    <s v="valor_bruto_produccion_por_actividad_economica"/>
  </r>
  <r>
    <x v="11"/>
    <x v="11"/>
    <x v="1"/>
    <n v="7628.16"/>
    <x v="2"/>
    <s v="valor_bruto_produccion_por_actividad_economica"/>
  </r>
  <r>
    <x v="12"/>
    <x v="12"/>
    <x v="1"/>
    <n v="1900.31"/>
    <x v="2"/>
    <s v="valor_bruto_produccion_por_actividad_economica"/>
  </r>
  <r>
    <x v="13"/>
    <x v="13"/>
    <x v="1"/>
    <n v="2936.48"/>
    <x v="2"/>
    <s v="valor_bruto_produccion_por_actividad_economica"/>
  </r>
  <r>
    <x v="14"/>
    <x v="14"/>
    <x v="1"/>
    <n v="3488.32"/>
    <x v="2"/>
    <s v="valor_bruto_produccion_por_actividad_economica"/>
  </r>
  <r>
    <x v="15"/>
    <x v="15"/>
    <x v="1"/>
    <n v="2831.69"/>
    <x v="2"/>
    <s v="valor_bruto_produccion_por_actividad_economica"/>
  </r>
  <r>
    <x v="16"/>
    <x v="16"/>
    <x v="1"/>
    <n v="1650.76"/>
    <x v="2"/>
    <s v="valor_bruto_produccion_por_actividad_economica"/>
  </r>
  <r>
    <x v="17"/>
    <x v="17"/>
    <x v="1"/>
    <m/>
    <x v="2"/>
    <s v="valor_bruto_produccion_por_actividad_economica"/>
  </r>
  <r>
    <x v="18"/>
    <x v="18"/>
    <x v="1"/>
    <n v="1514.94"/>
    <x v="2"/>
    <s v="valor_bruto_produccion_por_actividad_economica"/>
  </r>
  <r>
    <x v="19"/>
    <x v="19"/>
    <x v="1"/>
    <n v="604.1"/>
    <x v="2"/>
    <s v="valor_bruto_produccion_por_actividad_economica"/>
  </r>
  <r>
    <x v="20"/>
    <x v="20"/>
    <x v="1"/>
    <n v="1038.8"/>
    <x v="2"/>
    <s v="valor_bruto_produccion_por_actividad_economica"/>
  </r>
  <r>
    <x v="21"/>
    <x v="21"/>
    <x v="1"/>
    <n v="672.35"/>
    <x v="2"/>
    <s v="valor_bruto_produccion_por_actividad_economica"/>
  </r>
  <r>
    <x v="22"/>
    <x v="22"/>
    <x v="1"/>
    <n v="703.25"/>
    <x v="2"/>
    <s v="valor_bruto_produccion_por_actividad_economica"/>
  </r>
  <r>
    <x v="23"/>
    <x v="23"/>
    <x v="1"/>
    <n v="9605.39"/>
    <x v="2"/>
    <s v="valor_bruto_produccion_por_actividad_economica"/>
  </r>
  <r>
    <x v="24"/>
    <x v="24"/>
    <x v="1"/>
    <m/>
    <x v="2"/>
    <s v="valor_bruto_produccion_por_actividad_economica"/>
  </r>
  <r>
    <x v="25"/>
    <x v="25"/>
    <x v="1"/>
    <m/>
    <x v="2"/>
    <s v="valor_bruto_produccion_por_actividad_economica"/>
  </r>
  <r>
    <x v="0"/>
    <x v="0"/>
    <x v="2"/>
    <n v="28425.919999999998"/>
    <x v="2"/>
    <s v="valor_bruto_produccion_por_actividad_economica"/>
  </r>
  <r>
    <x v="1"/>
    <x v="1"/>
    <x v="2"/>
    <n v="13320.2"/>
    <x v="2"/>
    <s v="valor_bruto_produccion_por_actividad_economica"/>
  </r>
  <r>
    <x v="2"/>
    <x v="2"/>
    <x v="2"/>
    <n v="1478.93"/>
    <x v="2"/>
    <s v="valor_bruto_produccion_por_actividad_economica"/>
  </r>
  <r>
    <x v="3"/>
    <x v="3"/>
    <x v="2"/>
    <n v="28.38"/>
    <x v="2"/>
    <s v="valor_bruto_produccion_por_actividad_economica"/>
  </r>
  <r>
    <x v="4"/>
    <x v="4"/>
    <x v="2"/>
    <n v="581.02"/>
    <x v="2"/>
    <s v="valor_bruto_produccion_por_actividad_economica"/>
  </r>
  <r>
    <x v="5"/>
    <x v="5"/>
    <x v="2"/>
    <n v="434.88"/>
    <x v="2"/>
    <s v="valor_bruto_produccion_por_actividad_economica"/>
  </r>
  <r>
    <x v="6"/>
    <x v="6"/>
    <x v="2"/>
    <n v="130.06"/>
    <x v="2"/>
    <s v="valor_bruto_produccion_por_actividad_economica"/>
  </r>
  <r>
    <x v="7"/>
    <x v="7"/>
    <x v="2"/>
    <n v="445.98"/>
    <x v="2"/>
    <s v="valor_bruto_produccion_por_actividad_economica"/>
  </r>
  <r>
    <x v="8"/>
    <x v="8"/>
    <x v="2"/>
    <n v="1629.39"/>
    <x v="2"/>
    <s v="valor_bruto_produccion_por_actividad_economica"/>
  </r>
  <r>
    <x v="9"/>
    <x v="9"/>
    <x v="2"/>
    <n v="299.02999999999997"/>
    <x v="2"/>
    <s v="valor_bruto_produccion_por_actividad_economica"/>
  </r>
  <r>
    <x v="10"/>
    <x v="10"/>
    <x v="2"/>
    <n v="159.71"/>
    <x v="2"/>
    <s v="valor_bruto_produccion_por_actividad_economica"/>
  </r>
  <r>
    <x v="11"/>
    <x v="11"/>
    <x v="2"/>
    <n v="1554.85"/>
    <x v="2"/>
    <s v="valor_bruto_produccion_por_actividad_economica"/>
  </r>
  <r>
    <x v="12"/>
    <x v="12"/>
    <x v="2"/>
    <n v="527.09"/>
    <x v="2"/>
    <s v="valor_bruto_produccion_por_actividad_economica"/>
  </r>
  <r>
    <x v="13"/>
    <x v="13"/>
    <x v="2"/>
    <n v="1562.87"/>
    <x v="2"/>
    <s v="valor_bruto_produccion_por_actividad_economica"/>
  </r>
  <r>
    <x v="14"/>
    <x v="14"/>
    <x v="2"/>
    <n v="1538.44"/>
    <x v="2"/>
    <s v="valor_bruto_produccion_por_actividad_economica"/>
  </r>
  <r>
    <x v="15"/>
    <x v="15"/>
    <x v="2"/>
    <n v="1356.54"/>
    <x v="2"/>
    <s v="valor_bruto_produccion_por_actividad_economica"/>
  </r>
  <r>
    <x v="16"/>
    <x v="16"/>
    <x v="2"/>
    <n v="698.8"/>
    <x v="2"/>
    <s v="valor_bruto_produccion_por_actividad_economica"/>
  </r>
  <r>
    <x v="17"/>
    <x v="17"/>
    <x v="2"/>
    <n v="355.98"/>
    <x v="2"/>
    <s v="valor_bruto_produccion_por_actividad_economica"/>
  </r>
  <r>
    <x v="18"/>
    <x v="18"/>
    <x v="2"/>
    <n v="577.91999999999996"/>
    <x v="2"/>
    <s v="valor_bruto_produccion_por_actividad_economica"/>
  </r>
  <r>
    <x v="19"/>
    <x v="19"/>
    <x v="2"/>
    <n v="110.98"/>
    <x v="2"/>
    <s v="valor_bruto_produccion_por_actividad_economica"/>
  </r>
  <r>
    <x v="20"/>
    <x v="20"/>
    <x v="2"/>
    <n v="722.92"/>
    <x v="2"/>
    <s v="valor_bruto_produccion_por_actividad_economica"/>
  </r>
  <r>
    <x v="21"/>
    <x v="21"/>
    <x v="2"/>
    <n v="268.22000000000003"/>
    <x v="2"/>
    <s v="valor_bruto_produccion_por_actividad_economica"/>
  </r>
  <r>
    <x v="22"/>
    <x v="22"/>
    <x v="2"/>
    <n v="320.39"/>
    <x v="2"/>
    <s v="valor_bruto_produccion_por_actividad_economica"/>
  </r>
  <r>
    <x v="23"/>
    <x v="23"/>
    <x v="2"/>
    <n v="153.08000000000001"/>
    <x v="2"/>
    <s v="valor_bruto_produccion_por_actividad_economica"/>
  </r>
  <r>
    <x v="24"/>
    <x v="24"/>
    <x v="2"/>
    <n v="170.26"/>
    <x v="2"/>
    <s v="valor_bruto_produccion_por_actividad_economica"/>
  </r>
  <r>
    <x v="25"/>
    <x v="25"/>
    <x v="2"/>
    <m/>
    <x v="2"/>
    <s v="valor_bruto_produccion_por_actividad_economica"/>
  </r>
  <r>
    <x v="0"/>
    <x v="0"/>
    <x v="5"/>
    <n v="479658.58"/>
    <x v="2"/>
    <s v="valor_bruto_produccion_por_actividad_economica"/>
  </r>
  <r>
    <x v="1"/>
    <x v="1"/>
    <x v="5"/>
    <n v="65436.31"/>
    <x v="2"/>
    <s v="valor_bruto_produccion_por_actividad_economica"/>
  </r>
  <r>
    <x v="2"/>
    <x v="2"/>
    <x v="5"/>
    <n v="24258.48"/>
    <x v="2"/>
    <s v="valor_bruto_produccion_por_actividad_economica"/>
  </r>
  <r>
    <x v="3"/>
    <x v="3"/>
    <x v="5"/>
    <n v="982.14"/>
    <x v="2"/>
    <s v="valor_bruto_produccion_por_actividad_economica"/>
  </r>
  <r>
    <x v="4"/>
    <x v="4"/>
    <x v="5"/>
    <n v="14498.44"/>
    <x v="2"/>
    <s v="valor_bruto_produccion_por_actividad_economica"/>
  </r>
  <r>
    <x v="5"/>
    <x v="5"/>
    <x v="5"/>
    <n v="4198.42"/>
    <x v="2"/>
    <s v="valor_bruto_produccion_por_actividad_economica"/>
  </r>
  <r>
    <x v="6"/>
    <x v="6"/>
    <x v="5"/>
    <n v="1957.58"/>
    <x v="2"/>
    <s v="valor_bruto_produccion_por_actividad_economica"/>
  </r>
  <r>
    <x v="7"/>
    <x v="7"/>
    <x v="5"/>
    <n v="1437.24"/>
    <x v="2"/>
    <s v="valor_bruto_produccion_por_actividad_economica"/>
  </r>
  <r>
    <x v="8"/>
    <x v="8"/>
    <x v="5"/>
    <n v="12341.35"/>
    <x v="2"/>
    <s v="valor_bruto_produccion_por_actividad_economica"/>
  </r>
  <r>
    <x v="9"/>
    <x v="9"/>
    <x v="5"/>
    <n v="852.74"/>
    <x v="2"/>
    <s v="valor_bruto_produccion_por_actividad_economica"/>
  </r>
  <r>
    <x v="10"/>
    <x v="10"/>
    <x v="5"/>
    <n v="34450.15"/>
    <x v="2"/>
    <s v="valor_bruto_produccion_por_actividad_economica"/>
  </r>
  <r>
    <x v="11"/>
    <x v="11"/>
    <x v="5"/>
    <n v="45117.56"/>
    <x v="2"/>
    <s v="valor_bruto_produccion_por_actividad_economica"/>
  </r>
  <r>
    <x v="12"/>
    <x v="12"/>
    <x v="5"/>
    <n v="2185.81"/>
    <x v="2"/>
    <s v="valor_bruto_produccion_por_actividad_economica"/>
  </r>
  <r>
    <x v="13"/>
    <x v="13"/>
    <x v="5"/>
    <n v="19242.16"/>
    <x v="2"/>
    <s v="valor_bruto_produccion_por_actividad_economica"/>
  </r>
  <r>
    <x v="14"/>
    <x v="14"/>
    <x v="5"/>
    <n v="24872.42"/>
    <x v="2"/>
    <s v="valor_bruto_produccion_por_actividad_economica"/>
  </r>
  <r>
    <x v="15"/>
    <x v="15"/>
    <x v="5"/>
    <n v="34020.06"/>
    <x v="2"/>
    <s v="valor_bruto_produccion_por_actividad_economica"/>
  </r>
  <r>
    <x v="16"/>
    <x v="16"/>
    <x v="5"/>
    <n v="21555.61"/>
    <x v="2"/>
    <s v="valor_bruto_produccion_por_actividad_economica"/>
  </r>
  <r>
    <x v="17"/>
    <x v="17"/>
    <x v="5"/>
    <n v="10155.93"/>
    <x v="2"/>
    <s v="valor_bruto_produccion_por_actividad_economica"/>
  </r>
  <r>
    <x v="18"/>
    <x v="18"/>
    <x v="5"/>
    <n v="32345.47"/>
    <x v="2"/>
    <s v="valor_bruto_produccion_por_actividad_economica"/>
  </r>
  <r>
    <x v="19"/>
    <x v="19"/>
    <x v="5"/>
    <n v="42994.92"/>
    <x v="2"/>
    <s v="valor_bruto_produccion_por_actividad_economica"/>
  </r>
  <r>
    <x v="20"/>
    <x v="20"/>
    <x v="5"/>
    <n v="84047.360000000001"/>
    <x v="2"/>
    <s v="valor_bruto_produccion_por_actividad_economica"/>
  </r>
  <r>
    <x v="21"/>
    <x v="21"/>
    <x v="5"/>
    <n v="1270.8599999999999"/>
    <x v="2"/>
    <s v="valor_bruto_produccion_por_actividad_economica"/>
  </r>
  <r>
    <x v="22"/>
    <x v="22"/>
    <x v="5"/>
    <n v="832.47"/>
    <x v="2"/>
    <s v="valor_bruto_produccion_por_actividad_economica"/>
  </r>
  <r>
    <x v="23"/>
    <x v="23"/>
    <x v="5"/>
    <n v="605.1"/>
    <x v="2"/>
    <s v="valor_bruto_produccion_por_actividad_economica"/>
  </r>
  <r>
    <x v="24"/>
    <x v="24"/>
    <x v="5"/>
    <m/>
    <x v="2"/>
    <s v="valor_bruto_produccion_por_actividad_economica"/>
  </r>
  <r>
    <x v="25"/>
    <x v="25"/>
    <x v="5"/>
    <m/>
    <x v="2"/>
    <s v="valor_bruto_produccion_por_actividad_economica"/>
  </r>
  <r>
    <x v="0"/>
    <x v="0"/>
    <x v="3"/>
    <n v="78683.399999999994"/>
    <x v="2"/>
    <s v="valor_bruto_produccion_por_actividad_economica"/>
  </r>
  <r>
    <x v="1"/>
    <x v="1"/>
    <x v="3"/>
    <n v="29729.65"/>
    <x v="2"/>
    <s v="valor_bruto_produccion_por_actividad_economica"/>
  </r>
  <r>
    <x v="2"/>
    <x v="2"/>
    <x v="3"/>
    <n v="3920.04"/>
    <x v="2"/>
    <s v="valor_bruto_produccion_por_actividad_economica"/>
  </r>
  <r>
    <x v="3"/>
    <x v="3"/>
    <x v="3"/>
    <m/>
    <x v="2"/>
    <s v="valor_bruto_produccion_por_actividad_economica"/>
  </r>
  <r>
    <x v="4"/>
    <x v="4"/>
    <x v="3"/>
    <n v="2339.58"/>
    <x v="2"/>
    <s v="valor_bruto_produccion_por_actividad_economica"/>
  </r>
  <r>
    <x v="5"/>
    <x v="5"/>
    <x v="3"/>
    <n v="2237.96"/>
    <x v="2"/>
    <s v="valor_bruto_produccion_por_actividad_economica"/>
  </r>
  <r>
    <x v="6"/>
    <x v="6"/>
    <x v="3"/>
    <n v="354.73"/>
    <x v="2"/>
    <s v="valor_bruto_produccion_por_actividad_economica"/>
  </r>
  <r>
    <x v="7"/>
    <x v="7"/>
    <x v="3"/>
    <n v="494.65"/>
    <x v="2"/>
    <s v="valor_bruto_produccion_por_actividad_economica"/>
  </r>
  <r>
    <x v="8"/>
    <x v="8"/>
    <x v="3"/>
    <n v="2421.77"/>
    <x v="2"/>
    <s v="valor_bruto_produccion_por_actividad_economica"/>
  </r>
  <r>
    <x v="9"/>
    <x v="9"/>
    <x v="3"/>
    <n v="739.63"/>
    <x v="2"/>
    <s v="valor_bruto_produccion_por_actividad_economica"/>
  </r>
  <r>
    <x v="10"/>
    <x v="10"/>
    <x v="3"/>
    <n v="8037.68"/>
    <x v="2"/>
    <s v="valor_bruto_produccion_por_actividad_economica"/>
  </r>
  <r>
    <x v="11"/>
    <x v="11"/>
    <x v="3"/>
    <n v="5238.04"/>
    <x v="2"/>
    <s v="valor_bruto_produccion_por_actividad_economica"/>
  </r>
  <r>
    <x v="12"/>
    <x v="12"/>
    <x v="3"/>
    <n v="1135.0999999999999"/>
    <x v="2"/>
    <s v="valor_bruto_produccion_por_actividad_economica"/>
  </r>
  <r>
    <x v="13"/>
    <x v="13"/>
    <x v="3"/>
    <n v="4162.01"/>
    <x v="2"/>
    <s v="valor_bruto_produccion_por_actividad_economica"/>
  </r>
  <r>
    <x v="14"/>
    <x v="14"/>
    <x v="3"/>
    <n v="5366.83"/>
    <x v="2"/>
    <s v="valor_bruto_produccion_por_actividad_economica"/>
  </r>
  <r>
    <x v="15"/>
    <x v="15"/>
    <x v="3"/>
    <n v="5844.69"/>
    <x v="2"/>
    <s v="valor_bruto_produccion_por_actividad_economica"/>
  </r>
  <r>
    <x v="16"/>
    <x v="16"/>
    <x v="3"/>
    <n v="2206.06"/>
    <x v="2"/>
    <s v="valor_bruto_produccion_por_actividad_economica"/>
  </r>
  <r>
    <x v="17"/>
    <x v="17"/>
    <x v="3"/>
    <n v="42.39"/>
    <x v="2"/>
    <s v="valor_bruto_produccion_por_actividad_economica"/>
  </r>
  <r>
    <x v="18"/>
    <x v="18"/>
    <x v="3"/>
    <n v="813.95"/>
    <x v="2"/>
    <s v="valor_bruto_produccion_por_actividad_economica"/>
  </r>
  <r>
    <x v="19"/>
    <x v="19"/>
    <x v="3"/>
    <n v="652.48"/>
    <x v="2"/>
    <s v="valor_bruto_produccion_por_actividad_economica"/>
  </r>
  <r>
    <x v="20"/>
    <x v="20"/>
    <x v="3"/>
    <n v="977.85"/>
    <x v="2"/>
    <s v="valor_bruto_produccion_por_actividad_economica"/>
  </r>
  <r>
    <x v="21"/>
    <x v="21"/>
    <x v="3"/>
    <n v="223.94"/>
    <x v="2"/>
    <s v="valor_bruto_produccion_por_actividad_economica"/>
  </r>
  <r>
    <x v="22"/>
    <x v="22"/>
    <x v="3"/>
    <n v="503.73"/>
    <x v="2"/>
    <s v="valor_bruto_produccion_por_actividad_economica"/>
  </r>
  <r>
    <x v="23"/>
    <x v="23"/>
    <x v="3"/>
    <n v="668.12"/>
    <x v="2"/>
    <s v="valor_bruto_produccion_por_actividad_economica"/>
  </r>
  <r>
    <x v="24"/>
    <x v="24"/>
    <x v="3"/>
    <n v="572.52"/>
    <x v="2"/>
    <s v="valor_bruto_produccion_por_actividad_economica"/>
  </r>
  <r>
    <x v="25"/>
    <x v="25"/>
    <x v="3"/>
    <m/>
    <x v="2"/>
    <s v="valor_bruto_produccion_por_actividad_economica"/>
  </r>
  <r>
    <x v="0"/>
    <x v="0"/>
    <x v="6"/>
    <n v="16835.03"/>
    <x v="2"/>
    <s v="valor_bruto_produccion_por_actividad_economica"/>
  </r>
  <r>
    <x v="1"/>
    <x v="1"/>
    <x v="6"/>
    <n v="7359.08"/>
    <x v="2"/>
    <s v="valor_bruto_produccion_por_actividad_economica"/>
  </r>
  <r>
    <x v="2"/>
    <x v="2"/>
    <x v="6"/>
    <n v="858.22"/>
    <x v="2"/>
    <s v="valor_bruto_produccion_por_actividad_economica"/>
  </r>
  <r>
    <x v="3"/>
    <x v="3"/>
    <x v="6"/>
    <m/>
    <x v="2"/>
    <s v="valor_bruto_produccion_por_actividad_economica"/>
  </r>
  <r>
    <x v="4"/>
    <x v="4"/>
    <x v="6"/>
    <n v="245.77"/>
    <x v="2"/>
    <s v="valor_bruto_produccion_por_actividad_economica"/>
  </r>
  <r>
    <x v="5"/>
    <x v="5"/>
    <x v="6"/>
    <n v="74.680000000000007"/>
    <x v="2"/>
    <s v="valor_bruto_produccion_por_actividad_economica"/>
  </r>
  <r>
    <x v="6"/>
    <x v="6"/>
    <x v="6"/>
    <n v="329.64"/>
    <x v="2"/>
    <s v="valor_bruto_produccion_por_actividad_economica"/>
  </r>
  <r>
    <x v="7"/>
    <x v="7"/>
    <x v="6"/>
    <n v="382.36"/>
    <x v="2"/>
    <s v="valor_bruto_produccion_por_actividad_economica"/>
  </r>
  <r>
    <x v="8"/>
    <x v="8"/>
    <x v="6"/>
    <n v="1940.09"/>
    <x v="2"/>
    <s v="valor_bruto_produccion_por_actividad_economica"/>
  </r>
  <r>
    <x v="9"/>
    <x v="9"/>
    <x v="6"/>
    <n v="137.88"/>
    <x v="2"/>
    <s v="valor_bruto_produccion_por_actividad_economica"/>
  </r>
  <r>
    <x v="10"/>
    <x v="10"/>
    <x v="6"/>
    <n v="2030.72"/>
    <x v="2"/>
    <s v="valor_bruto_produccion_por_actividad_economica"/>
  </r>
  <r>
    <x v="11"/>
    <x v="11"/>
    <x v="6"/>
    <n v="999.93"/>
    <x v="2"/>
    <s v="valor_bruto_produccion_por_actividad_economica"/>
  </r>
  <r>
    <x v="12"/>
    <x v="12"/>
    <x v="6"/>
    <n v="613.22"/>
    <x v="2"/>
    <s v="valor_bruto_produccion_por_actividad_economica"/>
  </r>
  <r>
    <x v="13"/>
    <x v="13"/>
    <x v="6"/>
    <n v="501.52"/>
    <x v="2"/>
    <s v="valor_bruto_produccion_por_actividad_economica"/>
  </r>
  <r>
    <x v="14"/>
    <x v="14"/>
    <x v="6"/>
    <n v="312.05"/>
    <x v="2"/>
    <s v="valor_bruto_produccion_por_actividad_economica"/>
  </r>
  <r>
    <x v="15"/>
    <x v="15"/>
    <x v="6"/>
    <n v="98.31"/>
    <x v="2"/>
    <s v="valor_bruto_produccion_por_actividad_economica"/>
  </r>
  <r>
    <x v="16"/>
    <x v="16"/>
    <x v="6"/>
    <n v="271.54000000000002"/>
    <x v="2"/>
    <s v="valor_bruto_produccion_por_actividad_economica"/>
  </r>
  <r>
    <x v="17"/>
    <x v="17"/>
    <x v="6"/>
    <n v="3.93"/>
    <x v="2"/>
    <s v="valor_bruto_produccion_por_actividad_economica"/>
  </r>
  <r>
    <x v="18"/>
    <x v="18"/>
    <x v="6"/>
    <n v="110.79"/>
    <x v="2"/>
    <s v="valor_bruto_produccion_por_actividad_economica"/>
  </r>
  <r>
    <x v="19"/>
    <x v="19"/>
    <x v="6"/>
    <n v="11.99"/>
    <x v="2"/>
    <s v="valor_bruto_produccion_por_actividad_economica"/>
  </r>
  <r>
    <x v="20"/>
    <x v="20"/>
    <x v="6"/>
    <n v="272.16000000000003"/>
    <x v="2"/>
    <s v="valor_bruto_produccion_por_actividad_economica"/>
  </r>
  <r>
    <x v="21"/>
    <x v="21"/>
    <x v="6"/>
    <m/>
    <x v="2"/>
    <s v="valor_bruto_produccion_por_actividad_economica"/>
  </r>
  <r>
    <x v="22"/>
    <x v="22"/>
    <x v="6"/>
    <n v="66.69"/>
    <x v="2"/>
    <s v="valor_bruto_produccion_por_actividad_economica"/>
  </r>
  <r>
    <x v="23"/>
    <x v="23"/>
    <x v="6"/>
    <n v="36.81"/>
    <x v="2"/>
    <s v="valor_bruto_produccion_por_actividad_economica"/>
  </r>
  <r>
    <x v="24"/>
    <x v="24"/>
    <x v="6"/>
    <n v="177.65"/>
    <x v="2"/>
    <s v="valor_bruto_produccion_por_actividad_economica"/>
  </r>
  <r>
    <x v="25"/>
    <x v="25"/>
    <x v="6"/>
    <m/>
    <x v="2"/>
    <s v="valor_bruto_produccion_por_actividad_economica"/>
  </r>
  <r>
    <x v="0"/>
    <x v="0"/>
    <x v="4"/>
    <n v="762221.65"/>
    <x v="3"/>
    <s v="valor_bruto_produccion_por_actividad_economica"/>
  </r>
  <r>
    <x v="1"/>
    <x v="1"/>
    <x v="4"/>
    <n v="161456.76"/>
    <x v="3"/>
    <s v="valor_bruto_produccion_por_actividad_economica"/>
  </r>
  <r>
    <x v="2"/>
    <x v="2"/>
    <x v="4"/>
    <n v="23320.639999999999"/>
    <x v="3"/>
    <s v="valor_bruto_produccion_por_actividad_economica"/>
  </r>
  <r>
    <x v="3"/>
    <x v="3"/>
    <x v="4"/>
    <n v="3700.39"/>
    <x v="3"/>
    <s v="valor_bruto_produccion_por_actividad_economica"/>
  </r>
  <r>
    <x v="4"/>
    <x v="4"/>
    <x v="4"/>
    <n v="11267.55"/>
    <x v="3"/>
    <s v="valor_bruto_produccion_por_actividad_economica"/>
  </r>
  <r>
    <x v="5"/>
    <x v="5"/>
    <x v="4"/>
    <n v="9695.7999999999993"/>
    <x v="3"/>
    <s v="valor_bruto_produccion_por_actividad_economica"/>
  </r>
  <r>
    <x v="6"/>
    <x v="6"/>
    <x v="4"/>
    <n v="8687.26"/>
    <x v="3"/>
    <s v="valor_bruto_produccion_por_actividad_economica"/>
  </r>
  <r>
    <x v="7"/>
    <x v="7"/>
    <x v="4"/>
    <n v="6351.71"/>
    <x v="3"/>
    <s v="valor_bruto_produccion_por_actividad_economica"/>
  </r>
  <r>
    <x v="8"/>
    <x v="8"/>
    <x v="4"/>
    <n v="26857.41"/>
    <x v="3"/>
    <s v="valor_bruto_produccion_por_actividad_economica"/>
  </r>
  <r>
    <x v="9"/>
    <x v="9"/>
    <x v="4"/>
    <n v="2921.23"/>
    <x v="3"/>
    <s v="valor_bruto_produccion_por_actividad_economica"/>
  </r>
  <r>
    <x v="10"/>
    <x v="10"/>
    <x v="4"/>
    <n v="82554.009999999995"/>
    <x v="3"/>
    <s v="valor_bruto_produccion_por_actividad_economica"/>
  </r>
  <r>
    <x v="11"/>
    <x v="11"/>
    <x v="4"/>
    <n v="99557.49"/>
    <x v="3"/>
    <s v="valor_bruto_produccion_por_actividad_economica"/>
  </r>
  <r>
    <x v="12"/>
    <x v="12"/>
    <x v="4"/>
    <n v="15670.05"/>
    <x v="3"/>
    <s v="valor_bruto_produccion_por_actividad_economica"/>
  </r>
  <r>
    <x v="13"/>
    <x v="13"/>
    <x v="4"/>
    <n v="26487.03"/>
    <x v="3"/>
    <s v="valor_bruto_produccion_por_actividad_economica"/>
  </r>
  <r>
    <x v="14"/>
    <x v="14"/>
    <x v="4"/>
    <n v="19295.650000000001"/>
    <x v="3"/>
    <s v="valor_bruto_produccion_por_actividad_economica"/>
  </r>
  <r>
    <x v="15"/>
    <x v="15"/>
    <x v="4"/>
    <n v="58110.35"/>
    <x v="3"/>
    <s v="valor_bruto_produccion_por_actividad_economica"/>
  </r>
  <r>
    <x v="16"/>
    <x v="16"/>
    <x v="4"/>
    <n v="19918.59"/>
    <x v="3"/>
    <s v="valor_bruto_produccion_por_actividad_economica"/>
  </r>
  <r>
    <x v="17"/>
    <x v="17"/>
    <x v="4"/>
    <n v="25479.77"/>
    <x v="3"/>
    <s v="valor_bruto_produccion_por_actividad_economica"/>
  </r>
  <r>
    <x v="18"/>
    <x v="18"/>
    <x v="4"/>
    <n v="20995.14"/>
    <x v="3"/>
    <s v="valor_bruto_produccion_por_actividad_economica"/>
  </r>
  <r>
    <x v="19"/>
    <x v="19"/>
    <x v="4"/>
    <n v="32469.82"/>
    <x v="3"/>
    <s v="valor_bruto_produccion_por_actividad_economica"/>
  </r>
  <r>
    <x v="20"/>
    <x v="20"/>
    <x v="4"/>
    <n v="78256.56"/>
    <x v="3"/>
    <s v="valor_bruto_produccion_por_actividad_economica"/>
  </r>
  <r>
    <x v="21"/>
    <x v="21"/>
    <x v="4"/>
    <n v="10097.08"/>
    <x v="3"/>
    <s v="valor_bruto_produccion_por_actividad_economica"/>
  </r>
  <r>
    <x v="22"/>
    <x v="22"/>
    <x v="4"/>
    <n v="7299.28"/>
    <x v="3"/>
    <s v="valor_bruto_produccion_por_actividad_economica"/>
  </r>
  <r>
    <x v="23"/>
    <x v="23"/>
    <x v="4"/>
    <n v="5872.91"/>
    <x v="3"/>
    <s v="valor_bruto_produccion_por_actividad_economica"/>
  </r>
  <r>
    <x v="24"/>
    <x v="24"/>
    <x v="4"/>
    <n v="5899.17"/>
    <x v="3"/>
    <s v="valor_bruto_produccion_por_actividad_economica"/>
  </r>
  <r>
    <x v="25"/>
    <x v="25"/>
    <x v="4"/>
    <m/>
    <x v="3"/>
    <s v="valor_bruto_produccion_por_actividad_economica"/>
  </r>
  <r>
    <x v="0"/>
    <x v="0"/>
    <x v="0"/>
    <n v="69656.34"/>
    <x v="3"/>
    <s v="valor_bruto_produccion_por_actividad_economica"/>
  </r>
  <r>
    <x v="1"/>
    <x v="1"/>
    <x v="0"/>
    <n v="24241.27"/>
    <x v="3"/>
    <s v="valor_bruto_produccion_por_actividad_economica"/>
  </r>
  <r>
    <x v="2"/>
    <x v="2"/>
    <x v="0"/>
    <n v="4977.2"/>
    <x v="3"/>
    <s v="valor_bruto_produccion_por_actividad_economica"/>
  </r>
  <r>
    <x v="3"/>
    <x v="3"/>
    <x v="0"/>
    <m/>
    <x v="3"/>
    <s v="valor_bruto_produccion_por_actividad_economica"/>
  </r>
  <r>
    <x v="4"/>
    <x v="4"/>
    <x v="0"/>
    <n v="282.29000000000002"/>
    <x v="3"/>
    <s v="valor_bruto_produccion_por_actividad_economica"/>
  </r>
  <r>
    <x v="5"/>
    <x v="5"/>
    <x v="0"/>
    <n v="252.38"/>
    <x v="3"/>
    <s v="valor_bruto_produccion_por_actividad_economica"/>
  </r>
  <r>
    <x v="6"/>
    <x v="6"/>
    <x v="0"/>
    <n v="212.5"/>
    <x v="3"/>
    <s v="valor_bruto_produccion_por_actividad_economica"/>
  </r>
  <r>
    <x v="7"/>
    <x v="7"/>
    <x v="0"/>
    <n v="3447.06"/>
    <x v="3"/>
    <s v="valor_bruto_produccion_por_actividad_economica"/>
  </r>
  <r>
    <x v="8"/>
    <x v="8"/>
    <x v="0"/>
    <n v="5015.33"/>
    <x v="3"/>
    <s v="valor_bruto_produccion_por_actividad_economica"/>
  </r>
  <r>
    <x v="9"/>
    <x v="9"/>
    <x v="0"/>
    <n v="485.32"/>
    <x v="3"/>
    <s v="valor_bruto_produccion_por_actividad_economica"/>
  </r>
  <r>
    <x v="10"/>
    <x v="10"/>
    <x v="0"/>
    <m/>
    <x v="3"/>
    <s v="valor_bruto_produccion_por_actividad_economica"/>
  </r>
  <r>
    <x v="11"/>
    <x v="11"/>
    <x v="0"/>
    <n v="11398.97"/>
    <x v="3"/>
    <s v="valor_bruto_produccion_por_actividad_economica"/>
  </r>
  <r>
    <x v="12"/>
    <x v="12"/>
    <x v="0"/>
    <n v="1325.18"/>
    <x v="3"/>
    <s v="valor_bruto_produccion_por_actividad_economica"/>
  </r>
  <r>
    <x v="13"/>
    <x v="13"/>
    <x v="0"/>
    <n v="2770.08"/>
    <x v="3"/>
    <s v="valor_bruto_produccion_por_actividad_economica"/>
  </r>
  <r>
    <x v="14"/>
    <x v="14"/>
    <x v="0"/>
    <n v="2726.72"/>
    <x v="3"/>
    <s v="valor_bruto_produccion_por_actividad_economica"/>
  </r>
  <r>
    <x v="15"/>
    <x v="15"/>
    <x v="0"/>
    <n v="1577.93"/>
    <x v="3"/>
    <s v="valor_bruto_produccion_por_actividad_economica"/>
  </r>
  <r>
    <x v="16"/>
    <x v="16"/>
    <x v="0"/>
    <n v="2652.02"/>
    <x v="3"/>
    <s v="valor_bruto_produccion_por_actividad_economica"/>
  </r>
  <r>
    <x v="17"/>
    <x v="17"/>
    <x v="0"/>
    <n v="146.77000000000001"/>
    <x v="3"/>
    <s v="valor_bruto_produccion_por_actividad_economica"/>
  </r>
  <r>
    <x v="18"/>
    <x v="18"/>
    <x v="0"/>
    <n v="671.55"/>
    <x v="3"/>
    <s v="valor_bruto_produccion_por_actividad_economica"/>
  </r>
  <r>
    <x v="19"/>
    <x v="19"/>
    <x v="0"/>
    <n v="1071.3599999999999"/>
    <x v="3"/>
    <s v="valor_bruto_produccion_por_actividad_economica"/>
  </r>
  <r>
    <x v="20"/>
    <x v="20"/>
    <x v="0"/>
    <n v="94.22"/>
    <x v="3"/>
    <s v="valor_bruto_produccion_por_actividad_economica"/>
  </r>
  <r>
    <x v="21"/>
    <x v="21"/>
    <x v="0"/>
    <n v="84.12"/>
    <x v="3"/>
    <s v="valor_bruto_produccion_por_actividad_economica"/>
  </r>
  <r>
    <x v="22"/>
    <x v="22"/>
    <x v="0"/>
    <n v="600.77"/>
    <x v="3"/>
    <s v="valor_bruto_produccion_por_actividad_economica"/>
  </r>
  <r>
    <x v="23"/>
    <x v="23"/>
    <x v="0"/>
    <n v="77.430000000000007"/>
    <x v="3"/>
    <s v="valor_bruto_produccion_por_actividad_economica"/>
  </r>
  <r>
    <x v="24"/>
    <x v="24"/>
    <x v="0"/>
    <n v="1500.97"/>
    <x v="3"/>
    <s v="valor_bruto_produccion_por_actividad_economica"/>
  </r>
  <r>
    <x v="25"/>
    <x v="25"/>
    <x v="0"/>
    <n v="4044.9"/>
    <x v="3"/>
    <s v="valor_bruto_produccion_por_actividad_economica"/>
  </r>
  <r>
    <x v="0"/>
    <x v="0"/>
    <x v="1"/>
    <n v="71113.53"/>
    <x v="3"/>
    <s v="valor_bruto_produccion_por_actividad_economica"/>
  </r>
  <r>
    <x v="1"/>
    <x v="1"/>
    <x v="1"/>
    <n v="17667.68"/>
    <x v="3"/>
    <s v="valor_bruto_produccion_por_actividad_economica"/>
  </r>
  <r>
    <x v="2"/>
    <x v="2"/>
    <x v="1"/>
    <n v="2466.98"/>
    <x v="3"/>
    <s v="valor_bruto_produccion_por_actividad_economica"/>
  </r>
  <r>
    <x v="3"/>
    <x v="3"/>
    <x v="1"/>
    <m/>
    <x v="3"/>
    <s v="valor_bruto_produccion_por_actividad_economica"/>
  </r>
  <r>
    <x v="4"/>
    <x v="4"/>
    <x v="1"/>
    <n v="1329.47"/>
    <x v="3"/>
    <s v="valor_bruto_produccion_por_actividad_economica"/>
  </r>
  <r>
    <x v="5"/>
    <x v="5"/>
    <x v="1"/>
    <n v="2209.1799999999998"/>
    <x v="3"/>
    <s v="valor_bruto_produccion_por_actividad_economica"/>
  </r>
  <r>
    <x v="6"/>
    <x v="6"/>
    <x v="1"/>
    <n v="406.16"/>
    <x v="3"/>
    <s v="valor_bruto_produccion_por_actividad_economica"/>
  </r>
  <r>
    <x v="7"/>
    <x v="7"/>
    <x v="1"/>
    <n v="277.25"/>
    <x v="3"/>
    <s v="valor_bruto_produccion_por_actividad_economica"/>
  </r>
  <r>
    <x v="8"/>
    <x v="8"/>
    <x v="1"/>
    <n v="2779.29"/>
    <x v="3"/>
    <s v="valor_bruto_produccion_por_actividad_economica"/>
  </r>
  <r>
    <x v="9"/>
    <x v="9"/>
    <x v="1"/>
    <n v="824.35"/>
    <x v="3"/>
    <s v="valor_bruto_produccion_por_actividad_economica"/>
  </r>
  <r>
    <x v="10"/>
    <x v="10"/>
    <x v="1"/>
    <n v="10580.69"/>
    <x v="3"/>
    <s v="valor_bruto_produccion_por_actividad_economica"/>
  </r>
  <r>
    <x v="11"/>
    <x v="11"/>
    <x v="1"/>
    <n v="7506.02"/>
    <x v="3"/>
    <s v="valor_bruto_produccion_por_actividad_economica"/>
  </r>
  <r>
    <x v="12"/>
    <x v="12"/>
    <x v="1"/>
    <n v="1816.09"/>
    <x v="3"/>
    <s v="valor_bruto_produccion_por_actividad_economica"/>
  </r>
  <r>
    <x v="13"/>
    <x v="13"/>
    <x v="1"/>
    <n v="2783.15"/>
    <x v="3"/>
    <s v="valor_bruto_produccion_por_actividad_economica"/>
  </r>
  <r>
    <x v="14"/>
    <x v="14"/>
    <x v="1"/>
    <n v="3306.24"/>
    <x v="3"/>
    <s v="valor_bruto_produccion_por_actividad_economica"/>
  </r>
  <r>
    <x v="15"/>
    <x v="15"/>
    <x v="1"/>
    <n v="2523"/>
    <x v="3"/>
    <s v="valor_bruto_produccion_por_actividad_economica"/>
  </r>
  <r>
    <x v="16"/>
    <x v="16"/>
    <x v="1"/>
    <n v="1513.89"/>
    <x v="3"/>
    <s v="valor_bruto_produccion_por_actividad_economica"/>
  </r>
  <r>
    <x v="17"/>
    <x v="17"/>
    <x v="1"/>
    <m/>
    <x v="3"/>
    <s v="valor_bruto_produccion_por_actividad_economica"/>
  </r>
  <r>
    <x v="18"/>
    <x v="18"/>
    <x v="1"/>
    <n v="1425.73"/>
    <x v="3"/>
    <s v="valor_bruto_produccion_por_actividad_economica"/>
  </r>
  <r>
    <x v="19"/>
    <x v="19"/>
    <x v="1"/>
    <n v="633.03"/>
    <x v="3"/>
    <s v="valor_bruto_produccion_por_actividad_economica"/>
  </r>
  <r>
    <x v="20"/>
    <x v="20"/>
    <x v="1"/>
    <n v="1048.45"/>
    <x v="3"/>
    <s v="valor_bruto_produccion_por_actividad_economica"/>
  </r>
  <r>
    <x v="21"/>
    <x v="21"/>
    <x v="1"/>
    <n v="675.49"/>
    <x v="3"/>
    <s v="valor_bruto_produccion_por_actividad_economica"/>
  </r>
  <r>
    <x v="22"/>
    <x v="22"/>
    <x v="1"/>
    <n v="641.13"/>
    <x v="3"/>
    <s v="valor_bruto_produccion_por_actividad_economica"/>
  </r>
  <r>
    <x v="23"/>
    <x v="23"/>
    <x v="1"/>
    <n v="8700.26"/>
    <x v="3"/>
    <s v="valor_bruto_produccion_por_actividad_economica"/>
  </r>
  <r>
    <x v="24"/>
    <x v="24"/>
    <x v="1"/>
    <m/>
    <x v="3"/>
    <s v="valor_bruto_produccion_por_actividad_economica"/>
  </r>
  <r>
    <x v="25"/>
    <x v="25"/>
    <x v="1"/>
    <m/>
    <x v="3"/>
    <s v="valor_bruto_produccion_por_actividad_economica"/>
  </r>
  <r>
    <x v="0"/>
    <x v="0"/>
    <x v="2"/>
    <n v="27255.91"/>
    <x v="3"/>
    <s v="valor_bruto_produccion_por_actividad_economica"/>
  </r>
  <r>
    <x v="1"/>
    <x v="1"/>
    <x v="2"/>
    <n v="13187.35"/>
    <x v="3"/>
    <s v="valor_bruto_produccion_por_actividad_economica"/>
  </r>
  <r>
    <x v="2"/>
    <x v="2"/>
    <x v="2"/>
    <n v="1174.28"/>
    <x v="3"/>
    <s v="valor_bruto_produccion_por_actividad_economica"/>
  </r>
  <r>
    <x v="3"/>
    <x v="3"/>
    <x v="2"/>
    <n v="16.690000000000001"/>
    <x v="3"/>
    <s v="valor_bruto_produccion_por_actividad_economica"/>
  </r>
  <r>
    <x v="4"/>
    <x v="4"/>
    <x v="2"/>
    <n v="448.1"/>
    <x v="3"/>
    <s v="valor_bruto_produccion_por_actividad_economica"/>
  </r>
  <r>
    <x v="5"/>
    <x v="5"/>
    <x v="2"/>
    <n v="298.02"/>
    <x v="3"/>
    <s v="valor_bruto_produccion_por_actividad_economica"/>
  </r>
  <r>
    <x v="6"/>
    <x v="6"/>
    <x v="2"/>
    <n v="181.02"/>
    <x v="3"/>
    <s v="valor_bruto_produccion_por_actividad_economica"/>
  </r>
  <r>
    <x v="7"/>
    <x v="7"/>
    <x v="2"/>
    <n v="533.80999999999995"/>
    <x v="3"/>
    <s v="valor_bruto_produccion_por_actividad_economica"/>
  </r>
  <r>
    <x v="8"/>
    <x v="8"/>
    <x v="2"/>
    <n v="1574.07"/>
    <x v="3"/>
    <s v="valor_bruto_produccion_por_actividad_economica"/>
  </r>
  <r>
    <x v="9"/>
    <x v="9"/>
    <x v="2"/>
    <n v="387.59"/>
    <x v="3"/>
    <s v="valor_bruto_produccion_por_actividad_economica"/>
  </r>
  <r>
    <x v="10"/>
    <x v="10"/>
    <x v="2"/>
    <n v="264.67"/>
    <x v="3"/>
    <s v="valor_bruto_produccion_por_actividad_economica"/>
  </r>
  <r>
    <x v="11"/>
    <x v="11"/>
    <x v="2"/>
    <n v="1401.7"/>
    <x v="3"/>
    <s v="valor_bruto_produccion_por_actividad_economica"/>
  </r>
  <r>
    <x v="12"/>
    <x v="12"/>
    <x v="2"/>
    <n v="541.66"/>
    <x v="3"/>
    <s v="valor_bruto_produccion_por_actividad_economica"/>
  </r>
  <r>
    <x v="13"/>
    <x v="13"/>
    <x v="2"/>
    <n v="1470.85"/>
    <x v="3"/>
    <s v="valor_bruto_produccion_por_actividad_economica"/>
  </r>
  <r>
    <x v="14"/>
    <x v="14"/>
    <x v="2"/>
    <n v="1320.05"/>
    <x v="3"/>
    <s v="valor_bruto_produccion_por_actividad_economica"/>
  </r>
  <r>
    <x v="15"/>
    <x v="15"/>
    <x v="2"/>
    <n v="1229.76"/>
    <x v="3"/>
    <s v="valor_bruto_produccion_por_actividad_economica"/>
  </r>
  <r>
    <x v="16"/>
    <x v="16"/>
    <x v="2"/>
    <n v="844.92"/>
    <x v="3"/>
    <s v="valor_bruto_produccion_por_actividad_economica"/>
  </r>
  <r>
    <x v="17"/>
    <x v="17"/>
    <x v="2"/>
    <n v="176.88"/>
    <x v="3"/>
    <s v="valor_bruto_produccion_por_actividad_economica"/>
  </r>
  <r>
    <x v="18"/>
    <x v="18"/>
    <x v="2"/>
    <n v="686.97"/>
    <x v="3"/>
    <s v="valor_bruto_produccion_por_actividad_economica"/>
  </r>
  <r>
    <x v="19"/>
    <x v="19"/>
    <x v="2"/>
    <n v="90.25"/>
    <x v="3"/>
    <s v="valor_bruto_produccion_por_actividad_economica"/>
  </r>
  <r>
    <x v="20"/>
    <x v="20"/>
    <x v="2"/>
    <n v="665.29"/>
    <x v="3"/>
    <s v="valor_bruto_produccion_por_actividad_economica"/>
  </r>
  <r>
    <x v="21"/>
    <x v="21"/>
    <x v="2"/>
    <n v="214.91"/>
    <x v="3"/>
    <s v="valor_bruto_produccion_por_actividad_economica"/>
  </r>
  <r>
    <x v="22"/>
    <x v="22"/>
    <x v="2"/>
    <n v="344.09"/>
    <x v="3"/>
    <s v="valor_bruto_produccion_por_actividad_economica"/>
  </r>
  <r>
    <x v="23"/>
    <x v="23"/>
    <x v="2"/>
    <n v="36.65"/>
    <x v="3"/>
    <s v="valor_bruto_produccion_por_actividad_economica"/>
  </r>
  <r>
    <x v="24"/>
    <x v="24"/>
    <x v="2"/>
    <n v="166.33"/>
    <x v="3"/>
    <s v="valor_bruto_produccion_por_actividad_economica"/>
  </r>
  <r>
    <x v="25"/>
    <x v="25"/>
    <x v="2"/>
    <m/>
    <x v="3"/>
    <s v="valor_bruto_produccion_por_actividad_economica"/>
  </r>
  <r>
    <x v="0"/>
    <x v="0"/>
    <x v="5"/>
    <n v="483903.22"/>
    <x v="3"/>
    <s v="valor_bruto_produccion_por_actividad_economica"/>
  </r>
  <r>
    <x v="1"/>
    <x v="1"/>
    <x v="5"/>
    <n v="67752.759999999995"/>
    <x v="3"/>
    <s v="valor_bruto_produccion_por_actividad_economica"/>
  </r>
  <r>
    <x v="2"/>
    <x v="2"/>
    <x v="5"/>
    <n v="26489.360000000001"/>
    <x v="3"/>
    <s v="valor_bruto_produccion_por_actividad_economica"/>
  </r>
  <r>
    <x v="3"/>
    <x v="3"/>
    <x v="5"/>
    <n v="1038.77"/>
    <x v="3"/>
    <s v="valor_bruto_produccion_por_actividad_economica"/>
  </r>
  <r>
    <x v="4"/>
    <x v="4"/>
    <x v="5"/>
    <n v="14607.35"/>
    <x v="3"/>
    <s v="valor_bruto_produccion_por_actividad_economica"/>
  </r>
  <r>
    <x v="5"/>
    <x v="5"/>
    <x v="5"/>
    <n v="4257.5600000000004"/>
    <x v="3"/>
    <s v="valor_bruto_produccion_por_actividad_economica"/>
  </r>
  <r>
    <x v="6"/>
    <x v="6"/>
    <x v="5"/>
    <n v="2785.55"/>
    <x v="3"/>
    <s v="valor_bruto_produccion_por_actividad_economica"/>
  </r>
  <r>
    <x v="7"/>
    <x v="7"/>
    <x v="5"/>
    <n v="1431.3"/>
    <x v="3"/>
    <s v="valor_bruto_produccion_por_actividad_economica"/>
  </r>
  <r>
    <x v="8"/>
    <x v="8"/>
    <x v="5"/>
    <n v="12719.13"/>
    <x v="3"/>
    <s v="valor_bruto_produccion_por_actividad_economica"/>
  </r>
  <r>
    <x v="9"/>
    <x v="9"/>
    <x v="5"/>
    <n v="809.64"/>
    <x v="3"/>
    <s v="valor_bruto_produccion_por_actividad_economica"/>
  </r>
  <r>
    <x v="10"/>
    <x v="10"/>
    <x v="5"/>
    <n v="30157.27"/>
    <x v="3"/>
    <s v="valor_bruto_produccion_por_actividad_economica"/>
  </r>
  <r>
    <x v="11"/>
    <x v="11"/>
    <x v="5"/>
    <n v="42767.83"/>
    <x v="3"/>
    <s v="valor_bruto_produccion_por_actividad_economica"/>
  </r>
  <r>
    <x v="12"/>
    <x v="12"/>
    <x v="5"/>
    <n v="2292.0100000000002"/>
    <x v="3"/>
    <s v="valor_bruto_produccion_por_actividad_economica"/>
  </r>
  <r>
    <x v="13"/>
    <x v="13"/>
    <x v="5"/>
    <n v="19711.73"/>
    <x v="3"/>
    <s v="valor_bruto_produccion_por_actividad_economica"/>
  </r>
  <r>
    <x v="14"/>
    <x v="14"/>
    <x v="5"/>
    <n v="24657.85"/>
    <x v="3"/>
    <s v="valor_bruto_produccion_por_actividad_economica"/>
  </r>
  <r>
    <x v="15"/>
    <x v="15"/>
    <x v="5"/>
    <n v="32010.18"/>
    <x v="3"/>
    <s v="valor_bruto_produccion_por_actividad_economica"/>
  </r>
  <r>
    <x v="16"/>
    <x v="16"/>
    <x v="5"/>
    <n v="21632"/>
    <x v="3"/>
    <s v="valor_bruto_produccion_por_actividad_economica"/>
  </r>
  <r>
    <x v="17"/>
    <x v="17"/>
    <x v="5"/>
    <n v="10942.67"/>
    <x v="3"/>
    <s v="valor_bruto_produccion_por_actividad_economica"/>
  </r>
  <r>
    <x v="18"/>
    <x v="18"/>
    <x v="5"/>
    <n v="33183.03"/>
    <x v="3"/>
    <s v="valor_bruto_produccion_por_actividad_economica"/>
  </r>
  <r>
    <x v="19"/>
    <x v="19"/>
    <x v="5"/>
    <n v="44628.09"/>
    <x v="3"/>
    <s v="valor_bruto_produccion_por_actividad_economica"/>
  </r>
  <r>
    <x v="20"/>
    <x v="20"/>
    <x v="5"/>
    <n v="86643.199999999997"/>
    <x v="3"/>
    <s v="valor_bruto_produccion_por_actividad_economica"/>
  </r>
  <r>
    <x v="21"/>
    <x v="21"/>
    <x v="5"/>
    <n v="1929.65"/>
    <x v="3"/>
    <s v="valor_bruto_produccion_por_actividad_economica"/>
  </r>
  <r>
    <x v="22"/>
    <x v="22"/>
    <x v="5"/>
    <n v="808.09"/>
    <x v="3"/>
    <s v="valor_bruto_produccion_por_actividad_economica"/>
  </r>
  <r>
    <x v="23"/>
    <x v="23"/>
    <x v="5"/>
    <n v="648.20000000000005"/>
    <x v="3"/>
    <s v="valor_bruto_produccion_por_actividad_economica"/>
  </r>
  <r>
    <x v="24"/>
    <x v="24"/>
    <x v="5"/>
    <m/>
    <x v="3"/>
    <s v="valor_bruto_produccion_por_actividad_economica"/>
  </r>
  <r>
    <x v="25"/>
    <x v="25"/>
    <x v="5"/>
    <m/>
    <x v="3"/>
    <s v="valor_bruto_produccion_por_actividad_economica"/>
  </r>
  <r>
    <x v="0"/>
    <x v="0"/>
    <x v="3"/>
    <n v="67626.009999999995"/>
    <x v="3"/>
    <s v="valor_bruto_produccion_por_actividad_economica"/>
  </r>
  <r>
    <x v="1"/>
    <x v="1"/>
    <x v="3"/>
    <n v="25955.65"/>
    <x v="3"/>
    <s v="valor_bruto_produccion_por_actividad_economica"/>
  </r>
  <r>
    <x v="2"/>
    <x v="2"/>
    <x v="3"/>
    <n v="3637.15"/>
    <x v="3"/>
    <s v="valor_bruto_produccion_por_actividad_economica"/>
  </r>
  <r>
    <x v="3"/>
    <x v="3"/>
    <x v="3"/>
    <m/>
    <x v="3"/>
    <s v="valor_bruto_produccion_por_actividad_economica"/>
  </r>
  <r>
    <x v="4"/>
    <x v="4"/>
    <x v="3"/>
    <n v="1692.97"/>
    <x v="3"/>
    <s v="valor_bruto_produccion_por_actividad_economica"/>
  </r>
  <r>
    <x v="5"/>
    <x v="5"/>
    <x v="3"/>
    <n v="3057.09"/>
    <x v="3"/>
    <s v="valor_bruto_produccion_por_actividad_economica"/>
  </r>
  <r>
    <x v="6"/>
    <x v="6"/>
    <x v="3"/>
    <n v="134.49"/>
    <x v="3"/>
    <s v="valor_bruto_produccion_por_actividad_economica"/>
  </r>
  <r>
    <x v="7"/>
    <x v="7"/>
    <x v="3"/>
    <n v="164"/>
    <x v="3"/>
    <s v="valor_bruto_produccion_por_actividad_economica"/>
  </r>
  <r>
    <x v="8"/>
    <x v="8"/>
    <x v="3"/>
    <n v="1851.79"/>
    <x v="3"/>
    <s v="valor_bruto_produccion_por_actividad_economica"/>
  </r>
  <r>
    <x v="9"/>
    <x v="9"/>
    <x v="3"/>
    <n v="883.38"/>
    <x v="3"/>
    <s v="valor_bruto_produccion_por_actividad_economica"/>
  </r>
  <r>
    <x v="10"/>
    <x v="10"/>
    <x v="3"/>
    <n v="5988.78"/>
    <x v="3"/>
    <s v="valor_bruto_produccion_por_actividad_economica"/>
  </r>
  <r>
    <x v="11"/>
    <x v="11"/>
    <x v="3"/>
    <n v="4098.8999999999996"/>
    <x v="3"/>
    <s v="valor_bruto_produccion_por_actividad_economica"/>
  </r>
  <r>
    <x v="12"/>
    <x v="12"/>
    <x v="3"/>
    <n v="977.97"/>
    <x v="3"/>
    <s v="valor_bruto_produccion_por_actividad_economica"/>
  </r>
  <r>
    <x v="13"/>
    <x v="13"/>
    <x v="3"/>
    <n v="3142.62"/>
    <x v="3"/>
    <s v="valor_bruto_produccion_por_actividad_economica"/>
  </r>
  <r>
    <x v="14"/>
    <x v="14"/>
    <x v="3"/>
    <n v="4256.3900000000003"/>
    <x v="3"/>
    <s v="valor_bruto_produccion_por_actividad_economica"/>
  </r>
  <r>
    <x v="15"/>
    <x v="15"/>
    <x v="3"/>
    <n v="5672.19"/>
    <x v="3"/>
    <s v="valor_bruto_produccion_por_actividad_economica"/>
  </r>
  <r>
    <x v="16"/>
    <x v="16"/>
    <x v="3"/>
    <n v="2322.9"/>
    <x v="3"/>
    <s v="valor_bruto_produccion_por_actividad_economica"/>
  </r>
  <r>
    <x v="17"/>
    <x v="17"/>
    <x v="3"/>
    <n v="16.149999999999999"/>
    <x v="3"/>
    <s v="valor_bruto_produccion_por_actividad_economica"/>
  </r>
  <r>
    <x v="18"/>
    <x v="18"/>
    <x v="3"/>
    <n v="875.44"/>
    <x v="3"/>
    <s v="valor_bruto_produccion_por_actividad_economica"/>
  </r>
  <r>
    <x v="19"/>
    <x v="19"/>
    <x v="3"/>
    <n v="521.03"/>
    <x v="3"/>
    <s v="valor_bruto_produccion_por_actividad_economica"/>
  </r>
  <r>
    <x v="20"/>
    <x v="20"/>
    <x v="3"/>
    <n v="330.95"/>
    <x v="3"/>
    <s v="valor_bruto_produccion_por_actividad_economica"/>
  </r>
  <r>
    <x v="21"/>
    <x v="21"/>
    <x v="3"/>
    <n v="235.64"/>
    <x v="3"/>
    <s v="valor_bruto_produccion_por_actividad_economica"/>
  </r>
  <r>
    <x v="22"/>
    <x v="22"/>
    <x v="3"/>
    <n v="257.33999999999997"/>
    <x v="3"/>
    <s v="valor_bruto_produccion_por_actividad_economica"/>
  </r>
  <r>
    <x v="23"/>
    <x v="23"/>
    <x v="3"/>
    <n v="749.65"/>
    <x v="3"/>
    <s v="valor_bruto_produccion_por_actividad_economica"/>
  </r>
  <r>
    <x v="24"/>
    <x v="24"/>
    <x v="3"/>
    <n v="803.54"/>
    <x v="3"/>
    <s v="valor_bruto_produccion_por_actividad_economica"/>
  </r>
  <r>
    <x v="25"/>
    <x v="25"/>
    <x v="3"/>
    <m/>
    <x v="3"/>
    <s v="valor_bruto_produccion_por_actividad_economica"/>
  </r>
  <r>
    <x v="0"/>
    <x v="0"/>
    <x v="6"/>
    <n v="14247.53"/>
    <x v="3"/>
    <s v="valor_bruto_produccion_por_actividad_economica"/>
  </r>
  <r>
    <x v="1"/>
    <x v="1"/>
    <x v="6"/>
    <n v="6699.67"/>
    <x v="3"/>
    <s v="valor_bruto_produccion_por_actividad_economica"/>
  </r>
  <r>
    <x v="2"/>
    <x v="2"/>
    <x v="6"/>
    <n v="778.82"/>
    <x v="3"/>
    <s v="valor_bruto_produccion_por_actividad_economica"/>
  </r>
  <r>
    <x v="3"/>
    <x v="3"/>
    <x v="6"/>
    <m/>
    <x v="3"/>
    <s v="valor_bruto_produccion_por_actividad_economica"/>
  </r>
  <r>
    <x v="4"/>
    <x v="4"/>
    <x v="6"/>
    <n v="185.45"/>
    <x v="3"/>
    <s v="valor_bruto_produccion_por_actividad_economica"/>
  </r>
  <r>
    <x v="5"/>
    <x v="5"/>
    <x v="6"/>
    <n v="56.27"/>
    <x v="3"/>
    <s v="valor_bruto_produccion_por_actividad_economica"/>
  </r>
  <r>
    <x v="6"/>
    <x v="6"/>
    <x v="6"/>
    <n v="264.23"/>
    <x v="3"/>
    <s v="valor_bruto_produccion_por_actividad_economica"/>
  </r>
  <r>
    <x v="7"/>
    <x v="7"/>
    <x v="6"/>
    <n v="245.72"/>
    <x v="3"/>
    <s v="valor_bruto_produccion_por_actividad_economica"/>
  </r>
  <r>
    <x v="8"/>
    <x v="8"/>
    <x v="6"/>
    <n v="1666.29"/>
    <x v="3"/>
    <s v="valor_bruto_produccion_por_actividad_economica"/>
  </r>
  <r>
    <x v="9"/>
    <x v="9"/>
    <x v="6"/>
    <n v="142.57"/>
    <x v="3"/>
    <s v="valor_bruto_produccion_por_actividad_economica"/>
  </r>
  <r>
    <x v="10"/>
    <x v="10"/>
    <x v="6"/>
    <n v="947.02"/>
    <x v="3"/>
    <s v="valor_bruto_produccion_por_actividad_economica"/>
  </r>
  <r>
    <x v="11"/>
    <x v="11"/>
    <x v="6"/>
    <n v="869.43"/>
    <x v="3"/>
    <s v="valor_bruto_produccion_por_actividad_economica"/>
  </r>
  <r>
    <x v="12"/>
    <x v="12"/>
    <x v="6"/>
    <n v="550.29"/>
    <x v="3"/>
    <s v="valor_bruto_produccion_por_actividad_economica"/>
  </r>
  <r>
    <x v="13"/>
    <x v="13"/>
    <x v="6"/>
    <n v="437.96"/>
    <x v="3"/>
    <s v="valor_bruto_produccion_por_actividad_economica"/>
  </r>
  <r>
    <x v="14"/>
    <x v="14"/>
    <x v="6"/>
    <n v="521.03"/>
    <x v="3"/>
    <s v="valor_bruto_produccion_por_actividad_economica"/>
  </r>
  <r>
    <x v="15"/>
    <x v="15"/>
    <x v="6"/>
    <n v="103.27"/>
    <x v="3"/>
    <s v="valor_bruto_produccion_por_actividad_economica"/>
  </r>
  <r>
    <x v="16"/>
    <x v="16"/>
    <x v="6"/>
    <n v="238.01"/>
    <x v="3"/>
    <s v="valor_bruto_produccion_por_actividad_economica"/>
  </r>
  <r>
    <x v="17"/>
    <x v="17"/>
    <x v="6"/>
    <n v="5.23"/>
    <x v="3"/>
    <s v="valor_bruto_produccion_por_actividad_economica"/>
  </r>
  <r>
    <x v="18"/>
    <x v="18"/>
    <x v="6"/>
    <n v="99.98"/>
    <x v="3"/>
    <s v="valor_bruto_produccion_por_actividad_economica"/>
  </r>
  <r>
    <x v="19"/>
    <x v="19"/>
    <x v="6"/>
    <n v="8.06"/>
    <x v="3"/>
    <s v="valor_bruto_produccion_por_actividad_economica"/>
  </r>
  <r>
    <x v="20"/>
    <x v="20"/>
    <x v="6"/>
    <n v="194.89"/>
    <x v="3"/>
    <s v="valor_bruto_produccion_por_actividad_economica"/>
  </r>
  <r>
    <x v="21"/>
    <x v="21"/>
    <x v="6"/>
    <m/>
    <x v="3"/>
    <s v="valor_bruto_produccion_por_actividad_economica"/>
  </r>
  <r>
    <x v="22"/>
    <x v="22"/>
    <x v="6"/>
    <n v="53.05"/>
    <x v="3"/>
    <s v="valor_bruto_produccion_por_actividad_economica"/>
  </r>
  <r>
    <x v="23"/>
    <x v="23"/>
    <x v="6"/>
    <n v="27.89"/>
    <x v="3"/>
    <s v="valor_bruto_produccion_por_actividad_economica"/>
  </r>
  <r>
    <x v="24"/>
    <x v="24"/>
    <x v="6"/>
    <n v="152.4"/>
    <x v="3"/>
    <s v="valor_bruto_produccion_por_actividad_economica"/>
  </r>
  <r>
    <x v="25"/>
    <x v="25"/>
    <x v="6"/>
    <m/>
    <x v="3"/>
    <s v="valor_bruto_produccion_por_actividad_economica"/>
  </r>
  <r>
    <x v="0"/>
    <x v="0"/>
    <x v="4"/>
    <n v="642503.64"/>
    <x v="4"/>
    <s v="valor_bruto_produccion_por_actividad_economica"/>
  </r>
  <r>
    <x v="1"/>
    <x v="1"/>
    <x v="4"/>
    <n v="163889.20000000001"/>
    <x v="4"/>
    <s v="valor_bruto_produccion_por_actividad_economica"/>
  </r>
  <r>
    <x v="2"/>
    <x v="2"/>
    <x v="4"/>
    <n v="19129.68"/>
    <x v="4"/>
    <s v="valor_bruto_produccion_por_actividad_economica"/>
  </r>
  <r>
    <x v="3"/>
    <x v="3"/>
    <x v="4"/>
    <n v="3006.74"/>
    <x v="4"/>
    <s v="valor_bruto_produccion_por_actividad_economica"/>
  </r>
  <r>
    <x v="4"/>
    <x v="4"/>
    <x v="4"/>
    <n v="8756.14"/>
    <x v="4"/>
    <s v="valor_bruto_produccion_por_actividad_economica"/>
  </r>
  <r>
    <x v="5"/>
    <x v="5"/>
    <x v="4"/>
    <n v="6576.19"/>
    <x v="4"/>
    <s v="valor_bruto_produccion_por_actividad_economica"/>
  </r>
  <r>
    <x v="6"/>
    <x v="6"/>
    <x v="4"/>
    <n v="5750.33"/>
    <x v="4"/>
    <s v="valor_bruto_produccion_por_actividad_economica"/>
  </r>
  <r>
    <x v="7"/>
    <x v="7"/>
    <x v="4"/>
    <n v="5974.9"/>
    <x v="4"/>
    <s v="valor_bruto_produccion_por_actividad_economica"/>
  </r>
  <r>
    <x v="8"/>
    <x v="8"/>
    <x v="4"/>
    <n v="21929.59"/>
    <x v="4"/>
    <s v="valor_bruto_produccion_por_actividad_economica"/>
  </r>
  <r>
    <x v="9"/>
    <x v="9"/>
    <x v="4"/>
    <n v="2022.76"/>
    <x v="4"/>
    <s v="valor_bruto_produccion_por_actividad_economica"/>
  </r>
  <r>
    <x v="10"/>
    <x v="10"/>
    <x v="4"/>
    <n v="60977.88"/>
    <x v="4"/>
    <s v="valor_bruto_produccion_por_actividad_economica"/>
  </r>
  <r>
    <x v="11"/>
    <x v="11"/>
    <x v="4"/>
    <n v="81774.559999999998"/>
    <x v="4"/>
    <s v="valor_bruto_produccion_por_actividad_economica"/>
  </r>
  <r>
    <x v="12"/>
    <x v="12"/>
    <x v="4"/>
    <n v="13636.21"/>
    <x v="4"/>
    <s v="valor_bruto_produccion_por_actividad_economica"/>
  </r>
  <r>
    <x v="13"/>
    <x v="13"/>
    <x v="4"/>
    <n v="23281.86"/>
    <x v="4"/>
    <s v="valor_bruto_produccion_por_actividad_economica"/>
  </r>
  <r>
    <x v="14"/>
    <x v="14"/>
    <x v="4"/>
    <n v="16884.36"/>
    <x v="4"/>
    <s v="valor_bruto_produccion_por_actividad_economica"/>
  </r>
  <r>
    <x v="15"/>
    <x v="15"/>
    <x v="4"/>
    <n v="48995.82"/>
    <x v="4"/>
    <s v="valor_bruto_produccion_por_actividad_economica"/>
  </r>
  <r>
    <x v="16"/>
    <x v="16"/>
    <x v="4"/>
    <n v="18093.37"/>
    <x v="4"/>
    <s v="valor_bruto_produccion_por_actividad_economica"/>
  </r>
  <r>
    <x v="17"/>
    <x v="17"/>
    <x v="4"/>
    <n v="21025.57"/>
    <x v="4"/>
    <s v="valor_bruto_produccion_por_actividad_economica"/>
  </r>
  <r>
    <x v="18"/>
    <x v="18"/>
    <x v="4"/>
    <n v="18691.97"/>
    <x v="4"/>
    <s v="valor_bruto_produccion_por_actividad_economica"/>
  </r>
  <r>
    <x v="19"/>
    <x v="19"/>
    <x v="4"/>
    <n v="27513.05"/>
    <x v="4"/>
    <s v="valor_bruto_produccion_por_actividad_economica"/>
  </r>
  <r>
    <x v="20"/>
    <x v="20"/>
    <x v="4"/>
    <n v="50555.65"/>
    <x v="4"/>
    <s v="valor_bruto_produccion_por_actividad_economica"/>
  </r>
  <r>
    <x v="21"/>
    <x v="21"/>
    <x v="4"/>
    <n v="7566.96"/>
    <x v="4"/>
    <s v="valor_bruto_produccion_por_actividad_economica"/>
  </r>
  <r>
    <x v="22"/>
    <x v="22"/>
    <x v="4"/>
    <n v="6245.93"/>
    <x v="4"/>
    <s v="valor_bruto_produccion_por_actividad_economica"/>
  </r>
  <r>
    <x v="23"/>
    <x v="23"/>
    <x v="4"/>
    <n v="5039.79"/>
    <x v="4"/>
    <s v="valor_bruto_produccion_por_actividad_economica"/>
  </r>
  <r>
    <x v="24"/>
    <x v="24"/>
    <x v="4"/>
    <n v="5185.13"/>
    <x v="4"/>
    <s v="valor_bruto_produccion_por_actividad_economica"/>
  </r>
  <r>
    <x v="25"/>
    <x v="25"/>
    <x v="4"/>
    <m/>
    <x v="4"/>
    <s v="valor_bruto_produccion_por_actividad_economica"/>
  </r>
  <r>
    <x v="0"/>
    <x v="0"/>
    <x v="0"/>
    <n v="63259.65"/>
    <x v="4"/>
    <s v="valor_bruto_produccion_por_actividad_economica"/>
  </r>
  <r>
    <x v="1"/>
    <x v="1"/>
    <x v="0"/>
    <n v="23451.73"/>
    <x v="4"/>
    <s v="valor_bruto_produccion_por_actividad_economica"/>
  </r>
  <r>
    <x v="2"/>
    <x v="2"/>
    <x v="0"/>
    <n v="4959.45"/>
    <x v="4"/>
    <s v="valor_bruto_produccion_por_actividad_economica"/>
  </r>
  <r>
    <x v="3"/>
    <x v="3"/>
    <x v="0"/>
    <m/>
    <x v="4"/>
    <s v="valor_bruto_produccion_por_actividad_economica"/>
  </r>
  <r>
    <x v="4"/>
    <x v="4"/>
    <x v="0"/>
    <n v="268.95"/>
    <x v="4"/>
    <s v="valor_bruto_produccion_por_actividad_economica"/>
  </r>
  <r>
    <x v="5"/>
    <x v="5"/>
    <x v="0"/>
    <n v="154.71"/>
    <x v="4"/>
    <s v="valor_bruto_produccion_por_actividad_economica"/>
  </r>
  <r>
    <x v="6"/>
    <x v="6"/>
    <x v="0"/>
    <n v="81.92"/>
    <x v="4"/>
    <s v="valor_bruto_produccion_por_actividad_economica"/>
  </r>
  <r>
    <x v="7"/>
    <x v="7"/>
    <x v="0"/>
    <n v="3258.91"/>
    <x v="4"/>
    <s v="valor_bruto_produccion_por_actividad_economica"/>
  </r>
  <r>
    <x v="8"/>
    <x v="8"/>
    <x v="0"/>
    <n v="4327.0200000000004"/>
    <x v="4"/>
    <s v="valor_bruto_produccion_por_actividad_economica"/>
  </r>
  <r>
    <x v="9"/>
    <x v="9"/>
    <x v="0"/>
    <n v="280.79000000000002"/>
    <x v="4"/>
    <s v="valor_bruto_produccion_por_actividad_economica"/>
  </r>
  <r>
    <x v="10"/>
    <x v="10"/>
    <x v="0"/>
    <m/>
    <x v="4"/>
    <s v="valor_bruto_produccion_por_actividad_economica"/>
  </r>
  <r>
    <x v="11"/>
    <x v="11"/>
    <x v="0"/>
    <n v="9308.2000000000007"/>
    <x v="4"/>
    <s v="valor_bruto_produccion_por_actividad_economica"/>
  </r>
  <r>
    <x v="12"/>
    <x v="12"/>
    <x v="0"/>
    <n v="1285.8599999999999"/>
    <x v="4"/>
    <s v="valor_bruto_produccion_por_actividad_economica"/>
  </r>
  <r>
    <x v="13"/>
    <x v="13"/>
    <x v="0"/>
    <n v="2443.23"/>
    <x v="4"/>
    <s v="valor_bruto_produccion_por_actividad_economica"/>
  </r>
  <r>
    <x v="14"/>
    <x v="14"/>
    <x v="0"/>
    <n v="2683.73"/>
    <x v="4"/>
    <s v="valor_bruto_produccion_por_actividad_economica"/>
  </r>
  <r>
    <x v="15"/>
    <x v="15"/>
    <x v="0"/>
    <n v="1733.82"/>
    <x v="4"/>
    <s v="valor_bruto_produccion_por_actividad_economica"/>
  </r>
  <r>
    <x v="16"/>
    <x v="16"/>
    <x v="0"/>
    <n v="2211.0100000000002"/>
    <x v="4"/>
    <s v="valor_bruto_produccion_por_actividad_economica"/>
  </r>
  <r>
    <x v="17"/>
    <x v="17"/>
    <x v="0"/>
    <n v="15.41"/>
    <x v="4"/>
    <s v="valor_bruto_produccion_por_actividad_economica"/>
  </r>
  <r>
    <x v="18"/>
    <x v="18"/>
    <x v="0"/>
    <n v="838.99"/>
    <x v="4"/>
    <s v="valor_bruto_produccion_por_actividad_economica"/>
  </r>
  <r>
    <x v="19"/>
    <x v="19"/>
    <x v="0"/>
    <n v="929.69"/>
    <x v="4"/>
    <s v="valor_bruto_produccion_por_actividad_economica"/>
  </r>
  <r>
    <x v="20"/>
    <x v="20"/>
    <x v="0"/>
    <n v="68.459999999999994"/>
    <x v="4"/>
    <s v="valor_bruto_produccion_por_actividad_economica"/>
  </r>
  <r>
    <x v="21"/>
    <x v="21"/>
    <x v="0"/>
    <n v="96.82"/>
    <x v="4"/>
    <s v="valor_bruto_produccion_por_actividad_economica"/>
  </r>
  <r>
    <x v="22"/>
    <x v="22"/>
    <x v="0"/>
    <n v="477.65"/>
    <x v="4"/>
    <s v="valor_bruto_produccion_por_actividad_economica"/>
  </r>
  <r>
    <x v="23"/>
    <x v="23"/>
    <x v="0"/>
    <n v="67.930000000000007"/>
    <x v="4"/>
    <s v="valor_bruto_produccion_por_actividad_economica"/>
  </r>
  <r>
    <x v="24"/>
    <x v="24"/>
    <x v="0"/>
    <n v="1398.84"/>
    <x v="4"/>
    <s v="valor_bruto_produccion_por_actividad_economica"/>
  </r>
  <r>
    <x v="25"/>
    <x v="25"/>
    <x v="0"/>
    <n v="2916.53"/>
    <x v="4"/>
    <s v="valor_bruto_produccion_por_actividad_economica"/>
  </r>
  <r>
    <x v="0"/>
    <x v="0"/>
    <x v="1"/>
    <n v="58902.29"/>
    <x v="4"/>
    <s v="valor_bruto_produccion_por_actividad_economica"/>
  </r>
  <r>
    <x v="1"/>
    <x v="1"/>
    <x v="1"/>
    <n v="17183.259999999998"/>
    <x v="4"/>
    <s v="valor_bruto_produccion_por_actividad_economica"/>
  </r>
  <r>
    <x v="2"/>
    <x v="2"/>
    <x v="1"/>
    <n v="1866.67"/>
    <x v="4"/>
    <s v="valor_bruto_produccion_por_actividad_economica"/>
  </r>
  <r>
    <x v="3"/>
    <x v="3"/>
    <x v="1"/>
    <m/>
    <x v="4"/>
    <s v="valor_bruto_produccion_por_actividad_economica"/>
  </r>
  <r>
    <x v="4"/>
    <x v="4"/>
    <x v="1"/>
    <n v="1081.19"/>
    <x v="4"/>
    <s v="valor_bruto_produccion_por_actividad_economica"/>
  </r>
  <r>
    <x v="5"/>
    <x v="5"/>
    <x v="1"/>
    <n v="1578.69"/>
    <x v="4"/>
    <s v="valor_bruto_produccion_por_actividad_economica"/>
  </r>
  <r>
    <x v="6"/>
    <x v="6"/>
    <x v="1"/>
    <n v="251.09"/>
    <x v="4"/>
    <s v="valor_bruto_produccion_por_actividad_economica"/>
  </r>
  <r>
    <x v="7"/>
    <x v="7"/>
    <x v="1"/>
    <n v="235.81"/>
    <x v="4"/>
    <s v="valor_bruto_produccion_por_actividad_economica"/>
  </r>
  <r>
    <x v="8"/>
    <x v="8"/>
    <x v="1"/>
    <n v="2361.08"/>
    <x v="4"/>
    <s v="valor_bruto_produccion_por_actividad_economica"/>
  </r>
  <r>
    <x v="9"/>
    <x v="9"/>
    <x v="1"/>
    <n v="654.15"/>
    <x v="4"/>
    <s v="valor_bruto_produccion_por_actividad_economica"/>
  </r>
  <r>
    <x v="10"/>
    <x v="10"/>
    <x v="1"/>
    <n v="6931.62"/>
    <x v="4"/>
    <s v="valor_bruto_produccion_por_actividad_economica"/>
  </r>
  <r>
    <x v="11"/>
    <x v="11"/>
    <x v="1"/>
    <n v="6725.16"/>
    <x v="4"/>
    <s v="valor_bruto_produccion_por_actividad_economica"/>
  </r>
  <r>
    <x v="12"/>
    <x v="12"/>
    <x v="1"/>
    <n v="1765.22"/>
    <x v="4"/>
    <s v="valor_bruto_produccion_por_actividad_economica"/>
  </r>
  <r>
    <x v="13"/>
    <x v="13"/>
    <x v="1"/>
    <n v="2540.0100000000002"/>
    <x v="4"/>
    <s v="valor_bruto_produccion_por_actividad_economica"/>
  </r>
  <r>
    <x v="14"/>
    <x v="14"/>
    <x v="1"/>
    <n v="2740.5"/>
    <x v="4"/>
    <s v="valor_bruto_produccion_por_actividad_economica"/>
  </r>
  <r>
    <x v="15"/>
    <x v="15"/>
    <x v="1"/>
    <n v="2113.08"/>
    <x v="4"/>
    <s v="valor_bruto_produccion_por_actividad_economica"/>
  </r>
  <r>
    <x v="16"/>
    <x v="16"/>
    <x v="1"/>
    <n v="1276.43"/>
    <x v="4"/>
    <s v="valor_bruto_produccion_por_actividad_economica"/>
  </r>
  <r>
    <x v="17"/>
    <x v="17"/>
    <x v="1"/>
    <m/>
    <x v="4"/>
    <s v="valor_bruto_produccion_por_actividad_economica"/>
  </r>
  <r>
    <x v="18"/>
    <x v="18"/>
    <x v="1"/>
    <n v="1291.6500000000001"/>
    <x v="4"/>
    <s v="valor_bruto_produccion_por_actividad_economica"/>
  </r>
  <r>
    <x v="19"/>
    <x v="19"/>
    <x v="1"/>
    <n v="464.57"/>
    <x v="4"/>
    <s v="valor_bruto_produccion_por_actividad_economica"/>
  </r>
  <r>
    <x v="20"/>
    <x v="20"/>
    <x v="1"/>
    <n v="530.48"/>
    <x v="4"/>
    <s v="valor_bruto_produccion_por_actividad_economica"/>
  </r>
  <r>
    <x v="21"/>
    <x v="21"/>
    <x v="1"/>
    <n v="586.74"/>
    <x v="4"/>
    <s v="valor_bruto_produccion_por_actividad_economica"/>
  </r>
  <r>
    <x v="22"/>
    <x v="22"/>
    <x v="1"/>
    <n v="490.4"/>
    <x v="4"/>
    <s v="valor_bruto_produccion_por_actividad_economica"/>
  </r>
  <r>
    <x v="23"/>
    <x v="23"/>
    <x v="1"/>
    <n v="6234.49"/>
    <x v="4"/>
    <s v="valor_bruto_produccion_por_actividad_economica"/>
  </r>
  <r>
    <x v="24"/>
    <x v="24"/>
    <x v="1"/>
    <m/>
    <x v="4"/>
    <s v="valor_bruto_produccion_por_actividad_economica"/>
  </r>
  <r>
    <x v="25"/>
    <x v="25"/>
    <x v="1"/>
    <m/>
    <x v="4"/>
    <s v="valor_bruto_produccion_por_actividad_economica"/>
  </r>
  <r>
    <x v="0"/>
    <x v="0"/>
    <x v="2"/>
    <n v="25169.200000000001"/>
    <x v="4"/>
    <s v="valor_bruto_produccion_por_actividad_economica"/>
  </r>
  <r>
    <x v="1"/>
    <x v="1"/>
    <x v="2"/>
    <n v="13893.08"/>
    <x v="4"/>
    <s v="valor_bruto_produccion_por_actividad_economica"/>
  </r>
  <r>
    <x v="2"/>
    <x v="2"/>
    <x v="2"/>
    <n v="956.76"/>
    <x v="4"/>
    <s v="valor_bruto_produccion_por_actividad_economica"/>
  </r>
  <r>
    <x v="3"/>
    <x v="3"/>
    <x v="2"/>
    <n v="11.9"/>
    <x v="4"/>
    <s v="valor_bruto_produccion_por_actividad_economica"/>
  </r>
  <r>
    <x v="4"/>
    <x v="4"/>
    <x v="2"/>
    <n v="220.57"/>
    <x v="4"/>
    <s v="valor_bruto_produccion_por_actividad_economica"/>
  </r>
  <r>
    <x v="5"/>
    <x v="5"/>
    <x v="2"/>
    <n v="84.87"/>
    <x v="4"/>
    <s v="valor_bruto_produccion_por_actividad_economica"/>
  </r>
  <r>
    <x v="6"/>
    <x v="6"/>
    <x v="2"/>
    <n v="126.62"/>
    <x v="4"/>
    <s v="valor_bruto_produccion_por_actividad_economica"/>
  </r>
  <r>
    <x v="7"/>
    <x v="7"/>
    <x v="2"/>
    <n v="588.05999999999995"/>
    <x v="4"/>
    <s v="valor_bruto_produccion_por_actividad_economica"/>
  </r>
  <r>
    <x v="8"/>
    <x v="8"/>
    <x v="2"/>
    <n v="1472.19"/>
    <x v="4"/>
    <s v="valor_bruto_produccion_por_actividad_economica"/>
  </r>
  <r>
    <x v="9"/>
    <x v="9"/>
    <x v="2"/>
    <n v="254.97"/>
    <x v="4"/>
    <s v="valor_bruto_produccion_por_actividad_economica"/>
  </r>
  <r>
    <x v="10"/>
    <x v="10"/>
    <x v="2"/>
    <n v="141.35"/>
    <x v="4"/>
    <s v="valor_bruto_produccion_por_actividad_economica"/>
  </r>
  <r>
    <x v="11"/>
    <x v="11"/>
    <x v="2"/>
    <n v="1350.05"/>
    <x v="4"/>
    <s v="valor_bruto_produccion_por_actividad_economica"/>
  </r>
  <r>
    <x v="12"/>
    <x v="12"/>
    <x v="2"/>
    <n v="488.24"/>
    <x v="4"/>
    <s v="valor_bruto_produccion_por_actividad_economica"/>
  </r>
  <r>
    <x v="13"/>
    <x v="13"/>
    <x v="2"/>
    <n v="1577.58"/>
    <x v="4"/>
    <s v="valor_bruto_produccion_por_actividad_economica"/>
  </r>
  <r>
    <x v="14"/>
    <x v="14"/>
    <x v="2"/>
    <n v="818.52"/>
    <x v="4"/>
    <s v="valor_bruto_produccion_por_actividad_economica"/>
  </r>
  <r>
    <x v="15"/>
    <x v="15"/>
    <x v="2"/>
    <n v="1027.1300000000001"/>
    <x v="4"/>
    <s v="valor_bruto_produccion_por_actividad_economica"/>
  </r>
  <r>
    <x v="16"/>
    <x v="16"/>
    <x v="2"/>
    <n v="470.07"/>
    <x v="4"/>
    <s v="valor_bruto_produccion_por_actividad_economica"/>
  </r>
  <r>
    <x v="17"/>
    <x v="17"/>
    <x v="2"/>
    <n v="151.05000000000001"/>
    <x v="4"/>
    <s v="valor_bruto_produccion_por_actividad_economica"/>
  </r>
  <r>
    <x v="18"/>
    <x v="18"/>
    <x v="2"/>
    <n v="653.85"/>
    <x v="4"/>
    <s v="valor_bruto_produccion_por_actividad_economica"/>
  </r>
  <r>
    <x v="19"/>
    <x v="19"/>
    <x v="2"/>
    <n v="143.21"/>
    <x v="4"/>
    <s v="valor_bruto_produccion_por_actividad_economica"/>
  </r>
  <r>
    <x v="20"/>
    <x v="20"/>
    <x v="2"/>
    <n v="202.9"/>
    <x v="4"/>
    <s v="valor_bruto_produccion_por_actividad_economica"/>
  </r>
  <r>
    <x v="21"/>
    <x v="21"/>
    <x v="2"/>
    <n v="155.5"/>
    <x v="4"/>
    <s v="valor_bruto_produccion_por_actividad_economica"/>
  </r>
  <r>
    <x v="22"/>
    <x v="22"/>
    <x v="2"/>
    <n v="225.38"/>
    <x v="4"/>
    <s v="valor_bruto_produccion_por_actividad_economica"/>
  </r>
  <r>
    <x v="23"/>
    <x v="23"/>
    <x v="2"/>
    <n v="17.38"/>
    <x v="4"/>
    <s v="valor_bruto_produccion_por_actividad_economica"/>
  </r>
  <r>
    <x v="24"/>
    <x v="24"/>
    <x v="2"/>
    <n v="137.97"/>
    <x v="4"/>
    <s v="valor_bruto_produccion_por_actividad_economica"/>
  </r>
  <r>
    <x v="25"/>
    <x v="25"/>
    <x v="2"/>
    <m/>
    <x v="4"/>
    <s v="valor_bruto_produccion_por_actividad_economica"/>
  </r>
  <r>
    <x v="0"/>
    <x v="0"/>
    <x v="5"/>
    <n v="412911.2"/>
    <x v="4"/>
    <s v="valor_bruto_produccion_por_actividad_economica"/>
  </r>
  <r>
    <x v="1"/>
    <x v="1"/>
    <x v="5"/>
    <n v="63817.9"/>
    <x v="4"/>
    <s v="valor_bruto_produccion_por_actividad_economica"/>
  </r>
  <r>
    <x v="2"/>
    <x v="2"/>
    <x v="5"/>
    <n v="23596.91"/>
    <x v="4"/>
    <s v="valor_bruto_produccion_por_actividad_economica"/>
  </r>
  <r>
    <x v="3"/>
    <x v="3"/>
    <x v="5"/>
    <n v="651.79999999999995"/>
    <x v="4"/>
    <s v="valor_bruto_produccion_por_actividad_economica"/>
  </r>
  <r>
    <x v="4"/>
    <x v="4"/>
    <x v="5"/>
    <n v="11364.89"/>
    <x v="4"/>
    <s v="valor_bruto_produccion_por_actividad_economica"/>
  </r>
  <r>
    <x v="5"/>
    <x v="5"/>
    <x v="5"/>
    <n v="2733.15"/>
    <x v="4"/>
    <s v="valor_bruto_produccion_por_actividad_economica"/>
  </r>
  <r>
    <x v="6"/>
    <x v="6"/>
    <x v="5"/>
    <n v="1931.17"/>
    <x v="4"/>
    <s v="valor_bruto_produccion_por_actividad_economica"/>
  </r>
  <r>
    <x v="7"/>
    <x v="7"/>
    <x v="5"/>
    <n v="1210.1099999999999"/>
    <x v="4"/>
    <s v="valor_bruto_produccion_por_actividad_economica"/>
  </r>
  <r>
    <x v="8"/>
    <x v="8"/>
    <x v="5"/>
    <n v="11074.22"/>
    <x v="4"/>
    <s v="valor_bruto_produccion_por_actividad_economica"/>
  </r>
  <r>
    <x v="9"/>
    <x v="9"/>
    <x v="5"/>
    <n v="558.99"/>
    <x v="4"/>
    <s v="valor_bruto_produccion_por_actividad_economica"/>
  </r>
  <r>
    <x v="10"/>
    <x v="10"/>
    <x v="5"/>
    <n v="21029.81"/>
    <x v="4"/>
    <s v="valor_bruto_produccion_por_actividad_economica"/>
  </r>
  <r>
    <x v="11"/>
    <x v="11"/>
    <x v="5"/>
    <n v="36177.019999999997"/>
    <x v="4"/>
    <s v="valor_bruto_produccion_por_actividad_economica"/>
  </r>
  <r>
    <x v="12"/>
    <x v="12"/>
    <x v="5"/>
    <n v="2357.4499999999998"/>
    <x v="4"/>
    <s v="valor_bruto_produccion_por_actividad_economica"/>
  </r>
  <r>
    <x v="13"/>
    <x v="13"/>
    <x v="5"/>
    <n v="16418.04"/>
    <x v="4"/>
    <s v="valor_bruto_produccion_por_actividad_economica"/>
  </r>
  <r>
    <x v="14"/>
    <x v="14"/>
    <x v="5"/>
    <n v="20683.46"/>
    <x v="4"/>
    <s v="valor_bruto_produccion_por_actividad_economica"/>
  </r>
  <r>
    <x v="15"/>
    <x v="15"/>
    <x v="5"/>
    <n v="28321.96"/>
    <x v="4"/>
    <s v="valor_bruto_produccion_por_actividad_economica"/>
  </r>
  <r>
    <x v="16"/>
    <x v="16"/>
    <x v="5"/>
    <n v="18868.080000000002"/>
    <x v="4"/>
    <s v="valor_bruto_produccion_por_actividad_economica"/>
  </r>
  <r>
    <x v="17"/>
    <x v="17"/>
    <x v="5"/>
    <n v="9869.4"/>
    <x v="4"/>
    <s v="valor_bruto_produccion_por_actividad_economica"/>
  </r>
  <r>
    <x v="18"/>
    <x v="18"/>
    <x v="5"/>
    <n v="29395.71"/>
    <x v="4"/>
    <s v="valor_bruto_produccion_por_actividad_economica"/>
  </r>
  <r>
    <x v="19"/>
    <x v="19"/>
    <x v="5"/>
    <n v="38202.620000000003"/>
    <x v="4"/>
    <s v="valor_bruto_produccion_por_actividad_economica"/>
  </r>
  <r>
    <x v="20"/>
    <x v="20"/>
    <x v="5"/>
    <n v="71950.59"/>
    <x v="4"/>
    <s v="valor_bruto_produccion_por_actividad_economica"/>
  </r>
  <r>
    <x v="21"/>
    <x v="21"/>
    <x v="5"/>
    <n v="1445.99"/>
    <x v="4"/>
    <s v="valor_bruto_produccion_por_actividad_economica"/>
  </r>
  <r>
    <x v="22"/>
    <x v="22"/>
    <x v="5"/>
    <n v="662.8"/>
    <x v="4"/>
    <s v="valor_bruto_produccion_por_actividad_economica"/>
  </r>
  <r>
    <x v="23"/>
    <x v="23"/>
    <x v="5"/>
    <n v="589.13"/>
    <x v="4"/>
    <s v="valor_bruto_produccion_por_actividad_economica"/>
  </r>
  <r>
    <x v="24"/>
    <x v="24"/>
    <x v="5"/>
    <m/>
    <x v="4"/>
    <s v="valor_bruto_produccion_por_actividad_economica"/>
  </r>
  <r>
    <x v="25"/>
    <x v="25"/>
    <x v="5"/>
    <m/>
    <x v="4"/>
    <s v="valor_bruto_produccion_por_actividad_economica"/>
  </r>
  <r>
    <x v="0"/>
    <x v="0"/>
    <x v="3"/>
    <n v="35025.79"/>
    <x v="4"/>
    <s v="valor_bruto_produccion_por_actividad_economica"/>
  </r>
  <r>
    <x v="1"/>
    <x v="1"/>
    <x v="3"/>
    <n v="14888.05"/>
    <x v="4"/>
    <s v="valor_bruto_produccion_por_actividad_economica"/>
  </r>
  <r>
    <x v="2"/>
    <x v="2"/>
    <x v="3"/>
    <n v="2401.27"/>
    <x v="4"/>
    <s v="valor_bruto_produccion_por_actividad_economica"/>
  </r>
  <r>
    <x v="3"/>
    <x v="3"/>
    <x v="3"/>
    <m/>
    <x v="4"/>
    <s v="valor_bruto_produccion_por_actividad_economica"/>
  </r>
  <r>
    <x v="4"/>
    <x v="4"/>
    <x v="3"/>
    <n v="889.73"/>
    <x v="4"/>
    <s v="valor_bruto_produccion_por_actividad_economica"/>
  </r>
  <r>
    <x v="5"/>
    <x v="5"/>
    <x v="3"/>
    <n v="741.71"/>
    <x v="4"/>
    <s v="valor_bruto_produccion_por_actividad_economica"/>
  </r>
  <r>
    <x v="6"/>
    <x v="6"/>
    <x v="3"/>
    <n v="58.15"/>
    <x v="4"/>
    <s v="valor_bruto_produccion_por_actividad_economica"/>
  </r>
  <r>
    <x v="7"/>
    <x v="7"/>
    <x v="3"/>
    <n v="155.57"/>
    <x v="4"/>
    <s v="valor_bruto_produccion_por_actividad_economica"/>
  </r>
  <r>
    <x v="8"/>
    <x v="8"/>
    <x v="3"/>
    <n v="1228.25"/>
    <x v="4"/>
    <s v="valor_bruto_produccion_por_actividad_economica"/>
  </r>
  <r>
    <x v="9"/>
    <x v="9"/>
    <x v="3"/>
    <n v="199.85"/>
    <x v="4"/>
    <s v="valor_bruto_produccion_por_actividad_economica"/>
  </r>
  <r>
    <x v="10"/>
    <x v="10"/>
    <x v="3"/>
    <m/>
    <x v="4"/>
    <s v="valor_bruto_produccion_por_actividad_economica"/>
  </r>
  <r>
    <x v="11"/>
    <x v="11"/>
    <x v="3"/>
    <n v="3017.84"/>
    <x v="4"/>
    <s v="valor_bruto_produccion_por_actividad_economica"/>
  </r>
  <r>
    <x v="12"/>
    <x v="12"/>
    <x v="3"/>
    <n v="953.31"/>
    <x v="4"/>
    <s v="valor_bruto_produccion_por_actividad_economica"/>
  </r>
  <r>
    <x v="13"/>
    <x v="13"/>
    <x v="3"/>
    <n v="2334.66"/>
    <x v="4"/>
    <s v="valor_bruto_produccion_por_actividad_economica"/>
  </r>
  <r>
    <x v="14"/>
    <x v="14"/>
    <x v="3"/>
    <n v="2251.21"/>
    <x v="4"/>
    <s v="valor_bruto_produccion_por_actividad_economica"/>
  </r>
  <r>
    <x v="15"/>
    <x v="15"/>
    <x v="3"/>
    <n v="2874.65"/>
    <x v="4"/>
    <s v="valor_bruto_produccion_por_actividad_economica"/>
  </r>
  <r>
    <x v="16"/>
    <x v="16"/>
    <x v="3"/>
    <n v="1062.42"/>
    <x v="4"/>
    <s v="valor_bruto_produccion_por_actividad_economica"/>
  </r>
  <r>
    <x v="17"/>
    <x v="17"/>
    <x v="3"/>
    <n v="10.56"/>
    <x v="4"/>
    <s v="valor_bruto_produccion_por_actividad_economica"/>
  </r>
  <r>
    <x v="18"/>
    <x v="18"/>
    <x v="3"/>
    <n v="487.42"/>
    <x v="4"/>
    <s v="valor_bruto_produccion_por_actividad_economica"/>
  </r>
  <r>
    <x v="19"/>
    <x v="19"/>
    <x v="3"/>
    <n v="306.81"/>
    <x v="4"/>
    <s v="valor_bruto_produccion_por_actividad_economica"/>
  </r>
  <r>
    <x v="20"/>
    <x v="20"/>
    <x v="3"/>
    <n v="137.31"/>
    <x v="4"/>
    <s v="valor_bruto_produccion_por_actividad_economica"/>
  </r>
  <r>
    <x v="21"/>
    <x v="21"/>
    <x v="3"/>
    <n v="125.47"/>
    <x v="4"/>
    <s v="valor_bruto_produccion_por_actividad_economica"/>
  </r>
  <r>
    <x v="22"/>
    <x v="22"/>
    <x v="3"/>
    <n v="222.54"/>
    <x v="4"/>
    <s v="valor_bruto_produccion_por_actividad_economica"/>
  </r>
  <r>
    <x v="23"/>
    <x v="23"/>
    <x v="3"/>
    <n v="358.52"/>
    <x v="4"/>
    <s v="valor_bruto_produccion_por_actividad_economica"/>
  </r>
  <r>
    <x v="24"/>
    <x v="24"/>
    <x v="3"/>
    <n v="320.49"/>
    <x v="4"/>
    <s v="valor_bruto_produccion_por_actividad_economica"/>
  </r>
  <r>
    <x v="25"/>
    <x v="25"/>
    <x v="3"/>
    <m/>
    <x v="4"/>
    <s v="valor_bruto_produccion_por_actividad_economica"/>
  </r>
  <r>
    <x v="0"/>
    <x v="0"/>
    <x v="6"/>
    <m/>
    <x v="4"/>
    <s v="valor_bruto_produccion_por_actividad_economica"/>
  </r>
  <r>
    <x v="1"/>
    <x v="1"/>
    <x v="6"/>
    <m/>
    <x v="4"/>
    <s v="valor_bruto_produccion_por_actividad_economica"/>
  </r>
  <r>
    <x v="2"/>
    <x v="2"/>
    <x v="6"/>
    <m/>
    <x v="4"/>
    <s v="valor_bruto_produccion_por_actividad_economica"/>
  </r>
  <r>
    <x v="3"/>
    <x v="3"/>
    <x v="6"/>
    <m/>
    <x v="4"/>
    <s v="valor_bruto_produccion_por_actividad_economica"/>
  </r>
  <r>
    <x v="4"/>
    <x v="4"/>
    <x v="6"/>
    <m/>
    <x v="4"/>
    <s v="valor_bruto_produccion_por_actividad_economica"/>
  </r>
  <r>
    <x v="5"/>
    <x v="5"/>
    <x v="6"/>
    <m/>
    <x v="4"/>
    <s v="valor_bruto_produccion_por_actividad_economica"/>
  </r>
  <r>
    <x v="6"/>
    <x v="6"/>
    <x v="6"/>
    <m/>
    <x v="4"/>
    <s v="valor_bruto_produccion_por_actividad_economica"/>
  </r>
  <r>
    <x v="7"/>
    <x v="7"/>
    <x v="6"/>
    <m/>
    <x v="4"/>
    <s v="valor_bruto_produccion_por_actividad_economica"/>
  </r>
  <r>
    <x v="8"/>
    <x v="8"/>
    <x v="6"/>
    <m/>
    <x v="4"/>
    <s v="valor_bruto_produccion_por_actividad_economica"/>
  </r>
  <r>
    <x v="9"/>
    <x v="9"/>
    <x v="6"/>
    <m/>
    <x v="4"/>
    <s v="valor_bruto_produccion_por_actividad_economica"/>
  </r>
  <r>
    <x v="10"/>
    <x v="10"/>
    <x v="6"/>
    <m/>
    <x v="4"/>
    <s v="valor_bruto_produccion_por_actividad_economica"/>
  </r>
  <r>
    <x v="11"/>
    <x v="11"/>
    <x v="6"/>
    <m/>
    <x v="4"/>
    <s v="valor_bruto_produccion_por_actividad_economica"/>
  </r>
  <r>
    <x v="12"/>
    <x v="12"/>
    <x v="6"/>
    <m/>
    <x v="4"/>
    <s v="valor_bruto_produccion_por_actividad_economica"/>
  </r>
  <r>
    <x v="13"/>
    <x v="13"/>
    <x v="6"/>
    <m/>
    <x v="4"/>
    <s v="valor_bruto_produccion_por_actividad_economica"/>
  </r>
  <r>
    <x v="14"/>
    <x v="14"/>
    <x v="6"/>
    <m/>
    <x v="4"/>
    <s v="valor_bruto_produccion_por_actividad_economica"/>
  </r>
  <r>
    <x v="15"/>
    <x v="15"/>
    <x v="6"/>
    <m/>
    <x v="4"/>
    <s v="valor_bruto_produccion_por_actividad_economica"/>
  </r>
  <r>
    <x v="16"/>
    <x v="16"/>
    <x v="6"/>
    <m/>
    <x v="4"/>
    <s v="valor_bruto_produccion_por_actividad_economica"/>
  </r>
  <r>
    <x v="17"/>
    <x v="17"/>
    <x v="6"/>
    <m/>
    <x v="4"/>
    <s v="valor_bruto_produccion_por_actividad_economica"/>
  </r>
  <r>
    <x v="18"/>
    <x v="18"/>
    <x v="6"/>
    <m/>
    <x v="4"/>
    <s v="valor_bruto_produccion_por_actividad_economica"/>
  </r>
  <r>
    <x v="19"/>
    <x v="19"/>
    <x v="6"/>
    <m/>
    <x v="4"/>
    <s v="valor_bruto_produccion_por_actividad_economica"/>
  </r>
  <r>
    <x v="20"/>
    <x v="20"/>
    <x v="6"/>
    <m/>
    <x v="4"/>
    <s v="valor_bruto_produccion_por_actividad_economica"/>
  </r>
  <r>
    <x v="21"/>
    <x v="21"/>
    <x v="6"/>
    <m/>
    <x v="4"/>
    <s v="valor_bruto_produccion_por_actividad_economica"/>
  </r>
  <r>
    <x v="22"/>
    <x v="22"/>
    <x v="6"/>
    <m/>
    <x v="4"/>
    <s v="valor_bruto_produccion_por_actividad_economica"/>
  </r>
  <r>
    <x v="23"/>
    <x v="23"/>
    <x v="6"/>
    <m/>
    <x v="4"/>
    <s v="valor_bruto_produccion_por_actividad_economica"/>
  </r>
  <r>
    <x v="24"/>
    <x v="24"/>
    <x v="6"/>
    <m/>
    <x v="4"/>
    <s v="valor_bruto_produccion_por_actividad_economica"/>
  </r>
  <r>
    <x v="25"/>
    <x v="25"/>
    <x v="6"/>
    <m/>
    <x v="4"/>
    <s v="valor_bruto_produccion_por_actividad_economica"/>
  </r>
  <r>
    <x v="0"/>
    <x v="0"/>
    <x v="4"/>
    <n v="864048.18"/>
    <x v="5"/>
    <s v="valor_bruto_produccion_por_actividad_economica"/>
  </r>
  <r>
    <x v="1"/>
    <x v="1"/>
    <x v="4"/>
    <n v="191972.94"/>
    <x v="5"/>
    <s v="valor_bruto_produccion_por_actividad_economica"/>
  </r>
  <r>
    <x v="2"/>
    <x v="2"/>
    <x v="4"/>
    <n v="20532.509999999998"/>
    <x v="5"/>
    <s v="valor_bruto_produccion_por_actividad_economica"/>
  </r>
  <r>
    <x v="3"/>
    <x v="3"/>
    <x v="4"/>
    <n v="3112.49"/>
    <x v="5"/>
    <s v="valor_bruto_produccion_por_actividad_economica"/>
  </r>
  <r>
    <x v="4"/>
    <x v="4"/>
    <x v="4"/>
    <n v="12374.29"/>
    <x v="5"/>
    <s v="valor_bruto_produccion_por_actividad_economica"/>
  </r>
  <r>
    <x v="5"/>
    <x v="5"/>
    <x v="4"/>
    <n v="8632.93"/>
    <x v="5"/>
    <s v="valor_bruto_produccion_por_actividad_economica"/>
  </r>
  <r>
    <x v="6"/>
    <x v="6"/>
    <x v="4"/>
    <n v="7666.86"/>
    <x v="5"/>
    <s v="valor_bruto_produccion_por_actividad_economica"/>
  </r>
  <r>
    <x v="7"/>
    <x v="7"/>
    <x v="4"/>
    <n v="8941.4599999999991"/>
    <x v="5"/>
    <s v="valor_bruto_produccion_por_actividad_economica"/>
  </r>
  <r>
    <x v="8"/>
    <x v="8"/>
    <x v="4"/>
    <n v="27772.62"/>
    <x v="5"/>
    <s v="valor_bruto_produccion_por_actividad_economica"/>
  </r>
  <r>
    <x v="9"/>
    <x v="9"/>
    <x v="4"/>
    <n v="2260.1"/>
    <x v="5"/>
    <s v="valor_bruto_produccion_por_actividad_economica"/>
  </r>
  <r>
    <x v="10"/>
    <x v="10"/>
    <x v="4"/>
    <n v="94398.64"/>
    <x v="5"/>
    <s v="valor_bruto_produccion_por_actividad_economica"/>
  </r>
  <r>
    <x v="11"/>
    <x v="11"/>
    <x v="4"/>
    <n v="116626.37"/>
    <x v="5"/>
    <s v="valor_bruto_produccion_por_actividad_economica"/>
  </r>
  <r>
    <x v="12"/>
    <x v="12"/>
    <x v="4"/>
    <n v="15100.04"/>
    <x v="5"/>
    <s v="valor_bruto_produccion_por_actividad_economica"/>
  </r>
  <r>
    <x v="13"/>
    <x v="13"/>
    <x v="4"/>
    <n v="31921.95"/>
    <x v="5"/>
    <s v="valor_bruto_produccion_por_actividad_economica"/>
  </r>
  <r>
    <x v="14"/>
    <x v="14"/>
    <x v="4"/>
    <n v="22942.71"/>
    <x v="5"/>
    <s v="valor_bruto_produccion_por_actividad_economica"/>
  </r>
  <r>
    <x v="15"/>
    <x v="15"/>
    <x v="4"/>
    <n v="82220.95"/>
    <x v="5"/>
    <s v="valor_bruto_produccion_por_actividad_economica"/>
  </r>
  <r>
    <x v="16"/>
    <x v="16"/>
    <x v="4"/>
    <n v="26208.54"/>
    <x v="5"/>
    <s v="valor_bruto_produccion_por_actividad_economica"/>
  </r>
  <r>
    <x v="17"/>
    <x v="17"/>
    <x v="4"/>
    <n v="26003.47"/>
    <x v="5"/>
    <s v="valor_bruto_produccion_por_actividad_economica"/>
  </r>
  <r>
    <x v="18"/>
    <x v="18"/>
    <x v="4"/>
    <n v="24644.18"/>
    <x v="5"/>
    <s v="valor_bruto_produccion_por_actividad_economica"/>
  </r>
  <r>
    <x v="19"/>
    <x v="19"/>
    <x v="4"/>
    <n v="41711.89"/>
    <x v="5"/>
    <s v="valor_bruto_produccion_por_actividad_economica"/>
  </r>
  <r>
    <x v="20"/>
    <x v="20"/>
    <x v="4"/>
    <n v="70863.929999999993"/>
    <x v="5"/>
    <s v="valor_bruto_produccion_por_actividad_economica"/>
  </r>
  <r>
    <x v="21"/>
    <x v="21"/>
    <x v="4"/>
    <n v="8922.7800000000007"/>
    <x v="5"/>
    <s v="valor_bruto_produccion_por_actividad_economica"/>
  </r>
  <r>
    <x v="22"/>
    <x v="22"/>
    <x v="4"/>
    <n v="7599.6"/>
    <x v="5"/>
    <s v="valor_bruto_produccion_por_actividad_economica"/>
  </r>
  <r>
    <x v="23"/>
    <x v="23"/>
    <x v="4"/>
    <n v="6140.08"/>
    <x v="5"/>
    <s v="valor_bruto_produccion_por_actividad_economica"/>
  </r>
  <r>
    <x v="24"/>
    <x v="24"/>
    <x v="4"/>
    <n v="5476.85"/>
    <x v="5"/>
    <s v="valor_bruto_produccion_por_actividad_economica"/>
  </r>
  <r>
    <x v="25"/>
    <x v="25"/>
    <x v="4"/>
    <m/>
    <x v="5"/>
    <s v="valor_bruto_produccion_por_actividad_economica"/>
  </r>
  <r>
    <x v="0"/>
    <x v="0"/>
    <x v="0"/>
    <n v="77040.100000000006"/>
    <x v="5"/>
    <s v="valor_bruto_produccion_por_actividad_economica"/>
  </r>
  <r>
    <x v="1"/>
    <x v="1"/>
    <x v="0"/>
    <n v="26221.18"/>
    <x v="5"/>
    <s v="valor_bruto_produccion_por_actividad_economica"/>
  </r>
  <r>
    <x v="2"/>
    <x v="2"/>
    <x v="0"/>
    <n v="5785.61"/>
    <x v="5"/>
    <s v="valor_bruto_produccion_por_actividad_economica"/>
  </r>
  <r>
    <x v="3"/>
    <x v="3"/>
    <x v="0"/>
    <m/>
    <x v="5"/>
    <s v="valor_bruto_produccion_por_actividad_economica"/>
  </r>
  <r>
    <x v="4"/>
    <x v="4"/>
    <x v="0"/>
    <n v="323.91000000000003"/>
    <x v="5"/>
    <s v="valor_bruto_produccion_por_actividad_economica"/>
  </r>
  <r>
    <x v="5"/>
    <x v="5"/>
    <x v="0"/>
    <n v="133.12"/>
    <x v="5"/>
    <s v="valor_bruto_produccion_por_actividad_economica"/>
  </r>
  <r>
    <x v="6"/>
    <x v="6"/>
    <x v="0"/>
    <n v="59.18"/>
    <x v="5"/>
    <s v="valor_bruto_produccion_por_actividad_economica"/>
  </r>
  <r>
    <x v="7"/>
    <x v="7"/>
    <x v="0"/>
    <n v="4444.3500000000004"/>
    <x v="5"/>
    <s v="valor_bruto_produccion_por_actividad_economica"/>
  </r>
  <r>
    <x v="8"/>
    <x v="8"/>
    <x v="0"/>
    <n v="5104.3"/>
    <x v="5"/>
    <s v="valor_bruto_produccion_por_actividad_economica"/>
  </r>
  <r>
    <x v="9"/>
    <x v="9"/>
    <x v="0"/>
    <n v="348.62"/>
    <x v="5"/>
    <s v="valor_bruto_produccion_por_actividad_economica"/>
  </r>
  <r>
    <x v="10"/>
    <x v="10"/>
    <x v="0"/>
    <m/>
    <x v="5"/>
    <s v="valor_bruto_produccion_por_actividad_economica"/>
  </r>
  <r>
    <x v="11"/>
    <x v="11"/>
    <x v="0"/>
    <n v="12970.17"/>
    <x v="5"/>
    <s v="valor_bruto_produccion_por_actividad_economica"/>
  </r>
  <r>
    <x v="12"/>
    <x v="12"/>
    <x v="0"/>
    <n v="1592"/>
    <x v="5"/>
    <s v="valor_bruto_produccion_por_actividad_economica"/>
  </r>
  <r>
    <x v="13"/>
    <x v="13"/>
    <x v="0"/>
    <n v="3068.06"/>
    <x v="5"/>
    <s v="valor_bruto_produccion_por_actividad_economica"/>
  </r>
  <r>
    <x v="14"/>
    <x v="14"/>
    <x v="0"/>
    <n v="2987.35"/>
    <x v="5"/>
    <s v="valor_bruto_produccion_por_actividad_economica"/>
  </r>
  <r>
    <x v="15"/>
    <x v="15"/>
    <x v="0"/>
    <n v="2742.57"/>
    <x v="5"/>
    <s v="valor_bruto_produccion_por_actividad_economica"/>
  </r>
  <r>
    <x v="16"/>
    <x v="16"/>
    <x v="0"/>
    <n v="2632.7"/>
    <x v="5"/>
    <s v="valor_bruto_produccion_por_actividad_economica"/>
  </r>
  <r>
    <x v="17"/>
    <x v="17"/>
    <x v="0"/>
    <n v="10.08"/>
    <x v="5"/>
    <s v="valor_bruto_produccion_por_actividad_economica"/>
  </r>
  <r>
    <x v="18"/>
    <x v="18"/>
    <x v="0"/>
    <n v="1222.2"/>
    <x v="5"/>
    <s v="valor_bruto_produccion_por_actividad_economica"/>
  </r>
  <r>
    <x v="19"/>
    <x v="19"/>
    <x v="0"/>
    <n v="1034.3699999999999"/>
    <x v="5"/>
    <s v="valor_bruto_produccion_por_actividad_economica"/>
  </r>
  <r>
    <x v="20"/>
    <x v="20"/>
    <x v="0"/>
    <n v="67.069999999999993"/>
    <x v="5"/>
    <s v="valor_bruto_produccion_por_actividad_economica"/>
  </r>
  <r>
    <x v="21"/>
    <x v="21"/>
    <x v="0"/>
    <n v="41.2"/>
    <x v="5"/>
    <s v="valor_bruto_produccion_por_actividad_economica"/>
  </r>
  <r>
    <x v="22"/>
    <x v="22"/>
    <x v="0"/>
    <n v="695.58"/>
    <x v="5"/>
    <s v="valor_bruto_produccion_por_actividad_economica"/>
  </r>
  <r>
    <x v="23"/>
    <x v="23"/>
    <x v="0"/>
    <n v="132.56"/>
    <x v="5"/>
    <s v="valor_bruto_produccion_por_actividad_economica"/>
  </r>
  <r>
    <x v="24"/>
    <x v="24"/>
    <x v="0"/>
    <n v="1463.97"/>
    <x v="5"/>
    <s v="valor_bruto_produccion_por_actividad_economica"/>
  </r>
  <r>
    <x v="25"/>
    <x v="25"/>
    <x v="0"/>
    <n v="3959.95"/>
    <x v="5"/>
    <s v="valor_bruto_produccion_por_actividad_economica"/>
  </r>
  <r>
    <x v="0"/>
    <x v="0"/>
    <x v="1"/>
    <n v="87382.65"/>
    <x v="5"/>
    <s v="valor_bruto_produccion_por_actividad_economica"/>
  </r>
  <r>
    <x v="1"/>
    <x v="1"/>
    <x v="1"/>
    <n v="23992.29"/>
    <x v="5"/>
    <s v="valor_bruto_produccion_por_actividad_economica"/>
  </r>
  <r>
    <x v="2"/>
    <x v="2"/>
    <x v="1"/>
    <n v="2809.54"/>
    <x v="5"/>
    <s v="valor_bruto_produccion_por_actividad_economica"/>
  </r>
  <r>
    <x v="3"/>
    <x v="3"/>
    <x v="1"/>
    <m/>
    <x v="5"/>
    <s v="valor_bruto_produccion_por_actividad_economica"/>
  </r>
  <r>
    <x v="4"/>
    <x v="4"/>
    <x v="1"/>
    <n v="1623.39"/>
    <x v="5"/>
    <s v="valor_bruto_produccion_por_actividad_economica"/>
  </r>
  <r>
    <x v="5"/>
    <x v="5"/>
    <x v="1"/>
    <n v="2448.09"/>
    <x v="5"/>
    <s v="valor_bruto_produccion_por_actividad_economica"/>
  </r>
  <r>
    <x v="6"/>
    <x v="6"/>
    <x v="1"/>
    <n v="390.45"/>
    <x v="5"/>
    <s v="valor_bruto_produccion_por_actividad_economica"/>
  </r>
  <r>
    <x v="7"/>
    <x v="7"/>
    <x v="1"/>
    <n v="332.13"/>
    <x v="5"/>
    <s v="valor_bruto_produccion_por_actividad_economica"/>
  </r>
  <r>
    <x v="8"/>
    <x v="8"/>
    <x v="1"/>
    <n v="2993.2"/>
    <x v="5"/>
    <s v="valor_bruto_produccion_por_actividad_economica"/>
  </r>
  <r>
    <x v="9"/>
    <x v="9"/>
    <x v="1"/>
    <n v="901.94"/>
    <x v="5"/>
    <s v="valor_bruto_produccion_por_actividad_economica"/>
  </r>
  <r>
    <x v="10"/>
    <x v="10"/>
    <x v="1"/>
    <n v="10527.83"/>
    <x v="5"/>
    <s v="valor_bruto_produccion_por_actividad_economica"/>
  </r>
  <r>
    <x v="11"/>
    <x v="11"/>
    <x v="1"/>
    <n v="10649.38"/>
    <x v="5"/>
    <s v="valor_bruto_produccion_por_actividad_economica"/>
  </r>
  <r>
    <x v="12"/>
    <x v="12"/>
    <x v="1"/>
    <n v="2342.86"/>
    <x v="5"/>
    <s v="valor_bruto_produccion_por_actividad_economica"/>
  </r>
  <r>
    <x v="13"/>
    <x v="13"/>
    <x v="1"/>
    <n v="4195.1400000000003"/>
    <x v="5"/>
    <s v="valor_bruto_produccion_por_actividad_economica"/>
  </r>
  <r>
    <x v="14"/>
    <x v="14"/>
    <x v="1"/>
    <n v="3767.19"/>
    <x v="5"/>
    <s v="valor_bruto_produccion_por_actividad_economica"/>
  </r>
  <r>
    <x v="15"/>
    <x v="15"/>
    <x v="1"/>
    <n v="3253.45"/>
    <x v="5"/>
    <s v="valor_bruto_produccion_por_actividad_economica"/>
  </r>
  <r>
    <x v="16"/>
    <x v="16"/>
    <x v="1"/>
    <n v="2018.79"/>
    <x v="5"/>
    <s v="valor_bruto_produccion_por_actividad_economica"/>
  </r>
  <r>
    <x v="17"/>
    <x v="17"/>
    <x v="1"/>
    <m/>
    <x v="5"/>
    <s v="valor_bruto_produccion_por_actividad_economica"/>
  </r>
  <r>
    <x v="18"/>
    <x v="18"/>
    <x v="1"/>
    <n v="1862.44"/>
    <x v="5"/>
    <s v="valor_bruto_produccion_por_actividad_economica"/>
  </r>
  <r>
    <x v="19"/>
    <x v="19"/>
    <x v="1"/>
    <n v="635.04"/>
    <x v="5"/>
    <s v="valor_bruto_produccion_por_actividad_economica"/>
  </r>
  <r>
    <x v="20"/>
    <x v="20"/>
    <x v="1"/>
    <n v="751.34"/>
    <x v="5"/>
    <s v="valor_bruto_produccion_por_actividad_economica"/>
  </r>
  <r>
    <x v="21"/>
    <x v="21"/>
    <x v="1"/>
    <n v="820.97"/>
    <x v="5"/>
    <s v="valor_bruto_produccion_por_actividad_economica"/>
  </r>
  <r>
    <x v="22"/>
    <x v="22"/>
    <x v="1"/>
    <n v="779.52"/>
    <x v="5"/>
    <s v="valor_bruto_produccion_por_actividad_economica"/>
  </r>
  <r>
    <x v="23"/>
    <x v="23"/>
    <x v="1"/>
    <n v="10287.67"/>
    <x v="5"/>
    <s v="valor_bruto_produccion_por_actividad_economica"/>
  </r>
  <r>
    <x v="24"/>
    <x v="24"/>
    <x v="1"/>
    <m/>
    <x v="5"/>
    <s v="valor_bruto_produccion_por_actividad_economica"/>
  </r>
  <r>
    <x v="25"/>
    <x v="25"/>
    <x v="1"/>
    <m/>
    <x v="5"/>
    <s v="valor_bruto_produccion_por_actividad_economica"/>
  </r>
  <r>
    <x v="0"/>
    <x v="0"/>
    <x v="2"/>
    <n v="31141.83"/>
    <x v="5"/>
    <s v="valor_bruto_produccion_por_actividad_economica"/>
  </r>
  <r>
    <x v="1"/>
    <x v="1"/>
    <x v="2"/>
    <n v="16198.69"/>
    <x v="5"/>
    <s v="valor_bruto_produccion_por_actividad_economica"/>
  </r>
  <r>
    <x v="2"/>
    <x v="2"/>
    <x v="2"/>
    <n v="1127.4000000000001"/>
    <x v="5"/>
    <s v="valor_bruto_produccion_por_actividad_economica"/>
  </r>
  <r>
    <x v="3"/>
    <x v="3"/>
    <x v="2"/>
    <n v="4.3600000000000003"/>
    <x v="5"/>
    <s v="valor_bruto_produccion_por_actividad_economica"/>
  </r>
  <r>
    <x v="4"/>
    <x v="4"/>
    <x v="2"/>
    <n v="433.91"/>
    <x v="5"/>
    <s v="valor_bruto_produccion_por_actividad_economica"/>
  </r>
  <r>
    <x v="5"/>
    <x v="5"/>
    <x v="2"/>
    <n v="170.53"/>
    <x v="5"/>
    <s v="valor_bruto_produccion_por_actividad_economica"/>
  </r>
  <r>
    <x v="6"/>
    <x v="6"/>
    <x v="2"/>
    <n v="104.65"/>
    <x v="5"/>
    <s v="valor_bruto_produccion_por_actividad_economica"/>
  </r>
  <r>
    <x v="7"/>
    <x v="7"/>
    <x v="2"/>
    <n v="521.17999999999995"/>
    <x v="5"/>
    <s v="valor_bruto_produccion_por_actividad_economica"/>
  </r>
  <r>
    <x v="8"/>
    <x v="8"/>
    <x v="2"/>
    <n v="1798.98"/>
    <x v="5"/>
    <s v="valor_bruto_produccion_por_actividad_economica"/>
  </r>
  <r>
    <x v="9"/>
    <x v="9"/>
    <x v="2"/>
    <n v="193.79"/>
    <x v="5"/>
    <s v="valor_bruto_produccion_por_actividad_economica"/>
  </r>
  <r>
    <x v="10"/>
    <x v="10"/>
    <x v="2"/>
    <n v="178.3"/>
    <x v="5"/>
    <s v="valor_bruto_produccion_por_actividad_economica"/>
  </r>
  <r>
    <x v="11"/>
    <x v="11"/>
    <x v="2"/>
    <n v="2041.33"/>
    <x v="5"/>
    <s v="valor_bruto_produccion_por_actividad_economica"/>
  </r>
  <r>
    <x v="12"/>
    <x v="12"/>
    <x v="2"/>
    <n v="491.73"/>
    <x v="5"/>
    <s v="valor_bruto_produccion_por_actividad_economica"/>
  </r>
  <r>
    <x v="13"/>
    <x v="13"/>
    <x v="2"/>
    <n v="1773.21"/>
    <x v="5"/>
    <s v="valor_bruto_produccion_por_actividad_economica"/>
  </r>
  <r>
    <x v="14"/>
    <x v="14"/>
    <x v="2"/>
    <n v="1269.3699999999999"/>
    <x v="5"/>
    <s v="valor_bruto_produccion_por_actividad_economica"/>
  </r>
  <r>
    <x v="15"/>
    <x v="15"/>
    <x v="2"/>
    <n v="1703.77"/>
    <x v="5"/>
    <s v="valor_bruto_produccion_por_actividad_economica"/>
  </r>
  <r>
    <x v="16"/>
    <x v="16"/>
    <x v="2"/>
    <n v="672.54"/>
    <x v="5"/>
    <s v="valor_bruto_produccion_por_actividad_economica"/>
  </r>
  <r>
    <x v="17"/>
    <x v="17"/>
    <x v="2"/>
    <n v="198.07"/>
    <x v="5"/>
    <s v="valor_bruto_produccion_por_actividad_economica"/>
  </r>
  <r>
    <x v="18"/>
    <x v="18"/>
    <x v="2"/>
    <n v="791.47"/>
    <x v="5"/>
    <s v="valor_bruto_produccion_por_actividad_economica"/>
  </r>
  <r>
    <x v="19"/>
    <x v="19"/>
    <x v="2"/>
    <n v="263.13"/>
    <x v="5"/>
    <s v="valor_bruto_produccion_por_actividad_economica"/>
  </r>
  <r>
    <x v="20"/>
    <x v="20"/>
    <x v="2"/>
    <n v="354.86"/>
    <x v="5"/>
    <s v="valor_bruto_produccion_por_actividad_economica"/>
  </r>
  <r>
    <x v="21"/>
    <x v="21"/>
    <x v="2"/>
    <n v="186.88"/>
    <x v="5"/>
    <s v="valor_bruto_produccion_por_actividad_economica"/>
  </r>
  <r>
    <x v="22"/>
    <x v="22"/>
    <x v="2"/>
    <n v="296.27999999999997"/>
    <x v="5"/>
    <s v="valor_bruto_produccion_por_actividad_economica"/>
  </r>
  <r>
    <x v="23"/>
    <x v="23"/>
    <x v="2"/>
    <n v="16.21"/>
    <x v="5"/>
    <s v="valor_bruto_produccion_por_actividad_economica"/>
  </r>
  <r>
    <x v="24"/>
    <x v="24"/>
    <x v="2"/>
    <n v="351.19"/>
    <x v="5"/>
    <s v="valor_bruto_produccion_por_actividad_economica"/>
  </r>
  <r>
    <x v="25"/>
    <x v="25"/>
    <x v="2"/>
    <m/>
    <x v="5"/>
    <s v="valor_bruto_produccion_por_actividad_economica"/>
  </r>
  <r>
    <x v="0"/>
    <x v="0"/>
    <x v="5"/>
    <n v="522265.41"/>
    <x v="5"/>
    <s v="valor_bruto_produccion_por_actividad_economica"/>
  </r>
  <r>
    <x v="1"/>
    <x v="1"/>
    <x v="5"/>
    <n v="77772.289999999994"/>
    <x v="5"/>
    <s v="valor_bruto_produccion_por_actividad_economica"/>
  </r>
  <r>
    <x v="2"/>
    <x v="2"/>
    <x v="5"/>
    <n v="27315.49"/>
    <x v="5"/>
    <s v="valor_bruto_produccion_por_actividad_economica"/>
  </r>
  <r>
    <x v="3"/>
    <x v="3"/>
    <x v="5"/>
    <n v="788.68"/>
    <x v="5"/>
    <s v="valor_bruto_produccion_por_actividad_economica"/>
  </r>
  <r>
    <x v="4"/>
    <x v="4"/>
    <x v="5"/>
    <n v="19010.57"/>
    <x v="5"/>
    <s v="valor_bruto_produccion_por_actividad_economica"/>
  </r>
  <r>
    <x v="5"/>
    <x v="5"/>
    <x v="5"/>
    <n v="4960.96"/>
    <x v="5"/>
    <s v="valor_bruto_produccion_por_actividad_economica"/>
  </r>
  <r>
    <x v="6"/>
    <x v="6"/>
    <x v="5"/>
    <n v="3247.2"/>
    <x v="5"/>
    <s v="valor_bruto_produccion_por_actividad_economica"/>
  </r>
  <r>
    <x v="7"/>
    <x v="7"/>
    <x v="5"/>
    <n v="3718.79"/>
    <x v="5"/>
    <s v="valor_bruto_produccion_por_actividad_economica"/>
  </r>
  <r>
    <x v="8"/>
    <x v="8"/>
    <x v="5"/>
    <n v="15242.41"/>
    <x v="5"/>
    <s v="valor_bruto_produccion_por_actividad_economica"/>
  </r>
  <r>
    <x v="9"/>
    <x v="9"/>
    <x v="5"/>
    <n v="726.55"/>
    <x v="5"/>
    <s v="valor_bruto_produccion_por_actividad_economica"/>
  </r>
  <r>
    <x v="10"/>
    <x v="10"/>
    <x v="5"/>
    <n v="22145.919999999998"/>
    <x v="5"/>
    <s v="valor_bruto_produccion_por_actividad_economica"/>
  </r>
  <r>
    <x v="11"/>
    <x v="11"/>
    <x v="5"/>
    <n v="43478.97"/>
    <x v="5"/>
    <s v="valor_bruto_produccion_por_actividad_economica"/>
  </r>
  <r>
    <x v="12"/>
    <x v="12"/>
    <x v="5"/>
    <n v="2868.17"/>
    <x v="5"/>
    <s v="valor_bruto_produccion_por_actividad_economica"/>
  </r>
  <r>
    <x v="13"/>
    <x v="13"/>
    <x v="5"/>
    <n v="25394.02"/>
    <x v="5"/>
    <s v="valor_bruto_produccion_por_actividad_economica"/>
  </r>
  <r>
    <x v="14"/>
    <x v="14"/>
    <x v="5"/>
    <n v="26205.88"/>
    <x v="5"/>
    <s v="valor_bruto_produccion_por_actividad_economica"/>
  </r>
  <r>
    <x v="15"/>
    <x v="15"/>
    <x v="5"/>
    <n v="48332.92"/>
    <x v="5"/>
    <s v="valor_bruto_produccion_por_actividad_economica"/>
  </r>
  <r>
    <x v="16"/>
    <x v="16"/>
    <x v="5"/>
    <n v="28977.9"/>
    <x v="5"/>
    <s v="valor_bruto_produccion_por_actividad_economica"/>
  </r>
  <r>
    <x v="17"/>
    <x v="17"/>
    <x v="5"/>
    <n v="11016.37"/>
    <x v="5"/>
    <s v="valor_bruto_produccion_por_actividad_economica"/>
  </r>
  <r>
    <x v="18"/>
    <x v="18"/>
    <x v="5"/>
    <n v="34038.35"/>
    <x v="5"/>
    <s v="valor_bruto_produccion_por_actividad_economica"/>
  </r>
  <r>
    <x v="19"/>
    <x v="19"/>
    <x v="5"/>
    <n v="43375.31"/>
    <x v="5"/>
    <s v="valor_bruto_produccion_por_actividad_economica"/>
  </r>
  <r>
    <x v="20"/>
    <x v="20"/>
    <x v="5"/>
    <n v="79331.899999999994"/>
    <x v="5"/>
    <s v="valor_bruto_produccion_por_actividad_economica"/>
  </r>
  <r>
    <x v="21"/>
    <x v="21"/>
    <x v="5"/>
    <n v="1481.48"/>
    <x v="5"/>
    <s v="valor_bruto_produccion_por_actividad_economica"/>
  </r>
  <r>
    <x v="22"/>
    <x v="22"/>
    <x v="5"/>
    <n v="2182.2600000000002"/>
    <x v="5"/>
    <s v="valor_bruto_produccion_por_actividad_economica"/>
  </r>
  <r>
    <x v="23"/>
    <x v="23"/>
    <x v="5"/>
    <n v="653.02"/>
    <x v="5"/>
    <s v="valor_bruto_produccion_por_actividad_economica"/>
  </r>
  <r>
    <x v="24"/>
    <x v="24"/>
    <x v="5"/>
    <m/>
    <x v="5"/>
    <s v="valor_bruto_produccion_por_actividad_economica"/>
  </r>
  <r>
    <x v="25"/>
    <x v="25"/>
    <x v="5"/>
    <m/>
    <x v="5"/>
    <s v="valor_bruto_produccion_por_actividad_economica"/>
  </r>
  <r>
    <x v="0"/>
    <x v="0"/>
    <x v="3"/>
    <m/>
    <x v="5"/>
    <s v="valor_bruto_produccion_por_actividad_economica"/>
  </r>
  <r>
    <x v="1"/>
    <x v="1"/>
    <x v="3"/>
    <m/>
    <x v="5"/>
    <s v="valor_bruto_produccion_por_actividad_economica"/>
  </r>
  <r>
    <x v="2"/>
    <x v="2"/>
    <x v="3"/>
    <m/>
    <x v="5"/>
    <s v="valor_bruto_produccion_por_actividad_economica"/>
  </r>
  <r>
    <x v="3"/>
    <x v="3"/>
    <x v="3"/>
    <m/>
    <x v="5"/>
    <s v="valor_bruto_produccion_por_actividad_economica"/>
  </r>
  <r>
    <x v="4"/>
    <x v="4"/>
    <x v="3"/>
    <m/>
    <x v="5"/>
    <s v="valor_bruto_produccion_por_actividad_economica"/>
  </r>
  <r>
    <x v="5"/>
    <x v="5"/>
    <x v="3"/>
    <m/>
    <x v="5"/>
    <s v="valor_bruto_produccion_por_actividad_economica"/>
  </r>
  <r>
    <x v="6"/>
    <x v="6"/>
    <x v="3"/>
    <m/>
    <x v="5"/>
    <s v="valor_bruto_produccion_por_actividad_economica"/>
  </r>
  <r>
    <x v="7"/>
    <x v="7"/>
    <x v="3"/>
    <m/>
    <x v="5"/>
    <s v="valor_bruto_produccion_por_actividad_economica"/>
  </r>
  <r>
    <x v="8"/>
    <x v="8"/>
    <x v="3"/>
    <m/>
    <x v="5"/>
    <s v="valor_bruto_produccion_por_actividad_economica"/>
  </r>
  <r>
    <x v="9"/>
    <x v="9"/>
    <x v="3"/>
    <m/>
    <x v="5"/>
    <s v="valor_bruto_produccion_por_actividad_economica"/>
  </r>
  <r>
    <x v="10"/>
    <x v="10"/>
    <x v="3"/>
    <m/>
    <x v="5"/>
    <s v="valor_bruto_produccion_por_actividad_economica"/>
  </r>
  <r>
    <x v="11"/>
    <x v="11"/>
    <x v="3"/>
    <m/>
    <x v="5"/>
    <s v="valor_bruto_produccion_por_actividad_economica"/>
  </r>
  <r>
    <x v="12"/>
    <x v="12"/>
    <x v="3"/>
    <m/>
    <x v="5"/>
    <s v="valor_bruto_produccion_por_actividad_economica"/>
  </r>
  <r>
    <x v="13"/>
    <x v="13"/>
    <x v="3"/>
    <m/>
    <x v="5"/>
    <s v="valor_bruto_produccion_por_actividad_economica"/>
  </r>
  <r>
    <x v="14"/>
    <x v="14"/>
    <x v="3"/>
    <m/>
    <x v="5"/>
    <s v="valor_bruto_produccion_por_actividad_economica"/>
  </r>
  <r>
    <x v="15"/>
    <x v="15"/>
    <x v="3"/>
    <m/>
    <x v="5"/>
    <s v="valor_bruto_produccion_por_actividad_economica"/>
  </r>
  <r>
    <x v="16"/>
    <x v="16"/>
    <x v="3"/>
    <m/>
    <x v="5"/>
    <s v="valor_bruto_produccion_por_actividad_economica"/>
  </r>
  <r>
    <x v="17"/>
    <x v="17"/>
    <x v="3"/>
    <m/>
    <x v="5"/>
    <s v="valor_bruto_produccion_por_actividad_economica"/>
  </r>
  <r>
    <x v="18"/>
    <x v="18"/>
    <x v="3"/>
    <m/>
    <x v="5"/>
    <s v="valor_bruto_produccion_por_actividad_economica"/>
  </r>
  <r>
    <x v="19"/>
    <x v="19"/>
    <x v="3"/>
    <m/>
    <x v="5"/>
    <s v="valor_bruto_produccion_por_actividad_economica"/>
  </r>
  <r>
    <x v="20"/>
    <x v="20"/>
    <x v="3"/>
    <m/>
    <x v="5"/>
    <s v="valor_bruto_produccion_por_actividad_economica"/>
  </r>
  <r>
    <x v="21"/>
    <x v="21"/>
    <x v="3"/>
    <m/>
    <x v="5"/>
    <s v="valor_bruto_produccion_por_actividad_economica"/>
  </r>
  <r>
    <x v="22"/>
    <x v="22"/>
    <x v="3"/>
    <m/>
    <x v="5"/>
    <s v="valor_bruto_produccion_por_actividad_economica"/>
  </r>
  <r>
    <x v="23"/>
    <x v="23"/>
    <x v="3"/>
    <m/>
    <x v="5"/>
    <s v="valor_bruto_produccion_por_actividad_economica"/>
  </r>
  <r>
    <x v="24"/>
    <x v="24"/>
    <x v="3"/>
    <m/>
    <x v="5"/>
    <s v="valor_bruto_produccion_por_actividad_economica"/>
  </r>
  <r>
    <x v="25"/>
    <x v="25"/>
    <x v="3"/>
    <m/>
    <x v="5"/>
    <s v="valor_bruto_produccion_por_actividad_economica"/>
  </r>
  <r>
    <x v="0"/>
    <x v="0"/>
    <x v="6"/>
    <m/>
    <x v="5"/>
    <s v="valor_bruto_produccion_por_actividad_economica"/>
  </r>
  <r>
    <x v="1"/>
    <x v="1"/>
    <x v="6"/>
    <m/>
    <x v="5"/>
    <s v="valor_bruto_produccion_por_actividad_economica"/>
  </r>
  <r>
    <x v="2"/>
    <x v="2"/>
    <x v="6"/>
    <m/>
    <x v="5"/>
    <s v="valor_bruto_produccion_por_actividad_economica"/>
  </r>
  <r>
    <x v="3"/>
    <x v="3"/>
    <x v="6"/>
    <m/>
    <x v="5"/>
    <s v="valor_bruto_produccion_por_actividad_economica"/>
  </r>
  <r>
    <x v="4"/>
    <x v="4"/>
    <x v="6"/>
    <m/>
    <x v="5"/>
    <s v="valor_bruto_produccion_por_actividad_economica"/>
  </r>
  <r>
    <x v="5"/>
    <x v="5"/>
    <x v="6"/>
    <m/>
    <x v="5"/>
    <s v="valor_bruto_produccion_por_actividad_economica"/>
  </r>
  <r>
    <x v="6"/>
    <x v="6"/>
    <x v="6"/>
    <m/>
    <x v="5"/>
    <s v="valor_bruto_produccion_por_actividad_economica"/>
  </r>
  <r>
    <x v="7"/>
    <x v="7"/>
    <x v="6"/>
    <m/>
    <x v="5"/>
    <s v="valor_bruto_produccion_por_actividad_economica"/>
  </r>
  <r>
    <x v="8"/>
    <x v="8"/>
    <x v="6"/>
    <m/>
    <x v="5"/>
    <s v="valor_bruto_produccion_por_actividad_economica"/>
  </r>
  <r>
    <x v="9"/>
    <x v="9"/>
    <x v="6"/>
    <m/>
    <x v="5"/>
    <s v="valor_bruto_produccion_por_actividad_economica"/>
  </r>
  <r>
    <x v="10"/>
    <x v="10"/>
    <x v="6"/>
    <m/>
    <x v="5"/>
    <s v="valor_bruto_produccion_por_actividad_economica"/>
  </r>
  <r>
    <x v="11"/>
    <x v="11"/>
    <x v="6"/>
    <m/>
    <x v="5"/>
    <s v="valor_bruto_produccion_por_actividad_economica"/>
  </r>
  <r>
    <x v="12"/>
    <x v="12"/>
    <x v="6"/>
    <m/>
    <x v="5"/>
    <s v="valor_bruto_produccion_por_actividad_economica"/>
  </r>
  <r>
    <x v="13"/>
    <x v="13"/>
    <x v="6"/>
    <m/>
    <x v="5"/>
    <s v="valor_bruto_produccion_por_actividad_economica"/>
  </r>
  <r>
    <x v="14"/>
    <x v="14"/>
    <x v="6"/>
    <m/>
    <x v="5"/>
    <s v="valor_bruto_produccion_por_actividad_economica"/>
  </r>
  <r>
    <x v="15"/>
    <x v="15"/>
    <x v="6"/>
    <m/>
    <x v="5"/>
    <s v="valor_bruto_produccion_por_actividad_economica"/>
  </r>
  <r>
    <x v="16"/>
    <x v="16"/>
    <x v="6"/>
    <m/>
    <x v="5"/>
    <s v="valor_bruto_produccion_por_actividad_economica"/>
  </r>
  <r>
    <x v="17"/>
    <x v="17"/>
    <x v="6"/>
    <m/>
    <x v="5"/>
    <s v="valor_bruto_produccion_por_actividad_economica"/>
  </r>
  <r>
    <x v="18"/>
    <x v="18"/>
    <x v="6"/>
    <m/>
    <x v="5"/>
    <s v="valor_bruto_produccion_por_actividad_economica"/>
  </r>
  <r>
    <x v="19"/>
    <x v="19"/>
    <x v="6"/>
    <m/>
    <x v="5"/>
    <s v="valor_bruto_produccion_por_actividad_economica"/>
  </r>
  <r>
    <x v="20"/>
    <x v="20"/>
    <x v="6"/>
    <m/>
    <x v="5"/>
    <s v="valor_bruto_produccion_por_actividad_economica"/>
  </r>
  <r>
    <x v="21"/>
    <x v="21"/>
    <x v="6"/>
    <m/>
    <x v="5"/>
    <s v="valor_bruto_produccion_por_actividad_economica"/>
  </r>
  <r>
    <x v="22"/>
    <x v="22"/>
    <x v="6"/>
    <m/>
    <x v="5"/>
    <s v="valor_bruto_produccion_por_actividad_economica"/>
  </r>
  <r>
    <x v="23"/>
    <x v="23"/>
    <x v="6"/>
    <m/>
    <x v="5"/>
    <s v="valor_bruto_produccion_por_actividad_economica"/>
  </r>
  <r>
    <x v="24"/>
    <x v="24"/>
    <x v="6"/>
    <m/>
    <x v="5"/>
    <s v="valor_bruto_produccion_por_actividad_economica"/>
  </r>
  <r>
    <x v="25"/>
    <x v="25"/>
    <x v="6"/>
    <m/>
    <x v="5"/>
    <s v="valor_bruto_produccion_por_actividad_economica"/>
  </r>
  <r>
    <x v="0"/>
    <x v="0"/>
    <x v="4"/>
    <n v="1078051.71"/>
    <x v="6"/>
    <s v="valor_bruto_produccion_por_actividad_economica"/>
  </r>
  <r>
    <x v="1"/>
    <x v="1"/>
    <x v="4"/>
    <n v="242995.97"/>
    <x v="6"/>
    <s v="valor_bruto_produccion_por_actividad_economica"/>
  </r>
  <r>
    <x v="2"/>
    <x v="2"/>
    <x v="4"/>
    <n v="26163.759999999998"/>
    <x v="6"/>
    <s v="valor_bruto_produccion_por_actividad_economica"/>
  </r>
  <r>
    <x v="3"/>
    <x v="3"/>
    <x v="4"/>
    <n v="4093.18"/>
    <x v="6"/>
    <s v="valor_bruto_produccion_por_actividad_economica"/>
  </r>
  <r>
    <x v="4"/>
    <x v="4"/>
    <x v="4"/>
    <n v="13615.09"/>
    <x v="6"/>
    <s v="valor_bruto_produccion_por_actividad_economica"/>
  </r>
  <r>
    <x v="5"/>
    <x v="5"/>
    <x v="4"/>
    <n v="10415.16"/>
    <x v="6"/>
    <s v="valor_bruto_produccion_por_actividad_economica"/>
  </r>
  <r>
    <x v="6"/>
    <x v="6"/>
    <x v="4"/>
    <n v="9854.02"/>
    <x v="6"/>
    <s v="valor_bruto_produccion_por_actividad_economica"/>
  </r>
  <r>
    <x v="7"/>
    <x v="7"/>
    <x v="4"/>
    <n v="9371.1"/>
    <x v="6"/>
    <s v="valor_bruto_produccion_por_actividad_economica"/>
  </r>
  <r>
    <x v="8"/>
    <x v="8"/>
    <x v="4"/>
    <n v="33110.67"/>
    <x v="6"/>
    <s v="valor_bruto_produccion_por_actividad_economica"/>
  </r>
  <r>
    <x v="9"/>
    <x v="9"/>
    <x v="4"/>
    <n v="2759.15"/>
    <x v="6"/>
    <s v="valor_bruto_produccion_por_actividad_economica"/>
  </r>
  <r>
    <x v="10"/>
    <x v="10"/>
    <x v="4"/>
    <n v="144994.18"/>
    <x v="6"/>
    <s v="valor_bruto_produccion_por_actividad_economica"/>
  </r>
  <r>
    <x v="11"/>
    <x v="11"/>
    <x v="4"/>
    <n v="142731.48000000001"/>
    <x v="6"/>
    <s v="valor_bruto_produccion_por_actividad_economica"/>
  </r>
  <r>
    <x v="12"/>
    <x v="12"/>
    <x v="4"/>
    <n v="17519.96"/>
    <x v="6"/>
    <s v="valor_bruto_produccion_por_actividad_economica"/>
  </r>
  <r>
    <x v="13"/>
    <x v="13"/>
    <x v="4"/>
    <n v="36056.25"/>
    <x v="6"/>
    <s v="valor_bruto_produccion_por_actividad_economica"/>
  </r>
  <r>
    <x v="14"/>
    <x v="14"/>
    <x v="4"/>
    <n v="28203.48"/>
    <x v="6"/>
    <s v="valor_bruto_produccion_por_actividad_economica"/>
  </r>
  <r>
    <x v="15"/>
    <x v="15"/>
    <x v="4"/>
    <n v="86246.62"/>
    <x v="6"/>
    <s v="valor_bruto_produccion_por_actividad_economica"/>
  </r>
  <r>
    <x v="16"/>
    <x v="16"/>
    <x v="4"/>
    <n v="28379.01"/>
    <x v="6"/>
    <s v="valor_bruto_produccion_por_actividad_economica"/>
  </r>
  <r>
    <x v="17"/>
    <x v="17"/>
    <x v="4"/>
    <n v="30377"/>
    <x v="6"/>
    <s v="valor_bruto_produccion_por_actividad_economica"/>
  </r>
  <r>
    <x v="18"/>
    <x v="18"/>
    <x v="4"/>
    <n v="28886.240000000002"/>
    <x v="6"/>
    <s v="valor_bruto_produccion_por_actividad_economica"/>
  </r>
  <r>
    <x v="19"/>
    <x v="19"/>
    <x v="4"/>
    <n v="53978.47"/>
    <x v="6"/>
    <s v="valor_bruto_produccion_por_actividad_economica"/>
  </r>
  <r>
    <x v="20"/>
    <x v="20"/>
    <x v="4"/>
    <n v="93953.34"/>
    <x v="6"/>
    <s v="valor_bruto_produccion_por_actividad_economica"/>
  </r>
  <r>
    <x v="21"/>
    <x v="21"/>
    <x v="4"/>
    <n v="11540.55"/>
    <x v="6"/>
    <s v="valor_bruto_produccion_por_actividad_economica"/>
  </r>
  <r>
    <x v="22"/>
    <x v="22"/>
    <x v="4"/>
    <n v="8070.11"/>
    <x v="6"/>
    <s v="valor_bruto_produccion_por_actividad_economica"/>
  </r>
  <r>
    <x v="23"/>
    <x v="23"/>
    <x v="4"/>
    <n v="7012.32"/>
    <x v="6"/>
    <s v="valor_bruto_produccion_por_actividad_economica"/>
  </r>
  <r>
    <x v="24"/>
    <x v="24"/>
    <x v="4"/>
    <n v="7724.6"/>
    <x v="6"/>
    <s v="valor_bruto_produccion_por_actividad_economica"/>
  </r>
  <r>
    <x v="25"/>
    <x v="25"/>
    <x v="4"/>
    <m/>
    <x v="6"/>
    <s v="valor_bruto_produccion_por_actividad_economica"/>
  </r>
  <r>
    <x v="0"/>
    <x v="0"/>
    <x v="0"/>
    <n v="86289.11"/>
    <x v="6"/>
    <s v="valor_bruto_produccion_por_actividad_economica"/>
  </r>
  <r>
    <x v="1"/>
    <x v="1"/>
    <x v="0"/>
    <n v="29070.05"/>
    <x v="6"/>
    <s v="valor_bruto_produccion_por_actividad_economica"/>
  </r>
  <r>
    <x v="2"/>
    <x v="2"/>
    <x v="0"/>
    <n v="6836.9"/>
    <x v="6"/>
    <s v="valor_bruto_produccion_por_actividad_economica"/>
  </r>
  <r>
    <x v="3"/>
    <x v="3"/>
    <x v="0"/>
    <m/>
    <x v="6"/>
    <s v="valor_bruto_produccion_por_actividad_economica"/>
  </r>
  <r>
    <x v="4"/>
    <x v="4"/>
    <x v="0"/>
    <n v="322.79000000000002"/>
    <x v="6"/>
    <s v="valor_bruto_produccion_por_actividad_economica"/>
  </r>
  <r>
    <x v="5"/>
    <x v="5"/>
    <x v="0"/>
    <n v="131.99"/>
    <x v="6"/>
    <s v="valor_bruto_produccion_por_actividad_economica"/>
  </r>
  <r>
    <x v="6"/>
    <x v="6"/>
    <x v="0"/>
    <n v="51.87"/>
    <x v="6"/>
    <s v="valor_bruto_produccion_por_actividad_economica"/>
  </r>
  <r>
    <x v="7"/>
    <x v="7"/>
    <x v="0"/>
    <n v="4856.04"/>
    <x v="6"/>
    <s v="valor_bruto_produccion_por_actividad_economica"/>
  </r>
  <r>
    <x v="8"/>
    <x v="8"/>
    <x v="0"/>
    <n v="5253.99"/>
    <x v="6"/>
    <s v="valor_bruto_produccion_por_actividad_economica"/>
  </r>
  <r>
    <x v="9"/>
    <x v="9"/>
    <x v="0"/>
    <n v="281.79000000000002"/>
    <x v="6"/>
    <s v="valor_bruto_produccion_por_actividad_economica"/>
  </r>
  <r>
    <x v="10"/>
    <x v="10"/>
    <x v="0"/>
    <m/>
    <x v="6"/>
    <s v="valor_bruto_produccion_por_actividad_economica"/>
  </r>
  <r>
    <x v="11"/>
    <x v="11"/>
    <x v="0"/>
    <n v="15992.47"/>
    <x v="6"/>
    <s v="valor_bruto_produccion_por_actividad_economica"/>
  </r>
  <r>
    <x v="12"/>
    <x v="12"/>
    <x v="0"/>
    <n v="1497.83"/>
    <x v="6"/>
    <s v="valor_bruto_produccion_por_actividad_economica"/>
  </r>
  <r>
    <x v="13"/>
    <x v="13"/>
    <x v="0"/>
    <n v="3148.82"/>
    <x v="6"/>
    <s v="valor_bruto_produccion_por_actividad_economica"/>
  </r>
  <r>
    <x v="14"/>
    <x v="14"/>
    <x v="0"/>
    <n v="2976.11"/>
    <x v="6"/>
    <s v="valor_bruto_produccion_por_actividad_economica"/>
  </r>
  <r>
    <x v="15"/>
    <x v="15"/>
    <x v="0"/>
    <n v="2629.33"/>
    <x v="6"/>
    <s v="valor_bruto_produccion_por_actividad_economica"/>
  </r>
  <r>
    <x v="16"/>
    <x v="16"/>
    <x v="0"/>
    <n v="2900.19"/>
    <x v="6"/>
    <s v="valor_bruto_produccion_por_actividad_economica"/>
  </r>
  <r>
    <x v="17"/>
    <x v="17"/>
    <x v="0"/>
    <n v="19.39"/>
    <x v="6"/>
    <s v="valor_bruto_produccion_por_actividad_economica"/>
  </r>
  <r>
    <x v="18"/>
    <x v="18"/>
    <x v="0"/>
    <n v="1002.66"/>
    <x v="6"/>
    <s v="valor_bruto_produccion_por_actividad_economica"/>
  </r>
  <r>
    <x v="19"/>
    <x v="19"/>
    <x v="0"/>
    <n v="990.4"/>
    <x v="6"/>
    <s v="valor_bruto_produccion_por_actividad_economica"/>
  </r>
  <r>
    <x v="20"/>
    <x v="20"/>
    <x v="0"/>
    <n v="69.069999999999993"/>
    <x v="6"/>
    <s v="valor_bruto_produccion_por_actividad_economica"/>
  </r>
  <r>
    <x v="21"/>
    <x v="21"/>
    <x v="0"/>
    <n v="53.78"/>
    <x v="6"/>
    <s v="valor_bruto_produccion_por_actividad_economica"/>
  </r>
  <r>
    <x v="22"/>
    <x v="22"/>
    <x v="0"/>
    <n v="1661.83"/>
    <x v="6"/>
    <s v="valor_bruto_produccion_por_actividad_economica"/>
  </r>
  <r>
    <x v="23"/>
    <x v="23"/>
    <x v="0"/>
    <n v="156.31"/>
    <x v="6"/>
    <s v="valor_bruto_produccion_por_actividad_economica"/>
  </r>
  <r>
    <x v="24"/>
    <x v="24"/>
    <x v="0"/>
    <n v="1251.83"/>
    <x v="6"/>
    <s v="valor_bruto_produccion_por_actividad_economica"/>
  </r>
  <r>
    <x v="25"/>
    <x v="25"/>
    <x v="0"/>
    <n v="5133.67"/>
    <x v="6"/>
    <s v="valor_bruto_produccion_por_actividad_economica"/>
  </r>
  <r>
    <x v="0"/>
    <x v="0"/>
    <x v="1"/>
    <n v="99588.47"/>
    <x v="6"/>
    <s v="valor_bruto_produccion_por_actividad_economica"/>
  </r>
  <r>
    <x v="1"/>
    <x v="1"/>
    <x v="1"/>
    <n v="28018.5"/>
    <x v="6"/>
    <s v="valor_bruto_produccion_por_actividad_economica"/>
  </r>
  <r>
    <x v="2"/>
    <x v="2"/>
    <x v="1"/>
    <n v="3102.84"/>
    <x v="6"/>
    <s v="valor_bruto_produccion_por_actividad_economica"/>
  </r>
  <r>
    <x v="3"/>
    <x v="3"/>
    <x v="1"/>
    <m/>
    <x v="6"/>
    <s v="valor_bruto_produccion_por_actividad_economica"/>
  </r>
  <r>
    <x v="4"/>
    <x v="4"/>
    <x v="1"/>
    <n v="1764.55"/>
    <x v="6"/>
    <s v="valor_bruto_produccion_por_actividad_economica"/>
  </r>
  <r>
    <x v="5"/>
    <x v="5"/>
    <x v="1"/>
    <n v="2734.7"/>
    <x v="6"/>
    <s v="valor_bruto_produccion_por_actividad_economica"/>
  </r>
  <r>
    <x v="6"/>
    <x v="6"/>
    <x v="1"/>
    <n v="434.75"/>
    <x v="6"/>
    <s v="valor_bruto_produccion_por_actividad_economica"/>
  </r>
  <r>
    <x v="7"/>
    <x v="7"/>
    <x v="1"/>
    <n v="384.76"/>
    <x v="6"/>
    <s v="valor_bruto_produccion_por_actividad_economica"/>
  </r>
  <r>
    <x v="8"/>
    <x v="8"/>
    <x v="1"/>
    <n v="3581.48"/>
    <x v="6"/>
    <s v="valor_bruto_produccion_por_actividad_economica"/>
  </r>
  <r>
    <x v="9"/>
    <x v="9"/>
    <x v="1"/>
    <n v="1112.8699999999999"/>
    <x v="6"/>
    <s v="valor_bruto_produccion_por_actividad_economica"/>
  </r>
  <r>
    <x v="10"/>
    <x v="10"/>
    <x v="1"/>
    <n v="12144.8"/>
    <x v="6"/>
    <s v="valor_bruto_produccion_por_actividad_economica"/>
  </r>
  <r>
    <x v="11"/>
    <x v="11"/>
    <x v="1"/>
    <n v="11517.78"/>
    <x v="6"/>
    <s v="valor_bruto_produccion_por_actividad_economica"/>
  </r>
  <r>
    <x v="12"/>
    <x v="12"/>
    <x v="1"/>
    <n v="2502.9899999999998"/>
    <x v="6"/>
    <s v="valor_bruto_produccion_por_actividad_economica"/>
  </r>
  <r>
    <x v="13"/>
    <x v="13"/>
    <x v="1"/>
    <n v="4518.7299999999996"/>
    <x v="6"/>
    <s v="valor_bruto_produccion_por_actividad_economica"/>
  </r>
  <r>
    <x v="14"/>
    <x v="14"/>
    <x v="1"/>
    <n v="4258.6000000000004"/>
    <x v="6"/>
    <s v="valor_bruto_produccion_por_actividad_economica"/>
  </r>
  <r>
    <x v="15"/>
    <x v="15"/>
    <x v="1"/>
    <n v="3373.49"/>
    <x v="6"/>
    <s v="valor_bruto_produccion_por_actividad_economica"/>
  </r>
  <r>
    <x v="16"/>
    <x v="16"/>
    <x v="1"/>
    <n v="2347.38"/>
    <x v="6"/>
    <s v="valor_bruto_produccion_por_actividad_economica"/>
  </r>
  <r>
    <x v="17"/>
    <x v="17"/>
    <x v="1"/>
    <m/>
    <x v="6"/>
    <s v="valor_bruto_produccion_por_actividad_economica"/>
  </r>
  <r>
    <x v="18"/>
    <x v="18"/>
    <x v="1"/>
    <n v="1982.19"/>
    <x v="6"/>
    <s v="valor_bruto_produccion_por_actividad_economica"/>
  </r>
  <r>
    <x v="19"/>
    <x v="19"/>
    <x v="1"/>
    <n v="691.69"/>
    <x v="6"/>
    <s v="valor_bruto_produccion_por_actividad_economica"/>
  </r>
  <r>
    <x v="20"/>
    <x v="20"/>
    <x v="1"/>
    <n v="932.89"/>
    <x v="6"/>
    <s v="valor_bruto_produccion_por_actividad_economica"/>
  </r>
  <r>
    <x v="21"/>
    <x v="21"/>
    <x v="1"/>
    <n v="941.59"/>
    <x v="6"/>
    <s v="valor_bruto_produccion_por_actividad_economica"/>
  </r>
  <r>
    <x v="22"/>
    <x v="22"/>
    <x v="1"/>
    <n v="762.07"/>
    <x v="6"/>
    <s v="valor_bruto_produccion_por_actividad_economica"/>
  </r>
  <r>
    <x v="23"/>
    <x v="23"/>
    <x v="1"/>
    <n v="12479.82"/>
    <x v="6"/>
    <s v="valor_bruto_produccion_por_actividad_economica"/>
  </r>
  <r>
    <x v="24"/>
    <x v="24"/>
    <x v="1"/>
    <m/>
    <x v="6"/>
    <s v="valor_bruto_produccion_por_actividad_economica"/>
  </r>
  <r>
    <x v="25"/>
    <x v="25"/>
    <x v="1"/>
    <m/>
    <x v="6"/>
    <s v="valor_bruto_produccion_por_actividad_economica"/>
  </r>
  <r>
    <x v="0"/>
    <x v="0"/>
    <x v="2"/>
    <n v="43859.39"/>
    <x v="6"/>
    <s v="valor_bruto_produccion_por_actividad_economica"/>
  </r>
  <r>
    <x v="1"/>
    <x v="1"/>
    <x v="2"/>
    <n v="18788.919999999998"/>
    <x v="6"/>
    <s v="valor_bruto_produccion_por_actividad_economica"/>
  </r>
  <r>
    <x v="2"/>
    <x v="2"/>
    <x v="2"/>
    <n v="1235.21"/>
    <x v="6"/>
    <s v="valor_bruto_produccion_por_actividad_economica"/>
  </r>
  <r>
    <x v="3"/>
    <x v="3"/>
    <x v="2"/>
    <m/>
    <x v="6"/>
    <s v="valor_bruto_produccion_por_actividad_economica"/>
  </r>
  <r>
    <x v="4"/>
    <x v="4"/>
    <x v="2"/>
    <n v="789"/>
    <x v="6"/>
    <s v="valor_bruto_produccion_por_actividad_economica"/>
  </r>
  <r>
    <x v="5"/>
    <x v="5"/>
    <x v="2"/>
    <n v="175.43"/>
    <x v="6"/>
    <s v="valor_bruto_produccion_por_actividad_economica"/>
  </r>
  <r>
    <x v="6"/>
    <x v="6"/>
    <x v="2"/>
    <n v="134.51"/>
    <x v="6"/>
    <s v="valor_bruto_produccion_por_actividad_economica"/>
  </r>
  <r>
    <x v="7"/>
    <x v="7"/>
    <x v="2"/>
    <n v="521.62"/>
    <x v="6"/>
    <s v="valor_bruto_produccion_por_actividad_economica"/>
  </r>
  <r>
    <x v="8"/>
    <x v="8"/>
    <x v="2"/>
    <n v="2241.0300000000002"/>
    <x v="6"/>
    <s v="valor_bruto_produccion_por_actividad_economica"/>
  </r>
  <r>
    <x v="9"/>
    <x v="9"/>
    <x v="2"/>
    <n v="279.75"/>
    <x v="6"/>
    <s v="valor_bruto_produccion_por_actividad_economica"/>
  </r>
  <r>
    <x v="10"/>
    <x v="10"/>
    <x v="2"/>
    <n v="8401.7099999999991"/>
    <x v="6"/>
    <s v="valor_bruto_produccion_por_actividad_economica"/>
  </r>
  <r>
    <x v="11"/>
    <x v="11"/>
    <x v="2"/>
    <n v="2026.84"/>
    <x v="6"/>
    <s v="valor_bruto_produccion_por_actividad_economica"/>
  </r>
  <r>
    <x v="12"/>
    <x v="12"/>
    <x v="2"/>
    <n v="438.55"/>
    <x v="6"/>
    <s v="valor_bruto_produccion_por_actividad_economica"/>
  </r>
  <r>
    <x v="13"/>
    <x v="13"/>
    <x v="2"/>
    <n v="1996.85"/>
    <x v="6"/>
    <s v="valor_bruto_produccion_por_actividad_economica"/>
  </r>
  <r>
    <x v="14"/>
    <x v="14"/>
    <x v="2"/>
    <n v="1409.37"/>
    <x v="6"/>
    <s v="valor_bruto_produccion_por_actividad_economica"/>
  </r>
  <r>
    <x v="15"/>
    <x v="15"/>
    <x v="2"/>
    <n v="1775.08"/>
    <x v="6"/>
    <s v="valor_bruto_produccion_por_actividad_economica"/>
  </r>
  <r>
    <x v="16"/>
    <x v="16"/>
    <x v="2"/>
    <n v="966.56"/>
    <x v="6"/>
    <s v="valor_bruto_produccion_por_actividad_economica"/>
  </r>
  <r>
    <x v="17"/>
    <x v="17"/>
    <x v="2"/>
    <n v="315.98"/>
    <x v="6"/>
    <s v="valor_bruto_produccion_por_actividad_economica"/>
  </r>
  <r>
    <x v="18"/>
    <x v="18"/>
    <x v="2"/>
    <n v="669.72"/>
    <x v="6"/>
    <s v="valor_bruto_produccion_por_actividad_economica"/>
  </r>
  <r>
    <x v="19"/>
    <x v="19"/>
    <x v="2"/>
    <n v="130.55000000000001"/>
    <x v="6"/>
    <s v="valor_bruto_produccion_por_actividad_economica"/>
  </r>
  <r>
    <x v="20"/>
    <x v="20"/>
    <x v="2"/>
    <n v="378.08"/>
    <x v="6"/>
    <s v="valor_bruto_produccion_por_actividad_economica"/>
  </r>
  <r>
    <x v="21"/>
    <x v="21"/>
    <x v="2"/>
    <n v="202.75"/>
    <x v="6"/>
    <s v="valor_bruto_produccion_por_actividad_economica"/>
  </r>
  <r>
    <x v="22"/>
    <x v="22"/>
    <x v="2"/>
    <n v="457.01"/>
    <x v="6"/>
    <s v="valor_bruto_produccion_por_actividad_economica"/>
  </r>
  <r>
    <x v="23"/>
    <x v="23"/>
    <x v="2"/>
    <n v="11.83"/>
    <x v="6"/>
    <s v="valor_bruto_produccion_por_actividad_economica"/>
  </r>
  <r>
    <x v="24"/>
    <x v="24"/>
    <x v="2"/>
    <n v="513.04"/>
    <x v="6"/>
    <s v="valor_bruto_produccion_por_actividad_economica"/>
  </r>
  <r>
    <x v="25"/>
    <x v="25"/>
    <x v="2"/>
    <m/>
    <x v="6"/>
    <s v="valor_bruto_produccion_por_actividad_economica"/>
  </r>
  <r>
    <x v="0"/>
    <x v="0"/>
    <x v="5"/>
    <n v="604491.41"/>
    <x v="6"/>
    <s v="valor_bruto_produccion_por_actividad_economica"/>
  </r>
  <r>
    <x v="1"/>
    <x v="1"/>
    <x v="5"/>
    <n v="88921.38"/>
    <x v="6"/>
    <s v="valor_bruto_produccion_por_actividad_economica"/>
  </r>
  <r>
    <x v="2"/>
    <x v="2"/>
    <x v="5"/>
    <n v="31439.3"/>
    <x v="6"/>
    <s v="valor_bruto_produccion_por_actividad_economica"/>
  </r>
  <r>
    <x v="3"/>
    <x v="3"/>
    <x v="5"/>
    <n v="900.44"/>
    <x v="6"/>
    <s v="valor_bruto_produccion_por_actividad_economica"/>
  </r>
  <r>
    <x v="4"/>
    <x v="4"/>
    <x v="5"/>
    <n v="21068.23"/>
    <x v="6"/>
    <s v="valor_bruto_produccion_por_actividad_economica"/>
  </r>
  <r>
    <x v="5"/>
    <x v="5"/>
    <x v="5"/>
    <n v="5594.65"/>
    <x v="6"/>
    <s v="valor_bruto_produccion_por_actividad_economica"/>
  </r>
  <r>
    <x v="6"/>
    <x v="6"/>
    <x v="5"/>
    <n v="3889.44"/>
    <x v="6"/>
    <s v="valor_bruto_produccion_por_actividad_economica"/>
  </r>
  <r>
    <x v="7"/>
    <x v="7"/>
    <x v="5"/>
    <n v="4424.43"/>
    <x v="6"/>
    <s v="valor_bruto_produccion_por_actividad_economica"/>
  </r>
  <r>
    <x v="8"/>
    <x v="8"/>
    <x v="5"/>
    <n v="17849.099999999999"/>
    <x v="6"/>
    <s v="valor_bruto_produccion_por_actividad_economica"/>
  </r>
  <r>
    <x v="9"/>
    <x v="9"/>
    <x v="5"/>
    <n v="845.62"/>
    <x v="6"/>
    <s v="valor_bruto_produccion_por_actividad_economica"/>
  </r>
  <r>
    <x v="10"/>
    <x v="10"/>
    <x v="5"/>
    <n v="35526.800000000003"/>
    <x v="6"/>
    <s v="valor_bruto_produccion_por_actividad_economica"/>
  </r>
  <r>
    <x v="11"/>
    <x v="11"/>
    <x v="5"/>
    <n v="51735.55"/>
    <x v="6"/>
    <s v="valor_bruto_produccion_por_actividad_economica"/>
  </r>
  <r>
    <x v="12"/>
    <x v="12"/>
    <x v="5"/>
    <n v="3136.25"/>
    <x v="6"/>
    <s v="valor_bruto_produccion_por_actividad_economica"/>
  </r>
  <r>
    <x v="13"/>
    <x v="13"/>
    <x v="5"/>
    <n v="28223.61"/>
    <x v="6"/>
    <s v="valor_bruto_produccion_por_actividad_economica"/>
  </r>
  <r>
    <x v="14"/>
    <x v="14"/>
    <x v="5"/>
    <n v="28967.55"/>
    <x v="6"/>
    <s v="valor_bruto_produccion_por_actividad_economica"/>
  </r>
  <r>
    <x v="15"/>
    <x v="15"/>
    <x v="5"/>
    <n v="51688.12"/>
    <x v="6"/>
    <s v="valor_bruto_produccion_por_actividad_economica"/>
  </r>
  <r>
    <x v="16"/>
    <x v="16"/>
    <x v="5"/>
    <n v="31352.42"/>
    <x v="6"/>
    <s v="valor_bruto_produccion_por_actividad_economica"/>
  </r>
  <r>
    <x v="17"/>
    <x v="17"/>
    <x v="5"/>
    <n v="12725.49"/>
    <x v="6"/>
    <s v="valor_bruto_produccion_por_actividad_economica"/>
  </r>
  <r>
    <x v="18"/>
    <x v="18"/>
    <x v="5"/>
    <n v="37502.339999999997"/>
    <x v="6"/>
    <s v="valor_bruto_produccion_por_actividad_economica"/>
  </r>
  <r>
    <x v="19"/>
    <x v="19"/>
    <x v="5"/>
    <n v="49257.4"/>
    <x v="6"/>
    <s v="valor_bruto_produccion_por_actividad_economica"/>
  </r>
  <r>
    <x v="20"/>
    <x v="20"/>
    <x v="5"/>
    <n v="94750.58"/>
    <x v="6"/>
    <s v="valor_bruto_produccion_por_actividad_economica"/>
  </r>
  <r>
    <x v="21"/>
    <x v="21"/>
    <x v="5"/>
    <n v="1620.53"/>
    <x v="6"/>
    <s v="valor_bruto_produccion_por_actividad_economica"/>
  </r>
  <r>
    <x v="22"/>
    <x v="22"/>
    <x v="5"/>
    <n v="2325.35"/>
    <x v="6"/>
    <s v="valor_bruto_produccion_por_actividad_economica"/>
  </r>
  <r>
    <x v="23"/>
    <x v="23"/>
    <x v="5"/>
    <n v="746.83"/>
    <x v="6"/>
    <s v="valor_bruto_produccion_por_actividad_economica"/>
  </r>
  <r>
    <x v="24"/>
    <x v="24"/>
    <x v="5"/>
    <m/>
    <x v="6"/>
    <s v="valor_bruto_produccion_por_actividad_economica"/>
  </r>
  <r>
    <x v="25"/>
    <x v="25"/>
    <x v="5"/>
    <m/>
    <x v="6"/>
    <s v="valor_bruto_produccion_por_actividad_economica"/>
  </r>
  <r>
    <x v="0"/>
    <x v="0"/>
    <x v="3"/>
    <m/>
    <x v="6"/>
    <s v="valor_bruto_produccion_por_actividad_economica"/>
  </r>
  <r>
    <x v="1"/>
    <x v="1"/>
    <x v="3"/>
    <m/>
    <x v="6"/>
    <s v="valor_bruto_produccion_por_actividad_economica"/>
  </r>
  <r>
    <x v="2"/>
    <x v="2"/>
    <x v="3"/>
    <m/>
    <x v="6"/>
    <s v="valor_bruto_produccion_por_actividad_economica"/>
  </r>
  <r>
    <x v="3"/>
    <x v="3"/>
    <x v="3"/>
    <m/>
    <x v="6"/>
    <s v="valor_bruto_produccion_por_actividad_economica"/>
  </r>
  <r>
    <x v="4"/>
    <x v="4"/>
    <x v="3"/>
    <m/>
    <x v="6"/>
    <s v="valor_bruto_produccion_por_actividad_economica"/>
  </r>
  <r>
    <x v="5"/>
    <x v="5"/>
    <x v="3"/>
    <m/>
    <x v="6"/>
    <s v="valor_bruto_produccion_por_actividad_economica"/>
  </r>
  <r>
    <x v="6"/>
    <x v="6"/>
    <x v="3"/>
    <m/>
    <x v="6"/>
    <s v="valor_bruto_produccion_por_actividad_economica"/>
  </r>
  <r>
    <x v="7"/>
    <x v="7"/>
    <x v="3"/>
    <m/>
    <x v="6"/>
    <s v="valor_bruto_produccion_por_actividad_economica"/>
  </r>
  <r>
    <x v="8"/>
    <x v="8"/>
    <x v="3"/>
    <m/>
    <x v="6"/>
    <s v="valor_bruto_produccion_por_actividad_economica"/>
  </r>
  <r>
    <x v="9"/>
    <x v="9"/>
    <x v="3"/>
    <m/>
    <x v="6"/>
    <s v="valor_bruto_produccion_por_actividad_economica"/>
  </r>
  <r>
    <x v="10"/>
    <x v="10"/>
    <x v="3"/>
    <m/>
    <x v="6"/>
    <s v="valor_bruto_produccion_por_actividad_economica"/>
  </r>
  <r>
    <x v="11"/>
    <x v="11"/>
    <x v="3"/>
    <m/>
    <x v="6"/>
    <s v="valor_bruto_produccion_por_actividad_economica"/>
  </r>
  <r>
    <x v="12"/>
    <x v="12"/>
    <x v="3"/>
    <m/>
    <x v="6"/>
    <s v="valor_bruto_produccion_por_actividad_economica"/>
  </r>
  <r>
    <x v="13"/>
    <x v="13"/>
    <x v="3"/>
    <m/>
    <x v="6"/>
    <s v="valor_bruto_produccion_por_actividad_economica"/>
  </r>
  <r>
    <x v="14"/>
    <x v="14"/>
    <x v="3"/>
    <m/>
    <x v="6"/>
    <s v="valor_bruto_produccion_por_actividad_economica"/>
  </r>
  <r>
    <x v="15"/>
    <x v="15"/>
    <x v="3"/>
    <m/>
    <x v="6"/>
    <s v="valor_bruto_produccion_por_actividad_economica"/>
  </r>
  <r>
    <x v="16"/>
    <x v="16"/>
    <x v="3"/>
    <m/>
    <x v="6"/>
    <s v="valor_bruto_produccion_por_actividad_economica"/>
  </r>
  <r>
    <x v="17"/>
    <x v="17"/>
    <x v="3"/>
    <m/>
    <x v="6"/>
    <s v="valor_bruto_produccion_por_actividad_economica"/>
  </r>
  <r>
    <x v="18"/>
    <x v="18"/>
    <x v="3"/>
    <m/>
    <x v="6"/>
    <s v="valor_bruto_produccion_por_actividad_economica"/>
  </r>
  <r>
    <x v="19"/>
    <x v="19"/>
    <x v="3"/>
    <m/>
    <x v="6"/>
    <s v="valor_bruto_produccion_por_actividad_economica"/>
  </r>
  <r>
    <x v="20"/>
    <x v="20"/>
    <x v="3"/>
    <m/>
    <x v="6"/>
    <s v="valor_bruto_produccion_por_actividad_economica"/>
  </r>
  <r>
    <x v="21"/>
    <x v="21"/>
    <x v="3"/>
    <m/>
    <x v="6"/>
    <s v="valor_bruto_produccion_por_actividad_economica"/>
  </r>
  <r>
    <x v="22"/>
    <x v="22"/>
    <x v="3"/>
    <m/>
    <x v="6"/>
    <s v="valor_bruto_produccion_por_actividad_economica"/>
  </r>
  <r>
    <x v="23"/>
    <x v="23"/>
    <x v="3"/>
    <m/>
    <x v="6"/>
    <s v="valor_bruto_produccion_por_actividad_economica"/>
  </r>
  <r>
    <x v="24"/>
    <x v="24"/>
    <x v="3"/>
    <m/>
    <x v="6"/>
    <s v="valor_bruto_produccion_por_actividad_economica"/>
  </r>
  <r>
    <x v="25"/>
    <x v="25"/>
    <x v="3"/>
    <m/>
    <x v="6"/>
    <s v="valor_bruto_produccion_por_actividad_economica"/>
  </r>
  <r>
    <x v="0"/>
    <x v="0"/>
    <x v="6"/>
    <m/>
    <x v="6"/>
    <s v="valor_bruto_produccion_por_actividad_economica"/>
  </r>
  <r>
    <x v="1"/>
    <x v="1"/>
    <x v="6"/>
    <m/>
    <x v="6"/>
    <s v="valor_bruto_produccion_por_actividad_economica"/>
  </r>
  <r>
    <x v="2"/>
    <x v="2"/>
    <x v="6"/>
    <m/>
    <x v="6"/>
    <s v="valor_bruto_produccion_por_actividad_economica"/>
  </r>
  <r>
    <x v="3"/>
    <x v="3"/>
    <x v="6"/>
    <m/>
    <x v="6"/>
    <s v="valor_bruto_produccion_por_actividad_economica"/>
  </r>
  <r>
    <x v="4"/>
    <x v="4"/>
    <x v="6"/>
    <m/>
    <x v="6"/>
    <s v="valor_bruto_produccion_por_actividad_economica"/>
  </r>
  <r>
    <x v="5"/>
    <x v="5"/>
    <x v="6"/>
    <m/>
    <x v="6"/>
    <s v="valor_bruto_produccion_por_actividad_economica"/>
  </r>
  <r>
    <x v="6"/>
    <x v="6"/>
    <x v="6"/>
    <m/>
    <x v="6"/>
    <s v="valor_bruto_produccion_por_actividad_economica"/>
  </r>
  <r>
    <x v="7"/>
    <x v="7"/>
    <x v="6"/>
    <m/>
    <x v="6"/>
    <s v="valor_bruto_produccion_por_actividad_economica"/>
  </r>
  <r>
    <x v="8"/>
    <x v="8"/>
    <x v="6"/>
    <m/>
    <x v="6"/>
    <s v="valor_bruto_produccion_por_actividad_economica"/>
  </r>
  <r>
    <x v="9"/>
    <x v="9"/>
    <x v="6"/>
    <m/>
    <x v="6"/>
    <s v="valor_bruto_produccion_por_actividad_economica"/>
  </r>
  <r>
    <x v="10"/>
    <x v="10"/>
    <x v="6"/>
    <m/>
    <x v="6"/>
    <s v="valor_bruto_produccion_por_actividad_economica"/>
  </r>
  <r>
    <x v="11"/>
    <x v="11"/>
    <x v="6"/>
    <m/>
    <x v="6"/>
    <s v="valor_bruto_produccion_por_actividad_economica"/>
  </r>
  <r>
    <x v="12"/>
    <x v="12"/>
    <x v="6"/>
    <m/>
    <x v="6"/>
    <s v="valor_bruto_produccion_por_actividad_economica"/>
  </r>
  <r>
    <x v="13"/>
    <x v="13"/>
    <x v="6"/>
    <m/>
    <x v="6"/>
    <s v="valor_bruto_produccion_por_actividad_economica"/>
  </r>
  <r>
    <x v="14"/>
    <x v="14"/>
    <x v="6"/>
    <m/>
    <x v="6"/>
    <s v="valor_bruto_produccion_por_actividad_economica"/>
  </r>
  <r>
    <x v="15"/>
    <x v="15"/>
    <x v="6"/>
    <m/>
    <x v="6"/>
    <s v="valor_bruto_produccion_por_actividad_economica"/>
  </r>
  <r>
    <x v="16"/>
    <x v="16"/>
    <x v="6"/>
    <m/>
    <x v="6"/>
    <s v="valor_bruto_produccion_por_actividad_economica"/>
  </r>
  <r>
    <x v="17"/>
    <x v="17"/>
    <x v="6"/>
    <m/>
    <x v="6"/>
    <s v="valor_bruto_produccion_por_actividad_economica"/>
  </r>
  <r>
    <x v="18"/>
    <x v="18"/>
    <x v="6"/>
    <m/>
    <x v="6"/>
    <s v="valor_bruto_produccion_por_actividad_economica"/>
  </r>
  <r>
    <x v="19"/>
    <x v="19"/>
    <x v="6"/>
    <m/>
    <x v="6"/>
    <s v="valor_bruto_produccion_por_actividad_economica"/>
  </r>
  <r>
    <x v="20"/>
    <x v="20"/>
    <x v="6"/>
    <m/>
    <x v="6"/>
    <s v="valor_bruto_produccion_por_actividad_economica"/>
  </r>
  <r>
    <x v="21"/>
    <x v="21"/>
    <x v="6"/>
    <m/>
    <x v="6"/>
    <s v="valor_bruto_produccion_por_actividad_economica"/>
  </r>
  <r>
    <x v="22"/>
    <x v="22"/>
    <x v="6"/>
    <m/>
    <x v="6"/>
    <s v="valor_bruto_produccion_por_actividad_economica"/>
  </r>
  <r>
    <x v="23"/>
    <x v="23"/>
    <x v="6"/>
    <m/>
    <x v="6"/>
    <s v="valor_bruto_produccion_por_actividad_economica"/>
  </r>
  <r>
    <x v="24"/>
    <x v="24"/>
    <x v="6"/>
    <m/>
    <x v="6"/>
    <s v="valor_bruto_produccion_por_actividad_economica"/>
  </r>
  <r>
    <x v="25"/>
    <x v="25"/>
    <x v="6"/>
    <m/>
    <x v="6"/>
    <s v="valor_bruto_produccion_por_actividad_economic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EEDCD-600C-4E1A-8840-0BB1896BA683}" name="PivotTable1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I30" firstHeaderRow="1" firstDataRow="2" firstDataCol="2" rowPageCount="1" colPageCount="1"/>
  <pivotFields count="6">
    <pivotField axis="axisRow" compact="0" outline="0"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6">
        <item x="2"/>
        <item x="1"/>
        <item x="3"/>
        <item x="10"/>
        <item x="18"/>
        <item x="19"/>
        <item x="15"/>
        <item x="22"/>
        <item x="21"/>
        <item x="14"/>
        <item x="8"/>
        <item x="5"/>
        <item x="13"/>
        <item x="6"/>
        <item x="17"/>
        <item x="16"/>
        <item x="12"/>
        <item x="4"/>
        <item x="11"/>
        <item x="20"/>
        <item x="9"/>
        <item x="0"/>
        <item x="25"/>
        <item x="23"/>
        <item x="7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7">
        <item h="1" x="4"/>
        <item h="1" x="0"/>
        <item h="1" x="1"/>
        <item h="1" x="2"/>
        <item h="1" x="5"/>
        <item h="1" x="3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26">
    <i>
      <x/>
      <x v="2"/>
    </i>
    <i>
      <x v="1"/>
      <x v="1"/>
    </i>
    <i>
      <x v="2"/>
      <x v="3"/>
    </i>
    <i>
      <x v="3"/>
      <x v="10"/>
    </i>
    <i>
      <x v="4"/>
      <x v="18"/>
    </i>
    <i>
      <x v="5"/>
      <x v="19"/>
    </i>
    <i>
      <x v="6"/>
      <x v="15"/>
    </i>
    <i>
      <x v="7"/>
      <x v="22"/>
    </i>
    <i>
      <x v="8"/>
      <x v="21"/>
    </i>
    <i>
      <x v="9"/>
      <x v="14"/>
    </i>
    <i>
      <x v="10"/>
      <x v="8"/>
    </i>
    <i>
      <x v="11"/>
      <x v="5"/>
    </i>
    <i>
      <x v="12"/>
      <x v="13"/>
    </i>
    <i>
      <x v="13"/>
      <x v="6"/>
    </i>
    <i>
      <x v="14"/>
      <x v="17"/>
    </i>
    <i>
      <x v="15"/>
      <x v="16"/>
    </i>
    <i>
      <x v="16"/>
      <x v="12"/>
    </i>
    <i>
      <x v="17"/>
      <x v="4"/>
    </i>
    <i>
      <x v="18"/>
      <x v="11"/>
    </i>
    <i>
      <x v="19"/>
      <x v="20"/>
    </i>
    <i>
      <x v="20"/>
      <x v="9"/>
    </i>
    <i>
      <x v="21"/>
      <x/>
    </i>
    <i>
      <x v="22"/>
      <x v="25"/>
    </i>
    <i>
      <x v="23"/>
      <x v="23"/>
    </i>
    <i>
      <x v="24"/>
      <x v="7"/>
    </i>
    <i>
      <x v="25"/>
      <x v="24"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pageFields count="1"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40359-1407-4E77-BBC8-26F2B586B023}">
  <dimension ref="A1:I30"/>
  <sheetViews>
    <sheetView workbookViewId="0">
      <selection activeCell="J23" sqref="J23"/>
    </sheetView>
  </sheetViews>
  <sheetFormatPr baseColWidth="10" defaultColWidth="9.140625" defaultRowHeight="15" x14ac:dyDescent="0.25"/>
  <cols>
    <col min="1" max="1" width="32.5703125" customWidth="1"/>
    <col min="2" max="2" width="10.140625" bestFit="1" customWidth="1"/>
    <col min="3" max="3" width="6.7109375" bestFit="1" customWidth="1"/>
    <col min="4" max="9" width="4.85546875" bestFit="1" customWidth="1"/>
  </cols>
  <sheetData>
    <row r="1" spans="1:9" x14ac:dyDescent="0.25">
      <c r="A1" s="2" t="s">
        <v>2</v>
      </c>
      <c r="B1" t="s">
        <v>66</v>
      </c>
    </row>
    <row r="3" spans="1:9" x14ac:dyDescent="0.25">
      <c r="C3" s="2" t="s">
        <v>4</v>
      </c>
    </row>
    <row r="4" spans="1:9" x14ac:dyDescent="0.25">
      <c r="A4" s="2" t="s">
        <v>1</v>
      </c>
      <c r="B4" s="2" t="s">
        <v>0</v>
      </c>
      <c r="C4">
        <v>2016</v>
      </c>
      <c r="D4">
        <v>2017</v>
      </c>
      <c r="E4">
        <v>2018</v>
      </c>
      <c r="F4">
        <v>2019</v>
      </c>
      <c r="G4">
        <v>2020</v>
      </c>
      <c r="H4">
        <v>2021</v>
      </c>
      <c r="I4">
        <v>2022</v>
      </c>
    </row>
    <row r="5" spans="1:9" x14ac:dyDescent="0.25">
      <c r="A5" t="s">
        <v>13</v>
      </c>
      <c r="B5" t="s">
        <v>12</v>
      </c>
    </row>
    <row r="6" spans="1:9" x14ac:dyDescent="0.25">
      <c r="A6" t="s">
        <v>11</v>
      </c>
      <c r="B6" t="s">
        <v>10</v>
      </c>
    </row>
    <row r="7" spans="1:9" x14ac:dyDescent="0.25">
      <c r="A7" t="s">
        <v>15</v>
      </c>
      <c r="B7" t="s">
        <v>14</v>
      </c>
    </row>
    <row r="8" spans="1:9" x14ac:dyDescent="0.25">
      <c r="A8" t="s">
        <v>29</v>
      </c>
      <c r="B8" t="s">
        <v>28</v>
      </c>
    </row>
    <row r="9" spans="1:9" x14ac:dyDescent="0.25">
      <c r="A9" t="s">
        <v>45</v>
      </c>
      <c r="B9" t="s">
        <v>44</v>
      </c>
    </row>
    <row r="10" spans="1:9" x14ac:dyDescent="0.25">
      <c r="A10" t="s">
        <v>47</v>
      </c>
      <c r="B10" t="s">
        <v>46</v>
      </c>
    </row>
    <row r="11" spans="1:9" x14ac:dyDescent="0.25">
      <c r="A11" t="s">
        <v>39</v>
      </c>
      <c r="B11" t="s">
        <v>38</v>
      </c>
    </row>
    <row r="12" spans="1:9" x14ac:dyDescent="0.25">
      <c r="A12" t="s">
        <v>53</v>
      </c>
      <c r="B12" t="s">
        <v>52</v>
      </c>
    </row>
    <row r="13" spans="1:9" x14ac:dyDescent="0.25">
      <c r="A13" t="s">
        <v>51</v>
      </c>
      <c r="B13" t="s">
        <v>50</v>
      </c>
    </row>
    <row r="14" spans="1:9" x14ac:dyDescent="0.25">
      <c r="A14" t="s">
        <v>37</v>
      </c>
      <c r="B14" t="s">
        <v>36</v>
      </c>
    </row>
    <row r="15" spans="1:9" x14ac:dyDescent="0.25">
      <c r="A15" t="s">
        <v>25</v>
      </c>
      <c r="B15" t="s">
        <v>24</v>
      </c>
    </row>
    <row r="16" spans="1:9" x14ac:dyDescent="0.25">
      <c r="A16" t="s">
        <v>19</v>
      </c>
      <c r="B16" t="s">
        <v>18</v>
      </c>
    </row>
    <row r="17" spans="1:2" x14ac:dyDescent="0.25">
      <c r="A17" t="s">
        <v>35</v>
      </c>
      <c r="B17" t="s">
        <v>34</v>
      </c>
    </row>
    <row r="18" spans="1:2" x14ac:dyDescent="0.25">
      <c r="A18" t="s">
        <v>21</v>
      </c>
      <c r="B18" t="s">
        <v>20</v>
      </c>
    </row>
    <row r="19" spans="1:2" x14ac:dyDescent="0.25">
      <c r="A19" t="s">
        <v>43</v>
      </c>
      <c r="B19" t="s">
        <v>42</v>
      </c>
    </row>
    <row r="20" spans="1:2" x14ac:dyDescent="0.25">
      <c r="A20" t="s">
        <v>41</v>
      </c>
      <c r="B20" t="s">
        <v>40</v>
      </c>
    </row>
    <row r="21" spans="1:2" x14ac:dyDescent="0.25">
      <c r="A21" t="s">
        <v>33</v>
      </c>
      <c r="B21" t="s">
        <v>32</v>
      </c>
    </row>
    <row r="22" spans="1:2" x14ac:dyDescent="0.25">
      <c r="A22" t="s">
        <v>17</v>
      </c>
      <c r="B22" t="s">
        <v>16</v>
      </c>
    </row>
    <row r="23" spans="1:2" x14ac:dyDescent="0.25">
      <c r="A23" t="s">
        <v>31</v>
      </c>
      <c r="B23" t="s">
        <v>30</v>
      </c>
    </row>
    <row r="24" spans="1:2" x14ac:dyDescent="0.25">
      <c r="A24" t="s">
        <v>49</v>
      </c>
      <c r="B24" t="s">
        <v>48</v>
      </c>
    </row>
    <row r="25" spans="1:2" x14ac:dyDescent="0.25">
      <c r="A25" t="s">
        <v>27</v>
      </c>
      <c r="B25" t="s">
        <v>26</v>
      </c>
    </row>
    <row r="26" spans="1:2" x14ac:dyDescent="0.25">
      <c r="A26" t="s">
        <v>7</v>
      </c>
      <c r="B26" t="s">
        <v>6</v>
      </c>
    </row>
    <row r="27" spans="1:2" x14ac:dyDescent="0.25">
      <c r="A27" t="s">
        <v>59</v>
      </c>
      <c r="B27" t="s">
        <v>58</v>
      </c>
    </row>
    <row r="28" spans="1:2" x14ac:dyDescent="0.25">
      <c r="A28" t="s">
        <v>55</v>
      </c>
      <c r="B28" t="s">
        <v>54</v>
      </c>
    </row>
    <row r="29" spans="1:2" x14ac:dyDescent="0.25">
      <c r="A29" t="s">
        <v>23</v>
      </c>
      <c r="B29" t="s">
        <v>22</v>
      </c>
    </row>
    <row r="30" spans="1:2" x14ac:dyDescent="0.25">
      <c r="A30" t="s">
        <v>57</v>
      </c>
      <c r="B30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25C2-CD63-4774-929F-B2E3CDF900FA}">
  <dimension ref="A1:K23"/>
  <sheetViews>
    <sheetView tabSelected="1" workbookViewId="0">
      <selection activeCell="C24" sqref="C24"/>
    </sheetView>
  </sheetViews>
  <sheetFormatPr baseColWidth="10" defaultColWidth="9.140625" defaultRowHeight="15" x14ac:dyDescent="0.25"/>
  <cols>
    <col min="1" max="1" width="36.5703125" customWidth="1"/>
  </cols>
  <sheetData>
    <row r="1" spans="1:11" x14ac:dyDescent="0.25">
      <c r="A1" t="s">
        <v>1</v>
      </c>
      <c r="B1" t="s">
        <v>73</v>
      </c>
      <c r="C1" t="s">
        <v>0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25">
      <c r="A2" t="s">
        <v>13</v>
      </c>
      <c r="B2" t="s">
        <v>12</v>
      </c>
      <c r="C2" t="s">
        <v>12</v>
      </c>
      <c r="D2">
        <v>146.74812770989359</v>
      </c>
      <c r="E2" cm="1">
        <f t="array" ref="E2:K2">_xlfn.XLOOKUP(B2,[1]Sheet1!$B$2:$B$33,[1]Sheet1!$D$2:$J$33)</f>
        <v>155.60378847671666</v>
      </c>
      <c r="F2">
        <v>173.53174603174602</v>
      </c>
      <c r="G2">
        <v>200.48543689320391</v>
      </c>
      <c r="H2">
        <v>204.74885844748857</v>
      </c>
      <c r="I2">
        <v>188.73707533234861</v>
      </c>
      <c r="J2">
        <v>177.77400746521889</v>
      </c>
      <c r="K2">
        <v>202.78911564625849</v>
      </c>
    </row>
    <row r="3" spans="1:11" x14ac:dyDescent="0.25">
      <c r="A3" t="s">
        <v>11</v>
      </c>
      <c r="B3" t="s">
        <v>10</v>
      </c>
      <c r="C3" t="s">
        <v>10</v>
      </c>
      <c r="D3">
        <v>192.42843951985228</v>
      </c>
      <c r="E3" cm="1">
        <f t="array" ref="E3:K3">_xlfn.XLOOKUP(B3,[1]Sheet1!$B$2:$B$33,[1]Sheet1!$D$2:$J$33)</f>
        <v>163.48039215686273</v>
      </c>
      <c r="F3">
        <v>162.89453425712085</v>
      </c>
      <c r="G3">
        <v>189.21193573068095</v>
      </c>
      <c r="H3">
        <v>193.37899543378995</v>
      </c>
      <c r="I3">
        <v>208.00850460666194</v>
      </c>
      <c r="J3">
        <v>184.50312717164698</v>
      </c>
      <c r="K3">
        <v>178.38214783821479</v>
      </c>
    </row>
    <row r="4" spans="1:11" x14ac:dyDescent="0.25">
      <c r="A4" t="s">
        <v>15</v>
      </c>
      <c r="B4" t="s">
        <v>12</v>
      </c>
      <c r="C4" t="s">
        <v>14</v>
      </c>
      <c r="D4">
        <v>146.74812770989359</v>
      </c>
      <c r="E4" cm="1">
        <f t="array" ref="E4:K4">_xlfn.XLOOKUP(B4,[1]Sheet1!$B$2:$B$33,[1]Sheet1!$D$2:$J$33)</f>
        <v>155.60378847671666</v>
      </c>
      <c r="F4">
        <v>173.53174603174602</v>
      </c>
      <c r="G4">
        <v>200.48543689320391</v>
      </c>
      <c r="H4">
        <v>204.74885844748857</v>
      </c>
      <c r="I4">
        <v>188.73707533234861</v>
      </c>
      <c r="J4">
        <v>177.77400746521889</v>
      </c>
      <c r="K4">
        <v>202.78911564625849</v>
      </c>
    </row>
    <row r="5" spans="1:11" x14ac:dyDescent="0.25">
      <c r="A5" t="s">
        <v>29</v>
      </c>
      <c r="B5" t="s">
        <v>28</v>
      </c>
      <c r="C5" t="s">
        <v>28</v>
      </c>
      <c r="D5">
        <v>249.75860959124557</v>
      </c>
      <c r="E5" cm="1">
        <f t="array" ref="E5:K5">_xlfn.XLOOKUP(B5,[1]Sheet1!$B$2:$B$33,[1]Sheet1!$D$2:$J$33)</f>
        <v>285.28764539453005</v>
      </c>
      <c r="F5">
        <v>360.25557011795547</v>
      </c>
      <c r="G5">
        <v>443.52465047829287</v>
      </c>
      <c r="H5">
        <v>455.6521739130435</v>
      </c>
      <c r="I5">
        <v>572.9493087557604</v>
      </c>
      <c r="J5">
        <v>876.62141779788851</v>
      </c>
      <c r="K5">
        <v>1052.1079258010118</v>
      </c>
    </row>
    <row r="6" spans="1:11" x14ac:dyDescent="0.25">
      <c r="A6" t="s">
        <v>47</v>
      </c>
      <c r="B6" t="s">
        <v>46</v>
      </c>
      <c r="C6" t="s">
        <v>46</v>
      </c>
      <c r="D6">
        <v>141.87943262411346</v>
      </c>
      <c r="E6" cm="1">
        <f t="array" ref="E6:K6">_xlfn.XLOOKUP(B6,[1]Sheet1!$B$2:$B$33,[1]Sheet1!$D$2:$J$33)</f>
        <v>135.52431610942247</v>
      </c>
      <c r="F6">
        <v>131.5024805102764</v>
      </c>
      <c r="G6">
        <v>135.73255389112165</v>
      </c>
      <c r="H6">
        <v>136.5361803084223</v>
      </c>
      <c r="I6">
        <v>114.95487752470991</v>
      </c>
      <c r="J6">
        <v>128.77758913412563</v>
      </c>
      <c r="K6">
        <v>160.69605568445476</v>
      </c>
    </row>
    <row r="7" spans="1:11" x14ac:dyDescent="0.25">
      <c r="A7" t="s">
        <v>39</v>
      </c>
      <c r="B7" t="s">
        <v>38</v>
      </c>
      <c r="C7" t="s">
        <v>38</v>
      </c>
      <c r="D7">
        <v>61.211573236889691</v>
      </c>
      <c r="E7" cm="1">
        <f t="array" ref="E7:K7">_xlfn.XLOOKUP(B7,[1]Sheet1!$B$2:$B$33,[1]Sheet1!$D$2:$J$33)</f>
        <v>80.660377358490564</v>
      </c>
      <c r="F7">
        <v>84.240814519698986</v>
      </c>
      <c r="G7">
        <v>76.288817500382436</v>
      </c>
      <c r="H7">
        <v>78.79809903418672</v>
      </c>
      <c r="I7">
        <v>154.64705882352939</v>
      </c>
      <c r="J7">
        <v>150.91863517060366</v>
      </c>
      <c r="K7">
        <v>123.50278101151208</v>
      </c>
    </row>
    <row r="8" spans="1:11" x14ac:dyDescent="0.25">
      <c r="A8" t="s">
        <v>53</v>
      </c>
      <c r="B8" t="s">
        <v>52</v>
      </c>
      <c r="C8" t="s">
        <v>52</v>
      </c>
      <c r="D8">
        <v>137.97729618163055</v>
      </c>
      <c r="E8" cm="1">
        <f t="array" ref="E8:K8">_xlfn.XLOOKUP(B8,[1]Sheet1!$B$2:$B$33,[1]Sheet1!$D$2:$J$33)</f>
        <v>137.51295336787567</v>
      </c>
      <c r="F8">
        <v>135.27724665391969</v>
      </c>
      <c r="G8">
        <v>136.62230380908673</v>
      </c>
      <c r="H8">
        <v>135.16090584028606</v>
      </c>
      <c r="I8">
        <v>124.88292226038089</v>
      </c>
      <c r="J8">
        <v>127.64826175869122</v>
      </c>
      <c r="K8">
        <v>157.79193205944799</v>
      </c>
    </row>
    <row r="9" spans="1:11" x14ac:dyDescent="0.25">
      <c r="A9" t="s">
        <v>51</v>
      </c>
      <c r="B9" t="s">
        <v>50</v>
      </c>
      <c r="C9" t="s">
        <v>50</v>
      </c>
      <c r="D9">
        <v>154.83490566037736</v>
      </c>
      <c r="E9" cm="1">
        <f t="array" ref="E9:K9">_xlfn.XLOOKUP(B9,[1]Sheet1!$B$2:$B$33,[1]Sheet1!$D$2:$J$33)</f>
        <v>149.41118743866534</v>
      </c>
      <c r="F9">
        <v>152.76785714285714</v>
      </c>
      <c r="G9">
        <v>155.0660792951542</v>
      </c>
      <c r="H9">
        <v>169.85345429169573</v>
      </c>
      <c r="I9">
        <v>189.04382470119523</v>
      </c>
      <c r="J9">
        <v>198.63336475023564</v>
      </c>
      <c r="K9">
        <v>206.31988332523093</v>
      </c>
    </row>
    <row r="10" spans="1:11" x14ac:dyDescent="0.25">
      <c r="A10" t="s">
        <v>37</v>
      </c>
      <c r="B10" t="s">
        <v>36</v>
      </c>
      <c r="C10" t="s">
        <v>36</v>
      </c>
      <c r="D10">
        <v>114.85865724381625</v>
      </c>
      <c r="E10" cm="1">
        <f t="array" ref="E10:K10">_xlfn.XLOOKUP(B10,[1]Sheet1!$B$2:$B$33,[1]Sheet1!$D$2:$J$33)</f>
        <v>114.86057183198024</v>
      </c>
      <c r="F10">
        <v>111.1931330472103</v>
      </c>
      <c r="G10">
        <v>112.47889226612631</v>
      </c>
      <c r="H10">
        <v>114.04674610449131</v>
      </c>
      <c r="I10">
        <v>102.56532066508312</v>
      </c>
      <c r="J10">
        <v>100.61871616395979</v>
      </c>
      <c r="K10">
        <v>117.19178082191782</v>
      </c>
    </row>
    <row r="11" spans="1:11" x14ac:dyDescent="0.25">
      <c r="A11" t="s">
        <v>25</v>
      </c>
      <c r="B11" t="s">
        <v>24</v>
      </c>
      <c r="C11" t="s">
        <v>24</v>
      </c>
      <c r="D11">
        <v>128.29711975745326</v>
      </c>
      <c r="E11" cm="1">
        <f t="array" ref="E11:K11">_xlfn.XLOOKUP(B11,[1]Sheet1!$B$2:$B$33,[1]Sheet1!$D$2:$J$33)</f>
        <v>138.7142186766776</v>
      </c>
      <c r="F11">
        <v>142.23794781070322</v>
      </c>
      <c r="G11">
        <v>147.98903107861062</v>
      </c>
      <c r="H11">
        <v>153.37773549000951</v>
      </c>
      <c r="I11">
        <v>140.09237875288682</v>
      </c>
      <c r="J11">
        <v>130.47294002925403</v>
      </c>
      <c r="K11">
        <v>129.59641255605382</v>
      </c>
    </row>
    <row r="12" spans="1:11" x14ac:dyDescent="0.25">
      <c r="A12" t="s">
        <v>19</v>
      </c>
      <c r="B12" t="s">
        <v>18</v>
      </c>
      <c r="C12" t="s">
        <v>18</v>
      </c>
      <c r="D12">
        <v>118.46479298881837</v>
      </c>
      <c r="E12" cm="1">
        <f t="array" ref="E12:K12">_xlfn.XLOOKUP(B12,[1]Sheet1!$B$2:$B$33,[1]Sheet1!$D$2:$J$33)</f>
        <v>116.00614439324117</v>
      </c>
      <c r="F12">
        <v>110.94742923165799</v>
      </c>
      <c r="G12">
        <v>113.53361094586556</v>
      </c>
      <c r="H12">
        <v>128.31215970961887</v>
      </c>
      <c r="I12">
        <v>113.17008603573792</v>
      </c>
      <c r="J12">
        <v>97.710547833197055</v>
      </c>
      <c r="K12">
        <v>118.16291161178509</v>
      </c>
    </row>
    <row r="13" spans="1:11" x14ac:dyDescent="0.25">
      <c r="A13" t="s">
        <v>35</v>
      </c>
      <c r="B13" t="s">
        <v>34</v>
      </c>
      <c r="C13" t="s">
        <v>34</v>
      </c>
      <c r="D13">
        <v>144.35284418796371</v>
      </c>
      <c r="E13" cm="1">
        <f t="array" ref="E13:K13">_xlfn.XLOOKUP(B13,[1]Sheet1!$B$2:$B$33,[1]Sheet1!$D$2:$J$33)</f>
        <v>135.38895606610237</v>
      </c>
      <c r="F13">
        <v>123.29411764705883</v>
      </c>
      <c r="G13">
        <v>132.26172465960667</v>
      </c>
      <c r="H13">
        <v>136.03305785123968</v>
      </c>
      <c r="I13">
        <v>134.06326034063261</v>
      </c>
      <c r="J13">
        <v>149.09694065610026</v>
      </c>
      <c r="K13">
        <v>180.15936254980082</v>
      </c>
    </row>
    <row r="14" spans="1:11" x14ac:dyDescent="0.25">
      <c r="A14" t="s">
        <v>21</v>
      </c>
      <c r="B14" t="s">
        <v>20</v>
      </c>
      <c r="C14" t="s">
        <v>20</v>
      </c>
      <c r="D14">
        <v>105.84343991179715</v>
      </c>
      <c r="E14" cm="1">
        <f t="array" ref="E14:K14">_xlfn.XLOOKUP(B14,[1]Sheet1!$B$2:$B$33,[1]Sheet1!$D$2:$J$33)</f>
        <v>105.30973451327435</v>
      </c>
      <c r="F14">
        <v>110.98677517802645</v>
      </c>
      <c r="G14">
        <v>115.22727272727273</v>
      </c>
      <c r="H14">
        <v>116.75041876046902</v>
      </c>
      <c r="I14">
        <v>106.78210678210678</v>
      </c>
      <c r="J14">
        <v>105.01981505944518</v>
      </c>
      <c r="K14">
        <v>120.02989536621824</v>
      </c>
    </row>
    <row r="15" spans="1:11" x14ac:dyDescent="0.25">
      <c r="A15" t="s">
        <v>43</v>
      </c>
      <c r="B15" t="s">
        <v>42</v>
      </c>
      <c r="C15" t="s">
        <v>42</v>
      </c>
      <c r="D15">
        <v>104.19161676646706</v>
      </c>
      <c r="E15" cm="1">
        <f t="array" ref="E15:K15">_xlfn.XLOOKUP(B15,[1]Sheet1!$B$2:$B$33,[1]Sheet1!$D$2:$J$33)</f>
        <v>110.00000000000001</v>
      </c>
      <c r="F15">
        <v>109.19540229885058</v>
      </c>
      <c r="G15">
        <v>107.44680851063831</v>
      </c>
      <c r="H15">
        <v>108.47457627118644</v>
      </c>
      <c r="I15">
        <v>94.140625</v>
      </c>
      <c r="J15">
        <v>98.672566371681413</v>
      </c>
      <c r="K15">
        <v>118.45238095238095</v>
      </c>
    </row>
    <row r="16" spans="1:11" x14ac:dyDescent="0.25">
      <c r="A16" t="s">
        <v>41</v>
      </c>
      <c r="B16" t="s">
        <v>40</v>
      </c>
      <c r="C16" t="s">
        <v>40</v>
      </c>
      <c r="D16">
        <v>157.80914390917459</v>
      </c>
      <c r="E16" cm="1">
        <f t="array" ref="E16:K16">_xlfn.XLOOKUP(B16,[1]Sheet1!$B$2:$B$33,[1]Sheet1!$D$2:$J$33)</f>
        <v>148.32836809003643</v>
      </c>
      <c r="F16">
        <v>149.37125748502993</v>
      </c>
      <c r="G16">
        <v>152.84003684372121</v>
      </c>
      <c r="H16">
        <v>166.47681041497154</v>
      </c>
      <c r="I16">
        <v>173.43425348768179</v>
      </c>
      <c r="J16">
        <v>169.18539325842696</v>
      </c>
      <c r="K16">
        <v>180.83522175461314</v>
      </c>
    </row>
    <row r="17" spans="1:11" x14ac:dyDescent="0.25">
      <c r="A17" t="s">
        <v>33</v>
      </c>
      <c r="B17" t="s">
        <v>32</v>
      </c>
      <c r="C17" t="s">
        <v>32</v>
      </c>
      <c r="D17">
        <v>121.10429447852759</v>
      </c>
      <c r="E17" cm="1">
        <f t="array" ref="E17:K17">_xlfn.XLOOKUP(B17,[1]Sheet1!$B$2:$B$33,[1]Sheet1!$D$2:$J$33)</f>
        <v>123.28042328042328</v>
      </c>
      <c r="F17">
        <v>122.26322263222633</v>
      </c>
      <c r="G17">
        <v>123.20987654320987</v>
      </c>
      <c r="H17">
        <v>123.954802259887</v>
      </c>
      <c r="I17">
        <v>112.23628691983123</v>
      </c>
      <c r="J17">
        <v>98.591549295774655</v>
      </c>
      <c r="K17">
        <v>107.54310344827587</v>
      </c>
    </row>
    <row r="18" spans="1:11" x14ac:dyDescent="0.25">
      <c r="A18" t="s">
        <v>17</v>
      </c>
      <c r="B18" t="s">
        <v>16</v>
      </c>
      <c r="C18" t="s">
        <v>16</v>
      </c>
      <c r="D18">
        <v>112.91931097008158</v>
      </c>
      <c r="E18" cm="1">
        <f t="array" ref="E18:K18">_xlfn.XLOOKUP(B18,[1]Sheet1!$B$2:$B$33,[1]Sheet1!$D$2:$J$33)</f>
        <v>110.38345540715208</v>
      </c>
      <c r="F18">
        <v>111.94094659140252</v>
      </c>
      <c r="G18">
        <v>117.31123388581952</v>
      </c>
      <c r="H18">
        <v>126.45241038318913</v>
      </c>
      <c r="I18">
        <v>120.91767881241566</v>
      </c>
      <c r="J18">
        <v>129.43882244710213</v>
      </c>
      <c r="K18">
        <v>147.34325185972369</v>
      </c>
    </row>
    <row r="19" spans="1:11" x14ac:dyDescent="0.25">
      <c r="A19" t="s">
        <v>31</v>
      </c>
      <c r="B19" t="s">
        <v>30</v>
      </c>
      <c r="C19" t="s">
        <v>30</v>
      </c>
      <c r="D19">
        <v>124.1741357234315</v>
      </c>
      <c r="E19" cm="1">
        <f t="array" ref="E19:K19">_xlfn.XLOOKUP(B19,[1]Sheet1!$B$2:$B$33,[1]Sheet1!$D$2:$J$33)</f>
        <v>127.68409218662168</v>
      </c>
      <c r="F19">
        <v>128.13496280552604</v>
      </c>
      <c r="G19">
        <v>129.29376202253366</v>
      </c>
      <c r="H19">
        <v>125.90949423247559</v>
      </c>
      <c r="I19">
        <v>115.61026715557882</v>
      </c>
      <c r="J19">
        <v>115.7643691867398</v>
      </c>
      <c r="K19">
        <v>139.94531444195874</v>
      </c>
    </row>
    <row r="20" spans="1:11" x14ac:dyDescent="0.25">
      <c r="A20" t="s">
        <v>27</v>
      </c>
      <c r="B20" t="s">
        <v>26</v>
      </c>
      <c r="C20" t="s">
        <v>26</v>
      </c>
      <c r="D20">
        <v>110.67240031274433</v>
      </c>
      <c r="E20" cm="1">
        <f t="array" ref="E20:K20">_xlfn.XLOOKUP(B20,[1]Sheet1!$B$2:$B$33,[1]Sheet1!$D$2:$J$33)</f>
        <v>116.88948306595366</v>
      </c>
      <c r="F20">
        <v>108.37310195227765</v>
      </c>
      <c r="G20">
        <v>111.86046511627907</v>
      </c>
      <c r="H20">
        <v>119.87028301886792</v>
      </c>
      <c r="I20">
        <v>109.34629929767694</v>
      </c>
      <c r="J20">
        <v>105.67583382094791</v>
      </c>
      <c r="K20">
        <v>120.36253776435046</v>
      </c>
    </row>
    <row r="21" spans="1:11" x14ac:dyDescent="0.25">
      <c r="A21" t="s">
        <v>7</v>
      </c>
      <c r="B21" t="s">
        <v>6</v>
      </c>
      <c r="C21" t="s">
        <v>6</v>
      </c>
      <c r="D21">
        <v>129.41167662429061</v>
      </c>
      <c r="E21">
        <v>132.88560621854245</v>
      </c>
      <c r="F21">
        <v>135.60459977198192</v>
      </c>
      <c r="G21">
        <v>139.45704193254329</v>
      </c>
      <c r="H21">
        <v>140.35475996745322</v>
      </c>
      <c r="I21">
        <v>145.48799406911132</v>
      </c>
      <c r="J21">
        <v>157.83664161280311</v>
      </c>
      <c r="K21">
        <v>182.29555112305957</v>
      </c>
    </row>
    <row r="22" spans="1:11" x14ac:dyDescent="0.25">
      <c r="A22" t="s">
        <v>55</v>
      </c>
      <c r="B22" t="s">
        <v>54</v>
      </c>
      <c r="C22" t="s">
        <v>54</v>
      </c>
      <c r="D22">
        <v>114.76888387824127</v>
      </c>
      <c r="E22" cm="1">
        <f t="array" ref="E22:K22">_xlfn.XLOOKUP(B22,[1]Sheet1!$B$2:$B$33,[1]Sheet1!$D$2:$J$33)</f>
        <v>126.14811750103433</v>
      </c>
      <c r="F22">
        <v>123.71094498754074</v>
      </c>
      <c r="G22">
        <v>120.35836828059475</v>
      </c>
      <c r="H22">
        <v>120.42158189905241</v>
      </c>
      <c r="I22">
        <v>117.93245600126842</v>
      </c>
      <c r="J22">
        <v>112.17958001448226</v>
      </c>
      <c r="K22">
        <v>118.96267426172989</v>
      </c>
    </row>
    <row r="23" spans="1:11" x14ac:dyDescent="0.25">
      <c r="A23" t="s">
        <v>23</v>
      </c>
      <c r="B23" t="s">
        <v>22</v>
      </c>
      <c r="C23" t="s">
        <v>22</v>
      </c>
      <c r="D23">
        <v>105.84343991179715</v>
      </c>
      <c r="E23" cm="1">
        <f t="array" ref="E23:K23">_xlfn.XLOOKUP(B23,[1]Sheet1!$B$2:$B$33,[1]Sheet1!$D$2:$J$33)</f>
        <v>113.46633416458853</v>
      </c>
      <c r="F23">
        <v>111.23499142367066</v>
      </c>
      <c r="G23">
        <v>113.42905405405406</v>
      </c>
      <c r="H23">
        <v>116.98113207547169</v>
      </c>
      <c r="I23">
        <v>120.93690248565964</v>
      </c>
      <c r="J23">
        <v>140.10938924339106</v>
      </c>
      <c r="K23">
        <v>133.8044758539458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DA0E4-7DAF-4413-A154-CCB0D2602B83}">
  <dimension ref="A1:I24"/>
  <sheetViews>
    <sheetView workbookViewId="0">
      <selection activeCell="D24" sqref="D24"/>
    </sheetView>
  </sheetViews>
  <sheetFormatPr baseColWidth="10" defaultColWidth="9.140625" defaultRowHeight="15" x14ac:dyDescent="0.25"/>
  <cols>
    <col min="1" max="1" width="42.42578125" customWidth="1"/>
  </cols>
  <sheetData>
    <row r="1" spans="1:9" x14ac:dyDescent="0.25">
      <c r="A1" t="s">
        <v>1</v>
      </c>
      <c r="B1" t="s">
        <v>73</v>
      </c>
      <c r="C1" t="s">
        <v>0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</row>
    <row r="2" spans="1:9" x14ac:dyDescent="0.25">
      <c r="A2" t="s">
        <v>13</v>
      </c>
      <c r="B2" t="s">
        <v>12</v>
      </c>
      <c r="C2" t="s">
        <v>12</v>
      </c>
      <c r="D2">
        <v>100</v>
      </c>
      <c r="E2">
        <v>83.920150053590575</v>
      </c>
      <c r="F2">
        <v>103.83365821962313</v>
      </c>
      <c r="G2">
        <v>83.920583199867451</v>
      </c>
      <c r="H2">
        <v>116.04982671810633</v>
      </c>
      <c r="I2">
        <v>106.29477728169452</v>
      </c>
    </row>
    <row r="3" spans="1:9" x14ac:dyDescent="0.25">
      <c r="A3" t="s">
        <v>11</v>
      </c>
      <c r="B3" t="s">
        <v>10</v>
      </c>
      <c r="C3" t="s">
        <v>10</v>
      </c>
      <c r="D3">
        <v>100</v>
      </c>
      <c r="E3">
        <v>106.04207457253361</v>
      </c>
      <c r="F3">
        <v>107.95318243373961</v>
      </c>
      <c r="G3">
        <v>100.89566310496542</v>
      </c>
      <c r="H3">
        <v>100.86373665206341</v>
      </c>
      <c r="I3">
        <v>114.98045806390549</v>
      </c>
    </row>
    <row r="4" spans="1:9" x14ac:dyDescent="0.25">
      <c r="A4" t="s">
        <v>15</v>
      </c>
      <c r="B4" t="s">
        <v>14</v>
      </c>
      <c r="C4" t="s">
        <v>14</v>
      </c>
      <c r="D4">
        <v>100</v>
      </c>
      <c r="E4">
        <v>85.086422035308246</v>
      </c>
      <c r="F4">
        <v>109.01820984680606</v>
      </c>
      <c r="G4">
        <v>15.063398140321219</v>
      </c>
      <c r="H4" s="5">
        <v>106.84288251024671</v>
      </c>
      <c r="I4" s="6">
        <v>106.20254993104743</v>
      </c>
    </row>
    <row r="5" spans="1:9" x14ac:dyDescent="0.25">
      <c r="A5" t="s">
        <v>29</v>
      </c>
      <c r="B5" t="s">
        <v>28</v>
      </c>
      <c r="C5" t="s">
        <v>28</v>
      </c>
      <c r="D5">
        <v>100</v>
      </c>
      <c r="E5">
        <v>78.778270406890996</v>
      </c>
      <c r="F5">
        <v>88.655700661283348</v>
      </c>
      <c r="G5">
        <v>120.22487885960045</v>
      </c>
      <c r="H5">
        <v>73.019214310590883</v>
      </c>
      <c r="I5">
        <v>100.24856061097496</v>
      </c>
    </row>
    <row r="6" spans="1:9" x14ac:dyDescent="0.25">
      <c r="A6" t="s">
        <v>45</v>
      </c>
      <c r="B6" t="s">
        <v>44</v>
      </c>
      <c r="C6" t="s">
        <v>44</v>
      </c>
      <c r="D6">
        <v>100</v>
      </c>
      <c r="E6">
        <v>114.12463450292398</v>
      </c>
      <c r="F6">
        <v>99.906303082326346</v>
      </c>
      <c r="G6">
        <v>93.517168418389645</v>
      </c>
      <c r="H6">
        <v>98.359907190604375</v>
      </c>
      <c r="I6">
        <v>134.59808747086339</v>
      </c>
    </row>
    <row r="7" spans="1:9" x14ac:dyDescent="0.25">
      <c r="A7" t="s">
        <v>47</v>
      </c>
      <c r="B7" t="s">
        <v>46</v>
      </c>
      <c r="C7" t="s">
        <v>46</v>
      </c>
      <c r="D7">
        <v>100</v>
      </c>
      <c r="E7">
        <v>102.19066903315586</v>
      </c>
      <c r="F7">
        <v>94.959246791859613</v>
      </c>
      <c r="G7">
        <v>94.179767837748301</v>
      </c>
      <c r="H7">
        <v>105.06046368327813</v>
      </c>
      <c r="I7">
        <v>102.94814384618911</v>
      </c>
    </row>
    <row r="8" spans="1:9" x14ac:dyDescent="0.25">
      <c r="A8" t="s">
        <v>39</v>
      </c>
      <c r="B8" t="s">
        <v>38</v>
      </c>
      <c r="C8" t="s">
        <v>38</v>
      </c>
      <c r="D8">
        <v>100</v>
      </c>
      <c r="E8">
        <v>102.10485532514275</v>
      </c>
      <c r="F8">
        <v>112.89131692944459</v>
      </c>
      <c r="G8">
        <v>137.6337281795511</v>
      </c>
      <c r="H8">
        <v>84.251370690239185</v>
      </c>
      <c r="I8">
        <v>117.75760152974009</v>
      </c>
    </row>
    <row r="9" spans="1:9" x14ac:dyDescent="0.25">
      <c r="A9" t="s">
        <v>53</v>
      </c>
      <c r="B9" t="s">
        <v>52</v>
      </c>
      <c r="C9" t="s">
        <v>52</v>
      </c>
      <c r="D9">
        <v>100</v>
      </c>
      <c r="E9">
        <v>110.71000081883462</v>
      </c>
      <c r="F9">
        <v>97.08217281809236</v>
      </c>
      <c r="G9">
        <v>91.291876366697821</v>
      </c>
      <c r="H9">
        <v>100.5920127257269</v>
      </c>
      <c r="I9">
        <v>117.44749353072154</v>
      </c>
    </row>
    <row r="10" spans="1:9" x14ac:dyDescent="0.25">
      <c r="A10" t="s">
        <v>51</v>
      </c>
      <c r="B10" t="s">
        <v>50</v>
      </c>
      <c r="C10" t="s">
        <v>50</v>
      </c>
      <c r="D10">
        <v>100</v>
      </c>
      <c r="E10">
        <v>115.75228124778948</v>
      </c>
      <c r="F10">
        <v>67.990048017348187</v>
      </c>
      <c r="G10">
        <v>119.7277523240033</v>
      </c>
      <c r="H10">
        <v>101.42370353037526</v>
      </c>
      <c r="I10">
        <v>110.1098857895461</v>
      </c>
    </row>
    <row r="11" spans="1:9" x14ac:dyDescent="0.25">
      <c r="A11" t="s">
        <v>37</v>
      </c>
      <c r="B11" t="s">
        <v>36</v>
      </c>
      <c r="C11" t="s">
        <v>36</v>
      </c>
      <c r="D11">
        <v>100</v>
      </c>
      <c r="E11">
        <v>107.08896430519363</v>
      </c>
      <c r="F11">
        <v>97.562678402573425</v>
      </c>
      <c r="G11">
        <v>97.524336970385903</v>
      </c>
      <c r="H11">
        <v>88.021157436216541</v>
      </c>
      <c r="I11">
        <v>107.57674469108227</v>
      </c>
    </row>
    <row r="12" spans="1:9" x14ac:dyDescent="0.25">
      <c r="A12" t="s">
        <v>25</v>
      </c>
      <c r="B12" t="s">
        <v>24</v>
      </c>
      <c r="C12" t="s">
        <v>24</v>
      </c>
      <c r="D12">
        <v>100</v>
      </c>
      <c r="E12">
        <v>99.779460834746828</v>
      </c>
      <c r="F12">
        <v>101.11093424853246</v>
      </c>
      <c r="G12">
        <v>89.605701937396759</v>
      </c>
      <c r="H12">
        <v>105.59949303341172</v>
      </c>
      <c r="I12">
        <v>88.55771450914564</v>
      </c>
    </row>
    <row r="13" spans="1:9" x14ac:dyDescent="0.25">
      <c r="A13" t="s">
        <v>19</v>
      </c>
      <c r="B13" t="s">
        <v>18</v>
      </c>
      <c r="C13" t="s">
        <v>18</v>
      </c>
      <c r="D13">
        <v>100</v>
      </c>
      <c r="E13">
        <v>99.667912602435322</v>
      </c>
      <c r="F13">
        <v>99.634777461372906</v>
      </c>
      <c r="G13">
        <v>91.134010156763608</v>
      </c>
      <c r="H13">
        <v>98.89257900106675</v>
      </c>
      <c r="I13">
        <v>109.28697630462942</v>
      </c>
    </row>
    <row r="14" spans="1:9" x14ac:dyDescent="0.25">
      <c r="A14" t="s">
        <v>35</v>
      </c>
      <c r="B14" t="s">
        <v>34</v>
      </c>
      <c r="C14" t="s">
        <v>34</v>
      </c>
      <c r="D14">
        <v>100</v>
      </c>
      <c r="E14">
        <v>92.200967512216678</v>
      </c>
      <c r="F14">
        <v>92.546823387380741</v>
      </c>
      <c r="G14">
        <v>90.905810176831466</v>
      </c>
      <c r="H14">
        <v>106.05258736559138</v>
      </c>
      <c r="I14">
        <v>127.00031785476926</v>
      </c>
    </row>
    <row r="15" spans="1:9" x14ac:dyDescent="0.25">
      <c r="A15" t="s">
        <v>21</v>
      </c>
      <c r="B15" t="s">
        <v>20</v>
      </c>
      <c r="C15" t="s">
        <v>20</v>
      </c>
      <c r="D15">
        <v>100</v>
      </c>
      <c r="E15">
        <v>92.200967512216678</v>
      </c>
      <c r="F15">
        <v>87.616939848461428</v>
      </c>
      <c r="G15">
        <v>84.676117145139642</v>
      </c>
      <c r="H15">
        <v>100.84374706379779</v>
      </c>
      <c r="I15">
        <v>106.20374616705783</v>
      </c>
    </row>
    <row r="16" spans="1:9" x14ac:dyDescent="0.25">
      <c r="A16" t="s">
        <v>43</v>
      </c>
      <c r="B16" t="s">
        <v>42</v>
      </c>
      <c r="C16" t="s">
        <v>42</v>
      </c>
      <c r="D16">
        <v>100</v>
      </c>
      <c r="E16">
        <v>113.55628545834577</v>
      </c>
      <c r="F16">
        <v>105.1727595952229</v>
      </c>
      <c r="G16">
        <v>78.68164177349172</v>
      </c>
      <c r="H16">
        <v>76.489217312622543</v>
      </c>
      <c r="I16">
        <v>193.20352629865997</v>
      </c>
    </row>
    <row r="17" spans="1:9" x14ac:dyDescent="0.25">
      <c r="A17" t="s">
        <v>41</v>
      </c>
      <c r="B17" t="s">
        <v>40</v>
      </c>
      <c r="C17" t="s">
        <v>40</v>
      </c>
      <c r="D17">
        <v>100</v>
      </c>
      <c r="E17">
        <v>94.22824542305473</v>
      </c>
      <c r="F17">
        <v>101.52459251217564</v>
      </c>
      <c r="G17">
        <v>82.751884311746011</v>
      </c>
      <c r="H17">
        <v>86.584997736076872</v>
      </c>
      <c r="I17">
        <v>116.88172338215578</v>
      </c>
    </row>
    <row r="18" spans="1:9" x14ac:dyDescent="0.25">
      <c r="A18" t="s">
        <v>33</v>
      </c>
      <c r="B18" t="s">
        <v>32</v>
      </c>
      <c r="C18" t="s">
        <v>32</v>
      </c>
      <c r="D18">
        <v>100</v>
      </c>
      <c r="E18">
        <v>105.55297286032605</v>
      </c>
      <c r="F18">
        <v>107.57501035645949</v>
      </c>
      <c r="G18">
        <v>103.97588522588521</v>
      </c>
      <c r="H18">
        <v>97.923952016289675</v>
      </c>
      <c r="I18">
        <v>100.32259396943412</v>
      </c>
    </row>
    <row r="19" spans="1:9" x14ac:dyDescent="0.25">
      <c r="A19" t="s">
        <v>17</v>
      </c>
      <c r="B19" t="s">
        <v>16</v>
      </c>
      <c r="C19" t="s">
        <v>16</v>
      </c>
      <c r="D19">
        <v>100</v>
      </c>
      <c r="E19">
        <v>105.47990751728935</v>
      </c>
      <c r="F19">
        <v>93.455427693275723</v>
      </c>
      <c r="G19">
        <v>92.665268495282476</v>
      </c>
      <c r="H19">
        <v>102.23340806226473</v>
      </c>
      <c r="I19">
        <v>112.59071846152963</v>
      </c>
    </row>
    <row r="20" spans="1:9" x14ac:dyDescent="0.25">
      <c r="A20" t="s">
        <v>31</v>
      </c>
      <c r="B20" t="s">
        <v>30</v>
      </c>
      <c r="C20" t="s">
        <v>30</v>
      </c>
      <c r="D20">
        <v>100</v>
      </c>
      <c r="E20">
        <v>99.431553375785725</v>
      </c>
      <c r="F20">
        <v>101.93081547900744</v>
      </c>
      <c r="G20">
        <v>100.18340121927847</v>
      </c>
      <c r="H20">
        <v>101.00480325701258</v>
      </c>
      <c r="I20">
        <v>99.157550875022267</v>
      </c>
    </row>
    <row r="21" spans="1:9" x14ac:dyDescent="0.25">
      <c r="A21" t="s">
        <v>27</v>
      </c>
      <c r="B21" t="s">
        <v>26</v>
      </c>
      <c r="C21" t="s">
        <v>26</v>
      </c>
      <c r="D21">
        <v>100</v>
      </c>
      <c r="E21">
        <v>102.1322358358169</v>
      </c>
      <c r="F21">
        <v>97.829249060272687</v>
      </c>
      <c r="G21">
        <v>86.039354206488497</v>
      </c>
      <c r="H21">
        <v>97.815365306131042</v>
      </c>
      <c r="I21">
        <v>136.11617005701788</v>
      </c>
    </row>
    <row r="22" spans="1:9" x14ac:dyDescent="0.25">
      <c r="A22" t="s">
        <v>7</v>
      </c>
      <c r="B22" t="s">
        <v>6</v>
      </c>
      <c r="C22" t="s">
        <v>6</v>
      </c>
      <c r="D22">
        <v>100</v>
      </c>
      <c r="E22">
        <v>99.409000000000006</v>
      </c>
      <c r="F22">
        <v>100.58648445392234</v>
      </c>
      <c r="G22">
        <v>94.751196880068576</v>
      </c>
      <c r="H22">
        <v>99.2</v>
      </c>
      <c r="I22">
        <v>113.1</v>
      </c>
    </row>
    <row r="23" spans="1:9" x14ac:dyDescent="0.25">
      <c r="A23" t="s">
        <v>55</v>
      </c>
      <c r="B23" t="s">
        <v>54</v>
      </c>
      <c r="C23" t="s">
        <v>54</v>
      </c>
      <c r="D23">
        <v>100</v>
      </c>
      <c r="E23">
        <v>101.54528399513687</v>
      </c>
      <c r="F23">
        <v>94.943803273742176</v>
      </c>
      <c r="G23">
        <v>110.86475942782835</v>
      </c>
      <c r="H23">
        <v>103.71237467449268</v>
      </c>
      <c r="I23">
        <v>109.95244477332353</v>
      </c>
    </row>
    <row r="24" spans="1:9" x14ac:dyDescent="0.25">
      <c r="A24" t="s">
        <v>23</v>
      </c>
      <c r="B24" t="s">
        <v>22</v>
      </c>
      <c r="C24" t="s">
        <v>22</v>
      </c>
      <c r="D24">
        <v>100</v>
      </c>
      <c r="E24">
        <v>111.02751582482884</v>
      </c>
      <c r="F24">
        <v>121.15843969449998</v>
      </c>
      <c r="G24">
        <v>89.119954116040347</v>
      </c>
      <c r="H24">
        <v>106.1503986070919</v>
      </c>
      <c r="I24">
        <v>100.16530653906861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A0C3-B1DE-4DE0-9495-C139092E5062}">
  <dimension ref="A1:L26"/>
  <sheetViews>
    <sheetView workbookViewId="0">
      <selection activeCell="C6" sqref="C6"/>
    </sheetView>
  </sheetViews>
  <sheetFormatPr baseColWidth="10" defaultColWidth="9.140625" defaultRowHeight="15" x14ac:dyDescent="0.25"/>
  <cols>
    <col min="1" max="1" width="41.140625" customWidth="1"/>
  </cols>
  <sheetData>
    <row r="1" spans="1:12" x14ac:dyDescent="0.25">
      <c r="A1" t="s">
        <v>1</v>
      </c>
      <c r="B1" t="s">
        <v>73</v>
      </c>
      <c r="C1" t="s">
        <v>0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 s="3">
        <v>2023</v>
      </c>
      <c r="L1" s="4">
        <v>2024</v>
      </c>
    </row>
    <row r="2" spans="1:12" x14ac:dyDescent="0.25">
      <c r="A2" t="s">
        <v>13</v>
      </c>
      <c r="B2" t="s">
        <v>12</v>
      </c>
      <c r="C2" t="s">
        <v>12</v>
      </c>
      <c r="D2">
        <v>108.13390262279789</v>
      </c>
      <c r="E2">
        <v>109.59389772238934</v>
      </c>
      <c r="F2">
        <v>109.48101000209833</v>
      </c>
      <c r="G2">
        <v>107.79490320166036</v>
      </c>
      <c r="H2">
        <v>113.2981530343008</v>
      </c>
      <c r="I2">
        <v>130.8462177888612</v>
      </c>
      <c r="J2">
        <v>152.13320104179587</v>
      </c>
      <c r="K2">
        <v>161.42705205205206</v>
      </c>
      <c r="L2">
        <v>163.6118602631376</v>
      </c>
    </row>
    <row r="3" spans="1:12" x14ac:dyDescent="0.25">
      <c r="A3" t="s">
        <v>11</v>
      </c>
      <c r="B3" t="s">
        <v>10</v>
      </c>
      <c r="C3" t="s">
        <v>10</v>
      </c>
      <c r="D3">
        <v>108.13390262279789</v>
      </c>
      <c r="E3">
        <v>109.59389772238934</v>
      </c>
      <c r="F3">
        <v>109.48101000209833</v>
      </c>
      <c r="G3">
        <v>107.79490320166036</v>
      </c>
      <c r="H3">
        <v>113.2981530343008</v>
      </c>
      <c r="I3">
        <v>130.8462177888612</v>
      </c>
      <c r="J3">
        <v>152.13320104179587</v>
      </c>
      <c r="K3">
        <v>161.42705205205206</v>
      </c>
      <c r="L3">
        <v>163.6118602631376</v>
      </c>
    </row>
    <row r="4" spans="1:12" x14ac:dyDescent="0.25">
      <c r="A4" t="s">
        <v>15</v>
      </c>
      <c r="B4" t="s">
        <v>14</v>
      </c>
      <c r="C4" t="s">
        <v>14</v>
      </c>
      <c r="D4">
        <v>108.13390262279789</v>
      </c>
      <c r="E4">
        <v>109.59389772238934</v>
      </c>
      <c r="F4">
        <v>109.48101000209833</v>
      </c>
      <c r="G4">
        <v>107.79490320166036</v>
      </c>
      <c r="H4">
        <v>113.2981530343008</v>
      </c>
      <c r="I4">
        <v>130.8462177888612</v>
      </c>
      <c r="J4">
        <v>152.13320104179587</v>
      </c>
      <c r="K4">
        <v>161.42705205205206</v>
      </c>
      <c r="L4">
        <v>163.6118602631376</v>
      </c>
    </row>
    <row r="5" spans="1:12" x14ac:dyDescent="0.25">
      <c r="A5" t="s">
        <v>29</v>
      </c>
      <c r="B5" t="s">
        <v>28</v>
      </c>
      <c r="C5" t="s">
        <v>28</v>
      </c>
      <c r="D5">
        <v>102.77770286669723</v>
      </c>
      <c r="E5">
        <v>105.26159814645186</v>
      </c>
      <c r="F5">
        <v>112.17530305048622</v>
      </c>
      <c r="G5">
        <v>118.69709433461591</v>
      </c>
      <c r="H5">
        <v>118.10861036547595</v>
      </c>
      <c r="I5">
        <v>132.87112134372873</v>
      </c>
      <c r="J5">
        <v>151.85822859532183</v>
      </c>
      <c r="K5">
        <v>168.32028718153262</v>
      </c>
      <c r="L5">
        <v>172.97637347732297</v>
      </c>
    </row>
    <row r="6" spans="1:12" x14ac:dyDescent="0.25">
      <c r="A6" t="s">
        <v>45</v>
      </c>
      <c r="B6" t="s">
        <v>38</v>
      </c>
      <c r="C6" t="s">
        <v>44</v>
      </c>
      <c r="D6">
        <v>102.51522892513263</v>
      </c>
      <c r="E6">
        <v>99.679417122040064</v>
      </c>
      <c r="F6">
        <v>104.24030786773091</v>
      </c>
      <c r="G6">
        <v>113.14261733230748</v>
      </c>
      <c r="H6">
        <v>117.21797472304571</v>
      </c>
      <c r="I6">
        <v>116.54382732297972</v>
      </c>
      <c r="J6">
        <v>127.33247271447013</v>
      </c>
      <c r="K6">
        <v>134.88787580088714</v>
      </c>
      <c r="L6">
        <v>138.01191044239673</v>
      </c>
    </row>
    <row r="7" spans="1:12" x14ac:dyDescent="0.25">
      <c r="A7" t="s">
        <v>47</v>
      </c>
      <c r="B7" t="s">
        <v>46</v>
      </c>
      <c r="C7" t="s">
        <v>46</v>
      </c>
      <c r="D7">
        <v>100.88591184096802</v>
      </c>
      <c r="E7">
        <v>85.341418402320073</v>
      </c>
      <c r="F7">
        <v>85.879036391594056</v>
      </c>
      <c r="G7">
        <v>89.133700550826248</v>
      </c>
      <c r="H7">
        <v>86.616161616161619</v>
      </c>
      <c r="I7">
        <v>86.192358366271407</v>
      </c>
      <c r="J7">
        <v>94.9164509296305</v>
      </c>
      <c r="K7">
        <v>94.557974233673932</v>
      </c>
      <c r="L7">
        <v>94.840007282247782</v>
      </c>
    </row>
    <row r="8" spans="1:12" x14ac:dyDescent="0.25">
      <c r="A8" t="s">
        <v>39</v>
      </c>
      <c r="B8" t="s">
        <v>38</v>
      </c>
      <c r="C8" t="s">
        <v>38</v>
      </c>
      <c r="D8">
        <v>102.51522892513263</v>
      </c>
      <c r="E8">
        <v>99.679417122040064</v>
      </c>
      <c r="F8">
        <v>104.24030786773091</v>
      </c>
      <c r="G8">
        <v>113.14261733230748</v>
      </c>
      <c r="H8">
        <v>117.21797472304571</v>
      </c>
      <c r="I8">
        <v>116.54382732297972</v>
      </c>
      <c r="J8">
        <v>127.33247271447013</v>
      </c>
      <c r="K8">
        <v>134.88787580088714</v>
      </c>
      <c r="L8">
        <v>138.01191044239673</v>
      </c>
    </row>
    <row r="9" spans="1:12" x14ac:dyDescent="0.25">
      <c r="A9" t="s">
        <v>53</v>
      </c>
      <c r="B9" t="s">
        <v>52</v>
      </c>
      <c r="C9" t="s">
        <v>52</v>
      </c>
      <c r="D9">
        <v>98.430873621713317</v>
      </c>
      <c r="E9">
        <v>93.483816013628612</v>
      </c>
      <c r="F9">
        <v>96.00509987250318</v>
      </c>
      <c r="G9">
        <v>95.664860358482713</v>
      </c>
      <c r="H9">
        <v>101.59760359460807</v>
      </c>
      <c r="I9">
        <v>109.15633746501399</v>
      </c>
      <c r="J9">
        <v>123.41696535244921</v>
      </c>
      <c r="K9">
        <v>134.61036134087939</v>
      </c>
      <c r="L9">
        <v>140.58265930486002</v>
      </c>
    </row>
    <row r="10" spans="1:12" x14ac:dyDescent="0.25">
      <c r="A10" t="s">
        <v>51</v>
      </c>
      <c r="B10" t="s">
        <v>50</v>
      </c>
      <c r="C10" t="s">
        <v>50</v>
      </c>
      <c r="D10">
        <v>104.41419141914193</v>
      </c>
      <c r="E10">
        <v>100</v>
      </c>
      <c r="F10">
        <v>100.12126111560227</v>
      </c>
      <c r="G10">
        <v>106.83962264150944</v>
      </c>
      <c r="H10">
        <v>96.579108124618202</v>
      </c>
      <c r="I10">
        <v>102.44127130354674</v>
      </c>
      <c r="J10">
        <v>111.73657100809417</v>
      </c>
      <c r="K10">
        <v>140.04004004004005</v>
      </c>
      <c r="L10">
        <v>143.39897924024464</v>
      </c>
    </row>
    <row r="11" spans="1:12" x14ac:dyDescent="0.25">
      <c r="A11" t="s">
        <v>37</v>
      </c>
      <c r="B11" t="s">
        <v>36</v>
      </c>
      <c r="C11" t="s">
        <v>36</v>
      </c>
      <c r="D11">
        <v>102.86929621036349</v>
      </c>
      <c r="E11">
        <v>96.67601121345615</v>
      </c>
      <c r="F11">
        <v>98.675277363801953</v>
      </c>
      <c r="G11">
        <v>101.51133501259446</v>
      </c>
      <c r="H11">
        <v>108.28695114409399</v>
      </c>
      <c r="I11">
        <v>112.57716760342763</v>
      </c>
      <c r="J11">
        <v>125.99912549191079</v>
      </c>
      <c r="K11">
        <v>143.02692664809658</v>
      </c>
      <c r="L11">
        <v>149.32695276938932</v>
      </c>
    </row>
    <row r="12" spans="1:12" x14ac:dyDescent="0.25">
      <c r="A12" t="s">
        <v>25</v>
      </c>
      <c r="B12" t="s">
        <v>24</v>
      </c>
      <c r="C12" t="s">
        <v>24</v>
      </c>
      <c r="D12">
        <v>89.82122260668973</v>
      </c>
      <c r="E12">
        <v>91.645640594336982</v>
      </c>
      <c r="F12">
        <v>93.849473968168326</v>
      </c>
      <c r="G12">
        <v>101.30007959671002</v>
      </c>
      <c r="H12">
        <v>106.78014184397162</v>
      </c>
      <c r="I12">
        <v>117.20519193592931</v>
      </c>
      <c r="J12">
        <v>148.24861732947062</v>
      </c>
      <c r="K12">
        <v>149.12551440329219</v>
      </c>
      <c r="L12">
        <v>149.28622849878229</v>
      </c>
    </row>
    <row r="13" spans="1:12" x14ac:dyDescent="0.25">
      <c r="A13" t="s">
        <v>19</v>
      </c>
      <c r="B13" t="s">
        <v>18</v>
      </c>
      <c r="C13" t="s">
        <v>18</v>
      </c>
      <c r="D13">
        <v>99.916782246879336</v>
      </c>
      <c r="E13">
        <v>99.039010466222649</v>
      </c>
      <c r="F13">
        <v>100.14427238626527</v>
      </c>
      <c r="G13">
        <v>106.69340208154301</v>
      </c>
      <c r="H13">
        <v>101.56534401164907</v>
      </c>
      <c r="I13">
        <v>105.34109389711546</v>
      </c>
      <c r="J13">
        <v>111.88768502975736</v>
      </c>
      <c r="K13">
        <v>123.58688066992323</v>
      </c>
      <c r="L13">
        <v>127.19573979582599</v>
      </c>
    </row>
    <row r="14" spans="1:12" x14ac:dyDescent="0.25">
      <c r="A14" t="s">
        <v>35</v>
      </c>
      <c r="B14" t="s">
        <v>34</v>
      </c>
      <c r="C14" t="s">
        <v>34</v>
      </c>
      <c r="D14">
        <v>100.10467550593161</v>
      </c>
      <c r="E14">
        <v>96.6089720946662</v>
      </c>
      <c r="F14">
        <v>100.71380013596195</v>
      </c>
      <c r="G14">
        <v>104.85564304461943</v>
      </c>
      <c r="H14">
        <v>107.41367637102235</v>
      </c>
      <c r="I14">
        <v>106.3913470993117</v>
      </c>
      <c r="J14">
        <v>111.92228436856048</v>
      </c>
      <c r="K14">
        <v>117.37179487179488</v>
      </c>
      <c r="L14">
        <v>116.97149532860669</v>
      </c>
    </row>
    <row r="15" spans="1:12" x14ac:dyDescent="0.25">
      <c r="A15" t="s">
        <v>21</v>
      </c>
      <c r="B15" t="s">
        <v>20</v>
      </c>
      <c r="C15" t="s">
        <v>20</v>
      </c>
      <c r="D15">
        <v>100.16565433462175</v>
      </c>
      <c r="E15">
        <v>90.148596587782066</v>
      </c>
      <c r="F15">
        <v>90.744101633393825</v>
      </c>
      <c r="G15">
        <v>93.693693693693689</v>
      </c>
      <c r="H15">
        <v>90.465631929046566</v>
      </c>
      <c r="I15">
        <v>88.17442719881744</v>
      </c>
      <c r="J15">
        <v>96.587743732590525</v>
      </c>
      <c r="K15">
        <v>105.40746382330542</v>
      </c>
      <c r="L15">
        <v>108.33967580522403</v>
      </c>
    </row>
    <row r="16" spans="1:12" x14ac:dyDescent="0.25">
      <c r="A16" t="s">
        <v>43</v>
      </c>
      <c r="B16" t="s">
        <v>44</v>
      </c>
      <c r="C16" t="s">
        <v>42</v>
      </c>
      <c r="D16">
        <v>103.86686245717082</v>
      </c>
      <c r="E16">
        <v>101.03092783505154</v>
      </c>
      <c r="F16">
        <v>103.4296913277805</v>
      </c>
      <c r="G16">
        <v>105.34531693472091</v>
      </c>
      <c r="H16">
        <v>108.3208769307424</v>
      </c>
      <c r="I16">
        <v>102.50215703192407</v>
      </c>
      <c r="J16">
        <v>110.16042780748663</v>
      </c>
      <c r="K16">
        <v>125.16080211880438</v>
      </c>
      <c r="L16">
        <v>126.21137955006414</v>
      </c>
    </row>
    <row r="17" spans="1:12" x14ac:dyDescent="0.25">
      <c r="A17" t="s">
        <v>41</v>
      </c>
      <c r="B17" t="s">
        <v>40</v>
      </c>
      <c r="C17" t="s">
        <v>40</v>
      </c>
      <c r="D17">
        <v>102.54374594944913</v>
      </c>
      <c r="E17">
        <v>108.77869283336254</v>
      </c>
      <c r="F17">
        <v>118.85551803803092</v>
      </c>
      <c r="G17">
        <v>135.26714865103156</v>
      </c>
      <c r="H17">
        <v>148.32336414718142</v>
      </c>
      <c r="I17">
        <v>147.1362344848213</v>
      </c>
      <c r="J17">
        <v>161.05854929384341</v>
      </c>
      <c r="K17">
        <v>165.07300314915545</v>
      </c>
      <c r="L17">
        <v>170.90279379183318</v>
      </c>
    </row>
    <row r="18" spans="1:12" x14ac:dyDescent="0.25">
      <c r="A18" t="s">
        <v>33</v>
      </c>
      <c r="B18" t="s">
        <v>32</v>
      </c>
      <c r="C18" t="s">
        <v>32</v>
      </c>
      <c r="D18">
        <v>111.55695572873488</v>
      </c>
      <c r="E18">
        <v>113.00698138297874</v>
      </c>
      <c r="F18">
        <v>116.23519804001634</v>
      </c>
      <c r="G18">
        <v>120.54498961163497</v>
      </c>
      <c r="H18">
        <v>132.85135916714864</v>
      </c>
      <c r="I18">
        <v>149.08233212943171</v>
      </c>
      <c r="J18">
        <v>165.90048861055675</v>
      </c>
      <c r="K18">
        <v>184.52903504353458</v>
      </c>
      <c r="L18">
        <v>186.34934170782972</v>
      </c>
    </row>
    <row r="19" spans="1:12" x14ac:dyDescent="0.25">
      <c r="A19" t="s">
        <v>17</v>
      </c>
      <c r="B19" t="s">
        <v>16</v>
      </c>
      <c r="C19" t="s">
        <v>16</v>
      </c>
      <c r="D19">
        <v>99.866725899600169</v>
      </c>
      <c r="E19">
        <v>100.89727366846888</v>
      </c>
      <c r="F19">
        <v>102.09646007561004</v>
      </c>
      <c r="G19">
        <v>109.28924876293297</v>
      </c>
      <c r="H19">
        <v>103.87788778877889</v>
      </c>
      <c r="I19">
        <v>108.48218643240605</v>
      </c>
      <c r="J19">
        <v>114.85294117647058</v>
      </c>
      <c r="K19">
        <v>127.02702702702702</v>
      </c>
      <c r="L19">
        <v>130.75471892197706</v>
      </c>
    </row>
    <row r="20" spans="1:12" x14ac:dyDescent="0.25">
      <c r="A20" t="s">
        <v>31</v>
      </c>
      <c r="B20" t="s">
        <v>32</v>
      </c>
      <c r="C20" t="s">
        <v>30</v>
      </c>
      <c r="D20">
        <v>111.55695572873488</v>
      </c>
      <c r="E20">
        <v>113.00698138297874</v>
      </c>
      <c r="F20">
        <v>116.23519804001634</v>
      </c>
      <c r="G20">
        <v>120.54498961163497</v>
      </c>
      <c r="H20">
        <v>132.85135916714864</v>
      </c>
      <c r="I20">
        <v>149.08233212943171</v>
      </c>
      <c r="J20">
        <v>165.90048861055675</v>
      </c>
      <c r="K20">
        <v>184.52903504353458</v>
      </c>
      <c r="L20">
        <v>186.34934170782972</v>
      </c>
    </row>
    <row r="21" spans="1:12" x14ac:dyDescent="0.25">
      <c r="A21" t="s">
        <v>49</v>
      </c>
      <c r="B21" t="s">
        <v>50</v>
      </c>
      <c r="C21" t="s">
        <v>48</v>
      </c>
      <c r="D21">
        <v>104.41419141914193</v>
      </c>
      <c r="E21">
        <v>100</v>
      </c>
      <c r="F21">
        <v>100.12126111560227</v>
      </c>
      <c r="G21">
        <v>106.83962264150944</v>
      </c>
      <c r="H21">
        <v>96.579108124618202</v>
      </c>
      <c r="I21">
        <v>102.44127130354674</v>
      </c>
      <c r="J21">
        <v>111.73657100809417</v>
      </c>
      <c r="K21">
        <v>140.04004004004005</v>
      </c>
      <c r="L21">
        <v>143.39897924024464</v>
      </c>
    </row>
    <row r="22" spans="1:12" x14ac:dyDescent="0.25">
      <c r="A22" t="s">
        <v>27</v>
      </c>
      <c r="B22" t="s">
        <v>26</v>
      </c>
      <c r="C22" t="s">
        <v>26</v>
      </c>
      <c r="D22">
        <v>92.212885154061624</v>
      </c>
      <c r="E22">
        <v>83.449477351916386</v>
      </c>
      <c r="F22">
        <v>84.759671746776093</v>
      </c>
      <c r="G22">
        <v>87.935174069627848</v>
      </c>
      <c r="H22">
        <v>91.310072416063207</v>
      </c>
      <c r="I22">
        <v>92.390653085680057</v>
      </c>
      <c r="J22">
        <v>103.24499729583559</v>
      </c>
      <c r="K22">
        <v>107.00496414782128</v>
      </c>
      <c r="L22">
        <v>107.24718578472417</v>
      </c>
    </row>
    <row r="23" spans="1:12" x14ac:dyDescent="0.25">
      <c r="A23" t="s">
        <v>7</v>
      </c>
      <c r="B23" t="s">
        <v>6</v>
      </c>
      <c r="C23" t="s">
        <v>6</v>
      </c>
      <c r="D23">
        <v>103.12603149331107</v>
      </c>
      <c r="E23">
        <v>103.84337766351905</v>
      </c>
      <c r="F23">
        <v>107.33725043117308</v>
      </c>
      <c r="G23">
        <v>111.52512998266897</v>
      </c>
      <c r="H23">
        <v>113.64080039043436</v>
      </c>
      <c r="I23">
        <v>124.75015411054864</v>
      </c>
      <c r="J23">
        <v>141.61327092796324</v>
      </c>
      <c r="K23">
        <v>152.91579358596442</v>
      </c>
      <c r="L23">
        <v>156.21338362382815</v>
      </c>
    </row>
    <row r="24" spans="1:12" x14ac:dyDescent="0.25">
      <c r="A24" t="s">
        <v>55</v>
      </c>
      <c r="B24" t="s">
        <v>54</v>
      </c>
      <c r="C24" t="s">
        <v>54</v>
      </c>
      <c r="D24">
        <v>103.12603149331107</v>
      </c>
      <c r="E24">
        <v>103.84337766351905</v>
      </c>
      <c r="F24">
        <v>107.33725043117308</v>
      </c>
      <c r="G24">
        <v>111.52512998266897</v>
      </c>
      <c r="H24">
        <v>113.64080039043436</v>
      </c>
      <c r="I24">
        <v>124.75015411054864</v>
      </c>
      <c r="J24">
        <v>141.61327092796324</v>
      </c>
      <c r="K24">
        <v>152.91579358596442</v>
      </c>
      <c r="L24">
        <v>156.21338362382815</v>
      </c>
    </row>
    <row r="25" spans="1:12" x14ac:dyDescent="0.25">
      <c r="A25" t="s">
        <v>23</v>
      </c>
      <c r="B25" t="s">
        <v>22</v>
      </c>
      <c r="C25" t="s">
        <v>22</v>
      </c>
      <c r="D25">
        <v>100.77519379844961</v>
      </c>
      <c r="E25">
        <v>97.413024085637829</v>
      </c>
      <c r="F25">
        <v>100.77821011673151</v>
      </c>
      <c r="G25">
        <v>104.66321243523315</v>
      </c>
      <c r="H25">
        <v>110.06787330316743</v>
      </c>
      <c r="I25">
        <v>101.52008686210641</v>
      </c>
      <c r="J25">
        <v>107.55064456721914</v>
      </c>
      <c r="K25">
        <v>119.05759162303664</v>
      </c>
      <c r="L25">
        <v>125.41011273881048</v>
      </c>
    </row>
    <row r="26" spans="1:12" x14ac:dyDescent="0.25">
      <c r="A26" t="s">
        <v>57</v>
      </c>
      <c r="B26" t="s">
        <v>46</v>
      </c>
      <c r="C26" t="s">
        <v>56</v>
      </c>
      <c r="D26">
        <v>100.88591184096802</v>
      </c>
      <c r="E26">
        <v>85.341418402320073</v>
      </c>
      <c r="F26">
        <v>85.879036391594056</v>
      </c>
      <c r="G26">
        <v>89.133700550826248</v>
      </c>
      <c r="H26">
        <v>86.616161616161619</v>
      </c>
      <c r="I26">
        <v>86.192358366271407</v>
      </c>
      <c r="J26">
        <v>94.9164509296305</v>
      </c>
      <c r="K26">
        <v>94.557974233673932</v>
      </c>
      <c r="L26">
        <v>94.840007282247782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FDF1F-B729-4E3B-9D41-E3E488B8376D}">
  <dimension ref="A1:I26"/>
  <sheetViews>
    <sheetView workbookViewId="0">
      <selection activeCell="C5" sqref="C5"/>
    </sheetView>
  </sheetViews>
  <sheetFormatPr baseColWidth="10" defaultColWidth="9.140625" defaultRowHeight="15" x14ac:dyDescent="0.25"/>
  <cols>
    <col min="1" max="1" width="40" customWidth="1"/>
    <col min="2" max="2" width="6.28515625" bestFit="1" customWidth="1"/>
    <col min="3" max="3" width="6.28515625" customWidth="1"/>
  </cols>
  <sheetData>
    <row r="1" spans="1:9" x14ac:dyDescent="0.25">
      <c r="A1" t="s">
        <v>1</v>
      </c>
      <c r="B1" t="s">
        <v>73</v>
      </c>
      <c r="C1" t="s">
        <v>0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</row>
    <row r="2" spans="1:9" x14ac:dyDescent="0.25">
      <c r="A2" t="s">
        <v>13</v>
      </c>
      <c r="B2" t="s">
        <v>12</v>
      </c>
      <c r="C2" t="s">
        <v>12</v>
      </c>
      <c r="D2">
        <v>103.91827025190095</v>
      </c>
      <c r="E2" cm="1">
        <f t="array" ref="E2:I2">_xlfn.XLOOKUP(B2,[2]Industria!$A$2:$A$30,[2]Industria!$C$2:$G$30)</f>
        <v>114.03015813463395</v>
      </c>
      <c r="F2">
        <v>99.301777294160317</v>
      </c>
      <c r="G2">
        <v>95.364422568894085</v>
      </c>
      <c r="H2">
        <v>122.22156406877045</v>
      </c>
      <c r="I2">
        <v>114.53670231695668</v>
      </c>
    </row>
    <row r="3" spans="1:9" x14ac:dyDescent="0.25">
      <c r="A3" t="s">
        <v>11</v>
      </c>
      <c r="B3" t="s">
        <v>12</v>
      </c>
      <c r="C3" t="s">
        <v>10</v>
      </c>
      <c r="D3">
        <v>103.91827025190095</v>
      </c>
      <c r="E3" cm="1">
        <f t="array" ref="E3:I3">_xlfn.XLOOKUP(B3,[2]Industria!$A$2:$A$30,[2]Industria!$C$2:$G$30)</f>
        <v>114.03015813463395</v>
      </c>
      <c r="F3">
        <v>99.301777294160317</v>
      </c>
      <c r="G3">
        <v>95.364422568894085</v>
      </c>
      <c r="H3">
        <v>122.22156406877045</v>
      </c>
      <c r="I3">
        <v>114.53670231695668</v>
      </c>
    </row>
    <row r="4" spans="1:9" x14ac:dyDescent="0.25">
      <c r="A4" t="s">
        <v>15</v>
      </c>
      <c r="B4" t="s">
        <v>14</v>
      </c>
      <c r="C4" t="s">
        <v>14</v>
      </c>
      <c r="D4">
        <v>101.3673415724428</v>
      </c>
      <c r="E4" cm="1">
        <f t="array" ref="E4:I4">_xlfn.XLOOKUP(B4,[2]Industria!$A$2:$A$30,[2]Industria!$C$2:$G$30)</f>
        <v>82.944109157701391</v>
      </c>
      <c r="F4">
        <v>113.17535545023696</v>
      </c>
      <c r="G4">
        <v>96.855828220858896</v>
      </c>
      <c r="H4">
        <v>99.84375</v>
      </c>
      <c r="I4">
        <v>89.15040183696901</v>
      </c>
    </row>
    <row r="5" spans="1:9" x14ac:dyDescent="0.25">
      <c r="A5" t="s">
        <v>29</v>
      </c>
      <c r="B5" t="s">
        <v>28</v>
      </c>
      <c r="C5" t="s">
        <v>28</v>
      </c>
      <c r="D5">
        <v>206.06382664659168</v>
      </c>
      <c r="E5" cm="1">
        <f t="array" ref="E5:I5">_xlfn.XLOOKUP(B5,[2]Industria!$A$2:$A$30,[2]Industria!$C$2:$G$30)</f>
        <v>84.092029580936739</v>
      </c>
      <c r="F5">
        <v>76.738748210045486</v>
      </c>
      <c r="G5">
        <v>136.58590743116551</v>
      </c>
      <c r="H5">
        <v>112.73683132488989</v>
      </c>
      <c r="I5">
        <v>134.82428592791985</v>
      </c>
    </row>
    <row r="6" spans="1:9" x14ac:dyDescent="0.25">
      <c r="A6" t="s">
        <v>45</v>
      </c>
      <c r="B6" t="s">
        <v>44</v>
      </c>
      <c r="C6" t="s">
        <v>44</v>
      </c>
      <c r="D6">
        <v>125.1160267614972</v>
      </c>
      <c r="E6" cm="1">
        <f t="array" ref="E6:I6">_xlfn.XLOOKUP(B6,[2]Industria!$A$2:$A$30,[2]Industria!$C$2:$G$30)</f>
        <v>84.462478812471105</v>
      </c>
      <c r="F6">
        <v>120.23766654663306</v>
      </c>
      <c r="G6">
        <v>108.38329287023734</v>
      </c>
      <c r="H6">
        <v>97.249063756992925</v>
      </c>
      <c r="I6">
        <v>133.56412345008596</v>
      </c>
    </row>
    <row r="7" spans="1:9" x14ac:dyDescent="0.25">
      <c r="A7" t="s">
        <v>47</v>
      </c>
      <c r="B7" t="s">
        <v>56</v>
      </c>
      <c r="C7" t="s">
        <v>46</v>
      </c>
      <c r="D7">
        <v>104.2320907377988</v>
      </c>
      <c r="E7" cm="1">
        <f t="array" ref="E7:I7">_xlfn.XLOOKUP(B7,[2]Industria!$A$2:$A$30,[2]Industria!$C$2:$G$30)</f>
        <v>106.19495397655785</v>
      </c>
      <c r="F7">
        <v>100.36006745567525</v>
      </c>
      <c r="G7">
        <v>111.79674721476407</v>
      </c>
      <c r="H7">
        <v>112.54312395907684</v>
      </c>
      <c r="I7">
        <v>110.76781397490502</v>
      </c>
    </row>
    <row r="8" spans="1:9" x14ac:dyDescent="0.25">
      <c r="A8" t="s">
        <v>39</v>
      </c>
      <c r="B8" t="s">
        <v>38</v>
      </c>
      <c r="C8" t="s">
        <v>38</v>
      </c>
      <c r="D8">
        <v>101.24707716289944</v>
      </c>
      <c r="E8" cm="1">
        <f t="array" ref="E8:I8">_xlfn.XLOOKUP(B8,[2]Industria!$A$2:$A$30,[2]Industria!$C$2:$G$30)</f>
        <v>99.863442846815005</v>
      </c>
      <c r="F8">
        <v>136.93397856895956</v>
      </c>
      <c r="G8">
        <v>93.881002718212031</v>
      </c>
      <c r="H8">
        <v>141.35172413793106</v>
      </c>
      <c r="I8">
        <v>144.87437927135062</v>
      </c>
    </row>
    <row r="9" spans="1:9" x14ac:dyDescent="0.25">
      <c r="A9" t="s">
        <v>53</v>
      </c>
      <c r="B9" t="s">
        <v>52</v>
      </c>
      <c r="C9" t="s">
        <v>52</v>
      </c>
      <c r="D9">
        <v>101.72504420127109</v>
      </c>
      <c r="E9" cm="1">
        <f t="array" ref="E9:I9">_xlfn.XLOOKUP(B9,[2]Industria!$A$2:$A$30,[2]Industria!$C$2:$G$30)</f>
        <v>97.252992674647132</v>
      </c>
      <c r="F9">
        <v>101.63364297808081</v>
      </c>
      <c r="G9">
        <v>107.04150876883757</v>
      </c>
      <c r="H9">
        <v>110.02926421404682</v>
      </c>
      <c r="I9">
        <v>103.73753573669897</v>
      </c>
    </row>
    <row r="10" spans="1:9" x14ac:dyDescent="0.25">
      <c r="A10" t="s">
        <v>51</v>
      </c>
      <c r="B10" t="s">
        <v>50</v>
      </c>
      <c r="C10" t="s">
        <v>50</v>
      </c>
      <c r="D10">
        <v>115.63550108717138</v>
      </c>
      <c r="E10" cm="1">
        <f t="array" ref="E10:I10">_xlfn.XLOOKUP(B10,[2]Industria!$A$2:$A$30,[2]Industria!$C$2:$G$30)</f>
        <v>125.49555707450443</v>
      </c>
      <c r="F10">
        <v>83.671550575883415</v>
      </c>
      <c r="G10">
        <v>112.65729993891264</v>
      </c>
      <c r="H10">
        <v>95.368261199696278</v>
      </c>
      <c r="I10">
        <v>89.039864122289941</v>
      </c>
    </row>
    <row r="11" spans="1:9" x14ac:dyDescent="0.25">
      <c r="A11" t="s">
        <v>37</v>
      </c>
      <c r="B11" t="s">
        <v>36</v>
      </c>
      <c r="C11" t="s">
        <v>36</v>
      </c>
      <c r="D11">
        <v>101.18546998277864</v>
      </c>
      <c r="E11" cm="1">
        <f t="array" ref="E11:I11">_xlfn.XLOOKUP(B11,[2]Industria!$A$2:$A$30,[2]Industria!$C$2:$G$30)</f>
        <v>90.173709106809241</v>
      </c>
      <c r="F11">
        <v>105.87153609305508</v>
      </c>
      <c r="G11">
        <v>100.26275365833939</v>
      </c>
      <c r="H11">
        <v>127.12128223465567</v>
      </c>
      <c r="I11">
        <v>125.93867702448212</v>
      </c>
    </row>
    <row r="12" spans="1:9" x14ac:dyDescent="0.25">
      <c r="A12" t="s">
        <v>25</v>
      </c>
      <c r="B12" t="s">
        <v>24</v>
      </c>
      <c r="C12" t="s">
        <v>24</v>
      </c>
      <c r="D12">
        <v>111.87290241032125</v>
      </c>
      <c r="E12" cm="1">
        <f t="array" ref="E12:I12">_xlfn.XLOOKUP(B12,[2]Industria!$A$2:$A$30,[2]Industria!$C$2:$G$30)</f>
        <v>102.61768340635884</v>
      </c>
      <c r="F12">
        <v>113.8986452584044</v>
      </c>
      <c r="G12">
        <v>101.92952201216934</v>
      </c>
      <c r="H12">
        <v>95.378601601412271</v>
      </c>
      <c r="I12">
        <v>96.562873864261007</v>
      </c>
    </row>
    <row r="13" spans="1:9" x14ac:dyDescent="0.25">
      <c r="A13" t="s">
        <v>19</v>
      </c>
      <c r="B13" t="s">
        <v>18</v>
      </c>
      <c r="C13" t="s">
        <v>18</v>
      </c>
      <c r="D13">
        <v>104.23464491362763</v>
      </c>
      <c r="E13" cm="1">
        <f t="array" ref="E13:I13">_xlfn.XLOOKUP(B13,[2]Industria!$A$2:$A$30,[2]Industria!$C$2:$G$30)</f>
        <v>101.93620593172916</v>
      </c>
      <c r="F13">
        <v>108.12745060717957</v>
      </c>
      <c r="G13">
        <v>97.420991438537158</v>
      </c>
      <c r="H13">
        <v>115.65923505669807</v>
      </c>
      <c r="I13">
        <v>105.89597500459473</v>
      </c>
    </row>
    <row r="14" spans="1:9" x14ac:dyDescent="0.25">
      <c r="A14" t="s">
        <v>35</v>
      </c>
      <c r="B14" t="s">
        <v>34</v>
      </c>
      <c r="C14" t="s">
        <v>34</v>
      </c>
      <c r="D14">
        <v>115.37245042780097</v>
      </c>
      <c r="E14" cm="1">
        <f t="array" ref="E14:I14">_xlfn.XLOOKUP(B14,[2]Industria!$A$2:$A$30,[2]Industria!$C$2:$G$30)</f>
        <v>95.141305408305968</v>
      </c>
      <c r="F14">
        <v>97.337142106645658</v>
      </c>
      <c r="G14">
        <v>104.11267221388623</v>
      </c>
      <c r="H14">
        <v>112.56068802885282</v>
      </c>
      <c r="I14">
        <v>108.13474807212849</v>
      </c>
    </row>
    <row r="15" spans="1:9" x14ac:dyDescent="0.25">
      <c r="A15" t="s">
        <v>21</v>
      </c>
      <c r="B15" t="s">
        <v>20</v>
      </c>
      <c r="C15" t="s">
        <v>20</v>
      </c>
      <c r="D15">
        <v>107.07169811320753</v>
      </c>
      <c r="E15" cm="1">
        <f t="array" ref="E15:I15">_xlfn.XLOOKUP(B15,[2]Industria!$A$2:$A$30,[2]Industria!$C$2:$G$30)</f>
        <v>104.40092794759825</v>
      </c>
      <c r="F15">
        <v>106.87075296863202</v>
      </c>
      <c r="G15">
        <v>102.77408195848857</v>
      </c>
      <c r="H15">
        <v>106.45313235986811</v>
      </c>
      <c r="I15">
        <v>117.47412305922944</v>
      </c>
    </row>
    <row r="16" spans="1:9" x14ac:dyDescent="0.25">
      <c r="A16" t="s">
        <v>43</v>
      </c>
      <c r="B16" t="s">
        <v>42</v>
      </c>
      <c r="C16" t="s">
        <v>42</v>
      </c>
      <c r="D16">
        <v>90.199200487837928</v>
      </c>
      <c r="E16" cm="1">
        <f t="array" ref="E16:I16">_xlfn.XLOOKUP(B16,[2]Industria!$A$2:$A$30,[2]Industria!$C$2:$G$30)</f>
        <v>90.199200487837928</v>
      </c>
      <c r="F16">
        <v>91.609961417046648</v>
      </c>
      <c r="G16">
        <v>108.07339449541284</v>
      </c>
      <c r="H16">
        <v>103.79536237912031</v>
      </c>
      <c r="I16">
        <v>119.80368520750817</v>
      </c>
    </row>
    <row r="17" spans="1:9" x14ac:dyDescent="0.25">
      <c r="A17" t="s">
        <v>41</v>
      </c>
      <c r="B17" t="s">
        <v>40</v>
      </c>
      <c r="C17" t="s">
        <v>40</v>
      </c>
      <c r="D17">
        <v>111.19525432285751</v>
      </c>
      <c r="E17" cm="1">
        <f t="array" ref="E17:I17">_xlfn.XLOOKUP(B17,[2]Industria!$A$2:$A$30,[2]Industria!$C$2:$G$30)</f>
        <v>91.705503931379567</v>
      </c>
      <c r="F17">
        <v>105.49245420318283</v>
      </c>
      <c r="G17">
        <v>110.58739866306357</v>
      </c>
      <c r="H17">
        <v>101.46026929641569</v>
      </c>
      <c r="I17">
        <v>124.1520327159009</v>
      </c>
    </row>
    <row r="18" spans="1:9" x14ac:dyDescent="0.25">
      <c r="A18" t="s">
        <v>33</v>
      </c>
      <c r="B18" t="s">
        <v>32</v>
      </c>
      <c r="C18" t="s">
        <v>32</v>
      </c>
      <c r="D18">
        <v>115.77951786028507</v>
      </c>
      <c r="E18" cm="1">
        <f t="array" ref="E18:I18">_xlfn.XLOOKUP(B18,[2]Industria!$A$2:$A$30,[2]Industria!$C$2:$G$30)</f>
        <v>124.48946183752814</v>
      </c>
      <c r="F18">
        <v>103.97812182437683</v>
      </c>
      <c r="G18">
        <v>106.60508630132929</v>
      </c>
      <c r="H18">
        <v>106.48135810036511</v>
      </c>
      <c r="I18">
        <v>117.61181696105774</v>
      </c>
    </row>
    <row r="19" spans="1:9" x14ac:dyDescent="0.25">
      <c r="A19" t="s">
        <v>17</v>
      </c>
      <c r="B19" t="s">
        <v>16</v>
      </c>
      <c r="C19" t="s">
        <v>16</v>
      </c>
      <c r="D19">
        <v>103.23652093310676</v>
      </c>
      <c r="E19" cm="1">
        <f t="array" ref="E19:I19">_xlfn.XLOOKUP(B19,[2]Industria!$A$2:$A$30,[2]Industria!$C$2:$G$30)</f>
        <v>109.32227221597299</v>
      </c>
      <c r="F19">
        <v>107.45998794615952</v>
      </c>
      <c r="G19">
        <v>108.46297850364728</v>
      </c>
      <c r="H19">
        <v>84.029193240844236</v>
      </c>
      <c r="I19">
        <v>138.94268703823255</v>
      </c>
    </row>
    <row r="20" spans="1:9" x14ac:dyDescent="0.25">
      <c r="A20" t="s">
        <v>31</v>
      </c>
      <c r="B20" t="s">
        <v>30</v>
      </c>
      <c r="C20" t="s">
        <v>30</v>
      </c>
      <c r="D20">
        <v>125.95596185982502</v>
      </c>
      <c r="E20" cm="1">
        <f t="array" ref="E20:I20">_xlfn.XLOOKUP(B20,[2]Industria!$A$2:$A$30,[2]Industria!$C$2:$G$30)</f>
        <v>82.719808811625484</v>
      </c>
      <c r="F20">
        <v>98.868322623957042</v>
      </c>
      <c r="G20">
        <v>115.72870071777801</v>
      </c>
      <c r="H20">
        <v>117.59356879283078</v>
      </c>
      <c r="I20">
        <v>177.85226912091397</v>
      </c>
    </row>
    <row r="21" spans="1:9" x14ac:dyDescent="0.25">
      <c r="A21" t="s">
        <v>49</v>
      </c>
      <c r="B21" t="s">
        <v>48</v>
      </c>
      <c r="C21" t="s">
        <v>48</v>
      </c>
      <c r="D21">
        <v>67.622768409079669</v>
      </c>
      <c r="E21" cm="1">
        <f t="array" ref="E21:I21">_xlfn.XLOOKUP(B21,[2]Industria!$A$2:$A$30,[2]Industria!$C$2:$G$30)</f>
        <v>123.82479950647749</v>
      </c>
      <c r="F21">
        <v>97.677256469598149</v>
      </c>
      <c r="G21">
        <v>101.59721026347512</v>
      </c>
      <c r="H21">
        <v>88.734708782180022</v>
      </c>
      <c r="I21">
        <v>139.05799074326163</v>
      </c>
    </row>
    <row r="22" spans="1:9" x14ac:dyDescent="0.25">
      <c r="A22" t="s">
        <v>27</v>
      </c>
      <c r="B22" t="s">
        <v>26</v>
      </c>
      <c r="C22" t="s">
        <v>26</v>
      </c>
      <c r="D22">
        <v>118.26408360948253</v>
      </c>
      <c r="E22" cm="1">
        <f t="array" ref="E22:I22">_xlfn.XLOOKUP(B22,[2]Industria!$A$2:$A$30,[2]Industria!$C$2:$G$30)</f>
        <v>93.027796921663224</v>
      </c>
      <c r="F22">
        <v>126.30801428043826</v>
      </c>
      <c r="G22">
        <v>85.168210628961489</v>
      </c>
      <c r="H22">
        <v>108.33333333333333</v>
      </c>
      <c r="I22">
        <v>81.173765246950609</v>
      </c>
    </row>
    <row r="23" spans="1:9" x14ac:dyDescent="0.25">
      <c r="A23" t="s">
        <v>7</v>
      </c>
      <c r="B23" t="s">
        <v>6</v>
      </c>
      <c r="C23" t="s">
        <v>6</v>
      </c>
      <c r="D23">
        <v>112.5</v>
      </c>
      <c r="E23">
        <f>AVERAGE([2]Industria!C$2:C$30)</f>
        <v>102.60348929027957</v>
      </c>
      <c r="F23">
        <f>AVERAGE([2]Industria!D$2:D$30)</f>
        <v>106.14525254645268</v>
      </c>
      <c r="G23">
        <f>AVERAGE([2]Industria!E$2:E$30)</f>
        <v>105.33759159669552</v>
      </c>
      <c r="H23">
        <f>AVERAGE([2]Industria!F$2:F$30)</f>
        <v>112.00358582344175</v>
      </c>
      <c r="I23">
        <f>AVERAGE([2]Industria!G$2:G$30)</f>
        <v>127.49584194944089</v>
      </c>
    </row>
    <row r="24" spans="1:9" x14ac:dyDescent="0.25">
      <c r="A24" t="s">
        <v>55</v>
      </c>
      <c r="B24" t="s">
        <v>54</v>
      </c>
      <c r="C24" t="s">
        <v>54</v>
      </c>
      <c r="D24">
        <v>112.5</v>
      </c>
      <c r="E24">
        <f>E23</f>
        <v>102.60348929027957</v>
      </c>
      <c r="F24">
        <f t="shared" ref="F24:I24" si="0">F23</f>
        <v>106.14525254645268</v>
      </c>
      <c r="G24">
        <f t="shared" si="0"/>
        <v>105.33759159669552</v>
      </c>
      <c r="H24">
        <f t="shared" si="0"/>
        <v>112.00358582344175</v>
      </c>
      <c r="I24">
        <f t="shared" si="0"/>
        <v>127.49584194944089</v>
      </c>
    </row>
    <row r="25" spans="1:9" x14ac:dyDescent="0.25">
      <c r="A25" t="s">
        <v>23</v>
      </c>
      <c r="B25" t="s">
        <v>22</v>
      </c>
      <c r="C25" t="s">
        <v>22</v>
      </c>
      <c r="D25">
        <v>94.990118577075094</v>
      </c>
      <c r="E25" cm="1">
        <f t="array" ref="E25:I25">_xlfn.XLOOKUP(B25,[2]Industria!$A$2:$A$30,[2]Industria!$C$2:$G$30)</f>
        <v>111.9037912759886</v>
      </c>
      <c r="F25">
        <v>104.4687277896233</v>
      </c>
      <c r="G25">
        <v>108.29923501156378</v>
      </c>
      <c r="H25">
        <v>119.46457990115323</v>
      </c>
      <c r="I25">
        <v>119.38003417134489</v>
      </c>
    </row>
    <row r="26" spans="1:9" x14ac:dyDescent="0.25">
      <c r="A26" t="s">
        <v>57</v>
      </c>
      <c r="B26" t="s">
        <v>56</v>
      </c>
      <c r="C26" t="s">
        <v>56</v>
      </c>
      <c r="D26">
        <v>104.2320907377988</v>
      </c>
      <c r="E26" cm="1">
        <f t="array" ref="E26:I26">_xlfn.XLOOKUP(B26,[2]Industria!$A$2:$A$30,[2]Industria!$C$2:$G$30)</f>
        <v>106.19495397655785</v>
      </c>
      <c r="F26">
        <v>100.36006745567525</v>
      </c>
      <c r="G26">
        <v>111.79674721476407</v>
      </c>
      <c r="H26">
        <v>112.54312395907684</v>
      </c>
      <c r="I26">
        <v>110.76781397490502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27"/>
  <sheetViews>
    <sheetView workbookViewId="0">
      <selection activeCell="J8" sqref="J8"/>
    </sheetView>
  </sheetViews>
  <sheetFormatPr baseColWidth="10" defaultColWidth="9.140625" defaultRowHeight="15" x14ac:dyDescent="0.25"/>
  <cols>
    <col min="2" max="2" width="34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33425</v>
      </c>
      <c r="E2">
        <v>2016</v>
      </c>
      <c r="F2" t="s">
        <v>9</v>
      </c>
    </row>
    <row r="3" spans="1:6" x14ac:dyDescent="0.25">
      <c r="A3" t="s">
        <v>10</v>
      </c>
      <c r="B3" t="s">
        <v>11</v>
      </c>
      <c r="C3" t="s">
        <v>8</v>
      </c>
      <c r="D3">
        <v>9954</v>
      </c>
      <c r="E3">
        <v>2016</v>
      </c>
      <c r="F3" t="s">
        <v>9</v>
      </c>
    </row>
    <row r="4" spans="1:6" x14ac:dyDescent="0.25">
      <c r="A4" t="s">
        <v>12</v>
      </c>
      <c r="B4" t="s">
        <v>13</v>
      </c>
      <c r="C4" t="s">
        <v>8</v>
      </c>
      <c r="D4">
        <v>1044</v>
      </c>
      <c r="E4">
        <v>2016</v>
      </c>
      <c r="F4" t="s">
        <v>9</v>
      </c>
    </row>
    <row r="5" spans="1:6" x14ac:dyDescent="0.25">
      <c r="A5" t="s">
        <v>14</v>
      </c>
      <c r="B5" t="s">
        <v>15</v>
      </c>
      <c r="C5" t="s">
        <v>8</v>
      </c>
      <c r="E5">
        <v>2016</v>
      </c>
      <c r="F5" t="s">
        <v>9</v>
      </c>
    </row>
    <row r="6" spans="1:6" x14ac:dyDescent="0.25">
      <c r="A6" t="s">
        <v>16</v>
      </c>
      <c r="B6" t="s">
        <v>17</v>
      </c>
      <c r="C6" t="s">
        <v>8</v>
      </c>
      <c r="D6">
        <v>258</v>
      </c>
      <c r="E6">
        <v>2016</v>
      </c>
      <c r="F6" t="s">
        <v>9</v>
      </c>
    </row>
    <row r="7" spans="1:6" x14ac:dyDescent="0.25">
      <c r="A7" t="s">
        <v>18</v>
      </c>
      <c r="B7" t="s">
        <v>19</v>
      </c>
      <c r="C7" t="s">
        <v>8</v>
      </c>
      <c r="D7">
        <v>75</v>
      </c>
      <c r="E7">
        <v>2016</v>
      </c>
      <c r="F7" t="s">
        <v>9</v>
      </c>
    </row>
    <row r="8" spans="1:6" x14ac:dyDescent="0.25">
      <c r="A8" t="s">
        <v>20</v>
      </c>
      <c r="B8" t="s">
        <v>21</v>
      </c>
      <c r="C8" t="s">
        <v>8</v>
      </c>
      <c r="D8">
        <v>22</v>
      </c>
      <c r="E8">
        <v>2016</v>
      </c>
      <c r="F8" t="s">
        <v>9</v>
      </c>
    </row>
    <row r="9" spans="1:6" x14ac:dyDescent="0.25">
      <c r="A9" t="s">
        <v>22</v>
      </c>
      <c r="B9" t="s">
        <v>23</v>
      </c>
      <c r="C9" t="s">
        <v>8</v>
      </c>
      <c r="D9">
        <v>4673</v>
      </c>
      <c r="E9">
        <v>2016</v>
      </c>
      <c r="F9" t="s">
        <v>9</v>
      </c>
    </row>
    <row r="10" spans="1:6" x14ac:dyDescent="0.25">
      <c r="A10" t="s">
        <v>24</v>
      </c>
      <c r="B10" t="s">
        <v>25</v>
      </c>
      <c r="C10" t="s">
        <v>8</v>
      </c>
      <c r="D10">
        <v>4331</v>
      </c>
      <c r="E10">
        <v>2016</v>
      </c>
      <c r="F10" t="s">
        <v>9</v>
      </c>
    </row>
    <row r="11" spans="1:6" x14ac:dyDescent="0.25">
      <c r="A11" t="s">
        <v>26</v>
      </c>
      <c r="B11" t="s">
        <v>27</v>
      </c>
      <c r="C11" t="s">
        <v>8</v>
      </c>
      <c r="D11">
        <v>300</v>
      </c>
      <c r="E11">
        <v>2016</v>
      </c>
      <c r="F11" t="s">
        <v>9</v>
      </c>
    </row>
    <row r="12" spans="1:6" x14ac:dyDescent="0.25">
      <c r="A12" t="s">
        <v>28</v>
      </c>
      <c r="B12" t="s">
        <v>29</v>
      </c>
      <c r="C12" t="s">
        <v>8</v>
      </c>
      <c r="E12">
        <v>2016</v>
      </c>
      <c r="F12" t="s">
        <v>9</v>
      </c>
    </row>
    <row r="13" spans="1:6" x14ac:dyDescent="0.25">
      <c r="A13" t="s">
        <v>30</v>
      </c>
      <c r="B13" t="s">
        <v>31</v>
      </c>
      <c r="C13" t="s">
        <v>8</v>
      </c>
      <c r="D13">
        <v>2551</v>
      </c>
      <c r="E13">
        <v>2016</v>
      </c>
      <c r="F13" t="s">
        <v>9</v>
      </c>
    </row>
    <row r="14" spans="1:6" x14ac:dyDescent="0.25">
      <c r="A14" t="s">
        <v>32</v>
      </c>
      <c r="B14" t="s">
        <v>33</v>
      </c>
      <c r="C14" t="s">
        <v>8</v>
      </c>
      <c r="D14">
        <v>205</v>
      </c>
      <c r="E14">
        <v>2016</v>
      </c>
      <c r="F14" t="s">
        <v>9</v>
      </c>
    </row>
    <row r="15" spans="1:6" x14ac:dyDescent="0.25">
      <c r="A15" t="s">
        <v>34</v>
      </c>
      <c r="B15" t="s">
        <v>35</v>
      </c>
      <c r="C15" t="s">
        <v>8</v>
      </c>
      <c r="D15">
        <v>1814</v>
      </c>
      <c r="E15">
        <v>2016</v>
      </c>
      <c r="F15" t="s">
        <v>9</v>
      </c>
    </row>
    <row r="16" spans="1:6" x14ac:dyDescent="0.25">
      <c r="A16" t="s">
        <v>36</v>
      </c>
      <c r="B16" t="s">
        <v>37</v>
      </c>
      <c r="C16" t="s">
        <v>8</v>
      </c>
      <c r="D16">
        <v>2507</v>
      </c>
      <c r="E16">
        <v>2016</v>
      </c>
      <c r="F16" t="s">
        <v>9</v>
      </c>
    </row>
    <row r="17" spans="1:6" x14ac:dyDescent="0.25">
      <c r="A17" t="s">
        <v>38</v>
      </c>
      <c r="B17" t="s">
        <v>39</v>
      </c>
      <c r="C17" t="s">
        <v>8</v>
      </c>
      <c r="D17">
        <v>285</v>
      </c>
      <c r="E17">
        <v>2016</v>
      </c>
      <c r="F17" t="s">
        <v>9</v>
      </c>
    </row>
    <row r="18" spans="1:6" x14ac:dyDescent="0.25">
      <c r="A18" t="s">
        <v>40</v>
      </c>
      <c r="B18" t="s">
        <v>41</v>
      </c>
      <c r="C18" t="s">
        <v>8</v>
      </c>
      <c r="D18">
        <v>2287</v>
      </c>
      <c r="E18">
        <v>2016</v>
      </c>
      <c r="F18" t="s">
        <v>9</v>
      </c>
    </row>
    <row r="19" spans="1:6" x14ac:dyDescent="0.25">
      <c r="A19" t="s">
        <v>42</v>
      </c>
      <c r="B19" t="s">
        <v>43</v>
      </c>
      <c r="C19" t="s">
        <v>8</v>
      </c>
      <c r="D19">
        <v>14</v>
      </c>
      <c r="E19">
        <v>2016</v>
      </c>
      <c r="F19" t="s">
        <v>9</v>
      </c>
    </row>
    <row r="20" spans="1:6" x14ac:dyDescent="0.25">
      <c r="A20" t="s">
        <v>44</v>
      </c>
      <c r="B20" t="s">
        <v>45</v>
      </c>
      <c r="C20" t="s">
        <v>8</v>
      </c>
      <c r="D20">
        <v>220</v>
      </c>
      <c r="E20">
        <v>2016</v>
      </c>
      <c r="F20" t="s">
        <v>9</v>
      </c>
    </row>
    <row r="21" spans="1:6" x14ac:dyDescent="0.25">
      <c r="A21" t="s">
        <v>46</v>
      </c>
      <c r="B21" t="s">
        <v>47</v>
      </c>
      <c r="C21" t="s">
        <v>8</v>
      </c>
      <c r="D21">
        <v>1289</v>
      </c>
      <c r="E21">
        <v>2016</v>
      </c>
      <c r="F21" t="s">
        <v>9</v>
      </c>
    </row>
    <row r="22" spans="1:6" x14ac:dyDescent="0.25">
      <c r="A22" t="s">
        <v>48</v>
      </c>
      <c r="B22" t="s">
        <v>49</v>
      </c>
      <c r="C22" t="s">
        <v>8</v>
      </c>
      <c r="D22">
        <v>14</v>
      </c>
      <c r="E22">
        <v>2016</v>
      </c>
      <c r="F22" t="s">
        <v>9</v>
      </c>
    </row>
    <row r="23" spans="1:6" x14ac:dyDescent="0.25">
      <c r="A23" t="s">
        <v>50</v>
      </c>
      <c r="B23" t="s">
        <v>51</v>
      </c>
      <c r="C23" t="s">
        <v>8</v>
      </c>
      <c r="D23">
        <v>11</v>
      </c>
      <c r="E23">
        <v>2016</v>
      </c>
      <c r="F23" t="s">
        <v>9</v>
      </c>
    </row>
    <row r="24" spans="1:6" x14ac:dyDescent="0.25">
      <c r="A24" t="s">
        <v>52</v>
      </c>
      <c r="B24" t="s">
        <v>53</v>
      </c>
      <c r="C24" t="s">
        <v>8</v>
      </c>
      <c r="D24">
        <v>96</v>
      </c>
      <c r="E24">
        <v>2016</v>
      </c>
      <c r="F24" t="s">
        <v>9</v>
      </c>
    </row>
    <row r="25" spans="1:6" x14ac:dyDescent="0.25">
      <c r="A25" t="s">
        <v>54</v>
      </c>
      <c r="B25" t="s">
        <v>55</v>
      </c>
      <c r="C25" t="s">
        <v>8</v>
      </c>
      <c r="D25">
        <v>87</v>
      </c>
      <c r="E25">
        <v>2016</v>
      </c>
      <c r="F25" t="s">
        <v>9</v>
      </c>
    </row>
    <row r="26" spans="1:6" x14ac:dyDescent="0.25">
      <c r="A26" t="s">
        <v>56</v>
      </c>
      <c r="B26" t="s">
        <v>57</v>
      </c>
      <c r="C26" t="s">
        <v>8</v>
      </c>
      <c r="D26">
        <v>152</v>
      </c>
      <c r="E26">
        <v>2016</v>
      </c>
      <c r="F26" t="s">
        <v>9</v>
      </c>
    </row>
    <row r="27" spans="1:6" x14ac:dyDescent="0.25">
      <c r="A27" t="s">
        <v>58</v>
      </c>
      <c r="B27" t="s">
        <v>59</v>
      </c>
      <c r="C27" t="s">
        <v>8</v>
      </c>
      <c r="D27">
        <v>1226</v>
      </c>
      <c r="E27">
        <v>2016</v>
      </c>
      <c r="F27" t="s">
        <v>9</v>
      </c>
    </row>
    <row r="28" spans="1:6" x14ac:dyDescent="0.25">
      <c r="A28" t="s">
        <v>6</v>
      </c>
      <c r="B28" t="s">
        <v>7</v>
      </c>
      <c r="C28" t="s">
        <v>60</v>
      </c>
      <c r="D28">
        <v>48750</v>
      </c>
      <c r="E28">
        <v>2016</v>
      </c>
      <c r="F28" t="s">
        <v>9</v>
      </c>
    </row>
    <row r="29" spans="1:6" x14ac:dyDescent="0.25">
      <c r="A29" t="s">
        <v>10</v>
      </c>
      <c r="B29" t="s">
        <v>11</v>
      </c>
      <c r="C29" t="s">
        <v>60</v>
      </c>
      <c r="D29">
        <v>9114</v>
      </c>
      <c r="E29">
        <v>2016</v>
      </c>
      <c r="F29" t="s">
        <v>9</v>
      </c>
    </row>
    <row r="30" spans="1:6" x14ac:dyDescent="0.25">
      <c r="A30" t="s">
        <v>12</v>
      </c>
      <c r="B30" t="s">
        <v>13</v>
      </c>
      <c r="C30" t="s">
        <v>60</v>
      </c>
      <c r="D30">
        <v>1543</v>
      </c>
      <c r="E30">
        <v>2016</v>
      </c>
      <c r="F30" t="s">
        <v>9</v>
      </c>
    </row>
    <row r="31" spans="1:6" x14ac:dyDescent="0.25">
      <c r="A31" t="s">
        <v>14</v>
      </c>
      <c r="B31" t="s">
        <v>15</v>
      </c>
      <c r="C31" t="s">
        <v>60</v>
      </c>
      <c r="E31">
        <v>2016</v>
      </c>
      <c r="F31" t="s">
        <v>9</v>
      </c>
    </row>
    <row r="32" spans="1:6" x14ac:dyDescent="0.25">
      <c r="A32" t="s">
        <v>16</v>
      </c>
      <c r="B32" t="s">
        <v>17</v>
      </c>
      <c r="C32" t="s">
        <v>60</v>
      </c>
      <c r="D32">
        <v>2022</v>
      </c>
      <c r="E32">
        <v>2016</v>
      </c>
      <c r="F32" t="s">
        <v>9</v>
      </c>
    </row>
    <row r="33" spans="1:6" x14ac:dyDescent="0.25">
      <c r="A33" t="s">
        <v>18</v>
      </c>
      <c r="B33" t="s">
        <v>19</v>
      </c>
      <c r="C33" t="s">
        <v>60</v>
      </c>
      <c r="D33">
        <v>545</v>
      </c>
      <c r="E33">
        <v>2016</v>
      </c>
      <c r="F33" t="s">
        <v>9</v>
      </c>
    </row>
    <row r="34" spans="1:6" x14ac:dyDescent="0.25">
      <c r="A34" t="s">
        <v>20</v>
      </c>
      <c r="B34" t="s">
        <v>21</v>
      </c>
      <c r="C34" t="s">
        <v>60</v>
      </c>
      <c r="D34">
        <v>298</v>
      </c>
      <c r="E34">
        <v>2016</v>
      </c>
      <c r="F34" t="s">
        <v>9</v>
      </c>
    </row>
    <row r="35" spans="1:6" x14ac:dyDescent="0.25">
      <c r="A35" t="s">
        <v>22</v>
      </c>
      <c r="B35" t="s">
        <v>23</v>
      </c>
      <c r="C35" t="s">
        <v>60</v>
      </c>
      <c r="D35">
        <v>371</v>
      </c>
      <c r="E35">
        <v>2016</v>
      </c>
      <c r="F35" t="s">
        <v>9</v>
      </c>
    </row>
    <row r="36" spans="1:6" x14ac:dyDescent="0.25">
      <c r="A36" t="s">
        <v>24</v>
      </c>
      <c r="B36" t="s">
        <v>25</v>
      </c>
      <c r="C36" t="s">
        <v>60</v>
      </c>
      <c r="D36">
        <v>4484</v>
      </c>
      <c r="E36">
        <v>2016</v>
      </c>
      <c r="F36" t="s">
        <v>9</v>
      </c>
    </row>
    <row r="37" spans="1:6" x14ac:dyDescent="0.25">
      <c r="A37" t="s">
        <v>26</v>
      </c>
      <c r="B37" t="s">
        <v>27</v>
      </c>
      <c r="C37" t="s">
        <v>60</v>
      </c>
      <c r="D37">
        <v>361</v>
      </c>
      <c r="E37">
        <v>2016</v>
      </c>
      <c r="F37" t="s">
        <v>9</v>
      </c>
    </row>
    <row r="38" spans="1:6" x14ac:dyDescent="0.25">
      <c r="A38" t="s">
        <v>28</v>
      </c>
      <c r="B38" t="s">
        <v>29</v>
      </c>
      <c r="C38" t="s">
        <v>60</v>
      </c>
      <c r="D38">
        <v>2117</v>
      </c>
      <c r="E38">
        <v>2016</v>
      </c>
      <c r="F38" t="s">
        <v>9</v>
      </c>
    </row>
    <row r="39" spans="1:6" x14ac:dyDescent="0.25">
      <c r="A39" t="s">
        <v>30</v>
      </c>
      <c r="B39" t="s">
        <v>31</v>
      </c>
      <c r="C39" t="s">
        <v>60</v>
      </c>
      <c r="D39">
        <v>5260</v>
      </c>
      <c r="E39">
        <v>2016</v>
      </c>
      <c r="F39" t="s">
        <v>9</v>
      </c>
    </row>
    <row r="40" spans="1:6" x14ac:dyDescent="0.25">
      <c r="A40" t="s">
        <v>32</v>
      </c>
      <c r="B40" t="s">
        <v>33</v>
      </c>
      <c r="C40" t="s">
        <v>60</v>
      </c>
      <c r="D40">
        <v>557</v>
      </c>
      <c r="E40">
        <v>2016</v>
      </c>
      <c r="F40" t="s">
        <v>9</v>
      </c>
    </row>
    <row r="41" spans="1:6" x14ac:dyDescent="0.25">
      <c r="A41" t="s">
        <v>34</v>
      </c>
      <c r="B41" t="s">
        <v>35</v>
      </c>
      <c r="C41" t="s">
        <v>60</v>
      </c>
      <c r="D41">
        <v>3609</v>
      </c>
      <c r="E41">
        <v>2016</v>
      </c>
      <c r="F41" t="s">
        <v>9</v>
      </c>
    </row>
    <row r="42" spans="1:6" x14ac:dyDescent="0.25">
      <c r="A42" t="s">
        <v>36</v>
      </c>
      <c r="B42" t="s">
        <v>37</v>
      </c>
      <c r="C42" t="s">
        <v>60</v>
      </c>
      <c r="D42">
        <v>6606</v>
      </c>
      <c r="E42">
        <v>2016</v>
      </c>
      <c r="F42" t="s">
        <v>9</v>
      </c>
    </row>
    <row r="43" spans="1:6" x14ac:dyDescent="0.25">
      <c r="A43" t="s">
        <v>38</v>
      </c>
      <c r="B43" t="s">
        <v>39</v>
      </c>
      <c r="C43" t="s">
        <v>60</v>
      </c>
      <c r="D43">
        <v>4280</v>
      </c>
      <c r="E43">
        <v>2016</v>
      </c>
      <c r="F43" t="s">
        <v>9</v>
      </c>
    </row>
    <row r="44" spans="1:6" x14ac:dyDescent="0.25">
      <c r="A44" t="s">
        <v>40</v>
      </c>
      <c r="B44" t="s">
        <v>41</v>
      </c>
      <c r="C44" t="s">
        <v>60</v>
      </c>
      <c r="D44">
        <v>734</v>
      </c>
      <c r="E44">
        <v>2016</v>
      </c>
      <c r="F44" t="s">
        <v>9</v>
      </c>
    </row>
    <row r="45" spans="1:6" x14ac:dyDescent="0.25">
      <c r="A45" t="s">
        <v>42</v>
      </c>
      <c r="B45" t="s">
        <v>43</v>
      </c>
      <c r="C45" t="s">
        <v>60</v>
      </c>
      <c r="D45">
        <v>3</v>
      </c>
      <c r="E45">
        <v>2016</v>
      </c>
      <c r="F45" t="s">
        <v>9</v>
      </c>
    </row>
    <row r="46" spans="1:6" x14ac:dyDescent="0.25">
      <c r="A46" t="s">
        <v>44</v>
      </c>
      <c r="B46" t="s">
        <v>45</v>
      </c>
      <c r="C46" t="s">
        <v>60</v>
      </c>
      <c r="D46">
        <v>565</v>
      </c>
      <c r="E46">
        <v>2016</v>
      </c>
      <c r="F46" t="s">
        <v>9</v>
      </c>
    </row>
    <row r="47" spans="1:6" x14ac:dyDescent="0.25">
      <c r="A47" t="s">
        <v>46</v>
      </c>
      <c r="B47" t="s">
        <v>47</v>
      </c>
      <c r="C47" t="s">
        <v>60</v>
      </c>
      <c r="D47">
        <v>243</v>
      </c>
      <c r="E47">
        <v>2016</v>
      </c>
      <c r="F47" t="s">
        <v>9</v>
      </c>
    </row>
    <row r="48" spans="1:6" x14ac:dyDescent="0.25">
      <c r="A48" t="s">
        <v>48</v>
      </c>
      <c r="B48" t="s">
        <v>49</v>
      </c>
      <c r="C48" t="s">
        <v>60</v>
      </c>
      <c r="D48">
        <v>260</v>
      </c>
      <c r="E48">
        <v>2016</v>
      </c>
      <c r="F48" t="s">
        <v>9</v>
      </c>
    </row>
    <row r="49" spans="1:6" x14ac:dyDescent="0.25">
      <c r="A49" t="s">
        <v>50</v>
      </c>
      <c r="B49" t="s">
        <v>51</v>
      </c>
      <c r="C49" t="s">
        <v>60</v>
      </c>
      <c r="D49">
        <v>69</v>
      </c>
      <c r="E49">
        <v>2016</v>
      </c>
      <c r="F49" t="s">
        <v>9</v>
      </c>
    </row>
    <row r="50" spans="1:6" x14ac:dyDescent="0.25">
      <c r="A50" t="s">
        <v>52</v>
      </c>
      <c r="B50" t="s">
        <v>53</v>
      </c>
      <c r="C50" t="s">
        <v>60</v>
      </c>
      <c r="D50">
        <v>242</v>
      </c>
      <c r="E50">
        <v>2016</v>
      </c>
      <c r="F50" t="s">
        <v>9</v>
      </c>
    </row>
    <row r="51" spans="1:6" x14ac:dyDescent="0.25">
      <c r="A51" t="s">
        <v>54</v>
      </c>
      <c r="B51" t="s">
        <v>55</v>
      </c>
      <c r="C51" t="s">
        <v>60</v>
      </c>
      <c r="D51">
        <v>5458</v>
      </c>
      <c r="E51">
        <v>2016</v>
      </c>
      <c r="F51" t="s">
        <v>9</v>
      </c>
    </row>
    <row r="52" spans="1:6" x14ac:dyDescent="0.25">
      <c r="A52" t="s">
        <v>56</v>
      </c>
      <c r="B52" t="s">
        <v>57</v>
      </c>
      <c r="C52" t="s">
        <v>60</v>
      </c>
      <c r="E52">
        <v>2016</v>
      </c>
      <c r="F52" t="s">
        <v>9</v>
      </c>
    </row>
    <row r="53" spans="1:6" x14ac:dyDescent="0.25">
      <c r="A53" t="s">
        <v>58</v>
      </c>
      <c r="B53" t="s">
        <v>59</v>
      </c>
      <c r="C53" t="s">
        <v>60</v>
      </c>
      <c r="E53">
        <v>2016</v>
      </c>
      <c r="F53" t="s">
        <v>9</v>
      </c>
    </row>
    <row r="54" spans="1:6" x14ac:dyDescent="0.25">
      <c r="A54" t="s">
        <v>6</v>
      </c>
      <c r="B54" t="s">
        <v>7</v>
      </c>
      <c r="C54" t="s">
        <v>61</v>
      </c>
      <c r="D54">
        <v>27693</v>
      </c>
      <c r="E54">
        <v>2016</v>
      </c>
      <c r="F54" t="s">
        <v>9</v>
      </c>
    </row>
    <row r="55" spans="1:6" x14ac:dyDescent="0.25">
      <c r="A55" t="s">
        <v>10</v>
      </c>
      <c r="B55" t="s">
        <v>11</v>
      </c>
      <c r="C55" t="s">
        <v>61</v>
      </c>
      <c r="D55">
        <v>12821</v>
      </c>
      <c r="E55">
        <v>2016</v>
      </c>
      <c r="F55" t="s">
        <v>9</v>
      </c>
    </row>
    <row r="56" spans="1:6" x14ac:dyDescent="0.25">
      <c r="A56" t="s">
        <v>12</v>
      </c>
      <c r="B56" t="s">
        <v>13</v>
      </c>
      <c r="C56" t="s">
        <v>61</v>
      </c>
      <c r="D56">
        <v>657</v>
      </c>
      <c r="E56">
        <v>2016</v>
      </c>
      <c r="F56" t="s">
        <v>9</v>
      </c>
    </row>
    <row r="57" spans="1:6" x14ac:dyDescent="0.25">
      <c r="A57" t="s">
        <v>14</v>
      </c>
      <c r="B57" t="s">
        <v>15</v>
      </c>
      <c r="C57" t="s">
        <v>61</v>
      </c>
      <c r="D57">
        <v>0</v>
      </c>
      <c r="E57">
        <v>2016</v>
      </c>
      <c r="F57" t="s">
        <v>9</v>
      </c>
    </row>
    <row r="58" spans="1:6" x14ac:dyDescent="0.25">
      <c r="A58" t="s">
        <v>16</v>
      </c>
      <c r="B58" t="s">
        <v>17</v>
      </c>
      <c r="C58" t="s">
        <v>61</v>
      </c>
      <c r="D58">
        <v>705</v>
      </c>
      <c r="E58">
        <v>2016</v>
      </c>
      <c r="F58" t="s">
        <v>9</v>
      </c>
    </row>
    <row r="59" spans="1:6" x14ac:dyDescent="0.25">
      <c r="A59" t="s">
        <v>18</v>
      </c>
      <c r="B59" t="s">
        <v>19</v>
      </c>
      <c r="C59" t="s">
        <v>61</v>
      </c>
      <c r="D59">
        <v>192</v>
      </c>
      <c r="E59">
        <v>2016</v>
      </c>
      <c r="F59" t="s">
        <v>9</v>
      </c>
    </row>
    <row r="60" spans="1:6" x14ac:dyDescent="0.25">
      <c r="A60" t="s">
        <v>20</v>
      </c>
      <c r="B60" t="s">
        <v>21</v>
      </c>
      <c r="C60" t="s">
        <v>61</v>
      </c>
      <c r="D60">
        <v>39</v>
      </c>
      <c r="E60">
        <v>2016</v>
      </c>
      <c r="F60" t="s">
        <v>9</v>
      </c>
    </row>
    <row r="61" spans="1:6" x14ac:dyDescent="0.25">
      <c r="A61" t="s">
        <v>22</v>
      </c>
      <c r="B61" t="s">
        <v>23</v>
      </c>
      <c r="C61" t="s">
        <v>61</v>
      </c>
      <c r="D61">
        <v>155</v>
      </c>
      <c r="E61">
        <v>2016</v>
      </c>
      <c r="F61" t="s">
        <v>9</v>
      </c>
    </row>
    <row r="62" spans="1:6" x14ac:dyDescent="0.25">
      <c r="A62" t="s">
        <v>24</v>
      </c>
      <c r="B62" t="s">
        <v>25</v>
      </c>
      <c r="C62" t="s">
        <v>61</v>
      </c>
      <c r="D62">
        <v>1654</v>
      </c>
      <c r="E62">
        <v>2016</v>
      </c>
      <c r="F62" t="s">
        <v>9</v>
      </c>
    </row>
    <row r="63" spans="1:6" x14ac:dyDescent="0.25">
      <c r="A63" t="s">
        <v>26</v>
      </c>
      <c r="B63" t="s">
        <v>27</v>
      </c>
      <c r="C63" t="s">
        <v>61</v>
      </c>
      <c r="D63">
        <v>64</v>
      </c>
      <c r="E63">
        <v>2016</v>
      </c>
      <c r="F63" t="s">
        <v>9</v>
      </c>
    </row>
    <row r="64" spans="1:6" x14ac:dyDescent="0.25">
      <c r="A64" t="s">
        <v>28</v>
      </c>
      <c r="B64" t="s">
        <v>29</v>
      </c>
      <c r="C64" t="s">
        <v>61</v>
      </c>
      <c r="D64">
        <v>32</v>
      </c>
      <c r="E64">
        <v>2016</v>
      </c>
      <c r="F64" t="s">
        <v>9</v>
      </c>
    </row>
    <row r="65" spans="1:6" x14ac:dyDescent="0.25">
      <c r="A65" t="s">
        <v>30</v>
      </c>
      <c r="B65" t="s">
        <v>31</v>
      </c>
      <c r="C65" t="s">
        <v>61</v>
      </c>
      <c r="D65">
        <v>871</v>
      </c>
      <c r="E65">
        <v>2016</v>
      </c>
      <c r="F65" t="s">
        <v>9</v>
      </c>
    </row>
    <row r="66" spans="1:6" x14ac:dyDescent="0.25">
      <c r="A66" t="s">
        <v>32</v>
      </c>
      <c r="B66" t="s">
        <v>33</v>
      </c>
      <c r="C66" t="s">
        <v>61</v>
      </c>
      <c r="D66">
        <v>112</v>
      </c>
      <c r="E66">
        <v>2016</v>
      </c>
      <c r="F66" t="s">
        <v>9</v>
      </c>
    </row>
    <row r="67" spans="1:6" x14ac:dyDescent="0.25">
      <c r="A67" t="s">
        <v>34</v>
      </c>
      <c r="B67" t="s">
        <v>35</v>
      </c>
      <c r="C67" t="s">
        <v>61</v>
      </c>
      <c r="D67">
        <v>701</v>
      </c>
      <c r="E67">
        <v>2016</v>
      </c>
      <c r="F67" t="s">
        <v>9</v>
      </c>
    </row>
    <row r="68" spans="1:6" x14ac:dyDescent="0.25">
      <c r="A68" t="s">
        <v>36</v>
      </c>
      <c r="B68" t="s">
        <v>37</v>
      </c>
      <c r="C68" t="s">
        <v>61</v>
      </c>
      <c r="D68">
        <v>7653</v>
      </c>
      <c r="E68">
        <v>2016</v>
      </c>
      <c r="F68" t="s">
        <v>9</v>
      </c>
    </row>
    <row r="69" spans="1:6" x14ac:dyDescent="0.25">
      <c r="A69" t="s">
        <v>38</v>
      </c>
      <c r="B69" t="s">
        <v>39</v>
      </c>
      <c r="C69" t="s">
        <v>61</v>
      </c>
      <c r="D69">
        <v>1129</v>
      </c>
      <c r="E69">
        <v>2016</v>
      </c>
      <c r="F69" t="s">
        <v>9</v>
      </c>
    </row>
    <row r="70" spans="1:6" x14ac:dyDescent="0.25">
      <c r="A70" t="s">
        <v>40</v>
      </c>
      <c r="B70" t="s">
        <v>41</v>
      </c>
      <c r="C70" t="s">
        <v>61</v>
      </c>
      <c r="D70">
        <v>281</v>
      </c>
      <c r="E70">
        <v>2016</v>
      </c>
      <c r="F70" t="s">
        <v>9</v>
      </c>
    </row>
    <row r="71" spans="1:6" x14ac:dyDescent="0.25">
      <c r="A71" t="s">
        <v>42</v>
      </c>
      <c r="B71" t="s">
        <v>43</v>
      </c>
      <c r="C71" t="s">
        <v>61</v>
      </c>
      <c r="D71">
        <v>1</v>
      </c>
      <c r="E71">
        <v>2016</v>
      </c>
      <c r="F71" t="s">
        <v>9</v>
      </c>
    </row>
    <row r="72" spans="1:6" x14ac:dyDescent="0.25">
      <c r="A72" t="s">
        <v>44</v>
      </c>
      <c r="B72" t="s">
        <v>45</v>
      </c>
      <c r="C72" t="s">
        <v>61</v>
      </c>
      <c r="D72">
        <v>176</v>
      </c>
      <c r="E72">
        <v>2016</v>
      </c>
      <c r="F72" t="s">
        <v>9</v>
      </c>
    </row>
    <row r="73" spans="1:6" x14ac:dyDescent="0.25">
      <c r="A73" t="s">
        <v>46</v>
      </c>
      <c r="B73" t="s">
        <v>47</v>
      </c>
      <c r="C73" t="s">
        <v>61</v>
      </c>
      <c r="D73">
        <v>110</v>
      </c>
      <c r="E73">
        <v>2016</v>
      </c>
      <c r="F73" t="s">
        <v>9</v>
      </c>
    </row>
    <row r="74" spans="1:6" x14ac:dyDescent="0.25">
      <c r="A74" t="s">
        <v>48</v>
      </c>
      <c r="B74" t="s">
        <v>49</v>
      </c>
      <c r="C74" t="s">
        <v>61</v>
      </c>
      <c r="D74">
        <v>113</v>
      </c>
      <c r="E74">
        <v>2016</v>
      </c>
      <c r="F74" t="s">
        <v>9</v>
      </c>
    </row>
    <row r="75" spans="1:6" x14ac:dyDescent="0.25">
      <c r="A75" t="s">
        <v>50</v>
      </c>
      <c r="B75" t="s">
        <v>51</v>
      </c>
      <c r="C75" t="s">
        <v>61</v>
      </c>
      <c r="D75">
        <v>6</v>
      </c>
      <c r="E75">
        <v>2016</v>
      </c>
      <c r="F75" t="s">
        <v>9</v>
      </c>
    </row>
    <row r="76" spans="1:6" x14ac:dyDescent="0.25">
      <c r="A76" t="s">
        <v>52</v>
      </c>
      <c r="B76" t="s">
        <v>53</v>
      </c>
      <c r="C76" t="s">
        <v>61</v>
      </c>
      <c r="D76">
        <v>58</v>
      </c>
      <c r="E76">
        <v>2016</v>
      </c>
      <c r="F76" t="s">
        <v>9</v>
      </c>
    </row>
    <row r="77" spans="1:6" x14ac:dyDescent="0.25">
      <c r="A77" t="s">
        <v>54</v>
      </c>
      <c r="B77" t="s">
        <v>55</v>
      </c>
      <c r="C77" t="s">
        <v>61</v>
      </c>
      <c r="D77">
        <v>35</v>
      </c>
      <c r="E77">
        <v>2016</v>
      </c>
      <c r="F77" t="s">
        <v>9</v>
      </c>
    </row>
    <row r="78" spans="1:6" x14ac:dyDescent="0.25">
      <c r="A78" t="s">
        <v>56</v>
      </c>
      <c r="B78" t="s">
        <v>57</v>
      </c>
      <c r="C78" t="s">
        <v>61</v>
      </c>
      <c r="D78">
        <v>115</v>
      </c>
      <c r="E78">
        <v>2016</v>
      </c>
      <c r="F78" t="s">
        <v>9</v>
      </c>
    </row>
    <row r="79" spans="1:6" x14ac:dyDescent="0.25">
      <c r="A79" t="s">
        <v>58</v>
      </c>
      <c r="B79" t="s">
        <v>59</v>
      </c>
      <c r="C79" t="s">
        <v>61</v>
      </c>
      <c r="E79">
        <v>2016</v>
      </c>
      <c r="F79" t="s">
        <v>9</v>
      </c>
    </row>
    <row r="80" spans="1:6" x14ac:dyDescent="0.25">
      <c r="A80" t="s">
        <v>6</v>
      </c>
      <c r="B80" t="s">
        <v>7</v>
      </c>
      <c r="C80" t="s">
        <v>62</v>
      </c>
      <c r="D80">
        <v>46982</v>
      </c>
      <c r="E80">
        <v>2016</v>
      </c>
      <c r="F80" t="s">
        <v>9</v>
      </c>
    </row>
    <row r="81" spans="1:6" x14ac:dyDescent="0.25">
      <c r="A81" t="s">
        <v>10</v>
      </c>
      <c r="B81" t="s">
        <v>11</v>
      </c>
      <c r="C81" t="s">
        <v>62</v>
      </c>
      <c r="D81">
        <v>12759</v>
      </c>
      <c r="E81">
        <v>2016</v>
      </c>
      <c r="F81" t="s">
        <v>9</v>
      </c>
    </row>
    <row r="82" spans="1:6" x14ac:dyDescent="0.25">
      <c r="A82" t="s">
        <v>12</v>
      </c>
      <c r="B82" t="s">
        <v>13</v>
      </c>
      <c r="C82" t="s">
        <v>62</v>
      </c>
      <c r="D82">
        <v>1602</v>
      </c>
      <c r="E82">
        <v>2016</v>
      </c>
      <c r="F82" t="s">
        <v>9</v>
      </c>
    </row>
    <row r="83" spans="1:6" x14ac:dyDescent="0.25">
      <c r="A83" t="s">
        <v>14</v>
      </c>
      <c r="B83" t="s">
        <v>15</v>
      </c>
      <c r="C83" t="s">
        <v>62</v>
      </c>
      <c r="E83">
        <v>2016</v>
      </c>
      <c r="F83" t="s">
        <v>9</v>
      </c>
    </row>
    <row r="84" spans="1:6" x14ac:dyDescent="0.25">
      <c r="A84" t="s">
        <v>16</v>
      </c>
      <c r="B84" t="s">
        <v>17</v>
      </c>
      <c r="C84" t="s">
        <v>62</v>
      </c>
      <c r="D84">
        <v>3385</v>
      </c>
      <c r="E84">
        <v>2016</v>
      </c>
      <c r="F84" t="s">
        <v>9</v>
      </c>
    </row>
    <row r="85" spans="1:6" x14ac:dyDescent="0.25">
      <c r="A85" t="s">
        <v>18</v>
      </c>
      <c r="B85" t="s">
        <v>19</v>
      </c>
      <c r="C85" t="s">
        <v>62</v>
      </c>
      <c r="D85">
        <v>537</v>
      </c>
      <c r="E85">
        <v>2016</v>
      </c>
      <c r="F85" t="s">
        <v>9</v>
      </c>
    </row>
    <row r="86" spans="1:6" x14ac:dyDescent="0.25">
      <c r="A86" t="s">
        <v>20</v>
      </c>
      <c r="B86" t="s">
        <v>21</v>
      </c>
      <c r="C86" t="s">
        <v>62</v>
      </c>
      <c r="D86">
        <v>1328</v>
      </c>
      <c r="E86">
        <v>2016</v>
      </c>
      <c r="F86" t="s">
        <v>9</v>
      </c>
    </row>
    <row r="87" spans="1:6" x14ac:dyDescent="0.25">
      <c r="A87" t="s">
        <v>22</v>
      </c>
      <c r="B87" t="s">
        <v>23</v>
      </c>
      <c r="C87" t="s">
        <v>62</v>
      </c>
      <c r="D87">
        <v>162</v>
      </c>
      <c r="E87">
        <v>2016</v>
      </c>
      <c r="F87" t="s">
        <v>9</v>
      </c>
    </row>
    <row r="88" spans="1:6" x14ac:dyDescent="0.25">
      <c r="A88" t="s">
        <v>24</v>
      </c>
      <c r="B88" t="s">
        <v>25</v>
      </c>
      <c r="C88" t="s">
        <v>62</v>
      </c>
      <c r="D88">
        <v>1848</v>
      </c>
      <c r="E88">
        <v>2016</v>
      </c>
      <c r="F88" t="s">
        <v>9</v>
      </c>
    </row>
    <row r="89" spans="1:6" x14ac:dyDescent="0.25">
      <c r="A89" t="s">
        <v>26</v>
      </c>
      <c r="B89" t="s">
        <v>27</v>
      </c>
      <c r="C89" t="s">
        <v>62</v>
      </c>
      <c r="D89">
        <v>461</v>
      </c>
      <c r="E89">
        <v>2016</v>
      </c>
      <c r="F89" t="s">
        <v>9</v>
      </c>
    </row>
    <row r="90" spans="1:6" x14ac:dyDescent="0.25">
      <c r="A90" t="s">
        <v>28</v>
      </c>
      <c r="B90" t="s">
        <v>29</v>
      </c>
      <c r="C90" t="s">
        <v>62</v>
      </c>
      <c r="E90">
        <v>2016</v>
      </c>
      <c r="F90" t="s">
        <v>9</v>
      </c>
    </row>
    <row r="91" spans="1:6" x14ac:dyDescent="0.25">
      <c r="A91" t="s">
        <v>30</v>
      </c>
      <c r="B91" t="s">
        <v>31</v>
      </c>
      <c r="C91" t="s">
        <v>62</v>
      </c>
      <c r="D91">
        <v>4372</v>
      </c>
      <c r="E91">
        <v>2016</v>
      </c>
      <c r="F91" t="s">
        <v>9</v>
      </c>
    </row>
    <row r="92" spans="1:6" x14ac:dyDescent="0.25">
      <c r="A92" t="s">
        <v>32</v>
      </c>
      <c r="B92" t="s">
        <v>33</v>
      </c>
      <c r="C92" t="s">
        <v>62</v>
      </c>
      <c r="D92">
        <v>367</v>
      </c>
      <c r="E92">
        <v>2016</v>
      </c>
      <c r="F92" t="s">
        <v>9</v>
      </c>
    </row>
    <row r="93" spans="1:6" x14ac:dyDescent="0.25">
      <c r="A93" t="s">
        <v>34</v>
      </c>
      <c r="B93" t="s">
        <v>35</v>
      </c>
      <c r="C93" t="s">
        <v>62</v>
      </c>
      <c r="D93">
        <v>3646</v>
      </c>
      <c r="E93">
        <v>2016</v>
      </c>
      <c r="F93" t="s">
        <v>9</v>
      </c>
    </row>
    <row r="94" spans="1:6" x14ac:dyDescent="0.25">
      <c r="A94" t="s">
        <v>36</v>
      </c>
      <c r="B94" t="s">
        <v>37</v>
      </c>
      <c r="C94" t="s">
        <v>62</v>
      </c>
      <c r="D94">
        <v>6381</v>
      </c>
      <c r="E94">
        <v>2016</v>
      </c>
      <c r="F94" t="s">
        <v>9</v>
      </c>
    </row>
    <row r="95" spans="1:6" x14ac:dyDescent="0.25">
      <c r="A95" t="s">
        <v>38</v>
      </c>
      <c r="B95" t="s">
        <v>39</v>
      </c>
      <c r="C95" t="s">
        <v>62</v>
      </c>
      <c r="D95">
        <v>8835</v>
      </c>
      <c r="E95">
        <v>2016</v>
      </c>
      <c r="F95" t="s">
        <v>9</v>
      </c>
    </row>
    <row r="96" spans="1:6" x14ac:dyDescent="0.25">
      <c r="A96" t="s">
        <v>40</v>
      </c>
      <c r="B96" t="s">
        <v>41</v>
      </c>
      <c r="C96" t="s">
        <v>62</v>
      </c>
      <c r="D96">
        <v>502</v>
      </c>
      <c r="E96">
        <v>2016</v>
      </c>
      <c r="F96" t="s">
        <v>9</v>
      </c>
    </row>
    <row r="97" spans="1:6" x14ac:dyDescent="0.25">
      <c r="A97" t="s">
        <v>42</v>
      </c>
      <c r="B97" t="s">
        <v>43</v>
      </c>
      <c r="C97" t="s">
        <v>62</v>
      </c>
      <c r="D97">
        <v>19</v>
      </c>
      <c r="E97">
        <v>2016</v>
      </c>
      <c r="F97" t="s">
        <v>9</v>
      </c>
    </row>
    <row r="98" spans="1:6" x14ac:dyDescent="0.25">
      <c r="A98" t="s">
        <v>44</v>
      </c>
      <c r="B98" t="s">
        <v>45</v>
      </c>
      <c r="C98" t="s">
        <v>62</v>
      </c>
      <c r="D98">
        <v>246</v>
      </c>
      <c r="E98">
        <v>2016</v>
      </c>
      <c r="F98" t="s">
        <v>9</v>
      </c>
    </row>
    <row r="99" spans="1:6" x14ac:dyDescent="0.25">
      <c r="A99" t="s">
        <v>46</v>
      </c>
      <c r="B99" t="s">
        <v>47</v>
      </c>
      <c r="C99" t="s">
        <v>62</v>
      </c>
      <c r="D99">
        <v>119</v>
      </c>
      <c r="E99">
        <v>2016</v>
      </c>
      <c r="F99" t="s">
        <v>9</v>
      </c>
    </row>
    <row r="100" spans="1:6" x14ac:dyDescent="0.25">
      <c r="A100" t="s">
        <v>48</v>
      </c>
      <c r="B100" t="s">
        <v>49</v>
      </c>
      <c r="C100" t="s">
        <v>62</v>
      </c>
      <c r="D100">
        <v>83</v>
      </c>
      <c r="E100">
        <v>2016</v>
      </c>
      <c r="F100" t="s">
        <v>9</v>
      </c>
    </row>
    <row r="101" spans="1:6" x14ac:dyDescent="0.25">
      <c r="A101" t="s">
        <v>50</v>
      </c>
      <c r="B101" t="s">
        <v>51</v>
      </c>
      <c r="C101" t="s">
        <v>62</v>
      </c>
      <c r="D101">
        <v>38</v>
      </c>
      <c r="E101">
        <v>2016</v>
      </c>
      <c r="F101" t="s">
        <v>9</v>
      </c>
    </row>
    <row r="102" spans="1:6" x14ac:dyDescent="0.25">
      <c r="A102" t="s">
        <v>52</v>
      </c>
      <c r="B102" t="s">
        <v>53</v>
      </c>
      <c r="C102" t="s">
        <v>62</v>
      </c>
      <c r="D102">
        <v>149</v>
      </c>
      <c r="E102">
        <v>2016</v>
      </c>
      <c r="F102" t="s">
        <v>9</v>
      </c>
    </row>
    <row r="103" spans="1:6" x14ac:dyDescent="0.25">
      <c r="A103" t="s">
        <v>54</v>
      </c>
      <c r="B103" t="s">
        <v>55</v>
      </c>
      <c r="C103" t="s">
        <v>62</v>
      </c>
      <c r="D103">
        <v>72</v>
      </c>
      <c r="E103">
        <v>2016</v>
      </c>
      <c r="F103" t="s">
        <v>9</v>
      </c>
    </row>
    <row r="104" spans="1:6" x14ac:dyDescent="0.25">
      <c r="A104" t="s">
        <v>56</v>
      </c>
      <c r="B104" t="s">
        <v>57</v>
      </c>
      <c r="C104" t="s">
        <v>62</v>
      </c>
      <c r="D104">
        <v>59</v>
      </c>
      <c r="E104">
        <v>2016</v>
      </c>
      <c r="F104" t="s">
        <v>9</v>
      </c>
    </row>
    <row r="105" spans="1:6" x14ac:dyDescent="0.25">
      <c r="A105" t="s">
        <v>58</v>
      </c>
      <c r="B105" t="s">
        <v>59</v>
      </c>
      <c r="C105" t="s">
        <v>62</v>
      </c>
      <c r="E105">
        <v>2016</v>
      </c>
      <c r="F105" t="s">
        <v>9</v>
      </c>
    </row>
    <row r="106" spans="1:6" x14ac:dyDescent="0.25">
      <c r="A106" t="s">
        <v>6</v>
      </c>
      <c r="B106" t="s">
        <v>7</v>
      </c>
      <c r="C106" t="s">
        <v>8</v>
      </c>
      <c r="D106">
        <v>43341</v>
      </c>
      <c r="E106">
        <v>2017</v>
      </c>
      <c r="F106" t="s">
        <v>9</v>
      </c>
    </row>
    <row r="107" spans="1:6" x14ac:dyDescent="0.25">
      <c r="A107" t="s">
        <v>10</v>
      </c>
      <c r="B107" t="s">
        <v>11</v>
      </c>
      <c r="C107" t="s">
        <v>8</v>
      </c>
      <c r="D107">
        <v>10558</v>
      </c>
      <c r="E107">
        <v>2017</v>
      </c>
      <c r="F107" t="s">
        <v>9</v>
      </c>
    </row>
    <row r="108" spans="1:6" x14ac:dyDescent="0.25">
      <c r="A108" t="s">
        <v>12</v>
      </c>
      <c r="B108" t="s">
        <v>13</v>
      </c>
      <c r="C108" t="s">
        <v>8</v>
      </c>
      <c r="D108">
        <v>1175</v>
      </c>
      <c r="E108">
        <v>2017</v>
      </c>
      <c r="F108" t="s">
        <v>9</v>
      </c>
    </row>
    <row r="109" spans="1:6" x14ac:dyDescent="0.25">
      <c r="A109" t="s">
        <v>14</v>
      </c>
      <c r="B109" t="s">
        <v>15</v>
      </c>
      <c r="C109" t="s">
        <v>8</v>
      </c>
      <c r="E109">
        <v>2017</v>
      </c>
      <c r="F109" t="s">
        <v>9</v>
      </c>
    </row>
    <row r="110" spans="1:6" x14ac:dyDescent="0.25">
      <c r="A110" t="s">
        <v>16</v>
      </c>
      <c r="B110" t="s">
        <v>17</v>
      </c>
      <c r="C110" t="s">
        <v>8</v>
      </c>
      <c r="D110">
        <v>259</v>
      </c>
      <c r="E110">
        <v>2017</v>
      </c>
      <c r="F110" t="s">
        <v>9</v>
      </c>
    </row>
    <row r="111" spans="1:6" x14ac:dyDescent="0.25">
      <c r="A111" t="s">
        <v>18</v>
      </c>
      <c r="B111" t="s">
        <v>19</v>
      </c>
      <c r="C111" t="s">
        <v>8</v>
      </c>
      <c r="D111">
        <v>361</v>
      </c>
      <c r="E111">
        <v>2017</v>
      </c>
      <c r="F111" t="s">
        <v>9</v>
      </c>
    </row>
    <row r="112" spans="1:6" x14ac:dyDescent="0.25">
      <c r="A112" t="s">
        <v>20</v>
      </c>
      <c r="B112" t="s">
        <v>21</v>
      </c>
      <c r="C112" t="s">
        <v>8</v>
      </c>
      <c r="D112">
        <v>24</v>
      </c>
      <c r="E112">
        <v>2017</v>
      </c>
      <c r="F112" t="s">
        <v>9</v>
      </c>
    </row>
    <row r="113" spans="1:6" x14ac:dyDescent="0.25">
      <c r="A113" t="s">
        <v>22</v>
      </c>
      <c r="B113" t="s">
        <v>23</v>
      </c>
      <c r="C113" t="s">
        <v>8</v>
      </c>
      <c r="D113">
        <v>6756</v>
      </c>
      <c r="E113">
        <v>2017</v>
      </c>
      <c r="F113" t="s">
        <v>9</v>
      </c>
    </row>
    <row r="114" spans="1:6" x14ac:dyDescent="0.25">
      <c r="A114" t="s">
        <v>24</v>
      </c>
      <c r="B114" t="s">
        <v>25</v>
      </c>
      <c r="C114" t="s">
        <v>8</v>
      </c>
      <c r="D114">
        <v>4285</v>
      </c>
      <c r="E114">
        <v>2017</v>
      </c>
      <c r="F114" t="s">
        <v>9</v>
      </c>
    </row>
    <row r="115" spans="1:6" x14ac:dyDescent="0.25">
      <c r="A115" t="s">
        <v>26</v>
      </c>
      <c r="B115" t="s">
        <v>27</v>
      </c>
      <c r="C115" t="s">
        <v>8</v>
      </c>
      <c r="D115">
        <v>887</v>
      </c>
      <c r="E115">
        <v>2017</v>
      </c>
      <c r="F115" t="s">
        <v>9</v>
      </c>
    </row>
    <row r="116" spans="1:6" x14ac:dyDescent="0.25">
      <c r="A116" t="s">
        <v>28</v>
      </c>
      <c r="B116" t="s">
        <v>29</v>
      </c>
      <c r="C116" t="s">
        <v>8</v>
      </c>
      <c r="E116">
        <v>2017</v>
      </c>
      <c r="F116" t="s">
        <v>9</v>
      </c>
    </row>
    <row r="117" spans="1:6" x14ac:dyDescent="0.25">
      <c r="A117" t="s">
        <v>30</v>
      </c>
      <c r="B117" t="s">
        <v>31</v>
      </c>
      <c r="C117" t="s">
        <v>8</v>
      </c>
      <c r="D117">
        <v>5038</v>
      </c>
      <c r="E117">
        <v>2017</v>
      </c>
      <c r="F117" t="s">
        <v>9</v>
      </c>
    </row>
    <row r="118" spans="1:6" x14ac:dyDescent="0.25">
      <c r="A118" t="s">
        <v>32</v>
      </c>
      <c r="B118" t="s">
        <v>33</v>
      </c>
      <c r="C118" t="s">
        <v>8</v>
      </c>
      <c r="D118">
        <v>2460</v>
      </c>
      <c r="E118">
        <v>2017</v>
      </c>
      <c r="F118" t="s">
        <v>9</v>
      </c>
    </row>
    <row r="119" spans="1:6" x14ac:dyDescent="0.25">
      <c r="A119" t="s">
        <v>34</v>
      </c>
      <c r="B119" t="s">
        <v>35</v>
      </c>
      <c r="C119" t="s">
        <v>8</v>
      </c>
      <c r="D119">
        <v>2357</v>
      </c>
      <c r="E119">
        <v>2017</v>
      </c>
      <c r="F119" t="s">
        <v>9</v>
      </c>
    </row>
    <row r="120" spans="1:6" x14ac:dyDescent="0.25">
      <c r="A120" t="s">
        <v>36</v>
      </c>
      <c r="B120" t="s">
        <v>37</v>
      </c>
      <c r="C120" t="s">
        <v>8</v>
      </c>
      <c r="D120">
        <v>2940</v>
      </c>
      <c r="E120">
        <v>2017</v>
      </c>
      <c r="F120" t="s">
        <v>9</v>
      </c>
    </row>
    <row r="121" spans="1:6" x14ac:dyDescent="0.25">
      <c r="A121" t="s">
        <v>38</v>
      </c>
      <c r="B121" t="s">
        <v>39</v>
      </c>
      <c r="C121" t="s">
        <v>8</v>
      </c>
      <c r="D121">
        <v>2603</v>
      </c>
      <c r="E121">
        <v>2017</v>
      </c>
      <c r="F121" t="s">
        <v>9</v>
      </c>
    </row>
    <row r="122" spans="1:6" x14ac:dyDescent="0.25">
      <c r="A122" t="s">
        <v>40</v>
      </c>
      <c r="B122" t="s">
        <v>41</v>
      </c>
      <c r="C122" t="s">
        <v>8</v>
      </c>
      <c r="D122">
        <v>928</v>
      </c>
      <c r="E122">
        <v>2017</v>
      </c>
      <c r="F122" t="s">
        <v>9</v>
      </c>
    </row>
    <row r="123" spans="1:6" x14ac:dyDescent="0.25">
      <c r="A123" t="s">
        <v>42</v>
      </c>
      <c r="B123" t="s">
        <v>43</v>
      </c>
      <c r="C123" t="s">
        <v>8</v>
      </c>
      <c r="D123">
        <v>11</v>
      </c>
      <c r="E123">
        <v>2017</v>
      </c>
      <c r="F123" t="s">
        <v>9</v>
      </c>
    </row>
    <row r="124" spans="1:6" x14ac:dyDescent="0.25">
      <c r="A124" t="s">
        <v>44</v>
      </c>
      <c r="B124" t="s">
        <v>45</v>
      </c>
      <c r="C124" t="s">
        <v>8</v>
      </c>
      <c r="D124">
        <v>877</v>
      </c>
      <c r="E124">
        <v>2017</v>
      </c>
      <c r="F124" t="s">
        <v>9</v>
      </c>
    </row>
    <row r="125" spans="1:6" x14ac:dyDescent="0.25">
      <c r="A125" t="s">
        <v>46</v>
      </c>
      <c r="B125" t="s">
        <v>47</v>
      </c>
      <c r="C125" t="s">
        <v>8</v>
      </c>
      <c r="D125">
        <v>818</v>
      </c>
      <c r="E125">
        <v>2017</v>
      </c>
      <c r="F125" t="s">
        <v>9</v>
      </c>
    </row>
    <row r="126" spans="1:6" x14ac:dyDescent="0.25">
      <c r="A126" t="s">
        <v>48</v>
      </c>
      <c r="B126" t="s">
        <v>49</v>
      </c>
      <c r="C126" t="s">
        <v>8</v>
      </c>
      <c r="D126">
        <v>411</v>
      </c>
      <c r="E126">
        <v>2017</v>
      </c>
      <c r="F126" t="s">
        <v>9</v>
      </c>
    </row>
    <row r="127" spans="1:6" x14ac:dyDescent="0.25">
      <c r="A127" t="s">
        <v>50</v>
      </c>
      <c r="B127" t="s">
        <v>51</v>
      </c>
      <c r="C127" t="s">
        <v>8</v>
      </c>
      <c r="D127">
        <v>10</v>
      </c>
      <c r="E127">
        <v>2017</v>
      </c>
      <c r="F127" t="s">
        <v>9</v>
      </c>
    </row>
    <row r="128" spans="1:6" x14ac:dyDescent="0.25">
      <c r="A128" t="s">
        <v>52</v>
      </c>
      <c r="B128" t="s">
        <v>53</v>
      </c>
      <c r="C128" t="s">
        <v>8</v>
      </c>
      <c r="D128">
        <v>113</v>
      </c>
      <c r="E128">
        <v>2017</v>
      </c>
      <c r="F128" t="s">
        <v>9</v>
      </c>
    </row>
    <row r="129" spans="1:6" x14ac:dyDescent="0.25">
      <c r="A129" t="s">
        <v>54</v>
      </c>
      <c r="B129" t="s">
        <v>55</v>
      </c>
      <c r="C129" t="s">
        <v>8</v>
      </c>
      <c r="D129">
        <v>10</v>
      </c>
      <c r="E129">
        <v>2017</v>
      </c>
      <c r="F129" t="s">
        <v>9</v>
      </c>
    </row>
    <row r="130" spans="1:6" x14ac:dyDescent="0.25">
      <c r="A130" t="s">
        <v>56</v>
      </c>
      <c r="B130" t="s">
        <v>57</v>
      </c>
      <c r="C130" t="s">
        <v>8</v>
      </c>
      <c r="D130">
        <v>161</v>
      </c>
      <c r="E130">
        <v>2017</v>
      </c>
      <c r="F130" t="s">
        <v>9</v>
      </c>
    </row>
    <row r="131" spans="1:6" x14ac:dyDescent="0.25">
      <c r="A131" t="s">
        <v>58</v>
      </c>
      <c r="B131" t="s">
        <v>59</v>
      </c>
      <c r="C131" t="s">
        <v>8</v>
      </c>
      <c r="D131">
        <v>286</v>
      </c>
      <c r="E131">
        <v>2017</v>
      </c>
      <c r="F131" t="s">
        <v>9</v>
      </c>
    </row>
    <row r="132" spans="1:6" x14ac:dyDescent="0.25">
      <c r="A132" t="s">
        <v>6</v>
      </c>
      <c r="B132" t="s">
        <v>7</v>
      </c>
      <c r="C132" t="s">
        <v>60</v>
      </c>
      <c r="D132">
        <v>48212</v>
      </c>
      <c r="E132">
        <v>2017</v>
      </c>
      <c r="F132" t="s">
        <v>9</v>
      </c>
    </row>
    <row r="133" spans="1:6" x14ac:dyDescent="0.25">
      <c r="A133" t="s">
        <v>10</v>
      </c>
      <c r="B133" t="s">
        <v>11</v>
      </c>
      <c r="C133" t="s">
        <v>60</v>
      </c>
      <c r="D133">
        <v>9305</v>
      </c>
      <c r="E133">
        <v>2017</v>
      </c>
      <c r="F133" t="s">
        <v>9</v>
      </c>
    </row>
    <row r="134" spans="1:6" x14ac:dyDescent="0.25">
      <c r="A134" t="s">
        <v>12</v>
      </c>
      <c r="B134" t="s">
        <v>13</v>
      </c>
      <c r="C134" t="s">
        <v>60</v>
      </c>
      <c r="D134">
        <v>1462</v>
      </c>
      <c r="E134">
        <v>2017</v>
      </c>
      <c r="F134" t="s">
        <v>9</v>
      </c>
    </row>
    <row r="135" spans="1:6" x14ac:dyDescent="0.25">
      <c r="A135" t="s">
        <v>14</v>
      </c>
      <c r="B135" t="s">
        <v>15</v>
      </c>
      <c r="C135" t="s">
        <v>60</v>
      </c>
      <c r="E135">
        <v>2017</v>
      </c>
      <c r="F135" t="s">
        <v>9</v>
      </c>
    </row>
    <row r="136" spans="1:6" x14ac:dyDescent="0.25">
      <c r="A136" t="s">
        <v>16</v>
      </c>
      <c r="B136" t="s">
        <v>17</v>
      </c>
      <c r="C136" t="s">
        <v>60</v>
      </c>
      <c r="D136">
        <v>1685</v>
      </c>
      <c r="E136">
        <v>2017</v>
      </c>
      <c r="F136" t="s">
        <v>9</v>
      </c>
    </row>
    <row r="137" spans="1:6" x14ac:dyDescent="0.25">
      <c r="A137" t="s">
        <v>18</v>
      </c>
      <c r="B137" t="s">
        <v>19</v>
      </c>
      <c r="C137" t="s">
        <v>60</v>
      </c>
      <c r="D137">
        <v>531</v>
      </c>
      <c r="E137">
        <v>2017</v>
      </c>
      <c r="F137" t="s">
        <v>9</v>
      </c>
    </row>
    <row r="138" spans="1:6" x14ac:dyDescent="0.25">
      <c r="A138" t="s">
        <v>20</v>
      </c>
      <c r="B138" t="s">
        <v>21</v>
      </c>
      <c r="C138" t="s">
        <v>60</v>
      </c>
      <c r="D138">
        <v>285</v>
      </c>
      <c r="E138">
        <v>2017</v>
      </c>
      <c r="F138" t="s">
        <v>9</v>
      </c>
    </row>
    <row r="139" spans="1:6" x14ac:dyDescent="0.25">
      <c r="A139" t="s">
        <v>22</v>
      </c>
      <c r="B139" t="s">
        <v>23</v>
      </c>
      <c r="C139" t="s">
        <v>60</v>
      </c>
      <c r="D139">
        <v>343</v>
      </c>
      <c r="E139">
        <v>2017</v>
      </c>
      <c r="F139" t="s">
        <v>9</v>
      </c>
    </row>
    <row r="140" spans="1:6" x14ac:dyDescent="0.25">
      <c r="A140" t="s">
        <v>24</v>
      </c>
      <c r="B140" t="s">
        <v>25</v>
      </c>
      <c r="C140" t="s">
        <v>60</v>
      </c>
      <c r="D140">
        <v>4534</v>
      </c>
      <c r="E140">
        <v>2017</v>
      </c>
      <c r="F140" t="s">
        <v>9</v>
      </c>
    </row>
    <row r="141" spans="1:6" x14ac:dyDescent="0.25">
      <c r="A141" t="s">
        <v>26</v>
      </c>
      <c r="B141" t="s">
        <v>27</v>
      </c>
      <c r="C141" t="s">
        <v>60</v>
      </c>
      <c r="D141">
        <v>366</v>
      </c>
      <c r="E141">
        <v>2017</v>
      </c>
      <c r="F141" t="s">
        <v>9</v>
      </c>
    </row>
    <row r="142" spans="1:6" x14ac:dyDescent="0.25">
      <c r="A142" t="s">
        <v>28</v>
      </c>
      <c r="B142" t="s">
        <v>29</v>
      </c>
      <c r="C142" t="s">
        <v>60</v>
      </c>
      <c r="D142">
        <v>2499</v>
      </c>
      <c r="E142">
        <v>2017</v>
      </c>
      <c r="F142" t="s">
        <v>9</v>
      </c>
    </row>
    <row r="143" spans="1:6" x14ac:dyDescent="0.25">
      <c r="A143" t="s">
        <v>30</v>
      </c>
      <c r="B143" t="s">
        <v>31</v>
      </c>
      <c r="C143" t="s">
        <v>60</v>
      </c>
      <c r="D143">
        <v>5267</v>
      </c>
      <c r="E143">
        <v>2017</v>
      </c>
      <c r="F143" t="s">
        <v>9</v>
      </c>
    </row>
    <row r="144" spans="1:6" x14ac:dyDescent="0.25">
      <c r="A144" t="s">
        <v>32</v>
      </c>
      <c r="B144" t="s">
        <v>33</v>
      </c>
      <c r="C144" t="s">
        <v>60</v>
      </c>
      <c r="D144">
        <v>569</v>
      </c>
      <c r="E144">
        <v>2017</v>
      </c>
      <c r="F144" t="s">
        <v>9</v>
      </c>
    </row>
    <row r="145" spans="1:6" x14ac:dyDescent="0.25">
      <c r="A145" t="s">
        <v>34</v>
      </c>
      <c r="B145" t="s">
        <v>35</v>
      </c>
      <c r="C145" t="s">
        <v>60</v>
      </c>
      <c r="D145">
        <v>3432</v>
      </c>
      <c r="E145">
        <v>2017</v>
      </c>
      <c r="F145" t="s">
        <v>9</v>
      </c>
    </row>
    <row r="146" spans="1:6" x14ac:dyDescent="0.25">
      <c r="A146" t="s">
        <v>36</v>
      </c>
      <c r="B146" t="s">
        <v>37</v>
      </c>
      <c r="C146" t="s">
        <v>60</v>
      </c>
      <c r="D146">
        <v>6473</v>
      </c>
      <c r="E146">
        <v>2017</v>
      </c>
      <c r="F146" t="s">
        <v>9</v>
      </c>
    </row>
    <row r="147" spans="1:6" x14ac:dyDescent="0.25">
      <c r="A147" t="s">
        <v>38</v>
      </c>
      <c r="B147" t="s">
        <v>39</v>
      </c>
      <c r="C147" t="s">
        <v>60</v>
      </c>
      <c r="D147">
        <v>4249</v>
      </c>
      <c r="E147">
        <v>2017</v>
      </c>
      <c r="F147" t="s">
        <v>9</v>
      </c>
    </row>
    <row r="148" spans="1:6" x14ac:dyDescent="0.25">
      <c r="A148" t="s">
        <v>40</v>
      </c>
      <c r="B148" t="s">
        <v>41</v>
      </c>
      <c r="C148" t="s">
        <v>60</v>
      </c>
      <c r="D148">
        <v>715</v>
      </c>
      <c r="E148">
        <v>2017</v>
      </c>
      <c r="F148" t="s">
        <v>9</v>
      </c>
    </row>
    <row r="149" spans="1:6" x14ac:dyDescent="0.25">
      <c r="A149" t="s">
        <v>42</v>
      </c>
      <c r="B149" t="s">
        <v>43</v>
      </c>
      <c r="C149" t="s">
        <v>60</v>
      </c>
      <c r="D149">
        <v>3</v>
      </c>
      <c r="E149">
        <v>2017</v>
      </c>
      <c r="F149" t="s">
        <v>9</v>
      </c>
    </row>
    <row r="150" spans="1:6" x14ac:dyDescent="0.25">
      <c r="A150" t="s">
        <v>44</v>
      </c>
      <c r="B150" t="s">
        <v>45</v>
      </c>
      <c r="C150" t="s">
        <v>60</v>
      </c>
      <c r="D150">
        <v>532</v>
      </c>
      <c r="E150">
        <v>2017</v>
      </c>
      <c r="F150" t="s">
        <v>9</v>
      </c>
    </row>
    <row r="151" spans="1:6" x14ac:dyDescent="0.25">
      <c r="A151" t="s">
        <v>46</v>
      </c>
      <c r="B151" t="s">
        <v>47</v>
      </c>
      <c r="C151" t="s">
        <v>60</v>
      </c>
      <c r="D151">
        <v>217</v>
      </c>
      <c r="E151">
        <v>2017</v>
      </c>
      <c r="F151" t="s">
        <v>9</v>
      </c>
    </row>
    <row r="152" spans="1:6" x14ac:dyDescent="0.25">
      <c r="A152" t="s">
        <v>48</v>
      </c>
      <c r="B152" t="s">
        <v>49</v>
      </c>
      <c r="C152" t="s">
        <v>60</v>
      </c>
      <c r="D152">
        <v>229</v>
      </c>
      <c r="E152">
        <v>2017</v>
      </c>
      <c r="F152" t="s">
        <v>9</v>
      </c>
    </row>
    <row r="153" spans="1:6" x14ac:dyDescent="0.25">
      <c r="A153" t="s">
        <v>50</v>
      </c>
      <c r="B153" t="s">
        <v>51</v>
      </c>
      <c r="C153" t="s">
        <v>60</v>
      </c>
      <c r="D153">
        <v>71</v>
      </c>
      <c r="E153">
        <v>2017</v>
      </c>
      <c r="F153" t="s">
        <v>9</v>
      </c>
    </row>
    <row r="154" spans="1:6" x14ac:dyDescent="0.25">
      <c r="A154" t="s">
        <v>52</v>
      </c>
      <c r="B154" t="s">
        <v>53</v>
      </c>
      <c r="C154" t="s">
        <v>60</v>
      </c>
      <c r="D154">
        <v>231</v>
      </c>
      <c r="E154">
        <v>2017</v>
      </c>
      <c r="F154" t="s">
        <v>9</v>
      </c>
    </row>
    <row r="155" spans="1:6" x14ac:dyDescent="0.25">
      <c r="A155" t="s">
        <v>54</v>
      </c>
      <c r="B155" t="s">
        <v>55</v>
      </c>
      <c r="C155" t="s">
        <v>60</v>
      </c>
      <c r="D155">
        <v>5201</v>
      </c>
      <c r="E155">
        <v>2017</v>
      </c>
      <c r="F155" t="s">
        <v>9</v>
      </c>
    </row>
    <row r="156" spans="1:6" x14ac:dyDescent="0.25">
      <c r="A156" t="s">
        <v>56</v>
      </c>
      <c r="B156" t="s">
        <v>57</v>
      </c>
      <c r="C156" t="s">
        <v>60</v>
      </c>
      <c r="E156">
        <v>2017</v>
      </c>
      <c r="F156" t="s">
        <v>9</v>
      </c>
    </row>
    <row r="157" spans="1:6" x14ac:dyDescent="0.25">
      <c r="A157" t="s">
        <v>58</v>
      </c>
      <c r="B157" t="s">
        <v>59</v>
      </c>
      <c r="C157" t="s">
        <v>60</v>
      </c>
      <c r="E157">
        <v>2017</v>
      </c>
      <c r="F157" t="s">
        <v>9</v>
      </c>
    </row>
    <row r="158" spans="1:6" x14ac:dyDescent="0.25">
      <c r="A158" t="s">
        <v>6</v>
      </c>
      <c r="B158" t="s">
        <v>7</v>
      </c>
      <c r="C158" t="s">
        <v>61</v>
      </c>
      <c r="D158">
        <v>39176</v>
      </c>
      <c r="E158">
        <v>2017</v>
      </c>
      <c r="F158" t="s">
        <v>9</v>
      </c>
    </row>
    <row r="159" spans="1:6" x14ac:dyDescent="0.25">
      <c r="A159" t="s">
        <v>10</v>
      </c>
      <c r="B159" t="s">
        <v>11</v>
      </c>
      <c r="C159" t="s">
        <v>61</v>
      </c>
      <c r="D159">
        <v>15661</v>
      </c>
      <c r="E159">
        <v>2017</v>
      </c>
      <c r="F159" t="s">
        <v>9</v>
      </c>
    </row>
    <row r="160" spans="1:6" x14ac:dyDescent="0.25">
      <c r="A160" t="s">
        <v>12</v>
      </c>
      <c r="B160" t="s">
        <v>13</v>
      </c>
      <c r="C160" t="s">
        <v>61</v>
      </c>
      <c r="D160">
        <v>854</v>
      </c>
      <c r="E160">
        <v>2017</v>
      </c>
      <c r="F160" t="s">
        <v>9</v>
      </c>
    </row>
    <row r="161" spans="1:6" x14ac:dyDescent="0.25">
      <c r="A161" t="s">
        <v>14</v>
      </c>
      <c r="B161" t="s">
        <v>15</v>
      </c>
      <c r="C161" t="s">
        <v>61</v>
      </c>
      <c r="D161">
        <v>3</v>
      </c>
      <c r="E161">
        <v>2017</v>
      </c>
      <c r="F161" t="s">
        <v>9</v>
      </c>
    </row>
    <row r="162" spans="1:6" x14ac:dyDescent="0.25">
      <c r="A162" t="s">
        <v>16</v>
      </c>
      <c r="B162" t="s">
        <v>17</v>
      </c>
      <c r="C162" t="s">
        <v>61</v>
      </c>
      <c r="D162">
        <v>1397</v>
      </c>
      <c r="E162">
        <v>2017</v>
      </c>
      <c r="F162" t="s">
        <v>9</v>
      </c>
    </row>
    <row r="163" spans="1:6" x14ac:dyDescent="0.25">
      <c r="A163" t="s">
        <v>18</v>
      </c>
      <c r="B163" t="s">
        <v>19</v>
      </c>
      <c r="C163" t="s">
        <v>61</v>
      </c>
      <c r="D163">
        <v>88</v>
      </c>
      <c r="E163">
        <v>2017</v>
      </c>
      <c r="F163" t="s">
        <v>9</v>
      </c>
    </row>
    <row r="164" spans="1:6" x14ac:dyDescent="0.25">
      <c r="A164" t="s">
        <v>20</v>
      </c>
      <c r="B164" t="s">
        <v>21</v>
      </c>
      <c r="C164" t="s">
        <v>61</v>
      </c>
      <c r="D164">
        <v>56</v>
      </c>
      <c r="E164">
        <v>2017</v>
      </c>
      <c r="F164" t="s">
        <v>9</v>
      </c>
    </row>
    <row r="165" spans="1:6" x14ac:dyDescent="0.25">
      <c r="A165" t="s">
        <v>22</v>
      </c>
      <c r="B165" t="s">
        <v>23</v>
      </c>
      <c r="C165" t="s">
        <v>61</v>
      </c>
      <c r="D165">
        <v>489</v>
      </c>
      <c r="E165">
        <v>2017</v>
      </c>
      <c r="F165" t="s">
        <v>9</v>
      </c>
    </row>
    <row r="166" spans="1:6" x14ac:dyDescent="0.25">
      <c r="A166" t="s">
        <v>24</v>
      </c>
      <c r="B166" t="s">
        <v>25</v>
      </c>
      <c r="C166" t="s">
        <v>61</v>
      </c>
      <c r="D166">
        <v>2263</v>
      </c>
      <c r="E166">
        <v>2017</v>
      </c>
      <c r="F166" t="s">
        <v>9</v>
      </c>
    </row>
    <row r="167" spans="1:6" x14ac:dyDescent="0.25">
      <c r="A167" t="s">
        <v>26</v>
      </c>
      <c r="B167" t="s">
        <v>27</v>
      </c>
      <c r="C167" t="s">
        <v>61</v>
      </c>
      <c r="D167">
        <v>106</v>
      </c>
      <c r="E167">
        <v>2017</v>
      </c>
      <c r="F167" t="s">
        <v>9</v>
      </c>
    </row>
    <row r="168" spans="1:6" x14ac:dyDescent="0.25">
      <c r="A168" t="s">
        <v>28</v>
      </c>
      <c r="B168" t="s">
        <v>29</v>
      </c>
      <c r="C168" t="s">
        <v>61</v>
      </c>
      <c r="D168">
        <v>45</v>
      </c>
      <c r="E168">
        <v>2017</v>
      </c>
      <c r="F168" t="s">
        <v>9</v>
      </c>
    </row>
    <row r="169" spans="1:6" x14ac:dyDescent="0.25">
      <c r="A169" t="s">
        <v>30</v>
      </c>
      <c r="B169" t="s">
        <v>31</v>
      </c>
      <c r="C169" t="s">
        <v>61</v>
      </c>
      <c r="D169">
        <v>661</v>
      </c>
      <c r="E169">
        <v>2017</v>
      </c>
      <c r="F169" t="s">
        <v>9</v>
      </c>
    </row>
    <row r="170" spans="1:6" x14ac:dyDescent="0.25">
      <c r="A170" t="s">
        <v>32</v>
      </c>
      <c r="B170" t="s">
        <v>33</v>
      </c>
      <c r="C170" t="s">
        <v>61</v>
      </c>
      <c r="D170">
        <v>166</v>
      </c>
      <c r="E170">
        <v>2017</v>
      </c>
      <c r="F170" t="s">
        <v>9</v>
      </c>
    </row>
    <row r="171" spans="1:6" x14ac:dyDescent="0.25">
      <c r="A171" t="s">
        <v>34</v>
      </c>
      <c r="B171" t="s">
        <v>35</v>
      </c>
      <c r="C171" t="s">
        <v>61</v>
      </c>
      <c r="D171">
        <v>724</v>
      </c>
      <c r="E171">
        <v>2017</v>
      </c>
      <c r="F171" t="s">
        <v>9</v>
      </c>
    </row>
    <row r="172" spans="1:6" x14ac:dyDescent="0.25">
      <c r="A172" t="s">
        <v>36</v>
      </c>
      <c r="B172" t="s">
        <v>37</v>
      </c>
      <c r="C172" t="s">
        <v>61</v>
      </c>
      <c r="D172">
        <v>13371</v>
      </c>
      <c r="E172">
        <v>2017</v>
      </c>
      <c r="F172" t="s">
        <v>9</v>
      </c>
    </row>
    <row r="173" spans="1:6" x14ac:dyDescent="0.25">
      <c r="A173" t="s">
        <v>38</v>
      </c>
      <c r="B173" t="s">
        <v>39</v>
      </c>
      <c r="C173" t="s">
        <v>61</v>
      </c>
      <c r="D173">
        <v>1769</v>
      </c>
      <c r="E173">
        <v>2017</v>
      </c>
      <c r="F173" t="s">
        <v>9</v>
      </c>
    </row>
    <row r="174" spans="1:6" x14ac:dyDescent="0.25">
      <c r="A174" t="s">
        <v>40</v>
      </c>
      <c r="B174" t="s">
        <v>41</v>
      </c>
      <c r="C174" t="s">
        <v>61</v>
      </c>
      <c r="D174">
        <v>515</v>
      </c>
      <c r="E174">
        <v>2017</v>
      </c>
      <c r="F174" t="s">
        <v>9</v>
      </c>
    </row>
    <row r="175" spans="1:6" x14ac:dyDescent="0.25">
      <c r="A175" t="s">
        <v>42</v>
      </c>
      <c r="B175" t="s">
        <v>43</v>
      </c>
      <c r="C175" t="s">
        <v>61</v>
      </c>
      <c r="D175">
        <v>1</v>
      </c>
      <c r="E175">
        <v>2017</v>
      </c>
      <c r="F175" t="s">
        <v>9</v>
      </c>
    </row>
    <row r="176" spans="1:6" x14ac:dyDescent="0.25">
      <c r="A176" t="s">
        <v>44</v>
      </c>
      <c r="B176" t="s">
        <v>45</v>
      </c>
      <c r="C176" t="s">
        <v>61</v>
      </c>
      <c r="D176">
        <v>382</v>
      </c>
      <c r="E176">
        <v>2017</v>
      </c>
      <c r="F176" t="s">
        <v>9</v>
      </c>
    </row>
    <row r="177" spans="1:6" x14ac:dyDescent="0.25">
      <c r="A177" t="s">
        <v>46</v>
      </c>
      <c r="B177" t="s">
        <v>47</v>
      </c>
      <c r="C177" t="s">
        <v>61</v>
      </c>
      <c r="D177">
        <v>104</v>
      </c>
      <c r="E177">
        <v>2017</v>
      </c>
      <c r="F177" t="s">
        <v>9</v>
      </c>
    </row>
    <row r="178" spans="1:6" x14ac:dyDescent="0.25">
      <c r="A178" t="s">
        <v>48</v>
      </c>
      <c r="B178" t="s">
        <v>49</v>
      </c>
      <c r="C178" t="s">
        <v>61</v>
      </c>
      <c r="D178">
        <v>205</v>
      </c>
      <c r="E178">
        <v>2017</v>
      </c>
      <c r="F178" t="s">
        <v>9</v>
      </c>
    </row>
    <row r="179" spans="1:6" x14ac:dyDescent="0.25">
      <c r="A179" t="s">
        <v>50</v>
      </c>
      <c r="B179" t="s">
        <v>51</v>
      </c>
      <c r="C179" t="s">
        <v>61</v>
      </c>
      <c r="D179">
        <v>18</v>
      </c>
      <c r="E179">
        <v>2017</v>
      </c>
      <c r="F179" t="s">
        <v>9</v>
      </c>
    </row>
    <row r="180" spans="1:6" x14ac:dyDescent="0.25">
      <c r="A180" t="s">
        <v>52</v>
      </c>
      <c r="B180" t="s">
        <v>53</v>
      </c>
      <c r="C180" t="s">
        <v>61</v>
      </c>
      <c r="D180">
        <v>69</v>
      </c>
      <c r="E180">
        <v>2017</v>
      </c>
      <c r="F180" t="s">
        <v>9</v>
      </c>
    </row>
    <row r="181" spans="1:6" x14ac:dyDescent="0.25">
      <c r="A181" t="s">
        <v>54</v>
      </c>
      <c r="B181" t="s">
        <v>55</v>
      </c>
      <c r="C181" t="s">
        <v>61</v>
      </c>
      <c r="D181">
        <v>27</v>
      </c>
      <c r="E181">
        <v>2017</v>
      </c>
      <c r="F181" t="s">
        <v>9</v>
      </c>
    </row>
    <row r="182" spans="1:6" x14ac:dyDescent="0.25">
      <c r="A182" t="s">
        <v>56</v>
      </c>
      <c r="B182" t="s">
        <v>57</v>
      </c>
      <c r="C182" t="s">
        <v>61</v>
      </c>
      <c r="D182">
        <v>190</v>
      </c>
      <c r="E182">
        <v>2017</v>
      </c>
      <c r="F182" t="s">
        <v>9</v>
      </c>
    </row>
    <row r="183" spans="1:6" x14ac:dyDescent="0.25">
      <c r="A183" t="s">
        <v>58</v>
      </c>
      <c r="B183" t="s">
        <v>59</v>
      </c>
      <c r="C183" t="s">
        <v>61</v>
      </c>
      <c r="E183">
        <v>2017</v>
      </c>
      <c r="F183" t="s">
        <v>9</v>
      </c>
    </row>
    <row r="184" spans="1:6" x14ac:dyDescent="0.25">
      <c r="A184" t="s">
        <v>6</v>
      </c>
      <c r="B184" t="s">
        <v>7</v>
      </c>
      <c r="C184" t="s">
        <v>62</v>
      </c>
      <c r="D184">
        <v>37890</v>
      </c>
      <c r="E184">
        <v>2017</v>
      </c>
      <c r="F184" t="s">
        <v>9</v>
      </c>
    </row>
    <row r="185" spans="1:6" x14ac:dyDescent="0.25">
      <c r="A185" t="s">
        <v>10</v>
      </c>
      <c r="B185" t="s">
        <v>11</v>
      </c>
      <c r="C185" t="s">
        <v>62</v>
      </c>
      <c r="D185">
        <v>5427</v>
      </c>
      <c r="E185">
        <v>2017</v>
      </c>
      <c r="F185" t="s">
        <v>9</v>
      </c>
    </row>
    <row r="186" spans="1:6" x14ac:dyDescent="0.25">
      <c r="A186" t="s">
        <v>12</v>
      </c>
      <c r="B186" t="s">
        <v>13</v>
      </c>
      <c r="C186" t="s">
        <v>62</v>
      </c>
      <c r="D186">
        <v>1163</v>
      </c>
      <c r="E186">
        <v>2017</v>
      </c>
      <c r="F186" t="s">
        <v>9</v>
      </c>
    </row>
    <row r="187" spans="1:6" x14ac:dyDescent="0.25">
      <c r="A187" t="s">
        <v>14</v>
      </c>
      <c r="B187" t="s">
        <v>15</v>
      </c>
      <c r="C187" t="s">
        <v>62</v>
      </c>
      <c r="E187">
        <v>2017</v>
      </c>
      <c r="F187" t="s">
        <v>9</v>
      </c>
    </row>
    <row r="188" spans="1:6" x14ac:dyDescent="0.25">
      <c r="A188" t="s">
        <v>16</v>
      </c>
      <c r="B188" t="s">
        <v>17</v>
      </c>
      <c r="C188" t="s">
        <v>62</v>
      </c>
      <c r="D188">
        <v>4288</v>
      </c>
      <c r="E188">
        <v>2017</v>
      </c>
      <c r="F188" t="s">
        <v>9</v>
      </c>
    </row>
    <row r="189" spans="1:6" x14ac:dyDescent="0.25">
      <c r="A189" t="s">
        <v>18</v>
      </c>
      <c r="B189" t="s">
        <v>19</v>
      </c>
      <c r="C189" t="s">
        <v>62</v>
      </c>
      <c r="D189">
        <v>618</v>
      </c>
      <c r="E189">
        <v>2017</v>
      </c>
      <c r="F189" t="s">
        <v>9</v>
      </c>
    </row>
    <row r="190" spans="1:6" x14ac:dyDescent="0.25">
      <c r="A190" t="s">
        <v>20</v>
      </c>
      <c r="B190" t="s">
        <v>21</v>
      </c>
      <c r="C190" t="s">
        <v>62</v>
      </c>
      <c r="D190">
        <v>1386</v>
      </c>
      <c r="E190">
        <v>2017</v>
      </c>
      <c r="F190" t="s">
        <v>9</v>
      </c>
    </row>
    <row r="191" spans="1:6" x14ac:dyDescent="0.25">
      <c r="A191" t="s">
        <v>22</v>
      </c>
      <c r="B191" t="s">
        <v>23</v>
      </c>
      <c r="C191" t="s">
        <v>62</v>
      </c>
      <c r="D191">
        <v>196</v>
      </c>
      <c r="E191">
        <v>2017</v>
      </c>
      <c r="F191" t="s">
        <v>9</v>
      </c>
    </row>
    <row r="192" spans="1:6" x14ac:dyDescent="0.25">
      <c r="A192" t="s">
        <v>24</v>
      </c>
      <c r="B192" t="s">
        <v>25</v>
      </c>
      <c r="C192" t="s">
        <v>62</v>
      </c>
      <c r="D192">
        <v>1148</v>
      </c>
      <c r="E192">
        <v>2017</v>
      </c>
      <c r="F192" t="s">
        <v>9</v>
      </c>
    </row>
    <row r="193" spans="1:6" x14ac:dyDescent="0.25">
      <c r="A193" t="s">
        <v>26</v>
      </c>
      <c r="B193" t="s">
        <v>27</v>
      </c>
      <c r="C193" t="s">
        <v>62</v>
      </c>
      <c r="D193">
        <v>379</v>
      </c>
      <c r="E193">
        <v>2017</v>
      </c>
      <c r="F193" t="s">
        <v>9</v>
      </c>
    </row>
    <row r="194" spans="1:6" x14ac:dyDescent="0.25">
      <c r="A194" t="s">
        <v>28</v>
      </c>
      <c r="B194" t="s">
        <v>29</v>
      </c>
      <c r="C194" t="s">
        <v>62</v>
      </c>
      <c r="D194">
        <v>0</v>
      </c>
      <c r="E194">
        <v>2017</v>
      </c>
      <c r="F194" t="s">
        <v>9</v>
      </c>
    </row>
    <row r="195" spans="1:6" x14ac:dyDescent="0.25">
      <c r="A195" t="s">
        <v>30</v>
      </c>
      <c r="B195" t="s">
        <v>31</v>
      </c>
      <c r="C195" t="s">
        <v>62</v>
      </c>
      <c r="D195">
        <v>4040</v>
      </c>
      <c r="E195">
        <v>2017</v>
      </c>
      <c r="F195" t="s">
        <v>9</v>
      </c>
    </row>
    <row r="196" spans="1:6" x14ac:dyDescent="0.25">
      <c r="A196" t="s">
        <v>32</v>
      </c>
      <c r="B196" t="s">
        <v>33</v>
      </c>
      <c r="C196" t="s">
        <v>62</v>
      </c>
      <c r="D196">
        <v>517</v>
      </c>
      <c r="E196">
        <v>2017</v>
      </c>
      <c r="F196" t="s">
        <v>9</v>
      </c>
    </row>
    <row r="197" spans="1:6" x14ac:dyDescent="0.25">
      <c r="A197" t="s">
        <v>34</v>
      </c>
      <c r="B197" t="s">
        <v>35</v>
      </c>
      <c r="C197" t="s">
        <v>62</v>
      </c>
      <c r="D197">
        <v>3276</v>
      </c>
      <c r="E197">
        <v>2017</v>
      </c>
      <c r="F197" t="s">
        <v>9</v>
      </c>
    </row>
    <row r="198" spans="1:6" x14ac:dyDescent="0.25">
      <c r="A198" t="s">
        <v>36</v>
      </c>
      <c r="B198" t="s">
        <v>37</v>
      </c>
      <c r="C198" t="s">
        <v>62</v>
      </c>
      <c r="D198">
        <v>5809</v>
      </c>
      <c r="E198">
        <v>2017</v>
      </c>
      <c r="F198" t="s">
        <v>9</v>
      </c>
    </row>
    <row r="199" spans="1:6" x14ac:dyDescent="0.25">
      <c r="A199" t="s">
        <v>38</v>
      </c>
      <c r="B199" t="s">
        <v>39</v>
      </c>
      <c r="C199" t="s">
        <v>62</v>
      </c>
      <c r="D199">
        <v>8622</v>
      </c>
      <c r="E199">
        <v>2017</v>
      </c>
      <c r="F199" t="s">
        <v>9</v>
      </c>
    </row>
    <row r="200" spans="1:6" x14ac:dyDescent="0.25">
      <c r="A200" t="s">
        <v>40</v>
      </c>
      <c r="B200" t="s">
        <v>41</v>
      </c>
      <c r="C200" t="s">
        <v>62</v>
      </c>
      <c r="D200">
        <v>309</v>
      </c>
      <c r="E200">
        <v>2017</v>
      </c>
      <c r="F200" t="s">
        <v>9</v>
      </c>
    </row>
    <row r="201" spans="1:6" x14ac:dyDescent="0.25">
      <c r="A201" t="s">
        <v>42</v>
      </c>
      <c r="B201" t="s">
        <v>43</v>
      </c>
      <c r="C201" t="s">
        <v>62</v>
      </c>
      <c r="D201">
        <v>0</v>
      </c>
      <c r="E201">
        <v>2017</v>
      </c>
      <c r="F201" t="s">
        <v>9</v>
      </c>
    </row>
    <row r="202" spans="1:6" x14ac:dyDescent="0.25">
      <c r="A202" t="s">
        <v>44</v>
      </c>
      <c r="B202" t="s">
        <v>45</v>
      </c>
      <c r="C202" t="s">
        <v>62</v>
      </c>
      <c r="D202">
        <v>290</v>
      </c>
      <c r="E202">
        <v>2017</v>
      </c>
      <c r="F202" t="s">
        <v>9</v>
      </c>
    </row>
    <row r="203" spans="1:6" x14ac:dyDescent="0.25">
      <c r="A203" t="s">
        <v>46</v>
      </c>
      <c r="B203" t="s">
        <v>47</v>
      </c>
      <c r="C203" t="s">
        <v>62</v>
      </c>
      <c r="D203">
        <v>56</v>
      </c>
      <c r="E203">
        <v>2017</v>
      </c>
      <c r="F203" t="s">
        <v>9</v>
      </c>
    </row>
    <row r="204" spans="1:6" x14ac:dyDescent="0.25">
      <c r="A204" t="s">
        <v>48</v>
      </c>
      <c r="B204" t="s">
        <v>49</v>
      </c>
      <c r="C204" t="s">
        <v>62</v>
      </c>
      <c r="D204">
        <v>87</v>
      </c>
      <c r="E204">
        <v>2017</v>
      </c>
      <c r="F204" t="s">
        <v>9</v>
      </c>
    </row>
    <row r="205" spans="1:6" x14ac:dyDescent="0.25">
      <c r="A205" t="s">
        <v>50</v>
      </c>
      <c r="B205" t="s">
        <v>51</v>
      </c>
      <c r="C205" t="s">
        <v>62</v>
      </c>
      <c r="D205">
        <v>38</v>
      </c>
      <c r="E205">
        <v>2017</v>
      </c>
      <c r="F205" t="s">
        <v>9</v>
      </c>
    </row>
    <row r="206" spans="1:6" x14ac:dyDescent="0.25">
      <c r="A206" t="s">
        <v>52</v>
      </c>
      <c r="B206" t="s">
        <v>53</v>
      </c>
      <c r="C206" t="s">
        <v>62</v>
      </c>
      <c r="D206">
        <v>103</v>
      </c>
      <c r="E206">
        <v>2017</v>
      </c>
      <c r="F206" t="s">
        <v>9</v>
      </c>
    </row>
    <row r="207" spans="1:6" x14ac:dyDescent="0.25">
      <c r="A207" t="s">
        <v>54</v>
      </c>
      <c r="B207" t="s">
        <v>55</v>
      </c>
      <c r="C207" t="s">
        <v>62</v>
      </c>
      <c r="D207">
        <v>111</v>
      </c>
      <c r="E207">
        <v>2017</v>
      </c>
      <c r="F207" t="s">
        <v>9</v>
      </c>
    </row>
    <row r="208" spans="1:6" x14ac:dyDescent="0.25">
      <c r="A208" t="s">
        <v>56</v>
      </c>
      <c r="B208" t="s">
        <v>57</v>
      </c>
      <c r="C208" t="s">
        <v>62</v>
      </c>
      <c r="D208">
        <v>15</v>
      </c>
      <c r="E208">
        <v>2017</v>
      </c>
      <c r="F208" t="s">
        <v>9</v>
      </c>
    </row>
    <row r="209" spans="1:6" x14ac:dyDescent="0.25">
      <c r="A209" t="s">
        <v>58</v>
      </c>
      <c r="B209" t="s">
        <v>59</v>
      </c>
      <c r="C209" t="s">
        <v>62</v>
      </c>
      <c r="E209">
        <v>2017</v>
      </c>
      <c r="F209" t="s">
        <v>9</v>
      </c>
    </row>
    <row r="210" spans="1:6" x14ac:dyDescent="0.25">
      <c r="A210" t="s">
        <v>6</v>
      </c>
      <c r="B210" t="s">
        <v>7</v>
      </c>
      <c r="C210" t="s">
        <v>8</v>
      </c>
      <c r="D210">
        <v>30813</v>
      </c>
      <c r="E210">
        <v>2018</v>
      </c>
      <c r="F210" t="s">
        <v>9</v>
      </c>
    </row>
    <row r="211" spans="1:6" x14ac:dyDescent="0.25">
      <c r="A211" t="s">
        <v>10</v>
      </c>
      <c r="B211" t="s">
        <v>11</v>
      </c>
      <c r="C211" t="s">
        <v>8</v>
      </c>
      <c r="D211">
        <v>8734</v>
      </c>
      <c r="E211">
        <v>2018</v>
      </c>
      <c r="F211" t="s">
        <v>9</v>
      </c>
    </row>
    <row r="212" spans="1:6" x14ac:dyDescent="0.25">
      <c r="A212" t="s">
        <v>12</v>
      </c>
      <c r="B212" t="s">
        <v>13</v>
      </c>
      <c r="C212" t="s">
        <v>8</v>
      </c>
      <c r="D212">
        <v>1176</v>
      </c>
      <c r="E212">
        <v>2018</v>
      </c>
      <c r="F212" t="s">
        <v>9</v>
      </c>
    </row>
    <row r="213" spans="1:6" x14ac:dyDescent="0.25">
      <c r="A213" t="s">
        <v>14</v>
      </c>
      <c r="B213" t="s">
        <v>15</v>
      </c>
      <c r="C213" t="s">
        <v>8</v>
      </c>
      <c r="E213">
        <v>2018</v>
      </c>
      <c r="F213" t="s">
        <v>9</v>
      </c>
    </row>
    <row r="214" spans="1:6" x14ac:dyDescent="0.25">
      <c r="A214" t="s">
        <v>16</v>
      </c>
      <c r="B214" t="s">
        <v>17</v>
      </c>
      <c r="C214" t="s">
        <v>8</v>
      </c>
      <c r="D214">
        <v>466</v>
      </c>
      <c r="E214">
        <v>2018</v>
      </c>
      <c r="F214" t="s">
        <v>9</v>
      </c>
    </row>
    <row r="215" spans="1:6" x14ac:dyDescent="0.25">
      <c r="A215" t="s">
        <v>18</v>
      </c>
      <c r="B215" t="s">
        <v>19</v>
      </c>
      <c r="C215" t="s">
        <v>8</v>
      </c>
      <c r="D215">
        <v>132</v>
      </c>
      <c r="E215">
        <v>2018</v>
      </c>
      <c r="F215" t="s">
        <v>9</v>
      </c>
    </row>
    <row r="216" spans="1:6" x14ac:dyDescent="0.25">
      <c r="A216" t="s">
        <v>20</v>
      </c>
      <c r="B216" t="s">
        <v>21</v>
      </c>
      <c r="C216" t="s">
        <v>8</v>
      </c>
      <c r="D216">
        <v>25</v>
      </c>
      <c r="E216">
        <v>2018</v>
      </c>
      <c r="F216" t="s">
        <v>9</v>
      </c>
    </row>
    <row r="217" spans="1:6" x14ac:dyDescent="0.25">
      <c r="A217" t="s">
        <v>22</v>
      </c>
      <c r="B217" t="s">
        <v>23</v>
      </c>
      <c r="C217" t="s">
        <v>8</v>
      </c>
      <c r="D217">
        <v>4002</v>
      </c>
      <c r="E217">
        <v>2018</v>
      </c>
      <c r="F217" t="s">
        <v>9</v>
      </c>
    </row>
    <row r="218" spans="1:6" x14ac:dyDescent="0.25">
      <c r="A218" t="s">
        <v>24</v>
      </c>
      <c r="B218" t="s">
        <v>25</v>
      </c>
      <c r="C218" t="s">
        <v>8</v>
      </c>
      <c r="D218">
        <v>2170</v>
      </c>
      <c r="E218">
        <v>2018</v>
      </c>
      <c r="F218" t="s">
        <v>9</v>
      </c>
    </row>
    <row r="219" spans="1:6" x14ac:dyDescent="0.25">
      <c r="A219" t="s">
        <v>26</v>
      </c>
      <c r="B219" t="s">
        <v>27</v>
      </c>
      <c r="C219" t="s">
        <v>8</v>
      </c>
      <c r="D219">
        <v>349</v>
      </c>
      <c r="E219">
        <v>2018</v>
      </c>
      <c r="F219" t="s">
        <v>9</v>
      </c>
    </row>
    <row r="220" spans="1:6" x14ac:dyDescent="0.25">
      <c r="A220" t="s">
        <v>28</v>
      </c>
      <c r="B220" t="s">
        <v>29</v>
      </c>
      <c r="C220" t="s">
        <v>8</v>
      </c>
      <c r="D220">
        <v>0</v>
      </c>
      <c r="E220">
        <v>2018</v>
      </c>
      <c r="F220" t="s">
        <v>9</v>
      </c>
    </row>
    <row r="221" spans="1:6" x14ac:dyDescent="0.25">
      <c r="A221" t="s">
        <v>30</v>
      </c>
      <c r="B221" t="s">
        <v>31</v>
      </c>
      <c r="C221" t="s">
        <v>8</v>
      </c>
      <c r="D221">
        <v>2844</v>
      </c>
      <c r="E221">
        <v>2018</v>
      </c>
      <c r="F221" t="s">
        <v>9</v>
      </c>
    </row>
    <row r="222" spans="1:6" x14ac:dyDescent="0.25">
      <c r="A222" t="s">
        <v>32</v>
      </c>
      <c r="B222" t="s">
        <v>33</v>
      </c>
      <c r="C222" t="s">
        <v>8</v>
      </c>
      <c r="D222">
        <v>265</v>
      </c>
      <c r="E222">
        <v>2018</v>
      </c>
      <c r="F222" t="s">
        <v>9</v>
      </c>
    </row>
    <row r="223" spans="1:6" x14ac:dyDescent="0.25">
      <c r="A223" t="s">
        <v>34</v>
      </c>
      <c r="B223" t="s">
        <v>35</v>
      </c>
      <c r="C223" t="s">
        <v>8</v>
      </c>
      <c r="D223">
        <v>1761</v>
      </c>
      <c r="E223">
        <v>2018</v>
      </c>
      <c r="F223" t="s">
        <v>9</v>
      </c>
    </row>
    <row r="224" spans="1:6" x14ac:dyDescent="0.25">
      <c r="A224" t="s">
        <v>36</v>
      </c>
      <c r="B224" t="s">
        <v>37</v>
      </c>
      <c r="C224" t="s">
        <v>8</v>
      </c>
      <c r="D224">
        <v>3602</v>
      </c>
      <c r="E224">
        <v>2018</v>
      </c>
      <c r="F224" t="s">
        <v>9</v>
      </c>
    </row>
    <row r="225" spans="1:6" x14ac:dyDescent="0.25">
      <c r="A225" t="s">
        <v>38</v>
      </c>
      <c r="B225" t="s">
        <v>39</v>
      </c>
      <c r="C225" t="s">
        <v>8</v>
      </c>
      <c r="D225">
        <v>1878</v>
      </c>
      <c r="E225">
        <v>2018</v>
      </c>
      <c r="F225" t="s">
        <v>9</v>
      </c>
    </row>
    <row r="226" spans="1:6" x14ac:dyDescent="0.25">
      <c r="A226" t="s">
        <v>40</v>
      </c>
      <c r="B226" t="s">
        <v>41</v>
      </c>
      <c r="C226" t="s">
        <v>8</v>
      </c>
      <c r="D226">
        <v>918</v>
      </c>
      <c r="E226">
        <v>2018</v>
      </c>
      <c r="F226" t="s">
        <v>9</v>
      </c>
    </row>
    <row r="227" spans="1:6" x14ac:dyDescent="0.25">
      <c r="A227" t="s">
        <v>42</v>
      </c>
      <c r="B227" t="s">
        <v>43</v>
      </c>
      <c r="C227" t="s">
        <v>8</v>
      </c>
      <c r="D227">
        <v>7</v>
      </c>
      <c r="E227">
        <v>2018</v>
      </c>
      <c r="F227" t="s">
        <v>9</v>
      </c>
    </row>
    <row r="228" spans="1:6" x14ac:dyDescent="0.25">
      <c r="A228" t="s">
        <v>44</v>
      </c>
      <c r="B228" t="s">
        <v>45</v>
      </c>
      <c r="C228" t="s">
        <v>8</v>
      </c>
      <c r="D228">
        <v>155</v>
      </c>
      <c r="E228">
        <v>2018</v>
      </c>
      <c r="F228" t="s">
        <v>9</v>
      </c>
    </row>
    <row r="229" spans="1:6" x14ac:dyDescent="0.25">
      <c r="A229" t="s">
        <v>46</v>
      </c>
      <c r="B229" t="s">
        <v>47</v>
      </c>
      <c r="C229" t="s">
        <v>8</v>
      </c>
      <c r="D229">
        <v>898</v>
      </c>
      <c r="E229">
        <v>2018</v>
      </c>
      <c r="F229" t="s">
        <v>9</v>
      </c>
    </row>
    <row r="230" spans="1:6" x14ac:dyDescent="0.25">
      <c r="A230" t="s">
        <v>48</v>
      </c>
      <c r="B230" t="s">
        <v>49</v>
      </c>
      <c r="C230" t="s">
        <v>8</v>
      </c>
      <c r="D230">
        <v>86</v>
      </c>
      <c r="E230">
        <v>2018</v>
      </c>
      <c r="F230" t="s">
        <v>9</v>
      </c>
    </row>
    <row r="231" spans="1:6" x14ac:dyDescent="0.25">
      <c r="A231" t="s">
        <v>50</v>
      </c>
      <c r="B231" t="s">
        <v>51</v>
      </c>
      <c r="C231" t="s">
        <v>8</v>
      </c>
      <c r="D231">
        <v>14</v>
      </c>
      <c r="E231">
        <v>2018</v>
      </c>
      <c r="F231" t="s">
        <v>9</v>
      </c>
    </row>
    <row r="232" spans="1:6" x14ac:dyDescent="0.25">
      <c r="A232" t="s">
        <v>52</v>
      </c>
      <c r="B232" t="s">
        <v>53</v>
      </c>
      <c r="C232" t="s">
        <v>8</v>
      </c>
      <c r="D232">
        <v>135</v>
      </c>
      <c r="E232">
        <v>2018</v>
      </c>
      <c r="F232" t="s">
        <v>9</v>
      </c>
    </row>
    <row r="233" spans="1:6" x14ac:dyDescent="0.25">
      <c r="A233" t="s">
        <v>54</v>
      </c>
      <c r="B233" t="s">
        <v>55</v>
      </c>
      <c r="C233" t="s">
        <v>8</v>
      </c>
      <c r="D233">
        <v>12</v>
      </c>
      <c r="E233">
        <v>2018</v>
      </c>
      <c r="F233" t="s">
        <v>9</v>
      </c>
    </row>
    <row r="234" spans="1:6" x14ac:dyDescent="0.25">
      <c r="A234" t="s">
        <v>56</v>
      </c>
      <c r="B234" t="s">
        <v>57</v>
      </c>
      <c r="C234" t="s">
        <v>8</v>
      </c>
      <c r="D234">
        <v>362</v>
      </c>
      <c r="E234">
        <v>2018</v>
      </c>
      <c r="F234" t="s">
        <v>9</v>
      </c>
    </row>
    <row r="235" spans="1:6" x14ac:dyDescent="0.25">
      <c r="A235" t="s">
        <v>58</v>
      </c>
      <c r="B235" t="s">
        <v>59</v>
      </c>
      <c r="C235" t="s">
        <v>8</v>
      </c>
      <c r="D235">
        <v>810</v>
      </c>
      <c r="E235">
        <v>2018</v>
      </c>
      <c r="F235" t="s">
        <v>9</v>
      </c>
    </row>
    <row r="236" spans="1:6" x14ac:dyDescent="0.25">
      <c r="A236" t="s">
        <v>6</v>
      </c>
      <c r="B236" t="s">
        <v>7</v>
      </c>
      <c r="C236" t="s">
        <v>60</v>
      </c>
      <c r="D236">
        <v>50128</v>
      </c>
      <c r="E236">
        <v>2018</v>
      </c>
      <c r="F236" t="s">
        <v>9</v>
      </c>
    </row>
    <row r="237" spans="1:6" x14ac:dyDescent="0.25">
      <c r="A237" t="s">
        <v>10</v>
      </c>
      <c r="B237" t="s">
        <v>11</v>
      </c>
      <c r="C237" t="s">
        <v>60</v>
      </c>
      <c r="D237">
        <v>9958</v>
      </c>
      <c r="E237">
        <v>2018</v>
      </c>
      <c r="F237" t="s">
        <v>9</v>
      </c>
    </row>
    <row r="238" spans="1:6" x14ac:dyDescent="0.25">
      <c r="A238" t="s">
        <v>12</v>
      </c>
      <c r="B238" t="s">
        <v>13</v>
      </c>
      <c r="C238" t="s">
        <v>60</v>
      </c>
      <c r="D238">
        <v>988</v>
      </c>
      <c r="E238">
        <v>2018</v>
      </c>
      <c r="F238" t="s">
        <v>9</v>
      </c>
    </row>
    <row r="239" spans="1:6" x14ac:dyDescent="0.25">
      <c r="A239" t="s">
        <v>14</v>
      </c>
      <c r="B239" t="s">
        <v>15</v>
      </c>
      <c r="C239" t="s">
        <v>60</v>
      </c>
      <c r="E239">
        <v>2018</v>
      </c>
      <c r="F239" t="s">
        <v>9</v>
      </c>
    </row>
    <row r="240" spans="1:6" x14ac:dyDescent="0.25">
      <c r="A240" t="s">
        <v>16</v>
      </c>
      <c r="B240" t="s">
        <v>17</v>
      </c>
      <c r="C240" t="s">
        <v>60</v>
      </c>
      <c r="D240">
        <v>1695</v>
      </c>
      <c r="E240">
        <v>2018</v>
      </c>
      <c r="F240" t="s">
        <v>9</v>
      </c>
    </row>
    <row r="241" spans="1:6" x14ac:dyDescent="0.25">
      <c r="A241" t="s">
        <v>18</v>
      </c>
      <c r="B241" t="s">
        <v>19</v>
      </c>
      <c r="C241" t="s">
        <v>60</v>
      </c>
      <c r="D241">
        <v>498</v>
      </c>
      <c r="E241">
        <v>2018</v>
      </c>
      <c r="F241" t="s">
        <v>9</v>
      </c>
    </row>
    <row r="242" spans="1:6" x14ac:dyDescent="0.25">
      <c r="A242" t="s">
        <v>20</v>
      </c>
      <c r="B242" t="s">
        <v>21</v>
      </c>
      <c r="C242" t="s">
        <v>60</v>
      </c>
      <c r="D242">
        <v>213</v>
      </c>
      <c r="E242">
        <v>2018</v>
      </c>
      <c r="F242" t="s">
        <v>9</v>
      </c>
    </row>
    <row r="243" spans="1:6" x14ac:dyDescent="0.25">
      <c r="A243" t="s">
        <v>22</v>
      </c>
      <c r="B243" t="s">
        <v>23</v>
      </c>
      <c r="C243" t="s">
        <v>60</v>
      </c>
      <c r="D243">
        <v>329</v>
      </c>
      <c r="E243">
        <v>2018</v>
      </c>
      <c r="F243" t="s">
        <v>9</v>
      </c>
    </row>
    <row r="244" spans="1:6" x14ac:dyDescent="0.25">
      <c r="A244" t="s">
        <v>24</v>
      </c>
      <c r="B244" t="s">
        <v>25</v>
      </c>
      <c r="C244" t="s">
        <v>60</v>
      </c>
      <c r="D244">
        <v>4753</v>
      </c>
      <c r="E244">
        <v>2018</v>
      </c>
      <c r="F244" t="s">
        <v>9</v>
      </c>
    </row>
    <row r="245" spans="1:6" x14ac:dyDescent="0.25">
      <c r="A245" t="s">
        <v>26</v>
      </c>
      <c r="B245" t="s">
        <v>27</v>
      </c>
      <c r="C245" t="s">
        <v>60</v>
      </c>
      <c r="D245">
        <v>360</v>
      </c>
      <c r="E245">
        <v>2018</v>
      </c>
      <c r="F245" t="s">
        <v>9</v>
      </c>
    </row>
    <row r="246" spans="1:6" x14ac:dyDescent="0.25">
      <c r="A246" t="s">
        <v>28</v>
      </c>
      <c r="B246" t="s">
        <v>29</v>
      </c>
      <c r="C246" t="s">
        <v>60</v>
      </c>
      <c r="D246">
        <v>1888</v>
      </c>
      <c r="E246">
        <v>2018</v>
      </c>
      <c r="F246" t="s">
        <v>9</v>
      </c>
    </row>
    <row r="247" spans="1:6" x14ac:dyDescent="0.25">
      <c r="A247" t="s">
        <v>30</v>
      </c>
      <c r="B247" t="s">
        <v>31</v>
      </c>
      <c r="C247" t="s">
        <v>60</v>
      </c>
      <c r="D247">
        <v>4995</v>
      </c>
      <c r="E247">
        <v>2018</v>
      </c>
      <c r="F247" t="s">
        <v>9</v>
      </c>
    </row>
    <row r="248" spans="1:6" x14ac:dyDescent="0.25">
      <c r="A248" t="s">
        <v>32</v>
      </c>
      <c r="B248" t="s">
        <v>33</v>
      </c>
      <c r="C248" t="s">
        <v>60</v>
      </c>
      <c r="D248">
        <v>603</v>
      </c>
      <c r="E248">
        <v>2018</v>
      </c>
      <c r="F248" t="s">
        <v>9</v>
      </c>
    </row>
    <row r="249" spans="1:6" x14ac:dyDescent="0.25">
      <c r="A249" t="s">
        <v>34</v>
      </c>
      <c r="B249" t="s">
        <v>35</v>
      </c>
      <c r="C249" t="s">
        <v>60</v>
      </c>
      <c r="D249">
        <v>3533</v>
      </c>
      <c r="E249">
        <v>2018</v>
      </c>
      <c r="F249" t="s">
        <v>9</v>
      </c>
    </row>
    <row r="250" spans="1:6" x14ac:dyDescent="0.25">
      <c r="A250" t="s">
        <v>36</v>
      </c>
      <c r="B250" t="s">
        <v>37</v>
      </c>
      <c r="C250" t="s">
        <v>60</v>
      </c>
      <c r="D250">
        <v>6442</v>
      </c>
      <c r="E250">
        <v>2018</v>
      </c>
      <c r="F250" t="s">
        <v>9</v>
      </c>
    </row>
    <row r="251" spans="1:6" x14ac:dyDescent="0.25">
      <c r="A251" t="s">
        <v>38</v>
      </c>
      <c r="B251" t="s">
        <v>39</v>
      </c>
      <c r="C251" t="s">
        <v>60</v>
      </c>
      <c r="D251">
        <v>3984</v>
      </c>
      <c r="E251">
        <v>2018</v>
      </c>
      <c r="F251" t="s">
        <v>9</v>
      </c>
    </row>
    <row r="252" spans="1:6" x14ac:dyDescent="0.25">
      <c r="A252" t="s">
        <v>40</v>
      </c>
      <c r="B252" t="s">
        <v>41</v>
      </c>
      <c r="C252" t="s">
        <v>60</v>
      </c>
      <c r="D252">
        <v>718</v>
      </c>
      <c r="E252">
        <v>2018</v>
      </c>
      <c r="F252" t="s">
        <v>9</v>
      </c>
    </row>
    <row r="253" spans="1:6" x14ac:dyDescent="0.25">
      <c r="A253" t="s">
        <v>42</v>
      </c>
      <c r="B253" t="s">
        <v>43</v>
      </c>
      <c r="C253" t="s">
        <v>60</v>
      </c>
      <c r="E253">
        <v>2018</v>
      </c>
      <c r="F253" t="s">
        <v>9</v>
      </c>
    </row>
    <row r="254" spans="1:6" x14ac:dyDescent="0.25">
      <c r="A254" t="s">
        <v>44</v>
      </c>
      <c r="B254" t="s">
        <v>45</v>
      </c>
      <c r="C254" t="s">
        <v>60</v>
      </c>
      <c r="D254">
        <v>556</v>
      </c>
      <c r="E254">
        <v>2018</v>
      </c>
      <c r="F254" t="s">
        <v>9</v>
      </c>
    </row>
    <row r="255" spans="1:6" x14ac:dyDescent="0.25">
      <c r="A255" t="s">
        <v>46</v>
      </c>
      <c r="B255" t="s">
        <v>47</v>
      </c>
      <c r="C255" t="s">
        <v>60</v>
      </c>
      <c r="D255">
        <v>223</v>
      </c>
      <c r="E255">
        <v>2018</v>
      </c>
      <c r="F255" t="s">
        <v>9</v>
      </c>
    </row>
    <row r="256" spans="1:6" x14ac:dyDescent="0.25">
      <c r="A256" t="s">
        <v>48</v>
      </c>
      <c r="B256" t="s">
        <v>49</v>
      </c>
      <c r="C256" t="s">
        <v>60</v>
      </c>
      <c r="D256">
        <v>181</v>
      </c>
      <c r="E256">
        <v>2018</v>
      </c>
      <c r="F256" t="s">
        <v>9</v>
      </c>
    </row>
    <row r="257" spans="1:6" x14ac:dyDescent="0.25">
      <c r="A257" t="s">
        <v>50</v>
      </c>
      <c r="B257" t="s">
        <v>51</v>
      </c>
      <c r="C257" t="s">
        <v>60</v>
      </c>
      <c r="D257">
        <v>74</v>
      </c>
      <c r="E257">
        <v>2018</v>
      </c>
      <c r="F257" t="s">
        <v>9</v>
      </c>
    </row>
    <row r="258" spans="1:6" x14ac:dyDescent="0.25">
      <c r="A258" t="s">
        <v>52</v>
      </c>
      <c r="B258" t="s">
        <v>53</v>
      </c>
      <c r="C258" t="s">
        <v>60</v>
      </c>
      <c r="D258">
        <v>216</v>
      </c>
      <c r="E258">
        <v>2018</v>
      </c>
      <c r="F258" t="s">
        <v>9</v>
      </c>
    </row>
    <row r="259" spans="1:6" x14ac:dyDescent="0.25">
      <c r="A259" t="s">
        <v>54</v>
      </c>
      <c r="B259" t="s">
        <v>55</v>
      </c>
      <c r="C259" t="s">
        <v>60</v>
      </c>
      <c r="D259">
        <v>7910</v>
      </c>
      <c r="E259">
        <v>2018</v>
      </c>
      <c r="F259" t="s">
        <v>9</v>
      </c>
    </row>
    <row r="260" spans="1:6" x14ac:dyDescent="0.25">
      <c r="A260" t="s">
        <v>56</v>
      </c>
      <c r="B260" t="s">
        <v>57</v>
      </c>
      <c r="C260" t="s">
        <v>60</v>
      </c>
      <c r="E260">
        <v>2018</v>
      </c>
      <c r="F260" t="s">
        <v>9</v>
      </c>
    </row>
    <row r="261" spans="1:6" x14ac:dyDescent="0.25">
      <c r="A261" t="s">
        <v>58</v>
      </c>
      <c r="B261" t="s">
        <v>59</v>
      </c>
      <c r="C261" t="s">
        <v>60</v>
      </c>
      <c r="E261">
        <v>2018</v>
      </c>
      <c r="F261" t="s">
        <v>9</v>
      </c>
    </row>
    <row r="262" spans="1:6" x14ac:dyDescent="0.25">
      <c r="A262" t="s">
        <v>6</v>
      </c>
      <c r="B262" t="s">
        <v>7</v>
      </c>
      <c r="C262" t="s">
        <v>61</v>
      </c>
      <c r="D262">
        <v>42609</v>
      </c>
      <c r="E262">
        <v>2018</v>
      </c>
      <c r="F262" t="s">
        <v>9</v>
      </c>
    </row>
    <row r="263" spans="1:6" x14ac:dyDescent="0.25">
      <c r="A263" t="s">
        <v>10</v>
      </c>
      <c r="B263" t="s">
        <v>11</v>
      </c>
      <c r="C263" t="s">
        <v>61</v>
      </c>
      <c r="D263">
        <v>18548</v>
      </c>
      <c r="E263">
        <v>2018</v>
      </c>
      <c r="F263" t="s">
        <v>9</v>
      </c>
    </row>
    <row r="264" spans="1:6" x14ac:dyDescent="0.25">
      <c r="A264" t="s">
        <v>12</v>
      </c>
      <c r="B264" t="s">
        <v>13</v>
      </c>
      <c r="C264" t="s">
        <v>61</v>
      </c>
      <c r="D264">
        <v>1106</v>
      </c>
      <c r="E264">
        <v>2018</v>
      </c>
      <c r="F264" t="s">
        <v>9</v>
      </c>
    </row>
    <row r="265" spans="1:6" x14ac:dyDescent="0.25">
      <c r="A265" t="s">
        <v>14</v>
      </c>
      <c r="B265" t="s">
        <v>15</v>
      </c>
      <c r="C265" t="s">
        <v>61</v>
      </c>
      <c r="D265">
        <v>2</v>
      </c>
      <c r="E265">
        <v>2018</v>
      </c>
      <c r="F265" t="s">
        <v>9</v>
      </c>
    </row>
    <row r="266" spans="1:6" x14ac:dyDescent="0.25">
      <c r="A266" t="s">
        <v>16</v>
      </c>
      <c r="B266" t="s">
        <v>17</v>
      </c>
      <c r="C266" t="s">
        <v>61</v>
      </c>
      <c r="D266">
        <v>1407</v>
      </c>
      <c r="E266">
        <v>2018</v>
      </c>
      <c r="F266" t="s">
        <v>9</v>
      </c>
    </row>
    <row r="267" spans="1:6" x14ac:dyDescent="0.25">
      <c r="A267" t="s">
        <v>18</v>
      </c>
      <c r="B267" t="s">
        <v>19</v>
      </c>
      <c r="C267" t="s">
        <v>61</v>
      </c>
      <c r="D267">
        <v>245</v>
      </c>
      <c r="E267">
        <v>2018</v>
      </c>
      <c r="F267" t="s">
        <v>9</v>
      </c>
    </row>
    <row r="268" spans="1:6" x14ac:dyDescent="0.25">
      <c r="A268" t="s">
        <v>20</v>
      </c>
      <c r="B268" t="s">
        <v>21</v>
      </c>
      <c r="C268" t="s">
        <v>61</v>
      </c>
      <c r="D268">
        <v>54</v>
      </c>
      <c r="E268">
        <v>2018</v>
      </c>
      <c r="F268" t="s">
        <v>9</v>
      </c>
    </row>
    <row r="269" spans="1:6" x14ac:dyDescent="0.25">
      <c r="A269" t="s">
        <v>22</v>
      </c>
      <c r="B269" t="s">
        <v>23</v>
      </c>
      <c r="C269" t="s">
        <v>61</v>
      </c>
      <c r="D269">
        <v>173</v>
      </c>
      <c r="E269">
        <v>2018</v>
      </c>
      <c r="F269" t="s">
        <v>9</v>
      </c>
    </row>
    <row r="270" spans="1:6" x14ac:dyDescent="0.25">
      <c r="A270" t="s">
        <v>24</v>
      </c>
      <c r="B270" t="s">
        <v>25</v>
      </c>
      <c r="C270" t="s">
        <v>61</v>
      </c>
      <c r="D270">
        <v>4036</v>
      </c>
      <c r="E270">
        <v>2018</v>
      </c>
      <c r="F270" t="s">
        <v>9</v>
      </c>
    </row>
    <row r="271" spans="1:6" x14ac:dyDescent="0.25">
      <c r="A271" t="s">
        <v>26</v>
      </c>
      <c r="B271" t="s">
        <v>27</v>
      </c>
      <c r="C271" t="s">
        <v>61</v>
      </c>
      <c r="D271">
        <v>76</v>
      </c>
      <c r="E271">
        <v>2018</v>
      </c>
      <c r="F271" t="s">
        <v>9</v>
      </c>
    </row>
    <row r="272" spans="1:6" x14ac:dyDescent="0.25">
      <c r="A272" t="s">
        <v>28</v>
      </c>
      <c r="B272" t="s">
        <v>29</v>
      </c>
      <c r="C272" t="s">
        <v>61</v>
      </c>
      <c r="D272">
        <v>38</v>
      </c>
      <c r="E272">
        <v>2018</v>
      </c>
      <c r="F272" t="s">
        <v>9</v>
      </c>
    </row>
    <row r="273" spans="1:6" x14ac:dyDescent="0.25">
      <c r="A273" t="s">
        <v>30</v>
      </c>
      <c r="B273" t="s">
        <v>31</v>
      </c>
      <c r="C273" t="s">
        <v>61</v>
      </c>
      <c r="D273">
        <v>640</v>
      </c>
      <c r="E273">
        <v>2018</v>
      </c>
      <c r="F273" t="s">
        <v>9</v>
      </c>
    </row>
    <row r="274" spans="1:6" x14ac:dyDescent="0.25">
      <c r="A274" t="s">
        <v>32</v>
      </c>
      <c r="B274" t="s">
        <v>33</v>
      </c>
      <c r="C274" t="s">
        <v>61</v>
      </c>
      <c r="D274">
        <v>177</v>
      </c>
      <c r="E274">
        <v>2018</v>
      </c>
      <c r="F274" t="s">
        <v>9</v>
      </c>
    </row>
    <row r="275" spans="1:6" x14ac:dyDescent="0.25">
      <c r="A275" t="s">
        <v>34</v>
      </c>
      <c r="B275" t="s">
        <v>35</v>
      </c>
      <c r="C275" t="s">
        <v>61</v>
      </c>
      <c r="D275">
        <v>945</v>
      </c>
      <c r="E275">
        <v>2018</v>
      </c>
      <c r="F275" t="s">
        <v>9</v>
      </c>
    </row>
    <row r="276" spans="1:6" x14ac:dyDescent="0.25">
      <c r="A276" t="s">
        <v>36</v>
      </c>
      <c r="B276" t="s">
        <v>37</v>
      </c>
      <c r="C276" t="s">
        <v>61</v>
      </c>
      <c r="D276">
        <v>12942</v>
      </c>
      <c r="E276">
        <v>2018</v>
      </c>
      <c r="F276" t="s">
        <v>9</v>
      </c>
    </row>
    <row r="277" spans="1:6" x14ac:dyDescent="0.25">
      <c r="A277" t="s">
        <v>38</v>
      </c>
      <c r="B277" t="s">
        <v>39</v>
      </c>
      <c r="C277" t="s">
        <v>61</v>
      </c>
      <c r="D277">
        <v>980</v>
      </c>
      <c r="E277">
        <v>2018</v>
      </c>
      <c r="F277" t="s">
        <v>9</v>
      </c>
    </row>
    <row r="278" spans="1:6" x14ac:dyDescent="0.25">
      <c r="A278" t="s">
        <v>40</v>
      </c>
      <c r="B278" t="s">
        <v>41</v>
      </c>
      <c r="C278" t="s">
        <v>61</v>
      </c>
      <c r="D278">
        <v>253</v>
      </c>
      <c r="E278">
        <v>2018</v>
      </c>
      <c r="F278" t="s">
        <v>9</v>
      </c>
    </row>
    <row r="279" spans="1:6" x14ac:dyDescent="0.25">
      <c r="A279" t="s">
        <v>42</v>
      </c>
      <c r="B279" t="s">
        <v>43</v>
      </c>
      <c r="C279" t="s">
        <v>61</v>
      </c>
      <c r="D279">
        <v>9</v>
      </c>
      <c r="E279">
        <v>2018</v>
      </c>
      <c r="F279" t="s">
        <v>9</v>
      </c>
    </row>
    <row r="280" spans="1:6" x14ac:dyDescent="0.25">
      <c r="A280" t="s">
        <v>44</v>
      </c>
      <c r="B280" t="s">
        <v>45</v>
      </c>
      <c r="C280" t="s">
        <v>61</v>
      </c>
      <c r="D280">
        <v>219</v>
      </c>
      <c r="E280">
        <v>2018</v>
      </c>
      <c r="F280" t="s">
        <v>9</v>
      </c>
    </row>
    <row r="281" spans="1:6" x14ac:dyDescent="0.25">
      <c r="A281" t="s">
        <v>46</v>
      </c>
      <c r="B281" t="s">
        <v>47</v>
      </c>
      <c r="C281" t="s">
        <v>61</v>
      </c>
      <c r="D281">
        <v>211</v>
      </c>
      <c r="E281">
        <v>2018</v>
      </c>
      <c r="F281" t="s">
        <v>9</v>
      </c>
    </row>
    <row r="282" spans="1:6" x14ac:dyDescent="0.25">
      <c r="A282" t="s">
        <v>48</v>
      </c>
      <c r="B282" t="s">
        <v>49</v>
      </c>
      <c r="C282" t="s">
        <v>61</v>
      </c>
      <c r="D282">
        <v>97</v>
      </c>
      <c r="E282">
        <v>2018</v>
      </c>
      <c r="F282" t="s">
        <v>9</v>
      </c>
    </row>
    <row r="283" spans="1:6" x14ac:dyDescent="0.25">
      <c r="A283" t="s">
        <v>50</v>
      </c>
      <c r="B283" t="s">
        <v>51</v>
      </c>
      <c r="C283" t="s">
        <v>61</v>
      </c>
      <c r="D283">
        <v>66</v>
      </c>
      <c r="E283">
        <v>2018</v>
      </c>
      <c r="F283" t="s">
        <v>9</v>
      </c>
    </row>
    <row r="284" spans="1:6" x14ac:dyDescent="0.25">
      <c r="A284" t="s">
        <v>52</v>
      </c>
      <c r="B284" t="s">
        <v>53</v>
      </c>
      <c r="C284" t="s">
        <v>61</v>
      </c>
      <c r="D284">
        <v>58</v>
      </c>
      <c r="E284">
        <v>2018</v>
      </c>
      <c r="F284" t="s">
        <v>9</v>
      </c>
    </row>
    <row r="285" spans="1:6" x14ac:dyDescent="0.25">
      <c r="A285" t="s">
        <v>54</v>
      </c>
      <c r="B285" t="s">
        <v>55</v>
      </c>
      <c r="C285" t="s">
        <v>61</v>
      </c>
      <c r="D285">
        <v>204</v>
      </c>
      <c r="E285">
        <v>2018</v>
      </c>
      <c r="F285" t="s">
        <v>9</v>
      </c>
    </row>
    <row r="286" spans="1:6" x14ac:dyDescent="0.25">
      <c r="A286" t="s">
        <v>56</v>
      </c>
      <c r="B286" t="s">
        <v>57</v>
      </c>
      <c r="C286" t="s">
        <v>61</v>
      </c>
      <c r="D286">
        <v>110</v>
      </c>
      <c r="E286">
        <v>2018</v>
      </c>
      <c r="F286" t="s">
        <v>9</v>
      </c>
    </row>
    <row r="287" spans="1:6" x14ac:dyDescent="0.25">
      <c r="A287" t="s">
        <v>58</v>
      </c>
      <c r="B287" t="s">
        <v>59</v>
      </c>
      <c r="C287" t="s">
        <v>61</v>
      </c>
      <c r="E287">
        <v>2018</v>
      </c>
      <c r="F287" t="s">
        <v>9</v>
      </c>
    </row>
    <row r="288" spans="1:6" x14ac:dyDescent="0.25">
      <c r="A288" t="s">
        <v>6</v>
      </c>
      <c r="B288" t="s">
        <v>7</v>
      </c>
      <c r="C288" t="s">
        <v>62</v>
      </c>
      <c r="D288">
        <v>59157</v>
      </c>
      <c r="E288">
        <v>2018</v>
      </c>
      <c r="F288" t="s">
        <v>9</v>
      </c>
    </row>
    <row r="289" spans="1:6" x14ac:dyDescent="0.25">
      <c r="A289" t="s">
        <v>10</v>
      </c>
      <c r="B289" t="s">
        <v>11</v>
      </c>
      <c r="C289" t="s">
        <v>62</v>
      </c>
      <c r="D289">
        <v>9978</v>
      </c>
      <c r="E289">
        <v>2018</v>
      </c>
      <c r="F289" t="s">
        <v>9</v>
      </c>
    </row>
    <row r="290" spans="1:6" x14ac:dyDescent="0.25">
      <c r="A290" t="s">
        <v>12</v>
      </c>
      <c r="B290" t="s">
        <v>13</v>
      </c>
      <c r="C290" t="s">
        <v>62</v>
      </c>
      <c r="D290">
        <v>1178</v>
      </c>
      <c r="E290">
        <v>2018</v>
      </c>
      <c r="F290" t="s">
        <v>9</v>
      </c>
    </row>
    <row r="291" spans="1:6" x14ac:dyDescent="0.25">
      <c r="A291" t="s">
        <v>14</v>
      </c>
      <c r="B291" t="s">
        <v>15</v>
      </c>
      <c r="C291" t="s">
        <v>62</v>
      </c>
      <c r="E291">
        <v>2018</v>
      </c>
      <c r="F291" t="s">
        <v>9</v>
      </c>
    </row>
    <row r="292" spans="1:6" x14ac:dyDescent="0.25">
      <c r="A292" t="s">
        <v>16</v>
      </c>
      <c r="B292" t="s">
        <v>17</v>
      </c>
      <c r="C292" t="s">
        <v>62</v>
      </c>
      <c r="D292">
        <v>2940</v>
      </c>
      <c r="E292">
        <v>2018</v>
      </c>
      <c r="F292" t="s">
        <v>9</v>
      </c>
    </row>
    <row r="293" spans="1:6" x14ac:dyDescent="0.25">
      <c r="A293" t="s">
        <v>18</v>
      </c>
      <c r="B293" t="s">
        <v>19</v>
      </c>
      <c r="C293" t="s">
        <v>62</v>
      </c>
      <c r="D293">
        <v>859</v>
      </c>
      <c r="E293">
        <v>2018</v>
      </c>
      <c r="F293" t="s">
        <v>9</v>
      </c>
    </row>
    <row r="294" spans="1:6" x14ac:dyDescent="0.25">
      <c r="A294" t="s">
        <v>20</v>
      </c>
      <c r="B294" t="s">
        <v>21</v>
      </c>
      <c r="C294" t="s">
        <v>62</v>
      </c>
      <c r="D294">
        <v>143</v>
      </c>
      <c r="E294">
        <v>2018</v>
      </c>
      <c r="F294" t="s">
        <v>9</v>
      </c>
    </row>
    <row r="295" spans="1:6" x14ac:dyDescent="0.25">
      <c r="A295" t="s">
        <v>22</v>
      </c>
      <c r="B295" t="s">
        <v>23</v>
      </c>
      <c r="C295" t="s">
        <v>62</v>
      </c>
      <c r="D295">
        <v>310</v>
      </c>
      <c r="E295">
        <v>2018</v>
      </c>
      <c r="F295" t="s">
        <v>9</v>
      </c>
    </row>
    <row r="296" spans="1:6" x14ac:dyDescent="0.25">
      <c r="A296" t="s">
        <v>24</v>
      </c>
      <c r="B296" t="s">
        <v>25</v>
      </c>
      <c r="C296" t="s">
        <v>62</v>
      </c>
      <c r="D296">
        <v>1287</v>
      </c>
      <c r="E296">
        <v>2018</v>
      </c>
      <c r="F296" t="s">
        <v>9</v>
      </c>
    </row>
    <row r="297" spans="1:6" x14ac:dyDescent="0.25">
      <c r="A297" t="s">
        <v>26</v>
      </c>
      <c r="B297" t="s">
        <v>27</v>
      </c>
      <c r="C297" t="s">
        <v>62</v>
      </c>
      <c r="D297">
        <v>396</v>
      </c>
      <c r="E297">
        <v>2018</v>
      </c>
      <c r="F297" t="s">
        <v>9</v>
      </c>
    </row>
    <row r="298" spans="1:6" x14ac:dyDescent="0.25">
      <c r="A298" t="s">
        <v>28</v>
      </c>
      <c r="B298" t="s">
        <v>29</v>
      </c>
      <c r="C298" t="s">
        <v>62</v>
      </c>
      <c r="D298">
        <v>0</v>
      </c>
      <c r="E298">
        <v>2018</v>
      </c>
      <c r="F298" t="s">
        <v>9</v>
      </c>
    </row>
    <row r="299" spans="1:6" x14ac:dyDescent="0.25">
      <c r="A299" t="s">
        <v>30</v>
      </c>
      <c r="B299" t="s">
        <v>31</v>
      </c>
      <c r="C299" t="s">
        <v>62</v>
      </c>
      <c r="D299">
        <v>13459</v>
      </c>
      <c r="E299">
        <v>2018</v>
      </c>
      <c r="F299" t="s">
        <v>9</v>
      </c>
    </row>
    <row r="300" spans="1:6" x14ac:dyDescent="0.25">
      <c r="A300" t="s">
        <v>32</v>
      </c>
      <c r="B300" t="s">
        <v>33</v>
      </c>
      <c r="C300" t="s">
        <v>62</v>
      </c>
      <c r="D300">
        <v>376</v>
      </c>
      <c r="E300">
        <v>2018</v>
      </c>
      <c r="F300" t="s">
        <v>9</v>
      </c>
    </row>
    <row r="301" spans="1:6" x14ac:dyDescent="0.25">
      <c r="A301" t="s">
        <v>34</v>
      </c>
      <c r="B301" t="s">
        <v>35</v>
      </c>
      <c r="C301" t="s">
        <v>62</v>
      </c>
      <c r="D301">
        <v>6037</v>
      </c>
      <c r="E301">
        <v>2018</v>
      </c>
      <c r="F301" t="s">
        <v>9</v>
      </c>
    </row>
    <row r="302" spans="1:6" x14ac:dyDescent="0.25">
      <c r="A302" t="s">
        <v>36</v>
      </c>
      <c r="B302" t="s">
        <v>37</v>
      </c>
      <c r="C302" t="s">
        <v>62</v>
      </c>
      <c r="D302">
        <v>8478</v>
      </c>
      <c r="E302">
        <v>2018</v>
      </c>
      <c r="F302" t="s">
        <v>9</v>
      </c>
    </row>
    <row r="303" spans="1:6" x14ac:dyDescent="0.25">
      <c r="A303" t="s">
        <v>38</v>
      </c>
      <c r="B303" t="s">
        <v>39</v>
      </c>
      <c r="C303" t="s">
        <v>62</v>
      </c>
      <c r="D303">
        <v>12394</v>
      </c>
      <c r="E303">
        <v>2018</v>
      </c>
      <c r="F303" t="s">
        <v>9</v>
      </c>
    </row>
    <row r="304" spans="1:6" x14ac:dyDescent="0.25">
      <c r="A304" t="s">
        <v>40</v>
      </c>
      <c r="B304" t="s">
        <v>41</v>
      </c>
      <c r="C304" t="s">
        <v>62</v>
      </c>
      <c r="D304">
        <v>471</v>
      </c>
      <c r="E304">
        <v>2018</v>
      </c>
      <c r="F304" t="s">
        <v>9</v>
      </c>
    </row>
    <row r="305" spans="1:6" x14ac:dyDescent="0.25">
      <c r="A305" t="s">
        <v>42</v>
      </c>
      <c r="B305" t="s">
        <v>43</v>
      </c>
      <c r="C305" t="s">
        <v>62</v>
      </c>
      <c r="D305">
        <v>12</v>
      </c>
      <c r="E305">
        <v>2018</v>
      </c>
      <c r="F305" t="s">
        <v>9</v>
      </c>
    </row>
    <row r="306" spans="1:6" x14ac:dyDescent="0.25">
      <c r="A306" t="s">
        <v>44</v>
      </c>
      <c r="B306" t="s">
        <v>45</v>
      </c>
      <c r="C306" t="s">
        <v>62</v>
      </c>
      <c r="D306">
        <v>251</v>
      </c>
      <c r="E306">
        <v>2018</v>
      </c>
      <c r="F306" t="s">
        <v>9</v>
      </c>
    </row>
    <row r="307" spans="1:6" x14ac:dyDescent="0.25">
      <c r="A307" t="s">
        <v>46</v>
      </c>
      <c r="B307" t="s">
        <v>47</v>
      </c>
      <c r="C307" t="s">
        <v>62</v>
      </c>
      <c r="D307">
        <v>71</v>
      </c>
      <c r="E307">
        <v>2018</v>
      </c>
      <c r="F307" t="s">
        <v>9</v>
      </c>
    </row>
    <row r="308" spans="1:6" x14ac:dyDescent="0.25">
      <c r="A308" t="s">
        <v>48</v>
      </c>
      <c r="B308" t="s">
        <v>49</v>
      </c>
      <c r="C308" t="s">
        <v>62</v>
      </c>
      <c r="D308">
        <v>60</v>
      </c>
      <c r="E308">
        <v>2018</v>
      </c>
      <c r="F308" t="s">
        <v>9</v>
      </c>
    </row>
    <row r="309" spans="1:6" x14ac:dyDescent="0.25">
      <c r="A309" t="s">
        <v>50</v>
      </c>
      <c r="B309" t="s">
        <v>51</v>
      </c>
      <c r="C309" t="s">
        <v>62</v>
      </c>
      <c r="D309">
        <v>42</v>
      </c>
      <c r="E309">
        <v>2018</v>
      </c>
      <c r="F309" t="s">
        <v>9</v>
      </c>
    </row>
    <row r="310" spans="1:6" x14ac:dyDescent="0.25">
      <c r="A310" t="s">
        <v>52</v>
      </c>
      <c r="B310" t="s">
        <v>53</v>
      </c>
      <c r="C310" t="s">
        <v>62</v>
      </c>
      <c r="D310">
        <v>163</v>
      </c>
      <c r="E310">
        <v>2018</v>
      </c>
      <c r="F310" t="s">
        <v>9</v>
      </c>
    </row>
    <row r="311" spans="1:6" x14ac:dyDescent="0.25">
      <c r="A311" t="s">
        <v>54</v>
      </c>
      <c r="B311" t="s">
        <v>55</v>
      </c>
      <c r="C311" t="s">
        <v>62</v>
      </c>
      <c r="D311">
        <v>199</v>
      </c>
      <c r="E311">
        <v>2018</v>
      </c>
      <c r="F311" t="s">
        <v>9</v>
      </c>
    </row>
    <row r="312" spans="1:6" x14ac:dyDescent="0.25">
      <c r="A312" t="s">
        <v>56</v>
      </c>
      <c r="B312" t="s">
        <v>57</v>
      </c>
      <c r="C312" t="s">
        <v>62</v>
      </c>
      <c r="D312">
        <v>45</v>
      </c>
      <c r="E312">
        <v>2018</v>
      </c>
      <c r="F312" t="s">
        <v>9</v>
      </c>
    </row>
    <row r="313" spans="1:6" x14ac:dyDescent="0.25">
      <c r="A313" t="s">
        <v>58</v>
      </c>
      <c r="B313" t="s">
        <v>59</v>
      </c>
      <c r="C313" t="s">
        <v>62</v>
      </c>
      <c r="E313">
        <v>2018</v>
      </c>
      <c r="F313" t="s">
        <v>9</v>
      </c>
    </row>
    <row r="314" spans="1:6" x14ac:dyDescent="0.25">
      <c r="A314" t="s">
        <v>6</v>
      </c>
      <c r="B314" t="s">
        <v>7</v>
      </c>
      <c r="C314" t="s">
        <v>8</v>
      </c>
      <c r="E314">
        <v>2019</v>
      </c>
      <c r="F314" t="s">
        <v>9</v>
      </c>
    </row>
    <row r="315" spans="1:6" x14ac:dyDescent="0.25">
      <c r="A315" t="s">
        <v>10</v>
      </c>
      <c r="B315" t="s">
        <v>11</v>
      </c>
      <c r="C315" t="s">
        <v>8</v>
      </c>
      <c r="E315">
        <v>2019</v>
      </c>
      <c r="F315" t="s">
        <v>9</v>
      </c>
    </row>
    <row r="316" spans="1:6" x14ac:dyDescent="0.25">
      <c r="A316" t="s">
        <v>12</v>
      </c>
      <c r="B316" t="s">
        <v>13</v>
      </c>
      <c r="C316" t="s">
        <v>8</v>
      </c>
      <c r="E316">
        <v>2019</v>
      </c>
      <c r="F316" t="s">
        <v>9</v>
      </c>
    </row>
    <row r="317" spans="1:6" x14ac:dyDescent="0.25">
      <c r="A317" t="s">
        <v>14</v>
      </c>
      <c r="B317" t="s">
        <v>15</v>
      </c>
      <c r="C317" t="s">
        <v>8</v>
      </c>
      <c r="E317">
        <v>2019</v>
      </c>
      <c r="F317" t="s">
        <v>9</v>
      </c>
    </row>
    <row r="318" spans="1:6" x14ac:dyDescent="0.25">
      <c r="A318" t="s">
        <v>16</v>
      </c>
      <c r="B318" t="s">
        <v>17</v>
      </c>
      <c r="C318" t="s">
        <v>8</v>
      </c>
      <c r="E318">
        <v>2019</v>
      </c>
      <c r="F318" t="s">
        <v>9</v>
      </c>
    </row>
    <row r="319" spans="1:6" x14ac:dyDescent="0.25">
      <c r="A319" t="s">
        <v>18</v>
      </c>
      <c r="B319" t="s">
        <v>19</v>
      </c>
      <c r="C319" t="s">
        <v>8</v>
      </c>
      <c r="E319">
        <v>2019</v>
      </c>
      <c r="F319" t="s">
        <v>9</v>
      </c>
    </row>
    <row r="320" spans="1:6" x14ac:dyDescent="0.25">
      <c r="A320" t="s">
        <v>20</v>
      </c>
      <c r="B320" t="s">
        <v>21</v>
      </c>
      <c r="C320" t="s">
        <v>8</v>
      </c>
      <c r="E320">
        <v>2019</v>
      </c>
      <c r="F320" t="s">
        <v>9</v>
      </c>
    </row>
    <row r="321" spans="1:6" x14ac:dyDescent="0.25">
      <c r="A321" t="s">
        <v>22</v>
      </c>
      <c r="B321" t="s">
        <v>23</v>
      </c>
      <c r="C321" t="s">
        <v>8</v>
      </c>
      <c r="E321">
        <v>2019</v>
      </c>
      <c r="F321" t="s">
        <v>9</v>
      </c>
    </row>
    <row r="322" spans="1:6" x14ac:dyDescent="0.25">
      <c r="A322" t="s">
        <v>24</v>
      </c>
      <c r="B322" t="s">
        <v>25</v>
      </c>
      <c r="C322" t="s">
        <v>8</v>
      </c>
      <c r="E322">
        <v>2019</v>
      </c>
      <c r="F322" t="s">
        <v>9</v>
      </c>
    </row>
    <row r="323" spans="1:6" x14ac:dyDescent="0.25">
      <c r="A323" t="s">
        <v>26</v>
      </c>
      <c r="B323" t="s">
        <v>27</v>
      </c>
      <c r="C323" t="s">
        <v>8</v>
      </c>
      <c r="E323">
        <v>2019</v>
      </c>
      <c r="F323" t="s">
        <v>9</v>
      </c>
    </row>
    <row r="324" spans="1:6" x14ac:dyDescent="0.25">
      <c r="A324" t="s">
        <v>28</v>
      </c>
      <c r="B324" t="s">
        <v>29</v>
      </c>
      <c r="C324" t="s">
        <v>8</v>
      </c>
      <c r="E324">
        <v>2019</v>
      </c>
      <c r="F324" t="s">
        <v>9</v>
      </c>
    </row>
    <row r="325" spans="1:6" x14ac:dyDescent="0.25">
      <c r="A325" t="s">
        <v>30</v>
      </c>
      <c r="B325" t="s">
        <v>31</v>
      </c>
      <c r="C325" t="s">
        <v>8</v>
      </c>
      <c r="E325">
        <v>2019</v>
      </c>
      <c r="F325" t="s">
        <v>9</v>
      </c>
    </row>
    <row r="326" spans="1:6" x14ac:dyDescent="0.25">
      <c r="A326" t="s">
        <v>32</v>
      </c>
      <c r="B326" t="s">
        <v>33</v>
      </c>
      <c r="C326" t="s">
        <v>8</v>
      </c>
      <c r="E326">
        <v>2019</v>
      </c>
      <c r="F326" t="s">
        <v>9</v>
      </c>
    </row>
    <row r="327" spans="1:6" x14ac:dyDescent="0.25">
      <c r="A327" t="s">
        <v>34</v>
      </c>
      <c r="B327" t="s">
        <v>35</v>
      </c>
      <c r="C327" t="s">
        <v>8</v>
      </c>
      <c r="E327">
        <v>2019</v>
      </c>
      <c r="F327" t="s">
        <v>9</v>
      </c>
    </row>
    <row r="328" spans="1:6" x14ac:dyDescent="0.25">
      <c r="A328" t="s">
        <v>36</v>
      </c>
      <c r="B328" t="s">
        <v>37</v>
      </c>
      <c r="C328" t="s">
        <v>8</v>
      </c>
      <c r="E328">
        <v>2019</v>
      </c>
      <c r="F328" t="s">
        <v>9</v>
      </c>
    </row>
    <row r="329" spans="1:6" x14ac:dyDescent="0.25">
      <c r="A329" t="s">
        <v>38</v>
      </c>
      <c r="B329" t="s">
        <v>39</v>
      </c>
      <c r="C329" t="s">
        <v>8</v>
      </c>
      <c r="E329">
        <v>2019</v>
      </c>
      <c r="F329" t="s">
        <v>9</v>
      </c>
    </row>
    <row r="330" spans="1:6" x14ac:dyDescent="0.25">
      <c r="A330" t="s">
        <v>40</v>
      </c>
      <c r="B330" t="s">
        <v>41</v>
      </c>
      <c r="C330" t="s">
        <v>8</v>
      </c>
      <c r="E330">
        <v>2019</v>
      </c>
      <c r="F330" t="s">
        <v>9</v>
      </c>
    </row>
    <row r="331" spans="1:6" x14ac:dyDescent="0.25">
      <c r="A331" t="s">
        <v>42</v>
      </c>
      <c r="B331" t="s">
        <v>43</v>
      </c>
      <c r="C331" t="s">
        <v>8</v>
      </c>
      <c r="E331">
        <v>2019</v>
      </c>
      <c r="F331" t="s">
        <v>9</v>
      </c>
    </row>
    <row r="332" spans="1:6" x14ac:dyDescent="0.25">
      <c r="A332" t="s">
        <v>44</v>
      </c>
      <c r="B332" t="s">
        <v>45</v>
      </c>
      <c r="C332" t="s">
        <v>8</v>
      </c>
      <c r="E332">
        <v>2019</v>
      </c>
      <c r="F332" t="s">
        <v>9</v>
      </c>
    </row>
    <row r="333" spans="1:6" x14ac:dyDescent="0.25">
      <c r="A333" t="s">
        <v>46</v>
      </c>
      <c r="B333" t="s">
        <v>47</v>
      </c>
      <c r="C333" t="s">
        <v>8</v>
      </c>
      <c r="E333">
        <v>2019</v>
      </c>
      <c r="F333" t="s">
        <v>9</v>
      </c>
    </row>
    <row r="334" spans="1:6" x14ac:dyDescent="0.25">
      <c r="A334" t="s">
        <v>48</v>
      </c>
      <c r="B334" t="s">
        <v>49</v>
      </c>
      <c r="C334" t="s">
        <v>8</v>
      </c>
      <c r="E334">
        <v>2019</v>
      </c>
      <c r="F334" t="s">
        <v>9</v>
      </c>
    </row>
    <row r="335" spans="1:6" x14ac:dyDescent="0.25">
      <c r="A335" t="s">
        <v>50</v>
      </c>
      <c r="B335" t="s">
        <v>51</v>
      </c>
      <c r="C335" t="s">
        <v>8</v>
      </c>
      <c r="E335">
        <v>2019</v>
      </c>
      <c r="F335" t="s">
        <v>9</v>
      </c>
    </row>
    <row r="336" spans="1:6" x14ac:dyDescent="0.25">
      <c r="A336" t="s">
        <v>52</v>
      </c>
      <c r="B336" t="s">
        <v>53</v>
      </c>
      <c r="C336" t="s">
        <v>8</v>
      </c>
      <c r="E336">
        <v>2019</v>
      </c>
      <c r="F336" t="s">
        <v>9</v>
      </c>
    </row>
    <row r="337" spans="1:6" x14ac:dyDescent="0.25">
      <c r="A337" t="s">
        <v>54</v>
      </c>
      <c r="B337" t="s">
        <v>55</v>
      </c>
      <c r="C337" t="s">
        <v>8</v>
      </c>
      <c r="E337">
        <v>2019</v>
      </c>
      <c r="F337" t="s">
        <v>9</v>
      </c>
    </row>
    <row r="338" spans="1:6" x14ac:dyDescent="0.25">
      <c r="A338" t="s">
        <v>56</v>
      </c>
      <c r="B338" t="s">
        <v>57</v>
      </c>
      <c r="C338" t="s">
        <v>8</v>
      </c>
      <c r="E338">
        <v>2019</v>
      </c>
      <c r="F338" t="s">
        <v>9</v>
      </c>
    </row>
    <row r="339" spans="1:6" x14ac:dyDescent="0.25">
      <c r="A339" t="s">
        <v>58</v>
      </c>
      <c r="B339" t="s">
        <v>59</v>
      </c>
      <c r="C339" t="s">
        <v>8</v>
      </c>
      <c r="E339">
        <v>2019</v>
      </c>
      <c r="F339" t="s">
        <v>9</v>
      </c>
    </row>
    <row r="340" spans="1:6" x14ac:dyDescent="0.25">
      <c r="A340" t="s">
        <v>6</v>
      </c>
      <c r="B340" t="s">
        <v>7</v>
      </c>
      <c r="C340" t="s">
        <v>60</v>
      </c>
      <c r="D340">
        <v>52511</v>
      </c>
      <c r="E340">
        <v>2019</v>
      </c>
      <c r="F340" t="s">
        <v>9</v>
      </c>
    </row>
    <row r="341" spans="1:6" x14ac:dyDescent="0.25">
      <c r="A341" t="s">
        <v>10</v>
      </c>
      <c r="B341" t="s">
        <v>11</v>
      </c>
      <c r="C341" t="s">
        <v>60</v>
      </c>
      <c r="D341">
        <v>10016</v>
      </c>
      <c r="E341">
        <v>2019</v>
      </c>
      <c r="F341" t="s">
        <v>9</v>
      </c>
    </row>
    <row r="342" spans="1:6" x14ac:dyDescent="0.25">
      <c r="A342" t="s">
        <v>12</v>
      </c>
      <c r="B342" t="s">
        <v>13</v>
      </c>
      <c r="C342" t="s">
        <v>60</v>
      </c>
      <c r="D342">
        <v>1251</v>
      </c>
      <c r="E342">
        <v>2019</v>
      </c>
      <c r="F342" t="s">
        <v>9</v>
      </c>
    </row>
    <row r="343" spans="1:6" x14ac:dyDescent="0.25">
      <c r="A343" t="s">
        <v>14</v>
      </c>
      <c r="B343" t="s">
        <v>15</v>
      </c>
      <c r="C343" t="s">
        <v>60</v>
      </c>
      <c r="E343">
        <v>2019</v>
      </c>
      <c r="F343" t="s">
        <v>9</v>
      </c>
    </row>
    <row r="344" spans="1:6" x14ac:dyDescent="0.25">
      <c r="A344" t="s">
        <v>16</v>
      </c>
      <c r="B344" t="s">
        <v>17</v>
      </c>
      <c r="C344" t="s">
        <v>60</v>
      </c>
      <c r="D344">
        <v>1809</v>
      </c>
      <c r="E344">
        <v>2019</v>
      </c>
      <c r="F344" t="s">
        <v>9</v>
      </c>
    </row>
    <row r="345" spans="1:6" x14ac:dyDescent="0.25">
      <c r="A345" t="s">
        <v>18</v>
      </c>
      <c r="B345" t="s">
        <v>19</v>
      </c>
      <c r="C345" t="s">
        <v>60</v>
      </c>
      <c r="D345">
        <v>468</v>
      </c>
      <c r="E345">
        <v>2019</v>
      </c>
      <c r="F345" t="s">
        <v>9</v>
      </c>
    </row>
    <row r="346" spans="1:6" x14ac:dyDescent="0.25">
      <c r="A346" t="s">
        <v>20</v>
      </c>
      <c r="B346" t="s">
        <v>21</v>
      </c>
      <c r="C346" t="s">
        <v>60</v>
      </c>
      <c r="D346">
        <v>195</v>
      </c>
      <c r="E346">
        <v>2019</v>
      </c>
      <c r="F346" t="s">
        <v>9</v>
      </c>
    </row>
    <row r="347" spans="1:6" x14ac:dyDescent="0.25">
      <c r="A347" t="s">
        <v>22</v>
      </c>
      <c r="B347" t="s">
        <v>23</v>
      </c>
      <c r="C347" t="s">
        <v>60</v>
      </c>
      <c r="D347">
        <v>299</v>
      </c>
      <c r="E347">
        <v>2019</v>
      </c>
      <c r="F347" t="s">
        <v>9</v>
      </c>
    </row>
    <row r="348" spans="1:6" x14ac:dyDescent="0.25">
      <c r="A348" t="s">
        <v>24</v>
      </c>
      <c r="B348" t="s">
        <v>25</v>
      </c>
      <c r="C348" t="s">
        <v>60</v>
      </c>
      <c r="D348">
        <v>4770</v>
      </c>
      <c r="E348">
        <v>2019</v>
      </c>
      <c r="F348" t="s">
        <v>9</v>
      </c>
    </row>
    <row r="349" spans="1:6" x14ac:dyDescent="0.25">
      <c r="A349" t="s">
        <v>26</v>
      </c>
      <c r="B349" t="s">
        <v>27</v>
      </c>
      <c r="C349" t="s">
        <v>60</v>
      </c>
      <c r="D349">
        <v>376</v>
      </c>
      <c r="E349">
        <v>2019</v>
      </c>
      <c r="F349" t="s">
        <v>9</v>
      </c>
    </row>
    <row r="350" spans="1:6" x14ac:dyDescent="0.25">
      <c r="A350" t="s">
        <v>28</v>
      </c>
      <c r="B350" t="s">
        <v>29</v>
      </c>
      <c r="C350" t="s">
        <v>60</v>
      </c>
      <c r="D350">
        <v>1853</v>
      </c>
      <c r="E350">
        <v>2019</v>
      </c>
      <c r="F350" t="s">
        <v>9</v>
      </c>
    </row>
    <row r="351" spans="1:6" x14ac:dyDescent="0.25">
      <c r="A351" t="s">
        <v>30</v>
      </c>
      <c r="B351" t="s">
        <v>31</v>
      </c>
      <c r="C351" t="s">
        <v>60</v>
      </c>
      <c r="D351">
        <v>5335</v>
      </c>
      <c r="E351">
        <v>2019</v>
      </c>
      <c r="F351" t="s">
        <v>9</v>
      </c>
    </row>
    <row r="352" spans="1:6" x14ac:dyDescent="0.25">
      <c r="A352" t="s">
        <v>32</v>
      </c>
      <c r="B352" t="s">
        <v>33</v>
      </c>
      <c r="C352" t="s">
        <v>60</v>
      </c>
      <c r="D352">
        <v>596</v>
      </c>
      <c r="E352">
        <v>2019</v>
      </c>
      <c r="F352" t="s">
        <v>9</v>
      </c>
    </row>
    <row r="353" spans="1:6" x14ac:dyDescent="0.25">
      <c r="A353" t="s">
        <v>34</v>
      </c>
      <c r="B353" t="s">
        <v>35</v>
      </c>
      <c r="C353" t="s">
        <v>60</v>
      </c>
      <c r="D353">
        <v>3680</v>
      </c>
      <c r="E353">
        <v>2019</v>
      </c>
      <c r="F353" t="s">
        <v>9</v>
      </c>
    </row>
    <row r="354" spans="1:6" x14ac:dyDescent="0.25">
      <c r="A354" t="s">
        <v>36</v>
      </c>
      <c r="B354" t="s">
        <v>37</v>
      </c>
      <c r="C354" t="s">
        <v>60</v>
      </c>
      <c r="D354">
        <v>6532</v>
      </c>
      <c r="E354">
        <v>2019</v>
      </c>
      <c r="F354" t="s">
        <v>9</v>
      </c>
    </row>
    <row r="355" spans="1:6" x14ac:dyDescent="0.25">
      <c r="A355" t="s">
        <v>38</v>
      </c>
      <c r="B355" t="s">
        <v>39</v>
      </c>
      <c r="C355" t="s">
        <v>60</v>
      </c>
      <c r="D355">
        <v>4162</v>
      </c>
      <c r="E355">
        <v>2019</v>
      </c>
      <c r="F355" t="s">
        <v>9</v>
      </c>
    </row>
    <row r="356" spans="1:6" x14ac:dyDescent="0.25">
      <c r="A356" t="s">
        <v>40</v>
      </c>
      <c r="B356" t="s">
        <v>41</v>
      </c>
      <c r="C356" t="s">
        <v>60</v>
      </c>
      <c r="D356">
        <v>695</v>
      </c>
      <c r="E356">
        <v>2019</v>
      </c>
      <c r="F356" t="s">
        <v>9</v>
      </c>
    </row>
    <row r="357" spans="1:6" x14ac:dyDescent="0.25">
      <c r="A357" t="s">
        <v>42</v>
      </c>
      <c r="B357" t="s">
        <v>43</v>
      </c>
      <c r="C357" t="s">
        <v>60</v>
      </c>
      <c r="E357">
        <v>2019</v>
      </c>
      <c r="F357" t="s">
        <v>9</v>
      </c>
    </row>
    <row r="358" spans="1:6" x14ac:dyDescent="0.25">
      <c r="A358" t="s">
        <v>44</v>
      </c>
      <c r="B358" t="s">
        <v>45</v>
      </c>
      <c r="C358" t="s">
        <v>60</v>
      </c>
      <c r="D358">
        <v>561</v>
      </c>
      <c r="E358">
        <v>2019</v>
      </c>
      <c r="F358" t="s">
        <v>9</v>
      </c>
    </row>
    <row r="359" spans="1:6" x14ac:dyDescent="0.25">
      <c r="A359" t="s">
        <v>46</v>
      </c>
      <c r="B359" t="s">
        <v>47</v>
      </c>
      <c r="C359" t="s">
        <v>60</v>
      </c>
      <c r="D359">
        <v>238</v>
      </c>
      <c r="E359">
        <v>2019</v>
      </c>
      <c r="F359" t="s">
        <v>9</v>
      </c>
    </row>
    <row r="360" spans="1:6" x14ac:dyDescent="0.25">
      <c r="A360" t="s">
        <v>48</v>
      </c>
      <c r="B360" t="s">
        <v>49</v>
      </c>
      <c r="C360" t="s">
        <v>60</v>
      </c>
      <c r="D360">
        <v>162</v>
      </c>
      <c r="E360">
        <v>2019</v>
      </c>
      <c r="F360" t="s">
        <v>9</v>
      </c>
    </row>
    <row r="361" spans="1:6" x14ac:dyDescent="0.25">
      <c r="A361" t="s">
        <v>50</v>
      </c>
      <c r="B361" t="s">
        <v>51</v>
      </c>
      <c r="C361" t="s">
        <v>60</v>
      </c>
      <c r="D361">
        <v>74</v>
      </c>
      <c r="E361">
        <v>2019</v>
      </c>
      <c r="F361" t="s">
        <v>9</v>
      </c>
    </row>
    <row r="362" spans="1:6" x14ac:dyDescent="0.25">
      <c r="A362" t="s">
        <v>52</v>
      </c>
      <c r="B362" t="s">
        <v>53</v>
      </c>
      <c r="C362" t="s">
        <v>60</v>
      </c>
      <c r="D362">
        <v>231</v>
      </c>
      <c r="E362">
        <v>2019</v>
      </c>
      <c r="F362" t="s">
        <v>9</v>
      </c>
    </row>
    <row r="363" spans="1:6" x14ac:dyDescent="0.25">
      <c r="A363" t="s">
        <v>54</v>
      </c>
      <c r="B363" t="s">
        <v>55</v>
      </c>
      <c r="C363" t="s">
        <v>60</v>
      </c>
      <c r="D363">
        <v>9196</v>
      </c>
      <c r="E363">
        <v>2019</v>
      </c>
      <c r="F363" t="s">
        <v>9</v>
      </c>
    </row>
    <row r="364" spans="1:6" x14ac:dyDescent="0.25">
      <c r="A364" t="s">
        <v>56</v>
      </c>
      <c r="B364" t="s">
        <v>57</v>
      </c>
      <c r="C364" t="s">
        <v>60</v>
      </c>
      <c r="E364">
        <v>2019</v>
      </c>
      <c r="F364" t="s">
        <v>9</v>
      </c>
    </row>
    <row r="365" spans="1:6" x14ac:dyDescent="0.25">
      <c r="A365" t="s">
        <v>58</v>
      </c>
      <c r="B365" t="s">
        <v>59</v>
      </c>
      <c r="C365" t="s">
        <v>60</v>
      </c>
      <c r="E365">
        <v>2019</v>
      </c>
      <c r="F365" t="s">
        <v>9</v>
      </c>
    </row>
    <row r="366" spans="1:6" x14ac:dyDescent="0.25">
      <c r="A366" t="s">
        <v>6</v>
      </c>
      <c r="B366" t="s">
        <v>7</v>
      </c>
      <c r="C366" t="s">
        <v>61</v>
      </c>
      <c r="D366">
        <v>46786</v>
      </c>
      <c r="E366">
        <v>2019</v>
      </c>
      <c r="F366" t="s">
        <v>9</v>
      </c>
    </row>
    <row r="367" spans="1:6" x14ac:dyDescent="0.25">
      <c r="A367" t="s">
        <v>10</v>
      </c>
      <c r="B367" t="s">
        <v>11</v>
      </c>
      <c r="C367" t="s">
        <v>61</v>
      </c>
      <c r="D367">
        <v>17478</v>
      </c>
      <c r="E367">
        <v>2019</v>
      </c>
      <c r="F367" t="s">
        <v>9</v>
      </c>
    </row>
    <row r="368" spans="1:6" x14ac:dyDescent="0.25">
      <c r="A368" t="s">
        <v>12</v>
      </c>
      <c r="B368" t="s">
        <v>13</v>
      </c>
      <c r="C368" t="s">
        <v>61</v>
      </c>
      <c r="D368">
        <v>1089</v>
      </c>
      <c r="E368">
        <v>2019</v>
      </c>
      <c r="F368" t="s">
        <v>9</v>
      </c>
    </row>
    <row r="369" spans="1:6" x14ac:dyDescent="0.25">
      <c r="A369" t="s">
        <v>14</v>
      </c>
      <c r="B369" t="s">
        <v>15</v>
      </c>
      <c r="C369" t="s">
        <v>61</v>
      </c>
      <c r="D369">
        <v>5</v>
      </c>
      <c r="E369">
        <v>2019</v>
      </c>
      <c r="F369" t="s">
        <v>9</v>
      </c>
    </row>
    <row r="370" spans="1:6" x14ac:dyDescent="0.25">
      <c r="A370" t="s">
        <v>16</v>
      </c>
      <c r="B370" t="s">
        <v>17</v>
      </c>
      <c r="C370" t="s">
        <v>61</v>
      </c>
      <c r="D370">
        <v>1031</v>
      </c>
      <c r="E370">
        <v>2019</v>
      </c>
      <c r="F370" t="s">
        <v>9</v>
      </c>
    </row>
    <row r="371" spans="1:6" x14ac:dyDescent="0.25">
      <c r="A371" t="s">
        <v>18</v>
      </c>
      <c r="B371" t="s">
        <v>19</v>
      </c>
      <c r="C371" t="s">
        <v>61</v>
      </c>
      <c r="D371">
        <v>197</v>
      </c>
      <c r="E371">
        <v>2019</v>
      </c>
      <c r="F371" t="s">
        <v>9</v>
      </c>
    </row>
    <row r="372" spans="1:6" x14ac:dyDescent="0.25">
      <c r="A372" t="s">
        <v>20</v>
      </c>
      <c r="B372" t="s">
        <v>21</v>
      </c>
      <c r="C372" t="s">
        <v>61</v>
      </c>
      <c r="D372">
        <v>82</v>
      </c>
      <c r="E372">
        <v>2019</v>
      </c>
      <c r="F372" t="s">
        <v>9</v>
      </c>
    </row>
    <row r="373" spans="1:6" x14ac:dyDescent="0.25">
      <c r="A373" t="s">
        <v>22</v>
      </c>
      <c r="B373" t="s">
        <v>23</v>
      </c>
      <c r="C373" t="s">
        <v>61</v>
      </c>
      <c r="D373">
        <v>233</v>
      </c>
      <c r="E373">
        <v>2019</v>
      </c>
      <c r="F373" t="s">
        <v>9</v>
      </c>
    </row>
    <row r="374" spans="1:6" x14ac:dyDescent="0.25">
      <c r="A374" t="s">
        <v>24</v>
      </c>
      <c r="B374" t="s">
        <v>25</v>
      </c>
      <c r="C374" t="s">
        <v>61</v>
      </c>
      <c r="D374">
        <v>3178</v>
      </c>
      <c r="E374">
        <v>2019</v>
      </c>
      <c r="F374" t="s">
        <v>9</v>
      </c>
    </row>
    <row r="375" spans="1:6" x14ac:dyDescent="0.25">
      <c r="A375" t="s">
        <v>26</v>
      </c>
      <c r="B375" t="s">
        <v>27</v>
      </c>
      <c r="C375" t="s">
        <v>61</v>
      </c>
      <c r="D375">
        <v>64</v>
      </c>
      <c r="E375">
        <v>2019</v>
      </c>
      <c r="F375" t="s">
        <v>9</v>
      </c>
    </row>
    <row r="376" spans="1:6" x14ac:dyDescent="0.25">
      <c r="A376" t="s">
        <v>28</v>
      </c>
      <c r="B376" t="s">
        <v>29</v>
      </c>
      <c r="C376" t="s">
        <v>61</v>
      </c>
      <c r="D376">
        <v>417</v>
      </c>
      <c r="E376">
        <v>2019</v>
      </c>
      <c r="F376" t="s">
        <v>9</v>
      </c>
    </row>
    <row r="377" spans="1:6" x14ac:dyDescent="0.25">
      <c r="A377" t="s">
        <v>30</v>
      </c>
      <c r="B377" t="s">
        <v>31</v>
      </c>
      <c r="C377" t="s">
        <v>61</v>
      </c>
      <c r="D377">
        <v>895</v>
      </c>
      <c r="E377">
        <v>2019</v>
      </c>
      <c r="F377" t="s">
        <v>9</v>
      </c>
    </row>
    <row r="378" spans="1:6" x14ac:dyDescent="0.25">
      <c r="A378" t="s">
        <v>32</v>
      </c>
      <c r="B378" t="s">
        <v>33</v>
      </c>
      <c r="C378" t="s">
        <v>61</v>
      </c>
      <c r="D378">
        <v>237</v>
      </c>
      <c r="E378">
        <v>2019</v>
      </c>
      <c r="F378" t="s">
        <v>9</v>
      </c>
    </row>
    <row r="379" spans="1:6" x14ac:dyDescent="0.25">
      <c r="A379" t="s">
        <v>34</v>
      </c>
      <c r="B379" t="s">
        <v>35</v>
      </c>
      <c r="C379" t="s">
        <v>61</v>
      </c>
      <c r="D379">
        <v>2966</v>
      </c>
      <c r="E379">
        <v>2019</v>
      </c>
      <c r="F379" t="s">
        <v>9</v>
      </c>
    </row>
    <row r="380" spans="1:6" x14ac:dyDescent="0.25">
      <c r="A380" t="s">
        <v>36</v>
      </c>
      <c r="B380" t="s">
        <v>37</v>
      </c>
      <c r="C380" t="s">
        <v>61</v>
      </c>
      <c r="D380">
        <v>16541</v>
      </c>
      <c r="E380">
        <v>2019</v>
      </c>
      <c r="F380" t="s">
        <v>9</v>
      </c>
    </row>
    <row r="381" spans="1:6" x14ac:dyDescent="0.25">
      <c r="A381" t="s">
        <v>38</v>
      </c>
      <c r="B381" t="s">
        <v>39</v>
      </c>
      <c r="C381" t="s">
        <v>61</v>
      </c>
      <c r="D381">
        <v>1175</v>
      </c>
      <c r="E381">
        <v>2019</v>
      </c>
      <c r="F381" t="s">
        <v>9</v>
      </c>
    </row>
    <row r="382" spans="1:6" x14ac:dyDescent="0.25">
      <c r="A382" t="s">
        <v>40</v>
      </c>
      <c r="B382" t="s">
        <v>41</v>
      </c>
      <c r="C382" t="s">
        <v>61</v>
      </c>
      <c r="D382">
        <v>304</v>
      </c>
      <c r="E382">
        <v>2019</v>
      </c>
      <c r="F382" t="s">
        <v>9</v>
      </c>
    </row>
    <row r="383" spans="1:6" x14ac:dyDescent="0.25">
      <c r="A383" t="s">
        <v>42</v>
      </c>
      <c r="B383" t="s">
        <v>43</v>
      </c>
      <c r="C383" t="s">
        <v>61</v>
      </c>
      <c r="D383">
        <v>2</v>
      </c>
      <c r="E383">
        <v>2019</v>
      </c>
      <c r="F383" t="s">
        <v>9</v>
      </c>
    </row>
    <row r="384" spans="1:6" x14ac:dyDescent="0.25">
      <c r="A384" t="s">
        <v>44</v>
      </c>
      <c r="B384" t="s">
        <v>45</v>
      </c>
      <c r="C384" t="s">
        <v>61</v>
      </c>
      <c r="D384">
        <v>227</v>
      </c>
      <c r="E384">
        <v>2019</v>
      </c>
      <c r="F384" t="s">
        <v>9</v>
      </c>
    </row>
    <row r="385" spans="1:6" x14ac:dyDescent="0.25">
      <c r="A385" t="s">
        <v>46</v>
      </c>
      <c r="B385" t="s">
        <v>47</v>
      </c>
      <c r="C385" t="s">
        <v>61</v>
      </c>
      <c r="D385">
        <v>159</v>
      </c>
      <c r="E385">
        <v>2019</v>
      </c>
      <c r="F385" t="s">
        <v>9</v>
      </c>
    </row>
    <row r="386" spans="1:6" x14ac:dyDescent="0.25">
      <c r="A386" t="s">
        <v>48</v>
      </c>
      <c r="B386" t="s">
        <v>49</v>
      </c>
      <c r="C386" t="s">
        <v>61</v>
      </c>
      <c r="D386">
        <v>173</v>
      </c>
      <c r="E386">
        <v>2019</v>
      </c>
      <c r="F386" t="s">
        <v>9</v>
      </c>
    </row>
    <row r="387" spans="1:6" x14ac:dyDescent="0.25">
      <c r="A387" t="s">
        <v>50</v>
      </c>
      <c r="B387" t="s">
        <v>51</v>
      </c>
      <c r="C387" t="s">
        <v>61</v>
      </c>
      <c r="D387">
        <v>14</v>
      </c>
      <c r="E387">
        <v>2019</v>
      </c>
      <c r="F387" t="s">
        <v>9</v>
      </c>
    </row>
    <row r="388" spans="1:6" x14ac:dyDescent="0.25">
      <c r="A388" t="s">
        <v>52</v>
      </c>
      <c r="B388" t="s">
        <v>53</v>
      </c>
      <c r="C388" t="s">
        <v>61</v>
      </c>
      <c r="D388">
        <v>172</v>
      </c>
      <c r="E388">
        <v>2019</v>
      </c>
      <c r="F388" t="s">
        <v>9</v>
      </c>
    </row>
    <row r="389" spans="1:6" x14ac:dyDescent="0.25">
      <c r="A389" t="s">
        <v>54</v>
      </c>
      <c r="B389" t="s">
        <v>55</v>
      </c>
      <c r="C389" t="s">
        <v>61</v>
      </c>
      <c r="D389">
        <v>2</v>
      </c>
      <c r="E389">
        <v>2019</v>
      </c>
      <c r="F389" t="s">
        <v>9</v>
      </c>
    </row>
    <row r="390" spans="1:6" x14ac:dyDescent="0.25">
      <c r="A390" t="s">
        <v>56</v>
      </c>
      <c r="B390" t="s">
        <v>57</v>
      </c>
      <c r="C390" t="s">
        <v>61</v>
      </c>
      <c r="D390">
        <v>134</v>
      </c>
      <c r="E390">
        <v>2019</v>
      </c>
      <c r="F390" t="s">
        <v>9</v>
      </c>
    </row>
    <row r="391" spans="1:6" x14ac:dyDescent="0.25">
      <c r="A391" t="s">
        <v>58</v>
      </c>
      <c r="B391" t="s">
        <v>59</v>
      </c>
      <c r="C391" t="s">
        <v>61</v>
      </c>
      <c r="E391">
        <v>2019</v>
      </c>
      <c r="F391" t="s">
        <v>9</v>
      </c>
    </row>
    <row r="392" spans="1:6" x14ac:dyDescent="0.25">
      <c r="A392" t="s">
        <v>6</v>
      </c>
      <c r="B392" t="s">
        <v>7</v>
      </c>
      <c r="C392" t="s">
        <v>62</v>
      </c>
      <c r="E392">
        <v>2019</v>
      </c>
      <c r="F392" t="s">
        <v>9</v>
      </c>
    </row>
    <row r="393" spans="1:6" x14ac:dyDescent="0.25">
      <c r="A393" t="s">
        <v>10</v>
      </c>
      <c r="B393" t="s">
        <v>11</v>
      </c>
      <c r="C393" t="s">
        <v>62</v>
      </c>
      <c r="E393">
        <v>2019</v>
      </c>
      <c r="F393" t="s">
        <v>9</v>
      </c>
    </row>
    <row r="394" spans="1:6" x14ac:dyDescent="0.25">
      <c r="A394" t="s">
        <v>12</v>
      </c>
      <c r="B394" t="s">
        <v>13</v>
      </c>
      <c r="C394" t="s">
        <v>62</v>
      </c>
      <c r="E394">
        <v>2019</v>
      </c>
      <c r="F394" t="s">
        <v>9</v>
      </c>
    </row>
    <row r="395" spans="1:6" x14ac:dyDescent="0.25">
      <c r="A395" t="s">
        <v>14</v>
      </c>
      <c r="B395" t="s">
        <v>15</v>
      </c>
      <c r="C395" t="s">
        <v>62</v>
      </c>
      <c r="E395">
        <v>2019</v>
      </c>
      <c r="F395" t="s">
        <v>9</v>
      </c>
    </row>
    <row r="396" spans="1:6" x14ac:dyDescent="0.25">
      <c r="A396" t="s">
        <v>16</v>
      </c>
      <c r="B396" t="s">
        <v>17</v>
      </c>
      <c r="C396" t="s">
        <v>62</v>
      </c>
      <c r="E396">
        <v>2019</v>
      </c>
      <c r="F396" t="s">
        <v>9</v>
      </c>
    </row>
    <row r="397" spans="1:6" x14ac:dyDescent="0.25">
      <c r="A397" t="s">
        <v>18</v>
      </c>
      <c r="B397" t="s">
        <v>19</v>
      </c>
      <c r="C397" t="s">
        <v>62</v>
      </c>
      <c r="E397">
        <v>2019</v>
      </c>
      <c r="F397" t="s">
        <v>9</v>
      </c>
    </row>
    <row r="398" spans="1:6" x14ac:dyDescent="0.25">
      <c r="A398" t="s">
        <v>20</v>
      </c>
      <c r="B398" t="s">
        <v>21</v>
      </c>
      <c r="C398" t="s">
        <v>62</v>
      </c>
      <c r="E398">
        <v>2019</v>
      </c>
      <c r="F398" t="s">
        <v>9</v>
      </c>
    </row>
    <row r="399" spans="1:6" x14ac:dyDescent="0.25">
      <c r="A399" t="s">
        <v>22</v>
      </c>
      <c r="B399" t="s">
        <v>23</v>
      </c>
      <c r="C399" t="s">
        <v>62</v>
      </c>
      <c r="E399">
        <v>2019</v>
      </c>
      <c r="F399" t="s">
        <v>9</v>
      </c>
    </row>
    <row r="400" spans="1:6" x14ac:dyDescent="0.25">
      <c r="A400" t="s">
        <v>24</v>
      </c>
      <c r="B400" t="s">
        <v>25</v>
      </c>
      <c r="C400" t="s">
        <v>62</v>
      </c>
      <c r="E400">
        <v>2019</v>
      </c>
      <c r="F400" t="s">
        <v>9</v>
      </c>
    </row>
    <row r="401" spans="1:6" x14ac:dyDescent="0.25">
      <c r="A401" t="s">
        <v>26</v>
      </c>
      <c r="B401" t="s">
        <v>27</v>
      </c>
      <c r="C401" t="s">
        <v>62</v>
      </c>
      <c r="E401">
        <v>2019</v>
      </c>
      <c r="F401" t="s">
        <v>9</v>
      </c>
    </row>
    <row r="402" spans="1:6" x14ac:dyDescent="0.25">
      <c r="A402" t="s">
        <v>28</v>
      </c>
      <c r="B402" t="s">
        <v>29</v>
      </c>
      <c r="C402" t="s">
        <v>62</v>
      </c>
      <c r="E402">
        <v>2019</v>
      </c>
      <c r="F402" t="s">
        <v>9</v>
      </c>
    </row>
    <row r="403" spans="1:6" x14ac:dyDescent="0.25">
      <c r="A403" t="s">
        <v>30</v>
      </c>
      <c r="B403" t="s">
        <v>31</v>
      </c>
      <c r="C403" t="s">
        <v>62</v>
      </c>
      <c r="E403">
        <v>2019</v>
      </c>
      <c r="F403" t="s">
        <v>9</v>
      </c>
    </row>
    <row r="404" spans="1:6" x14ac:dyDescent="0.25">
      <c r="A404" t="s">
        <v>32</v>
      </c>
      <c r="B404" t="s">
        <v>33</v>
      </c>
      <c r="C404" t="s">
        <v>62</v>
      </c>
      <c r="E404">
        <v>2019</v>
      </c>
      <c r="F404" t="s">
        <v>9</v>
      </c>
    </row>
    <row r="405" spans="1:6" x14ac:dyDescent="0.25">
      <c r="A405" t="s">
        <v>34</v>
      </c>
      <c r="B405" t="s">
        <v>35</v>
      </c>
      <c r="C405" t="s">
        <v>62</v>
      </c>
      <c r="E405">
        <v>2019</v>
      </c>
      <c r="F405" t="s">
        <v>9</v>
      </c>
    </row>
    <row r="406" spans="1:6" x14ac:dyDescent="0.25">
      <c r="A406" t="s">
        <v>36</v>
      </c>
      <c r="B406" t="s">
        <v>37</v>
      </c>
      <c r="C406" t="s">
        <v>62</v>
      </c>
      <c r="E406">
        <v>2019</v>
      </c>
      <c r="F406" t="s">
        <v>9</v>
      </c>
    </row>
    <row r="407" spans="1:6" x14ac:dyDescent="0.25">
      <c r="A407" t="s">
        <v>38</v>
      </c>
      <c r="B407" t="s">
        <v>39</v>
      </c>
      <c r="C407" t="s">
        <v>62</v>
      </c>
      <c r="E407">
        <v>2019</v>
      </c>
      <c r="F407" t="s">
        <v>9</v>
      </c>
    </row>
    <row r="408" spans="1:6" x14ac:dyDescent="0.25">
      <c r="A408" t="s">
        <v>40</v>
      </c>
      <c r="B408" t="s">
        <v>41</v>
      </c>
      <c r="C408" t="s">
        <v>62</v>
      </c>
      <c r="E408">
        <v>2019</v>
      </c>
      <c r="F408" t="s">
        <v>9</v>
      </c>
    </row>
    <row r="409" spans="1:6" x14ac:dyDescent="0.25">
      <c r="A409" t="s">
        <v>42</v>
      </c>
      <c r="B409" t="s">
        <v>43</v>
      </c>
      <c r="C409" t="s">
        <v>62</v>
      </c>
      <c r="E409">
        <v>2019</v>
      </c>
      <c r="F409" t="s">
        <v>9</v>
      </c>
    </row>
    <row r="410" spans="1:6" x14ac:dyDescent="0.25">
      <c r="A410" t="s">
        <v>44</v>
      </c>
      <c r="B410" t="s">
        <v>45</v>
      </c>
      <c r="C410" t="s">
        <v>62</v>
      </c>
      <c r="E410">
        <v>2019</v>
      </c>
      <c r="F410" t="s">
        <v>9</v>
      </c>
    </row>
    <row r="411" spans="1:6" x14ac:dyDescent="0.25">
      <c r="A411" t="s">
        <v>46</v>
      </c>
      <c r="B411" t="s">
        <v>47</v>
      </c>
      <c r="C411" t="s">
        <v>62</v>
      </c>
      <c r="E411">
        <v>2019</v>
      </c>
      <c r="F411" t="s">
        <v>9</v>
      </c>
    </row>
    <row r="412" spans="1:6" x14ac:dyDescent="0.25">
      <c r="A412" t="s">
        <v>48</v>
      </c>
      <c r="B412" t="s">
        <v>49</v>
      </c>
      <c r="C412" t="s">
        <v>62</v>
      </c>
      <c r="E412">
        <v>2019</v>
      </c>
      <c r="F412" t="s">
        <v>9</v>
      </c>
    </row>
    <row r="413" spans="1:6" x14ac:dyDescent="0.25">
      <c r="A413" t="s">
        <v>50</v>
      </c>
      <c r="B413" t="s">
        <v>51</v>
      </c>
      <c r="C413" t="s">
        <v>62</v>
      </c>
      <c r="E413">
        <v>2019</v>
      </c>
      <c r="F413" t="s">
        <v>9</v>
      </c>
    </row>
    <row r="414" spans="1:6" x14ac:dyDescent="0.25">
      <c r="A414" t="s">
        <v>52</v>
      </c>
      <c r="B414" t="s">
        <v>53</v>
      </c>
      <c r="C414" t="s">
        <v>62</v>
      </c>
      <c r="E414">
        <v>2019</v>
      </c>
      <c r="F414" t="s">
        <v>9</v>
      </c>
    </row>
    <row r="415" spans="1:6" x14ac:dyDescent="0.25">
      <c r="A415" t="s">
        <v>54</v>
      </c>
      <c r="B415" t="s">
        <v>55</v>
      </c>
      <c r="C415" t="s">
        <v>62</v>
      </c>
      <c r="E415">
        <v>2019</v>
      </c>
      <c r="F415" t="s">
        <v>9</v>
      </c>
    </row>
    <row r="416" spans="1:6" x14ac:dyDescent="0.25">
      <c r="A416" t="s">
        <v>56</v>
      </c>
      <c r="B416" t="s">
        <v>57</v>
      </c>
      <c r="C416" t="s">
        <v>62</v>
      </c>
      <c r="E416">
        <v>2019</v>
      </c>
      <c r="F416" t="s">
        <v>9</v>
      </c>
    </row>
    <row r="417" spans="1:6" x14ac:dyDescent="0.25">
      <c r="A417" t="s">
        <v>58</v>
      </c>
      <c r="B417" t="s">
        <v>59</v>
      </c>
      <c r="C417" t="s">
        <v>62</v>
      </c>
      <c r="E417">
        <v>2019</v>
      </c>
      <c r="F417" t="s">
        <v>9</v>
      </c>
    </row>
    <row r="418" spans="1:6" x14ac:dyDescent="0.25">
      <c r="A418" t="s">
        <v>6</v>
      </c>
      <c r="B418" t="s">
        <v>7</v>
      </c>
      <c r="C418" t="s">
        <v>8</v>
      </c>
      <c r="E418">
        <v>2020</v>
      </c>
      <c r="F418" t="s">
        <v>9</v>
      </c>
    </row>
    <row r="419" spans="1:6" x14ac:dyDescent="0.25">
      <c r="A419" t="s">
        <v>10</v>
      </c>
      <c r="B419" t="s">
        <v>11</v>
      </c>
      <c r="C419" t="s">
        <v>8</v>
      </c>
      <c r="E419">
        <v>2020</v>
      </c>
      <c r="F419" t="s">
        <v>9</v>
      </c>
    </row>
    <row r="420" spans="1:6" x14ac:dyDescent="0.25">
      <c r="A420" t="s">
        <v>12</v>
      </c>
      <c r="B420" t="s">
        <v>13</v>
      </c>
      <c r="C420" t="s">
        <v>8</v>
      </c>
      <c r="E420">
        <v>2020</v>
      </c>
      <c r="F420" t="s">
        <v>9</v>
      </c>
    </row>
    <row r="421" spans="1:6" x14ac:dyDescent="0.25">
      <c r="A421" t="s">
        <v>14</v>
      </c>
      <c r="B421" t="s">
        <v>15</v>
      </c>
      <c r="C421" t="s">
        <v>8</v>
      </c>
      <c r="E421">
        <v>2020</v>
      </c>
      <c r="F421" t="s">
        <v>9</v>
      </c>
    </row>
    <row r="422" spans="1:6" x14ac:dyDescent="0.25">
      <c r="A422" t="s">
        <v>16</v>
      </c>
      <c r="B422" t="s">
        <v>17</v>
      </c>
      <c r="C422" t="s">
        <v>8</v>
      </c>
      <c r="E422">
        <v>2020</v>
      </c>
      <c r="F422" t="s">
        <v>9</v>
      </c>
    </row>
    <row r="423" spans="1:6" x14ac:dyDescent="0.25">
      <c r="A423" t="s">
        <v>18</v>
      </c>
      <c r="B423" t="s">
        <v>19</v>
      </c>
      <c r="C423" t="s">
        <v>8</v>
      </c>
      <c r="E423">
        <v>2020</v>
      </c>
      <c r="F423" t="s">
        <v>9</v>
      </c>
    </row>
    <row r="424" spans="1:6" x14ac:dyDescent="0.25">
      <c r="A424" t="s">
        <v>20</v>
      </c>
      <c r="B424" t="s">
        <v>21</v>
      </c>
      <c r="C424" t="s">
        <v>8</v>
      </c>
      <c r="E424">
        <v>2020</v>
      </c>
      <c r="F424" t="s">
        <v>9</v>
      </c>
    </row>
    <row r="425" spans="1:6" x14ac:dyDescent="0.25">
      <c r="A425" t="s">
        <v>22</v>
      </c>
      <c r="B425" t="s">
        <v>23</v>
      </c>
      <c r="C425" t="s">
        <v>8</v>
      </c>
      <c r="E425">
        <v>2020</v>
      </c>
      <c r="F425" t="s">
        <v>9</v>
      </c>
    </row>
    <row r="426" spans="1:6" x14ac:dyDescent="0.25">
      <c r="A426" t="s">
        <v>24</v>
      </c>
      <c r="B426" t="s">
        <v>25</v>
      </c>
      <c r="C426" t="s">
        <v>8</v>
      </c>
      <c r="E426">
        <v>2020</v>
      </c>
      <c r="F426" t="s">
        <v>9</v>
      </c>
    </row>
    <row r="427" spans="1:6" x14ac:dyDescent="0.25">
      <c r="A427" t="s">
        <v>26</v>
      </c>
      <c r="B427" t="s">
        <v>27</v>
      </c>
      <c r="C427" t="s">
        <v>8</v>
      </c>
      <c r="E427">
        <v>2020</v>
      </c>
      <c r="F427" t="s">
        <v>9</v>
      </c>
    </row>
    <row r="428" spans="1:6" x14ac:dyDescent="0.25">
      <c r="A428" t="s">
        <v>28</v>
      </c>
      <c r="B428" t="s">
        <v>29</v>
      </c>
      <c r="C428" t="s">
        <v>8</v>
      </c>
      <c r="E428">
        <v>2020</v>
      </c>
      <c r="F428" t="s">
        <v>9</v>
      </c>
    </row>
    <row r="429" spans="1:6" x14ac:dyDescent="0.25">
      <c r="A429" t="s">
        <v>30</v>
      </c>
      <c r="B429" t="s">
        <v>31</v>
      </c>
      <c r="C429" t="s">
        <v>8</v>
      </c>
      <c r="E429">
        <v>2020</v>
      </c>
      <c r="F429" t="s">
        <v>9</v>
      </c>
    </row>
    <row r="430" spans="1:6" x14ac:dyDescent="0.25">
      <c r="A430" t="s">
        <v>32</v>
      </c>
      <c r="B430" t="s">
        <v>33</v>
      </c>
      <c r="C430" t="s">
        <v>8</v>
      </c>
      <c r="E430">
        <v>2020</v>
      </c>
      <c r="F430" t="s">
        <v>9</v>
      </c>
    </row>
    <row r="431" spans="1:6" x14ac:dyDescent="0.25">
      <c r="A431" t="s">
        <v>34</v>
      </c>
      <c r="B431" t="s">
        <v>35</v>
      </c>
      <c r="C431" t="s">
        <v>8</v>
      </c>
      <c r="E431">
        <v>2020</v>
      </c>
      <c r="F431" t="s">
        <v>9</v>
      </c>
    </row>
    <row r="432" spans="1:6" x14ac:dyDescent="0.25">
      <c r="A432" t="s">
        <v>36</v>
      </c>
      <c r="B432" t="s">
        <v>37</v>
      </c>
      <c r="C432" t="s">
        <v>8</v>
      </c>
      <c r="E432">
        <v>2020</v>
      </c>
      <c r="F432" t="s">
        <v>9</v>
      </c>
    </row>
    <row r="433" spans="1:6" x14ac:dyDescent="0.25">
      <c r="A433" t="s">
        <v>38</v>
      </c>
      <c r="B433" t="s">
        <v>39</v>
      </c>
      <c r="C433" t="s">
        <v>8</v>
      </c>
      <c r="E433">
        <v>2020</v>
      </c>
      <c r="F433" t="s">
        <v>9</v>
      </c>
    </row>
    <row r="434" spans="1:6" x14ac:dyDescent="0.25">
      <c r="A434" t="s">
        <v>40</v>
      </c>
      <c r="B434" t="s">
        <v>41</v>
      </c>
      <c r="C434" t="s">
        <v>8</v>
      </c>
      <c r="E434">
        <v>2020</v>
      </c>
      <c r="F434" t="s">
        <v>9</v>
      </c>
    </row>
    <row r="435" spans="1:6" x14ac:dyDescent="0.25">
      <c r="A435" t="s">
        <v>42</v>
      </c>
      <c r="B435" t="s">
        <v>43</v>
      </c>
      <c r="C435" t="s">
        <v>8</v>
      </c>
      <c r="E435">
        <v>2020</v>
      </c>
      <c r="F435" t="s">
        <v>9</v>
      </c>
    </row>
    <row r="436" spans="1:6" x14ac:dyDescent="0.25">
      <c r="A436" t="s">
        <v>44</v>
      </c>
      <c r="B436" t="s">
        <v>45</v>
      </c>
      <c r="C436" t="s">
        <v>8</v>
      </c>
      <c r="E436">
        <v>2020</v>
      </c>
      <c r="F436" t="s">
        <v>9</v>
      </c>
    </row>
    <row r="437" spans="1:6" x14ac:dyDescent="0.25">
      <c r="A437" t="s">
        <v>46</v>
      </c>
      <c r="B437" t="s">
        <v>47</v>
      </c>
      <c r="C437" t="s">
        <v>8</v>
      </c>
      <c r="E437">
        <v>2020</v>
      </c>
      <c r="F437" t="s">
        <v>9</v>
      </c>
    </row>
    <row r="438" spans="1:6" x14ac:dyDescent="0.25">
      <c r="A438" t="s">
        <v>48</v>
      </c>
      <c r="B438" t="s">
        <v>49</v>
      </c>
      <c r="C438" t="s">
        <v>8</v>
      </c>
      <c r="E438">
        <v>2020</v>
      </c>
      <c r="F438" t="s">
        <v>9</v>
      </c>
    </row>
    <row r="439" spans="1:6" x14ac:dyDescent="0.25">
      <c r="A439" t="s">
        <v>50</v>
      </c>
      <c r="B439" t="s">
        <v>51</v>
      </c>
      <c r="C439" t="s">
        <v>8</v>
      </c>
      <c r="E439">
        <v>2020</v>
      </c>
      <c r="F439" t="s">
        <v>9</v>
      </c>
    </row>
    <row r="440" spans="1:6" x14ac:dyDescent="0.25">
      <c r="A440" t="s">
        <v>52</v>
      </c>
      <c r="B440" t="s">
        <v>53</v>
      </c>
      <c r="C440" t="s">
        <v>8</v>
      </c>
      <c r="E440">
        <v>2020</v>
      </c>
      <c r="F440" t="s">
        <v>9</v>
      </c>
    </row>
    <row r="441" spans="1:6" x14ac:dyDescent="0.25">
      <c r="A441" t="s">
        <v>54</v>
      </c>
      <c r="B441" t="s">
        <v>55</v>
      </c>
      <c r="C441" t="s">
        <v>8</v>
      </c>
      <c r="E441">
        <v>2020</v>
      </c>
      <c r="F441" t="s">
        <v>9</v>
      </c>
    </row>
    <row r="442" spans="1:6" x14ac:dyDescent="0.25">
      <c r="A442" t="s">
        <v>56</v>
      </c>
      <c r="B442" t="s">
        <v>57</v>
      </c>
      <c r="C442" t="s">
        <v>8</v>
      </c>
      <c r="E442">
        <v>2020</v>
      </c>
      <c r="F442" t="s">
        <v>9</v>
      </c>
    </row>
    <row r="443" spans="1:6" x14ac:dyDescent="0.25">
      <c r="A443" t="s">
        <v>58</v>
      </c>
      <c r="B443" t="s">
        <v>59</v>
      </c>
      <c r="C443" t="s">
        <v>8</v>
      </c>
      <c r="E443">
        <v>2020</v>
      </c>
      <c r="F443" t="s">
        <v>9</v>
      </c>
    </row>
    <row r="444" spans="1:6" x14ac:dyDescent="0.25">
      <c r="A444" t="s">
        <v>6</v>
      </c>
      <c r="B444" t="s">
        <v>7</v>
      </c>
      <c r="C444" t="s">
        <v>60</v>
      </c>
      <c r="D444">
        <v>49571</v>
      </c>
      <c r="E444">
        <v>2020</v>
      </c>
      <c r="F444" t="s">
        <v>9</v>
      </c>
    </row>
    <row r="445" spans="1:6" x14ac:dyDescent="0.25">
      <c r="A445" t="s">
        <v>10</v>
      </c>
      <c r="B445" t="s">
        <v>11</v>
      </c>
      <c r="C445" t="s">
        <v>60</v>
      </c>
      <c r="D445">
        <v>10361</v>
      </c>
      <c r="E445">
        <v>2020</v>
      </c>
      <c r="F445" t="s">
        <v>9</v>
      </c>
    </row>
    <row r="446" spans="1:6" x14ac:dyDescent="0.25">
      <c r="A446" t="s">
        <v>12</v>
      </c>
      <c r="B446" t="s">
        <v>13</v>
      </c>
      <c r="C446" t="s">
        <v>60</v>
      </c>
      <c r="D446">
        <v>1140</v>
      </c>
      <c r="E446">
        <v>2020</v>
      </c>
      <c r="F446" t="s">
        <v>9</v>
      </c>
    </row>
    <row r="447" spans="1:6" x14ac:dyDescent="0.25">
      <c r="A447" t="s">
        <v>14</v>
      </c>
      <c r="B447" t="s">
        <v>15</v>
      </c>
      <c r="C447" t="s">
        <v>60</v>
      </c>
      <c r="E447">
        <v>2020</v>
      </c>
      <c r="F447" t="s">
        <v>9</v>
      </c>
    </row>
    <row r="448" spans="1:6" x14ac:dyDescent="0.25">
      <c r="A448" t="s">
        <v>16</v>
      </c>
      <c r="B448" t="s">
        <v>17</v>
      </c>
      <c r="C448" t="s">
        <v>60</v>
      </c>
      <c r="D448">
        <v>1494</v>
      </c>
      <c r="E448">
        <v>2020</v>
      </c>
      <c r="F448" t="s">
        <v>9</v>
      </c>
    </row>
    <row r="449" spans="1:6" x14ac:dyDescent="0.25">
      <c r="A449" t="s">
        <v>18</v>
      </c>
      <c r="B449" t="s">
        <v>19</v>
      </c>
      <c r="C449" t="s">
        <v>60</v>
      </c>
      <c r="D449">
        <v>348</v>
      </c>
      <c r="E449">
        <v>2020</v>
      </c>
      <c r="F449" t="s">
        <v>9</v>
      </c>
    </row>
    <row r="450" spans="1:6" x14ac:dyDescent="0.25">
      <c r="A450" t="s">
        <v>20</v>
      </c>
      <c r="B450" t="s">
        <v>21</v>
      </c>
      <c r="C450" t="s">
        <v>60</v>
      </c>
      <c r="D450">
        <v>143</v>
      </c>
      <c r="E450">
        <v>2020</v>
      </c>
      <c r="F450" t="s">
        <v>9</v>
      </c>
    </row>
    <row r="451" spans="1:6" x14ac:dyDescent="0.25">
      <c r="A451" t="s">
        <v>22</v>
      </c>
      <c r="B451" t="s">
        <v>23</v>
      </c>
      <c r="C451" t="s">
        <v>60</v>
      </c>
      <c r="D451">
        <v>265</v>
      </c>
      <c r="E451">
        <v>2020</v>
      </c>
      <c r="F451" t="s">
        <v>9</v>
      </c>
    </row>
    <row r="452" spans="1:6" x14ac:dyDescent="0.25">
      <c r="A452" t="s">
        <v>24</v>
      </c>
      <c r="B452" t="s">
        <v>25</v>
      </c>
      <c r="C452" t="s">
        <v>60</v>
      </c>
      <c r="D452">
        <v>4431</v>
      </c>
      <c r="E452">
        <v>2020</v>
      </c>
      <c r="F452" t="s">
        <v>9</v>
      </c>
    </row>
    <row r="453" spans="1:6" x14ac:dyDescent="0.25">
      <c r="A453" t="s">
        <v>26</v>
      </c>
      <c r="B453" t="s">
        <v>27</v>
      </c>
      <c r="C453" t="s">
        <v>60</v>
      </c>
      <c r="D453">
        <v>316</v>
      </c>
      <c r="E453">
        <v>2020</v>
      </c>
      <c r="F453" t="s">
        <v>9</v>
      </c>
    </row>
    <row r="454" spans="1:6" x14ac:dyDescent="0.25">
      <c r="A454" t="s">
        <v>28</v>
      </c>
      <c r="B454" t="s">
        <v>29</v>
      </c>
      <c r="C454" t="s">
        <v>60</v>
      </c>
      <c r="D454">
        <v>1633</v>
      </c>
      <c r="E454">
        <v>2020</v>
      </c>
      <c r="F454" t="s">
        <v>9</v>
      </c>
    </row>
    <row r="455" spans="1:6" x14ac:dyDescent="0.25">
      <c r="A455" t="s">
        <v>30</v>
      </c>
      <c r="B455" t="s">
        <v>31</v>
      </c>
      <c r="C455" t="s">
        <v>60</v>
      </c>
      <c r="D455">
        <v>5268</v>
      </c>
      <c r="E455">
        <v>2020</v>
      </c>
      <c r="F455" t="s">
        <v>9</v>
      </c>
    </row>
    <row r="456" spans="1:6" x14ac:dyDescent="0.25">
      <c r="A456" t="s">
        <v>32</v>
      </c>
      <c r="B456" t="s">
        <v>33</v>
      </c>
      <c r="C456" t="s">
        <v>60</v>
      </c>
      <c r="D456">
        <v>586</v>
      </c>
      <c r="E456">
        <v>2020</v>
      </c>
      <c r="F456" t="s">
        <v>9</v>
      </c>
    </row>
    <row r="457" spans="1:6" x14ac:dyDescent="0.25">
      <c r="A457" t="s">
        <v>34</v>
      </c>
      <c r="B457" t="s">
        <v>35</v>
      </c>
      <c r="C457" t="s">
        <v>60</v>
      </c>
      <c r="D457">
        <v>3693</v>
      </c>
      <c r="E457">
        <v>2020</v>
      </c>
      <c r="F457" t="s">
        <v>9</v>
      </c>
    </row>
    <row r="458" spans="1:6" x14ac:dyDescent="0.25">
      <c r="A458" t="s">
        <v>36</v>
      </c>
      <c r="B458" t="s">
        <v>37</v>
      </c>
      <c r="C458" t="s">
        <v>60</v>
      </c>
      <c r="D458">
        <v>6225</v>
      </c>
      <c r="E458">
        <v>2020</v>
      </c>
      <c r="F458" t="s">
        <v>9</v>
      </c>
    </row>
    <row r="459" spans="1:6" x14ac:dyDescent="0.25">
      <c r="A459" t="s">
        <v>38</v>
      </c>
      <c r="B459" t="s">
        <v>39</v>
      </c>
      <c r="C459" t="s">
        <v>60</v>
      </c>
      <c r="D459">
        <v>3802</v>
      </c>
      <c r="E459">
        <v>2020</v>
      </c>
      <c r="F459" t="s">
        <v>9</v>
      </c>
    </row>
    <row r="460" spans="1:6" x14ac:dyDescent="0.25">
      <c r="A460" t="s">
        <v>40</v>
      </c>
      <c r="B460" t="s">
        <v>41</v>
      </c>
      <c r="C460" t="s">
        <v>60</v>
      </c>
      <c r="D460">
        <v>622</v>
      </c>
      <c r="E460">
        <v>2020</v>
      </c>
      <c r="F460" t="s">
        <v>9</v>
      </c>
    </row>
    <row r="461" spans="1:6" x14ac:dyDescent="0.25">
      <c r="A461" t="s">
        <v>42</v>
      </c>
      <c r="B461" t="s">
        <v>43</v>
      </c>
      <c r="C461" t="s">
        <v>60</v>
      </c>
      <c r="E461">
        <v>2020</v>
      </c>
      <c r="F461" t="s">
        <v>9</v>
      </c>
    </row>
    <row r="462" spans="1:6" x14ac:dyDescent="0.25">
      <c r="A462" t="s">
        <v>44</v>
      </c>
      <c r="B462" t="s">
        <v>45</v>
      </c>
      <c r="C462" t="s">
        <v>60</v>
      </c>
      <c r="D462">
        <v>554</v>
      </c>
      <c r="E462">
        <v>2020</v>
      </c>
      <c r="F462" t="s">
        <v>9</v>
      </c>
    </row>
    <row r="463" spans="1:6" x14ac:dyDescent="0.25">
      <c r="A463" t="s">
        <v>46</v>
      </c>
      <c r="B463" t="s">
        <v>47</v>
      </c>
      <c r="C463" t="s">
        <v>60</v>
      </c>
      <c r="D463">
        <v>205</v>
      </c>
      <c r="E463">
        <v>2020</v>
      </c>
      <c r="F463" t="s">
        <v>9</v>
      </c>
    </row>
    <row r="464" spans="1:6" x14ac:dyDescent="0.25">
      <c r="A464" t="s">
        <v>48</v>
      </c>
      <c r="B464" t="s">
        <v>49</v>
      </c>
      <c r="C464" t="s">
        <v>60</v>
      </c>
      <c r="D464">
        <v>114</v>
      </c>
      <c r="E464">
        <v>2020</v>
      </c>
      <c r="F464" t="s">
        <v>9</v>
      </c>
    </row>
    <row r="465" spans="1:6" x14ac:dyDescent="0.25">
      <c r="A465" t="s">
        <v>50</v>
      </c>
      <c r="B465" t="s">
        <v>51</v>
      </c>
      <c r="C465" t="s">
        <v>60</v>
      </c>
      <c r="D465">
        <v>68</v>
      </c>
      <c r="E465">
        <v>2020</v>
      </c>
      <c r="F465" t="s">
        <v>9</v>
      </c>
    </row>
    <row r="466" spans="1:6" x14ac:dyDescent="0.25">
      <c r="A466" t="s">
        <v>52</v>
      </c>
      <c r="B466" t="s">
        <v>53</v>
      </c>
      <c r="C466" t="s">
        <v>60</v>
      </c>
      <c r="D466">
        <v>188</v>
      </c>
      <c r="E466">
        <v>2020</v>
      </c>
      <c r="F466" t="s">
        <v>9</v>
      </c>
    </row>
    <row r="467" spans="1:6" x14ac:dyDescent="0.25">
      <c r="A467" t="s">
        <v>54</v>
      </c>
      <c r="B467" t="s">
        <v>55</v>
      </c>
      <c r="C467" t="s">
        <v>60</v>
      </c>
      <c r="D467">
        <v>8103</v>
      </c>
      <c r="E467">
        <v>2020</v>
      </c>
      <c r="F467" t="s">
        <v>9</v>
      </c>
    </row>
    <row r="468" spans="1:6" x14ac:dyDescent="0.25">
      <c r="A468" t="s">
        <v>56</v>
      </c>
      <c r="B468" t="s">
        <v>57</v>
      </c>
      <c r="C468" t="s">
        <v>60</v>
      </c>
      <c r="E468">
        <v>2020</v>
      </c>
      <c r="F468" t="s">
        <v>9</v>
      </c>
    </row>
    <row r="469" spans="1:6" x14ac:dyDescent="0.25">
      <c r="A469" t="s">
        <v>58</v>
      </c>
      <c r="B469" t="s">
        <v>59</v>
      </c>
      <c r="C469" t="s">
        <v>60</v>
      </c>
      <c r="E469">
        <v>2020</v>
      </c>
      <c r="F469" t="s">
        <v>9</v>
      </c>
    </row>
    <row r="470" spans="1:6" x14ac:dyDescent="0.25">
      <c r="A470" t="s">
        <v>6</v>
      </c>
      <c r="B470" t="s">
        <v>7</v>
      </c>
      <c r="C470" t="s">
        <v>61</v>
      </c>
      <c r="D470">
        <v>31807</v>
      </c>
      <c r="E470">
        <v>2020</v>
      </c>
      <c r="F470" t="s">
        <v>9</v>
      </c>
    </row>
    <row r="471" spans="1:6" x14ac:dyDescent="0.25">
      <c r="A471" t="s">
        <v>10</v>
      </c>
      <c r="B471" t="s">
        <v>11</v>
      </c>
      <c r="C471" t="s">
        <v>61</v>
      </c>
      <c r="D471">
        <v>11819</v>
      </c>
      <c r="E471">
        <v>2020</v>
      </c>
      <c r="F471" t="s">
        <v>9</v>
      </c>
    </row>
    <row r="472" spans="1:6" x14ac:dyDescent="0.25">
      <c r="A472" t="s">
        <v>12</v>
      </c>
      <c r="B472" t="s">
        <v>13</v>
      </c>
      <c r="C472" t="s">
        <v>61</v>
      </c>
      <c r="D472">
        <v>636</v>
      </c>
      <c r="E472">
        <v>2020</v>
      </c>
      <c r="F472" t="s">
        <v>9</v>
      </c>
    </row>
    <row r="473" spans="1:6" x14ac:dyDescent="0.25">
      <c r="A473" t="s">
        <v>14</v>
      </c>
      <c r="B473" t="s">
        <v>15</v>
      </c>
      <c r="C473" t="s">
        <v>61</v>
      </c>
      <c r="D473">
        <v>0</v>
      </c>
      <c r="E473">
        <v>2020</v>
      </c>
      <c r="F473" t="s">
        <v>9</v>
      </c>
    </row>
    <row r="474" spans="1:6" x14ac:dyDescent="0.25">
      <c r="A474" t="s">
        <v>16</v>
      </c>
      <c r="B474" t="s">
        <v>17</v>
      </c>
      <c r="C474" t="s">
        <v>61</v>
      </c>
      <c r="D474">
        <v>529</v>
      </c>
      <c r="E474">
        <v>2020</v>
      </c>
      <c r="F474" t="s">
        <v>9</v>
      </c>
    </row>
    <row r="475" spans="1:6" x14ac:dyDescent="0.25">
      <c r="A475" t="s">
        <v>18</v>
      </c>
      <c r="B475" t="s">
        <v>19</v>
      </c>
      <c r="C475" t="s">
        <v>61</v>
      </c>
      <c r="D475">
        <v>70</v>
      </c>
      <c r="E475">
        <v>2020</v>
      </c>
      <c r="F475" t="s">
        <v>9</v>
      </c>
    </row>
    <row r="476" spans="1:6" x14ac:dyDescent="0.25">
      <c r="A476" t="s">
        <v>20</v>
      </c>
      <c r="B476" t="s">
        <v>21</v>
      </c>
      <c r="C476" t="s">
        <v>61</v>
      </c>
      <c r="D476">
        <v>51</v>
      </c>
      <c r="E476">
        <v>2020</v>
      </c>
      <c r="F476" t="s">
        <v>9</v>
      </c>
    </row>
    <row r="477" spans="1:6" x14ac:dyDescent="0.25">
      <c r="A477" t="s">
        <v>22</v>
      </c>
      <c r="B477" t="s">
        <v>23</v>
      </c>
      <c r="C477" t="s">
        <v>61</v>
      </c>
      <c r="D477">
        <v>148</v>
      </c>
      <c r="E477">
        <v>2020</v>
      </c>
      <c r="F477" t="s">
        <v>9</v>
      </c>
    </row>
    <row r="478" spans="1:6" x14ac:dyDescent="0.25">
      <c r="A478" t="s">
        <v>24</v>
      </c>
      <c r="B478" t="s">
        <v>25</v>
      </c>
      <c r="C478" t="s">
        <v>61</v>
      </c>
      <c r="D478">
        <v>3033</v>
      </c>
      <c r="E478">
        <v>2020</v>
      </c>
      <c r="F478" t="s">
        <v>9</v>
      </c>
    </row>
    <row r="479" spans="1:6" x14ac:dyDescent="0.25">
      <c r="A479" t="s">
        <v>26</v>
      </c>
      <c r="B479" t="s">
        <v>27</v>
      </c>
      <c r="C479" t="s">
        <v>61</v>
      </c>
      <c r="D479">
        <v>72</v>
      </c>
      <c r="E479">
        <v>2020</v>
      </c>
      <c r="F479" t="s">
        <v>9</v>
      </c>
    </row>
    <row r="480" spans="1:6" x14ac:dyDescent="0.25">
      <c r="A480" t="s">
        <v>28</v>
      </c>
      <c r="B480" t="s">
        <v>29</v>
      </c>
      <c r="C480" t="s">
        <v>61</v>
      </c>
      <c r="D480">
        <v>109</v>
      </c>
      <c r="E480">
        <v>2020</v>
      </c>
      <c r="F480" t="s">
        <v>9</v>
      </c>
    </row>
    <row r="481" spans="1:6" x14ac:dyDescent="0.25">
      <c r="A481" t="s">
        <v>30</v>
      </c>
      <c r="B481" t="s">
        <v>31</v>
      </c>
      <c r="C481" t="s">
        <v>61</v>
      </c>
      <c r="D481">
        <v>967</v>
      </c>
      <c r="E481">
        <v>2020</v>
      </c>
      <c r="F481" t="s">
        <v>9</v>
      </c>
    </row>
    <row r="482" spans="1:6" x14ac:dyDescent="0.25">
      <c r="A482" t="s">
        <v>32</v>
      </c>
      <c r="B482" t="s">
        <v>33</v>
      </c>
      <c r="C482" t="s">
        <v>61</v>
      </c>
      <c r="D482">
        <v>104</v>
      </c>
      <c r="E482">
        <v>2020</v>
      </c>
      <c r="F482" t="s">
        <v>9</v>
      </c>
    </row>
    <row r="483" spans="1:6" x14ac:dyDescent="0.25">
      <c r="A483" t="s">
        <v>34</v>
      </c>
      <c r="B483" t="s">
        <v>35</v>
      </c>
      <c r="C483" t="s">
        <v>61</v>
      </c>
      <c r="D483">
        <v>731</v>
      </c>
      <c r="E483">
        <v>2020</v>
      </c>
      <c r="F483" t="s">
        <v>9</v>
      </c>
    </row>
    <row r="484" spans="1:6" x14ac:dyDescent="0.25">
      <c r="A484" t="s">
        <v>36</v>
      </c>
      <c r="B484" t="s">
        <v>37</v>
      </c>
      <c r="C484" t="s">
        <v>61</v>
      </c>
      <c r="D484">
        <v>12003</v>
      </c>
      <c r="E484">
        <v>2020</v>
      </c>
      <c r="F484" t="s">
        <v>9</v>
      </c>
    </row>
    <row r="485" spans="1:6" x14ac:dyDescent="0.25">
      <c r="A485" t="s">
        <v>38</v>
      </c>
      <c r="B485" t="s">
        <v>39</v>
      </c>
      <c r="C485" t="s">
        <v>61</v>
      </c>
      <c r="D485">
        <v>692</v>
      </c>
      <c r="E485">
        <v>2020</v>
      </c>
      <c r="F485" t="s">
        <v>9</v>
      </c>
    </row>
    <row r="486" spans="1:6" x14ac:dyDescent="0.25">
      <c r="A486" t="s">
        <v>40</v>
      </c>
      <c r="B486" t="s">
        <v>41</v>
      </c>
      <c r="C486" t="s">
        <v>61</v>
      </c>
      <c r="D486">
        <v>391</v>
      </c>
      <c r="E486">
        <v>2020</v>
      </c>
      <c r="F486" t="s">
        <v>9</v>
      </c>
    </row>
    <row r="487" spans="1:6" x14ac:dyDescent="0.25">
      <c r="A487" t="s">
        <v>42</v>
      </c>
      <c r="B487" t="s">
        <v>43</v>
      </c>
      <c r="C487" t="s">
        <v>61</v>
      </c>
      <c r="D487">
        <v>0</v>
      </c>
      <c r="E487">
        <v>2020</v>
      </c>
      <c r="F487" t="s">
        <v>9</v>
      </c>
    </row>
    <row r="488" spans="1:6" x14ac:dyDescent="0.25">
      <c r="A488" t="s">
        <v>44</v>
      </c>
      <c r="B488" t="s">
        <v>45</v>
      </c>
      <c r="C488" t="s">
        <v>61</v>
      </c>
      <c r="D488">
        <v>163</v>
      </c>
      <c r="E488">
        <v>2020</v>
      </c>
      <c r="F488" t="s">
        <v>9</v>
      </c>
    </row>
    <row r="489" spans="1:6" x14ac:dyDescent="0.25">
      <c r="A489" t="s">
        <v>46</v>
      </c>
      <c r="B489" t="s">
        <v>47</v>
      </c>
      <c r="C489" t="s">
        <v>61</v>
      </c>
      <c r="D489">
        <v>110</v>
      </c>
      <c r="E489">
        <v>2020</v>
      </c>
      <c r="F489" t="s">
        <v>9</v>
      </c>
    </row>
    <row r="490" spans="1:6" x14ac:dyDescent="0.25">
      <c r="A490" t="s">
        <v>48</v>
      </c>
      <c r="B490" t="s">
        <v>49</v>
      </c>
      <c r="C490" t="s">
        <v>61</v>
      </c>
      <c r="D490">
        <v>75</v>
      </c>
      <c r="E490">
        <v>2020</v>
      </c>
      <c r="F490" t="s">
        <v>9</v>
      </c>
    </row>
    <row r="491" spans="1:6" x14ac:dyDescent="0.25">
      <c r="A491" t="s">
        <v>50</v>
      </c>
      <c r="B491" t="s">
        <v>51</v>
      </c>
      <c r="C491" t="s">
        <v>61</v>
      </c>
      <c r="D491">
        <v>9</v>
      </c>
      <c r="E491">
        <v>2020</v>
      </c>
      <c r="F491" t="s">
        <v>9</v>
      </c>
    </row>
    <row r="492" spans="1:6" x14ac:dyDescent="0.25">
      <c r="A492" t="s">
        <v>52</v>
      </c>
      <c r="B492" t="s">
        <v>53</v>
      </c>
      <c r="C492" t="s">
        <v>61</v>
      </c>
      <c r="D492">
        <v>27</v>
      </c>
      <c r="E492">
        <v>2020</v>
      </c>
      <c r="F492" t="s">
        <v>9</v>
      </c>
    </row>
    <row r="493" spans="1:6" x14ac:dyDescent="0.25">
      <c r="A493" t="s">
        <v>54</v>
      </c>
      <c r="B493" t="s">
        <v>55</v>
      </c>
      <c r="C493" t="s">
        <v>61</v>
      </c>
      <c r="D493">
        <v>1</v>
      </c>
      <c r="E493">
        <v>2020</v>
      </c>
      <c r="F493" t="s">
        <v>9</v>
      </c>
    </row>
    <row r="494" spans="1:6" x14ac:dyDescent="0.25">
      <c r="A494" t="s">
        <v>56</v>
      </c>
      <c r="B494" t="s">
        <v>57</v>
      </c>
      <c r="C494" t="s">
        <v>61</v>
      </c>
      <c r="D494">
        <v>54</v>
      </c>
      <c r="E494">
        <v>2020</v>
      </c>
      <c r="F494" t="s">
        <v>9</v>
      </c>
    </row>
    <row r="495" spans="1:6" x14ac:dyDescent="0.25">
      <c r="A495" t="s">
        <v>58</v>
      </c>
      <c r="B495" t="s">
        <v>59</v>
      </c>
      <c r="C495" t="s">
        <v>61</v>
      </c>
      <c r="E495">
        <v>2020</v>
      </c>
      <c r="F495" t="s">
        <v>9</v>
      </c>
    </row>
    <row r="496" spans="1:6" x14ac:dyDescent="0.25">
      <c r="A496" t="s">
        <v>6</v>
      </c>
      <c r="B496" t="s">
        <v>7</v>
      </c>
      <c r="C496" t="s">
        <v>62</v>
      </c>
      <c r="E496">
        <v>2020</v>
      </c>
      <c r="F496" t="s">
        <v>9</v>
      </c>
    </row>
    <row r="497" spans="1:6" x14ac:dyDescent="0.25">
      <c r="A497" t="s">
        <v>10</v>
      </c>
      <c r="B497" t="s">
        <v>11</v>
      </c>
      <c r="C497" t="s">
        <v>62</v>
      </c>
      <c r="E497">
        <v>2020</v>
      </c>
      <c r="F497" t="s">
        <v>9</v>
      </c>
    </row>
    <row r="498" spans="1:6" x14ac:dyDescent="0.25">
      <c r="A498" t="s">
        <v>12</v>
      </c>
      <c r="B498" t="s">
        <v>13</v>
      </c>
      <c r="C498" t="s">
        <v>62</v>
      </c>
      <c r="E498">
        <v>2020</v>
      </c>
      <c r="F498" t="s">
        <v>9</v>
      </c>
    </row>
    <row r="499" spans="1:6" x14ac:dyDescent="0.25">
      <c r="A499" t="s">
        <v>14</v>
      </c>
      <c r="B499" t="s">
        <v>15</v>
      </c>
      <c r="C499" t="s">
        <v>62</v>
      </c>
      <c r="E499">
        <v>2020</v>
      </c>
      <c r="F499" t="s">
        <v>9</v>
      </c>
    </row>
    <row r="500" spans="1:6" x14ac:dyDescent="0.25">
      <c r="A500" t="s">
        <v>16</v>
      </c>
      <c r="B500" t="s">
        <v>17</v>
      </c>
      <c r="C500" t="s">
        <v>62</v>
      </c>
      <c r="E500">
        <v>2020</v>
      </c>
      <c r="F500" t="s">
        <v>9</v>
      </c>
    </row>
    <row r="501" spans="1:6" x14ac:dyDescent="0.25">
      <c r="A501" t="s">
        <v>18</v>
      </c>
      <c r="B501" t="s">
        <v>19</v>
      </c>
      <c r="C501" t="s">
        <v>62</v>
      </c>
      <c r="E501">
        <v>2020</v>
      </c>
      <c r="F501" t="s">
        <v>9</v>
      </c>
    </row>
    <row r="502" spans="1:6" x14ac:dyDescent="0.25">
      <c r="A502" t="s">
        <v>20</v>
      </c>
      <c r="B502" t="s">
        <v>21</v>
      </c>
      <c r="C502" t="s">
        <v>62</v>
      </c>
      <c r="E502">
        <v>2020</v>
      </c>
      <c r="F502" t="s">
        <v>9</v>
      </c>
    </row>
    <row r="503" spans="1:6" x14ac:dyDescent="0.25">
      <c r="A503" t="s">
        <v>22</v>
      </c>
      <c r="B503" t="s">
        <v>23</v>
      </c>
      <c r="C503" t="s">
        <v>62</v>
      </c>
      <c r="E503">
        <v>2020</v>
      </c>
      <c r="F503" t="s">
        <v>9</v>
      </c>
    </row>
    <row r="504" spans="1:6" x14ac:dyDescent="0.25">
      <c r="A504" t="s">
        <v>24</v>
      </c>
      <c r="B504" t="s">
        <v>25</v>
      </c>
      <c r="C504" t="s">
        <v>62</v>
      </c>
      <c r="E504">
        <v>2020</v>
      </c>
      <c r="F504" t="s">
        <v>9</v>
      </c>
    </row>
    <row r="505" spans="1:6" x14ac:dyDescent="0.25">
      <c r="A505" t="s">
        <v>26</v>
      </c>
      <c r="B505" t="s">
        <v>27</v>
      </c>
      <c r="C505" t="s">
        <v>62</v>
      </c>
      <c r="E505">
        <v>2020</v>
      </c>
      <c r="F505" t="s">
        <v>9</v>
      </c>
    </row>
    <row r="506" spans="1:6" x14ac:dyDescent="0.25">
      <c r="A506" t="s">
        <v>28</v>
      </c>
      <c r="B506" t="s">
        <v>29</v>
      </c>
      <c r="C506" t="s">
        <v>62</v>
      </c>
      <c r="E506">
        <v>2020</v>
      </c>
      <c r="F506" t="s">
        <v>9</v>
      </c>
    </row>
    <row r="507" spans="1:6" x14ac:dyDescent="0.25">
      <c r="A507" t="s">
        <v>30</v>
      </c>
      <c r="B507" t="s">
        <v>31</v>
      </c>
      <c r="C507" t="s">
        <v>62</v>
      </c>
      <c r="E507">
        <v>2020</v>
      </c>
      <c r="F507" t="s">
        <v>9</v>
      </c>
    </row>
    <row r="508" spans="1:6" x14ac:dyDescent="0.25">
      <c r="A508" t="s">
        <v>32</v>
      </c>
      <c r="B508" t="s">
        <v>33</v>
      </c>
      <c r="C508" t="s">
        <v>62</v>
      </c>
      <c r="E508">
        <v>2020</v>
      </c>
      <c r="F508" t="s">
        <v>9</v>
      </c>
    </row>
    <row r="509" spans="1:6" x14ac:dyDescent="0.25">
      <c r="A509" t="s">
        <v>34</v>
      </c>
      <c r="B509" t="s">
        <v>35</v>
      </c>
      <c r="C509" t="s">
        <v>62</v>
      </c>
      <c r="E509">
        <v>2020</v>
      </c>
      <c r="F509" t="s">
        <v>9</v>
      </c>
    </row>
    <row r="510" spans="1:6" x14ac:dyDescent="0.25">
      <c r="A510" t="s">
        <v>36</v>
      </c>
      <c r="B510" t="s">
        <v>37</v>
      </c>
      <c r="C510" t="s">
        <v>62</v>
      </c>
      <c r="E510">
        <v>2020</v>
      </c>
      <c r="F510" t="s">
        <v>9</v>
      </c>
    </row>
    <row r="511" spans="1:6" x14ac:dyDescent="0.25">
      <c r="A511" t="s">
        <v>38</v>
      </c>
      <c r="B511" t="s">
        <v>39</v>
      </c>
      <c r="C511" t="s">
        <v>62</v>
      </c>
      <c r="E511">
        <v>2020</v>
      </c>
      <c r="F511" t="s">
        <v>9</v>
      </c>
    </row>
    <row r="512" spans="1:6" x14ac:dyDescent="0.25">
      <c r="A512" t="s">
        <v>40</v>
      </c>
      <c r="B512" t="s">
        <v>41</v>
      </c>
      <c r="C512" t="s">
        <v>62</v>
      </c>
      <c r="E512">
        <v>2020</v>
      </c>
      <c r="F512" t="s">
        <v>9</v>
      </c>
    </row>
    <row r="513" spans="1:6" x14ac:dyDescent="0.25">
      <c r="A513" t="s">
        <v>42</v>
      </c>
      <c r="B513" t="s">
        <v>43</v>
      </c>
      <c r="C513" t="s">
        <v>62</v>
      </c>
      <c r="E513">
        <v>2020</v>
      </c>
      <c r="F513" t="s">
        <v>9</v>
      </c>
    </row>
    <row r="514" spans="1:6" x14ac:dyDescent="0.25">
      <c r="A514" t="s">
        <v>44</v>
      </c>
      <c r="B514" t="s">
        <v>45</v>
      </c>
      <c r="C514" t="s">
        <v>62</v>
      </c>
      <c r="E514">
        <v>2020</v>
      </c>
      <c r="F514" t="s">
        <v>9</v>
      </c>
    </row>
    <row r="515" spans="1:6" x14ac:dyDescent="0.25">
      <c r="A515" t="s">
        <v>46</v>
      </c>
      <c r="B515" t="s">
        <v>47</v>
      </c>
      <c r="C515" t="s">
        <v>62</v>
      </c>
      <c r="E515">
        <v>2020</v>
      </c>
      <c r="F515" t="s">
        <v>9</v>
      </c>
    </row>
    <row r="516" spans="1:6" x14ac:dyDescent="0.25">
      <c r="A516" t="s">
        <v>48</v>
      </c>
      <c r="B516" t="s">
        <v>49</v>
      </c>
      <c r="C516" t="s">
        <v>62</v>
      </c>
      <c r="E516">
        <v>2020</v>
      </c>
      <c r="F516" t="s">
        <v>9</v>
      </c>
    </row>
    <row r="517" spans="1:6" x14ac:dyDescent="0.25">
      <c r="A517" t="s">
        <v>50</v>
      </c>
      <c r="B517" t="s">
        <v>51</v>
      </c>
      <c r="C517" t="s">
        <v>62</v>
      </c>
      <c r="E517">
        <v>2020</v>
      </c>
      <c r="F517" t="s">
        <v>9</v>
      </c>
    </row>
    <row r="518" spans="1:6" x14ac:dyDescent="0.25">
      <c r="A518" t="s">
        <v>52</v>
      </c>
      <c r="B518" t="s">
        <v>53</v>
      </c>
      <c r="C518" t="s">
        <v>62</v>
      </c>
      <c r="E518">
        <v>2020</v>
      </c>
      <c r="F518" t="s">
        <v>9</v>
      </c>
    </row>
    <row r="519" spans="1:6" x14ac:dyDescent="0.25">
      <c r="A519" t="s">
        <v>54</v>
      </c>
      <c r="B519" t="s">
        <v>55</v>
      </c>
      <c r="C519" t="s">
        <v>62</v>
      </c>
      <c r="E519">
        <v>2020</v>
      </c>
      <c r="F519" t="s">
        <v>9</v>
      </c>
    </row>
    <row r="520" spans="1:6" x14ac:dyDescent="0.25">
      <c r="A520" t="s">
        <v>56</v>
      </c>
      <c r="B520" t="s">
        <v>57</v>
      </c>
      <c r="C520" t="s">
        <v>62</v>
      </c>
      <c r="E520">
        <v>2020</v>
      </c>
      <c r="F520" t="s">
        <v>9</v>
      </c>
    </row>
    <row r="521" spans="1:6" x14ac:dyDescent="0.25">
      <c r="A521" t="s">
        <v>58</v>
      </c>
      <c r="B521" t="s">
        <v>59</v>
      </c>
      <c r="C521" t="s">
        <v>62</v>
      </c>
      <c r="E521">
        <v>2020</v>
      </c>
      <c r="F521" t="s">
        <v>9</v>
      </c>
    </row>
    <row r="522" spans="1:6" x14ac:dyDescent="0.25">
      <c r="A522" t="s">
        <v>6</v>
      </c>
      <c r="B522" t="s">
        <v>7</v>
      </c>
      <c r="C522" t="s">
        <v>8</v>
      </c>
      <c r="D522">
        <v>17523894</v>
      </c>
      <c r="E522">
        <v>2021</v>
      </c>
      <c r="F522" t="s">
        <v>9</v>
      </c>
    </row>
    <row r="523" spans="1:6" x14ac:dyDescent="0.25">
      <c r="A523" t="s">
        <v>10</v>
      </c>
      <c r="B523" t="s">
        <v>11</v>
      </c>
      <c r="C523" t="s">
        <v>8</v>
      </c>
      <c r="D523">
        <v>17505414</v>
      </c>
      <c r="E523">
        <v>2021</v>
      </c>
      <c r="F523" t="s">
        <v>9</v>
      </c>
    </row>
    <row r="524" spans="1:6" x14ac:dyDescent="0.25">
      <c r="A524" t="s">
        <v>12</v>
      </c>
      <c r="B524" t="s">
        <v>13</v>
      </c>
      <c r="C524" t="s">
        <v>8</v>
      </c>
      <c r="D524">
        <v>171</v>
      </c>
      <c r="E524">
        <v>2021</v>
      </c>
      <c r="F524" t="s">
        <v>9</v>
      </c>
    </row>
    <row r="525" spans="1:6" x14ac:dyDescent="0.25">
      <c r="A525" t="s">
        <v>14</v>
      </c>
      <c r="B525" t="s">
        <v>15</v>
      </c>
      <c r="C525" t="s">
        <v>8</v>
      </c>
      <c r="E525">
        <v>2021</v>
      </c>
      <c r="F525" t="s">
        <v>9</v>
      </c>
    </row>
    <row r="526" spans="1:6" x14ac:dyDescent="0.25">
      <c r="A526" t="s">
        <v>16</v>
      </c>
      <c r="B526" t="s">
        <v>17</v>
      </c>
      <c r="C526" t="s">
        <v>8</v>
      </c>
      <c r="D526">
        <v>12</v>
      </c>
      <c r="E526">
        <v>2021</v>
      </c>
      <c r="F526" t="s">
        <v>9</v>
      </c>
    </row>
    <row r="527" spans="1:6" x14ac:dyDescent="0.25">
      <c r="A527" t="s">
        <v>18</v>
      </c>
      <c r="B527" t="s">
        <v>19</v>
      </c>
      <c r="C527" t="s">
        <v>8</v>
      </c>
      <c r="D527">
        <v>0</v>
      </c>
      <c r="E527">
        <v>2021</v>
      </c>
      <c r="F527" t="s">
        <v>9</v>
      </c>
    </row>
    <row r="528" spans="1:6" x14ac:dyDescent="0.25">
      <c r="A528" t="s">
        <v>20</v>
      </c>
      <c r="B528" t="s">
        <v>21</v>
      </c>
      <c r="C528" t="s">
        <v>8</v>
      </c>
      <c r="D528">
        <v>0</v>
      </c>
      <c r="E528">
        <v>2021</v>
      </c>
      <c r="F528" t="s">
        <v>9</v>
      </c>
    </row>
    <row r="529" spans="1:6" x14ac:dyDescent="0.25">
      <c r="A529" t="s">
        <v>22</v>
      </c>
      <c r="B529" t="s">
        <v>23</v>
      </c>
      <c r="C529" t="s">
        <v>8</v>
      </c>
      <c r="D529">
        <v>865</v>
      </c>
      <c r="E529">
        <v>2021</v>
      </c>
      <c r="F529" t="s">
        <v>9</v>
      </c>
    </row>
    <row r="530" spans="1:6" x14ac:dyDescent="0.25">
      <c r="A530" t="s">
        <v>24</v>
      </c>
      <c r="B530" t="s">
        <v>25</v>
      </c>
      <c r="C530" t="s">
        <v>8</v>
      </c>
      <c r="D530">
        <v>6544</v>
      </c>
      <c r="E530">
        <v>2021</v>
      </c>
      <c r="F530" t="s">
        <v>9</v>
      </c>
    </row>
    <row r="531" spans="1:6" x14ac:dyDescent="0.25">
      <c r="A531" t="s">
        <v>26</v>
      </c>
      <c r="B531" t="s">
        <v>27</v>
      </c>
      <c r="C531" t="s">
        <v>8</v>
      </c>
      <c r="D531">
        <v>2</v>
      </c>
      <c r="E531">
        <v>2021</v>
      </c>
      <c r="F531" t="s">
        <v>9</v>
      </c>
    </row>
    <row r="532" spans="1:6" x14ac:dyDescent="0.25">
      <c r="A532" t="s">
        <v>28</v>
      </c>
      <c r="B532" t="s">
        <v>29</v>
      </c>
      <c r="C532" t="s">
        <v>8</v>
      </c>
      <c r="E532">
        <v>2021</v>
      </c>
      <c r="F532" t="s">
        <v>9</v>
      </c>
    </row>
    <row r="533" spans="1:6" x14ac:dyDescent="0.25">
      <c r="A533" t="s">
        <v>30</v>
      </c>
      <c r="B533" t="s">
        <v>31</v>
      </c>
      <c r="C533" t="s">
        <v>8</v>
      </c>
      <c r="D533">
        <v>3409</v>
      </c>
      <c r="E533">
        <v>2021</v>
      </c>
      <c r="F533" t="s">
        <v>9</v>
      </c>
    </row>
    <row r="534" spans="1:6" x14ac:dyDescent="0.25">
      <c r="A534" t="s">
        <v>32</v>
      </c>
      <c r="B534" t="s">
        <v>33</v>
      </c>
      <c r="C534" t="s">
        <v>8</v>
      </c>
      <c r="D534">
        <v>39</v>
      </c>
      <c r="E534">
        <v>2021</v>
      </c>
      <c r="F534" t="s">
        <v>9</v>
      </c>
    </row>
    <row r="535" spans="1:6" x14ac:dyDescent="0.25">
      <c r="A535" t="s">
        <v>34</v>
      </c>
      <c r="B535" t="s">
        <v>35</v>
      </c>
      <c r="C535" t="s">
        <v>8</v>
      </c>
      <c r="D535">
        <v>390</v>
      </c>
      <c r="E535">
        <v>2021</v>
      </c>
      <c r="F535" t="s">
        <v>9</v>
      </c>
    </row>
    <row r="536" spans="1:6" x14ac:dyDescent="0.25">
      <c r="A536" t="s">
        <v>36</v>
      </c>
      <c r="B536" t="s">
        <v>37</v>
      </c>
      <c r="C536" t="s">
        <v>8</v>
      </c>
      <c r="D536">
        <v>131</v>
      </c>
      <c r="E536">
        <v>2021</v>
      </c>
      <c r="F536" t="s">
        <v>9</v>
      </c>
    </row>
    <row r="537" spans="1:6" x14ac:dyDescent="0.25">
      <c r="A537" t="s">
        <v>38</v>
      </c>
      <c r="B537" t="s">
        <v>39</v>
      </c>
      <c r="C537" t="s">
        <v>8</v>
      </c>
      <c r="D537">
        <v>64</v>
      </c>
      <c r="E537">
        <v>2021</v>
      </c>
      <c r="F537" t="s">
        <v>9</v>
      </c>
    </row>
    <row r="538" spans="1:6" x14ac:dyDescent="0.25">
      <c r="A538" t="s">
        <v>40</v>
      </c>
      <c r="B538" t="s">
        <v>41</v>
      </c>
      <c r="C538" t="s">
        <v>8</v>
      </c>
      <c r="D538">
        <v>534</v>
      </c>
      <c r="E538">
        <v>2021</v>
      </c>
      <c r="F538" t="s">
        <v>9</v>
      </c>
    </row>
    <row r="539" spans="1:6" x14ac:dyDescent="0.25">
      <c r="A539" t="s">
        <v>42</v>
      </c>
      <c r="B539" t="s">
        <v>43</v>
      </c>
      <c r="C539" t="s">
        <v>8</v>
      </c>
      <c r="D539">
        <v>231</v>
      </c>
      <c r="E539">
        <v>2021</v>
      </c>
      <c r="F539" t="s">
        <v>9</v>
      </c>
    </row>
    <row r="540" spans="1:6" x14ac:dyDescent="0.25">
      <c r="A540" t="s">
        <v>44</v>
      </c>
      <c r="B540" t="s">
        <v>45</v>
      </c>
      <c r="C540" t="s">
        <v>8</v>
      </c>
      <c r="D540">
        <v>85</v>
      </c>
      <c r="E540">
        <v>2021</v>
      </c>
      <c r="F540" t="s">
        <v>9</v>
      </c>
    </row>
    <row r="541" spans="1:6" x14ac:dyDescent="0.25">
      <c r="A541" t="s">
        <v>46</v>
      </c>
      <c r="B541" t="s">
        <v>47</v>
      </c>
      <c r="C541" t="s">
        <v>8</v>
      </c>
      <c r="D541">
        <v>58</v>
      </c>
      <c r="E541">
        <v>2021</v>
      </c>
      <c r="F541" t="s">
        <v>9</v>
      </c>
    </row>
    <row r="542" spans="1:6" x14ac:dyDescent="0.25">
      <c r="A542" t="s">
        <v>48</v>
      </c>
      <c r="B542" t="s">
        <v>49</v>
      </c>
      <c r="C542" t="s">
        <v>8</v>
      </c>
      <c r="D542">
        <v>0</v>
      </c>
      <c r="E542">
        <v>2021</v>
      </c>
      <c r="F542" t="s">
        <v>9</v>
      </c>
    </row>
    <row r="543" spans="1:6" x14ac:dyDescent="0.25">
      <c r="A543" t="s">
        <v>50</v>
      </c>
      <c r="B543" t="s">
        <v>51</v>
      </c>
      <c r="C543" t="s">
        <v>8</v>
      </c>
      <c r="E543">
        <v>2021</v>
      </c>
      <c r="F543" t="s">
        <v>9</v>
      </c>
    </row>
    <row r="544" spans="1:6" x14ac:dyDescent="0.25">
      <c r="A544" t="s">
        <v>52</v>
      </c>
      <c r="B544" t="s">
        <v>53</v>
      </c>
      <c r="C544" t="s">
        <v>8</v>
      </c>
      <c r="D544">
        <v>55</v>
      </c>
      <c r="E544">
        <v>2021</v>
      </c>
      <c r="F544" t="s">
        <v>9</v>
      </c>
    </row>
    <row r="545" spans="1:6" x14ac:dyDescent="0.25">
      <c r="A545" t="s">
        <v>54</v>
      </c>
      <c r="B545" t="s">
        <v>55</v>
      </c>
      <c r="C545" t="s">
        <v>8</v>
      </c>
      <c r="D545">
        <v>1</v>
      </c>
      <c r="E545">
        <v>2021</v>
      </c>
      <c r="F545" t="s">
        <v>9</v>
      </c>
    </row>
    <row r="546" spans="1:6" x14ac:dyDescent="0.25">
      <c r="A546" t="s">
        <v>56</v>
      </c>
      <c r="B546" t="s">
        <v>57</v>
      </c>
      <c r="C546" t="s">
        <v>8</v>
      </c>
      <c r="D546">
        <v>23</v>
      </c>
      <c r="E546">
        <v>2021</v>
      </c>
      <c r="F546" t="s">
        <v>9</v>
      </c>
    </row>
    <row r="547" spans="1:6" x14ac:dyDescent="0.25">
      <c r="A547" t="s">
        <v>58</v>
      </c>
      <c r="B547" t="s">
        <v>59</v>
      </c>
      <c r="C547" t="s">
        <v>8</v>
      </c>
      <c r="D547">
        <v>5856</v>
      </c>
      <c r="E547">
        <v>2021</v>
      </c>
      <c r="F547" t="s">
        <v>9</v>
      </c>
    </row>
    <row r="548" spans="1:6" x14ac:dyDescent="0.25">
      <c r="A548" t="s">
        <v>6</v>
      </c>
      <c r="B548" t="s">
        <v>7</v>
      </c>
      <c r="C548" t="s">
        <v>60</v>
      </c>
      <c r="D548">
        <v>59974</v>
      </c>
      <c r="E548">
        <v>2021</v>
      </c>
      <c r="F548" t="s">
        <v>9</v>
      </c>
    </row>
    <row r="549" spans="1:6" x14ac:dyDescent="0.25">
      <c r="A549" t="s">
        <v>10</v>
      </c>
      <c r="B549" t="s">
        <v>11</v>
      </c>
      <c r="C549" t="s">
        <v>60</v>
      </c>
      <c r="D549">
        <v>12270</v>
      </c>
      <c r="E549">
        <v>2021</v>
      </c>
      <c r="F549" t="s">
        <v>9</v>
      </c>
    </row>
    <row r="550" spans="1:6" x14ac:dyDescent="0.25">
      <c r="A550" t="s">
        <v>12</v>
      </c>
      <c r="B550" t="s">
        <v>13</v>
      </c>
      <c r="C550" t="s">
        <v>60</v>
      </c>
      <c r="D550">
        <v>1415</v>
      </c>
      <c r="E550">
        <v>2021</v>
      </c>
      <c r="F550" t="s">
        <v>9</v>
      </c>
    </row>
    <row r="551" spans="1:6" x14ac:dyDescent="0.25">
      <c r="A551" t="s">
        <v>14</v>
      </c>
      <c r="B551" t="s">
        <v>15</v>
      </c>
      <c r="C551" t="s">
        <v>60</v>
      </c>
      <c r="E551">
        <v>2021</v>
      </c>
      <c r="F551" t="s">
        <v>9</v>
      </c>
    </row>
    <row r="552" spans="1:6" x14ac:dyDescent="0.25">
      <c r="A552" t="s">
        <v>16</v>
      </c>
      <c r="B552" t="s">
        <v>17</v>
      </c>
      <c r="C552" t="s">
        <v>60</v>
      </c>
      <c r="D552">
        <v>2070</v>
      </c>
      <c r="E552">
        <v>2021</v>
      </c>
      <c r="F552" t="s">
        <v>9</v>
      </c>
    </row>
    <row r="553" spans="1:6" x14ac:dyDescent="0.25">
      <c r="A553" t="s">
        <v>18</v>
      </c>
      <c r="B553" t="s">
        <v>19</v>
      </c>
      <c r="C553" t="s">
        <v>60</v>
      </c>
      <c r="D553">
        <v>597</v>
      </c>
      <c r="E553">
        <v>2021</v>
      </c>
      <c r="F553" t="s">
        <v>9</v>
      </c>
    </row>
    <row r="554" spans="1:6" x14ac:dyDescent="0.25">
      <c r="A554" t="s">
        <v>20</v>
      </c>
      <c r="B554" t="s">
        <v>21</v>
      </c>
      <c r="C554" t="s">
        <v>60</v>
      </c>
      <c r="D554">
        <v>181</v>
      </c>
      <c r="E554">
        <v>2021</v>
      </c>
      <c r="F554" t="s">
        <v>9</v>
      </c>
    </row>
    <row r="555" spans="1:6" x14ac:dyDescent="0.25">
      <c r="A555" t="s">
        <v>22</v>
      </c>
      <c r="B555" t="s">
        <v>23</v>
      </c>
      <c r="C555" t="s">
        <v>60</v>
      </c>
      <c r="D555">
        <v>349</v>
      </c>
      <c r="E555">
        <v>2021</v>
      </c>
      <c r="F555" t="s">
        <v>9</v>
      </c>
    </row>
    <row r="556" spans="1:6" x14ac:dyDescent="0.25">
      <c r="A556" t="s">
        <v>24</v>
      </c>
      <c r="B556" t="s">
        <v>25</v>
      </c>
      <c r="C556" t="s">
        <v>60</v>
      </c>
      <c r="D556">
        <v>4435</v>
      </c>
      <c r="E556">
        <v>2021</v>
      </c>
      <c r="F556" t="s">
        <v>9</v>
      </c>
    </row>
    <row r="557" spans="1:6" x14ac:dyDescent="0.25">
      <c r="A557" t="s">
        <v>26</v>
      </c>
      <c r="B557" t="s">
        <v>27</v>
      </c>
      <c r="C557" t="s">
        <v>60</v>
      </c>
      <c r="D557">
        <v>443</v>
      </c>
      <c r="E557">
        <v>2021</v>
      </c>
      <c r="F557" t="s">
        <v>9</v>
      </c>
    </row>
    <row r="558" spans="1:6" x14ac:dyDescent="0.25">
      <c r="A558" t="s">
        <v>28</v>
      </c>
      <c r="B558" t="s">
        <v>29</v>
      </c>
      <c r="C558" t="s">
        <v>60</v>
      </c>
      <c r="D558">
        <v>2648</v>
      </c>
      <c r="E558">
        <v>2021</v>
      </c>
      <c r="F558" t="s">
        <v>9</v>
      </c>
    </row>
    <row r="559" spans="1:6" x14ac:dyDescent="0.25">
      <c r="A559" t="s">
        <v>30</v>
      </c>
      <c r="B559" t="s">
        <v>31</v>
      </c>
      <c r="C559" t="s">
        <v>60</v>
      </c>
      <c r="D559">
        <v>6417</v>
      </c>
      <c r="E559">
        <v>2021</v>
      </c>
      <c r="F559" t="s">
        <v>9</v>
      </c>
    </row>
    <row r="560" spans="1:6" x14ac:dyDescent="0.25">
      <c r="A560" t="s">
        <v>32</v>
      </c>
      <c r="B560" t="s">
        <v>33</v>
      </c>
      <c r="C560" t="s">
        <v>60</v>
      </c>
      <c r="D560">
        <v>731</v>
      </c>
      <c r="E560">
        <v>2021</v>
      </c>
      <c r="F560" t="s">
        <v>9</v>
      </c>
    </row>
    <row r="561" spans="1:6" x14ac:dyDescent="0.25">
      <c r="A561" t="s">
        <v>34</v>
      </c>
      <c r="B561" t="s">
        <v>35</v>
      </c>
      <c r="C561" t="s">
        <v>60</v>
      </c>
      <c r="D561">
        <v>5004</v>
      </c>
      <c r="E561">
        <v>2021</v>
      </c>
      <c r="F561" t="s">
        <v>9</v>
      </c>
    </row>
    <row r="562" spans="1:6" x14ac:dyDescent="0.25">
      <c r="A562" t="s">
        <v>36</v>
      </c>
      <c r="B562" t="s">
        <v>37</v>
      </c>
      <c r="C562" t="s">
        <v>60</v>
      </c>
      <c r="D562">
        <v>7866</v>
      </c>
      <c r="E562">
        <v>2021</v>
      </c>
      <c r="F562" t="s">
        <v>9</v>
      </c>
    </row>
    <row r="563" spans="1:6" x14ac:dyDescent="0.25">
      <c r="A563" t="s">
        <v>38</v>
      </c>
      <c r="B563" t="s">
        <v>39</v>
      </c>
      <c r="C563" t="s">
        <v>60</v>
      </c>
      <c r="D563">
        <v>3482</v>
      </c>
      <c r="E563">
        <v>2021</v>
      </c>
      <c r="F563" t="s">
        <v>9</v>
      </c>
    </row>
    <row r="564" spans="1:6" x14ac:dyDescent="0.25">
      <c r="A564" t="s">
        <v>40</v>
      </c>
      <c r="B564" t="s">
        <v>41</v>
      </c>
      <c r="C564" t="s">
        <v>60</v>
      </c>
      <c r="D564">
        <v>893</v>
      </c>
      <c r="E564">
        <v>2021</v>
      </c>
      <c r="F564" t="s">
        <v>9</v>
      </c>
    </row>
    <row r="565" spans="1:6" x14ac:dyDescent="0.25">
      <c r="A565" t="s">
        <v>42</v>
      </c>
      <c r="B565" t="s">
        <v>43</v>
      </c>
      <c r="C565" t="s">
        <v>60</v>
      </c>
      <c r="E565">
        <v>2021</v>
      </c>
      <c r="F565" t="s">
        <v>9</v>
      </c>
    </row>
    <row r="566" spans="1:6" x14ac:dyDescent="0.25">
      <c r="A566" t="s">
        <v>44</v>
      </c>
      <c r="B566" t="s">
        <v>45</v>
      </c>
      <c r="C566" t="s">
        <v>60</v>
      </c>
      <c r="D566">
        <v>670</v>
      </c>
      <c r="E566">
        <v>2021</v>
      </c>
      <c r="F566" t="s">
        <v>9</v>
      </c>
    </row>
    <row r="567" spans="1:6" x14ac:dyDescent="0.25">
      <c r="A567" t="s">
        <v>46</v>
      </c>
      <c r="B567" t="s">
        <v>47</v>
      </c>
      <c r="C567" t="s">
        <v>60</v>
      </c>
      <c r="D567">
        <v>252</v>
      </c>
      <c r="E567">
        <v>2021</v>
      </c>
      <c r="F567" t="s">
        <v>9</v>
      </c>
    </row>
    <row r="568" spans="1:6" x14ac:dyDescent="0.25">
      <c r="A568" t="s">
        <v>48</v>
      </c>
      <c r="B568" t="s">
        <v>49</v>
      </c>
      <c r="C568" t="s">
        <v>60</v>
      </c>
      <c r="D568">
        <v>207</v>
      </c>
      <c r="E568">
        <v>2021</v>
      </c>
      <c r="F568" t="s">
        <v>9</v>
      </c>
    </row>
    <row r="569" spans="1:6" x14ac:dyDescent="0.25">
      <c r="A569" t="s">
        <v>50</v>
      </c>
      <c r="B569" t="s">
        <v>51</v>
      </c>
      <c r="C569" t="s">
        <v>60</v>
      </c>
      <c r="D569">
        <v>77</v>
      </c>
      <c r="E569">
        <v>2021</v>
      </c>
      <c r="F569" t="s">
        <v>9</v>
      </c>
    </row>
    <row r="570" spans="1:6" x14ac:dyDescent="0.25">
      <c r="A570" t="s">
        <v>52</v>
      </c>
      <c r="B570" t="s">
        <v>53</v>
      </c>
      <c r="C570" t="s">
        <v>60</v>
      </c>
      <c r="D570">
        <v>268</v>
      </c>
      <c r="E570">
        <v>2021</v>
      </c>
      <c r="F570" t="s">
        <v>9</v>
      </c>
    </row>
    <row r="571" spans="1:6" x14ac:dyDescent="0.25">
      <c r="A571" t="s">
        <v>54</v>
      </c>
      <c r="B571" t="s">
        <v>55</v>
      </c>
      <c r="C571" t="s">
        <v>60</v>
      </c>
      <c r="D571">
        <v>9687</v>
      </c>
      <c r="E571">
        <v>2021</v>
      </c>
      <c r="F571" t="s">
        <v>9</v>
      </c>
    </row>
    <row r="572" spans="1:6" x14ac:dyDescent="0.25">
      <c r="A572" t="s">
        <v>56</v>
      </c>
      <c r="B572" t="s">
        <v>57</v>
      </c>
      <c r="C572" t="s">
        <v>60</v>
      </c>
      <c r="E572">
        <v>2021</v>
      </c>
      <c r="F572" t="s">
        <v>9</v>
      </c>
    </row>
    <row r="573" spans="1:6" x14ac:dyDescent="0.25">
      <c r="A573" t="s">
        <v>58</v>
      </c>
      <c r="B573" t="s">
        <v>59</v>
      </c>
      <c r="C573" t="s">
        <v>60</v>
      </c>
      <c r="E573">
        <v>2021</v>
      </c>
      <c r="F573" t="s">
        <v>9</v>
      </c>
    </row>
    <row r="574" spans="1:6" x14ac:dyDescent="0.25">
      <c r="A574" t="s">
        <v>6</v>
      </c>
      <c r="B574" t="s">
        <v>7</v>
      </c>
      <c r="C574" t="s">
        <v>61</v>
      </c>
      <c r="D574">
        <v>30295</v>
      </c>
      <c r="E574">
        <v>2021</v>
      </c>
      <c r="F574" t="s">
        <v>9</v>
      </c>
    </row>
    <row r="575" spans="1:6" x14ac:dyDescent="0.25">
      <c r="A575" t="s">
        <v>10</v>
      </c>
      <c r="B575" t="s">
        <v>11</v>
      </c>
      <c r="C575" t="s">
        <v>61</v>
      </c>
      <c r="D575">
        <v>10549</v>
      </c>
      <c r="E575">
        <v>2021</v>
      </c>
      <c r="F575" t="s">
        <v>9</v>
      </c>
    </row>
    <row r="576" spans="1:6" x14ac:dyDescent="0.25">
      <c r="A576" t="s">
        <v>12</v>
      </c>
      <c r="B576" t="s">
        <v>13</v>
      </c>
      <c r="C576" t="s">
        <v>61</v>
      </c>
      <c r="D576">
        <v>647</v>
      </c>
      <c r="E576">
        <v>2021</v>
      </c>
      <c r="F576" t="s">
        <v>9</v>
      </c>
    </row>
    <row r="577" spans="1:6" x14ac:dyDescent="0.25">
      <c r="A577" t="s">
        <v>14</v>
      </c>
      <c r="B577" t="s">
        <v>15</v>
      </c>
      <c r="C577" t="s">
        <v>61</v>
      </c>
      <c r="D577">
        <v>0</v>
      </c>
      <c r="E577">
        <v>2021</v>
      </c>
      <c r="F577" t="s">
        <v>9</v>
      </c>
    </row>
    <row r="578" spans="1:6" x14ac:dyDescent="0.25">
      <c r="A578" t="s">
        <v>16</v>
      </c>
      <c r="B578" t="s">
        <v>17</v>
      </c>
      <c r="C578" t="s">
        <v>61</v>
      </c>
      <c r="D578">
        <v>734</v>
      </c>
      <c r="E578">
        <v>2021</v>
      </c>
      <c r="F578" t="s">
        <v>9</v>
      </c>
    </row>
    <row r="579" spans="1:6" x14ac:dyDescent="0.25">
      <c r="A579" t="s">
        <v>18</v>
      </c>
      <c r="B579" t="s">
        <v>19</v>
      </c>
      <c r="C579" t="s">
        <v>61</v>
      </c>
      <c r="D579">
        <v>117</v>
      </c>
      <c r="E579">
        <v>2021</v>
      </c>
      <c r="F579" t="s">
        <v>9</v>
      </c>
    </row>
    <row r="580" spans="1:6" x14ac:dyDescent="0.25">
      <c r="A580" t="s">
        <v>20</v>
      </c>
      <c r="B580" t="s">
        <v>21</v>
      </c>
      <c r="C580" t="s">
        <v>61</v>
      </c>
      <c r="D580">
        <v>17</v>
      </c>
      <c r="E580">
        <v>2021</v>
      </c>
      <c r="F580" t="s">
        <v>9</v>
      </c>
    </row>
    <row r="581" spans="1:6" x14ac:dyDescent="0.25">
      <c r="A581" t="s">
        <v>22</v>
      </c>
      <c r="B581" t="s">
        <v>23</v>
      </c>
      <c r="C581" t="s">
        <v>61</v>
      </c>
      <c r="D581">
        <v>146</v>
      </c>
      <c r="E581">
        <v>2021</v>
      </c>
      <c r="F581" t="s">
        <v>9</v>
      </c>
    </row>
    <row r="582" spans="1:6" x14ac:dyDescent="0.25">
      <c r="A582" t="s">
        <v>24</v>
      </c>
      <c r="B582" t="s">
        <v>25</v>
      </c>
      <c r="C582" t="s">
        <v>61</v>
      </c>
      <c r="D582">
        <v>3338</v>
      </c>
      <c r="E582">
        <v>2021</v>
      </c>
      <c r="F582" t="s">
        <v>9</v>
      </c>
    </row>
    <row r="583" spans="1:6" x14ac:dyDescent="0.25">
      <c r="A583" t="s">
        <v>26</v>
      </c>
      <c r="B583" t="s">
        <v>27</v>
      </c>
      <c r="C583" t="s">
        <v>61</v>
      </c>
      <c r="D583">
        <v>38</v>
      </c>
      <c r="E583">
        <v>2021</v>
      </c>
      <c r="F583" t="s">
        <v>9</v>
      </c>
    </row>
    <row r="584" spans="1:6" x14ac:dyDescent="0.25">
      <c r="A584" t="s">
        <v>28</v>
      </c>
      <c r="B584" t="s">
        <v>29</v>
      </c>
      <c r="C584" t="s">
        <v>61</v>
      </c>
      <c r="D584">
        <v>30</v>
      </c>
      <c r="E584">
        <v>2021</v>
      </c>
      <c r="F584" t="s">
        <v>9</v>
      </c>
    </row>
    <row r="585" spans="1:6" x14ac:dyDescent="0.25">
      <c r="A585" t="s">
        <v>30</v>
      </c>
      <c r="B585" t="s">
        <v>31</v>
      </c>
      <c r="C585" t="s">
        <v>61</v>
      </c>
      <c r="D585">
        <v>2467</v>
      </c>
      <c r="E585">
        <v>2021</v>
      </c>
      <c r="F585" t="s">
        <v>9</v>
      </c>
    </row>
    <row r="586" spans="1:6" x14ac:dyDescent="0.25">
      <c r="A586" t="s">
        <v>32</v>
      </c>
      <c r="B586" t="s">
        <v>33</v>
      </c>
      <c r="C586" t="s">
        <v>61</v>
      </c>
      <c r="D586">
        <v>116</v>
      </c>
      <c r="E586">
        <v>2021</v>
      </c>
      <c r="F586" t="s">
        <v>9</v>
      </c>
    </row>
    <row r="587" spans="1:6" x14ac:dyDescent="0.25">
      <c r="A587" t="s">
        <v>34</v>
      </c>
      <c r="B587" t="s">
        <v>35</v>
      </c>
      <c r="C587" t="s">
        <v>61</v>
      </c>
      <c r="D587">
        <v>827</v>
      </c>
      <c r="E587">
        <v>2021</v>
      </c>
      <c r="F587" t="s">
        <v>9</v>
      </c>
    </row>
    <row r="588" spans="1:6" x14ac:dyDescent="0.25">
      <c r="A588" t="s">
        <v>36</v>
      </c>
      <c r="B588" t="s">
        <v>37</v>
      </c>
      <c r="C588" t="s">
        <v>61</v>
      </c>
      <c r="D588">
        <v>8465</v>
      </c>
      <c r="E588">
        <v>2021</v>
      </c>
      <c r="F588" t="s">
        <v>9</v>
      </c>
    </row>
    <row r="589" spans="1:6" x14ac:dyDescent="0.25">
      <c r="A589" t="s">
        <v>38</v>
      </c>
      <c r="B589" t="s">
        <v>39</v>
      </c>
      <c r="C589" t="s">
        <v>61</v>
      </c>
      <c r="D589">
        <v>1534</v>
      </c>
      <c r="E589">
        <v>2021</v>
      </c>
      <c r="F589" t="s">
        <v>9</v>
      </c>
    </row>
    <row r="590" spans="1:6" x14ac:dyDescent="0.25">
      <c r="A590" t="s">
        <v>40</v>
      </c>
      <c r="B590" t="s">
        <v>41</v>
      </c>
      <c r="C590" t="s">
        <v>61</v>
      </c>
      <c r="D590">
        <v>444</v>
      </c>
      <c r="E590">
        <v>2021</v>
      </c>
      <c r="F590" t="s">
        <v>9</v>
      </c>
    </row>
    <row r="591" spans="1:6" x14ac:dyDescent="0.25">
      <c r="A591" t="s">
        <v>42</v>
      </c>
      <c r="B591" t="s">
        <v>43</v>
      </c>
      <c r="C591" t="s">
        <v>61</v>
      </c>
      <c r="D591">
        <v>0</v>
      </c>
      <c r="E591">
        <v>2021</v>
      </c>
      <c r="F591" t="s">
        <v>9</v>
      </c>
    </row>
    <row r="592" spans="1:6" x14ac:dyDescent="0.25">
      <c r="A592" t="s">
        <v>44</v>
      </c>
      <c r="B592" t="s">
        <v>45</v>
      </c>
      <c r="C592" t="s">
        <v>61</v>
      </c>
      <c r="D592">
        <v>426</v>
      </c>
      <c r="E592">
        <v>2021</v>
      </c>
      <c r="F592" t="s">
        <v>9</v>
      </c>
    </row>
    <row r="593" spans="1:6" x14ac:dyDescent="0.25">
      <c r="A593" t="s">
        <v>46</v>
      </c>
      <c r="B593" t="s">
        <v>47</v>
      </c>
      <c r="C593" t="s">
        <v>61</v>
      </c>
      <c r="D593">
        <v>153</v>
      </c>
      <c r="E593">
        <v>2021</v>
      </c>
      <c r="F593" t="s">
        <v>9</v>
      </c>
    </row>
    <row r="594" spans="1:6" x14ac:dyDescent="0.25">
      <c r="A594" t="s">
        <v>48</v>
      </c>
      <c r="B594" t="s">
        <v>49</v>
      </c>
      <c r="C594" t="s">
        <v>61</v>
      </c>
      <c r="D594">
        <v>73</v>
      </c>
      <c r="E594">
        <v>2021</v>
      </c>
      <c r="F594" t="s">
        <v>9</v>
      </c>
    </row>
    <row r="595" spans="1:6" x14ac:dyDescent="0.25">
      <c r="A595" t="s">
        <v>50</v>
      </c>
      <c r="B595" t="s">
        <v>51</v>
      </c>
      <c r="C595" t="s">
        <v>61</v>
      </c>
      <c r="D595">
        <v>9</v>
      </c>
      <c r="E595">
        <v>2021</v>
      </c>
      <c r="F595" t="s">
        <v>9</v>
      </c>
    </row>
    <row r="596" spans="1:6" x14ac:dyDescent="0.25">
      <c r="A596" t="s">
        <v>52</v>
      </c>
      <c r="B596" t="s">
        <v>53</v>
      </c>
      <c r="C596" t="s">
        <v>61</v>
      </c>
      <c r="D596">
        <v>46</v>
      </c>
      <c r="E596">
        <v>2021</v>
      </c>
      <c r="F596" t="s">
        <v>9</v>
      </c>
    </row>
    <row r="597" spans="1:6" x14ac:dyDescent="0.25">
      <c r="A597" t="s">
        <v>54</v>
      </c>
      <c r="B597" t="s">
        <v>55</v>
      </c>
      <c r="C597" t="s">
        <v>61</v>
      </c>
      <c r="D597">
        <v>0</v>
      </c>
      <c r="E597">
        <v>2021</v>
      </c>
      <c r="F597" t="s">
        <v>9</v>
      </c>
    </row>
    <row r="598" spans="1:6" x14ac:dyDescent="0.25">
      <c r="A598" t="s">
        <v>56</v>
      </c>
      <c r="B598" t="s">
        <v>57</v>
      </c>
      <c r="C598" t="s">
        <v>61</v>
      </c>
      <c r="D598">
        <v>106</v>
      </c>
      <c r="E598">
        <v>2021</v>
      </c>
      <c r="F598" t="s">
        <v>9</v>
      </c>
    </row>
    <row r="599" spans="1:6" x14ac:dyDescent="0.25">
      <c r="A599" t="s">
        <v>58</v>
      </c>
      <c r="B599" t="s">
        <v>59</v>
      </c>
      <c r="C599" t="s">
        <v>61</v>
      </c>
      <c r="E599">
        <v>2021</v>
      </c>
      <c r="F599" t="s">
        <v>9</v>
      </c>
    </row>
    <row r="600" spans="1:6" x14ac:dyDescent="0.25">
      <c r="A600" t="s">
        <v>6</v>
      </c>
      <c r="B600" t="s">
        <v>7</v>
      </c>
      <c r="C600" t="s">
        <v>62</v>
      </c>
      <c r="E600">
        <v>2021</v>
      </c>
      <c r="F600" t="s">
        <v>9</v>
      </c>
    </row>
    <row r="601" spans="1:6" x14ac:dyDescent="0.25">
      <c r="A601" t="s">
        <v>10</v>
      </c>
      <c r="B601" t="s">
        <v>11</v>
      </c>
      <c r="C601" t="s">
        <v>62</v>
      </c>
      <c r="E601">
        <v>2021</v>
      </c>
      <c r="F601" t="s">
        <v>9</v>
      </c>
    </row>
    <row r="602" spans="1:6" x14ac:dyDescent="0.25">
      <c r="A602" t="s">
        <v>12</v>
      </c>
      <c r="B602" t="s">
        <v>13</v>
      </c>
      <c r="C602" t="s">
        <v>62</v>
      </c>
      <c r="E602">
        <v>2021</v>
      </c>
      <c r="F602" t="s">
        <v>9</v>
      </c>
    </row>
    <row r="603" spans="1:6" x14ac:dyDescent="0.25">
      <c r="A603" t="s">
        <v>14</v>
      </c>
      <c r="B603" t="s">
        <v>15</v>
      </c>
      <c r="C603" t="s">
        <v>62</v>
      </c>
      <c r="E603">
        <v>2021</v>
      </c>
      <c r="F603" t="s">
        <v>9</v>
      </c>
    </row>
    <row r="604" spans="1:6" x14ac:dyDescent="0.25">
      <c r="A604" t="s">
        <v>16</v>
      </c>
      <c r="B604" t="s">
        <v>17</v>
      </c>
      <c r="C604" t="s">
        <v>62</v>
      </c>
      <c r="E604">
        <v>2021</v>
      </c>
      <c r="F604" t="s">
        <v>9</v>
      </c>
    </row>
    <row r="605" spans="1:6" x14ac:dyDescent="0.25">
      <c r="A605" t="s">
        <v>18</v>
      </c>
      <c r="B605" t="s">
        <v>19</v>
      </c>
      <c r="C605" t="s">
        <v>62</v>
      </c>
      <c r="E605">
        <v>2021</v>
      </c>
      <c r="F605" t="s">
        <v>9</v>
      </c>
    </row>
    <row r="606" spans="1:6" x14ac:dyDescent="0.25">
      <c r="A606" t="s">
        <v>20</v>
      </c>
      <c r="B606" t="s">
        <v>21</v>
      </c>
      <c r="C606" t="s">
        <v>62</v>
      </c>
      <c r="E606">
        <v>2021</v>
      </c>
      <c r="F606" t="s">
        <v>9</v>
      </c>
    </row>
    <row r="607" spans="1:6" x14ac:dyDescent="0.25">
      <c r="A607" t="s">
        <v>22</v>
      </c>
      <c r="B607" t="s">
        <v>23</v>
      </c>
      <c r="C607" t="s">
        <v>62</v>
      </c>
      <c r="E607">
        <v>2021</v>
      </c>
      <c r="F607" t="s">
        <v>9</v>
      </c>
    </row>
    <row r="608" spans="1:6" x14ac:dyDescent="0.25">
      <c r="A608" t="s">
        <v>24</v>
      </c>
      <c r="B608" t="s">
        <v>25</v>
      </c>
      <c r="C608" t="s">
        <v>62</v>
      </c>
      <c r="E608">
        <v>2021</v>
      </c>
      <c r="F608" t="s">
        <v>9</v>
      </c>
    </row>
    <row r="609" spans="1:6" x14ac:dyDescent="0.25">
      <c r="A609" t="s">
        <v>26</v>
      </c>
      <c r="B609" t="s">
        <v>27</v>
      </c>
      <c r="C609" t="s">
        <v>62</v>
      </c>
      <c r="E609">
        <v>2021</v>
      </c>
      <c r="F609" t="s">
        <v>9</v>
      </c>
    </row>
    <row r="610" spans="1:6" x14ac:dyDescent="0.25">
      <c r="A610" t="s">
        <v>28</v>
      </c>
      <c r="B610" t="s">
        <v>29</v>
      </c>
      <c r="C610" t="s">
        <v>62</v>
      </c>
      <c r="E610">
        <v>2021</v>
      </c>
      <c r="F610" t="s">
        <v>9</v>
      </c>
    </row>
    <row r="611" spans="1:6" x14ac:dyDescent="0.25">
      <c r="A611" t="s">
        <v>30</v>
      </c>
      <c r="B611" t="s">
        <v>31</v>
      </c>
      <c r="C611" t="s">
        <v>62</v>
      </c>
      <c r="E611">
        <v>2021</v>
      </c>
      <c r="F611" t="s">
        <v>9</v>
      </c>
    </row>
    <row r="612" spans="1:6" x14ac:dyDescent="0.25">
      <c r="A612" t="s">
        <v>32</v>
      </c>
      <c r="B612" t="s">
        <v>33</v>
      </c>
      <c r="C612" t="s">
        <v>62</v>
      </c>
      <c r="E612">
        <v>2021</v>
      </c>
      <c r="F612" t="s">
        <v>9</v>
      </c>
    </row>
    <row r="613" spans="1:6" x14ac:dyDescent="0.25">
      <c r="A613" t="s">
        <v>34</v>
      </c>
      <c r="B613" t="s">
        <v>35</v>
      </c>
      <c r="C613" t="s">
        <v>62</v>
      </c>
      <c r="E613">
        <v>2021</v>
      </c>
      <c r="F613" t="s">
        <v>9</v>
      </c>
    </row>
    <row r="614" spans="1:6" x14ac:dyDescent="0.25">
      <c r="A614" t="s">
        <v>36</v>
      </c>
      <c r="B614" t="s">
        <v>37</v>
      </c>
      <c r="C614" t="s">
        <v>62</v>
      </c>
      <c r="E614">
        <v>2021</v>
      </c>
      <c r="F614" t="s">
        <v>9</v>
      </c>
    </row>
    <row r="615" spans="1:6" x14ac:dyDescent="0.25">
      <c r="A615" t="s">
        <v>38</v>
      </c>
      <c r="B615" t="s">
        <v>39</v>
      </c>
      <c r="C615" t="s">
        <v>62</v>
      </c>
      <c r="E615">
        <v>2021</v>
      </c>
      <c r="F615" t="s">
        <v>9</v>
      </c>
    </row>
    <row r="616" spans="1:6" x14ac:dyDescent="0.25">
      <c r="A616" t="s">
        <v>40</v>
      </c>
      <c r="B616" t="s">
        <v>41</v>
      </c>
      <c r="C616" t="s">
        <v>62</v>
      </c>
      <c r="E616">
        <v>2021</v>
      </c>
      <c r="F616" t="s">
        <v>9</v>
      </c>
    </row>
    <row r="617" spans="1:6" x14ac:dyDescent="0.25">
      <c r="A617" t="s">
        <v>42</v>
      </c>
      <c r="B617" t="s">
        <v>43</v>
      </c>
      <c r="C617" t="s">
        <v>62</v>
      </c>
      <c r="E617">
        <v>2021</v>
      </c>
      <c r="F617" t="s">
        <v>9</v>
      </c>
    </row>
    <row r="618" spans="1:6" x14ac:dyDescent="0.25">
      <c r="A618" t="s">
        <v>44</v>
      </c>
      <c r="B618" t="s">
        <v>45</v>
      </c>
      <c r="C618" t="s">
        <v>62</v>
      </c>
      <c r="E618">
        <v>2021</v>
      </c>
      <c r="F618" t="s">
        <v>9</v>
      </c>
    </row>
    <row r="619" spans="1:6" x14ac:dyDescent="0.25">
      <c r="A619" t="s">
        <v>46</v>
      </c>
      <c r="B619" t="s">
        <v>47</v>
      </c>
      <c r="C619" t="s">
        <v>62</v>
      </c>
      <c r="E619">
        <v>2021</v>
      </c>
      <c r="F619" t="s">
        <v>9</v>
      </c>
    </row>
    <row r="620" spans="1:6" x14ac:dyDescent="0.25">
      <c r="A620" t="s">
        <v>48</v>
      </c>
      <c r="B620" t="s">
        <v>49</v>
      </c>
      <c r="C620" t="s">
        <v>62</v>
      </c>
      <c r="E620">
        <v>2021</v>
      </c>
      <c r="F620" t="s">
        <v>9</v>
      </c>
    </row>
    <row r="621" spans="1:6" x14ac:dyDescent="0.25">
      <c r="A621" t="s">
        <v>50</v>
      </c>
      <c r="B621" t="s">
        <v>51</v>
      </c>
      <c r="C621" t="s">
        <v>62</v>
      </c>
      <c r="E621">
        <v>2021</v>
      </c>
      <c r="F621" t="s">
        <v>9</v>
      </c>
    </row>
    <row r="622" spans="1:6" x14ac:dyDescent="0.25">
      <c r="A622" t="s">
        <v>52</v>
      </c>
      <c r="B622" t="s">
        <v>53</v>
      </c>
      <c r="C622" t="s">
        <v>62</v>
      </c>
      <c r="E622">
        <v>2021</v>
      </c>
      <c r="F622" t="s">
        <v>9</v>
      </c>
    </row>
    <row r="623" spans="1:6" x14ac:dyDescent="0.25">
      <c r="A623" t="s">
        <v>54</v>
      </c>
      <c r="B623" t="s">
        <v>55</v>
      </c>
      <c r="C623" t="s">
        <v>62</v>
      </c>
      <c r="E623">
        <v>2021</v>
      </c>
      <c r="F623" t="s">
        <v>9</v>
      </c>
    </row>
    <row r="624" spans="1:6" x14ac:dyDescent="0.25">
      <c r="A624" t="s">
        <v>56</v>
      </c>
      <c r="B624" t="s">
        <v>57</v>
      </c>
      <c r="C624" t="s">
        <v>62</v>
      </c>
      <c r="E624">
        <v>2021</v>
      </c>
      <c r="F624" t="s">
        <v>9</v>
      </c>
    </row>
    <row r="625" spans="1:6" x14ac:dyDescent="0.25">
      <c r="A625" t="s">
        <v>58</v>
      </c>
      <c r="B625" t="s">
        <v>59</v>
      </c>
      <c r="C625" t="s">
        <v>62</v>
      </c>
      <c r="E625">
        <v>2021</v>
      </c>
      <c r="F625" t="s">
        <v>9</v>
      </c>
    </row>
    <row r="626" spans="1:6" x14ac:dyDescent="0.25">
      <c r="A626" t="s">
        <v>6</v>
      </c>
      <c r="B626" t="s">
        <v>7</v>
      </c>
      <c r="C626" t="s">
        <v>8</v>
      </c>
      <c r="D626">
        <v>4884812</v>
      </c>
      <c r="E626">
        <v>2022</v>
      </c>
      <c r="F626" t="s">
        <v>9</v>
      </c>
    </row>
    <row r="627" spans="1:6" x14ac:dyDescent="0.25">
      <c r="A627" t="s">
        <v>10</v>
      </c>
      <c r="B627" t="s">
        <v>11</v>
      </c>
      <c r="C627" t="s">
        <v>8</v>
      </c>
      <c r="D627">
        <v>1979970</v>
      </c>
      <c r="E627">
        <v>2022</v>
      </c>
      <c r="F627" t="s">
        <v>9</v>
      </c>
    </row>
    <row r="628" spans="1:6" x14ac:dyDescent="0.25">
      <c r="A628" t="s">
        <v>12</v>
      </c>
      <c r="B628" t="s">
        <v>13</v>
      </c>
      <c r="C628" t="s">
        <v>8</v>
      </c>
      <c r="D628">
        <v>298</v>
      </c>
      <c r="E628">
        <v>2022</v>
      </c>
      <c r="F628" t="s">
        <v>9</v>
      </c>
    </row>
    <row r="629" spans="1:6" x14ac:dyDescent="0.25">
      <c r="A629" t="s">
        <v>14</v>
      </c>
      <c r="B629" t="s">
        <v>15</v>
      </c>
      <c r="C629" t="s">
        <v>8</v>
      </c>
      <c r="D629">
        <v>17</v>
      </c>
      <c r="E629">
        <v>2022</v>
      </c>
      <c r="F629" t="s">
        <v>9</v>
      </c>
    </row>
    <row r="630" spans="1:6" x14ac:dyDescent="0.25">
      <c r="A630" t="s">
        <v>16</v>
      </c>
      <c r="B630" t="s">
        <v>17</v>
      </c>
      <c r="C630" t="s">
        <v>8</v>
      </c>
      <c r="D630">
        <v>0</v>
      </c>
      <c r="E630">
        <v>2022</v>
      </c>
      <c r="F630" t="s">
        <v>9</v>
      </c>
    </row>
    <row r="631" spans="1:6" x14ac:dyDescent="0.25">
      <c r="A631" t="s">
        <v>18</v>
      </c>
      <c r="B631" t="s">
        <v>19</v>
      </c>
      <c r="C631" t="s">
        <v>8</v>
      </c>
      <c r="E631">
        <v>2022</v>
      </c>
      <c r="F631" t="s">
        <v>9</v>
      </c>
    </row>
    <row r="632" spans="1:6" x14ac:dyDescent="0.25">
      <c r="A632" t="s">
        <v>20</v>
      </c>
      <c r="B632" t="s">
        <v>21</v>
      </c>
      <c r="C632" t="s">
        <v>8</v>
      </c>
      <c r="D632">
        <v>1169290</v>
      </c>
      <c r="E632">
        <v>2022</v>
      </c>
      <c r="F632" t="s">
        <v>9</v>
      </c>
    </row>
    <row r="633" spans="1:6" x14ac:dyDescent="0.25">
      <c r="A633" t="s">
        <v>22</v>
      </c>
      <c r="B633" t="s">
        <v>23</v>
      </c>
      <c r="C633" t="s">
        <v>8</v>
      </c>
      <c r="D633">
        <v>10901</v>
      </c>
      <c r="E633">
        <v>2022</v>
      </c>
      <c r="F633" t="s">
        <v>9</v>
      </c>
    </row>
    <row r="634" spans="1:6" x14ac:dyDescent="0.25">
      <c r="A634" t="s">
        <v>24</v>
      </c>
      <c r="B634" t="s">
        <v>25</v>
      </c>
      <c r="C634" t="s">
        <v>8</v>
      </c>
      <c r="D634">
        <v>8</v>
      </c>
      <c r="E634">
        <v>2022</v>
      </c>
      <c r="F634" t="s">
        <v>9</v>
      </c>
    </row>
    <row r="635" spans="1:6" x14ac:dyDescent="0.25">
      <c r="A635" t="s">
        <v>26</v>
      </c>
      <c r="B635" t="s">
        <v>27</v>
      </c>
      <c r="C635" t="s">
        <v>8</v>
      </c>
      <c r="E635">
        <v>2022</v>
      </c>
      <c r="F635" t="s">
        <v>9</v>
      </c>
    </row>
    <row r="636" spans="1:6" x14ac:dyDescent="0.25">
      <c r="A636" t="s">
        <v>28</v>
      </c>
      <c r="B636" t="s">
        <v>29</v>
      </c>
      <c r="C636" t="s">
        <v>8</v>
      </c>
      <c r="D636">
        <v>1682382</v>
      </c>
      <c r="E636">
        <v>2022</v>
      </c>
      <c r="F636" t="s">
        <v>9</v>
      </c>
    </row>
    <row r="637" spans="1:6" x14ac:dyDescent="0.25">
      <c r="A637" t="s">
        <v>30</v>
      </c>
      <c r="B637" t="s">
        <v>31</v>
      </c>
      <c r="C637" t="s">
        <v>8</v>
      </c>
      <c r="D637">
        <v>46</v>
      </c>
      <c r="E637">
        <v>2022</v>
      </c>
      <c r="F637" t="s">
        <v>9</v>
      </c>
    </row>
    <row r="638" spans="1:6" x14ac:dyDescent="0.25">
      <c r="A638" t="s">
        <v>32</v>
      </c>
      <c r="B638" t="s">
        <v>33</v>
      </c>
      <c r="C638" t="s">
        <v>8</v>
      </c>
      <c r="D638">
        <v>270</v>
      </c>
      <c r="E638">
        <v>2022</v>
      </c>
      <c r="F638" t="s">
        <v>9</v>
      </c>
    </row>
    <row r="639" spans="1:6" x14ac:dyDescent="0.25">
      <c r="A639" t="s">
        <v>34</v>
      </c>
      <c r="B639" t="s">
        <v>35</v>
      </c>
      <c r="C639" t="s">
        <v>8</v>
      </c>
      <c r="D639">
        <v>881</v>
      </c>
      <c r="E639">
        <v>2022</v>
      </c>
      <c r="F639" t="s">
        <v>9</v>
      </c>
    </row>
    <row r="640" spans="1:6" x14ac:dyDescent="0.25">
      <c r="A640" t="s">
        <v>36</v>
      </c>
      <c r="B640" t="s">
        <v>37</v>
      </c>
      <c r="C640" t="s">
        <v>8</v>
      </c>
      <c r="D640">
        <v>121</v>
      </c>
      <c r="E640">
        <v>2022</v>
      </c>
      <c r="F640" t="s">
        <v>9</v>
      </c>
    </row>
    <row r="641" spans="1:6" x14ac:dyDescent="0.25">
      <c r="A641" t="s">
        <v>38</v>
      </c>
      <c r="B641" t="s">
        <v>39</v>
      </c>
      <c r="C641" t="s">
        <v>8</v>
      </c>
      <c r="D641">
        <v>33268</v>
      </c>
      <c r="E641">
        <v>2022</v>
      </c>
      <c r="F641" t="s">
        <v>9</v>
      </c>
    </row>
    <row r="642" spans="1:6" x14ac:dyDescent="0.25">
      <c r="A642" t="s">
        <v>40</v>
      </c>
      <c r="B642" t="s">
        <v>41</v>
      </c>
      <c r="C642" t="s">
        <v>8</v>
      </c>
      <c r="D642">
        <v>4</v>
      </c>
      <c r="E642">
        <v>2022</v>
      </c>
      <c r="F642" t="s">
        <v>9</v>
      </c>
    </row>
    <row r="643" spans="1:6" x14ac:dyDescent="0.25">
      <c r="A643" t="s">
        <v>42</v>
      </c>
      <c r="B643" t="s">
        <v>43</v>
      </c>
      <c r="C643" t="s">
        <v>8</v>
      </c>
      <c r="D643">
        <v>33</v>
      </c>
      <c r="E643">
        <v>2022</v>
      </c>
      <c r="F643" t="s">
        <v>9</v>
      </c>
    </row>
    <row r="644" spans="1:6" x14ac:dyDescent="0.25">
      <c r="A644" t="s">
        <v>44</v>
      </c>
      <c r="B644" t="s">
        <v>45</v>
      </c>
      <c r="C644" t="s">
        <v>8</v>
      </c>
      <c r="D644">
        <v>30</v>
      </c>
      <c r="E644">
        <v>2022</v>
      </c>
      <c r="F644" t="s">
        <v>9</v>
      </c>
    </row>
    <row r="645" spans="1:6" x14ac:dyDescent="0.25">
      <c r="A645" t="s">
        <v>46</v>
      </c>
      <c r="B645" t="s">
        <v>47</v>
      </c>
      <c r="C645" t="s">
        <v>8</v>
      </c>
      <c r="D645">
        <v>0</v>
      </c>
      <c r="E645">
        <v>2022</v>
      </c>
      <c r="F645" t="s">
        <v>9</v>
      </c>
    </row>
    <row r="646" spans="1:6" x14ac:dyDescent="0.25">
      <c r="A646" t="s">
        <v>48</v>
      </c>
      <c r="B646" t="s">
        <v>49</v>
      </c>
      <c r="C646" t="s">
        <v>8</v>
      </c>
      <c r="D646">
        <v>0</v>
      </c>
      <c r="E646">
        <v>2022</v>
      </c>
      <c r="F646" t="s">
        <v>9</v>
      </c>
    </row>
    <row r="647" spans="1:6" x14ac:dyDescent="0.25">
      <c r="A647" t="s">
        <v>50</v>
      </c>
      <c r="B647" t="s">
        <v>51</v>
      </c>
      <c r="C647" t="s">
        <v>8</v>
      </c>
      <c r="D647">
        <v>71</v>
      </c>
      <c r="E647">
        <v>2022</v>
      </c>
      <c r="F647" t="s">
        <v>9</v>
      </c>
    </row>
    <row r="648" spans="1:6" x14ac:dyDescent="0.25">
      <c r="A648" t="s">
        <v>52</v>
      </c>
      <c r="B648" t="s">
        <v>53</v>
      </c>
      <c r="C648" t="s">
        <v>8</v>
      </c>
      <c r="D648">
        <v>5</v>
      </c>
      <c r="E648">
        <v>2022</v>
      </c>
      <c r="F648" t="s">
        <v>9</v>
      </c>
    </row>
    <row r="649" spans="1:6" x14ac:dyDescent="0.25">
      <c r="A649" t="s">
        <v>54</v>
      </c>
      <c r="B649" t="s">
        <v>55</v>
      </c>
      <c r="C649" t="s">
        <v>8</v>
      </c>
      <c r="D649">
        <v>19</v>
      </c>
      <c r="E649">
        <v>2022</v>
      </c>
      <c r="F649" t="s">
        <v>9</v>
      </c>
    </row>
    <row r="650" spans="1:6" x14ac:dyDescent="0.25">
      <c r="A650" t="s">
        <v>56</v>
      </c>
      <c r="B650" t="s">
        <v>57</v>
      </c>
      <c r="C650" t="s">
        <v>8</v>
      </c>
      <c r="D650">
        <v>7192</v>
      </c>
      <c r="E650">
        <v>2022</v>
      </c>
      <c r="F650" t="s">
        <v>9</v>
      </c>
    </row>
    <row r="651" spans="1:6" x14ac:dyDescent="0.25">
      <c r="A651" t="s">
        <v>58</v>
      </c>
      <c r="B651" t="s">
        <v>59</v>
      </c>
      <c r="C651" t="s">
        <v>8</v>
      </c>
      <c r="E651">
        <v>2022</v>
      </c>
      <c r="F651" t="s">
        <v>9</v>
      </c>
    </row>
    <row r="652" spans="1:6" x14ac:dyDescent="0.25">
      <c r="A652" t="s">
        <v>6</v>
      </c>
      <c r="B652" t="s">
        <v>7</v>
      </c>
      <c r="C652" t="s">
        <v>60</v>
      </c>
      <c r="D652">
        <v>63721</v>
      </c>
      <c r="E652">
        <v>2022</v>
      </c>
      <c r="F652" t="s">
        <v>9</v>
      </c>
    </row>
    <row r="653" spans="1:6" x14ac:dyDescent="0.25">
      <c r="A653" t="s">
        <v>10</v>
      </c>
      <c r="B653" t="s">
        <v>11</v>
      </c>
      <c r="C653" t="s">
        <v>60</v>
      </c>
      <c r="D653">
        <v>13123</v>
      </c>
      <c r="E653">
        <v>2022</v>
      </c>
      <c r="F653" t="s">
        <v>9</v>
      </c>
    </row>
    <row r="654" spans="1:6" x14ac:dyDescent="0.25">
      <c r="A654" t="s">
        <v>12</v>
      </c>
      <c r="B654" t="s">
        <v>13</v>
      </c>
      <c r="C654" t="s">
        <v>60</v>
      </c>
      <c r="D654">
        <v>1768</v>
      </c>
      <c r="E654">
        <v>2022</v>
      </c>
      <c r="F654" t="s">
        <v>9</v>
      </c>
    </row>
    <row r="655" spans="1:6" x14ac:dyDescent="0.25">
      <c r="A655" t="s">
        <v>14</v>
      </c>
      <c r="B655" t="s">
        <v>15</v>
      </c>
      <c r="C655" t="s">
        <v>60</v>
      </c>
      <c r="D655">
        <v>2081</v>
      </c>
      <c r="E655">
        <v>2022</v>
      </c>
      <c r="F655" t="s">
        <v>9</v>
      </c>
    </row>
    <row r="656" spans="1:6" x14ac:dyDescent="0.25">
      <c r="A656" t="s">
        <v>16</v>
      </c>
      <c r="B656" t="s">
        <v>17</v>
      </c>
      <c r="C656" t="s">
        <v>60</v>
      </c>
      <c r="D656">
        <v>600</v>
      </c>
      <c r="E656">
        <v>2022</v>
      </c>
      <c r="F656" t="s">
        <v>9</v>
      </c>
    </row>
    <row r="657" spans="1:6" x14ac:dyDescent="0.25">
      <c r="A657" t="s">
        <v>18</v>
      </c>
      <c r="B657" t="s">
        <v>19</v>
      </c>
      <c r="C657" t="s">
        <v>60</v>
      </c>
      <c r="D657">
        <v>199</v>
      </c>
      <c r="E657">
        <v>2022</v>
      </c>
      <c r="F657" t="s">
        <v>9</v>
      </c>
    </row>
    <row r="658" spans="1:6" x14ac:dyDescent="0.25">
      <c r="A658" t="s">
        <v>20</v>
      </c>
      <c r="B658" t="s">
        <v>21</v>
      </c>
      <c r="C658" t="s">
        <v>60</v>
      </c>
      <c r="D658">
        <v>386</v>
      </c>
      <c r="E658">
        <v>2022</v>
      </c>
      <c r="F658" t="s">
        <v>9</v>
      </c>
    </row>
    <row r="659" spans="1:6" x14ac:dyDescent="0.25">
      <c r="A659" t="s">
        <v>22</v>
      </c>
      <c r="B659" t="s">
        <v>23</v>
      </c>
      <c r="C659" t="s">
        <v>60</v>
      </c>
      <c r="D659">
        <v>4487</v>
      </c>
      <c r="E659">
        <v>2022</v>
      </c>
      <c r="F659" t="s">
        <v>9</v>
      </c>
    </row>
    <row r="660" spans="1:6" x14ac:dyDescent="0.25">
      <c r="A660" t="s">
        <v>24</v>
      </c>
      <c r="B660" t="s">
        <v>25</v>
      </c>
      <c r="C660" t="s">
        <v>60</v>
      </c>
      <c r="D660">
        <v>472</v>
      </c>
      <c r="E660">
        <v>2022</v>
      </c>
      <c r="F660" t="s">
        <v>9</v>
      </c>
    </row>
    <row r="661" spans="1:6" x14ac:dyDescent="0.25">
      <c r="A661" t="s">
        <v>26</v>
      </c>
      <c r="B661" t="s">
        <v>27</v>
      </c>
      <c r="C661" t="s">
        <v>60</v>
      </c>
      <c r="D661">
        <v>2722</v>
      </c>
      <c r="E661">
        <v>2022</v>
      </c>
      <c r="F661" t="s">
        <v>9</v>
      </c>
    </row>
    <row r="662" spans="1:6" x14ac:dyDescent="0.25">
      <c r="A662" t="s">
        <v>28</v>
      </c>
      <c r="B662" t="s">
        <v>29</v>
      </c>
      <c r="C662" t="s">
        <v>60</v>
      </c>
      <c r="D662">
        <v>6526</v>
      </c>
      <c r="E662">
        <v>2022</v>
      </c>
      <c r="F662" t="s">
        <v>9</v>
      </c>
    </row>
    <row r="663" spans="1:6" x14ac:dyDescent="0.25">
      <c r="A663" t="s">
        <v>30</v>
      </c>
      <c r="B663" t="s">
        <v>31</v>
      </c>
      <c r="C663" t="s">
        <v>60</v>
      </c>
      <c r="D663">
        <v>792</v>
      </c>
      <c r="E663">
        <v>2022</v>
      </c>
      <c r="F663" t="s">
        <v>9</v>
      </c>
    </row>
    <row r="664" spans="1:6" x14ac:dyDescent="0.25">
      <c r="A664" t="s">
        <v>32</v>
      </c>
      <c r="B664" t="s">
        <v>33</v>
      </c>
      <c r="C664" t="s">
        <v>60</v>
      </c>
      <c r="D664">
        <v>5298</v>
      </c>
      <c r="E664">
        <v>2022</v>
      </c>
      <c r="F664" t="s">
        <v>9</v>
      </c>
    </row>
    <row r="665" spans="1:6" x14ac:dyDescent="0.25">
      <c r="A665" t="s">
        <v>34</v>
      </c>
      <c r="B665" t="s">
        <v>35</v>
      </c>
      <c r="C665" t="s">
        <v>60</v>
      </c>
      <c r="D665">
        <v>8777</v>
      </c>
      <c r="E665">
        <v>2022</v>
      </c>
      <c r="F665" t="s">
        <v>9</v>
      </c>
    </row>
    <row r="666" spans="1:6" x14ac:dyDescent="0.25">
      <c r="A666" t="s">
        <v>36</v>
      </c>
      <c r="B666" t="s">
        <v>37</v>
      </c>
      <c r="C666" t="s">
        <v>60</v>
      </c>
      <c r="D666">
        <v>3833</v>
      </c>
      <c r="E666">
        <v>2022</v>
      </c>
      <c r="F666" t="s">
        <v>9</v>
      </c>
    </row>
    <row r="667" spans="1:6" x14ac:dyDescent="0.25">
      <c r="A667" t="s">
        <v>38</v>
      </c>
      <c r="B667" t="s">
        <v>39</v>
      </c>
      <c r="C667" t="s">
        <v>60</v>
      </c>
      <c r="D667">
        <v>861</v>
      </c>
      <c r="E667">
        <v>2022</v>
      </c>
      <c r="F667" t="s">
        <v>9</v>
      </c>
    </row>
    <row r="668" spans="1:6" x14ac:dyDescent="0.25">
      <c r="A668" t="s">
        <v>40</v>
      </c>
      <c r="B668" t="s">
        <v>41</v>
      </c>
      <c r="C668" t="s">
        <v>60</v>
      </c>
      <c r="E668">
        <v>2022</v>
      </c>
      <c r="F668" t="s">
        <v>9</v>
      </c>
    </row>
    <row r="669" spans="1:6" x14ac:dyDescent="0.25">
      <c r="A669" t="s">
        <v>42</v>
      </c>
      <c r="B669" t="s">
        <v>43</v>
      </c>
      <c r="C669" t="s">
        <v>60</v>
      </c>
      <c r="D669">
        <v>691</v>
      </c>
      <c r="E669">
        <v>2022</v>
      </c>
      <c r="F669" t="s">
        <v>9</v>
      </c>
    </row>
    <row r="670" spans="1:6" x14ac:dyDescent="0.25">
      <c r="A670" t="s">
        <v>44</v>
      </c>
      <c r="B670" t="s">
        <v>45</v>
      </c>
      <c r="C670" t="s">
        <v>60</v>
      </c>
      <c r="D670">
        <v>267</v>
      </c>
      <c r="E670">
        <v>2022</v>
      </c>
      <c r="F670" t="s">
        <v>9</v>
      </c>
    </row>
    <row r="671" spans="1:6" x14ac:dyDescent="0.25">
      <c r="A671" t="s">
        <v>46</v>
      </c>
      <c r="B671" t="s">
        <v>47</v>
      </c>
      <c r="C671" t="s">
        <v>60</v>
      </c>
      <c r="D671">
        <v>223</v>
      </c>
      <c r="E671">
        <v>2022</v>
      </c>
      <c r="F671" t="s">
        <v>9</v>
      </c>
    </row>
    <row r="672" spans="1:6" x14ac:dyDescent="0.25">
      <c r="A672" t="s">
        <v>48</v>
      </c>
      <c r="B672" t="s">
        <v>49</v>
      </c>
      <c r="C672" t="s">
        <v>60</v>
      </c>
      <c r="D672">
        <v>86</v>
      </c>
      <c r="E672">
        <v>2022</v>
      </c>
      <c r="F672" t="s">
        <v>9</v>
      </c>
    </row>
    <row r="673" spans="1:6" x14ac:dyDescent="0.25">
      <c r="A673" t="s">
        <v>50</v>
      </c>
      <c r="B673" t="s">
        <v>51</v>
      </c>
      <c r="C673" t="s">
        <v>60</v>
      </c>
      <c r="D673">
        <v>269</v>
      </c>
      <c r="E673">
        <v>2022</v>
      </c>
      <c r="F673" t="s">
        <v>9</v>
      </c>
    </row>
    <row r="674" spans="1:6" x14ac:dyDescent="0.25">
      <c r="A674" t="s">
        <v>52</v>
      </c>
      <c r="B674" t="s">
        <v>53</v>
      </c>
      <c r="C674" t="s">
        <v>60</v>
      </c>
      <c r="D674">
        <v>10249</v>
      </c>
      <c r="E674">
        <v>2022</v>
      </c>
      <c r="F674" t="s">
        <v>9</v>
      </c>
    </row>
    <row r="675" spans="1:6" x14ac:dyDescent="0.25">
      <c r="A675" t="s">
        <v>54</v>
      </c>
      <c r="B675" t="s">
        <v>55</v>
      </c>
      <c r="C675" t="s">
        <v>60</v>
      </c>
      <c r="E675">
        <v>2022</v>
      </c>
      <c r="F675" t="s">
        <v>9</v>
      </c>
    </row>
    <row r="676" spans="1:6" x14ac:dyDescent="0.25">
      <c r="A676" t="s">
        <v>56</v>
      </c>
      <c r="B676" t="s">
        <v>57</v>
      </c>
      <c r="C676" t="s">
        <v>60</v>
      </c>
      <c r="E676">
        <v>2022</v>
      </c>
      <c r="F676" t="s">
        <v>9</v>
      </c>
    </row>
    <row r="677" spans="1:6" x14ac:dyDescent="0.25">
      <c r="A677" t="s">
        <v>58</v>
      </c>
      <c r="B677" t="s">
        <v>59</v>
      </c>
      <c r="C677" t="s">
        <v>60</v>
      </c>
      <c r="E677">
        <v>2022</v>
      </c>
      <c r="F677" t="s">
        <v>9</v>
      </c>
    </row>
    <row r="678" spans="1:6" x14ac:dyDescent="0.25">
      <c r="A678" t="s">
        <v>6</v>
      </c>
      <c r="B678" t="s">
        <v>7</v>
      </c>
      <c r="C678" t="s">
        <v>61</v>
      </c>
      <c r="D678">
        <v>42197</v>
      </c>
      <c r="E678">
        <v>2022</v>
      </c>
      <c r="F678" t="s">
        <v>9</v>
      </c>
    </row>
    <row r="679" spans="1:6" x14ac:dyDescent="0.25">
      <c r="A679" t="s">
        <v>10</v>
      </c>
      <c r="B679" t="s">
        <v>11</v>
      </c>
      <c r="C679" t="s">
        <v>61</v>
      </c>
      <c r="D679">
        <v>14662</v>
      </c>
      <c r="E679">
        <v>2022</v>
      </c>
      <c r="F679" t="s">
        <v>9</v>
      </c>
    </row>
    <row r="680" spans="1:6" x14ac:dyDescent="0.25">
      <c r="A680" t="s">
        <v>12</v>
      </c>
      <c r="B680" t="s">
        <v>13</v>
      </c>
      <c r="C680" t="s">
        <v>61</v>
      </c>
      <c r="D680">
        <v>736</v>
      </c>
      <c r="E680">
        <v>2022</v>
      </c>
      <c r="F680" t="s">
        <v>9</v>
      </c>
    </row>
    <row r="681" spans="1:6" x14ac:dyDescent="0.25">
      <c r="A681" t="s">
        <v>14</v>
      </c>
      <c r="B681" t="s">
        <v>15</v>
      </c>
      <c r="C681" t="s">
        <v>61</v>
      </c>
      <c r="D681">
        <v>1417</v>
      </c>
      <c r="E681">
        <v>2022</v>
      </c>
      <c r="F681" t="s">
        <v>9</v>
      </c>
    </row>
    <row r="682" spans="1:6" x14ac:dyDescent="0.25">
      <c r="A682" t="s">
        <v>16</v>
      </c>
      <c r="B682" t="s">
        <v>17</v>
      </c>
      <c r="C682" t="s">
        <v>61</v>
      </c>
      <c r="D682">
        <v>149</v>
      </c>
      <c r="E682">
        <v>2022</v>
      </c>
      <c r="F682" t="s">
        <v>9</v>
      </c>
    </row>
    <row r="683" spans="1:6" x14ac:dyDescent="0.25">
      <c r="A683" t="s">
        <v>18</v>
      </c>
      <c r="B683" t="s">
        <v>19</v>
      </c>
      <c r="C683" t="s">
        <v>61</v>
      </c>
      <c r="D683">
        <v>28</v>
      </c>
      <c r="E683">
        <v>2022</v>
      </c>
      <c r="F683" t="s">
        <v>9</v>
      </c>
    </row>
    <row r="684" spans="1:6" x14ac:dyDescent="0.25">
      <c r="A684" t="s">
        <v>20</v>
      </c>
      <c r="B684" t="s">
        <v>21</v>
      </c>
      <c r="C684" t="s">
        <v>61</v>
      </c>
      <c r="D684">
        <v>297</v>
      </c>
      <c r="E684">
        <v>2022</v>
      </c>
      <c r="F684" t="s">
        <v>9</v>
      </c>
    </row>
    <row r="685" spans="1:6" x14ac:dyDescent="0.25">
      <c r="A685" t="s">
        <v>22</v>
      </c>
      <c r="B685" t="s">
        <v>23</v>
      </c>
      <c r="C685" t="s">
        <v>61</v>
      </c>
      <c r="D685">
        <v>2884</v>
      </c>
      <c r="E685">
        <v>2022</v>
      </c>
      <c r="F685" t="s">
        <v>9</v>
      </c>
    </row>
    <row r="686" spans="1:6" x14ac:dyDescent="0.25">
      <c r="A686" t="s">
        <v>24</v>
      </c>
      <c r="B686" t="s">
        <v>25</v>
      </c>
      <c r="C686" t="s">
        <v>61</v>
      </c>
      <c r="D686">
        <v>86</v>
      </c>
      <c r="E686">
        <v>2022</v>
      </c>
      <c r="F686" t="s">
        <v>9</v>
      </c>
    </row>
    <row r="687" spans="1:6" x14ac:dyDescent="0.25">
      <c r="A687" t="s">
        <v>26</v>
      </c>
      <c r="B687" t="s">
        <v>27</v>
      </c>
      <c r="C687" t="s">
        <v>61</v>
      </c>
      <c r="D687">
        <v>621</v>
      </c>
      <c r="E687">
        <v>2022</v>
      </c>
      <c r="F687" t="s">
        <v>9</v>
      </c>
    </row>
    <row r="688" spans="1:6" x14ac:dyDescent="0.25">
      <c r="A688" t="s">
        <v>28</v>
      </c>
      <c r="B688" t="s">
        <v>29</v>
      </c>
      <c r="C688" t="s">
        <v>61</v>
      </c>
      <c r="D688">
        <v>1398</v>
      </c>
      <c r="E688">
        <v>2022</v>
      </c>
      <c r="F688" t="s">
        <v>9</v>
      </c>
    </row>
    <row r="689" spans="1:6" x14ac:dyDescent="0.25">
      <c r="A689" t="s">
        <v>30</v>
      </c>
      <c r="B689" t="s">
        <v>31</v>
      </c>
      <c r="C689" t="s">
        <v>61</v>
      </c>
      <c r="D689">
        <v>159</v>
      </c>
      <c r="E689">
        <v>2022</v>
      </c>
      <c r="F689" t="s">
        <v>9</v>
      </c>
    </row>
    <row r="690" spans="1:6" x14ac:dyDescent="0.25">
      <c r="A690" t="s">
        <v>32</v>
      </c>
      <c r="B690" t="s">
        <v>33</v>
      </c>
      <c r="C690" t="s">
        <v>61</v>
      </c>
      <c r="D690">
        <v>952</v>
      </c>
      <c r="E690">
        <v>2022</v>
      </c>
      <c r="F690" t="s">
        <v>9</v>
      </c>
    </row>
    <row r="691" spans="1:6" x14ac:dyDescent="0.25">
      <c r="A691" t="s">
        <v>34</v>
      </c>
      <c r="B691" t="s">
        <v>35</v>
      </c>
      <c r="C691" t="s">
        <v>61</v>
      </c>
      <c r="D691">
        <v>16377</v>
      </c>
      <c r="E691">
        <v>2022</v>
      </c>
      <c r="F691" t="s">
        <v>9</v>
      </c>
    </row>
    <row r="692" spans="1:6" x14ac:dyDescent="0.25">
      <c r="A692" t="s">
        <v>36</v>
      </c>
      <c r="B692" t="s">
        <v>37</v>
      </c>
      <c r="C692" t="s">
        <v>61</v>
      </c>
      <c r="D692">
        <v>939</v>
      </c>
      <c r="E692">
        <v>2022</v>
      </c>
      <c r="F692" t="s">
        <v>9</v>
      </c>
    </row>
    <row r="693" spans="1:6" x14ac:dyDescent="0.25">
      <c r="A693" t="s">
        <v>38</v>
      </c>
      <c r="B693" t="s">
        <v>39</v>
      </c>
      <c r="C693" t="s">
        <v>61</v>
      </c>
      <c r="D693">
        <v>525</v>
      </c>
      <c r="E693">
        <v>2022</v>
      </c>
      <c r="F693" t="s">
        <v>9</v>
      </c>
    </row>
    <row r="694" spans="1:6" x14ac:dyDescent="0.25">
      <c r="A694" t="s">
        <v>40</v>
      </c>
      <c r="B694" t="s">
        <v>41</v>
      </c>
      <c r="C694" t="s">
        <v>61</v>
      </c>
      <c r="D694">
        <v>3</v>
      </c>
      <c r="E694">
        <v>2022</v>
      </c>
      <c r="F694" t="s">
        <v>9</v>
      </c>
    </row>
    <row r="695" spans="1:6" x14ac:dyDescent="0.25">
      <c r="A695" t="s">
        <v>42</v>
      </c>
      <c r="B695" t="s">
        <v>43</v>
      </c>
      <c r="C695" t="s">
        <v>61</v>
      </c>
      <c r="D695">
        <v>394</v>
      </c>
      <c r="E695">
        <v>2022</v>
      </c>
      <c r="F695" t="s">
        <v>9</v>
      </c>
    </row>
    <row r="696" spans="1:6" x14ac:dyDescent="0.25">
      <c r="A696" t="s">
        <v>44</v>
      </c>
      <c r="B696" t="s">
        <v>45</v>
      </c>
      <c r="C696" t="s">
        <v>61</v>
      </c>
      <c r="D696">
        <v>236</v>
      </c>
      <c r="E696">
        <v>2022</v>
      </c>
      <c r="F696" t="s">
        <v>9</v>
      </c>
    </row>
    <row r="697" spans="1:6" x14ac:dyDescent="0.25">
      <c r="A697" t="s">
        <v>46</v>
      </c>
      <c r="B697" t="s">
        <v>47</v>
      </c>
      <c r="C697" t="s">
        <v>61</v>
      </c>
      <c r="D697">
        <v>92</v>
      </c>
      <c r="E697">
        <v>2022</v>
      </c>
      <c r="F697" t="s">
        <v>9</v>
      </c>
    </row>
    <row r="698" spans="1:6" x14ac:dyDescent="0.25">
      <c r="A698" t="s">
        <v>48</v>
      </c>
      <c r="B698" t="s">
        <v>49</v>
      </c>
      <c r="C698" t="s">
        <v>61</v>
      </c>
      <c r="D698">
        <v>11</v>
      </c>
      <c r="E698">
        <v>2022</v>
      </c>
      <c r="F698" t="s">
        <v>9</v>
      </c>
    </row>
    <row r="699" spans="1:6" x14ac:dyDescent="0.25">
      <c r="A699" t="s">
        <v>50</v>
      </c>
      <c r="B699" t="s">
        <v>51</v>
      </c>
      <c r="C699" t="s">
        <v>61</v>
      </c>
      <c r="D699">
        <v>95</v>
      </c>
      <c r="E699">
        <v>2022</v>
      </c>
      <c r="F699" t="s">
        <v>9</v>
      </c>
    </row>
    <row r="700" spans="1:6" x14ac:dyDescent="0.25">
      <c r="A700" t="s">
        <v>52</v>
      </c>
      <c r="B700" t="s">
        <v>53</v>
      </c>
      <c r="C700" t="s">
        <v>61</v>
      </c>
      <c r="D700">
        <v>0</v>
      </c>
      <c r="E700">
        <v>2022</v>
      </c>
      <c r="F700" t="s">
        <v>9</v>
      </c>
    </row>
    <row r="701" spans="1:6" x14ac:dyDescent="0.25">
      <c r="A701" t="s">
        <v>54</v>
      </c>
      <c r="B701" t="s">
        <v>55</v>
      </c>
      <c r="C701" t="s">
        <v>61</v>
      </c>
      <c r="D701">
        <v>124</v>
      </c>
      <c r="E701">
        <v>2022</v>
      </c>
      <c r="F701" t="s">
        <v>9</v>
      </c>
    </row>
    <row r="702" spans="1:6" x14ac:dyDescent="0.25">
      <c r="A702" t="s">
        <v>56</v>
      </c>
      <c r="B702" t="s">
        <v>57</v>
      </c>
      <c r="C702" t="s">
        <v>61</v>
      </c>
      <c r="E702">
        <v>2022</v>
      </c>
      <c r="F702" t="s">
        <v>9</v>
      </c>
    </row>
    <row r="703" spans="1:6" x14ac:dyDescent="0.25">
      <c r="A703" t="s">
        <v>58</v>
      </c>
      <c r="B703" t="s">
        <v>59</v>
      </c>
      <c r="C703" t="s">
        <v>61</v>
      </c>
      <c r="E703">
        <v>2022</v>
      </c>
      <c r="F703" t="s">
        <v>9</v>
      </c>
    </row>
    <row r="704" spans="1:6" x14ac:dyDescent="0.25">
      <c r="A704" t="s">
        <v>6</v>
      </c>
      <c r="B704" t="s">
        <v>7</v>
      </c>
      <c r="C704" t="s">
        <v>62</v>
      </c>
      <c r="E704">
        <v>2022</v>
      </c>
      <c r="F704" t="s">
        <v>9</v>
      </c>
    </row>
    <row r="705" spans="1:6" x14ac:dyDescent="0.25">
      <c r="A705" t="s">
        <v>10</v>
      </c>
      <c r="B705" t="s">
        <v>11</v>
      </c>
      <c r="C705" t="s">
        <v>62</v>
      </c>
      <c r="E705">
        <v>2022</v>
      </c>
      <c r="F705" t="s">
        <v>9</v>
      </c>
    </row>
    <row r="706" spans="1:6" x14ac:dyDescent="0.25">
      <c r="A706" t="s">
        <v>12</v>
      </c>
      <c r="B706" t="s">
        <v>13</v>
      </c>
      <c r="C706" t="s">
        <v>62</v>
      </c>
      <c r="E706">
        <v>2022</v>
      </c>
      <c r="F706" t="s">
        <v>9</v>
      </c>
    </row>
    <row r="707" spans="1:6" x14ac:dyDescent="0.25">
      <c r="A707" t="s">
        <v>14</v>
      </c>
      <c r="B707" t="s">
        <v>15</v>
      </c>
      <c r="C707" t="s">
        <v>62</v>
      </c>
      <c r="E707">
        <v>2022</v>
      </c>
      <c r="F707" t="s">
        <v>9</v>
      </c>
    </row>
    <row r="708" spans="1:6" x14ac:dyDescent="0.25">
      <c r="A708" t="s">
        <v>16</v>
      </c>
      <c r="B708" t="s">
        <v>17</v>
      </c>
      <c r="C708" t="s">
        <v>62</v>
      </c>
      <c r="E708">
        <v>2022</v>
      </c>
      <c r="F708" t="s">
        <v>9</v>
      </c>
    </row>
    <row r="709" spans="1:6" x14ac:dyDescent="0.25">
      <c r="A709" t="s">
        <v>18</v>
      </c>
      <c r="B709" t="s">
        <v>19</v>
      </c>
      <c r="C709" t="s">
        <v>62</v>
      </c>
      <c r="E709">
        <v>2022</v>
      </c>
      <c r="F709" t="s">
        <v>9</v>
      </c>
    </row>
    <row r="710" spans="1:6" x14ac:dyDescent="0.25">
      <c r="A710" t="s">
        <v>20</v>
      </c>
      <c r="B710" t="s">
        <v>21</v>
      </c>
      <c r="C710" t="s">
        <v>62</v>
      </c>
      <c r="E710">
        <v>2022</v>
      </c>
      <c r="F710" t="s">
        <v>9</v>
      </c>
    </row>
    <row r="711" spans="1:6" x14ac:dyDescent="0.25">
      <c r="A711" t="s">
        <v>22</v>
      </c>
      <c r="B711" t="s">
        <v>23</v>
      </c>
      <c r="C711" t="s">
        <v>62</v>
      </c>
      <c r="E711">
        <v>2022</v>
      </c>
      <c r="F711" t="s">
        <v>9</v>
      </c>
    </row>
    <row r="712" spans="1:6" x14ac:dyDescent="0.25">
      <c r="A712" t="s">
        <v>24</v>
      </c>
      <c r="B712" t="s">
        <v>25</v>
      </c>
      <c r="C712" t="s">
        <v>62</v>
      </c>
      <c r="E712">
        <v>2022</v>
      </c>
      <c r="F712" t="s">
        <v>9</v>
      </c>
    </row>
    <row r="713" spans="1:6" x14ac:dyDescent="0.25">
      <c r="A713" t="s">
        <v>26</v>
      </c>
      <c r="B713" t="s">
        <v>27</v>
      </c>
      <c r="C713" t="s">
        <v>62</v>
      </c>
      <c r="E713">
        <v>2022</v>
      </c>
      <c r="F713" t="s">
        <v>9</v>
      </c>
    </row>
    <row r="714" spans="1:6" x14ac:dyDescent="0.25">
      <c r="A714" t="s">
        <v>28</v>
      </c>
      <c r="B714" t="s">
        <v>29</v>
      </c>
      <c r="C714" t="s">
        <v>62</v>
      </c>
      <c r="E714">
        <v>2022</v>
      </c>
      <c r="F714" t="s">
        <v>9</v>
      </c>
    </row>
    <row r="715" spans="1:6" x14ac:dyDescent="0.25">
      <c r="A715" t="s">
        <v>30</v>
      </c>
      <c r="B715" t="s">
        <v>31</v>
      </c>
      <c r="C715" t="s">
        <v>62</v>
      </c>
      <c r="E715">
        <v>2022</v>
      </c>
      <c r="F715" t="s">
        <v>9</v>
      </c>
    </row>
    <row r="716" spans="1:6" x14ac:dyDescent="0.25">
      <c r="A716" t="s">
        <v>32</v>
      </c>
      <c r="B716" t="s">
        <v>33</v>
      </c>
      <c r="C716" t="s">
        <v>62</v>
      </c>
      <c r="E716">
        <v>2022</v>
      </c>
      <c r="F716" t="s">
        <v>9</v>
      </c>
    </row>
    <row r="717" spans="1:6" x14ac:dyDescent="0.25">
      <c r="A717" t="s">
        <v>34</v>
      </c>
      <c r="B717" t="s">
        <v>35</v>
      </c>
      <c r="C717" t="s">
        <v>62</v>
      </c>
      <c r="E717">
        <v>2022</v>
      </c>
      <c r="F717" t="s">
        <v>9</v>
      </c>
    </row>
    <row r="718" spans="1:6" x14ac:dyDescent="0.25">
      <c r="A718" t="s">
        <v>36</v>
      </c>
      <c r="B718" t="s">
        <v>37</v>
      </c>
      <c r="C718" t="s">
        <v>62</v>
      </c>
      <c r="E718">
        <v>2022</v>
      </c>
      <c r="F718" t="s">
        <v>9</v>
      </c>
    </row>
    <row r="719" spans="1:6" x14ac:dyDescent="0.25">
      <c r="A719" t="s">
        <v>38</v>
      </c>
      <c r="B719" t="s">
        <v>39</v>
      </c>
      <c r="C719" t="s">
        <v>62</v>
      </c>
      <c r="E719">
        <v>2022</v>
      </c>
      <c r="F719" t="s">
        <v>9</v>
      </c>
    </row>
    <row r="720" spans="1:6" x14ac:dyDescent="0.25">
      <c r="A720" t="s">
        <v>40</v>
      </c>
      <c r="B720" t="s">
        <v>41</v>
      </c>
      <c r="C720" t="s">
        <v>62</v>
      </c>
      <c r="E720">
        <v>2022</v>
      </c>
      <c r="F720" t="s">
        <v>9</v>
      </c>
    </row>
    <row r="721" spans="1:6" x14ac:dyDescent="0.25">
      <c r="A721" t="s">
        <v>42</v>
      </c>
      <c r="B721" t="s">
        <v>43</v>
      </c>
      <c r="C721" t="s">
        <v>62</v>
      </c>
      <c r="E721">
        <v>2022</v>
      </c>
      <c r="F721" t="s">
        <v>9</v>
      </c>
    </row>
    <row r="722" spans="1:6" x14ac:dyDescent="0.25">
      <c r="A722" t="s">
        <v>44</v>
      </c>
      <c r="B722" t="s">
        <v>45</v>
      </c>
      <c r="C722" t="s">
        <v>62</v>
      </c>
      <c r="E722">
        <v>2022</v>
      </c>
      <c r="F722" t="s">
        <v>9</v>
      </c>
    </row>
    <row r="723" spans="1:6" x14ac:dyDescent="0.25">
      <c r="A723" t="s">
        <v>46</v>
      </c>
      <c r="B723" t="s">
        <v>47</v>
      </c>
      <c r="C723" t="s">
        <v>62</v>
      </c>
      <c r="E723">
        <v>2022</v>
      </c>
      <c r="F723" t="s">
        <v>9</v>
      </c>
    </row>
    <row r="724" spans="1:6" x14ac:dyDescent="0.25">
      <c r="A724" t="s">
        <v>48</v>
      </c>
      <c r="B724" t="s">
        <v>49</v>
      </c>
      <c r="C724" t="s">
        <v>62</v>
      </c>
      <c r="E724">
        <v>2022</v>
      </c>
      <c r="F724" t="s">
        <v>9</v>
      </c>
    </row>
    <row r="725" spans="1:6" x14ac:dyDescent="0.25">
      <c r="A725" t="s">
        <v>50</v>
      </c>
      <c r="B725" t="s">
        <v>51</v>
      </c>
      <c r="C725" t="s">
        <v>62</v>
      </c>
      <c r="E725">
        <v>2022</v>
      </c>
      <c r="F725" t="s">
        <v>9</v>
      </c>
    </row>
    <row r="726" spans="1:6" x14ac:dyDescent="0.25">
      <c r="A726" t="s">
        <v>52</v>
      </c>
      <c r="B726" t="s">
        <v>53</v>
      </c>
      <c r="C726" t="s">
        <v>62</v>
      </c>
      <c r="E726">
        <v>2022</v>
      </c>
      <c r="F726" t="s">
        <v>9</v>
      </c>
    </row>
    <row r="727" spans="1:6" x14ac:dyDescent="0.25">
      <c r="A727" t="s">
        <v>54</v>
      </c>
      <c r="B727" t="s">
        <v>55</v>
      </c>
      <c r="C727" t="s">
        <v>62</v>
      </c>
      <c r="E727">
        <v>2022</v>
      </c>
      <c r="F727" t="s">
        <v>9</v>
      </c>
    </row>
    <row r="728" spans="1:6" x14ac:dyDescent="0.25">
      <c r="A728" t="s">
        <v>56</v>
      </c>
      <c r="B728" t="s">
        <v>57</v>
      </c>
      <c r="C728" t="s">
        <v>62</v>
      </c>
      <c r="E728">
        <v>2022</v>
      </c>
      <c r="F728" t="s">
        <v>9</v>
      </c>
    </row>
    <row r="729" spans="1:6" x14ac:dyDescent="0.25">
      <c r="A729" t="s">
        <v>58</v>
      </c>
      <c r="B729" t="s">
        <v>59</v>
      </c>
      <c r="C729" t="s">
        <v>62</v>
      </c>
      <c r="E729">
        <v>2022</v>
      </c>
      <c r="F729" t="s">
        <v>9</v>
      </c>
    </row>
    <row r="730" spans="1:6" x14ac:dyDescent="0.25">
      <c r="A730" t="s">
        <v>6</v>
      </c>
      <c r="B730" t="s">
        <v>7</v>
      </c>
      <c r="C730" t="s">
        <v>63</v>
      </c>
      <c r="D730">
        <v>492983.58</v>
      </c>
      <c r="E730">
        <v>2016</v>
      </c>
      <c r="F730" t="s">
        <v>64</v>
      </c>
    </row>
    <row r="731" spans="1:6" x14ac:dyDescent="0.25">
      <c r="A731" t="s">
        <v>10</v>
      </c>
      <c r="B731" t="s">
        <v>11</v>
      </c>
      <c r="C731" t="s">
        <v>63</v>
      </c>
      <c r="D731">
        <v>132032.41</v>
      </c>
      <c r="E731">
        <v>2016</v>
      </c>
      <c r="F731" t="s">
        <v>64</v>
      </c>
    </row>
    <row r="732" spans="1:6" x14ac:dyDescent="0.25">
      <c r="A732" t="s">
        <v>12</v>
      </c>
      <c r="B732" t="s">
        <v>13</v>
      </c>
      <c r="C732" t="s">
        <v>63</v>
      </c>
      <c r="D732">
        <v>15502.74</v>
      </c>
      <c r="E732">
        <v>2016</v>
      </c>
      <c r="F732" t="s">
        <v>64</v>
      </c>
    </row>
    <row r="733" spans="1:6" x14ac:dyDescent="0.25">
      <c r="A733" t="s">
        <v>14</v>
      </c>
      <c r="B733" t="s">
        <v>15</v>
      </c>
      <c r="C733" t="s">
        <v>63</v>
      </c>
      <c r="D733">
        <v>2544.17</v>
      </c>
      <c r="E733">
        <v>2016</v>
      </c>
      <c r="F733" t="s">
        <v>64</v>
      </c>
    </row>
    <row r="734" spans="1:6" x14ac:dyDescent="0.25">
      <c r="A734" t="s">
        <v>16</v>
      </c>
      <c r="B734" t="s">
        <v>17</v>
      </c>
      <c r="C734" t="s">
        <v>63</v>
      </c>
      <c r="D734">
        <v>7550.45</v>
      </c>
      <c r="E734">
        <v>2016</v>
      </c>
      <c r="F734" t="s">
        <v>64</v>
      </c>
    </row>
    <row r="735" spans="1:6" x14ac:dyDescent="0.25">
      <c r="A735" t="s">
        <v>18</v>
      </c>
      <c r="B735" t="s">
        <v>19</v>
      </c>
      <c r="C735" t="s">
        <v>63</v>
      </c>
      <c r="D735">
        <v>6409.67</v>
      </c>
      <c r="E735">
        <v>2016</v>
      </c>
      <c r="F735" t="s">
        <v>64</v>
      </c>
    </row>
    <row r="736" spans="1:6" x14ac:dyDescent="0.25">
      <c r="A736" t="s">
        <v>20</v>
      </c>
      <c r="B736" t="s">
        <v>21</v>
      </c>
      <c r="C736" t="s">
        <v>63</v>
      </c>
      <c r="D736">
        <v>6740.74</v>
      </c>
      <c r="E736">
        <v>2016</v>
      </c>
      <c r="F736" t="s">
        <v>64</v>
      </c>
    </row>
    <row r="737" spans="1:6" x14ac:dyDescent="0.25">
      <c r="A737" t="s">
        <v>22</v>
      </c>
      <c r="B737" t="s">
        <v>23</v>
      </c>
      <c r="C737" t="s">
        <v>63</v>
      </c>
      <c r="D737">
        <v>3596.46</v>
      </c>
      <c r="E737">
        <v>2016</v>
      </c>
      <c r="F737" t="s">
        <v>64</v>
      </c>
    </row>
    <row r="738" spans="1:6" x14ac:dyDescent="0.25">
      <c r="A738" t="s">
        <v>24</v>
      </c>
      <c r="B738" t="s">
        <v>25</v>
      </c>
      <c r="C738" t="s">
        <v>63</v>
      </c>
      <c r="D738">
        <v>16110.53</v>
      </c>
      <c r="E738">
        <v>2016</v>
      </c>
      <c r="F738" t="s">
        <v>64</v>
      </c>
    </row>
    <row r="739" spans="1:6" x14ac:dyDescent="0.25">
      <c r="A739" t="s">
        <v>26</v>
      </c>
      <c r="B739" t="s">
        <v>27</v>
      </c>
      <c r="C739" t="s">
        <v>63</v>
      </c>
      <c r="D739">
        <v>2075.29</v>
      </c>
      <c r="E739">
        <v>2016</v>
      </c>
      <c r="F739" t="s">
        <v>64</v>
      </c>
    </row>
    <row r="740" spans="1:6" x14ac:dyDescent="0.25">
      <c r="A740" t="s">
        <v>28</v>
      </c>
      <c r="B740" t="s">
        <v>29</v>
      </c>
      <c r="C740" t="s">
        <v>63</v>
      </c>
      <c r="D740">
        <v>40745.64</v>
      </c>
      <c r="E740">
        <v>2016</v>
      </c>
      <c r="F740" t="s">
        <v>64</v>
      </c>
    </row>
    <row r="741" spans="1:6" x14ac:dyDescent="0.25">
      <c r="A741" t="s">
        <v>30</v>
      </c>
      <c r="B741" t="s">
        <v>31</v>
      </c>
      <c r="C741" t="s">
        <v>63</v>
      </c>
      <c r="D741">
        <v>58811.24</v>
      </c>
      <c r="E741">
        <v>2016</v>
      </c>
      <c r="F741" t="s">
        <v>64</v>
      </c>
    </row>
    <row r="742" spans="1:6" x14ac:dyDescent="0.25">
      <c r="A742" t="s">
        <v>32</v>
      </c>
      <c r="B742" t="s">
        <v>33</v>
      </c>
      <c r="C742" t="s">
        <v>63</v>
      </c>
      <c r="D742">
        <v>8859.41</v>
      </c>
      <c r="E742">
        <v>2016</v>
      </c>
      <c r="F742" t="s">
        <v>64</v>
      </c>
    </row>
    <row r="743" spans="1:6" x14ac:dyDescent="0.25">
      <c r="A743" t="s">
        <v>34</v>
      </c>
      <c r="B743" t="s">
        <v>35</v>
      </c>
      <c r="C743" t="s">
        <v>63</v>
      </c>
      <c r="D743">
        <v>18498.21</v>
      </c>
      <c r="E743">
        <v>2016</v>
      </c>
      <c r="F743" t="s">
        <v>64</v>
      </c>
    </row>
    <row r="744" spans="1:6" x14ac:dyDescent="0.25">
      <c r="A744" t="s">
        <v>36</v>
      </c>
      <c r="B744" t="s">
        <v>37</v>
      </c>
      <c r="C744" t="s">
        <v>63</v>
      </c>
      <c r="D744">
        <v>13827.2</v>
      </c>
      <c r="E744">
        <v>2016</v>
      </c>
      <c r="F744" t="s">
        <v>64</v>
      </c>
    </row>
    <row r="745" spans="1:6" x14ac:dyDescent="0.25">
      <c r="A745" t="s">
        <v>38</v>
      </c>
      <c r="B745" t="s">
        <v>39</v>
      </c>
      <c r="C745" t="s">
        <v>63</v>
      </c>
      <c r="D745">
        <v>33151.980000000003</v>
      </c>
      <c r="E745">
        <v>2016</v>
      </c>
      <c r="F745" t="s">
        <v>64</v>
      </c>
    </row>
    <row r="746" spans="1:6" x14ac:dyDescent="0.25">
      <c r="A746" t="s">
        <v>40</v>
      </c>
      <c r="B746" t="s">
        <v>41</v>
      </c>
      <c r="C746" t="s">
        <v>63</v>
      </c>
      <c r="D746">
        <v>12383.62</v>
      </c>
      <c r="E746">
        <v>2016</v>
      </c>
      <c r="F746" t="s">
        <v>64</v>
      </c>
    </row>
    <row r="747" spans="1:6" x14ac:dyDescent="0.25">
      <c r="A747" t="s">
        <v>42</v>
      </c>
      <c r="B747" t="s">
        <v>43</v>
      </c>
      <c r="C747" t="s">
        <v>63</v>
      </c>
      <c r="D747">
        <v>16498.34</v>
      </c>
      <c r="E747">
        <v>2016</v>
      </c>
      <c r="F747" t="s">
        <v>64</v>
      </c>
    </row>
    <row r="748" spans="1:6" x14ac:dyDescent="0.25">
      <c r="A748" t="s">
        <v>44</v>
      </c>
      <c r="B748" t="s">
        <v>45</v>
      </c>
      <c r="C748" t="s">
        <v>63</v>
      </c>
      <c r="D748">
        <v>13359.92</v>
      </c>
      <c r="E748">
        <v>2016</v>
      </c>
      <c r="F748" t="s">
        <v>64</v>
      </c>
    </row>
    <row r="749" spans="1:6" x14ac:dyDescent="0.25">
      <c r="A749" t="s">
        <v>46</v>
      </c>
      <c r="B749" t="s">
        <v>47</v>
      </c>
      <c r="C749" t="s">
        <v>63</v>
      </c>
      <c r="D749">
        <v>17858.2</v>
      </c>
      <c r="E749">
        <v>2016</v>
      </c>
      <c r="F749" t="s">
        <v>64</v>
      </c>
    </row>
    <row r="750" spans="1:6" x14ac:dyDescent="0.25">
      <c r="A750" t="s">
        <v>48</v>
      </c>
      <c r="B750" t="s">
        <v>49</v>
      </c>
      <c r="C750" t="s">
        <v>63</v>
      </c>
      <c r="D750">
        <v>48704.62</v>
      </c>
      <c r="E750">
        <v>2016</v>
      </c>
      <c r="F750" t="s">
        <v>64</v>
      </c>
    </row>
    <row r="751" spans="1:6" x14ac:dyDescent="0.25">
      <c r="A751" t="s">
        <v>50</v>
      </c>
      <c r="B751" t="s">
        <v>51</v>
      </c>
      <c r="C751" t="s">
        <v>63</v>
      </c>
      <c r="D751">
        <v>5630.85</v>
      </c>
      <c r="E751">
        <v>2016</v>
      </c>
      <c r="F751" t="s">
        <v>64</v>
      </c>
    </row>
    <row r="752" spans="1:6" x14ac:dyDescent="0.25">
      <c r="A752" t="s">
        <v>52</v>
      </c>
      <c r="B752" t="s">
        <v>53</v>
      </c>
      <c r="C752" t="s">
        <v>63</v>
      </c>
      <c r="D752">
        <v>4677.4799999999996</v>
      </c>
      <c r="E752">
        <v>2016</v>
      </c>
      <c r="F752" t="s">
        <v>64</v>
      </c>
    </row>
    <row r="753" spans="1:6" x14ac:dyDescent="0.25">
      <c r="A753" t="s">
        <v>54</v>
      </c>
      <c r="B753" t="s">
        <v>55</v>
      </c>
      <c r="C753" t="s">
        <v>63</v>
      </c>
      <c r="D753">
        <v>3324.28</v>
      </c>
      <c r="E753">
        <v>2016</v>
      </c>
      <c r="F753" t="s">
        <v>64</v>
      </c>
    </row>
    <row r="754" spans="1:6" x14ac:dyDescent="0.25">
      <c r="A754" t="s">
        <v>56</v>
      </c>
      <c r="B754" t="s">
        <v>57</v>
      </c>
      <c r="C754" t="s">
        <v>63</v>
      </c>
      <c r="D754">
        <v>4090.13</v>
      </c>
      <c r="E754">
        <v>2016</v>
      </c>
      <c r="F754" t="s">
        <v>64</v>
      </c>
    </row>
    <row r="755" spans="1:6" x14ac:dyDescent="0.25">
      <c r="A755" t="s">
        <v>58</v>
      </c>
      <c r="B755" t="s">
        <v>59</v>
      </c>
      <c r="C755" t="s">
        <v>63</v>
      </c>
      <c r="E755">
        <v>2016</v>
      </c>
      <c r="F755" t="s">
        <v>64</v>
      </c>
    </row>
    <row r="756" spans="1:6" x14ac:dyDescent="0.25">
      <c r="A756" t="s">
        <v>6</v>
      </c>
      <c r="B756" t="s">
        <v>7</v>
      </c>
      <c r="C756" t="s">
        <v>8</v>
      </c>
      <c r="D756">
        <v>42375.76</v>
      </c>
      <c r="E756">
        <v>2016</v>
      </c>
      <c r="F756" t="s">
        <v>64</v>
      </c>
    </row>
    <row r="757" spans="1:6" x14ac:dyDescent="0.25">
      <c r="A757" t="s">
        <v>10</v>
      </c>
      <c r="B757" t="s">
        <v>11</v>
      </c>
      <c r="C757" t="s">
        <v>8</v>
      </c>
      <c r="D757">
        <v>15325.54</v>
      </c>
      <c r="E757">
        <v>2016</v>
      </c>
      <c r="F757" t="s">
        <v>64</v>
      </c>
    </row>
    <row r="758" spans="1:6" x14ac:dyDescent="0.25">
      <c r="A758" t="s">
        <v>12</v>
      </c>
      <c r="B758" t="s">
        <v>13</v>
      </c>
      <c r="C758" t="s">
        <v>8</v>
      </c>
      <c r="D758">
        <v>3828.27</v>
      </c>
      <c r="E758">
        <v>2016</v>
      </c>
      <c r="F758" t="s">
        <v>64</v>
      </c>
    </row>
    <row r="759" spans="1:6" x14ac:dyDescent="0.25">
      <c r="A759" t="s">
        <v>14</v>
      </c>
      <c r="B759" t="s">
        <v>15</v>
      </c>
      <c r="C759" t="s">
        <v>8</v>
      </c>
      <c r="E759">
        <v>2016</v>
      </c>
      <c r="F759" t="s">
        <v>64</v>
      </c>
    </row>
    <row r="760" spans="1:6" x14ac:dyDescent="0.25">
      <c r="A760" t="s">
        <v>16</v>
      </c>
      <c r="B760" t="s">
        <v>17</v>
      </c>
      <c r="C760" t="s">
        <v>8</v>
      </c>
      <c r="D760">
        <v>192.08</v>
      </c>
      <c r="E760">
        <v>2016</v>
      </c>
      <c r="F760" t="s">
        <v>64</v>
      </c>
    </row>
    <row r="761" spans="1:6" x14ac:dyDescent="0.25">
      <c r="A761" t="s">
        <v>18</v>
      </c>
      <c r="B761" t="s">
        <v>19</v>
      </c>
      <c r="C761" t="s">
        <v>8</v>
      </c>
      <c r="D761">
        <v>225.63</v>
      </c>
      <c r="E761">
        <v>2016</v>
      </c>
      <c r="F761" t="s">
        <v>64</v>
      </c>
    </row>
    <row r="762" spans="1:6" x14ac:dyDescent="0.25">
      <c r="A762" t="s">
        <v>20</v>
      </c>
      <c r="B762" t="s">
        <v>21</v>
      </c>
      <c r="C762" t="s">
        <v>8</v>
      </c>
      <c r="D762">
        <v>139.30000000000001</v>
      </c>
      <c r="E762">
        <v>2016</v>
      </c>
      <c r="F762" t="s">
        <v>64</v>
      </c>
    </row>
    <row r="763" spans="1:6" x14ac:dyDescent="0.25">
      <c r="A763" t="s">
        <v>22</v>
      </c>
      <c r="B763" t="s">
        <v>23</v>
      </c>
      <c r="C763" t="s">
        <v>8</v>
      </c>
      <c r="D763">
        <v>2404.81</v>
      </c>
      <c r="E763">
        <v>2016</v>
      </c>
      <c r="F763" t="s">
        <v>64</v>
      </c>
    </row>
    <row r="764" spans="1:6" x14ac:dyDescent="0.25">
      <c r="A764" t="s">
        <v>24</v>
      </c>
      <c r="B764" t="s">
        <v>25</v>
      </c>
      <c r="C764" t="s">
        <v>8</v>
      </c>
      <c r="D764">
        <v>3162.19</v>
      </c>
      <c r="E764">
        <v>2016</v>
      </c>
      <c r="F764" t="s">
        <v>64</v>
      </c>
    </row>
    <row r="765" spans="1:6" x14ac:dyDescent="0.25">
      <c r="A765" t="s">
        <v>26</v>
      </c>
      <c r="B765" t="s">
        <v>27</v>
      </c>
      <c r="C765" t="s">
        <v>8</v>
      </c>
      <c r="D765">
        <v>325.5</v>
      </c>
      <c r="E765">
        <v>2016</v>
      </c>
      <c r="F765" t="s">
        <v>64</v>
      </c>
    </row>
    <row r="766" spans="1:6" x14ac:dyDescent="0.25">
      <c r="A766" t="s">
        <v>28</v>
      </c>
      <c r="B766" t="s">
        <v>29</v>
      </c>
      <c r="C766" t="s">
        <v>8</v>
      </c>
      <c r="E766">
        <v>2016</v>
      </c>
      <c r="F766" t="s">
        <v>64</v>
      </c>
    </row>
    <row r="767" spans="1:6" x14ac:dyDescent="0.25">
      <c r="A767" t="s">
        <v>30</v>
      </c>
      <c r="B767" t="s">
        <v>31</v>
      </c>
      <c r="C767" t="s">
        <v>8</v>
      </c>
      <c r="D767">
        <v>6160.78</v>
      </c>
      <c r="E767">
        <v>2016</v>
      </c>
      <c r="F767" t="s">
        <v>64</v>
      </c>
    </row>
    <row r="768" spans="1:6" x14ac:dyDescent="0.25">
      <c r="A768" t="s">
        <v>32</v>
      </c>
      <c r="B768" t="s">
        <v>33</v>
      </c>
      <c r="C768" t="s">
        <v>8</v>
      </c>
      <c r="D768">
        <v>663.4</v>
      </c>
      <c r="E768">
        <v>2016</v>
      </c>
      <c r="F768" t="s">
        <v>64</v>
      </c>
    </row>
    <row r="769" spans="1:6" x14ac:dyDescent="0.25">
      <c r="A769" t="s">
        <v>34</v>
      </c>
      <c r="B769" t="s">
        <v>35</v>
      </c>
      <c r="C769" t="s">
        <v>8</v>
      </c>
      <c r="D769">
        <v>1920.29</v>
      </c>
      <c r="E769">
        <v>2016</v>
      </c>
      <c r="F769" t="s">
        <v>64</v>
      </c>
    </row>
    <row r="770" spans="1:6" x14ac:dyDescent="0.25">
      <c r="A770" t="s">
        <v>36</v>
      </c>
      <c r="B770" t="s">
        <v>37</v>
      </c>
      <c r="C770" t="s">
        <v>8</v>
      </c>
      <c r="D770">
        <v>1485.23</v>
      </c>
      <c r="E770">
        <v>2016</v>
      </c>
      <c r="F770" t="s">
        <v>64</v>
      </c>
    </row>
    <row r="771" spans="1:6" x14ac:dyDescent="0.25">
      <c r="A771" t="s">
        <v>38</v>
      </c>
      <c r="B771" t="s">
        <v>39</v>
      </c>
      <c r="C771" t="s">
        <v>8</v>
      </c>
      <c r="D771">
        <v>1140.46</v>
      </c>
      <c r="E771">
        <v>2016</v>
      </c>
      <c r="F771" t="s">
        <v>64</v>
      </c>
    </row>
    <row r="772" spans="1:6" x14ac:dyDescent="0.25">
      <c r="A772" t="s">
        <v>40</v>
      </c>
      <c r="B772" t="s">
        <v>41</v>
      </c>
      <c r="C772" t="s">
        <v>8</v>
      </c>
      <c r="D772">
        <v>1565.3</v>
      </c>
      <c r="E772">
        <v>2016</v>
      </c>
      <c r="F772" t="s">
        <v>64</v>
      </c>
    </row>
    <row r="773" spans="1:6" x14ac:dyDescent="0.25">
      <c r="A773" t="s">
        <v>42</v>
      </c>
      <c r="B773" t="s">
        <v>43</v>
      </c>
      <c r="C773" t="s">
        <v>8</v>
      </c>
      <c r="D773">
        <v>31.72</v>
      </c>
      <c r="E773">
        <v>2016</v>
      </c>
      <c r="F773" t="s">
        <v>64</v>
      </c>
    </row>
    <row r="774" spans="1:6" x14ac:dyDescent="0.25">
      <c r="A774" t="s">
        <v>44</v>
      </c>
      <c r="B774" t="s">
        <v>45</v>
      </c>
      <c r="C774" t="s">
        <v>8</v>
      </c>
      <c r="D774">
        <v>583.73</v>
      </c>
      <c r="E774">
        <v>2016</v>
      </c>
      <c r="F774" t="s">
        <v>64</v>
      </c>
    </row>
    <row r="775" spans="1:6" x14ac:dyDescent="0.25">
      <c r="A775" t="s">
        <v>46</v>
      </c>
      <c r="B775" t="s">
        <v>47</v>
      </c>
      <c r="C775" t="s">
        <v>8</v>
      </c>
      <c r="D775">
        <v>837.39</v>
      </c>
      <c r="E775">
        <v>2016</v>
      </c>
      <c r="F775" t="s">
        <v>64</v>
      </c>
    </row>
    <row r="776" spans="1:6" x14ac:dyDescent="0.25">
      <c r="A776" t="s">
        <v>48</v>
      </c>
      <c r="B776" t="s">
        <v>49</v>
      </c>
      <c r="C776" t="s">
        <v>8</v>
      </c>
      <c r="D776">
        <v>76.040000000000006</v>
      </c>
      <c r="E776">
        <v>2016</v>
      </c>
      <c r="F776" t="s">
        <v>64</v>
      </c>
    </row>
    <row r="777" spans="1:6" x14ac:dyDescent="0.25">
      <c r="A777" t="s">
        <v>50</v>
      </c>
      <c r="B777" t="s">
        <v>51</v>
      </c>
      <c r="C777" t="s">
        <v>8</v>
      </c>
      <c r="D777">
        <v>37.21</v>
      </c>
      <c r="E777">
        <v>2016</v>
      </c>
      <c r="F777" t="s">
        <v>64</v>
      </c>
    </row>
    <row r="778" spans="1:6" x14ac:dyDescent="0.25">
      <c r="A778" t="s">
        <v>52</v>
      </c>
      <c r="B778" t="s">
        <v>53</v>
      </c>
      <c r="C778" t="s">
        <v>8</v>
      </c>
      <c r="D778">
        <v>257.95</v>
      </c>
      <c r="E778">
        <v>2016</v>
      </c>
      <c r="F778" t="s">
        <v>64</v>
      </c>
    </row>
    <row r="779" spans="1:6" x14ac:dyDescent="0.25">
      <c r="A779" t="s">
        <v>54</v>
      </c>
      <c r="B779" t="s">
        <v>55</v>
      </c>
      <c r="C779" t="s">
        <v>8</v>
      </c>
      <c r="D779">
        <v>60.15</v>
      </c>
      <c r="E779">
        <v>2016</v>
      </c>
      <c r="F779" t="s">
        <v>64</v>
      </c>
    </row>
    <row r="780" spans="1:6" x14ac:dyDescent="0.25">
      <c r="A780" t="s">
        <v>56</v>
      </c>
      <c r="B780" t="s">
        <v>57</v>
      </c>
      <c r="C780" t="s">
        <v>8</v>
      </c>
      <c r="D780">
        <v>614.66999999999996</v>
      </c>
      <c r="E780">
        <v>2016</v>
      </c>
      <c r="F780" t="s">
        <v>64</v>
      </c>
    </row>
    <row r="781" spans="1:6" x14ac:dyDescent="0.25">
      <c r="A781" t="s">
        <v>58</v>
      </c>
      <c r="B781" t="s">
        <v>59</v>
      </c>
      <c r="C781" t="s">
        <v>8</v>
      </c>
      <c r="D781">
        <v>1338.12</v>
      </c>
      <c r="E781">
        <v>2016</v>
      </c>
      <c r="F781" t="s">
        <v>64</v>
      </c>
    </row>
    <row r="782" spans="1:6" x14ac:dyDescent="0.25">
      <c r="A782" t="s">
        <v>6</v>
      </c>
      <c r="B782" t="s">
        <v>7</v>
      </c>
      <c r="C782" t="s">
        <v>60</v>
      </c>
      <c r="D782">
        <v>43606.68</v>
      </c>
      <c r="E782">
        <v>2016</v>
      </c>
      <c r="F782" t="s">
        <v>64</v>
      </c>
    </row>
    <row r="783" spans="1:6" x14ac:dyDescent="0.25">
      <c r="A783" t="s">
        <v>10</v>
      </c>
      <c r="B783" t="s">
        <v>11</v>
      </c>
      <c r="C783" t="s">
        <v>60</v>
      </c>
      <c r="D783">
        <v>11427.44</v>
      </c>
      <c r="E783">
        <v>2016</v>
      </c>
      <c r="F783" t="s">
        <v>64</v>
      </c>
    </row>
    <row r="784" spans="1:6" x14ac:dyDescent="0.25">
      <c r="A784" t="s">
        <v>12</v>
      </c>
      <c r="B784" t="s">
        <v>13</v>
      </c>
      <c r="C784" t="s">
        <v>60</v>
      </c>
      <c r="D784">
        <v>1286.7</v>
      </c>
      <c r="E784">
        <v>2016</v>
      </c>
      <c r="F784" t="s">
        <v>64</v>
      </c>
    </row>
    <row r="785" spans="1:6" x14ac:dyDescent="0.25">
      <c r="A785" t="s">
        <v>14</v>
      </c>
      <c r="B785" t="s">
        <v>15</v>
      </c>
      <c r="C785" t="s">
        <v>60</v>
      </c>
      <c r="E785">
        <v>2016</v>
      </c>
      <c r="F785" t="s">
        <v>64</v>
      </c>
    </row>
    <row r="786" spans="1:6" x14ac:dyDescent="0.25">
      <c r="A786" t="s">
        <v>16</v>
      </c>
      <c r="B786" t="s">
        <v>17</v>
      </c>
      <c r="C786" t="s">
        <v>60</v>
      </c>
      <c r="D786">
        <v>846.98</v>
      </c>
      <c r="E786">
        <v>2016</v>
      </c>
      <c r="F786" t="s">
        <v>64</v>
      </c>
    </row>
    <row r="787" spans="1:6" x14ac:dyDescent="0.25">
      <c r="A787" t="s">
        <v>18</v>
      </c>
      <c r="B787" t="s">
        <v>19</v>
      </c>
      <c r="C787" t="s">
        <v>60</v>
      </c>
      <c r="D787">
        <v>1303.99</v>
      </c>
      <c r="E787">
        <v>2016</v>
      </c>
      <c r="F787" t="s">
        <v>64</v>
      </c>
    </row>
    <row r="788" spans="1:6" x14ac:dyDescent="0.25">
      <c r="A788" t="s">
        <v>20</v>
      </c>
      <c r="B788" t="s">
        <v>21</v>
      </c>
      <c r="C788" t="s">
        <v>60</v>
      </c>
      <c r="D788">
        <v>322.89</v>
      </c>
      <c r="E788">
        <v>2016</v>
      </c>
      <c r="F788" t="s">
        <v>64</v>
      </c>
    </row>
    <row r="789" spans="1:6" x14ac:dyDescent="0.25">
      <c r="A789" t="s">
        <v>22</v>
      </c>
      <c r="B789" t="s">
        <v>23</v>
      </c>
      <c r="C789" t="s">
        <v>60</v>
      </c>
      <c r="D789">
        <v>177.9</v>
      </c>
      <c r="E789">
        <v>2016</v>
      </c>
      <c r="F789" t="s">
        <v>64</v>
      </c>
    </row>
    <row r="790" spans="1:6" x14ac:dyDescent="0.25">
      <c r="A790" t="s">
        <v>24</v>
      </c>
      <c r="B790" t="s">
        <v>25</v>
      </c>
      <c r="C790" t="s">
        <v>60</v>
      </c>
      <c r="D790">
        <v>1487.54</v>
      </c>
      <c r="E790">
        <v>2016</v>
      </c>
      <c r="F790" t="s">
        <v>64</v>
      </c>
    </row>
    <row r="791" spans="1:6" x14ac:dyDescent="0.25">
      <c r="A791" t="s">
        <v>26</v>
      </c>
      <c r="B791" t="s">
        <v>27</v>
      </c>
      <c r="C791" t="s">
        <v>60</v>
      </c>
      <c r="D791">
        <v>418.05</v>
      </c>
      <c r="E791">
        <v>2016</v>
      </c>
      <c r="F791" t="s">
        <v>64</v>
      </c>
    </row>
    <row r="792" spans="1:6" x14ac:dyDescent="0.25">
      <c r="A792" t="s">
        <v>28</v>
      </c>
      <c r="B792" t="s">
        <v>29</v>
      </c>
      <c r="C792" t="s">
        <v>60</v>
      </c>
      <c r="D792">
        <v>9900.74</v>
      </c>
      <c r="E792">
        <v>2016</v>
      </c>
      <c r="F792" t="s">
        <v>64</v>
      </c>
    </row>
    <row r="793" spans="1:6" x14ac:dyDescent="0.25">
      <c r="A793" t="s">
        <v>30</v>
      </c>
      <c r="B793" t="s">
        <v>31</v>
      </c>
      <c r="C793" t="s">
        <v>60</v>
      </c>
      <c r="D793">
        <v>4043.08</v>
      </c>
      <c r="E793">
        <v>2016</v>
      </c>
      <c r="F793" t="s">
        <v>64</v>
      </c>
    </row>
    <row r="794" spans="1:6" x14ac:dyDescent="0.25">
      <c r="A794" t="s">
        <v>32</v>
      </c>
      <c r="B794" t="s">
        <v>33</v>
      </c>
      <c r="C794" t="s">
        <v>60</v>
      </c>
      <c r="D794">
        <v>611.78</v>
      </c>
      <c r="E794">
        <v>2016</v>
      </c>
      <c r="F794" t="s">
        <v>64</v>
      </c>
    </row>
    <row r="795" spans="1:6" x14ac:dyDescent="0.25">
      <c r="A795" t="s">
        <v>34</v>
      </c>
      <c r="B795" t="s">
        <v>35</v>
      </c>
      <c r="C795" t="s">
        <v>60</v>
      </c>
      <c r="D795">
        <v>1668.83</v>
      </c>
      <c r="E795">
        <v>2016</v>
      </c>
      <c r="F795" t="s">
        <v>64</v>
      </c>
    </row>
    <row r="796" spans="1:6" x14ac:dyDescent="0.25">
      <c r="A796" t="s">
        <v>36</v>
      </c>
      <c r="B796" t="s">
        <v>37</v>
      </c>
      <c r="C796" t="s">
        <v>60</v>
      </c>
      <c r="D796">
        <v>1768.52</v>
      </c>
      <c r="E796">
        <v>2016</v>
      </c>
      <c r="F796" t="s">
        <v>64</v>
      </c>
    </row>
    <row r="797" spans="1:6" x14ac:dyDescent="0.25">
      <c r="A797" t="s">
        <v>38</v>
      </c>
      <c r="B797" t="s">
        <v>39</v>
      </c>
      <c r="C797" t="s">
        <v>60</v>
      </c>
      <c r="D797">
        <v>2911.42</v>
      </c>
      <c r="E797">
        <v>2016</v>
      </c>
      <c r="F797" t="s">
        <v>64</v>
      </c>
    </row>
    <row r="798" spans="1:6" x14ac:dyDescent="0.25">
      <c r="A798" t="s">
        <v>40</v>
      </c>
      <c r="B798" t="s">
        <v>41</v>
      </c>
      <c r="C798" t="s">
        <v>60</v>
      </c>
      <c r="D798">
        <v>901.84</v>
      </c>
      <c r="E798">
        <v>2016</v>
      </c>
      <c r="F798" t="s">
        <v>64</v>
      </c>
    </row>
    <row r="799" spans="1:6" x14ac:dyDescent="0.25">
      <c r="A799" t="s">
        <v>42</v>
      </c>
      <c r="B799" t="s">
        <v>43</v>
      </c>
      <c r="C799" t="s">
        <v>60</v>
      </c>
      <c r="D799">
        <v>14.03</v>
      </c>
      <c r="E799">
        <v>2016</v>
      </c>
      <c r="F799" t="s">
        <v>64</v>
      </c>
    </row>
    <row r="800" spans="1:6" x14ac:dyDescent="0.25">
      <c r="A800" t="s">
        <v>44</v>
      </c>
      <c r="B800" t="s">
        <v>45</v>
      </c>
      <c r="C800" t="s">
        <v>60</v>
      </c>
      <c r="D800">
        <v>899.63</v>
      </c>
      <c r="E800">
        <v>2016</v>
      </c>
      <c r="F800" t="s">
        <v>64</v>
      </c>
    </row>
    <row r="801" spans="1:6" x14ac:dyDescent="0.25">
      <c r="A801" t="s">
        <v>46</v>
      </c>
      <c r="B801" t="s">
        <v>47</v>
      </c>
      <c r="C801" t="s">
        <v>60</v>
      </c>
      <c r="D801">
        <v>316.33999999999997</v>
      </c>
      <c r="E801">
        <v>2016</v>
      </c>
      <c r="F801" t="s">
        <v>64</v>
      </c>
    </row>
    <row r="802" spans="1:6" x14ac:dyDescent="0.25">
      <c r="A802" t="s">
        <v>48</v>
      </c>
      <c r="B802" t="s">
        <v>49</v>
      </c>
      <c r="C802" t="s">
        <v>60</v>
      </c>
      <c r="D802">
        <v>1049.95</v>
      </c>
      <c r="E802">
        <v>2016</v>
      </c>
      <c r="F802" t="s">
        <v>64</v>
      </c>
    </row>
    <row r="803" spans="1:6" x14ac:dyDescent="0.25">
      <c r="A803" t="s">
        <v>50</v>
      </c>
      <c r="B803" t="s">
        <v>51</v>
      </c>
      <c r="C803" t="s">
        <v>60</v>
      </c>
      <c r="D803">
        <v>531.66999999999996</v>
      </c>
      <c r="E803">
        <v>2016</v>
      </c>
      <c r="F803" t="s">
        <v>64</v>
      </c>
    </row>
    <row r="804" spans="1:6" x14ac:dyDescent="0.25">
      <c r="A804" t="s">
        <v>52</v>
      </c>
      <c r="B804" t="s">
        <v>53</v>
      </c>
      <c r="C804" t="s">
        <v>60</v>
      </c>
      <c r="D804">
        <v>355.76</v>
      </c>
      <c r="E804">
        <v>2016</v>
      </c>
      <c r="F804" t="s">
        <v>64</v>
      </c>
    </row>
    <row r="805" spans="1:6" x14ac:dyDescent="0.25">
      <c r="A805" t="s">
        <v>54</v>
      </c>
      <c r="B805" t="s">
        <v>55</v>
      </c>
      <c r="C805" t="s">
        <v>60</v>
      </c>
      <c r="D805">
        <v>1361.6</v>
      </c>
      <c r="E805">
        <v>2016</v>
      </c>
      <c r="F805" t="s">
        <v>64</v>
      </c>
    </row>
    <row r="806" spans="1:6" x14ac:dyDescent="0.25">
      <c r="A806" t="s">
        <v>56</v>
      </c>
      <c r="B806" t="s">
        <v>57</v>
      </c>
      <c r="C806" t="s">
        <v>60</v>
      </c>
      <c r="E806">
        <v>2016</v>
      </c>
      <c r="F806" t="s">
        <v>64</v>
      </c>
    </row>
    <row r="807" spans="1:6" x14ac:dyDescent="0.25">
      <c r="A807" t="s">
        <v>58</v>
      </c>
      <c r="B807" t="s">
        <v>59</v>
      </c>
      <c r="C807" t="s">
        <v>60</v>
      </c>
      <c r="E807">
        <v>2016</v>
      </c>
      <c r="F807" t="s">
        <v>64</v>
      </c>
    </row>
    <row r="808" spans="1:6" x14ac:dyDescent="0.25">
      <c r="A808" t="s">
        <v>6</v>
      </c>
      <c r="B808" t="s">
        <v>7</v>
      </c>
      <c r="C808" t="s">
        <v>61</v>
      </c>
      <c r="D808">
        <v>18299.45</v>
      </c>
      <c r="E808">
        <v>2016</v>
      </c>
      <c r="F808" t="s">
        <v>64</v>
      </c>
    </row>
    <row r="809" spans="1:6" x14ac:dyDescent="0.25">
      <c r="A809" t="s">
        <v>10</v>
      </c>
      <c r="B809" t="s">
        <v>11</v>
      </c>
      <c r="C809" t="s">
        <v>61</v>
      </c>
      <c r="D809">
        <v>9063.8799999999992</v>
      </c>
      <c r="E809">
        <v>2016</v>
      </c>
      <c r="F809" t="s">
        <v>64</v>
      </c>
    </row>
    <row r="810" spans="1:6" x14ac:dyDescent="0.25">
      <c r="A810" t="s">
        <v>12</v>
      </c>
      <c r="B810" t="s">
        <v>13</v>
      </c>
      <c r="C810" t="s">
        <v>61</v>
      </c>
      <c r="D810">
        <v>778.2</v>
      </c>
      <c r="E810">
        <v>2016</v>
      </c>
      <c r="F810" t="s">
        <v>64</v>
      </c>
    </row>
    <row r="811" spans="1:6" x14ac:dyDescent="0.25">
      <c r="A811" t="s">
        <v>14</v>
      </c>
      <c r="B811" t="s">
        <v>15</v>
      </c>
      <c r="C811" t="s">
        <v>61</v>
      </c>
      <c r="D811">
        <v>29.29</v>
      </c>
      <c r="E811">
        <v>2016</v>
      </c>
      <c r="F811" t="s">
        <v>64</v>
      </c>
    </row>
    <row r="812" spans="1:6" x14ac:dyDescent="0.25">
      <c r="A812" t="s">
        <v>16</v>
      </c>
      <c r="B812" t="s">
        <v>17</v>
      </c>
      <c r="C812" t="s">
        <v>61</v>
      </c>
      <c r="D812">
        <v>313.27999999999997</v>
      </c>
      <c r="E812">
        <v>2016</v>
      </c>
      <c r="F812" t="s">
        <v>64</v>
      </c>
    </row>
    <row r="813" spans="1:6" x14ac:dyDescent="0.25">
      <c r="A813" t="s">
        <v>18</v>
      </c>
      <c r="B813" t="s">
        <v>19</v>
      </c>
      <c r="C813" t="s">
        <v>61</v>
      </c>
      <c r="D813">
        <v>297.64</v>
      </c>
      <c r="E813">
        <v>2016</v>
      </c>
      <c r="F813" t="s">
        <v>64</v>
      </c>
    </row>
    <row r="814" spans="1:6" x14ac:dyDescent="0.25">
      <c r="A814" t="s">
        <v>20</v>
      </c>
      <c r="B814" t="s">
        <v>21</v>
      </c>
      <c r="C814" t="s">
        <v>61</v>
      </c>
      <c r="D814">
        <v>87.24</v>
      </c>
      <c r="E814">
        <v>2016</v>
      </c>
      <c r="F814" t="s">
        <v>64</v>
      </c>
    </row>
    <row r="815" spans="1:6" x14ac:dyDescent="0.25">
      <c r="A815" t="s">
        <v>22</v>
      </c>
      <c r="B815" t="s">
        <v>23</v>
      </c>
      <c r="C815" t="s">
        <v>61</v>
      </c>
      <c r="D815">
        <v>355.01</v>
      </c>
      <c r="E815">
        <v>2016</v>
      </c>
      <c r="F815" t="s">
        <v>64</v>
      </c>
    </row>
    <row r="816" spans="1:6" x14ac:dyDescent="0.25">
      <c r="A816" t="s">
        <v>24</v>
      </c>
      <c r="B816" t="s">
        <v>25</v>
      </c>
      <c r="C816" t="s">
        <v>61</v>
      </c>
      <c r="D816">
        <v>1014.23</v>
      </c>
      <c r="E816">
        <v>2016</v>
      </c>
      <c r="F816" t="s">
        <v>64</v>
      </c>
    </row>
    <row r="817" spans="1:6" x14ac:dyDescent="0.25">
      <c r="A817" t="s">
        <v>26</v>
      </c>
      <c r="B817" t="s">
        <v>27</v>
      </c>
      <c r="C817" t="s">
        <v>61</v>
      </c>
      <c r="D817">
        <v>166.53</v>
      </c>
      <c r="E817">
        <v>2016</v>
      </c>
      <c r="F817" t="s">
        <v>64</v>
      </c>
    </row>
    <row r="818" spans="1:6" x14ac:dyDescent="0.25">
      <c r="A818" t="s">
        <v>28</v>
      </c>
      <c r="B818" t="s">
        <v>29</v>
      </c>
      <c r="C818" t="s">
        <v>61</v>
      </c>
      <c r="D818">
        <v>109.36</v>
      </c>
      <c r="E818">
        <v>2016</v>
      </c>
      <c r="F818" t="s">
        <v>64</v>
      </c>
    </row>
    <row r="819" spans="1:6" x14ac:dyDescent="0.25">
      <c r="A819" t="s">
        <v>30</v>
      </c>
      <c r="B819" t="s">
        <v>31</v>
      </c>
      <c r="C819" t="s">
        <v>61</v>
      </c>
      <c r="D819">
        <v>915.13</v>
      </c>
      <c r="E819">
        <v>2016</v>
      </c>
      <c r="F819" t="s">
        <v>64</v>
      </c>
    </row>
    <row r="820" spans="1:6" x14ac:dyDescent="0.25">
      <c r="A820" t="s">
        <v>32</v>
      </c>
      <c r="B820" t="s">
        <v>33</v>
      </c>
      <c r="C820" t="s">
        <v>61</v>
      </c>
      <c r="D820">
        <v>287.04000000000002</v>
      </c>
      <c r="E820">
        <v>2016</v>
      </c>
      <c r="F820" t="s">
        <v>64</v>
      </c>
    </row>
    <row r="821" spans="1:6" x14ac:dyDescent="0.25">
      <c r="A821" t="s">
        <v>34</v>
      </c>
      <c r="B821" t="s">
        <v>35</v>
      </c>
      <c r="C821" t="s">
        <v>61</v>
      </c>
      <c r="D821">
        <v>936.05</v>
      </c>
      <c r="E821">
        <v>2016</v>
      </c>
      <c r="F821" t="s">
        <v>64</v>
      </c>
    </row>
    <row r="822" spans="1:6" x14ac:dyDescent="0.25">
      <c r="A822" t="s">
        <v>36</v>
      </c>
      <c r="B822" t="s">
        <v>37</v>
      </c>
      <c r="C822" t="s">
        <v>61</v>
      </c>
      <c r="D822">
        <v>868.63</v>
      </c>
      <c r="E822">
        <v>2016</v>
      </c>
      <c r="F822" t="s">
        <v>64</v>
      </c>
    </row>
    <row r="823" spans="1:6" x14ac:dyDescent="0.25">
      <c r="A823" t="s">
        <v>38</v>
      </c>
      <c r="B823" t="s">
        <v>39</v>
      </c>
      <c r="C823" t="s">
        <v>61</v>
      </c>
      <c r="D823">
        <v>843.77</v>
      </c>
      <c r="E823">
        <v>2016</v>
      </c>
      <c r="F823" t="s">
        <v>64</v>
      </c>
    </row>
    <row r="824" spans="1:6" x14ac:dyDescent="0.25">
      <c r="A824" t="s">
        <v>40</v>
      </c>
      <c r="B824" t="s">
        <v>41</v>
      </c>
      <c r="C824" t="s">
        <v>61</v>
      </c>
      <c r="D824">
        <v>393.5</v>
      </c>
      <c r="E824">
        <v>2016</v>
      </c>
      <c r="F824" t="s">
        <v>64</v>
      </c>
    </row>
    <row r="825" spans="1:6" x14ac:dyDescent="0.25">
      <c r="A825" t="s">
        <v>42</v>
      </c>
      <c r="B825" t="s">
        <v>43</v>
      </c>
      <c r="C825" t="s">
        <v>61</v>
      </c>
      <c r="D825">
        <v>188.56</v>
      </c>
      <c r="E825">
        <v>2016</v>
      </c>
      <c r="F825" t="s">
        <v>64</v>
      </c>
    </row>
    <row r="826" spans="1:6" x14ac:dyDescent="0.25">
      <c r="A826" t="s">
        <v>44</v>
      </c>
      <c r="B826" t="s">
        <v>45</v>
      </c>
      <c r="C826" t="s">
        <v>61</v>
      </c>
      <c r="D826">
        <v>403.5</v>
      </c>
      <c r="E826">
        <v>2016</v>
      </c>
      <c r="F826" t="s">
        <v>64</v>
      </c>
    </row>
    <row r="827" spans="1:6" x14ac:dyDescent="0.25">
      <c r="A827" t="s">
        <v>46</v>
      </c>
      <c r="B827" t="s">
        <v>47</v>
      </c>
      <c r="C827" t="s">
        <v>61</v>
      </c>
      <c r="D827">
        <v>62.74</v>
      </c>
      <c r="E827">
        <v>2016</v>
      </c>
      <c r="F827" t="s">
        <v>64</v>
      </c>
    </row>
    <row r="828" spans="1:6" x14ac:dyDescent="0.25">
      <c r="A828" t="s">
        <v>48</v>
      </c>
      <c r="B828" t="s">
        <v>49</v>
      </c>
      <c r="C828" t="s">
        <v>61</v>
      </c>
      <c r="D828">
        <v>561.54999999999995</v>
      </c>
      <c r="E828">
        <v>2016</v>
      </c>
      <c r="F828" t="s">
        <v>64</v>
      </c>
    </row>
    <row r="829" spans="1:6" x14ac:dyDescent="0.25">
      <c r="A829" t="s">
        <v>50</v>
      </c>
      <c r="B829" t="s">
        <v>51</v>
      </c>
      <c r="C829" t="s">
        <v>61</v>
      </c>
      <c r="D829">
        <v>88.11</v>
      </c>
      <c r="E829">
        <v>2016</v>
      </c>
      <c r="F829" t="s">
        <v>64</v>
      </c>
    </row>
    <row r="830" spans="1:6" x14ac:dyDescent="0.25">
      <c r="A830" t="s">
        <v>52</v>
      </c>
      <c r="B830" t="s">
        <v>53</v>
      </c>
      <c r="C830" t="s">
        <v>61</v>
      </c>
      <c r="D830">
        <v>180.98</v>
      </c>
      <c r="E830">
        <v>2016</v>
      </c>
      <c r="F830" t="s">
        <v>64</v>
      </c>
    </row>
    <row r="831" spans="1:6" x14ac:dyDescent="0.25">
      <c r="A831" t="s">
        <v>54</v>
      </c>
      <c r="B831" t="s">
        <v>55</v>
      </c>
      <c r="C831" t="s">
        <v>61</v>
      </c>
      <c r="D831">
        <v>79.680000000000007</v>
      </c>
      <c r="E831">
        <v>2016</v>
      </c>
      <c r="F831" t="s">
        <v>64</v>
      </c>
    </row>
    <row r="832" spans="1:6" x14ac:dyDescent="0.25">
      <c r="A832" t="s">
        <v>56</v>
      </c>
      <c r="B832" t="s">
        <v>57</v>
      </c>
      <c r="C832" t="s">
        <v>61</v>
      </c>
      <c r="D832">
        <v>275.55</v>
      </c>
      <c r="E832">
        <v>2016</v>
      </c>
      <c r="F832" t="s">
        <v>64</v>
      </c>
    </row>
    <row r="833" spans="1:6" x14ac:dyDescent="0.25">
      <c r="A833" t="s">
        <v>58</v>
      </c>
      <c r="B833" t="s">
        <v>59</v>
      </c>
      <c r="C833" t="s">
        <v>61</v>
      </c>
      <c r="E833">
        <v>2016</v>
      </c>
      <c r="F833" t="s">
        <v>64</v>
      </c>
    </row>
    <row r="834" spans="1:6" x14ac:dyDescent="0.25">
      <c r="A834" t="s">
        <v>6</v>
      </c>
      <c r="B834" t="s">
        <v>7</v>
      </c>
      <c r="C834" t="s">
        <v>65</v>
      </c>
      <c r="D834">
        <v>271916.92</v>
      </c>
      <c r="E834">
        <v>2016</v>
      </c>
      <c r="F834" t="s">
        <v>64</v>
      </c>
    </row>
    <row r="835" spans="1:6" x14ac:dyDescent="0.25">
      <c r="A835" t="s">
        <v>10</v>
      </c>
      <c r="B835" t="s">
        <v>11</v>
      </c>
      <c r="C835" t="s">
        <v>65</v>
      </c>
      <c r="D835">
        <v>39244.74</v>
      </c>
      <c r="E835">
        <v>2016</v>
      </c>
      <c r="F835" t="s">
        <v>64</v>
      </c>
    </row>
    <row r="836" spans="1:6" x14ac:dyDescent="0.25">
      <c r="A836" t="s">
        <v>12</v>
      </c>
      <c r="B836" t="s">
        <v>13</v>
      </c>
      <c r="C836" t="s">
        <v>65</v>
      </c>
      <c r="D836">
        <v>11600.96</v>
      </c>
      <c r="E836">
        <v>2016</v>
      </c>
      <c r="F836" t="s">
        <v>64</v>
      </c>
    </row>
    <row r="837" spans="1:6" x14ac:dyDescent="0.25">
      <c r="A837" t="s">
        <v>14</v>
      </c>
      <c r="B837" t="s">
        <v>15</v>
      </c>
      <c r="C837" t="s">
        <v>65</v>
      </c>
      <c r="D837">
        <v>488.77</v>
      </c>
      <c r="E837">
        <v>2016</v>
      </c>
      <c r="F837" t="s">
        <v>64</v>
      </c>
    </row>
    <row r="838" spans="1:6" x14ac:dyDescent="0.25">
      <c r="A838" t="s">
        <v>16</v>
      </c>
      <c r="B838" t="s">
        <v>17</v>
      </c>
      <c r="C838" t="s">
        <v>65</v>
      </c>
      <c r="D838">
        <v>8051.33</v>
      </c>
      <c r="E838">
        <v>2016</v>
      </c>
      <c r="F838" t="s">
        <v>64</v>
      </c>
    </row>
    <row r="839" spans="1:6" x14ac:dyDescent="0.25">
      <c r="A839" t="s">
        <v>18</v>
      </c>
      <c r="B839" t="s">
        <v>19</v>
      </c>
      <c r="C839" t="s">
        <v>65</v>
      </c>
      <c r="D839">
        <v>2392.9899999999998</v>
      </c>
      <c r="E839">
        <v>2016</v>
      </c>
      <c r="F839" t="s">
        <v>64</v>
      </c>
    </row>
    <row r="840" spans="1:6" x14ac:dyDescent="0.25">
      <c r="A840" t="s">
        <v>20</v>
      </c>
      <c r="B840" t="s">
        <v>21</v>
      </c>
      <c r="C840" t="s">
        <v>65</v>
      </c>
      <c r="D840">
        <v>1827.75</v>
      </c>
      <c r="E840">
        <v>2016</v>
      </c>
      <c r="F840" t="s">
        <v>64</v>
      </c>
    </row>
    <row r="841" spans="1:6" x14ac:dyDescent="0.25">
      <c r="A841" t="s">
        <v>22</v>
      </c>
      <c r="B841" t="s">
        <v>23</v>
      </c>
      <c r="C841" t="s">
        <v>65</v>
      </c>
      <c r="D841">
        <v>904.21</v>
      </c>
      <c r="E841">
        <v>2016</v>
      </c>
      <c r="F841" t="s">
        <v>64</v>
      </c>
    </row>
    <row r="842" spans="1:6" x14ac:dyDescent="0.25">
      <c r="A842" t="s">
        <v>24</v>
      </c>
      <c r="B842" t="s">
        <v>25</v>
      </c>
      <c r="C842" t="s">
        <v>65</v>
      </c>
      <c r="D842">
        <v>7663.34</v>
      </c>
      <c r="E842">
        <v>2016</v>
      </c>
      <c r="F842" t="s">
        <v>64</v>
      </c>
    </row>
    <row r="843" spans="1:6" x14ac:dyDescent="0.25">
      <c r="A843" t="s">
        <v>26</v>
      </c>
      <c r="B843" t="s">
        <v>27</v>
      </c>
      <c r="C843" t="s">
        <v>65</v>
      </c>
      <c r="D843">
        <v>585.97</v>
      </c>
      <c r="E843">
        <v>2016</v>
      </c>
      <c r="F843" t="s">
        <v>64</v>
      </c>
    </row>
    <row r="844" spans="1:6" x14ac:dyDescent="0.25">
      <c r="A844" t="s">
        <v>28</v>
      </c>
      <c r="B844" t="s">
        <v>29</v>
      </c>
      <c r="C844" t="s">
        <v>65</v>
      </c>
      <c r="D844">
        <v>16568.169999999998</v>
      </c>
      <c r="E844">
        <v>2016</v>
      </c>
      <c r="F844" t="s">
        <v>64</v>
      </c>
    </row>
    <row r="845" spans="1:6" x14ac:dyDescent="0.25">
      <c r="A845" t="s">
        <v>30</v>
      </c>
      <c r="B845" t="s">
        <v>31</v>
      </c>
      <c r="C845" t="s">
        <v>65</v>
      </c>
      <c r="D845">
        <v>28131.18</v>
      </c>
      <c r="E845">
        <v>2016</v>
      </c>
      <c r="F845" t="s">
        <v>64</v>
      </c>
    </row>
    <row r="846" spans="1:6" x14ac:dyDescent="0.25">
      <c r="A846" t="s">
        <v>32</v>
      </c>
      <c r="B846" t="s">
        <v>33</v>
      </c>
      <c r="C846" t="s">
        <v>65</v>
      </c>
      <c r="D846">
        <v>888.85</v>
      </c>
      <c r="E846">
        <v>2016</v>
      </c>
      <c r="F846" t="s">
        <v>64</v>
      </c>
    </row>
    <row r="847" spans="1:6" x14ac:dyDescent="0.25">
      <c r="A847" t="s">
        <v>34</v>
      </c>
      <c r="B847" t="s">
        <v>35</v>
      </c>
      <c r="C847" t="s">
        <v>65</v>
      </c>
      <c r="D847">
        <v>11674.62</v>
      </c>
      <c r="E847">
        <v>2016</v>
      </c>
      <c r="F847" t="s">
        <v>64</v>
      </c>
    </row>
    <row r="848" spans="1:6" x14ac:dyDescent="0.25">
      <c r="A848" t="s">
        <v>36</v>
      </c>
      <c r="B848" t="s">
        <v>37</v>
      </c>
      <c r="C848" t="s">
        <v>65</v>
      </c>
      <c r="D848">
        <v>12845.3</v>
      </c>
      <c r="E848">
        <v>2016</v>
      </c>
      <c r="F848" t="s">
        <v>64</v>
      </c>
    </row>
    <row r="849" spans="1:6" x14ac:dyDescent="0.25">
      <c r="A849" t="s">
        <v>38</v>
      </c>
      <c r="B849" t="s">
        <v>39</v>
      </c>
      <c r="C849" t="s">
        <v>65</v>
      </c>
      <c r="D849">
        <v>19622.68</v>
      </c>
      <c r="E849">
        <v>2016</v>
      </c>
      <c r="F849" t="s">
        <v>64</v>
      </c>
    </row>
    <row r="850" spans="1:6" x14ac:dyDescent="0.25">
      <c r="A850" t="s">
        <v>40</v>
      </c>
      <c r="B850" t="s">
        <v>41</v>
      </c>
      <c r="C850" t="s">
        <v>65</v>
      </c>
      <c r="D850">
        <v>12649.2</v>
      </c>
      <c r="E850">
        <v>2016</v>
      </c>
      <c r="F850" t="s">
        <v>64</v>
      </c>
    </row>
    <row r="851" spans="1:6" x14ac:dyDescent="0.25">
      <c r="A851" t="s">
        <v>42</v>
      </c>
      <c r="B851" t="s">
        <v>43</v>
      </c>
      <c r="C851" t="s">
        <v>65</v>
      </c>
      <c r="D851">
        <v>4298.41</v>
      </c>
      <c r="E851">
        <v>2016</v>
      </c>
      <c r="F851" t="s">
        <v>64</v>
      </c>
    </row>
    <row r="852" spans="1:6" x14ac:dyDescent="0.25">
      <c r="A852" t="s">
        <v>44</v>
      </c>
      <c r="B852" t="s">
        <v>45</v>
      </c>
      <c r="C852" t="s">
        <v>65</v>
      </c>
      <c r="D852">
        <v>17210.71</v>
      </c>
      <c r="E852">
        <v>2016</v>
      </c>
      <c r="F852" t="s">
        <v>64</v>
      </c>
    </row>
    <row r="853" spans="1:6" x14ac:dyDescent="0.25">
      <c r="A853" t="s">
        <v>46</v>
      </c>
      <c r="B853" t="s">
        <v>47</v>
      </c>
      <c r="C853" t="s">
        <v>65</v>
      </c>
      <c r="D853">
        <v>23948.44</v>
      </c>
      <c r="E853">
        <v>2016</v>
      </c>
      <c r="F853" t="s">
        <v>64</v>
      </c>
    </row>
    <row r="854" spans="1:6" x14ac:dyDescent="0.25">
      <c r="A854" t="s">
        <v>48</v>
      </c>
      <c r="B854" t="s">
        <v>49</v>
      </c>
      <c r="C854" t="s">
        <v>65</v>
      </c>
      <c r="D854">
        <v>50037.31</v>
      </c>
      <c r="E854">
        <v>2016</v>
      </c>
      <c r="F854" t="s">
        <v>64</v>
      </c>
    </row>
    <row r="855" spans="1:6" x14ac:dyDescent="0.25">
      <c r="A855" t="s">
        <v>50</v>
      </c>
      <c r="B855" t="s">
        <v>51</v>
      </c>
      <c r="C855" t="s">
        <v>65</v>
      </c>
      <c r="D855">
        <v>529.32000000000005</v>
      </c>
      <c r="E855">
        <v>2016</v>
      </c>
      <c r="F855" t="s">
        <v>64</v>
      </c>
    </row>
    <row r="856" spans="1:6" x14ac:dyDescent="0.25">
      <c r="A856" t="s">
        <v>52</v>
      </c>
      <c r="B856" t="s">
        <v>53</v>
      </c>
      <c r="C856" t="s">
        <v>65</v>
      </c>
      <c r="D856">
        <v>428.65</v>
      </c>
      <c r="E856">
        <v>2016</v>
      </c>
      <c r="F856" t="s">
        <v>64</v>
      </c>
    </row>
    <row r="857" spans="1:6" x14ac:dyDescent="0.25">
      <c r="A857" t="s">
        <v>54</v>
      </c>
      <c r="B857" t="s">
        <v>55</v>
      </c>
      <c r="C857" t="s">
        <v>65</v>
      </c>
      <c r="D857">
        <v>324.02</v>
      </c>
      <c r="E857">
        <v>2016</v>
      </c>
      <c r="F857" t="s">
        <v>64</v>
      </c>
    </row>
    <row r="858" spans="1:6" x14ac:dyDescent="0.25">
      <c r="A858" t="s">
        <v>56</v>
      </c>
      <c r="B858" t="s">
        <v>57</v>
      </c>
      <c r="C858" t="s">
        <v>65</v>
      </c>
      <c r="E858">
        <v>2016</v>
      </c>
      <c r="F858" t="s">
        <v>64</v>
      </c>
    </row>
    <row r="859" spans="1:6" x14ac:dyDescent="0.25">
      <c r="A859" t="s">
        <v>58</v>
      </c>
      <c r="B859" t="s">
        <v>59</v>
      </c>
      <c r="C859" t="s">
        <v>65</v>
      </c>
      <c r="E859">
        <v>2016</v>
      </c>
      <c r="F859" t="s">
        <v>64</v>
      </c>
    </row>
    <row r="860" spans="1:6" x14ac:dyDescent="0.25">
      <c r="A860" t="s">
        <v>6</v>
      </c>
      <c r="B860" t="s">
        <v>7</v>
      </c>
      <c r="C860" t="s">
        <v>62</v>
      </c>
      <c r="D860">
        <v>41808.76</v>
      </c>
      <c r="E860">
        <v>2016</v>
      </c>
      <c r="F860" t="s">
        <v>64</v>
      </c>
    </row>
    <row r="861" spans="1:6" x14ac:dyDescent="0.25">
      <c r="A861" t="s">
        <v>10</v>
      </c>
      <c r="B861" t="s">
        <v>11</v>
      </c>
      <c r="C861" t="s">
        <v>62</v>
      </c>
      <c r="D861">
        <v>16112.64</v>
      </c>
      <c r="E861">
        <v>2016</v>
      </c>
      <c r="F861" t="s">
        <v>64</v>
      </c>
    </row>
    <row r="862" spans="1:6" x14ac:dyDescent="0.25">
      <c r="A862" t="s">
        <v>12</v>
      </c>
      <c r="B862" t="s">
        <v>13</v>
      </c>
      <c r="C862" t="s">
        <v>62</v>
      </c>
      <c r="D862">
        <v>2293.42</v>
      </c>
      <c r="E862">
        <v>2016</v>
      </c>
      <c r="F862" t="s">
        <v>64</v>
      </c>
    </row>
    <row r="863" spans="1:6" x14ac:dyDescent="0.25">
      <c r="A863" t="s">
        <v>14</v>
      </c>
      <c r="B863" t="s">
        <v>15</v>
      </c>
      <c r="C863" t="s">
        <v>62</v>
      </c>
      <c r="E863">
        <v>2016</v>
      </c>
      <c r="F863" t="s">
        <v>64</v>
      </c>
    </row>
    <row r="864" spans="1:6" x14ac:dyDescent="0.25">
      <c r="A864" t="s">
        <v>16</v>
      </c>
      <c r="B864" t="s">
        <v>17</v>
      </c>
      <c r="C864" t="s">
        <v>62</v>
      </c>
      <c r="D864">
        <v>1301.8699999999999</v>
      </c>
      <c r="E864">
        <v>2016</v>
      </c>
      <c r="F864" t="s">
        <v>64</v>
      </c>
    </row>
    <row r="865" spans="1:6" x14ac:dyDescent="0.25">
      <c r="A865" t="s">
        <v>18</v>
      </c>
      <c r="B865" t="s">
        <v>19</v>
      </c>
      <c r="C865" t="s">
        <v>62</v>
      </c>
      <c r="D865">
        <v>1283.76</v>
      </c>
      <c r="E865">
        <v>2016</v>
      </c>
      <c r="F865" t="s">
        <v>64</v>
      </c>
    </row>
    <row r="866" spans="1:6" x14ac:dyDescent="0.25">
      <c r="A866" t="s">
        <v>20</v>
      </c>
      <c r="B866" t="s">
        <v>21</v>
      </c>
      <c r="C866" t="s">
        <v>62</v>
      </c>
      <c r="D866">
        <v>272.88</v>
      </c>
      <c r="E866">
        <v>2016</v>
      </c>
      <c r="F866" t="s">
        <v>64</v>
      </c>
    </row>
    <row r="867" spans="1:6" x14ac:dyDescent="0.25">
      <c r="A867" t="s">
        <v>22</v>
      </c>
      <c r="B867" t="s">
        <v>23</v>
      </c>
      <c r="C867" t="s">
        <v>62</v>
      </c>
      <c r="D867">
        <v>214.12</v>
      </c>
      <c r="E867">
        <v>2016</v>
      </c>
      <c r="F867" t="s">
        <v>64</v>
      </c>
    </row>
    <row r="868" spans="1:6" x14ac:dyDescent="0.25">
      <c r="A868" t="s">
        <v>24</v>
      </c>
      <c r="B868" t="s">
        <v>25</v>
      </c>
      <c r="C868" t="s">
        <v>62</v>
      </c>
      <c r="D868">
        <v>1576.68</v>
      </c>
      <c r="E868">
        <v>2016</v>
      </c>
      <c r="F868" t="s">
        <v>64</v>
      </c>
    </row>
    <row r="869" spans="1:6" x14ac:dyDescent="0.25">
      <c r="A869" t="s">
        <v>26</v>
      </c>
      <c r="B869" t="s">
        <v>27</v>
      </c>
      <c r="C869" t="s">
        <v>62</v>
      </c>
      <c r="D869">
        <v>498.55</v>
      </c>
      <c r="E869">
        <v>2016</v>
      </c>
      <c r="F869" t="s">
        <v>64</v>
      </c>
    </row>
    <row r="870" spans="1:6" x14ac:dyDescent="0.25">
      <c r="A870" t="s">
        <v>28</v>
      </c>
      <c r="B870" t="s">
        <v>29</v>
      </c>
      <c r="C870" t="s">
        <v>62</v>
      </c>
      <c r="D870">
        <v>4671.25</v>
      </c>
      <c r="E870">
        <v>2016</v>
      </c>
      <c r="F870" t="s">
        <v>64</v>
      </c>
    </row>
    <row r="871" spans="1:6" x14ac:dyDescent="0.25">
      <c r="A871" t="s">
        <v>30</v>
      </c>
      <c r="B871" t="s">
        <v>31</v>
      </c>
      <c r="C871" t="s">
        <v>62</v>
      </c>
      <c r="D871">
        <v>2402.5700000000002</v>
      </c>
      <c r="E871">
        <v>2016</v>
      </c>
      <c r="F871" t="s">
        <v>64</v>
      </c>
    </row>
    <row r="872" spans="1:6" x14ac:dyDescent="0.25">
      <c r="A872" t="s">
        <v>32</v>
      </c>
      <c r="B872" t="s">
        <v>33</v>
      </c>
      <c r="C872" t="s">
        <v>62</v>
      </c>
      <c r="D872">
        <v>599.35</v>
      </c>
      <c r="E872">
        <v>2016</v>
      </c>
      <c r="F872" t="s">
        <v>64</v>
      </c>
    </row>
    <row r="873" spans="1:6" x14ac:dyDescent="0.25">
      <c r="A873" t="s">
        <v>34</v>
      </c>
      <c r="B873" t="s">
        <v>35</v>
      </c>
      <c r="C873" t="s">
        <v>62</v>
      </c>
      <c r="D873">
        <v>2083.04</v>
      </c>
      <c r="E873">
        <v>2016</v>
      </c>
      <c r="F873" t="s">
        <v>64</v>
      </c>
    </row>
    <row r="874" spans="1:6" x14ac:dyDescent="0.25">
      <c r="A874" t="s">
        <v>36</v>
      </c>
      <c r="B874" t="s">
        <v>37</v>
      </c>
      <c r="C874" t="s">
        <v>62</v>
      </c>
      <c r="D874">
        <v>2339.16</v>
      </c>
      <c r="E874">
        <v>2016</v>
      </c>
      <c r="F874" t="s">
        <v>64</v>
      </c>
    </row>
    <row r="875" spans="1:6" x14ac:dyDescent="0.25">
      <c r="A875" t="s">
        <v>38</v>
      </c>
      <c r="B875" t="s">
        <v>39</v>
      </c>
      <c r="C875" t="s">
        <v>62</v>
      </c>
      <c r="D875">
        <v>2646.7</v>
      </c>
      <c r="E875">
        <v>2016</v>
      </c>
      <c r="F875" t="s">
        <v>64</v>
      </c>
    </row>
    <row r="876" spans="1:6" x14ac:dyDescent="0.25">
      <c r="A876" t="s">
        <v>40</v>
      </c>
      <c r="B876" t="s">
        <v>41</v>
      </c>
      <c r="C876" t="s">
        <v>62</v>
      </c>
      <c r="D876">
        <v>1352.26</v>
      </c>
      <c r="E876">
        <v>2016</v>
      </c>
      <c r="F876" t="s">
        <v>64</v>
      </c>
    </row>
    <row r="877" spans="1:6" x14ac:dyDescent="0.25">
      <c r="A877" t="s">
        <v>42</v>
      </c>
      <c r="B877" t="s">
        <v>43</v>
      </c>
      <c r="C877" t="s">
        <v>62</v>
      </c>
      <c r="D877">
        <v>34.35</v>
      </c>
      <c r="E877">
        <v>2016</v>
      </c>
      <c r="F877" t="s">
        <v>64</v>
      </c>
    </row>
    <row r="878" spans="1:6" x14ac:dyDescent="0.25">
      <c r="A878" t="s">
        <v>44</v>
      </c>
      <c r="B878" t="s">
        <v>45</v>
      </c>
      <c r="C878" t="s">
        <v>62</v>
      </c>
      <c r="D878">
        <v>550.33000000000004</v>
      </c>
      <c r="E878">
        <v>2016</v>
      </c>
      <c r="F878" t="s">
        <v>64</v>
      </c>
    </row>
    <row r="879" spans="1:6" x14ac:dyDescent="0.25">
      <c r="A879" t="s">
        <v>46</v>
      </c>
      <c r="B879" t="s">
        <v>47</v>
      </c>
      <c r="C879" t="s">
        <v>62</v>
      </c>
      <c r="D879">
        <v>301.08</v>
      </c>
      <c r="E879">
        <v>2016</v>
      </c>
      <c r="F879" t="s">
        <v>64</v>
      </c>
    </row>
    <row r="880" spans="1:6" x14ac:dyDescent="0.25">
      <c r="A880" t="s">
        <v>48</v>
      </c>
      <c r="B880" t="s">
        <v>49</v>
      </c>
      <c r="C880" t="s">
        <v>62</v>
      </c>
      <c r="D880">
        <v>344.78</v>
      </c>
      <c r="E880">
        <v>2016</v>
      </c>
      <c r="F880" t="s">
        <v>64</v>
      </c>
    </row>
    <row r="881" spans="1:6" x14ac:dyDescent="0.25">
      <c r="A881" t="s">
        <v>50</v>
      </c>
      <c r="B881" t="s">
        <v>51</v>
      </c>
      <c r="C881" t="s">
        <v>62</v>
      </c>
      <c r="D881">
        <v>162.13</v>
      </c>
      <c r="E881">
        <v>2016</v>
      </c>
      <c r="F881" t="s">
        <v>64</v>
      </c>
    </row>
    <row r="882" spans="1:6" x14ac:dyDescent="0.25">
      <c r="A882" t="s">
        <v>52</v>
      </c>
      <c r="B882" t="s">
        <v>53</v>
      </c>
      <c r="C882" t="s">
        <v>62</v>
      </c>
      <c r="D882">
        <v>348.17</v>
      </c>
      <c r="E882">
        <v>2016</v>
      </c>
      <c r="F882" t="s">
        <v>64</v>
      </c>
    </row>
    <row r="883" spans="1:6" x14ac:dyDescent="0.25">
      <c r="A883" t="s">
        <v>54</v>
      </c>
      <c r="B883" t="s">
        <v>55</v>
      </c>
      <c r="C883" t="s">
        <v>62</v>
      </c>
      <c r="D883">
        <v>167.57</v>
      </c>
      <c r="E883">
        <v>2016</v>
      </c>
      <c r="F883" t="s">
        <v>64</v>
      </c>
    </row>
    <row r="884" spans="1:6" x14ac:dyDescent="0.25">
      <c r="A884" t="s">
        <v>56</v>
      </c>
      <c r="B884" t="s">
        <v>57</v>
      </c>
      <c r="C884" t="s">
        <v>62</v>
      </c>
      <c r="D884">
        <v>252.1</v>
      </c>
      <c r="E884">
        <v>2016</v>
      </c>
      <c r="F884" t="s">
        <v>64</v>
      </c>
    </row>
    <row r="885" spans="1:6" x14ac:dyDescent="0.25">
      <c r="A885" t="s">
        <v>58</v>
      </c>
      <c r="B885" t="s">
        <v>59</v>
      </c>
      <c r="C885" t="s">
        <v>62</v>
      </c>
      <c r="E885">
        <v>2016</v>
      </c>
      <c r="F885" t="s">
        <v>64</v>
      </c>
    </row>
    <row r="886" spans="1:6" x14ac:dyDescent="0.25">
      <c r="A886" t="s">
        <v>6</v>
      </c>
      <c r="B886" t="s">
        <v>7</v>
      </c>
      <c r="C886" t="s">
        <v>66</v>
      </c>
      <c r="D886">
        <v>10938.45</v>
      </c>
      <c r="E886">
        <v>2016</v>
      </c>
      <c r="F886" t="s">
        <v>64</v>
      </c>
    </row>
    <row r="887" spans="1:6" x14ac:dyDescent="0.25">
      <c r="A887" t="s">
        <v>10</v>
      </c>
      <c r="B887" t="s">
        <v>11</v>
      </c>
      <c r="C887" t="s">
        <v>66</v>
      </c>
      <c r="D887">
        <v>5228.96</v>
      </c>
      <c r="E887">
        <v>2016</v>
      </c>
      <c r="F887" t="s">
        <v>64</v>
      </c>
    </row>
    <row r="888" spans="1:6" x14ac:dyDescent="0.25">
      <c r="A888" t="s">
        <v>12</v>
      </c>
      <c r="B888" t="s">
        <v>13</v>
      </c>
      <c r="C888" t="s">
        <v>66</v>
      </c>
      <c r="D888">
        <v>502.23</v>
      </c>
      <c r="E888">
        <v>2016</v>
      </c>
      <c r="F888" t="s">
        <v>64</v>
      </c>
    </row>
    <row r="889" spans="1:6" x14ac:dyDescent="0.25">
      <c r="A889" t="s">
        <v>14</v>
      </c>
      <c r="B889" t="s">
        <v>15</v>
      </c>
      <c r="C889" t="s">
        <v>66</v>
      </c>
      <c r="E889">
        <v>2016</v>
      </c>
      <c r="F889" t="s">
        <v>64</v>
      </c>
    </row>
    <row r="890" spans="1:6" x14ac:dyDescent="0.25">
      <c r="A890" t="s">
        <v>16</v>
      </c>
      <c r="B890" t="s">
        <v>17</v>
      </c>
      <c r="C890" t="s">
        <v>66</v>
      </c>
      <c r="D890">
        <v>253.04</v>
      </c>
      <c r="E890">
        <v>2016</v>
      </c>
      <c r="F890" t="s">
        <v>64</v>
      </c>
    </row>
    <row r="891" spans="1:6" x14ac:dyDescent="0.25">
      <c r="A891" t="s">
        <v>18</v>
      </c>
      <c r="B891" t="s">
        <v>19</v>
      </c>
      <c r="C891" t="s">
        <v>66</v>
      </c>
      <c r="D891">
        <v>48.99</v>
      </c>
      <c r="E891">
        <v>2016</v>
      </c>
      <c r="F891" t="s">
        <v>64</v>
      </c>
    </row>
    <row r="892" spans="1:6" x14ac:dyDescent="0.25">
      <c r="A892" t="s">
        <v>20</v>
      </c>
      <c r="B892" t="s">
        <v>21</v>
      </c>
      <c r="C892" t="s">
        <v>66</v>
      </c>
      <c r="D892">
        <v>305.86</v>
      </c>
      <c r="E892">
        <v>2016</v>
      </c>
      <c r="F892" t="s">
        <v>64</v>
      </c>
    </row>
    <row r="893" spans="1:6" x14ac:dyDescent="0.25">
      <c r="A893" t="s">
        <v>22</v>
      </c>
      <c r="B893" t="s">
        <v>23</v>
      </c>
      <c r="C893" t="s">
        <v>66</v>
      </c>
      <c r="D893">
        <v>133.54</v>
      </c>
      <c r="E893">
        <v>2016</v>
      </c>
      <c r="F893" t="s">
        <v>64</v>
      </c>
    </row>
    <row r="894" spans="1:6" x14ac:dyDescent="0.25">
      <c r="A894" t="s">
        <v>24</v>
      </c>
      <c r="B894" t="s">
        <v>25</v>
      </c>
      <c r="C894" t="s">
        <v>66</v>
      </c>
      <c r="D894">
        <v>1116.5999999999999</v>
      </c>
      <c r="E894">
        <v>2016</v>
      </c>
      <c r="F894" t="s">
        <v>64</v>
      </c>
    </row>
    <row r="895" spans="1:6" x14ac:dyDescent="0.25">
      <c r="A895" t="s">
        <v>26</v>
      </c>
      <c r="B895" t="s">
        <v>27</v>
      </c>
      <c r="C895" t="s">
        <v>66</v>
      </c>
      <c r="D895">
        <v>86.16</v>
      </c>
      <c r="E895">
        <v>2016</v>
      </c>
      <c r="F895" t="s">
        <v>64</v>
      </c>
    </row>
    <row r="896" spans="1:6" x14ac:dyDescent="0.25">
      <c r="A896" t="s">
        <v>28</v>
      </c>
      <c r="B896" t="s">
        <v>29</v>
      </c>
      <c r="C896" t="s">
        <v>66</v>
      </c>
      <c r="D896">
        <v>1035.44</v>
      </c>
      <c r="E896">
        <v>2016</v>
      </c>
      <c r="F896" t="s">
        <v>64</v>
      </c>
    </row>
    <row r="897" spans="1:6" x14ac:dyDescent="0.25">
      <c r="A897" t="s">
        <v>30</v>
      </c>
      <c r="B897" t="s">
        <v>31</v>
      </c>
      <c r="C897" t="s">
        <v>66</v>
      </c>
      <c r="D897">
        <v>829.75</v>
      </c>
      <c r="E897">
        <v>2016</v>
      </c>
      <c r="F897" t="s">
        <v>64</v>
      </c>
    </row>
    <row r="898" spans="1:6" x14ac:dyDescent="0.25">
      <c r="A898" t="s">
        <v>32</v>
      </c>
      <c r="B898" t="s">
        <v>33</v>
      </c>
      <c r="C898" t="s">
        <v>66</v>
      </c>
      <c r="D898">
        <v>302.5</v>
      </c>
      <c r="E898">
        <v>2016</v>
      </c>
      <c r="F898" t="s">
        <v>64</v>
      </c>
    </row>
    <row r="899" spans="1:6" x14ac:dyDescent="0.25">
      <c r="A899" t="s">
        <v>34</v>
      </c>
      <c r="B899" t="s">
        <v>35</v>
      </c>
      <c r="C899" t="s">
        <v>66</v>
      </c>
      <c r="D899">
        <v>320.91000000000003</v>
      </c>
      <c r="E899">
        <v>2016</v>
      </c>
      <c r="F899" t="s">
        <v>64</v>
      </c>
    </row>
    <row r="900" spans="1:6" x14ac:dyDescent="0.25">
      <c r="A900" t="s">
        <v>36</v>
      </c>
      <c r="B900" t="s">
        <v>37</v>
      </c>
      <c r="C900" t="s">
        <v>66</v>
      </c>
      <c r="D900">
        <v>204.97</v>
      </c>
      <c r="E900">
        <v>2016</v>
      </c>
      <c r="F900" t="s">
        <v>64</v>
      </c>
    </row>
    <row r="901" spans="1:6" x14ac:dyDescent="0.25">
      <c r="A901" t="s">
        <v>38</v>
      </c>
      <c r="B901" t="s">
        <v>39</v>
      </c>
      <c r="C901" t="s">
        <v>66</v>
      </c>
      <c r="D901">
        <v>64.290000000000006</v>
      </c>
      <c r="E901">
        <v>2016</v>
      </c>
      <c r="F901" t="s">
        <v>64</v>
      </c>
    </row>
    <row r="902" spans="1:6" x14ac:dyDescent="0.25">
      <c r="A902" t="s">
        <v>40</v>
      </c>
      <c r="B902" t="s">
        <v>41</v>
      </c>
      <c r="C902" t="s">
        <v>66</v>
      </c>
      <c r="D902">
        <v>171.97</v>
      </c>
      <c r="E902">
        <v>2016</v>
      </c>
      <c r="F902" t="s">
        <v>64</v>
      </c>
    </row>
    <row r="903" spans="1:6" x14ac:dyDescent="0.25">
      <c r="A903" t="s">
        <v>42</v>
      </c>
      <c r="B903" t="s">
        <v>43</v>
      </c>
      <c r="C903" t="s">
        <v>66</v>
      </c>
      <c r="D903">
        <v>2.67</v>
      </c>
      <c r="E903">
        <v>2016</v>
      </c>
      <c r="F903" t="s">
        <v>64</v>
      </c>
    </row>
    <row r="904" spans="1:6" x14ac:dyDescent="0.25">
      <c r="A904" t="s">
        <v>44</v>
      </c>
      <c r="B904" t="s">
        <v>45</v>
      </c>
      <c r="C904" t="s">
        <v>66</v>
      </c>
      <c r="D904">
        <v>98.53</v>
      </c>
      <c r="E904">
        <v>2016</v>
      </c>
      <c r="F904" t="s">
        <v>64</v>
      </c>
    </row>
    <row r="905" spans="1:6" x14ac:dyDescent="0.25">
      <c r="A905" t="s">
        <v>46</v>
      </c>
      <c r="B905" t="s">
        <v>47</v>
      </c>
      <c r="C905" t="s">
        <v>66</v>
      </c>
      <c r="D905">
        <v>9.92</v>
      </c>
      <c r="E905">
        <v>2016</v>
      </c>
      <c r="F905" t="s">
        <v>64</v>
      </c>
    </row>
    <row r="906" spans="1:6" x14ac:dyDescent="0.25">
      <c r="A906" t="s">
        <v>48</v>
      </c>
      <c r="B906" t="s">
        <v>49</v>
      </c>
      <c r="C906" t="s">
        <v>66</v>
      </c>
      <c r="D906">
        <v>67.459999999999994</v>
      </c>
      <c r="E906">
        <v>2016</v>
      </c>
      <c r="F906" t="s">
        <v>64</v>
      </c>
    </row>
    <row r="907" spans="1:6" x14ac:dyDescent="0.25">
      <c r="A907" t="s">
        <v>50</v>
      </c>
      <c r="B907" t="s">
        <v>51</v>
      </c>
      <c r="C907" t="s">
        <v>66</v>
      </c>
      <c r="E907">
        <v>2016</v>
      </c>
      <c r="F907" t="s">
        <v>64</v>
      </c>
    </row>
    <row r="908" spans="1:6" x14ac:dyDescent="0.25">
      <c r="A908" t="s">
        <v>52</v>
      </c>
      <c r="B908" t="s">
        <v>53</v>
      </c>
      <c r="C908" t="s">
        <v>66</v>
      </c>
      <c r="D908">
        <v>68.03</v>
      </c>
      <c r="E908">
        <v>2016</v>
      </c>
      <c r="F908" t="s">
        <v>64</v>
      </c>
    </row>
    <row r="909" spans="1:6" x14ac:dyDescent="0.25">
      <c r="A909" t="s">
        <v>54</v>
      </c>
      <c r="B909" t="s">
        <v>55</v>
      </c>
      <c r="C909" t="s">
        <v>66</v>
      </c>
      <c r="D909">
        <v>23.11</v>
      </c>
      <c r="E909">
        <v>2016</v>
      </c>
      <c r="F909" t="s">
        <v>64</v>
      </c>
    </row>
    <row r="910" spans="1:6" x14ac:dyDescent="0.25">
      <c r="A910" t="s">
        <v>56</v>
      </c>
      <c r="B910" t="s">
        <v>57</v>
      </c>
      <c r="C910" t="s">
        <v>66</v>
      </c>
      <c r="D910">
        <v>63.52</v>
      </c>
      <c r="E910">
        <v>2016</v>
      </c>
      <c r="F910" t="s">
        <v>64</v>
      </c>
    </row>
    <row r="911" spans="1:6" x14ac:dyDescent="0.25">
      <c r="A911" t="s">
        <v>58</v>
      </c>
      <c r="B911" t="s">
        <v>59</v>
      </c>
      <c r="C911" t="s">
        <v>66</v>
      </c>
      <c r="E911">
        <v>2016</v>
      </c>
      <c r="F911" t="s">
        <v>64</v>
      </c>
    </row>
    <row r="912" spans="1:6" x14ac:dyDescent="0.25">
      <c r="A912" t="s">
        <v>6</v>
      </c>
      <c r="B912" t="s">
        <v>7</v>
      </c>
      <c r="C912" t="s">
        <v>63</v>
      </c>
      <c r="D912">
        <v>580998.01</v>
      </c>
      <c r="E912">
        <v>2017</v>
      </c>
      <c r="F912" t="s">
        <v>64</v>
      </c>
    </row>
    <row r="913" spans="1:6" x14ac:dyDescent="0.25">
      <c r="A913" t="s">
        <v>10</v>
      </c>
      <c r="B913" t="s">
        <v>11</v>
      </c>
      <c r="C913" t="s">
        <v>63</v>
      </c>
      <c r="D913">
        <v>147117.66</v>
      </c>
      <c r="E913">
        <v>2017</v>
      </c>
      <c r="F913" t="s">
        <v>64</v>
      </c>
    </row>
    <row r="914" spans="1:6" x14ac:dyDescent="0.25">
      <c r="A914" t="s">
        <v>12</v>
      </c>
      <c r="B914" t="s">
        <v>13</v>
      </c>
      <c r="C914" t="s">
        <v>63</v>
      </c>
      <c r="D914">
        <v>16672.05</v>
      </c>
      <c r="E914">
        <v>2017</v>
      </c>
      <c r="F914" t="s">
        <v>64</v>
      </c>
    </row>
    <row r="915" spans="1:6" x14ac:dyDescent="0.25">
      <c r="A915" t="s">
        <v>14</v>
      </c>
      <c r="B915" t="s">
        <v>15</v>
      </c>
      <c r="C915" t="s">
        <v>63</v>
      </c>
      <c r="D915">
        <v>2917.68</v>
      </c>
      <c r="E915">
        <v>2017</v>
      </c>
      <c r="F915" t="s">
        <v>64</v>
      </c>
    </row>
    <row r="916" spans="1:6" x14ac:dyDescent="0.25">
      <c r="A916" t="s">
        <v>16</v>
      </c>
      <c r="B916" t="s">
        <v>17</v>
      </c>
      <c r="C916" t="s">
        <v>63</v>
      </c>
      <c r="D916">
        <v>8819.9599999999991</v>
      </c>
      <c r="E916">
        <v>2017</v>
      </c>
      <c r="F916" t="s">
        <v>64</v>
      </c>
    </row>
    <row r="917" spans="1:6" x14ac:dyDescent="0.25">
      <c r="A917" t="s">
        <v>18</v>
      </c>
      <c r="B917" t="s">
        <v>19</v>
      </c>
      <c r="C917" t="s">
        <v>63</v>
      </c>
      <c r="D917">
        <v>7394.61</v>
      </c>
      <c r="E917">
        <v>2017</v>
      </c>
      <c r="F917" t="s">
        <v>64</v>
      </c>
    </row>
    <row r="918" spans="1:6" x14ac:dyDescent="0.25">
      <c r="A918" t="s">
        <v>20</v>
      </c>
      <c r="B918" t="s">
        <v>21</v>
      </c>
      <c r="C918" t="s">
        <v>63</v>
      </c>
      <c r="D918">
        <v>7303.07</v>
      </c>
      <c r="E918">
        <v>2017</v>
      </c>
      <c r="F918" t="s">
        <v>64</v>
      </c>
    </row>
    <row r="919" spans="1:6" x14ac:dyDescent="0.25">
      <c r="A919" t="s">
        <v>22</v>
      </c>
      <c r="B919" t="s">
        <v>23</v>
      </c>
      <c r="C919" t="s">
        <v>63</v>
      </c>
      <c r="D919">
        <v>4158.5</v>
      </c>
      <c r="E919">
        <v>2017</v>
      </c>
      <c r="F919" t="s">
        <v>64</v>
      </c>
    </row>
    <row r="920" spans="1:6" x14ac:dyDescent="0.25">
      <c r="A920" t="s">
        <v>24</v>
      </c>
      <c r="B920" t="s">
        <v>25</v>
      </c>
      <c r="C920" t="s">
        <v>63</v>
      </c>
      <c r="D920">
        <v>17375.77</v>
      </c>
      <c r="E920">
        <v>2017</v>
      </c>
      <c r="F920" t="s">
        <v>64</v>
      </c>
    </row>
    <row r="921" spans="1:6" x14ac:dyDescent="0.25">
      <c r="A921" t="s">
        <v>26</v>
      </c>
      <c r="B921" t="s">
        <v>27</v>
      </c>
      <c r="C921" t="s">
        <v>63</v>
      </c>
      <c r="D921">
        <v>1909.51</v>
      </c>
      <c r="E921">
        <v>2017</v>
      </c>
      <c r="F921" t="s">
        <v>64</v>
      </c>
    </row>
    <row r="922" spans="1:6" x14ac:dyDescent="0.25">
      <c r="A922" t="s">
        <v>28</v>
      </c>
      <c r="B922" t="s">
        <v>29</v>
      </c>
      <c r="C922" t="s">
        <v>63</v>
      </c>
      <c r="D922">
        <v>52921.64</v>
      </c>
      <c r="E922">
        <v>2017</v>
      </c>
      <c r="F922" t="s">
        <v>64</v>
      </c>
    </row>
    <row r="923" spans="1:6" x14ac:dyDescent="0.25">
      <c r="A923" t="s">
        <v>30</v>
      </c>
      <c r="B923" t="s">
        <v>31</v>
      </c>
      <c r="C923" t="s">
        <v>63</v>
      </c>
      <c r="D923">
        <v>68100.479999999996</v>
      </c>
      <c r="E923">
        <v>2017</v>
      </c>
      <c r="F923" t="s">
        <v>64</v>
      </c>
    </row>
    <row r="924" spans="1:6" x14ac:dyDescent="0.25">
      <c r="A924" t="s">
        <v>32</v>
      </c>
      <c r="B924" t="s">
        <v>33</v>
      </c>
      <c r="C924" t="s">
        <v>63</v>
      </c>
      <c r="D924">
        <v>9861.49</v>
      </c>
      <c r="E924">
        <v>2017</v>
      </c>
      <c r="F924" t="s">
        <v>64</v>
      </c>
    </row>
    <row r="925" spans="1:6" x14ac:dyDescent="0.25">
      <c r="A925" t="s">
        <v>34</v>
      </c>
      <c r="B925" t="s">
        <v>35</v>
      </c>
      <c r="C925" t="s">
        <v>63</v>
      </c>
      <c r="D925">
        <v>21002.17</v>
      </c>
      <c r="E925">
        <v>2017</v>
      </c>
      <c r="F925" t="s">
        <v>64</v>
      </c>
    </row>
    <row r="926" spans="1:6" x14ac:dyDescent="0.25">
      <c r="A926" t="s">
        <v>36</v>
      </c>
      <c r="B926" t="s">
        <v>37</v>
      </c>
      <c r="C926" t="s">
        <v>63</v>
      </c>
      <c r="D926">
        <v>14767.3</v>
      </c>
      <c r="E926">
        <v>2017</v>
      </c>
      <c r="F926" t="s">
        <v>64</v>
      </c>
    </row>
    <row r="927" spans="1:6" x14ac:dyDescent="0.25">
      <c r="A927" t="s">
        <v>38</v>
      </c>
      <c r="B927" t="s">
        <v>39</v>
      </c>
      <c r="C927" t="s">
        <v>63</v>
      </c>
      <c r="D927">
        <v>43274.09</v>
      </c>
      <c r="E927">
        <v>2017</v>
      </c>
      <c r="F927" t="s">
        <v>64</v>
      </c>
    </row>
    <row r="928" spans="1:6" x14ac:dyDescent="0.25">
      <c r="A928" t="s">
        <v>40</v>
      </c>
      <c r="B928" t="s">
        <v>41</v>
      </c>
      <c r="C928" t="s">
        <v>63</v>
      </c>
      <c r="D928">
        <v>14072.7</v>
      </c>
      <c r="E928">
        <v>2017</v>
      </c>
      <c r="F928" t="s">
        <v>64</v>
      </c>
    </row>
    <row r="929" spans="1:6" x14ac:dyDescent="0.25">
      <c r="A929" t="s">
        <v>42</v>
      </c>
      <c r="B929" t="s">
        <v>43</v>
      </c>
      <c r="C929" t="s">
        <v>63</v>
      </c>
      <c r="D929">
        <v>22043.59</v>
      </c>
      <c r="E929">
        <v>2017</v>
      </c>
      <c r="F929" t="s">
        <v>64</v>
      </c>
    </row>
    <row r="930" spans="1:6" x14ac:dyDescent="0.25">
      <c r="A930" t="s">
        <v>44</v>
      </c>
      <c r="B930" t="s">
        <v>45</v>
      </c>
      <c r="C930" t="s">
        <v>63</v>
      </c>
      <c r="D930">
        <v>15548.38</v>
      </c>
      <c r="E930">
        <v>2017</v>
      </c>
      <c r="F930" t="s">
        <v>64</v>
      </c>
    </row>
    <row r="931" spans="1:6" x14ac:dyDescent="0.25">
      <c r="A931" t="s">
        <v>46</v>
      </c>
      <c r="B931" t="s">
        <v>47</v>
      </c>
      <c r="C931" t="s">
        <v>63</v>
      </c>
      <c r="D931">
        <v>21649.01</v>
      </c>
      <c r="E931">
        <v>2017</v>
      </c>
      <c r="F931" t="s">
        <v>64</v>
      </c>
    </row>
    <row r="932" spans="1:6" x14ac:dyDescent="0.25">
      <c r="A932" t="s">
        <v>48</v>
      </c>
      <c r="B932" t="s">
        <v>49</v>
      </c>
      <c r="C932" t="s">
        <v>63</v>
      </c>
      <c r="D932">
        <v>62111.67</v>
      </c>
      <c r="E932">
        <v>2017</v>
      </c>
      <c r="F932" t="s">
        <v>64</v>
      </c>
    </row>
    <row r="933" spans="1:6" x14ac:dyDescent="0.25">
      <c r="A933" t="s">
        <v>50</v>
      </c>
      <c r="B933" t="s">
        <v>51</v>
      </c>
      <c r="C933" t="s">
        <v>63</v>
      </c>
      <c r="D933">
        <v>8227.7800000000007</v>
      </c>
      <c r="E933">
        <v>2017</v>
      </c>
      <c r="F933" t="s">
        <v>64</v>
      </c>
    </row>
    <row r="934" spans="1:6" x14ac:dyDescent="0.25">
      <c r="A934" t="s">
        <v>52</v>
      </c>
      <c r="B934" t="s">
        <v>53</v>
      </c>
      <c r="C934" t="s">
        <v>63</v>
      </c>
      <c r="D934">
        <v>5437.68</v>
      </c>
      <c r="E934">
        <v>2017</v>
      </c>
      <c r="F934" t="s">
        <v>64</v>
      </c>
    </row>
    <row r="935" spans="1:6" x14ac:dyDescent="0.25">
      <c r="A935" t="s">
        <v>54</v>
      </c>
      <c r="B935" t="s">
        <v>55</v>
      </c>
      <c r="C935" t="s">
        <v>63</v>
      </c>
      <c r="D935">
        <v>3770.75</v>
      </c>
      <c r="E935">
        <v>2017</v>
      </c>
      <c r="F935" t="s">
        <v>64</v>
      </c>
    </row>
    <row r="936" spans="1:6" x14ac:dyDescent="0.25">
      <c r="A936" t="s">
        <v>56</v>
      </c>
      <c r="B936" t="s">
        <v>57</v>
      </c>
      <c r="C936" t="s">
        <v>63</v>
      </c>
      <c r="D936">
        <v>4540.47</v>
      </c>
      <c r="E936">
        <v>2017</v>
      </c>
      <c r="F936" t="s">
        <v>64</v>
      </c>
    </row>
    <row r="937" spans="1:6" x14ac:dyDescent="0.25">
      <c r="A937" t="s">
        <v>58</v>
      </c>
      <c r="B937" t="s">
        <v>59</v>
      </c>
      <c r="C937" t="s">
        <v>63</v>
      </c>
      <c r="E937">
        <v>2017</v>
      </c>
      <c r="F937" t="s">
        <v>64</v>
      </c>
    </row>
    <row r="938" spans="1:6" x14ac:dyDescent="0.25">
      <c r="A938" t="s">
        <v>6</v>
      </c>
      <c r="B938" t="s">
        <v>7</v>
      </c>
      <c r="C938" t="s">
        <v>8</v>
      </c>
      <c r="D938">
        <v>48998.26</v>
      </c>
      <c r="E938">
        <v>2017</v>
      </c>
      <c r="F938" t="s">
        <v>64</v>
      </c>
    </row>
    <row r="939" spans="1:6" x14ac:dyDescent="0.25">
      <c r="A939" t="s">
        <v>10</v>
      </c>
      <c r="B939" t="s">
        <v>11</v>
      </c>
      <c r="C939" t="s">
        <v>8</v>
      </c>
      <c r="D939">
        <v>16496.43</v>
      </c>
      <c r="E939">
        <v>2017</v>
      </c>
      <c r="F939" t="s">
        <v>64</v>
      </c>
    </row>
    <row r="940" spans="1:6" x14ac:dyDescent="0.25">
      <c r="A940" t="s">
        <v>12</v>
      </c>
      <c r="B940" t="s">
        <v>13</v>
      </c>
      <c r="C940" t="s">
        <v>8</v>
      </c>
      <c r="D940">
        <v>4061.51</v>
      </c>
      <c r="E940">
        <v>2017</v>
      </c>
      <c r="F940" t="s">
        <v>64</v>
      </c>
    </row>
    <row r="941" spans="1:6" x14ac:dyDescent="0.25">
      <c r="A941" t="s">
        <v>14</v>
      </c>
      <c r="B941" t="s">
        <v>15</v>
      </c>
      <c r="C941" t="s">
        <v>8</v>
      </c>
      <c r="E941">
        <v>2017</v>
      </c>
      <c r="F941" t="s">
        <v>64</v>
      </c>
    </row>
    <row r="942" spans="1:6" x14ac:dyDescent="0.25">
      <c r="A942" t="s">
        <v>16</v>
      </c>
      <c r="B942" t="s">
        <v>17</v>
      </c>
      <c r="C942" t="s">
        <v>8</v>
      </c>
      <c r="D942">
        <v>177.69</v>
      </c>
      <c r="E942">
        <v>2017</v>
      </c>
      <c r="F942" t="s">
        <v>64</v>
      </c>
    </row>
    <row r="943" spans="1:6" x14ac:dyDescent="0.25">
      <c r="A943" t="s">
        <v>18</v>
      </c>
      <c r="B943" t="s">
        <v>19</v>
      </c>
      <c r="C943" t="s">
        <v>8</v>
      </c>
      <c r="D943">
        <v>196.56</v>
      </c>
      <c r="E943">
        <v>2017</v>
      </c>
      <c r="F943" t="s">
        <v>64</v>
      </c>
    </row>
    <row r="944" spans="1:6" x14ac:dyDescent="0.25">
      <c r="A944" t="s">
        <v>20</v>
      </c>
      <c r="B944" t="s">
        <v>21</v>
      </c>
      <c r="C944" t="s">
        <v>8</v>
      </c>
      <c r="D944">
        <v>167.71</v>
      </c>
      <c r="E944">
        <v>2017</v>
      </c>
      <c r="F944" t="s">
        <v>64</v>
      </c>
    </row>
    <row r="945" spans="1:6" x14ac:dyDescent="0.25">
      <c r="A945" t="s">
        <v>22</v>
      </c>
      <c r="B945" t="s">
        <v>23</v>
      </c>
      <c r="C945" t="s">
        <v>8</v>
      </c>
      <c r="D945">
        <v>2505.58</v>
      </c>
      <c r="E945">
        <v>2017</v>
      </c>
      <c r="F945" t="s">
        <v>64</v>
      </c>
    </row>
    <row r="946" spans="1:6" x14ac:dyDescent="0.25">
      <c r="A946" t="s">
        <v>24</v>
      </c>
      <c r="B946" t="s">
        <v>25</v>
      </c>
      <c r="C946" t="s">
        <v>8</v>
      </c>
      <c r="D946">
        <v>3628.59</v>
      </c>
      <c r="E946">
        <v>2017</v>
      </c>
      <c r="F946" t="s">
        <v>64</v>
      </c>
    </row>
    <row r="947" spans="1:6" x14ac:dyDescent="0.25">
      <c r="A947" t="s">
        <v>26</v>
      </c>
      <c r="B947" t="s">
        <v>27</v>
      </c>
      <c r="C947" t="s">
        <v>8</v>
      </c>
      <c r="D947">
        <v>308.52999999999997</v>
      </c>
      <c r="E947">
        <v>2017</v>
      </c>
      <c r="F947" t="s">
        <v>64</v>
      </c>
    </row>
    <row r="948" spans="1:6" x14ac:dyDescent="0.25">
      <c r="A948" t="s">
        <v>28</v>
      </c>
      <c r="B948" t="s">
        <v>29</v>
      </c>
      <c r="C948" t="s">
        <v>8</v>
      </c>
      <c r="E948">
        <v>2017</v>
      </c>
      <c r="F948" t="s">
        <v>64</v>
      </c>
    </row>
    <row r="949" spans="1:6" x14ac:dyDescent="0.25">
      <c r="A949" t="s">
        <v>30</v>
      </c>
      <c r="B949" t="s">
        <v>31</v>
      </c>
      <c r="C949" t="s">
        <v>8</v>
      </c>
      <c r="D949">
        <v>9758.26</v>
      </c>
      <c r="E949">
        <v>2017</v>
      </c>
      <c r="F949" t="s">
        <v>64</v>
      </c>
    </row>
    <row r="950" spans="1:6" x14ac:dyDescent="0.25">
      <c r="A950" t="s">
        <v>32</v>
      </c>
      <c r="B950" t="s">
        <v>33</v>
      </c>
      <c r="C950" t="s">
        <v>8</v>
      </c>
      <c r="D950">
        <v>775.51</v>
      </c>
      <c r="E950">
        <v>2017</v>
      </c>
      <c r="F950" t="s">
        <v>64</v>
      </c>
    </row>
    <row r="951" spans="1:6" x14ac:dyDescent="0.25">
      <c r="A951" t="s">
        <v>34</v>
      </c>
      <c r="B951" t="s">
        <v>35</v>
      </c>
      <c r="C951" t="s">
        <v>8</v>
      </c>
      <c r="D951">
        <v>1818.41</v>
      </c>
      <c r="E951">
        <v>2017</v>
      </c>
      <c r="F951" t="s">
        <v>64</v>
      </c>
    </row>
    <row r="952" spans="1:6" x14ac:dyDescent="0.25">
      <c r="A952" t="s">
        <v>36</v>
      </c>
      <c r="B952" t="s">
        <v>37</v>
      </c>
      <c r="C952" t="s">
        <v>8</v>
      </c>
      <c r="D952">
        <v>1685.45</v>
      </c>
      <c r="E952">
        <v>2017</v>
      </c>
      <c r="F952" t="s">
        <v>64</v>
      </c>
    </row>
    <row r="953" spans="1:6" x14ac:dyDescent="0.25">
      <c r="A953" t="s">
        <v>38</v>
      </c>
      <c r="B953" t="s">
        <v>39</v>
      </c>
      <c r="C953" t="s">
        <v>8</v>
      </c>
      <c r="D953">
        <v>1412.87</v>
      </c>
      <c r="E953">
        <v>2017</v>
      </c>
      <c r="F953" t="s">
        <v>64</v>
      </c>
    </row>
    <row r="954" spans="1:6" x14ac:dyDescent="0.25">
      <c r="A954" t="s">
        <v>40</v>
      </c>
      <c r="B954" t="s">
        <v>41</v>
      </c>
      <c r="C954" t="s">
        <v>8</v>
      </c>
      <c r="D954">
        <v>1572.1</v>
      </c>
      <c r="E954">
        <v>2017</v>
      </c>
      <c r="F954" t="s">
        <v>64</v>
      </c>
    </row>
    <row r="955" spans="1:6" x14ac:dyDescent="0.25">
      <c r="A955" t="s">
        <v>42</v>
      </c>
      <c r="B955" t="s">
        <v>43</v>
      </c>
      <c r="C955" t="s">
        <v>8</v>
      </c>
      <c r="D955">
        <v>42.58</v>
      </c>
      <c r="E955">
        <v>2017</v>
      </c>
      <c r="F955" t="s">
        <v>64</v>
      </c>
    </row>
    <row r="956" spans="1:6" x14ac:dyDescent="0.25">
      <c r="A956" t="s">
        <v>44</v>
      </c>
      <c r="B956" t="s">
        <v>45</v>
      </c>
      <c r="C956" t="s">
        <v>8</v>
      </c>
      <c r="D956">
        <v>569.47</v>
      </c>
      <c r="E956">
        <v>2017</v>
      </c>
      <c r="F956" t="s">
        <v>64</v>
      </c>
    </row>
    <row r="957" spans="1:6" x14ac:dyDescent="0.25">
      <c r="A957" t="s">
        <v>46</v>
      </c>
      <c r="B957" t="s">
        <v>47</v>
      </c>
      <c r="C957" t="s">
        <v>8</v>
      </c>
      <c r="D957">
        <v>496.07</v>
      </c>
      <c r="E957">
        <v>2017</v>
      </c>
      <c r="F957" t="s">
        <v>64</v>
      </c>
    </row>
    <row r="958" spans="1:6" x14ac:dyDescent="0.25">
      <c r="A958" t="s">
        <v>48</v>
      </c>
      <c r="B958" t="s">
        <v>49</v>
      </c>
      <c r="C958" t="s">
        <v>8</v>
      </c>
      <c r="D958">
        <v>68.59</v>
      </c>
      <c r="E958">
        <v>2017</v>
      </c>
      <c r="F958" t="s">
        <v>64</v>
      </c>
    </row>
    <row r="959" spans="1:6" x14ac:dyDescent="0.25">
      <c r="A959" t="s">
        <v>50</v>
      </c>
      <c r="B959" t="s">
        <v>51</v>
      </c>
      <c r="C959" t="s">
        <v>8</v>
      </c>
      <c r="D959">
        <v>44.01</v>
      </c>
      <c r="E959">
        <v>2017</v>
      </c>
      <c r="F959" t="s">
        <v>64</v>
      </c>
    </row>
    <row r="960" spans="1:6" x14ac:dyDescent="0.25">
      <c r="A960" t="s">
        <v>52</v>
      </c>
      <c r="B960" t="s">
        <v>53</v>
      </c>
      <c r="C960" t="s">
        <v>8</v>
      </c>
      <c r="D960">
        <v>356.13</v>
      </c>
      <c r="E960">
        <v>2017</v>
      </c>
      <c r="F960" t="s">
        <v>64</v>
      </c>
    </row>
    <row r="961" spans="1:6" x14ac:dyDescent="0.25">
      <c r="A961" t="s">
        <v>54</v>
      </c>
      <c r="B961" t="s">
        <v>55</v>
      </c>
      <c r="C961" t="s">
        <v>8</v>
      </c>
      <c r="D961">
        <v>65.66</v>
      </c>
      <c r="E961">
        <v>2017</v>
      </c>
      <c r="F961" t="s">
        <v>64</v>
      </c>
    </row>
    <row r="962" spans="1:6" x14ac:dyDescent="0.25">
      <c r="A962" t="s">
        <v>56</v>
      </c>
      <c r="B962" t="s">
        <v>57</v>
      </c>
      <c r="C962" t="s">
        <v>8</v>
      </c>
      <c r="D962">
        <v>932.18</v>
      </c>
      <c r="E962">
        <v>2017</v>
      </c>
      <c r="F962" t="s">
        <v>64</v>
      </c>
    </row>
    <row r="963" spans="1:6" x14ac:dyDescent="0.25">
      <c r="A963" t="s">
        <v>58</v>
      </c>
      <c r="B963" t="s">
        <v>59</v>
      </c>
      <c r="C963" t="s">
        <v>8</v>
      </c>
      <c r="D963">
        <v>1858.37</v>
      </c>
      <c r="E963">
        <v>2017</v>
      </c>
      <c r="F963" t="s">
        <v>64</v>
      </c>
    </row>
    <row r="964" spans="1:6" x14ac:dyDescent="0.25">
      <c r="A964" t="s">
        <v>6</v>
      </c>
      <c r="B964" t="s">
        <v>7</v>
      </c>
      <c r="C964" t="s">
        <v>60</v>
      </c>
      <c r="D964">
        <v>44708.639999999999</v>
      </c>
      <c r="E964">
        <v>2017</v>
      </c>
      <c r="F964" t="s">
        <v>64</v>
      </c>
    </row>
    <row r="965" spans="1:6" x14ac:dyDescent="0.25">
      <c r="A965" t="s">
        <v>10</v>
      </c>
      <c r="B965" t="s">
        <v>11</v>
      </c>
      <c r="C965" t="s">
        <v>60</v>
      </c>
      <c r="D965">
        <v>11841.25</v>
      </c>
      <c r="E965">
        <v>2017</v>
      </c>
      <c r="F965" t="s">
        <v>64</v>
      </c>
    </row>
    <row r="966" spans="1:6" x14ac:dyDescent="0.25">
      <c r="A966" t="s">
        <v>12</v>
      </c>
      <c r="B966" t="s">
        <v>13</v>
      </c>
      <c r="C966" t="s">
        <v>60</v>
      </c>
      <c r="D966">
        <v>1229.1600000000001</v>
      </c>
      <c r="E966">
        <v>2017</v>
      </c>
      <c r="F966" t="s">
        <v>64</v>
      </c>
    </row>
    <row r="967" spans="1:6" x14ac:dyDescent="0.25">
      <c r="A967" t="s">
        <v>14</v>
      </c>
      <c r="B967" t="s">
        <v>15</v>
      </c>
      <c r="C967" t="s">
        <v>60</v>
      </c>
      <c r="E967">
        <v>2017</v>
      </c>
      <c r="F967" t="s">
        <v>64</v>
      </c>
    </row>
    <row r="968" spans="1:6" x14ac:dyDescent="0.25">
      <c r="A968" t="s">
        <v>16</v>
      </c>
      <c r="B968" t="s">
        <v>17</v>
      </c>
      <c r="C968" t="s">
        <v>60</v>
      </c>
      <c r="D968">
        <v>726.93</v>
      </c>
      <c r="E968">
        <v>2017</v>
      </c>
      <c r="F968" t="s">
        <v>64</v>
      </c>
    </row>
    <row r="969" spans="1:6" x14ac:dyDescent="0.25">
      <c r="A969" t="s">
        <v>18</v>
      </c>
      <c r="B969" t="s">
        <v>19</v>
      </c>
      <c r="C969" t="s">
        <v>60</v>
      </c>
      <c r="D969">
        <v>1331.68</v>
      </c>
      <c r="E969">
        <v>2017</v>
      </c>
      <c r="F969" t="s">
        <v>64</v>
      </c>
    </row>
    <row r="970" spans="1:6" x14ac:dyDescent="0.25">
      <c r="A970" t="s">
        <v>20</v>
      </c>
      <c r="B970" t="s">
        <v>21</v>
      </c>
      <c r="C970" t="s">
        <v>60</v>
      </c>
      <c r="D970">
        <v>328.47</v>
      </c>
      <c r="E970">
        <v>2017</v>
      </c>
      <c r="F970" t="s">
        <v>64</v>
      </c>
    </row>
    <row r="971" spans="1:6" x14ac:dyDescent="0.25">
      <c r="A971" t="s">
        <v>22</v>
      </c>
      <c r="B971" t="s">
        <v>23</v>
      </c>
      <c r="C971" t="s">
        <v>60</v>
      </c>
      <c r="D971">
        <v>179.84</v>
      </c>
      <c r="E971">
        <v>2017</v>
      </c>
      <c r="F971" t="s">
        <v>64</v>
      </c>
    </row>
    <row r="972" spans="1:6" x14ac:dyDescent="0.25">
      <c r="A972" t="s">
        <v>24</v>
      </c>
      <c r="B972" t="s">
        <v>25</v>
      </c>
      <c r="C972" t="s">
        <v>60</v>
      </c>
      <c r="D972">
        <v>1588.15</v>
      </c>
      <c r="E972">
        <v>2017</v>
      </c>
      <c r="F972" t="s">
        <v>64</v>
      </c>
    </row>
    <row r="973" spans="1:6" x14ac:dyDescent="0.25">
      <c r="A973" t="s">
        <v>26</v>
      </c>
      <c r="B973" t="s">
        <v>27</v>
      </c>
      <c r="C973" t="s">
        <v>60</v>
      </c>
      <c r="D973">
        <v>445.25</v>
      </c>
      <c r="E973">
        <v>2017</v>
      </c>
      <c r="F973" t="s">
        <v>64</v>
      </c>
    </row>
    <row r="974" spans="1:6" x14ac:dyDescent="0.25">
      <c r="A974" t="s">
        <v>28</v>
      </c>
      <c r="B974" t="s">
        <v>29</v>
      </c>
      <c r="C974" t="s">
        <v>60</v>
      </c>
      <c r="D974">
        <v>11390.06</v>
      </c>
      <c r="E974">
        <v>2017</v>
      </c>
      <c r="F974" t="s">
        <v>64</v>
      </c>
    </row>
    <row r="975" spans="1:6" x14ac:dyDescent="0.25">
      <c r="A975" t="s">
        <v>30</v>
      </c>
      <c r="B975" t="s">
        <v>31</v>
      </c>
      <c r="C975" t="s">
        <v>60</v>
      </c>
      <c r="D975">
        <v>4305.3900000000003</v>
      </c>
      <c r="E975">
        <v>2017</v>
      </c>
      <c r="F975" t="s">
        <v>64</v>
      </c>
    </row>
    <row r="976" spans="1:6" x14ac:dyDescent="0.25">
      <c r="A976" t="s">
        <v>32</v>
      </c>
      <c r="B976" t="s">
        <v>33</v>
      </c>
      <c r="C976" t="s">
        <v>60</v>
      </c>
      <c r="D976">
        <v>598.1</v>
      </c>
      <c r="E976">
        <v>2017</v>
      </c>
      <c r="F976" t="s">
        <v>64</v>
      </c>
    </row>
    <row r="977" spans="1:6" x14ac:dyDescent="0.25">
      <c r="A977" t="s">
        <v>34</v>
      </c>
      <c r="B977" t="s">
        <v>35</v>
      </c>
      <c r="C977" t="s">
        <v>60</v>
      </c>
      <c r="D977">
        <v>1693.3</v>
      </c>
      <c r="E977">
        <v>2017</v>
      </c>
      <c r="F977" t="s">
        <v>64</v>
      </c>
    </row>
    <row r="978" spans="1:6" x14ac:dyDescent="0.25">
      <c r="A978" t="s">
        <v>36</v>
      </c>
      <c r="B978" t="s">
        <v>37</v>
      </c>
      <c r="C978" t="s">
        <v>60</v>
      </c>
      <c r="D978">
        <v>1675.84</v>
      </c>
      <c r="E978">
        <v>2017</v>
      </c>
      <c r="F978" t="s">
        <v>64</v>
      </c>
    </row>
    <row r="979" spans="1:6" x14ac:dyDescent="0.25">
      <c r="A979" t="s">
        <v>38</v>
      </c>
      <c r="B979" t="s">
        <v>39</v>
      </c>
      <c r="C979" t="s">
        <v>60</v>
      </c>
      <c r="D979">
        <v>2008.26</v>
      </c>
      <c r="E979">
        <v>2017</v>
      </c>
      <c r="F979" t="s">
        <v>64</v>
      </c>
    </row>
    <row r="980" spans="1:6" x14ac:dyDescent="0.25">
      <c r="A980" t="s">
        <v>40</v>
      </c>
      <c r="B980" t="s">
        <v>41</v>
      </c>
      <c r="C980" t="s">
        <v>60</v>
      </c>
      <c r="D980">
        <v>875.06</v>
      </c>
      <c r="E980">
        <v>2017</v>
      </c>
      <c r="F980" t="s">
        <v>64</v>
      </c>
    </row>
    <row r="981" spans="1:6" x14ac:dyDescent="0.25">
      <c r="A981" t="s">
        <v>42</v>
      </c>
      <c r="B981" t="s">
        <v>43</v>
      </c>
      <c r="C981" t="s">
        <v>60</v>
      </c>
      <c r="D981">
        <v>15.84</v>
      </c>
      <c r="E981">
        <v>2017</v>
      </c>
      <c r="F981" t="s">
        <v>64</v>
      </c>
    </row>
    <row r="982" spans="1:6" x14ac:dyDescent="0.25">
      <c r="A982" t="s">
        <v>44</v>
      </c>
      <c r="B982" t="s">
        <v>45</v>
      </c>
      <c r="C982" t="s">
        <v>60</v>
      </c>
      <c r="D982">
        <v>925.27</v>
      </c>
      <c r="E982">
        <v>2017</v>
      </c>
      <c r="F982" t="s">
        <v>64</v>
      </c>
    </row>
    <row r="983" spans="1:6" x14ac:dyDescent="0.25">
      <c r="A983" t="s">
        <v>46</v>
      </c>
      <c r="B983" t="s">
        <v>47</v>
      </c>
      <c r="C983" t="s">
        <v>60</v>
      </c>
      <c r="D983">
        <v>298.02</v>
      </c>
      <c r="E983">
        <v>2017</v>
      </c>
      <c r="F983" t="s">
        <v>64</v>
      </c>
    </row>
    <row r="984" spans="1:6" x14ac:dyDescent="0.25">
      <c r="A984" t="s">
        <v>48</v>
      </c>
      <c r="B984" t="s">
        <v>49</v>
      </c>
      <c r="C984" t="s">
        <v>60</v>
      </c>
      <c r="D984">
        <v>947.12</v>
      </c>
      <c r="E984">
        <v>2017</v>
      </c>
      <c r="F984" t="s">
        <v>64</v>
      </c>
    </row>
    <row r="985" spans="1:6" x14ac:dyDescent="0.25">
      <c r="A985" t="s">
        <v>50</v>
      </c>
      <c r="B985" t="s">
        <v>51</v>
      </c>
      <c r="C985" t="s">
        <v>60</v>
      </c>
      <c r="D985">
        <v>493.38</v>
      </c>
      <c r="E985">
        <v>2017</v>
      </c>
      <c r="F985" t="s">
        <v>64</v>
      </c>
    </row>
    <row r="986" spans="1:6" x14ac:dyDescent="0.25">
      <c r="A986" t="s">
        <v>52</v>
      </c>
      <c r="B986" t="s">
        <v>53</v>
      </c>
      <c r="C986" t="s">
        <v>60</v>
      </c>
      <c r="D986">
        <v>343.32</v>
      </c>
      <c r="E986">
        <v>2017</v>
      </c>
      <c r="F986" t="s">
        <v>64</v>
      </c>
    </row>
    <row r="987" spans="1:6" x14ac:dyDescent="0.25">
      <c r="A987" t="s">
        <v>54</v>
      </c>
      <c r="B987" t="s">
        <v>55</v>
      </c>
      <c r="C987" t="s">
        <v>60</v>
      </c>
      <c r="D987">
        <v>1468.95</v>
      </c>
      <c r="E987">
        <v>2017</v>
      </c>
      <c r="F987" t="s">
        <v>64</v>
      </c>
    </row>
    <row r="988" spans="1:6" x14ac:dyDescent="0.25">
      <c r="A988" t="s">
        <v>56</v>
      </c>
      <c r="B988" t="s">
        <v>57</v>
      </c>
      <c r="C988" t="s">
        <v>60</v>
      </c>
      <c r="E988">
        <v>2017</v>
      </c>
      <c r="F988" t="s">
        <v>64</v>
      </c>
    </row>
    <row r="989" spans="1:6" x14ac:dyDescent="0.25">
      <c r="A989" t="s">
        <v>58</v>
      </c>
      <c r="B989" t="s">
        <v>59</v>
      </c>
      <c r="C989" t="s">
        <v>60</v>
      </c>
      <c r="E989">
        <v>2017</v>
      </c>
      <c r="F989" t="s">
        <v>64</v>
      </c>
    </row>
    <row r="990" spans="1:6" x14ac:dyDescent="0.25">
      <c r="A990" t="s">
        <v>6</v>
      </c>
      <c r="B990" t="s">
        <v>7</v>
      </c>
      <c r="C990" t="s">
        <v>61</v>
      </c>
      <c r="D990">
        <v>20289</v>
      </c>
      <c r="E990">
        <v>2017</v>
      </c>
      <c r="F990" t="s">
        <v>64</v>
      </c>
    </row>
    <row r="991" spans="1:6" x14ac:dyDescent="0.25">
      <c r="A991" t="s">
        <v>10</v>
      </c>
      <c r="B991" t="s">
        <v>11</v>
      </c>
      <c r="C991" t="s">
        <v>61</v>
      </c>
      <c r="D991">
        <v>10261.219999999999</v>
      </c>
      <c r="E991">
        <v>2017</v>
      </c>
      <c r="F991" t="s">
        <v>64</v>
      </c>
    </row>
    <row r="992" spans="1:6" x14ac:dyDescent="0.25">
      <c r="A992" t="s">
        <v>12</v>
      </c>
      <c r="B992" t="s">
        <v>13</v>
      </c>
      <c r="C992" t="s">
        <v>61</v>
      </c>
      <c r="D992">
        <v>782.53</v>
      </c>
      <c r="E992">
        <v>2017</v>
      </c>
      <c r="F992" t="s">
        <v>64</v>
      </c>
    </row>
    <row r="993" spans="1:6" x14ac:dyDescent="0.25">
      <c r="A993" t="s">
        <v>14</v>
      </c>
      <c r="B993" t="s">
        <v>15</v>
      </c>
      <c r="C993" t="s">
        <v>61</v>
      </c>
      <c r="D993">
        <v>24.12</v>
      </c>
      <c r="E993">
        <v>2017</v>
      </c>
      <c r="F993" t="s">
        <v>64</v>
      </c>
    </row>
    <row r="994" spans="1:6" x14ac:dyDescent="0.25">
      <c r="A994" t="s">
        <v>16</v>
      </c>
      <c r="B994" t="s">
        <v>17</v>
      </c>
      <c r="C994" t="s">
        <v>61</v>
      </c>
      <c r="D994">
        <v>342.52</v>
      </c>
      <c r="E994">
        <v>2017</v>
      </c>
      <c r="F994" t="s">
        <v>64</v>
      </c>
    </row>
    <row r="995" spans="1:6" x14ac:dyDescent="0.25">
      <c r="A995" t="s">
        <v>18</v>
      </c>
      <c r="B995" t="s">
        <v>19</v>
      </c>
      <c r="C995" t="s">
        <v>61</v>
      </c>
      <c r="D995">
        <v>163.15</v>
      </c>
      <c r="E995">
        <v>2017</v>
      </c>
      <c r="F995" t="s">
        <v>64</v>
      </c>
    </row>
    <row r="996" spans="1:6" x14ac:dyDescent="0.25">
      <c r="A996" t="s">
        <v>20</v>
      </c>
      <c r="B996" t="s">
        <v>21</v>
      </c>
      <c r="C996" t="s">
        <v>61</v>
      </c>
      <c r="D996">
        <v>127.81</v>
      </c>
      <c r="E996">
        <v>2017</v>
      </c>
      <c r="F996" t="s">
        <v>64</v>
      </c>
    </row>
    <row r="997" spans="1:6" x14ac:dyDescent="0.25">
      <c r="A997" t="s">
        <v>22</v>
      </c>
      <c r="B997" t="s">
        <v>23</v>
      </c>
      <c r="C997" t="s">
        <v>61</v>
      </c>
      <c r="D997">
        <v>304.67</v>
      </c>
      <c r="E997">
        <v>2017</v>
      </c>
      <c r="F997" t="s">
        <v>64</v>
      </c>
    </row>
    <row r="998" spans="1:6" x14ac:dyDescent="0.25">
      <c r="A998" t="s">
        <v>24</v>
      </c>
      <c r="B998" t="s">
        <v>25</v>
      </c>
      <c r="C998" t="s">
        <v>61</v>
      </c>
      <c r="D998">
        <v>1146.46</v>
      </c>
      <c r="E998">
        <v>2017</v>
      </c>
      <c r="F998" t="s">
        <v>64</v>
      </c>
    </row>
    <row r="999" spans="1:6" x14ac:dyDescent="0.25">
      <c r="A999" t="s">
        <v>26</v>
      </c>
      <c r="B999" t="s">
        <v>27</v>
      </c>
      <c r="C999" t="s">
        <v>61</v>
      </c>
      <c r="D999">
        <v>229.72</v>
      </c>
      <c r="E999">
        <v>2017</v>
      </c>
      <c r="F999" t="s">
        <v>64</v>
      </c>
    </row>
    <row r="1000" spans="1:6" x14ac:dyDescent="0.25">
      <c r="A1000" t="s">
        <v>28</v>
      </c>
      <c r="B1000" t="s">
        <v>29</v>
      </c>
      <c r="C1000" t="s">
        <v>61</v>
      </c>
      <c r="D1000">
        <v>129.22</v>
      </c>
      <c r="E1000">
        <v>2017</v>
      </c>
      <c r="F1000" t="s">
        <v>64</v>
      </c>
    </row>
    <row r="1001" spans="1:6" x14ac:dyDescent="0.25">
      <c r="A1001" t="s">
        <v>30</v>
      </c>
      <c r="B1001" t="s">
        <v>31</v>
      </c>
      <c r="C1001" t="s">
        <v>61</v>
      </c>
      <c r="D1001">
        <v>990.93</v>
      </c>
      <c r="E1001">
        <v>2017</v>
      </c>
      <c r="F1001" t="s">
        <v>64</v>
      </c>
    </row>
    <row r="1002" spans="1:6" x14ac:dyDescent="0.25">
      <c r="A1002" t="s">
        <v>32</v>
      </c>
      <c r="B1002" t="s">
        <v>33</v>
      </c>
      <c r="C1002" t="s">
        <v>61</v>
      </c>
      <c r="D1002">
        <v>247.25</v>
      </c>
      <c r="E1002">
        <v>2017</v>
      </c>
      <c r="F1002" t="s">
        <v>64</v>
      </c>
    </row>
    <row r="1003" spans="1:6" x14ac:dyDescent="0.25">
      <c r="A1003" t="s">
        <v>34</v>
      </c>
      <c r="B1003" t="s">
        <v>35</v>
      </c>
      <c r="C1003" t="s">
        <v>61</v>
      </c>
      <c r="D1003">
        <v>879.81</v>
      </c>
      <c r="E1003">
        <v>2017</v>
      </c>
      <c r="F1003" t="s">
        <v>64</v>
      </c>
    </row>
    <row r="1004" spans="1:6" x14ac:dyDescent="0.25">
      <c r="A1004" t="s">
        <v>36</v>
      </c>
      <c r="B1004" t="s">
        <v>37</v>
      </c>
      <c r="C1004" t="s">
        <v>61</v>
      </c>
      <c r="D1004">
        <v>851.87</v>
      </c>
      <c r="E1004">
        <v>2017</v>
      </c>
      <c r="F1004" t="s">
        <v>64</v>
      </c>
    </row>
    <row r="1005" spans="1:6" x14ac:dyDescent="0.25">
      <c r="A1005" t="s">
        <v>38</v>
      </c>
      <c r="B1005" t="s">
        <v>39</v>
      </c>
      <c r="C1005" t="s">
        <v>61</v>
      </c>
      <c r="D1005">
        <v>1111</v>
      </c>
      <c r="E1005">
        <v>2017</v>
      </c>
      <c r="F1005" t="s">
        <v>64</v>
      </c>
    </row>
    <row r="1006" spans="1:6" x14ac:dyDescent="0.25">
      <c r="A1006" t="s">
        <v>40</v>
      </c>
      <c r="B1006" t="s">
        <v>41</v>
      </c>
      <c r="C1006" t="s">
        <v>61</v>
      </c>
      <c r="D1006">
        <v>579.30999999999995</v>
      </c>
      <c r="E1006">
        <v>2017</v>
      </c>
      <c r="F1006" t="s">
        <v>64</v>
      </c>
    </row>
    <row r="1007" spans="1:6" x14ac:dyDescent="0.25">
      <c r="A1007" t="s">
        <v>42</v>
      </c>
      <c r="B1007" t="s">
        <v>43</v>
      </c>
      <c r="C1007" t="s">
        <v>61</v>
      </c>
      <c r="D1007">
        <v>217.76</v>
      </c>
      <c r="E1007">
        <v>2017</v>
      </c>
      <c r="F1007" t="s">
        <v>64</v>
      </c>
    </row>
    <row r="1008" spans="1:6" x14ac:dyDescent="0.25">
      <c r="A1008" t="s">
        <v>44</v>
      </c>
      <c r="B1008" t="s">
        <v>45</v>
      </c>
      <c r="C1008" t="s">
        <v>61</v>
      </c>
      <c r="D1008">
        <v>473.15</v>
      </c>
      <c r="E1008">
        <v>2017</v>
      </c>
      <c r="F1008" t="s">
        <v>64</v>
      </c>
    </row>
    <row r="1009" spans="1:6" x14ac:dyDescent="0.25">
      <c r="A1009" t="s">
        <v>46</v>
      </c>
      <c r="B1009" t="s">
        <v>47</v>
      </c>
      <c r="C1009" t="s">
        <v>61</v>
      </c>
      <c r="D1009">
        <v>72.75</v>
      </c>
      <c r="E1009">
        <v>2017</v>
      </c>
      <c r="F1009" t="s">
        <v>64</v>
      </c>
    </row>
    <row r="1010" spans="1:6" x14ac:dyDescent="0.25">
      <c r="A1010" t="s">
        <v>48</v>
      </c>
      <c r="B1010" t="s">
        <v>49</v>
      </c>
      <c r="C1010" t="s">
        <v>61</v>
      </c>
      <c r="D1010">
        <v>673.21</v>
      </c>
      <c r="E1010">
        <v>2017</v>
      </c>
      <c r="F1010" t="s">
        <v>64</v>
      </c>
    </row>
    <row r="1011" spans="1:6" x14ac:dyDescent="0.25">
      <c r="A1011" t="s">
        <v>50</v>
      </c>
      <c r="B1011" t="s">
        <v>51</v>
      </c>
      <c r="C1011" t="s">
        <v>61</v>
      </c>
      <c r="D1011">
        <v>213.97</v>
      </c>
      <c r="E1011">
        <v>2017</v>
      </c>
      <c r="F1011" t="s">
        <v>64</v>
      </c>
    </row>
    <row r="1012" spans="1:6" x14ac:dyDescent="0.25">
      <c r="A1012" t="s">
        <v>52</v>
      </c>
      <c r="B1012" t="s">
        <v>53</v>
      </c>
      <c r="C1012" t="s">
        <v>61</v>
      </c>
      <c r="D1012">
        <v>240.1</v>
      </c>
      <c r="E1012">
        <v>2017</v>
      </c>
      <c r="F1012" t="s">
        <v>64</v>
      </c>
    </row>
    <row r="1013" spans="1:6" x14ac:dyDescent="0.25">
      <c r="A1013" t="s">
        <v>54</v>
      </c>
      <c r="B1013" t="s">
        <v>55</v>
      </c>
      <c r="C1013" t="s">
        <v>61</v>
      </c>
      <c r="D1013">
        <v>79.39</v>
      </c>
      <c r="E1013">
        <v>2017</v>
      </c>
      <c r="F1013" t="s">
        <v>64</v>
      </c>
    </row>
    <row r="1014" spans="1:6" x14ac:dyDescent="0.25">
      <c r="A1014" t="s">
        <v>56</v>
      </c>
      <c r="B1014" t="s">
        <v>57</v>
      </c>
      <c r="C1014" t="s">
        <v>61</v>
      </c>
      <c r="D1014">
        <v>147.08000000000001</v>
      </c>
      <c r="E1014">
        <v>2017</v>
      </c>
      <c r="F1014" t="s">
        <v>64</v>
      </c>
    </row>
    <row r="1015" spans="1:6" x14ac:dyDescent="0.25">
      <c r="A1015" t="s">
        <v>58</v>
      </c>
      <c r="B1015" t="s">
        <v>59</v>
      </c>
      <c r="C1015" t="s">
        <v>61</v>
      </c>
      <c r="E1015">
        <v>2017</v>
      </c>
      <c r="F1015" t="s">
        <v>64</v>
      </c>
    </row>
    <row r="1016" spans="1:6" x14ac:dyDescent="0.25">
      <c r="A1016" t="s">
        <v>6</v>
      </c>
      <c r="B1016" t="s">
        <v>7</v>
      </c>
      <c r="C1016" t="s">
        <v>65</v>
      </c>
      <c r="D1016">
        <v>299323.21999999997</v>
      </c>
      <c r="E1016">
        <v>2017</v>
      </c>
      <c r="F1016" t="s">
        <v>64</v>
      </c>
    </row>
    <row r="1017" spans="1:6" x14ac:dyDescent="0.25">
      <c r="A1017" t="s">
        <v>10</v>
      </c>
      <c r="B1017" t="s">
        <v>11</v>
      </c>
      <c r="C1017" t="s">
        <v>65</v>
      </c>
      <c r="D1017">
        <v>41336.9</v>
      </c>
      <c r="E1017">
        <v>2017</v>
      </c>
      <c r="F1017" t="s">
        <v>64</v>
      </c>
    </row>
    <row r="1018" spans="1:6" x14ac:dyDescent="0.25">
      <c r="A1018" t="s">
        <v>12</v>
      </c>
      <c r="B1018" t="s">
        <v>13</v>
      </c>
      <c r="C1018" t="s">
        <v>65</v>
      </c>
      <c r="D1018">
        <v>12770.89</v>
      </c>
      <c r="E1018">
        <v>2017</v>
      </c>
      <c r="F1018" t="s">
        <v>64</v>
      </c>
    </row>
    <row r="1019" spans="1:6" x14ac:dyDescent="0.25">
      <c r="A1019" t="s">
        <v>14</v>
      </c>
      <c r="B1019" t="s">
        <v>15</v>
      </c>
      <c r="C1019" t="s">
        <v>65</v>
      </c>
      <c r="D1019">
        <v>468.34</v>
      </c>
      <c r="E1019">
        <v>2017</v>
      </c>
      <c r="F1019" t="s">
        <v>64</v>
      </c>
    </row>
    <row r="1020" spans="1:6" x14ac:dyDescent="0.25">
      <c r="A1020" t="s">
        <v>16</v>
      </c>
      <c r="B1020" t="s">
        <v>17</v>
      </c>
      <c r="C1020" t="s">
        <v>65</v>
      </c>
      <c r="D1020">
        <v>8365.9500000000007</v>
      </c>
      <c r="E1020">
        <v>2017</v>
      </c>
      <c r="F1020" t="s">
        <v>64</v>
      </c>
    </row>
    <row r="1021" spans="1:6" x14ac:dyDescent="0.25">
      <c r="A1021" t="s">
        <v>18</v>
      </c>
      <c r="B1021" t="s">
        <v>19</v>
      </c>
      <c r="C1021" t="s">
        <v>65</v>
      </c>
      <c r="D1021">
        <v>2463.48</v>
      </c>
      <c r="E1021">
        <v>2017</v>
      </c>
      <c r="F1021" t="s">
        <v>64</v>
      </c>
    </row>
    <row r="1022" spans="1:6" x14ac:dyDescent="0.25">
      <c r="A1022" t="s">
        <v>20</v>
      </c>
      <c r="B1022" t="s">
        <v>21</v>
      </c>
      <c r="C1022" t="s">
        <v>65</v>
      </c>
      <c r="D1022">
        <v>1239.9000000000001</v>
      </c>
      <c r="E1022">
        <v>2017</v>
      </c>
      <c r="F1022" t="s">
        <v>64</v>
      </c>
    </row>
    <row r="1023" spans="1:6" x14ac:dyDescent="0.25">
      <c r="A1023" t="s">
        <v>22</v>
      </c>
      <c r="B1023" t="s">
        <v>23</v>
      </c>
      <c r="C1023" t="s">
        <v>65</v>
      </c>
      <c r="D1023">
        <v>963.93</v>
      </c>
      <c r="E1023">
        <v>2017</v>
      </c>
      <c r="F1023" t="s">
        <v>64</v>
      </c>
    </row>
    <row r="1024" spans="1:6" x14ac:dyDescent="0.25">
      <c r="A1024" t="s">
        <v>24</v>
      </c>
      <c r="B1024" t="s">
        <v>25</v>
      </c>
      <c r="C1024" t="s">
        <v>65</v>
      </c>
      <c r="D1024">
        <v>8348.64</v>
      </c>
      <c r="E1024">
        <v>2017</v>
      </c>
      <c r="F1024" t="s">
        <v>64</v>
      </c>
    </row>
    <row r="1025" spans="1:6" x14ac:dyDescent="0.25">
      <c r="A1025" t="s">
        <v>26</v>
      </c>
      <c r="B1025" t="s">
        <v>27</v>
      </c>
      <c r="C1025" t="s">
        <v>65</v>
      </c>
      <c r="D1025">
        <v>608.28</v>
      </c>
      <c r="E1025">
        <v>2017</v>
      </c>
      <c r="F1025" t="s">
        <v>64</v>
      </c>
    </row>
    <row r="1026" spans="1:6" x14ac:dyDescent="0.25">
      <c r="A1026" t="s">
        <v>28</v>
      </c>
      <c r="B1026" t="s">
        <v>29</v>
      </c>
      <c r="C1026" t="s">
        <v>65</v>
      </c>
      <c r="D1026">
        <v>17311.740000000002</v>
      </c>
      <c r="E1026">
        <v>2017</v>
      </c>
      <c r="F1026" t="s">
        <v>64</v>
      </c>
    </row>
    <row r="1027" spans="1:6" x14ac:dyDescent="0.25">
      <c r="A1027" t="s">
        <v>30</v>
      </c>
      <c r="B1027" t="s">
        <v>31</v>
      </c>
      <c r="C1027" t="s">
        <v>65</v>
      </c>
      <c r="D1027">
        <v>30995.87</v>
      </c>
      <c r="E1027">
        <v>2017</v>
      </c>
      <c r="F1027" t="s">
        <v>64</v>
      </c>
    </row>
    <row r="1028" spans="1:6" x14ac:dyDescent="0.25">
      <c r="A1028" t="s">
        <v>32</v>
      </c>
      <c r="B1028" t="s">
        <v>33</v>
      </c>
      <c r="C1028" t="s">
        <v>65</v>
      </c>
      <c r="D1028">
        <v>885</v>
      </c>
      <c r="E1028">
        <v>2017</v>
      </c>
      <c r="F1028" t="s">
        <v>64</v>
      </c>
    </row>
    <row r="1029" spans="1:6" x14ac:dyDescent="0.25">
      <c r="A1029" t="s">
        <v>34</v>
      </c>
      <c r="B1029" t="s">
        <v>35</v>
      </c>
      <c r="C1029" t="s">
        <v>65</v>
      </c>
      <c r="D1029">
        <v>12296.61</v>
      </c>
      <c r="E1029">
        <v>2017</v>
      </c>
      <c r="F1029" t="s">
        <v>64</v>
      </c>
    </row>
    <row r="1030" spans="1:6" x14ac:dyDescent="0.25">
      <c r="A1030" t="s">
        <v>36</v>
      </c>
      <c r="B1030" t="s">
        <v>37</v>
      </c>
      <c r="C1030" t="s">
        <v>65</v>
      </c>
      <c r="D1030">
        <v>14063.77</v>
      </c>
      <c r="E1030">
        <v>2017</v>
      </c>
      <c r="F1030" t="s">
        <v>64</v>
      </c>
    </row>
    <row r="1031" spans="1:6" x14ac:dyDescent="0.25">
      <c r="A1031" t="s">
        <v>38</v>
      </c>
      <c r="B1031" t="s">
        <v>39</v>
      </c>
      <c r="C1031" t="s">
        <v>65</v>
      </c>
      <c r="D1031">
        <v>22198.91</v>
      </c>
      <c r="E1031">
        <v>2017</v>
      </c>
      <c r="F1031" t="s">
        <v>64</v>
      </c>
    </row>
    <row r="1032" spans="1:6" x14ac:dyDescent="0.25">
      <c r="A1032" t="s">
        <v>40</v>
      </c>
      <c r="B1032" t="s">
        <v>41</v>
      </c>
      <c r="C1032" t="s">
        <v>65</v>
      </c>
      <c r="D1032">
        <v>13376.45</v>
      </c>
      <c r="E1032">
        <v>2017</v>
      </c>
      <c r="F1032" t="s">
        <v>64</v>
      </c>
    </row>
    <row r="1033" spans="1:6" x14ac:dyDescent="0.25">
      <c r="A1033" t="s">
        <v>42</v>
      </c>
      <c r="B1033" t="s">
        <v>43</v>
      </c>
      <c r="C1033" t="s">
        <v>65</v>
      </c>
      <c r="D1033">
        <v>4429.29</v>
      </c>
      <c r="E1033">
        <v>2017</v>
      </c>
      <c r="F1033" t="s">
        <v>64</v>
      </c>
    </row>
    <row r="1034" spans="1:6" x14ac:dyDescent="0.25">
      <c r="A1034" t="s">
        <v>44</v>
      </c>
      <c r="B1034" t="s">
        <v>45</v>
      </c>
      <c r="C1034" t="s">
        <v>65</v>
      </c>
      <c r="D1034">
        <v>19049.439999999999</v>
      </c>
      <c r="E1034">
        <v>2017</v>
      </c>
      <c r="F1034" t="s">
        <v>64</v>
      </c>
    </row>
    <row r="1035" spans="1:6" x14ac:dyDescent="0.25">
      <c r="A1035" t="s">
        <v>46</v>
      </c>
      <c r="B1035" t="s">
        <v>47</v>
      </c>
      <c r="C1035" t="s">
        <v>65</v>
      </c>
      <c r="D1035">
        <v>26147.74</v>
      </c>
      <c r="E1035">
        <v>2017</v>
      </c>
      <c r="F1035" t="s">
        <v>64</v>
      </c>
    </row>
    <row r="1036" spans="1:6" x14ac:dyDescent="0.25">
      <c r="A1036" t="s">
        <v>48</v>
      </c>
      <c r="B1036" t="s">
        <v>49</v>
      </c>
      <c r="C1036" t="s">
        <v>65</v>
      </c>
      <c r="D1036">
        <v>60638.46</v>
      </c>
      <c r="E1036">
        <v>2017</v>
      </c>
      <c r="F1036" t="s">
        <v>64</v>
      </c>
    </row>
    <row r="1037" spans="1:6" x14ac:dyDescent="0.25">
      <c r="A1037" t="s">
        <v>50</v>
      </c>
      <c r="B1037" t="s">
        <v>51</v>
      </c>
      <c r="C1037" t="s">
        <v>65</v>
      </c>
      <c r="D1037">
        <v>590.03</v>
      </c>
      <c r="E1037">
        <v>2017</v>
      </c>
      <c r="F1037" t="s">
        <v>64</v>
      </c>
    </row>
    <row r="1038" spans="1:6" x14ac:dyDescent="0.25">
      <c r="A1038" t="s">
        <v>52</v>
      </c>
      <c r="B1038" t="s">
        <v>53</v>
      </c>
      <c r="C1038" t="s">
        <v>65</v>
      </c>
      <c r="D1038">
        <v>442.23</v>
      </c>
      <c r="E1038">
        <v>2017</v>
      </c>
      <c r="F1038" t="s">
        <v>64</v>
      </c>
    </row>
    <row r="1039" spans="1:6" x14ac:dyDescent="0.25">
      <c r="A1039" t="s">
        <v>54</v>
      </c>
      <c r="B1039" t="s">
        <v>55</v>
      </c>
      <c r="C1039" t="s">
        <v>65</v>
      </c>
      <c r="D1039">
        <v>331.37</v>
      </c>
      <c r="E1039">
        <v>2017</v>
      </c>
      <c r="F1039" t="s">
        <v>64</v>
      </c>
    </row>
    <row r="1040" spans="1:6" x14ac:dyDescent="0.25">
      <c r="A1040" t="s">
        <v>56</v>
      </c>
      <c r="B1040" t="s">
        <v>57</v>
      </c>
      <c r="C1040" t="s">
        <v>65</v>
      </c>
      <c r="E1040">
        <v>2017</v>
      </c>
      <c r="F1040" t="s">
        <v>64</v>
      </c>
    </row>
    <row r="1041" spans="1:6" x14ac:dyDescent="0.25">
      <c r="A1041" t="s">
        <v>58</v>
      </c>
      <c r="B1041" t="s">
        <v>59</v>
      </c>
      <c r="C1041" t="s">
        <v>65</v>
      </c>
      <c r="E1041">
        <v>2017</v>
      </c>
      <c r="F1041" t="s">
        <v>64</v>
      </c>
    </row>
    <row r="1042" spans="1:6" x14ac:dyDescent="0.25">
      <c r="A1042" t="s">
        <v>6</v>
      </c>
      <c r="B1042" t="s">
        <v>7</v>
      </c>
      <c r="C1042" t="s">
        <v>62</v>
      </c>
      <c r="D1042">
        <v>54390.44</v>
      </c>
      <c r="E1042">
        <v>2017</v>
      </c>
      <c r="F1042" t="s">
        <v>64</v>
      </c>
    </row>
    <row r="1043" spans="1:6" x14ac:dyDescent="0.25">
      <c r="A1043" t="s">
        <v>10</v>
      </c>
      <c r="B1043" t="s">
        <v>11</v>
      </c>
      <c r="C1043" t="s">
        <v>62</v>
      </c>
      <c r="D1043">
        <v>22845.49</v>
      </c>
      <c r="E1043">
        <v>2017</v>
      </c>
      <c r="F1043" t="s">
        <v>64</v>
      </c>
    </row>
    <row r="1044" spans="1:6" x14ac:dyDescent="0.25">
      <c r="A1044" t="s">
        <v>12</v>
      </c>
      <c r="B1044" t="s">
        <v>13</v>
      </c>
      <c r="C1044" t="s">
        <v>62</v>
      </c>
      <c r="D1044">
        <v>1734.82</v>
      </c>
      <c r="E1044">
        <v>2017</v>
      </c>
      <c r="F1044" t="s">
        <v>64</v>
      </c>
    </row>
    <row r="1045" spans="1:6" x14ac:dyDescent="0.25">
      <c r="A1045" t="s">
        <v>14</v>
      </c>
      <c r="B1045" t="s">
        <v>15</v>
      </c>
      <c r="C1045" t="s">
        <v>62</v>
      </c>
      <c r="E1045">
        <v>2017</v>
      </c>
      <c r="F1045" t="s">
        <v>64</v>
      </c>
    </row>
    <row r="1046" spans="1:6" x14ac:dyDescent="0.25">
      <c r="A1046" t="s">
        <v>16</v>
      </c>
      <c r="B1046" t="s">
        <v>17</v>
      </c>
      <c r="C1046" t="s">
        <v>62</v>
      </c>
      <c r="D1046">
        <v>1386.13</v>
      </c>
      <c r="E1046">
        <v>2017</v>
      </c>
      <c r="F1046" t="s">
        <v>64</v>
      </c>
    </row>
    <row r="1047" spans="1:6" x14ac:dyDescent="0.25">
      <c r="A1047" t="s">
        <v>18</v>
      </c>
      <c r="B1047" t="s">
        <v>19</v>
      </c>
      <c r="C1047" t="s">
        <v>62</v>
      </c>
      <c r="D1047">
        <v>1423.12</v>
      </c>
      <c r="E1047">
        <v>2017</v>
      </c>
      <c r="F1047" t="s">
        <v>64</v>
      </c>
    </row>
    <row r="1048" spans="1:6" x14ac:dyDescent="0.25">
      <c r="A1048" t="s">
        <v>20</v>
      </c>
      <c r="B1048" t="s">
        <v>21</v>
      </c>
      <c r="C1048" t="s">
        <v>62</v>
      </c>
      <c r="D1048">
        <v>256.02</v>
      </c>
      <c r="E1048">
        <v>2017</v>
      </c>
      <c r="F1048" t="s">
        <v>64</v>
      </c>
    </row>
    <row r="1049" spans="1:6" x14ac:dyDescent="0.25">
      <c r="A1049" t="s">
        <v>22</v>
      </c>
      <c r="B1049" t="s">
        <v>23</v>
      </c>
      <c r="C1049" t="s">
        <v>62</v>
      </c>
      <c r="D1049">
        <v>236.82</v>
      </c>
      <c r="E1049">
        <v>2017</v>
      </c>
      <c r="F1049" t="s">
        <v>64</v>
      </c>
    </row>
    <row r="1050" spans="1:6" x14ac:dyDescent="0.25">
      <c r="A1050" t="s">
        <v>24</v>
      </c>
      <c r="B1050" t="s">
        <v>25</v>
      </c>
      <c r="C1050" t="s">
        <v>62</v>
      </c>
      <c r="D1050">
        <v>880.04</v>
      </c>
      <c r="E1050">
        <v>2017</v>
      </c>
      <c r="F1050" t="s">
        <v>64</v>
      </c>
    </row>
    <row r="1051" spans="1:6" x14ac:dyDescent="0.25">
      <c r="A1051" t="s">
        <v>26</v>
      </c>
      <c r="B1051" t="s">
        <v>27</v>
      </c>
      <c r="C1051" t="s">
        <v>62</v>
      </c>
      <c r="D1051">
        <v>571.4</v>
      </c>
      <c r="E1051">
        <v>2017</v>
      </c>
      <c r="F1051" t="s">
        <v>64</v>
      </c>
    </row>
    <row r="1052" spans="1:6" x14ac:dyDescent="0.25">
      <c r="A1052" t="s">
        <v>28</v>
      </c>
      <c r="B1052" t="s">
        <v>29</v>
      </c>
      <c r="C1052" t="s">
        <v>62</v>
      </c>
      <c r="D1052">
        <v>5015.7299999999996</v>
      </c>
      <c r="E1052">
        <v>2017</v>
      </c>
      <c r="F1052" t="s">
        <v>64</v>
      </c>
    </row>
    <row r="1053" spans="1:6" x14ac:dyDescent="0.25">
      <c r="A1053" t="s">
        <v>30</v>
      </c>
      <c r="B1053" t="s">
        <v>31</v>
      </c>
      <c r="C1053" t="s">
        <v>62</v>
      </c>
      <c r="D1053">
        <v>3752.56</v>
      </c>
      <c r="E1053">
        <v>2017</v>
      </c>
      <c r="F1053" t="s">
        <v>64</v>
      </c>
    </row>
    <row r="1054" spans="1:6" x14ac:dyDescent="0.25">
      <c r="A1054" t="s">
        <v>32</v>
      </c>
      <c r="B1054" t="s">
        <v>33</v>
      </c>
      <c r="C1054" t="s">
        <v>62</v>
      </c>
      <c r="D1054">
        <v>604.20000000000005</v>
      </c>
      <c r="E1054">
        <v>2017</v>
      </c>
      <c r="F1054" t="s">
        <v>64</v>
      </c>
    </row>
    <row r="1055" spans="1:6" x14ac:dyDescent="0.25">
      <c r="A1055" t="s">
        <v>34</v>
      </c>
      <c r="B1055" t="s">
        <v>35</v>
      </c>
      <c r="C1055" t="s">
        <v>62</v>
      </c>
      <c r="D1055">
        <v>2820.5</v>
      </c>
      <c r="E1055">
        <v>2017</v>
      </c>
      <c r="F1055" t="s">
        <v>64</v>
      </c>
    </row>
    <row r="1056" spans="1:6" x14ac:dyDescent="0.25">
      <c r="A1056" t="s">
        <v>36</v>
      </c>
      <c r="B1056" t="s">
        <v>37</v>
      </c>
      <c r="C1056" t="s">
        <v>62</v>
      </c>
      <c r="D1056">
        <v>2922.96</v>
      </c>
      <c r="E1056">
        <v>2017</v>
      </c>
      <c r="F1056" t="s">
        <v>64</v>
      </c>
    </row>
    <row r="1057" spans="1:6" x14ac:dyDescent="0.25">
      <c r="A1057" t="s">
        <v>38</v>
      </c>
      <c r="B1057" t="s">
        <v>39</v>
      </c>
      <c r="C1057" t="s">
        <v>62</v>
      </c>
      <c r="D1057">
        <v>5056.6499999999996</v>
      </c>
      <c r="E1057">
        <v>2017</v>
      </c>
      <c r="F1057" t="s">
        <v>64</v>
      </c>
    </row>
    <row r="1058" spans="1:6" x14ac:dyDescent="0.25">
      <c r="A1058" t="s">
        <v>40</v>
      </c>
      <c r="B1058" t="s">
        <v>41</v>
      </c>
      <c r="C1058" t="s">
        <v>62</v>
      </c>
      <c r="D1058">
        <v>1449.19</v>
      </c>
      <c r="E1058">
        <v>2017</v>
      </c>
      <c r="F1058" t="s">
        <v>64</v>
      </c>
    </row>
    <row r="1059" spans="1:6" x14ac:dyDescent="0.25">
      <c r="A1059" t="s">
        <v>42</v>
      </c>
      <c r="B1059" t="s">
        <v>43</v>
      </c>
      <c r="C1059" t="s">
        <v>62</v>
      </c>
      <c r="D1059">
        <v>13.31</v>
      </c>
      <c r="E1059">
        <v>2017</v>
      </c>
      <c r="F1059" t="s">
        <v>64</v>
      </c>
    </row>
    <row r="1060" spans="1:6" x14ac:dyDescent="0.25">
      <c r="A1060" t="s">
        <v>44</v>
      </c>
      <c r="B1060" t="s">
        <v>45</v>
      </c>
      <c r="C1060" t="s">
        <v>62</v>
      </c>
      <c r="D1060">
        <v>593.92999999999995</v>
      </c>
      <c r="E1060">
        <v>2017</v>
      </c>
      <c r="F1060" t="s">
        <v>64</v>
      </c>
    </row>
    <row r="1061" spans="1:6" x14ac:dyDescent="0.25">
      <c r="A1061" t="s">
        <v>46</v>
      </c>
      <c r="B1061" t="s">
        <v>47</v>
      </c>
      <c r="C1061" t="s">
        <v>62</v>
      </c>
      <c r="D1061">
        <v>810.34</v>
      </c>
      <c r="E1061">
        <v>2017</v>
      </c>
      <c r="F1061" t="s">
        <v>64</v>
      </c>
    </row>
    <row r="1062" spans="1:6" x14ac:dyDescent="0.25">
      <c r="A1062" t="s">
        <v>48</v>
      </c>
      <c r="B1062" t="s">
        <v>49</v>
      </c>
      <c r="C1062" t="s">
        <v>62</v>
      </c>
      <c r="D1062">
        <v>348.89</v>
      </c>
      <c r="E1062">
        <v>2017</v>
      </c>
      <c r="F1062" t="s">
        <v>64</v>
      </c>
    </row>
    <row r="1063" spans="1:6" x14ac:dyDescent="0.25">
      <c r="A1063" t="s">
        <v>50</v>
      </c>
      <c r="B1063" t="s">
        <v>51</v>
      </c>
      <c r="C1063" t="s">
        <v>62</v>
      </c>
      <c r="D1063">
        <v>177.55</v>
      </c>
      <c r="E1063">
        <v>2017</v>
      </c>
      <c r="F1063" t="s">
        <v>64</v>
      </c>
    </row>
    <row r="1064" spans="1:6" x14ac:dyDescent="0.25">
      <c r="A1064" t="s">
        <v>52</v>
      </c>
      <c r="B1064" t="s">
        <v>53</v>
      </c>
      <c r="C1064" t="s">
        <v>62</v>
      </c>
      <c r="D1064">
        <v>281.29000000000002</v>
      </c>
      <c r="E1064">
        <v>2017</v>
      </c>
      <c r="F1064" t="s">
        <v>64</v>
      </c>
    </row>
    <row r="1065" spans="1:6" x14ac:dyDescent="0.25">
      <c r="A1065" t="s">
        <v>54</v>
      </c>
      <c r="B1065" t="s">
        <v>55</v>
      </c>
      <c r="C1065" t="s">
        <v>62</v>
      </c>
      <c r="D1065">
        <v>972.93</v>
      </c>
      <c r="E1065">
        <v>2017</v>
      </c>
      <c r="F1065" t="s">
        <v>64</v>
      </c>
    </row>
    <row r="1066" spans="1:6" x14ac:dyDescent="0.25">
      <c r="A1066" t="s">
        <v>56</v>
      </c>
      <c r="B1066" t="s">
        <v>57</v>
      </c>
      <c r="C1066" t="s">
        <v>62</v>
      </c>
      <c r="D1066">
        <v>236.57</v>
      </c>
      <c r="E1066">
        <v>2017</v>
      </c>
      <c r="F1066" t="s">
        <v>64</v>
      </c>
    </row>
    <row r="1067" spans="1:6" x14ac:dyDescent="0.25">
      <c r="A1067" t="s">
        <v>58</v>
      </c>
      <c r="B1067" t="s">
        <v>59</v>
      </c>
      <c r="C1067" t="s">
        <v>62</v>
      </c>
      <c r="E1067">
        <v>2017</v>
      </c>
      <c r="F1067" t="s">
        <v>64</v>
      </c>
    </row>
    <row r="1068" spans="1:6" x14ac:dyDescent="0.25">
      <c r="A1068" t="s">
        <v>6</v>
      </c>
      <c r="B1068" t="s">
        <v>7</v>
      </c>
      <c r="C1068" t="s">
        <v>66</v>
      </c>
      <c r="E1068">
        <v>2017</v>
      </c>
      <c r="F1068" t="s">
        <v>64</v>
      </c>
    </row>
    <row r="1069" spans="1:6" x14ac:dyDescent="0.25">
      <c r="A1069" t="s">
        <v>10</v>
      </c>
      <c r="B1069" t="s">
        <v>11</v>
      </c>
      <c r="C1069" t="s">
        <v>66</v>
      </c>
      <c r="E1069">
        <v>2017</v>
      </c>
      <c r="F1069" t="s">
        <v>64</v>
      </c>
    </row>
    <row r="1070" spans="1:6" x14ac:dyDescent="0.25">
      <c r="A1070" t="s">
        <v>12</v>
      </c>
      <c r="B1070" t="s">
        <v>13</v>
      </c>
      <c r="C1070" t="s">
        <v>66</v>
      </c>
      <c r="E1070">
        <v>2017</v>
      </c>
      <c r="F1070" t="s">
        <v>64</v>
      </c>
    </row>
    <row r="1071" spans="1:6" x14ac:dyDescent="0.25">
      <c r="A1071" t="s">
        <v>14</v>
      </c>
      <c r="B1071" t="s">
        <v>15</v>
      </c>
      <c r="C1071" t="s">
        <v>66</v>
      </c>
      <c r="E1071">
        <v>2017</v>
      </c>
      <c r="F1071" t="s">
        <v>64</v>
      </c>
    </row>
    <row r="1072" spans="1:6" x14ac:dyDescent="0.25">
      <c r="A1072" t="s">
        <v>16</v>
      </c>
      <c r="B1072" t="s">
        <v>17</v>
      </c>
      <c r="C1072" t="s">
        <v>66</v>
      </c>
      <c r="E1072">
        <v>2017</v>
      </c>
      <c r="F1072" t="s">
        <v>64</v>
      </c>
    </row>
    <row r="1073" spans="1:6" x14ac:dyDescent="0.25">
      <c r="A1073" t="s">
        <v>18</v>
      </c>
      <c r="B1073" t="s">
        <v>19</v>
      </c>
      <c r="C1073" t="s">
        <v>66</v>
      </c>
      <c r="E1073">
        <v>2017</v>
      </c>
      <c r="F1073" t="s">
        <v>64</v>
      </c>
    </row>
    <row r="1074" spans="1:6" x14ac:dyDescent="0.25">
      <c r="A1074" t="s">
        <v>20</v>
      </c>
      <c r="B1074" t="s">
        <v>21</v>
      </c>
      <c r="C1074" t="s">
        <v>66</v>
      </c>
      <c r="E1074">
        <v>2017</v>
      </c>
      <c r="F1074" t="s">
        <v>64</v>
      </c>
    </row>
    <row r="1075" spans="1:6" x14ac:dyDescent="0.25">
      <c r="A1075" t="s">
        <v>22</v>
      </c>
      <c r="B1075" t="s">
        <v>23</v>
      </c>
      <c r="C1075" t="s">
        <v>66</v>
      </c>
      <c r="E1075">
        <v>2017</v>
      </c>
      <c r="F1075" t="s">
        <v>64</v>
      </c>
    </row>
    <row r="1076" spans="1:6" x14ac:dyDescent="0.25">
      <c r="A1076" t="s">
        <v>24</v>
      </c>
      <c r="B1076" t="s">
        <v>25</v>
      </c>
      <c r="C1076" t="s">
        <v>66</v>
      </c>
      <c r="E1076">
        <v>2017</v>
      </c>
      <c r="F1076" t="s">
        <v>64</v>
      </c>
    </row>
    <row r="1077" spans="1:6" x14ac:dyDescent="0.25">
      <c r="A1077" t="s">
        <v>26</v>
      </c>
      <c r="B1077" t="s">
        <v>27</v>
      </c>
      <c r="C1077" t="s">
        <v>66</v>
      </c>
      <c r="E1077">
        <v>2017</v>
      </c>
      <c r="F1077" t="s">
        <v>64</v>
      </c>
    </row>
    <row r="1078" spans="1:6" x14ac:dyDescent="0.25">
      <c r="A1078" t="s">
        <v>28</v>
      </c>
      <c r="B1078" t="s">
        <v>29</v>
      </c>
      <c r="C1078" t="s">
        <v>66</v>
      </c>
      <c r="E1078">
        <v>2017</v>
      </c>
      <c r="F1078" t="s">
        <v>64</v>
      </c>
    </row>
    <row r="1079" spans="1:6" x14ac:dyDescent="0.25">
      <c r="A1079" t="s">
        <v>30</v>
      </c>
      <c r="B1079" t="s">
        <v>31</v>
      </c>
      <c r="C1079" t="s">
        <v>66</v>
      </c>
      <c r="E1079">
        <v>2017</v>
      </c>
      <c r="F1079" t="s">
        <v>64</v>
      </c>
    </row>
    <row r="1080" spans="1:6" x14ac:dyDescent="0.25">
      <c r="A1080" t="s">
        <v>32</v>
      </c>
      <c r="B1080" t="s">
        <v>33</v>
      </c>
      <c r="C1080" t="s">
        <v>66</v>
      </c>
      <c r="E1080">
        <v>2017</v>
      </c>
      <c r="F1080" t="s">
        <v>64</v>
      </c>
    </row>
    <row r="1081" spans="1:6" x14ac:dyDescent="0.25">
      <c r="A1081" t="s">
        <v>34</v>
      </c>
      <c r="B1081" t="s">
        <v>35</v>
      </c>
      <c r="C1081" t="s">
        <v>66</v>
      </c>
      <c r="E1081">
        <v>2017</v>
      </c>
      <c r="F1081" t="s">
        <v>64</v>
      </c>
    </row>
    <row r="1082" spans="1:6" x14ac:dyDescent="0.25">
      <c r="A1082" t="s">
        <v>36</v>
      </c>
      <c r="B1082" t="s">
        <v>37</v>
      </c>
      <c r="C1082" t="s">
        <v>66</v>
      </c>
      <c r="E1082">
        <v>2017</v>
      </c>
      <c r="F1082" t="s">
        <v>64</v>
      </c>
    </row>
    <row r="1083" spans="1:6" x14ac:dyDescent="0.25">
      <c r="A1083" t="s">
        <v>38</v>
      </c>
      <c r="B1083" t="s">
        <v>39</v>
      </c>
      <c r="C1083" t="s">
        <v>66</v>
      </c>
      <c r="E1083">
        <v>2017</v>
      </c>
      <c r="F1083" t="s">
        <v>64</v>
      </c>
    </row>
    <row r="1084" spans="1:6" x14ac:dyDescent="0.25">
      <c r="A1084" t="s">
        <v>40</v>
      </c>
      <c r="B1084" t="s">
        <v>41</v>
      </c>
      <c r="C1084" t="s">
        <v>66</v>
      </c>
      <c r="E1084">
        <v>2017</v>
      </c>
      <c r="F1084" t="s">
        <v>64</v>
      </c>
    </row>
    <row r="1085" spans="1:6" x14ac:dyDescent="0.25">
      <c r="A1085" t="s">
        <v>42</v>
      </c>
      <c r="B1085" t="s">
        <v>43</v>
      </c>
      <c r="C1085" t="s">
        <v>66</v>
      </c>
      <c r="E1085">
        <v>2017</v>
      </c>
      <c r="F1085" t="s">
        <v>64</v>
      </c>
    </row>
    <row r="1086" spans="1:6" x14ac:dyDescent="0.25">
      <c r="A1086" t="s">
        <v>44</v>
      </c>
      <c r="B1086" t="s">
        <v>45</v>
      </c>
      <c r="C1086" t="s">
        <v>66</v>
      </c>
      <c r="E1086">
        <v>2017</v>
      </c>
      <c r="F1086" t="s">
        <v>64</v>
      </c>
    </row>
    <row r="1087" spans="1:6" x14ac:dyDescent="0.25">
      <c r="A1087" t="s">
        <v>46</v>
      </c>
      <c r="B1087" t="s">
        <v>47</v>
      </c>
      <c r="C1087" t="s">
        <v>66</v>
      </c>
      <c r="E1087">
        <v>2017</v>
      </c>
      <c r="F1087" t="s">
        <v>64</v>
      </c>
    </row>
    <row r="1088" spans="1:6" x14ac:dyDescent="0.25">
      <c r="A1088" t="s">
        <v>48</v>
      </c>
      <c r="B1088" t="s">
        <v>49</v>
      </c>
      <c r="C1088" t="s">
        <v>66</v>
      </c>
      <c r="E1088">
        <v>2017</v>
      </c>
      <c r="F1088" t="s">
        <v>64</v>
      </c>
    </row>
    <row r="1089" spans="1:6" x14ac:dyDescent="0.25">
      <c r="A1089" t="s">
        <v>50</v>
      </c>
      <c r="B1089" t="s">
        <v>51</v>
      </c>
      <c r="C1089" t="s">
        <v>66</v>
      </c>
      <c r="E1089">
        <v>2017</v>
      </c>
      <c r="F1089" t="s">
        <v>64</v>
      </c>
    </row>
    <row r="1090" spans="1:6" x14ac:dyDescent="0.25">
      <c r="A1090" t="s">
        <v>52</v>
      </c>
      <c r="B1090" t="s">
        <v>53</v>
      </c>
      <c r="C1090" t="s">
        <v>66</v>
      </c>
      <c r="E1090">
        <v>2017</v>
      </c>
      <c r="F1090" t="s">
        <v>64</v>
      </c>
    </row>
    <row r="1091" spans="1:6" x14ac:dyDescent="0.25">
      <c r="A1091" t="s">
        <v>54</v>
      </c>
      <c r="B1091" t="s">
        <v>55</v>
      </c>
      <c r="C1091" t="s">
        <v>66</v>
      </c>
      <c r="E1091">
        <v>2017</v>
      </c>
      <c r="F1091" t="s">
        <v>64</v>
      </c>
    </row>
    <row r="1092" spans="1:6" x14ac:dyDescent="0.25">
      <c r="A1092" t="s">
        <v>56</v>
      </c>
      <c r="B1092" t="s">
        <v>57</v>
      </c>
      <c r="C1092" t="s">
        <v>66</v>
      </c>
      <c r="E1092">
        <v>2017</v>
      </c>
      <c r="F1092" t="s">
        <v>64</v>
      </c>
    </row>
    <row r="1093" spans="1:6" x14ac:dyDescent="0.25">
      <c r="A1093" t="s">
        <v>58</v>
      </c>
      <c r="B1093" t="s">
        <v>59</v>
      </c>
      <c r="C1093" t="s">
        <v>66</v>
      </c>
      <c r="E1093">
        <v>2017</v>
      </c>
      <c r="F1093" t="s">
        <v>64</v>
      </c>
    </row>
    <row r="1094" spans="1:6" x14ac:dyDescent="0.25">
      <c r="A1094" t="s">
        <v>6</v>
      </c>
      <c r="B1094" t="s">
        <v>7</v>
      </c>
      <c r="C1094" t="s">
        <v>63</v>
      </c>
      <c r="D1094">
        <v>584580.31000000006</v>
      </c>
      <c r="E1094">
        <v>2018</v>
      </c>
      <c r="F1094" t="s">
        <v>64</v>
      </c>
    </row>
    <row r="1095" spans="1:6" x14ac:dyDescent="0.25">
      <c r="A1095" t="s">
        <v>10</v>
      </c>
      <c r="B1095" t="s">
        <v>11</v>
      </c>
      <c r="C1095" t="s">
        <v>63</v>
      </c>
      <c r="D1095">
        <v>137127.13</v>
      </c>
      <c r="E1095">
        <v>2018</v>
      </c>
      <c r="F1095" t="s">
        <v>64</v>
      </c>
    </row>
    <row r="1096" spans="1:6" x14ac:dyDescent="0.25">
      <c r="A1096" t="s">
        <v>12</v>
      </c>
      <c r="B1096" t="s">
        <v>13</v>
      </c>
      <c r="C1096" t="s">
        <v>63</v>
      </c>
      <c r="D1096">
        <v>15598.71</v>
      </c>
      <c r="E1096">
        <v>2018</v>
      </c>
      <c r="F1096" t="s">
        <v>64</v>
      </c>
    </row>
    <row r="1097" spans="1:6" x14ac:dyDescent="0.25">
      <c r="A1097" t="s">
        <v>14</v>
      </c>
      <c r="B1097" t="s">
        <v>15</v>
      </c>
      <c r="C1097" t="s">
        <v>63</v>
      </c>
      <c r="D1097">
        <v>2745.97</v>
      </c>
      <c r="E1097">
        <v>2018</v>
      </c>
      <c r="F1097" t="s">
        <v>64</v>
      </c>
    </row>
    <row r="1098" spans="1:6" x14ac:dyDescent="0.25">
      <c r="A1098" t="s">
        <v>16</v>
      </c>
      <c r="B1098" t="s">
        <v>17</v>
      </c>
      <c r="C1098" t="s">
        <v>63</v>
      </c>
      <c r="D1098">
        <v>8426.5400000000009</v>
      </c>
      <c r="E1098">
        <v>2018</v>
      </c>
      <c r="F1098" t="s">
        <v>64</v>
      </c>
    </row>
    <row r="1099" spans="1:6" x14ac:dyDescent="0.25">
      <c r="A1099" t="s">
        <v>18</v>
      </c>
      <c r="B1099" t="s">
        <v>19</v>
      </c>
      <c r="C1099" t="s">
        <v>63</v>
      </c>
      <c r="D1099">
        <v>6212.52</v>
      </c>
      <c r="E1099">
        <v>2018</v>
      </c>
      <c r="F1099" t="s">
        <v>64</v>
      </c>
    </row>
    <row r="1100" spans="1:6" x14ac:dyDescent="0.25">
      <c r="A1100" t="s">
        <v>20</v>
      </c>
      <c r="B1100" t="s">
        <v>21</v>
      </c>
      <c r="C1100" t="s">
        <v>63</v>
      </c>
      <c r="D1100">
        <v>6067.1</v>
      </c>
      <c r="E1100">
        <v>2018</v>
      </c>
      <c r="F1100" t="s">
        <v>64</v>
      </c>
    </row>
    <row r="1101" spans="1:6" x14ac:dyDescent="0.25">
      <c r="A1101" t="s">
        <v>22</v>
      </c>
      <c r="B1101" t="s">
        <v>23</v>
      </c>
      <c r="C1101" t="s">
        <v>63</v>
      </c>
      <c r="D1101">
        <v>4657.38</v>
      </c>
      <c r="E1101">
        <v>2018</v>
      </c>
      <c r="F1101" t="s">
        <v>64</v>
      </c>
    </row>
    <row r="1102" spans="1:6" x14ac:dyDescent="0.25">
      <c r="A1102" t="s">
        <v>24</v>
      </c>
      <c r="B1102" t="s">
        <v>25</v>
      </c>
      <c r="C1102" t="s">
        <v>63</v>
      </c>
      <c r="D1102">
        <v>18905.669999999998</v>
      </c>
      <c r="E1102">
        <v>2018</v>
      </c>
      <c r="F1102" t="s">
        <v>64</v>
      </c>
    </row>
    <row r="1103" spans="1:6" x14ac:dyDescent="0.25">
      <c r="A1103" t="s">
        <v>26</v>
      </c>
      <c r="B1103" t="s">
        <v>27</v>
      </c>
      <c r="C1103" t="s">
        <v>63</v>
      </c>
      <c r="D1103">
        <v>1735.4</v>
      </c>
      <c r="E1103">
        <v>2018</v>
      </c>
      <c r="F1103" t="s">
        <v>64</v>
      </c>
    </row>
    <row r="1104" spans="1:6" x14ac:dyDescent="0.25">
      <c r="A1104" t="s">
        <v>28</v>
      </c>
      <c r="B1104" t="s">
        <v>29</v>
      </c>
      <c r="C1104" t="s">
        <v>63</v>
      </c>
      <c r="D1104">
        <v>52474.080000000002</v>
      </c>
      <c r="E1104">
        <v>2018</v>
      </c>
      <c r="F1104" t="s">
        <v>64</v>
      </c>
    </row>
    <row r="1105" spans="1:6" x14ac:dyDescent="0.25">
      <c r="A1105" t="s">
        <v>30</v>
      </c>
      <c r="B1105" t="s">
        <v>31</v>
      </c>
      <c r="C1105" t="s">
        <v>63</v>
      </c>
      <c r="D1105">
        <v>75162.350000000006</v>
      </c>
      <c r="E1105">
        <v>2018</v>
      </c>
      <c r="F1105" t="s">
        <v>64</v>
      </c>
    </row>
    <row r="1106" spans="1:6" x14ac:dyDescent="0.25">
      <c r="A1106" t="s">
        <v>32</v>
      </c>
      <c r="B1106" t="s">
        <v>33</v>
      </c>
      <c r="C1106" t="s">
        <v>63</v>
      </c>
      <c r="D1106">
        <v>10484.01</v>
      </c>
      <c r="E1106">
        <v>2018</v>
      </c>
      <c r="F1106" t="s">
        <v>64</v>
      </c>
    </row>
    <row r="1107" spans="1:6" x14ac:dyDescent="0.25">
      <c r="A1107" t="s">
        <v>34</v>
      </c>
      <c r="B1107" t="s">
        <v>35</v>
      </c>
      <c r="C1107" t="s">
        <v>63</v>
      </c>
      <c r="D1107">
        <v>20663.259999999998</v>
      </c>
      <c r="E1107">
        <v>2018</v>
      </c>
      <c r="F1107" t="s">
        <v>64</v>
      </c>
    </row>
    <row r="1108" spans="1:6" x14ac:dyDescent="0.25">
      <c r="A1108" t="s">
        <v>36</v>
      </c>
      <c r="B1108" t="s">
        <v>37</v>
      </c>
      <c r="C1108" t="s">
        <v>63</v>
      </c>
      <c r="D1108">
        <v>13962.21</v>
      </c>
      <c r="E1108">
        <v>2018</v>
      </c>
      <c r="F1108" t="s">
        <v>64</v>
      </c>
    </row>
    <row r="1109" spans="1:6" x14ac:dyDescent="0.25">
      <c r="A1109" t="s">
        <v>38</v>
      </c>
      <c r="B1109" t="s">
        <v>39</v>
      </c>
      <c r="C1109" t="s">
        <v>63</v>
      </c>
      <c r="D1109">
        <v>48814.3</v>
      </c>
      <c r="E1109">
        <v>2018</v>
      </c>
      <c r="F1109" t="s">
        <v>64</v>
      </c>
    </row>
    <row r="1110" spans="1:6" x14ac:dyDescent="0.25">
      <c r="A1110" t="s">
        <v>40</v>
      </c>
      <c r="B1110" t="s">
        <v>41</v>
      </c>
      <c r="C1110" t="s">
        <v>63</v>
      </c>
      <c r="D1110">
        <v>14702.52</v>
      </c>
      <c r="E1110">
        <v>2018</v>
      </c>
      <c r="F1110" t="s">
        <v>64</v>
      </c>
    </row>
    <row r="1111" spans="1:6" x14ac:dyDescent="0.25">
      <c r="A1111" t="s">
        <v>42</v>
      </c>
      <c r="B1111" t="s">
        <v>43</v>
      </c>
      <c r="C1111" t="s">
        <v>63</v>
      </c>
      <c r="D1111">
        <v>23405.08</v>
      </c>
      <c r="E1111">
        <v>2018</v>
      </c>
      <c r="F1111" t="s">
        <v>64</v>
      </c>
    </row>
    <row r="1112" spans="1:6" x14ac:dyDescent="0.25">
      <c r="A1112" t="s">
        <v>44</v>
      </c>
      <c r="B1112" t="s">
        <v>45</v>
      </c>
      <c r="C1112" t="s">
        <v>63</v>
      </c>
      <c r="D1112">
        <v>15011.44</v>
      </c>
      <c r="E1112">
        <v>2018</v>
      </c>
      <c r="F1112" t="s">
        <v>64</v>
      </c>
    </row>
    <row r="1113" spans="1:6" x14ac:dyDescent="0.25">
      <c r="A1113" t="s">
        <v>46</v>
      </c>
      <c r="B1113" t="s">
        <v>47</v>
      </c>
      <c r="C1113" t="s">
        <v>63</v>
      </c>
      <c r="D1113">
        <v>23068.36</v>
      </c>
      <c r="E1113">
        <v>2018</v>
      </c>
      <c r="F1113" t="s">
        <v>64</v>
      </c>
    </row>
    <row r="1114" spans="1:6" x14ac:dyDescent="0.25">
      <c r="A1114" t="s">
        <v>48</v>
      </c>
      <c r="B1114" t="s">
        <v>49</v>
      </c>
      <c r="C1114" t="s">
        <v>63</v>
      </c>
      <c r="D1114">
        <v>63722.52</v>
      </c>
      <c r="E1114">
        <v>2018</v>
      </c>
      <c r="F1114" t="s">
        <v>64</v>
      </c>
    </row>
    <row r="1115" spans="1:6" x14ac:dyDescent="0.25">
      <c r="A1115" t="s">
        <v>50</v>
      </c>
      <c r="B1115" t="s">
        <v>51</v>
      </c>
      <c r="C1115" t="s">
        <v>63</v>
      </c>
      <c r="D1115">
        <v>8242.01</v>
      </c>
      <c r="E1115">
        <v>2018</v>
      </c>
      <c r="F1115" t="s">
        <v>64</v>
      </c>
    </row>
    <row r="1116" spans="1:6" x14ac:dyDescent="0.25">
      <c r="A1116" t="s">
        <v>52</v>
      </c>
      <c r="B1116" t="s">
        <v>53</v>
      </c>
      <c r="C1116" t="s">
        <v>63</v>
      </c>
      <c r="D1116">
        <v>5283.97</v>
      </c>
      <c r="E1116">
        <v>2018</v>
      </c>
      <c r="F1116" t="s">
        <v>64</v>
      </c>
    </row>
    <row r="1117" spans="1:6" x14ac:dyDescent="0.25">
      <c r="A1117" t="s">
        <v>54</v>
      </c>
      <c r="B1117" t="s">
        <v>55</v>
      </c>
      <c r="C1117" t="s">
        <v>63</v>
      </c>
      <c r="D1117">
        <v>3803.82</v>
      </c>
      <c r="E1117">
        <v>2018</v>
      </c>
      <c r="F1117" t="s">
        <v>64</v>
      </c>
    </row>
    <row r="1118" spans="1:6" x14ac:dyDescent="0.25">
      <c r="A1118" t="s">
        <v>56</v>
      </c>
      <c r="B1118" t="s">
        <v>57</v>
      </c>
      <c r="C1118" t="s">
        <v>63</v>
      </c>
      <c r="D1118">
        <v>4303.96</v>
      </c>
      <c r="E1118">
        <v>2018</v>
      </c>
      <c r="F1118" t="s">
        <v>64</v>
      </c>
    </row>
    <row r="1119" spans="1:6" x14ac:dyDescent="0.25">
      <c r="A1119" t="s">
        <v>58</v>
      </c>
      <c r="B1119" t="s">
        <v>59</v>
      </c>
      <c r="C1119" t="s">
        <v>63</v>
      </c>
      <c r="E1119">
        <v>2018</v>
      </c>
      <c r="F1119" t="s">
        <v>64</v>
      </c>
    </row>
    <row r="1120" spans="1:6" x14ac:dyDescent="0.25">
      <c r="A1120" t="s">
        <v>6</v>
      </c>
      <c r="B1120" t="s">
        <v>7</v>
      </c>
      <c r="C1120" t="s">
        <v>8</v>
      </c>
      <c r="D1120">
        <v>47939.15</v>
      </c>
      <c r="E1120">
        <v>2018</v>
      </c>
      <c r="F1120" t="s">
        <v>64</v>
      </c>
    </row>
    <row r="1121" spans="1:6" x14ac:dyDescent="0.25">
      <c r="A1121" t="s">
        <v>10</v>
      </c>
      <c r="B1121" t="s">
        <v>11</v>
      </c>
      <c r="C1121" t="s">
        <v>8</v>
      </c>
      <c r="D1121">
        <v>16899.29</v>
      </c>
      <c r="E1121">
        <v>2018</v>
      </c>
      <c r="F1121" t="s">
        <v>64</v>
      </c>
    </row>
    <row r="1122" spans="1:6" x14ac:dyDescent="0.25">
      <c r="A1122" t="s">
        <v>12</v>
      </c>
      <c r="B1122" t="s">
        <v>13</v>
      </c>
      <c r="C1122" t="s">
        <v>8</v>
      </c>
      <c r="D1122">
        <v>3084.72</v>
      </c>
      <c r="E1122">
        <v>2018</v>
      </c>
      <c r="F1122" t="s">
        <v>64</v>
      </c>
    </row>
    <row r="1123" spans="1:6" x14ac:dyDescent="0.25">
      <c r="A1123" t="s">
        <v>14</v>
      </c>
      <c r="B1123" t="s">
        <v>15</v>
      </c>
      <c r="C1123" t="s">
        <v>8</v>
      </c>
      <c r="E1123">
        <v>2018</v>
      </c>
      <c r="F1123" t="s">
        <v>64</v>
      </c>
    </row>
    <row r="1124" spans="1:6" x14ac:dyDescent="0.25">
      <c r="A1124" t="s">
        <v>16</v>
      </c>
      <c r="B1124" t="s">
        <v>17</v>
      </c>
      <c r="C1124" t="s">
        <v>8</v>
      </c>
      <c r="D1124">
        <v>243.97</v>
      </c>
      <c r="E1124">
        <v>2018</v>
      </c>
      <c r="F1124" t="s">
        <v>64</v>
      </c>
    </row>
    <row r="1125" spans="1:6" x14ac:dyDescent="0.25">
      <c r="A1125" t="s">
        <v>18</v>
      </c>
      <c r="B1125" t="s">
        <v>19</v>
      </c>
      <c r="C1125" t="s">
        <v>8</v>
      </c>
      <c r="D1125">
        <v>168.01</v>
      </c>
      <c r="E1125">
        <v>2018</v>
      </c>
      <c r="F1125" t="s">
        <v>64</v>
      </c>
    </row>
    <row r="1126" spans="1:6" x14ac:dyDescent="0.25">
      <c r="A1126" t="s">
        <v>20</v>
      </c>
      <c r="B1126" t="s">
        <v>21</v>
      </c>
      <c r="C1126" t="s">
        <v>8</v>
      </c>
      <c r="D1126">
        <v>162.66</v>
      </c>
      <c r="E1126">
        <v>2018</v>
      </c>
      <c r="F1126" t="s">
        <v>64</v>
      </c>
    </row>
    <row r="1127" spans="1:6" x14ac:dyDescent="0.25">
      <c r="A1127" t="s">
        <v>22</v>
      </c>
      <c r="B1127" t="s">
        <v>23</v>
      </c>
      <c r="C1127" t="s">
        <v>8</v>
      </c>
      <c r="D1127">
        <v>2146.5300000000002</v>
      </c>
      <c r="E1127">
        <v>2018</v>
      </c>
      <c r="F1127" t="s">
        <v>64</v>
      </c>
    </row>
    <row r="1128" spans="1:6" x14ac:dyDescent="0.25">
      <c r="A1128" t="s">
        <v>24</v>
      </c>
      <c r="B1128" t="s">
        <v>25</v>
      </c>
      <c r="C1128" t="s">
        <v>8</v>
      </c>
      <c r="D1128">
        <v>4471.93</v>
      </c>
      <c r="E1128">
        <v>2018</v>
      </c>
      <c r="F1128" t="s">
        <v>64</v>
      </c>
    </row>
    <row r="1129" spans="1:6" x14ac:dyDescent="0.25">
      <c r="A1129" t="s">
        <v>26</v>
      </c>
      <c r="B1129" t="s">
        <v>27</v>
      </c>
      <c r="C1129" t="s">
        <v>8</v>
      </c>
      <c r="D1129">
        <v>453.14</v>
      </c>
      <c r="E1129">
        <v>2018</v>
      </c>
      <c r="F1129" t="s">
        <v>64</v>
      </c>
    </row>
    <row r="1130" spans="1:6" x14ac:dyDescent="0.25">
      <c r="A1130" t="s">
        <v>28</v>
      </c>
      <c r="B1130" t="s">
        <v>29</v>
      </c>
      <c r="C1130" t="s">
        <v>8</v>
      </c>
      <c r="D1130">
        <v>20.63</v>
      </c>
      <c r="E1130">
        <v>2018</v>
      </c>
      <c r="F1130" t="s">
        <v>64</v>
      </c>
    </row>
    <row r="1131" spans="1:6" x14ac:dyDescent="0.25">
      <c r="A1131" t="s">
        <v>30</v>
      </c>
      <c r="B1131" t="s">
        <v>31</v>
      </c>
      <c r="C1131" t="s">
        <v>8</v>
      </c>
      <c r="D1131">
        <v>8849.57</v>
      </c>
      <c r="E1131">
        <v>2018</v>
      </c>
      <c r="F1131" t="s">
        <v>64</v>
      </c>
    </row>
    <row r="1132" spans="1:6" x14ac:dyDescent="0.25">
      <c r="A1132" t="s">
        <v>32</v>
      </c>
      <c r="B1132" t="s">
        <v>33</v>
      </c>
      <c r="C1132" t="s">
        <v>8</v>
      </c>
      <c r="D1132">
        <v>757.59</v>
      </c>
      <c r="E1132">
        <v>2018</v>
      </c>
      <c r="F1132" t="s">
        <v>64</v>
      </c>
    </row>
    <row r="1133" spans="1:6" x14ac:dyDescent="0.25">
      <c r="A1133" t="s">
        <v>34</v>
      </c>
      <c r="B1133" t="s">
        <v>35</v>
      </c>
      <c r="C1133" t="s">
        <v>8</v>
      </c>
      <c r="D1133">
        <v>1998.43</v>
      </c>
      <c r="E1133">
        <v>2018</v>
      </c>
      <c r="F1133" t="s">
        <v>64</v>
      </c>
    </row>
    <row r="1134" spans="1:6" x14ac:dyDescent="0.25">
      <c r="A1134" t="s">
        <v>36</v>
      </c>
      <c r="B1134" t="s">
        <v>37</v>
      </c>
      <c r="C1134" t="s">
        <v>8</v>
      </c>
      <c r="D1134">
        <v>2060.6999999999998</v>
      </c>
      <c r="E1134">
        <v>2018</v>
      </c>
      <c r="F1134" t="s">
        <v>64</v>
      </c>
    </row>
    <row r="1135" spans="1:6" x14ac:dyDescent="0.25">
      <c r="A1135" t="s">
        <v>38</v>
      </c>
      <c r="B1135" t="s">
        <v>39</v>
      </c>
      <c r="C1135" t="s">
        <v>8</v>
      </c>
      <c r="D1135">
        <v>1364.38</v>
      </c>
      <c r="E1135">
        <v>2018</v>
      </c>
      <c r="F1135" t="s">
        <v>64</v>
      </c>
    </row>
    <row r="1136" spans="1:6" x14ac:dyDescent="0.25">
      <c r="A1136" t="s">
        <v>40</v>
      </c>
      <c r="B1136" t="s">
        <v>41</v>
      </c>
      <c r="C1136" t="s">
        <v>8</v>
      </c>
      <c r="D1136">
        <v>1660.93</v>
      </c>
      <c r="E1136">
        <v>2018</v>
      </c>
      <c r="F1136" t="s">
        <v>64</v>
      </c>
    </row>
    <row r="1137" spans="1:6" x14ac:dyDescent="0.25">
      <c r="A1137" t="s">
        <v>42</v>
      </c>
      <c r="B1137" t="s">
        <v>43</v>
      </c>
      <c r="C1137" t="s">
        <v>8</v>
      </c>
      <c r="D1137">
        <v>60.43</v>
      </c>
      <c r="E1137">
        <v>2018</v>
      </c>
      <c r="F1137" t="s">
        <v>64</v>
      </c>
    </row>
    <row r="1138" spans="1:6" x14ac:dyDescent="0.25">
      <c r="A1138" t="s">
        <v>44</v>
      </c>
      <c r="B1138" t="s">
        <v>45</v>
      </c>
      <c r="C1138" t="s">
        <v>8</v>
      </c>
      <c r="D1138">
        <v>422.3</v>
      </c>
      <c r="E1138">
        <v>2018</v>
      </c>
      <c r="F1138" t="s">
        <v>64</v>
      </c>
    </row>
    <row r="1139" spans="1:6" x14ac:dyDescent="0.25">
      <c r="A1139" t="s">
        <v>46</v>
      </c>
      <c r="B1139" t="s">
        <v>47</v>
      </c>
      <c r="C1139" t="s">
        <v>8</v>
      </c>
      <c r="D1139">
        <v>1640.09</v>
      </c>
      <c r="E1139">
        <v>2018</v>
      </c>
      <c r="F1139" t="s">
        <v>64</v>
      </c>
    </row>
    <row r="1140" spans="1:6" x14ac:dyDescent="0.25">
      <c r="A1140" t="s">
        <v>48</v>
      </c>
      <c r="B1140" t="s">
        <v>49</v>
      </c>
      <c r="C1140" t="s">
        <v>8</v>
      </c>
      <c r="D1140">
        <v>257.14999999999998</v>
      </c>
      <c r="E1140">
        <v>2018</v>
      </c>
      <c r="F1140" t="s">
        <v>64</v>
      </c>
    </row>
    <row r="1141" spans="1:6" x14ac:dyDescent="0.25">
      <c r="A1141" t="s">
        <v>50</v>
      </c>
      <c r="B1141" t="s">
        <v>51</v>
      </c>
      <c r="C1141" t="s">
        <v>8</v>
      </c>
      <c r="D1141">
        <v>56.12</v>
      </c>
      <c r="E1141">
        <v>2018</v>
      </c>
      <c r="F1141" t="s">
        <v>64</v>
      </c>
    </row>
    <row r="1142" spans="1:6" x14ac:dyDescent="0.25">
      <c r="A1142" t="s">
        <v>52</v>
      </c>
      <c r="B1142" t="s">
        <v>53</v>
      </c>
      <c r="C1142" t="s">
        <v>8</v>
      </c>
      <c r="D1142">
        <v>383.55</v>
      </c>
      <c r="E1142">
        <v>2018</v>
      </c>
      <c r="F1142" t="s">
        <v>64</v>
      </c>
    </row>
    <row r="1143" spans="1:6" x14ac:dyDescent="0.25">
      <c r="A1143" t="s">
        <v>54</v>
      </c>
      <c r="B1143" t="s">
        <v>55</v>
      </c>
      <c r="C1143" t="s">
        <v>8</v>
      </c>
      <c r="D1143">
        <v>48</v>
      </c>
      <c r="E1143">
        <v>2018</v>
      </c>
      <c r="F1143" t="s">
        <v>64</v>
      </c>
    </row>
    <row r="1144" spans="1:6" x14ac:dyDescent="0.25">
      <c r="A1144" t="s">
        <v>56</v>
      </c>
      <c r="B1144" t="s">
        <v>57</v>
      </c>
      <c r="C1144" t="s">
        <v>8</v>
      </c>
      <c r="D1144">
        <v>706.25</v>
      </c>
      <c r="E1144">
        <v>2018</v>
      </c>
      <c r="F1144" t="s">
        <v>64</v>
      </c>
    </row>
    <row r="1145" spans="1:6" x14ac:dyDescent="0.25">
      <c r="A1145" t="s">
        <v>58</v>
      </c>
      <c r="B1145" t="s">
        <v>59</v>
      </c>
      <c r="C1145" t="s">
        <v>8</v>
      </c>
      <c r="D1145">
        <v>22.78</v>
      </c>
      <c r="E1145">
        <v>2018</v>
      </c>
      <c r="F1145" t="s">
        <v>64</v>
      </c>
    </row>
    <row r="1146" spans="1:6" x14ac:dyDescent="0.25">
      <c r="A1146" t="s">
        <v>6</v>
      </c>
      <c r="B1146" t="s">
        <v>7</v>
      </c>
      <c r="C1146" t="s">
        <v>60</v>
      </c>
      <c r="D1146">
        <v>48069.73</v>
      </c>
      <c r="E1146">
        <v>2018</v>
      </c>
      <c r="F1146" t="s">
        <v>64</v>
      </c>
    </row>
    <row r="1147" spans="1:6" x14ac:dyDescent="0.25">
      <c r="A1147" t="s">
        <v>10</v>
      </c>
      <c r="B1147" t="s">
        <v>11</v>
      </c>
      <c r="C1147" t="s">
        <v>60</v>
      </c>
      <c r="D1147">
        <v>12166.57</v>
      </c>
      <c r="E1147">
        <v>2018</v>
      </c>
      <c r="F1147" t="s">
        <v>64</v>
      </c>
    </row>
    <row r="1148" spans="1:6" x14ac:dyDescent="0.25">
      <c r="A1148" t="s">
        <v>12</v>
      </c>
      <c r="B1148" t="s">
        <v>13</v>
      </c>
      <c r="C1148" t="s">
        <v>60</v>
      </c>
      <c r="D1148">
        <v>836.98</v>
      </c>
      <c r="E1148">
        <v>2018</v>
      </c>
      <c r="F1148" t="s">
        <v>64</v>
      </c>
    </row>
    <row r="1149" spans="1:6" x14ac:dyDescent="0.25">
      <c r="A1149" t="s">
        <v>14</v>
      </c>
      <c r="B1149" t="s">
        <v>15</v>
      </c>
      <c r="C1149" t="s">
        <v>60</v>
      </c>
      <c r="E1149">
        <v>2018</v>
      </c>
      <c r="F1149" t="s">
        <v>64</v>
      </c>
    </row>
    <row r="1150" spans="1:6" x14ac:dyDescent="0.25">
      <c r="A1150" t="s">
        <v>16</v>
      </c>
      <c r="B1150" t="s">
        <v>17</v>
      </c>
      <c r="C1150" t="s">
        <v>60</v>
      </c>
      <c r="D1150">
        <v>781.38</v>
      </c>
      <c r="E1150">
        <v>2018</v>
      </c>
      <c r="F1150" t="s">
        <v>64</v>
      </c>
    </row>
    <row r="1151" spans="1:6" x14ac:dyDescent="0.25">
      <c r="A1151" t="s">
        <v>18</v>
      </c>
      <c r="B1151" t="s">
        <v>19</v>
      </c>
      <c r="C1151" t="s">
        <v>60</v>
      </c>
      <c r="D1151">
        <v>1248.04</v>
      </c>
      <c r="E1151">
        <v>2018</v>
      </c>
      <c r="F1151" t="s">
        <v>64</v>
      </c>
    </row>
    <row r="1152" spans="1:6" x14ac:dyDescent="0.25">
      <c r="A1152" t="s">
        <v>20</v>
      </c>
      <c r="B1152" t="s">
        <v>21</v>
      </c>
      <c r="C1152" t="s">
        <v>60</v>
      </c>
      <c r="D1152">
        <v>250.4</v>
      </c>
      <c r="E1152">
        <v>2018</v>
      </c>
      <c r="F1152" t="s">
        <v>64</v>
      </c>
    </row>
    <row r="1153" spans="1:6" x14ac:dyDescent="0.25">
      <c r="A1153" t="s">
        <v>22</v>
      </c>
      <c r="B1153" t="s">
        <v>23</v>
      </c>
      <c r="C1153" t="s">
        <v>60</v>
      </c>
      <c r="D1153">
        <v>183.58</v>
      </c>
      <c r="E1153">
        <v>2018</v>
      </c>
      <c r="F1153" t="s">
        <v>64</v>
      </c>
    </row>
    <row r="1154" spans="1:6" x14ac:dyDescent="0.25">
      <c r="A1154" t="s">
        <v>24</v>
      </c>
      <c r="B1154" t="s">
        <v>25</v>
      </c>
      <c r="C1154" t="s">
        <v>60</v>
      </c>
      <c r="D1154">
        <v>1698.45</v>
      </c>
      <c r="E1154">
        <v>2018</v>
      </c>
      <c r="F1154" t="s">
        <v>64</v>
      </c>
    </row>
    <row r="1155" spans="1:6" x14ac:dyDescent="0.25">
      <c r="A1155" t="s">
        <v>26</v>
      </c>
      <c r="B1155" t="s">
        <v>27</v>
      </c>
      <c r="C1155" t="s">
        <v>60</v>
      </c>
      <c r="D1155">
        <v>454.8</v>
      </c>
      <c r="E1155">
        <v>2018</v>
      </c>
      <c r="F1155" t="s">
        <v>64</v>
      </c>
    </row>
    <row r="1156" spans="1:6" x14ac:dyDescent="0.25">
      <c r="A1156" t="s">
        <v>28</v>
      </c>
      <c r="B1156" t="s">
        <v>29</v>
      </c>
      <c r="C1156" t="s">
        <v>60</v>
      </c>
      <c r="D1156">
        <v>9620.34</v>
      </c>
      <c r="E1156">
        <v>2018</v>
      </c>
      <c r="F1156" t="s">
        <v>64</v>
      </c>
    </row>
    <row r="1157" spans="1:6" x14ac:dyDescent="0.25">
      <c r="A1157" t="s">
        <v>30</v>
      </c>
      <c r="B1157" t="s">
        <v>31</v>
      </c>
      <c r="C1157" t="s">
        <v>60</v>
      </c>
      <c r="D1157">
        <v>4486.18</v>
      </c>
      <c r="E1157">
        <v>2018</v>
      </c>
      <c r="F1157" t="s">
        <v>64</v>
      </c>
    </row>
    <row r="1158" spans="1:6" x14ac:dyDescent="0.25">
      <c r="A1158" t="s">
        <v>32</v>
      </c>
      <c r="B1158" t="s">
        <v>33</v>
      </c>
      <c r="C1158" t="s">
        <v>60</v>
      </c>
      <c r="D1158">
        <v>614.15</v>
      </c>
      <c r="E1158">
        <v>2018</v>
      </c>
      <c r="F1158" t="s">
        <v>64</v>
      </c>
    </row>
    <row r="1159" spans="1:6" x14ac:dyDescent="0.25">
      <c r="A1159" t="s">
        <v>34</v>
      </c>
      <c r="B1159" t="s">
        <v>35</v>
      </c>
      <c r="C1159" t="s">
        <v>60</v>
      </c>
      <c r="D1159">
        <v>1858.23</v>
      </c>
      <c r="E1159">
        <v>2018</v>
      </c>
      <c r="F1159" t="s">
        <v>64</v>
      </c>
    </row>
    <row r="1160" spans="1:6" x14ac:dyDescent="0.25">
      <c r="A1160" t="s">
        <v>36</v>
      </c>
      <c r="B1160" t="s">
        <v>37</v>
      </c>
      <c r="C1160" t="s">
        <v>60</v>
      </c>
      <c r="D1160">
        <v>1733.22</v>
      </c>
      <c r="E1160">
        <v>2018</v>
      </c>
      <c r="F1160" t="s">
        <v>64</v>
      </c>
    </row>
    <row r="1161" spans="1:6" x14ac:dyDescent="0.25">
      <c r="A1161" t="s">
        <v>38</v>
      </c>
      <c r="B1161" t="s">
        <v>39</v>
      </c>
      <c r="C1161" t="s">
        <v>60</v>
      </c>
      <c r="D1161">
        <v>2139.98</v>
      </c>
      <c r="E1161">
        <v>2018</v>
      </c>
      <c r="F1161" t="s">
        <v>64</v>
      </c>
    </row>
    <row r="1162" spans="1:6" x14ac:dyDescent="0.25">
      <c r="A1162" t="s">
        <v>40</v>
      </c>
      <c r="B1162" t="s">
        <v>41</v>
      </c>
      <c r="C1162" t="s">
        <v>60</v>
      </c>
      <c r="D1162">
        <v>969.28</v>
      </c>
      <c r="E1162">
        <v>2018</v>
      </c>
      <c r="F1162" t="s">
        <v>64</v>
      </c>
    </row>
    <row r="1163" spans="1:6" x14ac:dyDescent="0.25">
      <c r="A1163" t="s">
        <v>42</v>
      </c>
      <c r="B1163" t="s">
        <v>43</v>
      </c>
      <c r="C1163" t="s">
        <v>60</v>
      </c>
      <c r="E1163">
        <v>2018</v>
      </c>
      <c r="F1163" t="s">
        <v>64</v>
      </c>
    </row>
    <row r="1164" spans="1:6" x14ac:dyDescent="0.25">
      <c r="A1164" t="s">
        <v>44</v>
      </c>
      <c r="B1164" t="s">
        <v>45</v>
      </c>
      <c r="C1164" t="s">
        <v>60</v>
      </c>
      <c r="D1164">
        <v>975.41</v>
      </c>
      <c r="E1164">
        <v>2018</v>
      </c>
      <c r="F1164" t="s">
        <v>64</v>
      </c>
    </row>
    <row r="1165" spans="1:6" x14ac:dyDescent="0.25">
      <c r="A1165" t="s">
        <v>46</v>
      </c>
      <c r="B1165" t="s">
        <v>47</v>
      </c>
      <c r="C1165" t="s">
        <v>60</v>
      </c>
      <c r="D1165">
        <v>294.5</v>
      </c>
      <c r="E1165">
        <v>2018</v>
      </c>
      <c r="F1165" t="s">
        <v>64</v>
      </c>
    </row>
    <row r="1166" spans="1:6" x14ac:dyDescent="0.25">
      <c r="A1166" t="s">
        <v>48</v>
      </c>
      <c r="B1166" t="s">
        <v>49</v>
      </c>
      <c r="C1166" t="s">
        <v>60</v>
      </c>
      <c r="D1166">
        <v>726.04</v>
      </c>
      <c r="E1166">
        <v>2018</v>
      </c>
      <c r="F1166" t="s">
        <v>64</v>
      </c>
    </row>
    <row r="1167" spans="1:6" x14ac:dyDescent="0.25">
      <c r="A1167" t="s">
        <v>50</v>
      </c>
      <c r="B1167" t="s">
        <v>51</v>
      </c>
      <c r="C1167" t="s">
        <v>60</v>
      </c>
      <c r="D1167">
        <v>507.16</v>
      </c>
      <c r="E1167">
        <v>2018</v>
      </c>
      <c r="F1167" t="s">
        <v>64</v>
      </c>
    </row>
    <row r="1168" spans="1:6" x14ac:dyDescent="0.25">
      <c r="A1168" t="s">
        <v>52</v>
      </c>
      <c r="B1168" t="s">
        <v>53</v>
      </c>
      <c r="C1168" t="s">
        <v>60</v>
      </c>
      <c r="D1168">
        <v>361.25</v>
      </c>
      <c r="E1168">
        <v>2018</v>
      </c>
      <c r="F1168" t="s">
        <v>64</v>
      </c>
    </row>
    <row r="1169" spans="1:6" x14ac:dyDescent="0.25">
      <c r="A1169" t="s">
        <v>54</v>
      </c>
      <c r="B1169" t="s">
        <v>55</v>
      </c>
      <c r="C1169" t="s">
        <v>60</v>
      </c>
      <c r="D1169">
        <v>6163.79</v>
      </c>
      <c r="E1169">
        <v>2018</v>
      </c>
      <c r="F1169" t="s">
        <v>64</v>
      </c>
    </row>
    <row r="1170" spans="1:6" x14ac:dyDescent="0.25">
      <c r="A1170" t="s">
        <v>56</v>
      </c>
      <c r="B1170" t="s">
        <v>57</v>
      </c>
      <c r="C1170" t="s">
        <v>60</v>
      </c>
      <c r="E1170">
        <v>2018</v>
      </c>
      <c r="F1170" t="s">
        <v>64</v>
      </c>
    </row>
    <row r="1171" spans="1:6" x14ac:dyDescent="0.25">
      <c r="A1171" t="s">
        <v>58</v>
      </c>
      <c r="B1171" t="s">
        <v>59</v>
      </c>
      <c r="C1171" t="s">
        <v>60</v>
      </c>
      <c r="E1171">
        <v>2018</v>
      </c>
      <c r="F1171" t="s">
        <v>64</v>
      </c>
    </row>
    <row r="1172" spans="1:6" x14ac:dyDescent="0.25">
      <c r="A1172" t="s">
        <v>6</v>
      </c>
      <c r="B1172" t="s">
        <v>7</v>
      </c>
      <c r="C1172" t="s">
        <v>61</v>
      </c>
      <c r="D1172">
        <v>21263.040000000001</v>
      </c>
      <c r="E1172">
        <v>2018</v>
      </c>
      <c r="F1172" t="s">
        <v>64</v>
      </c>
    </row>
    <row r="1173" spans="1:6" x14ac:dyDescent="0.25">
      <c r="A1173" t="s">
        <v>10</v>
      </c>
      <c r="B1173" t="s">
        <v>11</v>
      </c>
      <c r="C1173" t="s">
        <v>61</v>
      </c>
      <c r="D1173">
        <v>10531.54</v>
      </c>
      <c r="E1173">
        <v>2018</v>
      </c>
      <c r="F1173" t="s">
        <v>64</v>
      </c>
    </row>
    <row r="1174" spans="1:6" x14ac:dyDescent="0.25">
      <c r="A1174" t="s">
        <v>12</v>
      </c>
      <c r="B1174" t="s">
        <v>13</v>
      </c>
      <c r="C1174" t="s">
        <v>61</v>
      </c>
      <c r="D1174">
        <v>886.25</v>
      </c>
      <c r="E1174">
        <v>2018</v>
      </c>
      <c r="F1174" t="s">
        <v>64</v>
      </c>
    </row>
    <row r="1175" spans="1:6" x14ac:dyDescent="0.25">
      <c r="A1175" t="s">
        <v>14</v>
      </c>
      <c r="B1175" t="s">
        <v>15</v>
      </c>
      <c r="C1175" t="s">
        <v>61</v>
      </c>
      <c r="D1175">
        <v>19.600000000000001</v>
      </c>
      <c r="E1175">
        <v>2018</v>
      </c>
      <c r="F1175" t="s">
        <v>64</v>
      </c>
    </row>
    <row r="1176" spans="1:6" x14ac:dyDescent="0.25">
      <c r="A1176" t="s">
        <v>16</v>
      </c>
      <c r="B1176" t="s">
        <v>17</v>
      </c>
      <c r="C1176" t="s">
        <v>61</v>
      </c>
      <c r="D1176">
        <v>405.56</v>
      </c>
      <c r="E1176">
        <v>2018</v>
      </c>
      <c r="F1176" t="s">
        <v>64</v>
      </c>
    </row>
    <row r="1177" spans="1:6" x14ac:dyDescent="0.25">
      <c r="A1177" t="s">
        <v>18</v>
      </c>
      <c r="B1177" t="s">
        <v>19</v>
      </c>
      <c r="C1177" t="s">
        <v>61</v>
      </c>
      <c r="D1177">
        <v>312.22000000000003</v>
      </c>
      <c r="E1177">
        <v>2018</v>
      </c>
      <c r="F1177" t="s">
        <v>64</v>
      </c>
    </row>
    <row r="1178" spans="1:6" x14ac:dyDescent="0.25">
      <c r="A1178" t="s">
        <v>20</v>
      </c>
      <c r="B1178" t="s">
        <v>21</v>
      </c>
      <c r="C1178" t="s">
        <v>61</v>
      </c>
      <c r="D1178">
        <v>86.9</v>
      </c>
      <c r="E1178">
        <v>2018</v>
      </c>
      <c r="F1178" t="s">
        <v>64</v>
      </c>
    </row>
    <row r="1179" spans="1:6" x14ac:dyDescent="0.25">
      <c r="A1179" t="s">
        <v>22</v>
      </c>
      <c r="B1179" t="s">
        <v>23</v>
      </c>
      <c r="C1179" t="s">
        <v>61</v>
      </c>
      <c r="D1179">
        <v>332.64</v>
      </c>
      <c r="E1179">
        <v>2018</v>
      </c>
      <c r="F1179" t="s">
        <v>64</v>
      </c>
    </row>
    <row r="1180" spans="1:6" x14ac:dyDescent="0.25">
      <c r="A1180" t="s">
        <v>24</v>
      </c>
      <c r="B1180" t="s">
        <v>25</v>
      </c>
      <c r="C1180" t="s">
        <v>61</v>
      </c>
      <c r="D1180">
        <v>1245.94</v>
      </c>
      <c r="E1180">
        <v>2018</v>
      </c>
      <c r="F1180" t="s">
        <v>64</v>
      </c>
    </row>
    <row r="1181" spans="1:6" x14ac:dyDescent="0.25">
      <c r="A1181" t="s">
        <v>26</v>
      </c>
      <c r="B1181" t="s">
        <v>27</v>
      </c>
      <c r="C1181" t="s">
        <v>61</v>
      </c>
      <c r="D1181">
        <v>200.33</v>
      </c>
      <c r="E1181">
        <v>2018</v>
      </c>
      <c r="F1181" t="s">
        <v>64</v>
      </c>
    </row>
    <row r="1182" spans="1:6" x14ac:dyDescent="0.25">
      <c r="A1182" t="s">
        <v>28</v>
      </c>
      <c r="B1182" t="s">
        <v>29</v>
      </c>
      <c r="C1182" t="s">
        <v>61</v>
      </c>
      <c r="D1182">
        <v>134.16999999999999</v>
      </c>
      <c r="E1182">
        <v>2018</v>
      </c>
      <c r="F1182" t="s">
        <v>64</v>
      </c>
    </row>
    <row r="1183" spans="1:6" x14ac:dyDescent="0.25">
      <c r="A1183" t="s">
        <v>30</v>
      </c>
      <c r="B1183" t="s">
        <v>31</v>
      </c>
      <c r="C1183" t="s">
        <v>61</v>
      </c>
      <c r="D1183">
        <v>1089.24</v>
      </c>
      <c r="E1183">
        <v>2018</v>
      </c>
      <c r="F1183" t="s">
        <v>64</v>
      </c>
    </row>
    <row r="1184" spans="1:6" x14ac:dyDescent="0.25">
      <c r="A1184" t="s">
        <v>32</v>
      </c>
      <c r="B1184" t="s">
        <v>33</v>
      </c>
      <c r="C1184" t="s">
        <v>61</v>
      </c>
      <c r="D1184">
        <v>346.37</v>
      </c>
      <c r="E1184">
        <v>2018</v>
      </c>
      <c r="F1184" t="s">
        <v>64</v>
      </c>
    </row>
    <row r="1185" spans="1:6" x14ac:dyDescent="0.25">
      <c r="A1185" t="s">
        <v>34</v>
      </c>
      <c r="B1185" t="s">
        <v>35</v>
      </c>
      <c r="C1185" t="s">
        <v>61</v>
      </c>
      <c r="D1185">
        <v>1111.8399999999999</v>
      </c>
      <c r="E1185">
        <v>2018</v>
      </c>
      <c r="F1185" t="s">
        <v>64</v>
      </c>
    </row>
    <row r="1186" spans="1:6" x14ac:dyDescent="0.25">
      <c r="A1186" t="s">
        <v>36</v>
      </c>
      <c r="B1186" t="s">
        <v>37</v>
      </c>
      <c r="C1186" t="s">
        <v>61</v>
      </c>
      <c r="D1186">
        <v>857.26</v>
      </c>
      <c r="E1186">
        <v>2018</v>
      </c>
      <c r="F1186" t="s">
        <v>64</v>
      </c>
    </row>
    <row r="1187" spans="1:6" x14ac:dyDescent="0.25">
      <c r="A1187" t="s">
        <v>38</v>
      </c>
      <c r="B1187" t="s">
        <v>39</v>
      </c>
      <c r="C1187" t="s">
        <v>61</v>
      </c>
      <c r="D1187">
        <v>1111.8800000000001</v>
      </c>
      <c r="E1187">
        <v>2018</v>
      </c>
      <c r="F1187" t="s">
        <v>64</v>
      </c>
    </row>
    <row r="1188" spans="1:6" x14ac:dyDescent="0.25">
      <c r="A1188" t="s">
        <v>40</v>
      </c>
      <c r="B1188" t="s">
        <v>41</v>
      </c>
      <c r="C1188" t="s">
        <v>61</v>
      </c>
      <c r="D1188">
        <v>500</v>
      </c>
      <c r="E1188">
        <v>2018</v>
      </c>
      <c r="F1188" t="s">
        <v>64</v>
      </c>
    </row>
    <row r="1189" spans="1:6" x14ac:dyDescent="0.25">
      <c r="A1189" t="s">
        <v>42</v>
      </c>
      <c r="B1189" t="s">
        <v>43</v>
      </c>
      <c r="C1189" t="s">
        <v>61</v>
      </c>
      <c r="D1189">
        <v>300.01</v>
      </c>
      <c r="E1189">
        <v>2018</v>
      </c>
      <c r="F1189" t="s">
        <v>64</v>
      </c>
    </row>
    <row r="1190" spans="1:6" x14ac:dyDescent="0.25">
      <c r="A1190" t="s">
        <v>44</v>
      </c>
      <c r="B1190" t="s">
        <v>45</v>
      </c>
      <c r="C1190" t="s">
        <v>61</v>
      </c>
      <c r="D1190">
        <v>453.07</v>
      </c>
      <c r="E1190">
        <v>2018</v>
      </c>
      <c r="F1190" t="s">
        <v>64</v>
      </c>
    </row>
    <row r="1191" spans="1:6" x14ac:dyDescent="0.25">
      <c r="A1191" t="s">
        <v>46</v>
      </c>
      <c r="B1191" t="s">
        <v>47</v>
      </c>
      <c r="C1191" t="s">
        <v>61</v>
      </c>
      <c r="D1191">
        <v>63.58</v>
      </c>
      <c r="E1191">
        <v>2018</v>
      </c>
      <c r="F1191" t="s">
        <v>64</v>
      </c>
    </row>
    <row r="1192" spans="1:6" x14ac:dyDescent="0.25">
      <c r="A1192" t="s">
        <v>48</v>
      </c>
      <c r="B1192" t="s">
        <v>49</v>
      </c>
      <c r="C1192" t="s">
        <v>61</v>
      </c>
      <c r="D1192">
        <v>621.77</v>
      </c>
      <c r="E1192">
        <v>2018</v>
      </c>
      <c r="F1192" t="s">
        <v>64</v>
      </c>
    </row>
    <row r="1193" spans="1:6" x14ac:dyDescent="0.25">
      <c r="A1193" t="s">
        <v>50</v>
      </c>
      <c r="B1193" t="s">
        <v>51</v>
      </c>
      <c r="C1193" t="s">
        <v>61</v>
      </c>
      <c r="D1193">
        <v>212.51</v>
      </c>
      <c r="E1193">
        <v>2018</v>
      </c>
      <c r="F1193" t="s">
        <v>64</v>
      </c>
    </row>
    <row r="1194" spans="1:6" x14ac:dyDescent="0.25">
      <c r="A1194" t="s">
        <v>52</v>
      </c>
      <c r="B1194" t="s">
        <v>53</v>
      </c>
      <c r="C1194" t="s">
        <v>61</v>
      </c>
      <c r="D1194">
        <v>230.25</v>
      </c>
      <c r="E1194">
        <v>2018</v>
      </c>
      <c r="F1194" t="s">
        <v>64</v>
      </c>
    </row>
    <row r="1195" spans="1:6" x14ac:dyDescent="0.25">
      <c r="A1195" t="s">
        <v>54</v>
      </c>
      <c r="B1195" t="s">
        <v>55</v>
      </c>
      <c r="C1195" t="s">
        <v>61</v>
      </c>
      <c r="D1195">
        <v>96.14</v>
      </c>
      <c r="E1195">
        <v>2018</v>
      </c>
      <c r="F1195" t="s">
        <v>64</v>
      </c>
    </row>
    <row r="1196" spans="1:6" x14ac:dyDescent="0.25">
      <c r="A1196" t="s">
        <v>56</v>
      </c>
      <c r="B1196" t="s">
        <v>57</v>
      </c>
      <c r="C1196" t="s">
        <v>61</v>
      </c>
      <c r="D1196">
        <v>113.97</v>
      </c>
      <c r="E1196">
        <v>2018</v>
      </c>
      <c r="F1196" t="s">
        <v>64</v>
      </c>
    </row>
    <row r="1197" spans="1:6" x14ac:dyDescent="0.25">
      <c r="A1197" t="s">
        <v>58</v>
      </c>
      <c r="B1197" t="s">
        <v>59</v>
      </c>
      <c r="C1197" t="s">
        <v>61</v>
      </c>
      <c r="E1197">
        <v>2018</v>
      </c>
      <c r="F1197" t="s">
        <v>64</v>
      </c>
    </row>
    <row r="1198" spans="1:6" x14ac:dyDescent="0.25">
      <c r="A1198" t="s">
        <v>6</v>
      </c>
      <c r="B1198" t="s">
        <v>7</v>
      </c>
      <c r="C1198" t="s">
        <v>65</v>
      </c>
      <c r="D1198">
        <v>315015.76</v>
      </c>
      <c r="E1198">
        <v>2018</v>
      </c>
      <c r="F1198" t="s">
        <v>64</v>
      </c>
    </row>
    <row r="1199" spans="1:6" x14ac:dyDescent="0.25">
      <c r="A1199" t="s">
        <v>10</v>
      </c>
      <c r="B1199" t="s">
        <v>11</v>
      </c>
      <c r="C1199" t="s">
        <v>65</v>
      </c>
      <c r="D1199">
        <v>42764.160000000003</v>
      </c>
      <c r="E1199">
        <v>2018</v>
      </c>
      <c r="F1199" t="s">
        <v>64</v>
      </c>
    </row>
    <row r="1200" spans="1:6" x14ac:dyDescent="0.25">
      <c r="A1200" t="s">
        <v>12</v>
      </c>
      <c r="B1200" t="s">
        <v>13</v>
      </c>
      <c r="C1200" t="s">
        <v>65</v>
      </c>
      <c r="D1200">
        <v>13588.28</v>
      </c>
      <c r="E1200">
        <v>2018</v>
      </c>
      <c r="F1200" t="s">
        <v>64</v>
      </c>
    </row>
    <row r="1201" spans="1:6" x14ac:dyDescent="0.25">
      <c r="A1201" t="s">
        <v>14</v>
      </c>
      <c r="B1201" t="s">
        <v>15</v>
      </c>
      <c r="C1201" t="s">
        <v>65</v>
      </c>
      <c r="D1201">
        <v>464.91</v>
      </c>
      <c r="E1201">
        <v>2018</v>
      </c>
      <c r="F1201" t="s">
        <v>64</v>
      </c>
    </row>
    <row r="1202" spans="1:6" x14ac:dyDescent="0.25">
      <c r="A1202" t="s">
        <v>16</v>
      </c>
      <c r="B1202" t="s">
        <v>17</v>
      </c>
      <c r="C1202" t="s">
        <v>65</v>
      </c>
      <c r="D1202">
        <v>8763.2900000000009</v>
      </c>
      <c r="E1202">
        <v>2018</v>
      </c>
      <c r="F1202" t="s">
        <v>64</v>
      </c>
    </row>
    <row r="1203" spans="1:6" x14ac:dyDescent="0.25">
      <c r="A1203" t="s">
        <v>18</v>
      </c>
      <c r="B1203" t="s">
        <v>19</v>
      </c>
      <c r="C1203" t="s">
        <v>65</v>
      </c>
      <c r="D1203">
        <v>2516.67</v>
      </c>
      <c r="E1203">
        <v>2018</v>
      </c>
      <c r="F1203" t="s">
        <v>64</v>
      </c>
    </row>
    <row r="1204" spans="1:6" x14ac:dyDescent="0.25">
      <c r="A1204" t="s">
        <v>20</v>
      </c>
      <c r="B1204" t="s">
        <v>21</v>
      </c>
      <c r="C1204" t="s">
        <v>65</v>
      </c>
      <c r="D1204">
        <v>1240.27</v>
      </c>
      <c r="E1204">
        <v>2018</v>
      </c>
      <c r="F1204" t="s">
        <v>64</v>
      </c>
    </row>
    <row r="1205" spans="1:6" x14ac:dyDescent="0.25">
      <c r="A1205" t="s">
        <v>22</v>
      </c>
      <c r="B1205" t="s">
        <v>23</v>
      </c>
      <c r="C1205" t="s">
        <v>65</v>
      </c>
      <c r="D1205">
        <v>976.25</v>
      </c>
      <c r="E1205">
        <v>2018</v>
      </c>
      <c r="F1205" t="s">
        <v>64</v>
      </c>
    </row>
    <row r="1206" spans="1:6" x14ac:dyDescent="0.25">
      <c r="A1206" t="s">
        <v>24</v>
      </c>
      <c r="B1206" t="s">
        <v>25</v>
      </c>
      <c r="C1206" t="s">
        <v>65</v>
      </c>
      <c r="D1206">
        <v>8939.33</v>
      </c>
      <c r="E1206">
        <v>2018</v>
      </c>
      <c r="F1206" t="s">
        <v>64</v>
      </c>
    </row>
    <row r="1207" spans="1:6" x14ac:dyDescent="0.25">
      <c r="A1207" t="s">
        <v>26</v>
      </c>
      <c r="B1207" t="s">
        <v>27</v>
      </c>
      <c r="C1207" t="s">
        <v>65</v>
      </c>
      <c r="D1207">
        <v>575.47</v>
      </c>
      <c r="E1207">
        <v>2018</v>
      </c>
      <c r="F1207" t="s">
        <v>64</v>
      </c>
    </row>
    <row r="1208" spans="1:6" x14ac:dyDescent="0.25">
      <c r="A1208" t="s">
        <v>28</v>
      </c>
      <c r="B1208" t="s">
        <v>29</v>
      </c>
      <c r="C1208" t="s">
        <v>65</v>
      </c>
      <c r="D1208">
        <v>17983.759999999998</v>
      </c>
      <c r="E1208">
        <v>2018</v>
      </c>
      <c r="F1208" t="s">
        <v>64</v>
      </c>
    </row>
    <row r="1209" spans="1:6" x14ac:dyDescent="0.25">
      <c r="A1209" t="s">
        <v>30</v>
      </c>
      <c r="B1209" t="s">
        <v>31</v>
      </c>
      <c r="C1209" t="s">
        <v>65</v>
      </c>
      <c r="D1209">
        <v>31824.07</v>
      </c>
      <c r="E1209">
        <v>2018</v>
      </c>
      <c r="F1209" t="s">
        <v>64</v>
      </c>
    </row>
    <row r="1210" spans="1:6" x14ac:dyDescent="0.25">
      <c r="A1210" t="s">
        <v>32</v>
      </c>
      <c r="B1210" t="s">
        <v>33</v>
      </c>
      <c r="C1210" t="s">
        <v>65</v>
      </c>
      <c r="D1210">
        <v>914.18</v>
      </c>
      <c r="E1210">
        <v>2018</v>
      </c>
      <c r="F1210" t="s">
        <v>64</v>
      </c>
    </row>
    <row r="1211" spans="1:6" x14ac:dyDescent="0.25">
      <c r="A1211" t="s">
        <v>34</v>
      </c>
      <c r="B1211" t="s">
        <v>35</v>
      </c>
      <c r="C1211" t="s">
        <v>65</v>
      </c>
      <c r="D1211">
        <v>12694.85</v>
      </c>
      <c r="E1211">
        <v>2018</v>
      </c>
      <c r="F1211" t="s">
        <v>64</v>
      </c>
    </row>
    <row r="1212" spans="1:6" x14ac:dyDescent="0.25">
      <c r="A1212" t="s">
        <v>36</v>
      </c>
      <c r="B1212" t="s">
        <v>37</v>
      </c>
      <c r="C1212" t="s">
        <v>65</v>
      </c>
      <c r="D1212">
        <v>15074.82</v>
      </c>
      <c r="E1212">
        <v>2018</v>
      </c>
      <c r="F1212" t="s">
        <v>64</v>
      </c>
    </row>
    <row r="1213" spans="1:6" x14ac:dyDescent="0.25">
      <c r="A1213" t="s">
        <v>38</v>
      </c>
      <c r="B1213" t="s">
        <v>39</v>
      </c>
      <c r="C1213" t="s">
        <v>65</v>
      </c>
      <c r="D1213">
        <v>23764.93</v>
      </c>
      <c r="E1213">
        <v>2018</v>
      </c>
      <c r="F1213" t="s">
        <v>64</v>
      </c>
    </row>
    <row r="1214" spans="1:6" x14ac:dyDescent="0.25">
      <c r="A1214" t="s">
        <v>40</v>
      </c>
      <c r="B1214" t="s">
        <v>41</v>
      </c>
      <c r="C1214" t="s">
        <v>65</v>
      </c>
      <c r="D1214">
        <v>14319.97</v>
      </c>
      <c r="E1214">
        <v>2018</v>
      </c>
      <c r="F1214" t="s">
        <v>64</v>
      </c>
    </row>
    <row r="1215" spans="1:6" x14ac:dyDescent="0.25">
      <c r="A1215" t="s">
        <v>42</v>
      </c>
      <c r="B1215" t="s">
        <v>43</v>
      </c>
      <c r="C1215" t="s">
        <v>65</v>
      </c>
      <c r="D1215">
        <v>4529.67</v>
      </c>
      <c r="E1215">
        <v>2018</v>
      </c>
      <c r="F1215" t="s">
        <v>64</v>
      </c>
    </row>
    <row r="1216" spans="1:6" x14ac:dyDescent="0.25">
      <c r="A1216" t="s">
        <v>44</v>
      </c>
      <c r="B1216" t="s">
        <v>45</v>
      </c>
      <c r="C1216" t="s">
        <v>65</v>
      </c>
      <c r="D1216">
        <v>19988.13</v>
      </c>
      <c r="E1216">
        <v>2018</v>
      </c>
      <c r="F1216" t="s">
        <v>64</v>
      </c>
    </row>
    <row r="1217" spans="1:6" x14ac:dyDescent="0.25">
      <c r="A1217" t="s">
        <v>46</v>
      </c>
      <c r="B1217" t="s">
        <v>47</v>
      </c>
      <c r="C1217" t="s">
        <v>65</v>
      </c>
      <c r="D1217">
        <v>28034.42</v>
      </c>
      <c r="E1217">
        <v>2018</v>
      </c>
      <c r="F1217" t="s">
        <v>64</v>
      </c>
    </row>
    <row r="1218" spans="1:6" x14ac:dyDescent="0.25">
      <c r="A1218" t="s">
        <v>48</v>
      </c>
      <c r="B1218" t="s">
        <v>49</v>
      </c>
      <c r="C1218" t="s">
        <v>65</v>
      </c>
      <c r="D1218">
        <v>64543.14</v>
      </c>
      <c r="E1218">
        <v>2018</v>
      </c>
      <c r="F1218" t="s">
        <v>64</v>
      </c>
    </row>
    <row r="1219" spans="1:6" x14ac:dyDescent="0.25">
      <c r="A1219" t="s">
        <v>50</v>
      </c>
      <c r="B1219" t="s">
        <v>51</v>
      </c>
      <c r="C1219" t="s">
        <v>65</v>
      </c>
      <c r="D1219">
        <v>725.71</v>
      </c>
      <c r="E1219">
        <v>2018</v>
      </c>
      <c r="F1219" t="s">
        <v>64</v>
      </c>
    </row>
    <row r="1220" spans="1:6" x14ac:dyDescent="0.25">
      <c r="A1220" t="s">
        <v>52</v>
      </c>
      <c r="B1220" t="s">
        <v>53</v>
      </c>
      <c r="C1220" t="s">
        <v>65</v>
      </c>
      <c r="D1220">
        <v>438.4</v>
      </c>
      <c r="E1220">
        <v>2018</v>
      </c>
      <c r="F1220" t="s">
        <v>64</v>
      </c>
    </row>
    <row r="1221" spans="1:6" x14ac:dyDescent="0.25">
      <c r="A1221" t="s">
        <v>54</v>
      </c>
      <c r="B1221" t="s">
        <v>55</v>
      </c>
      <c r="C1221" t="s">
        <v>65</v>
      </c>
      <c r="D1221">
        <v>351.08</v>
      </c>
      <c r="E1221">
        <v>2018</v>
      </c>
      <c r="F1221" t="s">
        <v>64</v>
      </c>
    </row>
    <row r="1222" spans="1:6" x14ac:dyDescent="0.25">
      <c r="A1222" t="s">
        <v>56</v>
      </c>
      <c r="B1222" t="s">
        <v>57</v>
      </c>
      <c r="C1222" t="s">
        <v>65</v>
      </c>
      <c r="E1222">
        <v>2018</v>
      </c>
      <c r="F1222" t="s">
        <v>64</v>
      </c>
    </row>
    <row r="1223" spans="1:6" x14ac:dyDescent="0.25">
      <c r="A1223" t="s">
        <v>58</v>
      </c>
      <c r="B1223" t="s">
        <v>59</v>
      </c>
      <c r="C1223" t="s">
        <v>65</v>
      </c>
      <c r="E1223">
        <v>2018</v>
      </c>
      <c r="F1223" t="s">
        <v>64</v>
      </c>
    </row>
    <row r="1224" spans="1:6" x14ac:dyDescent="0.25">
      <c r="A1224" t="s">
        <v>6</v>
      </c>
      <c r="B1224" t="s">
        <v>7</v>
      </c>
      <c r="C1224" t="s">
        <v>62</v>
      </c>
      <c r="D1224">
        <v>58215.11</v>
      </c>
      <c r="E1224">
        <v>2018</v>
      </c>
      <c r="F1224" t="s">
        <v>64</v>
      </c>
    </row>
    <row r="1225" spans="1:6" x14ac:dyDescent="0.25">
      <c r="A1225" t="s">
        <v>10</v>
      </c>
      <c r="B1225" t="s">
        <v>11</v>
      </c>
      <c r="C1225" t="s">
        <v>62</v>
      </c>
      <c r="D1225">
        <v>22017.84</v>
      </c>
      <c r="E1225">
        <v>2018</v>
      </c>
      <c r="F1225" t="s">
        <v>64</v>
      </c>
    </row>
    <row r="1226" spans="1:6" x14ac:dyDescent="0.25">
      <c r="A1226" t="s">
        <v>12</v>
      </c>
      <c r="B1226" t="s">
        <v>13</v>
      </c>
      <c r="C1226" t="s">
        <v>62</v>
      </c>
      <c r="D1226">
        <v>2223.16</v>
      </c>
      <c r="E1226">
        <v>2018</v>
      </c>
      <c r="F1226" t="s">
        <v>64</v>
      </c>
    </row>
    <row r="1227" spans="1:6" x14ac:dyDescent="0.25">
      <c r="A1227" t="s">
        <v>14</v>
      </c>
      <c r="B1227" t="s">
        <v>15</v>
      </c>
      <c r="C1227" t="s">
        <v>62</v>
      </c>
      <c r="E1227">
        <v>2018</v>
      </c>
      <c r="F1227" t="s">
        <v>64</v>
      </c>
    </row>
    <row r="1228" spans="1:6" x14ac:dyDescent="0.25">
      <c r="A1228" t="s">
        <v>16</v>
      </c>
      <c r="B1228" t="s">
        <v>17</v>
      </c>
      <c r="C1228" t="s">
        <v>62</v>
      </c>
      <c r="D1228">
        <v>1694.67</v>
      </c>
      <c r="E1228">
        <v>2018</v>
      </c>
      <c r="F1228" t="s">
        <v>64</v>
      </c>
    </row>
    <row r="1229" spans="1:6" x14ac:dyDescent="0.25">
      <c r="A1229" t="s">
        <v>18</v>
      </c>
      <c r="B1229" t="s">
        <v>19</v>
      </c>
      <c r="C1229" t="s">
        <v>62</v>
      </c>
      <c r="D1229">
        <v>1525.96</v>
      </c>
      <c r="E1229">
        <v>2018</v>
      </c>
      <c r="F1229" t="s">
        <v>64</v>
      </c>
    </row>
    <row r="1230" spans="1:6" x14ac:dyDescent="0.25">
      <c r="A1230" t="s">
        <v>20</v>
      </c>
      <c r="B1230" t="s">
        <v>21</v>
      </c>
      <c r="C1230" t="s">
        <v>62</v>
      </c>
      <c r="D1230">
        <v>255.82</v>
      </c>
      <c r="E1230">
        <v>2018</v>
      </c>
      <c r="F1230" t="s">
        <v>64</v>
      </c>
    </row>
    <row r="1231" spans="1:6" x14ac:dyDescent="0.25">
      <c r="A1231" t="s">
        <v>22</v>
      </c>
      <c r="B1231" t="s">
        <v>23</v>
      </c>
      <c r="C1231" t="s">
        <v>62</v>
      </c>
      <c r="D1231">
        <v>328.05</v>
      </c>
      <c r="E1231">
        <v>2018</v>
      </c>
      <c r="F1231" t="s">
        <v>64</v>
      </c>
    </row>
    <row r="1232" spans="1:6" x14ac:dyDescent="0.25">
      <c r="A1232" t="s">
        <v>24</v>
      </c>
      <c r="B1232" t="s">
        <v>25</v>
      </c>
      <c r="C1232" t="s">
        <v>62</v>
      </c>
      <c r="D1232">
        <v>1873.57</v>
      </c>
      <c r="E1232">
        <v>2018</v>
      </c>
      <c r="F1232" t="s">
        <v>64</v>
      </c>
    </row>
    <row r="1233" spans="1:6" x14ac:dyDescent="0.25">
      <c r="A1233" t="s">
        <v>26</v>
      </c>
      <c r="B1233" t="s">
        <v>27</v>
      </c>
      <c r="C1233" t="s">
        <v>62</v>
      </c>
      <c r="D1233">
        <v>438.13</v>
      </c>
      <c r="E1233">
        <v>2018</v>
      </c>
      <c r="F1233" t="s">
        <v>64</v>
      </c>
    </row>
    <row r="1234" spans="1:6" x14ac:dyDescent="0.25">
      <c r="A1234" t="s">
        <v>28</v>
      </c>
      <c r="B1234" t="s">
        <v>29</v>
      </c>
      <c r="C1234" t="s">
        <v>62</v>
      </c>
      <c r="D1234">
        <v>7320.42</v>
      </c>
      <c r="E1234">
        <v>2018</v>
      </c>
      <c r="F1234" t="s">
        <v>64</v>
      </c>
    </row>
    <row r="1235" spans="1:6" x14ac:dyDescent="0.25">
      <c r="A1235" t="s">
        <v>30</v>
      </c>
      <c r="B1235" t="s">
        <v>31</v>
      </c>
      <c r="C1235" t="s">
        <v>62</v>
      </c>
      <c r="D1235">
        <v>3721.51</v>
      </c>
      <c r="E1235">
        <v>2018</v>
      </c>
      <c r="F1235" t="s">
        <v>64</v>
      </c>
    </row>
    <row r="1236" spans="1:6" x14ac:dyDescent="0.25">
      <c r="A1236" t="s">
        <v>32</v>
      </c>
      <c r="B1236" t="s">
        <v>33</v>
      </c>
      <c r="C1236" t="s">
        <v>62</v>
      </c>
      <c r="D1236">
        <v>552</v>
      </c>
      <c r="E1236">
        <v>2018</v>
      </c>
      <c r="F1236" t="s">
        <v>64</v>
      </c>
    </row>
    <row r="1237" spans="1:6" x14ac:dyDescent="0.25">
      <c r="A1237" t="s">
        <v>34</v>
      </c>
      <c r="B1237" t="s">
        <v>35</v>
      </c>
      <c r="C1237" t="s">
        <v>62</v>
      </c>
      <c r="D1237">
        <v>3083.31</v>
      </c>
      <c r="E1237">
        <v>2018</v>
      </c>
      <c r="F1237" t="s">
        <v>64</v>
      </c>
    </row>
    <row r="1238" spans="1:6" x14ac:dyDescent="0.25">
      <c r="A1238" t="s">
        <v>36</v>
      </c>
      <c r="B1238" t="s">
        <v>37</v>
      </c>
      <c r="C1238" t="s">
        <v>62</v>
      </c>
      <c r="D1238">
        <v>3664.89</v>
      </c>
      <c r="E1238">
        <v>2018</v>
      </c>
      <c r="F1238" t="s">
        <v>64</v>
      </c>
    </row>
    <row r="1239" spans="1:6" x14ac:dyDescent="0.25">
      <c r="A1239" t="s">
        <v>38</v>
      </c>
      <c r="B1239" t="s">
        <v>39</v>
      </c>
      <c r="C1239" t="s">
        <v>62</v>
      </c>
      <c r="D1239">
        <v>5065.3900000000003</v>
      </c>
      <c r="E1239">
        <v>2018</v>
      </c>
      <c r="F1239" t="s">
        <v>64</v>
      </c>
    </row>
    <row r="1240" spans="1:6" x14ac:dyDescent="0.25">
      <c r="A1240" t="s">
        <v>40</v>
      </c>
      <c r="B1240" t="s">
        <v>41</v>
      </c>
      <c r="C1240" t="s">
        <v>62</v>
      </c>
      <c r="D1240">
        <v>1445.09</v>
      </c>
      <c r="E1240">
        <v>2018</v>
      </c>
      <c r="F1240" t="s">
        <v>64</v>
      </c>
    </row>
    <row r="1241" spans="1:6" x14ac:dyDescent="0.25">
      <c r="A1241" t="s">
        <v>42</v>
      </c>
      <c r="B1241" t="s">
        <v>43</v>
      </c>
      <c r="C1241" t="s">
        <v>62</v>
      </c>
      <c r="D1241">
        <v>27.19</v>
      </c>
      <c r="E1241">
        <v>2018</v>
      </c>
      <c r="F1241" t="s">
        <v>64</v>
      </c>
    </row>
    <row r="1242" spans="1:6" x14ac:dyDescent="0.25">
      <c r="A1242" t="s">
        <v>44</v>
      </c>
      <c r="B1242" t="s">
        <v>45</v>
      </c>
      <c r="C1242" t="s">
        <v>62</v>
      </c>
      <c r="D1242">
        <v>585.05999999999995</v>
      </c>
      <c r="E1242">
        <v>2018</v>
      </c>
      <c r="F1242" t="s">
        <v>64</v>
      </c>
    </row>
    <row r="1243" spans="1:6" x14ac:dyDescent="0.25">
      <c r="A1243" t="s">
        <v>46</v>
      </c>
      <c r="B1243" t="s">
        <v>47</v>
      </c>
      <c r="C1243" t="s">
        <v>62</v>
      </c>
      <c r="D1243">
        <v>412.59</v>
      </c>
      <c r="E1243">
        <v>2018</v>
      </c>
      <c r="F1243" t="s">
        <v>64</v>
      </c>
    </row>
    <row r="1244" spans="1:6" x14ac:dyDescent="0.25">
      <c r="A1244" t="s">
        <v>48</v>
      </c>
      <c r="B1244" t="s">
        <v>49</v>
      </c>
      <c r="C1244" t="s">
        <v>62</v>
      </c>
      <c r="D1244">
        <v>756.94</v>
      </c>
      <c r="E1244">
        <v>2018</v>
      </c>
      <c r="F1244" t="s">
        <v>64</v>
      </c>
    </row>
    <row r="1245" spans="1:6" x14ac:dyDescent="0.25">
      <c r="A1245" t="s">
        <v>50</v>
      </c>
      <c r="B1245" t="s">
        <v>51</v>
      </c>
      <c r="C1245" t="s">
        <v>62</v>
      </c>
      <c r="D1245">
        <v>166.15</v>
      </c>
      <c r="E1245">
        <v>2018</v>
      </c>
      <c r="F1245" t="s">
        <v>64</v>
      </c>
    </row>
    <row r="1246" spans="1:6" x14ac:dyDescent="0.25">
      <c r="A1246" t="s">
        <v>52</v>
      </c>
      <c r="B1246" t="s">
        <v>53</v>
      </c>
      <c r="C1246" t="s">
        <v>62</v>
      </c>
      <c r="D1246">
        <v>319.88</v>
      </c>
      <c r="E1246">
        <v>2018</v>
      </c>
      <c r="F1246" t="s">
        <v>64</v>
      </c>
    </row>
    <row r="1247" spans="1:6" x14ac:dyDescent="0.25">
      <c r="A1247" t="s">
        <v>54</v>
      </c>
      <c r="B1247" t="s">
        <v>55</v>
      </c>
      <c r="C1247" t="s">
        <v>62</v>
      </c>
      <c r="D1247">
        <v>406.51</v>
      </c>
      <c r="E1247">
        <v>2018</v>
      </c>
      <c r="F1247" t="s">
        <v>64</v>
      </c>
    </row>
    <row r="1248" spans="1:6" x14ac:dyDescent="0.25">
      <c r="A1248" t="s">
        <v>56</v>
      </c>
      <c r="B1248" t="s">
        <v>57</v>
      </c>
      <c r="C1248" t="s">
        <v>62</v>
      </c>
      <c r="D1248">
        <v>330.98</v>
      </c>
      <c r="E1248">
        <v>2018</v>
      </c>
      <c r="F1248" t="s">
        <v>64</v>
      </c>
    </row>
    <row r="1249" spans="1:6" x14ac:dyDescent="0.25">
      <c r="A1249" t="s">
        <v>58</v>
      </c>
      <c r="B1249" t="s">
        <v>59</v>
      </c>
      <c r="C1249" t="s">
        <v>62</v>
      </c>
      <c r="E1249">
        <v>2018</v>
      </c>
      <c r="F1249" t="s">
        <v>64</v>
      </c>
    </row>
    <row r="1250" spans="1:6" x14ac:dyDescent="0.25">
      <c r="A1250" t="s">
        <v>6</v>
      </c>
      <c r="B1250" t="s">
        <v>7</v>
      </c>
      <c r="C1250" t="s">
        <v>66</v>
      </c>
      <c r="D1250">
        <v>11882.67</v>
      </c>
      <c r="E1250">
        <v>2018</v>
      </c>
      <c r="F1250" t="s">
        <v>64</v>
      </c>
    </row>
    <row r="1251" spans="1:6" x14ac:dyDescent="0.25">
      <c r="A1251" t="s">
        <v>10</v>
      </c>
      <c r="B1251" t="s">
        <v>11</v>
      </c>
      <c r="C1251" t="s">
        <v>66</v>
      </c>
      <c r="D1251">
        <v>5574.25</v>
      </c>
      <c r="E1251">
        <v>2018</v>
      </c>
      <c r="F1251" t="s">
        <v>64</v>
      </c>
    </row>
    <row r="1252" spans="1:6" x14ac:dyDescent="0.25">
      <c r="A1252" t="s">
        <v>12</v>
      </c>
      <c r="B1252" t="s">
        <v>13</v>
      </c>
      <c r="C1252" t="s">
        <v>66</v>
      </c>
      <c r="D1252">
        <v>528.29</v>
      </c>
      <c r="E1252">
        <v>2018</v>
      </c>
      <c r="F1252" t="s">
        <v>64</v>
      </c>
    </row>
    <row r="1253" spans="1:6" x14ac:dyDescent="0.25">
      <c r="A1253" t="s">
        <v>14</v>
      </c>
      <c r="B1253" t="s">
        <v>15</v>
      </c>
      <c r="C1253" t="s">
        <v>66</v>
      </c>
      <c r="E1253">
        <v>2018</v>
      </c>
      <c r="F1253" t="s">
        <v>64</v>
      </c>
    </row>
    <row r="1254" spans="1:6" x14ac:dyDescent="0.25">
      <c r="A1254" t="s">
        <v>16</v>
      </c>
      <c r="B1254" t="s">
        <v>17</v>
      </c>
      <c r="C1254" t="s">
        <v>66</v>
      </c>
      <c r="D1254">
        <v>220.29</v>
      </c>
      <c r="E1254">
        <v>2018</v>
      </c>
      <c r="F1254" t="s">
        <v>64</v>
      </c>
    </row>
    <row r="1255" spans="1:6" x14ac:dyDescent="0.25">
      <c r="A1255" t="s">
        <v>18</v>
      </c>
      <c r="B1255" t="s">
        <v>19</v>
      </c>
      <c r="C1255" t="s">
        <v>66</v>
      </c>
      <c r="D1255">
        <v>46.36</v>
      </c>
      <c r="E1255">
        <v>2018</v>
      </c>
      <c r="F1255" t="s">
        <v>64</v>
      </c>
    </row>
    <row r="1256" spans="1:6" x14ac:dyDescent="0.25">
      <c r="A1256" t="s">
        <v>20</v>
      </c>
      <c r="B1256" t="s">
        <v>21</v>
      </c>
      <c r="C1256" t="s">
        <v>66</v>
      </c>
      <c r="D1256">
        <v>240.53</v>
      </c>
      <c r="E1256">
        <v>2018</v>
      </c>
      <c r="F1256" t="s">
        <v>64</v>
      </c>
    </row>
    <row r="1257" spans="1:6" x14ac:dyDescent="0.25">
      <c r="A1257" t="s">
        <v>22</v>
      </c>
      <c r="B1257" t="s">
        <v>23</v>
      </c>
      <c r="C1257" t="s">
        <v>66</v>
      </c>
      <c r="D1257">
        <v>296.89</v>
      </c>
      <c r="E1257">
        <v>2018</v>
      </c>
      <c r="F1257" t="s">
        <v>64</v>
      </c>
    </row>
    <row r="1258" spans="1:6" x14ac:dyDescent="0.25">
      <c r="A1258" t="s">
        <v>24</v>
      </c>
      <c r="B1258" t="s">
        <v>25</v>
      </c>
      <c r="C1258" t="s">
        <v>66</v>
      </c>
      <c r="D1258">
        <v>1085.81</v>
      </c>
      <c r="E1258">
        <v>2018</v>
      </c>
      <c r="F1258" t="s">
        <v>64</v>
      </c>
    </row>
    <row r="1259" spans="1:6" x14ac:dyDescent="0.25">
      <c r="A1259" t="s">
        <v>26</v>
      </c>
      <c r="B1259" t="s">
        <v>27</v>
      </c>
      <c r="C1259" t="s">
        <v>66</v>
      </c>
      <c r="D1259">
        <v>71.81</v>
      </c>
      <c r="E1259">
        <v>2018</v>
      </c>
      <c r="F1259" t="s">
        <v>64</v>
      </c>
    </row>
    <row r="1260" spans="1:6" x14ac:dyDescent="0.25">
      <c r="A1260" t="s">
        <v>28</v>
      </c>
      <c r="B1260" t="s">
        <v>29</v>
      </c>
      <c r="C1260" t="s">
        <v>66</v>
      </c>
      <c r="D1260">
        <v>1521.27</v>
      </c>
      <c r="E1260">
        <v>2018</v>
      </c>
      <c r="F1260" t="s">
        <v>64</v>
      </c>
    </row>
    <row r="1261" spans="1:6" x14ac:dyDescent="0.25">
      <c r="A1261" t="s">
        <v>30</v>
      </c>
      <c r="B1261" t="s">
        <v>31</v>
      </c>
      <c r="C1261" t="s">
        <v>66</v>
      </c>
      <c r="D1261">
        <v>728.27</v>
      </c>
      <c r="E1261">
        <v>2018</v>
      </c>
      <c r="F1261" t="s">
        <v>64</v>
      </c>
    </row>
    <row r="1262" spans="1:6" x14ac:dyDescent="0.25">
      <c r="A1262" t="s">
        <v>32</v>
      </c>
      <c r="B1262" t="s">
        <v>33</v>
      </c>
      <c r="C1262" t="s">
        <v>66</v>
      </c>
      <c r="D1262">
        <v>333.75</v>
      </c>
      <c r="E1262">
        <v>2018</v>
      </c>
      <c r="F1262" t="s">
        <v>64</v>
      </c>
    </row>
    <row r="1263" spans="1:6" x14ac:dyDescent="0.25">
      <c r="A1263" t="s">
        <v>34</v>
      </c>
      <c r="B1263" t="s">
        <v>35</v>
      </c>
      <c r="C1263" t="s">
        <v>66</v>
      </c>
      <c r="D1263">
        <v>348.42</v>
      </c>
      <c r="E1263">
        <v>2018</v>
      </c>
      <c r="F1263" t="s">
        <v>64</v>
      </c>
    </row>
    <row r="1264" spans="1:6" x14ac:dyDescent="0.25">
      <c r="A1264" t="s">
        <v>36</v>
      </c>
      <c r="B1264" t="s">
        <v>37</v>
      </c>
      <c r="C1264" t="s">
        <v>66</v>
      </c>
      <c r="D1264">
        <v>216.95</v>
      </c>
      <c r="E1264">
        <v>2018</v>
      </c>
      <c r="F1264" t="s">
        <v>64</v>
      </c>
    </row>
    <row r="1265" spans="1:6" x14ac:dyDescent="0.25">
      <c r="A1265" t="s">
        <v>38</v>
      </c>
      <c r="B1265" t="s">
        <v>39</v>
      </c>
      <c r="C1265" t="s">
        <v>66</v>
      </c>
      <c r="D1265">
        <v>66.06</v>
      </c>
      <c r="E1265">
        <v>2018</v>
      </c>
      <c r="F1265" t="s">
        <v>64</v>
      </c>
    </row>
    <row r="1266" spans="1:6" x14ac:dyDescent="0.25">
      <c r="A1266" t="s">
        <v>40</v>
      </c>
      <c r="B1266" t="s">
        <v>41</v>
      </c>
      <c r="C1266" t="s">
        <v>66</v>
      </c>
      <c r="D1266">
        <v>181.95</v>
      </c>
      <c r="E1266">
        <v>2018</v>
      </c>
      <c r="F1266" t="s">
        <v>64</v>
      </c>
    </row>
    <row r="1267" spans="1:6" x14ac:dyDescent="0.25">
      <c r="A1267" t="s">
        <v>42</v>
      </c>
      <c r="B1267" t="s">
        <v>43</v>
      </c>
      <c r="C1267" t="s">
        <v>66</v>
      </c>
      <c r="D1267">
        <v>1.95</v>
      </c>
      <c r="E1267">
        <v>2018</v>
      </c>
      <c r="F1267" t="s">
        <v>64</v>
      </c>
    </row>
    <row r="1268" spans="1:6" x14ac:dyDescent="0.25">
      <c r="A1268" t="s">
        <v>44</v>
      </c>
      <c r="B1268" t="s">
        <v>45</v>
      </c>
      <c r="C1268" t="s">
        <v>66</v>
      </c>
      <c r="D1268">
        <v>67.53</v>
      </c>
      <c r="E1268">
        <v>2018</v>
      </c>
      <c r="F1268" t="s">
        <v>64</v>
      </c>
    </row>
    <row r="1269" spans="1:6" x14ac:dyDescent="0.25">
      <c r="A1269" t="s">
        <v>46</v>
      </c>
      <c r="B1269" t="s">
        <v>47</v>
      </c>
      <c r="C1269" t="s">
        <v>66</v>
      </c>
      <c r="D1269">
        <v>5.56</v>
      </c>
      <c r="E1269">
        <v>2018</v>
      </c>
      <c r="F1269" t="s">
        <v>64</v>
      </c>
    </row>
    <row r="1270" spans="1:6" x14ac:dyDescent="0.25">
      <c r="A1270" t="s">
        <v>48</v>
      </c>
      <c r="B1270" t="s">
        <v>49</v>
      </c>
      <c r="C1270" t="s">
        <v>66</v>
      </c>
      <c r="D1270">
        <v>194.57</v>
      </c>
      <c r="E1270">
        <v>2018</v>
      </c>
      <c r="F1270" t="s">
        <v>64</v>
      </c>
    </row>
    <row r="1271" spans="1:6" x14ac:dyDescent="0.25">
      <c r="A1271" t="s">
        <v>50</v>
      </c>
      <c r="B1271" t="s">
        <v>51</v>
      </c>
      <c r="C1271" t="s">
        <v>66</v>
      </c>
      <c r="E1271">
        <v>2018</v>
      </c>
      <c r="F1271" t="s">
        <v>64</v>
      </c>
    </row>
    <row r="1272" spans="1:6" x14ac:dyDescent="0.25">
      <c r="A1272" t="s">
        <v>52</v>
      </c>
      <c r="B1272" t="s">
        <v>53</v>
      </c>
      <c r="C1272" t="s">
        <v>66</v>
      </c>
      <c r="D1272">
        <v>41.17</v>
      </c>
      <c r="E1272">
        <v>2018</v>
      </c>
      <c r="F1272" t="s">
        <v>64</v>
      </c>
    </row>
    <row r="1273" spans="1:6" x14ac:dyDescent="0.25">
      <c r="A1273" t="s">
        <v>54</v>
      </c>
      <c r="B1273" t="s">
        <v>55</v>
      </c>
      <c r="C1273" t="s">
        <v>66</v>
      </c>
      <c r="D1273">
        <v>22.04</v>
      </c>
      <c r="E1273">
        <v>2018</v>
      </c>
      <c r="F1273" t="s">
        <v>64</v>
      </c>
    </row>
    <row r="1274" spans="1:6" x14ac:dyDescent="0.25">
      <c r="A1274" t="s">
        <v>56</v>
      </c>
      <c r="B1274" t="s">
        <v>57</v>
      </c>
      <c r="C1274" t="s">
        <v>66</v>
      </c>
      <c r="D1274">
        <v>88.95</v>
      </c>
      <c r="E1274">
        <v>2018</v>
      </c>
      <c r="F1274" t="s">
        <v>64</v>
      </c>
    </row>
    <row r="1275" spans="1:6" x14ac:dyDescent="0.25">
      <c r="A1275" t="s">
        <v>58</v>
      </c>
      <c r="B1275" t="s">
        <v>59</v>
      </c>
      <c r="C1275" t="s">
        <v>66</v>
      </c>
      <c r="E1275">
        <v>2018</v>
      </c>
      <c r="F1275" t="s">
        <v>64</v>
      </c>
    </row>
    <row r="1276" spans="1:6" x14ac:dyDescent="0.25">
      <c r="A1276" t="s">
        <v>6</v>
      </c>
      <c r="B1276" t="s">
        <v>7</v>
      </c>
      <c r="C1276" t="s">
        <v>63</v>
      </c>
      <c r="D1276">
        <v>562466.02</v>
      </c>
      <c r="E1276">
        <v>2019</v>
      </c>
      <c r="F1276" t="s">
        <v>64</v>
      </c>
    </row>
    <row r="1277" spans="1:6" x14ac:dyDescent="0.25">
      <c r="A1277" t="s">
        <v>10</v>
      </c>
      <c r="B1277" t="s">
        <v>11</v>
      </c>
      <c r="C1277" t="s">
        <v>63</v>
      </c>
      <c r="D1277">
        <v>130332.83</v>
      </c>
      <c r="E1277">
        <v>2019</v>
      </c>
      <c r="F1277" t="s">
        <v>64</v>
      </c>
    </row>
    <row r="1278" spans="1:6" x14ac:dyDescent="0.25">
      <c r="A1278" t="s">
        <v>12</v>
      </c>
      <c r="B1278" t="s">
        <v>13</v>
      </c>
      <c r="C1278" t="s">
        <v>63</v>
      </c>
      <c r="D1278">
        <v>16558.080000000002</v>
      </c>
      <c r="E1278">
        <v>2019</v>
      </c>
      <c r="F1278" t="s">
        <v>64</v>
      </c>
    </row>
    <row r="1279" spans="1:6" x14ac:dyDescent="0.25">
      <c r="A1279" t="s">
        <v>14</v>
      </c>
      <c r="B1279" t="s">
        <v>15</v>
      </c>
      <c r="C1279" t="s">
        <v>63</v>
      </c>
      <c r="D1279">
        <v>2713.15</v>
      </c>
      <c r="E1279">
        <v>2019</v>
      </c>
      <c r="F1279" t="s">
        <v>64</v>
      </c>
    </row>
    <row r="1280" spans="1:6" x14ac:dyDescent="0.25">
      <c r="A1280" t="s">
        <v>16</v>
      </c>
      <c r="B1280" t="s">
        <v>17</v>
      </c>
      <c r="C1280" t="s">
        <v>63</v>
      </c>
      <c r="D1280">
        <v>8101.41</v>
      </c>
      <c r="E1280">
        <v>2019</v>
      </c>
      <c r="F1280" t="s">
        <v>64</v>
      </c>
    </row>
    <row r="1281" spans="1:6" x14ac:dyDescent="0.25">
      <c r="A1281" t="s">
        <v>18</v>
      </c>
      <c r="B1281" t="s">
        <v>19</v>
      </c>
      <c r="C1281" t="s">
        <v>63</v>
      </c>
      <c r="D1281">
        <v>5964.08</v>
      </c>
      <c r="E1281">
        <v>2019</v>
      </c>
      <c r="F1281" t="s">
        <v>64</v>
      </c>
    </row>
    <row r="1282" spans="1:6" x14ac:dyDescent="0.25">
      <c r="A1282" t="s">
        <v>20</v>
      </c>
      <c r="B1282" t="s">
        <v>21</v>
      </c>
      <c r="C1282" t="s">
        <v>63</v>
      </c>
      <c r="D1282">
        <v>5574.18</v>
      </c>
      <c r="E1282">
        <v>2019</v>
      </c>
      <c r="F1282" t="s">
        <v>64</v>
      </c>
    </row>
    <row r="1283" spans="1:6" x14ac:dyDescent="0.25">
      <c r="A1283" t="s">
        <v>22</v>
      </c>
      <c r="B1283" t="s">
        <v>23</v>
      </c>
      <c r="C1283" t="s">
        <v>63</v>
      </c>
      <c r="D1283">
        <v>4247.84</v>
      </c>
      <c r="E1283">
        <v>2019</v>
      </c>
      <c r="F1283" t="s">
        <v>64</v>
      </c>
    </row>
    <row r="1284" spans="1:6" x14ac:dyDescent="0.25">
      <c r="A1284" t="s">
        <v>24</v>
      </c>
      <c r="B1284" t="s">
        <v>25</v>
      </c>
      <c r="C1284" t="s">
        <v>63</v>
      </c>
      <c r="D1284">
        <v>18831.87</v>
      </c>
      <c r="E1284">
        <v>2019</v>
      </c>
      <c r="F1284" t="s">
        <v>64</v>
      </c>
    </row>
    <row r="1285" spans="1:6" x14ac:dyDescent="0.25">
      <c r="A1285" t="s">
        <v>26</v>
      </c>
      <c r="B1285" t="s">
        <v>27</v>
      </c>
      <c r="C1285" t="s">
        <v>63</v>
      </c>
      <c r="D1285">
        <v>1776.59</v>
      </c>
      <c r="E1285">
        <v>2019</v>
      </c>
      <c r="F1285" t="s">
        <v>64</v>
      </c>
    </row>
    <row r="1286" spans="1:6" x14ac:dyDescent="0.25">
      <c r="A1286" t="s">
        <v>28</v>
      </c>
      <c r="B1286" t="s">
        <v>29</v>
      </c>
      <c r="C1286" t="s">
        <v>63</v>
      </c>
      <c r="D1286">
        <v>47186.42</v>
      </c>
      <c r="E1286">
        <v>2019</v>
      </c>
      <c r="F1286" t="s">
        <v>64</v>
      </c>
    </row>
    <row r="1287" spans="1:6" x14ac:dyDescent="0.25">
      <c r="A1287" t="s">
        <v>30</v>
      </c>
      <c r="B1287" t="s">
        <v>31</v>
      </c>
      <c r="C1287" t="s">
        <v>63</v>
      </c>
      <c r="D1287">
        <v>76438.460000000006</v>
      </c>
      <c r="E1287">
        <v>2019</v>
      </c>
      <c r="F1287" t="s">
        <v>64</v>
      </c>
    </row>
    <row r="1288" spans="1:6" x14ac:dyDescent="0.25">
      <c r="A1288" t="s">
        <v>32</v>
      </c>
      <c r="B1288" t="s">
        <v>33</v>
      </c>
      <c r="C1288" t="s">
        <v>63</v>
      </c>
      <c r="D1288">
        <v>9308.77</v>
      </c>
      <c r="E1288">
        <v>2019</v>
      </c>
      <c r="F1288" t="s">
        <v>64</v>
      </c>
    </row>
    <row r="1289" spans="1:6" x14ac:dyDescent="0.25">
      <c r="A1289" t="s">
        <v>34</v>
      </c>
      <c r="B1289" t="s">
        <v>35</v>
      </c>
      <c r="C1289" t="s">
        <v>63</v>
      </c>
      <c r="D1289">
        <v>19761.259999999998</v>
      </c>
      <c r="E1289">
        <v>2019</v>
      </c>
      <c r="F1289" t="s">
        <v>64</v>
      </c>
    </row>
    <row r="1290" spans="1:6" x14ac:dyDescent="0.25">
      <c r="A1290" t="s">
        <v>36</v>
      </c>
      <c r="B1290" t="s">
        <v>37</v>
      </c>
      <c r="C1290" t="s">
        <v>63</v>
      </c>
      <c r="D1290">
        <v>13890.17</v>
      </c>
      <c r="E1290">
        <v>2019</v>
      </c>
      <c r="F1290" t="s">
        <v>64</v>
      </c>
    </row>
    <row r="1291" spans="1:6" x14ac:dyDescent="0.25">
      <c r="A1291" t="s">
        <v>38</v>
      </c>
      <c r="B1291" t="s">
        <v>39</v>
      </c>
      <c r="C1291" t="s">
        <v>63</v>
      </c>
      <c r="D1291">
        <v>45020.12</v>
      </c>
      <c r="E1291">
        <v>2019</v>
      </c>
      <c r="F1291" t="s">
        <v>64</v>
      </c>
    </row>
    <row r="1292" spans="1:6" x14ac:dyDescent="0.25">
      <c r="A1292" t="s">
        <v>40</v>
      </c>
      <c r="B1292" t="s">
        <v>41</v>
      </c>
      <c r="C1292" t="s">
        <v>63</v>
      </c>
      <c r="D1292">
        <v>13852.75</v>
      </c>
      <c r="E1292">
        <v>2019</v>
      </c>
      <c r="F1292" t="s">
        <v>64</v>
      </c>
    </row>
    <row r="1293" spans="1:6" x14ac:dyDescent="0.25">
      <c r="A1293" t="s">
        <v>42</v>
      </c>
      <c r="B1293" t="s">
        <v>43</v>
      </c>
      <c r="C1293" t="s">
        <v>63</v>
      </c>
      <c r="D1293">
        <v>20862.29</v>
      </c>
      <c r="E1293">
        <v>2019</v>
      </c>
      <c r="F1293" t="s">
        <v>64</v>
      </c>
    </row>
    <row r="1294" spans="1:6" x14ac:dyDescent="0.25">
      <c r="A1294" t="s">
        <v>44</v>
      </c>
      <c r="B1294" t="s">
        <v>45</v>
      </c>
      <c r="C1294" t="s">
        <v>63</v>
      </c>
      <c r="D1294">
        <v>15455.76</v>
      </c>
      <c r="E1294">
        <v>2019</v>
      </c>
      <c r="F1294" t="s">
        <v>64</v>
      </c>
    </row>
    <row r="1295" spans="1:6" x14ac:dyDescent="0.25">
      <c r="A1295" t="s">
        <v>46</v>
      </c>
      <c r="B1295" t="s">
        <v>47</v>
      </c>
      <c r="C1295" t="s">
        <v>63</v>
      </c>
      <c r="D1295">
        <v>23391.18</v>
      </c>
      <c r="E1295">
        <v>2019</v>
      </c>
      <c r="F1295" t="s">
        <v>64</v>
      </c>
    </row>
    <row r="1296" spans="1:6" x14ac:dyDescent="0.25">
      <c r="A1296" t="s">
        <v>48</v>
      </c>
      <c r="B1296" t="s">
        <v>49</v>
      </c>
      <c r="C1296" t="s">
        <v>63</v>
      </c>
      <c r="D1296">
        <v>63722.33</v>
      </c>
      <c r="E1296">
        <v>2019</v>
      </c>
      <c r="F1296" t="s">
        <v>64</v>
      </c>
    </row>
    <row r="1297" spans="1:6" x14ac:dyDescent="0.25">
      <c r="A1297" t="s">
        <v>50</v>
      </c>
      <c r="B1297" t="s">
        <v>51</v>
      </c>
      <c r="C1297" t="s">
        <v>63</v>
      </c>
      <c r="D1297">
        <v>7308.49</v>
      </c>
      <c r="E1297">
        <v>2019</v>
      </c>
      <c r="F1297" t="s">
        <v>64</v>
      </c>
    </row>
    <row r="1298" spans="1:6" x14ac:dyDescent="0.25">
      <c r="A1298" t="s">
        <v>52</v>
      </c>
      <c r="B1298" t="s">
        <v>53</v>
      </c>
      <c r="C1298" t="s">
        <v>63</v>
      </c>
      <c r="D1298">
        <v>5095.7700000000004</v>
      </c>
      <c r="E1298">
        <v>2019</v>
      </c>
      <c r="F1298" t="s">
        <v>64</v>
      </c>
    </row>
    <row r="1299" spans="1:6" x14ac:dyDescent="0.25">
      <c r="A1299" t="s">
        <v>54</v>
      </c>
      <c r="B1299" t="s">
        <v>55</v>
      </c>
      <c r="C1299" t="s">
        <v>63</v>
      </c>
      <c r="D1299">
        <v>3558.72</v>
      </c>
      <c r="E1299">
        <v>2019</v>
      </c>
      <c r="F1299" t="s">
        <v>64</v>
      </c>
    </row>
    <row r="1300" spans="1:6" x14ac:dyDescent="0.25">
      <c r="A1300" t="s">
        <v>56</v>
      </c>
      <c r="B1300" t="s">
        <v>57</v>
      </c>
      <c r="C1300" t="s">
        <v>63</v>
      </c>
      <c r="D1300">
        <v>3513.5</v>
      </c>
      <c r="E1300">
        <v>2019</v>
      </c>
      <c r="F1300" t="s">
        <v>64</v>
      </c>
    </row>
    <row r="1301" spans="1:6" x14ac:dyDescent="0.25">
      <c r="A1301" t="s">
        <v>58</v>
      </c>
      <c r="B1301" t="s">
        <v>59</v>
      </c>
      <c r="C1301" t="s">
        <v>63</v>
      </c>
      <c r="E1301">
        <v>2019</v>
      </c>
      <c r="F1301" t="s">
        <v>64</v>
      </c>
    </row>
    <row r="1302" spans="1:6" x14ac:dyDescent="0.25">
      <c r="A1302" t="s">
        <v>6</v>
      </c>
      <c r="B1302" t="s">
        <v>7</v>
      </c>
      <c r="C1302" t="s">
        <v>8</v>
      </c>
      <c r="D1302">
        <v>47494.07</v>
      </c>
      <c r="E1302">
        <v>2019</v>
      </c>
      <c r="F1302" t="s">
        <v>64</v>
      </c>
    </row>
    <row r="1303" spans="1:6" x14ac:dyDescent="0.25">
      <c r="A1303" t="s">
        <v>10</v>
      </c>
      <c r="B1303" t="s">
        <v>11</v>
      </c>
      <c r="C1303" t="s">
        <v>8</v>
      </c>
      <c r="D1303">
        <v>16556.080000000002</v>
      </c>
      <c r="E1303">
        <v>2019</v>
      </c>
      <c r="F1303" t="s">
        <v>64</v>
      </c>
    </row>
    <row r="1304" spans="1:6" x14ac:dyDescent="0.25">
      <c r="A1304" t="s">
        <v>12</v>
      </c>
      <c r="B1304" t="s">
        <v>13</v>
      </c>
      <c r="C1304" t="s">
        <v>8</v>
      </c>
      <c r="D1304">
        <v>3135.23</v>
      </c>
      <c r="E1304">
        <v>2019</v>
      </c>
      <c r="F1304" t="s">
        <v>64</v>
      </c>
    </row>
    <row r="1305" spans="1:6" x14ac:dyDescent="0.25">
      <c r="A1305" t="s">
        <v>14</v>
      </c>
      <c r="B1305" t="s">
        <v>15</v>
      </c>
      <c r="C1305" t="s">
        <v>8</v>
      </c>
      <c r="E1305">
        <v>2019</v>
      </c>
      <c r="F1305" t="s">
        <v>64</v>
      </c>
    </row>
    <row r="1306" spans="1:6" x14ac:dyDescent="0.25">
      <c r="A1306" t="s">
        <v>16</v>
      </c>
      <c r="B1306" t="s">
        <v>17</v>
      </c>
      <c r="C1306" t="s">
        <v>8</v>
      </c>
      <c r="D1306">
        <v>189.51</v>
      </c>
      <c r="E1306">
        <v>2019</v>
      </c>
      <c r="F1306" t="s">
        <v>64</v>
      </c>
    </row>
    <row r="1307" spans="1:6" x14ac:dyDescent="0.25">
      <c r="A1307" t="s">
        <v>18</v>
      </c>
      <c r="B1307" t="s">
        <v>19</v>
      </c>
      <c r="C1307" t="s">
        <v>8</v>
      </c>
      <c r="D1307">
        <v>151.38</v>
      </c>
      <c r="E1307">
        <v>2019</v>
      </c>
      <c r="F1307" t="s">
        <v>64</v>
      </c>
    </row>
    <row r="1308" spans="1:6" x14ac:dyDescent="0.25">
      <c r="A1308" t="s">
        <v>20</v>
      </c>
      <c r="B1308" t="s">
        <v>21</v>
      </c>
      <c r="C1308" t="s">
        <v>8</v>
      </c>
      <c r="D1308">
        <v>98.81</v>
      </c>
      <c r="E1308">
        <v>2019</v>
      </c>
      <c r="F1308" t="s">
        <v>64</v>
      </c>
    </row>
    <row r="1309" spans="1:6" x14ac:dyDescent="0.25">
      <c r="A1309" t="s">
        <v>22</v>
      </c>
      <c r="B1309" t="s">
        <v>23</v>
      </c>
      <c r="C1309" t="s">
        <v>8</v>
      </c>
      <c r="D1309">
        <v>2297.8200000000002</v>
      </c>
      <c r="E1309">
        <v>2019</v>
      </c>
      <c r="F1309" t="s">
        <v>64</v>
      </c>
    </row>
    <row r="1310" spans="1:6" x14ac:dyDescent="0.25">
      <c r="A1310" t="s">
        <v>24</v>
      </c>
      <c r="B1310" t="s">
        <v>25</v>
      </c>
      <c r="C1310" t="s">
        <v>8</v>
      </c>
      <c r="D1310">
        <v>3394.52</v>
      </c>
      <c r="E1310">
        <v>2019</v>
      </c>
      <c r="F1310" t="s">
        <v>64</v>
      </c>
    </row>
    <row r="1311" spans="1:6" x14ac:dyDescent="0.25">
      <c r="A1311" t="s">
        <v>26</v>
      </c>
      <c r="B1311" t="s">
        <v>27</v>
      </c>
      <c r="C1311" t="s">
        <v>8</v>
      </c>
      <c r="D1311">
        <v>300.5</v>
      </c>
      <c r="E1311">
        <v>2019</v>
      </c>
      <c r="F1311" t="s">
        <v>64</v>
      </c>
    </row>
    <row r="1312" spans="1:6" x14ac:dyDescent="0.25">
      <c r="A1312" t="s">
        <v>28</v>
      </c>
      <c r="B1312" t="s">
        <v>29</v>
      </c>
      <c r="C1312" t="s">
        <v>8</v>
      </c>
      <c r="E1312">
        <v>2019</v>
      </c>
      <c r="F1312" t="s">
        <v>64</v>
      </c>
    </row>
    <row r="1313" spans="1:6" x14ac:dyDescent="0.25">
      <c r="A1313" t="s">
        <v>30</v>
      </c>
      <c r="B1313" t="s">
        <v>31</v>
      </c>
      <c r="C1313" t="s">
        <v>8</v>
      </c>
      <c r="D1313">
        <v>8522.7099999999991</v>
      </c>
      <c r="E1313">
        <v>2019</v>
      </c>
      <c r="F1313" t="s">
        <v>64</v>
      </c>
    </row>
    <row r="1314" spans="1:6" x14ac:dyDescent="0.25">
      <c r="A1314" t="s">
        <v>32</v>
      </c>
      <c r="B1314" t="s">
        <v>33</v>
      </c>
      <c r="C1314" t="s">
        <v>8</v>
      </c>
      <c r="D1314">
        <v>686.84</v>
      </c>
      <c r="E1314">
        <v>2019</v>
      </c>
      <c r="F1314" t="s">
        <v>64</v>
      </c>
    </row>
    <row r="1315" spans="1:6" x14ac:dyDescent="0.25">
      <c r="A1315" t="s">
        <v>34</v>
      </c>
      <c r="B1315" t="s">
        <v>35</v>
      </c>
      <c r="C1315" t="s">
        <v>8</v>
      </c>
      <c r="D1315">
        <v>1880.28</v>
      </c>
      <c r="E1315">
        <v>2019</v>
      </c>
      <c r="F1315" t="s">
        <v>64</v>
      </c>
    </row>
    <row r="1316" spans="1:6" x14ac:dyDescent="0.25">
      <c r="A1316" t="s">
        <v>36</v>
      </c>
      <c r="B1316" t="s">
        <v>37</v>
      </c>
      <c r="C1316" t="s">
        <v>8</v>
      </c>
      <c r="D1316">
        <v>1813.59</v>
      </c>
      <c r="E1316">
        <v>2019</v>
      </c>
      <c r="F1316" t="s">
        <v>64</v>
      </c>
    </row>
    <row r="1317" spans="1:6" x14ac:dyDescent="0.25">
      <c r="A1317" t="s">
        <v>38</v>
      </c>
      <c r="B1317" t="s">
        <v>39</v>
      </c>
      <c r="C1317" t="s">
        <v>8</v>
      </c>
      <c r="D1317">
        <v>1407.8</v>
      </c>
      <c r="E1317">
        <v>2019</v>
      </c>
      <c r="F1317" t="s">
        <v>64</v>
      </c>
    </row>
    <row r="1318" spans="1:6" x14ac:dyDescent="0.25">
      <c r="A1318" t="s">
        <v>40</v>
      </c>
      <c r="B1318" t="s">
        <v>41</v>
      </c>
      <c r="C1318" t="s">
        <v>8</v>
      </c>
      <c r="D1318">
        <v>1722.98</v>
      </c>
      <c r="E1318">
        <v>2019</v>
      </c>
      <c r="F1318" t="s">
        <v>64</v>
      </c>
    </row>
    <row r="1319" spans="1:6" x14ac:dyDescent="0.25">
      <c r="A1319" t="s">
        <v>42</v>
      </c>
      <c r="B1319" t="s">
        <v>43</v>
      </c>
      <c r="C1319" t="s">
        <v>8</v>
      </c>
      <c r="D1319">
        <v>50.52</v>
      </c>
      <c r="E1319">
        <v>2019</v>
      </c>
      <c r="F1319" t="s">
        <v>64</v>
      </c>
    </row>
    <row r="1320" spans="1:6" x14ac:dyDescent="0.25">
      <c r="A1320" t="s">
        <v>44</v>
      </c>
      <c r="B1320" t="s">
        <v>45</v>
      </c>
      <c r="C1320" t="s">
        <v>8</v>
      </c>
      <c r="D1320">
        <v>484.18</v>
      </c>
      <c r="E1320">
        <v>2019</v>
      </c>
      <c r="F1320" t="s">
        <v>64</v>
      </c>
    </row>
    <row r="1321" spans="1:6" x14ac:dyDescent="0.25">
      <c r="A1321" t="s">
        <v>46</v>
      </c>
      <c r="B1321" t="s">
        <v>47</v>
      </c>
      <c r="C1321" t="s">
        <v>8</v>
      </c>
      <c r="D1321">
        <v>655.52</v>
      </c>
      <c r="E1321">
        <v>2019</v>
      </c>
      <c r="F1321" t="s">
        <v>64</v>
      </c>
    </row>
    <row r="1322" spans="1:6" x14ac:dyDescent="0.25">
      <c r="A1322" t="s">
        <v>48</v>
      </c>
      <c r="B1322" t="s">
        <v>49</v>
      </c>
      <c r="C1322" t="s">
        <v>8</v>
      </c>
      <c r="D1322">
        <v>64.39</v>
      </c>
      <c r="E1322">
        <v>2019</v>
      </c>
      <c r="F1322" t="s">
        <v>64</v>
      </c>
    </row>
    <row r="1323" spans="1:6" x14ac:dyDescent="0.25">
      <c r="A1323" t="s">
        <v>50</v>
      </c>
      <c r="B1323" t="s">
        <v>51</v>
      </c>
      <c r="C1323" t="s">
        <v>8</v>
      </c>
      <c r="D1323">
        <v>41.93</v>
      </c>
      <c r="E1323">
        <v>2019</v>
      </c>
      <c r="F1323" t="s">
        <v>64</v>
      </c>
    </row>
    <row r="1324" spans="1:6" x14ac:dyDescent="0.25">
      <c r="A1324" t="s">
        <v>52</v>
      </c>
      <c r="B1324" t="s">
        <v>53</v>
      </c>
      <c r="C1324" t="s">
        <v>8</v>
      </c>
      <c r="D1324">
        <v>355.42</v>
      </c>
      <c r="E1324">
        <v>2019</v>
      </c>
      <c r="F1324" t="s">
        <v>64</v>
      </c>
    </row>
    <row r="1325" spans="1:6" x14ac:dyDescent="0.25">
      <c r="A1325" t="s">
        <v>54</v>
      </c>
      <c r="B1325" t="s">
        <v>55</v>
      </c>
      <c r="C1325" t="s">
        <v>8</v>
      </c>
      <c r="D1325">
        <v>48.23</v>
      </c>
      <c r="E1325">
        <v>2019</v>
      </c>
      <c r="F1325" t="s">
        <v>64</v>
      </c>
    </row>
    <row r="1326" spans="1:6" x14ac:dyDescent="0.25">
      <c r="A1326" t="s">
        <v>56</v>
      </c>
      <c r="B1326" t="s">
        <v>57</v>
      </c>
      <c r="C1326" t="s">
        <v>8</v>
      </c>
      <c r="D1326">
        <v>705.78</v>
      </c>
      <c r="E1326">
        <v>2019</v>
      </c>
      <c r="F1326" t="s">
        <v>64</v>
      </c>
    </row>
    <row r="1327" spans="1:6" x14ac:dyDescent="0.25">
      <c r="A1327" t="s">
        <v>58</v>
      </c>
      <c r="B1327" t="s">
        <v>59</v>
      </c>
      <c r="C1327" t="s">
        <v>8</v>
      </c>
      <c r="D1327">
        <v>2930.05</v>
      </c>
      <c r="E1327">
        <v>2019</v>
      </c>
      <c r="F1327" t="s">
        <v>64</v>
      </c>
    </row>
    <row r="1328" spans="1:6" x14ac:dyDescent="0.25">
      <c r="A1328" t="s">
        <v>6</v>
      </c>
      <c r="B1328" t="s">
        <v>7</v>
      </c>
      <c r="C1328" t="s">
        <v>60</v>
      </c>
      <c r="D1328">
        <v>46570.05</v>
      </c>
      <c r="E1328">
        <v>2019</v>
      </c>
      <c r="F1328" t="s">
        <v>64</v>
      </c>
    </row>
    <row r="1329" spans="1:6" x14ac:dyDescent="0.25">
      <c r="A1329" t="s">
        <v>10</v>
      </c>
      <c r="B1329" t="s">
        <v>11</v>
      </c>
      <c r="C1329" t="s">
        <v>60</v>
      </c>
      <c r="D1329">
        <v>11746.67</v>
      </c>
      <c r="E1329">
        <v>2019</v>
      </c>
      <c r="F1329" t="s">
        <v>64</v>
      </c>
    </row>
    <row r="1330" spans="1:6" x14ac:dyDescent="0.25">
      <c r="A1330" t="s">
        <v>12</v>
      </c>
      <c r="B1330" t="s">
        <v>13</v>
      </c>
      <c r="C1330" t="s">
        <v>60</v>
      </c>
      <c r="D1330">
        <v>1096.8</v>
      </c>
      <c r="E1330">
        <v>2019</v>
      </c>
      <c r="F1330" t="s">
        <v>64</v>
      </c>
    </row>
    <row r="1331" spans="1:6" x14ac:dyDescent="0.25">
      <c r="A1331" t="s">
        <v>14</v>
      </c>
      <c r="B1331" t="s">
        <v>15</v>
      </c>
      <c r="C1331" t="s">
        <v>60</v>
      </c>
      <c r="E1331">
        <v>2019</v>
      </c>
      <c r="F1331" t="s">
        <v>64</v>
      </c>
    </row>
    <row r="1332" spans="1:6" x14ac:dyDescent="0.25">
      <c r="A1332" t="s">
        <v>16</v>
      </c>
      <c r="B1332" t="s">
        <v>17</v>
      </c>
      <c r="C1332" t="s">
        <v>60</v>
      </c>
      <c r="D1332">
        <v>814.05</v>
      </c>
      <c r="E1332">
        <v>2019</v>
      </c>
      <c r="F1332" t="s">
        <v>64</v>
      </c>
    </row>
    <row r="1333" spans="1:6" x14ac:dyDescent="0.25">
      <c r="A1333" t="s">
        <v>18</v>
      </c>
      <c r="B1333" t="s">
        <v>19</v>
      </c>
      <c r="C1333" t="s">
        <v>60</v>
      </c>
      <c r="D1333">
        <v>1135.2</v>
      </c>
      <c r="E1333">
        <v>2019</v>
      </c>
      <c r="F1333" t="s">
        <v>64</v>
      </c>
    </row>
    <row r="1334" spans="1:6" x14ac:dyDescent="0.25">
      <c r="A1334" t="s">
        <v>20</v>
      </c>
      <c r="B1334" t="s">
        <v>21</v>
      </c>
      <c r="C1334" t="s">
        <v>60</v>
      </c>
      <c r="D1334">
        <v>213.78</v>
      </c>
      <c r="E1334">
        <v>2019</v>
      </c>
      <c r="F1334" t="s">
        <v>64</v>
      </c>
    </row>
    <row r="1335" spans="1:6" x14ac:dyDescent="0.25">
      <c r="A1335" t="s">
        <v>22</v>
      </c>
      <c r="B1335" t="s">
        <v>23</v>
      </c>
      <c r="C1335" t="s">
        <v>60</v>
      </c>
      <c r="D1335">
        <v>159.86000000000001</v>
      </c>
      <c r="E1335">
        <v>2019</v>
      </c>
      <c r="F1335" t="s">
        <v>64</v>
      </c>
    </row>
    <row r="1336" spans="1:6" x14ac:dyDescent="0.25">
      <c r="A1336" t="s">
        <v>24</v>
      </c>
      <c r="B1336" t="s">
        <v>25</v>
      </c>
      <c r="C1336" t="s">
        <v>60</v>
      </c>
      <c r="D1336">
        <v>1668.68</v>
      </c>
      <c r="E1336">
        <v>2019</v>
      </c>
      <c r="F1336" t="s">
        <v>64</v>
      </c>
    </row>
    <row r="1337" spans="1:6" x14ac:dyDescent="0.25">
      <c r="A1337" t="s">
        <v>26</v>
      </c>
      <c r="B1337" t="s">
        <v>27</v>
      </c>
      <c r="C1337" t="s">
        <v>60</v>
      </c>
      <c r="D1337">
        <v>432.47</v>
      </c>
      <c r="E1337">
        <v>2019</v>
      </c>
      <c r="F1337" t="s">
        <v>64</v>
      </c>
    </row>
    <row r="1338" spans="1:6" x14ac:dyDescent="0.25">
      <c r="A1338" t="s">
        <v>28</v>
      </c>
      <c r="B1338" t="s">
        <v>29</v>
      </c>
      <c r="C1338" t="s">
        <v>60</v>
      </c>
      <c r="D1338">
        <v>9349.2199999999993</v>
      </c>
      <c r="E1338">
        <v>2019</v>
      </c>
      <c r="F1338" t="s">
        <v>64</v>
      </c>
    </row>
    <row r="1339" spans="1:6" x14ac:dyDescent="0.25">
      <c r="A1339" t="s">
        <v>30</v>
      </c>
      <c r="B1339" t="s">
        <v>31</v>
      </c>
      <c r="C1339" t="s">
        <v>60</v>
      </c>
      <c r="D1339">
        <v>4438.26</v>
      </c>
      <c r="E1339">
        <v>2019</v>
      </c>
      <c r="F1339" t="s">
        <v>64</v>
      </c>
    </row>
    <row r="1340" spans="1:6" x14ac:dyDescent="0.25">
      <c r="A1340" t="s">
        <v>32</v>
      </c>
      <c r="B1340" t="s">
        <v>33</v>
      </c>
      <c r="C1340" t="s">
        <v>60</v>
      </c>
      <c r="D1340">
        <v>582.83000000000004</v>
      </c>
      <c r="E1340">
        <v>2019</v>
      </c>
      <c r="F1340" t="s">
        <v>64</v>
      </c>
    </row>
    <row r="1341" spans="1:6" x14ac:dyDescent="0.25">
      <c r="A1341" t="s">
        <v>34</v>
      </c>
      <c r="B1341" t="s">
        <v>35</v>
      </c>
      <c r="C1341" t="s">
        <v>60</v>
      </c>
      <c r="D1341">
        <v>1727.5</v>
      </c>
      <c r="E1341">
        <v>2019</v>
      </c>
      <c r="F1341" t="s">
        <v>64</v>
      </c>
    </row>
    <row r="1342" spans="1:6" x14ac:dyDescent="0.25">
      <c r="A1342" t="s">
        <v>36</v>
      </c>
      <c r="B1342" t="s">
        <v>37</v>
      </c>
      <c r="C1342" t="s">
        <v>60</v>
      </c>
      <c r="D1342">
        <v>1669.69</v>
      </c>
      <c r="E1342">
        <v>2019</v>
      </c>
      <c r="F1342" t="s">
        <v>64</v>
      </c>
    </row>
    <row r="1343" spans="1:6" x14ac:dyDescent="0.25">
      <c r="A1343" t="s">
        <v>38</v>
      </c>
      <c r="B1343" t="s">
        <v>39</v>
      </c>
      <c r="C1343" t="s">
        <v>60</v>
      </c>
      <c r="D1343">
        <v>1806.53</v>
      </c>
      <c r="E1343">
        <v>2019</v>
      </c>
      <c r="F1343" t="s">
        <v>64</v>
      </c>
    </row>
    <row r="1344" spans="1:6" x14ac:dyDescent="0.25">
      <c r="A1344" t="s">
        <v>40</v>
      </c>
      <c r="B1344" t="s">
        <v>41</v>
      </c>
      <c r="C1344" t="s">
        <v>60</v>
      </c>
      <c r="D1344">
        <v>895.83</v>
      </c>
      <c r="E1344">
        <v>2019</v>
      </c>
      <c r="F1344" t="s">
        <v>64</v>
      </c>
    </row>
    <row r="1345" spans="1:6" x14ac:dyDescent="0.25">
      <c r="A1345" t="s">
        <v>42</v>
      </c>
      <c r="B1345" t="s">
        <v>43</v>
      </c>
      <c r="C1345" t="s">
        <v>60</v>
      </c>
      <c r="E1345">
        <v>2019</v>
      </c>
      <c r="F1345" t="s">
        <v>64</v>
      </c>
    </row>
    <row r="1346" spans="1:6" x14ac:dyDescent="0.25">
      <c r="A1346" t="s">
        <v>44</v>
      </c>
      <c r="B1346" t="s">
        <v>45</v>
      </c>
      <c r="C1346" t="s">
        <v>60</v>
      </c>
      <c r="D1346">
        <v>893.94</v>
      </c>
      <c r="E1346">
        <v>2019</v>
      </c>
      <c r="F1346" t="s">
        <v>64</v>
      </c>
    </row>
    <row r="1347" spans="1:6" x14ac:dyDescent="0.25">
      <c r="A1347" t="s">
        <v>46</v>
      </c>
      <c r="B1347" t="s">
        <v>47</v>
      </c>
      <c r="C1347" t="s">
        <v>60</v>
      </c>
      <c r="D1347">
        <v>301.26</v>
      </c>
      <c r="E1347">
        <v>2019</v>
      </c>
      <c r="F1347" t="s">
        <v>64</v>
      </c>
    </row>
    <row r="1348" spans="1:6" x14ac:dyDescent="0.25">
      <c r="A1348" t="s">
        <v>48</v>
      </c>
      <c r="B1348" t="s">
        <v>49</v>
      </c>
      <c r="C1348" t="s">
        <v>60</v>
      </c>
      <c r="D1348">
        <v>685.04</v>
      </c>
      <c r="E1348">
        <v>2019</v>
      </c>
      <c r="F1348" t="s">
        <v>64</v>
      </c>
    </row>
    <row r="1349" spans="1:6" x14ac:dyDescent="0.25">
      <c r="A1349" t="s">
        <v>50</v>
      </c>
      <c r="B1349" t="s">
        <v>51</v>
      </c>
      <c r="C1349" t="s">
        <v>60</v>
      </c>
      <c r="D1349">
        <v>525.86</v>
      </c>
      <c r="E1349">
        <v>2019</v>
      </c>
      <c r="F1349" t="s">
        <v>64</v>
      </c>
    </row>
    <row r="1350" spans="1:6" x14ac:dyDescent="0.25">
      <c r="A1350" t="s">
        <v>52</v>
      </c>
      <c r="B1350" t="s">
        <v>53</v>
      </c>
      <c r="C1350" t="s">
        <v>60</v>
      </c>
      <c r="D1350">
        <v>320.79000000000002</v>
      </c>
      <c r="E1350">
        <v>2019</v>
      </c>
      <c r="F1350" t="s">
        <v>64</v>
      </c>
    </row>
    <row r="1351" spans="1:6" x14ac:dyDescent="0.25">
      <c r="A1351" t="s">
        <v>54</v>
      </c>
      <c r="B1351" t="s">
        <v>55</v>
      </c>
      <c r="C1351" t="s">
        <v>60</v>
      </c>
      <c r="D1351">
        <v>6105.79</v>
      </c>
      <c r="E1351">
        <v>2019</v>
      </c>
      <c r="F1351" t="s">
        <v>64</v>
      </c>
    </row>
    <row r="1352" spans="1:6" x14ac:dyDescent="0.25">
      <c r="A1352" t="s">
        <v>56</v>
      </c>
      <c r="B1352" t="s">
        <v>57</v>
      </c>
      <c r="C1352" t="s">
        <v>60</v>
      </c>
      <c r="E1352">
        <v>2019</v>
      </c>
      <c r="F1352" t="s">
        <v>64</v>
      </c>
    </row>
    <row r="1353" spans="1:6" x14ac:dyDescent="0.25">
      <c r="A1353" t="s">
        <v>58</v>
      </c>
      <c r="B1353" t="s">
        <v>59</v>
      </c>
      <c r="C1353" t="s">
        <v>60</v>
      </c>
      <c r="E1353">
        <v>2019</v>
      </c>
      <c r="F1353" t="s">
        <v>64</v>
      </c>
    </row>
    <row r="1354" spans="1:6" x14ac:dyDescent="0.25">
      <c r="A1354" t="s">
        <v>6</v>
      </c>
      <c r="B1354" t="s">
        <v>7</v>
      </c>
      <c r="C1354" t="s">
        <v>61</v>
      </c>
      <c r="D1354">
        <v>20696.439999999999</v>
      </c>
      <c r="E1354">
        <v>2019</v>
      </c>
      <c r="F1354" t="s">
        <v>64</v>
      </c>
    </row>
    <row r="1355" spans="1:6" x14ac:dyDescent="0.25">
      <c r="A1355" t="s">
        <v>10</v>
      </c>
      <c r="B1355" t="s">
        <v>11</v>
      </c>
      <c r="C1355" t="s">
        <v>61</v>
      </c>
      <c r="D1355">
        <v>10543.25</v>
      </c>
      <c r="E1355">
        <v>2019</v>
      </c>
      <c r="F1355" t="s">
        <v>64</v>
      </c>
    </row>
    <row r="1356" spans="1:6" x14ac:dyDescent="0.25">
      <c r="A1356" t="s">
        <v>12</v>
      </c>
      <c r="B1356" t="s">
        <v>13</v>
      </c>
      <c r="C1356" t="s">
        <v>61</v>
      </c>
      <c r="D1356">
        <v>730.66</v>
      </c>
      <c r="E1356">
        <v>2019</v>
      </c>
      <c r="F1356" t="s">
        <v>64</v>
      </c>
    </row>
    <row r="1357" spans="1:6" x14ac:dyDescent="0.25">
      <c r="A1357" t="s">
        <v>14</v>
      </c>
      <c r="B1357" t="s">
        <v>15</v>
      </c>
      <c r="C1357" t="s">
        <v>61</v>
      </c>
      <c r="D1357">
        <v>13.83</v>
      </c>
      <c r="E1357">
        <v>2019</v>
      </c>
      <c r="F1357" t="s">
        <v>64</v>
      </c>
    </row>
    <row r="1358" spans="1:6" x14ac:dyDescent="0.25">
      <c r="A1358" t="s">
        <v>16</v>
      </c>
      <c r="B1358" t="s">
        <v>17</v>
      </c>
      <c r="C1358" t="s">
        <v>61</v>
      </c>
      <c r="D1358">
        <v>307.54000000000002</v>
      </c>
      <c r="E1358">
        <v>2019</v>
      </c>
      <c r="F1358" t="s">
        <v>64</v>
      </c>
    </row>
    <row r="1359" spans="1:6" x14ac:dyDescent="0.25">
      <c r="A1359" t="s">
        <v>18</v>
      </c>
      <c r="B1359" t="s">
        <v>19</v>
      </c>
      <c r="C1359" t="s">
        <v>61</v>
      </c>
      <c r="D1359">
        <v>194.73</v>
      </c>
      <c r="E1359">
        <v>2019</v>
      </c>
      <c r="F1359" t="s">
        <v>64</v>
      </c>
    </row>
    <row r="1360" spans="1:6" x14ac:dyDescent="0.25">
      <c r="A1360" t="s">
        <v>20</v>
      </c>
      <c r="B1360" t="s">
        <v>21</v>
      </c>
      <c r="C1360" t="s">
        <v>61</v>
      </c>
      <c r="D1360">
        <v>120.97</v>
      </c>
      <c r="E1360">
        <v>2019</v>
      </c>
      <c r="F1360" t="s">
        <v>64</v>
      </c>
    </row>
    <row r="1361" spans="1:6" x14ac:dyDescent="0.25">
      <c r="A1361" t="s">
        <v>22</v>
      </c>
      <c r="B1361" t="s">
        <v>23</v>
      </c>
      <c r="C1361" t="s">
        <v>61</v>
      </c>
      <c r="D1361">
        <v>415.87</v>
      </c>
      <c r="E1361">
        <v>2019</v>
      </c>
      <c r="F1361" t="s">
        <v>64</v>
      </c>
    </row>
    <row r="1362" spans="1:6" x14ac:dyDescent="0.25">
      <c r="A1362" t="s">
        <v>24</v>
      </c>
      <c r="B1362" t="s">
        <v>25</v>
      </c>
      <c r="C1362" t="s">
        <v>61</v>
      </c>
      <c r="D1362">
        <v>1210.1099999999999</v>
      </c>
      <c r="E1362">
        <v>2019</v>
      </c>
      <c r="F1362" t="s">
        <v>64</v>
      </c>
    </row>
    <row r="1363" spans="1:6" x14ac:dyDescent="0.25">
      <c r="A1363" t="s">
        <v>26</v>
      </c>
      <c r="B1363" t="s">
        <v>27</v>
      </c>
      <c r="C1363" t="s">
        <v>61</v>
      </c>
      <c r="D1363">
        <v>284.98</v>
      </c>
      <c r="E1363">
        <v>2019</v>
      </c>
      <c r="F1363" t="s">
        <v>64</v>
      </c>
    </row>
    <row r="1364" spans="1:6" x14ac:dyDescent="0.25">
      <c r="A1364" t="s">
        <v>28</v>
      </c>
      <c r="B1364" t="s">
        <v>29</v>
      </c>
      <c r="C1364" t="s">
        <v>61</v>
      </c>
      <c r="D1364">
        <v>177.72</v>
      </c>
      <c r="E1364">
        <v>2019</v>
      </c>
      <c r="F1364" t="s">
        <v>64</v>
      </c>
    </row>
    <row r="1365" spans="1:6" x14ac:dyDescent="0.25">
      <c r="A1365" t="s">
        <v>30</v>
      </c>
      <c r="B1365" t="s">
        <v>31</v>
      </c>
      <c r="C1365" t="s">
        <v>61</v>
      </c>
      <c r="D1365">
        <v>975.24</v>
      </c>
      <c r="E1365">
        <v>2019</v>
      </c>
      <c r="F1365" t="s">
        <v>64</v>
      </c>
    </row>
    <row r="1366" spans="1:6" x14ac:dyDescent="0.25">
      <c r="A1366" t="s">
        <v>32</v>
      </c>
      <c r="B1366" t="s">
        <v>33</v>
      </c>
      <c r="C1366" t="s">
        <v>61</v>
      </c>
      <c r="D1366">
        <v>359.74</v>
      </c>
      <c r="E1366">
        <v>2019</v>
      </c>
      <c r="F1366" t="s">
        <v>64</v>
      </c>
    </row>
    <row r="1367" spans="1:6" x14ac:dyDescent="0.25">
      <c r="A1367" t="s">
        <v>34</v>
      </c>
      <c r="B1367" t="s">
        <v>35</v>
      </c>
      <c r="C1367" t="s">
        <v>61</v>
      </c>
      <c r="D1367">
        <v>1006.57</v>
      </c>
      <c r="E1367">
        <v>2019</v>
      </c>
      <c r="F1367" t="s">
        <v>64</v>
      </c>
    </row>
    <row r="1368" spans="1:6" x14ac:dyDescent="0.25">
      <c r="A1368" t="s">
        <v>36</v>
      </c>
      <c r="B1368" t="s">
        <v>37</v>
      </c>
      <c r="C1368" t="s">
        <v>61</v>
      </c>
      <c r="D1368">
        <v>870.26</v>
      </c>
      <c r="E1368">
        <v>2019</v>
      </c>
      <c r="F1368" t="s">
        <v>64</v>
      </c>
    </row>
    <row r="1369" spans="1:6" x14ac:dyDescent="0.25">
      <c r="A1369" t="s">
        <v>38</v>
      </c>
      <c r="B1369" t="s">
        <v>39</v>
      </c>
      <c r="C1369" t="s">
        <v>61</v>
      </c>
      <c r="D1369">
        <v>1030.58</v>
      </c>
      <c r="E1369">
        <v>2019</v>
      </c>
      <c r="F1369" t="s">
        <v>64</v>
      </c>
    </row>
    <row r="1370" spans="1:6" x14ac:dyDescent="0.25">
      <c r="A1370" t="s">
        <v>40</v>
      </c>
      <c r="B1370" t="s">
        <v>41</v>
      </c>
      <c r="C1370" t="s">
        <v>61</v>
      </c>
      <c r="D1370">
        <v>630.80999999999995</v>
      </c>
      <c r="E1370">
        <v>2019</v>
      </c>
      <c r="F1370" t="s">
        <v>64</v>
      </c>
    </row>
    <row r="1371" spans="1:6" x14ac:dyDescent="0.25">
      <c r="A1371" t="s">
        <v>42</v>
      </c>
      <c r="B1371" t="s">
        <v>43</v>
      </c>
      <c r="C1371" t="s">
        <v>61</v>
      </c>
      <c r="D1371">
        <v>152.59</v>
      </c>
      <c r="E1371">
        <v>2019</v>
      </c>
      <c r="F1371" t="s">
        <v>64</v>
      </c>
    </row>
    <row r="1372" spans="1:6" x14ac:dyDescent="0.25">
      <c r="A1372" t="s">
        <v>44</v>
      </c>
      <c r="B1372" t="s">
        <v>45</v>
      </c>
      <c r="C1372" t="s">
        <v>61</v>
      </c>
      <c r="D1372">
        <v>529.21</v>
      </c>
      <c r="E1372">
        <v>2019</v>
      </c>
      <c r="F1372" t="s">
        <v>64</v>
      </c>
    </row>
    <row r="1373" spans="1:6" x14ac:dyDescent="0.25">
      <c r="A1373" t="s">
        <v>46</v>
      </c>
      <c r="B1373" t="s">
        <v>47</v>
      </c>
      <c r="C1373" t="s">
        <v>61</v>
      </c>
      <c r="D1373">
        <v>51.69</v>
      </c>
      <c r="E1373">
        <v>2019</v>
      </c>
      <c r="F1373" t="s">
        <v>64</v>
      </c>
    </row>
    <row r="1374" spans="1:6" x14ac:dyDescent="0.25">
      <c r="A1374" t="s">
        <v>48</v>
      </c>
      <c r="B1374" t="s">
        <v>49</v>
      </c>
      <c r="C1374" t="s">
        <v>61</v>
      </c>
      <c r="D1374">
        <v>536.32000000000005</v>
      </c>
      <c r="E1374">
        <v>2019</v>
      </c>
      <c r="F1374" t="s">
        <v>64</v>
      </c>
    </row>
    <row r="1375" spans="1:6" x14ac:dyDescent="0.25">
      <c r="A1375" t="s">
        <v>50</v>
      </c>
      <c r="B1375" t="s">
        <v>51</v>
      </c>
      <c r="C1375" t="s">
        <v>61</v>
      </c>
      <c r="D1375">
        <v>187.39</v>
      </c>
      <c r="E1375">
        <v>2019</v>
      </c>
      <c r="F1375" t="s">
        <v>64</v>
      </c>
    </row>
    <row r="1376" spans="1:6" x14ac:dyDescent="0.25">
      <c r="A1376" t="s">
        <v>52</v>
      </c>
      <c r="B1376" t="s">
        <v>53</v>
      </c>
      <c r="C1376" t="s">
        <v>61</v>
      </c>
      <c r="D1376">
        <v>240.27</v>
      </c>
      <c r="E1376">
        <v>2019</v>
      </c>
      <c r="F1376" t="s">
        <v>64</v>
      </c>
    </row>
    <row r="1377" spans="1:6" x14ac:dyDescent="0.25">
      <c r="A1377" t="s">
        <v>54</v>
      </c>
      <c r="B1377" t="s">
        <v>55</v>
      </c>
      <c r="C1377" t="s">
        <v>61</v>
      </c>
      <c r="D1377">
        <v>20.51</v>
      </c>
      <c r="E1377">
        <v>2019</v>
      </c>
      <c r="F1377" t="s">
        <v>64</v>
      </c>
    </row>
    <row r="1378" spans="1:6" x14ac:dyDescent="0.25">
      <c r="A1378" t="s">
        <v>56</v>
      </c>
      <c r="B1378" t="s">
        <v>57</v>
      </c>
      <c r="C1378" t="s">
        <v>61</v>
      </c>
      <c r="D1378">
        <v>105.6</v>
      </c>
      <c r="E1378">
        <v>2019</v>
      </c>
      <c r="F1378" t="s">
        <v>64</v>
      </c>
    </row>
    <row r="1379" spans="1:6" x14ac:dyDescent="0.25">
      <c r="A1379" t="s">
        <v>58</v>
      </c>
      <c r="B1379" t="s">
        <v>59</v>
      </c>
      <c r="C1379" t="s">
        <v>61</v>
      </c>
      <c r="E1379">
        <v>2019</v>
      </c>
      <c r="F1379" t="s">
        <v>64</v>
      </c>
    </row>
    <row r="1380" spans="1:6" x14ac:dyDescent="0.25">
      <c r="A1380" t="s">
        <v>6</v>
      </c>
      <c r="B1380" t="s">
        <v>7</v>
      </c>
      <c r="C1380" t="s">
        <v>65</v>
      </c>
      <c r="D1380">
        <v>317502.05</v>
      </c>
      <c r="E1380">
        <v>2019</v>
      </c>
      <c r="F1380" t="s">
        <v>64</v>
      </c>
    </row>
    <row r="1381" spans="1:6" x14ac:dyDescent="0.25">
      <c r="A1381" t="s">
        <v>10</v>
      </c>
      <c r="B1381" t="s">
        <v>11</v>
      </c>
      <c r="C1381" t="s">
        <v>65</v>
      </c>
      <c r="D1381">
        <v>44150.48</v>
      </c>
      <c r="E1381">
        <v>2019</v>
      </c>
      <c r="F1381" t="s">
        <v>64</v>
      </c>
    </row>
    <row r="1382" spans="1:6" x14ac:dyDescent="0.25">
      <c r="A1382" t="s">
        <v>12</v>
      </c>
      <c r="B1382" t="s">
        <v>13</v>
      </c>
      <c r="C1382" t="s">
        <v>65</v>
      </c>
      <c r="D1382">
        <v>14580.69</v>
      </c>
      <c r="E1382">
        <v>2019</v>
      </c>
      <c r="F1382" t="s">
        <v>64</v>
      </c>
    </row>
    <row r="1383" spans="1:6" x14ac:dyDescent="0.25">
      <c r="A1383" t="s">
        <v>14</v>
      </c>
      <c r="B1383" t="s">
        <v>15</v>
      </c>
      <c r="C1383" t="s">
        <v>65</v>
      </c>
      <c r="D1383">
        <v>492.17</v>
      </c>
      <c r="E1383">
        <v>2019</v>
      </c>
      <c r="F1383" t="s">
        <v>64</v>
      </c>
    </row>
    <row r="1384" spans="1:6" x14ac:dyDescent="0.25">
      <c r="A1384" t="s">
        <v>16</v>
      </c>
      <c r="B1384" t="s">
        <v>17</v>
      </c>
      <c r="C1384" t="s">
        <v>65</v>
      </c>
      <c r="D1384">
        <v>8904.7199999999993</v>
      </c>
      <c r="E1384">
        <v>2019</v>
      </c>
      <c r="F1384" t="s">
        <v>64</v>
      </c>
    </row>
    <row r="1385" spans="1:6" x14ac:dyDescent="0.25">
      <c r="A1385" t="s">
        <v>18</v>
      </c>
      <c r="B1385" t="s">
        <v>19</v>
      </c>
      <c r="C1385" t="s">
        <v>65</v>
      </c>
      <c r="D1385">
        <v>2513.9699999999998</v>
      </c>
      <c r="E1385">
        <v>2019</v>
      </c>
      <c r="F1385" t="s">
        <v>64</v>
      </c>
    </row>
    <row r="1386" spans="1:6" x14ac:dyDescent="0.25">
      <c r="A1386" t="s">
        <v>20</v>
      </c>
      <c r="B1386" t="s">
        <v>21</v>
      </c>
      <c r="C1386" t="s">
        <v>65</v>
      </c>
      <c r="D1386">
        <v>1803.73</v>
      </c>
      <c r="E1386">
        <v>2019</v>
      </c>
      <c r="F1386" t="s">
        <v>64</v>
      </c>
    </row>
    <row r="1387" spans="1:6" x14ac:dyDescent="0.25">
      <c r="A1387" t="s">
        <v>22</v>
      </c>
      <c r="B1387" t="s">
        <v>23</v>
      </c>
      <c r="C1387" t="s">
        <v>65</v>
      </c>
      <c r="D1387">
        <v>959.75</v>
      </c>
      <c r="E1387">
        <v>2019</v>
      </c>
      <c r="F1387" t="s">
        <v>64</v>
      </c>
    </row>
    <row r="1388" spans="1:6" x14ac:dyDescent="0.25">
      <c r="A1388" t="s">
        <v>24</v>
      </c>
      <c r="B1388" t="s">
        <v>25</v>
      </c>
      <c r="C1388" t="s">
        <v>65</v>
      </c>
      <c r="D1388">
        <v>9172.89</v>
      </c>
      <c r="E1388">
        <v>2019</v>
      </c>
      <c r="F1388" t="s">
        <v>64</v>
      </c>
    </row>
    <row r="1389" spans="1:6" x14ac:dyDescent="0.25">
      <c r="A1389" t="s">
        <v>26</v>
      </c>
      <c r="B1389" t="s">
        <v>27</v>
      </c>
      <c r="C1389" t="s">
        <v>65</v>
      </c>
      <c r="D1389">
        <v>502.55</v>
      </c>
      <c r="E1389">
        <v>2019</v>
      </c>
      <c r="F1389" t="s">
        <v>64</v>
      </c>
    </row>
    <row r="1390" spans="1:6" x14ac:dyDescent="0.25">
      <c r="A1390" t="s">
        <v>28</v>
      </c>
      <c r="B1390" t="s">
        <v>29</v>
      </c>
      <c r="C1390" t="s">
        <v>65</v>
      </c>
      <c r="D1390">
        <v>15817.87</v>
      </c>
      <c r="E1390">
        <v>2019</v>
      </c>
      <c r="F1390" t="s">
        <v>64</v>
      </c>
    </row>
    <row r="1391" spans="1:6" x14ac:dyDescent="0.25">
      <c r="A1391" t="s">
        <v>30</v>
      </c>
      <c r="B1391" t="s">
        <v>31</v>
      </c>
      <c r="C1391" t="s">
        <v>65</v>
      </c>
      <c r="D1391">
        <v>29743.29</v>
      </c>
      <c r="E1391">
        <v>2019</v>
      </c>
      <c r="F1391" t="s">
        <v>64</v>
      </c>
    </row>
    <row r="1392" spans="1:6" x14ac:dyDescent="0.25">
      <c r="A1392" t="s">
        <v>32</v>
      </c>
      <c r="B1392" t="s">
        <v>33</v>
      </c>
      <c r="C1392" t="s">
        <v>65</v>
      </c>
      <c r="D1392">
        <v>907.89</v>
      </c>
      <c r="E1392">
        <v>2019</v>
      </c>
      <c r="F1392" t="s">
        <v>64</v>
      </c>
    </row>
    <row r="1393" spans="1:6" x14ac:dyDescent="0.25">
      <c r="A1393" t="s">
        <v>34</v>
      </c>
      <c r="B1393" t="s">
        <v>35</v>
      </c>
      <c r="C1393" t="s">
        <v>65</v>
      </c>
      <c r="D1393">
        <v>13161.34</v>
      </c>
      <c r="E1393">
        <v>2019</v>
      </c>
      <c r="F1393" t="s">
        <v>64</v>
      </c>
    </row>
    <row r="1394" spans="1:6" x14ac:dyDescent="0.25">
      <c r="A1394" t="s">
        <v>36</v>
      </c>
      <c r="B1394" t="s">
        <v>37</v>
      </c>
      <c r="C1394" t="s">
        <v>65</v>
      </c>
      <c r="D1394">
        <v>14967.49</v>
      </c>
      <c r="E1394">
        <v>2019</v>
      </c>
      <c r="F1394" t="s">
        <v>64</v>
      </c>
    </row>
    <row r="1395" spans="1:6" x14ac:dyDescent="0.25">
      <c r="A1395" t="s">
        <v>38</v>
      </c>
      <c r="B1395" t="s">
        <v>39</v>
      </c>
      <c r="C1395" t="s">
        <v>65</v>
      </c>
      <c r="D1395">
        <v>22505.55</v>
      </c>
      <c r="E1395">
        <v>2019</v>
      </c>
      <c r="F1395" t="s">
        <v>64</v>
      </c>
    </row>
    <row r="1396" spans="1:6" x14ac:dyDescent="0.25">
      <c r="A1396" t="s">
        <v>40</v>
      </c>
      <c r="B1396" t="s">
        <v>41</v>
      </c>
      <c r="C1396" t="s">
        <v>65</v>
      </c>
      <c r="D1396">
        <v>14340.91</v>
      </c>
      <c r="E1396">
        <v>2019</v>
      </c>
      <c r="F1396" t="s">
        <v>64</v>
      </c>
    </row>
    <row r="1397" spans="1:6" x14ac:dyDescent="0.25">
      <c r="A1397" t="s">
        <v>42</v>
      </c>
      <c r="B1397" t="s">
        <v>43</v>
      </c>
      <c r="C1397" t="s">
        <v>65</v>
      </c>
      <c r="D1397">
        <v>4634.96</v>
      </c>
      <c r="E1397">
        <v>2019</v>
      </c>
      <c r="F1397" t="s">
        <v>64</v>
      </c>
    </row>
    <row r="1398" spans="1:6" x14ac:dyDescent="0.25">
      <c r="A1398" t="s">
        <v>44</v>
      </c>
      <c r="B1398" t="s">
        <v>45</v>
      </c>
      <c r="C1398" t="s">
        <v>65</v>
      </c>
      <c r="D1398">
        <v>20357.650000000001</v>
      </c>
      <c r="E1398">
        <v>2019</v>
      </c>
      <c r="F1398" t="s">
        <v>64</v>
      </c>
    </row>
    <row r="1399" spans="1:6" x14ac:dyDescent="0.25">
      <c r="A1399" t="s">
        <v>46</v>
      </c>
      <c r="B1399" t="s">
        <v>47</v>
      </c>
      <c r="C1399" t="s">
        <v>65</v>
      </c>
      <c r="D1399">
        <v>28999.51</v>
      </c>
      <c r="E1399">
        <v>2019</v>
      </c>
      <c r="F1399" t="s">
        <v>64</v>
      </c>
    </row>
    <row r="1400" spans="1:6" x14ac:dyDescent="0.25">
      <c r="A1400" t="s">
        <v>48</v>
      </c>
      <c r="B1400" t="s">
        <v>49</v>
      </c>
      <c r="C1400" t="s">
        <v>65</v>
      </c>
      <c r="D1400">
        <v>67084.67</v>
      </c>
      <c r="E1400">
        <v>2019</v>
      </c>
      <c r="F1400" t="s">
        <v>64</v>
      </c>
    </row>
    <row r="1401" spans="1:6" x14ac:dyDescent="0.25">
      <c r="A1401" t="s">
        <v>50</v>
      </c>
      <c r="B1401" t="s">
        <v>51</v>
      </c>
      <c r="C1401" t="s">
        <v>65</v>
      </c>
      <c r="D1401">
        <v>1091.82</v>
      </c>
      <c r="E1401">
        <v>2019</v>
      </c>
      <c r="F1401" t="s">
        <v>64</v>
      </c>
    </row>
    <row r="1402" spans="1:6" x14ac:dyDescent="0.25">
      <c r="A1402" t="s">
        <v>52</v>
      </c>
      <c r="B1402" t="s">
        <v>53</v>
      </c>
      <c r="C1402" t="s">
        <v>65</v>
      </c>
      <c r="D1402">
        <v>427.43</v>
      </c>
      <c r="E1402">
        <v>2019</v>
      </c>
      <c r="F1402" t="s">
        <v>64</v>
      </c>
    </row>
    <row r="1403" spans="1:6" x14ac:dyDescent="0.25">
      <c r="A1403" t="s">
        <v>54</v>
      </c>
      <c r="B1403" t="s">
        <v>55</v>
      </c>
      <c r="C1403" t="s">
        <v>65</v>
      </c>
      <c r="D1403">
        <v>380.72</v>
      </c>
      <c r="E1403">
        <v>2019</v>
      </c>
      <c r="F1403" t="s">
        <v>64</v>
      </c>
    </row>
    <row r="1404" spans="1:6" x14ac:dyDescent="0.25">
      <c r="A1404" t="s">
        <v>56</v>
      </c>
      <c r="B1404" t="s">
        <v>57</v>
      </c>
      <c r="C1404" t="s">
        <v>65</v>
      </c>
      <c r="E1404">
        <v>2019</v>
      </c>
      <c r="F1404" t="s">
        <v>64</v>
      </c>
    </row>
    <row r="1405" spans="1:6" x14ac:dyDescent="0.25">
      <c r="A1405" t="s">
        <v>58</v>
      </c>
      <c r="B1405" t="s">
        <v>59</v>
      </c>
      <c r="C1405" t="s">
        <v>65</v>
      </c>
      <c r="E1405">
        <v>2019</v>
      </c>
      <c r="F1405" t="s">
        <v>64</v>
      </c>
    </row>
    <row r="1406" spans="1:6" x14ac:dyDescent="0.25">
      <c r="A1406" t="s">
        <v>6</v>
      </c>
      <c r="B1406" t="s">
        <v>7</v>
      </c>
      <c r="C1406" t="s">
        <v>62</v>
      </c>
      <c r="D1406">
        <v>47980.05</v>
      </c>
      <c r="E1406">
        <v>2019</v>
      </c>
      <c r="F1406" t="s">
        <v>64</v>
      </c>
    </row>
    <row r="1407" spans="1:6" x14ac:dyDescent="0.25">
      <c r="A1407" t="s">
        <v>10</v>
      </c>
      <c r="B1407" t="s">
        <v>11</v>
      </c>
      <c r="C1407" t="s">
        <v>62</v>
      </c>
      <c r="D1407">
        <v>19449.009999999998</v>
      </c>
      <c r="E1407">
        <v>2019</v>
      </c>
      <c r="F1407" t="s">
        <v>64</v>
      </c>
    </row>
    <row r="1408" spans="1:6" x14ac:dyDescent="0.25">
      <c r="A1408" t="s">
        <v>12</v>
      </c>
      <c r="B1408" t="s">
        <v>13</v>
      </c>
      <c r="C1408" t="s">
        <v>62</v>
      </c>
      <c r="D1408">
        <v>1827.21</v>
      </c>
      <c r="E1408">
        <v>2019</v>
      </c>
      <c r="F1408" t="s">
        <v>64</v>
      </c>
    </row>
    <row r="1409" spans="1:6" x14ac:dyDescent="0.25">
      <c r="A1409" t="s">
        <v>14</v>
      </c>
      <c r="B1409" t="s">
        <v>15</v>
      </c>
      <c r="C1409" t="s">
        <v>62</v>
      </c>
      <c r="E1409">
        <v>2019</v>
      </c>
      <c r="F1409" t="s">
        <v>64</v>
      </c>
    </row>
    <row r="1410" spans="1:6" x14ac:dyDescent="0.25">
      <c r="A1410" t="s">
        <v>16</v>
      </c>
      <c r="B1410" t="s">
        <v>17</v>
      </c>
      <c r="C1410" t="s">
        <v>62</v>
      </c>
      <c r="D1410">
        <v>1258.96</v>
      </c>
      <c r="E1410">
        <v>2019</v>
      </c>
      <c r="F1410" t="s">
        <v>64</v>
      </c>
    </row>
    <row r="1411" spans="1:6" x14ac:dyDescent="0.25">
      <c r="A1411" t="s">
        <v>18</v>
      </c>
      <c r="B1411" t="s">
        <v>19</v>
      </c>
      <c r="C1411" t="s">
        <v>62</v>
      </c>
      <c r="D1411">
        <v>1417.69</v>
      </c>
      <c r="E1411">
        <v>2019</v>
      </c>
      <c r="F1411" t="s">
        <v>64</v>
      </c>
    </row>
    <row r="1412" spans="1:6" x14ac:dyDescent="0.25">
      <c r="A1412" t="s">
        <v>20</v>
      </c>
      <c r="B1412" t="s">
        <v>21</v>
      </c>
      <c r="C1412" t="s">
        <v>62</v>
      </c>
      <c r="D1412">
        <v>94.09</v>
      </c>
      <c r="E1412">
        <v>2019</v>
      </c>
      <c r="F1412" t="s">
        <v>64</v>
      </c>
    </row>
    <row r="1413" spans="1:6" x14ac:dyDescent="0.25">
      <c r="A1413" t="s">
        <v>22</v>
      </c>
      <c r="B1413" t="s">
        <v>23</v>
      </c>
      <c r="C1413" t="s">
        <v>62</v>
      </c>
      <c r="D1413">
        <v>110.65</v>
      </c>
      <c r="E1413">
        <v>2019</v>
      </c>
      <c r="F1413" t="s">
        <v>64</v>
      </c>
    </row>
    <row r="1414" spans="1:6" x14ac:dyDescent="0.25">
      <c r="A1414" t="s">
        <v>24</v>
      </c>
      <c r="B1414" t="s">
        <v>25</v>
      </c>
      <c r="C1414" t="s">
        <v>62</v>
      </c>
      <c r="D1414">
        <v>1532.9</v>
      </c>
      <c r="E1414">
        <v>2019</v>
      </c>
      <c r="F1414" t="s">
        <v>64</v>
      </c>
    </row>
    <row r="1415" spans="1:6" x14ac:dyDescent="0.25">
      <c r="A1415" t="s">
        <v>26</v>
      </c>
      <c r="B1415" t="s">
        <v>27</v>
      </c>
      <c r="C1415" t="s">
        <v>62</v>
      </c>
      <c r="D1415">
        <v>416.44</v>
      </c>
      <c r="E1415">
        <v>2019</v>
      </c>
      <c r="F1415" t="s">
        <v>64</v>
      </c>
    </row>
    <row r="1416" spans="1:6" x14ac:dyDescent="0.25">
      <c r="A1416" t="s">
        <v>28</v>
      </c>
      <c r="B1416" t="s">
        <v>29</v>
      </c>
      <c r="C1416" t="s">
        <v>62</v>
      </c>
      <c r="D1416">
        <v>5048.9799999999996</v>
      </c>
      <c r="E1416">
        <v>2019</v>
      </c>
      <c r="F1416" t="s">
        <v>64</v>
      </c>
    </row>
    <row r="1417" spans="1:6" x14ac:dyDescent="0.25">
      <c r="A1417" t="s">
        <v>30</v>
      </c>
      <c r="B1417" t="s">
        <v>31</v>
      </c>
      <c r="C1417" t="s">
        <v>62</v>
      </c>
      <c r="D1417">
        <v>2707.13</v>
      </c>
      <c r="E1417">
        <v>2019</v>
      </c>
      <c r="F1417" t="s">
        <v>64</v>
      </c>
    </row>
    <row r="1418" spans="1:6" x14ac:dyDescent="0.25">
      <c r="A1418" t="s">
        <v>32</v>
      </c>
      <c r="B1418" t="s">
        <v>33</v>
      </c>
      <c r="C1418" t="s">
        <v>62</v>
      </c>
      <c r="D1418">
        <v>512.12</v>
      </c>
      <c r="E1418">
        <v>2019</v>
      </c>
      <c r="F1418" t="s">
        <v>64</v>
      </c>
    </row>
    <row r="1419" spans="1:6" x14ac:dyDescent="0.25">
      <c r="A1419" t="s">
        <v>34</v>
      </c>
      <c r="B1419" t="s">
        <v>35</v>
      </c>
      <c r="C1419" t="s">
        <v>62</v>
      </c>
      <c r="D1419">
        <v>2169</v>
      </c>
      <c r="E1419">
        <v>2019</v>
      </c>
      <c r="F1419" t="s">
        <v>64</v>
      </c>
    </row>
    <row r="1420" spans="1:6" x14ac:dyDescent="0.25">
      <c r="A1420" t="s">
        <v>36</v>
      </c>
      <c r="B1420" t="s">
        <v>37</v>
      </c>
      <c r="C1420" t="s">
        <v>62</v>
      </c>
      <c r="D1420">
        <v>2501.02</v>
      </c>
      <c r="E1420">
        <v>2019</v>
      </c>
      <c r="F1420" t="s">
        <v>64</v>
      </c>
    </row>
    <row r="1421" spans="1:6" x14ac:dyDescent="0.25">
      <c r="A1421" t="s">
        <v>38</v>
      </c>
      <c r="B1421" t="s">
        <v>39</v>
      </c>
      <c r="C1421" t="s">
        <v>62</v>
      </c>
      <c r="D1421">
        <v>4913.5</v>
      </c>
      <c r="E1421">
        <v>2019</v>
      </c>
      <c r="F1421" t="s">
        <v>64</v>
      </c>
    </row>
    <row r="1422" spans="1:6" x14ac:dyDescent="0.25">
      <c r="A1422" t="s">
        <v>40</v>
      </c>
      <c r="B1422" t="s">
        <v>41</v>
      </c>
      <c r="C1422" t="s">
        <v>62</v>
      </c>
      <c r="D1422">
        <v>1639.58</v>
      </c>
      <c r="E1422">
        <v>2019</v>
      </c>
      <c r="F1422" t="s">
        <v>64</v>
      </c>
    </row>
    <row r="1423" spans="1:6" x14ac:dyDescent="0.25">
      <c r="A1423" t="s">
        <v>42</v>
      </c>
      <c r="B1423" t="s">
        <v>43</v>
      </c>
      <c r="C1423" t="s">
        <v>62</v>
      </c>
      <c r="D1423">
        <v>11.24</v>
      </c>
      <c r="E1423">
        <v>2019</v>
      </c>
      <c r="F1423" t="s">
        <v>64</v>
      </c>
    </row>
    <row r="1424" spans="1:6" x14ac:dyDescent="0.25">
      <c r="A1424" t="s">
        <v>44</v>
      </c>
      <c r="B1424" t="s">
        <v>45</v>
      </c>
      <c r="C1424" t="s">
        <v>62</v>
      </c>
      <c r="D1424">
        <v>641.83000000000004</v>
      </c>
      <c r="E1424">
        <v>2019</v>
      </c>
      <c r="F1424" t="s">
        <v>64</v>
      </c>
    </row>
    <row r="1425" spans="1:6" x14ac:dyDescent="0.25">
      <c r="A1425" t="s">
        <v>46</v>
      </c>
      <c r="B1425" t="s">
        <v>47</v>
      </c>
      <c r="C1425" t="s">
        <v>62</v>
      </c>
      <c r="D1425">
        <v>322.22000000000003</v>
      </c>
      <c r="E1425">
        <v>2019</v>
      </c>
      <c r="F1425" t="s">
        <v>64</v>
      </c>
    </row>
    <row r="1426" spans="1:6" x14ac:dyDescent="0.25">
      <c r="A1426" t="s">
        <v>48</v>
      </c>
      <c r="B1426" t="s">
        <v>49</v>
      </c>
      <c r="C1426" t="s">
        <v>62</v>
      </c>
      <c r="D1426">
        <v>221.77</v>
      </c>
      <c r="E1426">
        <v>2019</v>
      </c>
      <c r="F1426" t="s">
        <v>64</v>
      </c>
    </row>
    <row r="1427" spans="1:6" x14ac:dyDescent="0.25">
      <c r="A1427" t="s">
        <v>50</v>
      </c>
      <c r="B1427" t="s">
        <v>51</v>
      </c>
      <c r="C1427" t="s">
        <v>62</v>
      </c>
      <c r="D1427">
        <v>179.14</v>
      </c>
      <c r="E1427">
        <v>2019</v>
      </c>
      <c r="F1427" t="s">
        <v>64</v>
      </c>
    </row>
    <row r="1428" spans="1:6" x14ac:dyDescent="0.25">
      <c r="A1428" t="s">
        <v>52</v>
      </c>
      <c r="B1428" t="s">
        <v>53</v>
      </c>
      <c r="C1428" t="s">
        <v>62</v>
      </c>
      <c r="D1428">
        <v>153.72999999999999</v>
      </c>
      <c r="E1428">
        <v>2019</v>
      </c>
      <c r="F1428" t="s">
        <v>64</v>
      </c>
    </row>
    <row r="1429" spans="1:6" x14ac:dyDescent="0.25">
      <c r="A1429" t="s">
        <v>54</v>
      </c>
      <c r="B1429" t="s">
        <v>55</v>
      </c>
      <c r="C1429" t="s">
        <v>62</v>
      </c>
      <c r="D1429">
        <v>524.35</v>
      </c>
      <c r="E1429">
        <v>2019</v>
      </c>
      <c r="F1429" t="s">
        <v>64</v>
      </c>
    </row>
    <row r="1430" spans="1:6" x14ac:dyDescent="0.25">
      <c r="A1430" t="s">
        <v>56</v>
      </c>
      <c r="B1430" t="s">
        <v>57</v>
      </c>
      <c r="C1430" t="s">
        <v>62</v>
      </c>
      <c r="D1430">
        <v>327.49</v>
      </c>
      <c r="E1430">
        <v>2019</v>
      </c>
      <c r="F1430" t="s">
        <v>64</v>
      </c>
    </row>
    <row r="1431" spans="1:6" x14ac:dyDescent="0.25">
      <c r="A1431" t="s">
        <v>58</v>
      </c>
      <c r="B1431" t="s">
        <v>59</v>
      </c>
      <c r="C1431" t="s">
        <v>62</v>
      </c>
      <c r="E1431">
        <v>2019</v>
      </c>
      <c r="F1431" t="s">
        <v>64</v>
      </c>
    </row>
    <row r="1432" spans="1:6" x14ac:dyDescent="0.25">
      <c r="A1432" t="s">
        <v>6</v>
      </c>
      <c r="B1432" t="s">
        <v>7</v>
      </c>
      <c r="C1432" t="s">
        <v>66</v>
      </c>
      <c r="D1432">
        <v>10244.709999999999</v>
      </c>
      <c r="E1432">
        <v>2019</v>
      </c>
      <c r="F1432" t="s">
        <v>64</v>
      </c>
    </row>
    <row r="1433" spans="1:6" x14ac:dyDescent="0.25">
      <c r="A1433" t="s">
        <v>10</v>
      </c>
      <c r="B1433" t="s">
        <v>11</v>
      </c>
      <c r="C1433" t="s">
        <v>66</v>
      </c>
      <c r="D1433">
        <v>5259.52</v>
      </c>
      <c r="E1433">
        <v>2019</v>
      </c>
      <c r="F1433" t="s">
        <v>64</v>
      </c>
    </row>
    <row r="1434" spans="1:6" x14ac:dyDescent="0.25">
      <c r="A1434" t="s">
        <v>12</v>
      </c>
      <c r="B1434" t="s">
        <v>13</v>
      </c>
      <c r="C1434" t="s">
        <v>66</v>
      </c>
      <c r="D1434">
        <v>481.84</v>
      </c>
      <c r="E1434">
        <v>2019</v>
      </c>
      <c r="F1434" t="s">
        <v>64</v>
      </c>
    </row>
    <row r="1435" spans="1:6" x14ac:dyDescent="0.25">
      <c r="A1435" t="s">
        <v>14</v>
      </c>
      <c r="B1435" t="s">
        <v>15</v>
      </c>
      <c r="C1435" t="s">
        <v>66</v>
      </c>
      <c r="E1435">
        <v>2019</v>
      </c>
      <c r="F1435" t="s">
        <v>64</v>
      </c>
    </row>
    <row r="1436" spans="1:6" x14ac:dyDescent="0.25">
      <c r="A1436" t="s">
        <v>16</v>
      </c>
      <c r="B1436" t="s">
        <v>17</v>
      </c>
      <c r="C1436" t="s">
        <v>66</v>
      </c>
      <c r="D1436">
        <v>148.28</v>
      </c>
      <c r="E1436">
        <v>2019</v>
      </c>
      <c r="F1436" t="s">
        <v>64</v>
      </c>
    </row>
    <row r="1437" spans="1:6" x14ac:dyDescent="0.25">
      <c r="A1437" t="s">
        <v>18</v>
      </c>
      <c r="B1437" t="s">
        <v>19</v>
      </c>
      <c r="C1437" t="s">
        <v>66</v>
      </c>
      <c r="D1437">
        <v>33.380000000000003</v>
      </c>
      <c r="E1437">
        <v>2019</v>
      </c>
      <c r="F1437" t="s">
        <v>64</v>
      </c>
    </row>
    <row r="1438" spans="1:6" x14ac:dyDescent="0.25">
      <c r="A1438" t="s">
        <v>20</v>
      </c>
      <c r="B1438" t="s">
        <v>21</v>
      </c>
      <c r="C1438" t="s">
        <v>66</v>
      </c>
      <c r="D1438">
        <v>201.53</v>
      </c>
      <c r="E1438">
        <v>2019</v>
      </c>
      <c r="F1438" t="s">
        <v>64</v>
      </c>
    </row>
    <row r="1439" spans="1:6" x14ac:dyDescent="0.25">
      <c r="A1439" t="s">
        <v>22</v>
      </c>
      <c r="B1439" t="s">
        <v>23</v>
      </c>
      <c r="C1439" t="s">
        <v>66</v>
      </c>
      <c r="D1439">
        <v>183.92</v>
      </c>
      <c r="E1439">
        <v>2019</v>
      </c>
      <c r="F1439" t="s">
        <v>64</v>
      </c>
    </row>
    <row r="1440" spans="1:6" x14ac:dyDescent="0.25">
      <c r="A1440" t="s">
        <v>24</v>
      </c>
      <c r="B1440" t="s">
        <v>25</v>
      </c>
      <c r="C1440" t="s">
        <v>66</v>
      </c>
      <c r="D1440">
        <v>1024.17</v>
      </c>
      <c r="E1440">
        <v>2019</v>
      </c>
      <c r="F1440" t="s">
        <v>64</v>
      </c>
    </row>
    <row r="1441" spans="1:6" x14ac:dyDescent="0.25">
      <c r="A1441" t="s">
        <v>26</v>
      </c>
      <c r="B1441" t="s">
        <v>27</v>
      </c>
      <c r="C1441" t="s">
        <v>66</v>
      </c>
      <c r="D1441">
        <v>78.569999999999993</v>
      </c>
      <c r="E1441">
        <v>2019</v>
      </c>
      <c r="F1441" t="s">
        <v>64</v>
      </c>
    </row>
    <row r="1442" spans="1:6" x14ac:dyDescent="0.25">
      <c r="A1442" t="s">
        <v>28</v>
      </c>
      <c r="B1442" t="s">
        <v>29</v>
      </c>
      <c r="C1442" t="s">
        <v>66</v>
      </c>
      <c r="D1442">
        <v>754.31</v>
      </c>
      <c r="E1442">
        <v>2019</v>
      </c>
      <c r="F1442" t="s">
        <v>64</v>
      </c>
    </row>
    <row r="1443" spans="1:6" x14ac:dyDescent="0.25">
      <c r="A1443" t="s">
        <v>30</v>
      </c>
      <c r="B1443" t="s">
        <v>31</v>
      </c>
      <c r="C1443" t="s">
        <v>66</v>
      </c>
      <c r="D1443">
        <v>614.72</v>
      </c>
      <c r="E1443">
        <v>2019</v>
      </c>
      <c r="F1443" t="s">
        <v>64</v>
      </c>
    </row>
    <row r="1444" spans="1:6" x14ac:dyDescent="0.25">
      <c r="A1444" t="s">
        <v>32</v>
      </c>
      <c r="B1444" t="s">
        <v>33</v>
      </c>
      <c r="C1444" t="s">
        <v>66</v>
      </c>
      <c r="D1444">
        <v>269.29000000000002</v>
      </c>
      <c r="E1444">
        <v>2019</v>
      </c>
      <c r="F1444" t="s">
        <v>64</v>
      </c>
    </row>
    <row r="1445" spans="1:6" x14ac:dyDescent="0.25">
      <c r="A1445" t="s">
        <v>34</v>
      </c>
      <c r="B1445" t="s">
        <v>35</v>
      </c>
      <c r="C1445" t="s">
        <v>66</v>
      </c>
      <c r="D1445">
        <v>312.81</v>
      </c>
      <c r="E1445">
        <v>2019</v>
      </c>
      <c r="F1445" t="s">
        <v>64</v>
      </c>
    </row>
    <row r="1446" spans="1:6" x14ac:dyDescent="0.25">
      <c r="A1446" t="s">
        <v>36</v>
      </c>
      <c r="B1446" t="s">
        <v>37</v>
      </c>
      <c r="C1446" t="s">
        <v>66</v>
      </c>
      <c r="D1446">
        <v>352.38</v>
      </c>
      <c r="E1446">
        <v>2019</v>
      </c>
      <c r="F1446" t="s">
        <v>64</v>
      </c>
    </row>
    <row r="1447" spans="1:6" x14ac:dyDescent="0.25">
      <c r="A1447" t="s">
        <v>38</v>
      </c>
      <c r="B1447" t="s">
        <v>39</v>
      </c>
      <c r="C1447" t="s">
        <v>66</v>
      </c>
      <c r="D1447">
        <v>52.88</v>
      </c>
      <c r="E1447">
        <v>2019</v>
      </c>
      <c r="F1447" t="s">
        <v>64</v>
      </c>
    </row>
    <row r="1448" spans="1:6" x14ac:dyDescent="0.25">
      <c r="A1448" t="s">
        <v>40</v>
      </c>
      <c r="B1448" t="s">
        <v>41</v>
      </c>
      <c r="C1448" t="s">
        <v>66</v>
      </c>
      <c r="D1448">
        <v>167.03</v>
      </c>
      <c r="E1448">
        <v>2019</v>
      </c>
      <c r="F1448" t="s">
        <v>64</v>
      </c>
    </row>
    <row r="1449" spans="1:6" x14ac:dyDescent="0.25">
      <c r="A1449" t="s">
        <v>42</v>
      </c>
      <c r="B1449" t="s">
        <v>43</v>
      </c>
      <c r="C1449" t="s">
        <v>66</v>
      </c>
      <c r="D1449">
        <v>3.12</v>
      </c>
      <c r="E1449">
        <v>2019</v>
      </c>
      <c r="F1449" t="s">
        <v>64</v>
      </c>
    </row>
    <row r="1450" spans="1:6" x14ac:dyDescent="0.25">
      <c r="A1450" t="s">
        <v>44</v>
      </c>
      <c r="B1450" t="s">
        <v>45</v>
      </c>
      <c r="C1450" t="s">
        <v>66</v>
      </c>
      <c r="D1450">
        <v>63.37</v>
      </c>
      <c r="E1450">
        <v>2019</v>
      </c>
      <c r="F1450" t="s">
        <v>64</v>
      </c>
    </row>
    <row r="1451" spans="1:6" x14ac:dyDescent="0.25">
      <c r="A1451" t="s">
        <v>46</v>
      </c>
      <c r="B1451" t="s">
        <v>47</v>
      </c>
      <c r="C1451" t="s">
        <v>66</v>
      </c>
      <c r="D1451">
        <v>2.56</v>
      </c>
      <c r="E1451">
        <v>2019</v>
      </c>
      <c r="F1451" t="s">
        <v>64</v>
      </c>
    </row>
    <row r="1452" spans="1:6" x14ac:dyDescent="0.25">
      <c r="A1452" t="s">
        <v>48</v>
      </c>
      <c r="B1452" t="s">
        <v>49</v>
      </c>
      <c r="C1452" t="s">
        <v>66</v>
      </c>
      <c r="D1452">
        <v>122.48</v>
      </c>
      <c r="E1452">
        <v>2019</v>
      </c>
      <c r="F1452" t="s">
        <v>64</v>
      </c>
    </row>
    <row r="1453" spans="1:6" x14ac:dyDescent="0.25">
      <c r="A1453" t="s">
        <v>50</v>
      </c>
      <c r="B1453" t="s">
        <v>51</v>
      </c>
      <c r="C1453" t="s">
        <v>66</v>
      </c>
      <c r="E1453">
        <v>2019</v>
      </c>
      <c r="F1453" t="s">
        <v>64</v>
      </c>
    </row>
    <row r="1454" spans="1:6" x14ac:dyDescent="0.25">
      <c r="A1454" t="s">
        <v>52</v>
      </c>
      <c r="B1454" t="s">
        <v>53</v>
      </c>
      <c r="C1454" t="s">
        <v>66</v>
      </c>
      <c r="D1454">
        <v>34.869999999999997</v>
      </c>
      <c r="E1454">
        <v>2019</v>
      </c>
      <c r="F1454" t="s">
        <v>64</v>
      </c>
    </row>
    <row r="1455" spans="1:6" x14ac:dyDescent="0.25">
      <c r="A1455" t="s">
        <v>54</v>
      </c>
      <c r="B1455" t="s">
        <v>55</v>
      </c>
      <c r="C1455" t="s">
        <v>66</v>
      </c>
      <c r="D1455">
        <v>14.13</v>
      </c>
      <c r="E1455">
        <v>2019</v>
      </c>
      <c r="F1455" t="s">
        <v>64</v>
      </c>
    </row>
    <row r="1456" spans="1:6" x14ac:dyDescent="0.25">
      <c r="A1456" t="s">
        <v>56</v>
      </c>
      <c r="B1456" t="s">
        <v>57</v>
      </c>
      <c r="C1456" t="s">
        <v>66</v>
      </c>
      <c r="D1456">
        <v>69.55</v>
      </c>
      <c r="E1456">
        <v>2019</v>
      </c>
      <c r="F1456" t="s">
        <v>64</v>
      </c>
    </row>
    <row r="1457" spans="1:6" x14ac:dyDescent="0.25">
      <c r="A1457" t="s">
        <v>58</v>
      </c>
      <c r="B1457" t="s">
        <v>59</v>
      </c>
      <c r="C1457" t="s">
        <v>66</v>
      </c>
      <c r="E1457">
        <v>2019</v>
      </c>
      <c r="F1457" t="s">
        <v>64</v>
      </c>
    </row>
    <row r="1458" spans="1:6" x14ac:dyDescent="0.25">
      <c r="A1458" t="s">
        <v>6</v>
      </c>
      <c r="B1458" t="s">
        <v>7</v>
      </c>
      <c r="C1458" t="s">
        <v>63</v>
      </c>
      <c r="D1458">
        <v>471390.41</v>
      </c>
      <c r="E1458">
        <v>2020</v>
      </c>
      <c r="F1458" t="s">
        <v>64</v>
      </c>
    </row>
    <row r="1459" spans="1:6" x14ac:dyDescent="0.25">
      <c r="A1459" t="s">
        <v>10</v>
      </c>
      <c r="B1459" t="s">
        <v>11</v>
      </c>
      <c r="C1459" t="s">
        <v>63</v>
      </c>
      <c r="D1459">
        <v>129984.42</v>
      </c>
      <c r="E1459">
        <v>2020</v>
      </c>
      <c r="F1459" t="s">
        <v>64</v>
      </c>
    </row>
    <row r="1460" spans="1:6" x14ac:dyDescent="0.25">
      <c r="A1460" t="s">
        <v>12</v>
      </c>
      <c r="B1460" t="s">
        <v>13</v>
      </c>
      <c r="C1460" t="s">
        <v>63</v>
      </c>
      <c r="D1460">
        <v>13742.21</v>
      </c>
      <c r="E1460">
        <v>2020</v>
      </c>
      <c r="F1460" t="s">
        <v>64</v>
      </c>
    </row>
    <row r="1461" spans="1:6" x14ac:dyDescent="0.25">
      <c r="A1461" t="s">
        <v>14</v>
      </c>
      <c r="B1461" t="s">
        <v>15</v>
      </c>
      <c r="C1461" t="s">
        <v>63</v>
      </c>
      <c r="D1461">
        <v>2239.73</v>
      </c>
      <c r="E1461">
        <v>2020</v>
      </c>
      <c r="F1461" t="s">
        <v>64</v>
      </c>
    </row>
    <row r="1462" spans="1:6" x14ac:dyDescent="0.25">
      <c r="A1462" t="s">
        <v>16</v>
      </c>
      <c r="B1462" t="s">
        <v>17</v>
      </c>
      <c r="C1462" t="s">
        <v>63</v>
      </c>
      <c r="D1462">
        <v>6320.95</v>
      </c>
      <c r="E1462">
        <v>2020</v>
      </c>
      <c r="F1462" t="s">
        <v>64</v>
      </c>
    </row>
    <row r="1463" spans="1:6" x14ac:dyDescent="0.25">
      <c r="A1463" t="s">
        <v>18</v>
      </c>
      <c r="B1463" t="s">
        <v>19</v>
      </c>
      <c r="C1463" t="s">
        <v>63</v>
      </c>
      <c r="D1463">
        <v>4181.34</v>
      </c>
      <c r="E1463">
        <v>2020</v>
      </c>
      <c r="F1463" t="s">
        <v>64</v>
      </c>
    </row>
    <row r="1464" spans="1:6" x14ac:dyDescent="0.25">
      <c r="A1464" t="s">
        <v>20</v>
      </c>
      <c r="B1464" t="s">
        <v>21</v>
      </c>
      <c r="C1464" t="s">
        <v>63</v>
      </c>
      <c r="D1464">
        <v>3715.05</v>
      </c>
      <c r="E1464">
        <v>2020</v>
      </c>
      <c r="F1464" t="s">
        <v>64</v>
      </c>
    </row>
    <row r="1465" spans="1:6" x14ac:dyDescent="0.25">
      <c r="A1465" t="s">
        <v>22</v>
      </c>
      <c r="B1465" t="s">
        <v>23</v>
      </c>
      <c r="C1465" t="s">
        <v>63</v>
      </c>
      <c r="D1465">
        <v>3633.62</v>
      </c>
      <c r="E1465">
        <v>2020</v>
      </c>
      <c r="F1465" t="s">
        <v>64</v>
      </c>
    </row>
    <row r="1466" spans="1:6" x14ac:dyDescent="0.25">
      <c r="A1466" t="s">
        <v>24</v>
      </c>
      <c r="B1466" t="s">
        <v>25</v>
      </c>
      <c r="C1466" t="s">
        <v>63</v>
      </c>
      <c r="D1466">
        <v>15461.01</v>
      </c>
      <c r="E1466">
        <v>2020</v>
      </c>
      <c r="F1466" t="s">
        <v>64</v>
      </c>
    </row>
    <row r="1467" spans="1:6" x14ac:dyDescent="0.25">
      <c r="A1467" t="s">
        <v>26</v>
      </c>
      <c r="B1467" t="s">
        <v>27</v>
      </c>
      <c r="C1467" t="s">
        <v>63</v>
      </c>
      <c r="D1467">
        <v>1301.4100000000001</v>
      </c>
      <c r="E1467">
        <v>2020</v>
      </c>
      <c r="F1467" t="s">
        <v>64</v>
      </c>
    </row>
    <row r="1468" spans="1:6" x14ac:dyDescent="0.25">
      <c r="A1468" t="s">
        <v>28</v>
      </c>
      <c r="B1468" t="s">
        <v>29</v>
      </c>
      <c r="C1468" t="s">
        <v>63</v>
      </c>
      <c r="D1468">
        <v>28239.72</v>
      </c>
      <c r="E1468">
        <v>2020</v>
      </c>
      <c r="F1468" t="s">
        <v>64</v>
      </c>
    </row>
    <row r="1469" spans="1:6" x14ac:dyDescent="0.25">
      <c r="A1469" t="s">
        <v>30</v>
      </c>
      <c r="B1469" t="s">
        <v>31</v>
      </c>
      <c r="C1469" t="s">
        <v>63</v>
      </c>
      <c r="D1469">
        <v>63188.61</v>
      </c>
      <c r="E1469">
        <v>2020</v>
      </c>
      <c r="F1469" t="s">
        <v>64</v>
      </c>
    </row>
    <row r="1470" spans="1:6" x14ac:dyDescent="0.25">
      <c r="A1470" t="s">
        <v>32</v>
      </c>
      <c r="B1470" t="s">
        <v>33</v>
      </c>
      <c r="C1470" t="s">
        <v>63</v>
      </c>
      <c r="D1470">
        <v>8012.14</v>
      </c>
      <c r="E1470">
        <v>2020</v>
      </c>
      <c r="F1470" t="s">
        <v>64</v>
      </c>
    </row>
    <row r="1471" spans="1:6" x14ac:dyDescent="0.25">
      <c r="A1471" t="s">
        <v>34</v>
      </c>
      <c r="B1471" t="s">
        <v>35</v>
      </c>
      <c r="C1471" t="s">
        <v>63</v>
      </c>
      <c r="D1471">
        <v>17379.759999999998</v>
      </c>
      <c r="E1471">
        <v>2020</v>
      </c>
      <c r="F1471" t="s">
        <v>64</v>
      </c>
    </row>
    <row r="1472" spans="1:6" x14ac:dyDescent="0.25">
      <c r="A1472" t="s">
        <v>36</v>
      </c>
      <c r="B1472" t="s">
        <v>37</v>
      </c>
      <c r="C1472" t="s">
        <v>63</v>
      </c>
      <c r="D1472">
        <v>11596.86</v>
      </c>
      <c r="E1472">
        <v>2020</v>
      </c>
      <c r="F1472" t="s">
        <v>64</v>
      </c>
    </row>
    <row r="1473" spans="1:6" x14ac:dyDescent="0.25">
      <c r="A1473" t="s">
        <v>38</v>
      </c>
      <c r="B1473" t="s">
        <v>39</v>
      </c>
      <c r="C1473" t="s">
        <v>63</v>
      </c>
      <c r="D1473">
        <v>36630.17</v>
      </c>
      <c r="E1473">
        <v>2020</v>
      </c>
      <c r="F1473" t="s">
        <v>64</v>
      </c>
    </row>
    <row r="1474" spans="1:6" x14ac:dyDescent="0.25">
      <c r="A1474" t="s">
        <v>40</v>
      </c>
      <c r="B1474" t="s">
        <v>41</v>
      </c>
      <c r="C1474" t="s">
        <v>63</v>
      </c>
      <c r="D1474">
        <v>12841.19</v>
      </c>
      <c r="E1474">
        <v>2020</v>
      </c>
      <c r="F1474" t="s">
        <v>64</v>
      </c>
    </row>
    <row r="1475" spans="1:6" x14ac:dyDescent="0.25">
      <c r="A1475" t="s">
        <v>42</v>
      </c>
      <c r="B1475" t="s">
        <v>43</v>
      </c>
      <c r="C1475" t="s">
        <v>63</v>
      </c>
      <c r="D1475">
        <v>17858.86</v>
      </c>
      <c r="E1475">
        <v>2020</v>
      </c>
      <c r="F1475" t="s">
        <v>64</v>
      </c>
    </row>
    <row r="1476" spans="1:6" x14ac:dyDescent="0.25">
      <c r="A1476" t="s">
        <v>44</v>
      </c>
      <c r="B1476" t="s">
        <v>45</v>
      </c>
      <c r="C1476" t="s">
        <v>63</v>
      </c>
      <c r="D1476">
        <v>14312.41</v>
      </c>
      <c r="E1476">
        <v>2020</v>
      </c>
      <c r="F1476" t="s">
        <v>64</v>
      </c>
    </row>
    <row r="1477" spans="1:6" x14ac:dyDescent="0.25">
      <c r="A1477" t="s">
        <v>46</v>
      </c>
      <c r="B1477" t="s">
        <v>47</v>
      </c>
      <c r="C1477" t="s">
        <v>63</v>
      </c>
      <c r="D1477">
        <v>20140.810000000001</v>
      </c>
      <c r="E1477">
        <v>2020</v>
      </c>
      <c r="F1477" t="s">
        <v>64</v>
      </c>
    </row>
    <row r="1478" spans="1:6" x14ac:dyDescent="0.25">
      <c r="A1478" t="s">
        <v>48</v>
      </c>
      <c r="B1478" t="s">
        <v>49</v>
      </c>
      <c r="C1478" t="s">
        <v>63</v>
      </c>
      <c r="D1478">
        <v>43110.76</v>
      </c>
      <c r="E1478">
        <v>2020</v>
      </c>
      <c r="F1478" t="s">
        <v>64</v>
      </c>
    </row>
    <row r="1479" spans="1:6" x14ac:dyDescent="0.25">
      <c r="A1479" t="s">
        <v>50</v>
      </c>
      <c r="B1479" t="s">
        <v>51</v>
      </c>
      <c r="C1479" t="s">
        <v>63</v>
      </c>
      <c r="D1479">
        <v>6741.75</v>
      </c>
      <c r="E1479">
        <v>2020</v>
      </c>
      <c r="F1479" t="s">
        <v>64</v>
      </c>
    </row>
    <row r="1480" spans="1:6" x14ac:dyDescent="0.25">
      <c r="A1480" t="s">
        <v>52</v>
      </c>
      <c r="B1480" t="s">
        <v>53</v>
      </c>
      <c r="C1480" t="s">
        <v>63</v>
      </c>
      <c r="D1480">
        <v>4405.03</v>
      </c>
      <c r="E1480">
        <v>2020</v>
      </c>
      <c r="F1480" t="s">
        <v>64</v>
      </c>
    </row>
    <row r="1481" spans="1:6" x14ac:dyDescent="0.25">
      <c r="A1481" t="s">
        <v>54</v>
      </c>
      <c r="B1481" t="s">
        <v>55</v>
      </c>
      <c r="C1481" t="s">
        <v>63</v>
      </c>
      <c r="D1481">
        <v>3089.45</v>
      </c>
      <c r="E1481">
        <v>2020</v>
      </c>
      <c r="F1481" t="s">
        <v>64</v>
      </c>
    </row>
    <row r="1482" spans="1:6" x14ac:dyDescent="0.25">
      <c r="A1482" t="s">
        <v>56</v>
      </c>
      <c r="B1482" t="s">
        <v>57</v>
      </c>
      <c r="C1482" t="s">
        <v>63</v>
      </c>
      <c r="D1482">
        <v>3263.15</v>
      </c>
      <c r="E1482">
        <v>2020</v>
      </c>
      <c r="F1482" t="s">
        <v>64</v>
      </c>
    </row>
    <row r="1483" spans="1:6" x14ac:dyDescent="0.25">
      <c r="A1483" t="s">
        <v>58</v>
      </c>
      <c r="B1483" t="s">
        <v>59</v>
      </c>
      <c r="C1483" t="s">
        <v>63</v>
      </c>
      <c r="E1483">
        <v>2020</v>
      </c>
      <c r="F1483" t="s">
        <v>64</v>
      </c>
    </row>
    <row r="1484" spans="1:6" x14ac:dyDescent="0.25">
      <c r="A1484" t="s">
        <v>6</v>
      </c>
      <c r="B1484" t="s">
        <v>7</v>
      </c>
      <c r="C1484" t="s">
        <v>8</v>
      </c>
      <c r="D1484">
        <v>43825.42</v>
      </c>
      <c r="E1484">
        <v>2020</v>
      </c>
      <c r="F1484" t="s">
        <v>64</v>
      </c>
    </row>
    <row r="1485" spans="1:6" x14ac:dyDescent="0.25">
      <c r="A1485" t="s">
        <v>10</v>
      </c>
      <c r="B1485" t="s">
        <v>11</v>
      </c>
      <c r="C1485" t="s">
        <v>8</v>
      </c>
      <c r="D1485">
        <v>17287.150000000001</v>
      </c>
      <c r="E1485">
        <v>2020</v>
      </c>
      <c r="F1485" t="s">
        <v>64</v>
      </c>
    </row>
    <row r="1486" spans="1:6" x14ac:dyDescent="0.25">
      <c r="A1486" t="s">
        <v>12</v>
      </c>
      <c r="B1486" t="s">
        <v>13</v>
      </c>
      <c r="C1486" t="s">
        <v>8</v>
      </c>
      <c r="D1486">
        <v>2992.96</v>
      </c>
      <c r="E1486">
        <v>2020</v>
      </c>
      <c r="F1486" t="s">
        <v>64</v>
      </c>
    </row>
    <row r="1487" spans="1:6" x14ac:dyDescent="0.25">
      <c r="A1487" t="s">
        <v>14</v>
      </c>
      <c r="B1487" t="s">
        <v>15</v>
      </c>
      <c r="C1487" t="s">
        <v>8</v>
      </c>
      <c r="E1487">
        <v>2020</v>
      </c>
      <c r="F1487" t="s">
        <v>64</v>
      </c>
    </row>
    <row r="1488" spans="1:6" x14ac:dyDescent="0.25">
      <c r="A1488" t="s">
        <v>16</v>
      </c>
      <c r="B1488" t="s">
        <v>17</v>
      </c>
      <c r="C1488" t="s">
        <v>8</v>
      </c>
      <c r="D1488">
        <v>167.14</v>
      </c>
      <c r="E1488">
        <v>2020</v>
      </c>
      <c r="F1488" t="s">
        <v>64</v>
      </c>
    </row>
    <row r="1489" spans="1:6" x14ac:dyDescent="0.25">
      <c r="A1489" t="s">
        <v>18</v>
      </c>
      <c r="B1489" t="s">
        <v>19</v>
      </c>
      <c r="C1489" t="s">
        <v>8</v>
      </c>
      <c r="D1489">
        <v>72.31</v>
      </c>
      <c r="E1489">
        <v>2020</v>
      </c>
      <c r="F1489" t="s">
        <v>64</v>
      </c>
    </row>
    <row r="1490" spans="1:6" x14ac:dyDescent="0.25">
      <c r="A1490" t="s">
        <v>20</v>
      </c>
      <c r="B1490" t="s">
        <v>21</v>
      </c>
      <c r="C1490" t="s">
        <v>8</v>
      </c>
      <c r="D1490">
        <v>45.34</v>
      </c>
      <c r="E1490">
        <v>2020</v>
      </c>
      <c r="F1490" t="s">
        <v>64</v>
      </c>
    </row>
    <row r="1491" spans="1:6" x14ac:dyDescent="0.25">
      <c r="A1491" t="s">
        <v>22</v>
      </c>
      <c r="B1491" t="s">
        <v>23</v>
      </c>
      <c r="C1491" t="s">
        <v>8</v>
      </c>
      <c r="D1491">
        <v>2285.87</v>
      </c>
      <c r="E1491">
        <v>2020</v>
      </c>
      <c r="F1491" t="s">
        <v>64</v>
      </c>
    </row>
    <row r="1492" spans="1:6" x14ac:dyDescent="0.25">
      <c r="A1492" t="s">
        <v>24</v>
      </c>
      <c r="B1492" t="s">
        <v>25</v>
      </c>
      <c r="C1492" t="s">
        <v>8</v>
      </c>
      <c r="D1492">
        <v>2987.27</v>
      </c>
      <c r="E1492">
        <v>2020</v>
      </c>
      <c r="F1492" t="s">
        <v>64</v>
      </c>
    </row>
    <row r="1493" spans="1:6" x14ac:dyDescent="0.25">
      <c r="A1493" t="s">
        <v>26</v>
      </c>
      <c r="B1493" t="s">
        <v>27</v>
      </c>
      <c r="C1493" t="s">
        <v>8</v>
      </c>
      <c r="D1493">
        <v>188.76</v>
      </c>
      <c r="E1493">
        <v>2020</v>
      </c>
      <c r="F1493" t="s">
        <v>64</v>
      </c>
    </row>
    <row r="1494" spans="1:6" x14ac:dyDescent="0.25">
      <c r="A1494" t="s">
        <v>28</v>
      </c>
      <c r="B1494" t="s">
        <v>29</v>
      </c>
      <c r="C1494" t="s">
        <v>8</v>
      </c>
      <c r="E1494">
        <v>2020</v>
      </c>
      <c r="F1494" t="s">
        <v>64</v>
      </c>
    </row>
    <row r="1495" spans="1:6" x14ac:dyDescent="0.25">
      <c r="A1495" t="s">
        <v>30</v>
      </c>
      <c r="B1495" t="s">
        <v>31</v>
      </c>
      <c r="C1495" t="s">
        <v>8</v>
      </c>
      <c r="D1495">
        <v>6636.38</v>
      </c>
      <c r="E1495">
        <v>2020</v>
      </c>
      <c r="F1495" t="s">
        <v>64</v>
      </c>
    </row>
    <row r="1496" spans="1:6" x14ac:dyDescent="0.25">
      <c r="A1496" t="s">
        <v>32</v>
      </c>
      <c r="B1496" t="s">
        <v>33</v>
      </c>
      <c r="C1496" t="s">
        <v>8</v>
      </c>
      <c r="D1496">
        <v>648.11</v>
      </c>
      <c r="E1496">
        <v>2020</v>
      </c>
      <c r="F1496" t="s">
        <v>64</v>
      </c>
    </row>
    <row r="1497" spans="1:6" x14ac:dyDescent="0.25">
      <c r="A1497" t="s">
        <v>34</v>
      </c>
      <c r="B1497" t="s">
        <v>35</v>
      </c>
      <c r="C1497" t="s">
        <v>8</v>
      </c>
      <c r="D1497">
        <v>1602.6</v>
      </c>
      <c r="E1497">
        <v>2020</v>
      </c>
      <c r="F1497" t="s">
        <v>64</v>
      </c>
    </row>
    <row r="1498" spans="1:6" x14ac:dyDescent="0.25">
      <c r="A1498" t="s">
        <v>36</v>
      </c>
      <c r="B1498" t="s">
        <v>37</v>
      </c>
      <c r="C1498" t="s">
        <v>8</v>
      </c>
      <c r="D1498">
        <v>1670.9</v>
      </c>
      <c r="E1498">
        <v>2020</v>
      </c>
      <c r="F1498" t="s">
        <v>64</v>
      </c>
    </row>
    <row r="1499" spans="1:6" x14ac:dyDescent="0.25">
      <c r="A1499" t="s">
        <v>38</v>
      </c>
      <c r="B1499" t="s">
        <v>39</v>
      </c>
      <c r="C1499" t="s">
        <v>8</v>
      </c>
      <c r="D1499">
        <v>1496.83</v>
      </c>
      <c r="E1499">
        <v>2020</v>
      </c>
      <c r="F1499" t="s">
        <v>64</v>
      </c>
    </row>
    <row r="1500" spans="1:6" x14ac:dyDescent="0.25">
      <c r="A1500" t="s">
        <v>40</v>
      </c>
      <c r="B1500" t="s">
        <v>41</v>
      </c>
      <c r="C1500" t="s">
        <v>8</v>
      </c>
      <c r="D1500">
        <v>1316.4</v>
      </c>
      <c r="E1500">
        <v>2020</v>
      </c>
      <c r="F1500" t="s">
        <v>64</v>
      </c>
    </row>
    <row r="1501" spans="1:6" x14ac:dyDescent="0.25">
      <c r="A1501" t="s">
        <v>42</v>
      </c>
      <c r="B1501" t="s">
        <v>43</v>
      </c>
      <c r="C1501" t="s">
        <v>8</v>
      </c>
      <c r="D1501">
        <v>14.25</v>
      </c>
      <c r="E1501">
        <v>2020</v>
      </c>
      <c r="F1501" t="s">
        <v>64</v>
      </c>
    </row>
    <row r="1502" spans="1:6" x14ac:dyDescent="0.25">
      <c r="A1502" t="s">
        <v>44</v>
      </c>
      <c r="B1502" t="s">
        <v>45</v>
      </c>
      <c r="C1502" t="s">
        <v>8</v>
      </c>
      <c r="D1502">
        <v>495.45</v>
      </c>
      <c r="E1502">
        <v>2020</v>
      </c>
      <c r="F1502" t="s">
        <v>64</v>
      </c>
    </row>
    <row r="1503" spans="1:6" x14ac:dyDescent="0.25">
      <c r="A1503" t="s">
        <v>46</v>
      </c>
      <c r="B1503" t="s">
        <v>47</v>
      </c>
      <c r="C1503" t="s">
        <v>8</v>
      </c>
      <c r="D1503">
        <v>550.67999999999995</v>
      </c>
      <c r="E1503">
        <v>2020</v>
      </c>
      <c r="F1503" t="s">
        <v>64</v>
      </c>
    </row>
    <row r="1504" spans="1:6" x14ac:dyDescent="0.25">
      <c r="A1504" t="s">
        <v>48</v>
      </c>
      <c r="B1504" t="s">
        <v>49</v>
      </c>
      <c r="C1504" t="s">
        <v>8</v>
      </c>
      <c r="D1504">
        <v>45.03</v>
      </c>
      <c r="E1504">
        <v>2020</v>
      </c>
      <c r="F1504" t="s">
        <v>64</v>
      </c>
    </row>
    <row r="1505" spans="1:6" x14ac:dyDescent="0.25">
      <c r="A1505" t="s">
        <v>50</v>
      </c>
      <c r="B1505" t="s">
        <v>51</v>
      </c>
      <c r="C1505" t="s">
        <v>8</v>
      </c>
      <c r="D1505">
        <v>56.16</v>
      </c>
      <c r="E1505">
        <v>2020</v>
      </c>
      <c r="F1505" t="s">
        <v>64</v>
      </c>
    </row>
    <row r="1506" spans="1:6" x14ac:dyDescent="0.25">
      <c r="A1506" t="s">
        <v>52</v>
      </c>
      <c r="B1506" t="s">
        <v>53</v>
      </c>
      <c r="C1506" t="s">
        <v>8</v>
      </c>
      <c r="D1506">
        <v>305.20999999999998</v>
      </c>
      <c r="E1506">
        <v>2020</v>
      </c>
      <c r="F1506" t="s">
        <v>64</v>
      </c>
    </row>
    <row r="1507" spans="1:6" x14ac:dyDescent="0.25">
      <c r="A1507" t="s">
        <v>54</v>
      </c>
      <c r="B1507" t="s">
        <v>55</v>
      </c>
      <c r="C1507" t="s">
        <v>8</v>
      </c>
      <c r="D1507">
        <v>49.25</v>
      </c>
      <c r="E1507">
        <v>2020</v>
      </c>
      <c r="F1507" t="s">
        <v>64</v>
      </c>
    </row>
    <row r="1508" spans="1:6" x14ac:dyDescent="0.25">
      <c r="A1508" t="s">
        <v>56</v>
      </c>
      <c r="B1508" t="s">
        <v>57</v>
      </c>
      <c r="C1508" t="s">
        <v>8</v>
      </c>
      <c r="D1508">
        <v>702.58</v>
      </c>
      <c r="E1508">
        <v>2020</v>
      </c>
      <c r="F1508" t="s">
        <v>64</v>
      </c>
    </row>
    <row r="1509" spans="1:6" x14ac:dyDescent="0.25">
      <c r="A1509" t="s">
        <v>58</v>
      </c>
      <c r="B1509" t="s">
        <v>59</v>
      </c>
      <c r="C1509" t="s">
        <v>8</v>
      </c>
      <c r="D1509">
        <v>2208.79</v>
      </c>
      <c r="E1509">
        <v>2020</v>
      </c>
      <c r="F1509" t="s">
        <v>64</v>
      </c>
    </row>
    <row r="1510" spans="1:6" x14ac:dyDescent="0.25">
      <c r="A1510" t="s">
        <v>6</v>
      </c>
      <c r="B1510" t="s">
        <v>7</v>
      </c>
      <c r="C1510" t="s">
        <v>60</v>
      </c>
      <c r="D1510">
        <v>37801.01</v>
      </c>
      <c r="E1510">
        <v>2020</v>
      </c>
      <c r="F1510" t="s">
        <v>64</v>
      </c>
    </row>
    <row r="1511" spans="1:6" x14ac:dyDescent="0.25">
      <c r="A1511" t="s">
        <v>10</v>
      </c>
      <c r="B1511" t="s">
        <v>11</v>
      </c>
      <c r="C1511" t="s">
        <v>60</v>
      </c>
      <c r="D1511">
        <v>11359.43</v>
      </c>
      <c r="E1511">
        <v>2020</v>
      </c>
      <c r="F1511" t="s">
        <v>64</v>
      </c>
    </row>
    <row r="1512" spans="1:6" x14ac:dyDescent="0.25">
      <c r="A1512" t="s">
        <v>12</v>
      </c>
      <c r="B1512" t="s">
        <v>13</v>
      </c>
      <c r="C1512" t="s">
        <v>60</v>
      </c>
      <c r="D1512">
        <v>879.57</v>
      </c>
      <c r="E1512">
        <v>2020</v>
      </c>
      <c r="F1512" t="s">
        <v>64</v>
      </c>
    </row>
    <row r="1513" spans="1:6" x14ac:dyDescent="0.25">
      <c r="A1513" t="s">
        <v>14</v>
      </c>
      <c r="B1513" t="s">
        <v>15</v>
      </c>
      <c r="C1513" t="s">
        <v>60</v>
      </c>
      <c r="E1513">
        <v>2020</v>
      </c>
      <c r="F1513" t="s">
        <v>64</v>
      </c>
    </row>
    <row r="1514" spans="1:6" x14ac:dyDescent="0.25">
      <c r="A1514" t="s">
        <v>16</v>
      </c>
      <c r="B1514" t="s">
        <v>17</v>
      </c>
      <c r="C1514" t="s">
        <v>60</v>
      </c>
      <c r="D1514">
        <v>608.54</v>
      </c>
      <c r="E1514">
        <v>2020</v>
      </c>
      <c r="F1514" t="s">
        <v>64</v>
      </c>
    </row>
    <row r="1515" spans="1:6" x14ac:dyDescent="0.25">
      <c r="A1515" t="s">
        <v>18</v>
      </c>
      <c r="B1515" t="s">
        <v>19</v>
      </c>
      <c r="C1515" t="s">
        <v>60</v>
      </c>
      <c r="D1515">
        <v>827.24</v>
      </c>
      <c r="E1515">
        <v>2020</v>
      </c>
      <c r="F1515" t="s">
        <v>64</v>
      </c>
    </row>
    <row r="1516" spans="1:6" x14ac:dyDescent="0.25">
      <c r="A1516" t="s">
        <v>20</v>
      </c>
      <c r="B1516" t="s">
        <v>21</v>
      </c>
      <c r="C1516" t="s">
        <v>60</v>
      </c>
      <c r="D1516">
        <v>138.81</v>
      </c>
      <c r="E1516">
        <v>2020</v>
      </c>
      <c r="F1516" t="s">
        <v>64</v>
      </c>
    </row>
    <row r="1517" spans="1:6" x14ac:dyDescent="0.25">
      <c r="A1517" t="s">
        <v>22</v>
      </c>
      <c r="B1517" t="s">
        <v>23</v>
      </c>
      <c r="C1517" t="s">
        <v>60</v>
      </c>
      <c r="D1517">
        <v>125.45</v>
      </c>
      <c r="E1517">
        <v>2020</v>
      </c>
      <c r="F1517" t="s">
        <v>64</v>
      </c>
    </row>
    <row r="1518" spans="1:6" x14ac:dyDescent="0.25">
      <c r="A1518" t="s">
        <v>24</v>
      </c>
      <c r="B1518" t="s">
        <v>25</v>
      </c>
      <c r="C1518" t="s">
        <v>60</v>
      </c>
      <c r="D1518">
        <v>1388.78</v>
      </c>
      <c r="E1518">
        <v>2020</v>
      </c>
      <c r="F1518" t="s">
        <v>64</v>
      </c>
    </row>
    <row r="1519" spans="1:6" x14ac:dyDescent="0.25">
      <c r="A1519" t="s">
        <v>26</v>
      </c>
      <c r="B1519" t="s">
        <v>27</v>
      </c>
      <c r="C1519" t="s">
        <v>60</v>
      </c>
      <c r="D1519">
        <v>335.17</v>
      </c>
      <c r="E1519">
        <v>2020</v>
      </c>
      <c r="F1519" t="s">
        <v>64</v>
      </c>
    </row>
    <row r="1520" spans="1:6" x14ac:dyDescent="0.25">
      <c r="A1520" t="s">
        <v>28</v>
      </c>
      <c r="B1520" t="s">
        <v>29</v>
      </c>
      <c r="C1520" t="s">
        <v>60</v>
      </c>
      <c r="D1520">
        <v>6186.02</v>
      </c>
      <c r="E1520">
        <v>2020</v>
      </c>
      <c r="F1520" t="s">
        <v>64</v>
      </c>
    </row>
    <row r="1521" spans="1:6" x14ac:dyDescent="0.25">
      <c r="A1521" t="s">
        <v>30</v>
      </c>
      <c r="B1521" t="s">
        <v>31</v>
      </c>
      <c r="C1521" t="s">
        <v>60</v>
      </c>
      <c r="D1521">
        <v>3933.09</v>
      </c>
      <c r="E1521">
        <v>2020</v>
      </c>
      <c r="F1521" t="s">
        <v>64</v>
      </c>
    </row>
    <row r="1522" spans="1:6" x14ac:dyDescent="0.25">
      <c r="A1522" t="s">
        <v>32</v>
      </c>
      <c r="B1522" t="s">
        <v>33</v>
      </c>
      <c r="C1522" t="s">
        <v>60</v>
      </c>
      <c r="D1522">
        <v>566.23</v>
      </c>
      <c r="E1522">
        <v>2020</v>
      </c>
      <c r="F1522" t="s">
        <v>64</v>
      </c>
    </row>
    <row r="1523" spans="1:6" x14ac:dyDescent="0.25">
      <c r="A1523" t="s">
        <v>34</v>
      </c>
      <c r="B1523" t="s">
        <v>35</v>
      </c>
      <c r="C1523" t="s">
        <v>60</v>
      </c>
      <c r="D1523">
        <v>1533.21</v>
      </c>
      <c r="E1523">
        <v>2020</v>
      </c>
      <c r="F1523" t="s">
        <v>64</v>
      </c>
    </row>
    <row r="1524" spans="1:6" x14ac:dyDescent="0.25">
      <c r="A1524" t="s">
        <v>36</v>
      </c>
      <c r="B1524" t="s">
        <v>37</v>
      </c>
      <c r="C1524" t="s">
        <v>60</v>
      </c>
      <c r="D1524">
        <v>1261.33</v>
      </c>
      <c r="E1524">
        <v>2020</v>
      </c>
      <c r="F1524" t="s">
        <v>64</v>
      </c>
    </row>
    <row r="1525" spans="1:6" x14ac:dyDescent="0.25">
      <c r="A1525" t="s">
        <v>38</v>
      </c>
      <c r="B1525" t="s">
        <v>39</v>
      </c>
      <c r="C1525" t="s">
        <v>60</v>
      </c>
      <c r="D1525">
        <v>1465.3</v>
      </c>
      <c r="E1525">
        <v>2020</v>
      </c>
      <c r="F1525" t="s">
        <v>64</v>
      </c>
    </row>
    <row r="1526" spans="1:6" x14ac:dyDescent="0.25">
      <c r="A1526" t="s">
        <v>40</v>
      </c>
      <c r="B1526" t="s">
        <v>41</v>
      </c>
      <c r="C1526" t="s">
        <v>60</v>
      </c>
      <c r="D1526">
        <v>764.92</v>
      </c>
      <c r="E1526">
        <v>2020</v>
      </c>
      <c r="F1526" t="s">
        <v>64</v>
      </c>
    </row>
    <row r="1527" spans="1:6" x14ac:dyDescent="0.25">
      <c r="A1527" t="s">
        <v>42</v>
      </c>
      <c r="B1527" t="s">
        <v>43</v>
      </c>
      <c r="C1527" t="s">
        <v>60</v>
      </c>
      <c r="E1527">
        <v>2020</v>
      </c>
      <c r="F1527" t="s">
        <v>64</v>
      </c>
    </row>
    <row r="1528" spans="1:6" x14ac:dyDescent="0.25">
      <c r="A1528" t="s">
        <v>44</v>
      </c>
      <c r="B1528" t="s">
        <v>45</v>
      </c>
      <c r="C1528" t="s">
        <v>60</v>
      </c>
      <c r="D1528">
        <v>821.22</v>
      </c>
      <c r="E1528">
        <v>2020</v>
      </c>
      <c r="F1528" t="s">
        <v>64</v>
      </c>
    </row>
    <row r="1529" spans="1:6" x14ac:dyDescent="0.25">
      <c r="A1529" t="s">
        <v>46</v>
      </c>
      <c r="B1529" t="s">
        <v>47</v>
      </c>
      <c r="C1529" t="s">
        <v>60</v>
      </c>
      <c r="D1529">
        <v>217.37</v>
      </c>
      <c r="E1529">
        <v>2020</v>
      </c>
      <c r="F1529" t="s">
        <v>64</v>
      </c>
    </row>
    <row r="1530" spans="1:6" x14ac:dyDescent="0.25">
      <c r="A1530" t="s">
        <v>48</v>
      </c>
      <c r="B1530" t="s">
        <v>49</v>
      </c>
      <c r="C1530" t="s">
        <v>60</v>
      </c>
      <c r="D1530">
        <v>322.72000000000003</v>
      </c>
      <c r="E1530">
        <v>2020</v>
      </c>
      <c r="F1530" t="s">
        <v>64</v>
      </c>
    </row>
    <row r="1531" spans="1:6" x14ac:dyDescent="0.25">
      <c r="A1531" t="s">
        <v>50</v>
      </c>
      <c r="B1531" t="s">
        <v>51</v>
      </c>
      <c r="C1531" t="s">
        <v>60</v>
      </c>
      <c r="D1531">
        <v>450.03</v>
      </c>
      <c r="E1531">
        <v>2020</v>
      </c>
      <c r="F1531" t="s">
        <v>64</v>
      </c>
    </row>
    <row r="1532" spans="1:6" x14ac:dyDescent="0.25">
      <c r="A1532" t="s">
        <v>52</v>
      </c>
      <c r="B1532" t="s">
        <v>53</v>
      </c>
      <c r="C1532" t="s">
        <v>60</v>
      </c>
      <c r="D1532">
        <v>247.1</v>
      </c>
      <c r="E1532">
        <v>2020</v>
      </c>
      <c r="F1532" t="s">
        <v>64</v>
      </c>
    </row>
    <row r="1533" spans="1:6" x14ac:dyDescent="0.25">
      <c r="A1533" t="s">
        <v>54</v>
      </c>
      <c r="B1533" t="s">
        <v>55</v>
      </c>
      <c r="C1533" t="s">
        <v>60</v>
      </c>
      <c r="D1533">
        <v>4369.4799999999996</v>
      </c>
      <c r="E1533">
        <v>2020</v>
      </c>
      <c r="F1533" t="s">
        <v>64</v>
      </c>
    </row>
    <row r="1534" spans="1:6" x14ac:dyDescent="0.25">
      <c r="A1534" t="s">
        <v>56</v>
      </c>
      <c r="B1534" t="s">
        <v>57</v>
      </c>
      <c r="C1534" t="s">
        <v>60</v>
      </c>
      <c r="E1534">
        <v>2020</v>
      </c>
      <c r="F1534" t="s">
        <v>64</v>
      </c>
    </row>
    <row r="1535" spans="1:6" x14ac:dyDescent="0.25">
      <c r="A1535" t="s">
        <v>58</v>
      </c>
      <c r="B1535" t="s">
        <v>59</v>
      </c>
      <c r="C1535" t="s">
        <v>60</v>
      </c>
      <c r="E1535">
        <v>2020</v>
      </c>
      <c r="F1535" t="s">
        <v>64</v>
      </c>
    </row>
    <row r="1536" spans="1:6" x14ac:dyDescent="0.25">
      <c r="A1536" t="s">
        <v>6</v>
      </c>
      <c r="B1536" t="s">
        <v>7</v>
      </c>
      <c r="C1536" t="s">
        <v>61</v>
      </c>
      <c r="D1536">
        <v>18513.7</v>
      </c>
      <c r="E1536">
        <v>2020</v>
      </c>
      <c r="F1536" t="s">
        <v>64</v>
      </c>
    </row>
    <row r="1537" spans="1:6" x14ac:dyDescent="0.25">
      <c r="A1537" t="s">
        <v>10</v>
      </c>
      <c r="B1537" t="s">
        <v>11</v>
      </c>
      <c r="C1537" t="s">
        <v>61</v>
      </c>
      <c r="D1537">
        <v>10705.98</v>
      </c>
      <c r="E1537">
        <v>2020</v>
      </c>
      <c r="F1537" t="s">
        <v>64</v>
      </c>
    </row>
    <row r="1538" spans="1:6" x14ac:dyDescent="0.25">
      <c r="A1538" t="s">
        <v>12</v>
      </c>
      <c r="B1538" t="s">
        <v>13</v>
      </c>
      <c r="C1538" t="s">
        <v>61</v>
      </c>
      <c r="D1538">
        <v>607.19000000000005</v>
      </c>
      <c r="E1538">
        <v>2020</v>
      </c>
      <c r="F1538" t="s">
        <v>64</v>
      </c>
    </row>
    <row r="1539" spans="1:6" x14ac:dyDescent="0.25">
      <c r="A1539" t="s">
        <v>14</v>
      </c>
      <c r="B1539" t="s">
        <v>15</v>
      </c>
      <c r="C1539" t="s">
        <v>61</v>
      </c>
      <c r="D1539">
        <v>7.26</v>
      </c>
      <c r="E1539">
        <v>2020</v>
      </c>
      <c r="F1539" t="s">
        <v>64</v>
      </c>
    </row>
    <row r="1540" spans="1:6" x14ac:dyDescent="0.25">
      <c r="A1540" t="s">
        <v>16</v>
      </c>
      <c r="B1540" t="s">
        <v>17</v>
      </c>
      <c r="C1540" t="s">
        <v>61</v>
      </c>
      <c r="D1540">
        <v>143.93</v>
      </c>
      <c r="E1540">
        <v>2020</v>
      </c>
      <c r="F1540" t="s">
        <v>64</v>
      </c>
    </row>
    <row r="1541" spans="1:6" x14ac:dyDescent="0.25">
      <c r="A1541" t="s">
        <v>18</v>
      </c>
      <c r="B1541" t="s">
        <v>19</v>
      </c>
      <c r="C1541" t="s">
        <v>61</v>
      </c>
      <c r="D1541">
        <v>52.96</v>
      </c>
      <c r="E1541">
        <v>2020</v>
      </c>
      <c r="F1541" t="s">
        <v>64</v>
      </c>
    </row>
    <row r="1542" spans="1:6" x14ac:dyDescent="0.25">
      <c r="A1542" t="s">
        <v>20</v>
      </c>
      <c r="B1542" t="s">
        <v>21</v>
      </c>
      <c r="C1542" t="s">
        <v>61</v>
      </c>
      <c r="D1542">
        <v>82.98</v>
      </c>
      <c r="E1542">
        <v>2020</v>
      </c>
      <c r="F1542" t="s">
        <v>64</v>
      </c>
    </row>
    <row r="1543" spans="1:6" x14ac:dyDescent="0.25">
      <c r="A1543" t="s">
        <v>22</v>
      </c>
      <c r="B1543" t="s">
        <v>23</v>
      </c>
      <c r="C1543" t="s">
        <v>61</v>
      </c>
      <c r="D1543">
        <v>420.56</v>
      </c>
      <c r="E1543">
        <v>2020</v>
      </c>
      <c r="F1543" t="s">
        <v>64</v>
      </c>
    </row>
    <row r="1544" spans="1:6" x14ac:dyDescent="0.25">
      <c r="A1544" t="s">
        <v>24</v>
      </c>
      <c r="B1544" t="s">
        <v>25</v>
      </c>
      <c r="C1544" t="s">
        <v>61</v>
      </c>
      <c r="D1544">
        <v>1062.83</v>
      </c>
      <c r="E1544">
        <v>2020</v>
      </c>
      <c r="F1544" t="s">
        <v>64</v>
      </c>
    </row>
    <row r="1545" spans="1:6" x14ac:dyDescent="0.25">
      <c r="A1545" t="s">
        <v>26</v>
      </c>
      <c r="B1545" t="s">
        <v>27</v>
      </c>
      <c r="C1545" t="s">
        <v>61</v>
      </c>
      <c r="D1545">
        <v>176.2</v>
      </c>
      <c r="E1545">
        <v>2020</v>
      </c>
      <c r="F1545" t="s">
        <v>64</v>
      </c>
    </row>
    <row r="1546" spans="1:6" x14ac:dyDescent="0.25">
      <c r="A1546" t="s">
        <v>28</v>
      </c>
      <c r="B1546" t="s">
        <v>29</v>
      </c>
      <c r="C1546" t="s">
        <v>61</v>
      </c>
      <c r="D1546">
        <v>115.37</v>
      </c>
      <c r="E1546">
        <v>2020</v>
      </c>
      <c r="F1546" t="s">
        <v>64</v>
      </c>
    </row>
    <row r="1547" spans="1:6" x14ac:dyDescent="0.25">
      <c r="A1547" t="s">
        <v>30</v>
      </c>
      <c r="B1547" t="s">
        <v>31</v>
      </c>
      <c r="C1547" t="s">
        <v>61</v>
      </c>
      <c r="D1547">
        <v>916.31</v>
      </c>
      <c r="E1547">
        <v>2020</v>
      </c>
      <c r="F1547" t="s">
        <v>64</v>
      </c>
    </row>
    <row r="1548" spans="1:6" x14ac:dyDescent="0.25">
      <c r="A1548" t="s">
        <v>32</v>
      </c>
      <c r="B1548" t="s">
        <v>33</v>
      </c>
      <c r="C1548" t="s">
        <v>61</v>
      </c>
      <c r="D1548">
        <v>302.47000000000003</v>
      </c>
      <c r="E1548">
        <v>2020</v>
      </c>
      <c r="F1548" t="s">
        <v>64</v>
      </c>
    </row>
    <row r="1549" spans="1:6" x14ac:dyDescent="0.25">
      <c r="A1549" t="s">
        <v>34</v>
      </c>
      <c r="B1549" t="s">
        <v>35</v>
      </c>
      <c r="C1549" t="s">
        <v>61</v>
      </c>
      <c r="D1549">
        <v>1086</v>
      </c>
      <c r="E1549">
        <v>2020</v>
      </c>
      <c r="F1549" t="s">
        <v>64</v>
      </c>
    </row>
    <row r="1550" spans="1:6" x14ac:dyDescent="0.25">
      <c r="A1550" t="s">
        <v>36</v>
      </c>
      <c r="B1550" t="s">
        <v>37</v>
      </c>
      <c r="C1550" t="s">
        <v>61</v>
      </c>
      <c r="D1550">
        <v>463.69</v>
      </c>
      <c r="E1550">
        <v>2020</v>
      </c>
      <c r="F1550" t="s">
        <v>64</v>
      </c>
    </row>
    <row r="1551" spans="1:6" x14ac:dyDescent="0.25">
      <c r="A1551" t="s">
        <v>38</v>
      </c>
      <c r="B1551" t="s">
        <v>39</v>
      </c>
      <c r="C1551" t="s">
        <v>61</v>
      </c>
      <c r="D1551">
        <v>797.65</v>
      </c>
      <c r="E1551">
        <v>2020</v>
      </c>
      <c r="F1551" t="s">
        <v>64</v>
      </c>
    </row>
    <row r="1552" spans="1:6" x14ac:dyDescent="0.25">
      <c r="A1552" t="s">
        <v>40</v>
      </c>
      <c r="B1552" t="s">
        <v>41</v>
      </c>
      <c r="C1552" t="s">
        <v>61</v>
      </c>
      <c r="D1552">
        <v>328.28</v>
      </c>
      <c r="E1552">
        <v>2020</v>
      </c>
      <c r="F1552" t="s">
        <v>64</v>
      </c>
    </row>
    <row r="1553" spans="1:6" x14ac:dyDescent="0.25">
      <c r="A1553" t="s">
        <v>42</v>
      </c>
      <c r="B1553" t="s">
        <v>43</v>
      </c>
      <c r="C1553" t="s">
        <v>61</v>
      </c>
      <c r="D1553">
        <v>121.18</v>
      </c>
      <c r="E1553">
        <v>2020</v>
      </c>
      <c r="F1553" t="s">
        <v>64</v>
      </c>
    </row>
    <row r="1554" spans="1:6" x14ac:dyDescent="0.25">
      <c r="A1554" t="s">
        <v>44</v>
      </c>
      <c r="B1554" t="s">
        <v>45</v>
      </c>
      <c r="C1554" t="s">
        <v>61</v>
      </c>
      <c r="D1554">
        <v>486.37</v>
      </c>
      <c r="E1554">
        <v>2020</v>
      </c>
      <c r="F1554" t="s">
        <v>64</v>
      </c>
    </row>
    <row r="1555" spans="1:6" x14ac:dyDescent="0.25">
      <c r="A1555" t="s">
        <v>46</v>
      </c>
      <c r="B1555" t="s">
        <v>47</v>
      </c>
      <c r="C1555" t="s">
        <v>61</v>
      </c>
      <c r="D1555">
        <v>75.08</v>
      </c>
      <c r="E1555">
        <v>2020</v>
      </c>
      <c r="F1555" t="s">
        <v>64</v>
      </c>
    </row>
    <row r="1556" spans="1:6" x14ac:dyDescent="0.25">
      <c r="A1556" t="s">
        <v>48</v>
      </c>
      <c r="B1556" t="s">
        <v>49</v>
      </c>
      <c r="C1556" t="s">
        <v>61</v>
      </c>
      <c r="D1556">
        <v>191.77</v>
      </c>
      <c r="E1556">
        <v>2020</v>
      </c>
      <c r="F1556" t="s">
        <v>64</v>
      </c>
    </row>
    <row r="1557" spans="1:6" x14ac:dyDescent="0.25">
      <c r="A1557" t="s">
        <v>50</v>
      </c>
      <c r="B1557" t="s">
        <v>51</v>
      </c>
      <c r="C1557" t="s">
        <v>61</v>
      </c>
      <c r="D1557">
        <v>122.08</v>
      </c>
      <c r="E1557">
        <v>2020</v>
      </c>
      <c r="F1557" t="s">
        <v>64</v>
      </c>
    </row>
    <row r="1558" spans="1:6" x14ac:dyDescent="0.25">
      <c r="A1558" t="s">
        <v>52</v>
      </c>
      <c r="B1558" t="s">
        <v>53</v>
      </c>
      <c r="C1558" t="s">
        <v>61</v>
      </c>
      <c r="D1558">
        <v>145.88999999999999</v>
      </c>
      <c r="E1558">
        <v>2020</v>
      </c>
      <c r="F1558" t="s">
        <v>64</v>
      </c>
    </row>
    <row r="1559" spans="1:6" x14ac:dyDescent="0.25">
      <c r="A1559" t="s">
        <v>54</v>
      </c>
      <c r="B1559" t="s">
        <v>55</v>
      </c>
      <c r="C1559" t="s">
        <v>61</v>
      </c>
      <c r="D1559">
        <v>10.77</v>
      </c>
      <c r="E1559">
        <v>2020</v>
      </c>
      <c r="F1559" t="s">
        <v>64</v>
      </c>
    </row>
    <row r="1560" spans="1:6" x14ac:dyDescent="0.25">
      <c r="A1560" t="s">
        <v>56</v>
      </c>
      <c r="B1560" t="s">
        <v>57</v>
      </c>
      <c r="C1560" t="s">
        <v>61</v>
      </c>
      <c r="D1560">
        <v>90.9</v>
      </c>
      <c r="E1560">
        <v>2020</v>
      </c>
      <c r="F1560" t="s">
        <v>64</v>
      </c>
    </row>
    <row r="1561" spans="1:6" x14ac:dyDescent="0.25">
      <c r="A1561" t="s">
        <v>58</v>
      </c>
      <c r="B1561" t="s">
        <v>59</v>
      </c>
      <c r="C1561" t="s">
        <v>61</v>
      </c>
      <c r="E1561">
        <v>2020</v>
      </c>
      <c r="F1561" t="s">
        <v>64</v>
      </c>
    </row>
    <row r="1562" spans="1:6" x14ac:dyDescent="0.25">
      <c r="A1562" t="s">
        <v>6</v>
      </c>
      <c r="B1562" t="s">
        <v>7</v>
      </c>
      <c r="C1562" t="s">
        <v>65</v>
      </c>
      <c r="D1562">
        <v>270701.96999999997</v>
      </c>
      <c r="E1562">
        <v>2020</v>
      </c>
      <c r="F1562" t="s">
        <v>64</v>
      </c>
    </row>
    <row r="1563" spans="1:6" x14ac:dyDescent="0.25">
      <c r="A1563" t="s">
        <v>10</v>
      </c>
      <c r="B1563" t="s">
        <v>11</v>
      </c>
      <c r="C1563" t="s">
        <v>65</v>
      </c>
      <c r="D1563">
        <v>41828.54</v>
      </c>
      <c r="E1563">
        <v>2020</v>
      </c>
      <c r="F1563" t="s">
        <v>64</v>
      </c>
    </row>
    <row r="1564" spans="1:6" x14ac:dyDescent="0.25">
      <c r="A1564" t="s">
        <v>12</v>
      </c>
      <c r="B1564" t="s">
        <v>13</v>
      </c>
      <c r="C1564" t="s">
        <v>65</v>
      </c>
      <c r="D1564">
        <v>12988.96</v>
      </c>
      <c r="E1564">
        <v>2020</v>
      </c>
      <c r="F1564" t="s">
        <v>64</v>
      </c>
    </row>
    <row r="1565" spans="1:6" x14ac:dyDescent="0.25">
      <c r="A1565" t="s">
        <v>14</v>
      </c>
      <c r="B1565" t="s">
        <v>15</v>
      </c>
      <c r="C1565" t="s">
        <v>65</v>
      </c>
      <c r="D1565">
        <v>319.92</v>
      </c>
      <c r="E1565">
        <v>2020</v>
      </c>
      <c r="F1565" t="s">
        <v>64</v>
      </c>
    </row>
    <row r="1566" spans="1:6" x14ac:dyDescent="0.25">
      <c r="A1566" t="s">
        <v>16</v>
      </c>
      <c r="B1566" t="s">
        <v>17</v>
      </c>
      <c r="C1566" t="s">
        <v>65</v>
      </c>
      <c r="D1566">
        <v>6910.16</v>
      </c>
      <c r="E1566">
        <v>2020</v>
      </c>
      <c r="F1566" t="s">
        <v>64</v>
      </c>
    </row>
    <row r="1567" spans="1:6" x14ac:dyDescent="0.25">
      <c r="A1567" t="s">
        <v>18</v>
      </c>
      <c r="B1567" t="s">
        <v>19</v>
      </c>
      <c r="C1567" t="s">
        <v>65</v>
      </c>
      <c r="D1567">
        <v>1553.4</v>
      </c>
      <c r="E1567">
        <v>2020</v>
      </c>
      <c r="F1567" t="s">
        <v>64</v>
      </c>
    </row>
    <row r="1568" spans="1:6" x14ac:dyDescent="0.25">
      <c r="A1568" t="s">
        <v>20</v>
      </c>
      <c r="B1568" t="s">
        <v>21</v>
      </c>
      <c r="C1568" t="s">
        <v>65</v>
      </c>
      <c r="D1568">
        <v>1235.9000000000001</v>
      </c>
      <c r="E1568">
        <v>2020</v>
      </c>
      <c r="F1568" t="s">
        <v>64</v>
      </c>
    </row>
    <row r="1569" spans="1:6" x14ac:dyDescent="0.25">
      <c r="A1569" t="s">
        <v>22</v>
      </c>
      <c r="B1569" t="s">
        <v>23</v>
      </c>
      <c r="C1569" t="s">
        <v>65</v>
      </c>
      <c r="D1569">
        <v>810.34</v>
      </c>
      <c r="E1569">
        <v>2020</v>
      </c>
      <c r="F1569" t="s">
        <v>64</v>
      </c>
    </row>
    <row r="1570" spans="1:6" x14ac:dyDescent="0.25">
      <c r="A1570" t="s">
        <v>24</v>
      </c>
      <c r="B1570" t="s">
        <v>25</v>
      </c>
      <c r="C1570" t="s">
        <v>65</v>
      </c>
      <c r="D1570">
        <v>7962.26</v>
      </c>
      <c r="E1570">
        <v>2020</v>
      </c>
      <c r="F1570" t="s">
        <v>64</v>
      </c>
    </row>
    <row r="1571" spans="1:6" x14ac:dyDescent="0.25">
      <c r="A1571" t="s">
        <v>26</v>
      </c>
      <c r="B1571" t="s">
        <v>27</v>
      </c>
      <c r="C1571" t="s">
        <v>65</v>
      </c>
      <c r="D1571">
        <v>306.92</v>
      </c>
      <c r="E1571">
        <v>2020</v>
      </c>
      <c r="F1571" t="s">
        <v>64</v>
      </c>
    </row>
    <row r="1572" spans="1:6" x14ac:dyDescent="0.25">
      <c r="A1572" t="s">
        <v>28</v>
      </c>
      <c r="B1572" t="s">
        <v>29</v>
      </c>
      <c r="C1572" t="s">
        <v>65</v>
      </c>
      <c r="D1572">
        <v>11306.13</v>
      </c>
      <c r="E1572">
        <v>2020</v>
      </c>
      <c r="F1572" t="s">
        <v>64</v>
      </c>
    </row>
    <row r="1573" spans="1:6" x14ac:dyDescent="0.25">
      <c r="A1573" t="s">
        <v>30</v>
      </c>
      <c r="B1573" t="s">
        <v>31</v>
      </c>
      <c r="C1573" t="s">
        <v>65</v>
      </c>
      <c r="D1573">
        <v>24894.27</v>
      </c>
      <c r="E1573">
        <v>2020</v>
      </c>
      <c r="F1573" t="s">
        <v>64</v>
      </c>
    </row>
    <row r="1574" spans="1:6" x14ac:dyDescent="0.25">
      <c r="A1574" t="s">
        <v>32</v>
      </c>
      <c r="B1574" t="s">
        <v>33</v>
      </c>
      <c r="C1574" t="s">
        <v>65</v>
      </c>
      <c r="D1574">
        <v>880.9</v>
      </c>
      <c r="E1574">
        <v>2020</v>
      </c>
      <c r="F1574" t="s">
        <v>64</v>
      </c>
    </row>
    <row r="1575" spans="1:6" x14ac:dyDescent="0.25">
      <c r="A1575" t="s">
        <v>34</v>
      </c>
      <c r="B1575" t="s">
        <v>35</v>
      </c>
      <c r="C1575" t="s">
        <v>65</v>
      </c>
      <c r="D1575">
        <v>10959.72</v>
      </c>
      <c r="E1575">
        <v>2020</v>
      </c>
      <c r="F1575" t="s">
        <v>64</v>
      </c>
    </row>
    <row r="1576" spans="1:6" x14ac:dyDescent="0.25">
      <c r="A1576" t="s">
        <v>36</v>
      </c>
      <c r="B1576" t="s">
        <v>37</v>
      </c>
      <c r="C1576" t="s">
        <v>65</v>
      </c>
      <c r="D1576">
        <v>12326.37</v>
      </c>
      <c r="E1576">
        <v>2020</v>
      </c>
      <c r="F1576" t="s">
        <v>64</v>
      </c>
    </row>
    <row r="1577" spans="1:6" x14ac:dyDescent="0.25">
      <c r="A1577" t="s">
        <v>38</v>
      </c>
      <c r="B1577" t="s">
        <v>39</v>
      </c>
      <c r="C1577" t="s">
        <v>65</v>
      </c>
      <c r="D1577">
        <v>20188.12</v>
      </c>
      <c r="E1577">
        <v>2020</v>
      </c>
      <c r="F1577" t="s">
        <v>64</v>
      </c>
    </row>
    <row r="1578" spans="1:6" x14ac:dyDescent="0.25">
      <c r="A1578" t="s">
        <v>40</v>
      </c>
      <c r="B1578" t="s">
        <v>41</v>
      </c>
      <c r="C1578" t="s">
        <v>65</v>
      </c>
      <c r="D1578">
        <v>12462.14</v>
      </c>
      <c r="E1578">
        <v>2020</v>
      </c>
      <c r="F1578" t="s">
        <v>64</v>
      </c>
    </row>
    <row r="1579" spans="1:6" x14ac:dyDescent="0.25">
      <c r="A1579" t="s">
        <v>42</v>
      </c>
      <c r="B1579" t="s">
        <v>43</v>
      </c>
      <c r="C1579" t="s">
        <v>65</v>
      </c>
      <c r="D1579">
        <v>3990.92</v>
      </c>
      <c r="E1579">
        <v>2020</v>
      </c>
      <c r="F1579" t="s">
        <v>64</v>
      </c>
    </row>
    <row r="1580" spans="1:6" x14ac:dyDescent="0.25">
      <c r="A1580" t="s">
        <v>44</v>
      </c>
      <c r="B1580" t="s">
        <v>45</v>
      </c>
      <c r="C1580" t="s">
        <v>65</v>
      </c>
      <c r="D1580">
        <v>17999.22</v>
      </c>
      <c r="E1580">
        <v>2020</v>
      </c>
      <c r="F1580" t="s">
        <v>64</v>
      </c>
    </row>
    <row r="1581" spans="1:6" x14ac:dyDescent="0.25">
      <c r="A1581" t="s">
        <v>46</v>
      </c>
      <c r="B1581" t="s">
        <v>47</v>
      </c>
      <c r="C1581" t="s">
        <v>65</v>
      </c>
      <c r="D1581">
        <v>24882.44</v>
      </c>
      <c r="E1581">
        <v>2020</v>
      </c>
      <c r="F1581" t="s">
        <v>64</v>
      </c>
    </row>
    <row r="1582" spans="1:6" x14ac:dyDescent="0.25">
      <c r="A1582" t="s">
        <v>48</v>
      </c>
      <c r="B1582" t="s">
        <v>49</v>
      </c>
      <c r="C1582" t="s">
        <v>65</v>
      </c>
      <c r="D1582">
        <v>55388.94</v>
      </c>
      <c r="E1582">
        <v>2020</v>
      </c>
      <c r="F1582" t="s">
        <v>64</v>
      </c>
    </row>
    <row r="1583" spans="1:6" x14ac:dyDescent="0.25">
      <c r="A1583" t="s">
        <v>50</v>
      </c>
      <c r="B1583" t="s">
        <v>51</v>
      </c>
      <c r="C1583" t="s">
        <v>65</v>
      </c>
      <c r="D1583">
        <v>821.67</v>
      </c>
      <c r="E1583">
        <v>2020</v>
      </c>
      <c r="F1583" t="s">
        <v>64</v>
      </c>
    </row>
    <row r="1584" spans="1:6" x14ac:dyDescent="0.25">
      <c r="A1584" t="s">
        <v>52</v>
      </c>
      <c r="B1584" t="s">
        <v>53</v>
      </c>
      <c r="C1584" t="s">
        <v>65</v>
      </c>
      <c r="D1584">
        <v>337.51</v>
      </c>
      <c r="E1584">
        <v>2020</v>
      </c>
      <c r="F1584" t="s">
        <v>64</v>
      </c>
    </row>
    <row r="1585" spans="1:6" x14ac:dyDescent="0.25">
      <c r="A1585" t="s">
        <v>54</v>
      </c>
      <c r="B1585" t="s">
        <v>55</v>
      </c>
      <c r="C1585" t="s">
        <v>65</v>
      </c>
      <c r="D1585">
        <v>347.22</v>
      </c>
      <c r="E1585">
        <v>2020</v>
      </c>
      <c r="F1585" t="s">
        <v>64</v>
      </c>
    </row>
    <row r="1586" spans="1:6" x14ac:dyDescent="0.25">
      <c r="A1586" t="s">
        <v>56</v>
      </c>
      <c r="B1586" t="s">
        <v>57</v>
      </c>
      <c r="C1586" t="s">
        <v>65</v>
      </c>
      <c r="E1586">
        <v>2020</v>
      </c>
      <c r="F1586" t="s">
        <v>64</v>
      </c>
    </row>
    <row r="1587" spans="1:6" x14ac:dyDescent="0.25">
      <c r="A1587" t="s">
        <v>58</v>
      </c>
      <c r="B1587" t="s">
        <v>59</v>
      </c>
      <c r="C1587" t="s">
        <v>65</v>
      </c>
      <c r="E1587">
        <v>2020</v>
      </c>
      <c r="F1587" t="s">
        <v>64</v>
      </c>
    </row>
    <row r="1588" spans="1:6" x14ac:dyDescent="0.25">
      <c r="A1588" t="s">
        <v>6</v>
      </c>
      <c r="B1588" t="s">
        <v>7</v>
      </c>
      <c r="C1588" t="s">
        <v>62</v>
      </c>
      <c r="D1588">
        <v>24367.599999999999</v>
      </c>
      <c r="E1588">
        <v>2020</v>
      </c>
      <c r="F1588" t="s">
        <v>64</v>
      </c>
    </row>
    <row r="1589" spans="1:6" x14ac:dyDescent="0.25">
      <c r="A1589" t="s">
        <v>10</v>
      </c>
      <c r="B1589" t="s">
        <v>11</v>
      </c>
      <c r="C1589" t="s">
        <v>62</v>
      </c>
      <c r="D1589">
        <v>11138.95</v>
      </c>
      <c r="E1589">
        <v>2020</v>
      </c>
      <c r="F1589" t="s">
        <v>64</v>
      </c>
    </row>
    <row r="1590" spans="1:6" x14ac:dyDescent="0.25">
      <c r="A1590" t="s">
        <v>12</v>
      </c>
      <c r="B1590" t="s">
        <v>13</v>
      </c>
      <c r="C1590" t="s">
        <v>62</v>
      </c>
      <c r="D1590">
        <v>1231.9100000000001</v>
      </c>
      <c r="E1590">
        <v>2020</v>
      </c>
      <c r="F1590" t="s">
        <v>64</v>
      </c>
    </row>
    <row r="1591" spans="1:6" x14ac:dyDescent="0.25">
      <c r="A1591" t="s">
        <v>14</v>
      </c>
      <c r="B1591" t="s">
        <v>15</v>
      </c>
      <c r="C1591" t="s">
        <v>62</v>
      </c>
      <c r="E1591">
        <v>2020</v>
      </c>
      <c r="F1591" t="s">
        <v>64</v>
      </c>
    </row>
    <row r="1592" spans="1:6" x14ac:dyDescent="0.25">
      <c r="A1592" t="s">
        <v>16</v>
      </c>
      <c r="B1592" t="s">
        <v>17</v>
      </c>
      <c r="C1592" t="s">
        <v>62</v>
      </c>
      <c r="D1592">
        <v>614.46</v>
      </c>
      <c r="E1592">
        <v>2020</v>
      </c>
      <c r="F1592" t="s">
        <v>64</v>
      </c>
    </row>
    <row r="1593" spans="1:6" x14ac:dyDescent="0.25">
      <c r="A1593" t="s">
        <v>18</v>
      </c>
      <c r="B1593" t="s">
        <v>19</v>
      </c>
      <c r="C1593" t="s">
        <v>62</v>
      </c>
      <c r="D1593">
        <v>453.25</v>
      </c>
      <c r="E1593">
        <v>2020</v>
      </c>
      <c r="F1593" t="s">
        <v>64</v>
      </c>
    </row>
    <row r="1594" spans="1:6" x14ac:dyDescent="0.25">
      <c r="A1594" t="s">
        <v>20</v>
      </c>
      <c r="B1594" t="s">
        <v>21</v>
      </c>
      <c r="C1594" t="s">
        <v>62</v>
      </c>
      <c r="D1594">
        <v>39.25</v>
      </c>
      <c r="E1594">
        <v>2020</v>
      </c>
      <c r="F1594" t="s">
        <v>64</v>
      </c>
    </row>
    <row r="1595" spans="1:6" x14ac:dyDescent="0.25">
      <c r="A1595" t="s">
        <v>22</v>
      </c>
      <c r="B1595" t="s">
        <v>23</v>
      </c>
      <c r="C1595" t="s">
        <v>62</v>
      </c>
      <c r="D1595">
        <v>116.38</v>
      </c>
      <c r="E1595">
        <v>2020</v>
      </c>
      <c r="F1595" t="s">
        <v>64</v>
      </c>
    </row>
    <row r="1596" spans="1:6" x14ac:dyDescent="0.25">
      <c r="A1596" t="s">
        <v>24</v>
      </c>
      <c r="B1596" t="s">
        <v>25</v>
      </c>
      <c r="C1596" t="s">
        <v>62</v>
      </c>
      <c r="D1596">
        <v>801.63</v>
      </c>
      <c r="E1596">
        <v>2020</v>
      </c>
      <c r="F1596" t="s">
        <v>64</v>
      </c>
    </row>
    <row r="1597" spans="1:6" x14ac:dyDescent="0.25">
      <c r="A1597" t="s">
        <v>26</v>
      </c>
      <c r="B1597" t="s">
        <v>27</v>
      </c>
      <c r="C1597" t="s">
        <v>62</v>
      </c>
      <c r="D1597">
        <v>93.12</v>
      </c>
      <c r="E1597">
        <v>2020</v>
      </c>
      <c r="F1597" t="s">
        <v>64</v>
      </c>
    </row>
    <row r="1598" spans="1:6" x14ac:dyDescent="0.25">
      <c r="A1598" t="s">
        <v>28</v>
      </c>
      <c r="B1598" t="s">
        <v>29</v>
      </c>
      <c r="C1598" t="s">
        <v>62</v>
      </c>
      <c r="E1598">
        <v>2020</v>
      </c>
      <c r="F1598" t="s">
        <v>64</v>
      </c>
    </row>
    <row r="1599" spans="1:6" x14ac:dyDescent="0.25">
      <c r="A1599" t="s">
        <v>30</v>
      </c>
      <c r="B1599" t="s">
        <v>31</v>
      </c>
      <c r="C1599" t="s">
        <v>62</v>
      </c>
      <c r="D1599">
        <v>2096.89</v>
      </c>
      <c r="E1599">
        <v>2020</v>
      </c>
      <c r="F1599" t="s">
        <v>64</v>
      </c>
    </row>
    <row r="1600" spans="1:6" x14ac:dyDescent="0.25">
      <c r="A1600" t="s">
        <v>32</v>
      </c>
      <c r="B1600" t="s">
        <v>33</v>
      </c>
      <c r="C1600" t="s">
        <v>62</v>
      </c>
      <c r="D1600">
        <v>481.94</v>
      </c>
      <c r="E1600">
        <v>2020</v>
      </c>
      <c r="F1600" t="s">
        <v>64</v>
      </c>
    </row>
    <row r="1601" spans="1:6" x14ac:dyDescent="0.25">
      <c r="A1601" t="s">
        <v>34</v>
      </c>
      <c r="B1601" t="s">
        <v>35</v>
      </c>
      <c r="C1601" t="s">
        <v>62</v>
      </c>
      <c r="D1601">
        <v>1539.39</v>
      </c>
      <c r="E1601">
        <v>2020</v>
      </c>
      <c r="F1601" t="s">
        <v>64</v>
      </c>
    </row>
    <row r="1602" spans="1:6" x14ac:dyDescent="0.25">
      <c r="A1602" t="s">
        <v>36</v>
      </c>
      <c r="B1602" t="s">
        <v>37</v>
      </c>
      <c r="C1602" t="s">
        <v>62</v>
      </c>
      <c r="D1602">
        <v>1441.68</v>
      </c>
      <c r="E1602">
        <v>2020</v>
      </c>
      <c r="F1602" t="s">
        <v>64</v>
      </c>
    </row>
    <row r="1603" spans="1:6" x14ac:dyDescent="0.25">
      <c r="A1603" t="s">
        <v>38</v>
      </c>
      <c r="B1603" t="s">
        <v>39</v>
      </c>
      <c r="C1603" t="s">
        <v>62</v>
      </c>
      <c r="D1603">
        <v>2354.4699999999998</v>
      </c>
      <c r="E1603">
        <v>2020</v>
      </c>
      <c r="F1603" t="s">
        <v>64</v>
      </c>
    </row>
    <row r="1604" spans="1:6" x14ac:dyDescent="0.25">
      <c r="A1604" t="s">
        <v>40</v>
      </c>
      <c r="B1604" t="s">
        <v>41</v>
      </c>
      <c r="C1604" t="s">
        <v>62</v>
      </c>
      <c r="D1604">
        <v>703.78</v>
      </c>
      <c r="E1604">
        <v>2020</v>
      </c>
      <c r="F1604" t="s">
        <v>64</v>
      </c>
    </row>
    <row r="1605" spans="1:6" x14ac:dyDescent="0.25">
      <c r="A1605" t="s">
        <v>42</v>
      </c>
      <c r="B1605" t="s">
        <v>43</v>
      </c>
      <c r="C1605" t="s">
        <v>62</v>
      </c>
      <c r="D1605">
        <v>6.64</v>
      </c>
      <c r="E1605">
        <v>2020</v>
      </c>
      <c r="F1605" t="s">
        <v>64</v>
      </c>
    </row>
    <row r="1606" spans="1:6" x14ac:dyDescent="0.25">
      <c r="A1606" t="s">
        <v>44</v>
      </c>
      <c r="B1606" t="s">
        <v>45</v>
      </c>
      <c r="C1606" t="s">
        <v>62</v>
      </c>
      <c r="D1606">
        <v>352.75</v>
      </c>
      <c r="E1606">
        <v>2020</v>
      </c>
      <c r="F1606" t="s">
        <v>64</v>
      </c>
    </row>
    <row r="1607" spans="1:6" x14ac:dyDescent="0.25">
      <c r="A1607" t="s">
        <v>46</v>
      </c>
      <c r="B1607" t="s">
        <v>47</v>
      </c>
      <c r="C1607" t="s">
        <v>62</v>
      </c>
      <c r="D1607">
        <v>179.05</v>
      </c>
      <c r="E1607">
        <v>2020</v>
      </c>
      <c r="F1607" t="s">
        <v>64</v>
      </c>
    </row>
    <row r="1608" spans="1:6" x14ac:dyDescent="0.25">
      <c r="A1608" t="s">
        <v>48</v>
      </c>
      <c r="B1608" t="s">
        <v>49</v>
      </c>
      <c r="C1608" t="s">
        <v>62</v>
      </c>
      <c r="D1608">
        <v>96.76</v>
      </c>
      <c r="E1608">
        <v>2020</v>
      </c>
      <c r="F1608" t="s">
        <v>64</v>
      </c>
    </row>
    <row r="1609" spans="1:6" x14ac:dyDescent="0.25">
      <c r="A1609" t="s">
        <v>50</v>
      </c>
      <c r="B1609" t="s">
        <v>51</v>
      </c>
      <c r="C1609" t="s">
        <v>62</v>
      </c>
      <c r="D1609">
        <v>97.75</v>
      </c>
      <c r="E1609">
        <v>2020</v>
      </c>
      <c r="F1609" t="s">
        <v>64</v>
      </c>
    </row>
    <row r="1610" spans="1:6" x14ac:dyDescent="0.25">
      <c r="A1610" t="s">
        <v>52</v>
      </c>
      <c r="B1610" t="s">
        <v>53</v>
      </c>
      <c r="C1610" t="s">
        <v>62</v>
      </c>
      <c r="D1610">
        <v>118.68</v>
      </c>
      <c r="E1610">
        <v>2020</v>
      </c>
      <c r="F1610" t="s">
        <v>64</v>
      </c>
    </row>
    <row r="1611" spans="1:6" x14ac:dyDescent="0.25">
      <c r="A1611" t="s">
        <v>54</v>
      </c>
      <c r="B1611" t="s">
        <v>55</v>
      </c>
      <c r="C1611" t="s">
        <v>62</v>
      </c>
      <c r="D1611">
        <v>236.82</v>
      </c>
      <c r="E1611">
        <v>2020</v>
      </c>
      <c r="F1611" t="s">
        <v>64</v>
      </c>
    </row>
    <row r="1612" spans="1:6" x14ac:dyDescent="0.25">
      <c r="A1612" t="s">
        <v>56</v>
      </c>
      <c r="B1612" t="s">
        <v>57</v>
      </c>
      <c r="C1612" t="s">
        <v>62</v>
      </c>
      <c r="D1612">
        <v>172.05</v>
      </c>
      <c r="E1612">
        <v>2020</v>
      </c>
      <c r="F1612" t="s">
        <v>64</v>
      </c>
    </row>
    <row r="1613" spans="1:6" x14ac:dyDescent="0.25">
      <c r="A1613" t="s">
        <v>58</v>
      </c>
      <c r="B1613" t="s">
        <v>59</v>
      </c>
      <c r="C1613" t="s">
        <v>62</v>
      </c>
      <c r="E1613">
        <v>2020</v>
      </c>
      <c r="F1613" t="s">
        <v>64</v>
      </c>
    </row>
    <row r="1614" spans="1:6" x14ac:dyDescent="0.25">
      <c r="A1614" t="s">
        <v>6</v>
      </c>
      <c r="B1614" t="s">
        <v>7</v>
      </c>
      <c r="C1614" t="s">
        <v>66</v>
      </c>
      <c r="E1614">
        <v>2020</v>
      </c>
      <c r="F1614" t="s">
        <v>64</v>
      </c>
    </row>
    <row r="1615" spans="1:6" x14ac:dyDescent="0.25">
      <c r="A1615" t="s">
        <v>10</v>
      </c>
      <c r="B1615" t="s">
        <v>11</v>
      </c>
      <c r="C1615" t="s">
        <v>66</v>
      </c>
      <c r="E1615">
        <v>2020</v>
      </c>
      <c r="F1615" t="s">
        <v>64</v>
      </c>
    </row>
    <row r="1616" spans="1:6" x14ac:dyDescent="0.25">
      <c r="A1616" t="s">
        <v>12</v>
      </c>
      <c r="B1616" t="s">
        <v>13</v>
      </c>
      <c r="C1616" t="s">
        <v>66</v>
      </c>
      <c r="E1616">
        <v>2020</v>
      </c>
      <c r="F1616" t="s">
        <v>64</v>
      </c>
    </row>
    <row r="1617" spans="1:6" x14ac:dyDescent="0.25">
      <c r="A1617" t="s">
        <v>14</v>
      </c>
      <c r="B1617" t="s">
        <v>15</v>
      </c>
      <c r="C1617" t="s">
        <v>66</v>
      </c>
      <c r="E1617">
        <v>2020</v>
      </c>
      <c r="F1617" t="s">
        <v>64</v>
      </c>
    </row>
    <row r="1618" spans="1:6" x14ac:dyDescent="0.25">
      <c r="A1618" t="s">
        <v>16</v>
      </c>
      <c r="B1618" t="s">
        <v>17</v>
      </c>
      <c r="C1618" t="s">
        <v>66</v>
      </c>
      <c r="E1618">
        <v>2020</v>
      </c>
      <c r="F1618" t="s">
        <v>64</v>
      </c>
    </row>
    <row r="1619" spans="1:6" x14ac:dyDescent="0.25">
      <c r="A1619" t="s">
        <v>18</v>
      </c>
      <c r="B1619" t="s">
        <v>19</v>
      </c>
      <c r="C1619" t="s">
        <v>66</v>
      </c>
      <c r="E1619">
        <v>2020</v>
      </c>
      <c r="F1619" t="s">
        <v>64</v>
      </c>
    </row>
    <row r="1620" spans="1:6" x14ac:dyDescent="0.25">
      <c r="A1620" t="s">
        <v>20</v>
      </c>
      <c r="B1620" t="s">
        <v>21</v>
      </c>
      <c r="C1620" t="s">
        <v>66</v>
      </c>
      <c r="E1620">
        <v>2020</v>
      </c>
      <c r="F1620" t="s">
        <v>64</v>
      </c>
    </row>
    <row r="1621" spans="1:6" x14ac:dyDescent="0.25">
      <c r="A1621" t="s">
        <v>22</v>
      </c>
      <c r="B1621" t="s">
        <v>23</v>
      </c>
      <c r="C1621" t="s">
        <v>66</v>
      </c>
      <c r="E1621">
        <v>2020</v>
      </c>
      <c r="F1621" t="s">
        <v>64</v>
      </c>
    </row>
    <row r="1622" spans="1:6" x14ac:dyDescent="0.25">
      <c r="A1622" t="s">
        <v>24</v>
      </c>
      <c r="B1622" t="s">
        <v>25</v>
      </c>
      <c r="C1622" t="s">
        <v>66</v>
      </c>
      <c r="E1622">
        <v>2020</v>
      </c>
      <c r="F1622" t="s">
        <v>64</v>
      </c>
    </row>
    <row r="1623" spans="1:6" x14ac:dyDescent="0.25">
      <c r="A1623" t="s">
        <v>26</v>
      </c>
      <c r="B1623" t="s">
        <v>27</v>
      </c>
      <c r="C1623" t="s">
        <v>66</v>
      </c>
      <c r="E1623">
        <v>2020</v>
      </c>
      <c r="F1623" t="s">
        <v>64</v>
      </c>
    </row>
    <row r="1624" spans="1:6" x14ac:dyDescent="0.25">
      <c r="A1624" t="s">
        <v>28</v>
      </c>
      <c r="B1624" t="s">
        <v>29</v>
      </c>
      <c r="C1624" t="s">
        <v>66</v>
      </c>
      <c r="E1624">
        <v>2020</v>
      </c>
      <c r="F1624" t="s">
        <v>64</v>
      </c>
    </row>
    <row r="1625" spans="1:6" x14ac:dyDescent="0.25">
      <c r="A1625" t="s">
        <v>30</v>
      </c>
      <c r="B1625" t="s">
        <v>31</v>
      </c>
      <c r="C1625" t="s">
        <v>66</v>
      </c>
      <c r="E1625">
        <v>2020</v>
      </c>
      <c r="F1625" t="s">
        <v>64</v>
      </c>
    </row>
    <row r="1626" spans="1:6" x14ac:dyDescent="0.25">
      <c r="A1626" t="s">
        <v>32</v>
      </c>
      <c r="B1626" t="s">
        <v>33</v>
      </c>
      <c r="C1626" t="s">
        <v>66</v>
      </c>
      <c r="E1626">
        <v>2020</v>
      </c>
      <c r="F1626" t="s">
        <v>64</v>
      </c>
    </row>
    <row r="1627" spans="1:6" x14ac:dyDescent="0.25">
      <c r="A1627" t="s">
        <v>34</v>
      </c>
      <c r="B1627" t="s">
        <v>35</v>
      </c>
      <c r="C1627" t="s">
        <v>66</v>
      </c>
      <c r="E1627">
        <v>2020</v>
      </c>
      <c r="F1627" t="s">
        <v>64</v>
      </c>
    </row>
    <row r="1628" spans="1:6" x14ac:dyDescent="0.25">
      <c r="A1628" t="s">
        <v>36</v>
      </c>
      <c r="B1628" t="s">
        <v>37</v>
      </c>
      <c r="C1628" t="s">
        <v>66</v>
      </c>
      <c r="E1628">
        <v>2020</v>
      </c>
      <c r="F1628" t="s">
        <v>64</v>
      </c>
    </row>
    <row r="1629" spans="1:6" x14ac:dyDescent="0.25">
      <c r="A1629" t="s">
        <v>38</v>
      </c>
      <c r="B1629" t="s">
        <v>39</v>
      </c>
      <c r="C1629" t="s">
        <v>66</v>
      </c>
      <c r="E1629">
        <v>2020</v>
      </c>
      <c r="F1629" t="s">
        <v>64</v>
      </c>
    </row>
    <row r="1630" spans="1:6" x14ac:dyDescent="0.25">
      <c r="A1630" t="s">
        <v>40</v>
      </c>
      <c r="B1630" t="s">
        <v>41</v>
      </c>
      <c r="C1630" t="s">
        <v>66</v>
      </c>
      <c r="E1630">
        <v>2020</v>
      </c>
      <c r="F1630" t="s">
        <v>64</v>
      </c>
    </row>
    <row r="1631" spans="1:6" x14ac:dyDescent="0.25">
      <c r="A1631" t="s">
        <v>42</v>
      </c>
      <c r="B1631" t="s">
        <v>43</v>
      </c>
      <c r="C1631" t="s">
        <v>66</v>
      </c>
      <c r="E1631">
        <v>2020</v>
      </c>
      <c r="F1631" t="s">
        <v>64</v>
      </c>
    </row>
    <row r="1632" spans="1:6" x14ac:dyDescent="0.25">
      <c r="A1632" t="s">
        <v>44</v>
      </c>
      <c r="B1632" t="s">
        <v>45</v>
      </c>
      <c r="C1632" t="s">
        <v>66</v>
      </c>
      <c r="E1632">
        <v>2020</v>
      </c>
      <c r="F1632" t="s">
        <v>64</v>
      </c>
    </row>
    <row r="1633" spans="1:6" x14ac:dyDescent="0.25">
      <c r="A1633" t="s">
        <v>46</v>
      </c>
      <c r="B1633" t="s">
        <v>47</v>
      </c>
      <c r="C1633" t="s">
        <v>66</v>
      </c>
      <c r="E1633">
        <v>2020</v>
      </c>
      <c r="F1633" t="s">
        <v>64</v>
      </c>
    </row>
    <row r="1634" spans="1:6" x14ac:dyDescent="0.25">
      <c r="A1634" t="s">
        <v>48</v>
      </c>
      <c r="B1634" t="s">
        <v>49</v>
      </c>
      <c r="C1634" t="s">
        <v>66</v>
      </c>
      <c r="E1634">
        <v>2020</v>
      </c>
      <c r="F1634" t="s">
        <v>64</v>
      </c>
    </row>
    <row r="1635" spans="1:6" x14ac:dyDescent="0.25">
      <c r="A1635" t="s">
        <v>50</v>
      </c>
      <c r="B1635" t="s">
        <v>51</v>
      </c>
      <c r="C1635" t="s">
        <v>66</v>
      </c>
      <c r="E1635">
        <v>2020</v>
      </c>
      <c r="F1635" t="s">
        <v>64</v>
      </c>
    </row>
    <row r="1636" spans="1:6" x14ac:dyDescent="0.25">
      <c r="A1636" t="s">
        <v>52</v>
      </c>
      <c r="B1636" t="s">
        <v>53</v>
      </c>
      <c r="C1636" t="s">
        <v>66</v>
      </c>
      <c r="E1636">
        <v>2020</v>
      </c>
      <c r="F1636" t="s">
        <v>64</v>
      </c>
    </row>
    <row r="1637" spans="1:6" x14ac:dyDescent="0.25">
      <c r="A1637" t="s">
        <v>54</v>
      </c>
      <c r="B1637" t="s">
        <v>55</v>
      </c>
      <c r="C1637" t="s">
        <v>66</v>
      </c>
      <c r="E1637">
        <v>2020</v>
      </c>
      <c r="F1637" t="s">
        <v>64</v>
      </c>
    </row>
    <row r="1638" spans="1:6" x14ac:dyDescent="0.25">
      <c r="A1638" t="s">
        <v>56</v>
      </c>
      <c r="B1638" t="s">
        <v>57</v>
      </c>
      <c r="C1638" t="s">
        <v>66</v>
      </c>
      <c r="E1638">
        <v>2020</v>
      </c>
      <c r="F1638" t="s">
        <v>64</v>
      </c>
    </row>
    <row r="1639" spans="1:6" x14ac:dyDescent="0.25">
      <c r="A1639" t="s">
        <v>58</v>
      </c>
      <c r="B1639" t="s">
        <v>59</v>
      </c>
      <c r="C1639" t="s">
        <v>66</v>
      </c>
      <c r="E1639">
        <v>2020</v>
      </c>
      <c r="F1639" t="s">
        <v>64</v>
      </c>
    </row>
    <row r="1640" spans="1:6" x14ac:dyDescent="0.25">
      <c r="A1640" t="s">
        <v>6</v>
      </c>
      <c r="B1640" t="s">
        <v>7</v>
      </c>
      <c r="C1640" t="s">
        <v>63</v>
      </c>
      <c r="D1640">
        <v>20908.88</v>
      </c>
      <c r="E1640">
        <v>2021</v>
      </c>
      <c r="F1640" t="s">
        <v>64</v>
      </c>
    </row>
    <row r="1641" spans="1:6" x14ac:dyDescent="0.25">
      <c r="A1641" t="s">
        <v>10</v>
      </c>
      <c r="B1641" t="s">
        <v>11</v>
      </c>
      <c r="C1641" t="s">
        <v>63</v>
      </c>
      <c r="D1641">
        <v>319885.96999999997</v>
      </c>
      <c r="E1641">
        <v>2021</v>
      </c>
      <c r="F1641" t="s">
        <v>64</v>
      </c>
    </row>
    <row r="1642" spans="1:6" x14ac:dyDescent="0.25">
      <c r="A1642" t="s">
        <v>12</v>
      </c>
      <c r="B1642" t="s">
        <v>13</v>
      </c>
      <c r="C1642" t="s">
        <v>63</v>
      </c>
      <c r="D1642">
        <v>29832.06</v>
      </c>
      <c r="E1642">
        <v>2021</v>
      </c>
      <c r="F1642" t="s">
        <v>64</v>
      </c>
    </row>
    <row r="1643" spans="1:6" x14ac:dyDescent="0.25">
      <c r="A1643" t="s">
        <v>14</v>
      </c>
      <c r="B1643" t="s">
        <v>15</v>
      </c>
      <c r="C1643" t="s">
        <v>63</v>
      </c>
      <c r="D1643">
        <v>4966.91</v>
      </c>
      <c r="E1643">
        <v>2021</v>
      </c>
      <c r="F1643" t="s">
        <v>64</v>
      </c>
    </row>
    <row r="1644" spans="1:6" x14ac:dyDescent="0.25">
      <c r="A1644" t="s">
        <v>16</v>
      </c>
      <c r="B1644" t="s">
        <v>17</v>
      </c>
      <c r="C1644" t="s">
        <v>63</v>
      </c>
      <c r="D1644">
        <v>18344.240000000002</v>
      </c>
      <c r="E1644">
        <v>2021</v>
      </c>
      <c r="F1644" t="s">
        <v>64</v>
      </c>
    </row>
    <row r="1645" spans="1:6" x14ac:dyDescent="0.25">
      <c r="A1645" t="s">
        <v>18</v>
      </c>
      <c r="B1645" t="s">
        <v>19</v>
      </c>
      <c r="C1645" t="s">
        <v>63</v>
      </c>
      <c r="D1645">
        <v>11157.7</v>
      </c>
      <c r="E1645">
        <v>2021</v>
      </c>
      <c r="F1645" t="s">
        <v>64</v>
      </c>
    </row>
    <row r="1646" spans="1:6" x14ac:dyDescent="0.25">
      <c r="A1646" t="s">
        <v>20</v>
      </c>
      <c r="B1646" t="s">
        <v>21</v>
      </c>
      <c r="C1646" t="s">
        <v>63</v>
      </c>
      <c r="D1646">
        <v>10422.9</v>
      </c>
      <c r="E1646">
        <v>2021</v>
      </c>
      <c r="F1646" t="s">
        <v>64</v>
      </c>
    </row>
    <row r="1647" spans="1:6" x14ac:dyDescent="0.25">
      <c r="A1647" t="s">
        <v>22</v>
      </c>
      <c r="B1647" t="s">
        <v>23</v>
      </c>
      <c r="C1647" t="s">
        <v>63</v>
      </c>
      <c r="D1647">
        <v>10991.1</v>
      </c>
      <c r="E1647">
        <v>2021</v>
      </c>
      <c r="F1647" t="s">
        <v>64</v>
      </c>
    </row>
    <row r="1648" spans="1:6" x14ac:dyDescent="0.25">
      <c r="A1648" t="s">
        <v>24</v>
      </c>
      <c r="B1648" t="s">
        <v>25</v>
      </c>
      <c r="C1648" t="s">
        <v>63</v>
      </c>
      <c r="D1648">
        <v>41279.69</v>
      </c>
      <c r="E1648">
        <v>2021</v>
      </c>
      <c r="F1648" t="s">
        <v>64</v>
      </c>
    </row>
    <row r="1649" spans="1:6" x14ac:dyDescent="0.25">
      <c r="A1649" t="s">
        <v>26</v>
      </c>
      <c r="B1649" t="s">
        <v>27</v>
      </c>
      <c r="C1649" t="s">
        <v>63</v>
      </c>
      <c r="D1649">
        <v>2850.8</v>
      </c>
      <c r="E1649">
        <v>2021</v>
      </c>
      <c r="F1649" t="s">
        <v>64</v>
      </c>
    </row>
    <row r="1650" spans="1:6" x14ac:dyDescent="0.25">
      <c r="A1650" t="s">
        <v>28</v>
      </c>
      <c r="B1650" t="s">
        <v>29</v>
      </c>
      <c r="C1650" t="s">
        <v>63</v>
      </c>
      <c r="D1650">
        <v>-233134.62</v>
      </c>
      <c r="E1650">
        <v>2021</v>
      </c>
      <c r="F1650" t="s">
        <v>64</v>
      </c>
    </row>
    <row r="1651" spans="1:6" x14ac:dyDescent="0.25">
      <c r="A1651" t="s">
        <v>30</v>
      </c>
      <c r="B1651" t="s">
        <v>31</v>
      </c>
      <c r="C1651" t="s">
        <v>63</v>
      </c>
      <c r="D1651">
        <v>-129102.64</v>
      </c>
      <c r="E1651">
        <v>2021</v>
      </c>
      <c r="F1651" t="s">
        <v>64</v>
      </c>
    </row>
    <row r="1652" spans="1:6" x14ac:dyDescent="0.25">
      <c r="A1652" t="s">
        <v>32</v>
      </c>
      <c r="B1652" t="s">
        <v>33</v>
      </c>
      <c r="C1652" t="s">
        <v>63</v>
      </c>
      <c r="D1652">
        <v>17608.759999999998</v>
      </c>
      <c r="E1652">
        <v>2021</v>
      </c>
      <c r="F1652" t="s">
        <v>64</v>
      </c>
    </row>
    <row r="1653" spans="1:6" x14ac:dyDescent="0.25">
      <c r="A1653" t="s">
        <v>34</v>
      </c>
      <c r="B1653" t="s">
        <v>35</v>
      </c>
      <c r="C1653" t="s">
        <v>63</v>
      </c>
      <c r="D1653">
        <v>48971.05</v>
      </c>
      <c r="E1653">
        <v>2021</v>
      </c>
      <c r="F1653" t="s">
        <v>64</v>
      </c>
    </row>
    <row r="1654" spans="1:6" x14ac:dyDescent="0.25">
      <c r="A1654" t="s">
        <v>36</v>
      </c>
      <c r="B1654" t="s">
        <v>37</v>
      </c>
      <c r="C1654" t="s">
        <v>63</v>
      </c>
      <c r="D1654">
        <v>31174.14</v>
      </c>
      <c r="E1654">
        <v>2021</v>
      </c>
      <c r="F1654" t="s">
        <v>64</v>
      </c>
    </row>
    <row r="1655" spans="1:6" x14ac:dyDescent="0.25">
      <c r="A1655" t="s">
        <v>38</v>
      </c>
      <c r="B1655" t="s">
        <v>39</v>
      </c>
      <c r="C1655" t="s">
        <v>63</v>
      </c>
      <c r="D1655">
        <v>122438.83</v>
      </c>
      <c r="E1655">
        <v>2021</v>
      </c>
      <c r="F1655" t="s">
        <v>64</v>
      </c>
    </row>
    <row r="1656" spans="1:6" x14ac:dyDescent="0.25">
      <c r="A1656" t="s">
        <v>40</v>
      </c>
      <c r="B1656" t="s">
        <v>41</v>
      </c>
      <c r="C1656" t="s">
        <v>63</v>
      </c>
      <c r="D1656">
        <v>38781.97</v>
      </c>
      <c r="E1656">
        <v>2021</v>
      </c>
      <c r="F1656" t="s">
        <v>64</v>
      </c>
    </row>
    <row r="1657" spans="1:6" x14ac:dyDescent="0.25">
      <c r="A1657" t="s">
        <v>42</v>
      </c>
      <c r="B1657" t="s">
        <v>43</v>
      </c>
      <c r="C1657" t="s">
        <v>63</v>
      </c>
      <c r="D1657">
        <v>-271342.34000000003</v>
      </c>
      <c r="E1657">
        <v>2021</v>
      </c>
      <c r="F1657" t="s">
        <v>64</v>
      </c>
    </row>
    <row r="1658" spans="1:6" x14ac:dyDescent="0.25">
      <c r="A1658" t="s">
        <v>44</v>
      </c>
      <c r="B1658" t="s">
        <v>45</v>
      </c>
      <c r="C1658" t="s">
        <v>63</v>
      </c>
      <c r="D1658">
        <v>38863.67</v>
      </c>
      <c r="E1658">
        <v>2021</v>
      </c>
      <c r="F1658" t="s">
        <v>64</v>
      </c>
    </row>
    <row r="1659" spans="1:6" x14ac:dyDescent="0.25">
      <c r="A1659" t="s">
        <v>46</v>
      </c>
      <c r="B1659" t="s">
        <v>47</v>
      </c>
      <c r="C1659" t="s">
        <v>63</v>
      </c>
      <c r="D1659">
        <v>65027.91</v>
      </c>
      <c r="E1659">
        <v>2021</v>
      </c>
      <c r="F1659" t="s">
        <v>64</v>
      </c>
    </row>
    <row r="1660" spans="1:6" x14ac:dyDescent="0.25">
      <c r="A1660" t="s">
        <v>48</v>
      </c>
      <c r="B1660" t="s">
        <v>49</v>
      </c>
      <c r="C1660" t="s">
        <v>63</v>
      </c>
      <c r="D1660">
        <v>117232.76</v>
      </c>
      <c r="E1660">
        <v>2021</v>
      </c>
      <c r="F1660" t="s">
        <v>64</v>
      </c>
    </row>
    <row r="1661" spans="1:6" x14ac:dyDescent="0.25">
      <c r="A1661" t="s">
        <v>50</v>
      </c>
      <c r="B1661" t="s">
        <v>51</v>
      </c>
      <c r="C1661" t="s">
        <v>63</v>
      </c>
      <c r="D1661">
        <v>-300851.73</v>
      </c>
      <c r="E1661">
        <v>2021</v>
      </c>
      <c r="F1661" t="s">
        <v>64</v>
      </c>
    </row>
    <row r="1662" spans="1:6" x14ac:dyDescent="0.25">
      <c r="A1662" t="s">
        <v>52</v>
      </c>
      <c r="B1662" t="s">
        <v>53</v>
      </c>
      <c r="C1662" t="s">
        <v>63</v>
      </c>
      <c r="D1662">
        <v>11383.85</v>
      </c>
      <c r="E1662">
        <v>2021</v>
      </c>
      <c r="F1662" t="s">
        <v>64</v>
      </c>
    </row>
    <row r="1663" spans="1:6" x14ac:dyDescent="0.25">
      <c r="A1663" t="s">
        <v>54</v>
      </c>
      <c r="B1663" t="s">
        <v>55</v>
      </c>
      <c r="C1663" t="s">
        <v>63</v>
      </c>
      <c r="D1663">
        <v>7895.72</v>
      </c>
      <c r="E1663">
        <v>2021</v>
      </c>
      <c r="F1663" t="s">
        <v>64</v>
      </c>
    </row>
    <row r="1664" spans="1:6" x14ac:dyDescent="0.25">
      <c r="A1664" t="s">
        <v>56</v>
      </c>
      <c r="B1664" t="s">
        <v>57</v>
      </c>
      <c r="C1664" t="s">
        <v>63</v>
      </c>
      <c r="D1664">
        <v>6230.18</v>
      </c>
      <c r="E1664">
        <v>2021</v>
      </c>
      <c r="F1664" t="s">
        <v>64</v>
      </c>
    </row>
    <row r="1665" spans="1:6" x14ac:dyDescent="0.25">
      <c r="A1665" t="s">
        <v>58</v>
      </c>
      <c r="B1665" t="s">
        <v>59</v>
      </c>
      <c r="C1665" t="s">
        <v>63</v>
      </c>
      <c r="E1665">
        <v>2021</v>
      </c>
      <c r="F1665" t="s">
        <v>64</v>
      </c>
    </row>
    <row r="1666" spans="1:6" x14ac:dyDescent="0.25">
      <c r="A1666" t="s">
        <v>6</v>
      </c>
      <c r="B1666" t="s">
        <v>7</v>
      </c>
      <c r="C1666" t="s">
        <v>8</v>
      </c>
      <c r="D1666">
        <v>50233.57</v>
      </c>
      <c r="E1666">
        <v>2021</v>
      </c>
      <c r="F1666" t="s">
        <v>64</v>
      </c>
    </row>
    <row r="1667" spans="1:6" x14ac:dyDescent="0.25">
      <c r="A1667" t="s">
        <v>10</v>
      </c>
      <c r="B1667" t="s">
        <v>11</v>
      </c>
      <c r="C1667" t="s">
        <v>8</v>
      </c>
      <c r="D1667">
        <v>17894.55</v>
      </c>
      <c r="E1667">
        <v>2021</v>
      </c>
      <c r="F1667" t="s">
        <v>64</v>
      </c>
    </row>
    <row r="1668" spans="1:6" x14ac:dyDescent="0.25">
      <c r="A1668" t="s">
        <v>12</v>
      </c>
      <c r="B1668" t="s">
        <v>13</v>
      </c>
      <c r="C1668" t="s">
        <v>8</v>
      </c>
      <c r="D1668">
        <v>3396.06</v>
      </c>
      <c r="E1668">
        <v>2021</v>
      </c>
      <c r="F1668" t="s">
        <v>64</v>
      </c>
    </row>
    <row r="1669" spans="1:6" x14ac:dyDescent="0.25">
      <c r="A1669" t="s">
        <v>14</v>
      </c>
      <c r="B1669" t="s">
        <v>15</v>
      </c>
      <c r="C1669" t="s">
        <v>8</v>
      </c>
      <c r="E1669">
        <v>2021</v>
      </c>
      <c r="F1669" t="s">
        <v>64</v>
      </c>
    </row>
    <row r="1670" spans="1:6" x14ac:dyDescent="0.25">
      <c r="A1670" t="s">
        <v>16</v>
      </c>
      <c r="B1670" t="s">
        <v>17</v>
      </c>
      <c r="C1670" t="s">
        <v>8</v>
      </c>
      <c r="D1670">
        <v>170.07</v>
      </c>
      <c r="E1670">
        <v>2021</v>
      </c>
      <c r="F1670" t="s">
        <v>64</v>
      </c>
    </row>
    <row r="1671" spans="1:6" x14ac:dyDescent="0.25">
      <c r="A1671" t="s">
        <v>18</v>
      </c>
      <c r="B1671" t="s">
        <v>19</v>
      </c>
      <c r="C1671" t="s">
        <v>8</v>
      </c>
      <c r="D1671">
        <v>71.66</v>
      </c>
      <c r="E1671">
        <v>2021</v>
      </c>
      <c r="F1671" t="s">
        <v>64</v>
      </c>
    </row>
    <row r="1672" spans="1:6" x14ac:dyDescent="0.25">
      <c r="A1672" t="s">
        <v>20</v>
      </c>
      <c r="B1672" t="s">
        <v>21</v>
      </c>
      <c r="C1672" t="s">
        <v>8</v>
      </c>
      <c r="D1672">
        <v>24.27</v>
      </c>
      <c r="E1672">
        <v>2021</v>
      </c>
      <c r="F1672" t="s">
        <v>64</v>
      </c>
    </row>
    <row r="1673" spans="1:6" x14ac:dyDescent="0.25">
      <c r="A1673" t="s">
        <v>22</v>
      </c>
      <c r="B1673" t="s">
        <v>23</v>
      </c>
      <c r="C1673" t="s">
        <v>8</v>
      </c>
      <c r="D1673">
        <v>2357.75</v>
      </c>
      <c r="E1673">
        <v>2021</v>
      </c>
      <c r="F1673" t="s">
        <v>64</v>
      </c>
    </row>
    <row r="1674" spans="1:6" x14ac:dyDescent="0.25">
      <c r="A1674" t="s">
        <v>24</v>
      </c>
      <c r="B1674" t="s">
        <v>25</v>
      </c>
      <c r="C1674" t="s">
        <v>8</v>
      </c>
      <c r="D1674">
        <v>3030.68</v>
      </c>
      <c r="E1674">
        <v>2021</v>
      </c>
      <c r="F1674" t="s">
        <v>64</v>
      </c>
    </row>
    <row r="1675" spans="1:6" x14ac:dyDescent="0.25">
      <c r="A1675" t="s">
        <v>26</v>
      </c>
      <c r="B1675" t="s">
        <v>27</v>
      </c>
      <c r="C1675" t="s">
        <v>8</v>
      </c>
      <c r="D1675">
        <v>238.31</v>
      </c>
      <c r="E1675">
        <v>2021</v>
      </c>
      <c r="F1675" t="s">
        <v>64</v>
      </c>
    </row>
    <row r="1676" spans="1:6" x14ac:dyDescent="0.25">
      <c r="A1676" t="s">
        <v>28</v>
      </c>
      <c r="B1676" t="s">
        <v>29</v>
      </c>
      <c r="C1676" t="s">
        <v>8</v>
      </c>
      <c r="E1676">
        <v>2021</v>
      </c>
      <c r="F1676" t="s">
        <v>64</v>
      </c>
    </row>
    <row r="1677" spans="1:6" x14ac:dyDescent="0.25">
      <c r="A1677" t="s">
        <v>30</v>
      </c>
      <c r="B1677" t="s">
        <v>31</v>
      </c>
      <c r="C1677" t="s">
        <v>8</v>
      </c>
      <c r="D1677">
        <v>9308.32</v>
      </c>
      <c r="E1677">
        <v>2021</v>
      </c>
      <c r="F1677" t="s">
        <v>64</v>
      </c>
    </row>
    <row r="1678" spans="1:6" x14ac:dyDescent="0.25">
      <c r="A1678" t="s">
        <v>32</v>
      </c>
      <c r="B1678" t="s">
        <v>33</v>
      </c>
      <c r="C1678" t="s">
        <v>8</v>
      </c>
      <c r="D1678">
        <v>780.95</v>
      </c>
      <c r="E1678">
        <v>2021</v>
      </c>
      <c r="F1678" t="s">
        <v>64</v>
      </c>
    </row>
    <row r="1679" spans="1:6" x14ac:dyDescent="0.25">
      <c r="A1679" t="s">
        <v>34</v>
      </c>
      <c r="B1679" t="s">
        <v>35</v>
      </c>
      <c r="C1679" t="s">
        <v>8</v>
      </c>
      <c r="D1679">
        <v>2120.84</v>
      </c>
      <c r="E1679">
        <v>2021</v>
      </c>
      <c r="F1679" t="s">
        <v>64</v>
      </c>
    </row>
    <row r="1680" spans="1:6" x14ac:dyDescent="0.25">
      <c r="A1680" t="s">
        <v>36</v>
      </c>
      <c r="B1680" t="s">
        <v>37</v>
      </c>
      <c r="C1680" t="s">
        <v>8</v>
      </c>
      <c r="D1680">
        <v>1840.07</v>
      </c>
      <c r="E1680">
        <v>2021</v>
      </c>
      <c r="F1680" t="s">
        <v>64</v>
      </c>
    </row>
    <row r="1681" spans="1:6" x14ac:dyDescent="0.25">
      <c r="A1681" t="s">
        <v>38</v>
      </c>
      <c r="B1681" t="s">
        <v>39</v>
      </c>
      <c r="C1681" t="s">
        <v>8</v>
      </c>
      <c r="D1681">
        <v>2163.8000000000002</v>
      </c>
      <c r="E1681">
        <v>2021</v>
      </c>
      <c r="F1681" t="s">
        <v>64</v>
      </c>
    </row>
    <row r="1682" spans="1:6" x14ac:dyDescent="0.25">
      <c r="A1682" t="s">
        <v>40</v>
      </c>
      <c r="B1682" t="s">
        <v>41</v>
      </c>
      <c r="C1682" t="s">
        <v>8</v>
      </c>
      <c r="D1682">
        <v>1561.6</v>
      </c>
      <c r="E1682">
        <v>2021</v>
      </c>
      <c r="F1682" t="s">
        <v>64</v>
      </c>
    </row>
    <row r="1683" spans="1:6" x14ac:dyDescent="0.25">
      <c r="A1683" t="s">
        <v>42</v>
      </c>
      <c r="B1683" t="s">
        <v>43</v>
      </c>
      <c r="C1683" t="s">
        <v>8</v>
      </c>
      <c r="D1683">
        <v>8.24</v>
      </c>
      <c r="E1683">
        <v>2021</v>
      </c>
      <c r="F1683" t="s">
        <v>64</v>
      </c>
    </row>
    <row r="1684" spans="1:6" x14ac:dyDescent="0.25">
      <c r="A1684" t="s">
        <v>44</v>
      </c>
      <c r="B1684" t="s">
        <v>45</v>
      </c>
      <c r="C1684" t="s">
        <v>8</v>
      </c>
      <c r="D1684">
        <v>859.72</v>
      </c>
      <c r="E1684">
        <v>2021</v>
      </c>
      <c r="F1684" t="s">
        <v>64</v>
      </c>
    </row>
    <row r="1685" spans="1:6" x14ac:dyDescent="0.25">
      <c r="A1685" t="s">
        <v>46</v>
      </c>
      <c r="B1685" t="s">
        <v>47</v>
      </c>
      <c r="C1685" t="s">
        <v>8</v>
      </c>
      <c r="D1685">
        <v>558.32000000000005</v>
      </c>
      <c r="E1685">
        <v>2021</v>
      </c>
      <c r="F1685" t="s">
        <v>64</v>
      </c>
    </row>
    <row r="1686" spans="1:6" x14ac:dyDescent="0.25">
      <c r="A1686" t="s">
        <v>48</v>
      </c>
      <c r="B1686" t="s">
        <v>49</v>
      </c>
      <c r="C1686" t="s">
        <v>8</v>
      </c>
      <c r="D1686">
        <v>43.09</v>
      </c>
      <c r="E1686">
        <v>2021</v>
      </c>
      <c r="F1686" t="s">
        <v>64</v>
      </c>
    </row>
    <row r="1687" spans="1:6" x14ac:dyDescent="0.25">
      <c r="A1687" t="s">
        <v>50</v>
      </c>
      <c r="B1687" t="s">
        <v>51</v>
      </c>
      <c r="C1687" t="s">
        <v>8</v>
      </c>
      <c r="D1687">
        <v>24.49</v>
      </c>
      <c r="E1687">
        <v>2021</v>
      </c>
      <c r="F1687" t="s">
        <v>64</v>
      </c>
    </row>
    <row r="1688" spans="1:6" x14ac:dyDescent="0.25">
      <c r="A1688" t="s">
        <v>52</v>
      </c>
      <c r="B1688" t="s">
        <v>53</v>
      </c>
      <c r="C1688" t="s">
        <v>8</v>
      </c>
      <c r="D1688">
        <v>461.57</v>
      </c>
      <c r="E1688">
        <v>2021</v>
      </c>
      <c r="F1688" t="s">
        <v>64</v>
      </c>
    </row>
    <row r="1689" spans="1:6" x14ac:dyDescent="0.25">
      <c r="A1689" t="s">
        <v>54</v>
      </c>
      <c r="B1689" t="s">
        <v>55</v>
      </c>
      <c r="C1689" t="s">
        <v>8</v>
      </c>
      <c r="D1689">
        <v>79.290000000000006</v>
      </c>
      <c r="E1689">
        <v>2021</v>
      </c>
      <c r="F1689" t="s">
        <v>64</v>
      </c>
    </row>
    <row r="1690" spans="1:6" x14ac:dyDescent="0.25">
      <c r="A1690" t="s">
        <v>56</v>
      </c>
      <c r="B1690" t="s">
        <v>57</v>
      </c>
      <c r="C1690" t="s">
        <v>8</v>
      </c>
      <c r="D1690">
        <v>768.04</v>
      </c>
      <c r="E1690">
        <v>2021</v>
      </c>
      <c r="F1690" t="s">
        <v>64</v>
      </c>
    </row>
    <row r="1691" spans="1:6" x14ac:dyDescent="0.25">
      <c r="A1691" t="s">
        <v>58</v>
      </c>
      <c r="B1691" t="s">
        <v>59</v>
      </c>
      <c r="C1691" t="s">
        <v>8</v>
      </c>
      <c r="D1691">
        <v>2471.88</v>
      </c>
      <c r="E1691">
        <v>2021</v>
      </c>
      <c r="F1691" t="s">
        <v>64</v>
      </c>
    </row>
    <row r="1692" spans="1:6" x14ac:dyDescent="0.25">
      <c r="A1692" t="s">
        <v>6</v>
      </c>
      <c r="B1692" t="s">
        <v>7</v>
      </c>
      <c r="C1692" t="s">
        <v>60</v>
      </c>
      <c r="D1692">
        <v>56191.87</v>
      </c>
      <c r="E1692">
        <v>2021</v>
      </c>
      <c r="F1692" t="s">
        <v>64</v>
      </c>
    </row>
    <row r="1693" spans="1:6" x14ac:dyDescent="0.25">
      <c r="A1693" t="s">
        <v>10</v>
      </c>
      <c r="B1693" t="s">
        <v>11</v>
      </c>
      <c r="C1693" t="s">
        <v>60</v>
      </c>
      <c r="D1693">
        <v>15856.99</v>
      </c>
      <c r="E1693">
        <v>2021</v>
      </c>
      <c r="F1693" t="s">
        <v>64</v>
      </c>
    </row>
    <row r="1694" spans="1:6" x14ac:dyDescent="0.25">
      <c r="A1694" t="s">
        <v>12</v>
      </c>
      <c r="B1694" t="s">
        <v>13</v>
      </c>
      <c r="C1694" t="s">
        <v>60</v>
      </c>
      <c r="D1694">
        <v>1234.28</v>
      </c>
      <c r="E1694">
        <v>2021</v>
      </c>
      <c r="F1694" t="s">
        <v>64</v>
      </c>
    </row>
    <row r="1695" spans="1:6" x14ac:dyDescent="0.25">
      <c r="A1695" t="s">
        <v>14</v>
      </c>
      <c r="B1695" t="s">
        <v>15</v>
      </c>
      <c r="C1695" t="s">
        <v>60</v>
      </c>
      <c r="E1695">
        <v>2021</v>
      </c>
      <c r="F1695" t="s">
        <v>64</v>
      </c>
    </row>
    <row r="1696" spans="1:6" x14ac:dyDescent="0.25">
      <c r="A1696" t="s">
        <v>16</v>
      </c>
      <c r="B1696" t="s">
        <v>17</v>
      </c>
      <c r="C1696" t="s">
        <v>60</v>
      </c>
      <c r="D1696">
        <v>974.38</v>
      </c>
      <c r="E1696">
        <v>2021</v>
      </c>
      <c r="F1696" t="s">
        <v>64</v>
      </c>
    </row>
    <row r="1697" spans="1:6" x14ac:dyDescent="0.25">
      <c r="A1697" t="s">
        <v>18</v>
      </c>
      <c r="B1697" t="s">
        <v>19</v>
      </c>
      <c r="C1697" t="s">
        <v>60</v>
      </c>
      <c r="D1697">
        <v>1260.3</v>
      </c>
      <c r="E1697">
        <v>2021</v>
      </c>
      <c r="F1697" t="s">
        <v>64</v>
      </c>
    </row>
    <row r="1698" spans="1:6" x14ac:dyDescent="0.25">
      <c r="A1698" t="s">
        <v>20</v>
      </c>
      <c r="B1698" t="s">
        <v>21</v>
      </c>
      <c r="C1698" t="s">
        <v>60</v>
      </c>
      <c r="D1698">
        <v>200.57</v>
      </c>
      <c r="E1698">
        <v>2021</v>
      </c>
      <c r="F1698" t="s">
        <v>64</v>
      </c>
    </row>
    <row r="1699" spans="1:6" x14ac:dyDescent="0.25">
      <c r="A1699" t="s">
        <v>22</v>
      </c>
      <c r="B1699" t="s">
        <v>23</v>
      </c>
      <c r="C1699" t="s">
        <v>60</v>
      </c>
      <c r="D1699">
        <v>188.01</v>
      </c>
      <c r="E1699">
        <v>2021</v>
      </c>
      <c r="F1699" t="s">
        <v>64</v>
      </c>
    </row>
    <row r="1700" spans="1:6" x14ac:dyDescent="0.25">
      <c r="A1700" t="s">
        <v>24</v>
      </c>
      <c r="B1700" t="s">
        <v>25</v>
      </c>
      <c r="C1700" t="s">
        <v>60</v>
      </c>
      <c r="D1700">
        <v>1867.37</v>
      </c>
      <c r="E1700">
        <v>2021</v>
      </c>
      <c r="F1700" t="s">
        <v>64</v>
      </c>
    </row>
    <row r="1701" spans="1:6" x14ac:dyDescent="0.25">
      <c r="A1701" t="s">
        <v>26</v>
      </c>
      <c r="B1701" t="s">
        <v>27</v>
      </c>
      <c r="C1701" t="s">
        <v>60</v>
      </c>
      <c r="D1701">
        <v>478.47</v>
      </c>
      <c r="E1701">
        <v>2021</v>
      </c>
      <c r="F1701" t="s">
        <v>64</v>
      </c>
    </row>
    <row r="1702" spans="1:6" x14ac:dyDescent="0.25">
      <c r="A1702" t="s">
        <v>28</v>
      </c>
      <c r="B1702" t="s">
        <v>29</v>
      </c>
      <c r="C1702" t="s">
        <v>60</v>
      </c>
      <c r="D1702">
        <v>9036.2099999999991</v>
      </c>
      <c r="E1702">
        <v>2021</v>
      </c>
      <c r="F1702" t="s">
        <v>64</v>
      </c>
    </row>
    <row r="1703" spans="1:6" x14ac:dyDescent="0.25">
      <c r="A1703" t="s">
        <v>30</v>
      </c>
      <c r="B1703" t="s">
        <v>31</v>
      </c>
      <c r="C1703" t="s">
        <v>60</v>
      </c>
      <c r="D1703">
        <v>6519.2</v>
      </c>
      <c r="E1703">
        <v>2021</v>
      </c>
      <c r="F1703" t="s">
        <v>64</v>
      </c>
    </row>
    <row r="1704" spans="1:6" x14ac:dyDescent="0.25">
      <c r="A1704" t="s">
        <v>32</v>
      </c>
      <c r="B1704" t="s">
        <v>33</v>
      </c>
      <c r="C1704" t="s">
        <v>60</v>
      </c>
      <c r="D1704">
        <v>785.69</v>
      </c>
      <c r="E1704">
        <v>2021</v>
      </c>
      <c r="F1704" t="s">
        <v>64</v>
      </c>
    </row>
    <row r="1705" spans="1:6" x14ac:dyDescent="0.25">
      <c r="A1705" t="s">
        <v>34</v>
      </c>
      <c r="B1705" t="s">
        <v>35</v>
      </c>
      <c r="C1705" t="s">
        <v>60</v>
      </c>
      <c r="D1705">
        <v>2591.1999999999998</v>
      </c>
      <c r="E1705">
        <v>2021</v>
      </c>
      <c r="F1705" t="s">
        <v>64</v>
      </c>
    </row>
    <row r="1706" spans="1:6" x14ac:dyDescent="0.25">
      <c r="A1706" t="s">
        <v>36</v>
      </c>
      <c r="B1706" t="s">
        <v>37</v>
      </c>
      <c r="C1706" t="s">
        <v>60</v>
      </c>
      <c r="D1706">
        <v>1847.43</v>
      </c>
      <c r="E1706">
        <v>2021</v>
      </c>
      <c r="F1706" t="s">
        <v>64</v>
      </c>
    </row>
    <row r="1707" spans="1:6" x14ac:dyDescent="0.25">
      <c r="A1707" t="s">
        <v>38</v>
      </c>
      <c r="B1707" t="s">
        <v>39</v>
      </c>
      <c r="C1707" t="s">
        <v>60</v>
      </c>
      <c r="D1707">
        <v>2202.98</v>
      </c>
      <c r="E1707">
        <v>2021</v>
      </c>
      <c r="F1707" t="s">
        <v>64</v>
      </c>
    </row>
    <row r="1708" spans="1:6" x14ac:dyDescent="0.25">
      <c r="A1708" t="s">
        <v>40</v>
      </c>
      <c r="B1708" t="s">
        <v>41</v>
      </c>
      <c r="C1708" t="s">
        <v>60</v>
      </c>
      <c r="D1708">
        <v>1206.98</v>
      </c>
      <c r="E1708">
        <v>2021</v>
      </c>
      <c r="F1708" t="s">
        <v>64</v>
      </c>
    </row>
    <row r="1709" spans="1:6" x14ac:dyDescent="0.25">
      <c r="A1709" t="s">
        <v>42</v>
      </c>
      <c r="B1709" t="s">
        <v>43</v>
      </c>
      <c r="C1709" t="s">
        <v>60</v>
      </c>
      <c r="E1709">
        <v>2021</v>
      </c>
      <c r="F1709" t="s">
        <v>64</v>
      </c>
    </row>
    <row r="1710" spans="1:6" x14ac:dyDescent="0.25">
      <c r="A1710" t="s">
        <v>44</v>
      </c>
      <c r="B1710" t="s">
        <v>45</v>
      </c>
      <c r="C1710" t="s">
        <v>60</v>
      </c>
      <c r="D1710">
        <v>1129.8800000000001</v>
      </c>
      <c r="E1710">
        <v>2021</v>
      </c>
      <c r="F1710" t="s">
        <v>64</v>
      </c>
    </row>
    <row r="1711" spans="1:6" x14ac:dyDescent="0.25">
      <c r="A1711" t="s">
        <v>46</v>
      </c>
      <c r="B1711" t="s">
        <v>47</v>
      </c>
      <c r="C1711" t="s">
        <v>60</v>
      </c>
      <c r="D1711">
        <v>284.8</v>
      </c>
      <c r="E1711">
        <v>2021</v>
      </c>
      <c r="F1711" t="s">
        <v>64</v>
      </c>
    </row>
    <row r="1712" spans="1:6" x14ac:dyDescent="0.25">
      <c r="A1712" t="s">
        <v>48</v>
      </c>
      <c r="B1712" t="s">
        <v>49</v>
      </c>
      <c r="C1712" t="s">
        <v>60</v>
      </c>
      <c r="D1712">
        <v>469.77</v>
      </c>
      <c r="E1712">
        <v>2021</v>
      </c>
      <c r="F1712" t="s">
        <v>64</v>
      </c>
    </row>
    <row r="1713" spans="1:6" x14ac:dyDescent="0.25">
      <c r="A1713" t="s">
        <v>50</v>
      </c>
      <c r="B1713" t="s">
        <v>51</v>
      </c>
      <c r="C1713" t="s">
        <v>60</v>
      </c>
      <c r="D1713">
        <v>600.58000000000004</v>
      </c>
      <c r="E1713">
        <v>2021</v>
      </c>
      <c r="F1713" t="s">
        <v>64</v>
      </c>
    </row>
    <row r="1714" spans="1:6" x14ac:dyDescent="0.25">
      <c r="A1714" t="s">
        <v>52</v>
      </c>
      <c r="B1714" t="s">
        <v>53</v>
      </c>
      <c r="C1714" t="s">
        <v>60</v>
      </c>
      <c r="D1714">
        <v>385.96</v>
      </c>
      <c r="E1714">
        <v>2021</v>
      </c>
      <c r="F1714" t="s">
        <v>64</v>
      </c>
    </row>
    <row r="1715" spans="1:6" x14ac:dyDescent="0.25">
      <c r="A1715" t="s">
        <v>54</v>
      </c>
      <c r="B1715" t="s">
        <v>55</v>
      </c>
      <c r="C1715" t="s">
        <v>60</v>
      </c>
      <c r="D1715">
        <v>7070.82</v>
      </c>
      <c r="E1715">
        <v>2021</v>
      </c>
      <c r="F1715" t="s">
        <v>64</v>
      </c>
    </row>
    <row r="1716" spans="1:6" x14ac:dyDescent="0.25">
      <c r="A1716" t="s">
        <v>56</v>
      </c>
      <c r="B1716" t="s">
        <v>57</v>
      </c>
      <c r="C1716" t="s">
        <v>60</v>
      </c>
      <c r="E1716">
        <v>2021</v>
      </c>
      <c r="F1716" t="s">
        <v>64</v>
      </c>
    </row>
    <row r="1717" spans="1:6" x14ac:dyDescent="0.25">
      <c r="A1717" t="s">
        <v>58</v>
      </c>
      <c r="B1717" t="s">
        <v>59</v>
      </c>
      <c r="C1717" t="s">
        <v>60</v>
      </c>
      <c r="E1717">
        <v>2021</v>
      </c>
      <c r="F1717" t="s">
        <v>64</v>
      </c>
    </row>
    <row r="1718" spans="1:6" x14ac:dyDescent="0.25">
      <c r="A1718" t="s">
        <v>6</v>
      </c>
      <c r="B1718" t="s">
        <v>7</v>
      </c>
      <c r="C1718" t="s">
        <v>61</v>
      </c>
      <c r="D1718">
        <v>23304.98</v>
      </c>
      <c r="E1718">
        <v>2021</v>
      </c>
      <c r="F1718" t="s">
        <v>64</v>
      </c>
    </row>
    <row r="1719" spans="1:6" x14ac:dyDescent="0.25">
      <c r="A1719" t="s">
        <v>10</v>
      </c>
      <c r="B1719" t="s">
        <v>11</v>
      </c>
      <c r="C1719" t="s">
        <v>61</v>
      </c>
      <c r="D1719">
        <v>12853.66</v>
      </c>
      <c r="E1719">
        <v>2021</v>
      </c>
      <c r="F1719" t="s">
        <v>64</v>
      </c>
    </row>
    <row r="1720" spans="1:6" x14ac:dyDescent="0.25">
      <c r="A1720" t="s">
        <v>12</v>
      </c>
      <c r="B1720" t="s">
        <v>13</v>
      </c>
      <c r="C1720" t="s">
        <v>61</v>
      </c>
      <c r="D1720">
        <v>701.99</v>
      </c>
      <c r="E1720">
        <v>2021</v>
      </c>
      <c r="F1720" t="s">
        <v>64</v>
      </c>
    </row>
    <row r="1721" spans="1:6" x14ac:dyDescent="0.25">
      <c r="A1721" t="s">
        <v>14</v>
      </c>
      <c r="B1721" t="s">
        <v>15</v>
      </c>
      <c r="C1721" t="s">
        <v>61</v>
      </c>
      <c r="D1721">
        <v>6.56</v>
      </c>
      <c r="E1721">
        <v>2021</v>
      </c>
      <c r="F1721" t="s">
        <v>64</v>
      </c>
    </row>
    <row r="1722" spans="1:6" x14ac:dyDescent="0.25">
      <c r="A1722" t="s">
        <v>16</v>
      </c>
      <c r="B1722" t="s">
        <v>17</v>
      </c>
      <c r="C1722" t="s">
        <v>61</v>
      </c>
      <c r="D1722">
        <v>293.43</v>
      </c>
      <c r="E1722">
        <v>2021</v>
      </c>
      <c r="F1722" t="s">
        <v>64</v>
      </c>
    </row>
    <row r="1723" spans="1:6" x14ac:dyDescent="0.25">
      <c r="A1723" t="s">
        <v>18</v>
      </c>
      <c r="B1723" t="s">
        <v>19</v>
      </c>
      <c r="C1723" t="s">
        <v>61</v>
      </c>
      <c r="D1723">
        <v>122.61</v>
      </c>
      <c r="E1723">
        <v>2021</v>
      </c>
      <c r="F1723" t="s">
        <v>64</v>
      </c>
    </row>
    <row r="1724" spans="1:6" x14ac:dyDescent="0.25">
      <c r="A1724" t="s">
        <v>20</v>
      </c>
      <c r="B1724" t="s">
        <v>21</v>
      </c>
      <c r="C1724" t="s">
        <v>61</v>
      </c>
      <c r="D1724">
        <v>75.31</v>
      </c>
      <c r="E1724">
        <v>2021</v>
      </c>
      <c r="F1724" t="s">
        <v>64</v>
      </c>
    </row>
    <row r="1725" spans="1:6" x14ac:dyDescent="0.25">
      <c r="A1725" t="s">
        <v>22</v>
      </c>
      <c r="B1725" t="s">
        <v>23</v>
      </c>
      <c r="C1725" t="s">
        <v>61</v>
      </c>
      <c r="D1725">
        <v>353.09</v>
      </c>
      <c r="E1725">
        <v>2021</v>
      </c>
      <c r="F1725" t="s">
        <v>64</v>
      </c>
    </row>
    <row r="1726" spans="1:6" x14ac:dyDescent="0.25">
      <c r="A1726" t="s">
        <v>24</v>
      </c>
      <c r="B1726" t="s">
        <v>25</v>
      </c>
      <c r="C1726" t="s">
        <v>61</v>
      </c>
      <c r="D1726">
        <v>1346.73</v>
      </c>
      <c r="E1726">
        <v>2021</v>
      </c>
      <c r="F1726" t="s">
        <v>64</v>
      </c>
    </row>
    <row r="1727" spans="1:6" x14ac:dyDescent="0.25">
      <c r="A1727" t="s">
        <v>26</v>
      </c>
      <c r="B1727" t="s">
        <v>27</v>
      </c>
      <c r="C1727" t="s">
        <v>61</v>
      </c>
      <c r="D1727">
        <v>126.86</v>
      </c>
      <c r="E1727">
        <v>2021</v>
      </c>
      <c r="F1727" t="s">
        <v>64</v>
      </c>
    </row>
    <row r="1728" spans="1:6" x14ac:dyDescent="0.25">
      <c r="A1728" t="s">
        <v>28</v>
      </c>
      <c r="B1728" t="s">
        <v>29</v>
      </c>
      <c r="C1728" t="s">
        <v>61</v>
      </c>
      <c r="D1728">
        <v>144.59</v>
      </c>
      <c r="E1728">
        <v>2021</v>
      </c>
      <c r="F1728" t="s">
        <v>64</v>
      </c>
    </row>
    <row r="1729" spans="1:6" x14ac:dyDescent="0.25">
      <c r="A1729" t="s">
        <v>30</v>
      </c>
      <c r="B1729" t="s">
        <v>31</v>
      </c>
      <c r="C1729" t="s">
        <v>61</v>
      </c>
      <c r="D1729">
        <v>1418.59</v>
      </c>
      <c r="E1729">
        <v>2021</v>
      </c>
      <c r="F1729" t="s">
        <v>64</v>
      </c>
    </row>
    <row r="1730" spans="1:6" x14ac:dyDescent="0.25">
      <c r="A1730" t="s">
        <v>32</v>
      </c>
      <c r="B1730" t="s">
        <v>33</v>
      </c>
      <c r="C1730" t="s">
        <v>61</v>
      </c>
      <c r="D1730">
        <v>302.58999999999997</v>
      </c>
      <c r="E1730">
        <v>2021</v>
      </c>
      <c r="F1730" t="s">
        <v>64</v>
      </c>
    </row>
    <row r="1731" spans="1:6" x14ac:dyDescent="0.25">
      <c r="A1731" t="s">
        <v>34</v>
      </c>
      <c r="B1731" t="s">
        <v>35</v>
      </c>
      <c r="C1731" t="s">
        <v>61</v>
      </c>
      <c r="D1731">
        <v>1226.45</v>
      </c>
      <c r="E1731">
        <v>2021</v>
      </c>
      <c r="F1731" t="s">
        <v>64</v>
      </c>
    </row>
    <row r="1732" spans="1:6" x14ac:dyDescent="0.25">
      <c r="A1732" t="s">
        <v>36</v>
      </c>
      <c r="B1732" t="s">
        <v>37</v>
      </c>
      <c r="C1732" t="s">
        <v>61</v>
      </c>
      <c r="D1732">
        <v>733.15</v>
      </c>
      <c r="E1732">
        <v>2021</v>
      </c>
      <c r="F1732" t="s">
        <v>64</v>
      </c>
    </row>
    <row r="1733" spans="1:6" x14ac:dyDescent="0.25">
      <c r="A1733" t="s">
        <v>38</v>
      </c>
      <c r="B1733" t="s">
        <v>39</v>
      </c>
      <c r="C1733" t="s">
        <v>61</v>
      </c>
      <c r="D1733">
        <v>1271.75</v>
      </c>
      <c r="E1733">
        <v>2021</v>
      </c>
      <c r="F1733" t="s">
        <v>64</v>
      </c>
    </row>
    <row r="1734" spans="1:6" x14ac:dyDescent="0.25">
      <c r="A1734" t="s">
        <v>40</v>
      </c>
      <c r="B1734" t="s">
        <v>41</v>
      </c>
      <c r="C1734" t="s">
        <v>61</v>
      </c>
      <c r="D1734">
        <v>485.88</v>
      </c>
      <c r="E1734">
        <v>2021</v>
      </c>
      <c r="F1734" t="s">
        <v>64</v>
      </c>
    </row>
    <row r="1735" spans="1:6" x14ac:dyDescent="0.25">
      <c r="A1735" t="s">
        <v>42</v>
      </c>
      <c r="B1735" t="s">
        <v>43</v>
      </c>
      <c r="C1735" t="s">
        <v>61</v>
      </c>
      <c r="D1735">
        <v>160.76</v>
      </c>
      <c r="E1735">
        <v>2021</v>
      </c>
      <c r="F1735" t="s">
        <v>64</v>
      </c>
    </row>
    <row r="1736" spans="1:6" x14ac:dyDescent="0.25">
      <c r="A1736" t="s">
        <v>44</v>
      </c>
      <c r="B1736" t="s">
        <v>45</v>
      </c>
      <c r="C1736" t="s">
        <v>61</v>
      </c>
      <c r="D1736">
        <v>595.57000000000005</v>
      </c>
      <c r="E1736">
        <v>2021</v>
      </c>
      <c r="F1736" t="s">
        <v>64</v>
      </c>
    </row>
    <row r="1737" spans="1:6" x14ac:dyDescent="0.25">
      <c r="A1737" t="s">
        <v>46</v>
      </c>
      <c r="B1737" t="s">
        <v>47</v>
      </c>
      <c r="C1737" t="s">
        <v>61</v>
      </c>
      <c r="D1737">
        <v>199.54</v>
      </c>
      <c r="E1737">
        <v>2021</v>
      </c>
      <c r="F1737" t="s">
        <v>64</v>
      </c>
    </row>
    <row r="1738" spans="1:6" x14ac:dyDescent="0.25">
      <c r="A1738" t="s">
        <v>48</v>
      </c>
      <c r="B1738" t="s">
        <v>49</v>
      </c>
      <c r="C1738" t="s">
        <v>61</v>
      </c>
      <c r="D1738">
        <v>320.24</v>
      </c>
      <c r="E1738">
        <v>2021</v>
      </c>
      <c r="F1738" t="s">
        <v>64</v>
      </c>
    </row>
    <row r="1739" spans="1:6" x14ac:dyDescent="0.25">
      <c r="A1739" t="s">
        <v>50</v>
      </c>
      <c r="B1739" t="s">
        <v>51</v>
      </c>
      <c r="C1739" t="s">
        <v>61</v>
      </c>
      <c r="D1739">
        <v>146.79</v>
      </c>
      <c r="E1739">
        <v>2021</v>
      </c>
      <c r="F1739" t="s">
        <v>64</v>
      </c>
    </row>
    <row r="1740" spans="1:6" x14ac:dyDescent="0.25">
      <c r="A1740" t="s">
        <v>52</v>
      </c>
      <c r="B1740" t="s">
        <v>53</v>
      </c>
      <c r="C1740" t="s">
        <v>61</v>
      </c>
      <c r="D1740">
        <v>206.25</v>
      </c>
      <c r="E1740">
        <v>2021</v>
      </c>
      <c r="F1740" t="s">
        <v>64</v>
      </c>
    </row>
    <row r="1741" spans="1:6" x14ac:dyDescent="0.25">
      <c r="A1741" t="s">
        <v>54</v>
      </c>
      <c r="B1741" t="s">
        <v>55</v>
      </c>
      <c r="C1741" t="s">
        <v>61</v>
      </c>
      <c r="D1741">
        <v>8.7200000000000006</v>
      </c>
      <c r="E1741">
        <v>2021</v>
      </c>
      <c r="F1741" t="s">
        <v>64</v>
      </c>
    </row>
    <row r="1742" spans="1:6" x14ac:dyDescent="0.25">
      <c r="A1742" t="s">
        <v>56</v>
      </c>
      <c r="B1742" t="s">
        <v>57</v>
      </c>
      <c r="C1742" t="s">
        <v>61</v>
      </c>
      <c r="D1742">
        <v>203.87</v>
      </c>
      <c r="E1742">
        <v>2021</v>
      </c>
      <c r="F1742" t="s">
        <v>64</v>
      </c>
    </row>
    <row r="1743" spans="1:6" x14ac:dyDescent="0.25">
      <c r="A1743" t="s">
        <v>58</v>
      </c>
      <c r="B1743" t="s">
        <v>59</v>
      </c>
      <c r="C1743" t="s">
        <v>61</v>
      </c>
      <c r="E1743">
        <v>2021</v>
      </c>
      <c r="F1743" t="s">
        <v>64</v>
      </c>
    </row>
    <row r="1744" spans="1:6" x14ac:dyDescent="0.25">
      <c r="A1744" t="s">
        <v>6</v>
      </c>
      <c r="B1744" t="s">
        <v>7</v>
      </c>
      <c r="C1744" t="s">
        <v>65</v>
      </c>
      <c r="D1744">
        <v>335962.89</v>
      </c>
      <c r="E1744">
        <v>2021</v>
      </c>
      <c r="F1744" t="s">
        <v>64</v>
      </c>
    </row>
    <row r="1745" spans="1:6" x14ac:dyDescent="0.25">
      <c r="A1745" t="s">
        <v>10</v>
      </c>
      <c r="B1745" t="s">
        <v>11</v>
      </c>
      <c r="C1745" t="s">
        <v>65</v>
      </c>
      <c r="D1745">
        <v>49771.47</v>
      </c>
      <c r="E1745">
        <v>2021</v>
      </c>
      <c r="F1745" t="s">
        <v>64</v>
      </c>
    </row>
    <row r="1746" spans="1:6" x14ac:dyDescent="0.25">
      <c r="A1746" t="s">
        <v>12</v>
      </c>
      <c r="B1746" t="s">
        <v>13</v>
      </c>
      <c r="C1746" t="s">
        <v>65</v>
      </c>
      <c r="D1746">
        <v>14717.97</v>
      </c>
      <c r="E1746">
        <v>2021</v>
      </c>
      <c r="F1746" t="s">
        <v>64</v>
      </c>
    </row>
    <row r="1747" spans="1:6" x14ac:dyDescent="0.25">
      <c r="A1747" t="s">
        <v>14</v>
      </c>
      <c r="B1747" t="s">
        <v>15</v>
      </c>
      <c r="C1747" t="s">
        <v>65</v>
      </c>
      <c r="D1747">
        <v>356.99</v>
      </c>
      <c r="E1747">
        <v>2021</v>
      </c>
      <c r="F1747" t="s">
        <v>64</v>
      </c>
    </row>
    <row r="1748" spans="1:6" x14ac:dyDescent="0.25">
      <c r="A1748" t="s">
        <v>16</v>
      </c>
      <c r="B1748" t="s">
        <v>17</v>
      </c>
      <c r="C1748" t="s">
        <v>65</v>
      </c>
      <c r="D1748">
        <v>11287.32</v>
      </c>
      <c r="E1748">
        <v>2021</v>
      </c>
      <c r="F1748" t="s">
        <v>64</v>
      </c>
    </row>
    <row r="1749" spans="1:6" x14ac:dyDescent="0.25">
      <c r="A1749" t="s">
        <v>18</v>
      </c>
      <c r="B1749" t="s">
        <v>19</v>
      </c>
      <c r="C1749" t="s">
        <v>65</v>
      </c>
      <c r="D1749">
        <v>2715.13</v>
      </c>
      <c r="E1749">
        <v>2021</v>
      </c>
      <c r="F1749" t="s">
        <v>64</v>
      </c>
    </row>
    <row r="1750" spans="1:6" x14ac:dyDescent="0.25">
      <c r="A1750" t="s">
        <v>20</v>
      </c>
      <c r="B1750" t="s">
        <v>21</v>
      </c>
      <c r="C1750" t="s">
        <v>65</v>
      </c>
      <c r="D1750">
        <v>1928.08</v>
      </c>
      <c r="E1750">
        <v>2021</v>
      </c>
      <c r="F1750" t="s">
        <v>64</v>
      </c>
    </row>
    <row r="1751" spans="1:6" x14ac:dyDescent="0.25">
      <c r="A1751" t="s">
        <v>22</v>
      </c>
      <c r="B1751" t="s">
        <v>23</v>
      </c>
      <c r="C1751" t="s">
        <v>65</v>
      </c>
      <c r="D1751">
        <v>2339.2199999999998</v>
      </c>
      <c r="E1751">
        <v>2021</v>
      </c>
      <c r="F1751" t="s">
        <v>64</v>
      </c>
    </row>
    <row r="1752" spans="1:6" x14ac:dyDescent="0.25">
      <c r="A1752" t="s">
        <v>24</v>
      </c>
      <c r="B1752" t="s">
        <v>25</v>
      </c>
      <c r="C1752" t="s">
        <v>65</v>
      </c>
      <c r="D1752">
        <v>10834.77</v>
      </c>
      <c r="E1752">
        <v>2021</v>
      </c>
      <c r="F1752" t="s">
        <v>64</v>
      </c>
    </row>
    <row r="1753" spans="1:6" x14ac:dyDescent="0.25">
      <c r="A1753" t="s">
        <v>26</v>
      </c>
      <c r="B1753" t="s">
        <v>27</v>
      </c>
      <c r="C1753" t="s">
        <v>65</v>
      </c>
      <c r="D1753">
        <v>430.81</v>
      </c>
      <c r="E1753">
        <v>2021</v>
      </c>
      <c r="F1753" t="s">
        <v>64</v>
      </c>
    </row>
    <row r="1754" spans="1:6" x14ac:dyDescent="0.25">
      <c r="A1754" t="s">
        <v>28</v>
      </c>
      <c r="B1754" t="s">
        <v>29</v>
      </c>
      <c r="C1754" t="s">
        <v>65</v>
      </c>
      <c r="D1754">
        <v>12221.46</v>
      </c>
      <c r="E1754">
        <v>2021</v>
      </c>
      <c r="F1754" t="s">
        <v>64</v>
      </c>
    </row>
    <row r="1755" spans="1:6" x14ac:dyDescent="0.25">
      <c r="A1755" t="s">
        <v>30</v>
      </c>
      <c r="B1755" t="s">
        <v>31</v>
      </c>
      <c r="C1755" t="s">
        <v>65</v>
      </c>
      <c r="D1755">
        <v>28928.14</v>
      </c>
      <c r="E1755">
        <v>2021</v>
      </c>
      <c r="F1755" t="s">
        <v>64</v>
      </c>
    </row>
    <row r="1756" spans="1:6" x14ac:dyDescent="0.25">
      <c r="A1756" t="s">
        <v>32</v>
      </c>
      <c r="B1756" t="s">
        <v>33</v>
      </c>
      <c r="C1756" t="s">
        <v>65</v>
      </c>
      <c r="D1756">
        <v>1006.63</v>
      </c>
      <c r="E1756">
        <v>2021</v>
      </c>
      <c r="F1756" t="s">
        <v>64</v>
      </c>
    </row>
    <row r="1757" spans="1:6" x14ac:dyDescent="0.25">
      <c r="A1757" t="s">
        <v>34</v>
      </c>
      <c r="B1757" t="s">
        <v>35</v>
      </c>
      <c r="C1757" t="s">
        <v>65</v>
      </c>
      <c r="D1757">
        <v>16243.2</v>
      </c>
      <c r="E1757">
        <v>2021</v>
      </c>
      <c r="F1757" t="s">
        <v>64</v>
      </c>
    </row>
    <row r="1758" spans="1:6" x14ac:dyDescent="0.25">
      <c r="A1758" t="s">
        <v>36</v>
      </c>
      <c r="B1758" t="s">
        <v>37</v>
      </c>
      <c r="C1758" t="s">
        <v>65</v>
      </c>
      <c r="D1758">
        <v>15133.45</v>
      </c>
      <c r="E1758">
        <v>2021</v>
      </c>
      <c r="F1758" t="s">
        <v>64</v>
      </c>
    </row>
    <row r="1759" spans="1:6" x14ac:dyDescent="0.25">
      <c r="A1759" t="s">
        <v>38</v>
      </c>
      <c r="B1759" t="s">
        <v>39</v>
      </c>
      <c r="C1759" t="s">
        <v>65</v>
      </c>
      <c r="D1759">
        <v>35070.81</v>
      </c>
      <c r="E1759">
        <v>2021</v>
      </c>
      <c r="F1759" t="s">
        <v>64</v>
      </c>
    </row>
    <row r="1760" spans="1:6" x14ac:dyDescent="0.25">
      <c r="A1760" t="s">
        <v>40</v>
      </c>
      <c r="B1760" t="s">
        <v>41</v>
      </c>
      <c r="C1760" t="s">
        <v>65</v>
      </c>
      <c r="D1760">
        <v>18326.25</v>
      </c>
      <c r="E1760">
        <v>2021</v>
      </c>
      <c r="F1760" t="s">
        <v>64</v>
      </c>
    </row>
    <row r="1761" spans="1:6" x14ac:dyDescent="0.25">
      <c r="A1761" t="s">
        <v>42</v>
      </c>
      <c r="B1761" t="s">
        <v>43</v>
      </c>
      <c r="C1761" t="s">
        <v>65</v>
      </c>
      <c r="D1761">
        <v>4038.96</v>
      </c>
      <c r="E1761">
        <v>2021</v>
      </c>
      <c r="F1761" t="s">
        <v>64</v>
      </c>
    </row>
    <row r="1762" spans="1:6" x14ac:dyDescent="0.25">
      <c r="A1762" t="s">
        <v>44</v>
      </c>
      <c r="B1762" t="s">
        <v>45</v>
      </c>
      <c r="C1762" t="s">
        <v>65</v>
      </c>
      <c r="D1762">
        <v>20531.95</v>
      </c>
      <c r="E1762">
        <v>2021</v>
      </c>
      <c r="F1762" t="s">
        <v>64</v>
      </c>
    </row>
    <row r="1763" spans="1:6" x14ac:dyDescent="0.25">
      <c r="A1763" t="s">
        <v>46</v>
      </c>
      <c r="B1763" t="s">
        <v>47</v>
      </c>
      <c r="C1763" t="s">
        <v>65</v>
      </c>
      <c r="D1763">
        <v>26854.09</v>
      </c>
      <c r="E1763">
        <v>2021</v>
      </c>
      <c r="F1763" t="s">
        <v>64</v>
      </c>
    </row>
    <row r="1764" spans="1:6" x14ac:dyDescent="0.25">
      <c r="A1764" t="s">
        <v>48</v>
      </c>
      <c r="B1764" t="s">
        <v>49</v>
      </c>
      <c r="C1764" t="s">
        <v>65</v>
      </c>
      <c r="D1764">
        <v>60970.67</v>
      </c>
      <c r="E1764">
        <v>2021</v>
      </c>
      <c r="F1764" t="s">
        <v>64</v>
      </c>
    </row>
    <row r="1765" spans="1:6" x14ac:dyDescent="0.25">
      <c r="A1765" t="s">
        <v>50</v>
      </c>
      <c r="B1765" t="s">
        <v>51</v>
      </c>
      <c r="C1765" t="s">
        <v>65</v>
      </c>
      <c r="D1765">
        <v>580.4</v>
      </c>
      <c r="E1765">
        <v>2021</v>
      </c>
      <c r="F1765" t="s">
        <v>64</v>
      </c>
    </row>
    <row r="1766" spans="1:6" x14ac:dyDescent="0.25">
      <c r="A1766" t="s">
        <v>52</v>
      </c>
      <c r="B1766" t="s">
        <v>53</v>
      </c>
      <c r="C1766" t="s">
        <v>65</v>
      </c>
      <c r="D1766">
        <v>1226.83</v>
      </c>
      <c r="E1766">
        <v>2021</v>
      </c>
      <c r="F1766" t="s">
        <v>64</v>
      </c>
    </row>
    <row r="1767" spans="1:6" x14ac:dyDescent="0.25">
      <c r="A1767" t="s">
        <v>54</v>
      </c>
      <c r="B1767" t="s">
        <v>55</v>
      </c>
      <c r="C1767" t="s">
        <v>65</v>
      </c>
      <c r="D1767">
        <v>448.29</v>
      </c>
      <c r="E1767">
        <v>2021</v>
      </c>
      <c r="F1767" t="s">
        <v>64</v>
      </c>
    </row>
    <row r="1768" spans="1:6" x14ac:dyDescent="0.25">
      <c r="A1768" t="s">
        <v>56</v>
      </c>
      <c r="B1768" t="s">
        <v>57</v>
      </c>
      <c r="C1768" t="s">
        <v>65</v>
      </c>
      <c r="E1768">
        <v>2021</v>
      </c>
      <c r="F1768" t="s">
        <v>64</v>
      </c>
    </row>
    <row r="1769" spans="1:6" x14ac:dyDescent="0.25">
      <c r="A1769" t="s">
        <v>58</v>
      </c>
      <c r="B1769" t="s">
        <v>59</v>
      </c>
      <c r="C1769" t="s">
        <v>65</v>
      </c>
      <c r="E1769">
        <v>2021</v>
      </c>
      <c r="F1769" t="s">
        <v>64</v>
      </c>
    </row>
    <row r="1770" spans="1:6" x14ac:dyDescent="0.25">
      <c r="A1770" t="s">
        <v>6</v>
      </c>
      <c r="B1770" t="s">
        <v>7</v>
      </c>
      <c r="C1770" t="s">
        <v>62</v>
      </c>
      <c r="E1770">
        <v>2021</v>
      </c>
      <c r="F1770" t="s">
        <v>64</v>
      </c>
    </row>
    <row r="1771" spans="1:6" x14ac:dyDescent="0.25">
      <c r="A1771" t="s">
        <v>10</v>
      </c>
      <c r="B1771" t="s">
        <v>11</v>
      </c>
      <c r="C1771" t="s">
        <v>62</v>
      </c>
      <c r="E1771">
        <v>2021</v>
      </c>
      <c r="F1771" t="s">
        <v>64</v>
      </c>
    </row>
    <row r="1772" spans="1:6" x14ac:dyDescent="0.25">
      <c r="A1772" t="s">
        <v>12</v>
      </c>
      <c r="B1772" t="s">
        <v>13</v>
      </c>
      <c r="C1772" t="s">
        <v>62</v>
      </c>
      <c r="E1772">
        <v>2021</v>
      </c>
      <c r="F1772" t="s">
        <v>64</v>
      </c>
    </row>
    <row r="1773" spans="1:6" x14ac:dyDescent="0.25">
      <c r="A1773" t="s">
        <v>14</v>
      </c>
      <c r="B1773" t="s">
        <v>15</v>
      </c>
      <c r="C1773" t="s">
        <v>62</v>
      </c>
      <c r="E1773">
        <v>2021</v>
      </c>
      <c r="F1773" t="s">
        <v>64</v>
      </c>
    </row>
    <row r="1774" spans="1:6" x14ac:dyDescent="0.25">
      <c r="A1774" t="s">
        <v>16</v>
      </c>
      <c r="B1774" t="s">
        <v>17</v>
      </c>
      <c r="C1774" t="s">
        <v>62</v>
      </c>
      <c r="E1774">
        <v>2021</v>
      </c>
      <c r="F1774" t="s">
        <v>64</v>
      </c>
    </row>
    <row r="1775" spans="1:6" x14ac:dyDescent="0.25">
      <c r="A1775" t="s">
        <v>18</v>
      </c>
      <c r="B1775" t="s">
        <v>19</v>
      </c>
      <c r="C1775" t="s">
        <v>62</v>
      </c>
      <c r="E1775">
        <v>2021</v>
      </c>
      <c r="F1775" t="s">
        <v>64</v>
      </c>
    </row>
    <row r="1776" spans="1:6" x14ac:dyDescent="0.25">
      <c r="A1776" t="s">
        <v>20</v>
      </c>
      <c r="B1776" t="s">
        <v>21</v>
      </c>
      <c r="C1776" t="s">
        <v>62</v>
      </c>
      <c r="E1776">
        <v>2021</v>
      </c>
      <c r="F1776" t="s">
        <v>64</v>
      </c>
    </row>
    <row r="1777" spans="1:6" x14ac:dyDescent="0.25">
      <c r="A1777" t="s">
        <v>22</v>
      </c>
      <c r="B1777" t="s">
        <v>23</v>
      </c>
      <c r="C1777" t="s">
        <v>62</v>
      </c>
      <c r="E1777">
        <v>2021</v>
      </c>
      <c r="F1777" t="s">
        <v>64</v>
      </c>
    </row>
    <row r="1778" spans="1:6" x14ac:dyDescent="0.25">
      <c r="A1778" t="s">
        <v>24</v>
      </c>
      <c r="B1778" t="s">
        <v>25</v>
      </c>
      <c r="C1778" t="s">
        <v>62</v>
      </c>
      <c r="E1778">
        <v>2021</v>
      </c>
      <c r="F1778" t="s">
        <v>64</v>
      </c>
    </row>
    <row r="1779" spans="1:6" x14ac:dyDescent="0.25">
      <c r="A1779" t="s">
        <v>26</v>
      </c>
      <c r="B1779" t="s">
        <v>27</v>
      </c>
      <c r="C1779" t="s">
        <v>62</v>
      </c>
      <c r="E1779">
        <v>2021</v>
      </c>
      <c r="F1779" t="s">
        <v>64</v>
      </c>
    </row>
    <row r="1780" spans="1:6" x14ac:dyDescent="0.25">
      <c r="A1780" t="s">
        <v>28</v>
      </c>
      <c r="B1780" t="s">
        <v>29</v>
      </c>
      <c r="C1780" t="s">
        <v>62</v>
      </c>
      <c r="E1780">
        <v>2021</v>
      </c>
      <c r="F1780" t="s">
        <v>64</v>
      </c>
    </row>
    <row r="1781" spans="1:6" x14ac:dyDescent="0.25">
      <c r="A1781" t="s">
        <v>30</v>
      </c>
      <c r="B1781" t="s">
        <v>31</v>
      </c>
      <c r="C1781" t="s">
        <v>62</v>
      </c>
      <c r="E1781">
        <v>2021</v>
      </c>
      <c r="F1781" t="s">
        <v>64</v>
      </c>
    </row>
    <row r="1782" spans="1:6" x14ac:dyDescent="0.25">
      <c r="A1782" t="s">
        <v>32</v>
      </c>
      <c r="B1782" t="s">
        <v>33</v>
      </c>
      <c r="C1782" t="s">
        <v>62</v>
      </c>
      <c r="E1782">
        <v>2021</v>
      </c>
      <c r="F1782" t="s">
        <v>64</v>
      </c>
    </row>
    <row r="1783" spans="1:6" x14ac:dyDescent="0.25">
      <c r="A1783" t="s">
        <v>34</v>
      </c>
      <c r="B1783" t="s">
        <v>35</v>
      </c>
      <c r="C1783" t="s">
        <v>62</v>
      </c>
      <c r="E1783">
        <v>2021</v>
      </c>
      <c r="F1783" t="s">
        <v>64</v>
      </c>
    </row>
    <row r="1784" spans="1:6" x14ac:dyDescent="0.25">
      <c r="A1784" t="s">
        <v>36</v>
      </c>
      <c r="B1784" t="s">
        <v>37</v>
      </c>
      <c r="C1784" t="s">
        <v>62</v>
      </c>
      <c r="E1784">
        <v>2021</v>
      </c>
      <c r="F1784" t="s">
        <v>64</v>
      </c>
    </row>
    <row r="1785" spans="1:6" x14ac:dyDescent="0.25">
      <c r="A1785" t="s">
        <v>38</v>
      </c>
      <c r="B1785" t="s">
        <v>39</v>
      </c>
      <c r="C1785" t="s">
        <v>62</v>
      </c>
      <c r="E1785">
        <v>2021</v>
      </c>
      <c r="F1785" t="s">
        <v>64</v>
      </c>
    </row>
    <row r="1786" spans="1:6" x14ac:dyDescent="0.25">
      <c r="A1786" t="s">
        <v>40</v>
      </c>
      <c r="B1786" t="s">
        <v>41</v>
      </c>
      <c r="C1786" t="s">
        <v>62</v>
      </c>
      <c r="E1786">
        <v>2021</v>
      </c>
      <c r="F1786" t="s">
        <v>64</v>
      </c>
    </row>
    <row r="1787" spans="1:6" x14ac:dyDescent="0.25">
      <c r="A1787" t="s">
        <v>42</v>
      </c>
      <c r="B1787" t="s">
        <v>43</v>
      </c>
      <c r="C1787" t="s">
        <v>62</v>
      </c>
      <c r="E1787">
        <v>2021</v>
      </c>
      <c r="F1787" t="s">
        <v>64</v>
      </c>
    </row>
    <row r="1788" spans="1:6" x14ac:dyDescent="0.25">
      <c r="A1788" t="s">
        <v>44</v>
      </c>
      <c r="B1788" t="s">
        <v>45</v>
      </c>
      <c r="C1788" t="s">
        <v>62</v>
      </c>
      <c r="E1788">
        <v>2021</v>
      </c>
      <c r="F1788" t="s">
        <v>64</v>
      </c>
    </row>
    <row r="1789" spans="1:6" x14ac:dyDescent="0.25">
      <c r="A1789" t="s">
        <v>46</v>
      </c>
      <c r="B1789" t="s">
        <v>47</v>
      </c>
      <c r="C1789" t="s">
        <v>62</v>
      </c>
      <c r="E1789">
        <v>2021</v>
      </c>
      <c r="F1789" t="s">
        <v>64</v>
      </c>
    </row>
    <row r="1790" spans="1:6" x14ac:dyDescent="0.25">
      <c r="A1790" t="s">
        <v>48</v>
      </c>
      <c r="B1790" t="s">
        <v>49</v>
      </c>
      <c r="C1790" t="s">
        <v>62</v>
      </c>
      <c r="E1790">
        <v>2021</v>
      </c>
      <c r="F1790" t="s">
        <v>64</v>
      </c>
    </row>
    <row r="1791" spans="1:6" x14ac:dyDescent="0.25">
      <c r="A1791" t="s">
        <v>50</v>
      </c>
      <c r="B1791" t="s">
        <v>51</v>
      </c>
      <c r="C1791" t="s">
        <v>62</v>
      </c>
      <c r="E1791">
        <v>2021</v>
      </c>
      <c r="F1791" t="s">
        <v>64</v>
      </c>
    </row>
    <row r="1792" spans="1:6" x14ac:dyDescent="0.25">
      <c r="A1792" t="s">
        <v>52</v>
      </c>
      <c r="B1792" t="s">
        <v>53</v>
      </c>
      <c r="C1792" t="s">
        <v>62</v>
      </c>
      <c r="E1792">
        <v>2021</v>
      </c>
      <c r="F1792" t="s">
        <v>64</v>
      </c>
    </row>
    <row r="1793" spans="1:6" x14ac:dyDescent="0.25">
      <c r="A1793" t="s">
        <v>54</v>
      </c>
      <c r="B1793" t="s">
        <v>55</v>
      </c>
      <c r="C1793" t="s">
        <v>62</v>
      </c>
      <c r="E1793">
        <v>2021</v>
      </c>
      <c r="F1793" t="s">
        <v>64</v>
      </c>
    </row>
    <row r="1794" spans="1:6" x14ac:dyDescent="0.25">
      <c r="A1794" t="s">
        <v>56</v>
      </c>
      <c r="B1794" t="s">
        <v>57</v>
      </c>
      <c r="C1794" t="s">
        <v>62</v>
      </c>
      <c r="E1794">
        <v>2021</v>
      </c>
      <c r="F1794" t="s">
        <v>64</v>
      </c>
    </row>
    <row r="1795" spans="1:6" x14ac:dyDescent="0.25">
      <c r="A1795" t="s">
        <v>58</v>
      </c>
      <c r="B1795" t="s">
        <v>59</v>
      </c>
      <c r="C1795" t="s">
        <v>62</v>
      </c>
      <c r="E1795">
        <v>2021</v>
      </c>
      <c r="F1795" t="s">
        <v>64</v>
      </c>
    </row>
    <row r="1796" spans="1:6" x14ac:dyDescent="0.25">
      <c r="A1796" t="s">
        <v>6</v>
      </c>
      <c r="B1796" t="s">
        <v>7</v>
      </c>
      <c r="C1796" t="s">
        <v>66</v>
      </c>
      <c r="E1796">
        <v>2021</v>
      </c>
      <c r="F1796" t="s">
        <v>64</v>
      </c>
    </row>
    <row r="1797" spans="1:6" x14ac:dyDescent="0.25">
      <c r="A1797" t="s">
        <v>10</v>
      </c>
      <c r="B1797" t="s">
        <v>11</v>
      </c>
      <c r="C1797" t="s">
        <v>66</v>
      </c>
      <c r="E1797">
        <v>2021</v>
      </c>
      <c r="F1797" t="s">
        <v>64</v>
      </c>
    </row>
    <row r="1798" spans="1:6" x14ac:dyDescent="0.25">
      <c r="A1798" t="s">
        <v>12</v>
      </c>
      <c r="B1798" t="s">
        <v>13</v>
      </c>
      <c r="C1798" t="s">
        <v>66</v>
      </c>
      <c r="E1798">
        <v>2021</v>
      </c>
      <c r="F1798" t="s">
        <v>64</v>
      </c>
    </row>
    <row r="1799" spans="1:6" x14ac:dyDescent="0.25">
      <c r="A1799" t="s">
        <v>14</v>
      </c>
      <c r="B1799" t="s">
        <v>15</v>
      </c>
      <c r="C1799" t="s">
        <v>66</v>
      </c>
      <c r="E1799">
        <v>2021</v>
      </c>
      <c r="F1799" t="s">
        <v>64</v>
      </c>
    </row>
    <row r="1800" spans="1:6" x14ac:dyDescent="0.25">
      <c r="A1800" t="s">
        <v>16</v>
      </c>
      <c r="B1800" t="s">
        <v>17</v>
      </c>
      <c r="C1800" t="s">
        <v>66</v>
      </c>
      <c r="E1800">
        <v>2021</v>
      </c>
      <c r="F1800" t="s">
        <v>64</v>
      </c>
    </row>
    <row r="1801" spans="1:6" x14ac:dyDescent="0.25">
      <c r="A1801" t="s">
        <v>18</v>
      </c>
      <c r="B1801" t="s">
        <v>19</v>
      </c>
      <c r="C1801" t="s">
        <v>66</v>
      </c>
      <c r="E1801">
        <v>2021</v>
      </c>
      <c r="F1801" t="s">
        <v>64</v>
      </c>
    </row>
    <row r="1802" spans="1:6" x14ac:dyDescent="0.25">
      <c r="A1802" t="s">
        <v>20</v>
      </c>
      <c r="B1802" t="s">
        <v>21</v>
      </c>
      <c r="C1802" t="s">
        <v>66</v>
      </c>
      <c r="E1802">
        <v>2021</v>
      </c>
      <c r="F1802" t="s">
        <v>64</v>
      </c>
    </row>
    <row r="1803" spans="1:6" x14ac:dyDescent="0.25">
      <c r="A1803" t="s">
        <v>22</v>
      </c>
      <c r="B1803" t="s">
        <v>23</v>
      </c>
      <c r="C1803" t="s">
        <v>66</v>
      </c>
      <c r="E1803">
        <v>2021</v>
      </c>
      <c r="F1803" t="s">
        <v>64</v>
      </c>
    </row>
    <row r="1804" spans="1:6" x14ac:dyDescent="0.25">
      <c r="A1804" t="s">
        <v>24</v>
      </c>
      <c r="B1804" t="s">
        <v>25</v>
      </c>
      <c r="C1804" t="s">
        <v>66</v>
      </c>
      <c r="E1804">
        <v>2021</v>
      </c>
      <c r="F1804" t="s">
        <v>64</v>
      </c>
    </row>
    <row r="1805" spans="1:6" x14ac:dyDescent="0.25">
      <c r="A1805" t="s">
        <v>26</v>
      </c>
      <c r="B1805" t="s">
        <v>27</v>
      </c>
      <c r="C1805" t="s">
        <v>66</v>
      </c>
      <c r="E1805">
        <v>2021</v>
      </c>
      <c r="F1805" t="s">
        <v>64</v>
      </c>
    </row>
    <row r="1806" spans="1:6" x14ac:dyDescent="0.25">
      <c r="A1806" t="s">
        <v>28</v>
      </c>
      <c r="B1806" t="s">
        <v>29</v>
      </c>
      <c r="C1806" t="s">
        <v>66</v>
      </c>
      <c r="E1806">
        <v>2021</v>
      </c>
      <c r="F1806" t="s">
        <v>64</v>
      </c>
    </row>
    <row r="1807" spans="1:6" x14ac:dyDescent="0.25">
      <c r="A1807" t="s">
        <v>30</v>
      </c>
      <c r="B1807" t="s">
        <v>31</v>
      </c>
      <c r="C1807" t="s">
        <v>66</v>
      </c>
      <c r="E1807">
        <v>2021</v>
      </c>
      <c r="F1807" t="s">
        <v>64</v>
      </c>
    </row>
    <row r="1808" spans="1:6" x14ac:dyDescent="0.25">
      <c r="A1808" t="s">
        <v>32</v>
      </c>
      <c r="B1808" t="s">
        <v>33</v>
      </c>
      <c r="C1808" t="s">
        <v>66</v>
      </c>
      <c r="E1808">
        <v>2021</v>
      </c>
      <c r="F1808" t="s">
        <v>64</v>
      </c>
    </row>
    <row r="1809" spans="1:6" x14ac:dyDescent="0.25">
      <c r="A1809" t="s">
        <v>34</v>
      </c>
      <c r="B1809" t="s">
        <v>35</v>
      </c>
      <c r="C1809" t="s">
        <v>66</v>
      </c>
      <c r="E1809">
        <v>2021</v>
      </c>
      <c r="F1809" t="s">
        <v>64</v>
      </c>
    </row>
    <row r="1810" spans="1:6" x14ac:dyDescent="0.25">
      <c r="A1810" t="s">
        <v>36</v>
      </c>
      <c r="B1810" t="s">
        <v>37</v>
      </c>
      <c r="C1810" t="s">
        <v>66</v>
      </c>
      <c r="E1810">
        <v>2021</v>
      </c>
      <c r="F1810" t="s">
        <v>64</v>
      </c>
    </row>
    <row r="1811" spans="1:6" x14ac:dyDescent="0.25">
      <c r="A1811" t="s">
        <v>38</v>
      </c>
      <c r="B1811" t="s">
        <v>39</v>
      </c>
      <c r="C1811" t="s">
        <v>66</v>
      </c>
      <c r="E1811">
        <v>2021</v>
      </c>
      <c r="F1811" t="s">
        <v>64</v>
      </c>
    </row>
    <row r="1812" spans="1:6" x14ac:dyDescent="0.25">
      <c r="A1812" t="s">
        <v>40</v>
      </c>
      <c r="B1812" t="s">
        <v>41</v>
      </c>
      <c r="C1812" t="s">
        <v>66</v>
      </c>
      <c r="E1812">
        <v>2021</v>
      </c>
      <c r="F1812" t="s">
        <v>64</v>
      </c>
    </row>
    <row r="1813" spans="1:6" x14ac:dyDescent="0.25">
      <c r="A1813" t="s">
        <v>42</v>
      </c>
      <c r="B1813" t="s">
        <v>43</v>
      </c>
      <c r="C1813" t="s">
        <v>66</v>
      </c>
      <c r="E1813">
        <v>2021</v>
      </c>
      <c r="F1813" t="s">
        <v>64</v>
      </c>
    </row>
    <row r="1814" spans="1:6" x14ac:dyDescent="0.25">
      <c r="A1814" t="s">
        <v>44</v>
      </c>
      <c r="B1814" t="s">
        <v>45</v>
      </c>
      <c r="C1814" t="s">
        <v>66</v>
      </c>
      <c r="E1814">
        <v>2021</v>
      </c>
      <c r="F1814" t="s">
        <v>64</v>
      </c>
    </row>
    <row r="1815" spans="1:6" x14ac:dyDescent="0.25">
      <c r="A1815" t="s">
        <v>46</v>
      </c>
      <c r="B1815" t="s">
        <v>47</v>
      </c>
      <c r="C1815" t="s">
        <v>66</v>
      </c>
      <c r="E1815">
        <v>2021</v>
      </c>
      <c r="F1815" t="s">
        <v>64</v>
      </c>
    </row>
    <row r="1816" spans="1:6" x14ac:dyDescent="0.25">
      <c r="A1816" t="s">
        <v>48</v>
      </c>
      <c r="B1816" t="s">
        <v>49</v>
      </c>
      <c r="C1816" t="s">
        <v>66</v>
      </c>
      <c r="E1816">
        <v>2021</v>
      </c>
      <c r="F1816" t="s">
        <v>64</v>
      </c>
    </row>
    <row r="1817" spans="1:6" x14ac:dyDescent="0.25">
      <c r="A1817" t="s">
        <v>50</v>
      </c>
      <c r="B1817" t="s">
        <v>51</v>
      </c>
      <c r="C1817" t="s">
        <v>66</v>
      </c>
      <c r="E1817">
        <v>2021</v>
      </c>
      <c r="F1817" t="s">
        <v>64</v>
      </c>
    </row>
    <row r="1818" spans="1:6" x14ac:dyDescent="0.25">
      <c r="A1818" t="s">
        <v>52</v>
      </c>
      <c r="B1818" t="s">
        <v>53</v>
      </c>
      <c r="C1818" t="s">
        <v>66</v>
      </c>
      <c r="E1818">
        <v>2021</v>
      </c>
      <c r="F1818" t="s">
        <v>64</v>
      </c>
    </row>
    <row r="1819" spans="1:6" x14ac:dyDescent="0.25">
      <c r="A1819" t="s">
        <v>54</v>
      </c>
      <c r="B1819" t="s">
        <v>55</v>
      </c>
      <c r="C1819" t="s">
        <v>66</v>
      </c>
      <c r="E1819">
        <v>2021</v>
      </c>
      <c r="F1819" t="s">
        <v>64</v>
      </c>
    </row>
    <row r="1820" spans="1:6" x14ac:dyDescent="0.25">
      <c r="A1820" t="s">
        <v>56</v>
      </c>
      <c r="B1820" t="s">
        <v>57</v>
      </c>
      <c r="C1820" t="s">
        <v>66</v>
      </c>
      <c r="E1820">
        <v>2021</v>
      </c>
      <c r="F1820" t="s">
        <v>64</v>
      </c>
    </row>
    <row r="1821" spans="1:6" x14ac:dyDescent="0.25">
      <c r="A1821" t="s">
        <v>58</v>
      </c>
      <c r="B1821" t="s">
        <v>59</v>
      </c>
      <c r="C1821" t="s">
        <v>66</v>
      </c>
      <c r="E1821">
        <v>2021</v>
      </c>
      <c r="F1821" t="s">
        <v>64</v>
      </c>
    </row>
    <row r="1822" spans="1:6" x14ac:dyDescent="0.25">
      <c r="A1822" t="s">
        <v>6</v>
      </c>
      <c r="B1822" t="s">
        <v>7</v>
      </c>
      <c r="C1822" t="s">
        <v>63</v>
      </c>
      <c r="D1822">
        <v>262113.59</v>
      </c>
      <c r="E1822">
        <v>2022</v>
      </c>
      <c r="F1822" t="s">
        <v>64</v>
      </c>
    </row>
    <row r="1823" spans="1:6" x14ac:dyDescent="0.25">
      <c r="A1823" t="s">
        <v>10</v>
      </c>
      <c r="B1823" t="s">
        <v>11</v>
      </c>
      <c r="C1823" t="s">
        <v>63</v>
      </c>
      <c r="D1823">
        <v>393684.11</v>
      </c>
      <c r="E1823">
        <v>2022</v>
      </c>
      <c r="F1823" t="s">
        <v>64</v>
      </c>
    </row>
    <row r="1824" spans="1:6" x14ac:dyDescent="0.25">
      <c r="A1824" t="s">
        <v>12</v>
      </c>
      <c r="B1824" t="s">
        <v>13</v>
      </c>
      <c r="C1824" t="s">
        <v>63</v>
      </c>
      <c r="D1824">
        <v>37102.080000000002</v>
      </c>
      <c r="E1824">
        <v>2022</v>
      </c>
      <c r="F1824" t="s">
        <v>64</v>
      </c>
    </row>
    <row r="1825" spans="1:6" x14ac:dyDescent="0.25">
      <c r="A1825" t="s">
        <v>14</v>
      </c>
      <c r="B1825" t="s">
        <v>15</v>
      </c>
      <c r="C1825" t="s">
        <v>63</v>
      </c>
      <c r="D1825">
        <v>6580.72</v>
      </c>
      <c r="E1825">
        <v>2022</v>
      </c>
      <c r="F1825" t="s">
        <v>64</v>
      </c>
    </row>
    <row r="1826" spans="1:6" x14ac:dyDescent="0.25">
      <c r="A1826" t="s">
        <v>16</v>
      </c>
      <c r="B1826" t="s">
        <v>17</v>
      </c>
      <c r="C1826" t="s">
        <v>63</v>
      </c>
      <c r="D1826">
        <v>19999.05</v>
      </c>
      <c r="E1826">
        <v>2022</v>
      </c>
      <c r="F1826" t="s">
        <v>64</v>
      </c>
    </row>
    <row r="1827" spans="1:6" x14ac:dyDescent="0.25">
      <c r="A1827" t="s">
        <v>18</v>
      </c>
      <c r="B1827" t="s">
        <v>19</v>
      </c>
      <c r="C1827" t="s">
        <v>63</v>
      </c>
      <c r="D1827">
        <v>13611.04</v>
      </c>
      <c r="E1827">
        <v>2022</v>
      </c>
      <c r="F1827" t="s">
        <v>64</v>
      </c>
    </row>
    <row r="1828" spans="1:6" x14ac:dyDescent="0.25">
      <c r="A1828" t="s">
        <v>20</v>
      </c>
      <c r="B1828" t="s">
        <v>21</v>
      </c>
      <c r="C1828" t="s">
        <v>63</v>
      </c>
      <c r="D1828">
        <v>13437.49</v>
      </c>
      <c r="E1828">
        <v>2022</v>
      </c>
      <c r="F1828" t="s">
        <v>64</v>
      </c>
    </row>
    <row r="1829" spans="1:6" x14ac:dyDescent="0.25">
      <c r="A1829" t="s">
        <v>22</v>
      </c>
      <c r="B1829" t="s">
        <v>23</v>
      </c>
      <c r="C1829" t="s">
        <v>63</v>
      </c>
      <c r="D1829">
        <v>12875.18</v>
      </c>
      <c r="E1829">
        <v>2022</v>
      </c>
      <c r="F1829" t="s">
        <v>64</v>
      </c>
    </row>
    <row r="1830" spans="1:6" x14ac:dyDescent="0.25">
      <c r="A1830" t="s">
        <v>24</v>
      </c>
      <c r="B1830" t="s">
        <v>25</v>
      </c>
      <c r="C1830" t="s">
        <v>63</v>
      </c>
      <c r="D1830">
        <v>49058.5</v>
      </c>
      <c r="E1830">
        <v>2022</v>
      </c>
      <c r="F1830" t="s">
        <v>64</v>
      </c>
    </row>
    <row r="1831" spans="1:6" x14ac:dyDescent="0.25">
      <c r="A1831" t="s">
        <v>26</v>
      </c>
      <c r="B1831" t="s">
        <v>27</v>
      </c>
      <c r="C1831" t="s">
        <v>63</v>
      </c>
      <c r="D1831">
        <v>3662.37</v>
      </c>
      <c r="E1831">
        <v>2022</v>
      </c>
      <c r="F1831" t="s">
        <v>64</v>
      </c>
    </row>
    <row r="1832" spans="1:6" x14ac:dyDescent="0.25">
      <c r="A1832" t="s">
        <v>28</v>
      </c>
      <c r="B1832" t="s">
        <v>29</v>
      </c>
      <c r="C1832" t="s">
        <v>63</v>
      </c>
      <c r="D1832">
        <v>-194830.95</v>
      </c>
      <c r="E1832">
        <v>2022</v>
      </c>
      <c r="F1832" t="s">
        <v>64</v>
      </c>
    </row>
    <row r="1833" spans="1:6" x14ac:dyDescent="0.25">
      <c r="A1833" t="s">
        <v>30</v>
      </c>
      <c r="B1833" t="s">
        <v>31</v>
      </c>
      <c r="C1833" t="s">
        <v>63</v>
      </c>
      <c r="D1833">
        <v>-102772.48</v>
      </c>
      <c r="E1833">
        <v>2022</v>
      </c>
      <c r="F1833" t="s">
        <v>64</v>
      </c>
    </row>
    <row r="1834" spans="1:6" x14ac:dyDescent="0.25">
      <c r="A1834" t="s">
        <v>32</v>
      </c>
      <c r="B1834" t="s">
        <v>33</v>
      </c>
      <c r="C1834" t="s">
        <v>63</v>
      </c>
      <c r="D1834">
        <v>20944.79</v>
      </c>
      <c r="E1834">
        <v>2022</v>
      </c>
      <c r="F1834" t="s">
        <v>64</v>
      </c>
    </row>
    <row r="1835" spans="1:6" x14ac:dyDescent="0.25">
      <c r="A1835" t="s">
        <v>34</v>
      </c>
      <c r="B1835" t="s">
        <v>35</v>
      </c>
      <c r="C1835" t="s">
        <v>63</v>
      </c>
      <c r="D1835">
        <v>55575.03</v>
      </c>
      <c r="E1835">
        <v>2022</v>
      </c>
      <c r="F1835" t="s">
        <v>64</v>
      </c>
    </row>
    <row r="1836" spans="1:6" x14ac:dyDescent="0.25">
      <c r="A1836" t="s">
        <v>36</v>
      </c>
      <c r="B1836" t="s">
        <v>37</v>
      </c>
      <c r="C1836" t="s">
        <v>63</v>
      </c>
      <c r="D1836">
        <v>38968.550000000003</v>
      </c>
      <c r="E1836">
        <v>2022</v>
      </c>
      <c r="F1836" t="s">
        <v>64</v>
      </c>
    </row>
    <row r="1837" spans="1:6" x14ac:dyDescent="0.25">
      <c r="A1837" t="s">
        <v>38</v>
      </c>
      <c r="B1837" t="s">
        <v>39</v>
      </c>
      <c r="C1837" t="s">
        <v>63</v>
      </c>
      <c r="D1837">
        <v>136323.47</v>
      </c>
      <c r="E1837">
        <v>2022</v>
      </c>
      <c r="F1837" t="s">
        <v>64</v>
      </c>
    </row>
    <row r="1838" spans="1:6" x14ac:dyDescent="0.25">
      <c r="A1838" t="s">
        <v>40</v>
      </c>
      <c r="B1838" t="s">
        <v>41</v>
      </c>
      <c r="C1838" t="s">
        <v>63</v>
      </c>
      <c r="D1838">
        <v>41080.25</v>
      </c>
      <c r="E1838">
        <v>2022</v>
      </c>
      <c r="F1838" t="s">
        <v>64</v>
      </c>
    </row>
    <row r="1839" spans="1:6" x14ac:dyDescent="0.25">
      <c r="A1839" t="s">
        <v>42</v>
      </c>
      <c r="B1839" t="s">
        <v>43</v>
      </c>
      <c r="C1839" t="s">
        <v>63</v>
      </c>
      <c r="D1839">
        <v>-277919.44</v>
      </c>
      <c r="E1839">
        <v>2022</v>
      </c>
      <c r="F1839" t="s">
        <v>64</v>
      </c>
    </row>
    <row r="1840" spans="1:6" x14ac:dyDescent="0.25">
      <c r="A1840" t="s">
        <v>44</v>
      </c>
      <c r="B1840" t="s">
        <v>45</v>
      </c>
      <c r="C1840" t="s">
        <v>63</v>
      </c>
      <c r="D1840">
        <v>44593.919999999998</v>
      </c>
      <c r="E1840">
        <v>2022</v>
      </c>
      <c r="F1840" t="s">
        <v>64</v>
      </c>
    </row>
    <row r="1841" spans="1:6" x14ac:dyDescent="0.25">
      <c r="A1841" t="s">
        <v>46</v>
      </c>
      <c r="B1841" t="s">
        <v>47</v>
      </c>
      <c r="C1841" t="s">
        <v>63</v>
      </c>
      <c r="D1841">
        <v>78989.89</v>
      </c>
      <c r="E1841">
        <v>2022</v>
      </c>
      <c r="F1841" t="s">
        <v>64</v>
      </c>
    </row>
    <row r="1842" spans="1:6" x14ac:dyDescent="0.25">
      <c r="A1842" t="s">
        <v>48</v>
      </c>
      <c r="B1842" t="s">
        <v>49</v>
      </c>
      <c r="C1842" t="s">
        <v>63</v>
      </c>
      <c r="D1842">
        <v>148997.91</v>
      </c>
      <c r="E1842">
        <v>2022</v>
      </c>
      <c r="F1842" t="s">
        <v>64</v>
      </c>
    </row>
    <row r="1843" spans="1:6" x14ac:dyDescent="0.25">
      <c r="A1843" t="s">
        <v>50</v>
      </c>
      <c r="B1843" t="s">
        <v>51</v>
      </c>
      <c r="C1843" t="s">
        <v>63</v>
      </c>
      <c r="D1843">
        <v>-308093.7</v>
      </c>
      <c r="E1843">
        <v>2022</v>
      </c>
      <c r="F1843" t="s">
        <v>64</v>
      </c>
    </row>
    <row r="1844" spans="1:6" x14ac:dyDescent="0.25">
      <c r="A1844" t="s">
        <v>52</v>
      </c>
      <c r="B1844" t="s">
        <v>53</v>
      </c>
      <c r="C1844" t="s">
        <v>63</v>
      </c>
      <c r="D1844">
        <v>11778.9</v>
      </c>
      <c r="E1844">
        <v>2022</v>
      </c>
      <c r="F1844" t="s">
        <v>64</v>
      </c>
    </row>
    <row r="1845" spans="1:6" x14ac:dyDescent="0.25">
      <c r="A1845" t="s">
        <v>54</v>
      </c>
      <c r="B1845" t="s">
        <v>55</v>
      </c>
      <c r="C1845" t="s">
        <v>63</v>
      </c>
      <c r="D1845">
        <v>8940.51</v>
      </c>
      <c r="E1845">
        <v>2022</v>
      </c>
      <c r="F1845" t="s">
        <v>64</v>
      </c>
    </row>
    <row r="1846" spans="1:6" x14ac:dyDescent="0.25">
      <c r="A1846" t="s">
        <v>56</v>
      </c>
      <c r="B1846" t="s">
        <v>57</v>
      </c>
      <c r="C1846" t="s">
        <v>63</v>
      </c>
      <c r="D1846">
        <v>9526.4</v>
      </c>
      <c r="E1846">
        <v>2022</v>
      </c>
      <c r="F1846" t="s">
        <v>64</v>
      </c>
    </row>
    <row r="1847" spans="1:6" x14ac:dyDescent="0.25">
      <c r="A1847" t="s">
        <v>58</v>
      </c>
      <c r="B1847" t="s">
        <v>59</v>
      </c>
      <c r="C1847" t="s">
        <v>63</v>
      </c>
      <c r="E1847">
        <v>2022</v>
      </c>
      <c r="F1847" t="s">
        <v>64</v>
      </c>
    </row>
    <row r="1848" spans="1:6" x14ac:dyDescent="0.25">
      <c r="A1848" t="s">
        <v>6</v>
      </c>
      <c r="B1848" t="s">
        <v>7</v>
      </c>
      <c r="C1848" t="s">
        <v>8</v>
      </c>
      <c r="D1848">
        <v>62164.26</v>
      </c>
      <c r="E1848">
        <v>2022</v>
      </c>
      <c r="F1848" t="s">
        <v>64</v>
      </c>
    </row>
    <row r="1849" spans="1:6" x14ac:dyDescent="0.25">
      <c r="A1849" t="s">
        <v>10</v>
      </c>
      <c r="B1849" t="s">
        <v>11</v>
      </c>
      <c r="C1849" t="s">
        <v>8</v>
      </c>
      <c r="D1849">
        <v>23480.55</v>
      </c>
      <c r="E1849">
        <v>2022</v>
      </c>
      <c r="F1849" t="s">
        <v>64</v>
      </c>
    </row>
    <row r="1850" spans="1:6" x14ac:dyDescent="0.25">
      <c r="A1850" t="s">
        <v>12</v>
      </c>
      <c r="B1850" t="s">
        <v>13</v>
      </c>
      <c r="C1850" t="s">
        <v>8</v>
      </c>
      <c r="D1850">
        <v>3562.66</v>
      </c>
      <c r="E1850">
        <v>2022</v>
      </c>
      <c r="F1850" t="s">
        <v>64</v>
      </c>
    </row>
    <row r="1851" spans="1:6" x14ac:dyDescent="0.25">
      <c r="A1851" t="s">
        <v>14</v>
      </c>
      <c r="B1851" t="s">
        <v>15</v>
      </c>
      <c r="C1851" t="s">
        <v>8</v>
      </c>
      <c r="E1851">
        <v>2022</v>
      </c>
      <c r="F1851" t="s">
        <v>64</v>
      </c>
    </row>
    <row r="1852" spans="1:6" x14ac:dyDescent="0.25">
      <c r="A1852" t="s">
        <v>16</v>
      </c>
      <c r="B1852" t="s">
        <v>17</v>
      </c>
      <c r="C1852" t="s">
        <v>8</v>
      </c>
      <c r="D1852">
        <v>194.85</v>
      </c>
      <c r="E1852">
        <v>2022</v>
      </c>
      <c r="F1852" t="s">
        <v>64</v>
      </c>
    </row>
    <row r="1853" spans="1:6" x14ac:dyDescent="0.25">
      <c r="A1853" t="s">
        <v>18</v>
      </c>
      <c r="B1853" t="s">
        <v>19</v>
      </c>
      <c r="C1853" t="s">
        <v>8</v>
      </c>
      <c r="D1853">
        <v>79.239999999999995</v>
      </c>
      <c r="E1853">
        <v>2022</v>
      </c>
      <c r="F1853" t="s">
        <v>64</v>
      </c>
    </row>
    <row r="1854" spans="1:6" x14ac:dyDescent="0.25">
      <c r="A1854" t="s">
        <v>20</v>
      </c>
      <c r="B1854" t="s">
        <v>21</v>
      </c>
      <c r="C1854" t="s">
        <v>8</v>
      </c>
      <c r="D1854">
        <v>26.14</v>
      </c>
      <c r="E1854">
        <v>2022</v>
      </c>
      <c r="F1854" t="s">
        <v>64</v>
      </c>
    </row>
    <row r="1855" spans="1:6" x14ac:dyDescent="0.25">
      <c r="A1855" t="s">
        <v>22</v>
      </c>
      <c r="B1855" t="s">
        <v>23</v>
      </c>
      <c r="C1855" t="s">
        <v>8</v>
      </c>
      <c r="D1855">
        <v>2898.76</v>
      </c>
      <c r="E1855">
        <v>2022</v>
      </c>
      <c r="F1855" t="s">
        <v>64</v>
      </c>
    </row>
    <row r="1856" spans="1:6" x14ac:dyDescent="0.25">
      <c r="A1856" t="s">
        <v>24</v>
      </c>
      <c r="B1856" t="s">
        <v>25</v>
      </c>
      <c r="C1856" t="s">
        <v>8</v>
      </c>
      <c r="D1856">
        <v>3622.15</v>
      </c>
      <c r="E1856">
        <v>2022</v>
      </c>
      <c r="F1856" t="s">
        <v>64</v>
      </c>
    </row>
    <row r="1857" spans="1:6" x14ac:dyDescent="0.25">
      <c r="A1857" t="s">
        <v>26</v>
      </c>
      <c r="B1857" t="s">
        <v>27</v>
      </c>
      <c r="C1857" t="s">
        <v>8</v>
      </c>
      <c r="D1857">
        <v>179.7</v>
      </c>
      <c r="E1857">
        <v>2022</v>
      </c>
      <c r="F1857" t="s">
        <v>64</v>
      </c>
    </row>
    <row r="1858" spans="1:6" x14ac:dyDescent="0.25">
      <c r="A1858" t="s">
        <v>28</v>
      </c>
      <c r="B1858" t="s">
        <v>29</v>
      </c>
      <c r="C1858" t="s">
        <v>8</v>
      </c>
      <c r="E1858">
        <v>2022</v>
      </c>
      <c r="F1858" t="s">
        <v>64</v>
      </c>
    </row>
    <row r="1859" spans="1:6" x14ac:dyDescent="0.25">
      <c r="A1859" t="s">
        <v>30</v>
      </c>
      <c r="B1859" t="s">
        <v>31</v>
      </c>
      <c r="C1859" t="s">
        <v>8</v>
      </c>
      <c r="D1859">
        <v>11966.68</v>
      </c>
      <c r="E1859">
        <v>2022</v>
      </c>
      <c r="F1859" t="s">
        <v>64</v>
      </c>
    </row>
    <row r="1860" spans="1:6" x14ac:dyDescent="0.25">
      <c r="A1860" t="s">
        <v>32</v>
      </c>
      <c r="B1860" t="s">
        <v>33</v>
      </c>
      <c r="C1860" t="s">
        <v>8</v>
      </c>
      <c r="D1860">
        <v>868.48</v>
      </c>
      <c r="E1860">
        <v>2022</v>
      </c>
      <c r="F1860" t="s">
        <v>64</v>
      </c>
    </row>
    <row r="1861" spans="1:6" x14ac:dyDescent="0.25">
      <c r="A1861" t="s">
        <v>34</v>
      </c>
      <c r="B1861" t="s">
        <v>35</v>
      </c>
      <c r="C1861" t="s">
        <v>8</v>
      </c>
      <c r="D1861">
        <v>2224.4699999999998</v>
      </c>
      <c r="E1861">
        <v>2022</v>
      </c>
      <c r="F1861" t="s">
        <v>64</v>
      </c>
    </row>
    <row r="1862" spans="1:6" x14ac:dyDescent="0.25">
      <c r="A1862" t="s">
        <v>36</v>
      </c>
      <c r="B1862" t="s">
        <v>37</v>
      </c>
      <c r="C1862" t="s">
        <v>8</v>
      </c>
      <c r="D1862">
        <v>2118.04</v>
      </c>
      <c r="E1862">
        <v>2022</v>
      </c>
      <c r="F1862" t="s">
        <v>64</v>
      </c>
    </row>
    <row r="1863" spans="1:6" x14ac:dyDescent="0.25">
      <c r="A1863" t="s">
        <v>38</v>
      </c>
      <c r="B1863" t="s">
        <v>39</v>
      </c>
      <c r="C1863" t="s">
        <v>8</v>
      </c>
      <c r="D1863">
        <v>2347.39</v>
      </c>
      <c r="E1863">
        <v>2022</v>
      </c>
      <c r="F1863" t="s">
        <v>64</v>
      </c>
    </row>
    <row r="1864" spans="1:6" x14ac:dyDescent="0.25">
      <c r="A1864" t="s">
        <v>40</v>
      </c>
      <c r="B1864" t="s">
        <v>41</v>
      </c>
      <c r="C1864" t="s">
        <v>8</v>
      </c>
      <c r="D1864">
        <v>1729.36</v>
      </c>
      <c r="E1864">
        <v>2022</v>
      </c>
      <c r="F1864" t="s">
        <v>64</v>
      </c>
    </row>
    <row r="1865" spans="1:6" x14ac:dyDescent="0.25">
      <c r="A1865" t="s">
        <v>42</v>
      </c>
      <c r="B1865" t="s">
        <v>43</v>
      </c>
      <c r="C1865" t="s">
        <v>8</v>
      </c>
      <c r="D1865">
        <v>10.53</v>
      </c>
      <c r="E1865">
        <v>2022</v>
      </c>
      <c r="F1865" t="s">
        <v>64</v>
      </c>
    </row>
    <row r="1866" spans="1:6" x14ac:dyDescent="0.25">
      <c r="A1866" t="s">
        <v>44</v>
      </c>
      <c r="B1866" t="s">
        <v>45</v>
      </c>
      <c r="C1866" t="s">
        <v>8</v>
      </c>
      <c r="D1866">
        <v>767.52</v>
      </c>
      <c r="E1866">
        <v>2022</v>
      </c>
      <c r="F1866" t="s">
        <v>64</v>
      </c>
    </row>
    <row r="1867" spans="1:6" x14ac:dyDescent="0.25">
      <c r="A1867" t="s">
        <v>46</v>
      </c>
      <c r="B1867" t="s">
        <v>47</v>
      </c>
      <c r="C1867" t="s">
        <v>8</v>
      </c>
      <c r="D1867">
        <v>571.87</v>
      </c>
      <c r="E1867">
        <v>2022</v>
      </c>
      <c r="F1867" t="s">
        <v>64</v>
      </c>
    </row>
    <row r="1868" spans="1:6" x14ac:dyDescent="0.25">
      <c r="A1868" t="s">
        <v>48</v>
      </c>
      <c r="B1868" t="s">
        <v>49</v>
      </c>
      <c r="C1868" t="s">
        <v>8</v>
      </c>
      <c r="D1868">
        <v>47.77</v>
      </c>
      <c r="E1868">
        <v>2022</v>
      </c>
      <c r="F1868" t="s">
        <v>64</v>
      </c>
    </row>
    <row r="1869" spans="1:6" x14ac:dyDescent="0.25">
      <c r="A1869" t="s">
        <v>50</v>
      </c>
      <c r="B1869" t="s">
        <v>51</v>
      </c>
      <c r="C1869" t="s">
        <v>8</v>
      </c>
      <c r="D1869">
        <v>34.25</v>
      </c>
      <c r="E1869">
        <v>2022</v>
      </c>
      <c r="F1869" t="s">
        <v>64</v>
      </c>
    </row>
    <row r="1870" spans="1:6" x14ac:dyDescent="0.25">
      <c r="A1870" t="s">
        <v>52</v>
      </c>
      <c r="B1870" t="s">
        <v>53</v>
      </c>
      <c r="C1870" t="s">
        <v>8</v>
      </c>
      <c r="D1870">
        <v>1364.21</v>
      </c>
      <c r="E1870">
        <v>2022</v>
      </c>
      <c r="F1870" t="s">
        <v>64</v>
      </c>
    </row>
    <row r="1871" spans="1:6" x14ac:dyDescent="0.25">
      <c r="A1871" t="s">
        <v>54</v>
      </c>
      <c r="B1871" t="s">
        <v>55</v>
      </c>
      <c r="C1871" t="s">
        <v>8</v>
      </c>
      <c r="D1871">
        <v>90.3</v>
      </c>
      <c r="E1871">
        <v>2022</v>
      </c>
      <c r="F1871" t="s">
        <v>64</v>
      </c>
    </row>
    <row r="1872" spans="1:6" x14ac:dyDescent="0.25">
      <c r="A1872" t="s">
        <v>56</v>
      </c>
      <c r="B1872" t="s">
        <v>57</v>
      </c>
      <c r="C1872" t="s">
        <v>8</v>
      </c>
      <c r="D1872">
        <v>597.26</v>
      </c>
      <c r="E1872">
        <v>2022</v>
      </c>
      <c r="F1872" t="s">
        <v>64</v>
      </c>
    </row>
    <row r="1873" spans="1:6" x14ac:dyDescent="0.25">
      <c r="A1873" t="s">
        <v>58</v>
      </c>
      <c r="B1873" t="s">
        <v>59</v>
      </c>
      <c r="C1873" t="s">
        <v>8</v>
      </c>
      <c r="D1873">
        <v>3382.08</v>
      </c>
      <c r="E1873">
        <v>2022</v>
      </c>
      <c r="F1873" t="s">
        <v>64</v>
      </c>
    </row>
    <row r="1874" spans="1:6" x14ac:dyDescent="0.25">
      <c r="A1874" t="s">
        <v>6</v>
      </c>
      <c r="B1874" t="s">
        <v>7</v>
      </c>
      <c r="C1874" t="s">
        <v>60</v>
      </c>
      <c r="D1874">
        <v>64450.49</v>
      </c>
      <c r="E1874">
        <v>2022</v>
      </c>
      <c r="F1874" t="s">
        <v>64</v>
      </c>
    </row>
    <row r="1875" spans="1:6" x14ac:dyDescent="0.25">
      <c r="A1875" t="s">
        <v>10</v>
      </c>
      <c r="B1875" t="s">
        <v>11</v>
      </c>
      <c r="C1875" t="s">
        <v>60</v>
      </c>
      <c r="D1875">
        <v>18650.13</v>
      </c>
      <c r="E1875">
        <v>2022</v>
      </c>
      <c r="F1875" t="s">
        <v>64</v>
      </c>
    </row>
    <row r="1876" spans="1:6" x14ac:dyDescent="0.25">
      <c r="A1876" t="s">
        <v>12</v>
      </c>
      <c r="B1876" t="s">
        <v>13</v>
      </c>
      <c r="C1876" t="s">
        <v>60</v>
      </c>
      <c r="D1876">
        <v>1349.55</v>
      </c>
      <c r="E1876">
        <v>2022</v>
      </c>
      <c r="F1876" t="s">
        <v>64</v>
      </c>
    </row>
    <row r="1877" spans="1:6" x14ac:dyDescent="0.25">
      <c r="A1877" t="s">
        <v>14</v>
      </c>
      <c r="B1877" t="s">
        <v>15</v>
      </c>
      <c r="C1877" t="s">
        <v>60</v>
      </c>
      <c r="E1877">
        <v>2022</v>
      </c>
      <c r="F1877" t="s">
        <v>64</v>
      </c>
    </row>
    <row r="1878" spans="1:6" x14ac:dyDescent="0.25">
      <c r="A1878" t="s">
        <v>16</v>
      </c>
      <c r="B1878" t="s">
        <v>17</v>
      </c>
      <c r="C1878" t="s">
        <v>60</v>
      </c>
      <c r="D1878">
        <v>1049.1600000000001</v>
      </c>
      <c r="E1878">
        <v>2022</v>
      </c>
      <c r="F1878" t="s">
        <v>64</v>
      </c>
    </row>
    <row r="1879" spans="1:6" x14ac:dyDescent="0.25">
      <c r="A1879" t="s">
        <v>18</v>
      </c>
      <c r="B1879" t="s">
        <v>19</v>
      </c>
      <c r="C1879" t="s">
        <v>60</v>
      </c>
      <c r="D1879">
        <v>1421.96</v>
      </c>
      <c r="E1879">
        <v>2022</v>
      </c>
      <c r="F1879" t="s">
        <v>64</v>
      </c>
    </row>
    <row r="1880" spans="1:6" x14ac:dyDescent="0.25">
      <c r="A1880" t="s">
        <v>20</v>
      </c>
      <c r="B1880" t="s">
        <v>21</v>
      </c>
      <c r="C1880" t="s">
        <v>60</v>
      </c>
      <c r="D1880">
        <v>218.77</v>
      </c>
      <c r="E1880">
        <v>2022</v>
      </c>
      <c r="F1880" t="s">
        <v>64</v>
      </c>
    </row>
    <row r="1881" spans="1:6" x14ac:dyDescent="0.25">
      <c r="A1881" t="s">
        <v>22</v>
      </c>
      <c r="B1881" t="s">
        <v>23</v>
      </c>
      <c r="C1881" t="s">
        <v>60</v>
      </c>
      <c r="D1881">
        <v>222.72</v>
      </c>
      <c r="E1881">
        <v>2022</v>
      </c>
      <c r="F1881" t="s">
        <v>64</v>
      </c>
    </row>
    <row r="1882" spans="1:6" x14ac:dyDescent="0.25">
      <c r="A1882" t="s">
        <v>24</v>
      </c>
      <c r="B1882" t="s">
        <v>25</v>
      </c>
      <c r="C1882" t="s">
        <v>60</v>
      </c>
      <c r="D1882">
        <v>2145.29</v>
      </c>
      <c r="E1882">
        <v>2022</v>
      </c>
      <c r="F1882" t="s">
        <v>64</v>
      </c>
    </row>
    <row r="1883" spans="1:6" x14ac:dyDescent="0.25">
      <c r="A1883" t="s">
        <v>26</v>
      </c>
      <c r="B1883" t="s">
        <v>27</v>
      </c>
      <c r="C1883" t="s">
        <v>60</v>
      </c>
      <c r="D1883">
        <v>580.34</v>
      </c>
      <c r="E1883">
        <v>2022</v>
      </c>
      <c r="F1883" t="s">
        <v>64</v>
      </c>
    </row>
    <row r="1884" spans="1:6" x14ac:dyDescent="0.25">
      <c r="A1884" t="s">
        <v>28</v>
      </c>
      <c r="B1884" t="s">
        <v>29</v>
      </c>
      <c r="C1884" t="s">
        <v>60</v>
      </c>
      <c r="D1884">
        <v>10673.52</v>
      </c>
      <c r="E1884">
        <v>2022</v>
      </c>
      <c r="F1884" t="s">
        <v>64</v>
      </c>
    </row>
    <row r="1885" spans="1:6" x14ac:dyDescent="0.25">
      <c r="A1885" t="s">
        <v>30</v>
      </c>
      <c r="B1885" t="s">
        <v>31</v>
      </c>
      <c r="C1885" t="s">
        <v>60</v>
      </c>
      <c r="D1885">
        <v>6875.98</v>
      </c>
      <c r="E1885">
        <v>2022</v>
      </c>
      <c r="F1885" t="s">
        <v>64</v>
      </c>
    </row>
    <row r="1886" spans="1:6" x14ac:dyDescent="0.25">
      <c r="A1886" t="s">
        <v>32</v>
      </c>
      <c r="B1886" t="s">
        <v>33</v>
      </c>
      <c r="C1886" t="s">
        <v>60</v>
      </c>
      <c r="D1886">
        <v>842.44</v>
      </c>
      <c r="E1886">
        <v>2022</v>
      </c>
      <c r="F1886" t="s">
        <v>64</v>
      </c>
    </row>
    <row r="1887" spans="1:6" x14ac:dyDescent="0.25">
      <c r="A1887" t="s">
        <v>34</v>
      </c>
      <c r="B1887" t="s">
        <v>35</v>
      </c>
      <c r="C1887" t="s">
        <v>60</v>
      </c>
      <c r="D1887">
        <v>2700.34</v>
      </c>
      <c r="E1887">
        <v>2022</v>
      </c>
      <c r="F1887" t="s">
        <v>64</v>
      </c>
    </row>
    <row r="1888" spans="1:6" x14ac:dyDescent="0.25">
      <c r="A1888" t="s">
        <v>36</v>
      </c>
      <c r="B1888" t="s">
        <v>37</v>
      </c>
      <c r="C1888" t="s">
        <v>60</v>
      </c>
      <c r="D1888">
        <v>2148.5300000000002</v>
      </c>
      <c r="E1888">
        <v>2022</v>
      </c>
      <c r="F1888" t="s">
        <v>64</v>
      </c>
    </row>
    <row r="1889" spans="1:6" x14ac:dyDescent="0.25">
      <c r="A1889" t="s">
        <v>38</v>
      </c>
      <c r="B1889" t="s">
        <v>39</v>
      </c>
      <c r="C1889" t="s">
        <v>60</v>
      </c>
      <c r="D1889">
        <v>2355.23</v>
      </c>
      <c r="E1889">
        <v>2022</v>
      </c>
      <c r="F1889" t="s">
        <v>64</v>
      </c>
    </row>
    <row r="1890" spans="1:6" x14ac:dyDescent="0.25">
      <c r="A1890" t="s">
        <v>40</v>
      </c>
      <c r="B1890" t="s">
        <v>41</v>
      </c>
      <c r="C1890" t="s">
        <v>60</v>
      </c>
      <c r="D1890">
        <v>1401.65</v>
      </c>
      <c r="E1890">
        <v>2022</v>
      </c>
      <c r="F1890" t="s">
        <v>64</v>
      </c>
    </row>
    <row r="1891" spans="1:6" x14ac:dyDescent="0.25">
      <c r="A1891" t="s">
        <v>42</v>
      </c>
      <c r="B1891" t="s">
        <v>43</v>
      </c>
      <c r="C1891" t="s">
        <v>60</v>
      </c>
      <c r="E1891">
        <v>2022</v>
      </c>
      <c r="F1891" t="s">
        <v>64</v>
      </c>
    </row>
    <row r="1892" spans="1:6" x14ac:dyDescent="0.25">
      <c r="A1892" t="s">
        <v>44</v>
      </c>
      <c r="B1892" t="s">
        <v>45</v>
      </c>
      <c r="C1892" t="s">
        <v>60</v>
      </c>
      <c r="D1892">
        <v>1249.1500000000001</v>
      </c>
      <c r="E1892">
        <v>2022</v>
      </c>
      <c r="F1892" t="s">
        <v>64</v>
      </c>
    </row>
    <row r="1893" spans="1:6" x14ac:dyDescent="0.25">
      <c r="A1893" t="s">
        <v>46</v>
      </c>
      <c r="B1893" t="s">
        <v>47</v>
      </c>
      <c r="C1893" t="s">
        <v>60</v>
      </c>
      <c r="D1893">
        <v>316.14999999999998</v>
      </c>
      <c r="E1893">
        <v>2022</v>
      </c>
      <c r="F1893" t="s">
        <v>64</v>
      </c>
    </row>
    <row r="1894" spans="1:6" x14ac:dyDescent="0.25">
      <c r="A1894" t="s">
        <v>48</v>
      </c>
      <c r="B1894" t="s">
        <v>49</v>
      </c>
      <c r="C1894" t="s">
        <v>60</v>
      </c>
      <c r="D1894">
        <v>586.11</v>
      </c>
      <c r="E1894">
        <v>2022</v>
      </c>
      <c r="F1894" t="s">
        <v>64</v>
      </c>
    </row>
    <row r="1895" spans="1:6" x14ac:dyDescent="0.25">
      <c r="A1895" t="s">
        <v>50</v>
      </c>
      <c r="B1895" t="s">
        <v>51</v>
      </c>
      <c r="C1895" t="s">
        <v>60</v>
      </c>
      <c r="D1895">
        <v>706.43</v>
      </c>
      <c r="E1895">
        <v>2022</v>
      </c>
      <c r="F1895" t="s">
        <v>64</v>
      </c>
    </row>
    <row r="1896" spans="1:6" x14ac:dyDescent="0.25">
      <c r="A1896" t="s">
        <v>52</v>
      </c>
      <c r="B1896" t="s">
        <v>53</v>
      </c>
      <c r="C1896" t="s">
        <v>60</v>
      </c>
      <c r="D1896">
        <v>368.49</v>
      </c>
      <c r="E1896">
        <v>2022</v>
      </c>
      <c r="F1896" t="s">
        <v>64</v>
      </c>
    </row>
    <row r="1897" spans="1:6" x14ac:dyDescent="0.25">
      <c r="A1897" t="s">
        <v>54</v>
      </c>
      <c r="B1897" t="s">
        <v>55</v>
      </c>
      <c r="C1897" t="s">
        <v>60</v>
      </c>
      <c r="D1897">
        <v>8588.5499999999993</v>
      </c>
      <c r="E1897">
        <v>2022</v>
      </c>
      <c r="F1897" t="s">
        <v>64</v>
      </c>
    </row>
    <row r="1898" spans="1:6" x14ac:dyDescent="0.25">
      <c r="A1898" t="s">
        <v>56</v>
      </c>
      <c r="B1898" t="s">
        <v>57</v>
      </c>
      <c r="C1898" t="s">
        <v>60</v>
      </c>
      <c r="E1898">
        <v>2022</v>
      </c>
      <c r="F1898" t="s">
        <v>64</v>
      </c>
    </row>
    <row r="1899" spans="1:6" x14ac:dyDescent="0.25">
      <c r="A1899" t="s">
        <v>58</v>
      </c>
      <c r="B1899" t="s">
        <v>59</v>
      </c>
      <c r="C1899" t="s">
        <v>60</v>
      </c>
      <c r="E1899">
        <v>2022</v>
      </c>
      <c r="F1899" t="s">
        <v>64</v>
      </c>
    </row>
    <row r="1900" spans="1:6" x14ac:dyDescent="0.25">
      <c r="A1900" t="s">
        <v>6</v>
      </c>
      <c r="B1900" t="s">
        <v>7</v>
      </c>
      <c r="C1900" t="s">
        <v>61</v>
      </c>
      <c r="D1900">
        <v>35602.639999999999</v>
      </c>
      <c r="E1900">
        <v>2022</v>
      </c>
      <c r="F1900" t="s">
        <v>64</v>
      </c>
    </row>
    <row r="1901" spans="1:6" x14ac:dyDescent="0.25">
      <c r="A1901" t="s">
        <v>10</v>
      </c>
      <c r="B1901" t="s">
        <v>11</v>
      </c>
      <c r="C1901" t="s">
        <v>61</v>
      </c>
      <c r="D1901">
        <v>15139.11</v>
      </c>
      <c r="E1901">
        <v>2022</v>
      </c>
      <c r="F1901" t="s">
        <v>64</v>
      </c>
    </row>
    <row r="1902" spans="1:6" x14ac:dyDescent="0.25">
      <c r="A1902" t="s">
        <v>12</v>
      </c>
      <c r="B1902" t="s">
        <v>13</v>
      </c>
      <c r="C1902" t="s">
        <v>61</v>
      </c>
      <c r="D1902">
        <v>856.29</v>
      </c>
      <c r="E1902">
        <v>2022</v>
      </c>
      <c r="F1902" t="s">
        <v>64</v>
      </c>
    </row>
    <row r="1903" spans="1:6" x14ac:dyDescent="0.25">
      <c r="A1903" t="s">
        <v>14</v>
      </c>
      <c r="B1903" t="s">
        <v>15</v>
      </c>
      <c r="C1903" t="s">
        <v>61</v>
      </c>
      <c r="E1903">
        <v>2022</v>
      </c>
      <c r="F1903" t="s">
        <v>64</v>
      </c>
    </row>
    <row r="1904" spans="1:6" x14ac:dyDescent="0.25">
      <c r="A1904" t="s">
        <v>16</v>
      </c>
      <c r="B1904" t="s">
        <v>17</v>
      </c>
      <c r="C1904" t="s">
        <v>61</v>
      </c>
      <c r="D1904">
        <v>524.36</v>
      </c>
      <c r="E1904">
        <v>2022</v>
      </c>
      <c r="F1904" t="s">
        <v>64</v>
      </c>
    </row>
    <row r="1905" spans="1:6" x14ac:dyDescent="0.25">
      <c r="A1905" t="s">
        <v>18</v>
      </c>
      <c r="B1905" t="s">
        <v>19</v>
      </c>
      <c r="C1905" t="s">
        <v>61</v>
      </c>
      <c r="D1905">
        <v>114.85</v>
      </c>
      <c r="E1905">
        <v>2022</v>
      </c>
      <c r="F1905" t="s">
        <v>64</v>
      </c>
    </row>
    <row r="1906" spans="1:6" x14ac:dyDescent="0.25">
      <c r="A1906" t="s">
        <v>20</v>
      </c>
      <c r="B1906" t="s">
        <v>21</v>
      </c>
      <c r="C1906" t="s">
        <v>61</v>
      </c>
      <c r="D1906">
        <v>98.93</v>
      </c>
      <c r="E1906">
        <v>2022</v>
      </c>
      <c r="F1906" t="s">
        <v>64</v>
      </c>
    </row>
    <row r="1907" spans="1:6" x14ac:dyDescent="0.25">
      <c r="A1907" t="s">
        <v>22</v>
      </c>
      <c r="B1907" t="s">
        <v>23</v>
      </c>
      <c r="C1907" t="s">
        <v>61</v>
      </c>
      <c r="D1907">
        <v>374.13</v>
      </c>
      <c r="E1907">
        <v>2022</v>
      </c>
      <c r="F1907" t="s">
        <v>64</v>
      </c>
    </row>
    <row r="1908" spans="1:6" x14ac:dyDescent="0.25">
      <c r="A1908" t="s">
        <v>24</v>
      </c>
      <c r="B1908" t="s">
        <v>25</v>
      </c>
      <c r="C1908" t="s">
        <v>61</v>
      </c>
      <c r="D1908">
        <v>1667.88</v>
      </c>
      <c r="E1908">
        <v>2022</v>
      </c>
      <c r="F1908" t="s">
        <v>64</v>
      </c>
    </row>
    <row r="1909" spans="1:6" x14ac:dyDescent="0.25">
      <c r="A1909" t="s">
        <v>26</v>
      </c>
      <c r="B1909" t="s">
        <v>27</v>
      </c>
      <c r="C1909" t="s">
        <v>61</v>
      </c>
      <c r="D1909">
        <v>184.26</v>
      </c>
      <c r="E1909">
        <v>2022</v>
      </c>
      <c r="F1909" t="s">
        <v>64</v>
      </c>
    </row>
    <row r="1910" spans="1:6" x14ac:dyDescent="0.25">
      <c r="A1910" t="s">
        <v>28</v>
      </c>
      <c r="B1910" t="s">
        <v>29</v>
      </c>
      <c r="C1910" t="s">
        <v>61</v>
      </c>
      <c r="D1910">
        <v>8237.5400000000009</v>
      </c>
      <c r="E1910">
        <v>2022</v>
      </c>
      <c r="F1910" t="s">
        <v>64</v>
      </c>
    </row>
    <row r="1911" spans="1:6" x14ac:dyDescent="0.25">
      <c r="A1911" t="s">
        <v>30</v>
      </c>
      <c r="B1911" t="s">
        <v>31</v>
      </c>
      <c r="C1911" t="s">
        <v>61</v>
      </c>
      <c r="D1911">
        <v>1495.5</v>
      </c>
      <c r="E1911">
        <v>2022</v>
      </c>
      <c r="F1911" t="s">
        <v>64</v>
      </c>
    </row>
    <row r="1912" spans="1:6" x14ac:dyDescent="0.25">
      <c r="A1912" t="s">
        <v>32</v>
      </c>
      <c r="B1912" t="s">
        <v>33</v>
      </c>
      <c r="C1912" t="s">
        <v>61</v>
      </c>
      <c r="D1912">
        <v>283.02</v>
      </c>
      <c r="E1912">
        <v>2022</v>
      </c>
      <c r="F1912" t="s">
        <v>64</v>
      </c>
    </row>
    <row r="1913" spans="1:6" x14ac:dyDescent="0.25">
      <c r="A1913" t="s">
        <v>34</v>
      </c>
      <c r="B1913" t="s">
        <v>35</v>
      </c>
      <c r="C1913" t="s">
        <v>61</v>
      </c>
      <c r="D1913">
        <v>1689.42</v>
      </c>
      <c r="E1913">
        <v>2022</v>
      </c>
      <c r="F1913" t="s">
        <v>64</v>
      </c>
    </row>
    <row r="1914" spans="1:6" x14ac:dyDescent="0.25">
      <c r="A1914" t="s">
        <v>36</v>
      </c>
      <c r="B1914" t="s">
        <v>37</v>
      </c>
      <c r="C1914" t="s">
        <v>61</v>
      </c>
      <c r="D1914">
        <v>872.07</v>
      </c>
      <c r="E1914">
        <v>2022</v>
      </c>
      <c r="F1914" t="s">
        <v>64</v>
      </c>
    </row>
    <row r="1915" spans="1:6" x14ac:dyDescent="0.25">
      <c r="A1915" t="s">
        <v>38</v>
      </c>
      <c r="B1915" t="s">
        <v>39</v>
      </c>
      <c r="C1915" t="s">
        <v>61</v>
      </c>
      <c r="D1915">
        <v>1417.76</v>
      </c>
      <c r="E1915">
        <v>2022</v>
      </c>
      <c r="F1915" t="s">
        <v>64</v>
      </c>
    </row>
    <row r="1916" spans="1:6" x14ac:dyDescent="0.25">
      <c r="A1916" t="s">
        <v>40</v>
      </c>
      <c r="B1916" t="s">
        <v>41</v>
      </c>
      <c r="C1916" t="s">
        <v>61</v>
      </c>
      <c r="D1916">
        <v>746.05</v>
      </c>
      <c r="E1916">
        <v>2022</v>
      </c>
      <c r="F1916" t="s">
        <v>64</v>
      </c>
    </row>
    <row r="1917" spans="1:6" x14ac:dyDescent="0.25">
      <c r="A1917" t="s">
        <v>42</v>
      </c>
      <c r="B1917" t="s">
        <v>43</v>
      </c>
      <c r="C1917" t="s">
        <v>61</v>
      </c>
      <c r="D1917">
        <v>255.67</v>
      </c>
      <c r="E1917">
        <v>2022</v>
      </c>
      <c r="F1917" t="s">
        <v>64</v>
      </c>
    </row>
    <row r="1918" spans="1:6" x14ac:dyDescent="0.25">
      <c r="A1918" t="s">
        <v>44</v>
      </c>
      <c r="B1918" t="s">
        <v>45</v>
      </c>
      <c r="C1918" t="s">
        <v>61</v>
      </c>
      <c r="D1918">
        <v>525.51</v>
      </c>
      <c r="E1918">
        <v>2022</v>
      </c>
      <c r="F1918" t="s">
        <v>64</v>
      </c>
    </row>
    <row r="1919" spans="1:6" x14ac:dyDescent="0.25">
      <c r="A1919" t="s">
        <v>46</v>
      </c>
      <c r="B1919" t="s">
        <v>47</v>
      </c>
      <c r="C1919" t="s">
        <v>61</v>
      </c>
      <c r="D1919">
        <v>76.73</v>
      </c>
      <c r="E1919">
        <v>2022</v>
      </c>
      <c r="F1919" t="s">
        <v>64</v>
      </c>
    </row>
    <row r="1920" spans="1:6" x14ac:dyDescent="0.25">
      <c r="A1920" t="s">
        <v>48</v>
      </c>
      <c r="B1920" t="s">
        <v>49</v>
      </c>
      <c r="C1920" t="s">
        <v>61</v>
      </c>
      <c r="D1920">
        <v>329.87</v>
      </c>
      <c r="E1920">
        <v>2022</v>
      </c>
      <c r="F1920" t="s">
        <v>64</v>
      </c>
    </row>
    <row r="1921" spans="1:6" x14ac:dyDescent="0.25">
      <c r="A1921" t="s">
        <v>50</v>
      </c>
      <c r="B1921" t="s">
        <v>51</v>
      </c>
      <c r="C1921" t="s">
        <v>61</v>
      </c>
      <c r="D1921">
        <v>157.83000000000001</v>
      </c>
      <c r="E1921">
        <v>2022</v>
      </c>
      <c r="F1921" t="s">
        <v>64</v>
      </c>
    </row>
    <row r="1922" spans="1:6" x14ac:dyDescent="0.25">
      <c r="A1922" t="s">
        <v>52</v>
      </c>
      <c r="B1922" t="s">
        <v>53</v>
      </c>
      <c r="C1922" t="s">
        <v>61</v>
      </c>
      <c r="D1922">
        <v>312.69</v>
      </c>
      <c r="E1922">
        <v>2022</v>
      </c>
      <c r="F1922" t="s">
        <v>64</v>
      </c>
    </row>
    <row r="1923" spans="1:6" x14ac:dyDescent="0.25">
      <c r="A1923" t="s">
        <v>54</v>
      </c>
      <c r="B1923" t="s">
        <v>55</v>
      </c>
      <c r="C1923" t="s">
        <v>61</v>
      </c>
      <c r="D1923">
        <v>5.73</v>
      </c>
      <c r="E1923">
        <v>2022</v>
      </c>
      <c r="F1923" t="s">
        <v>64</v>
      </c>
    </row>
    <row r="1924" spans="1:6" x14ac:dyDescent="0.25">
      <c r="A1924" t="s">
        <v>56</v>
      </c>
      <c r="B1924" t="s">
        <v>57</v>
      </c>
      <c r="C1924" t="s">
        <v>61</v>
      </c>
      <c r="D1924">
        <v>237.44</v>
      </c>
      <c r="E1924">
        <v>2022</v>
      </c>
      <c r="F1924" t="s">
        <v>64</v>
      </c>
    </row>
    <row r="1925" spans="1:6" x14ac:dyDescent="0.25">
      <c r="A1925" t="s">
        <v>58</v>
      </c>
      <c r="B1925" t="s">
        <v>59</v>
      </c>
      <c r="C1925" t="s">
        <v>61</v>
      </c>
      <c r="E1925">
        <v>2022</v>
      </c>
      <c r="F1925" t="s">
        <v>64</v>
      </c>
    </row>
    <row r="1926" spans="1:6" x14ac:dyDescent="0.25">
      <c r="A1926" t="s">
        <v>6</v>
      </c>
      <c r="B1926" t="s">
        <v>7</v>
      </c>
      <c r="C1926" t="s">
        <v>65</v>
      </c>
      <c r="D1926">
        <v>380564.08</v>
      </c>
      <c r="E1926">
        <v>2022</v>
      </c>
      <c r="F1926" t="s">
        <v>64</v>
      </c>
    </row>
    <row r="1927" spans="1:6" x14ac:dyDescent="0.25">
      <c r="A1927" t="s">
        <v>10</v>
      </c>
      <c r="B1927" t="s">
        <v>11</v>
      </c>
      <c r="C1927" t="s">
        <v>65</v>
      </c>
      <c r="D1927">
        <v>56143.5</v>
      </c>
      <c r="E1927">
        <v>2022</v>
      </c>
      <c r="F1927" t="s">
        <v>64</v>
      </c>
    </row>
    <row r="1928" spans="1:6" x14ac:dyDescent="0.25">
      <c r="A1928" t="s">
        <v>12</v>
      </c>
      <c r="B1928" t="s">
        <v>13</v>
      </c>
      <c r="C1928" t="s">
        <v>65</v>
      </c>
      <c r="D1928">
        <v>16734.099999999999</v>
      </c>
      <c r="E1928">
        <v>2022</v>
      </c>
      <c r="F1928" t="s">
        <v>64</v>
      </c>
    </row>
    <row r="1929" spans="1:6" x14ac:dyDescent="0.25">
      <c r="A1929" t="s">
        <v>14</v>
      </c>
      <c r="B1929" t="s">
        <v>15</v>
      </c>
      <c r="C1929" t="s">
        <v>65</v>
      </c>
      <c r="D1929">
        <v>335</v>
      </c>
      <c r="E1929">
        <v>2022</v>
      </c>
      <c r="F1929" t="s">
        <v>64</v>
      </c>
    </row>
    <row r="1930" spans="1:6" x14ac:dyDescent="0.25">
      <c r="A1930" t="s">
        <v>16</v>
      </c>
      <c r="B1930" t="s">
        <v>17</v>
      </c>
      <c r="C1930" t="s">
        <v>65</v>
      </c>
      <c r="D1930">
        <v>12012.93</v>
      </c>
      <c r="E1930">
        <v>2022</v>
      </c>
      <c r="F1930" t="s">
        <v>64</v>
      </c>
    </row>
    <row r="1931" spans="1:6" x14ac:dyDescent="0.25">
      <c r="A1931" t="s">
        <v>18</v>
      </c>
      <c r="B1931" t="s">
        <v>19</v>
      </c>
      <c r="C1931" t="s">
        <v>65</v>
      </c>
      <c r="D1931">
        <v>2954.73</v>
      </c>
      <c r="E1931">
        <v>2022</v>
      </c>
      <c r="F1931" t="s">
        <v>64</v>
      </c>
    </row>
    <row r="1932" spans="1:6" x14ac:dyDescent="0.25">
      <c r="A1932" t="s">
        <v>20</v>
      </c>
      <c r="B1932" t="s">
        <v>21</v>
      </c>
      <c r="C1932" t="s">
        <v>65</v>
      </c>
      <c r="D1932">
        <v>2327.14</v>
      </c>
      <c r="E1932">
        <v>2022</v>
      </c>
      <c r="F1932" t="s">
        <v>64</v>
      </c>
    </row>
    <row r="1933" spans="1:6" x14ac:dyDescent="0.25">
      <c r="A1933" t="s">
        <v>22</v>
      </c>
      <c r="B1933" t="s">
        <v>23</v>
      </c>
      <c r="C1933" t="s">
        <v>65</v>
      </c>
      <c r="D1933">
        <v>2723.94</v>
      </c>
      <c r="E1933">
        <v>2022</v>
      </c>
      <c r="F1933" t="s">
        <v>64</v>
      </c>
    </row>
    <row r="1934" spans="1:6" x14ac:dyDescent="0.25">
      <c r="A1934" t="s">
        <v>24</v>
      </c>
      <c r="B1934" t="s">
        <v>25</v>
      </c>
      <c r="C1934" t="s">
        <v>65</v>
      </c>
      <c r="D1934">
        <v>12555.88</v>
      </c>
      <c r="E1934">
        <v>2022</v>
      </c>
      <c r="F1934" t="s">
        <v>64</v>
      </c>
    </row>
    <row r="1935" spans="1:6" x14ac:dyDescent="0.25">
      <c r="A1935" t="s">
        <v>26</v>
      </c>
      <c r="B1935" t="s">
        <v>27</v>
      </c>
      <c r="C1935" t="s">
        <v>65</v>
      </c>
      <c r="D1935">
        <v>483.32</v>
      </c>
      <c r="E1935">
        <v>2022</v>
      </c>
      <c r="F1935" t="s">
        <v>64</v>
      </c>
    </row>
    <row r="1936" spans="1:6" x14ac:dyDescent="0.25">
      <c r="A1936" t="s">
        <v>28</v>
      </c>
      <c r="B1936" t="s">
        <v>29</v>
      </c>
      <c r="C1936" t="s">
        <v>65</v>
      </c>
      <c r="D1936">
        <v>19304.150000000001</v>
      </c>
      <c r="E1936">
        <v>2022</v>
      </c>
      <c r="F1936" t="s">
        <v>64</v>
      </c>
    </row>
    <row r="1937" spans="1:6" x14ac:dyDescent="0.25">
      <c r="A1937" t="s">
        <v>30</v>
      </c>
      <c r="B1937" t="s">
        <v>31</v>
      </c>
      <c r="C1937" t="s">
        <v>65</v>
      </c>
      <c r="D1937">
        <v>34634.46</v>
      </c>
      <c r="E1937">
        <v>2022</v>
      </c>
      <c r="F1937" t="s">
        <v>64</v>
      </c>
    </row>
    <row r="1938" spans="1:6" x14ac:dyDescent="0.25">
      <c r="A1938" t="s">
        <v>32</v>
      </c>
      <c r="B1938" t="s">
        <v>33</v>
      </c>
      <c r="C1938" t="s">
        <v>65</v>
      </c>
      <c r="D1938">
        <v>1032.54</v>
      </c>
      <c r="E1938">
        <v>2022</v>
      </c>
      <c r="F1938" t="s">
        <v>64</v>
      </c>
    </row>
    <row r="1939" spans="1:6" x14ac:dyDescent="0.25">
      <c r="A1939" t="s">
        <v>34</v>
      </c>
      <c r="B1939" t="s">
        <v>35</v>
      </c>
      <c r="C1939" t="s">
        <v>65</v>
      </c>
      <c r="D1939">
        <v>17555.62</v>
      </c>
      <c r="E1939">
        <v>2022</v>
      </c>
      <c r="F1939" t="s">
        <v>64</v>
      </c>
    </row>
    <row r="1940" spans="1:6" x14ac:dyDescent="0.25">
      <c r="A1940" t="s">
        <v>36</v>
      </c>
      <c r="B1940" t="s">
        <v>37</v>
      </c>
      <c r="C1940" t="s">
        <v>65</v>
      </c>
      <c r="D1940">
        <v>16307.04</v>
      </c>
      <c r="E1940">
        <v>2022</v>
      </c>
      <c r="F1940" t="s">
        <v>64</v>
      </c>
    </row>
    <row r="1941" spans="1:6" x14ac:dyDescent="0.25">
      <c r="A1941" t="s">
        <v>38</v>
      </c>
      <c r="B1941" t="s">
        <v>39</v>
      </c>
      <c r="C1941" t="s">
        <v>65</v>
      </c>
      <c r="D1941">
        <v>36587.089999999997</v>
      </c>
      <c r="E1941">
        <v>2022</v>
      </c>
      <c r="F1941" t="s">
        <v>64</v>
      </c>
    </row>
    <row r="1942" spans="1:6" x14ac:dyDescent="0.25">
      <c r="A1942" t="s">
        <v>40</v>
      </c>
      <c r="B1942" t="s">
        <v>41</v>
      </c>
      <c r="C1942" t="s">
        <v>65</v>
      </c>
      <c r="D1942">
        <v>18977.8</v>
      </c>
      <c r="E1942">
        <v>2022</v>
      </c>
      <c r="F1942" t="s">
        <v>64</v>
      </c>
    </row>
    <row r="1943" spans="1:6" x14ac:dyDescent="0.25">
      <c r="A1943" t="s">
        <v>42</v>
      </c>
      <c r="B1943" t="s">
        <v>43</v>
      </c>
      <c r="C1943" t="s">
        <v>65</v>
      </c>
      <c r="D1943">
        <v>4277.0600000000004</v>
      </c>
      <c r="E1943">
        <v>2022</v>
      </c>
      <c r="F1943" t="s">
        <v>64</v>
      </c>
    </row>
    <row r="1944" spans="1:6" x14ac:dyDescent="0.25">
      <c r="A1944" t="s">
        <v>44</v>
      </c>
      <c r="B1944" t="s">
        <v>45</v>
      </c>
      <c r="C1944" t="s">
        <v>65</v>
      </c>
      <c r="D1944">
        <v>21646.400000000001</v>
      </c>
      <c r="E1944">
        <v>2022</v>
      </c>
      <c r="F1944" t="s">
        <v>64</v>
      </c>
    </row>
    <row r="1945" spans="1:6" x14ac:dyDescent="0.25">
      <c r="A1945" t="s">
        <v>46</v>
      </c>
      <c r="B1945" t="s">
        <v>47</v>
      </c>
      <c r="C1945" t="s">
        <v>65</v>
      </c>
      <c r="D1945">
        <v>29324.11</v>
      </c>
      <c r="E1945">
        <v>2022</v>
      </c>
      <c r="F1945" t="s">
        <v>64</v>
      </c>
    </row>
    <row r="1946" spans="1:6" x14ac:dyDescent="0.25">
      <c r="A1946" t="s">
        <v>48</v>
      </c>
      <c r="B1946" t="s">
        <v>49</v>
      </c>
      <c r="C1946" t="s">
        <v>65</v>
      </c>
      <c r="D1946">
        <v>72295.429999999993</v>
      </c>
      <c r="E1946">
        <v>2022</v>
      </c>
      <c r="F1946" t="s">
        <v>64</v>
      </c>
    </row>
    <row r="1947" spans="1:6" x14ac:dyDescent="0.25">
      <c r="A1947" t="s">
        <v>50</v>
      </c>
      <c r="B1947" t="s">
        <v>51</v>
      </c>
      <c r="C1947" t="s">
        <v>65</v>
      </c>
      <c r="D1947">
        <v>592.28</v>
      </c>
      <c r="E1947">
        <v>2022</v>
      </c>
      <c r="F1947" t="s">
        <v>64</v>
      </c>
    </row>
    <row r="1948" spans="1:6" x14ac:dyDescent="0.25">
      <c r="A1948" t="s">
        <v>52</v>
      </c>
      <c r="B1948" t="s">
        <v>53</v>
      </c>
      <c r="C1948" t="s">
        <v>65</v>
      </c>
      <c r="D1948">
        <v>1238.57</v>
      </c>
      <c r="E1948">
        <v>2022</v>
      </c>
      <c r="F1948" t="s">
        <v>64</v>
      </c>
    </row>
    <row r="1949" spans="1:6" x14ac:dyDescent="0.25">
      <c r="A1949" t="s">
        <v>54</v>
      </c>
      <c r="B1949" t="s">
        <v>55</v>
      </c>
      <c r="C1949" t="s">
        <v>65</v>
      </c>
      <c r="D1949">
        <v>520.99</v>
      </c>
      <c r="E1949">
        <v>2022</v>
      </c>
      <c r="F1949" t="s">
        <v>64</v>
      </c>
    </row>
    <row r="1950" spans="1:6" x14ac:dyDescent="0.25">
      <c r="A1950" t="s">
        <v>56</v>
      </c>
      <c r="B1950" t="s">
        <v>57</v>
      </c>
      <c r="C1950" t="s">
        <v>65</v>
      </c>
      <c r="E1950">
        <v>2022</v>
      </c>
      <c r="F1950" t="s">
        <v>64</v>
      </c>
    </row>
    <row r="1951" spans="1:6" x14ac:dyDescent="0.25">
      <c r="A1951" t="s">
        <v>58</v>
      </c>
      <c r="B1951" t="s">
        <v>59</v>
      </c>
      <c r="C1951" t="s">
        <v>65</v>
      </c>
      <c r="E1951">
        <v>2022</v>
      </c>
      <c r="F1951" t="s">
        <v>64</v>
      </c>
    </row>
    <row r="1952" spans="1:6" x14ac:dyDescent="0.25">
      <c r="A1952" t="s">
        <v>6</v>
      </c>
      <c r="B1952" t="s">
        <v>7</v>
      </c>
      <c r="C1952" t="s">
        <v>62</v>
      </c>
      <c r="E1952">
        <v>2022</v>
      </c>
      <c r="F1952" t="s">
        <v>64</v>
      </c>
    </row>
    <row r="1953" spans="1:6" x14ac:dyDescent="0.25">
      <c r="A1953" t="s">
        <v>10</v>
      </c>
      <c r="B1953" t="s">
        <v>11</v>
      </c>
      <c r="C1953" t="s">
        <v>62</v>
      </c>
      <c r="E1953">
        <v>2022</v>
      </c>
      <c r="F1953" t="s">
        <v>64</v>
      </c>
    </row>
    <row r="1954" spans="1:6" x14ac:dyDescent="0.25">
      <c r="A1954" t="s">
        <v>12</v>
      </c>
      <c r="B1954" t="s">
        <v>13</v>
      </c>
      <c r="C1954" t="s">
        <v>62</v>
      </c>
      <c r="E1954">
        <v>2022</v>
      </c>
      <c r="F1954" t="s">
        <v>64</v>
      </c>
    </row>
    <row r="1955" spans="1:6" x14ac:dyDescent="0.25">
      <c r="A1955" t="s">
        <v>14</v>
      </c>
      <c r="B1955" t="s">
        <v>15</v>
      </c>
      <c r="C1955" t="s">
        <v>62</v>
      </c>
      <c r="E1955">
        <v>2022</v>
      </c>
      <c r="F1955" t="s">
        <v>64</v>
      </c>
    </row>
    <row r="1956" spans="1:6" x14ac:dyDescent="0.25">
      <c r="A1956" t="s">
        <v>16</v>
      </c>
      <c r="B1956" t="s">
        <v>17</v>
      </c>
      <c r="C1956" t="s">
        <v>62</v>
      </c>
      <c r="E1956">
        <v>2022</v>
      </c>
      <c r="F1956" t="s">
        <v>64</v>
      </c>
    </row>
    <row r="1957" spans="1:6" x14ac:dyDescent="0.25">
      <c r="A1957" t="s">
        <v>18</v>
      </c>
      <c r="B1957" t="s">
        <v>19</v>
      </c>
      <c r="C1957" t="s">
        <v>62</v>
      </c>
      <c r="E1957">
        <v>2022</v>
      </c>
      <c r="F1957" t="s">
        <v>64</v>
      </c>
    </row>
    <row r="1958" spans="1:6" x14ac:dyDescent="0.25">
      <c r="A1958" t="s">
        <v>20</v>
      </c>
      <c r="B1958" t="s">
        <v>21</v>
      </c>
      <c r="C1958" t="s">
        <v>62</v>
      </c>
      <c r="E1958">
        <v>2022</v>
      </c>
      <c r="F1958" t="s">
        <v>64</v>
      </c>
    </row>
    <row r="1959" spans="1:6" x14ac:dyDescent="0.25">
      <c r="A1959" t="s">
        <v>22</v>
      </c>
      <c r="B1959" t="s">
        <v>23</v>
      </c>
      <c r="C1959" t="s">
        <v>62</v>
      </c>
      <c r="E1959">
        <v>2022</v>
      </c>
      <c r="F1959" t="s">
        <v>64</v>
      </c>
    </row>
    <row r="1960" spans="1:6" x14ac:dyDescent="0.25">
      <c r="A1960" t="s">
        <v>24</v>
      </c>
      <c r="B1960" t="s">
        <v>25</v>
      </c>
      <c r="C1960" t="s">
        <v>62</v>
      </c>
      <c r="E1960">
        <v>2022</v>
      </c>
      <c r="F1960" t="s">
        <v>64</v>
      </c>
    </row>
    <row r="1961" spans="1:6" x14ac:dyDescent="0.25">
      <c r="A1961" t="s">
        <v>26</v>
      </c>
      <c r="B1961" t="s">
        <v>27</v>
      </c>
      <c r="C1961" t="s">
        <v>62</v>
      </c>
      <c r="E1961">
        <v>2022</v>
      </c>
      <c r="F1961" t="s">
        <v>64</v>
      </c>
    </row>
    <row r="1962" spans="1:6" x14ac:dyDescent="0.25">
      <c r="A1962" t="s">
        <v>28</v>
      </c>
      <c r="B1962" t="s">
        <v>29</v>
      </c>
      <c r="C1962" t="s">
        <v>62</v>
      </c>
      <c r="E1962">
        <v>2022</v>
      </c>
      <c r="F1962" t="s">
        <v>64</v>
      </c>
    </row>
    <row r="1963" spans="1:6" x14ac:dyDescent="0.25">
      <c r="A1963" t="s">
        <v>30</v>
      </c>
      <c r="B1963" t="s">
        <v>31</v>
      </c>
      <c r="C1963" t="s">
        <v>62</v>
      </c>
      <c r="E1963">
        <v>2022</v>
      </c>
      <c r="F1963" t="s">
        <v>64</v>
      </c>
    </row>
    <row r="1964" spans="1:6" x14ac:dyDescent="0.25">
      <c r="A1964" t="s">
        <v>32</v>
      </c>
      <c r="B1964" t="s">
        <v>33</v>
      </c>
      <c r="C1964" t="s">
        <v>62</v>
      </c>
      <c r="E1964">
        <v>2022</v>
      </c>
      <c r="F1964" t="s">
        <v>64</v>
      </c>
    </row>
    <row r="1965" spans="1:6" x14ac:dyDescent="0.25">
      <c r="A1965" t="s">
        <v>34</v>
      </c>
      <c r="B1965" t="s">
        <v>35</v>
      </c>
      <c r="C1965" t="s">
        <v>62</v>
      </c>
      <c r="E1965">
        <v>2022</v>
      </c>
      <c r="F1965" t="s">
        <v>64</v>
      </c>
    </row>
    <row r="1966" spans="1:6" x14ac:dyDescent="0.25">
      <c r="A1966" t="s">
        <v>36</v>
      </c>
      <c r="B1966" t="s">
        <v>37</v>
      </c>
      <c r="C1966" t="s">
        <v>62</v>
      </c>
      <c r="E1966">
        <v>2022</v>
      </c>
      <c r="F1966" t="s">
        <v>64</v>
      </c>
    </row>
    <row r="1967" spans="1:6" x14ac:dyDescent="0.25">
      <c r="A1967" t="s">
        <v>38</v>
      </c>
      <c r="B1967" t="s">
        <v>39</v>
      </c>
      <c r="C1967" t="s">
        <v>62</v>
      </c>
      <c r="E1967">
        <v>2022</v>
      </c>
      <c r="F1967" t="s">
        <v>64</v>
      </c>
    </row>
    <row r="1968" spans="1:6" x14ac:dyDescent="0.25">
      <c r="A1968" t="s">
        <v>40</v>
      </c>
      <c r="B1968" t="s">
        <v>41</v>
      </c>
      <c r="C1968" t="s">
        <v>62</v>
      </c>
      <c r="E1968">
        <v>2022</v>
      </c>
      <c r="F1968" t="s">
        <v>64</v>
      </c>
    </row>
    <row r="1969" spans="1:6" x14ac:dyDescent="0.25">
      <c r="A1969" t="s">
        <v>42</v>
      </c>
      <c r="B1969" t="s">
        <v>43</v>
      </c>
      <c r="C1969" t="s">
        <v>62</v>
      </c>
      <c r="E1969">
        <v>2022</v>
      </c>
      <c r="F1969" t="s">
        <v>64</v>
      </c>
    </row>
    <row r="1970" spans="1:6" x14ac:dyDescent="0.25">
      <c r="A1970" t="s">
        <v>44</v>
      </c>
      <c r="B1970" t="s">
        <v>45</v>
      </c>
      <c r="C1970" t="s">
        <v>62</v>
      </c>
      <c r="E1970">
        <v>2022</v>
      </c>
      <c r="F1970" t="s">
        <v>64</v>
      </c>
    </row>
    <row r="1971" spans="1:6" x14ac:dyDescent="0.25">
      <c r="A1971" t="s">
        <v>46</v>
      </c>
      <c r="B1971" t="s">
        <v>47</v>
      </c>
      <c r="C1971" t="s">
        <v>62</v>
      </c>
      <c r="E1971">
        <v>2022</v>
      </c>
      <c r="F1971" t="s">
        <v>64</v>
      </c>
    </row>
    <row r="1972" spans="1:6" x14ac:dyDescent="0.25">
      <c r="A1972" t="s">
        <v>48</v>
      </c>
      <c r="B1972" t="s">
        <v>49</v>
      </c>
      <c r="C1972" t="s">
        <v>62</v>
      </c>
      <c r="E1972">
        <v>2022</v>
      </c>
      <c r="F1972" t="s">
        <v>64</v>
      </c>
    </row>
    <row r="1973" spans="1:6" x14ac:dyDescent="0.25">
      <c r="A1973" t="s">
        <v>50</v>
      </c>
      <c r="B1973" t="s">
        <v>51</v>
      </c>
      <c r="C1973" t="s">
        <v>62</v>
      </c>
      <c r="E1973">
        <v>2022</v>
      </c>
      <c r="F1973" t="s">
        <v>64</v>
      </c>
    </row>
    <row r="1974" spans="1:6" x14ac:dyDescent="0.25">
      <c r="A1974" t="s">
        <v>52</v>
      </c>
      <c r="B1974" t="s">
        <v>53</v>
      </c>
      <c r="C1974" t="s">
        <v>62</v>
      </c>
      <c r="E1974">
        <v>2022</v>
      </c>
      <c r="F1974" t="s">
        <v>64</v>
      </c>
    </row>
    <row r="1975" spans="1:6" x14ac:dyDescent="0.25">
      <c r="A1975" t="s">
        <v>54</v>
      </c>
      <c r="B1975" t="s">
        <v>55</v>
      </c>
      <c r="C1975" t="s">
        <v>62</v>
      </c>
      <c r="E1975">
        <v>2022</v>
      </c>
      <c r="F1975" t="s">
        <v>64</v>
      </c>
    </row>
    <row r="1976" spans="1:6" x14ac:dyDescent="0.25">
      <c r="A1976" t="s">
        <v>56</v>
      </c>
      <c r="B1976" t="s">
        <v>57</v>
      </c>
      <c r="C1976" t="s">
        <v>62</v>
      </c>
      <c r="E1976">
        <v>2022</v>
      </c>
      <c r="F1976" t="s">
        <v>64</v>
      </c>
    </row>
    <row r="1977" spans="1:6" x14ac:dyDescent="0.25">
      <c r="A1977" t="s">
        <v>58</v>
      </c>
      <c r="B1977" t="s">
        <v>59</v>
      </c>
      <c r="C1977" t="s">
        <v>62</v>
      </c>
      <c r="E1977">
        <v>2022</v>
      </c>
      <c r="F1977" t="s">
        <v>64</v>
      </c>
    </row>
    <row r="1978" spans="1:6" x14ac:dyDescent="0.25">
      <c r="A1978" t="s">
        <v>6</v>
      </c>
      <c r="B1978" t="s">
        <v>7</v>
      </c>
      <c r="C1978" t="s">
        <v>66</v>
      </c>
      <c r="E1978">
        <v>2022</v>
      </c>
      <c r="F1978" t="s">
        <v>64</v>
      </c>
    </row>
    <row r="1979" spans="1:6" x14ac:dyDescent="0.25">
      <c r="A1979" t="s">
        <v>10</v>
      </c>
      <c r="B1979" t="s">
        <v>11</v>
      </c>
      <c r="C1979" t="s">
        <v>66</v>
      </c>
      <c r="E1979">
        <v>2022</v>
      </c>
      <c r="F1979" t="s">
        <v>64</v>
      </c>
    </row>
    <row r="1980" spans="1:6" x14ac:dyDescent="0.25">
      <c r="A1980" t="s">
        <v>12</v>
      </c>
      <c r="B1980" t="s">
        <v>13</v>
      </c>
      <c r="C1980" t="s">
        <v>66</v>
      </c>
      <c r="E1980">
        <v>2022</v>
      </c>
      <c r="F1980" t="s">
        <v>64</v>
      </c>
    </row>
    <row r="1981" spans="1:6" x14ac:dyDescent="0.25">
      <c r="A1981" t="s">
        <v>14</v>
      </c>
      <c r="B1981" t="s">
        <v>15</v>
      </c>
      <c r="C1981" t="s">
        <v>66</v>
      </c>
      <c r="E1981">
        <v>2022</v>
      </c>
      <c r="F1981" t="s">
        <v>64</v>
      </c>
    </row>
    <row r="1982" spans="1:6" x14ac:dyDescent="0.25">
      <c r="A1982" t="s">
        <v>16</v>
      </c>
      <c r="B1982" t="s">
        <v>17</v>
      </c>
      <c r="C1982" t="s">
        <v>66</v>
      </c>
      <c r="E1982">
        <v>2022</v>
      </c>
      <c r="F1982" t="s">
        <v>64</v>
      </c>
    </row>
    <row r="1983" spans="1:6" x14ac:dyDescent="0.25">
      <c r="A1983" t="s">
        <v>18</v>
      </c>
      <c r="B1983" t="s">
        <v>19</v>
      </c>
      <c r="C1983" t="s">
        <v>66</v>
      </c>
      <c r="E1983">
        <v>2022</v>
      </c>
      <c r="F1983" t="s">
        <v>64</v>
      </c>
    </row>
    <row r="1984" spans="1:6" x14ac:dyDescent="0.25">
      <c r="A1984" t="s">
        <v>20</v>
      </c>
      <c r="B1984" t="s">
        <v>21</v>
      </c>
      <c r="C1984" t="s">
        <v>66</v>
      </c>
      <c r="E1984">
        <v>2022</v>
      </c>
      <c r="F1984" t="s">
        <v>64</v>
      </c>
    </row>
    <row r="1985" spans="1:6" x14ac:dyDescent="0.25">
      <c r="A1985" t="s">
        <v>22</v>
      </c>
      <c r="B1985" t="s">
        <v>23</v>
      </c>
      <c r="C1985" t="s">
        <v>66</v>
      </c>
      <c r="E1985">
        <v>2022</v>
      </c>
      <c r="F1985" t="s">
        <v>64</v>
      </c>
    </row>
    <row r="1986" spans="1:6" x14ac:dyDescent="0.25">
      <c r="A1986" t="s">
        <v>24</v>
      </c>
      <c r="B1986" t="s">
        <v>25</v>
      </c>
      <c r="C1986" t="s">
        <v>66</v>
      </c>
      <c r="E1986">
        <v>2022</v>
      </c>
      <c r="F1986" t="s">
        <v>64</v>
      </c>
    </row>
    <row r="1987" spans="1:6" x14ac:dyDescent="0.25">
      <c r="A1987" t="s">
        <v>26</v>
      </c>
      <c r="B1987" t="s">
        <v>27</v>
      </c>
      <c r="C1987" t="s">
        <v>66</v>
      </c>
      <c r="E1987">
        <v>2022</v>
      </c>
      <c r="F1987" t="s">
        <v>64</v>
      </c>
    </row>
    <row r="1988" spans="1:6" x14ac:dyDescent="0.25">
      <c r="A1988" t="s">
        <v>28</v>
      </c>
      <c r="B1988" t="s">
        <v>29</v>
      </c>
      <c r="C1988" t="s">
        <v>66</v>
      </c>
      <c r="E1988">
        <v>2022</v>
      </c>
      <c r="F1988" t="s">
        <v>64</v>
      </c>
    </row>
    <row r="1989" spans="1:6" x14ac:dyDescent="0.25">
      <c r="A1989" t="s">
        <v>30</v>
      </c>
      <c r="B1989" t="s">
        <v>31</v>
      </c>
      <c r="C1989" t="s">
        <v>66</v>
      </c>
      <c r="E1989">
        <v>2022</v>
      </c>
      <c r="F1989" t="s">
        <v>64</v>
      </c>
    </row>
    <row r="1990" spans="1:6" x14ac:dyDescent="0.25">
      <c r="A1990" t="s">
        <v>32</v>
      </c>
      <c r="B1990" t="s">
        <v>33</v>
      </c>
      <c r="C1990" t="s">
        <v>66</v>
      </c>
      <c r="E1990">
        <v>2022</v>
      </c>
      <c r="F1990" t="s">
        <v>64</v>
      </c>
    </row>
    <row r="1991" spans="1:6" x14ac:dyDescent="0.25">
      <c r="A1991" t="s">
        <v>34</v>
      </c>
      <c r="B1991" t="s">
        <v>35</v>
      </c>
      <c r="C1991" t="s">
        <v>66</v>
      </c>
      <c r="E1991">
        <v>2022</v>
      </c>
      <c r="F1991" t="s">
        <v>64</v>
      </c>
    </row>
    <row r="1992" spans="1:6" x14ac:dyDescent="0.25">
      <c r="A1992" t="s">
        <v>36</v>
      </c>
      <c r="B1992" t="s">
        <v>37</v>
      </c>
      <c r="C1992" t="s">
        <v>66</v>
      </c>
      <c r="E1992">
        <v>2022</v>
      </c>
      <c r="F1992" t="s">
        <v>64</v>
      </c>
    </row>
    <row r="1993" spans="1:6" x14ac:dyDescent="0.25">
      <c r="A1993" t="s">
        <v>38</v>
      </c>
      <c r="B1993" t="s">
        <v>39</v>
      </c>
      <c r="C1993" t="s">
        <v>66</v>
      </c>
      <c r="E1993">
        <v>2022</v>
      </c>
      <c r="F1993" t="s">
        <v>64</v>
      </c>
    </row>
    <row r="1994" spans="1:6" x14ac:dyDescent="0.25">
      <c r="A1994" t="s">
        <v>40</v>
      </c>
      <c r="B1994" t="s">
        <v>41</v>
      </c>
      <c r="C1994" t="s">
        <v>66</v>
      </c>
      <c r="E1994">
        <v>2022</v>
      </c>
      <c r="F1994" t="s">
        <v>64</v>
      </c>
    </row>
    <row r="1995" spans="1:6" x14ac:dyDescent="0.25">
      <c r="A1995" t="s">
        <v>42</v>
      </c>
      <c r="B1995" t="s">
        <v>43</v>
      </c>
      <c r="C1995" t="s">
        <v>66</v>
      </c>
      <c r="E1995">
        <v>2022</v>
      </c>
      <c r="F1995" t="s">
        <v>64</v>
      </c>
    </row>
    <row r="1996" spans="1:6" x14ac:dyDescent="0.25">
      <c r="A1996" t="s">
        <v>44</v>
      </c>
      <c r="B1996" t="s">
        <v>45</v>
      </c>
      <c r="C1996" t="s">
        <v>66</v>
      </c>
      <c r="E1996">
        <v>2022</v>
      </c>
      <c r="F1996" t="s">
        <v>64</v>
      </c>
    </row>
    <row r="1997" spans="1:6" x14ac:dyDescent="0.25">
      <c r="A1997" t="s">
        <v>46</v>
      </c>
      <c r="B1997" t="s">
        <v>47</v>
      </c>
      <c r="C1997" t="s">
        <v>66</v>
      </c>
      <c r="E1997">
        <v>2022</v>
      </c>
      <c r="F1997" t="s">
        <v>64</v>
      </c>
    </row>
    <row r="1998" spans="1:6" x14ac:dyDescent="0.25">
      <c r="A1998" t="s">
        <v>48</v>
      </c>
      <c r="B1998" t="s">
        <v>49</v>
      </c>
      <c r="C1998" t="s">
        <v>66</v>
      </c>
      <c r="E1998">
        <v>2022</v>
      </c>
      <c r="F1998" t="s">
        <v>64</v>
      </c>
    </row>
    <row r="1999" spans="1:6" x14ac:dyDescent="0.25">
      <c r="A1999" t="s">
        <v>50</v>
      </c>
      <c r="B1999" t="s">
        <v>51</v>
      </c>
      <c r="C1999" t="s">
        <v>66</v>
      </c>
      <c r="E1999">
        <v>2022</v>
      </c>
      <c r="F1999" t="s">
        <v>64</v>
      </c>
    </row>
    <row r="2000" spans="1:6" x14ac:dyDescent="0.25">
      <c r="A2000" t="s">
        <v>52</v>
      </c>
      <c r="B2000" t="s">
        <v>53</v>
      </c>
      <c r="C2000" t="s">
        <v>66</v>
      </c>
      <c r="E2000">
        <v>2022</v>
      </c>
      <c r="F2000" t="s">
        <v>64</v>
      </c>
    </row>
    <row r="2001" spans="1:6" x14ac:dyDescent="0.25">
      <c r="A2001" t="s">
        <v>54</v>
      </c>
      <c r="B2001" t="s">
        <v>55</v>
      </c>
      <c r="C2001" t="s">
        <v>66</v>
      </c>
      <c r="E2001">
        <v>2022</v>
      </c>
      <c r="F2001" t="s">
        <v>64</v>
      </c>
    </row>
    <row r="2002" spans="1:6" x14ac:dyDescent="0.25">
      <c r="A2002" t="s">
        <v>56</v>
      </c>
      <c r="B2002" t="s">
        <v>57</v>
      </c>
      <c r="C2002" t="s">
        <v>66</v>
      </c>
      <c r="E2002">
        <v>2022</v>
      </c>
      <c r="F2002" t="s">
        <v>64</v>
      </c>
    </row>
    <row r="2003" spans="1:6" x14ac:dyDescent="0.25">
      <c r="A2003" t="s">
        <v>58</v>
      </c>
      <c r="B2003" t="s">
        <v>59</v>
      </c>
      <c r="C2003" t="s">
        <v>66</v>
      </c>
      <c r="E2003">
        <v>2022</v>
      </c>
      <c r="F2003" t="s">
        <v>64</v>
      </c>
    </row>
    <row r="2004" spans="1:6" x14ac:dyDescent="0.25">
      <c r="A2004" t="s">
        <v>6</v>
      </c>
      <c r="B2004" t="s">
        <v>7</v>
      </c>
      <c r="C2004" t="s">
        <v>8</v>
      </c>
      <c r="D2004">
        <v>101056881</v>
      </c>
      <c r="E2004">
        <v>2016</v>
      </c>
      <c r="F2004" t="s">
        <v>67</v>
      </c>
    </row>
    <row r="2005" spans="1:6" x14ac:dyDescent="0.25">
      <c r="A2005" t="s">
        <v>10</v>
      </c>
      <c r="B2005" t="s">
        <v>11</v>
      </c>
      <c r="C2005" t="s">
        <v>8</v>
      </c>
      <c r="D2005">
        <v>31016877</v>
      </c>
      <c r="E2005">
        <v>2016</v>
      </c>
      <c r="F2005" t="s">
        <v>67</v>
      </c>
    </row>
    <row r="2006" spans="1:6" x14ac:dyDescent="0.25">
      <c r="A2006" t="s">
        <v>12</v>
      </c>
      <c r="B2006" t="s">
        <v>13</v>
      </c>
      <c r="C2006" t="s">
        <v>8</v>
      </c>
      <c r="D2006">
        <v>4488877</v>
      </c>
      <c r="E2006">
        <v>2016</v>
      </c>
      <c r="F2006" t="s">
        <v>67</v>
      </c>
    </row>
    <row r="2007" spans="1:6" x14ac:dyDescent="0.25">
      <c r="A2007" t="s">
        <v>14</v>
      </c>
      <c r="B2007" t="s">
        <v>15</v>
      </c>
      <c r="C2007" t="s">
        <v>8</v>
      </c>
      <c r="E2007">
        <v>2016</v>
      </c>
      <c r="F2007" t="s">
        <v>67</v>
      </c>
    </row>
    <row r="2008" spans="1:6" x14ac:dyDescent="0.25">
      <c r="A2008" t="s">
        <v>16</v>
      </c>
      <c r="B2008" t="s">
        <v>17</v>
      </c>
      <c r="C2008" t="s">
        <v>8</v>
      </c>
      <c r="D2008">
        <v>2278349</v>
      </c>
      <c r="E2008">
        <v>2016</v>
      </c>
      <c r="F2008" t="s">
        <v>67</v>
      </c>
    </row>
    <row r="2009" spans="1:6" x14ac:dyDescent="0.25">
      <c r="A2009" t="s">
        <v>18</v>
      </c>
      <c r="B2009" t="s">
        <v>19</v>
      </c>
      <c r="C2009" t="s">
        <v>8</v>
      </c>
      <c r="D2009">
        <v>2538829</v>
      </c>
      <c r="E2009">
        <v>2016</v>
      </c>
      <c r="F2009" t="s">
        <v>67</v>
      </c>
    </row>
    <row r="2010" spans="1:6" x14ac:dyDescent="0.25">
      <c r="A2010" t="s">
        <v>20</v>
      </c>
      <c r="B2010" t="s">
        <v>21</v>
      </c>
      <c r="C2010" t="s">
        <v>8</v>
      </c>
      <c r="D2010">
        <v>1195228</v>
      </c>
      <c r="E2010">
        <v>2016</v>
      </c>
      <c r="F2010" t="s">
        <v>67</v>
      </c>
    </row>
    <row r="2011" spans="1:6" x14ac:dyDescent="0.25">
      <c r="A2011" t="s">
        <v>22</v>
      </c>
      <c r="B2011" t="s">
        <v>23</v>
      </c>
      <c r="C2011" t="s">
        <v>8</v>
      </c>
      <c r="D2011">
        <v>13803356</v>
      </c>
      <c r="E2011">
        <v>2016</v>
      </c>
      <c r="F2011" t="s">
        <v>67</v>
      </c>
    </row>
    <row r="2012" spans="1:6" x14ac:dyDescent="0.25">
      <c r="A2012" t="s">
        <v>24</v>
      </c>
      <c r="B2012" t="s">
        <v>25</v>
      </c>
      <c r="C2012" t="s">
        <v>8</v>
      </c>
      <c r="D2012">
        <v>12290612</v>
      </c>
      <c r="E2012">
        <v>2016</v>
      </c>
      <c r="F2012" t="s">
        <v>67</v>
      </c>
    </row>
    <row r="2013" spans="1:6" x14ac:dyDescent="0.25">
      <c r="A2013" t="s">
        <v>26</v>
      </c>
      <c r="B2013" t="s">
        <v>27</v>
      </c>
      <c r="C2013" t="s">
        <v>8</v>
      </c>
      <c r="D2013">
        <v>1135090</v>
      </c>
      <c r="E2013">
        <v>2016</v>
      </c>
      <c r="F2013" t="s">
        <v>67</v>
      </c>
    </row>
    <row r="2014" spans="1:6" x14ac:dyDescent="0.25">
      <c r="A2014" t="s">
        <v>28</v>
      </c>
      <c r="B2014" t="s">
        <v>29</v>
      </c>
      <c r="C2014" t="s">
        <v>8</v>
      </c>
      <c r="E2014">
        <v>2016</v>
      </c>
      <c r="F2014" t="s">
        <v>67</v>
      </c>
    </row>
    <row r="2015" spans="1:6" x14ac:dyDescent="0.25">
      <c r="A2015" t="s">
        <v>30</v>
      </c>
      <c r="B2015" t="s">
        <v>31</v>
      </c>
      <c r="C2015" t="s">
        <v>8</v>
      </c>
      <c r="D2015">
        <v>4951722</v>
      </c>
      <c r="E2015">
        <v>2016</v>
      </c>
      <c r="F2015" t="s">
        <v>67</v>
      </c>
    </row>
    <row r="2016" spans="1:6" x14ac:dyDescent="0.25">
      <c r="A2016" t="s">
        <v>32</v>
      </c>
      <c r="B2016" t="s">
        <v>33</v>
      </c>
      <c r="C2016" t="s">
        <v>8</v>
      </c>
      <c r="D2016">
        <v>2754327</v>
      </c>
      <c r="E2016">
        <v>2016</v>
      </c>
      <c r="F2016" t="s">
        <v>67</v>
      </c>
    </row>
    <row r="2017" spans="1:6" x14ac:dyDescent="0.25">
      <c r="A2017" t="s">
        <v>34</v>
      </c>
      <c r="B2017" t="s">
        <v>35</v>
      </c>
      <c r="C2017" t="s">
        <v>8</v>
      </c>
      <c r="D2017">
        <v>5032232</v>
      </c>
      <c r="E2017">
        <v>2016</v>
      </c>
      <c r="F2017" t="s">
        <v>67</v>
      </c>
    </row>
    <row r="2018" spans="1:6" x14ac:dyDescent="0.25">
      <c r="A2018" t="s">
        <v>36</v>
      </c>
      <c r="B2018" t="s">
        <v>37</v>
      </c>
      <c r="C2018" t="s">
        <v>8</v>
      </c>
      <c r="D2018">
        <v>4006104</v>
      </c>
      <c r="E2018">
        <v>2016</v>
      </c>
      <c r="F2018" t="s">
        <v>67</v>
      </c>
    </row>
    <row r="2019" spans="1:6" x14ac:dyDescent="0.25">
      <c r="A2019" t="s">
        <v>38</v>
      </c>
      <c r="B2019" t="s">
        <v>39</v>
      </c>
      <c r="C2019" t="s">
        <v>8</v>
      </c>
      <c r="D2019">
        <v>1020551</v>
      </c>
      <c r="E2019">
        <v>2016</v>
      </c>
      <c r="F2019" t="s">
        <v>67</v>
      </c>
    </row>
    <row r="2020" spans="1:6" x14ac:dyDescent="0.25">
      <c r="A2020" t="s">
        <v>40</v>
      </c>
      <c r="B2020" t="s">
        <v>41</v>
      </c>
      <c r="C2020" t="s">
        <v>8</v>
      </c>
      <c r="D2020">
        <v>3933024</v>
      </c>
      <c r="E2020">
        <v>2016</v>
      </c>
      <c r="F2020" t="s">
        <v>67</v>
      </c>
    </row>
    <row r="2021" spans="1:6" x14ac:dyDescent="0.25">
      <c r="A2021" t="s">
        <v>42</v>
      </c>
      <c r="B2021" t="s">
        <v>43</v>
      </c>
      <c r="C2021" t="s">
        <v>8</v>
      </c>
      <c r="D2021">
        <v>320721</v>
      </c>
      <c r="E2021">
        <v>2016</v>
      </c>
      <c r="F2021" t="s">
        <v>67</v>
      </c>
    </row>
    <row r="2022" spans="1:6" x14ac:dyDescent="0.25">
      <c r="A2022" t="s">
        <v>44</v>
      </c>
      <c r="B2022" t="s">
        <v>45</v>
      </c>
      <c r="C2022" t="s">
        <v>8</v>
      </c>
      <c r="D2022">
        <v>1703095</v>
      </c>
      <c r="E2022">
        <v>2016</v>
      </c>
      <c r="F2022" t="s">
        <v>67</v>
      </c>
    </row>
    <row r="2023" spans="1:6" x14ac:dyDescent="0.25">
      <c r="A2023" t="s">
        <v>46</v>
      </c>
      <c r="B2023" t="s">
        <v>47</v>
      </c>
      <c r="C2023" t="s">
        <v>8</v>
      </c>
      <c r="D2023">
        <v>1367467</v>
      </c>
      <c r="E2023">
        <v>2016</v>
      </c>
      <c r="F2023" t="s">
        <v>67</v>
      </c>
    </row>
    <row r="2024" spans="1:6" x14ac:dyDescent="0.25">
      <c r="A2024" t="s">
        <v>48</v>
      </c>
      <c r="B2024" t="s">
        <v>49</v>
      </c>
      <c r="C2024" t="s">
        <v>8</v>
      </c>
      <c r="D2024">
        <v>148983</v>
      </c>
      <c r="E2024">
        <v>2016</v>
      </c>
      <c r="F2024" t="s">
        <v>67</v>
      </c>
    </row>
    <row r="2025" spans="1:6" x14ac:dyDescent="0.25">
      <c r="A2025" t="s">
        <v>50</v>
      </c>
      <c r="B2025" t="s">
        <v>51</v>
      </c>
      <c r="C2025" t="s">
        <v>8</v>
      </c>
      <c r="D2025">
        <v>140001</v>
      </c>
      <c r="E2025">
        <v>2016</v>
      </c>
      <c r="F2025" t="s">
        <v>67</v>
      </c>
    </row>
    <row r="2026" spans="1:6" x14ac:dyDescent="0.25">
      <c r="A2026" t="s">
        <v>52</v>
      </c>
      <c r="B2026" t="s">
        <v>53</v>
      </c>
      <c r="C2026" t="s">
        <v>8</v>
      </c>
      <c r="D2026">
        <v>1169120</v>
      </c>
      <c r="E2026">
        <v>2016</v>
      </c>
      <c r="F2026" t="s">
        <v>67</v>
      </c>
    </row>
    <row r="2027" spans="1:6" x14ac:dyDescent="0.25">
      <c r="A2027" t="s">
        <v>54</v>
      </c>
      <c r="B2027" t="s">
        <v>55</v>
      </c>
      <c r="C2027" t="s">
        <v>8</v>
      </c>
      <c r="D2027">
        <v>232095</v>
      </c>
      <c r="E2027">
        <v>2016</v>
      </c>
      <c r="F2027" t="s">
        <v>67</v>
      </c>
    </row>
    <row r="2028" spans="1:6" x14ac:dyDescent="0.25">
      <c r="A2028" t="s">
        <v>56</v>
      </c>
      <c r="B2028" t="s">
        <v>57</v>
      </c>
      <c r="C2028" t="s">
        <v>8</v>
      </c>
      <c r="D2028">
        <v>2499647</v>
      </c>
      <c r="E2028">
        <v>2016</v>
      </c>
      <c r="F2028" t="s">
        <v>67</v>
      </c>
    </row>
    <row r="2029" spans="1:6" x14ac:dyDescent="0.25">
      <c r="A2029" t="s">
        <v>58</v>
      </c>
      <c r="B2029" t="s">
        <v>59</v>
      </c>
      <c r="C2029" t="s">
        <v>8</v>
      </c>
      <c r="D2029">
        <v>3030562</v>
      </c>
      <c r="E2029">
        <v>2016</v>
      </c>
      <c r="F2029" t="s">
        <v>67</v>
      </c>
    </row>
    <row r="2030" spans="1:6" x14ac:dyDescent="0.25">
      <c r="A2030" t="s">
        <v>6</v>
      </c>
      <c r="B2030" t="s">
        <v>7</v>
      </c>
      <c r="C2030" t="s">
        <v>61</v>
      </c>
      <c r="D2030">
        <v>632851339</v>
      </c>
      <c r="E2030">
        <v>2016</v>
      </c>
      <c r="F2030" t="s">
        <v>67</v>
      </c>
    </row>
    <row r="2031" spans="1:6" x14ac:dyDescent="0.25">
      <c r="A2031" t="s">
        <v>10</v>
      </c>
      <c r="B2031" t="s">
        <v>11</v>
      </c>
      <c r="C2031" t="s">
        <v>61</v>
      </c>
      <c r="D2031">
        <v>286681305</v>
      </c>
      <c r="E2031">
        <v>2016</v>
      </c>
      <c r="F2031" t="s">
        <v>67</v>
      </c>
    </row>
    <row r="2032" spans="1:6" x14ac:dyDescent="0.25">
      <c r="A2032" t="s">
        <v>12</v>
      </c>
      <c r="B2032" t="s">
        <v>13</v>
      </c>
      <c r="C2032" t="s">
        <v>61</v>
      </c>
      <c r="D2032">
        <v>22386232</v>
      </c>
      <c r="E2032">
        <v>2016</v>
      </c>
      <c r="F2032" t="s">
        <v>67</v>
      </c>
    </row>
    <row r="2033" spans="1:6" x14ac:dyDescent="0.25">
      <c r="A2033" t="s">
        <v>14</v>
      </c>
      <c r="B2033" t="s">
        <v>15</v>
      </c>
      <c r="C2033" t="s">
        <v>61</v>
      </c>
      <c r="D2033">
        <v>251952</v>
      </c>
      <c r="E2033">
        <v>2016</v>
      </c>
      <c r="F2033" t="s">
        <v>67</v>
      </c>
    </row>
    <row r="2034" spans="1:6" x14ac:dyDescent="0.25">
      <c r="A2034" t="s">
        <v>16</v>
      </c>
      <c r="B2034" t="s">
        <v>17</v>
      </c>
      <c r="C2034" t="s">
        <v>61</v>
      </c>
      <c r="D2034">
        <v>28462782</v>
      </c>
      <c r="E2034">
        <v>2016</v>
      </c>
      <c r="F2034" t="s">
        <v>67</v>
      </c>
    </row>
    <row r="2035" spans="1:6" x14ac:dyDescent="0.25">
      <c r="A2035" t="s">
        <v>18</v>
      </c>
      <c r="B2035" t="s">
        <v>19</v>
      </c>
      <c r="C2035" t="s">
        <v>61</v>
      </c>
      <c r="D2035">
        <v>28937982</v>
      </c>
      <c r="E2035">
        <v>2016</v>
      </c>
      <c r="F2035" t="s">
        <v>67</v>
      </c>
    </row>
    <row r="2036" spans="1:6" x14ac:dyDescent="0.25">
      <c r="A2036" t="s">
        <v>20</v>
      </c>
      <c r="B2036" t="s">
        <v>21</v>
      </c>
      <c r="C2036" t="s">
        <v>61</v>
      </c>
      <c r="D2036">
        <v>5392632</v>
      </c>
      <c r="E2036">
        <v>2016</v>
      </c>
      <c r="F2036" t="s">
        <v>67</v>
      </c>
    </row>
    <row r="2037" spans="1:6" x14ac:dyDescent="0.25">
      <c r="A2037" t="s">
        <v>22</v>
      </c>
      <c r="B2037" t="s">
        <v>23</v>
      </c>
      <c r="C2037" t="s">
        <v>61</v>
      </c>
      <c r="D2037">
        <v>14436666</v>
      </c>
      <c r="E2037">
        <v>2016</v>
      </c>
      <c r="F2037" t="s">
        <v>67</v>
      </c>
    </row>
    <row r="2038" spans="1:6" x14ac:dyDescent="0.25">
      <c r="A2038" t="s">
        <v>24</v>
      </c>
      <c r="B2038" t="s">
        <v>25</v>
      </c>
      <c r="C2038" t="s">
        <v>61</v>
      </c>
      <c r="D2038">
        <v>24113935</v>
      </c>
      <c r="E2038">
        <v>2016</v>
      </c>
      <c r="F2038" t="s">
        <v>67</v>
      </c>
    </row>
    <row r="2039" spans="1:6" x14ac:dyDescent="0.25">
      <c r="A2039" t="s">
        <v>26</v>
      </c>
      <c r="B2039" t="s">
        <v>27</v>
      </c>
      <c r="C2039" t="s">
        <v>61</v>
      </c>
      <c r="D2039">
        <v>13214916</v>
      </c>
      <c r="E2039">
        <v>2016</v>
      </c>
      <c r="F2039" t="s">
        <v>67</v>
      </c>
    </row>
    <row r="2040" spans="1:6" x14ac:dyDescent="0.25">
      <c r="A2040" t="s">
        <v>28</v>
      </c>
      <c r="B2040" t="s">
        <v>29</v>
      </c>
      <c r="C2040" t="s">
        <v>61</v>
      </c>
      <c r="D2040">
        <v>1366092</v>
      </c>
      <c r="E2040">
        <v>2016</v>
      </c>
      <c r="F2040" t="s">
        <v>67</v>
      </c>
    </row>
    <row r="2041" spans="1:6" x14ac:dyDescent="0.25">
      <c r="A2041" t="s">
        <v>30</v>
      </c>
      <c r="B2041" t="s">
        <v>31</v>
      </c>
      <c r="C2041" t="s">
        <v>61</v>
      </c>
      <c r="D2041">
        <v>21325121</v>
      </c>
      <c r="E2041">
        <v>2016</v>
      </c>
      <c r="F2041" t="s">
        <v>67</v>
      </c>
    </row>
    <row r="2042" spans="1:6" x14ac:dyDescent="0.25">
      <c r="A2042" t="s">
        <v>32</v>
      </c>
      <c r="B2042" t="s">
        <v>33</v>
      </c>
      <c r="C2042" t="s">
        <v>61</v>
      </c>
      <c r="D2042">
        <v>10937136</v>
      </c>
      <c r="E2042">
        <v>2016</v>
      </c>
      <c r="F2042" t="s">
        <v>67</v>
      </c>
    </row>
    <row r="2043" spans="1:6" x14ac:dyDescent="0.25">
      <c r="A2043" t="s">
        <v>34</v>
      </c>
      <c r="B2043" t="s">
        <v>35</v>
      </c>
      <c r="C2043" t="s">
        <v>61</v>
      </c>
      <c r="D2043">
        <v>41308706</v>
      </c>
      <c r="E2043">
        <v>2016</v>
      </c>
      <c r="F2043" t="s">
        <v>67</v>
      </c>
    </row>
    <row r="2044" spans="1:6" x14ac:dyDescent="0.25">
      <c r="A2044" t="s">
        <v>36</v>
      </c>
      <c r="B2044" t="s">
        <v>37</v>
      </c>
      <c r="C2044" t="s">
        <v>61</v>
      </c>
      <c r="D2044">
        <v>31081770</v>
      </c>
      <c r="E2044">
        <v>2016</v>
      </c>
      <c r="F2044" t="s">
        <v>67</v>
      </c>
    </row>
    <row r="2045" spans="1:6" x14ac:dyDescent="0.25">
      <c r="A2045" t="s">
        <v>38</v>
      </c>
      <c r="B2045" t="s">
        <v>39</v>
      </c>
      <c r="C2045" t="s">
        <v>61</v>
      </c>
      <c r="D2045">
        <v>21570007</v>
      </c>
      <c r="E2045">
        <v>2016</v>
      </c>
      <c r="F2045" t="s">
        <v>67</v>
      </c>
    </row>
    <row r="2046" spans="1:6" x14ac:dyDescent="0.25">
      <c r="A2046" t="s">
        <v>40</v>
      </c>
      <c r="B2046" t="s">
        <v>41</v>
      </c>
      <c r="C2046" t="s">
        <v>61</v>
      </c>
      <c r="D2046">
        <v>14697216</v>
      </c>
      <c r="E2046">
        <v>2016</v>
      </c>
      <c r="F2046" t="s">
        <v>67</v>
      </c>
    </row>
    <row r="2047" spans="1:6" x14ac:dyDescent="0.25">
      <c r="A2047" t="s">
        <v>42</v>
      </c>
      <c r="B2047" t="s">
        <v>43</v>
      </c>
      <c r="C2047" t="s">
        <v>61</v>
      </c>
      <c r="D2047">
        <v>1684848</v>
      </c>
      <c r="E2047">
        <v>2016</v>
      </c>
      <c r="F2047" t="s">
        <v>67</v>
      </c>
    </row>
    <row r="2048" spans="1:6" x14ac:dyDescent="0.25">
      <c r="A2048" t="s">
        <v>44</v>
      </c>
      <c r="B2048" t="s">
        <v>45</v>
      </c>
      <c r="C2048" t="s">
        <v>61</v>
      </c>
      <c r="D2048">
        <v>14566728</v>
      </c>
      <c r="E2048">
        <v>2016</v>
      </c>
      <c r="F2048" t="s">
        <v>67</v>
      </c>
    </row>
    <row r="2049" spans="1:6" x14ac:dyDescent="0.25">
      <c r="A2049" t="s">
        <v>46</v>
      </c>
      <c r="B2049" t="s">
        <v>47</v>
      </c>
      <c r="C2049" t="s">
        <v>61</v>
      </c>
      <c r="D2049">
        <v>4821288</v>
      </c>
      <c r="E2049">
        <v>2016</v>
      </c>
      <c r="F2049" t="s">
        <v>67</v>
      </c>
    </row>
    <row r="2050" spans="1:6" x14ac:dyDescent="0.25">
      <c r="A2050" t="s">
        <v>48</v>
      </c>
      <c r="B2050" t="s">
        <v>49</v>
      </c>
      <c r="C2050" t="s">
        <v>61</v>
      </c>
      <c r="D2050">
        <v>9384110</v>
      </c>
      <c r="E2050">
        <v>2016</v>
      </c>
      <c r="F2050" t="s">
        <v>67</v>
      </c>
    </row>
    <row r="2051" spans="1:6" x14ac:dyDescent="0.25">
      <c r="A2051" t="s">
        <v>50</v>
      </c>
      <c r="B2051" t="s">
        <v>51</v>
      </c>
      <c r="C2051" t="s">
        <v>61</v>
      </c>
      <c r="D2051">
        <v>2932644</v>
      </c>
      <c r="E2051">
        <v>2016</v>
      </c>
      <c r="F2051" t="s">
        <v>67</v>
      </c>
    </row>
    <row r="2052" spans="1:6" x14ac:dyDescent="0.25">
      <c r="A2052" t="s">
        <v>52</v>
      </c>
      <c r="B2052" t="s">
        <v>53</v>
      </c>
      <c r="C2052" t="s">
        <v>61</v>
      </c>
      <c r="D2052">
        <v>10678692</v>
      </c>
      <c r="E2052">
        <v>2016</v>
      </c>
      <c r="F2052" t="s">
        <v>67</v>
      </c>
    </row>
    <row r="2053" spans="1:6" x14ac:dyDescent="0.25">
      <c r="A2053" t="s">
        <v>54</v>
      </c>
      <c r="B2053" t="s">
        <v>55</v>
      </c>
      <c r="C2053" t="s">
        <v>61</v>
      </c>
      <c r="D2053">
        <v>3636678</v>
      </c>
      <c r="E2053">
        <v>2016</v>
      </c>
      <c r="F2053" t="s">
        <v>67</v>
      </c>
    </row>
    <row r="2054" spans="1:6" x14ac:dyDescent="0.25">
      <c r="A2054" t="s">
        <v>56</v>
      </c>
      <c r="B2054" t="s">
        <v>57</v>
      </c>
      <c r="C2054" t="s">
        <v>61</v>
      </c>
      <c r="D2054">
        <v>18981895</v>
      </c>
      <c r="E2054">
        <v>2016</v>
      </c>
      <c r="F2054" t="s">
        <v>67</v>
      </c>
    </row>
    <row r="2055" spans="1:6" x14ac:dyDescent="0.25">
      <c r="A2055" t="s">
        <v>58</v>
      </c>
      <c r="B2055" t="s">
        <v>59</v>
      </c>
      <c r="C2055" t="s">
        <v>61</v>
      </c>
      <c r="E2055">
        <v>2016</v>
      </c>
      <c r="F2055" t="s">
        <v>67</v>
      </c>
    </row>
    <row r="2056" spans="1:6" x14ac:dyDescent="0.25">
      <c r="A2056" t="s">
        <v>6</v>
      </c>
      <c r="B2056" t="s">
        <v>7</v>
      </c>
      <c r="C2056" t="s">
        <v>65</v>
      </c>
      <c r="D2056">
        <v>9728846000</v>
      </c>
      <c r="E2056">
        <v>2016</v>
      </c>
      <c r="F2056" t="s">
        <v>67</v>
      </c>
    </row>
    <row r="2057" spans="1:6" x14ac:dyDescent="0.25">
      <c r="A2057" t="s">
        <v>10</v>
      </c>
      <c r="B2057" t="s">
        <v>11</v>
      </c>
      <c r="C2057" t="s">
        <v>65</v>
      </c>
      <c r="D2057">
        <v>2196004000</v>
      </c>
      <c r="E2057">
        <v>2016</v>
      </c>
      <c r="F2057" t="s">
        <v>67</v>
      </c>
    </row>
    <row r="2058" spans="1:6" x14ac:dyDescent="0.25">
      <c r="A2058" t="s">
        <v>12</v>
      </c>
      <c r="B2058" t="s">
        <v>13</v>
      </c>
      <c r="C2058" t="s">
        <v>65</v>
      </c>
      <c r="D2058">
        <v>362524000</v>
      </c>
      <c r="E2058">
        <v>2016</v>
      </c>
      <c r="F2058" t="s">
        <v>67</v>
      </c>
    </row>
    <row r="2059" spans="1:6" x14ac:dyDescent="0.25">
      <c r="A2059" t="s">
        <v>14</v>
      </c>
      <c r="B2059" t="s">
        <v>15</v>
      </c>
      <c r="C2059" t="s">
        <v>65</v>
      </c>
      <c r="D2059">
        <v>5289000</v>
      </c>
      <c r="E2059">
        <v>2016</v>
      </c>
      <c r="F2059" t="s">
        <v>67</v>
      </c>
    </row>
    <row r="2060" spans="1:6" x14ac:dyDescent="0.25">
      <c r="A2060" t="s">
        <v>16</v>
      </c>
      <c r="B2060" t="s">
        <v>17</v>
      </c>
      <c r="C2060" t="s">
        <v>65</v>
      </c>
      <c r="D2060">
        <v>612933000</v>
      </c>
      <c r="E2060">
        <v>2016</v>
      </c>
      <c r="F2060" t="s">
        <v>67</v>
      </c>
    </row>
    <row r="2061" spans="1:6" x14ac:dyDescent="0.25">
      <c r="A2061" t="s">
        <v>18</v>
      </c>
      <c r="B2061" t="s">
        <v>19</v>
      </c>
      <c r="C2061" t="s">
        <v>65</v>
      </c>
      <c r="D2061">
        <v>373941000</v>
      </c>
      <c r="E2061">
        <v>2016</v>
      </c>
      <c r="F2061" t="s">
        <v>67</v>
      </c>
    </row>
    <row r="2062" spans="1:6" x14ac:dyDescent="0.25">
      <c r="A2062" t="s">
        <v>20</v>
      </c>
      <c r="B2062" t="s">
        <v>21</v>
      </c>
      <c r="C2062" t="s">
        <v>65</v>
      </c>
      <c r="D2062">
        <v>176470000</v>
      </c>
      <c r="E2062">
        <v>2016</v>
      </c>
      <c r="F2062" t="s">
        <v>67</v>
      </c>
    </row>
    <row r="2063" spans="1:6" x14ac:dyDescent="0.25">
      <c r="A2063" t="s">
        <v>22</v>
      </c>
      <c r="B2063" t="s">
        <v>23</v>
      </c>
      <c r="C2063" t="s">
        <v>65</v>
      </c>
      <c r="D2063">
        <v>70157000</v>
      </c>
      <c r="E2063">
        <v>2016</v>
      </c>
      <c r="F2063" t="s">
        <v>67</v>
      </c>
    </row>
    <row r="2064" spans="1:6" x14ac:dyDescent="0.25">
      <c r="A2064" t="s">
        <v>24</v>
      </c>
      <c r="B2064" t="s">
        <v>25</v>
      </c>
      <c r="C2064" t="s">
        <v>65</v>
      </c>
      <c r="D2064">
        <v>189251000</v>
      </c>
      <c r="E2064">
        <v>2016</v>
      </c>
      <c r="F2064" t="s">
        <v>67</v>
      </c>
    </row>
    <row r="2065" spans="1:6" x14ac:dyDescent="0.25">
      <c r="A2065" t="s">
        <v>26</v>
      </c>
      <c r="B2065" t="s">
        <v>27</v>
      </c>
      <c r="C2065" t="s">
        <v>65</v>
      </c>
      <c r="D2065">
        <v>36498000</v>
      </c>
      <c r="E2065">
        <v>2016</v>
      </c>
      <c r="F2065" t="s">
        <v>67</v>
      </c>
    </row>
    <row r="2066" spans="1:6" x14ac:dyDescent="0.25">
      <c r="A2066" t="s">
        <v>28</v>
      </c>
      <c r="B2066" t="s">
        <v>29</v>
      </c>
      <c r="C2066" t="s">
        <v>65</v>
      </c>
      <c r="D2066">
        <v>67953000</v>
      </c>
      <c r="E2066">
        <v>2016</v>
      </c>
      <c r="F2066" t="s">
        <v>67</v>
      </c>
    </row>
    <row r="2067" spans="1:6" x14ac:dyDescent="0.25">
      <c r="A2067" t="s">
        <v>30</v>
      </c>
      <c r="B2067" t="s">
        <v>31</v>
      </c>
      <c r="C2067" t="s">
        <v>65</v>
      </c>
      <c r="D2067">
        <v>428028000</v>
      </c>
      <c r="E2067">
        <v>2016</v>
      </c>
      <c r="F2067" t="s">
        <v>67</v>
      </c>
    </row>
    <row r="2068" spans="1:6" x14ac:dyDescent="0.25">
      <c r="A2068" t="s">
        <v>32</v>
      </c>
      <c r="B2068" t="s">
        <v>33</v>
      </c>
      <c r="C2068" t="s">
        <v>65</v>
      </c>
      <c r="D2068">
        <v>158981000</v>
      </c>
      <c r="E2068">
        <v>2016</v>
      </c>
      <c r="F2068" t="s">
        <v>67</v>
      </c>
    </row>
    <row r="2069" spans="1:6" x14ac:dyDescent="0.25">
      <c r="A2069" t="s">
        <v>34</v>
      </c>
      <c r="B2069" t="s">
        <v>35</v>
      </c>
      <c r="C2069" t="s">
        <v>65</v>
      </c>
      <c r="D2069">
        <v>554825000</v>
      </c>
      <c r="E2069">
        <v>2016</v>
      </c>
      <c r="F2069" t="s">
        <v>67</v>
      </c>
    </row>
    <row r="2070" spans="1:6" x14ac:dyDescent="0.25">
      <c r="A2070" t="s">
        <v>36</v>
      </c>
      <c r="B2070" t="s">
        <v>37</v>
      </c>
      <c r="C2070" t="s">
        <v>65</v>
      </c>
      <c r="D2070">
        <v>408741000</v>
      </c>
      <c r="E2070">
        <v>2016</v>
      </c>
      <c r="F2070" t="s">
        <v>67</v>
      </c>
    </row>
    <row r="2071" spans="1:6" x14ac:dyDescent="0.25">
      <c r="A2071" t="s">
        <v>38</v>
      </c>
      <c r="B2071" t="s">
        <v>39</v>
      </c>
      <c r="C2071" t="s">
        <v>65</v>
      </c>
      <c r="D2071">
        <v>274358000</v>
      </c>
      <c r="E2071">
        <v>2016</v>
      </c>
      <c r="F2071" t="s">
        <v>67</v>
      </c>
    </row>
    <row r="2072" spans="1:6" x14ac:dyDescent="0.25">
      <c r="A2072" t="s">
        <v>40</v>
      </c>
      <c r="B2072" t="s">
        <v>41</v>
      </c>
      <c r="C2072" t="s">
        <v>65</v>
      </c>
      <c r="D2072">
        <v>678895000</v>
      </c>
      <c r="E2072">
        <v>2016</v>
      </c>
      <c r="F2072" t="s">
        <v>67</v>
      </c>
    </row>
    <row r="2073" spans="1:6" x14ac:dyDescent="0.25">
      <c r="A2073" t="s">
        <v>42</v>
      </c>
      <c r="B2073" t="s">
        <v>43</v>
      </c>
      <c r="C2073" t="s">
        <v>65</v>
      </c>
      <c r="D2073">
        <v>720198000</v>
      </c>
      <c r="E2073">
        <v>2016</v>
      </c>
      <c r="F2073" t="s">
        <v>67</v>
      </c>
    </row>
    <row r="2074" spans="1:6" x14ac:dyDescent="0.25">
      <c r="A2074" t="s">
        <v>44</v>
      </c>
      <c r="B2074" t="s">
        <v>45</v>
      </c>
      <c r="C2074" t="s">
        <v>65</v>
      </c>
      <c r="D2074">
        <v>1152982000</v>
      </c>
      <c r="E2074">
        <v>2016</v>
      </c>
      <c r="F2074" t="s">
        <v>67</v>
      </c>
    </row>
    <row r="2075" spans="1:6" x14ac:dyDescent="0.25">
      <c r="A2075" t="s">
        <v>46</v>
      </c>
      <c r="B2075" t="s">
        <v>47</v>
      </c>
      <c r="C2075" t="s">
        <v>65</v>
      </c>
      <c r="D2075">
        <v>920965000</v>
      </c>
      <c r="E2075">
        <v>2016</v>
      </c>
      <c r="F2075" t="s">
        <v>67</v>
      </c>
    </row>
    <row r="2076" spans="1:6" x14ac:dyDescent="0.25">
      <c r="A2076" t="s">
        <v>48</v>
      </c>
      <c r="B2076" t="s">
        <v>49</v>
      </c>
      <c r="C2076" t="s">
        <v>65</v>
      </c>
      <c r="D2076">
        <v>206303000</v>
      </c>
      <c r="E2076">
        <v>2016</v>
      </c>
      <c r="F2076" t="s">
        <v>67</v>
      </c>
    </row>
    <row r="2077" spans="1:6" x14ac:dyDescent="0.25">
      <c r="A2077" t="s">
        <v>50</v>
      </c>
      <c r="B2077" t="s">
        <v>51</v>
      </c>
      <c r="C2077" t="s">
        <v>65</v>
      </c>
      <c r="D2077">
        <v>32890000</v>
      </c>
      <c r="E2077">
        <v>2016</v>
      </c>
      <c r="F2077" t="s">
        <v>67</v>
      </c>
    </row>
    <row r="2078" spans="1:6" x14ac:dyDescent="0.25">
      <c r="A2078" t="s">
        <v>52</v>
      </c>
      <c r="B2078" t="s">
        <v>53</v>
      </c>
      <c r="C2078" t="s">
        <v>65</v>
      </c>
      <c r="D2078">
        <v>69559000</v>
      </c>
      <c r="E2078">
        <v>2016</v>
      </c>
      <c r="F2078" t="s">
        <v>67</v>
      </c>
    </row>
    <row r="2079" spans="1:6" x14ac:dyDescent="0.25">
      <c r="A2079" t="s">
        <v>54</v>
      </c>
      <c r="B2079" t="s">
        <v>55</v>
      </c>
      <c r="C2079" t="s">
        <v>65</v>
      </c>
      <c r="D2079">
        <v>31101000</v>
      </c>
      <c r="E2079">
        <v>2016</v>
      </c>
      <c r="F2079" t="s">
        <v>67</v>
      </c>
    </row>
    <row r="2080" spans="1:6" x14ac:dyDescent="0.25">
      <c r="A2080" t="s">
        <v>56</v>
      </c>
      <c r="B2080" t="s">
        <v>57</v>
      </c>
      <c r="C2080" t="s">
        <v>65</v>
      </c>
      <c r="E2080">
        <v>2016</v>
      </c>
      <c r="F2080" t="s">
        <v>67</v>
      </c>
    </row>
    <row r="2081" spans="1:6" x14ac:dyDescent="0.25">
      <c r="A2081" t="s">
        <v>58</v>
      </c>
      <c r="B2081" t="s">
        <v>59</v>
      </c>
      <c r="C2081" t="s">
        <v>65</v>
      </c>
      <c r="E2081">
        <v>2016</v>
      </c>
      <c r="F2081" t="s">
        <v>67</v>
      </c>
    </row>
    <row r="2082" spans="1:6" x14ac:dyDescent="0.25">
      <c r="A2082" t="s">
        <v>6</v>
      </c>
      <c r="B2082" t="s">
        <v>7</v>
      </c>
      <c r="C2082" t="s">
        <v>62</v>
      </c>
      <c r="E2082">
        <v>2016</v>
      </c>
      <c r="F2082" t="s">
        <v>67</v>
      </c>
    </row>
    <row r="2083" spans="1:6" x14ac:dyDescent="0.25">
      <c r="A2083" t="s">
        <v>10</v>
      </c>
      <c r="B2083" t="s">
        <v>11</v>
      </c>
      <c r="C2083" t="s">
        <v>62</v>
      </c>
      <c r="E2083">
        <v>2016</v>
      </c>
      <c r="F2083" t="s">
        <v>67</v>
      </c>
    </row>
    <row r="2084" spans="1:6" x14ac:dyDescent="0.25">
      <c r="A2084" t="s">
        <v>12</v>
      </c>
      <c r="B2084" t="s">
        <v>13</v>
      </c>
      <c r="C2084" t="s">
        <v>62</v>
      </c>
      <c r="E2084">
        <v>2016</v>
      </c>
      <c r="F2084" t="s">
        <v>67</v>
      </c>
    </row>
    <row r="2085" spans="1:6" x14ac:dyDescent="0.25">
      <c r="A2085" t="s">
        <v>14</v>
      </c>
      <c r="B2085" t="s">
        <v>15</v>
      </c>
      <c r="C2085" t="s">
        <v>62</v>
      </c>
      <c r="E2085">
        <v>2016</v>
      </c>
      <c r="F2085" t="s">
        <v>67</v>
      </c>
    </row>
    <row r="2086" spans="1:6" x14ac:dyDescent="0.25">
      <c r="A2086" t="s">
        <v>16</v>
      </c>
      <c r="B2086" t="s">
        <v>17</v>
      </c>
      <c r="C2086" t="s">
        <v>62</v>
      </c>
      <c r="E2086">
        <v>2016</v>
      </c>
      <c r="F2086" t="s">
        <v>67</v>
      </c>
    </row>
    <row r="2087" spans="1:6" x14ac:dyDescent="0.25">
      <c r="A2087" t="s">
        <v>18</v>
      </c>
      <c r="B2087" t="s">
        <v>19</v>
      </c>
      <c r="C2087" t="s">
        <v>62</v>
      </c>
      <c r="E2087">
        <v>2016</v>
      </c>
      <c r="F2087" t="s">
        <v>67</v>
      </c>
    </row>
    <row r="2088" spans="1:6" x14ac:dyDescent="0.25">
      <c r="A2088" t="s">
        <v>20</v>
      </c>
      <c r="B2088" t="s">
        <v>21</v>
      </c>
      <c r="C2088" t="s">
        <v>62</v>
      </c>
      <c r="E2088">
        <v>2016</v>
      </c>
      <c r="F2088" t="s">
        <v>67</v>
      </c>
    </row>
    <row r="2089" spans="1:6" x14ac:dyDescent="0.25">
      <c r="A2089" t="s">
        <v>22</v>
      </c>
      <c r="B2089" t="s">
        <v>23</v>
      </c>
      <c r="C2089" t="s">
        <v>62</v>
      </c>
      <c r="E2089">
        <v>2016</v>
      </c>
      <c r="F2089" t="s">
        <v>67</v>
      </c>
    </row>
    <row r="2090" spans="1:6" x14ac:dyDescent="0.25">
      <c r="A2090" t="s">
        <v>24</v>
      </c>
      <c r="B2090" t="s">
        <v>25</v>
      </c>
      <c r="C2090" t="s">
        <v>62</v>
      </c>
      <c r="E2090">
        <v>2016</v>
      </c>
      <c r="F2090" t="s">
        <v>67</v>
      </c>
    </row>
    <row r="2091" spans="1:6" x14ac:dyDescent="0.25">
      <c r="A2091" t="s">
        <v>26</v>
      </c>
      <c r="B2091" t="s">
        <v>27</v>
      </c>
      <c r="C2091" t="s">
        <v>62</v>
      </c>
      <c r="E2091">
        <v>2016</v>
      </c>
      <c r="F2091" t="s">
        <v>67</v>
      </c>
    </row>
    <row r="2092" spans="1:6" x14ac:dyDescent="0.25">
      <c r="A2092" t="s">
        <v>28</v>
      </c>
      <c r="B2092" t="s">
        <v>29</v>
      </c>
      <c r="C2092" t="s">
        <v>62</v>
      </c>
      <c r="E2092">
        <v>2016</v>
      </c>
      <c r="F2092" t="s">
        <v>67</v>
      </c>
    </row>
    <row r="2093" spans="1:6" x14ac:dyDescent="0.25">
      <c r="A2093" t="s">
        <v>30</v>
      </c>
      <c r="B2093" t="s">
        <v>31</v>
      </c>
      <c r="C2093" t="s">
        <v>62</v>
      </c>
      <c r="E2093">
        <v>2016</v>
      </c>
      <c r="F2093" t="s">
        <v>67</v>
      </c>
    </row>
    <row r="2094" spans="1:6" x14ac:dyDescent="0.25">
      <c r="A2094" t="s">
        <v>32</v>
      </c>
      <c r="B2094" t="s">
        <v>33</v>
      </c>
      <c r="C2094" t="s">
        <v>62</v>
      </c>
      <c r="E2094">
        <v>2016</v>
      </c>
      <c r="F2094" t="s">
        <v>67</v>
      </c>
    </row>
    <row r="2095" spans="1:6" x14ac:dyDescent="0.25">
      <c r="A2095" t="s">
        <v>34</v>
      </c>
      <c r="B2095" t="s">
        <v>35</v>
      </c>
      <c r="C2095" t="s">
        <v>62</v>
      </c>
      <c r="E2095">
        <v>2016</v>
      </c>
      <c r="F2095" t="s">
        <v>67</v>
      </c>
    </row>
    <row r="2096" spans="1:6" x14ac:dyDescent="0.25">
      <c r="A2096" t="s">
        <v>36</v>
      </c>
      <c r="B2096" t="s">
        <v>37</v>
      </c>
      <c r="C2096" t="s">
        <v>62</v>
      </c>
      <c r="E2096">
        <v>2016</v>
      </c>
      <c r="F2096" t="s">
        <v>67</v>
      </c>
    </row>
    <row r="2097" spans="1:6" x14ac:dyDescent="0.25">
      <c r="A2097" t="s">
        <v>38</v>
      </c>
      <c r="B2097" t="s">
        <v>39</v>
      </c>
      <c r="C2097" t="s">
        <v>62</v>
      </c>
      <c r="E2097">
        <v>2016</v>
      </c>
      <c r="F2097" t="s">
        <v>67</v>
      </c>
    </row>
    <row r="2098" spans="1:6" x14ac:dyDescent="0.25">
      <c r="A2098" t="s">
        <v>40</v>
      </c>
      <c r="B2098" t="s">
        <v>41</v>
      </c>
      <c r="C2098" t="s">
        <v>62</v>
      </c>
      <c r="E2098">
        <v>2016</v>
      </c>
      <c r="F2098" t="s">
        <v>67</v>
      </c>
    </row>
    <row r="2099" spans="1:6" x14ac:dyDescent="0.25">
      <c r="A2099" t="s">
        <v>42</v>
      </c>
      <c r="B2099" t="s">
        <v>43</v>
      </c>
      <c r="C2099" t="s">
        <v>62</v>
      </c>
      <c r="E2099">
        <v>2016</v>
      </c>
      <c r="F2099" t="s">
        <v>67</v>
      </c>
    </row>
    <row r="2100" spans="1:6" x14ac:dyDescent="0.25">
      <c r="A2100" t="s">
        <v>44</v>
      </c>
      <c r="B2100" t="s">
        <v>45</v>
      </c>
      <c r="C2100" t="s">
        <v>62</v>
      </c>
      <c r="E2100">
        <v>2016</v>
      </c>
      <c r="F2100" t="s">
        <v>67</v>
      </c>
    </row>
    <row r="2101" spans="1:6" x14ac:dyDescent="0.25">
      <c r="A2101" t="s">
        <v>46</v>
      </c>
      <c r="B2101" t="s">
        <v>47</v>
      </c>
      <c r="C2101" t="s">
        <v>62</v>
      </c>
      <c r="E2101">
        <v>2016</v>
      </c>
      <c r="F2101" t="s">
        <v>67</v>
      </c>
    </row>
    <row r="2102" spans="1:6" x14ac:dyDescent="0.25">
      <c r="A2102" t="s">
        <v>48</v>
      </c>
      <c r="B2102" t="s">
        <v>49</v>
      </c>
      <c r="C2102" t="s">
        <v>62</v>
      </c>
      <c r="E2102">
        <v>2016</v>
      </c>
      <c r="F2102" t="s">
        <v>67</v>
      </c>
    </row>
    <row r="2103" spans="1:6" x14ac:dyDescent="0.25">
      <c r="A2103" t="s">
        <v>50</v>
      </c>
      <c r="B2103" t="s">
        <v>51</v>
      </c>
      <c r="C2103" t="s">
        <v>62</v>
      </c>
      <c r="E2103">
        <v>2016</v>
      </c>
      <c r="F2103" t="s">
        <v>67</v>
      </c>
    </row>
    <row r="2104" spans="1:6" x14ac:dyDescent="0.25">
      <c r="A2104" t="s">
        <v>52</v>
      </c>
      <c r="B2104" t="s">
        <v>53</v>
      </c>
      <c r="C2104" t="s">
        <v>62</v>
      </c>
      <c r="E2104">
        <v>2016</v>
      </c>
      <c r="F2104" t="s">
        <v>67</v>
      </c>
    </row>
    <row r="2105" spans="1:6" x14ac:dyDescent="0.25">
      <c r="A2105" t="s">
        <v>54</v>
      </c>
      <c r="B2105" t="s">
        <v>55</v>
      </c>
      <c r="C2105" t="s">
        <v>62</v>
      </c>
      <c r="E2105">
        <v>2016</v>
      </c>
      <c r="F2105" t="s">
        <v>67</v>
      </c>
    </row>
    <row r="2106" spans="1:6" x14ac:dyDescent="0.25">
      <c r="A2106" t="s">
        <v>56</v>
      </c>
      <c r="B2106" t="s">
        <v>57</v>
      </c>
      <c r="C2106" t="s">
        <v>62</v>
      </c>
      <c r="E2106">
        <v>2016</v>
      </c>
      <c r="F2106" t="s">
        <v>67</v>
      </c>
    </row>
    <row r="2107" spans="1:6" x14ac:dyDescent="0.25">
      <c r="A2107" t="s">
        <v>58</v>
      </c>
      <c r="B2107" t="s">
        <v>59</v>
      </c>
      <c r="C2107" t="s">
        <v>62</v>
      </c>
      <c r="E2107">
        <v>2016</v>
      </c>
      <c r="F2107" t="s">
        <v>67</v>
      </c>
    </row>
    <row r="2108" spans="1:6" x14ac:dyDescent="0.25">
      <c r="A2108" t="s">
        <v>6</v>
      </c>
      <c r="B2108" t="s">
        <v>7</v>
      </c>
      <c r="C2108" t="s">
        <v>8</v>
      </c>
      <c r="D2108">
        <v>1073712438</v>
      </c>
      <c r="E2108">
        <v>2017</v>
      </c>
      <c r="F2108" t="s">
        <v>67</v>
      </c>
    </row>
    <row r="2109" spans="1:6" x14ac:dyDescent="0.25">
      <c r="A2109" t="s">
        <v>10</v>
      </c>
      <c r="B2109" t="s">
        <v>11</v>
      </c>
      <c r="C2109" t="s">
        <v>8</v>
      </c>
      <c r="D2109">
        <v>346744812</v>
      </c>
      <c r="E2109">
        <v>2017</v>
      </c>
      <c r="F2109" t="s">
        <v>67</v>
      </c>
    </row>
    <row r="2110" spans="1:6" x14ac:dyDescent="0.25">
      <c r="A2110" t="s">
        <v>12</v>
      </c>
      <c r="B2110" t="s">
        <v>13</v>
      </c>
      <c r="C2110" t="s">
        <v>8</v>
      </c>
      <c r="D2110">
        <v>46563560</v>
      </c>
      <c r="E2110">
        <v>2017</v>
      </c>
      <c r="F2110" t="s">
        <v>67</v>
      </c>
    </row>
    <row r="2111" spans="1:6" x14ac:dyDescent="0.25">
      <c r="A2111" t="s">
        <v>14</v>
      </c>
      <c r="B2111" t="s">
        <v>15</v>
      </c>
      <c r="C2111" t="s">
        <v>8</v>
      </c>
      <c r="E2111">
        <v>2017</v>
      </c>
      <c r="F2111" t="s">
        <v>67</v>
      </c>
    </row>
    <row r="2112" spans="1:6" x14ac:dyDescent="0.25">
      <c r="A2112" t="s">
        <v>16</v>
      </c>
      <c r="B2112" t="s">
        <v>17</v>
      </c>
      <c r="C2112" t="s">
        <v>8</v>
      </c>
      <c r="D2112">
        <v>11421573</v>
      </c>
      <c r="E2112">
        <v>2017</v>
      </c>
      <c r="F2112" t="s">
        <v>67</v>
      </c>
    </row>
    <row r="2113" spans="1:6" x14ac:dyDescent="0.25">
      <c r="A2113" t="s">
        <v>18</v>
      </c>
      <c r="B2113" t="s">
        <v>19</v>
      </c>
      <c r="C2113" t="s">
        <v>8</v>
      </c>
      <c r="D2113">
        <v>56501310</v>
      </c>
      <c r="E2113">
        <v>2017</v>
      </c>
      <c r="F2113" t="s">
        <v>67</v>
      </c>
    </row>
    <row r="2114" spans="1:6" x14ac:dyDescent="0.25">
      <c r="A2114" t="s">
        <v>20</v>
      </c>
      <c r="B2114" t="s">
        <v>21</v>
      </c>
      <c r="C2114" t="s">
        <v>8</v>
      </c>
      <c r="D2114">
        <v>14269415</v>
      </c>
      <c r="E2114">
        <v>2017</v>
      </c>
      <c r="F2114" t="s">
        <v>67</v>
      </c>
    </row>
    <row r="2115" spans="1:6" x14ac:dyDescent="0.25">
      <c r="A2115" t="s">
        <v>22</v>
      </c>
      <c r="B2115" t="s">
        <v>23</v>
      </c>
      <c r="C2115" t="s">
        <v>8</v>
      </c>
      <c r="D2115">
        <v>69582191</v>
      </c>
      <c r="E2115">
        <v>2017</v>
      </c>
      <c r="F2115" t="s">
        <v>67</v>
      </c>
    </row>
    <row r="2116" spans="1:6" x14ac:dyDescent="0.25">
      <c r="A2116" t="s">
        <v>24</v>
      </c>
      <c r="B2116" t="s">
        <v>25</v>
      </c>
      <c r="C2116" t="s">
        <v>8</v>
      </c>
      <c r="D2116">
        <v>59183448</v>
      </c>
      <c r="E2116">
        <v>2017</v>
      </c>
      <c r="F2116" t="s">
        <v>67</v>
      </c>
    </row>
    <row r="2117" spans="1:6" x14ac:dyDescent="0.25">
      <c r="A2117" t="s">
        <v>26</v>
      </c>
      <c r="B2117" t="s">
        <v>27</v>
      </c>
      <c r="C2117" t="s">
        <v>8</v>
      </c>
      <c r="D2117">
        <v>18989792</v>
      </c>
      <c r="E2117">
        <v>2017</v>
      </c>
      <c r="F2117" t="s">
        <v>67</v>
      </c>
    </row>
    <row r="2118" spans="1:6" x14ac:dyDescent="0.25">
      <c r="A2118" t="s">
        <v>28</v>
      </c>
      <c r="B2118" t="s">
        <v>29</v>
      </c>
      <c r="C2118" t="s">
        <v>8</v>
      </c>
      <c r="E2118">
        <v>2017</v>
      </c>
      <c r="F2118" t="s">
        <v>67</v>
      </c>
    </row>
    <row r="2119" spans="1:6" x14ac:dyDescent="0.25">
      <c r="A2119" t="s">
        <v>30</v>
      </c>
      <c r="B2119" t="s">
        <v>31</v>
      </c>
      <c r="C2119" t="s">
        <v>8</v>
      </c>
      <c r="D2119">
        <v>62985395</v>
      </c>
      <c r="E2119">
        <v>2017</v>
      </c>
      <c r="F2119" t="s">
        <v>67</v>
      </c>
    </row>
    <row r="2120" spans="1:6" x14ac:dyDescent="0.25">
      <c r="A2120" t="s">
        <v>32</v>
      </c>
      <c r="B2120" t="s">
        <v>33</v>
      </c>
      <c r="C2120" t="s">
        <v>8</v>
      </c>
      <c r="D2120">
        <v>24095339</v>
      </c>
      <c r="E2120">
        <v>2017</v>
      </c>
      <c r="F2120" t="s">
        <v>67</v>
      </c>
    </row>
    <row r="2121" spans="1:6" x14ac:dyDescent="0.25">
      <c r="A2121" t="s">
        <v>34</v>
      </c>
      <c r="B2121" t="s">
        <v>35</v>
      </c>
      <c r="C2121" t="s">
        <v>8</v>
      </c>
      <c r="D2121">
        <v>60559880</v>
      </c>
      <c r="E2121">
        <v>2017</v>
      </c>
      <c r="F2121" t="s">
        <v>67</v>
      </c>
    </row>
    <row r="2122" spans="1:6" x14ac:dyDescent="0.25">
      <c r="A2122" t="s">
        <v>36</v>
      </c>
      <c r="B2122" t="s">
        <v>37</v>
      </c>
      <c r="C2122" t="s">
        <v>8</v>
      </c>
      <c r="D2122">
        <v>40405262</v>
      </c>
      <c r="E2122">
        <v>2017</v>
      </c>
      <c r="F2122" t="s">
        <v>67</v>
      </c>
    </row>
    <row r="2123" spans="1:6" x14ac:dyDescent="0.25">
      <c r="A2123" t="s">
        <v>38</v>
      </c>
      <c r="B2123" t="s">
        <v>39</v>
      </c>
      <c r="C2123" t="s">
        <v>8</v>
      </c>
      <c r="D2123">
        <v>12162764</v>
      </c>
      <c r="E2123">
        <v>2017</v>
      </c>
      <c r="F2123" t="s">
        <v>67</v>
      </c>
    </row>
    <row r="2124" spans="1:6" x14ac:dyDescent="0.25">
      <c r="A2124" t="s">
        <v>40</v>
      </c>
      <c r="B2124" t="s">
        <v>41</v>
      </c>
      <c r="C2124" t="s">
        <v>8</v>
      </c>
      <c r="D2124">
        <v>73851787</v>
      </c>
      <c r="E2124">
        <v>2017</v>
      </c>
      <c r="F2124" t="s">
        <v>67</v>
      </c>
    </row>
    <row r="2125" spans="1:6" x14ac:dyDescent="0.25">
      <c r="A2125" t="s">
        <v>42</v>
      </c>
      <c r="B2125" t="s">
        <v>43</v>
      </c>
      <c r="C2125" t="s">
        <v>8</v>
      </c>
      <c r="D2125">
        <v>3021821</v>
      </c>
      <c r="E2125">
        <v>2017</v>
      </c>
      <c r="F2125" t="s">
        <v>67</v>
      </c>
    </row>
    <row r="2126" spans="1:6" x14ac:dyDescent="0.25">
      <c r="A2126" t="s">
        <v>44</v>
      </c>
      <c r="B2126" t="s">
        <v>45</v>
      </c>
      <c r="C2126" t="s">
        <v>8</v>
      </c>
      <c r="D2126">
        <v>18657544</v>
      </c>
      <c r="E2126">
        <v>2017</v>
      </c>
      <c r="F2126" t="s">
        <v>67</v>
      </c>
    </row>
    <row r="2127" spans="1:6" x14ac:dyDescent="0.25">
      <c r="A2127" t="s">
        <v>46</v>
      </c>
      <c r="B2127" t="s">
        <v>47</v>
      </c>
      <c r="C2127" t="s">
        <v>8</v>
      </c>
      <c r="D2127">
        <v>23781319</v>
      </c>
      <c r="E2127">
        <v>2017</v>
      </c>
      <c r="F2127" t="s">
        <v>67</v>
      </c>
    </row>
    <row r="2128" spans="1:6" x14ac:dyDescent="0.25">
      <c r="A2128" t="s">
        <v>48</v>
      </c>
      <c r="B2128" t="s">
        <v>49</v>
      </c>
      <c r="C2128" t="s">
        <v>8</v>
      </c>
      <c r="D2128">
        <v>2672490</v>
      </c>
      <c r="E2128">
        <v>2017</v>
      </c>
      <c r="F2128" t="s">
        <v>67</v>
      </c>
    </row>
    <row r="2129" spans="1:6" x14ac:dyDescent="0.25">
      <c r="A2129" t="s">
        <v>50</v>
      </c>
      <c r="B2129" t="s">
        <v>51</v>
      </c>
      <c r="C2129" t="s">
        <v>8</v>
      </c>
      <c r="D2129">
        <v>1389074</v>
      </c>
      <c r="E2129">
        <v>2017</v>
      </c>
      <c r="F2129" t="s">
        <v>67</v>
      </c>
    </row>
    <row r="2130" spans="1:6" x14ac:dyDescent="0.25">
      <c r="A2130" t="s">
        <v>52</v>
      </c>
      <c r="B2130" t="s">
        <v>53</v>
      </c>
      <c r="C2130" t="s">
        <v>8</v>
      </c>
      <c r="D2130">
        <v>24734598</v>
      </c>
      <c r="E2130">
        <v>2017</v>
      </c>
      <c r="F2130" t="s">
        <v>67</v>
      </c>
    </row>
    <row r="2131" spans="1:6" x14ac:dyDescent="0.25">
      <c r="A2131" t="s">
        <v>54</v>
      </c>
      <c r="B2131" t="s">
        <v>55</v>
      </c>
      <c r="C2131" t="s">
        <v>8</v>
      </c>
      <c r="D2131">
        <v>3027847</v>
      </c>
      <c r="E2131">
        <v>2017</v>
      </c>
      <c r="F2131" t="s">
        <v>67</v>
      </c>
    </row>
    <row r="2132" spans="1:6" x14ac:dyDescent="0.25">
      <c r="A2132" t="s">
        <v>56</v>
      </c>
      <c r="B2132" t="s">
        <v>57</v>
      </c>
      <c r="C2132" t="s">
        <v>8</v>
      </c>
      <c r="D2132">
        <v>66349936</v>
      </c>
      <c r="E2132">
        <v>2017</v>
      </c>
      <c r="F2132" t="s">
        <v>67</v>
      </c>
    </row>
    <row r="2133" spans="1:6" x14ac:dyDescent="0.25">
      <c r="A2133" t="s">
        <v>58</v>
      </c>
      <c r="B2133" t="s">
        <v>59</v>
      </c>
      <c r="C2133" t="s">
        <v>8</v>
      </c>
      <c r="D2133">
        <v>32761268</v>
      </c>
      <c r="E2133">
        <v>2017</v>
      </c>
      <c r="F2133" t="s">
        <v>67</v>
      </c>
    </row>
    <row r="2134" spans="1:6" x14ac:dyDescent="0.25">
      <c r="A2134" t="s">
        <v>6</v>
      </c>
      <c r="B2134" t="s">
        <v>7</v>
      </c>
      <c r="C2134" t="s">
        <v>61</v>
      </c>
      <c r="D2134">
        <v>661444347</v>
      </c>
      <c r="E2134">
        <v>2017</v>
      </c>
      <c r="F2134" t="s">
        <v>67</v>
      </c>
    </row>
    <row r="2135" spans="1:6" x14ac:dyDescent="0.25">
      <c r="A2135" t="s">
        <v>10</v>
      </c>
      <c r="B2135" t="s">
        <v>11</v>
      </c>
      <c r="C2135" t="s">
        <v>61</v>
      </c>
      <c r="D2135">
        <v>304455572</v>
      </c>
      <c r="E2135">
        <v>2017</v>
      </c>
      <c r="F2135" t="s">
        <v>67</v>
      </c>
    </row>
    <row r="2136" spans="1:6" x14ac:dyDescent="0.25">
      <c r="A2136" t="s">
        <v>12</v>
      </c>
      <c r="B2136" t="s">
        <v>13</v>
      </c>
      <c r="C2136" t="s">
        <v>61</v>
      </c>
      <c r="D2136">
        <v>22715255</v>
      </c>
      <c r="E2136">
        <v>2017</v>
      </c>
      <c r="F2136" t="s">
        <v>67</v>
      </c>
    </row>
    <row r="2137" spans="1:6" x14ac:dyDescent="0.25">
      <c r="A2137" t="s">
        <v>14</v>
      </c>
      <c r="B2137" t="s">
        <v>15</v>
      </c>
      <c r="C2137" t="s">
        <v>61</v>
      </c>
      <c r="D2137">
        <v>170460</v>
      </c>
      <c r="E2137">
        <v>2017</v>
      </c>
      <c r="F2137" t="s">
        <v>67</v>
      </c>
    </row>
    <row r="2138" spans="1:6" x14ac:dyDescent="0.25">
      <c r="A2138" t="s">
        <v>16</v>
      </c>
      <c r="B2138" t="s">
        <v>17</v>
      </c>
      <c r="C2138" t="s">
        <v>61</v>
      </c>
      <c r="D2138">
        <v>21746584</v>
      </c>
      <c r="E2138">
        <v>2017</v>
      </c>
      <c r="F2138" t="s">
        <v>67</v>
      </c>
    </row>
    <row r="2139" spans="1:6" x14ac:dyDescent="0.25">
      <c r="A2139" t="s">
        <v>18</v>
      </c>
      <c r="B2139" t="s">
        <v>19</v>
      </c>
      <c r="C2139" t="s">
        <v>61</v>
      </c>
      <c r="D2139">
        <v>14558152</v>
      </c>
      <c r="E2139">
        <v>2017</v>
      </c>
      <c r="F2139" t="s">
        <v>67</v>
      </c>
    </row>
    <row r="2140" spans="1:6" x14ac:dyDescent="0.25">
      <c r="A2140" t="s">
        <v>20</v>
      </c>
      <c r="B2140" t="s">
        <v>21</v>
      </c>
      <c r="C2140" t="s">
        <v>61</v>
      </c>
      <c r="D2140">
        <v>8527972</v>
      </c>
      <c r="E2140">
        <v>2017</v>
      </c>
      <c r="F2140" t="s">
        <v>67</v>
      </c>
    </row>
    <row r="2141" spans="1:6" x14ac:dyDescent="0.25">
      <c r="A2141" t="s">
        <v>22</v>
      </c>
      <c r="B2141" t="s">
        <v>23</v>
      </c>
      <c r="C2141" t="s">
        <v>61</v>
      </c>
      <c r="D2141">
        <v>11823389</v>
      </c>
      <c r="E2141">
        <v>2017</v>
      </c>
      <c r="F2141" t="s">
        <v>67</v>
      </c>
    </row>
    <row r="2142" spans="1:6" x14ac:dyDescent="0.25">
      <c r="A2142" t="s">
        <v>24</v>
      </c>
      <c r="B2142" t="s">
        <v>25</v>
      </c>
      <c r="C2142" t="s">
        <v>61</v>
      </c>
      <c r="D2142">
        <v>28633216</v>
      </c>
      <c r="E2142">
        <v>2017</v>
      </c>
      <c r="F2142" t="s">
        <v>67</v>
      </c>
    </row>
    <row r="2143" spans="1:6" x14ac:dyDescent="0.25">
      <c r="A2143" t="s">
        <v>26</v>
      </c>
      <c r="B2143" t="s">
        <v>27</v>
      </c>
      <c r="C2143" t="s">
        <v>61</v>
      </c>
      <c r="D2143">
        <v>16027141</v>
      </c>
      <c r="E2143">
        <v>2017</v>
      </c>
      <c r="F2143" t="s">
        <v>67</v>
      </c>
    </row>
    <row r="2144" spans="1:6" x14ac:dyDescent="0.25">
      <c r="A2144" t="s">
        <v>28</v>
      </c>
      <c r="B2144" t="s">
        <v>29</v>
      </c>
      <c r="C2144" t="s">
        <v>61</v>
      </c>
      <c r="D2144">
        <v>2279493</v>
      </c>
      <c r="E2144">
        <v>2017</v>
      </c>
      <c r="F2144" t="s">
        <v>67</v>
      </c>
    </row>
    <row r="2145" spans="1:6" x14ac:dyDescent="0.25">
      <c r="A2145" t="s">
        <v>30</v>
      </c>
      <c r="B2145" t="s">
        <v>31</v>
      </c>
      <c r="C2145" t="s">
        <v>61</v>
      </c>
      <c r="D2145">
        <v>24902617</v>
      </c>
      <c r="E2145">
        <v>2017</v>
      </c>
      <c r="F2145" t="s">
        <v>67</v>
      </c>
    </row>
    <row r="2146" spans="1:6" x14ac:dyDescent="0.25">
      <c r="A2146" t="s">
        <v>32</v>
      </c>
      <c r="B2146" t="s">
        <v>33</v>
      </c>
      <c r="C2146" t="s">
        <v>61</v>
      </c>
      <c r="D2146">
        <v>11229144</v>
      </c>
      <c r="E2146">
        <v>2017</v>
      </c>
      <c r="F2146" t="s">
        <v>67</v>
      </c>
    </row>
    <row r="2147" spans="1:6" x14ac:dyDescent="0.25">
      <c r="A2147" t="s">
        <v>34</v>
      </c>
      <c r="B2147" t="s">
        <v>35</v>
      </c>
      <c r="C2147" t="s">
        <v>61</v>
      </c>
      <c r="D2147">
        <v>36784661</v>
      </c>
      <c r="E2147">
        <v>2017</v>
      </c>
      <c r="F2147" t="s">
        <v>67</v>
      </c>
    </row>
    <row r="2148" spans="1:6" x14ac:dyDescent="0.25">
      <c r="A2148" t="s">
        <v>36</v>
      </c>
      <c r="B2148" t="s">
        <v>37</v>
      </c>
      <c r="C2148" t="s">
        <v>61</v>
      </c>
      <c r="D2148">
        <v>24060571</v>
      </c>
      <c r="E2148">
        <v>2017</v>
      </c>
      <c r="F2148" t="s">
        <v>67</v>
      </c>
    </row>
    <row r="2149" spans="1:6" x14ac:dyDescent="0.25">
      <c r="A2149" t="s">
        <v>38</v>
      </c>
      <c r="B2149" t="s">
        <v>39</v>
      </c>
      <c r="C2149" t="s">
        <v>61</v>
      </c>
      <c r="D2149">
        <v>26951849</v>
      </c>
      <c r="E2149">
        <v>2017</v>
      </c>
      <c r="F2149" t="s">
        <v>67</v>
      </c>
    </row>
    <row r="2150" spans="1:6" x14ac:dyDescent="0.25">
      <c r="A2150" t="s">
        <v>40</v>
      </c>
      <c r="B2150" t="s">
        <v>41</v>
      </c>
      <c r="C2150" t="s">
        <v>61</v>
      </c>
      <c r="D2150">
        <v>34312304</v>
      </c>
      <c r="E2150">
        <v>2017</v>
      </c>
      <c r="F2150" t="s">
        <v>67</v>
      </c>
    </row>
    <row r="2151" spans="1:6" x14ac:dyDescent="0.25">
      <c r="A2151" t="s">
        <v>42</v>
      </c>
      <c r="B2151" t="s">
        <v>43</v>
      </c>
      <c r="C2151" t="s">
        <v>61</v>
      </c>
      <c r="D2151">
        <v>2045808</v>
      </c>
      <c r="E2151">
        <v>2017</v>
      </c>
      <c r="F2151" t="s">
        <v>67</v>
      </c>
    </row>
    <row r="2152" spans="1:6" x14ac:dyDescent="0.25">
      <c r="A2152" t="s">
        <v>44</v>
      </c>
      <c r="B2152" t="s">
        <v>45</v>
      </c>
      <c r="C2152" t="s">
        <v>61</v>
      </c>
      <c r="D2152">
        <v>14356145</v>
      </c>
      <c r="E2152">
        <v>2017</v>
      </c>
      <c r="F2152" t="s">
        <v>67</v>
      </c>
    </row>
    <row r="2153" spans="1:6" x14ac:dyDescent="0.25">
      <c r="A2153" t="s">
        <v>46</v>
      </c>
      <c r="B2153" t="s">
        <v>47</v>
      </c>
      <c r="C2153" t="s">
        <v>61</v>
      </c>
      <c r="D2153">
        <v>4641225</v>
      </c>
      <c r="E2153">
        <v>2017</v>
      </c>
      <c r="F2153" t="s">
        <v>67</v>
      </c>
    </row>
    <row r="2154" spans="1:6" x14ac:dyDescent="0.25">
      <c r="A2154" t="s">
        <v>48</v>
      </c>
      <c r="B2154" t="s">
        <v>49</v>
      </c>
      <c r="C2154" t="s">
        <v>61</v>
      </c>
      <c r="D2154">
        <v>13289503</v>
      </c>
      <c r="E2154">
        <v>2017</v>
      </c>
      <c r="F2154" t="s">
        <v>67</v>
      </c>
    </row>
    <row r="2155" spans="1:6" x14ac:dyDescent="0.25">
      <c r="A2155" t="s">
        <v>50</v>
      </c>
      <c r="B2155" t="s">
        <v>51</v>
      </c>
      <c r="C2155" t="s">
        <v>61</v>
      </c>
      <c r="D2155">
        <v>3535139</v>
      </c>
      <c r="E2155">
        <v>2017</v>
      </c>
      <c r="F2155" t="s">
        <v>67</v>
      </c>
    </row>
    <row r="2156" spans="1:6" x14ac:dyDescent="0.25">
      <c r="A2156" t="s">
        <v>52</v>
      </c>
      <c r="B2156" t="s">
        <v>53</v>
      </c>
      <c r="C2156" t="s">
        <v>61</v>
      </c>
      <c r="D2156">
        <v>16333529</v>
      </c>
      <c r="E2156">
        <v>2017</v>
      </c>
      <c r="F2156" t="s">
        <v>67</v>
      </c>
    </row>
    <row r="2157" spans="1:6" x14ac:dyDescent="0.25">
      <c r="A2157" t="s">
        <v>54</v>
      </c>
      <c r="B2157" t="s">
        <v>55</v>
      </c>
      <c r="C2157" t="s">
        <v>61</v>
      </c>
      <c r="D2157">
        <v>6510611</v>
      </c>
      <c r="E2157">
        <v>2017</v>
      </c>
      <c r="F2157" t="s">
        <v>67</v>
      </c>
    </row>
    <row r="2158" spans="1:6" x14ac:dyDescent="0.25">
      <c r="A2158" t="s">
        <v>56</v>
      </c>
      <c r="B2158" t="s">
        <v>57</v>
      </c>
      <c r="C2158" t="s">
        <v>61</v>
      </c>
      <c r="D2158">
        <v>11553996</v>
      </c>
      <c r="E2158">
        <v>2017</v>
      </c>
      <c r="F2158" t="s">
        <v>67</v>
      </c>
    </row>
    <row r="2159" spans="1:6" x14ac:dyDescent="0.25">
      <c r="A2159" t="s">
        <v>58</v>
      </c>
      <c r="B2159" t="s">
        <v>59</v>
      </c>
      <c r="C2159" t="s">
        <v>61</v>
      </c>
      <c r="E2159">
        <v>2017</v>
      </c>
      <c r="F2159" t="s">
        <v>67</v>
      </c>
    </row>
    <row r="2160" spans="1:6" x14ac:dyDescent="0.25">
      <c r="A2160" t="s">
        <v>6</v>
      </c>
      <c r="B2160" t="s">
        <v>7</v>
      </c>
      <c r="C2160" t="s">
        <v>65</v>
      </c>
      <c r="D2160">
        <v>9997286000</v>
      </c>
      <c r="E2160">
        <v>2017</v>
      </c>
      <c r="F2160" t="s">
        <v>67</v>
      </c>
    </row>
    <row r="2161" spans="1:6" x14ac:dyDescent="0.25">
      <c r="A2161" t="s">
        <v>10</v>
      </c>
      <c r="B2161" t="s">
        <v>11</v>
      </c>
      <c r="C2161" t="s">
        <v>65</v>
      </c>
      <c r="D2161">
        <v>2208004000</v>
      </c>
      <c r="E2161">
        <v>2017</v>
      </c>
      <c r="F2161" t="s">
        <v>67</v>
      </c>
    </row>
    <row r="2162" spans="1:6" x14ac:dyDescent="0.25">
      <c r="A2162" t="s">
        <v>12</v>
      </c>
      <c r="B2162" t="s">
        <v>13</v>
      </c>
      <c r="C2162" t="s">
        <v>65</v>
      </c>
      <c r="D2162">
        <v>363259000</v>
      </c>
      <c r="E2162">
        <v>2017</v>
      </c>
      <c r="F2162" t="s">
        <v>67</v>
      </c>
    </row>
    <row r="2163" spans="1:6" x14ac:dyDescent="0.25">
      <c r="A2163" t="s">
        <v>14</v>
      </c>
      <c r="B2163" t="s">
        <v>15</v>
      </c>
      <c r="C2163" t="s">
        <v>65</v>
      </c>
      <c r="D2163">
        <v>5468000</v>
      </c>
      <c r="E2163">
        <v>2017</v>
      </c>
      <c r="F2163" t="s">
        <v>67</v>
      </c>
    </row>
    <row r="2164" spans="1:6" x14ac:dyDescent="0.25">
      <c r="A2164" t="s">
        <v>16</v>
      </c>
      <c r="B2164" t="s">
        <v>17</v>
      </c>
      <c r="C2164" t="s">
        <v>65</v>
      </c>
      <c r="D2164">
        <v>640524000</v>
      </c>
      <c r="E2164">
        <v>2017</v>
      </c>
      <c r="F2164" t="s">
        <v>67</v>
      </c>
    </row>
    <row r="2165" spans="1:6" x14ac:dyDescent="0.25">
      <c r="A2165" t="s">
        <v>18</v>
      </c>
      <c r="B2165" t="s">
        <v>19</v>
      </c>
      <c r="C2165" t="s">
        <v>65</v>
      </c>
      <c r="D2165">
        <v>361977000</v>
      </c>
      <c r="E2165">
        <v>2017</v>
      </c>
      <c r="F2165" t="s">
        <v>67</v>
      </c>
    </row>
    <row r="2166" spans="1:6" x14ac:dyDescent="0.25">
      <c r="A2166" t="s">
        <v>20</v>
      </c>
      <c r="B2166" t="s">
        <v>21</v>
      </c>
      <c r="C2166" t="s">
        <v>65</v>
      </c>
      <c r="D2166">
        <v>135605000</v>
      </c>
      <c r="E2166">
        <v>2017</v>
      </c>
      <c r="F2166" t="s">
        <v>67</v>
      </c>
    </row>
    <row r="2167" spans="1:6" x14ac:dyDescent="0.25">
      <c r="A2167" t="s">
        <v>22</v>
      </c>
      <c r="B2167" t="s">
        <v>23</v>
      </c>
      <c r="C2167" t="s">
        <v>65</v>
      </c>
      <c r="D2167">
        <v>72850000</v>
      </c>
      <c r="E2167">
        <v>2017</v>
      </c>
      <c r="F2167" t="s">
        <v>67</v>
      </c>
    </row>
    <row r="2168" spans="1:6" x14ac:dyDescent="0.25">
      <c r="A2168" t="s">
        <v>24</v>
      </c>
      <c r="B2168" t="s">
        <v>25</v>
      </c>
      <c r="C2168" t="s">
        <v>65</v>
      </c>
      <c r="D2168">
        <v>197634000</v>
      </c>
      <c r="E2168">
        <v>2017</v>
      </c>
      <c r="F2168" t="s">
        <v>67</v>
      </c>
    </row>
    <row r="2169" spans="1:6" x14ac:dyDescent="0.25">
      <c r="A2169" t="s">
        <v>26</v>
      </c>
      <c r="B2169" t="s">
        <v>27</v>
      </c>
      <c r="C2169" t="s">
        <v>65</v>
      </c>
      <c r="D2169">
        <v>36226000</v>
      </c>
      <c r="E2169">
        <v>2017</v>
      </c>
      <c r="F2169" t="s">
        <v>67</v>
      </c>
    </row>
    <row r="2170" spans="1:6" x14ac:dyDescent="0.25">
      <c r="A2170" t="s">
        <v>28</v>
      </c>
      <c r="B2170" t="s">
        <v>29</v>
      </c>
      <c r="C2170" t="s">
        <v>65</v>
      </c>
      <c r="D2170">
        <v>66390000</v>
      </c>
      <c r="E2170">
        <v>2017</v>
      </c>
      <c r="F2170" t="s">
        <v>67</v>
      </c>
    </row>
    <row r="2171" spans="1:6" x14ac:dyDescent="0.25">
      <c r="A2171" t="s">
        <v>30</v>
      </c>
      <c r="B2171" t="s">
        <v>31</v>
      </c>
      <c r="C2171" t="s">
        <v>65</v>
      </c>
      <c r="D2171">
        <v>428835000</v>
      </c>
      <c r="E2171">
        <v>2017</v>
      </c>
      <c r="F2171" t="s">
        <v>67</v>
      </c>
    </row>
    <row r="2172" spans="1:6" x14ac:dyDescent="0.25">
      <c r="A2172" t="s">
        <v>32</v>
      </c>
      <c r="B2172" t="s">
        <v>33</v>
      </c>
      <c r="C2172" t="s">
        <v>65</v>
      </c>
      <c r="D2172">
        <v>170484000</v>
      </c>
      <c r="E2172">
        <v>2017</v>
      </c>
      <c r="F2172" t="s">
        <v>67</v>
      </c>
    </row>
    <row r="2173" spans="1:6" x14ac:dyDescent="0.25">
      <c r="A2173" t="s">
        <v>34</v>
      </c>
      <c r="B2173" t="s">
        <v>35</v>
      </c>
      <c r="C2173" t="s">
        <v>65</v>
      </c>
      <c r="D2173">
        <v>577525000</v>
      </c>
      <c r="E2173">
        <v>2017</v>
      </c>
      <c r="F2173" t="s">
        <v>67</v>
      </c>
    </row>
    <row r="2174" spans="1:6" x14ac:dyDescent="0.25">
      <c r="A2174" t="s">
        <v>36</v>
      </c>
      <c r="B2174" t="s">
        <v>37</v>
      </c>
      <c r="C2174" t="s">
        <v>65</v>
      </c>
      <c r="D2174">
        <v>419068000</v>
      </c>
      <c r="E2174">
        <v>2017</v>
      </c>
      <c r="F2174" t="s">
        <v>67</v>
      </c>
    </row>
    <row r="2175" spans="1:6" x14ac:dyDescent="0.25">
      <c r="A2175" t="s">
        <v>38</v>
      </c>
      <c r="B2175" t="s">
        <v>39</v>
      </c>
      <c r="C2175" t="s">
        <v>65</v>
      </c>
      <c r="D2175">
        <v>285176000</v>
      </c>
      <c r="E2175">
        <v>2017</v>
      </c>
      <c r="F2175" t="s">
        <v>67</v>
      </c>
    </row>
    <row r="2176" spans="1:6" x14ac:dyDescent="0.25">
      <c r="A2176" t="s">
        <v>40</v>
      </c>
      <c r="B2176" t="s">
        <v>41</v>
      </c>
      <c r="C2176" t="s">
        <v>65</v>
      </c>
      <c r="D2176">
        <v>707744000</v>
      </c>
      <c r="E2176">
        <v>2017</v>
      </c>
      <c r="F2176" t="s">
        <v>67</v>
      </c>
    </row>
    <row r="2177" spans="1:6" x14ac:dyDescent="0.25">
      <c r="A2177" t="s">
        <v>42</v>
      </c>
      <c r="B2177" t="s">
        <v>43</v>
      </c>
      <c r="C2177" t="s">
        <v>65</v>
      </c>
      <c r="D2177">
        <v>759586000</v>
      </c>
      <c r="E2177">
        <v>2017</v>
      </c>
      <c r="F2177" t="s">
        <v>67</v>
      </c>
    </row>
    <row r="2178" spans="1:6" x14ac:dyDescent="0.25">
      <c r="A2178" t="s">
        <v>44</v>
      </c>
      <c r="B2178" t="s">
        <v>45</v>
      </c>
      <c r="C2178" t="s">
        <v>65</v>
      </c>
      <c r="D2178">
        <v>1212415000</v>
      </c>
      <c r="E2178">
        <v>2017</v>
      </c>
      <c r="F2178" t="s">
        <v>67</v>
      </c>
    </row>
    <row r="2179" spans="1:6" x14ac:dyDescent="0.25">
      <c r="A2179" t="s">
        <v>46</v>
      </c>
      <c r="B2179" t="s">
        <v>47</v>
      </c>
      <c r="C2179" t="s">
        <v>65</v>
      </c>
      <c r="D2179">
        <v>982627000</v>
      </c>
      <c r="E2179">
        <v>2017</v>
      </c>
      <c r="F2179" t="s">
        <v>67</v>
      </c>
    </row>
    <row r="2180" spans="1:6" x14ac:dyDescent="0.25">
      <c r="A2180" t="s">
        <v>48</v>
      </c>
      <c r="B2180" t="s">
        <v>49</v>
      </c>
      <c r="C2180" t="s">
        <v>65</v>
      </c>
      <c r="D2180">
        <v>227577000</v>
      </c>
      <c r="E2180">
        <v>2017</v>
      </c>
      <c r="F2180" t="s">
        <v>67</v>
      </c>
    </row>
    <row r="2181" spans="1:6" x14ac:dyDescent="0.25">
      <c r="A2181" t="s">
        <v>50</v>
      </c>
      <c r="B2181" t="s">
        <v>51</v>
      </c>
      <c r="C2181" t="s">
        <v>65</v>
      </c>
      <c r="D2181">
        <v>36701000</v>
      </c>
      <c r="E2181">
        <v>2017</v>
      </c>
      <c r="F2181" t="s">
        <v>67</v>
      </c>
    </row>
    <row r="2182" spans="1:6" x14ac:dyDescent="0.25">
      <c r="A2182" t="s">
        <v>52</v>
      </c>
      <c r="B2182" t="s">
        <v>53</v>
      </c>
      <c r="C2182" t="s">
        <v>65</v>
      </c>
      <c r="D2182">
        <v>70637000</v>
      </c>
      <c r="E2182">
        <v>2017</v>
      </c>
      <c r="F2182" t="s">
        <v>67</v>
      </c>
    </row>
    <row r="2183" spans="1:6" x14ac:dyDescent="0.25">
      <c r="A2183" t="s">
        <v>54</v>
      </c>
      <c r="B2183" t="s">
        <v>55</v>
      </c>
      <c r="C2183" t="s">
        <v>65</v>
      </c>
      <c r="D2183">
        <v>30974000</v>
      </c>
      <c r="E2183">
        <v>2017</v>
      </c>
      <c r="F2183" t="s">
        <v>67</v>
      </c>
    </row>
    <row r="2184" spans="1:6" x14ac:dyDescent="0.25">
      <c r="A2184" t="s">
        <v>56</v>
      </c>
      <c r="B2184" t="s">
        <v>57</v>
      </c>
      <c r="C2184" t="s">
        <v>65</v>
      </c>
      <c r="E2184">
        <v>2017</v>
      </c>
      <c r="F2184" t="s">
        <v>67</v>
      </c>
    </row>
    <row r="2185" spans="1:6" x14ac:dyDescent="0.25">
      <c r="A2185" t="s">
        <v>58</v>
      </c>
      <c r="B2185" t="s">
        <v>59</v>
      </c>
      <c r="C2185" t="s">
        <v>65</v>
      </c>
      <c r="E2185">
        <v>2017</v>
      </c>
      <c r="F2185" t="s">
        <v>67</v>
      </c>
    </row>
    <row r="2186" spans="1:6" x14ac:dyDescent="0.25">
      <c r="A2186" t="s">
        <v>6</v>
      </c>
      <c r="B2186" t="s">
        <v>7</v>
      </c>
      <c r="C2186" t="s">
        <v>62</v>
      </c>
      <c r="E2186">
        <v>2017</v>
      </c>
      <c r="F2186" t="s">
        <v>67</v>
      </c>
    </row>
    <row r="2187" spans="1:6" x14ac:dyDescent="0.25">
      <c r="A2187" t="s">
        <v>10</v>
      </c>
      <c r="B2187" t="s">
        <v>11</v>
      </c>
      <c r="C2187" t="s">
        <v>62</v>
      </c>
      <c r="E2187">
        <v>2017</v>
      </c>
      <c r="F2187" t="s">
        <v>67</v>
      </c>
    </row>
    <row r="2188" spans="1:6" x14ac:dyDescent="0.25">
      <c r="A2188" t="s">
        <v>12</v>
      </c>
      <c r="B2188" t="s">
        <v>13</v>
      </c>
      <c r="C2188" t="s">
        <v>62</v>
      </c>
      <c r="E2188">
        <v>2017</v>
      </c>
      <c r="F2188" t="s">
        <v>67</v>
      </c>
    </row>
    <row r="2189" spans="1:6" x14ac:dyDescent="0.25">
      <c r="A2189" t="s">
        <v>14</v>
      </c>
      <c r="B2189" t="s">
        <v>15</v>
      </c>
      <c r="C2189" t="s">
        <v>62</v>
      </c>
      <c r="E2189">
        <v>2017</v>
      </c>
      <c r="F2189" t="s">
        <v>67</v>
      </c>
    </row>
    <row r="2190" spans="1:6" x14ac:dyDescent="0.25">
      <c r="A2190" t="s">
        <v>16</v>
      </c>
      <c r="B2190" t="s">
        <v>17</v>
      </c>
      <c r="C2190" t="s">
        <v>62</v>
      </c>
      <c r="E2190">
        <v>2017</v>
      </c>
      <c r="F2190" t="s">
        <v>67</v>
      </c>
    </row>
    <row r="2191" spans="1:6" x14ac:dyDescent="0.25">
      <c r="A2191" t="s">
        <v>18</v>
      </c>
      <c r="B2191" t="s">
        <v>19</v>
      </c>
      <c r="C2191" t="s">
        <v>62</v>
      </c>
      <c r="E2191">
        <v>2017</v>
      </c>
      <c r="F2191" t="s">
        <v>67</v>
      </c>
    </row>
    <row r="2192" spans="1:6" x14ac:dyDescent="0.25">
      <c r="A2192" t="s">
        <v>20</v>
      </c>
      <c r="B2192" t="s">
        <v>21</v>
      </c>
      <c r="C2192" t="s">
        <v>62</v>
      </c>
      <c r="E2192">
        <v>2017</v>
      </c>
      <c r="F2192" t="s">
        <v>67</v>
      </c>
    </row>
    <row r="2193" spans="1:6" x14ac:dyDescent="0.25">
      <c r="A2193" t="s">
        <v>22</v>
      </c>
      <c r="B2193" t="s">
        <v>23</v>
      </c>
      <c r="C2193" t="s">
        <v>62</v>
      </c>
      <c r="E2193">
        <v>2017</v>
      </c>
      <c r="F2193" t="s">
        <v>67</v>
      </c>
    </row>
    <row r="2194" spans="1:6" x14ac:dyDescent="0.25">
      <c r="A2194" t="s">
        <v>24</v>
      </c>
      <c r="B2194" t="s">
        <v>25</v>
      </c>
      <c r="C2194" t="s">
        <v>62</v>
      </c>
      <c r="E2194">
        <v>2017</v>
      </c>
      <c r="F2194" t="s">
        <v>67</v>
      </c>
    </row>
    <row r="2195" spans="1:6" x14ac:dyDescent="0.25">
      <c r="A2195" t="s">
        <v>26</v>
      </c>
      <c r="B2195" t="s">
        <v>27</v>
      </c>
      <c r="C2195" t="s">
        <v>62</v>
      </c>
      <c r="E2195">
        <v>2017</v>
      </c>
      <c r="F2195" t="s">
        <v>67</v>
      </c>
    </row>
    <row r="2196" spans="1:6" x14ac:dyDescent="0.25">
      <c r="A2196" t="s">
        <v>28</v>
      </c>
      <c r="B2196" t="s">
        <v>29</v>
      </c>
      <c r="C2196" t="s">
        <v>62</v>
      </c>
      <c r="E2196">
        <v>2017</v>
      </c>
      <c r="F2196" t="s">
        <v>67</v>
      </c>
    </row>
    <row r="2197" spans="1:6" x14ac:dyDescent="0.25">
      <c r="A2197" t="s">
        <v>30</v>
      </c>
      <c r="B2197" t="s">
        <v>31</v>
      </c>
      <c r="C2197" t="s">
        <v>62</v>
      </c>
      <c r="E2197">
        <v>2017</v>
      </c>
      <c r="F2197" t="s">
        <v>67</v>
      </c>
    </row>
    <row r="2198" spans="1:6" x14ac:dyDescent="0.25">
      <c r="A2198" t="s">
        <v>32</v>
      </c>
      <c r="B2198" t="s">
        <v>33</v>
      </c>
      <c r="C2198" t="s">
        <v>62</v>
      </c>
      <c r="E2198">
        <v>2017</v>
      </c>
      <c r="F2198" t="s">
        <v>67</v>
      </c>
    </row>
    <row r="2199" spans="1:6" x14ac:dyDescent="0.25">
      <c r="A2199" t="s">
        <v>34</v>
      </c>
      <c r="B2199" t="s">
        <v>35</v>
      </c>
      <c r="C2199" t="s">
        <v>62</v>
      </c>
      <c r="E2199">
        <v>2017</v>
      </c>
      <c r="F2199" t="s">
        <v>67</v>
      </c>
    </row>
    <row r="2200" spans="1:6" x14ac:dyDescent="0.25">
      <c r="A2200" t="s">
        <v>36</v>
      </c>
      <c r="B2200" t="s">
        <v>37</v>
      </c>
      <c r="C2200" t="s">
        <v>62</v>
      </c>
      <c r="E2200">
        <v>2017</v>
      </c>
      <c r="F2200" t="s">
        <v>67</v>
      </c>
    </row>
    <row r="2201" spans="1:6" x14ac:dyDescent="0.25">
      <c r="A2201" t="s">
        <v>38</v>
      </c>
      <c r="B2201" t="s">
        <v>39</v>
      </c>
      <c r="C2201" t="s">
        <v>62</v>
      </c>
      <c r="E2201">
        <v>2017</v>
      </c>
      <c r="F2201" t="s">
        <v>67</v>
      </c>
    </row>
    <row r="2202" spans="1:6" x14ac:dyDescent="0.25">
      <c r="A2202" t="s">
        <v>40</v>
      </c>
      <c r="B2202" t="s">
        <v>41</v>
      </c>
      <c r="C2202" t="s">
        <v>62</v>
      </c>
      <c r="E2202">
        <v>2017</v>
      </c>
      <c r="F2202" t="s">
        <v>67</v>
      </c>
    </row>
    <row r="2203" spans="1:6" x14ac:dyDescent="0.25">
      <c r="A2203" t="s">
        <v>42</v>
      </c>
      <c r="B2203" t="s">
        <v>43</v>
      </c>
      <c r="C2203" t="s">
        <v>62</v>
      </c>
      <c r="E2203">
        <v>2017</v>
      </c>
      <c r="F2203" t="s">
        <v>67</v>
      </c>
    </row>
    <row r="2204" spans="1:6" x14ac:dyDescent="0.25">
      <c r="A2204" t="s">
        <v>44</v>
      </c>
      <c r="B2204" t="s">
        <v>45</v>
      </c>
      <c r="C2204" t="s">
        <v>62</v>
      </c>
      <c r="E2204">
        <v>2017</v>
      </c>
      <c r="F2204" t="s">
        <v>67</v>
      </c>
    </row>
    <row r="2205" spans="1:6" x14ac:dyDescent="0.25">
      <c r="A2205" t="s">
        <v>46</v>
      </c>
      <c r="B2205" t="s">
        <v>47</v>
      </c>
      <c r="C2205" t="s">
        <v>62</v>
      </c>
      <c r="E2205">
        <v>2017</v>
      </c>
      <c r="F2205" t="s">
        <v>67</v>
      </c>
    </row>
    <row r="2206" spans="1:6" x14ac:dyDescent="0.25">
      <c r="A2206" t="s">
        <v>48</v>
      </c>
      <c r="B2206" t="s">
        <v>49</v>
      </c>
      <c r="C2206" t="s">
        <v>62</v>
      </c>
      <c r="E2206">
        <v>2017</v>
      </c>
      <c r="F2206" t="s">
        <v>67</v>
      </c>
    </row>
    <row r="2207" spans="1:6" x14ac:dyDescent="0.25">
      <c r="A2207" t="s">
        <v>50</v>
      </c>
      <c r="B2207" t="s">
        <v>51</v>
      </c>
      <c r="C2207" t="s">
        <v>62</v>
      </c>
      <c r="E2207">
        <v>2017</v>
      </c>
      <c r="F2207" t="s">
        <v>67</v>
      </c>
    </row>
    <row r="2208" spans="1:6" x14ac:dyDescent="0.25">
      <c r="A2208" t="s">
        <v>52</v>
      </c>
      <c r="B2208" t="s">
        <v>53</v>
      </c>
      <c r="C2208" t="s">
        <v>62</v>
      </c>
      <c r="E2208">
        <v>2017</v>
      </c>
      <c r="F2208" t="s">
        <v>67</v>
      </c>
    </row>
    <row r="2209" spans="1:6" x14ac:dyDescent="0.25">
      <c r="A2209" t="s">
        <v>54</v>
      </c>
      <c r="B2209" t="s">
        <v>55</v>
      </c>
      <c r="C2209" t="s">
        <v>62</v>
      </c>
      <c r="E2209">
        <v>2017</v>
      </c>
      <c r="F2209" t="s">
        <v>67</v>
      </c>
    </row>
    <row r="2210" spans="1:6" x14ac:dyDescent="0.25">
      <c r="A2210" t="s">
        <v>56</v>
      </c>
      <c r="B2210" t="s">
        <v>57</v>
      </c>
      <c r="C2210" t="s">
        <v>62</v>
      </c>
      <c r="E2210">
        <v>2017</v>
      </c>
      <c r="F2210" t="s">
        <v>67</v>
      </c>
    </row>
    <row r="2211" spans="1:6" x14ac:dyDescent="0.25">
      <c r="A2211" t="s">
        <v>58</v>
      </c>
      <c r="B2211" t="s">
        <v>59</v>
      </c>
      <c r="C2211" t="s">
        <v>62</v>
      </c>
      <c r="E2211">
        <v>2017</v>
      </c>
      <c r="F2211" t="s">
        <v>67</v>
      </c>
    </row>
    <row r="2212" spans="1:6" x14ac:dyDescent="0.25">
      <c r="A2212" t="s">
        <v>6</v>
      </c>
      <c r="B2212" t="s">
        <v>7</v>
      </c>
      <c r="C2212" t="s">
        <v>8</v>
      </c>
      <c r="D2212">
        <v>1075705045</v>
      </c>
      <c r="E2212">
        <v>2018</v>
      </c>
      <c r="F2212" t="s">
        <v>67</v>
      </c>
    </row>
    <row r="2213" spans="1:6" x14ac:dyDescent="0.25">
      <c r="A2213" t="s">
        <v>10</v>
      </c>
      <c r="B2213" t="s">
        <v>11</v>
      </c>
      <c r="C2213" t="s">
        <v>8</v>
      </c>
      <c r="D2213">
        <v>393932463</v>
      </c>
      <c r="E2213">
        <v>2018</v>
      </c>
      <c r="F2213" t="s">
        <v>67</v>
      </c>
    </row>
    <row r="2214" spans="1:6" x14ac:dyDescent="0.25">
      <c r="A2214" t="s">
        <v>12</v>
      </c>
      <c r="B2214" t="s">
        <v>13</v>
      </c>
      <c r="C2214" t="s">
        <v>8</v>
      </c>
      <c r="D2214">
        <v>38657080</v>
      </c>
      <c r="E2214">
        <v>2018</v>
      </c>
      <c r="F2214" t="s">
        <v>67</v>
      </c>
    </row>
    <row r="2215" spans="1:6" x14ac:dyDescent="0.25">
      <c r="A2215" t="s">
        <v>14</v>
      </c>
      <c r="B2215" t="s">
        <v>15</v>
      </c>
      <c r="C2215" t="s">
        <v>8</v>
      </c>
      <c r="E2215">
        <v>2018</v>
      </c>
      <c r="F2215" t="s">
        <v>67</v>
      </c>
    </row>
    <row r="2216" spans="1:6" x14ac:dyDescent="0.25">
      <c r="A2216" t="s">
        <v>16</v>
      </c>
      <c r="B2216" t="s">
        <v>17</v>
      </c>
      <c r="C2216" t="s">
        <v>8</v>
      </c>
      <c r="D2216">
        <v>71039445</v>
      </c>
      <c r="E2216">
        <v>2018</v>
      </c>
      <c r="F2216" t="s">
        <v>67</v>
      </c>
    </row>
    <row r="2217" spans="1:6" x14ac:dyDescent="0.25">
      <c r="A2217" t="s">
        <v>18</v>
      </c>
      <c r="B2217" t="s">
        <v>19</v>
      </c>
      <c r="C2217" t="s">
        <v>8</v>
      </c>
      <c r="D2217">
        <v>14707986</v>
      </c>
      <c r="E2217">
        <v>2018</v>
      </c>
      <c r="F2217" t="s">
        <v>67</v>
      </c>
    </row>
    <row r="2218" spans="1:6" x14ac:dyDescent="0.25">
      <c r="A2218" t="s">
        <v>20</v>
      </c>
      <c r="B2218" t="s">
        <v>21</v>
      </c>
      <c r="C2218" t="s">
        <v>8</v>
      </c>
      <c r="D2218">
        <v>14102289</v>
      </c>
      <c r="E2218">
        <v>2018</v>
      </c>
      <c r="F2218" t="s">
        <v>67</v>
      </c>
    </row>
    <row r="2219" spans="1:6" x14ac:dyDescent="0.25">
      <c r="A2219" t="s">
        <v>22</v>
      </c>
      <c r="B2219" t="s">
        <v>23</v>
      </c>
      <c r="C2219" t="s">
        <v>8</v>
      </c>
      <c r="D2219">
        <v>68380094</v>
      </c>
      <c r="E2219">
        <v>2018</v>
      </c>
      <c r="F2219" t="s">
        <v>67</v>
      </c>
    </row>
    <row r="2220" spans="1:6" x14ac:dyDescent="0.25">
      <c r="A2220" t="s">
        <v>24</v>
      </c>
      <c r="B2220" t="s">
        <v>25</v>
      </c>
      <c r="C2220" t="s">
        <v>8</v>
      </c>
      <c r="D2220">
        <v>44900714</v>
      </c>
      <c r="E2220">
        <v>2018</v>
      </c>
      <c r="F2220" t="s">
        <v>67</v>
      </c>
    </row>
    <row r="2221" spans="1:6" x14ac:dyDescent="0.25">
      <c r="A2221" t="s">
        <v>26</v>
      </c>
      <c r="B2221" t="s">
        <v>27</v>
      </c>
      <c r="C2221" t="s">
        <v>8</v>
      </c>
      <c r="D2221">
        <v>20341359</v>
      </c>
      <c r="E2221">
        <v>2018</v>
      </c>
      <c r="F2221" t="s">
        <v>67</v>
      </c>
    </row>
    <row r="2222" spans="1:6" x14ac:dyDescent="0.25">
      <c r="A2222" t="s">
        <v>28</v>
      </c>
      <c r="B2222" t="s">
        <v>29</v>
      </c>
      <c r="C2222" t="s">
        <v>8</v>
      </c>
      <c r="D2222">
        <v>152518</v>
      </c>
      <c r="E2222">
        <v>2018</v>
      </c>
      <c r="F2222" t="s">
        <v>67</v>
      </c>
    </row>
    <row r="2223" spans="1:6" x14ac:dyDescent="0.25">
      <c r="A2223" t="s">
        <v>30</v>
      </c>
      <c r="B2223" t="s">
        <v>31</v>
      </c>
      <c r="C2223" t="s">
        <v>8</v>
      </c>
      <c r="D2223">
        <v>53656246</v>
      </c>
      <c r="E2223">
        <v>2018</v>
      </c>
      <c r="F2223" t="s">
        <v>67</v>
      </c>
    </row>
    <row r="2224" spans="1:6" x14ac:dyDescent="0.25">
      <c r="A2224" t="s">
        <v>32</v>
      </c>
      <c r="B2224" t="s">
        <v>33</v>
      </c>
      <c r="C2224" t="s">
        <v>8</v>
      </c>
      <c r="D2224">
        <v>25675544</v>
      </c>
      <c r="E2224">
        <v>2018</v>
      </c>
      <c r="F2224" t="s">
        <v>67</v>
      </c>
    </row>
    <row r="2225" spans="1:6" x14ac:dyDescent="0.25">
      <c r="A2225" t="s">
        <v>34</v>
      </c>
      <c r="B2225" t="s">
        <v>35</v>
      </c>
      <c r="C2225" t="s">
        <v>8</v>
      </c>
      <c r="D2225">
        <v>58803191</v>
      </c>
      <c r="E2225">
        <v>2018</v>
      </c>
      <c r="F2225" t="s">
        <v>67</v>
      </c>
    </row>
    <row r="2226" spans="1:6" x14ac:dyDescent="0.25">
      <c r="A2226" t="s">
        <v>36</v>
      </c>
      <c r="B2226" t="s">
        <v>37</v>
      </c>
      <c r="C2226" t="s">
        <v>8</v>
      </c>
      <c r="D2226">
        <v>43762448</v>
      </c>
      <c r="E2226">
        <v>2018</v>
      </c>
      <c r="F2226" t="s">
        <v>67</v>
      </c>
    </row>
    <row r="2227" spans="1:6" x14ac:dyDescent="0.25">
      <c r="A2227" t="s">
        <v>38</v>
      </c>
      <c r="B2227" t="s">
        <v>39</v>
      </c>
      <c r="C2227" t="s">
        <v>8</v>
      </c>
      <c r="D2227">
        <v>16268945</v>
      </c>
      <c r="E2227">
        <v>2018</v>
      </c>
      <c r="F2227" t="s">
        <v>67</v>
      </c>
    </row>
    <row r="2228" spans="1:6" x14ac:dyDescent="0.25">
      <c r="A2228" t="s">
        <v>40</v>
      </c>
      <c r="B2228" t="s">
        <v>41</v>
      </c>
      <c r="C2228" t="s">
        <v>8</v>
      </c>
      <c r="D2228">
        <v>75402185</v>
      </c>
      <c r="E2228">
        <v>2018</v>
      </c>
      <c r="F2228" t="s">
        <v>67</v>
      </c>
    </row>
    <row r="2229" spans="1:6" x14ac:dyDescent="0.25">
      <c r="A2229" t="s">
        <v>42</v>
      </c>
      <c r="B2229" t="s">
        <v>43</v>
      </c>
      <c r="C2229" t="s">
        <v>8</v>
      </c>
      <c r="D2229">
        <v>5507306</v>
      </c>
      <c r="E2229">
        <v>2018</v>
      </c>
      <c r="F2229" t="s">
        <v>67</v>
      </c>
    </row>
    <row r="2230" spans="1:6" x14ac:dyDescent="0.25">
      <c r="A2230" t="s">
        <v>44</v>
      </c>
      <c r="B2230" t="s">
        <v>45</v>
      </c>
      <c r="C2230" t="s">
        <v>8</v>
      </c>
      <c r="D2230">
        <v>16263165</v>
      </c>
      <c r="E2230">
        <v>2018</v>
      </c>
      <c r="F2230" t="s">
        <v>67</v>
      </c>
    </row>
    <row r="2231" spans="1:6" x14ac:dyDescent="0.25">
      <c r="A2231" t="s">
        <v>46</v>
      </c>
      <c r="B2231" t="s">
        <v>47</v>
      </c>
      <c r="C2231" t="s">
        <v>8</v>
      </c>
      <c r="D2231">
        <v>22340542</v>
      </c>
      <c r="E2231">
        <v>2018</v>
      </c>
      <c r="F2231" t="s">
        <v>67</v>
      </c>
    </row>
    <row r="2232" spans="1:6" x14ac:dyDescent="0.25">
      <c r="A2232" t="s">
        <v>48</v>
      </c>
      <c r="B2232" t="s">
        <v>49</v>
      </c>
      <c r="C2232" t="s">
        <v>8</v>
      </c>
      <c r="D2232">
        <v>4818157</v>
      </c>
      <c r="E2232">
        <v>2018</v>
      </c>
      <c r="F2232" t="s">
        <v>67</v>
      </c>
    </row>
    <row r="2233" spans="1:6" x14ac:dyDescent="0.25">
      <c r="A2233" t="s">
        <v>50</v>
      </c>
      <c r="B2233" t="s">
        <v>51</v>
      </c>
      <c r="C2233" t="s">
        <v>8</v>
      </c>
      <c r="D2233">
        <v>1727951</v>
      </c>
      <c r="E2233">
        <v>2018</v>
      </c>
      <c r="F2233" t="s">
        <v>67</v>
      </c>
    </row>
    <row r="2234" spans="1:6" x14ac:dyDescent="0.25">
      <c r="A2234" t="s">
        <v>52</v>
      </c>
      <c r="B2234" t="s">
        <v>53</v>
      </c>
      <c r="C2234" t="s">
        <v>8</v>
      </c>
      <c r="D2234">
        <v>25213233</v>
      </c>
      <c r="E2234">
        <v>2018</v>
      </c>
      <c r="F2234" t="s">
        <v>67</v>
      </c>
    </row>
    <row r="2235" spans="1:6" x14ac:dyDescent="0.25">
      <c r="A2235" t="s">
        <v>54</v>
      </c>
      <c r="B2235" t="s">
        <v>55</v>
      </c>
      <c r="C2235" t="s">
        <v>8</v>
      </c>
      <c r="D2235">
        <v>2784591</v>
      </c>
      <c r="E2235">
        <v>2018</v>
      </c>
      <c r="F2235" t="s">
        <v>67</v>
      </c>
    </row>
    <row r="2236" spans="1:6" x14ac:dyDescent="0.25">
      <c r="A2236" t="s">
        <v>56</v>
      </c>
      <c r="B2236" t="s">
        <v>57</v>
      </c>
      <c r="C2236" t="s">
        <v>8</v>
      </c>
      <c r="D2236">
        <v>55325776</v>
      </c>
      <c r="E2236">
        <v>2018</v>
      </c>
      <c r="F2236" t="s">
        <v>67</v>
      </c>
    </row>
    <row r="2237" spans="1:6" x14ac:dyDescent="0.25">
      <c r="A2237" t="s">
        <v>58</v>
      </c>
      <c r="B2237" t="s">
        <v>59</v>
      </c>
      <c r="C2237" t="s">
        <v>8</v>
      </c>
      <c r="D2237">
        <v>1941807</v>
      </c>
      <c r="E2237">
        <v>2018</v>
      </c>
      <c r="F2237" t="s">
        <v>67</v>
      </c>
    </row>
    <row r="2238" spans="1:6" x14ac:dyDescent="0.25">
      <c r="A2238" t="s">
        <v>6</v>
      </c>
      <c r="B2238" t="s">
        <v>7</v>
      </c>
      <c r="C2238" t="s">
        <v>61</v>
      </c>
      <c r="D2238">
        <v>683380785</v>
      </c>
      <c r="E2238">
        <v>2018</v>
      </c>
      <c r="F2238" t="s">
        <v>67</v>
      </c>
    </row>
    <row r="2239" spans="1:6" x14ac:dyDescent="0.25">
      <c r="A2239" t="s">
        <v>10</v>
      </c>
      <c r="B2239" t="s">
        <v>11</v>
      </c>
      <c r="C2239" t="s">
        <v>61</v>
      </c>
      <c r="D2239">
        <v>331458282</v>
      </c>
      <c r="E2239">
        <v>2018</v>
      </c>
      <c r="F2239" t="s">
        <v>67</v>
      </c>
    </row>
    <row r="2240" spans="1:6" x14ac:dyDescent="0.25">
      <c r="A2240" t="s">
        <v>12</v>
      </c>
      <c r="B2240" t="s">
        <v>13</v>
      </c>
      <c r="C2240" t="s">
        <v>61</v>
      </c>
      <c r="D2240">
        <v>25682106</v>
      </c>
      <c r="E2240">
        <v>2018</v>
      </c>
      <c r="F2240" t="s">
        <v>67</v>
      </c>
    </row>
    <row r="2241" spans="1:6" x14ac:dyDescent="0.25">
      <c r="A2241" t="s">
        <v>14</v>
      </c>
      <c r="B2241" t="s">
        <v>15</v>
      </c>
      <c r="C2241" t="s">
        <v>61</v>
      </c>
      <c r="D2241">
        <v>116184</v>
      </c>
      <c r="E2241">
        <v>2018</v>
      </c>
      <c r="F2241" t="s">
        <v>67</v>
      </c>
    </row>
    <row r="2242" spans="1:6" x14ac:dyDescent="0.25">
      <c r="A2242" t="s">
        <v>16</v>
      </c>
      <c r="B2242" t="s">
        <v>17</v>
      </c>
      <c r="C2242" t="s">
        <v>61</v>
      </c>
      <c r="D2242">
        <v>25113345</v>
      </c>
      <c r="E2242">
        <v>2018</v>
      </c>
      <c r="F2242" t="s">
        <v>67</v>
      </c>
    </row>
    <row r="2243" spans="1:6" x14ac:dyDescent="0.25">
      <c r="A2243" t="s">
        <v>18</v>
      </c>
      <c r="B2243" t="s">
        <v>19</v>
      </c>
      <c r="C2243" t="s">
        <v>61</v>
      </c>
      <c r="D2243">
        <v>24876740</v>
      </c>
      <c r="E2243">
        <v>2018</v>
      </c>
      <c r="F2243" t="s">
        <v>67</v>
      </c>
    </row>
    <row r="2244" spans="1:6" x14ac:dyDescent="0.25">
      <c r="A2244" t="s">
        <v>20</v>
      </c>
      <c r="B2244" t="s">
        <v>21</v>
      </c>
      <c r="C2244" t="s">
        <v>61</v>
      </c>
      <c r="D2244">
        <v>6254388</v>
      </c>
      <c r="E2244">
        <v>2018</v>
      </c>
      <c r="F2244" t="s">
        <v>67</v>
      </c>
    </row>
    <row r="2245" spans="1:6" x14ac:dyDescent="0.25">
      <c r="A2245" t="s">
        <v>22</v>
      </c>
      <c r="B2245" t="s">
        <v>23</v>
      </c>
      <c r="C2245" t="s">
        <v>61</v>
      </c>
      <c r="D2245">
        <v>11754374</v>
      </c>
      <c r="E2245">
        <v>2018</v>
      </c>
      <c r="F2245" t="s">
        <v>67</v>
      </c>
    </row>
    <row r="2246" spans="1:6" x14ac:dyDescent="0.25">
      <c r="A2246" t="s">
        <v>24</v>
      </c>
      <c r="B2246" t="s">
        <v>25</v>
      </c>
      <c r="C2246" t="s">
        <v>61</v>
      </c>
      <c r="D2246">
        <v>23881560</v>
      </c>
      <c r="E2246">
        <v>2018</v>
      </c>
      <c r="F2246" t="s">
        <v>67</v>
      </c>
    </row>
    <row r="2247" spans="1:6" x14ac:dyDescent="0.25">
      <c r="A2247" t="s">
        <v>26</v>
      </c>
      <c r="B2247" t="s">
        <v>27</v>
      </c>
      <c r="C2247" t="s">
        <v>61</v>
      </c>
      <c r="D2247">
        <v>12913959</v>
      </c>
      <c r="E2247">
        <v>2018</v>
      </c>
      <c r="F2247" t="s">
        <v>67</v>
      </c>
    </row>
    <row r="2248" spans="1:6" x14ac:dyDescent="0.25">
      <c r="A2248" t="s">
        <v>28</v>
      </c>
      <c r="B2248" t="s">
        <v>29</v>
      </c>
      <c r="C2248" t="s">
        <v>61</v>
      </c>
      <c r="D2248">
        <v>1691184</v>
      </c>
      <c r="E2248">
        <v>2018</v>
      </c>
      <c r="F2248" t="s">
        <v>67</v>
      </c>
    </row>
    <row r="2249" spans="1:6" x14ac:dyDescent="0.25">
      <c r="A2249" t="s">
        <v>30</v>
      </c>
      <c r="B2249" t="s">
        <v>31</v>
      </c>
      <c r="C2249" t="s">
        <v>61</v>
      </c>
      <c r="D2249">
        <v>24045575</v>
      </c>
      <c r="E2249">
        <v>2018</v>
      </c>
      <c r="F2249" t="s">
        <v>67</v>
      </c>
    </row>
    <row r="2250" spans="1:6" x14ac:dyDescent="0.25">
      <c r="A2250" t="s">
        <v>32</v>
      </c>
      <c r="B2250" t="s">
        <v>33</v>
      </c>
      <c r="C2250" t="s">
        <v>61</v>
      </c>
      <c r="D2250">
        <v>15754735</v>
      </c>
      <c r="E2250">
        <v>2018</v>
      </c>
      <c r="F2250" t="s">
        <v>67</v>
      </c>
    </row>
    <row r="2251" spans="1:6" x14ac:dyDescent="0.25">
      <c r="A2251" t="s">
        <v>34</v>
      </c>
      <c r="B2251" t="s">
        <v>35</v>
      </c>
      <c r="C2251" t="s">
        <v>61</v>
      </c>
      <c r="D2251">
        <v>43475292</v>
      </c>
      <c r="E2251">
        <v>2018</v>
      </c>
      <c r="F2251" t="s">
        <v>67</v>
      </c>
    </row>
    <row r="2252" spans="1:6" x14ac:dyDescent="0.25">
      <c r="A2252" t="s">
        <v>36</v>
      </c>
      <c r="B2252" t="s">
        <v>37</v>
      </c>
      <c r="C2252" t="s">
        <v>61</v>
      </c>
      <c r="D2252">
        <v>27733295</v>
      </c>
      <c r="E2252">
        <v>2018</v>
      </c>
      <c r="F2252" t="s">
        <v>67</v>
      </c>
    </row>
    <row r="2253" spans="1:6" x14ac:dyDescent="0.25">
      <c r="A2253" t="s">
        <v>38</v>
      </c>
      <c r="B2253" t="s">
        <v>39</v>
      </c>
      <c r="C2253" t="s">
        <v>61</v>
      </c>
      <c r="D2253">
        <v>19250340</v>
      </c>
      <c r="E2253">
        <v>2018</v>
      </c>
      <c r="F2253" t="s">
        <v>67</v>
      </c>
    </row>
    <row r="2254" spans="1:6" x14ac:dyDescent="0.25">
      <c r="A2254" t="s">
        <v>40</v>
      </c>
      <c r="B2254" t="s">
        <v>41</v>
      </c>
      <c r="C2254" t="s">
        <v>61</v>
      </c>
      <c r="D2254">
        <v>20229774</v>
      </c>
      <c r="E2254">
        <v>2018</v>
      </c>
      <c r="F2254" t="s">
        <v>67</v>
      </c>
    </row>
    <row r="2255" spans="1:6" x14ac:dyDescent="0.25">
      <c r="A2255" t="s">
        <v>42</v>
      </c>
      <c r="B2255" t="s">
        <v>43</v>
      </c>
      <c r="C2255" t="s">
        <v>61</v>
      </c>
      <c r="D2255">
        <v>6357602</v>
      </c>
      <c r="E2255">
        <v>2018</v>
      </c>
      <c r="F2255" t="s">
        <v>67</v>
      </c>
    </row>
    <row r="2256" spans="1:6" x14ac:dyDescent="0.25">
      <c r="A2256" t="s">
        <v>44</v>
      </c>
      <c r="B2256" t="s">
        <v>45</v>
      </c>
      <c r="C2256" t="s">
        <v>61</v>
      </c>
      <c r="D2256">
        <v>13093740</v>
      </c>
      <c r="E2256">
        <v>2018</v>
      </c>
      <c r="F2256" t="s">
        <v>67</v>
      </c>
    </row>
    <row r="2257" spans="1:6" x14ac:dyDescent="0.25">
      <c r="A2257" t="s">
        <v>46</v>
      </c>
      <c r="B2257" t="s">
        <v>47</v>
      </c>
      <c r="C2257" t="s">
        <v>61</v>
      </c>
      <c r="D2257">
        <v>5656608</v>
      </c>
      <c r="E2257">
        <v>2018</v>
      </c>
      <c r="F2257" t="s">
        <v>67</v>
      </c>
    </row>
    <row r="2258" spans="1:6" x14ac:dyDescent="0.25">
      <c r="A2258" t="s">
        <v>48</v>
      </c>
      <c r="B2258" t="s">
        <v>49</v>
      </c>
      <c r="C2258" t="s">
        <v>61</v>
      </c>
      <c r="D2258">
        <v>6385864</v>
      </c>
      <c r="E2258">
        <v>2018</v>
      </c>
      <c r="F2258" t="s">
        <v>67</v>
      </c>
    </row>
    <row r="2259" spans="1:6" x14ac:dyDescent="0.25">
      <c r="A2259" t="s">
        <v>50</v>
      </c>
      <c r="B2259" t="s">
        <v>51</v>
      </c>
      <c r="C2259" t="s">
        <v>61</v>
      </c>
      <c r="D2259">
        <v>5853175</v>
      </c>
      <c r="E2259">
        <v>2018</v>
      </c>
      <c r="F2259" t="s">
        <v>67</v>
      </c>
    </row>
    <row r="2260" spans="1:6" x14ac:dyDescent="0.25">
      <c r="A2260" t="s">
        <v>52</v>
      </c>
      <c r="B2260" t="s">
        <v>53</v>
      </c>
      <c r="C2260" t="s">
        <v>61</v>
      </c>
      <c r="D2260">
        <v>13140399</v>
      </c>
      <c r="E2260">
        <v>2018</v>
      </c>
      <c r="F2260" t="s">
        <v>67</v>
      </c>
    </row>
    <row r="2261" spans="1:6" x14ac:dyDescent="0.25">
      <c r="A2261" t="s">
        <v>54</v>
      </c>
      <c r="B2261" t="s">
        <v>55</v>
      </c>
      <c r="C2261" t="s">
        <v>61</v>
      </c>
      <c r="D2261">
        <v>15356269</v>
      </c>
      <c r="E2261">
        <v>2018</v>
      </c>
      <c r="F2261" t="s">
        <v>67</v>
      </c>
    </row>
    <row r="2262" spans="1:6" x14ac:dyDescent="0.25">
      <c r="A2262" t="s">
        <v>56</v>
      </c>
      <c r="B2262" t="s">
        <v>57</v>
      </c>
      <c r="C2262" t="s">
        <v>61</v>
      </c>
      <c r="D2262">
        <v>3305989</v>
      </c>
      <c r="E2262">
        <v>2018</v>
      </c>
      <c r="F2262" t="s">
        <v>67</v>
      </c>
    </row>
    <row r="2263" spans="1:6" x14ac:dyDescent="0.25">
      <c r="A2263" t="s">
        <v>58</v>
      </c>
      <c r="B2263" t="s">
        <v>59</v>
      </c>
      <c r="C2263" t="s">
        <v>61</v>
      </c>
      <c r="E2263">
        <v>2018</v>
      </c>
      <c r="F2263" t="s">
        <v>67</v>
      </c>
    </row>
    <row r="2264" spans="1:6" x14ac:dyDescent="0.25">
      <c r="A2264" t="s">
        <v>6</v>
      </c>
      <c r="B2264" t="s">
        <v>7</v>
      </c>
      <c r="C2264" t="s">
        <v>65</v>
      </c>
      <c r="D2264">
        <v>10236076000</v>
      </c>
      <c r="E2264">
        <v>2018</v>
      </c>
      <c r="F2264" t="s">
        <v>67</v>
      </c>
    </row>
    <row r="2265" spans="1:6" x14ac:dyDescent="0.25">
      <c r="A2265" t="s">
        <v>10</v>
      </c>
      <c r="B2265" t="s">
        <v>11</v>
      </c>
      <c r="C2265" t="s">
        <v>65</v>
      </c>
      <c r="D2265">
        <v>2190335000</v>
      </c>
      <c r="E2265">
        <v>2018</v>
      </c>
      <c r="F2265" t="s">
        <v>67</v>
      </c>
    </row>
    <row r="2266" spans="1:6" x14ac:dyDescent="0.25">
      <c r="A2266" t="s">
        <v>12</v>
      </c>
      <c r="B2266" t="s">
        <v>13</v>
      </c>
      <c r="C2266" t="s">
        <v>65</v>
      </c>
      <c r="D2266">
        <v>366036000</v>
      </c>
      <c r="E2266">
        <v>2018</v>
      </c>
      <c r="F2266" t="s">
        <v>67</v>
      </c>
    </row>
    <row r="2267" spans="1:6" x14ac:dyDescent="0.25">
      <c r="A2267" t="s">
        <v>14</v>
      </c>
      <c r="B2267" t="s">
        <v>15</v>
      </c>
      <c r="C2267" t="s">
        <v>65</v>
      </c>
      <c r="D2267">
        <v>5246000</v>
      </c>
      <c r="E2267">
        <v>2018</v>
      </c>
      <c r="F2267" t="s">
        <v>67</v>
      </c>
    </row>
    <row r="2268" spans="1:6" x14ac:dyDescent="0.25">
      <c r="A2268" t="s">
        <v>16</v>
      </c>
      <c r="B2268" t="s">
        <v>17</v>
      </c>
      <c r="C2268" t="s">
        <v>65</v>
      </c>
      <c r="D2268">
        <v>670848000</v>
      </c>
      <c r="E2268">
        <v>2018</v>
      </c>
      <c r="F2268" t="s">
        <v>67</v>
      </c>
    </row>
    <row r="2269" spans="1:6" x14ac:dyDescent="0.25">
      <c r="A2269" t="s">
        <v>18</v>
      </c>
      <c r="B2269" t="s">
        <v>19</v>
      </c>
      <c r="C2269" t="s">
        <v>65</v>
      </c>
      <c r="D2269">
        <v>354434000</v>
      </c>
      <c r="E2269">
        <v>2018</v>
      </c>
      <c r="F2269" t="s">
        <v>67</v>
      </c>
    </row>
    <row r="2270" spans="1:6" x14ac:dyDescent="0.25">
      <c r="A2270" t="s">
        <v>20</v>
      </c>
      <c r="B2270" t="s">
        <v>21</v>
      </c>
      <c r="C2270" t="s">
        <v>65</v>
      </c>
      <c r="D2270">
        <v>129956000</v>
      </c>
      <c r="E2270">
        <v>2018</v>
      </c>
      <c r="F2270" t="s">
        <v>67</v>
      </c>
    </row>
    <row r="2271" spans="1:6" x14ac:dyDescent="0.25">
      <c r="A2271" t="s">
        <v>22</v>
      </c>
      <c r="B2271" t="s">
        <v>23</v>
      </c>
      <c r="C2271" t="s">
        <v>65</v>
      </c>
      <c r="D2271">
        <v>72312000</v>
      </c>
      <c r="E2271">
        <v>2018</v>
      </c>
      <c r="F2271" t="s">
        <v>67</v>
      </c>
    </row>
    <row r="2272" spans="1:6" x14ac:dyDescent="0.25">
      <c r="A2272" t="s">
        <v>24</v>
      </c>
      <c r="B2272" t="s">
        <v>25</v>
      </c>
      <c r="C2272" t="s">
        <v>65</v>
      </c>
      <c r="D2272">
        <v>203056000</v>
      </c>
      <c r="E2272">
        <v>2018</v>
      </c>
      <c r="F2272" t="s">
        <v>67</v>
      </c>
    </row>
    <row r="2273" spans="1:6" x14ac:dyDescent="0.25">
      <c r="A2273" t="s">
        <v>26</v>
      </c>
      <c r="B2273" t="s">
        <v>27</v>
      </c>
      <c r="C2273" t="s">
        <v>65</v>
      </c>
      <c r="D2273">
        <v>34366000</v>
      </c>
      <c r="E2273">
        <v>2018</v>
      </c>
      <c r="F2273" t="s">
        <v>67</v>
      </c>
    </row>
    <row r="2274" spans="1:6" x14ac:dyDescent="0.25">
      <c r="A2274" t="s">
        <v>28</v>
      </c>
      <c r="B2274" t="s">
        <v>29</v>
      </c>
      <c r="C2274" t="s">
        <v>65</v>
      </c>
      <c r="D2274">
        <v>64138000</v>
      </c>
      <c r="E2274">
        <v>2018</v>
      </c>
      <c r="F2274" t="s">
        <v>67</v>
      </c>
    </row>
    <row r="2275" spans="1:6" x14ac:dyDescent="0.25">
      <c r="A2275" t="s">
        <v>30</v>
      </c>
      <c r="B2275" t="s">
        <v>31</v>
      </c>
      <c r="C2275" t="s">
        <v>65</v>
      </c>
      <c r="D2275">
        <v>432357000</v>
      </c>
      <c r="E2275">
        <v>2018</v>
      </c>
      <c r="F2275" t="s">
        <v>67</v>
      </c>
    </row>
    <row r="2276" spans="1:6" x14ac:dyDescent="0.25">
      <c r="A2276" t="s">
        <v>32</v>
      </c>
      <c r="B2276" t="s">
        <v>33</v>
      </c>
      <c r="C2276" t="s">
        <v>65</v>
      </c>
      <c r="D2276">
        <v>165262000</v>
      </c>
      <c r="E2276">
        <v>2018</v>
      </c>
      <c r="F2276" t="s">
        <v>67</v>
      </c>
    </row>
    <row r="2277" spans="1:6" x14ac:dyDescent="0.25">
      <c r="A2277" t="s">
        <v>34</v>
      </c>
      <c r="B2277" t="s">
        <v>35</v>
      </c>
      <c r="C2277" t="s">
        <v>65</v>
      </c>
      <c r="D2277">
        <v>597604000</v>
      </c>
      <c r="E2277">
        <v>2018</v>
      </c>
      <c r="F2277" t="s">
        <v>67</v>
      </c>
    </row>
    <row r="2278" spans="1:6" x14ac:dyDescent="0.25">
      <c r="A2278" t="s">
        <v>36</v>
      </c>
      <c r="B2278" t="s">
        <v>37</v>
      </c>
      <c r="C2278" t="s">
        <v>65</v>
      </c>
      <c r="D2278">
        <v>432982000</v>
      </c>
      <c r="E2278">
        <v>2018</v>
      </c>
      <c r="F2278" t="s">
        <v>67</v>
      </c>
    </row>
    <row r="2279" spans="1:6" x14ac:dyDescent="0.25">
      <c r="A2279" t="s">
        <v>38</v>
      </c>
      <c r="B2279" t="s">
        <v>39</v>
      </c>
      <c r="C2279" t="s">
        <v>65</v>
      </c>
      <c r="D2279">
        <v>294383000</v>
      </c>
      <c r="E2279">
        <v>2018</v>
      </c>
      <c r="F2279" t="s">
        <v>67</v>
      </c>
    </row>
    <row r="2280" spans="1:6" x14ac:dyDescent="0.25">
      <c r="A2280" t="s">
        <v>40</v>
      </c>
      <c r="B2280" t="s">
        <v>41</v>
      </c>
      <c r="C2280" t="s">
        <v>65</v>
      </c>
      <c r="D2280">
        <v>716437000</v>
      </c>
      <c r="E2280">
        <v>2018</v>
      </c>
      <c r="F2280" t="s">
        <v>67</v>
      </c>
    </row>
    <row r="2281" spans="1:6" x14ac:dyDescent="0.25">
      <c r="A2281" t="s">
        <v>42</v>
      </c>
      <c r="B2281" t="s">
        <v>43</v>
      </c>
      <c r="C2281" t="s">
        <v>65</v>
      </c>
      <c r="D2281">
        <v>794353000</v>
      </c>
      <c r="E2281">
        <v>2018</v>
      </c>
      <c r="F2281" t="s">
        <v>67</v>
      </c>
    </row>
    <row r="2282" spans="1:6" x14ac:dyDescent="0.25">
      <c r="A2282" t="s">
        <v>44</v>
      </c>
      <c r="B2282" t="s">
        <v>45</v>
      </c>
      <c r="C2282" t="s">
        <v>65</v>
      </c>
      <c r="D2282">
        <v>1285224000</v>
      </c>
      <c r="E2282">
        <v>2018</v>
      </c>
      <c r="F2282" t="s">
        <v>67</v>
      </c>
    </row>
    <row r="2283" spans="1:6" x14ac:dyDescent="0.25">
      <c r="A2283" t="s">
        <v>46</v>
      </c>
      <c r="B2283" t="s">
        <v>47</v>
      </c>
      <c r="C2283" t="s">
        <v>65</v>
      </c>
      <c r="D2283">
        <v>1029599000</v>
      </c>
      <c r="E2283">
        <v>2018</v>
      </c>
      <c r="F2283" t="s">
        <v>67</v>
      </c>
    </row>
    <row r="2284" spans="1:6" x14ac:dyDescent="0.25">
      <c r="A2284" t="s">
        <v>48</v>
      </c>
      <c r="B2284" t="s">
        <v>49</v>
      </c>
      <c r="C2284" t="s">
        <v>65</v>
      </c>
      <c r="D2284">
        <v>254737000</v>
      </c>
      <c r="E2284">
        <v>2018</v>
      </c>
      <c r="F2284" t="s">
        <v>67</v>
      </c>
    </row>
    <row r="2285" spans="1:6" x14ac:dyDescent="0.25">
      <c r="A2285" t="s">
        <v>50</v>
      </c>
      <c r="B2285" t="s">
        <v>51</v>
      </c>
      <c r="C2285" t="s">
        <v>65</v>
      </c>
      <c r="D2285">
        <v>44729000</v>
      </c>
      <c r="E2285">
        <v>2018</v>
      </c>
      <c r="F2285" t="s">
        <v>67</v>
      </c>
    </row>
    <row r="2286" spans="1:6" x14ac:dyDescent="0.25">
      <c r="A2286" t="s">
        <v>52</v>
      </c>
      <c r="B2286" t="s">
        <v>53</v>
      </c>
      <c r="C2286" t="s">
        <v>65</v>
      </c>
      <c r="D2286">
        <v>67571000</v>
      </c>
      <c r="E2286">
        <v>2018</v>
      </c>
      <c r="F2286" t="s">
        <v>67</v>
      </c>
    </row>
    <row r="2287" spans="1:6" x14ac:dyDescent="0.25">
      <c r="A2287" t="s">
        <v>54</v>
      </c>
      <c r="B2287" t="s">
        <v>55</v>
      </c>
      <c r="C2287" t="s">
        <v>65</v>
      </c>
      <c r="D2287">
        <v>30111000</v>
      </c>
      <c r="E2287">
        <v>2018</v>
      </c>
      <c r="F2287" t="s">
        <v>67</v>
      </c>
    </row>
    <row r="2288" spans="1:6" x14ac:dyDescent="0.25">
      <c r="A2288" t="s">
        <v>56</v>
      </c>
      <c r="B2288" t="s">
        <v>57</v>
      </c>
      <c r="C2288" t="s">
        <v>65</v>
      </c>
      <c r="E2288">
        <v>2018</v>
      </c>
      <c r="F2288" t="s">
        <v>67</v>
      </c>
    </row>
    <row r="2289" spans="1:6" x14ac:dyDescent="0.25">
      <c r="A2289" t="s">
        <v>58</v>
      </c>
      <c r="B2289" t="s">
        <v>59</v>
      </c>
      <c r="C2289" t="s">
        <v>65</v>
      </c>
      <c r="E2289">
        <v>2018</v>
      </c>
      <c r="F2289" t="s">
        <v>67</v>
      </c>
    </row>
    <row r="2290" spans="1:6" x14ac:dyDescent="0.25">
      <c r="A2290" t="s">
        <v>6</v>
      </c>
      <c r="B2290" t="s">
        <v>7</v>
      </c>
      <c r="C2290" t="s">
        <v>62</v>
      </c>
      <c r="E2290">
        <v>2018</v>
      </c>
      <c r="F2290" t="s">
        <v>67</v>
      </c>
    </row>
    <row r="2291" spans="1:6" x14ac:dyDescent="0.25">
      <c r="A2291" t="s">
        <v>10</v>
      </c>
      <c r="B2291" t="s">
        <v>11</v>
      </c>
      <c r="C2291" t="s">
        <v>62</v>
      </c>
      <c r="E2291">
        <v>2018</v>
      </c>
      <c r="F2291" t="s">
        <v>67</v>
      </c>
    </row>
    <row r="2292" spans="1:6" x14ac:dyDescent="0.25">
      <c r="A2292" t="s">
        <v>12</v>
      </c>
      <c r="B2292" t="s">
        <v>13</v>
      </c>
      <c r="C2292" t="s">
        <v>62</v>
      </c>
      <c r="E2292">
        <v>2018</v>
      </c>
      <c r="F2292" t="s">
        <v>67</v>
      </c>
    </row>
    <row r="2293" spans="1:6" x14ac:dyDescent="0.25">
      <c r="A2293" t="s">
        <v>14</v>
      </c>
      <c r="B2293" t="s">
        <v>15</v>
      </c>
      <c r="C2293" t="s">
        <v>62</v>
      </c>
      <c r="E2293">
        <v>2018</v>
      </c>
      <c r="F2293" t="s">
        <v>67</v>
      </c>
    </row>
    <row r="2294" spans="1:6" x14ac:dyDescent="0.25">
      <c r="A2294" t="s">
        <v>16</v>
      </c>
      <c r="B2294" t="s">
        <v>17</v>
      </c>
      <c r="C2294" t="s">
        <v>62</v>
      </c>
      <c r="E2294">
        <v>2018</v>
      </c>
      <c r="F2294" t="s">
        <v>67</v>
      </c>
    </row>
    <row r="2295" spans="1:6" x14ac:dyDescent="0.25">
      <c r="A2295" t="s">
        <v>18</v>
      </c>
      <c r="B2295" t="s">
        <v>19</v>
      </c>
      <c r="C2295" t="s">
        <v>62</v>
      </c>
      <c r="E2295">
        <v>2018</v>
      </c>
      <c r="F2295" t="s">
        <v>67</v>
      </c>
    </row>
    <row r="2296" spans="1:6" x14ac:dyDescent="0.25">
      <c r="A2296" t="s">
        <v>20</v>
      </c>
      <c r="B2296" t="s">
        <v>21</v>
      </c>
      <c r="C2296" t="s">
        <v>62</v>
      </c>
      <c r="E2296">
        <v>2018</v>
      </c>
      <c r="F2296" t="s">
        <v>67</v>
      </c>
    </row>
    <row r="2297" spans="1:6" x14ac:dyDescent="0.25">
      <c r="A2297" t="s">
        <v>22</v>
      </c>
      <c r="B2297" t="s">
        <v>23</v>
      </c>
      <c r="C2297" t="s">
        <v>62</v>
      </c>
      <c r="E2297">
        <v>2018</v>
      </c>
      <c r="F2297" t="s">
        <v>67</v>
      </c>
    </row>
    <row r="2298" spans="1:6" x14ac:dyDescent="0.25">
      <c r="A2298" t="s">
        <v>24</v>
      </c>
      <c r="B2298" t="s">
        <v>25</v>
      </c>
      <c r="C2298" t="s">
        <v>62</v>
      </c>
      <c r="E2298">
        <v>2018</v>
      </c>
      <c r="F2298" t="s">
        <v>67</v>
      </c>
    </row>
    <row r="2299" spans="1:6" x14ac:dyDescent="0.25">
      <c r="A2299" t="s">
        <v>26</v>
      </c>
      <c r="B2299" t="s">
        <v>27</v>
      </c>
      <c r="C2299" t="s">
        <v>62</v>
      </c>
      <c r="E2299">
        <v>2018</v>
      </c>
      <c r="F2299" t="s">
        <v>67</v>
      </c>
    </row>
    <row r="2300" spans="1:6" x14ac:dyDescent="0.25">
      <c r="A2300" t="s">
        <v>28</v>
      </c>
      <c r="B2300" t="s">
        <v>29</v>
      </c>
      <c r="C2300" t="s">
        <v>62</v>
      </c>
      <c r="E2300">
        <v>2018</v>
      </c>
      <c r="F2300" t="s">
        <v>67</v>
      </c>
    </row>
    <row r="2301" spans="1:6" x14ac:dyDescent="0.25">
      <c r="A2301" t="s">
        <v>30</v>
      </c>
      <c r="B2301" t="s">
        <v>31</v>
      </c>
      <c r="C2301" t="s">
        <v>62</v>
      </c>
      <c r="E2301">
        <v>2018</v>
      </c>
      <c r="F2301" t="s">
        <v>67</v>
      </c>
    </row>
    <row r="2302" spans="1:6" x14ac:dyDescent="0.25">
      <c r="A2302" t="s">
        <v>32</v>
      </c>
      <c r="B2302" t="s">
        <v>33</v>
      </c>
      <c r="C2302" t="s">
        <v>62</v>
      </c>
      <c r="E2302">
        <v>2018</v>
      </c>
      <c r="F2302" t="s">
        <v>67</v>
      </c>
    </row>
    <row r="2303" spans="1:6" x14ac:dyDescent="0.25">
      <c r="A2303" t="s">
        <v>34</v>
      </c>
      <c r="B2303" t="s">
        <v>35</v>
      </c>
      <c r="C2303" t="s">
        <v>62</v>
      </c>
      <c r="E2303">
        <v>2018</v>
      </c>
      <c r="F2303" t="s">
        <v>67</v>
      </c>
    </row>
    <row r="2304" spans="1:6" x14ac:dyDescent="0.25">
      <c r="A2304" t="s">
        <v>36</v>
      </c>
      <c r="B2304" t="s">
        <v>37</v>
      </c>
      <c r="C2304" t="s">
        <v>62</v>
      </c>
      <c r="E2304">
        <v>2018</v>
      </c>
      <c r="F2304" t="s">
        <v>67</v>
      </c>
    </row>
    <row r="2305" spans="1:6" x14ac:dyDescent="0.25">
      <c r="A2305" t="s">
        <v>38</v>
      </c>
      <c r="B2305" t="s">
        <v>39</v>
      </c>
      <c r="C2305" t="s">
        <v>62</v>
      </c>
      <c r="E2305">
        <v>2018</v>
      </c>
      <c r="F2305" t="s">
        <v>67</v>
      </c>
    </row>
    <row r="2306" spans="1:6" x14ac:dyDescent="0.25">
      <c r="A2306" t="s">
        <v>40</v>
      </c>
      <c r="B2306" t="s">
        <v>41</v>
      </c>
      <c r="C2306" t="s">
        <v>62</v>
      </c>
      <c r="E2306">
        <v>2018</v>
      </c>
      <c r="F2306" t="s">
        <v>67</v>
      </c>
    </row>
    <row r="2307" spans="1:6" x14ac:dyDescent="0.25">
      <c r="A2307" t="s">
        <v>42</v>
      </c>
      <c r="B2307" t="s">
        <v>43</v>
      </c>
      <c r="C2307" t="s">
        <v>62</v>
      </c>
      <c r="E2307">
        <v>2018</v>
      </c>
      <c r="F2307" t="s">
        <v>67</v>
      </c>
    </row>
    <row r="2308" spans="1:6" x14ac:dyDescent="0.25">
      <c r="A2308" t="s">
        <v>44</v>
      </c>
      <c r="B2308" t="s">
        <v>45</v>
      </c>
      <c r="C2308" t="s">
        <v>62</v>
      </c>
      <c r="E2308">
        <v>2018</v>
      </c>
      <c r="F2308" t="s">
        <v>67</v>
      </c>
    </row>
    <row r="2309" spans="1:6" x14ac:dyDescent="0.25">
      <c r="A2309" t="s">
        <v>46</v>
      </c>
      <c r="B2309" t="s">
        <v>47</v>
      </c>
      <c r="C2309" t="s">
        <v>62</v>
      </c>
      <c r="E2309">
        <v>2018</v>
      </c>
      <c r="F2309" t="s">
        <v>67</v>
      </c>
    </row>
    <row r="2310" spans="1:6" x14ac:dyDescent="0.25">
      <c r="A2310" t="s">
        <v>48</v>
      </c>
      <c r="B2310" t="s">
        <v>49</v>
      </c>
      <c r="C2310" t="s">
        <v>62</v>
      </c>
      <c r="E2310">
        <v>2018</v>
      </c>
      <c r="F2310" t="s">
        <v>67</v>
      </c>
    </row>
    <row r="2311" spans="1:6" x14ac:dyDescent="0.25">
      <c r="A2311" t="s">
        <v>50</v>
      </c>
      <c r="B2311" t="s">
        <v>51</v>
      </c>
      <c r="C2311" t="s">
        <v>62</v>
      </c>
      <c r="E2311">
        <v>2018</v>
      </c>
      <c r="F2311" t="s">
        <v>67</v>
      </c>
    </row>
    <row r="2312" spans="1:6" x14ac:dyDescent="0.25">
      <c r="A2312" t="s">
        <v>52</v>
      </c>
      <c r="B2312" t="s">
        <v>53</v>
      </c>
      <c r="C2312" t="s">
        <v>62</v>
      </c>
      <c r="E2312">
        <v>2018</v>
      </c>
      <c r="F2312" t="s">
        <v>67</v>
      </c>
    </row>
    <row r="2313" spans="1:6" x14ac:dyDescent="0.25">
      <c r="A2313" t="s">
        <v>54</v>
      </c>
      <c r="B2313" t="s">
        <v>55</v>
      </c>
      <c r="C2313" t="s">
        <v>62</v>
      </c>
      <c r="E2313">
        <v>2018</v>
      </c>
      <c r="F2313" t="s">
        <v>67</v>
      </c>
    </row>
    <row r="2314" spans="1:6" x14ac:dyDescent="0.25">
      <c r="A2314" t="s">
        <v>56</v>
      </c>
      <c r="B2314" t="s">
        <v>57</v>
      </c>
      <c r="C2314" t="s">
        <v>62</v>
      </c>
      <c r="E2314">
        <v>2018</v>
      </c>
      <c r="F2314" t="s">
        <v>67</v>
      </c>
    </row>
    <row r="2315" spans="1:6" x14ac:dyDescent="0.25">
      <c r="A2315" t="s">
        <v>58</v>
      </c>
      <c r="B2315" t="s">
        <v>59</v>
      </c>
      <c r="C2315" t="s">
        <v>62</v>
      </c>
      <c r="E2315">
        <v>2018</v>
      </c>
      <c r="F2315" t="s">
        <v>67</v>
      </c>
    </row>
    <row r="2316" spans="1:6" x14ac:dyDescent="0.25">
      <c r="A2316" t="s">
        <v>6</v>
      </c>
      <c r="B2316" t="s">
        <v>7</v>
      </c>
      <c r="C2316" t="s">
        <v>8</v>
      </c>
      <c r="D2316">
        <v>869734140</v>
      </c>
      <c r="E2316">
        <v>2019</v>
      </c>
      <c r="F2316" t="s">
        <v>67</v>
      </c>
    </row>
    <row r="2317" spans="1:6" x14ac:dyDescent="0.25">
      <c r="A2317" t="s">
        <v>10</v>
      </c>
      <c r="B2317" t="s">
        <v>11</v>
      </c>
      <c r="C2317" t="s">
        <v>8</v>
      </c>
      <c r="D2317">
        <v>323394091</v>
      </c>
      <c r="E2317">
        <v>2019</v>
      </c>
      <c r="F2317" t="s">
        <v>67</v>
      </c>
    </row>
    <row r="2318" spans="1:6" x14ac:dyDescent="0.25">
      <c r="A2318" t="s">
        <v>12</v>
      </c>
      <c r="B2318" t="s">
        <v>13</v>
      </c>
      <c r="C2318" t="s">
        <v>8</v>
      </c>
      <c r="D2318">
        <v>40205704</v>
      </c>
      <c r="E2318">
        <v>2019</v>
      </c>
      <c r="F2318" t="s">
        <v>67</v>
      </c>
    </row>
    <row r="2319" spans="1:6" x14ac:dyDescent="0.25">
      <c r="A2319" t="s">
        <v>14</v>
      </c>
      <c r="B2319" t="s">
        <v>15</v>
      </c>
      <c r="C2319" t="s">
        <v>8</v>
      </c>
      <c r="E2319">
        <v>2019</v>
      </c>
      <c r="F2319" t="s">
        <v>67</v>
      </c>
    </row>
    <row r="2320" spans="1:6" x14ac:dyDescent="0.25">
      <c r="A2320" t="s">
        <v>16</v>
      </c>
      <c r="B2320" t="s">
        <v>17</v>
      </c>
      <c r="C2320" t="s">
        <v>8</v>
      </c>
      <c r="D2320">
        <v>7905251</v>
      </c>
      <c r="E2320">
        <v>2019</v>
      </c>
      <c r="F2320" t="s">
        <v>67</v>
      </c>
    </row>
    <row r="2321" spans="1:6" x14ac:dyDescent="0.25">
      <c r="A2321" t="s">
        <v>18</v>
      </c>
      <c r="B2321" t="s">
        <v>19</v>
      </c>
      <c r="C2321" t="s">
        <v>8</v>
      </c>
      <c r="D2321">
        <v>9511259</v>
      </c>
      <c r="E2321">
        <v>2019</v>
      </c>
      <c r="F2321" t="s">
        <v>67</v>
      </c>
    </row>
    <row r="2322" spans="1:6" x14ac:dyDescent="0.25">
      <c r="A2322" t="s">
        <v>20</v>
      </c>
      <c r="B2322" t="s">
        <v>21</v>
      </c>
      <c r="C2322" t="s">
        <v>8</v>
      </c>
      <c r="D2322">
        <v>5365094</v>
      </c>
      <c r="E2322">
        <v>2019</v>
      </c>
      <c r="F2322" t="s">
        <v>67</v>
      </c>
    </row>
    <row r="2323" spans="1:6" x14ac:dyDescent="0.25">
      <c r="A2323" t="s">
        <v>22</v>
      </c>
      <c r="B2323" t="s">
        <v>23</v>
      </c>
      <c r="C2323" t="s">
        <v>8</v>
      </c>
      <c r="D2323">
        <v>53748548</v>
      </c>
      <c r="E2323">
        <v>2019</v>
      </c>
      <c r="F2323" t="s">
        <v>67</v>
      </c>
    </row>
    <row r="2324" spans="1:6" x14ac:dyDescent="0.25">
      <c r="A2324" t="s">
        <v>24</v>
      </c>
      <c r="B2324" t="s">
        <v>25</v>
      </c>
      <c r="C2324" t="s">
        <v>8</v>
      </c>
      <c r="D2324">
        <v>55432947</v>
      </c>
      <c r="E2324">
        <v>2019</v>
      </c>
      <c r="F2324" t="s">
        <v>67</v>
      </c>
    </row>
    <row r="2325" spans="1:6" x14ac:dyDescent="0.25">
      <c r="A2325" t="s">
        <v>26</v>
      </c>
      <c r="B2325" t="s">
        <v>27</v>
      </c>
      <c r="C2325" t="s">
        <v>8</v>
      </c>
      <c r="D2325">
        <v>13551030</v>
      </c>
      <c r="E2325">
        <v>2019</v>
      </c>
      <c r="F2325" t="s">
        <v>67</v>
      </c>
    </row>
    <row r="2326" spans="1:6" x14ac:dyDescent="0.25">
      <c r="A2326" t="s">
        <v>28</v>
      </c>
      <c r="B2326" t="s">
        <v>29</v>
      </c>
      <c r="C2326" t="s">
        <v>8</v>
      </c>
      <c r="E2326">
        <v>2019</v>
      </c>
      <c r="F2326" t="s">
        <v>67</v>
      </c>
    </row>
    <row r="2327" spans="1:6" x14ac:dyDescent="0.25">
      <c r="A2327" t="s">
        <v>30</v>
      </c>
      <c r="B2327" t="s">
        <v>31</v>
      </c>
      <c r="C2327" t="s">
        <v>8</v>
      </c>
      <c r="D2327">
        <v>48238728</v>
      </c>
      <c r="E2327">
        <v>2019</v>
      </c>
      <c r="F2327" t="s">
        <v>67</v>
      </c>
    </row>
    <row r="2328" spans="1:6" x14ac:dyDescent="0.25">
      <c r="A2328" t="s">
        <v>32</v>
      </c>
      <c r="B2328" t="s">
        <v>33</v>
      </c>
      <c r="C2328" t="s">
        <v>8</v>
      </c>
      <c r="D2328">
        <v>28734657</v>
      </c>
      <c r="E2328">
        <v>2019</v>
      </c>
      <c r="F2328" t="s">
        <v>67</v>
      </c>
    </row>
    <row r="2329" spans="1:6" x14ac:dyDescent="0.25">
      <c r="A2329" t="s">
        <v>34</v>
      </c>
      <c r="B2329" t="s">
        <v>35</v>
      </c>
      <c r="C2329" t="s">
        <v>8</v>
      </c>
      <c r="D2329">
        <v>44399108</v>
      </c>
      <c r="E2329">
        <v>2019</v>
      </c>
      <c r="F2329" t="s">
        <v>67</v>
      </c>
    </row>
    <row r="2330" spans="1:6" x14ac:dyDescent="0.25">
      <c r="A2330" t="s">
        <v>36</v>
      </c>
      <c r="B2330" t="s">
        <v>37</v>
      </c>
      <c r="C2330" t="s">
        <v>8</v>
      </c>
      <c r="D2330">
        <v>39787815</v>
      </c>
      <c r="E2330">
        <v>2019</v>
      </c>
      <c r="F2330" t="s">
        <v>67</v>
      </c>
    </row>
    <row r="2331" spans="1:6" x14ac:dyDescent="0.25">
      <c r="A2331" t="s">
        <v>38</v>
      </c>
      <c r="B2331" t="s">
        <v>39</v>
      </c>
      <c r="C2331" t="s">
        <v>8</v>
      </c>
      <c r="D2331">
        <v>14956365</v>
      </c>
      <c r="E2331">
        <v>2019</v>
      </c>
      <c r="F2331" t="s">
        <v>67</v>
      </c>
    </row>
    <row r="2332" spans="1:6" x14ac:dyDescent="0.25">
      <c r="A2332" t="s">
        <v>40</v>
      </c>
      <c r="B2332" t="s">
        <v>41</v>
      </c>
      <c r="C2332" t="s">
        <v>8</v>
      </c>
      <c r="D2332">
        <v>49346305</v>
      </c>
      <c r="E2332">
        <v>2019</v>
      </c>
      <c r="F2332" t="s">
        <v>67</v>
      </c>
    </row>
    <row r="2333" spans="1:6" x14ac:dyDescent="0.25">
      <c r="A2333" t="s">
        <v>42</v>
      </c>
      <c r="B2333" t="s">
        <v>43</v>
      </c>
      <c r="C2333" t="s">
        <v>8</v>
      </c>
      <c r="D2333">
        <v>1376462</v>
      </c>
      <c r="E2333">
        <v>2019</v>
      </c>
      <c r="F2333" t="s">
        <v>67</v>
      </c>
    </row>
    <row r="2334" spans="1:6" x14ac:dyDescent="0.25">
      <c r="A2334" t="s">
        <v>44</v>
      </c>
      <c r="B2334" t="s">
        <v>45</v>
      </c>
      <c r="C2334" t="s">
        <v>8</v>
      </c>
      <c r="D2334">
        <v>15826763</v>
      </c>
      <c r="E2334">
        <v>2019</v>
      </c>
      <c r="F2334" t="s">
        <v>67</v>
      </c>
    </row>
    <row r="2335" spans="1:6" x14ac:dyDescent="0.25">
      <c r="A2335" t="s">
        <v>46</v>
      </c>
      <c r="B2335" t="s">
        <v>47</v>
      </c>
      <c r="C2335" t="s">
        <v>8</v>
      </c>
      <c r="D2335">
        <v>18957745</v>
      </c>
      <c r="E2335">
        <v>2019</v>
      </c>
      <c r="F2335" t="s">
        <v>67</v>
      </c>
    </row>
    <row r="2336" spans="1:6" x14ac:dyDescent="0.25">
      <c r="A2336" t="s">
        <v>48</v>
      </c>
      <c r="B2336" t="s">
        <v>49</v>
      </c>
      <c r="C2336" t="s">
        <v>8</v>
      </c>
      <c r="D2336">
        <v>2604851</v>
      </c>
      <c r="E2336">
        <v>2019</v>
      </c>
      <c r="F2336" t="s">
        <v>67</v>
      </c>
    </row>
    <row r="2337" spans="1:6" x14ac:dyDescent="0.25">
      <c r="A2337" t="s">
        <v>50</v>
      </c>
      <c r="B2337" t="s">
        <v>51</v>
      </c>
      <c r="C2337" t="s">
        <v>8</v>
      </c>
      <c r="D2337">
        <v>1535531</v>
      </c>
      <c r="E2337">
        <v>2019</v>
      </c>
      <c r="F2337" t="s">
        <v>67</v>
      </c>
    </row>
    <row r="2338" spans="1:6" x14ac:dyDescent="0.25">
      <c r="A2338" t="s">
        <v>52</v>
      </c>
      <c r="B2338" t="s">
        <v>53</v>
      </c>
      <c r="C2338" t="s">
        <v>8</v>
      </c>
      <c r="D2338">
        <v>19795470</v>
      </c>
      <c r="E2338">
        <v>2019</v>
      </c>
      <c r="F2338" t="s">
        <v>67</v>
      </c>
    </row>
    <row r="2339" spans="1:6" x14ac:dyDescent="0.25">
      <c r="A2339" t="s">
        <v>54</v>
      </c>
      <c r="B2339" t="s">
        <v>55</v>
      </c>
      <c r="C2339" t="s">
        <v>8</v>
      </c>
      <c r="D2339">
        <v>2139316</v>
      </c>
      <c r="E2339">
        <v>2019</v>
      </c>
      <c r="F2339" t="s">
        <v>67</v>
      </c>
    </row>
    <row r="2340" spans="1:6" x14ac:dyDescent="0.25">
      <c r="A2340" t="s">
        <v>56</v>
      </c>
      <c r="B2340" t="s">
        <v>57</v>
      </c>
      <c r="C2340" t="s">
        <v>8</v>
      </c>
      <c r="D2340">
        <v>42530733</v>
      </c>
      <c r="E2340">
        <v>2019</v>
      </c>
      <c r="F2340" t="s">
        <v>67</v>
      </c>
    </row>
    <row r="2341" spans="1:6" x14ac:dyDescent="0.25">
      <c r="A2341" t="s">
        <v>58</v>
      </c>
      <c r="B2341" t="s">
        <v>59</v>
      </c>
      <c r="C2341" t="s">
        <v>8</v>
      </c>
      <c r="D2341">
        <v>30390358</v>
      </c>
      <c r="E2341">
        <v>2019</v>
      </c>
      <c r="F2341" t="s">
        <v>67</v>
      </c>
    </row>
    <row r="2342" spans="1:6" x14ac:dyDescent="0.25">
      <c r="A2342" t="s">
        <v>6</v>
      </c>
      <c r="B2342" t="s">
        <v>7</v>
      </c>
      <c r="C2342" t="s">
        <v>61</v>
      </c>
      <c r="D2342">
        <v>649678000</v>
      </c>
      <c r="E2342">
        <v>2019</v>
      </c>
      <c r="F2342" t="s">
        <v>67</v>
      </c>
    </row>
    <row r="2343" spans="1:6" x14ac:dyDescent="0.25">
      <c r="A2343" t="s">
        <v>10</v>
      </c>
      <c r="B2343" t="s">
        <v>11</v>
      </c>
      <c r="C2343" t="s">
        <v>61</v>
      </c>
      <c r="D2343">
        <v>306247281</v>
      </c>
      <c r="E2343">
        <v>2019</v>
      </c>
      <c r="F2343" t="s">
        <v>67</v>
      </c>
    </row>
    <row r="2344" spans="1:6" x14ac:dyDescent="0.25">
      <c r="A2344" t="s">
        <v>12</v>
      </c>
      <c r="B2344" t="s">
        <v>13</v>
      </c>
      <c r="C2344" t="s">
        <v>61</v>
      </c>
      <c r="D2344">
        <v>23152776</v>
      </c>
      <c r="E2344">
        <v>2019</v>
      </c>
      <c r="F2344" t="s">
        <v>67</v>
      </c>
    </row>
    <row r="2345" spans="1:6" x14ac:dyDescent="0.25">
      <c r="A2345" t="s">
        <v>14</v>
      </c>
      <c r="B2345" t="s">
        <v>15</v>
      </c>
      <c r="C2345" t="s">
        <v>61</v>
      </c>
      <c r="D2345">
        <v>92268</v>
      </c>
      <c r="E2345">
        <v>2019</v>
      </c>
      <c r="F2345" t="s">
        <v>67</v>
      </c>
    </row>
    <row r="2346" spans="1:6" x14ac:dyDescent="0.25">
      <c r="A2346" t="s">
        <v>16</v>
      </c>
      <c r="B2346" t="s">
        <v>17</v>
      </c>
      <c r="C2346" t="s">
        <v>61</v>
      </c>
      <c r="D2346">
        <v>19144071</v>
      </c>
      <c r="E2346">
        <v>2019</v>
      </c>
      <c r="F2346" t="s">
        <v>67</v>
      </c>
    </row>
    <row r="2347" spans="1:6" x14ac:dyDescent="0.25">
      <c r="A2347" t="s">
        <v>18</v>
      </c>
      <c r="B2347" t="s">
        <v>19</v>
      </c>
      <c r="C2347" t="s">
        <v>61</v>
      </c>
      <c r="D2347">
        <v>19747875</v>
      </c>
      <c r="E2347">
        <v>2019</v>
      </c>
      <c r="F2347" t="s">
        <v>67</v>
      </c>
    </row>
    <row r="2348" spans="1:6" x14ac:dyDescent="0.25">
      <c r="A2348" t="s">
        <v>20</v>
      </c>
      <c r="B2348" t="s">
        <v>21</v>
      </c>
      <c r="C2348" t="s">
        <v>61</v>
      </c>
      <c r="D2348">
        <v>9358801</v>
      </c>
      <c r="E2348">
        <v>2019</v>
      </c>
      <c r="F2348" t="s">
        <v>67</v>
      </c>
    </row>
    <row r="2349" spans="1:6" x14ac:dyDescent="0.25">
      <c r="A2349" t="s">
        <v>22</v>
      </c>
      <c r="B2349" t="s">
        <v>23</v>
      </c>
      <c r="C2349" t="s">
        <v>61</v>
      </c>
      <c r="D2349">
        <v>13337473</v>
      </c>
      <c r="E2349">
        <v>2019</v>
      </c>
      <c r="F2349" t="s">
        <v>67</v>
      </c>
    </row>
    <row r="2350" spans="1:6" x14ac:dyDescent="0.25">
      <c r="A2350" t="s">
        <v>24</v>
      </c>
      <c r="B2350" t="s">
        <v>25</v>
      </c>
      <c r="C2350" t="s">
        <v>61</v>
      </c>
      <c r="D2350">
        <v>24170904</v>
      </c>
      <c r="E2350">
        <v>2019</v>
      </c>
      <c r="F2350" t="s">
        <v>67</v>
      </c>
    </row>
    <row r="2351" spans="1:6" x14ac:dyDescent="0.25">
      <c r="A2351" t="s">
        <v>26</v>
      </c>
      <c r="B2351" t="s">
        <v>27</v>
      </c>
      <c r="C2351" t="s">
        <v>61</v>
      </c>
      <c r="D2351">
        <v>15115925</v>
      </c>
      <c r="E2351">
        <v>2019</v>
      </c>
      <c r="F2351" t="s">
        <v>67</v>
      </c>
    </row>
    <row r="2352" spans="1:6" x14ac:dyDescent="0.25">
      <c r="A2352" t="s">
        <v>28</v>
      </c>
      <c r="B2352" t="s">
        <v>29</v>
      </c>
      <c r="C2352" t="s">
        <v>61</v>
      </c>
      <c r="D2352">
        <v>4719663</v>
      </c>
      <c r="E2352">
        <v>2019</v>
      </c>
      <c r="F2352" t="s">
        <v>67</v>
      </c>
    </row>
    <row r="2353" spans="1:6" x14ac:dyDescent="0.25">
      <c r="A2353" t="s">
        <v>30</v>
      </c>
      <c r="B2353" t="s">
        <v>31</v>
      </c>
      <c r="C2353" t="s">
        <v>61</v>
      </c>
      <c r="D2353">
        <v>24206141</v>
      </c>
      <c r="E2353">
        <v>2019</v>
      </c>
      <c r="F2353" t="s">
        <v>67</v>
      </c>
    </row>
    <row r="2354" spans="1:6" x14ac:dyDescent="0.25">
      <c r="A2354" t="s">
        <v>32</v>
      </c>
      <c r="B2354" t="s">
        <v>33</v>
      </c>
      <c r="C2354" t="s">
        <v>61</v>
      </c>
      <c r="D2354">
        <v>19015190</v>
      </c>
      <c r="E2354">
        <v>2019</v>
      </c>
      <c r="F2354" t="s">
        <v>67</v>
      </c>
    </row>
    <row r="2355" spans="1:6" x14ac:dyDescent="0.25">
      <c r="A2355" t="s">
        <v>34</v>
      </c>
      <c r="B2355" t="s">
        <v>35</v>
      </c>
      <c r="C2355" t="s">
        <v>61</v>
      </c>
      <c r="D2355">
        <v>48720267</v>
      </c>
      <c r="E2355">
        <v>2019</v>
      </c>
      <c r="F2355" t="s">
        <v>67</v>
      </c>
    </row>
    <row r="2356" spans="1:6" x14ac:dyDescent="0.25">
      <c r="A2356" t="s">
        <v>36</v>
      </c>
      <c r="B2356" t="s">
        <v>37</v>
      </c>
      <c r="C2356" t="s">
        <v>61</v>
      </c>
      <c r="D2356">
        <v>24729741</v>
      </c>
      <c r="E2356">
        <v>2019</v>
      </c>
      <c r="F2356" t="s">
        <v>67</v>
      </c>
    </row>
    <row r="2357" spans="1:6" x14ac:dyDescent="0.25">
      <c r="A2357" t="s">
        <v>38</v>
      </c>
      <c r="B2357" t="s">
        <v>39</v>
      </c>
      <c r="C2357" t="s">
        <v>61</v>
      </c>
      <c r="D2357">
        <v>14715300</v>
      </c>
      <c r="E2357">
        <v>2019</v>
      </c>
      <c r="F2357" t="s">
        <v>67</v>
      </c>
    </row>
    <row r="2358" spans="1:6" x14ac:dyDescent="0.25">
      <c r="A2358" t="s">
        <v>40</v>
      </c>
      <c r="B2358" t="s">
        <v>41</v>
      </c>
      <c r="C2358" t="s">
        <v>61</v>
      </c>
      <c r="D2358">
        <v>23173159</v>
      </c>
      <c r="E2358">
        <v>2019</v>
      </c>
      <c r="F2358" t="s">
        <v>67</v>
      </c>
    </row>
    <row r="2359" spans="1:6" x14ac:dyDescent="0.25">
      <c r="A2359" t="s">
        <v>42</v>
      </c>
      <c r="B2359" t="s">
        <v>43</v>
      </c>
      <c r="C2359" t="s">
        <v>61</v>
      </c>
      <c r="D2359">
        <v>1709196</v>
      </c>
      <c r="E2359">
        <v>2019</v>
      </c>
      <c r="F2359" t="s">
        <v>67</v>
      </c>
    </row>
    <row r="2360" spans="1:6" x14ac:dyDescent="0.25">
      <c r="A2360" t="s">
        <v>44</v>
      </c>
      <c r="B2360" t="s">
        <v>45</v>
      </c>
      <c r="C2360" t="s">
        <v>61</v>
      </c>
      <c r="D2360">
        <v>16598392</v>
      </c>
      <c r="E2360">
        <v>2019</v>
      </c>
      <c r="F2360" t="s">
        <v>67</v>
      </c>
    </row>
    <row r="2361" spans="1:6" x14ac:dyDescent="0.25">
      <c r="A2361" t="s">
        <v>46</v>
      </c>
      <c r="B2361" t="s">
        <v>47</v>
      </c>
      <c r="C2361" t="s">
        <v>61</v>
      </c>
      <c r="D2361">
        <v>3563676</v>
      </c>
      <c r="E2361">
        <v>2019</v>
      </c>
      <c r="F2361" t="s">
        <v>67</v>
      </c>
    </row>
    <row r="2362" spans="1:6" x14ac:dyDescent="0.25">
      <c r="A2362" t="s">
        <v>48</v>
      </c>
      <c r="B2362" t="s">
        <v>49</v>
      </c>
      <c r="C2362" t="s">
        <v>61</v>
      </c>
      <c r="D2362">
        <v>16973343</v>
      </c>
      <c r="E2362">
        <v>2019</v>
      </c>
      <c r="F2362" t="s">
        <v>67</v>
      </c>
    </row>
    <row r="2363" spans="1:6" x14ac:dyDescent="0.25">
      <c r="A2363" t="s">
        <v>50</v>
      </c>
      <c r="B2363" t="s">
        <v>51</v>
      </c>
      <c r="C2363" t="s">
        <v>61</v>
      </c>
      <c r="D2363">
        <v>3502716</v>
      </c>
      <c r="E2363">
        <v>2019</v>
      </c>
      <c r="F2363" t="s">
        <v>67</v>
      </c>
    </row>
    <row r="2364" spans="1:6" x14ac:dyDescent="0.25">
      <c r="A2364" t="s">
        <v>52</v>
      </c>
      <c r="B2364" t="s">
        <v>53</v>
      </c>
      <c r="C2364" t="s">
        <v>61</v>
      </c>
      <c r="D2364">
        <v>12793596</v>
      </c>
      <c r="E2364">
        <v>2019</v>
      </c>
      <c r="F2364" t="s">
        <v>67</v>
      </c>
    </row>
    <row r="2365" spans="1:6" x14ac:dyDescent="0.25">
      <c r="A2365" t="s">
        <v>54</v>
      </c>
      <c r="B2365" t="s">
        <v>55</v>
      </c>
      <c r="C2365" t="s">
        <v>61</v>
      </c>
      <c r="D2365">
        <v>1053816</v>
      </c>
      <c r="E2365">
        <v>2019</v>
      </c>
      <c r="F2365" t="s">
        <v>67</v>
      </c>
    </row>
    <row r="2366" spans="1:6" x14ac:dyDescent="0.25">
      <c r="A2366" t="s">
        <v>56</v>
      </c>
      <c r="B2366" t="s">
        <v>57</v>
      </c>
      <c r="C2366" t="s">
        <v>61</v>
      </c>
      <c r="D2366">
        <v>3836421</v>
      </c>
      <c r="E2366">
        <v>2019</v>
      </c>
      <c r="F2366" t="s">
        <v>67</v>
      </c>
    </row>
    <row r="2367" spans="1:6" x14ac:dyDescent="0.25">
      <c r="A2367" t="s">
        <v>58</v>
      </c>
      <c r="B2367" t="s">
        <v>59</v>
      </c>
      <c r="C2367" t="s">
        <v>61</v>
      </c>
      <c r="E2367">
        <v>2019</v>
      </c>
      <c r="F2367" t="s">
        <v>67</v>
      </c>
    </row>
    <row r="2368" spans="1:6" x14ac:dyDescent="0.25">
      <c r="A2368" t="s">
        <v>6</v>
      </c>
      <c r="B2368" t="s">
        <v>7</v>
      </c>
      <c r="C2368" t="s">
        <v>65</v>
      </c>
      <c r="D2368">
        <v>10353163000</v>
      </c>
      <c r="E2368">
        <v>2019</v>
      </c>
      <c r="F2368" t="s">
        <v>67</v>
      </c>
    </row>
    <row r="2369" spans="1:6" x14ac:dyDescent="0.25">
      <c r="A2369" t="s">
        <v>10</v>
      </c>
      <c r="B2369" t="s">
        <v>11</v>
      </c>
      <c r="C2369" t="s">
        <v>65</v>
      </c>
      <c r="D2369">
        <v>2171751000</v>
      </c>
      <c r="E2369">
        <v>2019</v>
      </c>
      <c r="F2369" t="s">
        <v>67</v>
      </c>
    </row>
    <row r="2370" spans="1:6" x14ac:dyDescent="0.25">
      <c r="A2370" t="s">
        <v>12</v>
      </c>
      <c r="B2370" t="s">
        <v>13</v>
      </c>
      <c r="C2370" t="s">
        <v>65</v>
      </c>
      <c r="D2370">
        <v>369621000</v>
      </c>
      <c r="E2370">
        <v>2019</v>
      </c>
      <c r="F2370" t="s">
        <v>67</v>
      </c>
    </row>
    <row r="2371" spans="1:6" x14ac:dyDescent="0.25">
      <c r="A2371" t="s">
        <v>14</v>
      </c>
      <c r="B2371" t="s">
        <v>15</v>
      </c>
      <c r="C2371" t="s">
        <v>65</v>
      </c>
      <c r="D2371">
        <v>5786000</v>
      </c>
      <c r="E2371">
        <v>2019</v>
      </c>
      <c r="F2371" t="s">
        <v>67</v>
      </c>
    </row>
    <row r="2372" spans="1:6" x14ac:dyDescent="0.25">
      <c r="A2372" t="s">
        <v>16</v>
      </c>
      <c r="B2372" t="s">
        <v>17</v>
      </c>
      <c r="C2372" t="s">
        <v>65</v>
      </c>
      <c r="D2372">
        <v>678635000</v>
      </c>
      <c r="E2372">
        <v>2019</v>
      </c>
      <c r="F2372" t="s">
        <v>67</v>
      </c>
    </row>
    <row r="2373" spans="1:6" x14ac:dyDescent="0.25">
      <c r="A2373" t="s">
        <v>18</v>
      </c>
      <c r="B2373" t="s">
        <v>19</v>
      </c>
      <c r="C2373" t="s">
        <v>65</v>
      </c>
      <c r="D2373">
        <v>348384000</v>
      </c>
      <c r="E2373">
        <v>2019</v>
      </c>
      <c r="F2373" t="s">
        <v>67</v>
      </c>
    </row>
    <row r="2374" spans="1:6" x14ac:dyDescent="0.25">
      <c r="A2374" t="s">
        <v>20</v>
      </c>
      <c r="B2374" t="s">
        <v>21</v>
      </c>
      <c r="C2374" t="s">
        <v>65</v>
      </c>
      <c r="D2374">
        <v>161930000</v>
      </c>
      <c r="E2374">
        <v>2019</v>
      </c>
      <c r="F2374" t="s">
        <v>67</v>
      </c>
    </row>
    <row r="2375" spans="1:6" x14ac:dyDescent="0.25">
      <c r="A2375" t="s">
        <v>22</v>
      </c>
      <c r="B2375" t="s">
        <v>23</v>
      </c>
      <c r="C2375" t="s">
        <v>65</v>
      </c>
      <c r="D2375">
        <v>69731000</v>
      </c>
      <c r="E2375">
        <v>2019</v>
      </c>
      <c r="F2375" t="s">
        <v>67</v>
      </c>
    </row>
    <row r="2376" spans="1:6" x14ac:dyDescent="0.25">
      <c r="A2376" t="s">
        <v>24</v>
      </c>
      <c r="B2376" t="s">
        <v>25</v>
      </c>
      <c r="C2376" t="s">
        <v>65</v>
      </c>
      <c r="D2376">
        <v>204237000</v>
      </c>
      <c r="E2376">
        <v>2019</v>
      </c>
      <c r="F2376" t="s">
        <v>67</v>
      </c>
    </row>
    <row r="2377" spans="1:6" x14ac:dyDescent="0.25">
      <c r="A2377" t="s">
        <v>26</v>
      </c>
      <c r="B2377" t="s">
        <v>27</v>
      </c>
      <c r="C2377" t="s">
        <v>65</v>
      </c>
      <c r="D2377">
        <v>35708000</v>
      </c>
      <c r="E2377">
        <v>2019</v>
      </c>
      <c r="F2377" t="s">
        <v>67</v>
      </c>
    </row>
    <row r="2378" spans="1:6" x14ac:dyDescent="0.25">
      <c r="A2378" t="s">
        <v>28</v>
      </c>
      <c r="B2378" t="s">
        <v>29</v>
      </c>
      <c r="C2378" t="s">
        <v>65</v>
      </c>
      <c r="D2378">
        <v>61297000</v>
      </c>
      <c r="E2378">
        <v>2019</v>
      </c>
      <c r="F2378" t="s">
        <v>67</v>
      </c>
    </row>
    <row r="2379" spans="1:6" x14ac:dyDescent="0.25">
      <c r="A2379" t="s">
        <v>30</v>
      </c>
      <c r="B2379" t="s">
        <v>31</v>
      </c>
      <c r="C2379" t="s">
        <v>65</v>
      </c>
      <c r="D2379">
        <v>436515000</v>
      </c>
      <c r="E2379">
        <v>2019</v>
      </c>
      <c r="F2379" t="s">
        <v>67</v>
      </c>
    </row>
    <row r="2380" spans="1:6" x14ac:dyDescent="0.25">
      <c r="A2380" t="s">
        <v>32</v>
      </c>
      <c r="B2380" t="s">
        <v>33</v>
      </c>
      <c r="C2380" t="s">
        <v>65</v>
      </c>
      <c r="D2380">
        <v>168915000</v>
      </c>
      <c r="E2380">
        <v>2019</v>
      </c>
      <c r="F2380" t="s">
        <v>67</v>
      </c>
    </row>
    <row r="2381" spans="1:6" x14ac:dyDescent="0.25">
      <c r="A2381" t="s">
        <v>34</v>
      </c>
      <c r="B2381" t="s">
        <v>35</v>
      </c>
      <c r="C2381" t="s">
        <v>65</v>
      </c>
      <c r="D2381">
        <v>606235000</v>
      </c>
      <c r="E2381">
        <v>2019</v>
      </c>
      <c r="F2381" t="s">
        <v>67</v>
      </c>
    </row>
    <row r="2382" spans="1:6" x14ac:dyDescent="0.25">
      <c r="A2382" t="s">
        <v>36</v>
      </c>
      <c r="B2382" t="s">
        <v>37</v>
      </c>
      <c r="C2382" t="s">
        <v>65</v>
      </c>
      <c r="D2382">
        <v>428326000</v>
      </c>
      <c r="E2382">
        <v>2019</v>
      </c>
      <c r="F2382" t="s">
        <v>67</v>
      </c>
    </row>
    <row r="2383" spans="1:6" x14ac:dyDescent="0.25">
      <c r="A2383" t="s">
        <v>38</v>
      </c>
      <c r="B2383" t="s">
        <v>39</v>
      </c>
      <c r="C2383" t="s">
        <v>65</v>
      </c>
      <c r="D2383">
        <v>293900000</v>
      </c>
      <c r="E2383">
        <v>2019</v>
      </c>
      <c r="F2383" t="s">
        <v>67</v>
      </c>
    </row>
    <row r="2384" spans="1:6" x14ac:dyDescent="0.25">
      <c r="A2384" t="s">
        <v>40</v>
      </c>
      <c r="B2384" t="s">
        <v>41</v>
      </c>
      <c r="C2384" t="s">
        <v>65</v>
      </c>
      <c r="D2384">
        <v>735504000</v>
      </c>
      <c r="E2384">
        <v>2019</v>
      </c>
      <c r="F2384" t="s">
        <v>67</v>
      </c>
    </row>
    <row r="2385" spans="1:6" x14ac:dyDescent="0.25">
      <c r="A2385" t="s">
        <v>42</v>
      </c>
      <c r="B2385" t="s">
        <v>43</v>
      </c>
      <c r="C2385" t="s">
        <v>65</v>
      </c>
      <c r="D2385">
        <v>823339000</v>
      </c>
      <c r="E2385">
        <v>2019</v>
      </c>
      <c r="F2385" t="s">
        <v>67</v>
      </c>
    </row>
    <row r="2386" spans="1:6" x14ac:dyDescent="0.25">
      <c r="A2386" t="s">
        <v>44</v>
      </c>
      <c r="B2386" t="s">
        <v>45</v>
      </c>
      <c r="C2386" t="s">
        <v>65</v>
      </c>
      <c r="D2386">
        <v>1298249000</v>
      </c>
      <c r="E2386">
        <v>2019</v>
      </c>
      <c r="F2386" t="s">
        <v>67</v>
      </c>
    </row>
    <row r="2387" spans="1:6" x14ac:dyDescent="0.25">
      <c r="A2387" t="s">
        <v>46</v>
      </c>
      <c r="B2387" t="s">
        <v>47</v>
      </c>
      <c r="C2387" t="s">
        <v>65</v>
      </c>
      <c r="D2387">
        <v>1034377000</v>
      </c>
      <c r="E2387">
        <v>2019</v>
      </c>
      <c r="F2387" t="s">
        <v>67</v>
      </c>
    </row>
    <row r="2388" spans="1:6" x14ac:dyDescent="0.25">
      <c r="A2388" t="s">
        <v>48</v>
      </c>
      <c r="B2388" t="s">
        <v>49</v>
      </c>
      <c r="C2388" t="s">
        <v>65</v>
      </c>
      <c r="D2388">
        <v>268818000</v>
      </c>
      <c r="E2388">
        <v>2019</v>
      </c>
      <c r="F2388" t="s">
        <v>67</v>
      </c>
    </row>
    <row r="2389" spans="1:6" x14ac:dyDescent="0.25">
      <c r="A2389" t="s">
        <v>50</v>
      </c>
      <c r="B2389" t="s">
        <v>51</v>
      </c>
      <c r="C2389" t="s">
        <v>65</v>
      </c>
      <c r="D2389">
        <v>56274000</v>
      </c>
      <c r="E2389">
        <v>2019</v>
      </c>
      <c r="F2389" t="s">
        <v>67</v>
      </c>
    </row>
    <row r="2390" spans="1:6" x14ac:dyDescent="0.25">
      <c r="A2390" t="s">
        <v>52</v>
      </c>
      <c r="B2390" t="s">
        <v>53</v>
      </c>
      <c r="C2390" t="s">
        <v>65</v>
      </c>
      <c r="D2390">
        <v>63980000</v>
      </c>
      <c r="E2390">
        <v>2019</v>
      </c>
      <c r="F2390" t="s">
        <v>67</v>
      </c>
    </row>
    <row r="2391" spans="1:6" x14ac:dyDescent="0.25">
      <c r="A2391" t="s">
        <v>54</v>
      </c>
      <c r="B2391" t="s">
        <v>55</v>
      </c>
      <c r="C2391" t="s">
        <v>65</v>
      </c>
      <c r="D2391">
        <v>31651000</v>
      </c>
      <c r="E2391">
        <v>2019</v>
      </c>
      <c r="F2391" t="s">
        <v>67</v>
      </c>
    </row>
    <row r="2392" spans="1:6" x14ac:dyDescent="0.25">
      <c r="A2392" t="s">
        <v>56</v>
      </c>
      <c r="B2392" t="s">
        <v>57</v>
      </c>
      <c r="C2392" t="s">
        <v>65</v>
      </c>
      <c r="E2392">
        <v>2019</v>
      </c>
      <c r="F2392" t="s">
        <v>67</v>
      </c>
    </row>
    <row r="2393" spans="1:6" x14ac:dyDescent="0.25">
      <c r="A2393" t="s">
        <v>58</v>
      </c>
      <c r="B2393" t="s">
        <v>59</v>
      </c>
      <c r="C2393" t="s">
        <v>65</v>
      </c>
      <c r="E2393">
        <v>2019</v>
      </c>
      <c r="F2393" t="s">
        <v>67</v>
      </c>
    </row>
    <row r="2394" spans="1:6" x14ac:dyDescent="0.25">
      <c r="A2394" t="s">
        <v>6</v>
      </c>
      <c r="B2394" t="s">
        <v>7</v>
      </c>
      <c r="C2394" t="s">
        <v>62</v>
      </c>
      <c r="D2394">
        <v>121833381</v>
      </c>
      <c r="E2394">
        <v>2019</v>
      </c>
      <c r="F2394" t="s">
        <v>67</v>
      </c>
    </row>
    <row r="2395" spans="1:6" x14ac:dyDescent="0.25">
      <c r="A2395" t="s">
        <v>10</v>
      </c>
      <c r="B2395" t="s">
        <v>11</v>
      </c>
      <c r="C2395" t="s">
        <v>62</v>
      </c>
      <c r="D2395">
        <v>79039205</v>
      </c>
      <c r="E2395">
        <v>2019</v>
      </c>
      <c r="F2395" t="s">
        <v>67</v>
      </c>
    </row>
    <row r="2396" spans="1:6" x14ac:dyDescent="0.25">
      <c r="A2396" t="s">
        <v>12</v>
      </c>
      <c r="B2396" t="s">
        <v>13</v>
      </c>
      <c r="C2396" t="s">
        <v>62</v>
      </c>
      <c r="D2396">
        <v>1975889</v>
      </c>
      <c r="E2396">
        <v>2019</v>
      </c>
      <c r="F2396" t="s">
        <v>67</v>
      </c>
    </row>
    <row r="2397" spans="1:6" x14ac:dyDescent="0.25">
      <c r="A2397" t="s">
        <v>14</v>
      </c>
      <c r="B2397" t="s">
        <v>15</v>
      </c>
      <c r="C2397" t="s">
        <v>62</v>
      </c>
      <c r="E2397">
        <v>2019</v>
      </c>
      <c r="F2397" t="s">
        <v>67</v>
      </c>
    </row>
    <row r="2398" spans="1:6" x14ac:dyDescent="0.25">
      <c r="A2398" t="s">
        <v>16</v>
      </c>
      <c r="B2398" t="s">
        <v>17</v>
      </c>
      <c r="C2398" t="s">
        <v>62</v>
      </c>
      <c r="D2398">
        <v>3541774</v>
      </c>
      <c r="E2398">
        <v>2019</v>
      </c>
      <c r="F2398" t="s">
        <v>67</v>
      </c>
    </row>
    <row r="2399" spans="1:6" x14ac:dyDescent="0.25">
      <c r="A2399" t="s">
        <v>18</v>
      </c>
      <c r="B2399" t="s">
        <v>19</v>
      </c>
      <c r="C2399" t="s">
        <v>62</v>
      </c>
      <c r="D2399">
        <v>6809625</v>
      </c>
      <c r="E2399">
        <v>2019</v>
      </c>
      <c r="F2399" t="s">
        <v>67</v>
      </c>
    </row>
    <row r="2400" spans="1:6" x14ac:dyDescent="0.25">
      <c r="A2400" t="s">
        <v>20</v>
      </c>
      <c r="B2400" t="s">
        <v>21</v>
      </c>
      <c r="C2400" t="s">
        <v>62</v>
      </c>
      <c r="D2400">
        <v>318670</v>
      </c>
      <c r="E2400">
        <v>2019</v>
      </c>
      <c r="F2400" t="s">
        <v>67</v>
      </c>
    </row>
    <row r="2401" spans="1:6" x14ac:dyDescent="0.25">
      <c r="A2401" t="s">
        <v>22</v>
      </c>
      <c r="B2401" t="s">
        <v>23</v>
      </c>
      <c r="C2401" t="s">
        <v>62</v>
      </c>
      <c r="D2401">
        <v>474802</v>
      </c>
      <c r="E2401">
        <v>2019</v>
      </c>
      <c r="F2401" t="s">
        <v>67</v>
      </c>
    </row>
    <row r="2402" spans="1:6" x14ac:dyDescent="0.25">
      <c r="A2402" t="s">
        <v>24</v>
      </c>
      <c r="B2402" t="s">
        <v>25</v>
      </c>
      <c r="C2402" t="s">
        <v>62</v>
      </c>
      <c r="D2402">
        <v>2358696</v>
      </c>
      <c r="E2402">
        <v>2019</v>
      </c>
      <c r="F2402" t="s">
        <v>67</v>
      </c>
    </row>
    <row r="2403" spans="1:6" x14ac:dyDescent="0.25">
      <c r="A2403" t="s">
        <v>26</v>
      </c>
      <c r="B2403" t="s">
        <v>27</v>
      </c>
      <c r="C2403" t="s">
        <v>62</v>
      </c>
      <c r="D2403">
        <v>927701</v>
      </c>
      <c r="E2403">
        <v>2019</v>
      </c>
      <c r="F2403" t="s">
        <v>67</v>
      </c>
    </row>
    <row r="2404" spans="1:6" x14ac:dyDescent="0.25">
      <c r="A2404" t="s">
        <v>28</v>
      </c>
      <c r="B2404" t="s">
        <v>29</v>
      </c>
      <c r="C2404" t="s">
        <v>62</v>
      </c>
      <c r="D2404">
        <v>791039</v>
      </c>
      <c r="E2404">
        <v>2019</v>
      </c>
      <c r="F2404" t="s">
        <v>67</v>
      </c>
    </row>
    <row r="2405" spans="1:6" x14ac:dyDescent="0.25">
      <c r="A2405" t="s">
        <v>30</v>
      </c>
      <c r="B2405" t="s">
        <v>31</v>
      </c>
      <c r="C2405" t="s">
        <v>62</v>
      </c>
      <c r="D2405">
        <v>3745896</v>
      </c>
      <c r="E2405">
        <v>2019</v>
      </c>
      <c r="F2405" t="s">
        <v>67</v>
      </c>
    </row>
    <row r="2406" spans="1:6" x14ac:dyDescent="0.25">
      <c r="A2406" t="s">
        <v>32</v>
      </c>
      <c r="B2406" t="s">
        <v>33</v>
      </c>
      <c r="C2406" t="s">
        <v>62</v>
      </c>
      <c r="D2406">
        <v>1863004</v>
      </c>
      <c r="E2406">
        <v>2019</v>
      </c>
      <c r="F2406" t="s">
        <v>67</v>
      </c>
    </row>
    <row r="2407" spans="1:6" x14ac:dyDescent="0.25">
      <c r="A2407" t="s">
        <v>34</v>
      </c>
      <c r="B2407" t="s">
        <v>35</v>
      </c>
      <c r="C2407" t="s">
        <v>62</v>
      </c>
      <c r="D2407">
        <v>5354777</v>
      </c>
      <c r="E2407">
        <v>2019</v>
      </c>
      <c r="F2407" t="s">
        <v>67</v>
      </c>
    </row>
    <row r="2408" spans="1:6" x14ac:dyDescent="0.25">
      <c r="A2408" t="s">
        <v>36</v>
      </c>
      <c r="B2408" t="s">
        <v>37</v>
      </c>
      <c r="C2408" t="s">
        <v>62</v>
      </c>
      <c r="D2408">
        <v>3806756</v>
      </c>
      <c r="E2408">
        <v>2019</v>
      </c>
      <c r="F2408" t="s">
        <v>67</v>
      </c>
    </row>
    <row r="2409" spans="1:6" x14ac:dyDescent="0.25">
      <c r="A2409" t="s">
        <v>38</v>
      </c>
      <c r="B2409" t="s">
        <v>39</v>
      </c>
      <c r="C2409" t="s">
        <v>62</v>
      </c>
      <c r="D2409">
        <v>1297670</v>
      </c>
      <c r="E2409">
        <v>2019</v>
      </c>
      <c r="F2409" t="s">
        <v>67</v>
      </c>
    </row>
    <row r="2410" spans="1:6" x14ac:dyDescent="0.25">
      <c r="A2410" t="s">
        <v>40</v>
      </c>
      <c r="B2410" t="s">
        <v>41</v>
      </c>
      <c r="C2410" t="s">
        <v>62</v>
      </c>
      <c r="D2410">
        <v>3332679</v>
      </c>
      <c r="E2410">
        <v>2019</v>
      </c>
      <c r="F2410" t="s">
        <v>67</v>
      </c>
    </row>
    <row r="2411" spans="1:6" x14ac:dyDescent="0.25">
      <c r="A2411" t="s">
        <v>42</v>
      </c>
      <c r="B2411" t="s">
        <v>43</v>
      </c>
      <c r="C2411" t="s">
        <v>62</v>
      </c>
      <c r="D2411">
        <v>33432</v>
      </c>
      <c r="E2411">
        <v>2019</v>
      </c>
      <c r="F2411" t="s">
        <v>67</v>
      </c>
    </row>
    <row r="2412" spans="1:6" x14ac:dyDescent="0.25">
      <c r="A2412" t="s">
        <v>44</v>
      </c>
      <c r="B2412" t="s">
        <v>45</v>
      </c>
      <c r="C2412" t="s">
        <v>62</v>
      </c>
      <c r="D2412">
        <v>1044449</v>
      </c>
      <c r="E2412">
        <v>2019</v>
      </c>
      <c r="F2412" t="s">
        <v>67</v>
      </c>
    </row>
    <row r="2413" spans="1:6" x14ac:dyDescent="0.25">
      <c r="A2413" t="s">
        <v>46</v>
      </c>
      <c r="B2413" t="s">
        <v>47</v>
      </c>
      <c r="C2413" t="s">
        <v>62</v>
      </c>
      <c r="D2413">
        <v>1316215</v>
      </c>
      <c r="E2413">
        <v>2019</v>
      </c>
      <c r="F2413" t="s">
        <v>67</v>
      </c>
    </row>
    <row r="2414" spans="1:6" x14ac:dyDescent="0.25">
      <c r="A2414" t="s">
        <v>48</v>
      </c>
      <c r="B2414" t="s">
        <v>49</v>
      </c>
      <c r="C2414" t="s">
        <v>62</v>
      </c>
      <c r="D2414">
        <v>642163</v>
      </c>
      <c r="E2414">
        <v>2019</v>
      </c>
      <c r="F2414" t="s">
        <v>67</v>
      </c>
    </row>
    <row r="2415" spans="1:6" x14ac:dyDescent="0.25">
      <c r="A2415" t="s">
        <v>50</v>
      </c>
      <c r="B2415" t="s">
        <v>51</v>
      </c>
      <c r="C2415" t="s">
        <v>62</v>
      </c>
      <c r="D2415">
        <v>414253</v>
      </c>
      <c r="E2415">
        <v>2019</v>
      </c>
      <c r="F2415" t="s">
        <v>67</v>
      </c>
    </row>
    <row r="2416" spans="1:6" x14ac:dyDescent="0.25">
      <c r="A2416" t="s">
        <v>52</v>
      </c>
      <c r="B2416" t="s">
        <v>53</v>
      </c>
      <c r="C2416" t="s">
        <v>62</v>
      </c>
      <c r="D2416">
        <v>437032</v>
      </c>
      <c r="E2416">
        <v>2019</v>
      </c>
      <c r="F2416" t="s">
        <v>67</v>
      </c>
    </row>
    <row r="2417" spans="1:6" x14ac:dyDescent="0.25">
      <c r="A2417" t="s">
        <v>54</v>
      </c>
      <c r="B2417" t="s">
        <v>55</v>
      </c>
      <c r="C2417" t="s">
        <v>62</v>
      </c>
      <c r="D2417">
        <v>618890</v>
      </c>
      <c r="E2417">
        <v>2019</v>
      </c>
      <c r="F2417" t="s">
        <v>67</v>
      </c>
    </row>
    <row r="2418" spans="1:6" x14ac:dyDescent="0.25">
      <c r="A2418" t="s">
        <v>56</v>
      </c>
      <c r="B2418" t="s">
        <v>57</v>
      </c>
      <c r="C2418" t="s">
        <v>62</v>
      </c>
      <c r="D2418">
        <v>1688764</v>
      </c>
      <c r="E2418">
        <v>2019</v>
      </c>
      <c r="F2418" t="s">
        <v>67</v>
      </c>
    </row>
    <row r="2419" spans="1:6" x14ac:dyDescent="0.25">
      <c r="A2419" t="s">
        <v>58</v>
      </c>
      <c r="B2419" t="s">
        <v>59</v>
      </c>
      <c r="C2419" t="s">
        <v>62</v>
      </c>
      <c r="E2419">
        <v>2019</v>
      </c>
      <c r="F2419" t="s">
        <v>67</v>
      </c>
    </row>
    <row r="2420" spans="1:6" x14ac:dyDescent="0.25">
      <c r="A2420" t="s">
        <v>6</v>
      </c>
      <c r="B2420" t="s">
        <v>7</v>
      </c>
      <c r="C2420" t="s">
        <v>8</v>
      </c>
      <c r="D2420">
        <v>797222153</v>
      </c>
      <c r="E2420">
        <v>2020</v>
      </c>
      <c r="F2420" t="s">
        <v>67</v>
      </c>
    </row>
    <row r="2421" spans="1:6" x14ac:dyDescent="0.25">
      <c r="A2421" t="s">
        <v>10</v>
      </c>
      <c r="B2421" t="s">
        <v>11</v>
      </c>
      <c r="C2421" t="s">
        <v>8</v>
      </c>
      <c r="D2421">
        <v>312780233</v>
      </c>
      <c r="E2421">
        <v>2020</v>
      </c>
      <c r="F2421" t="s">
        <v>67</v>
      </c>
    </row>
    <row r="2422" spans="1:6" x14ac:dyDescent="0.25">
      <c r="A2422" t="s">
        <v>12</v>
      </c>
      <c r="B2422" t="s">
        <v>13</v>
      </c>
      <c r="C2422" t="s">
        <v>8</v>
      </c>
      <c r="D2422">
        <v>40577468</v>
      </c>
      <c r="E2422">
        <v>2020</v>
      </c>
      <c r="F2422" t="s">
        <v>67</v>
      </c>
    </row>
    <row r="2423" spans="1:6" x14ac:dyDescent="0.25">
      <c r="A2423" t="s">
        <v>14</v>
      </c>
      <c r="B2423" t="s">
        <v>15</v>
      </c>
      <c r="C2423" t="s">
        <v>8</v>
      </c>
      <c r="E2423">
        <v>2020</v>
      </c>
      <c r="F2423" t="s">
        <v>67</v>
      </c>
    </row>
    <row r="2424" spans="1:6" x14ac:dyDescent="0.25">
      <c r="A2424" t="s">
        <v>16</v>
      </c>
      <c r="B2424" t="s">
        <v>17</v>
      </c>
      <c r="C2424" t="s">
        <v>8</v>
      </c>
      <c r="D2424">
        <v>6522588</v>
      </c>
      <c r="E2424">
        <v>2020</v>
      </c>
      <c r="F2424" t="s">
        <v>67</v>
      </c>
    </row>
    <row r="2425" spans="1:6" x14ac:dyDescent="0.25">
      <c r="A2425" t="s">
        <v>18</v>
      </c>
      <c r="B2425" t="s">
        <v>19</v>
      </c>
      <c r="C2425" t="s">
        <v>8</v>
      </c>
      <c r="D2425">
        <v>6017653</v>
      </c>
      <c r="E2425">
        <v>2020</v>
      </c>
      <c r="F2425" t="s">
        <v>67</v>
      </c>
    </row>
    <row r="2426" spans="1:6" x14ac:dyDescent="0.25">
      <c r="A2426" t="s">
        <v>20</v>
      </c>
      <c r="B2426" t="s">
        <v>21</v>
      </c>
      <c r="C2426" t="s">
        <v>8</v>
      </c>
      <c r="D2426">
        <v>1840763</v>
      </c>
      <c r="E2426">
        <v>2020</v>
      </c>
      <c r="F2426" t="s">
        <v>67</v>
      </c>
    </row>
    <row r="2427" spans="1:6" x14ac:dyDescent="0.25">
      <c r="A2427" t="s">
        <v>22</v>
      </c>
      <c r="B2427" t="s">
        <v>23</v>
      </c>
      <c r="C2427" t="s">
        <v>8</v>
      </c>
      <c r="D2427">
        <v>51180556</v>
      </c>
      <c r="E2427">
        <v>2020</v>
      </c>
      <c r="F2427" t="s">
        <v>67</v>
      </c>
    </row>
    <row r="2428" spans="1:6" x14ac:dyDescent="0.25">
      <c r="A2428" t="s">
        <v>24</v>
      </c>
      <c r="B2428" t="s">
        <v>25</v>
      </c>
      <c r="C2428" t="s">
        <v>8</v>
      </c>
      <c r="D2428">
        <v>45088667</v>
      </c>
      <c r="E2428">
        <v>2020</v>
      </c>
      <c r="F2428" t="s">
        <v>67</v>
      </c>
    </row>
    <row r="2429" spans="1:6" x14ac:dyDescent="0.25">
      <c r="A2429" t="s">
        <v>26</v>
      </c>
      <c r="B2429" t="s">
        <v>27</v>
      </c>
      <c r="C2429" t="s">
        <v>8</v>
      </c>
      <c r="D2429">
        <v>8279001</v>
      </c>
      <c r="E2429">
        <v>2020</v>
      </c>
      <c r="F2429" t="s">
        <v>67</v>
      </c>
    </row>
    <row r="2430" spans="1:6" x14ac:dyDescent="0.25">
      <c r="A2430" t="s">
        <v>28</v>
      </c>
      <c r="B2430" t="s">
        <v>29</v>
      </c>
      <c r="C2430" t="s">
        <v>8</v>
      </c>
      <c r="E2430">
        <v>2020</v>
      </c>
      <c r="F2430" t="s">
        <v>67</v>
      </c>
    </row>
    <row r="2431" spans="1:6" x14ac:dyDescent="0.25">
      <c r="A2431" t="s">
        <v>30</v>
      </c>
      <c r="B2431" t="s">
        <v>31</v>
      </c>
      <c r="C2431" t="s">
        <v>8</v>
      </c>
      <c r="D2431">
        <v>44139071</v>
      </c>
      <c r="E2431">
        <v>2020</v>
      </c>
      <c r="F2431" t="s">
        <v>67</v>
      </c>
    </row>
    <row r="2432" spans="1:6" x14ac:dyDescent="0.25">
      <c r="A2432" t="s">
        <v>32</v>
      </c>
      <c r="B2432" t="s">
        <v>33</v>
      </c>
      <c r="C2432" t="s">
        <v>8</v>
      </c>
      <c r="D2432">
        <v>23038067</v>
      </c>
      <c r="E2432">
        <v>2020</v>
      </c>
      <c r="F2432" t="s">
        <v>67</v>
      </c>
    </row>
    <row r="2433" spans="1:6" x14ac:dyDescent="0.25">
      <c r="A2433" t="s">
        <v>34</v>
      </c>
      <c r="B2433" t="s">
        <v>35</v>
      </c>
      <c r="C2433" t="s">
        <v>8</v>
      </c>
      <c r="D2433">
        <v>42710251</v>
      </c>
      <c r="E2433">
        <v>2020</v>
      </c>
      <c r="F2433" t="s">
        <v>67</v>
      </c>
    </row>
    <row r="2434" spans="1:6" x14ac:dyDescent="0.25">
      <c r="A2434" t="s">
        <v>36</v>
      </c>
      <c r="B2434" t="s">
        <v>37</v>
      </c>
      <c r="C2434" t="s">
        <v>8</v>
      </c>
      <c r="D2434">
        <v>33749079</v>
      </c>
      <c r="E2434">
        <v>2020</v>
      </c>
      <c r="F2434" t="s">
        <v>67</v>
      </c>
    </row>
    <row r="2435" spans="1:6" x14ac:dyDescent="0.25">
      <c r="A2435" t="s">
        <v>38</v>
      </c>
      <c r="B2435" t="s">
        <v>39</v>
      </c>
      <c r="C2435" t="s">
        <v>8</v>
      </c>
      <c r="D2435">
        <v>16573945</v>
      </c>
      <c r="E2435">
        <v>2020</v>
      </c>
      <c r="F2435" t="s">
        <v>67</v>
      </c>
    </row>
    <row r="2436" spans="1:6" x14ac:dyDescent="0.25">
      <c r="A2436" t="s">
        <v>40</v>
      </c>
      <c r="B2436" t="s">
        <v>41</v>
      </c>
      <c r="C2436" t="s">
        <v>8</v>
      </c>
      <c r="D2436">
        <v>37076193</v>
      </c>
      <c r="E2436">
        <v>2020</v>
      </c>
      <c r="F2436" t="s">
        <v>67</v>
      </c>
    </row>
    <row r="2437" spans="1:6" x14ac:dyDescent="0.25">
      <c r="A2437" t="s">
        <v>42</v>
      </c>
      <c r="B2437" t="s">
        <v>43</v>
      </c>
      <c r="C2437" t="s">
        <v>8</v>
      </c>
      <c r="D2437">
        <v>386240</v>
      </c>
      <c r="E2437">
        <v>2020</v>
      </c>
      <c r="F2437" t="s">
        <v>67</v>
      </c>
    </row>
    <row r="2438" spans="1:6" x14ac:dyDescent="0.25">
      <c r="A2438" t="s">
        <v>44</v>
      </c>
      <c r="B2438" t="s">
        <v>45</v>
      </c>
      <c r="C2438" t="s">
        <v>8</v>
      </c>
      <c r="D2438">
        <v>11640782</v>
      </c>
      <c r="E2438">
        <v>2020</v>
      </c>
      <c r="F2438" t="s">
        <v>67</v>
      </c>
    </row>
    <row r="2439" spans="1:6" x14ac:dyDescent="0.25">
      <c r="A2439" t="s">
        <v>46</v>
      </c>
      <c r="B2439" t="s">
        <v>47</v>
      </c>
      <c r="C2439" t="s">
        <v>8</v>
      </c>
      <c r="D2439">
        <v>17326700</v>
      </c>
      <c r="E2439">
        <v>2020</v>
      </c>
      <c r="F2439" t="s">
        <v>67</v>
      </c>
    </row>
    <row r="2440" spans="1:6" x14ac:dyDescent="0.25">
      <c r="A2440" t="s">
        <v>48</v>
      </c>
      <c r="B2440" t="s">
        <v>49</v>
      </c>
      <c r="C2440" t="s">
        <v>8</v>
      </c>
      <c r="D2440">
        <v>1588204</v>
      </c>
      <c r="E2440">
        <v>2020</v>
      </c>
      <c r="F2440" t="s">
        <v>67</v>
      </c>
    </row>
    <row r="2441" spans="1:6" x14ac:dyDescent="0.25">
      <c r="A2441" t="s">
        <v>50</v>
      </c>
      <c r="B2441" t="s">
        <v>51</v>
      </c>
      <c r="C2441" t="s">
        <v>8</v>
      </c>
      <c r="D2441">
        <v>1719113</v>
      </c>
      <c r="E2441">
        <v>2020</v>
      </c>
      <c r="F2441" t="s">
        <v>67</v>
      </c>
    </row>
    <row r="2442" spans="1:6" x14ac:dyDescent="0.25">
      <c r="A2442" t="s">
        <v>52</v>
      </c>
      <c r="B2442" t="s">
        <v>53</v>
      </c>
      <c r="C2442" t="s">
        <v>8</v>
      </c>
      <c r="D2442">
        <v>17583905</v>
      </c>
      <c r="E2442">
        <v>2020</v>
      </c>
      <c r="F2442" t="s">
        <v>67</v>
      </c>
    </row>
    <row r="2443" spans="1:6" x14ac:dyDescent="0.25">
      <c r="A2443" t="s">
        <v>54</v>
      </c>
      <c r="B2443" t="s">
        <v>55</v>
      </c>
      <c r="C2443" t="s">
        <v>8</v>
      </c>
      <c r="D2443">
        <v>2011099</v>
      </c>
      <c r="E2443">
        <v>2020</v>
      </c>
      <c r="F2443" t="s">
        <v>67</v>
      </c>
    </row>
    <row r="2444" spans="1:6" x14ac:dyDescent="0.25">
      <c r="A2444" t="s">
        <v>56</v>
      </c>
      <c r="B2444" t="s">
        <v>57</v>
      </c>
      <c r="C2444" t="s">
        <v>8</v>
      </c>
      <c r="D2444">
        <v>46048468</v>
      </c>
      <c r="E2444">
        <v>2020</v>
      </c>
      <c r="F2444" t="s">
        <v>67</v>
      </c>
    </row>
    <row r="2445" spans="1:6" x14ac:dyDescent="0.25">
      <c r="A2445" t="s">
        <v>58</v>
      </c>
      <c r="B2445" t="s">
        <v>59</v>
      </c>
      <c r="C2445" t="s">
        <v>8</v>
      </c>
      <c r="D2445">
        <v>29344097</v>
      </c>
      <c r="E2445">
        <v>2020</v>
      </c>
      <c r="F2445" t="s">
        <v>67</v>
      </c>
    </row>
    <row r="2446" spans="1:6" x14ac:dyDescent="0.25">
      <c r="A2446" t="s">
        <v>6</v>
      </c>
      <c r="B2446" t="s">
        <v>7</v>
      </c>
      <c r="C2446" t="s">
        <v>61</v>
      </c>
      <c r="D2446">
        <v>611226144</v>
      </c>
      <c r="E2446">
        <v>2020</v>
      </c>
      <c r="F2446" t="s">
        <v>67</v>
      </c>
    </row>
    <row r="2447" spans="1:6" x14ac:dyDescent="0.25">
      <c r="A2447" t="s">
        <v>10</v>
      </c>
      <c r="B2447" t="s">
        <v>11</v>
      </c>
      <c r="C2447" t="s">
        <v>61</v>
      </c>
      <c r="D2447">
        <v>337998736</v>
      </c>
      <c r="E2447">
        <v>2020</v>
      </c>
      <c r="F2447" t="s">
        <v>67</v>
      </c>
    </row>
    <row r="2448" spans="1:6" x14ac:dyDescent="0.25">
      <c r="A2448" t="s">
        <v>12</v>
      </c>
      <c r="B2448" t="s">
        <v>13</v>
      </c>
      <c r="C2448" t="s">
        <v>61</v>
      </c>
      <c r="D2448">
        <v>19531350</v>
      </c>
      <c r="E2448">
        <v>2020</v>
      </c>
      <c r="F2448" t="s">
        <v>67</v>
      </c>
    </row>
    <row r="2449" spans="1:6" x14ac:dyDescent="0.25">
      <c r="A2449" t="s">
        <v>14</v>
      </c>
      <c r="B2449" t="s">
        <v>15</v>
      </c>
      <c r="C2449" t="s">
        <v>61</v>
      </c>
      <c r="D2449">
        <v>84828</v>
      </c>
      <c r="E2449">
        <v>2020</v>
      </c>
      <c r="F2449" t="s">
        <v>67</v>
      </c>
    </row>
    <row r="2450" spans="1:6" x14ac:dyDescent="0.25">
      <c r="A2450" t="s">
        <v>16</v>
      </c>
      <c r="B2450" t="s">
        <v>17</v>
      </c>
      <c r="C2450" t="s">
        <v>61</v>
      </c>
      <c r="D2450">
        <v>13078448</v>
      </c>
      <c r="E2450">
        <v>2020</v>
      </c>
      <c r="F2450" t="s">
        <v>67</v>
      </c>
    </row>
    <row r="2451" spans="1:6" x14ac:dyDescent="0.25">
      <c r="A2451" t="s">
        <v>18</v>
      </c>
      <c r="B2451" t="s">
        <v>19</v>
      </c>
      <c r="C2451" t="s">
        <v>61</v>
      </c>
      <c r="D2451">
        <v>6689866</v>
      </c>
      <c r="E2451">
        <v>2020</v>
      </c>
      <c r="F2451" t="s">
        <v>67</v>
      </c>
    </row>
    <row r="2452" spans="1:6" x14ac:dyDescent="0.25">
      <c r="A2452" t="s">
        <v>20</v>
      </c>
      <c r="B2452" t="s">
        <v>21</v>
      </c>
      <c r="C2452" t="s">
        <v>61</v>
      </c>
      <c r="D2452">
        <v>6857311</v>
      </c>
      <c r="E2452">
        <v>2020</v>
      </c>
      <c r="F2452" t="s">
        <v>67</v>
      </c>
    </row>
    <row r="2453" spans="1:6" x14ac:dyDescent="0.25">
      <c r="A2453" t="s">
        <v>22</v>
      </c>
      <c r="B2453" t="s">
        <v>23</v>
      </c>
      <c r="C2453" t="s">
        <v>61</v>
      </c>
      <c r="D2453">
        <v>12131820</v>
      </c>
      <c r="E2453">
        <v>2020</v>
      </c>
      <c r="F2453" t="s">
        <v>67</v>
      </c>
    </row>
    <row r="2454" spans="1:6" x14ac:dyDescent="0.25">
      <c r="A2454" t="s">
        <v>24</v>
      </c>
      <c r="B2454" t="s">
        <v>25</v>
      </c>
      <c r="C2454" t="s">
        <v>61</v>
      </c>
      <c r="D2454">
        <v>25469099</v>
      </c>
      <c r="E2454">
        <v>2020</v>
      </c>
      <c r="F2454" t="s">
        <v>67</v>
      </c>
    </row>
    <row r="2455" spans="1:6" x14ac:dyDescent="0.25">
      <c r="A2455" t="s">
        <v>26</v>
      </c>
      <c r="B2455" t="s">
        <v>27</v>
      </c>
      <c r="C2455" t="s">
        <v>61</v>
      </c>
      <c r="D2455">
        <v>10409266</v>
      </c>
      <c r="E2455">
        <v>2020</v>
      </c>
      <c r="F2455" t="s">
        <v>67</v>
      </c>
    </row>
    <row r="2456" spans="1:6" x14ac:dyDescent="0.25">
      <c r="A2456" t="s">
        <v>28</v>
      </c>
      <c r="B2456" t="s">
        <v>29</v>
      </c>
      <c r="C2456" t="s">
        <v>61</v>
      </c>
      <c r="D2456">
        <v>1858932</v>
      </c>
      <c r="E2456">
        <v>2020</v>
      </c>
      <c r="F2456" t="s">
        <v>67</v>
      </c>
    </row>
    <row r="2457" spans="1:6" x14ac:dyDescent="0.25">
      <c r="A2457" t="s">
        <v>30</v>
      </c>
      <c r="B2457" t="s">
        <v>31</v>
      </c>
      <c r="C2457" t="s">
        <v>61</v>
      </c>
      <c r="D2457">
        <v>24932809</v>
      </c>
      <c r="E2457">
        <v>2020</v>
      </c>
      <c r="F2457" t="s">
        <v>67</v>
      </c>
    </row>
    <row r="2458" spans="1:6" x14ac:dyDescent="0.25">
      <c r="A2458" t="s">
        <v>32</v>
      </c>
      <c r="B2458" t="s">
        <v>33</v>
      </c>
      <c r="C2458" t="s">
        <v>61</v>
      </c>
      <c r="D2458">
        <v>14488014</v>
      </c>
      <c r="E2458">
        <v>2020</v>
      </c>
      <c r="F2458" t="s">
        <v>67</v>
      </c>
    </row>
    <row r="2459" spans="1:6" x14ac:dyDescent="0.25">
      <c r="A2459" t="s">
        <v>34</v>
      </c>
      <c r="B2459" t="s">
        <v>35</v>
      </c>
      <c r="C2459" t="s">
        <v>61</v>
      </c>
      <c r="D2459">
        <v>50845793</v>
      </c>
      <c r="E2459">
        <v>2020</v>
      </c>
      <c r="F2459" t="s">
        <v>67</v>
      </c>
    </row>
    <row r="2460" spans="1:6" x14ac:dyDescent="0.25">
      <c r="A2460" t="s">
        <v>36</v>
      </c>
      <c r="B2460" t="s">
        <v>37</v>
      </c>
      <c r="C2460" t="s">
        <v>61</v>
      </c>
      <c r="D2460">
        <v>18414552</v>
      </c>
      <c r="E2460">
        <v>2020</v>
      </c>
      <c r="F2460" t="s">
        <v>67</v>
      </c>
    </row>
    <row r="2461" spans="1:6" x14ac:dyDescent="0.25">
      <c r="A2461" t="s">
        <v>38</v>
      </c>
      <c r="B2461" t="s">
        <v>39</v>
      </c>
      <c r="C2461" t="s">
        <v>61</v>
      </c>
      <c r="D2461">
        <v>13756403</v>
      </c>
      <c r="E2461">
        <v>2020</v>
      </c>
      <c r="F2461" t="s">
        <v>67</v>
      </c>
    </row>
    <row r="2462" spans="1:6" x14ac:dyDescent="0.25">
      <c r="A2462" t="s">
        <v>40</v>
      </c>
      <c r="B2462" t="s">
        <v>41</v>
      </c>
      <c r="C2462" t="s">
        <v>61</v>
      </c>
      <c r="D2462">
        <v>11036752</v>
      </c>
      <c r="E2462">
        <v>2020</v>
      </c>
      <c r="F2462" t="s">
        <v>67</v>
      </c>
    </row>
    <row r="2463" spans="1:6" x14ac:dyDescent="0.25">
      <c r="A2463" t="s">
        <v>42</v>
      </c>
      <c r="B2463" t="s">
        <v>43</v>
      </c>
      <c r="C2463" t="s">
        <v>61</v>
      </c>
      <c r="D2463">
        <v>1449196</v>
      </c>
      <c r="E2463">
        <v>2020</v>
      </c>
      <c r="F2463" t="s">
        <v>67</v>
      </c>
    </row>
    <row r="2464" spans="1:6" x14ac:dyDescent="0.25">
      <c r="A2464" t="s">
        <v>44</v>
      </c>
      <c r="B2464" t="s">
        <v>45</v>
      </c>
      <c r="C2464" t="s">
        <v>61</v>
      </c>
      <c r="D2464">
        <v>17215008</v>
      </c>
      <c r="E2464">
        <v>2020</v>
      </c>
      <c r="F2464" t="s">
        <v>67</v>
      </c>
    </row>
    <row r="2465" spans="1:6" x14ac:dyDescent="0.25">
      <c r="A2465" t="s">
        <v>46</v>
      </c>
      <c r="B2465" t="s">
        <v>47</v>
      </c>
      <c r="C2465" t="s">
        <v>61</v>
      </c>
      <c r="D2465">
        <v>6125244</v>
      </c>
      <c r="E2465">
        <v>2020</v>
      </c>
      <c r="F2465" t="s">
        <v>67</v>
      </c>
    </row>
    <row r="2466" spans="1:6" x14ac:dyDescent="0.25">
      <c r="A2466" t="s">
        <v>48</v>
      </c>
      <c r="B2466" t="s">
        <v>49</v>
      </c>
      <c r="C2466" t="s">
        <v>61</v>
      </c>
      <c r="D2466">
        <v>2756130</v>
      </c>
      <c r="E2466">
        <v>2020</v>
      </c>
      <c r="F2466" t="s">
        <v>67</v>
      </c>
    </row>
    <row r="2467" spans="1:6" x14ac:dyDescent="0.25">
      <c r="A2467" t="s">
        <v>50</v>
      </c>
      <c r="B2467" t="s">
        <v>51</v>
      </c>
      <c r="C2467" t="s">
        <v>61</v>
      </c>
      <c r="D2467">
        <v>3143304</v>
      </c>
      <c r="E2467">
        <v>2020</v>
      </c>
      <c r="F2467" t="s">
        <v>67</v>
      </c>
    </row>
    <row r="2468" spans="1:6" x14ac:dyDescent="0.25">
      <c r="A2468" t="s">
        <v>52</v>
      </c>
      <c r="B2468" t="s">
        <v>53</v>
      </c>
      <c r="C2468" t="s">
        <v>61</v>
      </c>
      <c r="D2468">
        <v>8814996</v>
      </c>
      <c r="E2468">
        <v>2020</v>
      </c>
      <c r="F2468" t="s">
        <v>67</v>
      </c>
    </row>
    <row r="2469" spans="1:6" x14ac:dyDescent="0.25">
      <c r="A2469" t="s">
        <v>54</v>
      </c>
      <c r="B2469" t="s">
        <v>55</v>
      </c>
      <c r="C2469" t="s">
        <v>61</v>
      </c>
      <c r="D2469">
        <v>501312</v>
      </c>
      <c r="E2469">
        <v>2020</v>
      </c>
      <c r="F2469" t="s">
        <v>67</v>
      </c>
    </row>
    <row r="2470" spans="1:6" x14ac:dyDescent="0.25">
      <c r="A2470" t="s">
        <v>56</v>
      </c>
      <c r="B2470" t="s">
        <v>57</v>
      </c>
      <c r="C2470" t="s">
        <v>61</v>
      </c>
      <c r="D2470">
        <v>3636972</v>
      </c>
      <c r="E2470">
        <v>2020</v>
      </c>
      <c r="F2470" t="s">
        <v>67</v>
      </c>
    </row>
    <row r="2471" spans="1:6" x14ac:dyDescent="0.25">
      <c r="A2471" t="s">
        <v>58</v>
      </c>
      <c r="B2471" t="s">
        <v>59</v>
      </c>
      <c r="C2471" t="s">
        <v>61</v>
      </c>
      <c r="E2471">
        <v>2020</v>
      </c>
      <c r="F2471" t="s">
        <v>67</v>
      </c>
    </row>
    <row r="2472" spans="1:6" x14ac:dyDescent="0.25">
      <c r="A2472" t="s">
        <v>6</v>
      </c>
      <c r="B2472" t="s">
        <v>7</v>
      </c>
      <c r="C2472" t="s">
        <v>65</v>
      </c>
      <c r="D2472">
        <v>9582008000</v>
      </c>
      <c r="E2472">
        <v>2020</v>
      </c>
      <c r="F2472" t="s">
        <v>67</v>
      </c>
    </row>
    <row r="2473" spans="1:6" x14ac:dyDescent="0.25">
      <c r="A2473" t="s">
        <v>10</v>
      </c>
      <c r="B2473" t="s">
        <v>11</v>
      </c>
      <c r="C2473" t="s">
        <v>65</v>
      </c>
      <c r="D2473">
        <v>2120935000</v>
      </c>
      <c r="E2473">
        <v>2020</v>
      </c>
      <c r="F2473" t="s">
        <v>67</v>
      </c>
    </row>
    <row r="2474" spans="1:6" x14ac:dyDescent="0.25">
      <c r="A2474" t="s">
        <v>12</v>
      </c>
      <c r="B2474" t="s">
        <v>13</v>
      </c>
      <c r="C2474" t="s">
        <v>65</v>
      </c>
      <c r="D2474">
        <v>373884000</v>
      </c>
      <c r="E2474">
        <v>2020</v>
      </c>
      <c r="F2474" t="s">
        <v>67</v>
      </c>
    </row>
    <row r="2475" spans="1:6" x14ac:dyDescent="0.25">
      <c r="A2475" t="s">
        <v>14</v>
      </c>
      <c r="B2475" t="s">
        <v>15</v>
      </c>
      <c r="C2475" t="s">
        <v>65</v>
      </c>
      <c r="D2475">
        <v>5522000</v>
      </c>
      <c r="E2475">
        <v>2020</v>
      </c>
      <c r="F2475" t="s">
        <v>67</v>
      </c>
    </row>
    <row r="2476" spans="1:6" x14ac:dyDescent="0.25">
      <c r="A2476" t="s">
        <v>16</v>
      </c>
      <c r="B2476" t="s">
        <v>17</v>
      </c>
      <c r="C2476" t="s">
        <v>65</v>
      </c>
      <c r="D2476">
        <v>587930000</v>
      </c>
      <c r="E2476">
        <v>2020</v>
      </c>
      <c r="F2476" t="s">
        <v>67</v>
      </c>
    </row>
    <row r="2477" spans="1:6" x14ac:dyDescent="0.25">
      <c r="A2477" t="s">
        <v>18</v>
      </c>
      <c r="B2477" t="s">
        <v>19</v>
      </c>
      <c r="C2477" t="s">
        <v>65</v>
      </c>
      <c r="D2477">
        <v>263012000</v>
      </c>
      <c r="E2477">
        <v>2020</v>
      </c>
      <c r="F2477" t="s">
        <v>67</v>
      </c>
    </row>
    <row r="2478" spans="1:6" x14ac:dyDescent="0.25">
      <c r="A2478" t="s">
        <v>20</v>
      </c>
      <c r="B2478" t="s">
        <v>21</v>
      </c>
      <c r="C2478" t="s">
        <v>65</v>
      </c>
      <c r="D2478">
        <v>113294000</v>
      </c>
      <c r="E2478">
        <v>2020</v>
      </c>
      <c r="F2478" t="s">
        <v>67</v>
      </c>
    </row>
    <row r="2479" spans="1:6" x14ac:dyDescent="0.25">
      <c r="A2479" t="s">
        <v>22</v>
      </c>
      <c r="B2479" t="s">
        <v>23</v>
      </c>
      <c r="C2479" t="s">
        <v>65</v>
      </c>
      <c r="D2479">
        <v>58917000</v>
      </c>
      <c r="E2479">
        <v>2020</v>
      </c>
      <c r="F2479" t="s">
        <v>67</v>
      </c>
    </row>
    <row r="2480" spans="1:6" x14ac:dyDescent="0.25">
      <c r="A2480" t="s">
        <v>24</v>
      </c>
      <c r="B2480" t="s">
        <v>25</v>
      </c>
      <c r="C2480" t="s">
        <v>65</v>
      </c>
      <c r="D2480">
        <v>196574000</v>
      </c>
      <c r="E2480">
        <v>2020</v>
      </c>
      <c r="F2480" t="s">
        <v>67</v>
      </c>
    </row>
    <row r="2481" spans="1:6" x14ac:dyDescent="0.25">
      <c r="A2481" t="s">
        <v>26</v>
      </c>
      <c r="B2481" t="s">
        <v>27</v>
      </c>
      <c r="C2481" t="s">
        <v>65</v>
      </c>
      <c r="D2481">
        <v>30968000</v>
      </c>
      <c r="E2481">
        <v>2020</v>
      </c>
      <c r="F2481" t="s">
        <v>67</v>
      </c>
    </row>
    <row r="2482" spans="1:6" x14ac:dyDescent="0.25">
      <c r="A2482" t="s">
        <v>28</v>
      </c>
      <c r="B2482" t="s">
        <v>29</v>
      </c>
      <c r="C2482" t="s">
        <v>65</v>
      </c>
      <c r="D2482">
        <v>59921000</v>
      </c>
      <c r="E2482">
        <v>2020</v>
      </c>
      <c r="F2482" t="s">
        <v>67</v>
      </c>
    </row>
    <row r="2483" spans="1:6" x14ac:dyDescent="0.25">
      <c r="A2483" t="s">
        <v>30</v>
      </c>
      <c r="B2483" t="s">
        <v>31</v>
      </c>
      <c r="C2483" t="s">
        <v>65</v>
      </c>
      <c r="D2483">
        <v>428844000</v>
      </c>
      <c r="E2483">
        <v>2020</v>
      </c>
      <c r="F2483" t="s">
        <v>67</v>
      </c>
    </row>
    <row r="2484" spans="1:6" x14ac:dyDescent="0.25">
      <c r="A2484" t="s">
        <v>32</v>
      </c>
      <c r="B2484" t="s">
        <v>33</v>
      </c>
      <c r="C2484" t="s">
        <v>65</v>
      </c>
      <c r="D2484">
        <v>184820000</v>
      </c>
      <c r="E2484">
        <v>2020</v>
      </c>
      <c r="F2484" t="s">
        <v>67</v>
      </c>
    </row>
    <row r="2485" spans="1:6" x14ac:dyDescent="0.25">
      <c r="A2485" t="s">
        <v>34</v>
      </c>
      <c r="B2485" t="s">
        <v>35</v>
      </c>
      <c r="C2485" t="s">
        <v>65</v>
      </c>
      <c r="D2485">
        <v>563090000</v>
      </c>
      <c r="E2485">
        <v>2020</v>
      </c>
      <c r="F2485" t="s">
        <v>67</v>
      </c>
    </row>
    <row r="2486" spans="1:6" x14ac:dyDescent="0.25">
      <c r="A2486" t="s">
        <v>36</v>
      </c>
      <c r="B2486" t="s">
        <v>37</v>
      </c>
      <c r="C2486" t="s">
        <v>65</v>
      </c>
      <c r="D2486">
        <v>382690000</v>
      </c>
      <c r="E2486">
        <v>2020</v>
      </c>
      <c r="F2486" t="s">
        <v>67</v>
      </c>
    </row>
    <row r="2487" spans="1:6" x14ac:dyDescent="0.25">
      <c r="A2487" t="s">
        <v>38</v>
      </c>
      <c r="B2487" t="s">
        <v>39</v>
      </c>
      <c r="C2487" t="s">
        <v>65</v>
      </c>
      <c r="D2487">
        <v>275145000</v>
      </c>
      <c r="E2487">
        <v>2020</v>
      </c>
      <c r="F2487" t="s">
        <v>67</v>
      </c>
    </row>
    <row r="2488" spans="1:6" x14ac:dyDescent="0.25">
      <c r="A2488" t="s">
        <v>40</v>
      </c>
      <c r="B2488" t="s">
        <v>41</v>
      </c>
      <c r="C2488" t="s">
        <v>65</v>
      </c>
      <c r="D2488">
        <v>662988000</v>
      </c>
      <c r="E2488">
        <v>2020</v>
      </c>
      <c r="F2488" t="s">
        <v>67</v>
      </c>
    </row>
    <row r="2489" spans="1:6" x14ac:dyDescent="0.25">
      <c r="A2489" t="s">
        <v>42</v>
      </c>
      <c r="B2489" t="s">
        <v>43</v>
      </c>
      <c r="C2489" t="s">
        <v>65</v>
      </c>
      <c r="D2489">
        <v>798527000</v>
      </c>
      <c r="E2489">
        <v>2020</v>
      </c>
      <c r="F2489" t="s">
        <v>67</v>
      </c>
    </row>
    <row r="2490" spans="1:6" x14ac:dyDescent="0.25">
      <c r="A2490" t="s">
        <v>44</v>
      </c>
      <c r="B2490" t="s">
        <v>45</v>
      </c>
      <c r="C2490" t="s">
        <v>65</v>
      </c>
      <c r="D2490">
        <v>1191671000</v>
      </c>
      <c r="E2490">
        <v>2020</v>
      </c>
      <c r="F2490" t="s">
        <v>67</v>
      </c>
    </row>
    <row r="2491" spans="1:6" x14ac:dyDescent="0.25">
      <c r="A2491" t="s">
        <v>46</v>
      </c>
      <c r="B2491" t="s">
        <v>47</v>
      </c>
      <c r="C2491" t="s">
        <v>65</v>
      </c>
      <c r="D2491">
        <v>927673000</v>
      </c>
      <c r="E2491">
        <v>2020</v>
      </c>
      <c r="F2491" t="s">
        <v>67</v>
      </c>
    </row>
    <row r="2492" spans="1:6" x14ac:dyDescent="0.25">
      <c r="A2492" t="s">
        <v>48</v>
      </c>
      <c r="B2492" t="s">
        <v>49</v>
      </c>
      <c r="C2492" t="s">
        <v>65</v>
      </c>
      <c r="D2492">
        <v>212619000</v>
      </c>
      <c r="E2492">
        <v>2020</v>
      </c>
      <c r="F2492" t="s">
        <v>67</v>
      </c>
    </row>
    <row r="2493" spans="1:6" x14ac:dyDescent="0.25">
      <c r="A2493" t="s">
        <v>50</v>
      </c>
      <c r="B2493" t="s">
        <v>51</v>
      </c>
      <c r="C2493" t="s">
        <v>65</v>
      </c>
      <c r="D2493">
        <v>53613000</v>
      </c>
      <c r="E2493">
        <v>2020</v>
      </c>
      <c r="F2493" t="s">
        <v>67</v>
      </c>
    </row>
    <row r="2494" spans="1:6" x14ac:dyDescent="0.25">
      <c r="A2494" t="s">
        <v>52</v>
      </c>
      <c r="B2494" t="s">
        <v>53</v>
      </c>
      <c r="C2494" t="s">
        <v>65</v>
      </c>
      <c r="D2494">
        <v>59728000</v>
      </c>
      <c r="E2494">
        <v>2020</v>
      </c>
      <c r="F2494" t="s">
        <v>67</v>
      </c>
    </row>
    <row r="2495" spans="1:6" x14ac:dyDescent="0.25">
      <c r="A2495" t="s">
        <v>54</v>
      </c>
      <c r="B2495" t="s">
        <v>55</v>
      </c>
      <c r="C2495" t="s">
        <v>65</v>
      </c>
      <c r="D2495">
        <v>29643000</v>
      </c>
      <c r="E2495">
        <v>2020</v>
      </c>
      <c r="F2495" t="s">
        <v>67</v>
      </c>
    </row>
    <row r="2496" spans="1:6" x14ac:dyDescent="0.25">
      <c r="A2496" t="s">
        <v>56</v>
      </c>
      <c r="B2496" t="s">
        <v>57</v>
      </c>
      <c r="C2496" t="s">
        <v>65</v>
      </c>
      <c r="E2496">
        <v>2020</v>
      </c>
      <c r="F2496" t="s">
        <v>67</v>
      </c>
    </row>
    <row r="2497" spans="1:6" x14ac:dyDescent="0.25">
      <c r="A2497" t="s">
        <v>58</v>
      </c>
      <c r="B2497" t="s">
        <v>59</v>
      </c>
      <c r="C2497" t="s">
        <v>65</v>
      </c>
      <c r="E2497">
        <v>2020</v>
      </c>
      <c r="F2497" t="s">
        <v>67</v>
      </c>
    </row>
    <row r="2498" spans="1:6" x14ac:dyDescent="0.25">
      <c r="A2498" t="s">
        <v>6</v>
      </c>
      <c r="B2498" t="s">
        <v>7</v>
      </c>
      <c r="C2498" t="s">
        <v>62</v>
      </c>
      <c r="E2498">
        <v>2020</v>
      </c>
      <c r="F2498" t="s">
        <v>67</v>
      </c>
    </row>
    <row r="2499" spans="1:6" x14ac:dyDescent="0.25">
      <c r="A2499" t="s">
        <v>10</v>
      </c>
      <c r="B2499" t="s">
        <v>11</v>
      </c>
      <c r="C2499" t="s">
        <v>62</v>
      </c>
      <c r="E2499">
        <v>2020</v>
      </c>
      <c r="F2499" t="s">
        <v>67</v>
      </c>
    </row>
    <row r="2500" spans="1:6" x14ac:dyDescent="0.25">
      <c r="A2500" t="s">
        <v>12</v>
      </c>
      <c r="B2500" t="s">
        <v>13</v>
      </c>
      <c r="C2500" t="s">
        <v>62</v>
      </c>
      <c r="E2500">
        <v>2020</v>
      </c>
      <c r="F2500" t="s">
        <v>67</v>
      </c>
    </row>
    <row r="2501" spans="1:6" x14ac:dyDescent="0.25">
      <c r="A2501" t="s">
        <v>14</v>
      </c>
      <c r="B2501" t="s">
        <v>15</v>
      </c>
      <c r="C2501" t="s">
        <v>62</v>
      </c>
      <c r="E2501">
        <v>2020</v>
      </c>
      <c r="F2501" t="s">
        <v>67</v>
      </c>
    </row>
    <row r="2502" spans="1:6" x14ac:dyDescent="0.25">
      <c r="A2502" t="s">
        <v>16</v>
      </c>
      <c r="B2502" t="s">
        <v>17</v>
      </c>
      <c r="C2502" t="s">
        <v>62</v>
      </c>
      <c r="E2502">
        <v>2020</v>
      </c>
      <c r="F2502" t="s">
        <v>67</v>
      </c>
    </row>
    <row r="2503" spans="1:6" x14ac:dyDescent="0.25">
      <c r="A2503" t="s">
        <v>18</v>
      </c>
      <c r="B2503" t="s">
        <v>19</v>
      </c>
      <c r="C2503" t="s">
        <v>62</v>
      </c>
      <c r="E2503">
        <v>2020</v>
      </c>
      <c r="F2503" t="s">
        <v>67</v>
      </c>
    </row>
    <row r="2504" spans="1:6" x14ac:dyDescent="0.25">
      <c r="A2504" t="s">
        <v>20</v>
      </c>
      <c r="B2504" t="s">
        <v>21</v>
      </c>
      <c r="C2504" t="s">
        <v>62</v>
      </c>
      <c r="E2504">
        <v>2020</v>
      </c>
      <c r="F2504" t="s">
        <v>67</v>
      </c>
    </row>
    <row r="2505" spans="1:6" x14ac:dyDescent="0.25">
      <c r="A2505" t="s">
        <v>22</v>
      </c>
      <c r="B2505" t="s">
        <v>23</v>
      </c>
      <c r="C2505" t="s">
        <v>62</v>
      </c>
      <c r="E2505">
        <v>2020</v>
      </c>
      <c r="F2505" t="s">
        <v>67</v>
      </c>
    </row>
    <row r="2506" spans="1:6" x14ac:dyDescent="0.25">
      <c r="A2506" t="s">
        <v>24</v>
      </c>
      <c r="B2506" t="s">
        <v>25</v>
      </c>
      <c r="C2506" t="s">
        <v>62</v>
      </c>
      <c r="E2506">
        <v>2020</v>
      </c>
      <c r="F2506" t="s">
        <v>67</v>
      </c>
    </row>
    <row r="2507" spans="1:6" x14ac:dyDescent="0.25">
      <c r="A2507" t="s">
        <v>26</v>
      </c>
      <c r="B2507" t="s">
        <v>27</v>
      </c>
      <c r="C2507" t="s">
        <v>62</v>
      </c>
      <c r="E2507">
        <v>2020</v>
      </c>
      <c r="F2507" t="s">
        <v>67</v>
      </c>
    </row>
    <row r="2508" spans="1:6" x14ac:dyDescent="0.25">
      <c r="A2508" t="s">
        <v>28</v>
      </c>
      <c r="B2508" t="s">
        <v>29</v>
      </c>
      <c r="C2508" t="s">
        <v>62</v>
      </c>
      <c r="E2508">
        <v>2020</v>
      </c>
      <c r="F2508" t="s">
        <v>67</v>
      </c>
    </row>
    <row r="2509" spans="1:6" x14ac:dyDescent="0.25">
      <c r="A2509" t="s">
        <v>30</v>
      </c>
      <c r="B2509" t="s">
        <v>31</v>
      </c>
      <c r="C2509" t="s">
        <v>62</v>
      </c>
      <c r="E2509">
        <v>2020</v>
      </c>
      <c r="F2509" t="s">
        <v>67</v>
      </c>
    </row>
    <row r="2510" spans="1:6" x14ac:dyDescent="0.25">
      <c r="A2510" t="s">
        <v>32</v>
      </c>
      <c r="B2510" t="s">
        <v>33</v>
      </c>
      <c r="C2510" t="s">
        <v>62</v>
      </c>
      <c r="E2510">
        <v>2020</v>
      </c>
      <c r="F2510" t="s">
        <v>67</v>
      </c>
    </row>
    <row r="2511" spans="1:6" x14ac:dyDescent="0.25">
      <c r="A2511" t="s">
        <v>34</v>
      </c>
      <c r="B2511" t="s">
        <v>35</v>
      </c>
      <c r="C2511" t="s">
        <v>62</v>
      </c>
      <c r="E2511">
        <v>2020</v>
      </c>
      <c r="F2511" t="s">
        <v>67</v>
      </c>
    </row>
    <row r="2512" spans="1:6" x14ac:dyDescent="0.25">
      <c r="A2512" t="s">
        <v>36</v>
      </c>
      <c r="B2512" t="s">
        <v>37</v>
      </c>
      <c r="C2512" t="s">
        <v>62</v>
      </c>
      <c r="E2512">
        <v>2020</v>
      </c>
      <c r="F2512" t="s">
        <v>67</v>
      </c>
    </row>
    <row r="2513" spans="1:6" x14ac:dyDescent="0.25">
      <c r="A2513" t="s">
        <v>38</v>
      </c>
      <c r="B2513" t="s">
        <v>39</v>
      </c>
      <c r="C2513" t="s">
        <v>62</v>
      </c>
      <c r="E2513">
        <v>2020</v>
      </c>
      <c r="F2513" t="s">
        <v>67</v>
      </c>
    </row>
    <row r="2514" spans="1:6" x14ac:dyDescent="0.25">
      <c r="A2514" t="s">
        <v>40</v>
      </c>
      <c r="B2514" t="s">
        <v>41</v>
      </c>
      <c r="C2514" t="s">
        <v>62</v>
      </c>
      <c r="E2514">
        <v>2020</v>
      </c>
      <c r="F2514" t="s">
        <v>67</v>
      </c>
    </row>
    <row r="2515" spans="1:6" x14ac:dyDescent="0.25">
      <c r="A2515" t="s">
        <v>42</v>
      </c>
      <c r="B2515" t="s">
        <v>43</v>
      </c>
      <c r="C2515" t="s">
        <v>62</v>
      </c>
      <c r="E2515">
        <v>2020</v>
      </c>
      <c r="F2515" t="s">
        <v>67</v>
      </c>
    </row>
    <row r="2516" spans="1:6" x14ac:dyDescent="0.25">
      <c r="A2516" t="s">
        <v>44</v>
      </c>
      <c r="B2516" t="s">
        <v>45</v>
      </c>
      <c r="C2516" t="s">
        <v>62</v>
      </c>
      <c r="E2516">
        <v>2020</v>
      </c>
      <c r="F2516" t="s">
        <v>67</v>
      </c>
    </row>
    <row r="2517" spans="1:6" x14ac:dyDescent="0.25">
      <c r="A2517" t="s">
        <v>46</v>
      </c>
      <c r="B2517" t="s">
        <v>47</v>
      </c>
      <c r="C2517" t="s">
        <v>62</v>
      </c>
      <c r="E2517">
        <v>2020</v>
      </c>
      <c r="F2517" t="s">
        <v>67</v>
      </c>
    </row>
    <row r="2518" spans="1:6" x14ac:dyDescent="0.25">
      <c r="A2518" t="s">
        <v>48</v>
      </c>
      <c r="B2518" t="s">
        <v>49</v>
      </c>
      <c r="C2518" t="s">
        <v>62</v>
      </c>
      <c r="E2518">
        <v>2020</v>
      </c>
      <c r="F2518" t="s">
        <v>67</v>
      </c>
    </row>
    <row r="2519" spans="1:6" x14ac:dyDescent="0.25">
      <c r="A2519" t="s">
        <v>50</v>
      </c>
      <c r="B2519" t="s">
        <v>51</v>
      </c>
      <c r="C2519" t="s">
        <v>62</v>
      </c>
      <c r="E2519">
        <v>2020</v>
      </c>
      <c r="F2519" t="s">
        <v>67</v>
      </c>
    </row>
    <row r="2520" spans="1:6" x14ac:dyDescent="0.25">
      <c r="A2520" t="s">
        <v>52</v>
      </c>
      <c r="B2520" t="s">
        <v>53</v>
      </c>
      <c r="C2520" t="s">
        <v>62</v>
      </c>
      <c r="E2520">
        <v>2020</v>
      </c>
      <c r="F2520" t="s">
        <v>67</v>
      </c>
    </row>
    <row r="2521" spans="1:6" x14ac:dyDescent="0.25">
      <c r="A2521" t="s">
        <v>54</v>
      </c>
      <c r="B2521" t="s">
        <v>55</v>
      </c>
      <c r="C2521" t="s">
        <v>62</v>
      </c>
      <c r="E2521">
        <v>2020</v>
      </c>
      <c r="F2521" t="s">
        <v>67</v>
      </c>
    </row>
    <row r="2522" spans="1:6" x14ac:dyDescent="0.25">
      <c r="A2522" t="s">
        <v>56</v>
      </c>
      <c r="B2522" t="s">
        <v>57</v>
      </c>
      <c r="C2522" t="s">
        <v>62</v>
      </c>
      <c r="E2522">
        <v>2020</v>
      </c>
      <c r="F2522" t="s">
        <v>67</v>
      </c>
    </row>
    <row r="2523" spans="1:6" x14ac:dyDescent="0.25">
      <c r="A2523" t="s">
        <v>58</v>
      </c>
      <c r="B2523" t="s">
        <v>59</v>
      </c>
      <c r="C2523" t="s">
        <v>62</v>
      </c>
      <c r="E2523">
        <v>2020</v>
      </c>
      <c r="F2523" t="s">
        <v>67</v>
      </c>
    </row>
    <row r="2524" spans="1:6" x14ac:dyDescent="0.25">
      <c r="A2524" t="s">
        <v>6</v>
      </c>
      <c r="B2524" t="s">
        <v>7</v>
      </c>
      <c r="C2524" t="s">
        <v>8</v>
      </c>
      <c r="D2524">
        <v>932348360</v>
      </c>
      <c r="E2524">
        <v>2021</v>
      </c>
      <c r="F2524" t="s">
        <v>67</v>
      </c>
    </row>
    <row r="2525" spans="1:6" x14ac:dyDescent="0.25">
      <c r="A2525" t="s">
        <v>10</v>
      </c>
      <c r="B2525" t="s">
        <v>11</v>
      </c>
      <c r="C2525" t="s">
        <v>8</v>
      </c>
      <c r="D2525">
        <v>369017188</v>
      </c>
      <c r="E2525">
        <v>2021</v>
      </c>
      <c r="F2525" t="s">
        <v>67</v>
      </c>
    </row>
    <row r="2526" spans="1:6" x14ac:dyDescent="0.25">
      <c r="A2526" t="s">
        <v>12</v>
      </c>
      <c r="B2526" t="s">
        <v>13</v>
      </c>
      <c r="C2526" t="s">
        <v>8</v>
      </c>
      <c r="D2526">
        <v>37149709</v>
      </c>
      <c r="E2526">
        <v>2021</v>
      </c>
      <c r="F2526" t="s">
        <v>67</v>
      </c>
    </row>
    <row r="2527" spans="1:6" x14ac:dyDescent="0.25">
      <c r="A2527" t="s">
        <v>14</v>
      </c>
      <c r="B2527" t="s">
        <v>15</v>
      </c>
      <c r="C2527" t="s">
        <v>8</v>
      </c>
      <c r="E2527">
        <v>2021</v>
      </c>
      <c r="F2527" t="s">
        <v>67</v>
      </c>
    </row>
    <row r="2528" spans="1:6" x14ac:dyDescent="0.25">
      <c r="A2528" t="s">
        <v>16</v>
      </c>
      <c r="B2528" t="s">
        <v>17</v>
      </c>
      <c r="C2528" t="s">
        <v>8</v>
      </c>
      <c r="D2528">
        <v>7281023</v>
      </c>
      <c r="E2528">
        <v>2021</v>
      </c>
      <c r="F2528" t="s">
        <v>67</v>
      </c>
    </row>
    <row r="2529" spans="1:6" x14ac:dyDescent="0.25">
      <c r="A2529" t="s">
        <v>18</v>
      </c>
      <c r="B2529" t="s">
        <v>19</v>
      </c>
      <c r="C2529" t="s">
        <v>8</v>
      </c>
      <c r="D2529">
        <v>6176745</v>
      </c>
      <c r="E2529">
        <v>2021</v>
      </c>
      <c r="F2529" t="s">
        <v>67</v>
      </c>
    </row>
    <row r="2530" spans="1:6" x14ac:dyDescent="0.25">
      <c r="A2530" t="s">
        <v>20</v>
      </c>
      <c r="B2530" t="s">
        <v>21</v>
      </c>
      <c r="C2530" t="s">
        <v>8</v>
      </c>
      <c r="D2530">
        <v>2349584</v>
      </c>
      <c r="E2530">
        <v>2021</v>
      </c>
      <c r="F2530" t="s">
        <v>67</v>
      </c>
    </row>
    <row r="2531" spans="1:6" x14ac:dyDescent="0.25">
      <c r="A2531" t="s">
        <v>22</v>
      </c>
      <c r="B2531" t="s">
        <v>23</v>
      </c>
      <c r="C2531" t="s">
        <v>8</v>
      </c>
      <c r="D2531">
        <v>59475824</v>
      </c>
      <c r="E2531">
        <v>2021</v>
      </c>
      <c r="F2531" t="s">
        <v>67</v>
      </c>
    </row>
    <row r="2532" spans="1:6" x14ac:dyDescent="0.25">
      <c r="A2532" t="s">
        <v>24</v>
      </c>
      <c r="B2532" t="s">
        <v>25</v>
      </c>
      <c r="C2532" t="s">
        <v>8</v>
      </c>
      <c r="D2532">
        <v>47604712</v>
      </c>
      <c r="E2532">
        <v>2021</v>
      </c>
      <c r="F2532" t="s">
        <v>67</v>
      </c>
    </row>
    <row r="2533" spans="1:6" x14ac:dyDescent="0.25">
      <c r="A2533" t="s">
        <v>26</v>
      </c>
      <c r="B2533" t="s">
        <v>27</v>
      </c>
      <c r="C2533" t="s">
        <v>8</v>
      </c>
      <c r="D2533">
        <v>10206855</v>
      </c>
      <c r="E2533">
        <v>2021</v>
      </c>
      <c r="F2533" t="s">
        <v>67</v>
      </c>
    </row>
    <row r="2534" spans="1:6" x14ac:dyDescent="0.25">
      <c r="A2534" t="s">
        <v>28</v>
      </c>
      <c r="B2534" t="s">
        <v>29</v>
      </c>
      <c r="C2534" t="s">
        <v>8</v>
      </c>
      <c r="E2534">
        <v>2021</v>
      </c>
      <c r="F2534" t="s">
        <v>67</v>
      </c>
    </row>
    <row r="2535" spans="1:6" x14ac:dyDescent="0.25">
      <c r="A2535" t="s">
        <v>30</v>
      </c>
      <c r="B2535" t="s">
        <v>31</v>
      </c>
      <c r="C2535" t="s">
        <v>8</v>
      </c>
      <c r="D2535">
        <v>47704654</v>
      </c>
      <c r="E2535">
        <v>2021</v>
      </c>
      <c r="F2535" t="s">
        <v>67</v>
      </c>
    </row>
    <row r="2536" spans="1:6" x14ac:dyDescent="0.25">
      <c r="A2536" t="s">
        <v>32</v>
      </c>
      <c r="B2536" t="s">
        <v>33</v>
      </c>
      <c r="C2536" t="s">
        <v>8</v>
      </c>
      <c r="D2536">
        <v>27741776</v>
      </c>
      <c r="E2536">
        <v>2021</v>
      </c>
      <c r="F2536" t="s">
        <v>67</v>
      </c>
    </row>
    <row r="2537" spans="1:6" x14ac:dyDescent="0.25">
      <c r="A2537" t="s">
        <v>34</v>
      </c>
      <c r="B2537" t="s">
        <v>35</v>
      </c>
      <c r="C2537" t="s">
        <v>8</v>
      </c>
      <c r="D2537">
        <v>48007475</v>
      </c>
      <c r="E2537">
        <v>2021</v>
      </c>
      <c r="F2537" t="s">
        <v>67</v>
      </c>
    </row>
    <row r="2538" spans="1:6" x14ac:dyDescent="0.25">
      <c r="A2538" t="s">
        <v>36</v>
      </c>
      <c r="B2538" t="s">
        <v>37</v>
      </c>
      <c r="C2538" t="s">
        <v>8</v>
      </c>
      <c r="D2538">
        <v>35161577</v>
      </c>
      <c r="E2538">
        <v>2021</v>
      </c>
      <c r="F2538" t="s">
        <v>67</v>
      </c>
    </row>
    <row r="2539" spans="1:6" x14ac:dyDescent="0.25">
      <c r="A2539" t="s">
        <v>38</v>
      </c>
      <c r="B2539" t="s">
        <v>39</v>
      </c>
      <c r="C2539" t="s">
        <v>8</v>
      </c>
      <c r="D2539">
        <v>21609575</v>
      </c>
      <c r="E2539">
        <v>2021</v>
      </c>
      <c r="F2539" t="s">
        <v>67</v>
      </c>
    </row>
    <row r="2540" spans="1:6" x14ac:dyDescent="0.25">
      <c r="A2540" t="s">
        <v>40</v>
      </c>
      <c r="B2540" t="s">
        <v>41</v>
      </c>
      <c r="C2540" t="s">
        <v>8</v>
      </c>
      <c r="D2540">
        <v>48343251</v>
      </c>
      <c r="E2540">
        <v>2021</v>
      </c>
      <c r="F2540" t="s">
        <v>67</v>
      </c>
    </row>
    <row r="2541" spans="1:6" x14ac:dyDescent="0.25">
      <c r="A2541" t="s">
        <v>42</v>
      </c>
      <c r="B2541" t="s">
        <v>43</v>
      </c>
      <c r="C2541" t="s">
        <v>8</v>
      </c>
      <c r="D2541">
        <v>794507</v>
      </c>
      <c r="E2541">
        <v>2021</v>
      </c>
      <c r="F2541" t="s">
        <v>67</v>
      </c>
    </row>
    <row r="2542" spans="1:6" x14ac:dyDescent="0.25">
      <c r="A2542" t="s">
        <v>44</v>
      </c>
      <c r="B2542" t="s">
        <v>45</v>
      </c>
      <c r="C2542" t="s">
        <v>8</v>
      </c>
      <c r="D2542">
        <v>12893780</v>
      </c>
      <c r="E2542">
        <v>2021</v>
      </c>
      <c r="F2542" t="s">
        <v>67</v>
      </c>
    </row>
    <row r="2543" spans="1:6" x14ac:dyDescent="0.25">
      <c r="A2543" t="s">
        <v>46</v>
      </c>
      <c r="B2543" t="s">
        <v>47</v>
      </c>
      <c r="C2543" t="s">
        <v>8</v>
      </c>
      <c r="D2543">
        <v>28537404</v>
      </c>
      <c r="E2543">
        <v>2021</v>
      </c>
      <c r="F2543" t="s">
        <v>67</v>
      </c>
    </row>
    <row r="2544" spans="1:6" x14ac:dyDescent="0.25">
      <c r="A2544" t="s">
        <v>48</v>
      </c>
      <c r="B2544" t="s">
        <v>49</v>
      </c>
      <c r="C2544" t="s">
        <v>8</v>
      </c>
      <c r="D2544">
        <v>1829247</v>
      </c>
      <c r="E2544">
        <v>2021</v>
      </c>
      <c r="F2544" t="s">
        <v>67</v>
      </c>
    </row>
    <row r="2545" spans="1:6" x14ac:dyDescent="0.25">
      <c r="A2545" t="s">
        <v>50</v>
      </c>
      <c r="B2545" t="s">
        <v>51</v>
      </c>
      <c r="C2545" t="s">
        <v>8</v>
      </c>
      <c r="D2545">
        <v>901698</v>
      </c>
      <c r="E2545">
        <v>2021</v>
      </c>
      <c r="F2545" t="s">
        <v>67</v>
      </c>
    </row>
    <row r="2546" spans="1:6" x14ac:dyDescent="0.25">
      <c r="A2546" t="s">
        <v>52</v>
      </c>
      <c r="B2546" t="s">
        <v>53</v>
      </c>
      <c r="C2546" t="s">
        <v>8</v>
      </c>
      <c r="D2546">
        <v>20336360</v>
      </c>
      <c r="E2546">
        <v>2021</v>
      </c>
      <c r="F2546" t="s">
        <v>67</v>
      </c>
    </row>
    <row r="2547" spans="1:6" x14ac:dyDescent="0.25">
      <c r="A2547" t="s">
        <v>54</v>
      </c>
      <c r="B2547" t="s">
        <v>55</v>
      </c>
      <c r="C2547" t="s">
        <v>8</v>
      </c>
      <c r="D2547">
        <v>3620579</v>
      </c>
      <c r="E2547">
        <v>2021</v>
      </c>
      <c r="F2547" t="s">
        <v>67</v>
      </c>
    </row>
    <row r="2548" spans="1:6" x14ac:dyDescent="0.25">
      <c r="A2548" t="s">
        <v>56</v>
      </c>
      <c r="B2548" t="s">
        <v>57</v>
      </c>
      <c r="C2548" t="s">
        <v>8</v>
      </c>
      <c r="D2548">
        <v>53502634</v>
      </c>
      <c r="E2548">
        <v>2021</v>
      </c>
      <c r="F2548" t="s">
        <v>67</v>
      </c>
    </row>
    <row r="2549" spans="1:6" x14ac:dyDescent="0.25">
      <c r="A2549" t="s">
        <v>58</v>
      </c>
      <c r="B2549" t="s">
        <v>59</v>
      </c>
      <c r="C2549" t="s">
        <v>8</v>
      </c>
      <c r="D2549">
        <v>42102203</v>
      </c>
      <c r="E2549">
        <v>2021</v>
      </c>
      <c r="F2549" t="s">
        <v>67</v>
      </c>
    </row>
    <row r="2550" spans="1:6" x14ac:dyDescent="0.25">
      <c r="A2550" t="s">
        <v>6</v>
      </c>
      <c r="B2550" t="s">
        <v>7</v>
      </c>
      <c r="C2550" t="s">
        <v>61</v>
      </c>
      <c r="E2550">
        <v>2021</v>
      </c>
      <c r="F2550" t="s">
        <v>67</v>
      </c>
    </row>
    <row r="2551" spans="1:6" x14ac:dyDescent="0.25">
      <c r="A2551" t="s">
        <v>10</v>
      </c>
      <c r="B2551" t="s">
        <v>11</v>
      </c>
      <c r="C2551" t="s">
        <v>61</v>
      </c>
      <c r="E2551">
        <v>2021</v>
      </c>
      <c r="F2551" t="s">
        <v>67</v>
      </c>
    </row>
    <row r="2552" spans="1:6" x14ac:dyDescent="0.25">
      <c r="A2552" t="s">
        <v>12</v>
      </c>
      <c r="B2552" t="s">
        <v>13</v>
      </c>
      <c r="C2552" t="s">
        <v>61</v>
      </c>
      <c r="E2552">
        <v>2021</v>
      </c>
      <c r="F2552" t="s">
        <v>67</v>
      </c>
    </row>
    <row r="2553" spans="1:6" x14ac:dyDescent="0.25">
      <c r="A2553" t="s">
        <v>14</v>
      </c>
      <c r="B2553" t="s">
        <v>15</v>
      </c>
      <c r="C2553" t="s">
        <v>61</v>
      </c>
      <c r="E2553">
        <v>2021</v>
      </c>
      <c r="F2553" t="s">
        <v>67</v>
      </c>
    </row>
    <row r="2554" spans="1:6" x14ac:dyDescent="0.25">
      <c r="A2554" t="s">
        <v>16</v>
      </c>
      <c r="B2554" t="s">
        <v>17</v>
      </c>
      <c r="C2554" t="s">
        <v>61</v>
      </c>
      <c r="E2554">
        <v>2021</v>
      </c>
      <c r="F2554" t="s">
        <v>67</v>
      </c>
    </row>
    <row r="2555" spans="1:6" x14ac:dyDescent="0.25">
      <c r="A2555" t="s">
        <v>18</v>
      </c>
      <c r="B2555" t="s">
        <v>19</v>
      </c>
      <c r="C2555" t="s">
        <v>61</v>
      </c>
      <c r="E2555">
        <v>2021</v>
      </c>
      <c r="F2555" t="s">
        <v>67</v>
      </c>
    </row>
    <row r="2556" spans="1:6" x14ac:dyDescent="0.25">
      <c r="A2556" t="s">
        <v>20</v>
      </c>
      <c r="B2556" t="s">
        <v>21</v>
      </c>
      <c r="C2556" t="s">
        <v>61</v>
      </c>
      <c r="E2556">
        <v>2021</v>
      </c>
      <c r="F2556" t="s">
        <v>67</v>
      </c>
    </row>
    <row r="2557" spans="1:6" x14ac:dyDescent="0.25">
      <c r="A2557" t="s">
        <v>22</v>
      </c>
      <c r="B2557" t="s">
        <v>23</v>
      </c>
      <c r="C2557" t="s">
        <v>61</v>
      </c>
      <c r="E2557">
        <v>2021</v>
      </c>
      <c r="F2557" t="s">
        <v>67</v>
      </c>
    </row>
    <row r="2558" spans="1:6" x14ac:dyDescent="0.25">
      <c r="A2558" t="s">
        <v>24</v>
      </c>
      <c r="B2558" t="s">
        <v>25</v>
      </c>
      <c r="C2558" t="s">
        <v>61</v>
      </c>
      <c r="E2558">
        <v>2021</v>
      </c>
      <c r="F2558" t="s">
        <v>67</v>
      </c>
    </row>
    <row r="2559" spans="1:6" x14ac:dyDescent="0.25">
      <c r="A2559" t="s">
        <v>26</v>
      </c>
      <c r="B2559" t="s">
        <v>27</v>
      </c>
      <c r="C2559" t="s">
        <v>61</v>
      </c>
      <c r="E2559">
        <v>2021</v>
      </c>
      <c r="F2559" t="s">
        <v>67</v>
      </c>
    </row>
    <row r="2560" spans="1:6" x14ac:dyDescent="0.25">
      <c r="A2560" t="s">
        <v>28</v>
      </c>
      <c r="B2560" t="s">
        <v>29</v>
      </c>
      <c r="C2560" t="s">
        <v>61</v>
      </c>
      <c r="E2560">
        <v>2021</v>
      </c>
      <c r="F2560" t="s">
        <v>67</v>
      </c>
    </row>
    <row r="2561" spans="1:6" x14ac:dyDescent="0.25">
      <c r="A2561" t="s">
        <v>30</v>
      </c>
      <c r="B2561" t="s">
        <v>31</v>
      </c>
      <c r="C2561" t="s">
        <v>61</v>
      </c>
      <c r="E2561">
        <v>2021</v>
      </c>
      <c r="F2561" t="s">
        <v>67</v>
      </c>
    </row>
    <row r="2562" spans="1:6" x14ac:dyDescent="0.25">
      <c r="A2562" t="s">
        <v>32</v>
      </c>
      <c r="B2562" t="s">
        <v>33</v>
      </c>
      <c r="C2562" t="s">
        <v>61</v>
      </c>
      <c r="E2562">
        <v>2021</v>
      </c>
      <c r="F2562" t="s">
        <v>67</v>
      </c>
    </row>
    <row r="2563" spans="1:6" x14ac:dyDescent="0.25">
      <c r="A2563" t="s">
        <v>34</v>
      </c>
      <c r="B2563" t="s">
        <v>35</v>
      </c>
      <c r="C2563" t="s">
        <v>61</v>
      </c>
      <c r="E2563">
        <v>2021</v>
      </c>
      <c r="F2563" t="s">
        <v>67</v>
      </c>
    </row>
    <row r="2564" spans="1:6" x14ac:dyDescent="0.25">
      <c r="A2564" t="s">
        <v>36</v>
      </c>
      <c r="B2564" t="s">
        <v>37</v>
      </c>
      <c r="C2564" t="s">
        <v>61</v>
      </c>
      <c r="E2564">
        <v>2021</v>
      </c>
      <c r="F2564" t="s">
        <v>67</v>
      </c>
    </row>
    <row r="2565" spans="1:6" x14ac:dyDescent="0.25">
      <c r="A2565" t="s">
        <v>38</v>
      </c>
      <c r="B2565" t="s">
        <v>39</v>
      </c>
      <c r="C2565" t="s">
        <v>61</v>
      </c>
      <c r="E2565">
        <v>2021</v>
      </c>
      <c r="F2565" t="s">
        <v>67</v>
      </c>
    </row>
    <row r="2566" spans="1:6" x14ac:dyDescent="0.25">
      <c r="A2566" t="s">
        <v>40</v>
      </c>
      <c r="B2566" t="s">
        <v>41</v>
      </c>
      <c r="C2566" t="s">
        <v>61</v>
      </c>
      <c r="E2566">
        <v>2021</v>
      </c>
      <c r="F2566" t="s">
        <v>67</v>
      </c>
    </row>
    <row r="2567" spans="1:6" x14ac:dyDescent="0.25">
      <c r="A2567" t="s">
        <v>42</v>
      </c>
      <c r="B2567" t="s">
        <v>43</v>
      </c>
      <c r="C2567" t="s">
        <v>61</v>
      </c>
      <c r="E2567">
        <v>2021</v>
      </c>
      <c r="F2567" t="s">
        <v>67</v>
      </c>
    </row>
    <row r="2568" spans="1:6" x14ac:dyDescent="0.25">
      <c r="A2568" t="s">
        <v>44</v>
      </c>
      <c r="B2568" t="s">
        <v>45</v>
      </c>
      <c r="C2568" t="s">
        <v>61</v>
      </c>
      <c r="E2568">
        <v>2021</v>
      </c>
      <c r="F2568" t="s">
        <v>67</v>
      </c>
    </row>
    <row r="2569" spans="1:6" x14ac:dyDescent="0.25">
      <c r="A2569" t="s">
        <v>46</v>
      </c>
      <c r="B2569" t="s">
        <v>47</v>
      </c>
      <c r="C2569" t="s">
        <v>61</v>
      </c>
      <c r="E2569">
        <v>2021</v>
      </c>
      <c r="F2569" t="s">
        <v>67</v>
      </c>
    </row>
    <row r="2570" spans="1:6" x14ac:dyDescent="0.25">
      <c r="A2570" t="s">
        <v>48</v>
      </c>
      <c r="B2570" t="s">
        <v>49</v>
      </c>
      <c r="C2570" t="s">
        <v>61</v>
      </c>
      <c r="E2570">
        <v>2021</v>
      </c>
      <c r="F2570" t="s">
        <v>67</v>
      </c>
    </row>
    <row r="2571" spans="1:6" x14ac:dyDescent="0.25">
      <c r="A2571" t="s">
        <v>50</v>
      </c>
      <c r="B2571" t="s">
        <v>51</v>
      </c>
      <c r="C2571" t="s">
        <v>61</v>
      </c>
      <c r="E2571">
        <v>2021</v>
      </c>
      <c r="F2571" t="s">
        <v>67</v>
      </c>
    </row>
    <row r="2572" spans="1:6" x14ac:dyDescent="0.25">
      <c r="A2572" t="s">
        <v>52</v>
      </c>
      <c r="B2572" t="s">
        <v>53</v>
      </c>
      <c r="C2572" t="s">
        <v>61</v>
      </c>
      <c r="E2572">
        <v>2021</v>
      </c>
      <c r="F2572" t="s">
        <v>67</v>
      </c>
    </row>
    <row r="2573" spans="1:6" x14ac:dyDescent="0.25">
      <c r="A2573" t="s">
        <v>54</v>
      </c>
      <c r="B2573" t="s">
        <v>55</v>
      </c>
      <c r="C2573" t="s">
        <v>61</v>
      </c>
      <c r="E2573">
        <v>2021</v>
      </c>
      <c r="F2573" t="s">
        <v>67</v>
      </c>
    </row>
    <row r="2574" spans="1:6" x14ac:dyDescent="0.25">
      <c r="A2574" t="s">
        <v>56</v>
      </c>
      <c r="B2574" t="s">
        <v>57</v>
      </c>
      <c r="C2574" t="s">
        <v>61</v>
      </c>
      <c r="E2574">
        <v>2021</v>
      </c>
      <c r="F2574" t="s">
        <v>67</v>
      </c>
    </row>
    <row r="2575" spans="1:6" x14ac:dyDescent="0.25">
      <c r="A2575" t="s">
        <v>58</v>
      </c>
      <c r="B2575" t="s">
        <v>59</v>
      </c>
      <c r="C2575" t="s">
        <v>61</v>
      </c>
      <c r="E2575">
        <v>2021</v>
      </c>
      <c r="F2575" t="s">
        <v>67</v>
      </c>
    </row>
    <row r="2576" spans="1:6" x14ac:dyDescent="0.25">
      <c r="A2576" t="s">
        <v>6</v>
      </c>
      <c r="B2576" t="s">
        <v>7</v>
      </c>
      <c r="C2576" t="s">
        <v>65</v>
      </c>
      <c r="D2576">
        <v>10372235000</v>
      </c>
      <c r="E2576">
        <v>2021</v>
      </c>
      <c r="F2576" t="s">
        <v>67</v>
      </c>
    </row>
    <row r="2577" spans="1:6" x14ac:dyDescent="0.25">
      <c r="A2577" t="s">
        <v>10</v>
      </c>
      <c r="B2577" t="s">
        <v>11</v>
      </c>
      <c r="C2577" t="s">
        <v>65</v>
      </c>
      <c r="D2577">
        <v>2129290000</v>
      </c>
      <c r="E2577">
        <v>2021</v>
      </c>
      <c r="F2577" t="s">
        <v>67</v>
      </c>
    </row>
    <row r="2578" spans="1:6" x14ac:dyDescent="0.25">
      <c r="A2578" t="s">
        <v>12</v>
      </c>
      <c r="B2578" t="s">
        <v>13</v>
      </c>
      <c r="C2578" t="s">
        <v>65</v>
      </c>
      <c r="D2578">
        <v>340531000</v>
      </c>
      <c r="E2578">
        <v>2021</v>
      </c>
      <c r="F2578" t="s">
        <v>67</v>
      </c>
    </row>
    <row r="2579" spans="1:6" x14ac:dyDescent="0.25">
      <c r="A2579" t="s">
        <v>14</v>
      </c>
      <c r="B2579" t="s">
        <v>15</v>
      </c>
      <c r="C2579" t="s">
        <v>65</v>
      </c>
      <c r="D2579">
        <v>2475000</v>
      </c>
      <c r="E2579">
        <v>2021</v>
      </c>
      <c r="F2579" t="s">
        <v>67</v>
      </c>
    </row>
    <row r="2580" spans="1:6" x14ac:dyDescent="0.25">
      <c r="A2580" t="s">
        <v>16</v>
      </c>
      <c r="B2580" t="s">
        <v>17</v>
      </c>
      <c r="C2580" t="s">
        <v>65</v>
      </c>
      <c r="D2580">
        <v>884417000</v>
      </c>
      <c r="E2580">
        <v>2021</v>
      </c>
      <c r="F2580" t="s">
        <v>67</v>
      </c>
    </row>
    <row r="2581" spans="1:6" x14ac:dyDescent="0.25">
      <c r="A2581" t="s">
        <v>18</v>
      </c>
      <c r="B2581" t="s">
        <v>19</v>
      </c>
      <c r="C2581" t="s">
        <v>65</v>
      </c>
      <c r="D2581">
        <v>535040000</v>
      </c>
      <c r="E2581">
        <v>2021</v>
      </c>
      <c r="F2581" t="s">
        <v>67</v>
      </c>
    </row>
    <row r="2582" spans="1:6" x14ac:dyDescent="0.25">
      <c r="A2582" t="s">
        <v>20</v>
      </c>
      <c r="B2582" t="s">
        <v>21</v>
      </c>
      <c r="C2582" t="s">
        <v>65</v>
      </c>
      <c r="D2582">
        <v>276730000</v>
      </c>
      <c r="E2582">
        <v>2021</v>
      </c>
      <c r="F2582" t="s">
        <v>67</v>
      </c>
    </row>
    <row r="2583" spans="1:6" x14ac:dyDescent="0.25">
      <c r="A2583" t="s">
        <v>22</v>
      </c>
      <c r="B2583" t="s">
        <v>23</v>
      </c>
      <c r="C2583" t="s">
        <v>65</v>
      </c>
      <c r="D2583">
        <v>248062000</v>
      </c>
      <c r="E2583">
        <v>2021</v>
      </c>
      <c r="F2583" t="s">
        <v>67</v>
      </c>
    </row>
    <row r="2584" spans="1:6" x14ac:dyDescent="0.25">
      <c r="A2584" t="s">
        <v>24</v>
      </c>
      <c r="B2584" t="s">
        <v>25</v>
      </c>
      <c r="C2584" t="s">
        <v>65</v>
      </c>
      <c r="D2584">
        <v>253192000</v>
      </c>
      <c r="E2584">
        <v>2021</v>
      </c>
      <c r="F2584" t="s">
        <v>67</v>
      </c>
    </row>
    <row r="2585" spans="1:6" x14ac:dyDescent="0.25">
      <c r="A2585" t="s">
        <v>26</v>
      </c>
      <c r="B2585" t="s">
        <v>27</v>
      </c>
      <c r="C2585" t="s">
        <v>65</v>
      </c>
      <c r="D2585">
        <v>27089000</v>
      </c>
      <c r="E2585">
        <v>2021</v>
      </c>
      <c r="F2585" t="s">
        <v>67</v>
      </c>
    </row>
    <row r="2586" spans="1:6" x14ac:dyDescent="0.25">
      <c r="A2586" t="s">
        <v>28</v>
      </c>
      <c r="B2586" t="s">
        <v>29</v>
      </c>
      <c r="C2586" t="s">
        <v>65</v>
      </c>
      <c r="D2586">
        <v>55399000</v>
      </c>
      <c r="E2586">
        <v>2021</v>
      </c>
      <c r="F2586" t="s">
        <v>67</v>
      </c>
    </row>
    <row r="2587" spans="1:6" x14ac:dyDescent="0.25">
      <c r="A2587" t="s">
        <v>30</v>
      </c>
      <c r="B2587" t="s">
        <v>31</v>
      </c>
      <c r="C2587" t="s">
        <v>65</v>
      </c>
      <c r="D2587">
        <v>360517000</v>
      </c>
      <c r="E2587">
        <v>2021</v>
      </c>
      <c r="F2587" t="s">
        <v>67</v>
      </c>
    </row>
    <row r="2588" spans="1:6" x14ac:dyDescent="0.25">
      <c r="A2588" t="s">
        <v>32</v>
      </c>
      <c r="B2588" t="s">
        <v>33</v>
      </c>
      <c r="C2588" t="s">
        <v>65</v>
      </c>
      <c r="D2588">
        <v>193955000</v>
      </c>
      <c r="E2588">
        <v>2021</v>
      </c>
      <c r="F2588" t="s">
        <v>67</v>
      </c>
    </row>
    <row r="2589" spans="1:6" x14ac:dyDescent="0.25">
      <c r="A2589" t="s">
        <v>34</v>
      </c>
      <c r="B2589" t="s">
        <v>35</v>
      </c>
      <c r="C2589" t="s">
        <v>65</v>
      </c>
      <c r="D2589">
        <v>566273000</v>
      </c>
      <c r="E2589">
        <v>2021</v>
      </c>
      <c r="F2589" t="s">
        <v>67</v>
      </c>
    </row>
    <row r="2590" spans="1:6" x14ac:dyDescent="0.25">
      <c r="A2590" t="s">
        <v>36</v>
      </c>
      <c r="B2590" t="s">
        <v>37</v>
      </c>
      <c r="C2590" t="s">
        <v>65</v>
      </c>
      <c r="D2590">
        <v>427416000</v>
      </c>
      <c r="E2590">
        <v>2021</v>
      </c>
      <c r="F2590" t="s">
        <v>67</v>
      </c>
    </row>
    <row r="2591" spans="1:6" x14ac:dyDescent="0.25">
      <c r="A2591" t="s">
        <v>38</v>
      </c>
      <c r="B2591" t="s">
        <v>39</v>
      </c>
      <c r="C2591" t="s">
        <v>65</v>
      </c>
      <c r="D2591">
        <v>235929000</v>
      </c>
      <c r="E2591">
        <v>2021</v>
      </c>
      <c r="F2591" t="s">
        <v>67</v>
      </c>
    </row>
    <row r="2592" spans="1:6" x14ac:dyDescent="0.25">
      <c r="A2592" t="s">
        <v>40</v>
      </c>
      <c r="B2592" t="s">
        <v>41</v>
      </c>
      <c r="C2592" t="s">
        <v>65</v>
      </c>
      <c r="D2592">
        <v>795164000</v>
      </c>
      <c r="E2592">
        <v>2021</v>
      </c>
      <c r="F2592" t="s">
        <v>67</v>
      </c>
    </row>
    <row r="2593" spans="1:6" x14ac:dyDescent="0.25">
      <c r="A2593" t="s">
        <v>42</v>
      </c>
      <c r="B2593" t="s">
        <v>43</v>
      </c>
      <c r="C2593" t="s">
        <v>65</v>
      </c>
      <c r="D2593">
        <v>761417000</v>
      </c>
      <c r="E2593">
        <v>2021</v>
      </c>
      <c r="F2593" t="s">
        <v>67</v>
      </c>
    </row>
    <row r="2594" spans="1:6" x14ac:dyDescent="0.25">
      <c r="A2594" t="s">
        <v>44</v>
      </c>
      <c r="B2594" t="s">
        <v>45</v>
      </c>
      <c r="C2594" t="s">
        <v>65</v>
      </c>
      <c r="D2594">
        <v>945812000</v>
      </c>
      <c r="E2594">
        <v>2021</v>
      </c>
      <c r="F2594" t="s">
        <v>67</v>
      </c>
    </row>
    <row r="2595" spans="1:6" x14ac:dyDescent="0.25">
      <c r="A2595" t="s">
        <v>46</v>
      </c>
      <c r="B2595" t="s">
        <v>47</v>
      </c>
      <c r="C2595" t="s">
        <v>65</v>
      </c>
      <c r="D2595">
        <v>859873000</v>
      </c>
      <c r="E2595">
        <v>2021</v>
      </c>
      <c r="F2595" t="s">
        <v>67</v>
      </c>
    </row>
    <row r="2596" spans="1:6" x14ac:dyDescent="0.25">
      <c r="A2596" t="s">
        <v>48</v>
      </c>
      <c r="B2596" t="s">
        <v>49</v>
      </c>
      <c r="C2596" t="s">
        <v>65</v>
      </c>
      <c r="D2596">
        <v>191954000</v>
      </c>
      <c r="E2596">
        <v>2021</v>
      </c>
      <c r="F2596" t="s">
        <v>67</v>
      </c>
    </row>
    <row r="2597" spans="1:6" x14ac:dyDescent="0.25">
      <c r="A2597" t="s">
        <v>50</v>
      </c>
      <c r="B2597" t="s">
        <v>51</v>
      </c>
      <c r="C2597" t="s">
        <v>65</v>
      </c>
      <c r="D2597">
        <v>38673000</v>
      </c>
      <c r="E2597">
        <v>2021</v>
      </c>
      <c r="F2597" t="s">
        <v>67</v>
      </c>
    </row>
    <row r="2598" spans="1:6" x14ac:dyDescent="0.25">
      <c r="A2598" t="s">
        <v>52</v>
      </c>
      <c r="B2598" t="s">
        <v>53</v>
      </c>
      <c r="C2598" t="s">
        <v>65</v>
      </c>
      <c r="D2598">
        <v>223440000</v>
      </c>
      <c r="E2598">
        <v>2021</v>
      </c>
      <c r="F2598" t="s">
        <v>67</v>
      </c>
    </row>
    <row r="2599" spans="1:6" x14ac:dyDescent="0.25">
      <c r="A2599" t="s">
        <v>54</v>
      </c>
      <c r="B2599" t="s">
        <v>55</v>
      </c>
      <c r="C2599" t="s">
        <v>65</v>
      </c>
      <c r="D2599">
        <v>19587000</v>
      </c>
      <c r="E2599">
        <v>2021</v>
      </c>
      <c r="F2599" t="s">
        <v>67</v>
      </c>
    </row>
    <row r="2600" spans="1:6" x14ac:dyDescent="0.25">
      <c r="A2600" t="s">
        <v>56</v>
      </c>
      <c r="B2600" t="s">
        <v>57</v>
      </c>
      <c r="C2600" t="s">
        <v>65</v>
      </c>
      <c r="E2600">
        <v>2021</v>
      </c>
      <c r="F2600" t="s">
        <v>67</v>
      </c>
    </row>
    <row r="2601" spans="1:6" x14ac:dyDescent="0.25">
      <c r="A2601" t="s">
        <v>58</v>
      </c>
      <c r="B2601" t="s">
        <v>59</v>
      </c>
      <c r="C2601" t="s">
        <v>65</v>
      </c>
      <c r="E2601">
        <v>2021</v>
      </c>
      <c r="F2601" t="s">
        <v>67</v>
      </c>
    </row>
    <row r="2602" spans="1:6" x14ac:dyDescent="0.25">
      <c r="A2602" t="s">
        <v>6</v>
      </c>
      <c r="B2602" t="s">
        <v>7</v>
      </c>
      <c r="C2602" t="s">
        <v>62</v>
      </c>
      <c r="E2602">
        <v>2021</v>
      </c>
      <c r="F2602" t="s">
        <v>67</v>
      </c>
    </row>
    <row r="2603" spans="1:6" x14ac:dyDescent="0.25">
      <c r="A2603" t="s">
        <v>10</v>
      </c>
      <c r="B2603" t="s">
        <v>11</v>
      </c>
      <c r="C2603" t="s">
        <v>62</v>
      </c>
      <c r="E2603">
        <v>2021</v>
      </c>
      <c r="F2603" t="s">
        <v>67</v>
      </c>
    </row>
    <row r="2604" spans="1:6" x14ac:dyDescent="0.25">
      <c r="A2604" t="s">
        <v>12</v>
      </c>
      <c r="B2604" t="s">
        <v>13</v>
      </c>
      <c r="C2604" t="s">
        <v>62</v>
      </c>
      <c r="E2604">
        <v>2021</v>
      </c>
      <c r="F2604" t="s">
        <v>67</v>
      </c>
    </row>
    <row r="2605" spans="1:6" x14ac:dyDescent="0.25">
      <c r="A2605" t="s">
        <v>14</v>
      </c>
      <c r="B2605" t="s">
        <v>15</v>
      </c>
      <c r="C2605" t="s">
        <v>62</v>
      </c>
      <c r="E2605">
        <v>2021</v>
      </c>
      <c r="F2605" t="s">
        <v>67</v>
      </c>
    </row>
    <row r="2606" spans="1:6" x14ac:dyDescent="0.25">
      <c r="A2606" t="s">
        <v>16</v>
      </c>
      <c r="B2606" t="s">
        <v>17</v>
      </c>
      <c r="C2606" t="s">
        <v>62</v>
      </c>
      <c r="E2606">
        <v>2021</v>
      </c>
      <c r="F2606" t="s">
        <v>67</v>
      </c>
    </row>
    <row r="2607" spans="1:6" x14ac:dyDescent="0.25">
      <c r="A2607" t="s">
        <v>18</v>
      </c>
      <c r="B2607" t="s">
        <v>19</v>
      </c>
      <c r="C2607" t="s">
        <v>62</v>
      </c>
      <c r="E2607">
        <v>2021</v>
      </c>
      <c r="F2607" t="s">
        <v>67</v>
      </c>
    </row>
    <row r="2608" spans="1:6" x14ac:dyDescent="0.25">
      <c r="A2608" t="s">
        <v>20</v>
      </c>
      <c r="B2608" t="s">
        <v>21</v>
      </c>
      <c r="C2608" t="s">
        <v>62</v>
      </c>
      <c r="E2608">
        <v>2021</v>
      </c>
      <c r="F2608" t="s">
        <v>67</v>
      </c>
    </row>
    <row r="2609" spans="1:6" x14ac:dyDescent="0.25">
      <c r="A2609" t="s">
        <v>22</v>
      </c>
      <c r="B2609" t="s">
        <v>23</v>
      </c>
      <c r="C2609" t="s">
        <v>62</v>
      </c>
      <c r="E2609">
        <v>2021</v>
      </c>
      <c r="F2609" t="s">
        <v>67</v>
      </c>
    </row>
    <row r="2610" spans="1:6" x14ac:dyDescent="0.25">
      <c r="A2610" t="s">
        <v>24</v>
      </c>
      <c r="B2610" t="s">
        <v>25</v>
      </c>
      <c r="C2610" t="s">
        <v>62</v>
      </c>
      <c r="E2610">
        <v>2021</v>
      </c>
      <c r="F2610" t="s">
        <v>67</v>
      </c>
    </row>
    <row r="2611" spans="1:6" x14ac:dyDescent="0.25">
      <c r="A2611" t="s">
        <v>26</v>
      </c>
      <c r="B2611" t="s">
        <v>27</v>
      </c>
      <c r="C2611" t="s">
        <v>62</v>
      </c>
      <c r="E2611">
        <v>2021</v>
      </c>
      <c r="F2611" t="s">
        <v>67</v>
      </c>
    </row>
    <row r="2612" spans="1:6" x14ac:dyDescent="0.25">
      <c r="A2612" t="s">
        <v>28</v>
      </c>
      <c r="B2612" t="s">
        <v>29</v>
      </c>
      <c r="C2612" t="s">
        <v>62</v>
      </c>
      <c r="E2612">
        <v>2021</v>
      </c>
      <c r="F2612" t="s">
        <v>67</v>
      </c>
    </row>
    <row r="2613" spans="1:6" x14ac:dyDescent="0.25">
      <c r="A2613" t="s">
        <v>30</v>
      </c>
      <c r="B2613" t="s">
        <v>31</v>
      </c>
      <c r="C2613" t="s">
        <v>62</v>
      </c>
      <c r="E2613">
        <v>2021</v>
      </c>
      <c r="F2613" t="s">
        <v>67</v>
      </c>
    </row>
    <row r="2614" spans="1:6" x14ac:dyDescent="0.25">
      <c r="A2614" t="s">
        <v>32</v>
      </c>
      <c r="B2614" t="s">
        <v>33</v>
      </c>
      <c r="C2614" t="s">
        <v>62</v>
      </c>
      <c r="E2614">
        <v>2021</v>
      </c>
      <c r="F2614" t="s">
        <v>67</v>
      </c>
    </row>
    <row r="2615" spans="1:6" x14ac:dyDescent="0.25">
      <c r="A2615" t="s">
        <v>34</v>
      </c>
      <c r="B2615" t="s">
        <v>35</v>
      </c>
      <c r="C2615" t="s">
        <v>62</v>
      </c>
      <c r="E2615">
        <v>2021</v>
      </c>
      <c r="F2615" t="s">
        <v>67</v>
      </c>
    </row>
    <row r="2616" spans="1:6" x14ac:dyDescent="0.25">
      <c r="A2616" t="s">
        <v>36</v>
      </c>
      <c r="B2616" t="s">
        <v>37</v>
      </c>
      <c r="C2616" t="s">
        <v>62</v>
      </c>
      <c r="E2616">
        <v>2021</v>
      </c>
      <c r="F2616" t="s">
        <v>67</v>
      </c>
    </row>
    <row r="2617" spans="1:6" x14ac:dyDescent="0.25">
      <c r="A2617" t="s">
        <v>38</v>
      </c>
      <c r="B2617" t="s">
        <v>39</v>
      </c>
      <c r="C2617" t="s">
        <v>62</v>
      </c>
      <c r="E2617">
        <v>2021</v>
      </c>
      <c r="F2617" t="s">
        <v>67</v>
      </c>
    </row>
    <row r="2618" spans="1:6" x14ac:dyDescent="0.25">
      <c r="A2618" t="s">
        <v>40</v>
      </c>
      <c r="B2618" t="s">
        <v>41</v>
      </c>
      <c r="C2618" t="s">
        <v>62</v>
      </c>
      <c r="E2618">
        <v>2021</v>
      </c>
      <c r="F2618" t="s">
        <v>67</v>
      </c>
    </row>
    <row r="2619" spans="1:6" x14ac:dyDescent="0.25">
      <c r="A2619" t="s">
        <v>42</v>
      </c>
      <c r="B2619" t="s">
        <v>43</v>
      </c>
      <c r="C2619" t="s">
        <v>62</v>
      </c>
      <c r="E2619">
        <v>2021</v>
      </c>
      <c r="F2619" t="s">
        <v>67</v>
      </c>
    </row>
    <row r="2620" spans="1:6" x14ac:dyDescent="0.25">
      <c r="A2620" t="s">
        <v>44</v>
      </c>
      <c r="B2620" t="s">
        <v>45</v>
      </c>
      <c r="C2620" t="s">
        <v>62</v>
      </c>
      <c r="E2620">
        <v>2021</v>
      </c>
      <c r="F2620" t="s">
        <v>67</v>
      </c>
    </row>
    <row r="2621" spans="1:6" x14ac:dyDescent="0.25">
      <c r="A2621" t="s">
        <v>46</v>
      </c>
      <c r="B2621" t="s">
        <v>47</v>
      </c>
      <c r="C2621" t="s">
        <v>62</v>
      </c>
      <c r="E2621">
        <v>2021</v>
      </c>
      <c r="F2621" t="s">
        <v>67</v>
      </c>
    </row>
    <row r="2622" spans="1:6" x14ac:dyDescent="0.25">
      <c r="A2622" t="s">
        <v>48</v>
      </c>
      <c r="B2622" t="s">
        <v>49</v>
      </c>
      <c r="C2622" t="s">
        <v>62</v>
      </c>
      <c r="E2622">
        <v>2021</v>
      </c>
      <c r="F2622" t="s">
        <v>67</v>
      </c>
    </row>
    <row r="2623" spans="1:6" x14ac:dyDescent="0.25">
      <c r="A2623" t="s">
        <v>50</v>
      </c>
      <c r="B2623" t="s">
        <v>51</v>
      </c>
      <c r="C2623" t="s">
        <v>62</v>
      </c>
      <c r="E2623">
        <v>2021</v>
      </c>
      <c r="F2623" t="s">
        <v>67</v>
      </c>
    </row>
    <row r="2624" spans="1:6" x14ac:dyDescent="0.25">
      <c r="A2624" t="s">
        <v>52</v>
      </c>
      <c r="B2624" t="s">
        <v>53</v>
      </c>
      <c r="C2624" t="s">
        <v>62</v>
      </c>
      <c r="E2624">
        <v>2021</v>
      </c>
      <c r="F2624" t="s">
        <v>67</v>
      </c>
    </row>
    <row r="2625" spans="1:6" x14ac:dyDescent="0.25">
      <c r="A2625" t="s">
        <v>54</v>
      </c>
      <c r="B2625" t="s">
        <v>55</v>
      </c>
      <c r="C2625" t="s">
        <v>62</v>
      </c>
      <c r="E2625">
        <v>2021</v>
      </c>
      <c r="F2625" t="s">
        <v>67</v>
      </c>
    </row>
    <row r="2626" spans="1:6" x14ac:dyDescent="0.25">
      <c r="A2626" t="s">
        <v>56</v>
      </c>
      <c r="B2626" t="s">
        <v>57</v>
      </c>
      <c r="C2626" t="s">
        <v>62</v>
      </c>
      <c r="E2626">
        <v>2021</v>
      </c>
      <c r="F2626" t="s">
        <v>67</v>
      </c>
    </row>
    <row r="2627" spans="1:6" x14ac:dyDescent="0.25">
      <c r="A2627" t="s">
        <v>58</v>
      </c>
      <c r="B2627" t="s">
        <v>59</v>
      </c>
      <c r="C2627" t="s">
        <v>62</v>
      </c>
      <c r="E2627">
        <v>2021</v>
      </c>
      <c r="F2627" t="s">
        <v>67</v>
      </c>
    </row>
    <row r="2628" spans="1:6" x14ac:dyDescent="0.25">
      <c r="A2628" t="s">
        <v>6</v>
      </c>
      <c r="B2628" t="s">
        <v>7</v>
      </c>
      <c r="C2628" t="s">
        <v>8</v>
      </c>
      <c r="D2628">
        <v>1092543554</v>
      </c>
      <c r="E2628">
        <v>2022</v>
      </c>
      <c r="F2628" t="s">
        <v>67</v>
      </c>
    </row>
    <row r="2629" spans="1:6" x14ac:dyDescent="0.25">
      <c r="A2629" t="s">
        <v>10</v>
      </c>
      <c r="B2629" t="s">
        <v>11</v>
      </c>
      <c r="C2629" t="s">
        <v>8</v>
      </c>
      <c r="D2629">
        <v>325709306</v>
      </c>
      <c r="E2629">
        <v>2022</v>
      </c>
      <c r="F2629" t="s">
        <v>67</v>
      </c>
    </row>
    <row r="2630" spans="1:6" x14ac:dyDescent="0.25">
      <c r="A2630" t="s">
        <v>12</v>
      </c>
      <c r="B2630" t="s">
        <v>13</v>
      </c>
      <c r="C2630" t="s">
        <v>8</v>
      </c>
      <c r="D2630">
        <v>41784005</v>
      </c>
      <c r="E2630">
        <v>2022</v>
      </c>
      <c r="F2630" t="s">
        <v>67</v>
      </c>
    </row>
    <row r="2631" spans="1:6" x14ac:dyDescent="0.25">
      <c r="A2631" t="s">
        <v>14</v>
      </c>
      <c r="B2631" t="s">
        <v>15</v>
      </c>
      <c r="C2631" t="s">
        <v>8</v>
      </c>
      <c r="E2631">
        <v>2022</v>
      </c>
      <c r="F2631" t="s">
        <v>67</v>
      </c>
    </row>
    <row r="2632" spans="1:6" x14ac:dyDescent="0.25">
      <c r="A2632" t="s">
        <v>16</v>
      </c>
      <c r="B2632" t="s">
        <v>17</v>
      </c>
      <c r="C2632" t="s">
        <v>8</v>
      </c>
      <c r="D2632">
        <v>6975368</v>
      </c>
      <c r="E2632">
        <v>2022</v>
      </c>
      <c r="F2632" t="s">
        <v>67</v>
      </c>
    </row>
    <row r="2633" spans="1:6" x14ac:dyDescent="0.25">
      <c r="A2633" t="s">
        <v>18</v>
      </c>
      <c r="B2633" t="s">
        <v>19</v>
      </c>
      <c r="C2633" t="s">
        <v>8</v>
      </c>
      <c r="D2633">
        <v>5144154</v>
      </c>
      <c r="E2633">
        <v>2022</v>
      </c>
      <c r="F2633" t="s">
        <v>67</v>
      </c>
    </row>
    <row r="2634" spans="1:6" x14ac:dyDescent="0.25">
      <c r="A2634" t="s">
        <v>20</v>
      </c>
      <c r="B2634" t="s">
        <v>21</v>
      </c>
      <c r="C2634" t="s">
        <v>8</v>
      </c>
      <c r="D2634">
        <v>2303957</v>
      </c>
      <c r="E2634">
        <v>2022</v>
      </c>
      <c r="F2634" t="s">
        <v>67</v>
      </c>
    </row>
    <row r="2635" spans="1:6" x14ac:dyDescent="0.25">
      <c r="A2635" t="s">
        <v>22</v>
      </c>
      <c r="B2635" t="s">
        <v>23</v>
      </c>
      <c r="C2635" t="s">
        <v>8</v>
      </c>
      <c r="D2635">
        <v>59028193</v>
      </c>
      <c r="E2635">
        <v>2022</v>
      </c>
      <c r="F2635" t="s">
        <v>67</v>
      </c>
    </row>
    <row r="2636" spans="1:6" x14ac:dyDescent="0.25">
      <c r="A2636" t="s">
        <v>24</v>
      </c>
      <c r="B2636" t="s">
        <v>25</v>
      </c>
      <c r="C2636" t="s">
        <v>8</v>
      </c>
      <c r="D2636">
        <v>41329078</v>
      </c>
      <c r="E2636">
        <v>2022</v>
      </c>
      <c r="F2636" t="s">
        <v>67</v>
      </c>
    </row>
    <row r="2637" spans="1:6" x14ac:dyDescent="0.25">
      <c r="A2637" t="s">
        <v>26</v>
      </c>
      <c r="B2637" t="s">
        <v>27</v>
      </c>
      <c r="C2637" t="s">
        <v>8</v>
      </c>
      <c r="D2637">
        <v>8097498</v>
      </c>
      <c r="E2637">
        <v>2022</v>
      </c>
      <c r="F2637" t="s">
        <v>67</v>
      </c>
    </row>
    <row r="2638" spans="1:6" x14ac:dyDescent="0.25">
      <c r="A2638" t="s">
        <v>28</v>
      </c>
      <c r="B2638" t="s">
        <v>29</v>
      </c>
      <c r="C2638" t="s">
        <v>8</v>
      </c>
      <c r="E2638">
        <v>2022</v>
      </c>
      <c r="F2638" t="s">
        <v>67</v>
      </c>
    </row>
    <row r="2639" spans="1:6" x14ac:dyDescent="0.25">
      <c r="A2639" t="s">
        <v>30</v>
      </c>
      <c r="B2639" t="s">
        <v>31</v>
      </c>
      <c r="C2639" t="s">
        <v>8</v>
      </c>
      <c r="D2639">
        <v>50543083</v>
      </c>
      <c r="E2639">
        <v>2022</v>
      </c>
      <c r="F2639" t="s">
        <v>67</v>
      </c>
    </row>
    <row r="2640" spans="1:6" x14ac:dyDescent="0.25">
      <c r="A2640" t="s">
        <v>32</v>
      </c>
      <c r="B2640" t="s">
        <v>33</v>
      </c>
      <c r="C2640" t="s">
        <v>8</v>
      </c>
      <c r="D2640">
        <v>25510784</v>
      </c>
      <c r="E2640">
        <v>2022</v>
      </c>
      <c r="F2640" t="s">
        <v>67</v>
      </c>
    </row>
    <row r="2641" spans="1:6" x14ac:dyDescent="0.25">
      <c r="A2641" t="s">
        <v>34</v>
      </c>
      <c r="B2641" t="s">
        <v>35</v>
      </c>
      <c r="C2641" t="s">
        <v>8</v>
      </c>
      <c r="D2641">
        <v>45869421</v>
      </c>
      <c r="E2641">
        <v>2022</v>
      </c>
      <c r="F2641" t="s">
        <v>67</v>
      </c>
    </row>
    <row r="2642" spans="1:6" x14ac:dyDescent="0.25">
      <c r="A2642" t="s">
        <v>36</v>
      </c>
      <c r="B2642" t="s">
        <v>37</v>
      </c>
      <c r="C2642" t="s">
        <v>8</v>
      </c>
      <c r="D2642">
        <v>36709787</v>
      </c>
      <c r="E2642">
        <v>2022</v>
      </c>
      <c r="F2642" t="s">
        <v>67</v>
      </c>
    </row>
    <row r="2643" spans="1:6" x14ac:dyDescent="0.25">
      <c r="A2643" t="s">
        <v>38</v>
      </c>
      <c r="B2643" t="s">
        <v>39</v>
      </c>
      <c r="C2643" t="s">
        <v>8</v>
      </c>
      <c r="D2643">
        <v>19553082</v>
      </c>
      <c r="E2643">
        <v>2022</v>
      </c>
      <c r="F2643" t="s">
        <v>67</v>
      </c>
    </row>
    <row r="2644" spans="1:6" x14ac:dyDescent="0.25">
      <c r="A2644" t="s">
        <v>40</v>
      </c>
      <c r="B2644" t="s">
        <v>41</v>
      </c>
      <c r="C2644" t="s">
        <v>8</v>
      </c>
      <c r="D2644">
        <v>111122284</v>
      </c>
      <c r="E2644">
        <v>2022</v>
      </c>
      <c r="F2644" t="s">
        <v>67</v>
      </c>
    </row>
    <row r="2645" spans="1:6" x14ac:dyDescent="0.25">
      <c r="A2645" t="s">
        <v>42</v>
      </c>
      <c r="B2645" t="s">
        <v>43</v>
      </c>
      <c r="C2645" t="s">
        <v>8</v>
      </c>
      <c r="D2645">
        <v>848523</v>
      </c>
      <c r="E2645">
        <v>2022</v>
      </c>
      <c r="F2645" t="s">
        <v>67</v>
      </c>
    </row>
    <row r="2646" spans="1:6" x14ac:dyDescent="0.25">
      <c r="A2646" t="s">
        <v>44</v>
      </c>
      <c r="B2646" t="s">
        <v>45</v>
      </c>
      <c r="C2646" t="s">
        <v>8</v>
      </c>
      <c r="D2646">
        <v>188976789</v>
      </c>
      <c r="E2646">
        <v>2022</v>
      </c>
      <c r="F2646" t="s">
        <v>67</v>
      </c>
    </row>
    <row r="2647" spans="1:6" x14ac:dyDescent="0.25">
      <c r="A2647" t="s">
        <v>46</v>
      </c>
      <c r="B2647" t="s">
        <v>47</v>
      </c>
      <c r="C2647" t="s">
        <v>8</v>
      </c>
      <c r="D2647">
        <v>18234682</v>
      </c>
      <c r="E2647">
        <v>2022</v>
      </c>
      <c r="F2647" t="s">
        <v>67</v>
      </c>
    </row>
    <row r="2648" spans="1:6" x14ac:dyDescent="0.25">
      <c r="A2648" t="s">
        <v>48</v>
      </c>
      <c r="B2648" t="s">
        <v>49</v>
      </c>
      <c r="C2648" t="s">
        <v>8</v>
      </c>
      <c r="D2648">
        <v>1587114</v>
      </c>
      <c r="E2648">
        <v>2022</v>
      </c>
      <c r="F2648" t="s">
        <v>67</v>
      </c>
    </row>
    <row r="2649" spans="1:6" x14ac:dyDescent="0.25">
      <c r="A2649" t="s">
        <v>50</v>
      </c>
      <c r="B2649" t="s">
        <v>51</v>
      </c>
      <c r="C2649" t="s">
        <v>8</v>
      </c>
      <c r="D2649">
        <v>1897033</v>
      </c>
      <c r="E2649">
        <v>2022</v>
      </c>
      <c r="F2649" t="s">
        <v>67</v>
      </c>
    </row>
    <row r="2650" spans="1:6" x14ac:dyDescent="0.25">
      <c r="A2650" t="s">
        <v>52</v>
      </c>
      <c r="B2650" t="s">
        <v>53</v>
      </c>
      <c r="C2650" t="s">
        <v>8</v>
      </c>
      <c r="D2650">
        <v>19078222</v>
      </c>
      <c r="E2650">
        <v>2022</v>
      </c>
      <c r="F2650" t="s">
        <v>67</v>
      </c>
    </row>
    <row r="2651" spans="1:6" x14ac:dyDescent="0.25">
      <c r="A2651" t="s">
        <v>54</v>
      </c>
      <c r="B2651" t="s">
        <v>55</v>
      </c>
      <c r="C2651" t="s">
        <v>8</v>
      </c>
      <c r="D2651">
        <v>3308540</v>
      </c>
      <c r="E2651">
        <v>2022</v>
      </c>
      <c r="F2651" t="s">
        <v>67</v>
      </c>
    </row>
    <row r="2652" spans="1:6" x14ac:dyDescent="0.25">
      <c r="A2652" t="s">
        <v>56</v>
      </c>
      <c r="B2652" t="s">
        <v>57</v>
      </c>
      <c r="C2652" t="s">
        <v>8</v>
      </c>
      <c r="D2652">
        <v>45198398</v>
      </c>
      <c r="E2652">
        <v>2022</v>
      </c>
      <c r="F2652" t="s">
        <v>67</v>
      </c>
    </row>
    <row r="2653" spans="1:6" x14ac:dyDescent="0.25">
      <c r="A2653" t="s">
        <v>58</v>
      </c>
      <c r="B2653" t="s">
        <v>59</v>
      </c>
      <c r="C2653" t="s">
        <v>8</v>
      </c>
      <c r="D2653">
        <v>33734243</v>
      </c>
      <c r="E2653">
        <v>2022</v>
      </c>
      <c r="F2653" t="s">
        <v>67</v>
      </c>
    </row>
    <row r="2654" spans="1:6" x14ac:dyDescent="0.25">
      <c r="A2654" t="s">
        <v>6</v>
      </c>
      <c r="B2654" t="s">
        <v>7</v>
      </c>
      <c r="C2654" t="s">
        <v>61</v>
      </c>
      <c r="E2654">
        <v>2022</v>
      </c>
      <c r="F2654" t="s">
        <v>67</v>
      </c>
    </row>
    <row r="2655" spans="1:6" x14ac:dyDescent="0.25">
      <c r="A2655" t="s">
        <v>10</v>
      </c>
      <c r="B2655" t="s">
        <v>11</v>
      </c>
      <c r="C2655" t="s">
        <v>61</v>
      </c>
      <c r="E2655">
        <v>2022</v>
      </c>
      <c r="F2655" t="s">
        <v>67</v>
      </c>
    </row>
    <row r="2656" spans="1:6" x14ac:dyDescent="0.25">
      <c r="A2656" t="s">
        <v>12</v>
      </c>
      <c r="B2656" t="s">
        <v>13</v>
      </c>
      <c r="C2656" t="s">
        <v>61</v>
      </c>
      <c r="E2656">
        <v>2022</v>
      </c>
      <c r="F2656" t="s">
        <v>67</v>
      </c>
    </row>
    <row r="2657" spans="1:6" x14ac:dyDescent="0.25">
      <c r="A2657" t="s">
        <v>14</v>
      </c>
      <c r="B2657" t="s">
        <v>15</v>
      </c>
      <c r="C2657" t="s">
        <v>61</v>
      </c>
      <c r="E2657">
        <v>2022</v>
      </c>
      <c r="F2657" t="s">
        <v>67</v>
      </c>
    </row>
    <row r="2658" spans="1:6" x14ac:dyDescent="0.25">
      <c r="A2658" t="s">
        <v>16</v>
      </c>
      <c r="B2658" t="s">
        <v>17</v>
      </c>
      <c r="C2658" t="s">
        <v>61</v>
      </c>
      <c r="E2658">
        <v>2022</v>
      </c>
      <c r="F2658" t="s">
        <v>67</v>
      </c>
    </row>
    <row r="2659" spans="1:6" x14ac:dyDescent="0.25">
      <c r="A2659" t="s">
        <v>18</v>
      </c>
      <c r="B2659" t="s">
        <v>19</v>
      </c>
      <c r="C2659" t="s">
        <v>61</v>
      </c>
      <c r="E2659">
        <v>2022</v>
      </c>
      <c r="F2659" t="s">
        <v>67</v>
      </c>
    </row>
    <row r="2660" spans="1:6" x14ac:dyDescent="0.25">
      <c r="A2660" t="s">
        <v>20</v>
      </c>
      <c r="B2660" t="s">
        <v>21</v>
      </c>
      <c r="C2660" t="s">
        <v>61</v>
      </c>
      <c r="E2660">
        <v>2022</v>
      </c>
      <c r="F2660" t="s">
        <v>67</v>
      </c>
    </row>
    <row r="2661" spans="1:6" x14ac:dyDescent="0.25">
      <c r="A2661" t="s">
        <v>22</v>
      </c>
      <c r="B2661" t="s">
        <v>23</v>
      </c>
      <c r="C2661" t="s">
        <v>61</v>
      </c>
      <c r="E2661">
        <v>2022</v>
      </c>
      <c r="F2661" t="s">
        <v>67</v>
      </c>
    </row>
    <row r="2662" spans="1:6" x14ac:dyDescent="0.25">
      <c r="A2662" t="s">
        <v>24</v>
      </c>
      <c r="B2662" t="s">
        <v>25</v>
      </c>
      <c r="C2662" t="s">
        <v>61</v>
      </c>
      <c r="E2662">
        <v>2022</v>
      </c>
      <c r="F2662" t="s">
        <v>67</v>
      </c>
    </row>
    <row r="2663" spans="1:6" x14ac:dyDescent="0.25">
      <c r="A2663" t="s">
        <v>26</v>
      </c>
      <c r="B2663" t="s">
        <v>27</v>
      </c>
      <c r="C2663" t="s">
        <v>61</v>
      </c>
      <c r="E2663">
        <v>2022</v>
      </c>
      <c r="F2663" t="s">
        <v>67</v>
      </c>
    </row>
    <row r="2664" spans="1:6" x14ac:dyDescent="0.25">
      <c r="A2664" t="s">
        <v>28</v>
      </c>
      <c r="B2664" t="s">
        <v>29</v>
      </c>
      <c r="C2664" t="s">
        <v>61</v>
      </c>
      <c r="E2664">
        <v>2022</v>
      </c>
      <c r="F2664" t="s">
        <v>67</v>
      </c>
    </row>
    <row r="2665" spans="1:6" x14ac:dyDescent="0.25">
      <c r="A2665" t="s">
        <v>30</v>
      </c>
      <c r="B2665" t="s">
        <v>31</v>
      </c>
      <c r="C2665" t="s">
        <v>61</v>
      </c>
      <c r="E2665">
        <v>2022</v>
      </c>
      <c r="F2665" t="s">
        <v>67</v>
      </c>
    </row>
    <row r="2666" spans="1:6" x14ac:dyDescent="0.25">
      <c r="A2666" t="s">
        <v>32</v>
      </c>
      <c r="B2666" t="s">
        <v>33</v>
      </c>
      <c r="C2666" t="s">
        <v>61</v>
      </c>
      <c r="E2666">
        <v>2022</v>
      </c>
      <c r="F2666" t="s">
        <v>67</v>
      </c>
    </row>
    <row r="2667" spans="1:6" x14ac:dyDescent="0.25">
      <c r="A2667" t="s">
        <v>34</v>
      </c>
      <c r="B2667" t="s">
        <v>35</v>
      </c>
      <c r="C2667" t="s">
        <v>61</v>
      </c>
      <c r="E2667">
        <v>2022</v>
      </c>
      <c r="F2667" t="s">
        <v>67</v>
      </c>
    </row>
    <row r="2668" spans="1:6" x14ac:dyDescent="0.25">
      <c r="A2668" t="s">
        <v>36</v>
      </c>
      <c r="B2668" t="s">
        <v>37</v>
      </c>
      <c r="C2668" t="s">
        <v>61</v>
      </c>
      <c r="E2668">
        <v>2022</v>
      </c>
      <c r="F2668" t="s">
        <v>67</v>
      </c>
    </row>
    <row r="2669" spans="1:6" x14ac:dyDescent="0.25">
      <c r="A2669" t="s">
        <v>38</v>
      </c>
      <c r="B2669" t="s">
        <v>39</v>
      </c>
      <c r="C2669" t="s">
        <v>61</v>
      </c>
      <c r="E2669">
        <v>2022</v>
      </c>
      <c r="F2669" t="s">
        <v>67</v>
      </c>
    </row>
    <row r="2670" spans="1:6" x14ac:dyDescent="0.25">
      <c r="A2670" t="s">
        <v>40</v>
      </c>
      <c r="B2670" t="s">
        <v>41</v>
      </c>
      <c r="C2670" t="s">
        <v>61</v>
      </c>
      <c r="E2670">
        <v>2022</v>
      </c>
      <c r="F2670" t="s">
        <v>67</v>
      </c>
    </row>
    <row r="2671" spans="1:6" x14ac:dyDescent="0.25">
      <c r="A2671" t="s">
        <v>42</v>
      </c>
      <c r="B2671" t="s">
        <v>43</v>
      </c>
      <c r="C2671" t="s">
        <v>61</v>
      </c>
      <c r="E2671">
        <v>2022</v>
      </c>
      <c r="F2671" t="s">
        <v>67</v>
      </c>
    </row>
    <row r="2672" spans="1:6" x14ac:dyDescent="0.25">
      <c r="A2672" t="s">
        <v>44</v>
      </c>
      <c r="B2672" t="s">
        <v>45</v>
      </c>
      <c r="C2672" t="s">
        <v>61</v>
      </c>
      <c r="E2672">
        <v>2022</v>
      </c>
      <c r="F2672" t="s">
        <v>67</v>
      </c>
    </row>
    <row r="2673" spans="1:6" x14ac:dyDescent="0.25">
      <c r="A2673" t="s">
        <v>46</v>
      </c>
      <c r="B2673" t="s">
        <v>47</v>
      </c>
      <c r="C2673" t="s">
        <v>61</v>
      </c>
      <c r="E2673">
        <v>2022</v>
      </c>
      <c r="F2673" t="s">
        <v>67</v>
      </c>
    </row>
    <row r="2674" spans="1:6" x14ac:dyDescent="0.25">
      <c r="A2674" t="s">
        <v>48</v>
      </c>
      <c r="B2674" t="s">
        <v>49</v>
      </c>
      <c r="C2674" t="s">
        <v>61</v>
      </c>
      <c r="E2674">
        <v>2022</v>
      </c>
      <c r="F2674" t="s">
        <v>67</v>
      </c>
    </row>
    <row r="2675" spans="1:6" x14ac:dyDescent="0.25">
      <c r="A2675" t="s">
        <v>50</v>
      </c>
      <c r="B2675" t="s">
        <v>51</v>
      </c>
      <c r="C2675" t="s">
        <v>61</v>
      </c>
      <c r="E2675">
        <v>2022</v>
      </c>
      <c r="F2675" t="s">
        <v>67</v>
      </c>
    </row>
    <row r="2676" spans="1:6" x14ac:dyDescent="0.25">
      <c r="A2676" t="s">
        <v>52</v>
      </c>
      <c r="B2676" t="s">
        <v>53</v>
      </c>
      <c r="C2676" t="s">
        <v>61</v>
      </c>
      <c r="E2676">
        <v>2022</v>
      </c>
      <c r="F2676" t="s">
        <v>67</v>
      </c>
    </row>
    <row r="2677" spans="1:6" x14ac:dyDescent="0.25">
      <c r="A2677" t="s">
        <v>54</v>
      </c>
      <c r="B2677" t="s">
        <v>55</v>
      </c>
      <c r="C2677" t="s">
        <v>61</v>
      </c>
      <c r="E2677">
        <v>2022</v>
      </c>
      <c r="F2677" t="s">
        <v>67</v>
      </c>
    </row>
    <row r="2678" spans="1:6" x14ac:dyDescent="0.25">
      <c r="A2678" t="s">
        <v>56</v>
      </c>
      <c r="B2678" t="s">
        <v>57</v>
      </c>
      <c r="C2678" t="s">
        <v>61</v>
      </c>
      <c r="E2678">
        <v>2022</v>
      </c>
      <c r="F2678" t="s">
        <v>67</v>
      </c>
    </row>
    <row r="2679" spans="1:6" x14ac:dyDescent="0.25">
      <c r="A2679" t="s">
        <v>58</v>
      </c>
      <c r="B2679" t="s">
        <v>59</v>
      </c>
      <c r="C2679" t="s">
        <v>61</v>
      </c>
      <c r="E2679">
        <v>2022</v>
      </c>
      <c r="F2679" t="s">
        <v>67</v>
      </c>
    </row>
    <row r="2680" spans="1:6" x14ac:dyDescent="0.25">
      <c r="A2680" t="s">
        <v>6</v>
      </c>
      <c r="B2680" t="s">
        <v>7</v>
      </c>
      <c r="C2680" t="s">
        <v>65</v>
      </c>
      <c r="D2680">
        <v>11400406000</v>
      </c>
      <c r="E2680">
        <v>2022</v>
      </c>
      <c r="F2680" t="s">
        <v>67</v>
      </c>
    </row>
    <row r="2681" spans="1:6" x14ac:dyDescent="0.25">
      <c r="A2681" t="s">
        <v>10</v>
      </c>
      <c r="B2681" t="s">
        <v>11</v>
      </c>
      <c r="C2681" t="s">
        <v>65</v>
      </c>
      <c r="D2681">
        <v>2300096000</v>
      </c>
      <c r="E2681">
        <v>2022</v>
      </c>
      <c r="F2681" t="s">
        <v>67</v>
      </c>
    </row>
    <row r="2682" spans="1:6" x14ac:dyDescent="0.25">
      <c r="A2682" t="s">
        <v>12</v>
      </c>
      <c r="B2682" t="s">
        <v>13</v>
      </c>
      <c r="C2682" t="s">
        <v>65</v>
      </c>
      <c r="D2682">
        <v>372278000</v>
      </c>
      <c r="E2682">
        <v>2022</v>
      </c>
      <c r="F2682" t="s">
        <v>67</v>
      </c>
    </row>
    <row r="2683" spans="1:6" x14ac:dyDescent="0.25">
      <c r="A2683" t="s">
        <v>14</v>
      </c>
      <c r="B2683" t="s">
        <v>15</v>
      </c>
      <c r="C2683" t="s">
        <v>65</v>
      </c>
      <c r="D2683">
        <v>4809000</v>
      </c>
      <c r="E2683">
        <v>2022</v>
      </c>
      <c r="F2683" t="s">
        <v>67</v>
      </c>
    </row>
    <row r="2684" spans="1:6" x14ac:dyDescent="0.25">
      <c r="A2684" t="s">
        <v>16</v>
      </c>
      <c r="B2684" t="s">
        <v>17</v>
      </c>
      <c r="C2684" t="s">
        <v>65</v>
      </c>
      <c r="D2684">
        <v>926765000</v>
      </c>
      <c r="E2684">
        <v>2022</v>
      </c>
      <c r="F2684" t="s">
        <v>67</v>
      </c>
    </row>
    <row r="2685" spans="1:6" x14ac:dyDescent="0.25">
      <c r="A2685" t="s">
        <v>18</v>
      </c>
      <c r="B2685" t="s">
        <v>19</v>
      </c>
      <c r="C2685" t="s">
        <v>65</v>
      </c>
      <c r="D2685">
        <v>549161000</v>
      </c>
      <c r="E2685">
        <v>2022</v>
      </c>
      <c r="F2685" t="s">
        <v>67</v>
      </c>
    </row>
    <row r="2686" spans="1:6" x14ac:dyDescent="0.25">
      <c r="A2686" t="s">
        <v>20</v>
      </c>
      <c r="B2686" t="s">
        <v>21</v>
      </c>
      <c r="C2686" t="s">
        <v>65</v>
      </c>
      <c r="D2686">
        <v>281939000</v>
      </c>
      <c r="E2686">
        <v>2022</v>
      </c>
      <c r="F2686" t="s">
        <v>67</v>
      </c>
    </row>
    <row r="2687" spans="1:6" x14ac:dyDescent="0.25">
      <c r="A2687" t="s">
        <v>22</v>
      </c>
      <c r="B2687" t="s">
        <v>23</v>
      </c>
      <c r="C2687" t="s">
        <v>65</v>
      </c>
      <c r="D2687">
        <v>245456000</v>
      </c>
      <c r="E2687">
        <v>2022</v>
      </c>
      <c r="F2687" t="s">
        <v>67</v>
      </c>
    </row>
    <row r="2688" spans="1:6" x14ac:dyDescent="0.25">
      <c r="A2688" t="s">
        <v>24</v>
      </c>
      <c r="B2688" t="s">
        <v>25</v>
      </c>
      <c r="C2688" t="s">
        <v>65</v>
      </c>
      <c r="D2688">
        <v>263796000</v>
      </c>
      <c r="E2688">
        <v>2022</v>
      </c>
      <c r="F2688" t="s">
        <v>67</v>
      </c>
    </row>
    <row r="2689" spans="1:6" x14ac:dyDescent="0.25">
      <c r="A2689" t="s">
        <v>26</v>
      </c>
      <c r="B2689" t="s">
        <v>27</v>
      </c>
      <c r="C2689" t="s">
        <v>65</v>
      </c>
      <c r="D2689">
        <v>28876000</v>
      </c>
      <c r="E2689">
        <v>2022</v>
      </c>
      <c r="F2689" t="s">
        <v>67</v>
      </c>
    </row>
    <row r="2690" spans="1:6" x14ac:dyDescent="0.25">
      <c r="A2690" t="s">
        <v>28</v>
      </c>
      <c r="B2690" t="s">
        <v>29</v>
      </c>
      <c r="C2690" t="s">
        <v>65</v>
      </c>
      <c r="D2690">
        <v>56915000</v>
      </c>
      <c r="E2690">
        <v>2022</v>
      </c>
      <c r="F2690" t="s">
        <v>67</v>
      </c>
    </row>
    <row r="2691" spans="1:6" x14ac:dyDescent="0.25">
      <c r="A2691" t="s">
        <v>30</v>
      </c>
      <c r="B2691" t="s">
        <v>31</v>
      </c>
      <c r="C2691" t="s">
        <v>65</v>
      </c>
      <c r="D2691">
        <v>416657000</v>
      </c>
      <c r="E2691">
        <v>2022</v>
      </c>
      <c r="F2691" t="s">
        <v>67</v>
      </c>
    </row>
    <row r="2692" spans="1:6" x14ac:dyDescent="0.25">
      <c r="A2692" t="s">
        <v>32</v>
      </c>
      <c r="B2692" t="s">
        <v>33</v>
      </c>
      <c r="C2692" t="s">
        <v>65</v>
      </c>
      <c r="D2692">
        <v>199940000</v>
      </c>
      <c r="E2692">
        <v>2022</v>
      </c>
      <c r="F2692" t="s">
        <v>67</v>
      </c>
    </row>
    <row r="2693" spans="1:6" x14ac:dyDescent="0.25">
      <c r="A2693" t="s">
        <v>34</v>
      </c>
      <c r="B2693" t="s">
        <v>35</v>
      </c>
      <c r="C2693" t="s">
        <v>65</v>
      </c>
      <c r="D2693">
        <v>655670000</v>
      </c>
      <c r="E2693">
        <v>2022</v>
      </c>
      <c r="F2693" t="s">
        <v>67</v>
      </c>
    </row>
    <row r="2694" spans="1:6" x14ac:dyDescent="0.25">
      <c r="A2694" t="s">
        <v>36</v>
      </c>
      <c r="B2694" t="s">
        <v>37</v>
      </c>
      <c r="C2694" t="s">
        <v>65</v>
      </c>
      <c r="D2694">
        <v>494764000</v>
      </c>
      <c r="E2694">
        <v>2022</v>
      </c>
      <c r="F2694" t="s">
        <v>67</v>
      </c>
    </row>
    <row r="2695" spans="1:6" x14ac:dyDescent="0.25">
      <c r="A2695" t="s">
        <v>38</v>
      </c>
      <c r="B2695" t="s">
        <v>39</v>
      </c>
      <c r="C2695" t="s">
        <v>65</v>
      </c>
      <c r="D2695">
        <v>280483000</v>
      </c>
      <c r="E2695">
        <v>2022</v>
      </c>
      <c r="F2695" t="s">
        <v>67</v>
      </c>
    </row>
    <row r="2696" spans="1:6" x14ac:dyDescent="0.25">
      <c r="A2696" t="s">
        <v>40</v>
      </c>
      <c r="B2696" t="s">
        <v>41</v>
      </c>
      <c r="C2696" t="s">
        <v>65</v>
      </c>
      <c r="D2696">
        <v>889476000</v>
      </c>
      <c r="E2696">
        <v>2022</v>
      </c>
      <c r="F2696" t="s">
        <v>67</v>
      </c>
    </row>
    <row r="2697" spans="1:6" x14ac:dyDescent="0.25">
      <c r="A2697" t="s">
        <v>42</v>
      </c>
      <c r="B2697" t="s">
        <v>43</v>
      </c>
      <c r="C2697" t="s">
        <v>65</v>
      </c>
      <c r="D2697">
        <v>835032000</v>
      </c>
      <c r="E2697">
        <v>2022</v>
      </c>
      <c r="F2697" t="s">
        <v>67</v>
      </c>
    </row>
    <row r="2698" spans="1:6" x14ac:dyDescent="0.25">
      <c r="A2698" t="s">
        <v>44</v>
      </c>
      <c r="B2698" t="s">
        <v>45</v>
      </c>
      <c r="C2698" t="s">
        <v>65</v>
      </c>
      <c r="D2698">
        <v>1053875000</v>
      </c>
      <c r="E2698">
        <v>2022</v>
      </c>
      <c r="F2698" t="s">
        <v>67</v>
      </c>
    </row>
    <row r="2699" spans="1:6" x14ac:dyDescent="0.25">
      <c r="A2699" t="s">
        <v>46</v>
      </c>
      <c r="B2699" t="s">
        <v>47</v>
      </c>
      <c r="C2699" t="s">
        <v>65</v>
      </c>
      <c r="D2699">
        <v>1007666000</v>
      </c>
      <c r="E2699">
        <v>2022</v>
      </c>
      <c r="F2699" t="s">
        <v>67</v>
      </c>
    </row>
    <row r="2700" spans="1:6" x14ac:dyDescent="0.25">
      <c r="A2700" t="s">
        <v>48</v>
      </c>
      <c r="B2700" t="s">
        <v>49</v>
      </c>
      <c r="C2700" t="s">
        <v>65</v>
      </c>
      <c r="D2700">
        <v>240227000</v>
      </c>
      <c r="E2700">
        <v>2022</v>
      </c>
      <c r="F2700" t="s">
        <v>67</v>
      </c>
    </row>
    <row r="2701" spans="1:6" x14ac:dyDescent="0.25">
      <c r="A2701" t="s">
        <v>50</v>
      </c>
      <c r="B2701" t="s">
        <v>51</v>
      </c>
      <c r="C2701" t="s">
        <v>65</v>
      </c>
      <c r="D2701">
        <v>50382000</v>
      </c>
      <c r="E2701">
        <v>2022</v>
      </c>
      <c r="F2701" t="s">
        <v>67</v>
      </c>
    </row>
    <row r="2702" spans="1:6" x14ac:dyDescent="0.25">
      <c r="A2702" t="s">
        <v>52</v>
      </c>
      <c r="B2702" t="s">
        <v>53</v>
      </c>
      <c r="C2702" t="s">
        <v>65</v>
      </c>
      <c r="D2702">
        <v>225978000</v>
      </c>
      <c r="E2702">
        <v>2022</v>
      </c>
      <c r="F2702" t="s">
        <v>67</v>
      </c>
    </row>
    <row r="2703" spans="1:6" x14ac:dyDescent="0.25">
      <c r="A2703" t="s">
        <v>54</v>
      </c>
      <c r="B2703" t="s">
        <v>55</v>
      </c>
      <c r="C2703" t="s">
        <v>65</v>
      </c>
      <c r="D2703">
        <v>20165000</v>
      </c>
      <c r="E2703">
        <v>2022</v>
      </c>
      <c r="F2703" t="s">
        <v>67</v>
      </c>
    </row>
    <row r="2704" spans="1:6" x14ac:dyDescent="0.25">
      <c r="A2704" t="s">
        <v>56</v>
      </c>
      <c r="B2704" t="s">
        <v>57</v>
      </c>
      <c r="C2704" t="s">
        <v>65</v>
      </c>
      <c r="E2704">
        <v>2022</v>
      </c>
      <c r="F2704" t="s">
        <v>67</v>
      </c>
    </row>
    <row r="2705" spans="1:6" x14ac:dyDescent="0.25">
      <c r="A2705" t="s">
        <v>58</v>
      </c>
      <c r="B2705" t="s">
        <v>59</v>
      </c>
      <c r="C2705" t="s">
        <v>65</v>
      </c>
      <c r="E2705">
        <v>2022</v>
      </c>
      <c r="F2705" t="s">
        <v>67</v>
      </c>
    </row>
    <row r="2706" spans="1:6" x14ac:dyDescent="0.25">
      <c r="A2706" t="s">
        <v>6</v>
      </c>
      <c r="B2706" t="s">
        <v>7</v>
      </c>
      <c r="C2706" t="s">
        <v>62</v>
      </c>
      <c r="E2706">
        <v>2022</v>
      </c>
      <c r="F2706" t="s">
        <v>67</v>
      </c>
    </row>
    <row r="2707" spans="1:6" x14ac:dyDescent="0.25">
      <c r="A2707" t="s">
        <v>10</v>
      </c>
      <c r="B2707" t="s">
        <v>11</v>
      </c>
      <c r="C2707" t="s">
        <v>62</v>
      </c>
      <c r="E2707">
        <v>2022</v>
      </c>
      <c r="F2707" t="s">
        <v>67</v>
      </c>
    </row>
    <row r="2708" spans="1:6" x14ac:dyDescent="0.25">
      <c r="A2708" t="s">
        <v>12</v>
      </c>
      <c r="B2708" t="s">
        <v>13</v>
      </c>
      <c r="C2708" t="s">
        <v>62</v>
      </c>
      <c r="E2708">
        <v>2022</v>
      </c>
      <c r="F2708" t="s">
        <v>67</v>
      </c>
    </row>
    <row r="2709" spans="1:6" x14ac:dyDescent="0.25">
      <c r="A2709" t="s">
        <v>14</v>
      </c>
      <c r="B2709" t="s">
        <v>15</v>
      </c>
      <c r="C2709" t="s">
        <v>62</v>
      </c>
      <c r="E2709">
        <v>2022</v>
      </c>
      <c r="F2709" t="s">
        <v>67</v>
      </c>
    </row>
    <row r="2710" spans="1:6" x14ac:dyDescent="0.25">
      <c r="A2710" t="s">
        <v>16</v>
      </c>
      <c r="B2710" t="s">
        <v>17</v>
      </c>
      <c r="C2710" t="s">
        <v>62</v>
      </c>
      <c r="E2710">
        <v>2022</v>
      </c>
      <c r="F2710" t="s">
        <v>67</v>
      </c>
    </row>
    <row r="2711" spans="1:6" x14ac:dyDescent="0.25">
      <c r="A2711" t="s">
        <v>18</v>
      </c>
      <c r="B2711" t="s">
        <v>19</v>
      </c>
      <c r="C2711" t="s">
        <v>62</v>
      </c>
      <c r="E2711">
        <v>2022</v>
      </c>
      <c r="F2711" t="s">
        <v>67</v>
      </c>
    </row>
    <row r="2712" spans="1:6" x14ac:dyDescent="0.25">
      <c r="A2712" t="s">
        <v>20</v>
      </c>
      <c r="B2712" t="s">
        <v>21</v>
      </c>
      <c r="C2712" t="s">
        <v>62</v>
      </c>
      <c r="E2712">
        <v>2022</v>
      </c>
      <c r="F2712" t="s">
        <v>67</v>
      </c>
    </row>
    <row r="2713" spans="1:6" x14ac:dyDescent="0.25">
      <c r="A2713" t="s">
        <v>22</v>
      </c>
      <c r="B2713" t="s">
        <v>23</v>
      </c>
      <c r="C2713" t="s">
        <v>62</v>
      </c>
      <c r="E2713">
        <v>2022</v>
      </c>
      <c r="F2713" t="s">
        <v>67</v>
      </c>
    </row>
    <row r="2714" spans="1:6" x14ac:dyDescent="0.25">
      <c r="A2714" t="s">
        <v>24</v>
      </c>
      <c r="B2714" t="s">
        <v>25</v>
      </c>
      <c r="C2714" t="s">
        <v>62</v>
      </c>
      <c r="E2714">
        <v>2022</v>
      </c>
      <c r="F2714" t="s">
        <v>67</v>
      </c>
    </row>
    <row r="2715" spans="1:6" x14ac:dyDescent="0.25">
      <c r="A2715" t="s">
        <v>26</v>
      </c>
      <c r="B2715" t="s">
        <v>27</v>
      </c>
      <c r="C2715" t="s">
        <v>62</v>
      </c>
      <c r="E2715">
        <v>2022</v>
      </c>
      <c r="F2715" t="s">
        <v>67</v>
      </c>
    </row>
    <row r="2716" spans="1:6" x14ac:dyDescent="0.25">
      <c r="A2716" t="s">
        <v>28</v>
      </c>
      <c r="B2716" t="s">
        <v>29</v>
      </c>
      <c r="C2716" t="s">
        <v>62</v>
      </c>
      <c r="E2716">
        <v>2022</v>
      </c>
      <c r="F2716" t="s">
        <v>67</v>
      </c>
    </row>
    <row r="2717" spans="1:6" x14ac:dyDescent="0.25">
      <c r="A2717" t="s">
        <v>30</v>
      </c>
      <c r="B2717" t="s">
        <v>31</v>
      </c>
      <c r="C2717" t="s">
        <v>62</v>
      </c>
      <c r="E2717">
        <v>2022</v>
      </c>
      <c r="F2717" t="s">
        <v>67</v>
      </c>
    </row>
    <row r="2718" spans="1:6" x14ac:dyDescent="0.25">
      <c r="A2718" t="s">
        <v>32</v>
      </c>
      <c r="B2718" t="s">
        <v>33</v>
      </c>
      <c r="C2718" t="s">
        <v>62</v>
      </c>
      <c r="E2718">
        <v>2022</v>
      </c>
      <c r="F2718" t="s">
        <v>67</v>
      </c>
    </row>
    <row r="2719" spans="1:6" x14ac:dyDescent="0.25">
      <c r="A2719" t="s">
        <v>34</v>
      </c>
      <c r="B2719" t="s">
        <v>35</v>
      </c>
      <c r="C2719" t="s">
        <v>62</v>
      </c>
      <c r="E2719">
        <v>2022</v>
      </c>
      <c r="F2719" t="s">
        <v>67</v>
      </c>
    </row>
    <row r="2720" spans="1:6" x14ac:dyDescent="0.25">
      <c r="A2720" t="s">
        <v>36</v>
      </c>
      <c r="B2720" t="s">
        <v>37</v>
      </c>
      <c r="C2720" t="s">
        <v>62</v>
      </c>
      <c r="E2720">
        <v>2022</v>
      </c>
      <c r="F2720" t="s">
        <v>67</v>
      </c>
    </row>
    <row r="2721" spans="1:6" x14ac:dyDescent="0.25">
      <c r="A2721" t="s">
        <v>38</v>
      </c>
      <c r="B2721" t="s">
        <v>39</v>
      </c>
      <c r="C2721" t="s">
        <v>62</v>
      </c>
      <c r="E2721">
        <v>2022</v>
      </c>
      <c r="F2721" t="s">
        <v>67</v>
      </c>
    </row>
    <row r="2722" spans="1:6" x14ac:dyDescent="0.25">
      <c r="A2722" t="s">
        <v>40</v>
      </c>
      <c r="B2722" t="s">
        <v>41</v>
      </c>
      <c r="C2722" t="s">
        <v>62</v>
      </c>
      <c r="E2722">
        <v>2022</v>
      </c>
      <c r="F2722" t="s">
        <v>67</v>
      </c>
    </row>
    <row r="2723" spans="1:6" x14ac:dyDescent="0.25">
      <c r="A2723" t="s">
        <v>42</v>
      </c>
      <c r="B2723" t="s">
        <v>43</v>
      </c>
      <c r="C2723" t="s">
        <v>62</v>
      </c>
      <c r="E2723">
        <v>2022</v>
      </c>
      <c r="F2723" t="s">
        <v>67</v>
      </c>
    </row>
    <row r="2724" spans="1:6" x14ac:dyDescent="0.25">
      <c r="A2724" t="s">
        <v>44</v>
      </c>
      <c r="B2724" t="s">
        <v>45</v>
      </c>
      <c r="C2724" t="s">
        <v>62</v>
      </c>
      <c r="E2724">
        <v>2022</v>
      </c>
      <c r="F2724" t="s">
        <v>67</v>
      </c>
    </row>
    <row r="2725" spans="1:6" x14ac:dyDescent="0.25">
      <c r="A2725" t="s">
        <v>46</v>
      </c>
      <c r="B2725" t="s">
        <v>47</v>
      </c>
      <c r="C2725" t="s">
        <v>62</v>
      </c>
      <c r="E2725">
        <v>2022</v>
      </c>
      <c r="F2725" t="s">
        <v>67</v>
      </c>
    </row>
    <row r="2726" spans="1:6" x14ac:dyDescent="0.25">
      <c r="A2726" t="s">
        <v>48</v>
      </c>
      <c r="B2726" t="s">
        <v>49</v>
      </c>
      <c r="C2726" t="s">
        <v>62</v>
      </c>
      <c r="E2726">
        <v>2022</v>
      </c>
      <c r="F2726" t="s">
        <v>67</v>
      </c>
    </row>
    <row r="2727" spans="1:6" x14ac:dyDescent="0.25">
      <c r="A2727" t="s">
        <v>50</v>
      </c>
      <c r="B2727" t="s">
        <v>51</v>
      </c>
      <c r="C2727" t="s">
        <v>62</v>
      </c>
      <c r="E2727">
        <v>2022</v>
      </c>
      <c r="F2727" t="s">
        <v>67</v>
      </c>
    </row>
    <row r="2728" spans="1:6" x14ac:dyDescent="0.25">
      <c r="A2728" t="s">
        <v>52</v>
      </c>
      <c r="B2728" t="s">
        <v>53</v>
      </c>
      <c r="C2728" t="s">
        <v>62</v>
      </c>
      <c r="E2728">
        <v>2022</v>
      </c>
      <c r="F2728" t="s">
        <v>67</v>
      </c>
    </row>
    <row r="2729" spans="1:6" x14ac:dyDescent="0.25">
      <c r="A2729" t="s">
        <v>54</v>
      </c>
      <c r="B2729" t="s">
        <v>55</v>
      </c>
      <c r="C2729" t="s">
        <v>62</v>
      </c>
      <c r="E2729">
        <v>2022</v>
      </c>
      <c r="F2729" t="s">
        <v>67</v>
      </c>
    </row>
    <row r="2730" spans="1:6" x14ac:dyDescent="0.25">
      <c r="A2730" t="s">
        <v>56</v>
      </c>
      <c r="B2730" t="s">
        <v>57</v>
      </c>
      <c r="C2730" t="s">
        <v>62</v>
      </c>
      <c r="E2730">
        <v>2022</v>
      </c>
      <c r="F2730" t="s">
        <v>67</v>
      </c>
    </row>
    <row r="2731" spans="1:6" x14ac:dyDescent="0.25">
      <c r="A2731" t="s">
        <v>58</v>
      </c>
      <c r="B2731" t="s">
        <v>59</v>
      </c>
      <c r="C2731" t="s">
        <v>62</v>
      </c>
      <c r="E2731">
        <v>2022</v>
      </c>
      <c r="F2731" t="s">
        <v>67</v>
      </c>
    </row>
    <row r="2732" spans="1:6" x14ac:dyDescent="0.25">
      <c r="A2732" t="s">
        <v>6</v>
      </c>
      <c r="B2732" t="s">
        <v>7</v>
      </c>
      <c r="C2732" t="s">
        <v>63</v>
      </c>
      <c r="D2732">
        <v>5675564</v>
      </c>
      <c r="E2732">
        <v>2016</v>
      </c>
      <c r="F2732" t="s">
        <v>68</v>
      </c>
    </row>
    <row r="2733" spans="1:6" x14ac:dyDescent="0.25">
      <c r="A2733" t="s">
        <v>10</v>
      </c>
      <c r="B2733" t="s">
        <v>11</v>
      </c>
      <c r="C2733" t="s">
        <v>63</v>
      </c>
      <c r="D2733">
        <v>1465753</v>
      </c>
      <c r="E2733">
        <v>2016</v>
      </c>
      <c r="F2733" t="s">
        <v>68</v>
      </c>
    </row>
    <row r="2734" spans="1:6" x14ac:dyDescent="0.25">
      <c r="A2734" t="s">
        <v>12</v>
      </c>
      <c r="B2734" t="s">
        <v>13</v>
      </c>
      <c r="C2734" t="s">
        <v>63</v>
      </c>
      <c r="D2734">
        <v>157273</v>
      </c>
      <c r="E2734">
        <v>2016</v>
      </c>
      <c r="F2734" t="s">
        <v>68</v>
      </c>
    </row>
    <row r="2735" spans="1:6" x14ac:dyDescent="0.25">
      <c r="A2735" t="s">
        <v>14</v>
      </c>
      <c r="B2735" t="s">
        <v>15</v>
      </c>
      <c r="C2735" t="s">
        <v>63</v>
      </c>
      <c r="D2735">
        <v>17431</v>
      </c>
      <c r="E2735">
        <v>2016</v>
      </c>
      <c r="F2735" t="s">
        <v>68</v>
      </c>
    </row>
    <row r="2736" spans="1:6" x14ac:dyDescent="0.25">
      <c r="A2736" t="s">
        <v>16</v>
      </c>
      <c r="B2736" t="s">
        <v>17</v>
      </c>
      <c r="C2736" t="s">
        <v>63</v>
      </c>
      <c r="D2736">
        <v>198629</v>
      </c>
      <c r="E2736">
        <v>2016</v>
      </c>
      <c r="F2736" t="s">
        <v>68</v>
      </c>
    </row>
    <row r="2737" spans="1:6" x14ac:dyDescent="0.25">
      <c r="A2737" t="s">
        <v>18</v>
      </c>
      <c r="B2737" t="s">
        <v>19</v>
      </c>
      <c r="C2737" t="s">
        <v>63</v>
      </c>
      <c r="D2737">
        <v>366205</v>
      </c>
      <c r="E2737">
        <v>2016</v>
      </c>
      <c r="F2737" t="s">
        <v>68</v>
      </c>
    </row>
    <row r="2738" spans="1:6" x14ac:dyDescent="0.25">
      <c r="A2738" t="s">
        <v>20</v>
      </c>
      <c r="B2738" t="s">
        <v>21</v>
      </c>
      <c r="C2738" t="s">
        <v>63</v>
      </c>
      <c r="D2738">
        <v>295957</v>
      </c>
      <c r="E2738">
        <v>2016</v>
      </c>
      <c r="F2738" t="s">
        <v>68</v>
      </c>
    </row>
    <row r="2739" spans="1:6" x14ac:dyDescent="0.25">
      <c r="A2739" t="s">
        <v>22</v>
      </c>
      <c r="B2739" t="s">
        <v>23</v>
      </c>
      <c r="C2739" t="s">
        <v>63</v>
      </c>
      <c r="D2739">
        <v>99150</v>
      </c>
      <c r="E2739">
        <v>2016</v>
      </c>
      <c r="F2739" t="s">
        <v>68</v>
      </c>
    </row>
    <row r="2740" spans="1:6" x14ac:dyDescent="0.25">
      <c r="A2740" t="s">
        <v>24</v>
      </c>
      <c r="B2740" t="s">
        <v>25</v>
      </c>
      <c r="C2740" t="s">
        <v>63</v>
      </c>
      <c r="D2740">
        <v>163139</v>
      </c>
      <c r="E2740">
        <v>2016</v>
      </c>
      <c r="F2740" t="s">
        <v>68</v>
      </c>
    </row>
    <row r="2741" spans="1:6" x14ac:dyDescent="0.25">
      <c r="A2741" t="s">
        <v>26</v>
      </c>
      <c r="B2741" t="s">
        <v>27</v>
      </c>
      <c r="C2741" t="s">
        <v>63</v>
      </c>
      <c r="D2741">
        <v>45925</v>
      </c>
      <c r="E2741">
        <v>2016</v>
      </c>
      <c r="F2741" t="s">
        <v>68</v>
      </c>
    </row>
    <row r="2742" spans="1:6" x14ac:dyDescent="0.25">
      <c r="A2742" t="s">
        <v>28</v>
      </c>
      <c r="B2742" t="s">
        <v>29</v>
      </c>
      <c r="C2742" t="s">
        <v>63</v>
      </c>
      <c r="D2742">
        <v>73081</v>
      </c>
      <c r="E2742">
        <v>2016</v>
      </c>
      <c r="F2742" t="s">
        <v>68</v>
      </c>
    </row>
    <row r="2743" spans="1:6" x14ac:dyDescent="0.25">
      <c r="A2743" t="s">
        <v>30</v>
      </c>
      <c r="B2743" t="s">
        <v>31</v>
      </c>
      <c r="C2743" t="s">
        <v>63</v>
      </c>
      <c r="D2743">
        <v>349409</v>
      </c>
      <c r="E2743">
        <v>2016</v>
      </c>
      <c r="F2743" t="s">
        <v>68</v>
      </c>
    </row>
    <row r="2744" spans="1:6" x14ac:dyDescent="0.25">
      <c r="A2744" t="s">
        <v>32</v>
      </c>
      <c r="B2744" t="s">
        <v>33</v>
      </c>
      <c r="C2744" t="s">
        <v>63</v>
      </c>
      <c r="D2744">
        <v>100743</v>
      </c>
      <c r="E2744">
        <v>2016</v>
      </c>
      <c r="F2744" t="s">
        <v>68</v>
      </c>
    </row>
    <row r="2745" spans="1:6" x14ac:dyDescent="0.25">
      <c r="A2745" t="s">
        <v>34</v>
      </c>
      <c r="B2745" t="s">
        <v>35</v>
      </c>
      <c r="C2745" t="s">
        <v>63</v>
      </c>
      <c r="D2745">
        <v>296550</v>
      </c>
      <c r="E2745">
        <v>2016</v>
      </c>
      <c r="F2745" t="s">
        <v>68</v>
      </c>
    </row>
    <row r="2746" spans="1:6" x14ac:dyDescent="0.25">
      <c r="A2746" t="s">
        <v>36</v>
      </c>
      <c r="B2746" t="s">
        <v>37</v>
      </c>
      <c r="C2746" t="s">
        <v>63</v>
      </c>
      <c r="D2746">
        <v>260917</v>
      </c>
      <c r="E2746">
        <v>2016</v>
      </c>
      <c r="F2746" t="s">
        <v>68</v>
      </c>
    </row>
    <row r="2747" spans="1:6" x14ac:dyDescent="0.25">
      <c r="A2747" t="s">
        <v>38</v>
      </c>
      <c r="B2747" t="s">
        <v>39</v>
      </c>
      <c r="C2747" t="s">
        <v>63</v>
      </c>
      <c r="D2747">
        <v>185386</v>
      </c>
      <c r="E2747">
        <v>2016</v>
      </c>
      <c r="F2747" t="s">
        <v>68</v>
      </c>
    </row>
    <row r="2748" spans="1:6" x14ac:dyDescent="0.25">
      <c r="A2748" t="s">
        <v>40</v>
      </c>
      <c r="B2748" t="s">
        <v>41</v>
      </c>
      <c r="C2748" t="s">
        <v>63</v>
      </c>
      <c r="D2748">
        <v>244309</v>
      </c>
      <c r="E2748">
        <v>2016</v>
      </c>
      <c r="F2748" t="s">
        <v>68</v>
      </c>
    </row>
    <row r="2749" spans="1:6" x14ac:dyDescent="0.25">
      <c r="A2749" t="s">
        <v>42</v>
      </c>
      <c r="B2749" t="s">
        <v>43</v>
      </c>
      <c r="C2749" t="s">
        <v>63</v>
      </c>
      <c r="D2749">
        <v>111056</v>
      </c>
      <c r="E2749">
        <v>2016</v>
      </c>
      <c r="F2749" t="s">
        <v>68</v>
      </c>
    </row>
    <row r="2750" spans="1:6" x14ac:dyDescent="0.25">
      <c r="A2750" t="s">
        <v>44</v>
      </c>
      <c r="B2750" t="s">
        <v>45</v>
      </c>
      <c r="C2750" t="s">
        <v>63</v>
      </c>
      <c r="D2750">
        <v>184311</v>
      </c>
      <c r="E2750">
        <v>2016</v>
      </c>
      <c r="F2750" t="s">
        <v>68</v>
      </c>
    </row>
    <row r="2751" spans="1:6" x14ac:dyDescent="0.25">
      <c r="A2751" t="s">
        <v>46</v>
      </c>
      <c r="B2751" t="s">
        <v>47</v>
      </c>
      <c r="C2751" t="s">
        <v>63</v>
      </c>
      <c r="D2751">
        <v>261864</v>
      </c>
      <c r="E2751">
        <v>2016</v>
      </c>
      <c r="F2751" t="s">
        <v>68</v>
      </c>
    </row>
    <row r="2752" spans="1:6" x14ac:dyDescent="0.25">
      <c r="A2752" t="s">
        <v>48</v>
      </c>
      <c r="B2752" t="s">
        <v>49</v>
      </c>
      <c r="C2752" t="s">
        <v>63</v>
      </c>
      <c r="D2752">
        <v>385665</v>
      </c>
      <c r="E2752">
        <v>2016</v>
      </c>
      <c r="F2752" t="s">
        <v>68</v>
      </c>
    </row>
    <row r="2753" spans="1:6" x14ac:dyDescent="0.25">
      <c r="A2753" t="s">
        <v>50</v>
      </c>
      <c r="B2753" t="s">
        <v>51</v>
      </c>
      <c r="C2753" t="s">
        <v>63</v>
      </c>
      <c r="D2753">
        <v>68850</v>
      </c>
      <c r="E2753">
        <v>2016</v>
      </c>
      <c r="F2753" t="s">
        <v>68</v>
      </c>
    </row>
    <row r="2754" spans="1:6" x14ac:dyDescent="0.25">
      <c r="A2754" t="s">
        <v>52</v>
      </c>
      <c r="B2754" t="s">
        <v>53</v>
      </c>
      <c r="C2754" t="s">
        <v>63</v>
      </c>
      <c r="D2754">
        <v>143879</v>
      </c>
      <c r="E2754">
        <v>2016</v>
      </c>
      <c r="F2754" t="s">
        <v>68</v>
      </c>
    </row>
    <row r="2755" spans="1:6" x14ac:dyDescent="0.25">
      <c r="A2755" t="s">
        <v>54</v>
      </c>
      <c r="B2755" t="s">
        <v>55</v>
      </c>
      <c r="C2755" t="s">
        <v>63</v>
      </c>
      <c r="D2755">
        <v>102735</v>
      </c>
      <c r="E2755">
        <v>2016</v>
      </c>
      <c r="F2755" t="s">
        <v>68</v>
      </c>
    </row>
    <row r="2756" spans="1:6" x14ac:dyDescent="0.25">
      <c r="A2756" t="s">
        <v>56</v>
      </c>
      <c r="B2756" t="s">
        <v>57</v>
      </c>
      <c r="C2756" t="s">
        <v>63</v>
      </c>
      <c r="D2756">
        <v>97347</v>
      </c>
      <c r="E2756">
        <v>2016</v>
      </c>
      <c r="F2756" t="s">
        <v>68</v>
      </c>
    </row>
    <row r="2757" spans="1:6" x14ac:dyDescent="0.25">
      <c r="A2757" t="s">
        <v>58</v>
      </c>
      <c r="B2757" t="s">
        <v>59</v>
      </c>
      <c r="C2757" t="s">
        <v>63</v>
      </c>
      <c r="E2757">
        <v>2016</v>
      </c>
      <c r="F2757" t="s">
        <v>68</v>
      </c>
    </row>
    <row r="2758" spans="1:6" x14ac:dyDescent="0.25">
      <c r="A2758" t="s">
        <v>6</v>
      </c>
      <c r="B2758" t="s">
        <v>7</v>
      </c>
      <c r="C2758" t="s">
        <v>8</v>
      </c>
      <c r="D2758">
        <v>435475</v>
      </c>
      <c r="E2758">
        <v>2016</v>
      </c>
      <c r="F2758" t="s">
        <v>68</v>
      </c>
    </row>
    <row r="2759" spans="1:6" x14ac:dyDescent="0.25">
      <c r="A2759" t="s">
        <v>10</v>
      </c>
      <c r="B2759" t="s">
        <v>11</v>
      </c>
      <c r="C2759" t="s">
        <v>8</v>
      </c>
      <c r="D2759">
        <v>150226</v>
      </c>
      <c r="E2759">
        <v>2016</v>
      </c>
      <c r="F2759" t="s">
        <v>68</v>
      </c>
    </row>
    <row r="2760" spans="1:6" x14ac:dyDescent="0.25">
      <c r="A2760" t="s">
        <v>12</v>
      </c>
      <c r="B2760" t="s">
        <v>13</v>
      </c>
      <c r="C2760" t="s">
        <v>8</v>
      </c>
      <c r="D2760">
        <v>20797</v>
      </c>
      <c r="E2760">
        <v>2016</v>
      </c>
      <c r="F2760" t="s">
        <v>68</v>
      </c>
    </row>
    <row r="2761" spans="1:6" x14ac:dyDescent="0.25">
      <c r="A2761" t="s">
        <v>14</v>
      </c>
      <c r="B2761" t="s">
        <v>15</v>
      </c>
      <c r="C2761" t="s">
        <v>8</v>
      </c>
      <c r="E2761">
        <v>2016</v>
      </c>
      <c r="F2761" t="s">
        <v>68</v>
      </c>
    </row>
    <row r="2762" spans="1:6" x14ac:dyDescent="0.25">
      <c r="A2762" t="s">
        <v>16</v>
      </c>
      <c r="B2762" t="s">
        <v>17</v>
      </c>
      <c r="C2762" t="s">
        <v>8</v>
      </c>
      <c r="D2762">
        <v>6025</v>
      </c>
      <c r="E2762">
        <v>2016</v>
      </c>
      <c r="F2762" t="s">
        <v>68</v>
      </c>
    </row>
    <row r="2763" spans="1:6" x14ac:dyDescent="0.25">
      <c r="A2763" t="s">
        <v>18</v>
      </c>
      <c r="B2763" t="s">
        <v>19</v>
      </c>
      <c r="C2763" t="s">
        <v>8</v>
      </c>
      <c r="D2763">
        <v>8550</v>
      </c>
      <c r="E2763">
        <v>2016</v>
      </c>
      <c r="F2763" t="s">
        <v>68</v>
      </c>
    </row>
    <row r="2764" spans="1:6" x14ac:dyDescent="0.25">
      <c r="A2764" t="s">
        <v>20</v>
      </c>
      <c r="B2764" t="s">
        <v>21</v>
      </c>
      <c r="C2764" t="s">
        <v>8</v>
      </c>
      <c r="D2764">
        <v>5885</v>
      </c>
      <c r="E2764">
        <v>2016</v>
      </c>
      <c r="F2764" t="s">
        <v>68</v>
      </c>
    </row>
    <row r="2765" spans="1:6" x14ac:dyDescent="0.25">
      <c r="A2765" t="s">
        <v>22</v>
      </c>
      <c r="B2765" t="s">
        <v>23</v>
      </c>
      <c r="C2765" t="s">
        <v>8</v>
      </c>
      <c r="D2765">
        <v>27734</v>
      </c>
      <c r="E2765">
        <v>2016</v>
      </c>
      <c r="F2765" t="s">
        <v>68</v>
      </c>
    </row>
    <row r="2766" spans="1:6" x14ac:dyDescent="0.25">
      <c r="A2766" t="s">
        <v>24</v>
      </c>
      <c r="B2766" t="s">
        <v>25</v>
      </c>
      <c r="C2766" t="s">
        <v>8</v>
      </c>
      <c r="D2766">
        <v>21365</v>
      </c>
      <c r="E2766">
        <v>2016</v>
      </c>
      <c r="F2766" t="s">
        <v>68</v>
      </c>
    </row>
    <row r="2767" spans="1:6" x14ac:dyDescent="0.25">
      <c r="A2767" t="s">
        <v>26</v>
      </c>
      <c r="B2767" t="s">
        <v>27</v>
      </c>
      <c r="C2767" t="s">
        <v>8</v>
      </c>
      <c r="D2767">
        <v>9267</v>
      </c>
      <c r="E2767">
        <v>2016</v>
      </c>
      <c r="F2767" t="s">
        <v>68</v>
      </c>
    </row>
    <row r="2768" spans="1:6" x14ac:dyDescent="0.25">
      <c r="A2768" t="s">
        <v>28</v>
      </c>
      <c r="B2768" t="s">
        <v>29</v>
      </c>
      <c r="C2768" t="s">
        <v>8</v>
      </c>
      <c r="E2768">
        <v>2016</v>
      </c>
      <c r="F2768" t="s">
        <v>68</v>
      </c>
    </row>
    <row r="2769" spans="1:6" x14ac:dyDescent="0.25">
      <c r="A2769" t="s">
        <v>30</v>
      </c>
      <c r="B2769" t="s">
        <v>31</v>
      </c>
      <c r="C2769" t="s">
        <v>8</v>
      </c>
      <c r="D2769">
        <v>27652</v>
      </c>
      <c r="E2769">
        <v>2016</v>
      </c>
      <c r="F2769" t="s">
        <v>68</v>
      </c>
    </row>
    <row r="2770" spans="1:6" x14ac:dyDescent="0.25">
      <c r="A2770" t="s">
        <v>32</v>
      </c>
      <c r="B2770" t="s">
        <v>33</v>
      </c>
      <c r="C2770" t="s">
        <v>8</v>
      </c>
      <c r="D2770">
        <v>10167</v>
      </c>
      <c r="E2770">
        <v>2016</v>
      </c>
      <c r="F2770" t="s">
        <v>68</v>
      </c>
    </row>
    <row r="2771" spans="1:6" x14ac:dyDescent="0.25">
      <c r="A2771" t="s">
        <v>34</v>
      </c>
      <c r="B2771" t="s">
        <v>35</v>
      </c>
      <c r="C2771" t="s">
        <v>8</v>
      </c>
      <c r="D2771">
        <v>28144</v>
      </c>
      <c r="E2771">
        <v>2016</v>
      </c>
      <c r="F2771" t="s">
        <v>68</v>
      </c>
    </row>
    <row r="2772" spans="1:6" x14ac:dyDescent="0.25">
      <c r="A2772" t="s">
        <v>36</v>
      </c>
      <c r="B2772" t="s">
        <v>37</v>
      </c>
      <c r="C2772" t="s">
        <v>8</v>
      </c>
      <c r="D2772">
        <v>15908</v>
      </c>
      <c r="E2772">
        <v>2016</v>
      </c>
      <c r="F2772" t="s">
        <v>68</v>
      </c>
    </row>
    <row r="2773" spans="1:6" x14ac:dyDescent="0.25">
      <c r="A2773" t="s">
        <v>38</v>
      </c>
      <c r="B2773" t="s">
        <v>39</v>
      </c>
      <c r="C2773" t="s">
        <v>8</v>
      </c>
      <c r="D2773">
        <v>7512</v>
      </c>
      <c r="E2773">
        <v>2016</v>
      </c>
      <c r="F2773" t="s">
        <v>68</v>
      </c>
    </row>
    <row r="2774" spans="1:6" x14ac:dyDescent="0.25">
      <c r="A2774" t="s">
        <v>40</v>
      </c>
      <c r="B2774" t="s">
        <v>41</v>
      </c>
      <c r="C2774" t="s">
        <v>8</v>
      </c>
      <c r="D2774">
        <v>26559</v>
      </c>
      <c r="E2774">
        <v>2016</v>
      </c>
      <c r="F2774" t="s">
        <v>68</v>
      </c>
    </row>
    <row r="2775" spans="1:6" x14ac:dyDescent="0.25">
      <c r="A2775" t="s">
        <v>42</v>
      </c>
      <c r="B2775" t="s">
        <v>43</v>
      </c>
      <c r="C2775" t="s">
        <v>8</v>
      </c>
      <c r="D2775">
        <v>2601</v>
      </c>
      <c r="E2775">
        <v>2016</v>
      </c>
      <c r="F2775" t="s">
        <v>68</v>
      </c>
    </row>
    <row r="2776" spans="1:6" x14ac:dyDescent="0.25">
      <c r="A2776" t="s">
        <v>44</v>
      </c>
      <c r="B2776" t="s">
        <v>45</v>
      </c>
      <c r="C2776" t="s">
        <v>8</v>
      </c>
      <c r="D2776">
        <v>8630</v>
      </c>
      <c r="E2776">
        <v>2016</v>
      </c>
      <c r="F2776" t="s">
        <v>68</v>
      </c>
    </row>
    <row r="2777" spans="1:6" x14ac:dyDescent="0.25">
      <c r="A2777" t="s">
        <v>46</v>
      </c>
      <c r="B2777" t="s">
        <v>47</v>
      </c>
      <c r="C2777" t="s">
        <v>8</v>
      </c>
      <c r="D2777">
        <v>10803</v>
      </c>
      <c r="E2777">
        <v>2016</v>
      </c>
      <c r="F2777" t="s">
        <v>68</v>
      </c>
    </row>
    <row r="2778" spans="1:6" x14ac:dyDescent="0.25">
      <c r="A2778" t="s">
        <v>48</v>
      </c>
      <c r="B2778" t="s">
        <v>49</v>
      </c>
      <c r="C2778" t="s">
        <v>8</v>
      </c>
      <c r="D2778">
        <v>1132</v>
      </c>
      <c r="E2778">
        <v>2016</v>
      </c>
      <c r="F2778" t="s">
        <v>68</v>
      </c>
    </row>
    <row r="2779" spans="1:6" x14ac:dyDescent="0.25">
      <c r="A2779" t="s">
        <v>50</v>
      </c>
      <c r="B2779" t="s">
        <v>51</v>
      </c>
      <c r="C2779" t="s">
        <v>8</v>
      </c>
      <c r="D2779">
        <v>846</v>
      </c>
      <c r="E2779">
        <v>2016</v>
      </c>
      <c r="F2779" t="s">
        <v>68</v>
      </c>
    </row>
    <row r="2780" spans="1:6" x14ac:dyDescent="0.25">
      <c r="A2780" t="s">
        <v>52</v>
      </c>
      <c r="B2780" t="s">
        <v>53</v>
      </c>
      <c r="C2780" t="s">
        <v>8</v>
      </c>
      <c r="D2780">
        <v>10906</v>
      </c>
      <c r="E2780">
        <v>2016</v>
      </c>
      <c r="F2780" t="s">
        <v>68</v>
      </c>
    </row>
    <row r="2781" spans="1:6" x14ac:dyDescent="0.25">
      <c r="A2781" t="s">
        <v>54</v>
      </c>
      <c r="B2781" t="s">
        <v>55</v>
      </c>
      <c r="C2781" t="s">
        <v>8</v>
      </c>
      <c r="D2781">
        <v>1703</v>
      </c>
      <c r="E2781">
        <v>2016</v>
      </c>
      <c r="F2781" t="s">
        <v>68</v>
      </c>
    </row>
    <row r="2782" spans="1:6" x14ac:dyDescent="0.25">
      <c r="A2782" t="s">
        <v>56</v>
      </c>
      <c r="B2782" t="s">
        <v>57</v>
      </c>
      <c r="C2782" t="s">
        <v>8</v>
      </c>
      <c r="D2782">
        <v>23802</v>
      </c>
      <c r="E2782">
        <v>2016</v>
      </c>
      <c r="F2782" t="s">
        <v>68</v>
      </c>
    </row>
    <row r="2783" spans="1:6" x14ac:dyDescent="0.25">
      <c r="A2783" t="s">
        <v>58</v>
      </c>
      <c r="B2783" t="s">
        <v>59</v>
      </c>
      <c r="C2783" t="s">
        <v>8</v>
      </c>
      <c r="D2783">
        <v>9253</v>
      </c>
      <c r="E2783">
        <v>2016</v>
      </c>
      <c r="F2783" t="s">
        <v>68</v>
      </c>
    </row>
    <row r="2784" spans="1:6" x14ac:dyDescent="0.25">
      <c r="A2784" t="s">
        <v>6</v>
      </c>
      <c r="B2784" t="s">
        <v>7</v>
      </c>
      <c r="C2784" t="s">
        <v>60</v>
      </c>
      <c r="D2784">
        <v>616982</v>
      </c>
      <c r="E2784">
        <v>2016</v>
      </c>
      <c r="F2784" t="s">
        <v>68</v>
      </c>
    </row>
    <row r="2785" spans="1:6" x14ac:dyDescent="0.25">
      <c r="A2785" t="s">
        <v>10</v>
      </c>
      <c r="B2785" t="s">
        <v>11</v>
      </c>
      <c r="C2785" t="s">
        <v>60</v>
      </c>
      <c r="D2785">
        <v>136901</v>
      </c>
      <c r="E2785">
        <v>2016</v>
      </c>
      <c r="F2785" t="s">
        <v>68</v>
      </c>
    </row>
    <row r="2786" spans="1:6" x14ac:dyDescent="0.25">
      <c r="A2786" t="s">
        <v>12</v>
      </c>
      <c r="B2786" t="s">
        <v>13</v>
      </c>
      <c r="C2786" t="s">
        <v>60</v>
      </c>
      <c r="D2786">
        <v>14623</v>
      </c>
      <c r="E2786">
        <v>2016</v>
      </c>
      <c r="F2786" t="s">
        <v>68</v>
      </c>
    </row>
    <row r="2787" spans="1:6" x14ac:dyDescent="0.25">
      <c r="A2787" t="s">
        <v>14</v>
      </c>
      <c r="B2787" t="s">
        <v>15</v>
      </c>
      <c r="C2787" t="s">
        <v>60</v>
      </c>
      <c r="E2787">
        <v>2016</v>
      </c>
      <c r="F2787" t="s">
        <v>68</v>
      </c>
    </row>
    <row r="2788" spans="1:6" x14ac:dyDescent="0.25">
      <c r="A2788" t="s">
        <v>16</v>
      </c>
      <c r="B2788" t="s">
        <v>17</v>
      </c>
      <c r="C2788" t="s">
        <v>60</v>
      </c>
      <c r="D2788">
        <v>31088</v>
      </c>
      <c r="E2788">
        <v>2016</v>
      </c>
      <c r="F2788" t="s">
        <v>68</v>
      </c>
    </row>
    <row r="2789" spans="1:6" x14ac:dyDescent="0.25">
      <c r="A2789" t="s">
        <v>18</v>
      </c>
      <c r="B2789" t="s">
        <v>19</v>
      </c>
      <c r="C2789" t="s">
        <v>60</v>
      </c>
      <c r="D2789">
        <v>70326</v>
      </c>
      <c r="E2789">
        <v>2016</v>
      </c>
      <c r="F2789" t="s">
        <v>68</v>
      </c>
    </row>
    <row r="2790" spans="1:6" x14ac:dyDescent="0.25">
      <c r="A2790" t="s">
        <v>20</v>
      </c>
      <c r="B2790" t="s">
        <v>21</v>
      </c>
      <c r="C2790" t="s">
        <v>60</v>
      </c>
      <c r="D2790">
        <v>19665</v>
      </c>
      <c r="E2790">
        <v>2016</v>
      </c>
      <c r="F2790" t="s">
        <v>68</v>
      </c>
    </row>
    <row r="2791" spans="1:6" x14ac:dyDescent="0.25">
      <c r="A2791" t="s">
        <v>22</v>
      </c>
      <c r="B2791" t="s">
        <v>23</v>
      </c>
      <c r="C2791" t="s">
        <v>60</v>
      </c>
      <c r="D2791">
        <v>5628</v>
      </c>
      <c r="E2791">
        <v>2016</v>
      </c>
      <c r="F2791" t="s">
        <v>68</v>
      </c>
    </row>
    <row r="2792" spans="1:6" x14ac:dyDescent="0.25">
      <c r="A2792" t="s">
        <v>24</v>
      </c>
      <c r="B2792" t="s">
        <v>25</v>
      </c>
      <c r="C2792" t="s">
        <v>60</v>
      </c>
      <c r="D2792">
        <v>16103</v>
      </c>
      <c r="E2792">
        <v>2016</v>
      </c>
      <c r="F2792" t="s">
        <v>68</v>
      </c>
    </row>
    <row r="2793" spans="1:6" x14ac:dyDescent="0.25">
      <c r="A2793" t="s">
        <v>26</v>
      </c>
      <c r="B2793" t="s">
        <v>27</v>
      </c>
      <c r="C2793" t="s">
        <v>60</v>
      </c>
      <c r="D2793">
        <v>17609</v>
      </c>
      <c r="E2793">
        <v>2016</v>
      </c>
      <c r="F2793" t="s">
        <v>68</v>
      </c>
    </row>
    <row r="2794" spans="1:6" x14ac:dyDescent="0.25">
      <c r="A2794" t="s">
        <v>28</v>
      </c>
      <c r="B2794" t="s">
        <v>29</v>
      </c>
      <c r="C2794" t="s">
        <v>60</v>
      </c>
      <c r="D2794">
        <v>4309</v>
      </c>
      <c r="E2794">
        <v>2016</v>
      </c>
      <c r="F2794" t="s">
        <v>68</v>
      </c>
    </row>
    <row r="2795" spans="1:6" x14ac:dyDescent="0.25">
      <c r="A2795" t="s">
        <v>30</v>
      </c>
      <c r="B2795" t="s">
        <v>31</v>
      </c>
      <c r="C2795" t="s">
        <v>60</v>
      </c>
      <c r="D2795">
        <v>46299</v>
      </c>
      <c r="E2795">
        <v>2016</v>
      </c>
      <c r="F2795" t="s">
        <v>68</v>
      </c>
    </row>
    <row r="2796" spans="1:6" x14ac:dyDescent="0.25">
      <c r="A2796" t="s">
        <v>32</v>
      </c>
      <c r="B2796" t="s">
        <v>33</v>
      </c>
      <c r="C2796" t="s">
        <v>60</v>
      </c>
      <c r="D2796">
        <v>21740</v>
      </c>
      <c r="E2796">
        <v>2016</v>
      </c>
      <c r="F2796" t="s">
        <v>68</v>
      </c>
    </row>
    <row r="2797" spans="1:6" x14ac:dyDescent="0.25">
      <c r="A2797" t="s">
        <v>34</v>
      </c>
      <c r="B2797" t="s">
        <v>35</v>
      </c>
      <c r="C2797" t="s">
        <v>60</v>
      </c>
      <c r="D2797">
        <v>47314</v>
      </c>
      <c r="E2797">
        <v>2016</v>
      </c>
      <c r="F2797" t="s">
        <v>68</v>
      </c>
    </row>
    <row r="2798" spans="1:6" x14ac:dyDescent="0.25">
      <c r="A2798" t="s">
        <v>36</v>
      </c>
      <c r="B2798" t="s">
        <v>37</v>
      </c>
      <c r="C2798" t="s">
        <v>60</v>
      </c>
      <c r="D2798">
        <v>38375</v>
      </c>
      <c r="E2798">
        <v>2016</v>
      </c>
      <c r="F2798" t="s">
        <v>68</v>
      </c>
    </row>
    <row r="2799" spans="1:6" x14ac:dyDescent="0.25">
      <c r="A2799" t="s">
        <v>38</v>
      </c>
      <c r="B2799" t="s">
        <v>39</v>
      </c>
      <c r="C2799" t="s">
        <v>60</v>
      </c>
      <c r="D2799">
        <v>13345</v>
      </c>
      <c r="E2799">
        <v>2016</v>
      </c>
      <c r="F2799" t="s">
        <v>68</v>
      </c>
    </row>
    <row r="2800" spans="1:6" x14ac:dyDescent="0.25">
      <c r="A2800" t="s">
        <v>40</v>
      </c>
      <c r="B2800" t="s">
        <v>41</v>
      </c>
      <c r="C2800" t="s">
        <v>60</v>
      </c>
      <c r="D2800">
        <v>33951</v>
      </c>
      <c r="E2800">
        <v>2016</v>
      </c>
      <c r="F2800" t="s">
        <v>68</v>
      </c>
    </row>
    <row r="2801" spans="1:6" x14ac:dyDescent="0.25">
      <c r="A2801" t="s">
        <v>42</v>
      </c>
      <c r="B2801" t="s">
        <v>43</v>
      </c>
      <c r="C2801" t="s">
        <v>60</v>
      </c>
      <c r="D2801">
        <v>411</v>
      </c>
      <c r="E2801">
        <v>2016</v>
      </c>
      <c r="F2801" t="s">
        <v>68</v>
      </c>
    </row>
    <row r="2802" spans="1:6" x14ac:dyDescent="0.25">
      <c r="A2802" t="s">
        <v>44</v>
      </c>
      <c r="B2802" t="s">
        <v>45</v>
      </c>
      <c r="C2802" t="s">
        <v>60</v>
      </c>
      <c r="D2802">
        <v>17994</v>
      </c>
      <c r="E2802">
        <v>2016</v>
      </c>
      <c r="F2802" t="s">
        <v>68</v>
      </c>
    </row>
    <row r="2803" spans="1:6" x14ac:dyDescent="0.25">
      <c r="A2803" t="s">
        <v>46</v>
      </c>
      <c r="B2803" t="s">
        <v>47</v>
      </c>
      <c r="C2803" t="s">
        <v>60</v>
      </c>
      <c r="D2803">
        <v>17254</v>
      </c>
      <c r="E2803">
        <v>2016</v>
      </c>
      <c r="F2803" t="s">
        <v>68</v>
      </c>
    </row>
    <row r="2804" spans="1:6" x14ac:dyDescent="0.25">
      <c r="A2804" t="s">
        <v>48</v>
      </c>
      <c r="B2804" t="s">
        <v>49</v>
      </c>
      <c r="C2804" t="s">
        <v>60</v>
      </c>
      <c r="D2804">
        <v>12653</v>
      </c>
      <c r="E2804">
        <v>2016</v>
      </c>
      <c r="F2804" t="s">
        <v>68</v>
      </c>
    </row>
    <row r="2805" spans="1:6" x14ac:dyDescent="0.25">
      <c r="A2805" t="s">
        <v>50</v>
      </c>
      <c r="B2805" t="s">
        <v>51</v>
      </c>
      <c r="C2805" t="s">
        <v>60</v>
      </c>
      <c r="D2805">
        <v>6265</v>
      </c>
      <c r="E2805">
        <v>2016</v>
      </c>
      <c r="F2805" t="s">
        <v>68</v>
      </c>
    </row>
    <row r="2806" spans="1:6" x14ac:dyDescent="0.25">
      <c r="A2806" t="s">
        <v>52</v>
      </c>
      <c r="B2806" t="s">
        <v>53</v>
      </c>
      <c r="C2806" t="s">
        <v>60</v>
      </c>
      <c r="D2806">
        <v>18908</v>
      </c>
      <c r="E2806">
        <v>2016</v>
      </c>
      <c r="F2806" t="s">
        <v>68</v>
      </c>
    </row>
    <row r="2807" spans="1:6" x14ac:dyDescent="0.25">
      <c r="A2807" t="s">
        <v>54</v>
      </c>
      <c r="B2807" t="s">
        <v>55</v>
      </c>
      <c r="C2807" t="s">
        <v>60</v>
      </c>
      <c r="D2807">
        <v>26221</v>
      </c>
      <c r="E2807">
        <v>2016</v>
      </c>
      <c r="F2807" t="s">
        <v>68</v>
      </c>
    </row>
    <row r="2808" spans="1:6" x14ac:dyDescent="0.25">
      <c r="A2808" t="s">
        <v>56</v>
      </c>
      <c r="B2808" t="s">
        <v>57</v>
      </c>
      <c r="C2808" t="s">
        <v>60</v>
      </c>
      <c r="E2808">
        <v>2016</v>
      </c>
      <c r="F2808" t="s">
        <v>68</v>
      </c>
    </row>
    <row r="2809" spans="1:6" x14ac:dyDescent="0.25">
      <c r="A2809" t="s">
        <v>58</v>
      </c>
      <c r="B2809" t="s">
        <v>59</v>
      </c>
      <c r="C2809" t="s">
        <v>60</v>
      </c>
      <c r="E2809">
        <v>2016</v>
      </c>
      <c r="F2809" t="s">
        <v>68</v>
      </c>
    </row>
    <row r="2810" spans="1:6" x14ac:dyDescent="0.25">
      <c r="A2810" t="s">
        <v>6</v>
      </c>
      <c r="B2810" t="s">
        <v>7</v>
      </c>
      <c r="C2810" t="s">
        <v>61</v>
      </c>
      <c r="D2810">
        <v>248528</v>
      </c>
      <c r="E2810">
        <v>2016</v>
      </c>
      <c r="F2810" t="s">
        <v>68</v>
      </c>
    </row>
    <row r="2811" spans="1:6" x14ac:dyDescent="0.25">
      <c r="A2811" t="s">
        <v>10</v>
      </c>
      <c r="B2811" t="s">
        <v>11</v>
      </c>
      <c r="C2811" t="s">
        <v>61</v>
      </c>
      <c r="D2811">
        <v>112477</v>
      </c>
      <c r="E2811">
        <v>2016</v>
      </c>
      <c r="F2811" t="s">
        <v>68</v>
      </c>
    </row>
    <row r="2812" spans="1:6" x14ac:dyDescent="0.25">
      <c r="A2812" t="s">
        <v>12</v>
      </c>
      <c r="B2812" t="s">
        <v>13</v>
      </c>
      <c r="C2812" t="s">
        <v>61</v>
      </c>
      <c r="D2812">
        <v>8266</v>
      </c>
      <c r="E2812">
        <v>2016</v>
      </c>
      <c r="F2812" t="s">
        <v>68</v>
      </c>
    </row>
    <row r="2813" spans="1:6" x14ac:dyDescent="0.25">
      <c r="A2813" t="s">
        <v>14</v>
      </c>
      <c r="B2813" t="s">
        <v>15</v>
      </c>
      <c r="C2813" t="s">
        <v>61</v>
      </c>
      <c r="D2813">
        <v>132</v>
      </c>
      <c r="E2813">
        <v>2016</v>
      </c>
      <c r="F2813" t="s">
        <v>68</v>
      </c>
    </row>
    <row r="2814" spans="1:6" x14ac:dyDescent="0.25">
      <c r="A2814" t="s">
        <v>16</v>
      </c>
      <c r="B2814" t="s">
        <v>17</v>
      </c>
      <c r="C2814" t="s">
        <v>61</v>
      </c>
      <c r="D2814">
        <v>10818</v>
      </c>
      <c r="E2814">
        <v>2016</v>
      </c>
      <c r="F2814" t="s">
        <v>68</v>
      </c>
    </row>
    <row r="2815" spans="1:6" x14ac:dyDescent="0.25">
      <c r="A2815" t="s">
        <v>18</v>
      </c>
      <c r="B2815" t="s">
        <v>19</v>
      </c>
      <c r="C2815" t="s">
        <v>61</v>
      </c>
      <c r="D2815">
        <v>12245</v>
      </c>
      <c r="E2815">
        <v>2016</v>
      </c>
      <c r="F2815" t="s">
        <v>68</v>
      </c>
    </row>
    <row r="2816" spans="1:6" x14ac:dyDescent="0.25">
      <c r="A2816" t="s">
        <v>20</v>
      </c>
      <c r="B2816" t="s">
        <v>21</v>
      </c>
      <c r="C2816" t="s">
        <v>61</v>
      </c>
      <c r="D2816">
        <v>2373</v>
      </c>
      <c r="E2816">
        <v>2016</v>
      </c>
      <c r="F2816" t="s">
        <v>68</v>
      </c>
    </row>
    <row r="2817" spans="1:6" x14ac:dyDescent="0.25">
      <c r="A2817" t="s">
        <v>22</v>
      </c>
      <c r="B2817" t="s">
        <v>23</v>
      </c>
      <c r="C2817" t="s">
        <v>61</v>
      </c>
      <c r="D2817">
        <v>6622</v>
      </c>
      <c r="E2817">
        <v>2016</v>
      </c>
      <c r="F2817" t="s">
        <v>68</v>
      </c>
    </row>
    <row r="2818" spans="1:6" x14ac:dyDescent="0.25">
      <c r="A2818" t="s">
        <v>24</v>
      </c>
      <c r="B2818" t="s">
        <v>25</v>
      </c>
      <c r="C2818" t="s">
        <v>61</v>
      </c>
      <c r="D2818">
        <v>9208</v>
      </c>
      <c r="E2818">
        <v>2016</v>
      </c>
      <c r="F2818" t="s">
        <v>68</v>
      </c>
    </row>
    <row r="2819" spans="1:6" x14ac:dyDescent="0.25">
      <c r="A2819" t="s">
        <v>26</v>
      </c>
      <c r="B2819" t="s">
        <v>27</v>
      </c>
      <c r="C2819" t="s">
        <v>61</v>
      </c>
      <c r="D2819">
        <v>4668</v>
      </c>
      <c r="E2819">
        <v>2016</v>
      </c>
      <c r="F2819" t="s">
        <v>68</v>
      </c>
    </row>
    <row r="2820" spans="1:6" x14ac:dyDescent="0.25">
      <c r="A2820" t="s">
        <v>28</v>
      </c>
      <c r="B2820" t="s">
        <v>29</v>
      </c>
      <c r="C2820" t="s">
        <v>61</v>
      </c>
      <c r="D2820">
        <v>658</v>
      </c>
      <c r="E2820">
        <v>2016</v>
      </c>
      <c r="F2820" t="s">
        <v>68</v>
      </c>
    </row>
    <row r="2821" spans="1:6" x14ac:dyDescent="0.25">
      <c r="A2821" t="s">
        <v>30</v>
      </c>
      <c r="B2821" t="s">
        <v>31</v>
      </c>
      <c r="C2821" t="s">
        <v>61</v>
      </c>
      <c r="D2821">
        <v>8607</v>
      </c>
      <c r="E2821">
        <v>2016</v>
      </c>
      <c r="F2821" t="s">
        <v>68</v>
      </c>
    </row>
    <row r="2822" spans="1:6" x14ac:dyDescent="0.25">
      <c r="A2822" t="s">
        <v>32</v>
      </c>
      <c r="B2822" t="s">
        <v>33</v>
      </c>
      <c r="C2822" t="s">
        <v>61</v>
      </c>
      <c r="D2822">
        <v>4257</v>
      </c>
      <c r="E2822">
        <v>2016</v>
      </c>
      <c r="F2822" t="s">
        <v>68</v>
      </c>
    </row>
    <row r="2823" spans="1:6" x14ac:dyDescent="0.25">
      <c r="A2823" t="s">
        <v>34</v>
      </c>
      <c r="B2823" t="s">
        <v>35</v>
      </c>
      <c r="C2823" t="s">
        <v>61</v>
      </c>
      <c r="D2823">
        <v>15725</v>
      </c>
      <c r="E2823">
        <v>2016</v>
      </c>
      <c r="F2823" t="s">
        <v>68</v>
      </c>
    </row>
    <row r="2824" spans="1:6" x14ac:dyDescent="0.25">
      <c r="A2824" t="s">
        <v>36</v>
      </c>
      <c r="B2824" t="s">
        <v>37</v>
      </c>
      <c r="C2824" t="s">
        <v>61</v>
      </c>
      <c r="D2824">
        <v>12323</v>
      </c>
      <c r="E2824">
        <v>2016</v>
      </c>
      <c r="F2824" t="s">
        <v>68</v>
      </c>
    </row>
    <row r="2825" spans="1:6" x14ac:dyDescent="0.25">
      <c r="A2825" t="s">
        <v>38</v>
      </c>
      <c r="B2825" t="s">
        <v>39</v>
      </c>
      <c r="C2825" t="s">
        <v>61</v>
      </c>
      <c r="D2825">
        <v>8416</v>
      </c>
      <c r="E2825">
        <v>2016</v>
      </c>
      <c r="F2825" t="s">
        <v>68</v>
      </c>
    </row>
    <row r="2826" spans="1:6" x14ac:dyDescent="0.25">
      <c r="A2826" t="s">
        <v>40</v>
      </c>
      <c r="B2826" t="s">
        <v>41</v>
      </c>
      <c r="C2826" t="s">
        <v>61</v>
      </c>
      <c r="D2826">
        <v>5714</v>
      </c>
      <c r="E2826">
        <v>2016</v>
      </c>
      <c r="F2826" t="s">
        <v>68</v>
      </c>
    </row>
    <row r="2827" spans="1:6" x14ac:dyDescent="0.25">
      <c r="A2827" t="s">
        <v>42</v>
      </c>
      <c r="B2827" t="s">
        <v>43</v>
      </c>
      <c r="C2827" t="s">
        <v>61</v>
      </c>
      <c r="D2827">
        <v>600</v>
      </c>
      <c r="E2827">
        <v>2016</v>
      </c>
      <c r="F2827" t="s">
        <v>68</v>
      </c>
    </row>
    <row r="2828" spans="1:6" x14ac:dyDescent="0.25">
      <c r="A2828" t="s">
        <v>44</v>
      </c>
      <c r="B2828" t="s">
        <v>45</v>
      </c>
      <c r="C2828" t="s">
        <v>61</v>
      </c>
      <c r="D2828">
        <v>5677</v>
      </c>
      <c r="E2828">
        <v>2016</v>
      </c>
      <c r="F2828" t="s">
        <v>68</v>
      </c>
    </row>
    <row r="2829" spans="1:6" x14ac:dyDescent="0.25">
      <c r="A2829" t="s">
        <v>46</v>
      </c>
      <c r="B2829" t="s">
        <v>47</v>
      </c>
      <c r="C2829" t="s">
        <v>61</v>
      </c>
      <c r="D2829">
        <v>1599</v>
      </c>
      <c r="E2829">
        <v>2016</v>
      </c>
      <c r="F2829" t="s">
        <v>68</v>
      </c>
    </row>
    <row r="2830" spans="1:6" x14ac:dyDescent="0.25">
      <c r="A2830" t="s">
        <v>48</v>
      </c>
      <c r="B2830" t="s">
        <v>49</v>
      </c>
      <c r="C2830" t="s">
        <v>61</v>
      </c>
      <c r="D2830">
        <v>3749</v>
      </c>
      <c r="E2830">
        <v>2016</v>
      </c>
      <c r="F2830" t="s">
        <v>68</v>
      </c>
    </row>
    <row r="2831" spans="1:6" x14ac:dyDescent="0.25">
      <c r="A2831" t="s">
        <v>50</v>
      </c>
      <c r="B2831" t="s">
        <v>51</v>
      </c>
      <c r="C2831" t="s">
        <v>61</v>
      </c>
      <c r="D2831">
        <v>1199</v>
      </c>
      <c r="E2831">
        <v>2016</v>
      </c>
      <c r="F2831" t="s">
        <v>68</v>
      </c>
    </row>
    <row r="2832" spans="1:6" x14ac:dyDescent="0.25">
      <c r="A2832" t="s">
        <v>52</v>
      </c>
      <c r="B2832" t="s">
        <v>53</v>
      </c>
      <c r="C2832" t="s">
        <v>61</v>
      </c>
      <c r="D2832">
        <v>4151</v>
      </c>
      <c r="E2832">
        <v>2016</v>
      </c>
      <c r="F2832" t="s">
        <v>68</v>
      </c>
    </row>
    <row r="2833" spans="1:6" x14ac:dyDescent="0.25">
      <c r="A2833" t="s">
        <v>54</v>
      </c>
      <c r="B2833" t="s">
        <v>55</v>
      </c>
      <c r="C2833" t="s">
        <v>61</v>
      </c>
      <c r="D2833">
        <v>1560</v>
      </c>
      <c r="E2833">
        <v>2016</v>
      </c>
      <c r="F2833" t="s">
        <v>68</v>
      </c>
    </row>
    <row r="2834" spans="1:6" x14ac:dyDescent="0.25">
      <c r="A2834" t="s">
        <v>56</v>
      </c>
      <c r="B2834" t="s">
        <v>57</v>
      </c>
      <c r="C2834" t="s">
        <v>61</v>
      </c>
      <c r="D2834">
        <v>7477</v>
      </c>
      <c r="E2834">
        <v>2016</v>
      </c>
      <c r="F2834" t="s">
        <v>68</v>
      </c>
    </row>
    <row r="2835" spans="1:6" x14ac:dyDescent="0.25">
      <c r="A2835" t="s">
        <v>58</v>
      </c>
      <c r="B2835" t="s">
        <v>59</v>
      </c>
      <c r="C2835" t="s">
        <v>61</v>
      </c>
      <c r="E2835">
        <v>2016</v>
      </c>
      <c r="F2835" t="s">
        <v>68</v>
      </c>
    </row>
    <row r="2836" spans="1:6" x14ac:dyDescent="0.25">
      <c r="A2836" t="s">
        <v>6</v>
      </c>
      <c r="B2836" t="s">
        <v>7</v>
      </c>
      <c r="C2836" t="s">
        <v>65</v>
      </c>
      <c r="D2836">
        <v>4054915</v>
      </c>
      <c r="E2836">
        <v>2016</v>
      </c>
      <c r="F2836" t="s">
        <v>68</v>
      </c>
    </row>
    <row r="2837" spans="1:6" x14ac:dyDescent="0.25">
      <c r="A2837" t="s">
        <v>10</v>
      </c>
      <c r="B2837" t="s">
        <v>11</v>
      </c>
      <c r="C2837" t="s">
        <v>65</v>
      </c>
      <c r="D2837">
        <v>822478</v>
      </c>
      <c r="E2837">
        <v>2016</v>
      </c>
      <c r="F2837" t="s">
        <v>68</v>
      </c>
    </row>
    <row r="2838" spans="1:6" x14ac:dyDescent="0.25">
      <c r="A2838" t="s">
        <v>12</v>
      </c>
      <c r="B2838" t="s">
        <v>13</v>
      </c>
      <c r="C2838" t="s">
        <v>65</v>
      </c>
      <c r="D2838">
        <v>143540</v>
      </c>
      <c r="E2838">
        <v>2016</v>
      </c>
      <c r="F2838" t="s">
        <v>68</v>
      </c>
    </row>
    <row r="2839" spans="1:6" x14ac:dyDescent="0.25">
      <c r="A2839" t="s">
        <v>14</v>
      </c>
      <c r="B2839" t="s">
        <v>15</v>
      </c>
      <c r="C2839" t="s">
        <v>65</v>
      </c>
      <c r="D2839">
        <v>2255</v>
      </c>
      <c r="E2839">
        <v>2016</v>
      </c>
      <c r="F2839" t="s">
        <v>68</v>
      </c>
    </row>
    <row r="2840" spans="1:6" x14ac:dyDescent="0.25">
      <c r="A2840" t="s">
        <v>16</v>
      </c>
      <c r="B2840" t="s">
        <v>17</v>
      </c>
      <c r="C2840" t="s">
        <v>65</v>
      </c>
      <c r="D2840">
        <v>267263</v>
      </c>
      <c r="E2840">
        <v>2016</v>
      </c>
      <c r="F2840" t="s">
        <v>68</v>
      </c>
    </row>
    <row r="2841" spans="1:6" x14ac:dyDescent="0.25">
      <c r="A2841" t="s">
        <v>18</v>
      </c>
      <c r="B2841" t="s">
        <v>19</v>
      </c>
      <c r="C2841" t="s">
        <v>65</v>
      </c>
      <c r="D2841">
        <v>163230</v>
      </c>
      <c r="E2841">
        <v>2016</v>
      </c>
      <c r="F2841" t="s">
        <v>68</v>
      </c>
    </row>
    <row r="2842" spans="1:6" x14ac:dyDescent="0.25">
      <c r="A2842" t="s">
        <v>20</v>
      </c>
      <c r="B2842" t="s">
        <v>21</v>
      </c>
      <c r="C2842" t="s">
        <v>65</v>
      </c>
      <c r="D2842">
        <v>77648</v>
      </c>
      <c r="E2842">
        <v>2016</v>
      </c>
      <c r="F2842" t="s">
        <v>68</v>
      </c>
    </row>
    <row r="2843" spans="1:6" x14ac:dyDescent="0.25">
      <c r="A2843" t="s">
        <v>22</v>
      </c>
      <c r="B2843" t="s">
        <v>23</v>
      </c>
      <c r="C2843" t="s">
        <v>65</v>
      </c>
      <c r="D2843">
        <v>30096</v>
      </c>
      <c r="E2843">
        <v>2016</v>
      </c>
      <c r="F2843" t="s">
        <v>68</v>
      </c>
    </row>
    <row r="2844" spans="1:6" x14ac:dyDescent="0.25">
      <c r="A2844" t="s">
        <v>24</v>
      </c>
      <c r="B2844" t="s">
        <v>25</v>
      </c>
      <c r="C2844" t="s">
        <v>65</v>
      </c>
      <c r="D2844">
        <v>73176</v>
      </c>
      <c r="E2844">
        <v>2016</v>
      </c>
      <c r="F2844" t="s">
        <v>68</v>
      </c>
    </row>
    <row r="2845" spans="1:6" x14ac:dyDescent="0.25">
      <c r="A2845" t="s">
        <v>26</v>
      </c>
      <c r="B2845" t="s">
        <v>27</v>
      </c>
      <c r="C2845" t="s">
        <v>65</v>
      </c>
      <c r="D2845">
        <v>14687</v>
      </c>
      <c r="E2845">
        <v>2016</v>
      </c>
      <c r="F2845" t="s">
        <v>68</v>
      </c>
    </row>
    <row r="2846" spans="1:6" x14ac:dyDescent="0.25">
      <c r="A2846" t="s">
        <v>28</v>
      </c>
      <c r="B2846" t="s">
        <v>29</v>
      </c>
      <c r="C2846" t="s">
        <v>65</v>
      </c>
      <c r="D2846">
        <v>29891</v>
      </c>
      <c r="E2846">
        <v>2016</v>
      </c>
      <c r="F2846" t="s">
        <v>68</v>
      </c>
    </row>
    <row r="2847" spans="1:6" x14ac:dyDescent="0.25">
      <c r="A2847" t="s">
        <v>30</v>
      </c>
      <c r="B2847" t="s">
        <v>31</v>
      </c>
      <c r="C2847" t="s">
        <v>65</v>
      </c>
      <c r="D2847">
        <v>180664</v>
      </c>
      <c r="E2847">
        <v>2016</v>
      </c>
      <c r="F2847" t="s">
        <v>68</v>
      </c>
    </row>
    <row r="2848" spans="1:6" x14ac:dyDescent="0.25">
      <c r="A2848" t="s">
        <v>32</v>
      </c>
      <c r="B2848" t="s">
        <v>33</v>
      </c>
      <c r="C2848" t="s">
        <v>65</v>
      </c>
      <c r="D2848">
        <v>66946</v>
      </c>
      <c r="E2848">
        <v>2016</v>
      </c>
      <c r="F2848" t="s">
        <v>68</v>
      </c>
    </row>
    <row r="2849" spans="1:6" x14ac:dyDescent="0.25">
      <c r="A2849" t="s">
        <v>34</v>
      </c>
      <c r="B2849" t="s">
        <v>35</v>
      </c>
      <c r="C2849" t="s">
        <v>65</v>
      </c>
      <c r="D2849">
        <v>232773</v>
      </c>
      <c r="E2849">
        <v>2016</v>
      </c>
      <c r="F2849" t="s">
        <v>68</v>
      </c>
    </row>
    <row r="2850" spans="1:6" x14ac:dyDescent="0.25">
      <c r="A2850" t="s">
        <v>36</v>
      </c>
      <c r="B2850" t="s">
        <v>37</v>
      </c>
      <c r="C2850" t="s">
        <v>65</v>
      </c>
      <c r="D2850">
        <v>163864</v>
      </c>
      <c r="E2850">
        <v>2016</v>
      </c>
      <c r="F2850" t="s">
        <v>68</v>
      </c>
    </row>
    <row r="2851" spans="1:6" x14ac:dyDescent="0.25">
      <c r="A2851" t="s">
        <v>38</v>
      </c>
      <c r="B2851" t="s">
        <v>39</v>
      </c>
      <c r="C2851" t="s">
        <v>65</v>
      </c>
      <c r="D2851">
        <v>112225</v>
      </c>
      <c r="E2851">
        <v>2016</v>
      </c>
      <c r="F2851" t="s">
        <v>68</v>
      </c>
    </row>
    <row r="2852" spans="1:6" x14ac:dyDescent="0.25">
      <c r="A2852" t="s">
        <v>40</v>
      </c>
      <c r="B2852" t="s">
        <v>41</v>
      </c>
      <c r="C2852" t="s">
        <v>65</v>
      </c>
      <c r="D2852">
        <v>298576</v>
      </c>
      <c r="E2852">
        <v>2016</v>
      </c>
      <c r="F2852" t="s">
        <v>68</v>
      </c>
    </row>
    <row r="2853" spans="1:6" x14ac:dyDescent="0.25">
      <c r="A2853" t="s">
        <v>42</v>
      </c>
      <c r="B2853" t="s">
        <v>43</v>
      </c>
      <c r="C2853" t="s">
        <v>65</v>
      </c>
      <c r="D2853">
        <v>305617</v>
      </c>
      <c r="E2853">
        <v>2016</v>
      </c>
      <c r="F2853" t="s">
        <v>68</v>
      </c>
    </row>
    <row r="2854" spans="1:6" x14ac:dyDescent="0.25">
      <c r="A2854" t="s">
        <v>44</v>
      </c>
      <c r="B2854" t="s">
        <v>45</v>
      </c>
      <c r="C2854" t="s">
        <v>65</v>
      </c>
      <c r="D2854">
        <v>521154</v>
      </c>
      <c r="E2854">
        <v>2016</v>
      </c>
      <c r="F2854" t="s">
        <v>68</v>
      </c>
    </row>
    <row r="2855" spans="1:6" x14ac:dyDescent="0.25">
      <c r="A2855" t="s">
        <v>46</v>
      </c>
      <c r="B2855" t="s">
        <v>47</v>
      </c>
      <c r="C2855" t="s">
        <v>65</v>
      </c>
      <c r="D2855">
        <v>394320</v>
      </c>
      <c r="E2855">
        <v>2016</v>
      </c>
      <c r="F2855" t="s">
        <v>68</v>
      </c>
    </row>
    <row r="2856" spans="1:6" x14ac:dyDescent="0.25">
      <c r="A2856" t="s">
        <v>48</v>
      </c>
      <c r="B2856" t="s">
        <v>49</v>
      </c>
      <c r="C2856" t="s">
        <v>65</v>
      </c>
      <c r="D2856">
        <v>97006</v>
      </c>
      <c r="E2856">
        <v>2016</v>
      </c>
      <c r="F2856" t="s">
        <v>68</v>
      </c>
    </row>
    <row r="2857" spans="1:6" x14ac:dyDescent="0.25">
      <c r="A2857" t="s">
        <v>50</v>
      </c>
      <c r="B2857" t="s">
        <v>51</v>
      </c>
      <c r="C2857" t="s">
        <v>65</v>
      </c>
      <c r="D2857">
        <v>14172</v>
      </c>
      <c r="E2857">
        <v>2016</v>
      </c>
      <c r="F2857" t="s">
        <v>68</v>
      </c>
    </row>
    <row r="2858" spans="1:6" x14ac:dyDescent="0.25">
      <c r="A2858" t="s">
        <v>52</v>
      </c>
      <c r="B2858" t="s">
        <v>53</v>
      </c>
      <c r="C2858" t="s">
        <v>65</v>
      </c>
      <c r="D2858">
        <v>29903</v>
      </c>
      <c r="E2858">
        <v>2016</v>
      </c>
      <c r="F2858" t="s">
        <v>68</v>
      </c>
    </row>
    <row r="2859" spans="1:6" x14ac:dyDescent="0.25">
      <c r="A2859" t="s">
        <v>54</v>
      </c>
      <c r="B2859" t="s">
        <v>55</v>
      </c>
      <c r="C2859" t="s">
        <v>65</v>
      </c>
      <c r="D2859">
        <v>13431</v>
      </c>
      <c r="E2859">
        <v>2016</v>
      </c>
      <c r="F2859" t="s">
        <v>68</v>
      </c>
    </row>
    <row r="2860" spans="1:6" x14ac:dyDescent="0.25">
      <c r="A2860" t="s">
        <v>56</v>
      </c>
      <c r="B2860" t="s">
        <v>57</v>
      </c>
      <c r="C2860" t="s">
        <v>65</v>
      </c>
      <c r="E2860">
        <v>2016</v>
      </c>
      <c r="F2860" t="s">
        <v>68</v>
      </c>
    </row>
    <row r="2861" spans="1:6" x14ac:dyDescent="0.25">
      <c r="A2861" t="s">
        <v>58</v>
      </c>
      <c r="B2861" t="s">
        <v>59</v>
      </c>
      <c r="C2861" t="s">
        <v>65</v>
      </c>
      <c r="E2861">
        <v>2016</v>
      </c>
      <c r="F2861" t="s">
        <v>68</v>
      </c>
    </row>
    <row r="2862" spans="1:6" x14ac:dyDescent="0.25">
      <c r="A2862" t="s">
        <v>6</v>
      </c>
      <c r="B2862" t="s">
        <v>7</v>
      </c>
      <c r="C2862" t="s">
        <v>62</v>
      </c>
      <c r="D2862">
        <v>642083</v>
      </c>
      <c r="E2862">
        <v>2016</v>
      </c>
      <c r="F2862" t="s">
        <v>68</v>
      </c>
    </row>
    <row r="2863" spans="1:6" x14ac:dyDescent="0.25">
      <c r="A2863" t="s">
        <v>10</v>
      </c>
      <c r="B2863" t="s">
        <v>11</v>
      </c>
      <c r="C2863" t="s">
        <v>62</v>
      </c>
      <c r="D2863">
        <v>251886</v>
      </c>
      <c r="E2863">
        <v>2016</v>
      </c>
      <c r="F2863" t="s">
        <v>68</v>
      </c>
    </row>
    <row r="2864" spans="1:6" x14ac:dyDescent="0.25">
      <c r="A2864" t="s">
        <v>12</v>
      </c>
      <c r="B2864" t="s">
        <v>13</v>
      </c>
      <c r="C2864" t="s">
        <v>62</v>
      </c>
      <c r="D2864">
        <v>15365</v>
      </c>
      <c r="E2864">
        <v>2016</v>
      </c>
      <c r="F2864" t="s">
        <v>68</v>
      </c>
    </row>
    <row r="2865" spans="1:6" x14ac:dyDescent="0.25">
      <c r="A2865" t="s">
        <v>14</v>
      </c>
      <c r="B2865" t="s">
        <v>15</v>
      </c>
      <c r="C2865" t="s">
        <v>62</v>
      </c>
      <c r="E2865">
        <v>2016</v>
      </c>
      <c r="F2865" t="s">
        <v>68</v>
      </c>
    </row>
    <row r="2866" spans="1:6" x14ac:dyDescent="0.25">
      <c r="A2866" t="s">
        <v>16</v>
      </c>
      <c r="B2866" t="s">
        <v>17</v>
      </c>
      <c r="C2866" t="s">
        <v>62</v>
      </c>
      <c r="D2866">
        <v>38484</v>
      </c>
      <c r="E2866">
        <v>2016</v>
      </c>
      <c r="F2866" t="s">
        <v>68</v>
      </c>
    </row>
    <row r="2867" spans="1:6" x14ac:dyDescent="0.25">
      <c r="A2867" t="s">
        <v>18</v>
      </c>
      <c r="B2867" t="s">
        <v>19</v>
      </c>
      <c r="C2867" t="s">
        <v>62</v>
      </c>
      <c r="D2867">
        <v>54805</v>
      </c>
      <c r="E2867">
        <v>2016</v>
      </c>
      <c r="F2867" t="s">
        <v>68</v>
      </c>
    </row>
    <row r="2868" spans="1:6" x14ac:dyDescent="0.25">
      <c r="A2868" t="s">
        <v>20</v>
      </c>
      <c r="B2868" t="s">
        <v>21</v>
      </c>
      <c r="C2868" t="s">
        <v>62</v>
      </c>
      <c r="D2868">
        <v>9119</v>
      </c>
      <c r="E2868">
        <v>2016</v>
      </c>
      <c r="F2868" t="s">
        <v>68</v>
      </c>
    </row>
    <row r="2869" spans="1:6" x14ac:dyDescent="0.25">
      <c r="A2869" t="s">
        <v>22</v>
      </c>
      <c r="B2869" t="s">
        <v>23</v>
      </c>
      <c r="C2869" t="s">
        <v>62</v>
      </c>
      <c r="D2869">
        <v>8106</v>
      </c>
      <c r="E2869">
        <v>2016</v>
      </c>
      <c r="F2869" t="s">
        <v>68</v>
      </c>
    </row>
    <row r="2870" spans="1:6" x14ac:dyDescent="0.25">
      <c r="A2870" t="s">
        <v>24</v>
      </c>
      <c r="B2870" t="s">
        <v>25</v>
      </c>
      <c r="C2870" t="s">
        <v>62</v>
      </c>
      <c r="D2870">
        <v>12179</v>
      </c>
      <c r="E2870">
        <v>2016</v>
      </c>
      <c r="F2870" t="s">
        <v>68</v>
      </c>
    </row>
    <row r="2871" spans="1:6" x14ac:dyDescent="0.25">
      <c r="A2871" t="s">
        <v>26</v>
      </c>
      <c r="B2871" t="s">
        <v>27</v>
      </c>
      <c r="C2871" t="s">
        <v>62</v>
      </c>
      <c r="D2871">
        <v>15531</v>
      </c>
      <c r="E2871">
        <v>2016</v>
      </c>
      <c r="F2871" t="s">
        <v>68</v>
      </c>
    </row>
    <row r="2872" spans="1:6" x14ac:dyDescent="0.25">
      <c r="A2872" t="s">
        <v>28</v>
      </c>
      <c r="B2872" t="s">
        <v>29</v>
      </c>
      <c r="C2872" t="s">
        <v>62</v>
      </c>
      <c r="D2872">
        <v>4730</v>
      </c>
      <c r="E2872">
        <v>2016</v>
      </c>
      <c r="F2872" t="s">
        <v>68</v>
      </c>
    </row>
    <row r="2873" spans="1:6" x14ac:dyDescent="0.25">
      <c r="A2873" t="s">
        <v>30</v>
      </c>
      <c r="B2873" t="s">
        <v>31</v>
      </c>
      <c r="C2873" t="s">
        <v>62</v>
      </c>
      <c r="D2873">
        <v>31968</v>
      </c>
      <c r="E2873">
        <v>2016</v>
      </c>
      <c r="F2873" t="s">
        <v>68</v>
      </c>
    </row>
    <row r="2874" spans="1:6" x14ac:dyDescent="0.25">
      <c r="A2874" t="s">
        <v>32</v>
      </c>
      <c r="B2874" t="s">
        <v>33</v>
      </c>
      <c r="C2874" t="s">
        <v>62</v>
      </c>
      <c r="D2874">
        <v>12717</v>
      </c>
      <c r="E2874">
        <v>2016</v>
      </c>
      <c r="F2874" t="s">
        <v>68</v>
      </c>
    </row>
    <row r="2875" spans="1:6" x14ac:dyDescent="0.25">
      <c r="A2875" t="s">
        <v>34</v>
      </c>
      <c r="B2875" t="s">
        <v>35</v>
      </c>
      <c r="C2875" t="s">
        <v>62</v>
      </c>
      <c r="D2875">
        <v>40770</v>
      </c>
      <c r="E2875">
        <v>2016</v>
      </c>
      <c r="F2875" t="s">
        <v>68</v>
      </c>
    </row>
    <row r="2876" spans="1:6" x14ac:dyDescent="0.25">
      <c r="A2876" t="s">
        <v>36</v>
      </c>
      <c r="B2876" t="s">
        <v>37</v>
      </c>
      <c r="C2876" t="s">
        <v>62</v>
      </c>
      <c r="D2876">
        <v>27749</v>
      </c>
      <c r="E2876">
        <v>2016</v>
      </c>
      <c r="F2876" t="s">
        <v>68</v>
      </c>
    </row>
    <row r="2877" spans="1:6" x14ac:dyDescent="0.25">
      <c r="A2877" t="s">
        <v>38</v>
      </c>
      <c r="B2877" t="s">
        <v>39</v>
      </c>
      <c r="C2877" t="s">
        <v>62</v>
      </c>
      <c r="D2877">
        <v>10513</v>
      </c>
      <c r="E2877">
        <v>2016</v>
      </c>
      <c r="F2877" t="s">
        <v>68</v>
      </c>
    </row>
    <row r="2878" spans="1:6" x14ac:dyDescent="0.25">
      <c r="A2878" t="s">
        <v>40</v>
      </c>
      <c r="B2878" t="s">
        <v>41</v>
      </c>
      <c r="C2878" t="s">
        <v>62</v>
      </c>
      <c r="D2878">
        <v>44696</v>
      </c>
      <c r="E2878">
        <v>2016</v>
      </c>
      <c r="F2878" t="s">
        <v>68</v>
      </c>
    </row>
    <row r="2879" spans="1:6" x14ac:dyDescent="0.25">
      <c r="A2879" t="s">
        <v>42</v>
      </c>
      <c r="B2879" t="s">
        <v>43</v>
      </c>
      <c r="C2879" t="s">
        <v>62</v>
      </c>
      <c r="D2879">
        <v>1747</v>
      </c>
      <c r="E2879">
        <v>2016</v>
      </c>
      <c r="F2879" t="s">
        <v>68</v>
      </c>
    </row>
    <row r="2880" spans="1:6" x14ac:dyDescent="0.25">
      <c r="A2880" t="s">
        <v>44</v>
      </c>
      <c r="B2880" t="s">
        <v>45</v>
      </c>
      <c r="C2880" t="s">
        <v>62</v>
      </c>
      <c r="D2880">
        <v>7467</v>
      </c>
      <c r="E2880">
        <v>2016</v>
      </c>
      <c r="F2880" t="s">
        <v>68</v>
      </c>
    </row>
    <row r="2881" spans="1:6" x14ac:dyDescent="0.25">
      <c r="A2881" t="s">
        <v>46</v>
      </c>
      <c r="B2881" t="s">
        <v>47</v>
      </c>
      <c r="C2881" t="s">
        <v>62</v>
      </c>
      <c r="D2881">
        <v>11071</v>
      </c>
      <c r="E2881">
        <v>2016</v>
      </c>
      <c r="F2881" t="s">
        <v>68</v>
      </c>
    </row>
    <row r="2882" spans="1:6" x14ac:dyDescent="0.25">
      <c r="A2882" t="s">
        <v>48</v>
      </c>
      <c r="B2882" t="s">
        <v>49</v>
      </c>
      <c r="C2882" t="s">
        <v>62</v>
      </c>
      <c r="D2882">
        <v>6305</v>
      </c>
      <c r="E2882">
        <v>2016</v>
      </c>
      <c r="F2882" t="s">
        <v>68</v>
      </c>
    </row>
    <row r="2883" spans="1:6" x14ac:dyDescent="0.25">
      <c r="A2883" t="s">
        <v>50</v>
      </c>
      <c r="B2883" t="s">
        <v>51</v>
      </c>
      <c r="C2883" t="s">
        <v>62</v>
      </c>
      <c r="D2883">
        <v>3256</v>
      </c>
      <c r="E2883">
        <v>2016</v>
      </c>
      <c r="F2883" t="s">
        <v>68</v>
      </c>
    </row>
    <row r="2884" spans="1:6" x14ac:dyDescent="0.25">
      <c r="A2884" t="s">
        <v>52</v>
      </c>
      <c r="B2884" t="s">
        <v>53</v>
      </c>
      <c r="C2884" t="s">
        <v>62</v>
      </c>
      <c r="D2884">
        <v>10226</v>
      </c>
      <c r="E2884">
        <v>2016</v>
      </c>
      <c r="F2884" t="s">
        <v>68</v>
      </c>
    </row>
    <row r="2885" spans="1:6" x14ac:dyDescent="0.25">
      <c r="A2885" t="s">
        <v>54</v>
      </c>
      <c r="B2885" t="s">
        <v>55</v>
      </c>
      <c r="C2885" t="s">
        <v>62</v>
      </c>
      <c r="D2885">
        <v>6881</v>
      </c>
      <c r="E2885">
        <v>2016</v>
      </c>
      <c r="F2885" t="s">
        <v>68</v>
      </c>
    </row>
    <row r="2886" spans="1:6" x14ac:dyDescent="0.25">
      <c r="A2886" t="s">
        <v>56</v>
      </c>
      <c r="B2886" t="s">
        <v>57</v>
      </c>
      <c r="C2886" t="s">
        <v>62</v>
      </c>
      <c r="D2886">
        <v>16499</v>
      </c>
      <c r="E2886">
        <v>2016</v>
      </c>
      <c r="F2886" t="s">
        <v>68</v>
      </c>
    </row>
    <row r="2887" spans="1:6" x14ac:dyDescent="0.25">
      <c r="A2887" t="s">
        <v>58</v>
      </c>
      <c r="B2887" t="s">
        <v>59</v>
      </c>
      <c r="C2887" t="s">
        <v>62</v>
      </c>
      <c r="E2887">
        <v>2016</v>
      </c>
      <c r="F2887" t="s">
        <v>68</v>
      </c>
    </row>
    <row r="2888" spans="1:6" x14ac:dyDescent="0.25">
      <c r="A2888" t="s">
        <v>6</v>
      </c>
      <c r="B2888" t="s">
        <v>7</v>
      </c>
      <c r="C2888" t="s">
        <v>66</v>
      </c>
      <c r="D2888">
        <v>98575</v>
      </c>
      <c r="E2888">
        <v>2016</v>
      </c>
      <c r="F2888" t="s">
        <v>68</v>
      </c>
    </row>
    <row r="2889" spans="1:6" x14ac:dyDescent="0.25">
      <c r="A2889" t="s">
        <v>10</v>
      </c>
      <c r="B2889" t="s">
        <v>11</v>
      </c>
      <c r="C2889" t="s">
        <v>66</v>
      </c>
      <c r="D2889">
        <v>48451</v>
      </c>
      <c r="E2889">
        <v>2016</v>
      </c>
      <c r="F2889" t="s">
        <v>68</v>
      </c>
    </row>
    <row r="2890" spans="1:6" x14ac:dyDescent="0.25">
      <c r="A2890" t="s">
        <v>12</v>
      </c>
      <c r="B2890" t="s">
        <v>13</v>
      </c>
      <c r="C2890" t="s">
        <v>66</v>
      </c>
      <c r="D2890">
        <v>4501</v>
      </c>
      <c r="E2890">
        <v>2016</v>
      </c>
      <c r="F2890" t="s">
        <v>68</v>
      </c>
    </row>
    <row r="2891" spans="1:6" x14ac:dyDescent="0.25">
      <c r="A2891" t="s">
        <v>14</v>
      </c>
      <c r="B2891" t="s">
        <v>15</v>
      </c>
      <c r="C2891" t="s">
        <v>66</v>
      </c>
      <c r="E2891">
        <v>2016</v>
      </c>
      <c r="F2891" t="s">
        <v>68</v>
      </c>
    </row>
    <row r="2892" spans="1:6" x14ac:dyDescent="0.25">
      <c r="A2892" t="s">
        <v>16</v>
      </c>
      <c r="B2892" t="s">
        <v>17</v>
      </c>
      <c r="C2892" t="s">
        <v>66</v>
      </c>
      <c r="D2892">
        <v>1872</v>
      </c>
      <c r="E2892">
        <v>2016</v>
      </c>
      <c r="F2892" t="s">
        <v>68</v>
      </c>
    </row>
    <row r="2893" spans="1:6" x14ac:dyDescent="0.25">
      <c r="A2893" t="s">
        <v>18</v>
      </c>
      <c r="B2893" t="s">
        <v>19</v>
      </c>
      <c r="C2893" t="s">
        <v>66</v>
      </c>
      <c r="D2893">
        <v>2317</v>
      </c>
      <c r="E2893">
        <v>2016</v>
      </c>
      <c r="F2893" t="s">
        <v>68</v>
      </c>
    </row>
    <row r="2894" spans="1:6" x14ac:dyDescent="0.25">
      <c r="A2894" t="s">
        <v>20</v>
      </c>
      <c r="B2894" t="s">
        <v>21</v>
      </c>
      <c r="C2894" t="s">
        <v>66</v>
      </c>
      <c r="D2894">
        <v>3590</v>
      </c>
      <c r="E2894">
        <v>2016</v>
      </c>
      <c r="F2894" t="s">
        <v>68</v>
      </c>
    </row>
    <row r="2895" spans="1:6" x14ac:dyDescent="0.25">
      <c r="A2895" t="s">
        <v>22</v>
      </c>
      <c r="B2895" t="s">
        <v>23</v>
      </c>
      <c r="C2895" t="s">
        <v>66</v>
      </c>
      <c r="D2895">
        <v>2165</v>
      </c>
      <c r="E2895">
        <v>2016</v>
      </c>
      <c r="F2895" t="s">
        <v>68</v>
      </c>
    </row>
    <row r="2896" spans="1:6" x14ac:dyDescent="0.25">
      <c r="A2896" t="s">
        <v>24</v>
      </c>
      <c r="B2896" t="s">
        <v>25</v>
      </c>
      <c r="C2896" t="s">
        <v>66</v>
      </c>
      <c r="D2896">
        <v>2796</v>
      </c>
      <c r="E2896">
        <v>2016</v>
      </c>
      <c r="F2896" t="s">
        <v>68</v>
      </c>
    </row>
    <row r="2897" spans="1:6" x14ac:dyDescent="0.25">
      <c r="A2897" t="s">
        <v>26</v>
      </c>
      <c r="B2897" t="s">
        <v>27</v>
      </c>
      <c r="C2897" t="s">
        <v>66</v>
      </c>
      <c r="D2897">
        <v>2606</v>
      </c>
      <c r="E2897">
        <v>2016</v>
      </c>
      <c r="F2897" t="s">
        <v>68</v>
      </c>
    </row>
    <row r="2898" spans="1:6" x14ac:dyDescent="0.25">
      <c r="A2898" t="s">
        <v>28</v>
      </c>
      <c r="B2898" t="s">
        <v>29</v>
      </c>
      <c r="C2898" t="s">
        <v>66</v>
      </c>
      <c r="D2898">
        <v>2081</v>
      </c>
      <c r="E2898">
        <v>2016</v>
      </c>
      <c r="F2898" t="s">
        <v>68</v>
      </c>
    </row>
    <row r="2899" spans="1:6" x14ac:dyDescent="0.25">
      <c r="A2899" t="s">
        <v>30</v>
      </c>
      <c r="B2899" t="s">
        <v>31</v>
      </c>
      <c r="C2899" t="s">
        <v>66</v>
      </c>
      <c r="D2899">
        <v>5071</v>
      </c>
      <c r="E2899">
        <v>2016</v>
      </c>
      <c r="F2899" t="s">
        <v>68</v>
      </c>
    </row>
    <row r="2900" spans="1:6" x14ac:dyDescent="0.25">
      <c r="A2900" t="s">
        <v>32</v>
      </c>
      <c r="B2900" t="s">
        <v>33</v>
      </c>
      <c r="C2900" t="s">
        <v>66</v>
      </c>
      <c r="D2900">
        <v>4336</v>
      </c>
      <c r="E2900">
        <v>2016</v>
      </c>
      <c r="F2900" t="s">
        <v>68</v>
      </c>
    </row>
    <row r="2901" spans="1:6" x14ac:dyDescent="0.25">
      <c r="A2901" t="s">
        <v>34</v>
      </c>
      <c r="B2901" t="s">
        <v>35</v>
      </c>
      <c r="C2901" t="s">
        <v>66</v>
      </c>
      <c r="D2901">
        <v>3823</v>
      </c>
      <c r="E2901">
        <v>2016</v>
      </c>
      <c r="F2901" t="s">
        <v>68</v>
      </c>
    </row>
    <row r="2902" spans="1:6" x14ac:dyDescent="0.25">
      <c r="A2902" t="s">
        <v>36</v>
      </c>
      <c r="B2902" t="s">
        <v>37</v>
      </c>
      <c r="C2902" t="s">
        <v>66</v>
      </c>
      <c r="D2902">
        <v>2968</v>
      </c>
      <c r="E2902">
        <v>2016</v>
      </c>
      <c r="F2902" t="s">
        <v>68</v>
      </c>
    </row>
    <row r="2903" spans="1:6" x14ac:dyDescent="0.25">
      <c r="A2903" t="s">
        <v>38</v>
      </c>
      <c r="B2903" t="s">
        <v>39</v>
      </c>
      <c r="C2903" t="s">
        <v>66</v>
      </c>
      <c r="D2903">
        <v>975</v>
      </c>
      <c r="E2903">
        <v>2016</v>
      </c>
      <c r="F2903" t="s">
        <v>68</v>
      </c>
    </row>
    <row r="2904" spans="1:6" x14ac:dyDescent="0.25">
      <c r="A2904" t="s">
        <v>40</v>
      </c>
      <c r="B2904" t="s">
        <v>41</v>
      </c>
      <c r="C2904" t="s">
        <v>66</v>
      </c>
      <c r="D2904">
        <v>3312</v>
      </c>
      <c r="E2904">
        <v>2016</v>
      </c>
      <c r="F2904" t="s">
        <v>68</v>
      </c>
    </row>
    <row r="2905" spans="1:6" x14ac:dyDescent="0.25">
      <c r="A2905" t="s">
        <v>42</v>
      </c>
      <c r="B2905" t="s">
        <v>43</v>
      </c>
      <c r="C2905" t="s">
        <v>66</v>
      </c>
      <c r="D2905">
        <v>72</v>
      </c>
      <c r="E2905">
        <v>2016</v>
      </c>
      <c r="F2905" t="s">
        <v>68</v>
      </c>
    </row>
    <row r="2906" spans="1:6" x14ac:dyDescent="0.25">
      <c r="A2906" t="s">
        <v>44</v>
      </c>
      <c r="B2906" t="s">
        <v>45</v>
      </c>
      <c r="C2906" t="s">
        <v>66</v>
      </c>
      <c r="D2906">
        <v>1142</v>
      </c>
      <c r="E2906">
        <v>2016</v>
      </c>
      <c r="F2906" t="s">
        <v>68</v>
      </c>
    </row>
    <row r="2907" spans="1:6" x14ac:dyDescent="0.25">
      <c r="A2907" t="s">
        <v>46</v>
      </c>
      <c r="B2907" t="s">
        <v>47</v>
      </c>
      <c r="C2907" t="s">
        <v>66</v>
      </c>
      <c r="D2907">
        <v>273</v>
      </c>
      <c r="E2907">
        <v>2016</v>
      </c>
      <c r="F2907" t="s">
        <v>68</v>
      </c>
    </row>
    <row r="2908" spans="1:6" x14ac:dyDescent="0.25">
      <c r="A2908" t="s">
        <v>48</v>
      </c>
      <c r="B2908" t="s">
        <v>49</v>
      </c>
      <c r="C2908" t="s">
        <v>66</v>
      </c>
      <c r="D2908">
        <v>2276</v>
      </c>
      <c r="E2908">
        <v>2016</v>
      </c>
      <c r="F2908" t="s">
        <v>68</v>
      </c>
    </row>
    <row r="2909" spans="1:6" x14ac:dyDescent="0.25">
      <c r="A2909" t="s">
        <v>50</v>
      </c>
      <c r="B2909" t="s">
        <v>51</v>
      </c>
      <c r="C2909" t="s">
        <v>66</v>
      </c>
      <c r="E2909">
        <v>2016</v>
      </c>
      <c r="F2909" t="s">
        <v>68</v>
      </c>
    </row>
    <row r="2910" spans="1:6" x14ac:dyDescent="0.25">
      <c r="A2910" t="s">
        <v>52</v>
      </c>
      <c r="B2910" t="s">
        <v>53</v>
      </c>
      <c r="C2910" t="s">
        <v>66</v>
      </c>
      <c r="D2910">
        <v>1648</v>
      </c>
      <c r="E2910">
        <v>2016</v>
      </c>
      <c r="F2910" t="s">
        <v>68</v>
      </c>
    </row>
    <row r="2911" spans="1:6" x14ac:dyDescent="0.25">
      <c r="A2911" t="s">
        <v>54</v>
      </c>
      <c r="B2911" t="s">
        <v>55</v>
      </c>
      <c r="C2911" t="s">
        <v>66</v>
      </c>
      <c r="D2911">
        <v>739</v>
      </c>
      <c r="E2911">
        <v>2016</v>
      </c>
      <c r="F2911" t="s">
        <v>68</v>
      </c>
    </row>
    <row r="2912" spans="1:6" x14ac:dyDescent="0.25">
      <c r="A2912" t="s">
        <v>56</v>
      </c>
      <c r="B2912" t="s">
        <v>57</v>
      </c>
      <c r="C2912" t="s">
        <v>66</v>
      </c>
      <c r="D2912">
        <v>1551</v>
      </c>
      <c r="E2912">
        <v>2016</v>
      </c>
      <c r="F2912" t="s">
        <v>68</v>
      </c>
    </row>
    <row r="2913" spans="1:6" x14ac:dyDescent="0.25">
      <c r="A2913" t="s">
        <v>58</v>
      </c>
      <c r="B2913" t="s">
        <v>59</v>
      </c>
      <c r="C2913" t="s">
        <v>66</v>
      </c>
      <c r="E2913">
        <v>2016</v>
      </c>
      <c r="F2913" t="s">
        <v>68</v>
      </c>
    </row>
    <row r="2914" spans="1:6" x14ac:dyDescent="0.25">
      <c r="A2914" t="s">
        <v>6</v>
      </c>
      <c r="B2914" t="s">
        <v>7</v>
      </c>
      <c r="C2914" t="s">
        <v>63</v>
      </c>
      <c r="D2914">
        <v>5683610</v>
      </c>
      <c r="E2914">
        <v>2017</v>
      </c>
      <c r="F2914" t="s">
        <v>68</v>
      </c>
    </row>
    <row r="2915" spans="1:6" x14ac:dyDescent="0.25">
      <c r="A2915" t="s">
        <v>10</v>
      </c>
      <c r="B2915" t="s">
        <v>11</v>
      </c>
      <c r="C2915" t="s">
        <v>63</v>
      </c>
      <c r="D2915">
        <v>1496577</v>
      </c>
      <c r="E2915">
        <v>2017</v>
      </c>
      <c r="F2915" t="s">
        <v>68</v>
      </c>
    </row>
    <row r="2916" spans="1:6" x14ac:dyDescent="0.25">
      <c r="A2916" t="s">
        <v>12</v>
      </c>
      <c r="B2916" t="s">
        <v>13</v>
      </c>
      <c r="C2916" t="s">
        <v>63</v>
      </c>
      <c r="D2916">
        <v>153451</v>
      </c>
      <c r="E2916">
        <v>2017</v>
      </c>
      <c r="F2916" t="s">
        <v>68</v>
      </c>
    </row>
    <row r="2917" spans="1:6" x14ac:dyDescent="0.25">
      <c r="A2917" t="s">
        <v>14</v>
      </c>
      <c r="B2917" t="s">
        <v>15</v>
      </c>
      <c r="C2917" t="s">
        <v>63</v>
      </c>
      <c r="D2917">
        <v>17401</v>
      </c>
      <c r="E2917">
        <v>2017</v>
      </c>
      <c r="F2917" t="s">
        <v>68</v>
      </c>
    </row>
    <row r="2918" spans="1:6" x14ac:dyDescent="0.25">
      <c r="A2918" t="s">
        <v>16</v>
      </c>
      <c r="B2918" t="s">
        <v>17</v>
      </c>
      <c r="C2918" t="s">
        <v>63</v>
      </c>
      <c r="D2918">
        <v>202088</v>
      </c>
      <c r="E2918">
        <v>2017</v>
      </c>
      <c r="F2918" t="s">
        <v>68</v>
      </c>
    </row>
    <row r="2919" spans="1:6" x14ac:dyDescent="0.25">
      <c r="A2919" t="s">
        <v>18</v>
      </c>
      <c r="B2919" t="s">
        <v>19</v>
      </c>
      <c r="C2919" t="s">
        <v>63</v>
      </c>
      <c r="D2919">
        <v>365217</v>
      </c>
      <c r="E2919">
        <v>2017</v>
      </c>
      <c r="F2919" t="s">
        <v>68</v>
      </c>
    </row>
    <row r="2920" spans="1:6" x14ac:dyDescent="0.25">
      <c r="A2920" t="s">
        <v>20</v>
      </c>
      <c r="B2920" t="s">
        <v>21</v>
      </c>
      <c r="C2920" t="s">
        <v>63</v>
      </c>
      <c r="D2920">
        <v>289655</v>
      </c>
      <c r="E2920">
        <v>2017</v>
      </c>
      <c r="F2920" t="s">
        <v>68</v>
      </c>
    </row>
    <row r="2921" spans="1:6" x14ac:dyDescent="0.25">
      <c r="A2921" t="s">
        <v>22</v>
      </c>
      <c r="B2921" t="s">
        <v>23</v>
      </c>
      <c r="C2921" t="s">
        <v>63</v>
      </c>
      <c r="D2921">
        <v>99199</v>
      </c>
      <c r="E2921">
        <v>2017</v>
      </c>
      <c r="F2921" t="s">
        <v>68</v>
      </c>
    </row>
    <row r="2922" spans="1:6" x14ac:dyDescent="0.25">
      <c r="A2922" t="s">
        <v>24</v>
      </c>
      <c r="B2922" t="s">
        <v>25</v>
      </c>
      <c r="C2922" t="s">
        <v>63</v>
      </c>
      <c r="D2922">
        <v>163568</v>
      </c>
      <c r="E2922">
        <v>2017</v>
      </c>
      <c r="F2922" t="s">
        <v>68</v>
      </c>
    </row>
    <row r="2923" spans="1:6" x14ac:dyDescent="0.25">
      <c r="A2923" t="s">
        <v>26</v>
      </c>
      <c r="B2923" t="s">
        <v>27</v>
      </c>
      <c r="C2923" t="s">
        <v>63</v>
      </c>
      <c r="D2923">
        <v>44595</v>
      </c>
      <c r="E2923">
        <v>2017</v>
      </c>
      <c r="F2923" t="s">
        <v>68</v>
      </c>
    </row>
    <row r="2924" spans="1:6" x14ac:dyDescent="0.25">
      <c r="A2924" t="s">
        <v>28</v>
      </c>
      <c r="B2924" t="s">
        <v>29</v>
      </c>
      <c r="C2924" t="s">
        <v>63</v>
      </c>
      <c r="D2924">
        <v>68000</v>
      </c>
      <c r="E2924">
        <v>2017</v>
      </c>
      <c r="F2924" t="s">
        <v>68</v>
      </c>
    </row>
    <row r="2925" spans="1:6" x14ac:dyDescent="0.25">
      <c r="A2925" t="s">
        <v>30</v>
      </c>
      <c r="B2925" t="s">
        <v>31</v>
      </c>
      <c r="C2925" t="s">
        <v>63</v>
      </c>
      <c r="D2925">
        <v>356736</v>
      </c>
      <c r="E2925">
        <v>2017</v>
      </c>
      <c r="F2925" t="s">
        <v>68</v>
      </c>
    </row>
    <row r="2926" spans="1:6" x14ac:dyDescent="0.25">
      <c r="A2926" t="s">
        <v>32</v>
      </c>
      <c r="B2926" t="s">
        <v>33</v>
      </c>
      <c r="C2926" t="s">
        <v>63</v>
      </c>
      <c r="D2926">
        <v>102454</v>
      </c>
      <c r="E2926">
        <v>2017</v>
      </c>
      <c r="F2926" t="s">
        <v>68</v>
      </c>
    </row>
    <row r="2927" spans="1:6" x14ac:dyDescent="0.25">
      <c r="A2927" t="s">
        <v>34</v>
      </c>
      <c r="B2927" t="s">
        <v>35</v>
      </c>
      <c r="C2927" t="s">
        <v>63</v>
      </c>
      <c r="D2927">
        <v>291509</v>
      </c>
      <c r="E2927">
        <v>2017</v>
      </c>
      <c r="F2927" t="s">
        <v>68</v>
      </c>
    </row>
    <row r="2928" spans="1:6" x14ac:dyDescent="0.25">
      <c r="A2928" t="s">
        <v>36</v>
      </c>
      <c r="B2928" t="s">
        <v>37</v>
      </c>
      <c r="C2928" t="s">
        <v>63</v>
      </c>
      <c r="D2928">
        <v>246684</v>
      </c>
      <c r="E2928">
        <v>2017</v>
      </c>
      <c r="F2928" t="s">
        <v>68</v>
      </c>
    </row>
    <row r="2929" spans="1:6" x14ac:dyDescent="0.25">
      <c r="A2929" t="s">
        <v>38</v>
      </c>
      <c r="B2929" t="s">
        <v>39</v>
      </c>
      <c r="C2929" t="s">
        <v>63</v>
      </c>
      <c r="D2929">
        <v>190389</v>
      </c>
      <c r="E2929">
        <v>2017</v>
      </c>
      <c r="F2929" t="s">
        <v>68</v>
      </c>
    </row>
    <row r="2930" spans="1:6" x14ac:dyDescent="0.25">
      <c r="A2930" t="s">
        <v>40</v>
      </c>
      <c r="B2930" t="s">
        <v>41</v>
      </c>
      <c r="C2930" t="s">
        <v>63</v>
      </c>
      <c r="D2930">
        <v>233895</v>
      </c>
      <c r="E2930">
        <v>2017</v>
      </c>
      <c r="F2930" t="s">
        <v>68</v>
      </c>
    </row>
    <row r="2931" spans="1:6" x14ac:dyDescent="0.25">
      <c r="A2931" t="s">
        <v>42</v>
      </c>
      <c r="B2931" t="s">
        <v>43</v>
      </c>
      <c r="C2931" t="s">
        <v>63</v>
      </c>
      <c r="D2931">
        <v>111332</v>
      </c>
      <c r="E2931">
        <v>2017</v>
      </c>
      <c r="F2931" t="s">
        <v>68</v>
      </c>
    </row>
    <row r="2932" spans="1:6" x14ac:dyDescent="0.25">
      <c r="A2932" t="s">
        <v>44</v>
      </c>
      <c r="B2932" t="s">
        <v>45</v>
      </c>
      <c r="C2932" t="s">
        <v>63</v>
      </c>
      <c r="D2932">
        <v>179751</v>
      </c>
      <c r="E2932">
        <v>2017</v>
      </c>
      <c r="F2932" t="s">
        <v>68</v>
      </c>
    </row>
    <row r="2933" spans="1:6" x14ac:dyDescent="0.25">
      <c r="A2933" t="s">
        <v>46</v>
      </c>
      <c r="B2933" t="s">
        <v>47</v>
      </c>
      <c r="C2933" t="s">
        <v>63</v>
      </c>
      <c r="D2933">
        <v>255911</v>
      </c>
      <c r="E2933">
        <v>2017</v>
      </c>
      <c r="F2933" t="s">
        <v>68</v>
      </c>
    </row>
    <row r="2934" spans="1:6" x14ac:dyDescent="0.25">
      <c r="A2934" t="s">
        <v>48</v>
      </c>
      <c r="B2934" t="s">
        <v>49</v>
      </c>
      <c r="C2934" t="s">
        <v>63</v>
      </c>
      <c r="D2934">
        <v>398545</v>
      </c>
      <c r="E2934">
        <v>2017</v>
      </c>
      <c r="F2934" t="s">
        <v>68</v>
      </c>
    </row>
    <row r="2935" spans="1:6" x14ac:dyDescent="0.25">
      <c r="A2935" t="s">
        <v>50</v>
      </c>
      <c r="B2935" t="s">
        <v>51</v>
      </c>
      <c r="C2935" t="s">
        <v>63</v>
      </c>
      <c r="D2935">
        <v>72484</v>
      </c>
      <c r="E2935">
        <v>2017</v>
      </c>
      <c r="F2935" t="s">
        <v>68</v>
      </c>
    </row>
    <row r="2936" spans="1:6" x14ac:dyDescent="0.25">
      <c r="A2936" t="s">
        <v>52</v>
      </c>
      <c r="B2936" t="s">
        <v>53</v>
      </c>
      <c r="C2936" t="s">
        <v>63</v>
      </c>
      <c r="D2936">
        <v>146532</v>
      </c>
      <c r="E2936">
        <v>2017</v>
      </c>
      <c r="F2936" t="s">
        <v>68</v>
      </c>
    </row>
    <row r="2937" spans="1:6" x14ac:dyDescent="0.25">
      <c r="A2937" t="s">
        <v>54</v>
      </c>
      <c r="B2937" t="s">
        <v>55</v>
      </c>
      <c r="C2937" t="s">
        <v>63</v>
      </c>
      <c r="D2937">
        <v>101523</v>
      </c>
      <c r="E2937">
        <v>2017</v>
      </c>
      <c r="F2937" t="s">
        <v>68</v>
      </c>
    </row>
    <row r="2938" spans="1:6" x14ac:dyDescent="0.25">
      <c r="A2938" t="s">
        <v>56</v>
      </c>
      <c r="B2938" t="s">
        <v>57</v>
      </c>
      <c r="C2938" t="s">
        <v>63</v>
      </c>
      <c r="D2938">
        <v>96114</v>
      </c>
      <c r="E2938">
        <v>2017</v>
      </c>
      <c r="F2938" t="s">
        <v>68</v>
      </c>
    </row>
    <row r="2939" spans="1:6" x14ac:dyDescent="0.25">
      <c r="A2939" t="s">
        <v>58</v>
      </c>
      <c r="B2939" t="s">
        <v>59</v>
      </c>
      <c r="C2939" t="s">
        <v>63</v>
      </c>
      <c r="E2939">
        <v>2017</v>
      </c>
      <c r="F2939" t="s">
        <v>68</v>
      </c>
    </row>
    <row r="2940" spans="1:6" x14ac:dyDescent="0.25">
      <c r="A2940" t="s">
        <v>6</v>
      </c>
      <c r="B2940" t="s">
        <v>7</v>
      </c>
      <c r="C2940" t="s">
        <v>8</v>
      </c>
      <c r="D2940">
        <v>497080</v>
      </c>
      <c r="E2940">
        <v>2017</v>
      </c>
      <c r="F2940" t="s">
        <v>68</v>
      </c>
    </row>
    <row r="2941" spans="1:6" x14ac:dyDescent="0.25">
      <c r="A2941" t="s">
        <v>10</v>
      </c>
      <c r="B2941" t="s">
        <v>11</v>
      </c>
      <c r="C2941" t="s">
        <v>8</v>
      </c>
      <c r="D2941">
        <v>155407</v>
      </c>
      <c r="E2941">
        <v>2017</v>
      </c>
      <c r="F2941" t="s">
        <v>68</v>
      </c>
    </row>
    <row r="2942" spans="1:6" x14ac:dyDescent="0.25">
      <c r="A2942" t="s">
        <v>12</v>
      </c>
      <c r="B2942" t="s">
        <v>13</v>
      </c>
      <c r="C2942" t="s">
        <v>8</v>
      </c>
      <c r="D2942">
        <v>21228</v>
      </c>
      <c r="E2942">
        <v>2017</v>
      </c>
      <c r="F2942" t="s">
        <v>68</v>
      </c>
    </row>
    <row r="2943" spans="1:6" x14ac:dyDescent="0.25">
      <c r="A2943" t="s">
        <v>14</v>
      </c>
      <c r="B2943" t="s">
        <v>15</v>
      </c>
      <c r="C2943" t="s">
        <v>8</v>
      </c>
      <c r="E2943">
        <v>2017</v>
      </c>
      <c r="F2943" t="s">
        <v>68</v>
      </c>
    </row>
    <row r="2944" spans="1:6" x14ac:dyDescent="0.25">
      <c r="A2944" t="s">
        <v>16</v>
      </c>
      <c r="B2944" t="s">
        <v>17</v>
      </c>
      <c r="C2944" t="s">
        <v>8</v>
      </c>
      <c r="D2944">
        <v>5063</v>
      </c>
      <c r="E2944">
        <v>2017</v>
      </c>
      <c r="F2944" t="s">
        <v>68</v>
      </c>
    </row>
    <row r="2945" spans="1:6" x14ac:dyDescent="0.25">
      <c r="A2945" t="s">
        <v>18</v>
      </c>
      <c r="B2945" t="s">
        <v>19</v>
      </c>
      <c r="C2945" t="s">
        <v>8</v>
      </c>
      <c r="D2945">
        <v>26102</v>
      </c>
      <c r="E2945">
        <v>2017</v>
      </c>
      <c r="F2945" t="s">
        <v>68</v>
      </c>
    </row>
    <row r="2946" spans="1:6" x14ac:dyDescent="0.25">
      <c r="A2946" t="s">
        <v>20</v>
      </c>
      <c r="B2946" t="s">
        <v>21</v>
      </c>
      <c r="C2946" t="s">
        <v>8</v>
      </c>
      <c r="D2946">
        <v>6236</v>
      </c>
      <c r="E2946">
        <v>2017</v>
      </c>
      <c r="F2946" t="s">
        <v>68</v>
      </c>
    </row>
    <row r="2947" spans="1:6" x14ac:dyDescent="0.25">
      <c r="A2947" t="s">
        <v>22</v>
      </c>
      <c r="B2947" t="s">
        <v>23</v>
      </c>
      <c r="C2947" t="s">
        <v>8</v>
      </c>
      <c r="D2947">
        <v>30167</v>
      </c>
      <c r="E2947">
        <v>2017</v>
      </c>
      <c r="F2947" t="s">
        <v>68</v>
      </c>
    </row>
    <row r="2948" spans="1:6" x14ac:dyDescent="0.25">
      <c r="A2948" t="s">
        <v>24</v>
      </c>
      <c r="B2948" t="s">
        <v>25</v>
      </c>
      <c r="C2948" t="s">
        <v>8</v>
      </c>
      <c r="D2948">
        <v>21879</v>
      </c>
      <c r="E2948">
        <v>2017</v>
      </c>
      <c r="F2948" t="s">
        <v>68</v>
      </c>
    </row>
    <row r="2949" spans="1:6" x14ac:dyDescent="0.25">
      <c r="A2949" t="s">
        <v>26</v>
      </c>
      <c r="B2949" t="s">
        <v>27</v>
      </c>
      <c r="C2949" t="s">
        <v>8</v>
      </c>
      <c r="D2949">
        <v>8578</v>
      </c>
      <c r="E2949">
        <v>2017</v>
      </c>
      <c r="F2949" t="s">
        <v>68</v>
      </c>
    </row>
    <row r="2950" spans="1:6" x14ac:dyDescent="0.25">
      <c r="A2950" t="s">
        <v>28</v>
      </c>
      <c r="B2950" t="s">
        <v>29</v>
      </c>
      <c r="C2950" t="s">
        <v>8</v>
      </c>
      <c r="E2950">
        <v>2017</v>
      </c>
      <c r="F2950" t="s">
        <v>68</v>
      </c>
    </row>
    <row r="2951" spans="1:6" x14ac:dyDescent="0.25">
      <c r="A2951" t="s">
        <v>30</v>
      </c>
      <c r="B2951" t="s">
        <v>31</v>
      </c>
      <c r="C2951" t="s">
        <v>8</v>
      </c>
      <c r="D2951">
        <v>30781</v>
      </c>
      <c r="E2951">
        <v>2017</v>
      </c>
      <c r="F2951" t="s">
        <v>68</v>
      </c>
    </row>
    <row r="2952" spans="1:6" x14ac:dyDescent="0.25">
      <c r="A2952" t="s">
        <v>32</v>
      </c>
      <c r="B2952" t="s">
        <v>33</v>
      </c>
      <c r="C2952" t="s">
        <v>8</v>
      </c>
      <c r="D2952">
        <v>10933</v>
      </c>
      <c r="E2952">
        <v>2017</v>
      </c>
      <c r="F2952" t="s">
        <v>68</v>
      </c>
    </row>
    <row r="2953" spans="1:6" x14ac:dyDescent="0.25">
      <c r="A2953" t="s">
        <v>34</v>
      </c>
      <c r="B2953" t="s">
        <v>35</v>
      </c>
      <c r="C2953" t="s">
        <v>8</v>
      </c>
      <c r="D2953">
        <v>25792</v>
      </c>
      <c r="E2953">
        <v>2017</v>
      </c>
      <c r="F2953" t="s">
        <v>68</v>
      </c>
    </row>
    <row r="2954" spans="1:6" x14ac:dyDescent="0.25">
      <c r="A2954" t="s">
        <v>36</v>
      </c>
      <c r="B2954" t="s">
        <v>37</v>
      </c>
      <c r="C2954" t="s">
        <v>8</v>
      </c>
      <c r="D2954">
        <v>18012</v>
      </c>
      <c r="E2954">
        <v>2017</v>
      </c>
      <c r="F2954" t="s">
        <v>68</v>
      </c>
    </row>
    <row r="2955" spans="1:6" x14ac:dyDescent="0.25">
      <c r="A2955" t="s">
        <v>38</v>
      </c>
      <c r="B2955" t="s">
        <v>39</v>
      </c>
      <c r="C2955" t="s">
        <v>8</v>
      </c>
      <c r="D2955">
        <v>6679</v>
      </c>
      <c r="E2955">
        <v>2017</v>
      </c>
      <c r="F2955" t="s">
        <v>68</v>
      </c>
    </row>
    <row r="2956" spans="1:6" x14ac:dyDescent="0.25">
      <c r="A2956" t="s">
        <v>40</v>
      </c>
      <c r="B2956" t="s">
        <v>41</v>
      </c>
      <c r="C2956" t="s">
        <v>8</v>
      </c>
      <c r="D2956">
        <v>37396</v>
      </c>
      <c r="E2956">
        <v>2017</v>
      </c>
      <c r="F2956" t="s">
        <v>68</v>
      </c>
    </row>
    <row r="2957" spans="1:6" x14ac:dyDescent="0.25">
      <c r="A2957" t="s">
        <v>42</v>
      </c>
      <c r="B2957" t="s">
        <v>43</v>
      </c>
      <c r="C2957" t="s">
        <v>8</v>
      </c>
      <c r="D2957">
        <v>1335</v>
      </c>
      <c r="E2957">
        <v>2017</v>
      </c>
      <c r="F2957" t="s">
        <v>68</v>
      </c>
    </row>
    <row r="2958" spans="1:6" x14ac:dyDescent="0.25">
      <c r="A2958" t="s">
        <v>44</v>
      </c>
      <c r="B2958" t="s">
        <v>45</v>
      </c>
      <c r="C2958" t="s">
        <v>8</v>
      </c>
      <c r="D2958">
        <v>8249</v>
      </c>
      <c r="E2958">
        <v>2017</v>
      </c>
      <c r="F2958" t="s">
        <v>68</v>
      </c>
    </row>
    <row r="2959" spans="1:6" x14ac:dyDescent="0.25">
      <c r="A2959" t="s">
        <v>46</v>
      </c>
      <c r="B2959" t="s">
        <v>47</v>
      </c>
      <c r="C2959" t="s">
        <v>8</v>
      </c>
      <c r="D2959">
        <v>10188</v>
      </c>
      <c r="E2959">
        <v>2017</v>
      </c>
      <c r="F2959" t="s">
        <v>68</v>
      </c>
    </row>
    <row r="2960" spans="1:6" x14ac:dyDescent="0.25">
      <c r="A2960" t="s">
        <v>48</v>
      </c>
      <c r="B2960" t="s">
        <v>49</v>
      </c>
      <c r="C2960" t="s">
        <v>8</v>
      </c>
      <c r="D2960">
        <v>1155</v>
      </c>
      <c r="E2960">
        <v>2017</v>
      </c>
      <c r="F2960" t="s">
        <v>68</v>
      </c>
    </row>
    <row r="2961" spans="1:6" x14ac:dyDescent="0.25">
      <c r="A2961" t="s">
        <v>50</v>
      </c>
      <c r="B2961" t="s">
        <v>51</v>
      </c>
      <c r="C2961" t="s">
        <v>8</v>
      </c>
      <c r="D2961">
        <v>613</v>
      </c>
      <c r="E2961">
        <v>2017</v>
      </c>
      <c r="F2961" t="s">
        <v>68</v>
      </c>
    </row>
    <row r="2962" spans="1:6" x14ac:dyDescent="0.25">
      <c r="A2962" t="s">
        <v>52</v>
      </c>
      <c r="B2962" t="s">
        <v>53</v>
      </c>
      <c r="C2962" t="s">
        <v>8</v>
      </c>
      <c r="D2962">
        <v>11169</v>
      </c>
      <c r="E2962">
        <v>2017</v>
      </c>
      <c r="F2962" t="s">
        <v>68</v>
      </c>
    </row>
    <row r="2963" spans="1:6" x14ac:dyDescent="0.25">
      <c r="A2963" t="s">
        <v>54</v>
      </c>
      <c r="B2963" t="s">
        <v>55</v>
      </c>
      <c r="C2963" t="s">
        <v>8</v>
      </c>
      <c r="D2963">
        <v>1368</v>
      </c>
      <c r="E2963">
        <v>2017</v>
      </c>
      <c r="F2963" t="s">
        <v>68</v>
      </c>
    </row>
    <row r="2964" spans="1:6" x14ac:dyDescent="0.25">
      <c r="A2964" t="s">
        <v>56</v>
      </c>
      <c r="B2964" t="s">
        <v>57</v>
      </c>
      <c r="C2964" t="s">
        <v>8</v>
      </c>
      <c r="D2964">
        <v>44332</v>
      </c>
      <c r="E2964">
        <v>2017</v>
      </c>
      <c r="F2964" t="s">
        <v>68</v>
      </c>
    </row>
    <row r="2965" spans="1:6" x14ac:dyDescent="0.25">
      <c r="A2965" t="s">
        <v>58</v>
      </c>
      <c r="B2965" t="s">
        <v>59</v>
      </c>
      <c r="C2965" t="s">
        <v>8</v>
      </c>
      <c r="D2965">
        <v>14411</v>
      </c>
      <c r="E2965">
        <v>2017</v>
      </c>
      <c r="F2965" t="s">
        <v>68</v>
      </c>
    </row>
    <row r="2966" spans="1:6" x14ac:dyDescent="0.25">
      <c r="A2966" t="s">
        <v>6</v>
      </c>
      <c r="B2966" t="s">
        <v>7</v>
      </c>
      <c r="C2966" t="s">
        <v>60</v>
      </c>
      <c r="D2966">
        <v>607373</v>
      </c>
      <c r="E2966">
        <v>2017</v>
      </c>
      <c r="F2966" t="s">
        <v>68</v>
      </c>
    </row>
    <row r="2967" spans="1:6" x14ac:dyDescent="0.25">
      <c r="A2967" t="s">
        <v>10</v>
      </c>
      <c r="B2967" t="s">
        <v>11</v>
      </c>
      <c r="C2967" t="s">
        <v>60</v>
      </c>
      <c r="D2967">
        <v>139104</v>
      </c>
      <c r="E2967">
        <v>2017</v>
      </c>
      <c r="F2967" t="s">
        <v>68</v>
      </c>
    </row>
    <row r="2968" spans="1:6" x14ac:dyDescent="0.25">
      <c r="A2968" t="s">
        <v>12</v>
      </c>
      <c r="B2968" t="s">
        <v>13</v>
      </c>
      <c r="C2968" t="s">
        <v>60</v>
      </c>
      <c r="D2968">
        <v>13582</v>
      </c>
      <c r="E2968">
        <v>2017</v>
      </c>
      <c r="F2968" t="s">
        <v>68</v>
      </c>
    </row>
    <row r="2969" spans="1:6" x14ac:dyDescent="0.25">
      <c r="A2969" t="s">
        <v>14</v>
      </c>
      <c r="B2969" t="s">
        <v>15</v>
      </c>
      <c r="C2969" t="s">
        <v>60</v>
      </c>
      <c r="E2969">
        <v>2017</v>
      </c>
      <c r="F2969" t="s">
        <v>68</v>
      </c>
    </row>
    <row r="2970" spans="1:6" x14ac:dyDescent="0.25">
      <c r="A2970" t="s">
        <v>16</v>
      </c>
      <c r="B2970" t="s">
        <v>17</v>
      </c>
      <c r="C2970" t="s">
        <v>60</v>
      </c>
      <c r="D2970">
        <v>26784</v>
      </c>
      <c r="E2970">
        <v>2017</v>
      </c>
      <c r="F2970" t="s">
        <v>68</v>
      </c>
    </row>
    <row r="2971" spans="1:6" x14ac:dyDescent="0.25">
      <c r="A2971" t="s">
        <v>18</v>
      </c>
      <c r="B2971" t="s">
        <v>19</v>
      </c>
      <c r="C2971" t="s">
        <v>60</v>
      </c>
      <c r="D2971">
        <v>69960</v>
      </c>
      <c r="E2971">
        <v>2017</v>
      </c>
      <c r="F2971" t="s">
        <v>68</v>
      </c>
    </row>
    <row r="2972" spans="1:6" x14ac:dyDescent="0.25">
      <c r="A2972" t="s">
        <v>20</v>
      </c>
      <c r="B2972" t="s">
        <v>21</v>
      </c>
      <c r="C2972" t="s">
        <v>60</v>
      </c>
      <c r="D2972">
        <v>19094</v>
      </c>
      <c r="E2972">
        <v>2017</v>
      </c>
      <c r="F2972" t="s">
        <v>68</v>
      </c>
    </row>
    <row r="2973" spans="1:6" x14ac:dyDescent="0.25">
      <c r="A2973" t="s">
        <v>22</v>
      </c>
      <c r="B2973" t="s">
        <v>23</v>
      </c>
      <c r="C2973" t="s">
        <v>60</v>
      </c>
      <c r="D2973">
        <v>5127</v>
      </c>
      <c r="E2973">
        <v>2017</v>
      </c>
      <c r="F2973" t="s">
        <v>68</v>
      </c>
    </row>
    <row r="2974" spans="1:6" x14ac:dyDescent="0.25">
      <c r="A2974" t="s">
        <v>24</v>
      </c>
      <c r="B2974" t="s">
        <v>25</v>
      </c>
      <c r="C2974" t="s">
        <v>60</v>
      </c>
      <c r="D2974">
        <v>15513</v>
      </c>
      <c r="E2974">
        <v>2017</v>
      </c>
      <c r="F2974" t="s">
        <v>68</v>
      </c>
    </row>
    <row r="2975" spans="1:6" x14ac:dyDescent="0.25">
      <c r="A2975" t="s">
        <v>26</v>
      </c>
      <c r="B2975" t="s">
        <v>27</v>
      </c>
      <c r="C2975" t="s">
        <v>60</v>
      </c>
      <c r="D2975">
        <v>17660</v>
      </c>
      <c r="E2975">
        <v>2017</v>
      </c>
      <c r="F2975" t="s">
        <v>68</v>
      </c>
    </row>
    <row r="2976" spans="1:6" x14ac:dyDescent="0.25">
      <c r="A2976" t="s">
        <v>28</v>
      </c>
      <c r="B2976" t="s">
        <v>29</v>
      </c>
      <c r="C2976" t="s">
        <v>60</v>
      </c>
      <c r="D2976">
        <v>4293</v>
      </c>
      <c r="E2976">
        <v>2017</v>
      </c>
      <c r="F2976" t="s">
        <v>68</v>
      </c>
    </row>
    <row r="2977" spans="1:6" x14ac:dyDescent="0.25">
      <c r="A2977" t="s">
        <v>30</v>
      </c>
      <c r="B2977" t="s">
        <v>31</v>
      </c>
      <c r="C2977" t="s">
        <v>60</v>
      </c>
      <c r="D2977">
        <v>47083</v>
      </c>
      <c r="E2977">
        <v>2017</v>
      </c>
      <c r="F2977" t="s">
        <v>68</v>
      </c>
    </row>
    <row r="2978" spans="1:6" x14ac:dyDescent="0.25">
      <c r="A2978" t="s">
        <v>32</v>
      </c>
      <c r="B2978" t="s">
        <v>33</v>
      </c>
      <c r="C2978" t="s">
        <v>60</v>
      </c>
      <c r="D2978">
        <v>21933</v>
      </c>
      <c r="E2978">
        <v>2017</v>
      </c>
      <c r="F2978" t="s">
        <v>68</v>
      </c>
    </row>
    <row r="2979" spans="1:6" x14ac:dyDescent="0.25">
      <c r="A2979" t="s">
        <v>34</v>
      </c>
      <c r="B2979" t="s">
        <v>35</v>
      </c>
      <c r="C2979" t="s">
        <v>60</v>
      </c>
      <c r="D2979">
        <v>46809</v>
      </c>
      <c r="E2979">
        <v>2017</v>
      </c>
      <c r="F2979" t="s">
        <v>68</v>
      </c>
    </row>
    <row r="2980" spans="1:6" x14ac:dyDescent="0.25">
      <c r="A2980" t="s">
        <v>36</v>
      </c>
      <c r="B2980" t="s">
        <v>37</v>
      </c>
      <c r="C2980" t="s">
        <v>60</v>
      </c>
      <c r="D2980">
        <v>35678</v>
      </c>
      <c r="E2980">
        <v>2017</v>
      </c>
      <c r="F2980" t="s">
        <v>68</v>
      </c>
    </row>
    <row r="2981" spans="1:6" x14ac:dyDescent="0.25">
      <c r="A2981" t="s">
        <v>38</v>
      </c>
      <c r="B2981" t="s">
        <v>39</v>
      </c>
      <c r="C2981" t="s">
        <v>60</v>
      </c>
      <c r="D2981">
        <v>13010</v>
      </c>
      <c r="E2981">
        <v>2017</v>
      </c>
      <c r="F2981" t="s">
        <v>68</v>
      </c>
    </row>
    <row r="2982" spans="1:6" x14ac:dyDescent="0.25">
      <c r="A2982" t="s">
        <v>40</v>
      </c>
      <c r="B2982" t="s">
        <v>41</v>
      </c>
      <c r="C2982" t="s">
        <v>60</v>
      </c>
      <c r="D2982">
        <v>33628</v>
      </c>
      <c r="E2982">
        <v>2017</v>
      </c>
      <c r="F2982" t="s">
        <v>68</v>
      </c>
    </row>
    <row r="2983" spans="1:6" x14ac:dyDescent="0.25">
      <c r="A2983" t="s">
        <v>42</v>
      </c>
      <c r="B2983" t="s">
        <v>43</v>
      </c>
      <c r="C2983" t="s">
        <v>60</v>
      </c>
      <c r="D2983">
        <v>296</v>
      </c>
      <c r="E2983">
        <v>2017</v>
      </c>
      <c r="F2983" t="s">
        <v>68</v>
      </c>
    </row>
    <row r="2984" spans="1:6" x14ac:dyDescent="0.25">
      <c r="A2984" t="s">
        <v>44</v>
      </c>
      <c r="B2984" t="s">
        <v>45</v>
      </c>
      <c r="C2984" t="s">
        <v>60</v>
      </c>
      <c r="D2984">
        <v>17713</v>
      </c>
      <c r="E2984">
        <v>2017</v>
      </c>
      <c r="F2984" t="s">
        <v>68</v>
      </c>
    </row>
    <row r="2985" spans="1:6" x14ac:dyDescent="0.25">
      <c r="A2985" t="s">
        <v>46</v>
      </c>
      <c r="B2985" t="s">
        <v>47</v>
      </c>
      <c r="C2985" t="s">
        <v>60</v>
      </c>
      <c r="D2985">
        <v>16116</v>
      </c>
      <c r="E2985">
        <v>2017</v>
      </c>
      <c r="F2985" t="s">
        <v>68</v>
      </c>
    </row>
    <row r="2986" spans="1:6" x14ac:dyDescent="0.25">
      <c r="A2986" t="s">
        <v>48</v>
      </c>
      <c r="B2986" t="s">
        <v>49</v>
      </c>
      <c r="C2986" t="s">
        <v>60</v>
      </c>
      <c r="D2986">
        <v>12132</v>
      </c>
      <c r="E2986">
        <v>2017</v>
      </c>
      <c r="F2986" t="s">
        <v>68</v>
      </c>
    </row>
    <row r="2987" spans="1:6" x14ac:dyDescent="0.25">
      <c r="A2987" t="s">
        <v>50</v>
      </c>
      <c r="B2987" t="s">
        <v>51</v>
      </c>
      <c r="C2987" t="s">
        <v>60</v>
      </c>
      <c r="D2987">
        <v>6057</v>
      </c>
      <c r="E2987">
        <v>2017</v>
      </c>
      <c r="F2987" t="s">
        <v>68</v>
      </c>
    </row>
    <row r="2988" spans="1:6" x14ac:dyDescent="0.25">
      <c r="A2988" t="s">
        <v>52</v>
      </c>
      <c r="B2988" t="s">
        <v>53</v>
      </c>
      <c r="C2988" t="s">
        <v>60</v>
      </c>
      <c r="D2988">
        <v>18739</v>
      </c>
      <c r="E2988">
        <v>2017</v>
      </c>
      <c r="F2988" t="s">
        <v>68</v>
      </c>
    </row>
    <row r="2989" spans="1:6" x14ac:dyDescent="0.25">
      <c r="A2989" t="s">
        <v>54</v>
      </c>
      <c r="B2989" t="s">
        <v>55</v>
      </c>
      <c r="C2989" t="s">
        <v>60</v>
      </c>
      <c r="D2989">
        <v>27062</v>
      </c>
      <c r="E2989">
        <v>2017</v>
      </c>
      <c r="F2989" t="s">
        <v>68</v>
      </c>
    </row>
    <row r="2990" spans="1:6" x14ac:dyDescent="0.25">
      <c r="A2990" t="s">
        <v>56</v>
      </c>
      <c r="B2990" t="s">
        <v>57</v>
      </c>
      <c r="C2990" t="s">
        <v>60</v>
      </c>
      <c r="E2990">
        <v>2017</v>
      </c>
      <c r="F2990" t="s">
        <v>68</v>
      </c>
    </row>
    <row r="2991" spans="1:6" x14ac:dyDescent="0.25">
      <c r="A2991" t="s">
        <v>58</v>
      </c>
      <c r="B2991" t="s">
        <v>59</v>
      </c>
      <c r="C2991" t="s">
        <v>60</v>
      </c>
      <c r="E2991">
        <v>2017</v>
      </c>
      <c r="F2991" t="s">
        <v>68</v>
      </c>
    </row>
    <row r="2992" spans="1:6" x14ac:dyDescent="0.25">
      <c r="A2992" t="s">
        <v>6</v>
      </c>
      <c r="B2992" t="s">
        <v>7</v>
      </c>
      <c r="C2992" t="s">
        <v>61</v>
      </c>
      <c r="D2992">
        <v>249793</v>
      </c>
      <c r="E2992">
        <v>2017</v>
      </c>
      <c r="F2992" t="s">
        <v>68</v>
      </c>
    </row>
    <row r="2993" spans="1:6" x14ac:dyDescent="0.25">
      <c r="A2993" t="s">
        <v>10</v>
      </c>
      <c r="B2993" t="s">
        <v>11</v>
      </c>
      <c r="C2993" t="s">
        <v>61</v>
      </c>
      <c r="D2993">
        <v>114078</v>
      </c>
      <c r="E2993">
        <v>2017</v>
      </c>
      <c r="F2993" t="s">
        <v>68</v>
      </c>
    </row>
    <row r="2994" spans="1:6" x14ac:dyDescent="0.25">
      <c r="A2994" t="s">
        <v>12</v>
      </c>
      <c r="B2994" t="s">
        <v>13</v>
      </c>
      <c r="C2994" t="s">
        <v>61</v>
      </c>
      <c r="D2994">
        <v>8035</v>
      </c>
      <c r="E2994">
        <v>2017</v>
      </c>
      <c r="F2994" t="s">
        <v>68</v>
      </c>
    </row>
    <row r="2995" spans="1:6" x14ac:dyDescent="0.25">
      <c r="A2995" t="s">
        <v>14</v>
      </c>
      <c r="B2995" t="s">
        <v>15</v>
      </c>
      <c r="C2995" t="s">
        <v>61</v>
      </c>
      <c r="D2995">
        <v>88</v>
      </c>
      <c r="E2995">
        <v>2017</v>
      </c>
      <c r="F2995" t="s">
        <v>68</v>
      </c>
    </row>
    <row r="2996" spans="1:6" x14ac:dyDescent="0.25">
      <c r="A2996" t="s">
        <v>16</v>
      </c>
      <c r="B2996" t="s">
        <v>17</v>
      </c>
      <c r="C2996" t="s">
        <v>61</v>
      </c>
      <c r="D2996">
        <v>8671</v>
      </c>
      <c r="E2996">
        <v>2017</v>
      </c>
      <c r="F2996" t="s">
        <v>68</v>
      </c>
    </row>
    <row r="2997" spans="1:6" x14ac:dyDescent="0.25">
      <c r="A2997" t="s">
        <v>18</v>
      </c>
      <c r="B2997" t="s">
        <v>19</v>
      </c>
      <c r="C2997" t="s">
        <v>61</v>
      </c>
      <c r="D2997">
        <v>5905</v>
      </c>
      <c r="E2997">
        <v>2017</v>
      </c>
      <c r="F2997" t="s">
        <v>68</v>
      </c>
    </row>
    <row r="2998" spans="1:6" x14ac:dyDescent="0.25">
      <c r="A2998" t="s">
        <v>20</v>
      </c>
      <c r="B2998" t="s">
        <v>21</v>
      </c>
      <c r="C2998" t="s">
        <v>61</v>
      </c>
      <c r="D2998">
        <v>3314</v>
      </c>
      <c r="E2998">
        <v>2017</v>
      </c>
      <c r="F2998" t="s">
        <v>68</v>
      </c>
    </row>
    <row r="2999" spans="1:6" x14ac:dyDescent="0.25">
      <c r="A2999" t="s">
        <v>22</v>
      </c>
      <c r="B2999" t="s">
        <v>23</v>
      </c>
      <c r="C2999" t="s">
        <v>61</v>
      </c>
      <c r="D2999">
        <v>4758</v>
      </c>
      <c r="E2999">
        <v>2017</v>
      </c>
      <c r="F2999" t="s">
        <v>68</v>
      </c>
    </row>
    <row r="3000" spans="1:6" x14ac:dyDescent="0.25">
      <c r="A3000" t="s">
        <v>24</v>
      </c>
      <c r="B3000" t="s">
        <v>25</v>
      </c>
      <c r="C3000" t="s">
        <v>61</v>
      </c>
      <c r="D3000">
        <v>11025</v>
      </c>
      <c r="E3000">
        <v>2017</v>
      </c>
      <c r="F3000" t="s">
        <v>68</v>
      </c>
    </row>
    <row r="3001" spans="1:6" x14ac:dyDescent="0.25">
      <c r="A3001" t="s">
        <v>26</v>
      </c>
      <c r="B3001" t="s">
        <v>27</v>
      </c>
      <c r="C3001" t="s">
        <v>61</v>
      </c>
      <c r="D3001">
        <v>6913</v>
      </c>
      <c r="E3001">
        <v>2017</v>
      </c>
      <c r="F3001" t="s">
        <v>68</v>
      </c>
    </row>
    <row r="3002" spans="1:6" x14ac:dyDescent="0.25">
      <c r="A3002" t="s">
        <v>28</v>
      </c>
      <c r="B3002" t="s">
        <v>29</v>
      </c>
      <c r="C3002" t="s">
        <v>61</v>
      </c>
      <c r="D3002">
        <v>889</v>
      </c>
      <c r="E3002">
        <v>2017</v>
      </c>
      <c r="F3002" t="s">
        <v>68</v>
      </c>
    </row>
    <row r="3003" spans="1:6" x14ac:dyDescent="0.25">
      <c r="A3003" t="s">
        <v>30</v>
      </c>
      <c r="B3003" t="s">
        <v>31</v>
      </c>
      <c r="C3003" t="s">
        <v>61</v>
      </c>
      <c r="D3003">
        <v>9236</v>
      </c>
      <c r="E3003">
        <v>2017</v>
      </c>
      <c r="F3003" t="s">
        <v>68</v>
      </c>
    </row>
    <row r="3004" spans="1:6" x14ac:dyDescent="0.25">
      <c r="A3004" t="s">
        <v>32</v>
      </c>
      <c r="B3004" t="s">
        <v>33</v>
      </c>
      <c r="C3004" t="s">
        <v>61</v>
      </c>
      <c r="D3004">
        <v>4568</v>
      </c>
      <c r="E3004">
        <v>2017</v>
      </c>
      <c r="F3004" t="s">
        <v>68</v>
      </c>
    </row>
    <row r="3005" spans="1:6" x14ac:dyDescent="0.25">
      <c r="A3005" t="s">
        <v>34</v>
      </c>
      <c r="B3005" t="s">
        <v>35</v>
      </c>
      <c r="C3005" t="s">
        <v>61</v>
      </c>
      <c r="D3005">
        <v>13020</v>
      </c>
      <c r="E3005">
        <v>2017</v>
      </c>
      <c r="F3005" t="s">
        <v>68</v>
      </c>
    </row>
    <row r="3006" spans="1:6" x14ac:dyDescent="0.25">
      <c r="A3006" t="s">
        <v>36</v>
      </c>
      <c r="B3006" t="s">
        <v>37</v>
      </c>
      <c r="C3006" t="s">
        <v>61</v>
      </c>
      <c r="D3006">
        <v>9417</v>
      </c>
      <c r="E3006">
        <v>2017</v>
      </c>
      <c r="F3006" t="s">
        <v>68</v>
      </c>
    </row>
    <row r="3007" spans="1:6" x14ac:dyDescent="0.25">
      <c r="A3007" t="s">
        <v>38</v>
      </c>
      <c r="B3007" t="s">
        <v>39</v>
      </c>
      <c r="C3007" t="s">
        <v>61</v>
      </c>
      <c r="D3007">
        <v>10002</v>
      </c>
      <c r="E3007">
        <v>2017</v>
      </c>
      <c r="F3007" t="s">
        <v>68</v>
      </c>
    </row>
    <row r="3008" spans="1:6" x14ac:dyDescent="0.25">
      <c r="A3008" t="s">
        <v>40</v>
      </c>
      <c r="B3008" t="s">
        <v>41</v>
      </c>
      <c r="C3008" t="s">
        <v>61</v>
      </c>
      <c r="D3008">
        <v>11992</v>
      </c>
      <c r="E3008">
        <v>2017</v>
      </c>
      <c r="F3008" t="s">
        <v>68</v>
      </c>
    </row>
    <row r="3009" spans="1:6" x14ac:dyDescent="0.25">
      <c r="A3009" t="s">
        <v>42</v>
      </c>
      <c r="B3009" t="s">
        <v>43</v>
      </c>
      <c r="C3009" t="s">
        <v>61</v>
      </c>
      <c r="D3009">
        <v>787</v>
      </c>
      <c r="E3009">
        <v>2017</v>
      </c>
      <c r="F3009" t="s">
        <v>68</v>
      </c>
    </row>
    <row r="3010" spans="1:6" x14ac:dyDescent="0.25">
      <c r="A3010" t="s">
        <v>44</v>
      </c>
      <c r="B3010" t="s">
        <v>45</v>
      </c>
      <c r="C3010" t="s">
        <v>61</v>
      </c>
      <c r="D3010">
        <v>5923</v>
      </c>
      <c r="E3010">
        <v>2017</v>
      </c>
      <c r="F3010" t="s">
        <v>68</v>
      </c>
    </row>
    <row r="3011" spans="1:6" x14ac:dyDescent="0.25">
      <c r="A3011" t="s">
        <v>46</v>
      </c>
      <c r="B3011" t="s">
        <v>47</v>
      </c>
      <c r="C3011" t="s">
        <v>61</v>
      </c>
      <c r="D3011">
        <v>1682</v>
      </c>
      <c r="E3011">
        <v>2017</v>
      </c>
      <c r="F3011" t="s">
        <v>68</v>
      </c>
    </row>
    <row r="3012" spans="1:6" x14ac:dyDescent="0.25">
      <c r="A3012" t="s">
        <v>48</v>
      </c>
      <c r="B3012" t="s">
        <v>49</v>
      </c>
      <c r="C3012" t="s">
        <v>61</v>
      </c>
      <c r="D3012">
        <v>4679</v>
      </c>
      <c r="E3012">
        <v>2017</v>
      </c>
      <c r="F3012" t="s">
        <v>68</v>
      </c>
    </row>
    <row r="3013" spans="1:6" x14ac:dyDescent="0.25">
      <c r="A3013" t="s">
        <v>50</v>
      </c>
      <c r="B3013" t="s">
        <v>51</v>
      </c>
      <c r="C3013" t="s">
        <v>61</v>
      </c>
      <c r="D3013">
        <v>1597</v>
      </c>
      <c r="E3013">
        <v>2017</v>
      </c>
      <c r="F3013" t="s">
        <v>68</v>
      </c>
    </row>
    <row r="3014" spans="1:6" x14ac:dyDescent="0.25">
      <c r="A3014" t="s">
        <v>52</v>
      </c>
      <c r="B3014" t="s">
        <v>53</v>
      </c>
      <c r="C3014" t="s">
        <v>61</v>
      </c>
      <c r="D3014">
        <v>5810</v>
      </c>
      <c r="E3014">
        <v>2017</v>
      </c>
      <c r="F3014" t="s">
        <v>68</v>
      </c>
    </row>
    <row r="3015" spans="1:6" x14ac:dyDescent="0.25">
      <c r="A3015" t="s">
        <v>54</v>
      </c>
      <c r="B3015" t="s">
        <v>55</v>
      </c>
      <c r="C3015" t="s">
        <v>61</v>
      </c>
      <c r="D3015">
        <v>3202</v>
      </c>
      <c r="E3015">
        <v>2017</v>
      </c>
      <c r="F3015" t="s">
        <v>68</v>
      </c>
    </row>
    <row r="3016" spans="1:6" x14ac:dyDescent="0.25">
      <c r="A3016" t="s">
        <v>56</v>
      </c>
      <c r="B3016" t="s">
        <v>57</v>
      </c>
      <c r="C3016" t="s">
        <v>61</v>
      </c>
      <c r="D3016">
        <v>4191</v>
      </c>
      <c r="E3016">
        <v>2017</v>
      </c>
      <c r="F3016" t="s">
        <v>68</v>
      </c>
    </row>
    <row r="3017" spans="1:6" x14ac:dyDescent="0.25">
      <c r="A3017" t="s">
        <v>58</v>
      </c>
      <c r="B3017" t="s">
        <v>59</v>
      </c>
      <c r="C3017" t="s">
        <v>61</v>
      </c>
      <c r="E3017">
        <v>2017</v>
      </c>
      <c r="F3017" t="s">
        <v>68</v>
      </c>
    </row>
    <row r="3018" spans="1:6" x14ac:dyDescent="0.25">
      <c r="A3018" t="s">
        <v>6</v>
      </c>
      <c r="B3018" t="s">
        <v>7</v>
      </c>
      <c r="C3018" t="s">
        <v>65</v>
      </c>
      <c r="D3018">
        <v>4170595</v>
      </c>
      <c r="E3018">
        <v>2017</v>
      </c>
      <c r="F3018" t="s">
        <v>68</v>
      </c>
    </row>
    <row r="3019" spans="1:6" x14ac:dyDescent="0.25">
      <c r="A3019" t="s">
        <v>10</v>
      </c>
      <c r="B3019" t="s">
        <v>11</v>
      </c>
      <c r="C3019" t="s">
        <v>65</v>
      </c>
      <c r="D3019">
        <v>831352</v>
      </c>
      <c r="E3019">
        <v>2017</v>
      </c>
      <c r="F3019" t="s">
        <v>68</v>
      </c>
    </row>
    <row r="3020" spans="1:6" x14ac:dyDescent="0.25">
      <c r="A3020" t="s">
        <v>12</v>
      </c>
      <c r="B3020" t="s">
        <v>13</v>
      </c>
      <c r="C3020" t="s">
        <v>65</v>
      </c>
      <c r="D3020">
        <v>144420</v>
      </c>
      <c r="E3020">
        <v>2017</v>
      </c>
      <c r="F3020" t="s">
        <v>68</v>
      </c>
    </row>
    <row r="3021" spans="1:6" x14ac:dyDescent="0.25">
      <c r="A3021" t="s">
        <v>14</v>
      </c>
      <c r="B3021" t="s">
        <v>15</v>
      </c>
      <c r="C3021" t="s">
        <v>65</v>
      </c>
      <c r="D3021">
        <v>2256</v>
      </c>
      <c r="E3021">
        <v>2017</v>
      </c>
      <c r="F3021" t="s">
        <v>68</v>
      </c>
    </row>
    <row r="3022" spans="1:6" x14ac:dyDescent="0.25">
      <c r="A3022" t="s">
        <v>16</v>
      </c>
      <c r="B3022" t="s">
        <v>17</v>
      </c>
      <c r="C3022" t="s">
        <v>65</v>
      </c>
      <c r="D3022">
        <v>279075</v>
      </c>
      <c r="E3022">
        <v>2017</v>
      </c>
      <c r="F3022" t="s">
        <v>68</v>
      </c>
    </row>
    <row r="3023" spans="1:6" x14ac:dyDescent="0.25">
      <c r="A3023" t="s">
        <v>18</v>
      </c>
      <c r="B3023" t="s">
        <v>19</v>
      </c>
      <c r="C3023" t="s">
        <v>65</v>
      </c>
      <c r="D3023">
        <v>158490</v>
      </c>
      <c r="E3023">
        <v>2017</v>
      </c>
      <c r="F3023" t="s">
        <v>68</v>
      </c>
    </row>
    <row r="3024" spans="1:6" x14ac:dyDescent="0.25">
      <c r="A3024" t="s">
        <v>20</v>
      </c>
      <c r="B3024" t="s">
        <v>21</v>
      </c>
      <c r="C3024" t="s">
        <v>65</v>
      </c>
      <c r="D3024">
        <v>60775</v>
      </c>
      <c r="E3024">
        <v>2017</v>
      </c>
      <c r="F3024" t="s">
        <v>68</v>
      </c>
    </row>
    <row r="3025" spans="1:6" x14ac:dyDescent="0.25">
      <c r="A3025" t="s">
        <v>22</v>
      </c>
      <c r="B3025" t="s">
        <v>23</v>
      </c>
      <c r="C3025" t="s">
        <v>65</v>
      </c>
      <c r="D3025">
        <v>31428</v>
      </c>
      <c r="E3025">
        <v>2017</v>
      </c>
      <c r="F3025" t="s">
        <v>68</v>
      </c>
    </row>
    <row r="3026" spans="1:6" x14ac:dyDescent="0.25">
      <c r="A3026" t="s">
        <v>24</v>
      </c>
      <c r="B3026" t="s">
        <v>25</v>
      </c>
      <c r="C3026" t="s">
        <v>65</v>
      </c>
      <c r="D3026">
        <v>76183</v>
      </c>
      <c r="E3026">
        <v>2017</v>
      </c>
      <c r="F3026" t="s">
        <v>68</v>
      </c>
    </row>
    <row r="3027" spans="1:6" x14ac:dyDescent="0.25">
      <c r="A3027" t="s">
        <v>26</v>
      </c>
      <c r="B3027" t="s">
        <v>27</v>
      </c>
      <c r="C3027" t="s">
        <v>65</v>
      </c>
      <c r="D3027">
        <v>14285</v>
      </c>
      <c r="E3027">
        <v>2017</v>
      </c>
      <c r="F3027" t="s">
        <v>68</v>
      </c>
    </row>
    <row r="3028" spans="1:6" x14ac:dyDescent="0.25">
      <c r="A3028" t="s">
        <v>28</v>
      </c>
      <c r="B3028" t="s">
        <v>29</v>
      </c>
      <c r="C3028" t="s">
        <v>65</v>
      </c>
      <c r="D3028">
        <v>29704</v>
      </c>
      <c r="E3028">
        <v>2017</v>
      </c>
      <c r="F3028" t="s">
        <v>68</v>
      </c>
    </row>
    <row r="3029" spans="1:6" x14ac:dyDescent="0.25">
      <c r="A3029" t="s">
        <v>30</v>
      </c>
      <c r="B3029" t="s">
        <v>31</v>
      </c>
      <c r="C3029" t="s">
        <v>65</v>
      </c>
      <c r="D3029">
        <v>181711</v>
      </c>
      <c r="E3029">
        <v>2017</v>
      </c>
      <c r="F3029" t="s">
        <v>68</v>
      </c>
    </row>
    <row r="3030" spans="1:6" x14ac:dyDescent="0.25">
      <c r="A3030" t="s">
        <v>32</v>
      </c>
      <c r="B3030" t="s">
        <v>33</v>
      </c>
      <c r="C3030" t="s">
        <v>65</v>
      </c>
      <c r="D3030">
        <v>71485</v>
      </c>
      <c r="E3030">
        <v>2017</v>
      </c>
      <c r="F3030" t="s">
        <v>68</v>
      </c>
    </row>
    <row r="3031" spans="1:6" x14ac:dyDescent="0.25">
      <c r="A3031" t="s">
        <v>34</v>
      </c>
      <c r="B3031" t="s">
        <v>35</v>
      </c>
      <c r="C3031" t="s">
        <v>65</v>
      </c>
      <c r="D3031">
        <v>242195</v>
      </c>
      <c r="E3031">
        <v>2017</v>
      </c>
      <c r="F3031" t="s">
        <v>68</v>
      </c>
    </row>
    <row r="3032" spans="1:6" x14ac:dyDescent="0.25">
      <c r="A3032" t="s">
        <v>36</v>
      </c>
      <c r="B3032" t="s">
        <v>37</v>
      </c>
      <c r="C3032" t="s">
        <v>65</v>
      </c>
      <c r="D3032">
        <v>168350</v>
      </c>
      <c r="E3032">
        <v>2017</v>
      </c>
      <c r="F3032" t="s">
        <v>68</v>
      </c>
    </row>
    <row r="3033" spans="1:6" x14ac:dyDescent="0.25">
      <c r="A3033" t="s">
        <v>38</v>
      </c>
      <c r="B3033" t="s">
        <v>39</v>
      </c>
      <c r="C3033" t="s">
        <v>65</v>
      </c>
      <c r="D3033">
        <v>115918</v>
      </c>
      <c r="E3033">
        <v>2017</v>
      </c>
      <c r="F3033" t="s">
        <v>68</v>
      </c>
    </row>
    <row r="3034" spans="1:6" x14ac:dyDescent="0.25">
      <c r="A3034" t="s">
        <v>40</v>
      </c>
      <c r="B3034" t="s">
        <v>41</v>
      </c>
      <c r="C3034" t="s">
        <v>65</v>
      </c>
      <c r="D3034">
        <v>310393</v>
      </c>
      <c r="E3034">
        <v>2017</v>
      </c>
      <c r="F3034" t="s">
        <v>68</v>
      </c>
    </row>
    <row r="3035" spans="1:6" x14ac:dyDescent="0.25">
      <c r="A3035" t="s">
        <v>42</v>
      </c>
      <c r="B3035" t="s">
        <v>43</v>
      </c>
      <c r="C3035" t="s">
        <v>65</v>
      </c>
      <c r="D3035">
        <v>323971</v>
      </c>
      <c r="E3035">
        <v>2017</v>
      </c>
      <c r="F3035" t="s">
        <v>68</v>
      </c>
    </row>
    <row r="3036" spans="1:6" x14ac:dyDescent="0.25">
      <c r="A3036" t="s">
        <v>44</v>
      </c>
      <c r="B3036" t="s">
        <v>45</v>
      </c>
      <c r="C3036" t="s">
        <v>65</v>
      </c>
      <c r="D3036">
        <v>543889</v>
      </c>
      <c r="E3036">
        <v>2017</v>
      </c>
      <c r="F3036" t="s">
        <v>68</v>
      </c>
    </row>
    <row r="3037" spans="1:6" x14ac:dyDescent="0.25">
      <c r="A3037" t="s">
        <v>46</v>
      </c>
      <c r="B3037" t="s">
        <v>47</v>
      </c>
      <c r="C3037" t="s">
        <v>65</v>
      </c>
      <c r="D3037">
        <v>418417</v>
      </c>
      <c r="E3037">
        <v>2017</v>
      </c>
      <c r="F3037" t="s">
        <v>68</v>
      </c>
    </row>
    <row r="3038" spans="1:6" x14ac:dyDescent="0.25">
      <c r="A3038" t="s">
        <v>48</v>
      </c>
      <c r="B3038" t="s">
        <v>49</v>
      </c>
      <c r="C3038" t="s">
        <v>65</v>
      </c>
      <c r="D3038">
        <v>106024</v>
      </c>
      <c r="E3038">
        <v>2017</v>
      </c>
      <c r="F3038" t="s">
        <v>68</v>
      </c>
    </row>
    <row r="3039" spans="1:6" x14ac:dyDescent="0.25">
      <c r="A3039" t="s">
        <v>50</v>
      </c>
      <c r="B3039" t="s">
        <v>51</v>
      </c>
      <c r="C3039" t="s">
        <v>65</v>
      </c>
      <c r="D3039">
        <v>16225</v>
      </c>
      <c r="E3039">
        <v>2017</v>
      </c>
      <c r="F3039" t="s">
        <v>68</v>
      </c>
    </row>
    <row r="3040" spans="1:6" x14ac:dyDescent="0.25">
      <c r="A3040" t="s">
        <v>52</v>
      </c>
      <c r="B3040" t="s">
        <v>53</v>
      </c>
      <c r="C3040" t="s">
        <v>65</v>
      </c>
      <c r="D3040">
        <v>30635</v>
      </c>
      <c r="E3040">
        <v>2017</v>
      </c>
      <c r="F3040" t="s">
        <v>68</v>
      </c>
    </row>
    <row r="3041" spans="1:6" x14ac:dyDescent="0.25">
      <c r="A3041" t="s">
        <v>54</v>
      </c>
      <c r="B3041" t="s">
        <v>55</v>
      </c>
      <c r="C3041" t="s">
        <v>65</v>
      </c>
      <c r="D3041">
        <v>13414</v>
      </c>
      <c r="E3041">
        <v>2017</v>
      </c>
      <c r="F3041" t="s">
        <v>68</v>
      </c>
    </row>
    <row r="3042" spans="1:6" x14ac:dyDescent="0.25">
      <c r="A3042" t="s">
        <v>56</v>
      </c>
      <c r="B3042" t="s">
        <v>57</v>
      </c>
      <c r="C3042" t="s">
        <v>65</v>
      </c>
      <c r="E3042">
        <v>2017</v>
      </c>
      <c r="F3042" t="s">
        <v>68</v>
      </c>
    </row>
    <row r="3043" spans="1:6" x14ac:dyDescent="0.25">
      <c r="A3043" t="s">
        <v>58</v>
      </c>
      <c r="B3043" t="s">
        <v>59</v>
      </c>
      <c r="C3043" t="s">
        <v>65</v>
      </c>
      <c r="E3043">
        <v>2017</v>
      </c>
      <c r="F3043" t="s">
        <v>68</v>
      </c>
    </row>
    <row r="3044" spans="1:6" x14ac:dyDescent="0.25">
      <c r="A3044" t="s">
        <v>6</v>
      </c>
      <c r="B3044" t="s">
        <v>7</v>
      </c>
      <c r="C3044" t="s">
        <v>62</v>
      </c>
      <c r="D3044">
        <v>747533</v>
      </c>
      <c r="E3044">
        <v>2017</v>
      </c>
      <c r="F3044" t="s">
        <v>68</v>
      </c>
    </row>
    <row r="3045" spans="1:6" x14ac:dyDescent="0.25">
      <c r="A3045" t="s">
        <v>10</v>
      </c>
      <c r="B3045" t="s">
        <v>11</v>
      </c>
      <c r="C3045" t="s">
        <v>62</v>
      </c>
      <c r="D3045">
        <v>341923</v>
      </c>
      <c r="E3045">
        <v>2017</v>
      </c>
      <c r="F3045" t="s">
        <v>68</v>
      </c>
    </row>
    <row r="3046" spans="1:6" x14ac:dyDescent="0.25">
      <c r="A3046" t="s">
        <v>12</v>
      </c>
      <c r="B3046" t="s">
        <v>13</v>
      </c>
      <c r="C3046" t="s">
        <v>62</v>
      </c>
      <c r="D3046">
        <v>14298</v>
      </c>
      <c r="E3046">
        <v>2017</v>
      </c>
      <c r="F3046" t="s">
        <v>68</v>
      </c>
    </row>
    <row r="3047" spans="1:6" x14ac:dyDescent="0.25">
      <c r="A3047" t="s">
        <v>14</v>
      </c>
      <c r="B3047" t="s">
        <v>15</v>
      </c>
      <c r="C3047" t="s">
        <v>62</v>
      </c>
      <c r="E3047">
        <v>2017</v>
      </c>
      <c r="F3047" t="s">
        <v>68</v>
      </c>
    </row>
    <row r="3048" spans="1:6" x14ac:dyDescent="0.25">
      <c r="A3048" t="s">
        <v>16</v>
      </c>
      <c r="B3048" t="s">
        <v>17</v>
      </c>
      <c r="C3048" t="s">
        <v>62</v>
      </c>
      <c r="D3048">
        <v>35407</v>
      </c>
      <c r="E3048">
        <v>2017</v>
      </c>
      <c r="F3048" t="s">
        <v>68</v>
      </c>
    </row>
    <row r="3049" spans="1:6" x14ac:dyDescent="0.25">
      <c r="A3049" t="s">
        <v>18</v>
      </c>
      <c r="B3049" t="s">
        <v>19</v>
      </c>
      <c r="C3049" t="s">
        <v>62</v>
      </c>
      <c r="D3049">
        <v>63276</v>
      </c>
      <c r="E3049">
        <v>2017</v>
      </c>
      <c r="F3049" t="s">
        <v>68</v>
      </c>
    </row>
    <row r="3050" spans="1:6" x14ac:dyDescent="0.25">
      <c r="A3050" t="s">
        <v>20</v>
      </c>
      <c r="B3050" t="s">
        <v>21</v>
      </c>
      <c r="C3050" t="s">
        <v>62</v>
      </c>
      <c r="D3050">
        <v>8524</v>
      </c>
      <c r="E3050">
        <v>2017</v>
      </c>
      <c r="F3050" t="s">
        <v>68</v>
      </c>
    </row>
    <row r="3051" spans="1:6" x14ac:dyDescent="0.25">
      <c r="A3051" t="s">
        <v>22</v>
      </c>
      <c r="B3051" t="s">
        <v>23</v>
      </c>
      <c r="C3051" t="s">
        <v>62</v>
      </c>
      <c r="D3051">
        <v>8062</v>
      </c>
      <c r="E3051">
        <v>2017</v>
      </c>
      <c r="F3051" t="s">
        <v>68</v>
      </c>
    </row>
    <row r="3052" spans="1:6" x14ac:dyDescent="0.25">
      <c r="A3052" t="s">
        <v>24</v>
      </c>
      <c r="B3052" t="s">
        <v>25</v>
      </c>
      <c r="C3052" t="s">
        <v>62</v>
      </c>
      <c r="D3052">
        <v>9250</v>
      </c>
      <c r="E3052">
        <v>2017</v>
      </c>
      <c r="F3052" t="s">
        <v>68</v>
      </c>
    </row>
    <row r="3053" spans="1:6" x14ac:dyDescent="0.25">
      <c r="A3053" t="s">
        <v>26</v>
      </c>
      <c r="B3053" t="s">
        <v>27</v>
      </c>
      <c r="C3053" t="s">
        <v>62</v>
      </c>
      <c r="D3053">
        <v>15671</v>
      </c>
      <c r="E3053">
        <v>2017</v>
      </c>
      <c r="F3053" t="s">
        <v>68</v>
      </c>
    </row>
    <row r="3054" spans="1:6" x14ac:dyDescent="0.25">
      <c r="A3054" t="s">
        <v>28</v>
      </c>
      <c r="B3054" t="s">
        <v>29</v>
      </c>
      <c r="C3054" t="s">
        <v>62</v>
      </c>
      <c r="D3054">
        <v>4175</v>
      </c>
      <c r="E3054">
        <v>2017</v>
      </c>
      <c r="F3054" t="s">
        <v>68</v>
      </c>
    </row>
    <row r="3055" spans="1:6" x14ac:dyDescent="0.25">
      <c r="A3055" t="s">
        <v>30</v>
      </c>
      <c r="B3055" t="s">
        <v>31</v>
      </c>
      <c r="C3055" t="s">
        <v>62</v>
      </c>
      <c r="D3055">
        <v>36137</v>
      </c>
      <c r="E3055">
        <v>2017</v>
      </c>
      <c r="F3055" t="s">
        <v>68</v>
      </c>
    </row>
    <row r="3056" spans="1:6" x14ac:dyDescent="0.25">
      <c r="A3056" t="s">
        <v>32</v>
      </c>
      <c r="B3056" t="s">
        <v>33</v>
      </c>
      <c r="C3056" t="s">
        <v>62</v>
      </c>
      <c r="D3056">
        <v>15498</v>
      </c>
      <c r="E3056">
        <v>2017</v>
      </c>
      <c r="F3056" t="s">
        <v>68</v>
      </c>
    </row>
    <row r="3057" spans="1:6" x14ac:dyDescent="0.25">
      <c r="A3057" t="s">
        <v>34</v>
      </c>
      <c r="B3057" t="s">
        <v>35</v>
      </c>
      <c r="C3057" t="s">
        <v>62</v>
      </c>
      <c r="D3057">
        <v>41341</v>
      </c>
      <c r="E3057">
        <v>2017</v>
      </c>
      <c r="F3057" t="s">
        <v>68</v>
      </c>
    </row>
    <row r="3058" spans="1:6" x14ac:dyDescent="0.25">
      <c r="A3058" t="s">
        <v>36</v>
      </c>
      <c r="B3058" t="s">
        <v>37</v>
      </c>
      <c r="C3058" t="s">
        <v>62</v>
      </c>
      <c r="D3058">
        <v>30011</v>
      </c>
      <c r="E3058">
        <v>2017</v>
      </c>
      <c r="F3058" t="s">
        <v>68</v>
      </c>
    </row>
    <row r="3059" spans="1:6" x14ac:dyDescent="0.25">
      <c r="A3059" t="s">
        <v>38</v>
      </c>
      <c r="B3059" t="s">
        <v>39</v>
      </c>
      <c r="C3059" t="s">
        <v>62</v>
      </c>
      <c r="D3059">
        <v>11210</v>
      </c>
      <c r="E3059">
        <v>2017</v>
      </c>
      <c r="F3059" t="s">
        <v>68</v>
      </c>
    </row>
    <row r="3060" spans="1:6" x14ac:dyDescent="0.25">
      <c r="A3060" t="s">
        <v>40</v>
      </c>
      <c r="B3060" t="s">
        <v>41</v>
      </c>
      <c r="C3060" t="s">
        <v>62</v>
      </c>
      <c r="D3060">
        <v>49297</v>
      </c>
      <c r="E3060">
        <v>2017</v>
      </c>
      <c r="F3060" t="s">
        <v>68</v>
      </c>
    </row>
    <row r="3061" spans="1:6" x14ac:dyDescent="0.25">
      <c r="A3061" t="s">
        <v>42</v>
      </c>
      <c r="B3061" t="s">
        <v>43</v>
      </c>
      <c r="C3061" t="s">
        <v>62</v>
      </c>
      <c r="D3061">
        <v>1001</v>
      </c>
      <c r="E3061">
        <v>2017</v>
      </c>
      <c r="F3061" t="s">
        <v>68</v>
      </c>
    </row>
    <row r="3062" spans="1:6" x14ac:dyDescent="0.25">
      <c r="A3062" t="s">
        <v>44</v>
      </c>
      <c r="B3062" t="s">
        <v>45</v>
      </c>
      <c r="C3062" t="s">
        <v>62</v>
      </c>
      <c r="D3062">
        <v>8008</v>
      </c>
      <c r="E3062">
        <v>2017</v>
      </c>
      <c r="F3062" t="s">
        <v>68</v>
      </c>
    </row>
    <row r="3063" spans="1:6" x14ac:dyDescent="0.25">
      <c r="A3063" t="s">
        <v>46</v>
      </c>
      <c r="B3063" t="s">
        <v>47</v>
      </c>
      <c r="C3063" t="s">
        <v>62</v>
      </c>
      <c r="D3063">
        <v>10486</v>
      </c>
      <c r="E3063">
        <v>2017</v>
      </c>
      <c r="F3063" t="s">
        <v>68</v>
      </c>
    </row>
    <row r="3064" spans="1:6" x14ac:dyDescent="0.25">
      <c r="A3064" t="s">
        <v>48</v>
      </c>
      <c r="B3064" t="s">
        <v>49</v>
      </c>
      <c r="C3064" t="s">
        <v>62</v>
      </c>
      <c r="D3064">
        <v>6557</v>
      </c>
      <c r="E3064">
        <v>2017</v>
      </c>
      <c r="F3064" t="s">
        <v>68</v>
      </c>
    </row>
    <row r="3065" spans="1:6" x14ac:dyDescent="0.25">
      <c r="A3065" t="s">
        <v>50</v>
      </c>
      <c r="B3065" t="s">
        <v>51</v>
      </c>
      <c r="C3065" t="s">
        <v>62</v>
      </c>
      <c r="D3065">
        <v>2953</v>
      </c>
      <c r="E3065">
        <v>2017</v>
      </c>
      <c r="F3065" t="s">
        <v>68</v>
      </c>
    </row>
    <row r="3066" spans="1:6" x14ac:dyDescent="0.25">
      <c r="A3066" t="s">
        <v>52</v>
      </c>
      <c r="B3066" t="s">
        <v>53</v>
      </c>
      <c r="C3066" t="s">
        <v>62</v>
      </c>
      <c r="D3066">
        <v>7703</v>
      </c>
      <c r="E3066">
        <v>2017</v>
      </c>
      <c r="F3066" t="s">
        <v>68</v>
      </c>
    </row>
    <row r="3067" spans="1:6" x14ac:dyDescent="0.25">
      <c r="A3067" t="s">
        <v>54</v>
      </c>
      <c r="B3067" t="s">
        <v>55</v>
      </c>
      <c r="C3067" t="s">
        <v>62</v>
      </c>
      <c r="D3067">
        <v>12413</v>
      </c>
      <c r="E3067">
        <v>2017</v>
      </c>
      <c r="F3067" t="s">
        <v>68</v>
      </c>
    </row>
    <row r="3068" spans="1:6" x14ac:dyDescent="0.25">
      <c r="A3068" t="s">
        <v>56</v>
      </c>
      <c r="B3068" t="s">
        <v>57</v>
      </c>
      <c r="C3068" t="s">
        <v>62</v>
      </c>
      <c r="D3068">
        <v>14321</v>
      </c>
      <c r="E3068">
        <v>2017</v>
      </c>
      <c r="F3068" t="s">
        <v>68</v>
      </c>
    </row>
    <row r="3069" spans="1:6" x14ac:dyDescent="0.25">
      <c r="A3069" t="s">
        <v>58</v>
      </c>
      <c r="B3069" t="s">
        <v>59</v>
      </c>
      <c r="C3069" t="s">
        <v>62</v>
      </c>
      <c r="E3069">
        <v>2017</v>
      </c>
      <c r="F3069" t="s">
        <v>68</v>
      </c>
    </row>
    <row r="3070" spans="1:6" x14ac:dyDescent="0.25">
      <c r="A3070" t="s">
        <v>6</v>
      </c>
      <c r="B3070" t="s">
        <v>7</v>
      </c>
      <c r="C3070" t="s">
        <v>66</v>
      </c>
      <c r="D3070">
        <v>95406</v>
      </c>
      <c r="E3070">
        <v>2017</v>
      </c>
      <c r="F3070" t="s">
        <v>68</v>
      </c>
    </row>
    <row r="3071" spans="1:6" x14ac:dyDescent="0.25">
      <c r="A3071" t="s">
        <v>10</v>
      </c>
      <c r="B3071" t="s">
        <v>11</v>
      </c>
      <c r="C3071" t="s">
        <v>66</v>
      </c>
      <c r="D3071">
        <v>48125</v>
      </c>
      <c r="E3071">
        <v>2017</v>
      </c>
      <c r="F3071" t="s">
        <v>68</v>
      </c>
    </row>
    <row r="3072" spans="1:6" x14ac:dyDescent="0.25">
      <c r="A3072" t="s">
        <v>12</v>
      </c>
      <c r="B3072" t="s">
        <v>13</v>
      </c>
      <c r="C3072" t="s">
        <v>66</v>
      </c>
      <c r="D3072">
        <v>4029</v>
      </c>
      <c r="E3072">
        <v>2017</v>
      </c>
      <c r="F3072" t="s">
        <v>68</v>
      </c>
    </row>
    <row r="3073" spans="1:6" x14ac:dyDescent="0.25">
      <c r="A3073" t="s">
        <v>14</v>
      </c>
      <c r="B3073" t="s">
        <v>15</v>
      </c>
      <c r="C3073" t="s">
        <v>66</v>
      </c>
      <c r="E3073">
        <v>2017</v>
      </c>
      <c r="F3073" t="s">
        <v>68</v>
      </c>
    </row>
    <row r="3074" spans="1:6" x14ac:dyDescent="0.25">
      <c r="A3074" t="s">
        <v>16</v>
      </c>
      <c r="B3074" t="s">
        <v>17</v>
      </c>
      <c r="C3074" t="s">
        <v>66</v>
      </c>
      <c r="D3074">
        <v>1608</v>
      </c>
      <c r="E3074">
        <v>2017</v>
      </c>
      <c r="F3074" t="s">
        <v>68</v>
      </c>
    </row>
    <row r="3075" spans="1:6" x14ac:dyDescent="0.25">
      <c r="A3075" t="s">
        <v>18</v>
      </c>
      <c r="B3075" t="s">
        <v>19</v>
      </c>
      <c r="C3075" t="s">
        <v>66</v>
      </c>
      <c r="D3075">
        <v>1997</v>
      </c>
      <c r="E3075">
        <v>2017</v>
      </c>
      <c r="F3075" t="s">
        <v>68</v>
      </c>
    </row>
    <row r="3076" spans="1:6" x14ac:dyDescent="0.25">
      <c r="A3076" t="s">
        <v>20</v>
      </c>
      <c r="B3076" t="s">
        <v>21</v>
      </c>
      <c r="C3076" t="s">
        <v>66</v>
      </c>
      <c r="D3076">
        <v>3762</v>
      </c>
      <c r="E3076">
        <v>2017</v>
      </c>
      <c r="F3076" t="s">
        <v>68</v>
      </c>
    </row>
    <row r="3077" spans="1:6" x14ac:dyDescent="0.25">
      <c r="A3077" t="s">
        <v>22</v>
      </c>
      <c r="B3077" t="s">
        <v>23</v>
      </c>
      <c r="C3077" t="s">
        <v>66</v>
      </c>
      <c r="D3077">
        <v>2514</v>
      </c>
      <c r="E3077">
        <v>2017</v>
      </c>
      <c r="F3077" t="s">
        <v>68</v>
      </c>
    </row>
    <row r="3078" spans="1:6" x14ac:dyDescent="0.25">
      <c r="A3078" t="s">
        <v>24</v>
      </c>
      <c r="B3078" t="s">
        <v>25</v>
      </c>
      <c r="C3078" t="s">
        <v>66</v>
      </c>
      <c r="D3078">
        <v>2047</v>
      </c>
      <c r="E3078">
        <v>2017</v>
      </c>
      <c r="F3078" t="s">
        <v>68</v>
      </c>
    </row>
    <row r="3079" spans="1:6" x14ac:dyDescent="0.25">
      <c r="A3079" t="s">
        <v>26</v>
      </c>
      <c r="B3079" t="s">
        <v>27</v>
      </c>
      <c r="C3079" t="s">
        <v>66</v>
      </c>
      <c r="D3079">
        <v>2440</v>
      </c>
      <c r="E3079">
        <v>2017</v>
      </c>
      <c r="F3079" t="s">
        <v>68</v>
      </c>
    </row>
    <row r="3080" spans="1:6" x14ac:dyDescent="0.25">
      <c r="A3080" t="s">
        <v>28</v>
      </c>
      <c r="B3080" t="s">
        <v>29</v>
      </c>
      <c r="C3080" t="s">
        <v>66</v>
      </c>
      <c r="D3080">
        <v>1675</v>
      </c>
      <c r="E3080">
        <v>2017</v>
      </c>
      <c r="F3080" t="s">
        <v>68</v>
      </c>
    </row>
    <row r="3081" spans="1:6" x14ac:dyDescent="0.25">
      <c r="A3081" t="s">
        <v>30</v>
      </c>
      <c r="B3081" t="s">
        <v>31</v>
      </c>
      <c r="C3081" t="s">
        <v>66</v>
      </c>
      <c r="D3081">
        <v>4824</v>
      </c>
      <c r="E3081">
        <v>2017</v>
      </c>
      <c r="F3081" t="s">
        <v>68</v>
      </c>
    </row>
    <row r="3082" spans="1:6" x14ac:dyDescent="0.25">
      <c r="A3082" t="s">
        <v>32</v>
      </c>
      <c r="B3082" t="s">
        <v>33</v>
      </c>
      <c r="C3082" t="s">
        <v>66</v>
      </c>
      <c r="D3082">
        <v>4390</v>
      </c>
      <c r="E3082">
        <v>2017</v>
      </c>
      <c r="F3082" t="s">
        <v>68</v>
      </c>
    </row>
    <row r="3083" spans="1:6" x14ac:dyDescent="0.25">
      <c r="A3083" t="s">
        <v>34</v>
      </c>
      <c r="B3083" t="s">
        <v>35</v>
      </c>
      <c r="C3083" t="s">
        <v>66</v>
      </c>
      <c r="D3083">
        <v>3535</v>
      </c>
      <c r="E3083">
        <v>2017</v>
      </c>
      <c r="F3083" t="s">
        <v>68</v>
      </c>
    </row>
    <row r="3084" spans="1:6" x14ac:dyDescent="0.25">
      <c r="A3084" t="s">
        <v>36</v>
      </c>
      <c r="B3084" t="s">
        <v>37</v>
      </c>
      <c r="C3084" t="s">
        <v>66</v>
      </c>
      <c r="D3084">
        <v>2756</v>
      </c>
      <c r="E3084">
        <v>2017</v>
      </c>
      <c r="F3084" t="s">
        <v>68</v>
      </c>
    </row>
    <row r="3085" spans="1:6" x14ac:dyDescent="0.25">
      <c r="A3085" t="s">
        <v>38</v>
      </c>
      <c r="B3085" t="s">
        <v>39</v>
      </c>
      <c r="C3085" t="s">
        <v>66</v>
      </c>
      <c r="D3085">
        <v>794</v>
      </c>
      <c r="E3085">
        <v>2017</v>
      </c>
      <c r="F3085" t="s">
        <v>68</v>
      </c>
    </row>
    <row r="3086" spans="1:6" x14ac:dyDescent="0.25">
      <c r="A3086" t="s">
        <v>40</v>
      </c>
      <c r="B3086" t="s">
        <v>41</v>
      </c>
      <c r="C3086" t="s">
        <v>66</v>
      </c>
      <c r="D3086">
        <v>3094</v>
      </c>
      <c r="E3086">
        <v>2017</v>
      </c>
      <c r="F3086" t="s">
        <v>68</v>
      </c>
    </row>
    <row r="3087" spans="1:6" x14ac:dyDescent="0.25">
      <c r="A3087" t="s">
        <v>42</v>
      </c>
      <c r="B3087" t="s">
        <v>43</v>
      </c>
      <c r="C3087" t="s">
        <v>66</v>
      </c>
      <c r="D3087">
        <v>116</v>
      </c>
      <c r="E3087">
        <v>2017</v>
      </c>
      <c r="F3087" t="s">
        <v>68</v>
      </c>
    </row>
    <row r="3088" spans="1:6" x14ac:dyDescent="0.25">
      <c r="A3088" t="s">
        <v>44</v>
      </c>
      <c r="B3088" t="s">
        <v>45</v>
      </c>
      <c r="C3088" t="s">
        <v>66</v>
      </c>
      <c r="D3088">
        <v>842</v>
      </c>
      <c r="E3088">
        <v>2017</v>
      </c>
      <c r="F3088" t="s">
        <v>68</v>
      </c>
    </row>
    <row r="3089" spans="1:6" x14ac:dyDescent="0.25">
      <c r="A3089" t="s">
        <v>46</v>
      </c>
      <c r="B3089" t="s">
        <v>47</v>
      </c>
      <c r="C3089" t="s">
        <v>66</v>
      </c>
      <c r="D3089">
        <v>132</v>
      </c>
      <c r="E3089">
        <v>2017</v>
      </c>
      <c r="F3089" t="s">
        <v>68</v>
      </c>
    </row>
    <row r="3090" spans="1:6" x14ac:dyDescent="0.25">
      <c r="A3090" t="s">
        <v>48</v>
      </c>
      <c r="B3090" t="s">
        <v>49</v>
      </c>
      <c r="C3090" t="s">
        <v>66</v>
      </c>
      <c r="D3090">
        <v>2803</v>
      </c>
      <c r="E3090">
        <v>2017</v>
      </c>
      <c r="F3090" t="s">
        <v>68</v>
      </c>
    </row>
    <row r="3091" spans="1:6" x14ac:dyDescent="0.25">
      <c r="A3091" t="s">
        <v>50</v>
      </c>
      <c r="B3091" t="s">
        <v>51</v>
      </c>
      <c r="C3091" t="s">
        <v>66</v>
      </c>
      <c r="E3091">
        <v>2017</v>
      </c>
      <c r="F3091" t="s">
        <v>68</v>
      </c>
    </row>
    <row r="3092" spans="1:6" x14ac:dyDescent="0.25">
      <c r="A3092" t="s">
        <v>52</v>
      </c>
      <c r="B3092" t="s">
        <v>53</v>
      </c>
      <c r="C3092" t="s">
        <v>66</v>
      </c>
      <c r="D3092">
        <v>1361</v>
      </c>
      <c r="E3092">
        <v>2017</v>
      </c>
      <c r="F3092" t="s">
        <v>68</v>
      </c>
    </row>
    <row r="3093" spans="1:6" x14ac:dyDescent="0.25">
      <c r="A3093" t="s">
        <v>54</v>
      </c>
      <c r="B3093" t="s">
        <v>55</v>
      </c>
      <c r="C3093" t="s">
        <v>66</v>
      </c>
      <c r="D3093">
        <v>756</v>
      </c>
      <c r="E3093">
        <v>2017</v>
      </c>
      <c r="F3093" t="s">
        <v>68</v>
      </c>
    </row>
    <row r="3094" spans="1:6" x14ac:dyDescent="0.25">
      <c r="A3094" t="s">
        <v>56</v>
      </c>
      <c r="B3094" t="s">
        <v>57</v>
      </c>
      <c r="C3094" t="s">
        <v>66</v>
      </c>
      <c r="D3094">
        <v>1799</v>
      </c>
      <c r="E3094">
        <v>2017</v>
      </c>
      <c r="F3094" t="s">
        <v>68</v>
      </c>
    </row>
    <row r="3095" spans="1:6" x14ac:dyDescent="0.25">
      <c r="A3095" t="s">
        <v>58</v>
      </c>
      <c r="B3095" t="s">
        <v>59</v>
      </c>
      <c r="C3095" t="s">
        <v>66</v>
      </c>
      <c r="E3095">
        <v>2017</v>
      </c>
      <c r="F3095" t="s">
        <v>68</v>
      </c>
    </row>
    <row r="3096" spans="1:6" x14ac:dyDescent="0.25">
      <c r="A3096" t="s">
        <v>6</v>
      </c>
      <c r="B3096" t="s">
        <v>7</v>
      </c>
      <c r="C3096" t="s">
        <v>63</v>
      </c>
      <c r="D3096">
        <v>5676048</v>
      </c>
      <c r="E3096">
        <v>2018</v>
      </c>
      <c r="F3096" t="s">
        <v>68</v>
      </c>
    </row>
    <row r="3097" spans="1:6" x14ac:dyDescent="0.25">
      <c r="A3097" t="s">
        <v>10</v>
      </c>
      <c r="B3097" t="s">
        <v>11</v>
      </c>
      <c r="C3097" t="s">
        <v>63</v>
      </c>
      <c r="D3097">
        <v>1423812</v>
      </c>
      <c r="E3097">
        <v>2018</v>
      </c>
      <c r="F3097" t="s">
        <v>68</v>
      </c>
    </row>
    <row r="3098" spans="1:6" x14ac:dyDescent="0.25">
      <c r="A3098" t="s">
        <v>12</v>
      </c>
      <c r="B3098" t="s">
        <v>13</v>
      </c>
      <c r="C3098" t="s">
        <v>63</v>
      </c>
      <c r="D3098">
        <v>156183</v>
      </c>
      <c r="E3098">
        <v>2018</v>
      </c>
      <c r="F3098" t="s">
        <v>68</v>
      </c>
    </row>
    <row r="3099" spans="1:6" x14ac:dyDescent="0.25">
      <c r="A3099" t="s">
        <v>14</v>
      </c>
      <c r="B3099" t="s">
        <v>15</v>
      </c>
      <c r="C3099" t="s">
        <v>63</v>
      </c>
      <c r="D3099">
        <v>16866</v>
      </c>
      <c r="E3099">
        <v>2018</v>
      </c>
      <c r="F3099" t="s">
        <v>68</v>
      </c>
    </row>
    <row r="3100" spans="1:6" x14ac:dyDescent="0.25">
      <c r="A3100" t="s">
        <v>16</v>
      </c>
      <c r="B3100" t="s">
        <v>17</v>
      </c>
      <c r="C3100" t="s">
        <v>63</v>
      </c>
      <c r="D3100">
        <v>198189</v>
      </c>
      <c r="E3100">
        <v>2018</v>
      </c>
      <c r="F3100" t="s">
        <v>68</v>
      </c>
    </row>
    <row r="3101" spans="1:6" x14ac:dyDescent="0.25">
      <c r="A3101" t="s">
        <v>18</v>
      </c>
      <c r="B3101" t="s">
        <v>19</v>
      </c>
      <c r="C3101" t="s">
        <v>63</v>
      </c>
      <c r="D3101">
        <v>349146</v>
      </c>
      <c r="E3101">
        <v>2018</v>
      </c>
      <c r="F3101" t="s">
        <v>68</v>
      </c>
    </row>
    <row r="3102" spans="1:6" x14ac:dyDescent="0.25">
      <c r="A3102" t="s">
        <v>20</v>
      </c>
      <c r="B3102" t="s">
        <v>21</v>
      </c>
      <c r="C3102" t="s">
        <v>63</v>
      </c>
      <c r="D3102">
        <v>278661</v>
      </c>
      <c r="E3102">
        <v>2018</v>
      </c>
      <c r="F3102" t="s">
        <v>68</v>
      </c>
    </row>
    <row r="3103" spans="1:6" x14ac:dyDescent="0.25">
      <c r="A3103" t="s">
        <v>22</v>
      </c>
      <c r="B3103" t="s">
        <v>23</v>
      </c>
      <c r="C3103" t="s">
        <v>63</v>
      </c>
      <c r="D3103">
        <v>102127</v>
      </c>
      <c r="E3103">
        <v>2018</v>
      </c>
      <c r="F3103" t="s">
        <v>68</v>
      </c>
    </row>
    <row r="3104" spans="1:6" x14ac:dyDescent="0.25">
      <c r="A3104" t="s">
        <v>24</v>
      </c>
      <c r="B3104" t="s">
        <v>25</v>
      </c>
      <c r="C3104" t="s">
        <v>63</v>
      </c>
      <c r="D3104">
        <v>163811</v>
      </c>
      <c r="E3104">
        <v>2018</v>
      </c>
      <c r="F3104" t="s">
        <v>68</v>
      </c>
    </row>
    <row r="3105" spans="1:6" x14ac:dyDescent="0.25">
      <c r="A3105" t="s">
        <v>26</v>
      </c>
      <c r="B3105" t="s">
        <v>27</v>
      </c>
      <c r="C3105" t="s">
        <v>63</v>
      </c>
      <c r="D3105">
        <v>43540</v>
      </c>
      <c r="E3105">
        <v>2018</v>
      </c>
      <c r="F3105" t="s">
        <v>68</v>
      </c>
    </row>
    <row r="3106" spans="1:6" x14ac:dyDescent="0.25">
      <c r="A3106" t="s">
        <v>28</v>
      </c>
      <c r="B3106" t="s">
        <v>29</v>
      </c>
      <c r="C3106" t="s">
        <v>63</v>
      </c>
      <c r="D3106">
        <v>66296</v>
      </c>
      <c r="E3106">
        <v>2018</v>
      </c>
      <c r="F3106" t="s">
        <v>68</v>
      </c>
    </row>
    <row r="3107" spans="1:6" x14ac:dyDescent="0.25">
      <c r="A3107" t="s">
        <v>30</v>
      </c>
      <c r="B3107" t="s">
        <v>31</v>
      </c>
      <c r="C3107" t="s">
        <v>63</v>
      </c>
      <c r="D3107">
        <v>413216</v>
      </c>
      <c r="E3107">
        <v>2018</v>
      </c>
      <c r="F3107" t="s">
        <v>68</v>
      </c>
    </row>
    <row r="3108" spans="1:6" x14ac:dyDescent="0.25">
      <c r="A3108" t="s">
        <v>32</v>
      </c>
      <c r="B3108" t="s">
        <v>33</v>
      </c>
      <c r="C3108" t="s">
        <v>63</v>
      </c>
      <c r="D3108">
        <v>104260</v>
      </c>
      <c r="E3108">
        <v>2018</v>
      </c>
      <c r="F3108" t="s">
        <v>68</v>
      </c>
    </row>
    <row r="3109" spans="1:6" x14ac:dyDescent="0.25">
      <c r="A3109" t="s">
        <v>34</v>
      </c>
      <c r="B3109" t="s">
        <v>35</v>
      </c>
      <c r="C3109" t="s">
        <v>63</v>
      </c>
      <c r="D3109">
        <v>290279</v>
      </c>
      <c r="E3109">
        <v>2018</v>
      </c>
      <c r="F3109" t="s">
        <v>68</v>
      </c>
    </row>
    <row r="3110" spans="1:6" x14ac:dyDescent="0.25">
      <c r="A3110" t="s">
        <v>36</v>
      </c>
      <c r="B3110" t="s">
        <v>37</v>
      </c>
      <c r="C3110" t="s">
        <v>63</v>
      </c>
      <c r="D3110">
        <v>240747</v>
      </c>
      <c r="E3110">
        <v>2018</v>
      </c>
      <c r="F3110" t="s">
        <v>68</v>
      </c>
    </row>
    <row r="3111" spans="1:6" x14ac:dyDescent="0.25">
      <c r="A3111" t="s">
        <v>38</v>
      </c>
      <c r="B3111" t="s">
        <v>39</v>
      </c>
      <c r="C3111" t="s">
        <v>63</v>
      </c>
      <c r="D3111">
        <v>199522</v>
      </c>
      <c r="E3111">
        <v>2018</v>
      </c>
      <c r="F3111" t="s">
        <v>68</v>
      </c>
    </row>
    <row r="3112" spans="1:6" x14ac:dyDescent="0.25">
      <c r="A3112" t="s">
        <v>40</v>
      </c>
      <c r="B3112" t="s">
        <v>41</v>
      </c>
      <c r="C3112" t="s">
        <v>63</v>
      </c>
      <c r="D3112">
        <v>232943</v>
      </c>
      <c r="E3112">
        <v>2018</v>
      </c>
      <c r="F3112" t="s">
        <v>68</v>
      </c>
    </row>
    <row r="3113" spans="1:6" x14ac:dyDescent="0.25">
      <c r="A3113" t="s">
        <v>42</v>
      </c>
      <c r="B3113" t="s">
        <v>43</v>
      </c>
      <c r="C3113" t="s">
        <v>63</v>
      </c>
      <c r="D3113">
        <v>107965</v>
      </c>
      <c r="E3113">
        <v>2018</v>
      </c>
      <c r="F3113" t="s">
        <v>68</v>
      </c>
    </row>
    <row r="3114" spans="1:6" x14ac:dyDescent="0.25">
      <c r="A3114" t="s">
        <v>44</v>
      </c>
      <c r="B3114" t="s">
        <v>45</v>
      </c>
      <c r="C3114" t="s">
        <v>63</v>
      </c>
      <c r="D3114">
        <v>176289</v>
      </c>
      <c r="E3114">
        <v>2018</v>
      </c>
      <c r="F3114" t="s">
        <v>68</v>
      </c>
    </row>
    <row r="3115" spans="1:6" x14ac:dyDescent="0.25">
      <c r="A3115" t="s">
        <v>46</v>
      </c>
      <c r="B3115" t="s">
        <v>47</v>
      </c>
      <c r="C3115" t="s">
        <v>63</v>
      </c>
      <c r="D3115">
        <v>268903</v>
      </c>
      <c r="E3115">
        <v>2018</v>
      </c>
      <c r="F3115" t="s">
        <v>68</v>
      </c>
    </row>
    <row r="3116" spans="1:6" x14ac:dyDescent="0.25">
      <c r="A3116" t="s">
        <v>48</v>
      </c>
      <c r="B3116" t="s">
        <v>49</v>
      </c>
      <c r="C3116" t="s">
        <v>63</v>
      </c>
      <c r="D3116">
        <v>413474</v>
      </c>
      <c r="E3116">
        <v>2018</v>
      </c>
      <c r="F3116" t="s">
        <v>68</v>
      </c>
    </row>
    <row r="3117" spans="1:6" x14ac:dyDescent="0.25">
      <c r="A3117" t="s">
        <v>50</v>
      </c>
      <c r="B3117" t="s">
        <v>51</v>
      </c>
      <c r="C3117" t="s">
        <v>63</v>
      </c>
      <c r="D3117">
        <v>67138</v>
      </c>
      <c r="E3117">
        <v>2018</v>
      </c>
      <c r="F3117" t="s">
        <v>68</v>
      </c>
    </row>
    <row r="3118" spans="1:6" x14ac:dyDescent="0.25">
      <c r="A3118" t="s">
        <v>52</v>
      </c>
      <c r="B3118" t="s">
        <v>53</v>
      </c>
      <c r="C3118" t="s">
        <v>63</v>
      </c>
      <c r="D3118">
        <v>149937</v>
      </c>
      <c r="E3118">
        <v>2018</v>
      </c>
      <c r="F3118" t="s">
        <v>68</v>
      </c>
    </row>
    <row r="3119" spans="1:6" x14ac:dyDescent="0.25">
      <c r="A3119" t="s">
        <v>54</v>
      </c>
      <c r="B3119" t="s">
        <v>55</v>
      </c>
      <c r="C3119" t="s">
        <v>63</v>
      </c>
      <c r="D3119">
        <v>104777</v>
      </c>
      <c r="E3119">
        <v>2018</v>
      </c>
      <c r="F3119" t="s">
        <v>68</v>
      </c>
    </row>
    <row r="3120" spans="1:6" x14ac:dyDescent="0.25">
      <c r="A3120" t="s">
        <v>56</v>
      </c>
      <c r="B3120" t="s">
        <v>57</v>
      </c>
      <c r="C3120" t="s">
        <v>63</v>
      </c>
      <c r="D3120">
        <v>107967</v>
      </c>
      <c r="E3120">
        <v>2018</v>
      </c>
      <c r="F3120" t="s">
        <v>68</v>
      </c>
    </row>
    <row r="3121" spans="1:6" x14ac:dyDescent="0.25">
      <c r="A3121" t="s">
        <v>58</v>
      </c>
      <c r="B3121" t="s">
        <v>59</v>
      </c>
      <c r="C3121" t="s">
        <v>63</v>
      </c>
      <c r="E3121">
        <v>2018</v>
      </c>
      <c r="F3121" t="s">
        <v>68</v>
      </c>
    </row>
    <row r="3122" spans="1:6" x14ac:dyDescent="0.25">
      <c r="A3122" t="s">
        <v>6</v>
      </c>
      <c r="B3122" t="s">
        <v>7</v>
      </c>
      <c r="C3122" t="s">
        <v>8</v>
      </c>
      <c r="D3122">
        <v>515340</v>
      </c>
      <c r="E3122">
        <v>2018</v>
      </c>
      <c r="F3122" t="s">
        <v>68</v>
      </c>
    </row>
    <row r="3123" spans="1:6" x14ac:dyDescent="0.25">
      <c r="A3123" t="s">
        <v>10</v>
      </c>
      <c r="B3123" t="s">
        <v>11</v>
      </c>
      <c r="C3123" t="s">
        <v>8</v>
      </c>
      <c r="D3123">
        <v>199351</v>
      </c>
      <c r="E3123">
        <v>2018</v>
      </c>
      <c r="F3123" t="s">
        <v>68</v>
      </c>
    </row>
    <row r="3124" spans="1:6" x14ac:dyDescent="0.25">
      <c r="A3124" t="s">
        <v>12</v>
      </c>
      <c r="B3124" t="s">
        <v>13</v>
      </c>
      <c r="C3124" t="s">
        <v>8</v>
      </c>
      <c r="D3124">
        <v>19077</v>
      </c>
      <c r="E3124">
        <v>2018</v>
      </c>
      <c r="F3124" t="s">
        <v>68</v>
      </c>
    </row>
    <row r="3125" spans="1:6" x14ac:dyDescent="0.25">
      <c r="A3125" t="s">
        <v>14</v>
      </c>
      <c r="B3125" t="s">
        <v>15</v>
      </c>
      <c r="C3125" t="s">
        <v>8</v>
      </c>
      <c r="E3125">
        <v>2018</v>
      </c>
      <c r="F3125" t="s">
        <v>68</v>
      </c>
    </row>
    <row r="3126" spans="1:6" x14ac:dyDescent="0.25">
      <c r="A3126" t="s">
        <v>16</v>
      </c>
      <c r="B3126" t="s">
        <v>17</v>
      </c>
      <c r="C3126" t="s">
        <v>8</v>
      </c>
      <c r="D3126">
        <v>32254</v>
      </c>
      <c r="E3126">
        <v>2018</v>
      </c>
      <c r="F3126" t="s">
        <v>68</v>
      </c>
    </row>
    <row r="3127" spans="1:6" x14ac:dyDescent="0.25">
      <c r="A3127" t="s">
        <v>18</v>
      </c>
      <c r="B3127" t="s">
        <v>19</v>
      </c>
      <c r="C3127" t="s">
        <v>8</v>
      </c>
      <c r="D3127">
        <v>7589</v>
      </c>
      <c r="E3127">
        <v>2018</v>
      </c>
      <c r="F3127" t="s">
        <v>68</v>
      </c>
    </row>
    <row r="3128" spans="1:6" x14ac:dyDescent="0.25">
      <c r="A3128" t="s">
        <v>20</v>
      </c>
      <c r="B3128" t="s">
        <v>21</v>
      </c>
      <c r="C3128" t="s">
        <v>8</v>
      </c>
      <c r="D3128">
        <v>6350</v>
      </c>
      <c r="E3128">
        <v>2018</v>
      </c>
      <c r="F3128" t="s">
        <v>68</v>
      </c>
    </row>
    <row r="3129" spans="1:6" x14ac:dyDescent="0.25">
      <c r="A3129" t="s">
        <v>22</v>
      </c>
      <c r="B3129" t="s">
        <v>23</v>
      </c>
      <c r="C3129" t="s">
        <v>8</v>
      </c>
      <c r="D3129">
        <v>29899</v>
      </c>
      <c r="E3129">
        <v>2018</v>
      </c>
      <c r="F3129" t="s">
        <v>68</v>
      </c>
    </row>
    <row r="3130" spans="1:6" x14ac:dyDescent="0.25">
      <c r="A3130" t="s">
        <v>24</v>
      </c>
      <c r="B3130" t="s">
        <v>25</v>
      </c>
      <c r="C3130" t="s">
        <v>8</v>
      </c>
      <c r="D3130">
        <v>22421</v>
      </c>
      <c r="E3130">
        <v>2018</v>
      </c>
      <c r="F3130" t="s">
        <v>68</v>
      </c>
    </row>
    <row r="3131" spans="1:6" x14ac:dyDescent="0.25">
      <c r="A3131" t="s">
        <v>26</v>
      </c>
      <c r="B3131" t="s">
        <v>27</v>
      </c>
      <c r="C3131" t="s">
        <v>8</v>
      </c>
      <c r="D3131">
        <v>8941</v>
      </c>
      <c r="E3131">
        <v>2018</v>
      </c>
      <c r="F3131" t="s">
        <v>68</v>
      </c>
    </row>
    <row r="3132" spans="1:6" x14ac:dyDescent="0.25">
      <c r="A3132" t="s">
        <v>28</v>
      </c>
      <c r="B3132" t="s">
        <v>29</v>
      </c>
      <c r="C3132" t="s">
        <v>8</v>
      </c>
      <c r="D3132">
        <v>92</v>
      </c>
      <c r="E3132">
        <v>2018</v>
      </c>
      <c r="F3132" t="s">
        <v>68</v>
      </c>
    </row>
    <row r="3133" spans="1:6" x14ac:dyDescent="0.25">
      <c r="A3133" t="s">
        <v>30</v>
      </c>
      <c r="B3133" t="s">
        <v>31</v>
      </c>
      <c r="C3133" t="s">
        <v>8</v>
      </c>
      <c r="D3133">
        <v>24583</v>
      </c>
      <c r="E3133">
        <v>2018</v>
      </c>
      <c r="F3133" t="s">
        <v>68</v>
      </c>
    </row>
    <row r="3134" spans="1:6" x14ac:dyDescent="0.25">
      <c r="A3134" t="s">
        <v>32</v>
      </c>
      <c r="B3134" t="s">
        <v>33</v>
      </c>
      <c r="C3134" t="s">
        <v>8</v>
      </c>
      <c r="D3134">
        <v>11275</v>
      </c>
      <c r="E3134">
        <v>2018</v>
      </c>
      <c r="F3134" t="s">
        <v>68</v>
      </c>
    </row>
    <row r="3135" spans="1:6" x14ac:dyDescent="0.25">
      <c r="A3135" t="s">
        <v>34</v>
      </c>
      <c r="B3135" t="s">
        <v>35</v>
      </c>
      <c r="C3135" t="s">
        <v>8</v>
      </c>
      <c r="D3135">
        <v>26628</v>
      </c>
      <c r="E3135">
        <v>2018</v>
      </c>
      <c r="F3135" t="s">
        <v>68</v>
      </c>
    </row>
    <row r="3136" spans="1:6" x14ac:dyDescent="0.25">
      <c r="A3136" t="s">
        <v>36</v>
      </c>
      <c r="B3136" t="s">
        <v>37</v>
      </c>
      <c r="C3136" t="s">
        <v>8</v>
      </c>
      <c r="D3136">
        <v>19637</v>
      </c>
      <c r="E3136">
        <v>2018</v>
      </c>
      <c r="F3136" t="s">
        <v>68</v>
      </c>
    </row>
    <row r="3137" spans="1:6" x14ac:dyDescent="0.25">
      <c r="A3137" t="s">
        <v>38</v>
      </c>
      <c r="B3137" t="s">
        <v>39</v>
      </c>
      <c r="C3137" t="s">
        <v>8</v>
      </c>
      <c r="D3137">
        <v>9299</v>
      </c>
      <c r="E3137">
        <v>2018</v>
      </c>
      <c r="F3137" t="s">
        <v>68</v>
      </c>
    </row>
    <row r="3138" spans="1:6" x14ac:dyDescent="0.25">
      <c r="A3138" t="s">
        <v>40</v>
      </c>
      <c r="B3138" t="s">
        <v>41</v>
      </c>
      <c r="C3138" t="s">
        <v>8</v>
      </c>
      <c r="D3138">
        <v>35276</v>
      </c>
      <c r="E3138">
        <v>2018</v>
      </c>
      <c r="F3138" t="s">
        <v>68</v>
      </c>
    </row>
    <row r="3139" spans="1:6" x14ac:dyDescent="0.25">
      <c r="A3139" t="s">
        <v>42</v>
      </c>
      <c r="B3139" t="s">
        <v>43</v>
      </c>
      <c r="C3139" t="s">
        <v>8</v>
      </c>
      <c r="D3139">
        <v>2705</v>
      </c>
      <c r="E3139">
        <v>2018</v>
      </c>
      <c r="F3139" t="s">
        <v>68</v>
      </c>
    </row>
    <row r="3140" spans="1:6" x14ac:dyDescent="0.25">
      <c r="A3140" t="s">
        <v>44</v>
      </c>
      <c r="B3140" t="s">
        <v>45</v>
      </c>
      <c r="C3140" t="s">
        <v>8</v>
      </c>
      <c r="D3140">
        <v>7469</v>
      </c>
      <c r="E3140">
        <v>2018</v>
      </c>
      <c r="F3140" t="s">
        <v>68</v>
      </c>
    </row>
    <row r="3141" spans="1:6" x14ac:dyDescent="0.25">
      <c r="A3141" t="s">
        <v>46</v>
      </c>
      <c r="B3141" t="s">
        <v>47</v>
      </c>
      <c r="C3141" t="s">
        <v>8</v>
      </c>
      <c r="D3141">
        <v>10034</v>
      </c>
      <c r="E3141">
        <v>2018</v>
      </c>
      <c r="F3141" t="s">
        <v>68</v>
      </c>
    </row>
    <row r="3142" spans="1:6" x14ac:dyDescent="0.25">
      <c r="A3142" t="s">
        <v>48</v>
      </c>
      <c r="B3142" t="s">
        <v>49</v>
      </c>
      <c r="C3142" t="s">
        <v>8</v>
      </c>
      <c r="D3142">
        <v>2143</v>
      </c>
      <c r="E3142">
        <v>2018</v>
      </c>
      <c r="F3142" t="s">
        <v>68</v>
      </c>
    </row>
    <row r="3143" spans="1:6" x14ac:dyDescent="0.25">
      <c r="A3143" t="s">
        <v>50</v>
      </c>
      <c r="B3143" t="s">
        <v>51</v>
      </c>
      <c r="C3143" t="s">
        <v>8</v>
      </c>
      <c r="D3143">
        <v>853</v>
      </c>
      <c r="E3143">
        <v>2018</v>
      </c>
      <c r="F3143" t="s">
        <v>68</v>
      </c>
    </row>
    <row r="3144" spans="1:6" x14ac:dyDescent="0.25">
      <c r="A3144" t="s">
        <v>52</v>
      </c>
      <c r="B3144" t="s">
        <v>53</v>
      </c>
      <c r="C3144" t="s">
        <v>8</v>
      </c>
      <c r="D3144">
        <v>11435</v>
      </c>
      <c r="E3144">
        <v>2018</v>
      </c>
      <c r="F3144" t="s">
        <v>68</v>
      </c>
    </row>
    <row r="3145" spans="1:6" x14ac:dyDescent="0.25">
      <c r="A3145" t="s">
        <v>54</v>
      </c>
      <c r="B3145" t="s">
        <v>55</v>
      </c>
      <c r="C3145" t="s">
        <v>8</v>
      </c>
      <c r="D3145">
        <v>1339</v>
      </c>
      <c r="E3145">
        <v>2018</v>
      </c>
      <c r="F3145" t="s">
        <v>68</v>
      </c>
    </row>
    <row r="3146" spans="1:6" x14ac:dyDescent="0.25">
      <c r="A3146" t="s">
        <v>56</v>
      </c>
      <c r="B3146" t="s">
        <v>57</v>
      </c>
      <c r="C3146" t="s">
        <v>8</v>
      </c>
      <c r="D3146">
        <v>25787</v>
      </c>
      <c r="E3146">
        <v>2018</v>
      </c>
      <c r="F3146" t="s">
        <v>68</v>
      </c>
    </row>
    <row r="3147" spans="1:6" x14ac:dyDescent="0.25">
      <c r="A3147" t="s">
        <v>58</v>
      </c>
      <c r="B3147" t="s">
        <v>59</v>
      </c>
      <c r="C3147" t="s">
        <v>8</v>
      </c>
      <c r="D3147">
        <v>903</v>
      </c>
      <c r="E3147">
        <v>2018</v>
      </c>
      <c r="F3147" t="s">
        <v>68</v>
      </c>
    </row>
    <row r="3148" spans="1:6" x14ac:dyDescent="0.25">
      <c r="A3148" t="s">
        <v>6</v>
      </c>
      <c r="B3148" t="s">
        <v>7</v>
      </c>
      <c r="C3148" t="s">
        <v>60</v>
      </c>
      <c r="D3148">
        <v>602089</v>
      </c>
      <c r="E3148">
        <v>2018</v>
      </c>
      <c r="F3148" t="s">
        <v>68</v>
      </c>
    </row>
    <row r="3149" spans="1:6" x14ac:dyDescent="0.25">
      <c r="A3149" t="s">
        <v>10</v>
      </c>
      <c r="B3149" t="s">
        <v>11</v>
      </c>
      <c r="C3149" t="s">
        <v>60</v>
      </c>
      <c r="D3149">
        <v>139983</v>
      </c>
      <c r="E3149">
        <v>2018</v>
      </c>
      <c r="F3149" t="s">
        <v>68</v>
      </c>
    </row>
    <row r="3150" spans="1:6" x14ac:dyDescent="0.25">
      <c r="A3150" t="s">
        <v>12</v>
      </c>
      <c r="B3150" t="s">
        <v>13</v>
      </c>
      <c r="C3150" t="s">
        <v>60</v>
      </c>
      <c r="D3150">
        <v>10796</v>
      </c>
      <c r="E3150">
        <v>2018</v>
      </c>
      <c r="F3150" t="s">
        <v>68</v>
      </c>
    </row>
    <row r="3151" spans="1:6" x14ac:dyDescent="0.25">
      <c r="A3151" t="s">
        <v>14</v>
      </c>
      <c r="B3151" t="s">
        <v>15</v>
      </c>
      <c r="C3151" t="s">
        <v>60</v>
      </c>
      <c r="E3151">
        <v>2018</v>
      </c>
      <c r="F3151" t="s">
        <v>68</v>
      </c>
    </row>
    <row r="3152" spans="1:6" x14ac:dyDescent="0.25">
      <c r="A3152" t="s">
        <v>16</v>
      </c>
      <c r="B3152" t="s">
        <v>17</v>
      </c>
      <c r="C3152" t="s">
        <v>60</v>
      </c>
      <c r="D3152">
        <v>26141</v>
      </c>
      <c r="E3152">
        <v>2018</v>
      </c>
      <c r="F3152" t="s">
        <v>68</v>
      </c>
    </row>
    <row r="3153" spans="1:6" x14ac:dyDescent="0.25">
      <c r="A3153" t="s">
        <v>18</v>
      </c>
      <c r="B3153" t="s">
        <v>19</v>
      </c>
      <c r="C3153" t="s">
        <v>60</v>
      </c>
      <c r="D3153">
        <v>67442</v>
      </c>
      <c r="E3153">
        <v>2018</v>
      </c>
      <c r="F3153" t="s">
        <v>68</v>
      </c>
    </row>
    <row r="3154" spans="1:6" x14ac:dyDescent="0.25">
      <c r="A3154" t="s">
        <v>20</v>
      </c>
      <c r="B3154" t="s">
        <v>21</v>
      </c>
      <c r="C3154" t="s">
        <v>60</v>
      </c>
      <c r="D3154">
        <v>16040</v>
      </c>
      <c r="E3154">
        <v>2018</v>
      </c>
      <c r="F3154" t="s">
        <v>68</v>
      </c>
    </row>
    <row r="3155" spans="1:6" x14ac:dyDescent="0.25">
      <c r="A3155" t="s">
        <v>22</v>
      </c>
      <c r="B3155" t="s">
        <v>23</v>
      </c>
      <c r="C3155" t="s">
        <v>60</v>
      </c>
      <c r="D3155">
        <v>4386</v>
      </c>
      <c r="E3155">
        <v>2018</v>
      </c>
      <c r="F3155" t="s">
        <v>68</v>
      </c>
    </row>
    <row r="3156" spans="1:6" x14ac:dyDescent="0.25">
      <c r="A3156" t="s">
        <v>24</v>
      </c>
      <c r="B3156" t="s">
        <v>25</v>
      </c>
      <c r="C3156" t="s">
        <v>60</v>
      </c>
      <c r="D3156">
        <v>15574</v>
      </c>
      <c r="E3156">
        <v>2018</v>
      </c>
      <c r="F3156" t="s">
        <v>68</v>
      </c>
    </row>
    <row r="3157" spans="1:6" x14ac:dyDescent="0.25">
      <c r="A3157" t="s">
        <v>26</v>
      </c>
      <c r="B3157" t="s">
        <v>27</v>
      </c>
      <c r="C3157" t="s">
        <v>60</v>
      </c>
      <c r="D3157">
        <v>17388</v>
      </c>
      <c r="E3157">
        <v>2018</v>
      </c>
      <c r="F3157" t="s">
        <v>68</v>
      </c>
    </row>
    <row r="3158" spans="1:6" x14ac:dyDescent="0.25">
      <c r="A3158" t="s">
        <v>28</v>
      </c>
      <c r="B3158" t="s">
        <v>29</v>
      </c>
      <c r="C3158" t="s">
        <v>60</v>
      </c>
      <c r="D3158">
        <v>3822</v>
      </c>
      <c r="E3158">
        <v>2018</v>
      </c>
      <c r="F3158" t="s">
        <v>68</v>
      </c>
    </row>
    <row r="3159" spans="1:6" x14ac:dyDescent="0.25">
      <c r="A3159" t="s">
        <v>30</v>
      </c>
      <c r="B3159" t="s">
        <v>31</v>
      </c>
      <c r="C3159" t="s">
        <v>60</v>
      </c>
      <c r="D3159">
        <v>46793</v>
      </c>
      <c r="E3159">
        <v>2018</v>
      </c>
      <c r="F3159" t="s">
        <v>68</v>
      </c>
    </row>
    <row r="3160" spans="1:6" x14ac:dyDescent="0.25">
      <c r="A3160" t="s">
        <v>32</v>
      </c>
      <c r="B3160" t="s">
        <v>33</v>
      </c>
      <c r="C3160" t="s">
        <v>60</v>
      </c>
      <c r="D3160">
        <v>22525</v>
      </c>
      <c r="E3160">
        <v>2018</v>
      </c>
      <c r="F3160" t="s">
        <v>68</v>
      </c>
    </row>
    <row r="3161" spans="1:6" x14ac:dyDescent="0.25">
      <c r="A3161" t="s">
        <v>34</v>
      </c>
      <c r="B3161" t="s">
        <v>35</v>
      </c>
      <c r="C3161" t="s">
        <v>60</v>
      </c>
      <c r="D3161">
        <v>46499</v>
      </c>
      <c r="E3161">
        <v>2018</v>
      </c>
      <c r="F3161" t="s">
        <v>68</v>
      </c>
    </row>
    <row r="3162" spans="1:6" x14ac:dyDescent="0.25">
      <c r="A3162" t="s">
        <v>36</v>
      </c>
      <c r="B3162" t="s">
        <v>37</v>
      </c>
      <c r="C3162" t="s">
        <v>60</v>
      </c>
      <c r="D3162">
        <v>32763</v>
      </c>
      <c r="E3162">
        <v>2018</v>
      </c>
      <c r="F3162" t="s">
        <v>68</v>
      </c>
    </row>
    <row r="3163" spans="1:6" x14ac:dyDescent="0.25">
      <c r="A3163" t="s">
        <v>38</v>
      </c>
      <c r="B3163" t="s">
        <v>39</v>
      </c>
      <c r="C3163" t="s">
        <v>60</v>
      </c>
      <c r="D3163">
        <v>12432</v>
      </c>
      <c r="E3163">
        <v>2018</v>
      </c>
      <c r="F3163" t="s">
        <v>68</v>
      </c>
    </row>
    <row r="3164" spans="1:6" x14ac:dyDescent="0.25">
      <c r="A3164" t="s">
        <v>40</v>
      </c>
      <c r="B3164" t="s">
        <v>41</v>
      </c>
      <c r="C3164" t="s">
        <v>60</v>
      </c>
      <c r="D3164">
        <v>31735</v>
      </c>
      <c r="E3164">
        <v>2018</v>
      </c>
      <c r="F3164" t="s">
        <v>68</v>
      </c>
    </row>
    <row r="3165" spans="1:6" x14ac:dyDescent="0.25">
      <c r="A3165" t="s">
        <v>42</v>
      </c>
      <c r="B3165" t="s">
        <v>43</v>
      </c>
      <c r="C3165" t="s">
        <v>60</v>
      </c>
      <c r="E3165">
        <v>2018</v>
      </c>
      <c r="F3165" t="s">
        <v>68</v>
      </c>
    </row>
    <row r="3166" spans="1:6" x14ac:dyDescent="0.25">
      <c r="A3166" t="s">
        <v>44</v>
      </c>
      <c r="B3166" t="s">
        <v>45</v>
      </c>
      <c r="C3166" t="s">
        <v>60</v>
      </c>
      <c r="D3166">
        <v>18190</v>
      </c>
      <c r="E3166">
        <v>2018</v>
      </c>
      <c r="F3166" t="s">
        <v>68</v>
      </c>
    </row>
    <row r="3167" spans="1:6" x14ac:dyDescent="0.25">
      <c r="A3167" t="s">
        <v>46</v>
      </c>
      <c r="B3167" t="s">
        <v>47</v>
      </c>
      <c r="C3167" t="s">
        <v>60</v>
      </c>
      <c r="D3167">
        <v>15735</v>
      </c>
      <c r="E3167">
        <v>2018</v>
      </c>
      <c r="F3167" t="s">
        <v>68</v>
      </c>
    </row>
    <row r="3168" spans="1:6" x14ac:dyDescent="0.25">
      <c r="A3168" t="s">
        <v>48</v>
      </c>
      <c r="B3168" t="s">
        <v>49</v>
      </c>
      <c r="C3168" t="s">
        <v>60</v>
      </c>
      <c r="D3168">
        <v>11111</v>
      </c>
      <c r="E3168">
        <v>2018</v>
      </c>
      <c r="F3168" t="s">
        <v>68</v>
      </c>
    </row>
    <row r="3169" spans="1:6" x14ac:dyDescent="0.25">
      <c r="A3169" t="s">
        <v>50</v>
      </c>
      <c r="B3169" t="s">
        <v>51</v>
      </c>
      <c r="C3169" t="s">
        <v>60</v>
      </c>
      <c r="D3169">
        <v>5974</v>
      </c>
      <c r="E3169">
        <v>2018</v>
      </c>
      <c r="F3169" t="s">
        <v>68</v>
      </c>
    </row>
    <row r="3170" spans="1:6" x14ac:dyDescent="0.25">
      <c r="A3170" t="s">
        <v>52</v>
      </c>
      <c r="B3170" t="s">
        <v>53</v>
      </c>
      <c r="C3170" t="s">
        <v>60</v>
      </c>
      <c r="D3170">
        <v>18549</v>
      </c>
      <c r="E3170">
        <v>2018</v>
      </c>
      <c r="F3170" t="s">
        <v>68</v>
      </c>
    </row>
    <row r="3171" spans="1:6" x14ac:dyDescent="0.25">
      <c r="A3171" t="s">
        <v>54</v>
      </c>
      <c r="B3171" t="s">
        <v>55</v>
      </c>
      <c r="C3171" t="s">
        <v>60</v>
      </c>
      <c r="D3171">
        <v>38211</v>
      </c>
      <c r="E3171">
        <v>2018</v>
      </c>
      <c r="F3171" t="s">
        <v>68</v>
      </c>
    </row>
    <row r="3172" spans="1:6" x14ac:dyDescent="0.25">
      <c r="A3172" t="s">
        <v>56</v>
      </c>
      <c r="B3172" t="s">
        <v>57</v>
      </c>
      <c r="C3172" t="s">
        <v>60</v>
      </c>
      <c r="E3172">
        <v>2018</v>
      </c>
      <c r="F3172" t="s">
        <v>68</v>
      </c>
    </row>
    <row r="3173" spans="1:6" x14ac:dyDescent="0.25">
      <c r="A3173" t="s">
        <v>58</v>
      </c>
      <c r="B3173" t="s">
        <v>59</v>
      </c>
      <c r="C3173" t="s">
        <v>60</v>
      </c>
      <c r="E3173">
        <v>2018</v>
      </c>
      <c r="F3173" t="s">
        <v>68</v>
      </c>
    </row>
    <row r="3174" spans="1:6" x14ac:dyDescent="0.25">
      <c r="A3174" t="s">
        <v>6</v>
      </c>
      <c r="B3174" t="s">
        <v>7</v>
      </c>
      <c r="C3174" t="s">
        <v>61</v>
      </c>
      <c r="D3174">
        <v>255840</v>
      </c>
      <c r="E3174">
        <v>2018</v>
      </c>
      <c r="F3174" t="s">
        <v>68</v>
      </c>
    </row>
    <row r="3175" spans="1:6" x14ac:dyDescent="0.25">
      <c r="A3175" t="s">
        <v>10</v>
      </c>
      <c r="B3175" t="s">
        <v>11</v>
      </c>
      <c r="C3175" t="s">
        <v>61</v>
      </c>
      <c r="D3175">
        <v>124042</v>
      </c>
      <c r="E3175">
        <v>2018</v>
      </c>
      <c r="F3175" t="s">
        <v>68</v>
      </c>
    </row>
    <row r="3176" spans="1:6" x14ac:dyDescent="0.25">
      <c r="A3176" t="s">
        <v>12</v>
      </c>
      <c r="B3176" t="s">
        <v>13</v>
      </c>
      <c r="C3176" t="s">
        <v>61</v>
      </c>
      <c r="D3176">
        <v>9075</v>
      </c>
      <c r="E3176">
        <v>2018</v>
      </c>
      <c r="F3176" t="s">
        <v>68</v>
      </c>
    </row>
    <row r="3177" spans="1:6" x14ac:dyDescent="0.25">
      <c r="A3177" t="s">
        <v>14</v>
      </c>
      <c r="B3177" t="s">
        <v>15</v>
      </c>
      <c r="C3177" t="s">
        <v>61</v>
      </c>
      <c r="D3177">
        <v>60</v>
      </c>
      <c r="E3177">
        <v>2018</v>
      </c>
      <c r="F3177" t="s">
        <v>68</v>
      </c>
    </row>
    <row r="3178" spans="1:6" x14ac:dyDescent="0.25">
      <c r="A3178" t="s">
        <v>16</v>
      </c>
      <c r="B3178" t="s">
        <v>17</v>
      </c>
      <c r="C3178" t="s">
        <v>61</v>
      </c>
      <c r="D3178">
        <v>9174</v>
      </c>
      <c r="E3178">
        <v>2018</v>
      </c>
      <c r="F3178" t="s">
        <v>68</v>
      </c>
    </row>
    <row r="3179" spans="1:6" x14ac:dyDescent="0.25">
      <c r="A3179" t="s">
        <v>18</v>
      </c>
      <c r="B3179" t="s">
        <v>19</v>
      </c>
      <c r="C3179" t="s">
        <v>61</v>
      </c>
      <c r="D3179">
        <v>8477</v>
      </c>
      <c r="E3179">
        <v>2018</v>
      </c>
      <c r="F3179" t="s">
        <v>68</v>
      </c>
    </row>
    <row r="3180" spans="1:6" x14ac:dyDescent="0.25">
      <c r="A3180" t="s">
        <v>20</v>
      </c>
      <c r="B3180" t="s">
        <v>21</v>
      </c>
      <c r="C3180" t="s">
        <v>61</v>
      </c>
      <c r="D3180">
        <v>2342</v>
      </c>
      <c r="E3180">
        <v>2018</v>
      </c>
      <c r="F3180" t="s">
        <v>68</v>
      </c>
    </row>
    <row r="3181" spans="1:6" x14ac:dyDescent="0.25">
      <c r="A3181" t="s">
        <v>22</v>
      </c>
      <c r="B3181" t="s">
        <v>23</v>
      </c>
      <c r="C3181" t="s">
        <v>61</v>
      </c>
      <c r="D3181">
        <v>4130</v>
      </c>
      <c r="E3181">
        <v>2018</v>
      </c>
      <c r="F3181" t="s">
        <v>68</v>
      </c>
    </row>
    <row r="3182" spans="1:6" x14ac:dyDescent="0.25">
      <c r="A3182" t="s">
        <v>24</v>
      </c>
      <c r="B3182" t="s">
        <v>25</v>
      </c>
      <c r="C3182" t="s">
        <v>61</v>
      </c>
      <c r="D3182">
        <v>9104</v>
      </c>
      <c r="E3182">
        <v>2018</v>
      </c>
      <c r="F3182" t="s">
        <v>68</v>
      </c>
    </row>
    <row r="3183" spans="1:6" x14ac:dyDescent="0.25">
      <c r="A3183" t="s">
        <v>26</v>
      </c>
      <c r="B3183" t="s">
        <v>27</v>
      </c>
      <c r="C3183" t="s">
        <v>61</v>
      </c>
      <c r="D3183">
        <v>5020</v>
      </c>
      <c r="E3183">
        <v>2018</v>
      </c>
      <c r="F3183" t="s">
        <v>68</v>
      </c>
    </row>
    <row r="3184" spans="1:6" x14ac:dyDescent="0.25">
      <c r="A3184" t="s">
        <v>28</v>
      </c>
      <c r="B3184" t="s">
        <v>29</v>
      </c>
      <c r="C3184" t="s">
        <v>61</v>
      </c>
      <c r="D3184">
        <v>738</v>
      </c>
      <c r="E3184">
        <v>2018</v>
      </c>
      <c r="F3184" t="s">
        <v>68</v>
      </c>
    </row>
    <row r="3185" spans="1:6" x14ac:dyDescent="0.25">
      <c r="A3185" t="s">
        <v>30</v>
      </c>
      <c r="B3185" t="s">
        <v>31</v>
      </c>
      <c r="C3185" t="s">
        <v>61</v>
      </c>
      <c r="D3185">
        <v>9487</v>
      </c>
      <c r="E3185">
        <v>2018</v>
      </c>
      <c r="F3185" t="s">
        <v>68</v>
      </c>
    </row>
    <row r="3186" spans="1:6" x14ac:dyDescent="0.25">
      <c r="A3186" t="s">
        <v>32</v>
      </c>
      <c r="B3186" t="s">
        <v>33</v>
      </c>
      <c r="C3186" t="s">
        <v>61</v>
      </c>
      <c r="D3186">
        <v>6953</v>
      </c>
      <c r="E3186">
        <v>2018</v>
      </c>
      <c r="F3186" t="s">
        <v>68</v>
      </c>
    </row>
    <row r="3187" spans="1:6" x14ac:dyDescent="0.25">
      <c r="A3187" t="s">
        <v>34</v>
      </c>
      <c r="B3187" t="s">
        <v>35</v>
      </c>
      <c r="C3187" t="s">
        <v>61</v>
      </c>
      <c r="D3187">
        <v>16272</v>
      </c>
      <c r="E3187">
        <v>2018</v>
      </c>
      <c r="F3187" t="s">
        <v>68</v>
      </c>
    </row>
    <row r="3188" spans="1:6" x14ac:dyDescent="0.25">
      <c r="A3188" t="s">
        <v>36</v>
      </c>
      <c r="B3188" t="s">
        <v>37</v>
      </c>
      <c r="C3188" t="s">
        <v>61</v>
      </c>
      <c r="D3188">
        <v>10324</v>
      </c>
      <c r="E3188">
        <v>2018</v>
      </c>
      <c r="F3188" t="s">
        <v>68</v>
      </c>
    </row>
    <row r="3189" spans="1:6" x14ac:dyDescent="0.25">
      <c r="A3189" t="s">
        <v>38</v>
      </c>
      <c r="B3189" t="s">
        <v>39</v>
      </c>
      <c r="C3189" t="s">
        <v>61</v>
      </c>
      <c r="D3189">
        <v>7169</v>
      </c>
      <c r="E3189">
        <v>2018</v>
      </c>
      <c r="F3189" t="s">
        <v>68</v>
      </c>
    </row>
    <row r="3190" spans="1:6" x14ac:dyDescent="0.25">
      <c r="A3190" t="s">
        <v>40</v>
      </c>
      <c r="B3190" t="s">
        <v>41</v>
      </c>
      <c r="C3190" t="s">
        <v>61</v>
      </c>
      <c r="D3190">
        <v>7664</v>
      </c>
      <c r="E3190">
        <v>2018</v>
      </c>
      <c r="F3190" t="s">
        <v>68</v>
      </c>
    </row>
    <row r="3191" spans="1:6" x14ac:dyDescent="0.25">
      <c r="A3191" t="s">
        <v>42</v>
      </c>
      <c r="B3191" t="s">
        <v>43</v>
      </c>
      <c r="C3191" t="s">
        <v>61</v>
      </c>
      <c r="D3191">
        <v>2663</v>
      </c>
      <c r="E3191">
        <v>2018</v>
      </c>
      <c r="F3191" t="s">
        <v>68</v>
      </c>
    </row>
    <row r="3192" spans="1:6" x14ac:dyDescent="0.25">
      <c r="A3192" t="s">
        <v>44</v>
      </c>
      <c r="B3192" t="s">
        <v>45</v>
      </c>
      <c r="C3192" t="s">
        <v>61</v>
      </c>
      <c r="D3192">
        <v>5265</v>
      </c>
      <c r="E3192">
        <v>2018</v>
      </c>
      <c r="F3192" t="s">
        <v>68</v>
      </c>
    </row>
    <row r="3193" spans="1:6" x14ac:dyDescent="0.25">
      <c r="A3193" t="s">
        <v>46</v>
      </c>
      <c r="B3193" t="s">
        <v>47</v>
      </c>
      <c r="C3193" t="s">
        <v>61</v>
      </c>
      <c r="D3193">
        <v>1939</v>
      </c>
      <c r="E3193">
        <v>2018</v>
      </c>
      <c r="F3193" t="s">
        <v>68</v>
      </c>
    </row>
    <row r="3194" spans="1:6" x14ac:dyDescent="0.25">
      <c r="A3194" t="s">
        <v>48</v>
      </c>
      <c r="B3194" t="s">
        <v>49</v>
      </c>
      <c r="C3194" t="s">
        <v>61</v>
      </c>
      <c r="D3194">
        <v>2542</v>
      </c>
      <c r="E3194">
        <v>2018</v>
      </c>
      <c r="F3194" t="s">
        <v>68</v>
      </c>
    </row>
    <row r="3195" spans="1:6" x14ac:dyDescent="0.25">
      <c r="A3195" t="s">
        <v>50</v>
      </c>
      <c r="B3195" t="s">
        <v>51</v>
      </c>
      <c r="C3195" t="s">
        <v>61</v>
      </c>
      <c r="D3195">
        <v>2073</v>
      </c>
      <c r="E3195">
        <v>2018</v>
      </c>
      <c r="F3195" t="s">
        <v>68</v>
      </c>
    </row>
    <row r="3196" spans="1:6" x14ac:dyDescent="0.25">
      <c r="A3196" t="s">
        <v>52</v>
      </c>
      <c r="B3196" t="s">
        <v>53</v>
      </c>
      <c r="C3196" t="s">
        <v>61</v>
      </c>
      <c r="D3196">
        <v>4576</v>
      </c>
      <c r="E3196">
        <v>2018</v>
      </c>
      <c r="F3196" t="s">
        <v>68</v>
      </c>
    </row>
    <row r="3197" spans="1:6" x14ac:dyDescent="0.25">
      <c r="A3197" t="s">
        <v>54</v>
      </c>
      <c r="B3197" t="s">
        <v>55</v>
      </c>
      <c r="C3197" t="s">
        <v>61</v>
      </c>
      <c r="D3197">
        <v>5398</v>
      </c>
      <c r="E3197">
        <v>2018</v>
      </c>
      <c r="F3197" t="s">
        <v>68</v>
      </c>
    </row>
    <row r="3198" spans="1:6" x14ac:dyDescent="0.25">
      <c r="A3198" t="s">
        <v>56</v>
      </c>
      <c r="B3198" t="s">
        <v>57</v>
      </c>
      <c r="C3198" t="s">
        <v>61</v>
      </c>
      <c r="D3198">
        <v>1343</v>
      </c>
      <c r="E3198">
        <v>2018</v>
      </c>
      <c r="F3198" t="s">
        <v>68</v>
      </c>
    </row>
    <row r="3199" spans="1:6" x14ac:dyDescent="0.25">
      <c r="A3199" t="s">
        <v>58</v>
      </c>
      <c r="B3199" t="s">
        <v>59</v>
      </c>
      <c r="C3199" t="s">
        <v>61</v>
      </c>
      <c r="E3199">
        <v>2018</v>
      </c>
      <c r="F3199" t="s">
        <v>68</v>
      </c>
    </row>
    <row r="3200" spans="1:6" x14ac:dyDescent="0.25">
      <c r="A3200" t="s">
        <v>6</v>
      </c>
      <c r="B3200" t="s">
        <v>7</v>
      </c>
      <c r="C3200" t="s">
        <v>65</v>
      </c>
      <c r="D3200">
        <v>4278409</v>
      </c>
      <c r="E3200">
        <v>2018</v>
      </c>
      <c r="F3200" t="s">
        <v>68</v>
      </c>
    </row>
    <row r="3201" spans="1:6" x14ac:dyDescent="0.25">
      <c r="A3201" t="s">
        <v>10</v>
      </c>
      <c r="B3201" t="s">
        <v>11</v>
      </c>
      <c r="C3201" t="s">
        <v>65</v>
      </c>
      <c r="D3201">
        <v>830544</v>
      </c>
      <c r="E3201">
        <v>2018</v>
      </c>
      <c r="F3201" t="s">
        <v>68</v>
      </c>
    </row>
    <row r="3202" spans="1:6" x14ac:dyDescent="0.25">
      <c r="A3202" t="s">
        <v>12</v>
      </c>
      <c r="B3202" t="s">
        <v>13</v>
      </c>
      <c r="C3202" t="s">
        <v>65</v>
      </c>
      <c r="D3202">
        <v>144859</v>
      </c>
      <c r="E3202">
        <v>2018</v>
      </c>
      <c r="F3202" t="s">
        <v>68</v>
      </c>
    </row>
    <row r="3203" spans="1:6" x14ac:dyDescent="0.25">
      <c r="A3203" t="s">
        <v>14</v>
      </c>
      <c r="B3203" t="s">
        <v>15</v>
      </c>
      <c r="C3203" t="s">
        <v>65</v>
      </c>
      <c r="D3203">
        <v>2131</v>
      </c>
      <c r="E3203">
        <v>2018</v>
      </c>
      <c r="F3203" t="s">
        <v>68</v>
      </c>
    </row>
    <row r="3204" spans="1:6" x14ac:dyDescent="0.25">
      <c r="A3204" t="s">
        <v>16</v>
      </c>
      <c r="B3204" t="s">
        <v>17</v>
      </c>
      <c r="C3204" t="s">
        <v>65</v>
      </c>
      <c r="D3204">
        <v>293092</v>
      </c>
      <c r="E3204">
        <v>2018</v>
      </c>
      <c r="F3204" t="s">
        <v>68</v>
      </c>
    </row>
    <row r="3205" spans="1:6" x14ac:dyDescent="0.25">
      <c r="A3205" t="s">
        <v>18</v>
      </c>
      <c r="B3205" t="s">
        <v>19</v>
      </c>
      <c r="C3205" t="s">
        <v>65</v>
      </c>
      <c r="D3205">
        <v>155105</v>
      </c>
      <c r="E3205">
        <v>2018</v>
      </c>
      <c r="F3205" t="s">
        <v>68</v>
      </c>
    </row>
    <row r="3206" spans="1:6" x14ac:dyDescent="0.25">
      <c r="A3206" t="s">
        <v>20</v>
      </c>
      <c r="B3206" t="s">
        <v>21</v>
      </c>
      <c r="C3206" t="s">
        <v>65</v>
      </c>
      <c r="D3206">
        <v>58368</v>
      </c>
      <c r="E3206">
        <v>2018</v>
      </c>
      <c r="F3206" t="s">
        <v>68</v>
      </c>
    </row>
    <row r="3207" spans="1:6" x14ac:dyDescent="0.25">
      <c r="A3207" t="s">
        <v>22</v>
      </c>
      <c r="B3207" t="s">
        <v>23</v>
      </c>
      <c r="C3207" t="s">
        <v>65</v>
      </c>
      <c r="D3207">
        <v>31103</v>
      </c>
      <c r="E3207">
        <v>2018</v>
      </c>
      <c r="F3207" t="s">
        <v>68</v>
      </c>
    </row>
    <row r="3208" spans="1:6" x14ac:dyDescent="0.25">
      <c r="A3208" t="s">
        <v>24</v>
      </c>
      <c r="B3208" t="s">
        <v>25</v>
      </c>
      <c r="C3208" t="s">
        <v>65</v>
      </c>
      <c r="D3208">
        <v>77185</v>
      </c>
      <c r="E3208">
        <v>2018</v>
      </c>
      <c r="F3208" t="s">
        <v>68</v>
      </c>
    </row>
    <row r="3209" spans="1:6" x14ac:dyDescent="0.25">
      <c r="A3209" t="s">
        <v>26</v>
      </c>
      <c r="B3209" t="s">
        <v>27</v>
      </c>
      <c r="C3209" t="s">
        <v>65</v>
      </c>
      <c r="D3209">
        <v>14041</v>
      </c>
      <c r="E3209">
        <v>2018</v>
      </c>
      <c r="F3209" t="s">
        <v>68</v>
      </c>
    </row>
    <row r="3210" spans="1:6" x14ac:dyDescent="0.25">
      <c r="A3210" t="s">
        <v>28</v>
      </c>
      <c r="B3210" t="s">
        <v>29</v>
      </c>
      <c r="C3210" t="s">
        <v>65</v>
      </c>
      <c r="D3210">
        <v>28578</v>
      </c>
      <c r="E3210">
        <v>2018</v>
      </c>
      <c r="F3210" t="s">
        <v>68</v>
      </c>
    </row>
    <row r="3211" spans="1:6" x14ac:dyDescent="0.25">
      <c r="A3211" t="s">
        <v>30</v>
      </c>
      <c r="B3211" t="s">
        <v>31</v>
      </c>
      <c r="C3211" t="s">
        <v>65</v>
      </c>
      <c r="D3211">
        <v>181139</v>
      </c>
      <c r="E3211">
        <v>2018</v>
      </c>
      <c r="F3211" t="s">
        <v>68</v>
      </c>
    </row>
    <row r="3212" spans="1:6" x14ac:dyDescent="0.25">
      <c r="A3212" t="s">
        <v>32</v>
      </c>
      <c r="B3212" t="s">
        <v>33</v>
      </c>
      <c r="C3212" t="s">
        <v>65</v>
      </c>
      <c r="D3212">
        <v>70730</v>
      </c>
      <c r="E3212">
        <v>2018</v>
      </c>
      <c r="F3212" t="s">
        <v>68</v>
      </c>
    </row>
    <row r="3213" spans="1:6" x14ac:dyDescent="0.25">
      <c r="A3213" t="s">
        <v>34</v>
      </c>
      <c r="B3213" t="s">
        <v>35</v>
      </c>
      <c r="C3213" t="s">
        <v>65</v>
      </c>
      <c r="D3213">
        <v>250318</v>
      </c>
      <c r="E3213">
        <v>2018</v>
      </c>
      <c r="F3213" t="s">
        <v>68</v>
      </c>
    </row>
    <row r="3214" spans="1:6" x14ac:dyDescent="0.25">
      <c r="A3214" t="s">
        <v>36</v>
      </c>
      <c r="B3214" t="s">
        <v>37</v>
      </c>
      <c r="C3214" t="s">
        <v>65</v>
      </c>
      <c r="D3214">
        <v>173191</v>
      </c>
      <c r="E3214">
        <v>2018</v>
      </c>
      <c r="F3214" t="s">
        <v>68</v>
      </c>
    </row>
    <row r="3215" spans="1:6" x14ac:dyDescent="0.25">
      <c r="A3215" t="s">
        <v>38</v>
      </c>
      <c r="B3215" t="s">
        <v>39</v>
      </c>
      <c r="C3215" t="s">
        <v>65</v>
      </c>
      <c r="D3215">
        <v>118038</v>
      </c>
      <c r="E3215">
        <v>2018</v>
      </c>
      <c r="F3215" t="s">
        <v>68</v>
      </c>
    </row>
    <row r="3216" spans="1:6" x14ac:dyDescent="0.25">
      <c r="A3216" t="s">
        <v>40</v>
      </c>
      <c r="B3216" t="s">
        <v>41</v>
      </c>
      <c r="C3216" t="s">
        <v>65</v>
      </c>
      <c r="D3216">
        <v>317843</v>
      </c>
      <c r="E3216">
        <v>2018</v>
      </c>
      <c r="F3216" t="s">
        <v>68</v>
      </c>
    </row>
    <row r="3217" spans="1:6" x14ac:dyDescent="0.25">
      <c r="A3217" t="s">
        <v>42</v>
      </c>
      <c r="B3217" t="s">
        <v>43</v>
      </c>
      <c r="C3217" t="s">
        <v>65</v>
      </c>
      <c r="D3217">
        <v>340483</v>
      </c>
      <c r="E3217">
        <v>2018</v>
      </c>
      <c r="F3217" t="s">
        <v>68</v>
      </c>
    </row>
    <row r="3218" spans="1:6" x14ac:dyDescent="0.25">
      <c r="A3218" t="s">
        <v>44</v>
      </c>
      <c r="B3218" t="s">
        <v>45</v>
      </c>
      <c r="C3218" t="s">
        <v>65</v>
      </c>
      <c r="D3218">
        <v>578569</v>
      </c>
      <c r="E3218">
        <v>2018</v>
      </c>
      <c r="F3218" t="s">
        <v>68</v>
      </c>
    </row>
    <row r="3219" spans="1:6" x14ac:dyDescent="0.25">
      <c r="A3219" t="s">
        <v>46</v>
      </c>
      <c r="B3219" t="s">
        <v>47</v>
      </c>
      <c r="C3219" t="s">
        <v>65</v>
      </c>
      <c r="D3219">
        <v>437243</v>
      </c>
      <c r="E3219">
        <v>2018</v>
      </c>
      <c r="F3219" t="s">
        <v>68</v>
      </c>
    </row>
    <row r="3220" spans="1:6" x14ac:dyDescent="0.25">
      <c r="A3220" t="s">
        <v>48</v>
      </c>
      <c r="B3220" t="s">
        <v>49</v>
      </c>
      <c r="C3220" t="s">
        <v>65</v>
      </c>
      <c r="D3220">
        <v>113533</v>
      </c>
      <c r="E3220">
        <v>2018</v>
      </c>
      <c r="F3220" t="s">
        <v>68</v>
      </c>
    </row>
    <row r="3221" spans="1:6" x14ac:dyDescent="0.25">
      <c r="A3221" t="s">
        <v>50</v>
      </c>
      <c r="B3221" t="s">
        <v>51</v>
      </c>
      <c r="C3221" t="s">
        <v>65</v>
      </c>
      <c r="D3221">
        <v>19226</v>
      </c>
      <c r="E3221">
        <v>2018</v>
      </c>
      <c r="F3221" t="s">
        <v>68</v>
      </c>
    </row>
    <row r="3222" spans="1:6" x14ac:dyDescent="0.25">
      <c r="A3222" t="s">
        <v>52</v>
      </c>
      <c r="B3222" t="s">
        <v>53</v>
      </c>
      <c r="C3222" t="s">
        <v>65</v>
      </c>
      <c r="D3222">
        <v>29565</v>
      </c>
      <c r="E3222">
        <v>2018</v>
      </c>
      <c r="F3222" t="s">
        <v>68</v>
      </c>
    </row>
    <row r="3223" spans="1:6" x14ac:dyDescent="0.25">
      <c r="A3223" t="s">
        <v>54</v>
      </c>
      <c r="B3223" t="s">
        <v>55</v>
      </c>
      <c r="C3223" t="s">
        <v>65</v>
      </c>
      <c r="D3223">
        <v>13525</v>
      </c>
      <c r="E3223">
        <v>2018</v>
      </c>
      <c r="F3223" t="s">
        <v>68</v>
      </c>
    </row>
    <row r="3224" spans="1:6" x14ac:dyDescent="0.25">
      <c r="A3224" t="s">
        <v>56</v>
      </c>
      <c r="B3224" t="s">
        <v>57</v>
      </c>
      <c r="C3224" t="s">
        <v>65</v>
      </c>
      <c r="E3224">
        <v>2018</v>
      </c>
      <c r="F3224" t="s">
        <v>68</v>
      </c>
    </row>
    <row r="3225" spans="1:6" x14ac:dyDescent="0.25">
      <c r="A3225" t="s">
        <v>58</v>
      </c>
      <c r="B3225" t="s">
        <v>59</v>
      </c>
      <c r="C3225" t="s">
        <v>65</v>
      </c>
      <c r="E3225">
        <v>2018</v>
      </c>
      <c r="F3225" t="s">
        <v>68</v>
      </c>
    </row>
    <row r="3226" spans="1:6" x14ac:dyDescent="0.25">
      <c r="A3226" t="s">
        <v>6</v>
      </c>
      <c r="B3226" t="s">
        <v>7</v>
      </c>
      <c r="C3226" t="s">
        <v>62</v>
      </c>
      <c r="D3226">
        <v>761619</v>
      </c>
      <c r="E3226">
        <v>2018</v>
      </c>
      <c r="F3226" t="s">
        <v>68</v>
      </c>
    </row>
    <row r="3227" spans="1:6" x14ac:dyDescent="0.25">
      <c r="A3227" t="s">
        <v>10</v>
      </c>
      <c r="B3227" t="s">
        <v>11</v>
      </c>
      <c r="C3227" t="s">
        <v>62</v>
      </c>
      <c r="D3227">
        <v>349294</v>
      </c>
      <c r="E3227">
        <v>2018</v>
      </c>
      <c r="F3227" t="s">
        <v>68</v>
      </c>
    </row>
    <row r="3228" spans="1:6" x14ac:dyDescent="0.25">
      <c r="A3228" t="s">
        <v>12</v>
      </c>
      <c r="B3228" t="s">
        <v>13</v>
      </c>
      <c r="C3228" t="s">
        <v>62</v>
      </c>
      <c r="D3228">
        <v>14185</v>
      </c>
      <c r="E3228">
        <v>2018</v>
      </c>
      <c r="F3228" t="s">
        <v>68</v>
      </c>
    </row>
    <row r="3229" spans="1:6" x14ac:dyDescent="0.25">
      <c r="A3229" t="s">
        <v>14</v>
      </c>
      <c r="B3229" t="s">
        <v>15</v>
      </c>
      <c r="C3229" t="s">
        <v>62</v>
      </c>
      <c r="E3229">
        <v>2018</v>
      </c>
      <c r="F3229" t="s">
        <v>68</v>
      </c>
    </row>
    <row r="3230" spans="1:6" x14ac:dyDescent="0.25">
      <c r="A3230" t="s">
        <v>16</v>
      </c>
      <c r="B3230" t="s">
        <v>17</v>
      </c>
      <c r="C3230" t="s">
        <v>62</v>
      </c>
      <c r="D3230">
        <v>38888</v>
      </c>
      <c r="E3230">
        <v>2018</v>
      </c>
      <c r="F3230" t="s">
        <v>68</v>
      </c>
    </row>
    <row r="3231" spans="1:6" x14ac:dyDescent="0.25">
      <c r="A3231" t="s">
        <v>18</v>
      </c>
      <c r="B3231" t="s">
        <v>19</v>
      </c>
      <c r="C3231" t="s">
        <v>62</v>
      </c>
      <c r="D3231">
        <v>64024</v>
      </c>
      <c r="E3231">
        <v>2018</v>
      </c>
      <c r="F3231" t="s">
        <v>68</v>
      </c>
    </row>
    <row r="3232" spans="1:6" x14ac:dyDescent="0.25">
      <c r="A3232" t="s">
        <v>20</v>
      </c>
      <c r="B3232" t="s">
        <v>21</v>
      </c>
      <c r="C3232" t="s">
        <v>62</v>
      </c>
      <c r="D3232">
        <v>8377</v>
      </c>
      <c r="E3232">
        <v>2018</v>
      </c>
      <c r="F3232" t="s">
        <v>68</v>
      </c>
    </row>
    <row r="3233" spans="1:6" x14ac:dyDescent="0.25">
      <c r="A3233" t="s">
        <v>22</v>
      </c>
      <c r="B3233" t="s">
        <v>23</v>
      </c>
      <c r="C3233" t="s">
        <v>62</v>
      </c>
      <c r="D3233">
        <v>9307</v>
      </c>
      <c r="E3233">
        <v>2018</v>
      </c>
      <c r="F3233" t="s">
        <v>68</v>
      </c>
    </row>
    <row r="3234" spans="1:6" x14ac:dyDescent="0.25">
      <c r="A3234" t="s">
        <v>24</v>
      </c>
      <c r="B3234" t="s">
        <v>25</v>
      </c>
      <c r="C3234" t="s">
        <v>62</v>
      </c>
      <c r="D3234">
        <v>10157</v>
      </c>
      <c r="E3234">
        <v>2018</v>
      </c>
      <c r="F3234" t="s">
        <v>68</v>
      </c>
    </row>
    <row r="3235" spans="1:6" x14ac:dyDescent="0.25">
      <c r="A3235" t="s">
        <v>26</v>
      </c>
      <c r="B3235" t="s">
        <v>27</v>
      </c>
      <c r="C3235" t="s">
        <v>62</v>
      </c>
      <c r="D3235">
        <v>14827</v>
      </c>
      <c r="E3235">
        <v>2018</v>
      </c>
      <c r="F3235" t="s">
        <v>68</v>
      </c>
    </row>
    <row r="3236" spans="1:6" x14ac:dyDescent="0.25">
      <c r="A3236" t="s">
        <v>28</v>
      </c>
      <c r="B3236" t="s">
        <v>29</v>
      </c>
      <c r="C3236" t="s">
        <v>62</v>
      </c>
      <c r="D3236">
        <v>6263</v>
      </c>
      <c r="E3236">
        <v>2018</v>
      </c>
      <c r="F3236" t="s">
        <v>68</v>
      </c>
    </row>
    <row r="3237" spans="1:6" x14ac:dyDescent="0.25">
      <c r="A3237" t="s">
        <v>30</v>
      </c>
      <c r="B3237" t="s">
        <v>31</v>
      </c>
      <c r="C3237" t="s">
        <v>62</v>
      </c>
      <c r="D3237">
        <v>33696</v>
      </c>
      <c r="E3237">
        <v>2018</v>
      </c>
      <c r="F3237" t="s">
        <v>68</v>
      </c>
    </row>
    <row r="3238" spans="1:6" x14ac:dyDescent="0.25">
      <c r="A3238" t="s">
        <v>32</v>
      </c>
      <c r="B3238" t="s">
        <v>33</v>
      </c>
      <c r="C3238" t="s">
        <v>62</v>
      </c>
      <c r="D3238">
        <v>13970</v>
      </c>
      <c r="E3238">
        <v>2018</v>
      </c>
      <c r="F3238" t="s">
        <v>68</v>
      </c>
    </row>
    <row r="3239" spans="1:6" x14ac:dyDescent="0.25">
      <c r="A3239" t="s">
        <v>34</v>
      </c>
      <c r="B3239" t="s">
        <v>35</v>
      </c>
      <c r="C3239" t="s">
        <v>62</v>
      </c>
      <c r="D3239">
        <v>42360</v>
      </c>
      <c r="E3239">
        <v>2018</v>
      </c>
      <c r="F3239" t="s">
        <v>68</v>
      </c>
    </row>
    <row r="3240" spans="1:6" x14ac:dyDescent="0.25">
      <c r="A3240" t="s">
        <v>36</v>
      </c>
      <c r="B3240" t="s">
        <v>37</v>
      </c>
      <c r="C3240" t="s">
        <v>62</v>
      </c>
      <c r="D3240">
        <v>28758</v>
      </c>
      <c r="E3240">
        <v>2018</v>
      </c>
      <c r="F3240" t="s">
        <v>68</v>
      </c>
    </row>
    <row r="3241" spans="1:6" x14ac:dyDescent="0.25">
      <c r="A3241" t="s">
        <v>38</v>
      </c>
      <c r="B3241" t="s">
        <v>39</v>
      </c>
      <c r="C3241" t="s">
        <v>62</v>
      </c>
      <c r="D3241">
        <v>14337</v>
      </c>
      <c r="E3241">
        <v>2018</v>
      </c>
      <c r="F3241" t="s">
        <v>68</v>
      </c>
    </row>
    <row r="3242" spans="1:6" x14ac:dyDescent="0.25">
      <c r="A3242" t="s">
        <v>40</v>
      </c>
      <c r="B3242" t="s">
        <v>41</v>
      </c>
      <c r="C3242" t="s">
        <v>62</v>
      </c>
      <c r="D3242">
        <v>48188</v>
      </c>
      <c r="E3242">
        <v>2018</v>
      </c>
      <c r="F3242" t="s">
        <v>68</v>
      </c>
    </row>
    <row r="3243" spans="1:6" x14ac:dyDescent="0.25">
      <c r="A3243" t="s">
        <v>42</v>
      </c>
      <c r="B3243" t="s">
        <v>43</v>
      </c>
      <c r="C3243" t="s">
        <v>62</v>
      </c>
      <c r="D3243">
        <v>742</v>
      </c>
      <c r="E3243">
        <v>2018</v>
      </c>
      <c r="F3243" t="s">
        <v>68</v>
      </c>
    </row>
    <row r="3244" spans="1:6" x14ac:dyDescent="0.25">
      <c r="A3244" t="s">
        <v>44</v>
      </c>
      <c r="B3244" t="s">
        <v>45</v>
      </c>
      <c r="C3244" t="s">
        <v>62</v>
      </c>
      <c r="D3244">
        <v>7929</v>
      </c>
      <c r="E3244">
        <v>2018</v>
      </c>
      <c r="F3244" t="s">
        <v>68</v>
      </c>
    </row>
    <row r="3245" spans="1:6" x14ac:dyDescent="0.25">
      <c r="A3245" t="s">
        <v>46</v>
      </c>
      <c r="B3245" t="s">
        <v>47</v>
      </c>
      <c r="C3245" t="s">
        <v>62</v>
      </c>
      <c r="D3245">
        <v>11792</v>
      </c>
      <c r="E3245">
        <v>2018</v>
      </c>
      <c r="F3245" t="s">
        <v>68</v>
      </c>
    </row>
    <row r="3246" spans="1:6" x14ac:dyDescent="0.25">
      <c r="A3246" t="s">
        <v>48</v>
      </c>
      <c r="B3246" t="s">
        <v>49</v>
      </c>
      <c r="C3246" t="s">
        <v>62</v>
      </c>
      <c r="D3246">
        <v>10660</v>
      </c>
      <c r="E3246">
        <v>2018</v>
      </c>
      <c r="F3246" t="s">
        <v>68</v>
      </c>
    </row>
    <row r="3247" spans="1:6" x14ac:dyDescent="0.25">
      <c r="A3247" t="s">
        <v>50</v>
      </c>
      <c r="B3247" t="s">
        <v>51</v>
      </c>
      <c r="C3247" t="s">
        <v>62</v>
      </c>
      <c r="D3247">
        <v>3069</v>
      </c>
      <c r="E3247">
        <v>2018</v>
      </c>
      <c r="F3247" t="s">
        <v>68</v>
      </c>
    </row>
    <row r="3248" spans="1:6" x14ac:dyDescent="0.25">
      <c r="A3248" t="s">
        <v>52</v>
      </c>
      <c r="B3248" t="s">
        <v>53</v>
      </c>
      <c r="C3248" t="s">
        <v>62</v>
      </c>
      <c r="D3248">
        <v>9356</v>
      </c>
      <c r="E3248">
        <v>2018</v>
      </c>
      <c r="F3248" t="s">
        <v>68</v>
      </c>
    </row>
    <row r="3249" spans="1:6" x14ac:dyDescent="0.25">
      <c r="A3249" t="s">
        <v>54</v>
      </c>
      <c r="B3249" t="s">
        <v>55</v>
      </c>
      <c r="C3249" t="s">
        <v>62</v>
      </c>
      <c r="D3249">
        <v>12189</v>
      </c>
      <c r="E3249">
        <v>2018</v>
      </c>
      <c r="F3249" t="s">
        <v>68</v>
      </c>
    </row>
    <row r="3250" spans="1:6" x14ac:dyDescent="0.25">
      <c r="A3250" t="s">
        <v>56</v>
      </c>
      <c r="B3250" t="s">
        <v>57</v>
      </c>
      <c r="C3250" t="s">
        <v>62</v>
      </c>
      <c r="D3250">
        <v>9240</v>
      </c>
      <c r="E3250">
        <v>2018</v>
      </c>
      <c r="F3250" t="s">
        <v>68</v>
      </c>
    </row>
    <row r="3251" spans="1:6" x14ac:dyDescent="0.25">
      <c r="A3251" t="s">
        <v>58</v>
      </c>
      <c r="B3251" t="s">
        <v>59</v>
      </c>
      <c r="C3251" t="s">
        <v>62</v>
      </c>
      <c r="E3251">
        <v>2018</v>
      </c>
      <c r="F3251" t="s">
        <v>68</v>
      </c>
    </row>
    <row r="3252" spans="1:6" x14ac:dyDescent="0.25">
      <c r="A3252" t="s">
        <v>6</v>
      </c>
      <c r="B3252" t="s">
        <v>7</v>
      </c>
      <c r="C3252" t="s">
        <v>66</v>
      </c>
      <c r="D3252">
        <v>93087</v>
      </c>
      <c r="E3252">
        <v>2018</v>
      </c>
      <c r="F3252" t="s">
        <v>68</v>
      </c>
    </row>
    <row r="3253" spans="1:6" x14ac:dyDescent="0.25">
      <c r="A3253" t="s">
        <v>10</v>
      </c>
      <c r="B3253" t="s">
        <v>11</v>
      </c>
      <c r="C3253" t="s">
        <v>66</v>
      </c>
      <c r="D3253">
        <v>47751</v>
      </c>
      <c r="E3253">
        <v>2018</v>
      </c>
      <c r="F3253" t="s">
        <v>68</v>
      </c>
    </row>
    <row r="3254" spans="1:6" x14ac:dyDescent="0.25">
      <c r="A3254" t="s">
        <v>12</v>
      </c>
      <c r="B3254" t="s">
        <v>13</v>
      </c>
      <c r="C3254" t="s">
        <v>66</v>
      </c>
      <c r="D3254">
        <v>4318</v>
      </c>
      <c r="E3254">
        <v>2018</v>
      </c>
      <c r="F3254" t="s">
        <v>68</v>
      </c>
    </row>
    <row r="3255" spans="1:6" x14ac:dyDescent="0.25">
      <c r="A3255" t="s">
        <v>14</v>
      </c>
      <c r="B3255" t="s">
        <v>15</v>
      </c>
      <c r="C3255" t="s">
        <v>66</v>
      </c>
      <c r="E3255">
        <v>2018</v>
      </c>
      <c r="F3255" t="s">
        <v>68</v>
      </c>
    </row>
    <row r="3256" spans="1:6" x14ac:dyDescent="0.25">
      <c r="A3256" t="s">
        <v>16</v>
      </c>
      <c r="B3256" t="s">
        <v>17</v>
      </c>
      <c r="C3256" t="s">
        <v>66</v>
      </c>
      <c r="D3256">
        <v>1361</v>
      </c>
      <c r="E3256">
        <v>2018</v>
      </c>
      <c r="F3256" t="s">
        <v>68</v>
      </c>
    </row>
    <row r="3257" spans="1:6" x14ac:dyDescent="0.25">
      <c r="A3257" t="s">
        <v>18</v>
      </c>
      <c r="B3257" t="s">
        <v>19</v>
      </c>
      <c r="C3257" t="s">
        <v>66</v>
      </c>
      <c r="D3257">
        <v>1470</v>
      </c>
      <c r="E3257">
        <v>2018</v>
      </c>
      <c r="F3257" t="s">
        <v>68</v>
      </c>
    </row>
    <row r="3258" spans="1:6" x14ac:dyDescent="0.25">
      <c r="A3258" t="s">
        <v>20</v>
      </c>
      <c r="B3258" t="s">
        <v>21</v>
      </c>
      <c r="C3258" t="s">
        <v>66</v>
      </c>
      <c r="D3258">
        <v>3231</v>
      </c>
      <c r="E3258">
        <v>2018</v>
      </c>
      <c r="F3258" t="s">
        <v>68</v>
      </c>
    </row>
    <row r="3259" spans="1:6" x14ac:dyDescent="0.25">
      <c r="A3259" t="s">
        <v>22</v>
      </c>
      <c r="B3259" t="s">
        <v>23</v>
      </c>
      <c r="C3259" t="s">
        <v>66</v>
      </c>
      <c r="D3259">
        <v>2072</v>
      </c>
      <c r="E3259">
        <v>2018</v>
      </c>
      <c r="F3259" t="s">
        <v>68</v>
      </c>
    </row>
    <row r="3260" spans="1:6" x14ac:dyDescent="0.25">
      <c r="A3260" t="s">
        <v>24</v>
      </c>
      <c r="B3260" t="s">
        <v>25</v>
      </c>
      <c r="C3260" t="s">
        <v>66</v>
      </c>
      <c r="D3260">
        <v>2434</v>
      </c>
      <c r="E3260">
        <v>2018</v>
      </c>
      <c r="F3260" t="s">
        <v>68</v>
      </c>
    </row>
    <row r="3261" spans="1:6" x14ac:dyDescent="0.25">
      <c r="A3261" t="s">
        <v>26</v>
      </c>
      <c r="B3261" t="s">
        <v>27</v>
      </c>
      <c r="C3261" t="s">
        <v>66</v>
      </c>
      <c r="D3261">
        <v>2133</v>
      </c>
      <c r="E3261">
        <v>2018</v>
      </c>
      <c r="F3261" t="s">
        <v>68</v>
      </c>
    </row>
    <row r="3262" spans="1:6" x14ac:dyDescent="0.25">
      <c r="A3262" t="s">
        <v>28</v>
      </c>
      <c r="B3262" t="s">
        <v>29</v>
      </c>
      <c r="C3262" t="s">
        <v>66</v>
      </c>
      <c r="D3262">
        <v>1785</v>
      </c>
      <c r="E3262">
        <v>2018</v>
      </c>
      <c r="F3262" t="s">
        <v>68</v>
      </c>
    </row>
    <row r="3263" spans="1:6" x14ac:dyDescent="0.25">
      <c r="A3263" t="s">
        <v>30</v>
      </c>
      <c r="B3263" t="s">
        <v>31</v>
      </c>
      <c r="C3263" t="s">
        <v>66</v>
      </c>
      <c r="D3263">
        <v>4490</v>
      </c>
      <c r="E3263">
        <v>2018</v>
      </c>
      <c r="F3263" t="s">
        <v>68</v>
      </c>
    </row>
    <row r="3264" spans="1:6" x14ac:dyDescent="0.25">
      <c r="A3264" t="s">
        <v>32</v>
      </c>
      <c r="B3264" t="s">
        <v>33</v>
      </c>
      <c r="C3264" t="s">
        <v>66</v>
      </c>
      <c r="D3264">
        <v>4541</v>
      </c>
      <c r="E3264">
        <v>2018</v>
      </c>
      <c r="F3264" t="s">
        <v>68</v>
      </c>
    </row>
    <row r="3265" spans="1:6" x14ac:dyDescent="0.25">
      <c r="A3265" t="s">
        <v>34</v>
      </c>
      <c r="B3265" t="s">
        <v>35</v>
      </c>
      <c r="C3265" t="s">
        <v>66</v>
      </c>
      <c r="D3265">
        <v>3446</v>
      </c>
      <c r="E3265">
        <v>2018</v>
      </c>
      <c r="F3265" t="s">
        <v>68</v>
      </c>
    </row>
    <row r="3266" spans="1:6" x14ac:dyDescent="0.25">
      <c r="A3266" t="s">
        <v>36</v>
      </c>
      <c r="B3266" t="s">
        <v>37</v>
      </c>
      <c r="C3266" t="s">
        <v>66</v>
      </c>
      <c r="D3266">
        <v>2432</v>
      </c>
      <c r="E3266">
        <v>2018</v>
      </c>
      <c r="F3266" t="s">
        <v>68</v>
      </c>
    </row>
    <row r="3267" spans="1:6" x14ac:dyDescent="0.25">
      <c r="A3267" t="s">
        <v>38</v>
      </c>
      <c r="B3267" t="s">
        <v>39</v>
      </c>
      <c r="C3267" t="s">
        <v>66</v>
      </c>
      <c r="D3267">
        <v>700</v>
      </c>
      <c r="E3267">
        <v>2018</v>
      </c>
      <c r="F3267" t="s">
        <v>68</v>
      </c>
    </row>
    <row r="3268" spans="1:6" x14ac:dyDescent="0.25">
      <c r="A3268" t="s">
        <v>40</v>
      </c>
      <c r="B3268" t="s">
        <v>41</v>
      </c>
      <c r="C3268" t="s">
        <v>66</v>
      </c>
      <c r="D3268">
        <v>3145</v>
      </c>
      <c r="E3268">
        <v>2018</v>
      </c>
      <c r="F3268" t="s">
        <v>68</v>
      </c>
    </row>
    <row r="3269" spans="1:6" x14ac:dyDescent="0.25">
      <c r="A3269" t="s">
        <v>42</v>
      </c>
      <c r="B3269" t="s">
        <v>43</v>
      </c>
      <c r="C3269" t="s">
        <v>66</v>
      </c>
      <c r="D3269">
        <v>65</v>
      </c>
      <c r="E3269">
        <v>2018</v>
      </c>
      <c r="F3269" t="s">
        <v>68</v>
      </c>
    </row>
    <row r="3270" spans="1:6" x14ac:dyDescent="0.25">
      <c r="A3270" t="s">
        <v>44</v>
      </c>
      <c r="B3270" t="s">
        <v>45</v>
      </c>
      <c r="C3270" t="s">
        <v>66</v>
      </c>
      <c r="D3270">
        <v>957</v>
      </c>
      <c r="E3270">
        <v>2018</v>
      </c>
      <c r="F3270" t="s">
        <v>68</v>
      </c>
    </row>
    <row r="3271" spans="1:6" x14ac:dyDescent="0.25">
      <c r="A3271" t="s">
        <v>46</v>
      </c>
      <c r="B3271" t="s">
        <v>47</v>
      </c>
      <c r="C3271" t="s">
        <v>66</v>
      </c>
      <c r="D3271">
        <v>194</v>
      </c>
      <c r="E3271">
        <v>2018</v>
      </c>
      <c r="F3271" t="s">
        <v>68</v>
      </c>
    </row>
    <row r="3272" spans="1:6" x14ac:dyDescent="0.25">
      <c r="A3272" t="s">
        <v>48</v>
      </c>
      <c r="B3272" t="s">
        <v>49</v>
      </c>
      <c r="C3272" t="s">
        <v>66</v>
      </c>
      <c r="D3272">
        <v>2803</v>
      </c>
      <c r="E3272">
        <v>2018</v>
      </c>
      <c r="F3272" t="s">
        <v>68</v>
      </c>
    </row>
    <row r="3273" spans="1:6" x14ac:dyDescent="0.25">
      <c r="A3273" t="s">
        <v>50</v>
      </c>
      <c r="B3273" t="s">
        <v>51</v>
      </c>
      <c r="C3273" t="s">
        <v>66</v>
      </c>
      <c r="E3273">
        <v>2018</v>
      </c>
      <c r="F3273" t="s">
        <v>68</v>
      </c>
    </row>
    <row r="3274" spans="1:6" x14ac:dyDescent="0.25">
      <c r="A3274" t="s">
        <v>52</v>
      </c>
      <c r="B3274" t="s">
        <v>53</v>
      </c>
      <c r="C3274" t="s">
        <v>66</v>
      </c>
      <c r="D3274">
        <v>1052</v>
      </c>
      <c r="E3274">
        <v>2018</v>
      </c>
      <c r="F3274" t="s">
        <v>68</v>
      </c>
    </row>
    <row r="3275" spans="1:6" x14ac:dyDescent="0.25">
      <c r="A3275" t="s">
        <v>54</v>
      </c>
      <c r="B3275" t="s">
        <v>55</v>
      </c>
      <c r="C3275" t="s">
        <v>66</v>
      </c>
      <c r="D3275">
        <v>570</v>
      </c>
      <c r="E3275">
        <v>2018</v>
      </c>
      <c r="F3275" t="s">
        <v>68</v>
      </c>
    </row>
    <row r="3276" spans="1:6" x14ac:dyDescent="0.25">
      <c r="A3276" t="s">
        <v>56</v>
      </c>
      <c r="B3276" t="s">
        <v>57</v>
      </c>
      <c r="C3276" t="s">
        <v>66</v>
      </c>
      <c r="D3276">
        <v>2127</v>
      </c>
      <c r="E3276">
        <v>2018</v>
      </c>
      <c r="F3276" t="s">
        <v>68</v>
      </c>
    </row>
    <row r="3277" spans="1:6" x14ac:dyDescent="0.25">
      <c r="A3277" t="s">
        <v>58</v>
      </c>
      <c r="B3277" t="s">
        <v>59</v>
      </c>
      <c r="C3277" t="s">
        <v>66</v>
      </c>
      <c r="E3277">
        <v>2018</v>
      </c>
      <c r="F3277" t="s">
        <v>68</v>
      </c>
    </row>
    <row r="3278" spans="1:6" x14ac:dyDescent="0.25">
      <c r="A3278" t="s">
        <v>6</v>
      </c>
      <c r="B3278" t="s">
        <v>7</v>
      </c>
      <c r="C3278" t="s">
        <v>63</v>
      </c>
      <c r="D3278">
        <v>5661100</v>
      </c>
      <c r="E3278">
        <v>2019</v>
      </c>
      <c r="F3278" t="s">
        <v>68</v>
      </c>
    </row>
    <row r="3279" spans="1:6" x14ac:dyDescent="0.25">
      <c r="A3279" t="s">
        <v>10</v>
      </c>
      <c r="B3279" t="s">
        <v>11</v>
      </c>
      <c r="C3279" t="s">
        <v>63</v>
      </c>
      <c r="D3279">
        <v>1379421</v>
      </c>
      <c r="E3279">
        <v>2019</v>
      </c>
      <c r="F3279" t="s">
        <v>68</v>
      </c>
    </row>
    <row r="3280" spans="1:6" x14ac:dyDescent="0.25">
      <c r="A3280" t="s">
        <v>12</v>
      </c>
      <c r="B3280" t="s">
        <v>13</v>
      </c>
      <c r="C3280" t="s">
        <v>63</v>
      </c>
      <c r="D3280">
        <v>158777</v>
      </c>
      <c r="E3280">
        <v>2019</v>
      </c>
      <c r="F3280" t="s">
        <v>68</v>
      </c>
    </row>
    <row r="3281" spans="1:6" x14ac:dyDescent="0.25">
      <c r="A3281" t="s">
        <v>14</v>
      </c>
      <c r="B3281" t="s">
        <v>15</v>
      </c>
      <c r="C3281" t="s">
        <v>63</v>
      </c>
      <c r="D3281">
        <v>15334</v>
      </c>
      <c r="E3281">
        <v>2019</v>
      </c>
      <c r="F3281" t="s">
        <v>68</v>
      </c>
    </row>
    <row r="3282" spans="1:6" x14ac:dyDescent="0.25">
      <c r="A3282" t="s">
        <v>16</v>
      </c>
      <c r="B3282" t="s">
        <v>17</v>
      </c>
      <c r="C3282" t="s">
        <v>63</v>
      </c>
      <c r="D3282">
        <v>198248</v>
      </c>
      <c r="E3282">
        <v>2019</v>
      </c>
      <c r="F3282" t="s">
        <v>68</v>
      </c>
    </row>
    <row r="3283" spans="1:6" x14ac:dyDescent="0.25">
      <c r="A3283" t="s">
        <v>18</v>
      </c>
      <c r="B3283" t="s">
        <v>19</v>
      </c>
      <c r="C3283" t="s">
        <v>63</v>
      </c>
      <c r="D3283">
        <v>339308</v>
      </c>
      <c r="E3283">
        <v>2019</v>
      </c>
      <c r="F3283" t="s">
        <v>68</v>
      </c>
    </row>
    <row r="3284" spans="1:6" x14ac:dyDescent="0.25">
      <c r="A3284" t="s">
        <v>20</v>
      </c>
      <c r="B3284" t="s">
        <v>21</v>
      </c>
      <c r="C3284" t="s">
        <v>63</v>
      </c>
      <c r="D3284">
        <v>274894</v>
      </c>
      <c r="E3284">
        <v>2019</v>
      </c>
      <c r="F3284" t="s">
        <v>68</v>
      </c>
    </row>
    <row r="3285" spans="1:6" x14ac:dyDescent="0.25">
      <c r="A3285" t="s">
        <v>22</v>
      </c>
      <c r="B3285" t="s">
        <v>23</v>
      </c>
      <c r="C3285" t="s">
        <v>63</v>
      </c>
      <c r="D3285">
        <v>97845</v>
      </c>
      <c r="E3285">
        <v>2019</v>
      </c>
      <c r="F3285" t="s">
        <v>68</v>
      </c>
    </row>
    <row r="3286" spans="1:6" x14ac:dyDescent="0.25">
      <c r="A3286" t="s">
        <v>24</v>
      </c>
      <c r="B3286" t="s">
        <v>25</v>
      </c>
      <c r="C3286" t="s">
        <v>63</v>
      </c>
      <c r="D3286">
        <v>166100</v>
      </c>
      <c r="E3286">
        <v>2019</v>
      </c>
      <c r="F3286" t="s">
        <v>68</v>
      </c>
    </row>
    <row r="3287" spans="1:6" x14ac:dyDescent="0.25">
      <c r="A3287" t="s">
        <v>26</v>
      </c>
      <c r="B3287" t="s">
        <v>27</v>
      </c>
      <c r="C3287" t="s">
        <v>63</v>
      </c>
      <c r="D3287">
        <v>44471</v>
      </c>
      <c r="E3287">
        <v>2019</v>
      </c>
      <c r="F3287" t="s">
        <v>68</v>
      </c>
    </row>
    <row r="3288" spans="1:6" x14ac:dyDescent="0.25">
      <c r="A3288" t="s">
        <v>28</v>
      </c>
      <c r="B3288" t="s">
        <v>29</v>
      </c>
      <c r="C3288" t="s">
        <v>63</v>
      </c>
      <c r="D3288">
        <v>68585</v>
      </c>
      <c r="E3288">
        <v>2019</v>
      </c>
      <c r="F3288" t="s">
        <v>68</v>
      </c>
    </row>
    <row r="3289" spans="1:6" x14ac:dyDescent="0.25">
      <c r="A3289" t="s">
        <v>30</v>
      </c>
      <c r="B3289" t="s">
        <v>31</v>
      </c>
      <c r="C3289" t="s">
        <v>63</v>
      </c>
      <c r="D3289">
        <v>460662</v>
      </c>
      <c r="E3289">
        <v>2019</v>
      </c>
      <c r="F3289" t="s">
        <v>68</v>
      </c>
    </row>
    <row r="3290" spans="1:6" x14ac:dyDescent="0.25">
      <c r="A3290" t="s">
        <v>32</v>
      </c>
      <c r="B3290" t="s">
        <v>33</v>
      </c>
      <c r="C3290" t="s">
        <v>63</v>
      </c>
      <c r="D3290">
        <v>103706</v>
      </c>
      <c r="E3290">
        <v>2019</v>
      </c>
      <c r="F3290" t="s">
        <v>68</v>
      </c>
    </row>
    <row r="3291" spans="1:6" x14ac:dyDescent="0.25">
      <c r="A3291" t="s">
        <v>34</v>
      </c>
      <c r="B3291" t="s">
        <v>35</v>
      </c>
      <c r="C3291" t="s">
        <v>63</v>
      </c>
      <c r="D3291">
        <v>286973</v>
      </c>
      <c r="E3291">
        <v>2019</v>
      </c>
      <c r="F3291" t="s">
        <v>68</v>
      </c>
    </row>
    <row r="3292" spans="1:6" x14ac:dyDescent="0.25">
      <c r="A3292" t="s">
        <v>36</v>
      </c>
      <c r="B3292" t="s">
        <v>37</v>
      </c>
      <c r="C3292" t="s">
        <v>63</v>
      </c>
      <c r="D3292">
        <v>236461</v>
      </c>
      <c r="E3292">
        <v>2019</v>
      </c>
      <c r="F3292" t="s">
        <v>68</v>
      </c>
    </row>
    <row r="3293" spans="1:6" x14ac:dyDescent="0.25">
      <c r="A3293" t="s">
        <v>38</v>
      </c>
      <c r="B3293" t="s">
        <v>39</v>
      </c>
      <c r="C3293" t="s">
        <v>63</v>
      </c>
      <c r="D3293">
        <v>199799</v>
      </c>
      <c r="E3293">
        <v>2019</v>
      </c>
      <c r="F3293" t="s">
        <v>68</v>
      </c>
    </row>
    <row r="3294" spans="1:6" x14ac:dyDescent="0.25">
      <c r="A3294" t="s">
        <v>40</v>
      </c>
      <c r="B3294" t="s">
        <v>41</v>
      </c>
      <c r="C3294" t="s">
        <v>63</v>
      </c>
      <c r="D3294">
        <v>234512</v>
      </c>
      <c r="E3294">
        <v>2019</v>
      </c>
      <c r="F3294" t="s">
        <v>68</v>
      </c>
    </row>
    <row r="3295" spans="1:6" x14ac:dyDescent="0.25">
      <c r="A3295" t="s">
        <v>42</v>
      </c>
      <c r="B3295" t="s">
        <v>43</v>
      </c>
      <c r="C3295" t="s">
        <v>63</v>
      </c>
      <c r="D3295">
        <v>101865</v>
      </c>
      <c r="E3295">
        <v>2019</v>
      </c>
      <c r="F3295" t="s">
        <v>68</v>
      </c>
    </row>
    <row r="3296" spans="1:6" x14ac:dyDescent="0.25">
      <c r="A3296" t="s">
        <v>44</v>
      </c>
      <c r="B3296" t="s">
        <v>45</v>
      </c>
      <c r="C3296" t="s">
        <v>63</v>
      </c>
      <c r="D3296">
        <v>180890</v>
      </c>
      <c r="E3296">
        <v>2019</v>
      </c>
      <c r="F3296" t="s">
        <v>68</v>
      </c>
    </row>
    <row r="3297" spans="1:6" x14ac:dyDescent="0.25">
      <c r="A3297" t="s">
        <v>46</v>
      </c>
      <c r="B3297" t="s">
        <v>47</v>
      </c>
      <c r="C3297" t="s">
        <v>63</v>
      </c>
      <c r="D3297">
        <v>277842</v>
      </c>
      <c r="E3297">
        <v>2019</v>
      </c>
      <c r="F3297" t="s">
        <v>68</v>
      </c>
    </row>
    <row r="3298" spans="1:6" x14ac:dyDescent="0.25">
      <c r="A3298" t="s">
        <v>48</v>
      </c>
      <c r="B3298" t="s">
        <v>49</v>
      </c>
      <c r="C3298" t="s">
        <v>63</v>
      </c>
      <c r="D3298">
        <v>408222</v>
      </c>
      <c r="E3298">
        <v>2019</v>
      </c>
      <c r="F3298" t="s">
        <v>68</v>
      </c>
    </row>
    <row r="3299" spans="1:6" x14ac:dyDescent="0.25">
      <c r="A3299" t="s">
        <v>50</v>
      </c>
      <c r="B3299" t="s">
        <v>51</v>
      </c>
      <c r="C3299" t="s">
        <v>63</v>
      </c>
      <c r="D3299">
        <v>66735</v>
      </c>
      <c r="E3299">
        <v>2019</v>
      </c>
      <c r="F3299" t="s">
        <v>68</v>
      </c>
    </row>
    <row r="3300" spans="1:6" x14ac:dyDescent="0.25">
      <c r="A3300" t="s">
        <v>52</v>
      </c>
      <c r="B3300" t="s">
        <v>53</v>
      </c>
      <c r="C3300" t="s">
        <v>63</v>
      </c>
      <c r="D3300">
        <v>148702</v>
      </c>
      <c r="E3300">
        <v>2019</v>
      </c>
      <c r="F3300" t="s">
        <v>68</v>
      </c>
    </row>
    <row r="3301" spans="1:6" x14ac:dyDescent="0.25">
      <c r="A3301" t="s">
        <v>54</v>
      </c>
      <c r="B3301" t="s">
        <v>55</v>
      </c>
      <c r="C3301" t="s">
        <v>63</v>
      </c>
      <c r="D3301">
        <v>102810</v>
      </c>
      <c r="E3301">
        <v>2019</v>
      </c>
      <c r="F3301" t="s">
        <v>68</v>
      </c>
    </row>
    <row r="3302" spans="1:6" x14ac:dyDescent="0.25">
      <c r="A3302" t="s">
        <v>56</v>
      </c>
      <c r="B3302" t="s">
        <v>57</v>
      </c>
      <c r="C3302" t="s">
        <v>63</v>
      </c>
      <c r="D3302">
        <v>108938</v>
      </c>
      <c r="E3302">
        <v>2019</v>
      </c>
      <c r="F3302" t="s">
        <v>68</v>
      </c>
    </row>
    <row r="3303" spans="1:6" x14ac:dyDescent="0.25">
      <c r="A3303" t="s">
        <v>58</v>
      </c>
      <c r="B3303" t="s">
        <v>59</v>
      </c>
      <c r="C3303" t="s">
        <v>63</v>
      </c>
      <c r="E3303">
        <v>2019</v>
      </c>
      <c r="F3303" t="s">
        <v>68</v>
      </c>
    </row>
    <row r="3304" spans="1:6" x14ac:dyDescent="0.25">
      <c r="A3304" t="s">
        <v>6</v>
      </c>
      <c r="B3304" t="s">
        <v>7</v>
      </c>
      <c r="C3304" t="s">
        <v>8</v>
      </c>
      <c r="D3304">
        <v>486263</v>
      </c>
      <c r="E3304">
        <v>2019</v>
      </c>
      <c r="F3304" t="s">
        <v>68</v>
      </c>
    </row>
    <row r="3305" spans="1:6" x14ac:dyDescent="0.25">
      <c r="A3305" t="s">
        <v>10</v>
      </c>
      <c r="B3305" t="s">
        <v>11</v>
      </c>
      <c r="C3305" t="s">
        <v>8</v>
      </c>
      <c r="D3305">
        <v>167758</v>
      </c>
      <c r="E3305">
        <v>2019</v>
      </c>
      <c r="F3305" t="s">
        <v>68</v>
      </c>
    </row>
    <row r="3306" spans="1:6" x14ac:dyDescent="0.25">
      <c r="A3306" t="s">
        <v>12</v>
      </c>
      <c r="B3306" t="s">
        <v>13</v>
      </c>
      <c r="C3306" t="s">
        <v>8</v>
      </c>
      <c r="D3306">
        <v>22664</v>
      </c>
      <c r="E3306">
        <v>2019</v>
      </c>
      <c r="F3306" t="s">
        <v>68</v>
      </c>
    </row>
    <row r="3307" spans="1:6" x14ac:dyDescent="0.25">
      <c r="A3307" t="s">
        <v>14</v>
      </c>
      <c r="B3307" t="s">
        <v>15</v>
      </c>
      <c r="C3307" t="s">
        <v>8</v>
      </c>
      <c r="E3307">
        <v>2019</v>
      </c>
      <c r="F3307" t="s">
        <v>68</v>
      </c>
    </row>
    <row r="3308" spans="1:6" x14ac:dyDescent="0.25">
      <c r="A3308" t="s">
        <v>16</v>
      </c>
      <c r="B3308" t="s">
        <v>17</v>
      </c>
      <c r="C3308" t="s">
        <v>8</v>
      </c>
      <c r="D3308">
        <v>4548</v>
      </c>
      <c r="E3308">
        <v>2019</v>
      </c>
      <c r="F3308" t="s">
        <v>68</v>
      </c>
    </row>
    <row r="3309" spans="1:6" x14ac:dyDescent="0.25">
      <c r="A3309" t="s">
        <v>18</v>
      </c>
      <c r="B3309" t="s">
        <v>19</v>
      </c>
      <c r="C3309" t="s">
        <v>8</v>
      </c>
      <c r="D3309">
        <v>6673</v>
      </c>
      <c r="E3309">
        <v>2019</v>
      </c>
      <c r="F3309" t="s">
        <v>68</v>
      </c>
    </row>
    <row r="3310" spans="1:6" x14ac:dyDescent="0.25">
      <c r="A3310" t="s">
        <v>20</v>
      </c>
      <c r="B3310" t="s">
        <v>21</v>
      </c>
      <c r="C3310" t="s">
        <v>8</v>
      </c>
      <c r="D3310">
        <v>5140</v>
      </c>
      <c r="E3310">
        <v>2019</v>
      </c>
      <c r="F3310" t="s">
        <v>68</v>
      </c>
    </row>
    <row r="3311" spans="1:6" x14ac:dyDescent="0.25">
      <c r="A3311" t="s">
        <v>22</v>
      </c>
      <c r="B3311" t="s">
        <v>23</v>
      </c>
      <c r="C3311" t="s">
        <v>8</v>
      </c>
      <c r="D3311">
        <v>29459</v>
      </c>
      <c r="E3311">
        <v>2019</v>
      </c>
      <c r="F3311" t="s">
        <v>68</v>
      </c>
    </row>
    <row r="3312" spans="1:6" x14ac:dyDescent="0.25">
      <c r="A3312" t="s">
        <v>24</v>
      </c>
      <c r="B3312" t="s">
        <v>25</v>
      </c>
      <c r="C3312" t="s">
        <v>8</v>
      </c>
      <c r="D3312">
        <v>25948</v>
      </c>
      <c r="E3312">
        <v>2019</v>
      </c>
      <c r="F3312" t="s">
        <v>68</v>
      </c>
    </row>
    <row r="3313" spans="1:6" x14ac:dyDescent="0.25">
      <c r="A3313" t="s">
        <v>26</v>
      </c>
      <c r="B3313" t="s">
        <v>27</v>
      </c>
      <c r="C3313" t="s">
        <v>8</v>
      </c>
      <c r="D3313">
        <v>8049</v>
      </c>
      <c r="E3313">
        <v>2019</v>
      </c>
      <c r="F3313" t="s">
        <v>68</v>
      </c>
    </row>
    <row r="3314" spans="1:6" x14ac:dyDescent="0.25">
      <c r="A3314" t="s">
        <v>28</v>
      </c>
      <c r="B3314" t="s">
        <v>29</v>
      </c>
      <c r="C3314" t="s">
        <v>8</v>
      </c>
      <c r="E3314">
        <v>2019</v>
      </c>
      <c r="F3314" t="s">
        <v>68</v>
      </c>
    </row>
    <row r="3315" spans="1:6" x14ac:dyDescent="0.25">
      <c r="A3315" t="s">
        <v>30</v>
      </c>
      <c r="B3315" t="s">
        <v>31</v>
      </c>
      <c r="C3315" t="s">
        <v>8</v>
      </c>
      <c r="D3315">
        <v>28315</v>
      </c>
      <c r="E3315">
        <v>2019</v>
      </c>
      <c r="F3315" t="s">
        <v>68</v>
      </c>
    </row>
    <row r="3316" spans="1:6" x14ac:dyDescent="0.25">
      <c r="A3316" t="s">
        <v>32</v>
      </c>
      <c r="B3316" t="s">
        <v>33</v>
      </c>
      <c r="C3316" t="s">
        <v>8</v>
      </c>
      <c r="D3316">
        <v>13914</v>
      </c>
      <c r="E3316">
        <v>2019</v>
      </c>
      <c r="F3316" t="s">
        <v>68</v>
      </c>
    </row>
    <row r="3317" spans="1:6" x14ac:dyDescent="0.25">
      <c r="A3317" t="s">
        <v>34</v>
      </c>
      <c r="B3317" t="s">
        <v>35</v>
      </c>
      <c r="C3317" t="s">
        <v>8</v>
      </c>
      <c r="D3317">
        <v>28173</v>
      </c>
      <c r="E3317">
        <v>2019</v>
      </c>
      <c r="F3317" t="s">
        <v>68</v>
      </c>
    </row>
    <row r="3318" spans="1:6" x14ac:dyDescent="0.25">
      <c r="A3318" t="s">
        <v>36</v>
      </c>
      <c r="B3318" t="s">
        <v>37</v>
      </c>
      <c r="C3318" t="s">
        <v>8</v>
      </c>
      <c r="D3318">
        <v>20455</v>
      </c>
      <c r="E3318">
        <v>2019</v>
      </c>
      <c r="F3318" t="s">
        <v>68</v>
      </c>
    </row>
    <row r="3319" spans="1:6" x14ac:dyDescent="0.25">
      <c r="A3319" t="s">
        <v>38</v>
      </c>
      <c r="B3319" t="s">
        <v>39</v>
      </c>
      <c r="C3319" t="s">
        <v>8</v>
      </c>
      <c r="D3319">
        <v>7855</v>
      </c>
      <c r="E3319">
        <v>2019</v>
      </c>
      <c r="F3319" t="s">
        <v>68</v>
      </c>
    </row>
    <row r="3320" spans="1:6" x14ac:dyDescent="0.25">
      <c r="A3320" t="s">
        <v>40</v>
      </c>
      <c r="B3320" t="s">
        <v>41</v>
      </c>
      <c r="C3320" t="s">
        <v>8</v>
      </c>
      <c r="D3320">
        <v>33199</v>
      </c>
      <c r="E3320">
        <v>2019</v>
      </c>
      <c r="F3320" t="s">
        <v>68</v>
      </c>
    </row>
    <row r="3321" spans="1:6" x14ac:dyDescent="0.25">
      <c r="A3321" t="s">
        <v>42</v>
      </c>
      <c r="B3321" t="s">
        <v>43</v>
      </c>
      <c r="C3321" t="s">
        <v>8</v>
      </c>
      <c r="D3321">
        <v>1777</v>
      </c>
      <c r="E3321">
        <v>2019</v>
      </c>
      <c r="F3321" t="s">
        <v>68</v>
      </c>
    </row>
    <row r="3322" spans="1:6" x14ac:dyDescent="0.25">
      <c r="A3322" t="s">
        <v>44</v>
      </c>
      <c r="B3322" t="s">
        <v>45</v>
      </c>
      <c r="C3322" t="s">
        <v>8</v>
      </c>
      <c r="D3322">
        <v>9217</v>
      </c>
      <c r="E3322">
        <v>2019</v>
      </c>
      <c r="F3322" t="s">
        <v>68</v>
      </c>
    </row>
    <row r="3323" spans="1:6" x14ac:dyDescent="0.25">
      <c r="A3323" t="s">
        <v>46</v>
      </c>
      <c r="B3323" t="s">
        <v>47</v>
      </c>
      <c r="C3323" t="s">
        <v>8</v>
      </c>
      <c r="D3323">
        <v>11341</v>
      </c>
      <c r="E3323">
        <v>2019</v>
      </c>
      <c r="F3323" t="s">
        <v>68</v>
      </c>
    </row>
    <row r="3324" spans="1:6" x14ac:dyDescent="0.25">
      <c r="A3324" t="s">
        <v>48</v>
      </c>
      <c r="B3324" t="s">
        <v>49</v>
      </c>
      <c r="C3324" t="s">
        <v>8</v>
      </c>
      <c r="D3324">
        <v>1538</v>
      </c>
      <c r="E3324">
        <v>2019</v>
      </c>
      <c r="F3324" t="s">
        <v>68</v>
      </c>
    </row>
    <row r="3325" spans="1:6" x14ac:dyDescent="0.25">
      <c r="A3325" t="s">
        <v>50</v>
      </c>
      <c r="B3325" t="s">
        <v>51</v>
      </c>
      <c r="C3325" t="s">
        <v>8</v>
      </c>
      <c r="D3325">
        <v>929</v>
      </c>
      <c r="E3325">
        <v>2019</v>
      </c>
      <c r="F3325" t="s">
        <v>68</v>
      </c>
    </row>
    <row r="3326" spans="1:6" x14ac:dyDescent="0.25">
      <c r="A3326" t="s">
        <v>52</v>
      </c>
      <c r="B3326" t="s">
        <v>53</v>
      </c>
      <c r="C3326" t="s">
        <v>8</v>
      </c>
      <c r="D3326">
        <v>11033</v>
      </c>
      <c r="E3326">
        <v>2019</v>
      </c>
      <c r="F3326" t="s">
        <v>68</v>
      </c>
    </row>
    <row r="3327" spans="1:6" x14ac:dyDescent="0.25">
      <c r="A3327" t="s">
        <v>54</v>
      </c>
      <c r="B3327" t="s">
        <v>55</v>
      </c>
      <c r="C3327" t="s">
        <v>8</v>
      </c>
      <c r="D3327">
        <v>1350</v>
      </c>
      <c r="E3327">
        <v>2019</v>
      </c>
      <c r="F3327" t="s">
        <v>68</v>
      </c>
    </row>
    <row r="3328" spans="1:6" x14ac:dyDescent="0.25">
      <c r="A3328" t="s">
        <v>56</v>
      </c>
      <c r="B3328" t="s">
        <v>57</v>
      </c>
      <c r="C3328" t="s">
        <v>8</v>
      </c>
      <c r="D3328">
        <v>29003</v>
      </c>
      <c r="E3328">
        <v>2019</v>
      </c>
      <c r="F3328" t="s">
        <v>68</v>
      </c>
    </row>
    <row r="3329" spans="1:6" x14ac:dyDescent="0.25">
      <c r="A3329" t="s">
        <v>58</v>
      </c>
      <c r="B3329" t="s">
        <v>59</v>
      </c>
      <c r="C3329" t="s">
        <v>8</v>
      </c>
      <c r="D3329">
        <v>17925</v>
      </c>
      <c r="E3329">
        <v>2019</v>
      </c>
      <c r="F3329" t="s">
        <v>68</v>
      </c>
    </row>
    <row r="3330" spans="1:6" x14ac:dyDescent="0.25">
      <c r="A3330" t="s">
        <v>6</v>
      </c>
      <c r="B3330" t="s">
        <v>7</v>
      </c>
      <c r="C3330" t="s">
        <v>60</v>
      </c>
      <c r="D3330">
        <v>600663</v>
      </c>
      <c r="E3330">
        <v>2019</v>
      </c>
      <c r="F3330" t="s">
        <v>68</v>
      </c>
    </row>
    <row r="3331" spans="1:6" x14ac:dyDescent="0.25">
      <c r="A3331" t="s">
        <v>10</v>
      </c>
      <c r="B3331" t="s">
        <v>11</v>
      </c>
      <c r="C3331" t="s">
        <v>60</v>
      </c>
      <c r="D3331">
        <v>142268</v>
      </c>
      <c r="E3331">
        <v>2019</v>
      </c>
      <c r="F3331" t="s">
        <v>68</v>
      </c>
    </row>
    <row r="3332" spans="1:6" x14ac:dyDescent="0.25">
      <c r="A3332" t="s">
        <v>12</v>
      </c>
      <c r="B3332" t="s">
        <v>13</v>
      </c>
      <c r="C3332" t="s">
        <v>60</v>
      </c>
      <c r="D3332">
        <v>11366</v>
      </c>
      <c r="E3332">
        <v>2019</v>
      </c>
      <c r="F3332" t="s">
        <v>68</v>
      </c>
    </row>
    <row r="3333" spans="1:6" x14ac:dyDescent="0.25">
      <c r="A3333" t="s">
        <v>14</v>
      </c>
      <c r="B3333" t="s">
        <v>15</v>
      </c>
      <c r="C3333" t="s">
        <v>60</v>
      </c>
      <c r="E3333">
        <v>2019</v>
      </c>
      <c r="F3333" t="s">
        <v>68</v>
      </c>
    </row>
    <row r="3334" spans="1:6" x14ac:dyDescent="0.25">
      <c r="A3334" t="s">
        <v>16</v>
      </c>
      <c r="B3334" t="s">
        <v>17</v>
      </c>
      <c r="C3334" t="s">
        <v>60</v>
      </c>
      <c r="D3334">
        <v>26461</v>
      </c>
      <c r="E3334">
        <v>2019</v>
      </c>
      <c r="F3334" t="s">
        <v>68</v>
      </c>
    </row>
    <row r="3335" spans="1:6" x14ac:dyDescent="0.25">
      <c r="A3335" t="s">
        <v>18</v>
      </c>
      <c r="B3335" t="s">
        <v>19</v>
      </c>
      <c r="C3335" t="s">
        <v>60</v>
      </c>
      <c r="D3335">
        <v>65878</v>
      </c>
      <c r="E3335">
        <v>2019</v>
      </c>
      <c r="F3335" t="s">
        <v>68</v>
      </c>
    </row>
    <row r="3336" spans="1:6" x14ac:dyDescent="0.25">
      <c r="A3336" t="s">
        <v>20</v>
      </c>
      <c r="B3336" t="s">
        <v>21</v>
      </c>
      <c r="C3336" t="s">
        <v>60</v>
      </c>
      <c r="D3336">
        <v>14677</v>
      </c>
      <c r="E3336">
        <v>2019</v>
      </c>
      <c r="F3336" t="s">
        <v>68</v>
      </c>
    </row>
    <row r="3337" spans="1:6" x14ac:dyDescent="0.25">
      <c r="A3337" t="s">
        <v>22</v>
      </c>
      <c r="B3337" t="s">
        <v>23</v>
      </c>
      <c r="C3337" t="s">
        <v>60</v>
      </c>
      <c r="D3337">
        <v>4095</v>
      </c>
      <c r="E3337">
        <v>2019</v>
      </c>
      <c r="F3337" t="s">
        <v>68</v>
      </c>
    </row>
    <row r="3338" spans="1:6" x14ac:dyDescent="0.25">
      <c r="A3338" t="s">
        <v>24</v>
      </c>
      <c r="B3338" t="s">
        <v>25</v>
      </c>
      <c r="C3338" t="s">
        <v>60</v>
      </c>
      <c r="D3338">
        <v>15663</v>
      </c>
      <c r="E3338">
        <v>2019</v>
      </c>
      <c r="F3338" t="s">
        <v>68</v>
      </c>
    </row>
    <row r="3339" spans="1:6" x14ac:dyDescent="0.25">
      <c r="A3339" t="s">
        <v>26</v>
      </c>
      <c r="B3339" t="s">
        <v>27</v>
      </c>
      <c r="C3339" t="s">
        <v>60</v>
      </c>
      <c r="D3339">
        <v>17443</v>
      </c>
      <c r="E3339">
        <v>2019</v>
      </c>
      <c r="F3339" t="s">
        <v>68</v>
      </c>
    </row>
    <row r="3340" spans="1:6" x14ac:dyDescent="0.25">
      <c r="A3340" t="s">
        <v>28</v>
      </c>
      <c r="B3340" t="s">
        <v>29</v>
      </c>
      <c r="C3340" t="s">
        <v>60</v>
      </c>
      <c r="D3340">
        <v>3787</v>
      </c>
      <c r="E3340">
        <v>2019</v>
      </c>
      <c r="F3340" t="s">
        <v>68</v>
      </c>
    </row>
    <row r="3341" spans="1:6" x14ac:dyDescent="0.25">
      <c r="A3341" t="s">
        <v>30</v>
      </c>
      <c r="B3341" t="s">
        <v>31</v>
      </c>
      <c r="C3341" t="s">
        <v>60</v>
      </c>
      <c r="D3341">
        <v>49077</v>
      </c>
      <c r="E3341">
        <v>2019</v>
      </c>
      <c r="F3341" t="s">
        <v>68</v>
      </c>
    </row>
    <row r="3342" spans="1:6" x14ac:dyDescent="0.25">
      <c r="A3342" t="s">
        <v>32</v>
      </c>
      <c r="B3342" t="s">
        <v>33</v>
      </c>
      <c r="C3342" t="s">
        <v>60</v>
      </c>
      <c r="D3342">
        <v>23393</v>
      </c>
      <c r="E3342">
        <v>2019</v>
      </c>
      <c r="F3342" t="s">
        <v>68</v>
      </c>
    </row>
    <row r="3343" spans="1:6" x14ac:dyDescent="0.25">
      <c r="A3343" t="s">
        <v>34</v>
      </c>
      <c r="B3343" t="s">
        <v>35</v>
      </c>
      <c r="C3343" t="s">
        <v>60</v>
      </c>
      <c r="D3343">
        <v>46763</v>
      </c>
      <c r="E3343">
        <v>2019</v>
      </c>
      <c r="F3343" t="s">
        <v>68</v>
      </c>
    </row>
    <row r="3344" spans="1:6" x14ac:dyDescent="0.25">
      <c r="A3344" t="s">
        <v>36</v>
      </c>
      <c r="B3344" t="s">
        <v>37</v>
      </c>
      <c r="C3344" t="s">
        <v>60</v>
      </c>
      <c r="D3344">
        <v>31566</v>
      </c>
      <c r="E3344">
        <v>2019</v>
      </c>
      <c r="F3344" t="s">
        <v>68</v>
      </c>
    </row>
    <row r="3345" spans="1:6" x14ac:dyDescent="0.25">
      <c r="A3345" t="s">
        <v>38</v>
      </c>
      <c r="B3345" t="s">
        <v>39</v>
      </c>
      <c r="C3345" t="s">
        <v>60</v>
      </c>
      <c r="D3345">
        <v>12322</v>
      </c>
      <c r="E3345">
        <v>2019</v>
      </c>
      <c r="F3345" t="s">
        <v>68</v>
      </c>
    </row>
    <row r="3346" spans="1:6" x14ac:dyDescent="0.25">
      <c r="A3346" t="s">
        <v>40</v>
      </c>
      <c r="B3346" t="s">
        <v>41</v>
      </c>
      <c r="C3346" t="s">
        <v>60</v>
      </c>
      <c r="D3346">
        <v>29813</v>
      </c>
      <c r="E3346">
        <v>2019</v>
      </c>
      <c r="F3346" t="s">
        <v>68</v>
      </c>
    </row>
    <row r="3347" spans="1:6" x14ac:dyDescent="0.25">
      <c r="A3347" t="s">
        <v>42</v>
      </c>
      <c r="B3347" t="s">
        <v>43</v>
      </c>
      <c r="C3347" t="s">
        <v>60</v>
      </c>
      <c r="E3347">
        <v>2019</v>
      </c>
      <c r="F3347" t="s">
        <v>68</v>
      </c>
    </row>
    <row r="3348" spans="1:6" x14ac:dyDescent="0.25">
      <c r="A3348" t="s">
        <v>44</v>
      </c>
      <c r="B3348" t="s">
        <v>45</v>
      </c>
      <c r="C3348" t="s">
        <v>60</v>
      </c>
      <c r="D3348">
        <v>17641</v>
      </c>
      <c r="E3348">
        <v>2019</v>
      </c>
      <c r="F3348" t="s">
        <v>68</v>
      </c>
    </row>
    <row r="3349" spans="1:6" x14ac:dyDescent="0.25">
      <c r="A3349" t="s">
        <v>46</v>
      </c>
      <c r="B3349" t="s">
        <v>47</v>
      </c>
      <c r="C3349" t="s">
        <v>60</v>
      </c>
      <c r="D3349">
        <v>15241</v>
      </c>
      <c r="E3349">
        <v>2019</v>
      </c>
      <c r="F3349" t="s">
        <v>68</v>
      </c>
    </row>
    <row r="3350" spans="1:6" x14ac:dyDescent="0.25">
      <c r="A3350" t="s">
        <v>48</v>
      </c>
      <c r="B3350" t="s">
        <v>49</v>
      </c>
      <c r="C3350" t="s">
        <v>60</v>
      </c>
      <c r="D3350">
        <v>12236</v>
      </c>
      <c r="E3350">
        <v>2019</v>
      </c>
      <c r="F3350" t="s">
        <v>68</v>
      </c>
    </row>
    <row r="3351" spans="1:6" x14ac:dyDescent="0.25">
      <c r="A3351" t="s">
        <v>50</v>
      </c>
      <c r="B3351" t="s">
        <v>51</v>
      </c>
      <c r="C3351" t="s">
        <v>60</v>
      </c>
      <c r="D3351">
        <v>5644</v>
      </c>
      <c r="E3351">
        <v>2019</v>
      </c>
      <c r="F3351" t="s">
        <v>68</v>
      </c>
    </row>
    <row r="3352" spans="1:6" x14ac:dyDescent="0.25">
      <c r="A3352" t="s">
        <v>52</v>
      </c>
      <c r="B3352" t="s">
        <v>53</v>
      </c>
      <c r="C3352" t="s">
        <v>60</v>
      </c>
      <c r="D3352">
        <v>18286</v>
      </c>
      <c r="E3352">
        <v>2019</v>
      </c>
      <c r="F3352" t="s">
        <v>68</v>
      </c>
    </row>
    <row r="3353" spans="1:6" x14ac:dyDescent="0.25">
      <c r="A3353" t="s">
        <v>54</v>
      </c>
      <c r="B3353" t="s">
        <v>55</v>
      </c>
      <c r="C3353" t="s">
        <v>60</v>
      </c>
      <c r="D3353">
        <v>37043</v>
      </c>
      <c r="E3353">
        <v>2019</v>
      </c>
      <c r="F3353" t="s">
        <v>68</v>
      </c>
    </row>
    <row r="3354" spans="1:6" x14ac:dyDescent="0.25">
      <c r="A3354" t="s">
        <v>56</v>
      </c>
      <c r="B3354" t="s">
        <v>57</v>
      </c>
      <c r="C3354" t="s">
        <v>60</v>
      </c>
      <c r="E3354">
        <v>2019</v>
      </c>
      <c r="F3354" t="s">
        <v>68</v>
      </c>
    </row>
    <row r="3355" spans="1:6" x14ac:dyDescent="0.25">
      <c r="A3355" t="s">
        <v>58</v>
      </c>
      <c r="B3355" t="s">
        <v>59</v>
      </c>
      <c r="C3355" t="s">
        <v>60</v>
      </c>
      <c r="E3355">
        <v>2019</v>
      </c>
      <c r="F3355" t="s">
        <v>68</v>
      </c>
    </row>
    <row r="3356" spans="1:6" x14ac:dyDescent="0.25">
      <c r="A3356" t="s">
        <v>6</v>
      </c>
      <c r="B3356" t="s">
        <v>7</v>
      </c>
      <c r="C3356" t="s">
        <v>61</v>
      </c>
      <c r="D3356">
        <v>241097</v>
      </c>
      <c r="E3356">
        <v>2019</v>
      </c>
      <c r="F3356" t="s">
        <v>68</v>
      </c>
    </row>
    <row r="3357" spans="1:6" x14ac:dyDescent="0.25">
      <c r="A3357" t="s">
        <v>10</v>
      </c>
      <c r="B3357" t="s">
        <v>11</v>
      </c>
      <c r="C3357" t="s">
        <v>61</v>
      </c>
      <c r="D3357">
        <v>112738</v>
      </c>
      <c r="E3357">
        <v>2019</v>
      </c>
      <c r="F3357" t="s">
        <v>68</v>
      </c>
    </row>
    <row r="3358" spans="1:6" x14ac:dyDescent="0.25">
      <c r="A3358" t="s">
        <v>12</v>
      </c>
      <c r="B3358" t="s">
        <v>13</v>
      </c>
      <c r="C3358" t="s">
        <v>61</v>
      </c>
      <c r="D3358">
        <v>7352</v>
      </c>
      <c r="E3358">
        <v>2019</v>
      </c>
      <c r="F3358" t="s">
        <v>68</v>
      </c>
    </row>
    <row r="3359" spans="1:6" x14ac:dyDescent="0.25">
      <c r="A3359" t="s">
        <v>14</v>
      </c>
      <c r="B3359" t="s">
        <v>15</v>
      </c>
      <c r="C3359" t="s">
        <v>61</v>
      </c>
      <c r="D3359">
        <v>46</v>
      </c>
      <c r="E3359">
        <v>2019</v>
      </c>
      <c r="F3359" t="s">
        <v>68</v>
      </c>
    </row>
    <row r="3360" spans="1:6" x14ac:dyDescent="0.25">
      <c r="A3360" t="s">
        <v>16</v>
      </c>
      <c r="B3360" t="s">
        <v>17</v>
      </c>
      <c r="C3360" t="s">
        <v>61</v>
      </c>
      <c r="D3360">
        <v>7545</v>
      </c>
      <c r="E3360">
        <v>2019</v>
      </c>
      <c r="F3360" t="s">
        <v>68</v>
      </c>
    </row>
    <row r="3361" spans="1:6" x14ac:dyDescent="0.25">
      <c r="A3361" t="s">
        <v>18</v>
      </c>
      <c r="B3361" t="s">
        <v>19</v>
      </c>
      <c r="C3361" t="s">
        <v>61</v>
      </c>
      <c r="D3361">
        <v>8090</v>
      </c>
      <c r="E3361">
        <v>2019</v>
      </c>
      <c r="F3361" t="s">
        <v>68</v>
      </c>
    </row>
    <row r="3362" spans="1:6" x14ac:dyDescent="0.25">
      <c r="A3362" t="s">
        <v>20</v>
      </c>
      <c r="B3362" t="s">
        <v>21</v>
      </c>
      <c r="C3362" t="s">
        <v>61</v>
      </c>
      <c r="D3362">
        <v>3427</v>
      </c>
      <c r="E3362">
        <v>2019</v>
      </c>
      <c r="F3362" t="s">
        <v>68</v>
      </c>
    </row>
    <row r="3363" spans="1:6" x14ac:dyDescent="0.25">
      <c r="A3363" t="s">
        <v>22</v>
      </c>
      <c r="B3363" t="s">
        <v>23</v>
      </c>
      <c r="C3363" t="s">
        <v>61</v>
      </c>
      <c r="D3363">
        <v>4989</v>
      </c>
      <c r="E3363">
        <v>2019</v>
      </c>
      <c r="F3363" t="s">
        <v>68</v>
      </c>
    </row>
    <row r="3364" spans="1:6" x14ac:dyDescent="0.25">
      <c r="A3364" t="s">
        <v>24</v>
      </c>
      <c r="B3364" t="s">
        <v>25</v>
      </c>
      <c r="C3364" t="s">
        <v>61</v>
      </c>
      <c r="D3364">
        <v>8840</v>
      </c>
      <c r="E3364">
        <v>2019</v>
      </c>
      <c r="F3364" t="s">
        <v>68</v>
      </c>
    </row>
    <row r="3365" spans="1:6" x14ac:dyDescent="0.25">
      <c r="A3365" t="s">
        <v>26</v>
      </c>
      <c r="B3365" t="s">
        <v>27</v>
      </c>
      <c r="C3365" t="s">
        <v>61</v>
      </c>
      <c r="D3365">
        <v>5110</v>
      </c>
      <c r="E3365">
        <v>2019</v>
      </c>
      <c r="F3365" t="s">
        <v>68</v>
      </c>
    </row>
    <row r="3366" spans="1:6" x14ac:dyDescent="0.25">
      <c r="A3366" t="s">
        <v>28</v>
      </c>
      <c r="B3366" t="s">
        <v>29</v>
      </c>
      <c r="C3366" t="s">
        <v>61</v>
      </c>
      <c r="D3366">
        <v>1811</v>
      </c>
      <c r="E3366">
        <v>2019</v>
      </c>
      <c r="F3366" t="s">
        <v>68</v>
      </c>
    </row>
    <row r="3367" spans="1:6" x14ac:dyDescent="0.25">
      <c r="A3367" t="s">
        <v>30</v>
      </c>
      <c r="B3367" t="s">
        <v>31</v>
      </c>
      <c r="C3367" t="s">
        <v>61</v>
      </c>
      <c r="D3367">
        <v>9271</v>
      </c>
      <c r="E3367">
        <v>2019</v>
      </c>
      <c r="F3367" t="s">
        <v>68</v>
      </c>
    </row>
    <row r="3368" spans="1:6" x14ac:dyDescent="0.25">
      <c r="A3368" t="s">
        <v>32</v>
      </c>
      <c r="B3368" t="s">
        <v>33</v>
      </c>
      <c r="C3368" t="s">
        <v>61</v>
      </c>
      <c r="D3368">
        <v>7479</v>
      </c>
      <c r="E3368">
        <v>2019</v>
      </c>
      <c r="F3368" t="s">
        <v>68</v>
      </c>
    </row>
    <row r="3369" spans="1:6" x14ac:dyDescent="0.25">
      <c r="A3369" t="s">
        <v>34</v>
      </c>
      <c r="B3369" t="s">
        <v>35</v>
      </c>
      <c r="C3369" t="s">
        <v>61</v>
      </c>
      <c r="D3369">
        <v>16732</v>
      </c>
      <c r="E3369">
        <v>2019</v>
      </c>
      <c r="F3369" t="s">
        <v>68</v>
      </c>
    </row>
    <row r="3370" spans="1:6" x14ac:dyDescent="0.25">
      <c r="A3370" t="s">
        <v>36</v>
      </c>
      <c r="B3370" t="s">
        <v>37</v>
      </c>
      <c r="C3370" t="s">
        <v>61</v>
      </c>
      <c r="D3370">
        <v>9531</v>
      </c>
      <c r="E3370">
        <v>2019</v>
      </c>
      <c r="F3370" t="s">
        <v>68</v>
      </c>
    </row>
    <row r="3371" spans="1:6" x14ac:dyDescent="0.25">
      <c r="A3371" t="s">
        <v>38</v>
      </c>
      <c r="B3371" t="s">
        <v>39</v>
      </c>
      <c r="C3371" t="s">
        <v>61</v>
      </c>
      <c r="D3371">
        <v>5464</v>
      </c>
      <c r="E3371">
        <v>2019</v>
      </c>
      <c r="F3371" t="s">
        <v>68</v>
      </c>
    </row>
    <row r="3372" spans="1:6" x14ac:dyDescent="0.25">
      <c r="A3372" t="s">
        <v>40</v>
      </c>
      <c r="B3372" t="s">
        <v>41</v>
      </c>
      <c r="C3372" t="s">
        <v>61</v>
      </c>
      <c r="D3372">
        <v>8797</v>
      </c>
      <c r="E3372">
        <v>2019</v>
      </c>
      <c r="F3372" t="s">
        <v>68</v>
      </c>
    </row>
    <row r="3373" spans="1:6" x14ac:dyDescent="0.25">
      <c r="A3373" t="s">
        <v>42</v>
      </c>
      <c r="B3373" t="s">
        <v>43</v>
      </c>
      <c r="C3373" t="s">
        <v>61</v>
      </c>
      <c r="D3373">
        <v>625</v>
      </c>
      <c r="E3373">
        <v>2019</v>
      </c>
      <c r="F3373" t="s">
        <v>68</v>
      </c>
    </row>
    <row r="3374" spans="1:6" x14ac:dyDescent="0.25">
      <c r="A3374" t="s">
        <v>44</v>
      </c>
      <c r="B3374" t="s">
        <v>45</v>
      </c>
      <c r="C3374" t="s">
        <v>61</v>
      </c>
      <c r="D3374">
        <v>6751</v>
      </c>
      <c r="E3374">
        <v>2019</v>
      </c>
      <c r="F3374" t="s">
        <v>68</v>
      </c>
    </row>
    <row r="3375" spans="1:6" x14ac:dyDescent="0.25">
      <c r="A3375" t="s">
        <v>46</v>
      </c>
      <c r="B3375" t="s">
        <v>47</v>
      </c>
      <c r="C3375" t="s">
        <v>61</v>
      </c>
      <c r="D3375">
        <v>1275</v>
      </c>
      <c r="E3375">
        <v>2019</v>
      </c>
      <c r="F3375" t="s">
        <v>68</v>
      </c>
    </row>
    <row r="3376" spans="1:6" x14ac:dyDescent="0.25">
      <c r="A3376" t="s">
        <v>48</v>
      </c>
      <c r="B3376" t="s">
        <v>49</v>
      </c>
      <c r="C3376" t="s">
        <v>61</v>
      </c>
      <c r="D3376">
        <v>6670</v>
      </c>
      <c r="E3376">
        <v>2019</v>
      </c>
      <c r="F3376" t="s">
        <v>68</v>
      </c>
    </row>
    <row r="3377" spans="1:6" x14ac:dyDescent="0.25">
      <c r="A3377" t="s">
        <v>50</v>
      </c>
      <c r="B3377" t="s">
        <v>51</v>
      </c>
      <c r="C3377" t="s">
        <v>61</v>
      </c>
      <c r="D3377">
        <v>1402</v>
      </c>
      <c r="E3377">
        <v>2019</v>
      </c>
      <c r="F3377" t="s">
        <v>68</v>
      </c>
    </row>
    <row r="3378" spans="1:6" x14ac:dyDescent="0.25">
      <c r="A3378" t="s">
        <v>52</v>
      </c>
      <c r="B3378" t="s">
        <v>53</v>
      </c>
      <c r="C3378" t="s">
        <v>61</v>
      </c>
      <c r="D3378">
        <v>4955</v>
      </c>
      <c r="E3378">
        <v>2019</v>
      </c>
      <c r="F3378" t="s">
        <v>68</v>
      </c>
    </row>
    <row r="3379" spans="1:6" x14ac:dyDescent="0.25">
      <c r="A3379" t="s">
        <v>54</v>
      </c>
      <c r="B3379" t="s">
        <v>55</v>
      </c>
      <c r="C3379" t="s">
        <v>61</v>
      </c>
      <c r="D3379">
        <v>459</v>
      </c>
      <c r="E3379">
        <v>2019</v>
      </c>
      <c r="F3379" t="s">
        <v>68</v>
      </c>
    </row>
    <row r="3380" spans="1:6" x14ac:dyDescent="0.25">
      <c r="A3380" t="s">
        <v>56</v>
      </c>
      <c r="B3380" t="s">
        <v>57</v>
      </c>
      <c r="C3380" t="s">
        <v>61</v>
      </c>
      <c r="D3380">
        <v>1730</v>
      </c>
      <c r="E3380">
        <v>2019</v>
      </c>
      <c r="F3380" t="s">
        <v>68</v>
      </c>
    </row>
    <row r="3381" spans="1:6" x14ac:dyDescent="0.25">
      <c r="A3381" t="s">
        <v>58</v>
      </c>
      <c r="B3381" t="s">
        <v>59</v>
      </c>
      <c r="C3381" t="s">
        <v>61</v>
      </c>
      <c r="E3381">
        <v>2019</v>
      </c>
      <c r="F3381" t="s">
        <v>68</v>
      </c>
    </row>
    <row r="3382" spans="1:6" x14ac:dyDescent="0.25">
      <c r="A3382" t="s">
        <v>6</v>
      </c>
      <c r="B3382" t="s">
        <v>7</v>
      </c>
      <c r="C3382" t="s">
        <v>65</v>
      </c>
      <c r="D3382">
        <v>4343319</v>
      </c>
      <c r="E3382">
        <v>2019</v>
      </c>
      <c r="F3382" t="s">
        <v>68</v>
      </c>
    </row>
    <row r="3383" spans="1:6" x14ac:dyDescent="0.25">
      <c r="A3383" t="s">
        <v>10</v>
      </c>
      <c r="B3383" t="s">
        <v>11</v>
      </c>
      <c r="C3383" t="s">
        <v>65</v>
      </c>
      <c r="D3383">
        <v>832902</v>
      </c>
      <c r="E3383">
        <v>2019</v>
      </c>
      <c r="F3383" t="s">
        <v>68</v>
      </c>
    </row>
    <row r="3384" spans="1:6" x14ac:dyDescent="0.25">
      <c r="A3384" t="s">
        <v>12</v>
      </c>
      <c r="B3384" t="s">
        <v>13</v>
      </c>
      <c r="C3384" t="s">
        <v>65</v>
      </c>
      <c r="D3384">
        <v>146372</v>
      </c>
      <c r="E3384">
        <v>2019</v>
      </c>
      <c r="F3384" t="s">
        <v>68</v>
      </c>
    </row>
    <row r="3385" spans="1:6" x14ac:dyDescent="0.25">
      <c r="A3385" t="s">
        <v>14</v>
      </c>
      <c r="B3385" t="s">
        <v>15</v>
      </c>
      <c r="C3385" t="s">
        <v>65</v>
      </c>
      <c r="D3385">
        <v>2313</v>
      </c>
      <c r="E3385">
        <v>2019</v>
      </c>
      <c r="F3385" t="s">
        <v>68</v>
      </c>
    </row>
    <row r="3386" spans="1:6" x14ac:dyDescent="0.25">
      <c r="A3386" t="s">
        <v>16</v>
      </c>
      <c r="B3386" t="s">
        <v>17</v>
      </c>
      <c r="C3386" t="s">
        <v>65</v>
      </c>
      <c r="D3386">
        <v>295986</v>
      </c>
      <c r="E3386">
        <v>2019</v>
      </c>
      <c r="F3386" t="s">
        <v>68</v>
      </c>
    </row>
    <row r="3387" spans="1:6" x14ac:dyDescent="0.25">
      <c r="A3387" t="s">
        <v>18</v>
      </c>
      <c r="B3387" t="s">
        <v>19</v>
      </c>
      <c r="C3387" t="s">
        <v>65</v>
      </c>
      <c r="D3387">
        <v>152060</v>
      </c>
      <c r="E3387">
        <v>2019</v>
      </c>
      <c r="F3387" t="s">
        <v>68</v>
      </c>
    </row>
    <row r="3388" spans="1:6" x14ac:dyDescent="0.25">
      <c r="A3388" t="s">
        <v>20</v>
      </c>
      <c r="B3388" t="s">
        <v>21</v>
      </c>
      <c r="C3388" t="s">
        <v>65</v>
      </c>
      <c r="D3388">
        <v>72175</v>
      </c>
      <c r="E3388">
        <v>2019</v>
      </c>
      <c r="F3388" t="s">
        <v>68</v>
      </c>
    </row>
    <row r="3389" spans="1:6" x14ac:dyDescent="0.25">
      <c r="A3389" t="s">
        <v>22</v>
      </c>
      <c r="B3389" t="s">
        <v>23</v>
      </c>
      <c r="C3389" t="s">
        <v>65</v>
      </c>
      <c r="D3389">
        <v>30191</v>
      </c>
      <c r="E3389">
        <v>2019</v>
      </c>
      <c r="F3389" t="s">
        <v>68</v>
      </c>
    </row>
    <row r="3390" spans="1:6" x14ac:dyDescent="0.25">
      <c r="A3390" t="s">
        <v>24</v>
      </c>
      <c r="B3390" t="s">
        <v>25</v>
      </c>
      <c r="C3390" t="s">
        <v>65</v>
      </c>
      <c r="D3390">
        <v>78204</v>
      </c>
      <c r="E3390">
        <v>2019</v>
      </c>
      <c r="F3390" t="s">
        <v>68</v>
      </c>
    </row>
    <row r="3391" spans="1:6" x14ac:dyDescent="0.25">
      <c r="A3391" t="s">
        <v>26</v>
      </c>
      <c r="B3391" t="s">
        <v>27</v>
      </c>
      <c r="C3391" t="s">
        <v>65</v>
      </c>
      <c r="D3391">
        <v>14521</v>
      </c>
      <c r="E3391">
        <v>2019</v>
      </c>
      <c r="F3391" t="s">
        <v>68</v>
      </c>
    </row>
    <row r="3392" spans="1:6" x14ac:dyDescent="0.25">
      <c r="A3392" t="s">
        <v>28</v>
      </c>
      <c r="B3392" t="s">
        <v>29</v>
      </c>
      <c r="C3392" t="s">
        <v>65</v>
      </c>
      <c r="D3392">
        <v>27306</v>
      </c>
      <c r="E3392">
        <v>2019</v>
      </c>
      <c r="F3392" t="s">
        <v>68</v>
      </c>
    </row>
    <row r="3393" spans="1:6" x14ac:dyDescent="0.25">
      <c r="A3393" t="s">
        <v>30</v>
      </c>
      <c r="B3393" t="s">
        <v>31</v>
      </c>
      <c r="C3393" t="s">
        <v>65</v>
      </c>
      <c r="D3393">
        <v>184074</v>
      </c>
      <c r="E3393">
        <v>2019</v>
      </c>
      <c r="F3393" t="s">
        <v>68</v>
      </c>
    </row>
    <row r="3394" spans="1:6" x14ac:dyDescent="0.25">
      <c r="A3394" t="s">
        <v>32</v>
      </c>
      <c r="B3394" t="s">
        <v>33</v>
      </c>
      <c r="C3394" t="s">
        <v>65</v>
      </c>
      <c r="D3394">
        <v>71986</v>
      </c>
      <c r="E3394">
        <v>2019</v>
      </c>
      <c r="F3394" t="s">
        <v>68</v>
      </c>
    </row>
    <row r="3395" spans="1:6" x14ac:dyDescent="0.25">
      <c r="A3395" t="s">
        <v>34</v>
      </c>
      <c r="B3395" t="s">
        <v>35</v>
      </c>
      <c r="C3395" t="s">
        <v>65</v>
      </c>
      <c r="D3395">
        <v>256784</v>
      </c>
      <c r="E3395">
        <v>2019</v>
      </c>
      <c r="F3395" t="s">
        <v>68</v>
      </c>
    </row>
    <row r="3396" spans="1:6" x14ac:dyDescent="0.25">
      <c r="A3396" t="s">
        <v>36</v>
      </c>
      <c r="B3396" t="s">
        <v>37</v>
      </c>
      <c r="C3396" t="s">
        <v>65</v>
      </c>
      <c r="D3396">
        <v>171479</v>
      </c>
      <c r="E3396">
        <v>2019</v>
      </c>
      <c r="F3396" t="s">
        <v>68</v>
      </c>
    </row>
    <row r="3397" spans="1:6" x14ac:dyDescent="0.25">
      <c r="A3397" t="s">
        <v>38</v>
      </c>
      <c r="B3397" t="s">
        <v>39</v>
      </c>
      <c r="C3397" t="s">
        <v>65</v>
      </c>
      <c r="D3397">
        <v>119262</v>
      </c>
      <c r="E3397">
        <v>2019</v>
      </c>
      <c r="F3397" t="s">
        <v>68</v>
      </c>
    </row>
    <row r="3398" spans="1:6" x14ac:dyDescent="0.25">
      <c r="A3398" t="s">
        <v>40</v>
      </c>
      <c r="B3398" t="s">
        <v>41</v>
      </c>
      <c r="C3398" t="s">
        <v>65</v>
      </c>
      <c r="D3398">
        <v>319739</v>
      </c>
      <c r="E3398">
        <v>2019</v>
      </c>
      <c r="F3398" t="s">
        <v>68</v>
      </c>
    </row>
    <row r="3399" spans="1:6" x14ac:dyDescent="0.25">
      <c r="A3399" t="s">
        <v>42</v>
      </c>
      <c r="B3399" t="s">
        <v>43</v>
      </c>
      <c r="C3399" t="s">
        <v>65</v>
      </c>
      <c r="D3399">
        <v>353822</v>
      </c>
      <c r="E3399">
        <v>2019</v>
      </c>
      <c r="F3399" t="s">
        <v>68</v>
      </c>
    </row>
    <row r="3400" spans="1:6" x14ac:dyDescent="0.25">
      <c r="A3400" t="s">
        <v>44</v>
      </c>
      <c r="B3400" t="s">
        <v>45</v>
      </c>
      <c r="C3400" t="s">
        <v>65</v>
      </c>
      <c r="D3400">
        <v>582995</v>
      </c>
      <c r="E3400">
        <v>2019</v>
      </c>
      <c r="F3400" t="s">
        <v>68</v>
      </c>
    </row>
    <row r="3401" spans="1:6" x14ac:dyDescent="0.25">
      <c r="A3401" t="s">
        <v>46</v>
      </c>
      <c r="B3401" t="s">
        <v>47</v>
      </c>
      <c r="C3401" t="s">
        <v>65</v>
      </c>
      <c r="D3401">
        <v>444514</v>
      </c>
      <c r="E3401">
        <v>2019</v>
      </c>
      <c r="F3401" t="s">
        <v>68</v>
      </c>
    </row>
    <row r="3402" spans="1:6" x14ac:dyDescent="0.25">
      <c r="A3402" t="s">
        <v>48</v>
      </c>
      <c r="B3402" t="s">
        <v>49</v>
      </c>
      <c r="C3402" t="s">
        <v>65</v>
      </c>
      <c r="D3402">
        <v>119758</v>
      </c>
      <c r="E3402">
        <v>2019</v>
      </c>
      <c r="F3402" t="s">
        <v>68</v>
      </c>
    </row>
    <row r="3403" spans="1:6" x14ac:dyDescent="0.25">
      <c r="A3403" t="s">
        <v>50</v>
      </c>
      <c r="B3403" t="s">
        <v>51</v>
      </c>
      <c r="C3403" t="s">
        <v>65</v>
      </c>
      <c r="D3403">
        <v>23541</v>
      </c>
      <c r="E3403">
        <v>2019</v>
      </c>
      <c r="F3403" t="s">
        <v>68</v>
      </c>
    </row>
    <row r="3404" spans="1:6" x14ac:dyDescent="0.25">
      <c r="A3404" t="s">
        <v>52</v>
      </c>
      <c r="B3404" t="s">
        <v>53</v>
      </c>
      <c r="C3404" t="s">
        <v>65</v>
      </c>
      <c r="D3404">
        <v>28996</v>
      </c>
      <c r="E3404">
        <v>2019</v>
      </c>
      <c r="F3404" t="s">
        <v>68</v>
      </c>
    </row>
    <row r="3405" spans="1:6" x14ac:dyDescent="0.25">
      <c r="A3405" t="s">
        <v>54</v>
      </c>
      <c r="B3405" t="s">
        <v>55</v>
      </c>
      <c r="C3405" t="s">
        <v>65</v>
      </c>
      <c r="D3405">
        <v>14339</v>
      </c>
      <c r="E3405">
        <v>2019</v>
      </c>
      <c r="F3405" t="s">
        <v>68</v>
      </c>
    </row>
    <row r="3406" spans="1:6" x14ac:dyDescent="0.25">
      <c r="A3406" t="s">
        <v>56</v>
      </c>
      <c r="B3406" t="s">
        <v>57</v>
      </c>
      <c r="C3406" t="s">
        <v>65</v>
      </c>
      <c r="E3406">
        <v>2019</v>
      </c>
      <c r="F3406" t="s">
        <v>68</v>
      </c>
    </row>
    <row r="3407" spans="1:6" x14ac:dyDescent="0.25">
      <c r="A3407" t="s">
        <v>58</v>
      </c>
      <c r="B3407" t="s">
        <v>59</v>
      </c>
      <c r="C3407" t="s">
        <v>65</v>
      </c>
      <c r="E3407">
        <v>2019</v>
      </c>
      <c r="F3407" t="s">
        <v>68</v>
      </c>
    </row>
    <row r="3408" spans="1:6" x14ac:dyDescent="0.25">
      <c r="A3408" t="s">
        <v>6</v>
      </c>
      <c r="B3408" t="s">
        <v>7</v>
      </c>
      <c r="C3408" t="s">
        <v>62</v>
      </c>
      <c r="E3408">
        <v>2019</v>
      </c>
      <c r="F3408" t="s">
        <v>68</v>
      </c>
    </row>
    <row r="3409" spans="1:6" x14ac:dyDescent="0.25">
      <c r="A3409" t="s">
        <v>10</v>
      </c>
      <c r="B3409" t="s">
        <v>11</v>
      </c>
      <c r="C3409" t="s">
        <v>62</v>
      </c>
      <c r="E3409">
        <v>2019</v>
      </c>
      <c r="F3409" t="s">
        <v>68</v>
      </c>
    </row>
    <row r="3410" spans="1:6" x14ac:dyDescent="0.25">
      <c r="A3410" t="s">
        <v>12</v>
      </c>
      <c r="B3410" t="s">
        <v>13</v>
      </c>
      <c r="C3410" t="s">
        <v>62</v>
      </c>
      <c r="E3410">
        <v>2019</v>
      </c>
      <c r="F3410" t="s">
        <v>68</v>
      </c>
    </row>
    <row r="3411" spans="1:6" x14ac:dyDescent="0.25">
      <c r="A3411" t="s">
        <v>14</v>
      </c>
      <c r="B3411" t="s">
        <v>15</v>
      </c>
      <c r="C3411" t="s">
        <v>62</v>
      </c>
      <c r="E3411">
        <v>2019</v>
      </c>
      <c r="F3411" t="s">
        <v>68</v>
      </c>
    </row>
    <row r="3412" spans="1:6" x14ac:dyDescent="0.25">
      <c r="A3412" t="s">
        <v>16</v>
      </c>
      <c r="B3412" t="s">
        <v>17</v>
      </c>
      <c r="C3412" t="s">
        <v>62</v>
      </c>
      <c r="E3412">
        <v>2019</v>
      </c>
      <c r="F3412" t="s">
        <v>68</v>
      </c>
    </row>
    <row r="3413" spans="1:6" x14ac:dyDescent="0.25">
      <c r="A3413" t="s">
        <v>18</v>
      </c>
      <c r="B3413" t="s">
        <v>19</v>
      </c>
      <c r="C3413" t="s">
        <v>62</v>
      </c>
      <c r="E3413">
        <v>2019</v>
      </c>
      <c r="F3413" t="s">
        <v>68</v>
      </c>
    </row>
    <row r="3414" spans="1:6" x14ac:dyDescent="0.25">
      <c r="A3414" t="s">
        <v>20</v>
      </c>
      <c r="B3414" t="s">
        <v>21</v>
      </c>
      <c r="C3414" t="s">
        <v>62</v>
      </c>
      <c r="E3414">
        <v>2019</v>
      </c>
      <c r="F3414" t="s">
        <v>68</v>
      </c>
    </row>
    <row r="3415" spans="1:6" x14ac:dyDescent="0.25">
      <c r="A3415" t="s">
        <v>22</v>
      </c>
      <c r="B3415" t="s">
        <v>23</v>
      </c>
      <c r="C3415" t="s">
        <v>62</v>
      </c>
      <c r="E3415">
        <v>2019</v>
      </c>
      <c r="F3415" t="s">
        <v>68</v>
      </c>
    </row>
    <row r="3416" spans="1:6" x14ac:dyDescent="0.25">
      <c r="A3416" t="s">
        <v>24</v>
      </c>
      <c r="B3416" t="s">
        <v>25</v>
      </c>
      <c r="C3416" t="s">
        <v>62</v>
      </c>
      <c r="E3416">
        <v>2019</v>
      </c>
      <c r="F3416" t="s">
        <v>68</v>
      </c>
    </row>
    <row r="3417" spans="1:6" x14ac:dyDescent="0.25">
      <c r="A3417" t="s">
        <v>26</v>
      </c>
      <c r="B3417" t="s">
        <v>27</v>
      </c>
      <c r="C3417" t="s">
        <v>62</v>
      </c>
      <c r="E3417">
        <v>2019</v>
      </c>
      <c r="F3417" t="s">
        <v>68</v>
      </c>
    </row>
    <row r="3418" spans="1:6" x14ac:dyDescent="0.25">
      <c r="A3418" t="s">
        <v>28</v>
      </c>
      <c r="B3418" t="s">
        <v>29</v>
      </c>
      <c r="C3418" t="s">
        <v>62</v>
      </c>
      <c r="E3418">
        <v>2019</v>
      </c>
      <c r="F3418" t="s">
        <v>68</v>
      </c>
    </row>
    <row r="3419" spans="1:6" x14ac:dyDescent="0.25">
      <c r="A3419" t="s">
        <v>30</v>
      </c>
      <c r="B3419" t="s">
        <v>31</v>
      </c>
      <c r="C3419" t="s">
        <v>62</v>
      </c>
      <c r="E3419">
        <v>2019</v>
      </c>
      <c r="F3419" t="s">
        <v>68</v>
      </c>
    </row>
    <row r="3420" spans="1:6" x14ac:dyDescent="0.25">
      <c r="A3420" t="s">
        <v>32</v>
      </c>
      <c r="B3420" t="s">
        <v>33</v>
      </c>
      <c r="C3420" t="s">
        <v>62</v>
      </c>
      <c r="E3420">
        <v>2019</v>
      </c>
      <c r="F3420" t="s">
        <v>68</v>
      </c>
    </row>
    <row r="3421" spans="1:6" x14ac:dyDescent="0.25">
      <c r="A3421" t="s">
        <v>34</v>
      </c>
      <c r="B3421" t="s">
        <v>35</v>
      </c>
      <c r="C3421" t="s">
        <v>62</v>
      </c>
      <c r="E3421">
        <v>2019</v>
      </c>
      <c r="F3421" t="s">
        <v>68</v>
      </c>
    </row>
    <row r="3422" spans="1:6" x14ac:dyDescent="0.25">
      <c r="A3422" t="s">
        <v>36</v>
      </c>
      <c r="B3422" t="s">
        <v>37</v>
      </c>
      <c r="C3422" t="s">
        <v>62</v>
      </c>
      <c r="E3422">
        <v>2019</v>
      </c>
      <c r="F3422" t="s">
        <v>68</v>
      </c>
    </row>
    <row r="3423" spans="1:6" x14ac:dyDescent="0.25">
      <c r="A3423" t="s">
        <v>38</v>
      </c>
      <c r="B3423" t="s">
        <v>39</v>
      </c>
      <c r="C3423" t="s">
        <v>62</v>
      </c>
      <c r="E3423">
        <v>2019</v>
      </c>
      <c r="F3423" t="s">
        <v>68</v>
      </c>
    </row>
    <row r="3424" spans="1:6" x14ac:dyDescent="0.25">
      <c r="A3424" t="s">
        <v>40</v>
      </c>
      <c r="B3424" t="s">
        <v>41</v>
      </c>
      <c r="C3424" t="s">
        <v>62</v>
      </c>
      <c r="E3424">
        <v>2019</v>
      </c>
      <c r="F3424" t="s">
        <v>68</v>
      </c>
    </row>
    <row r="3425" spans="1:6" x14ac:dyDescent="0.25">
      <c r="A3425" t="s">
        <v>42</v>
      </c>
      <c r="B3425" t="s">
        <v>43</v>
      </c>
      <c r="C3425" t="s">
        <v>62</v>
      </c>
      <c r="E3425">
        <v>2019</v>
      </c>
      <c r="F3425" t="s">
        <v>68</v>
      </c>
    </row>
    <row r="3426" spans="1:6" x14ac:dyDescent="0.25">
      <c r="A3426" t="s">
        <v>44</v>
      </c>
      <c r="B3426" t="s">
        <v>45</v>
      </c>
      <c r="C3426" t="s">
        <v>62</v>
      </c>
      <c r="E3426">
        <v>2019</v>
      </c>
      <c r="F3426" t="s">
        <v>68</v>
      </c>
    </row>
    <row r="3427" spans="1:6" x14ac:dyDescent="0.25">
      <c r="A3427" t="s">
        <v>46</v>
      </c>
      <c r="B3427" t="s">
        <v>47</v>
      </c>
      <c r="C3427" t="s">
        <v>62</v>
      </c>
      <c r="E3427">
        <v>2019</v>
      </c>
      <c r="F3427" t="s">
        <v>68</v>
      </c>
    </row>
    <row r="3428" spans="1:6" x14ac:dyDescent="0.25">
      <c r="A3428" t="s">
        <v>48</v>
      </c>
      <c r="B3428" t="s">
        <v>49</v>
      </c>
      <c r="C3428" t="s">
        <v>62</v>
      </c>
      <c r="E3428">
        <v>2019</v>
      </c>
      <c r="F3428" t="s">
        <v>68</v>
      </c>
    </row>
    <row r="3429" spans="1:6" x14ac:dyDescent="0.25">
      <c r="A3429" t="s">
        <v>50</v>
      </c>
      <c r="B3429" t="s">
        <v>51</v>
      </c>
      <c r="C3429" t="s">
        <v>62</v>
      </c>
      <c r="E3429">
        <v>2019</v>
      </c>
      <c r="F3429" t="s">
        <v>68</v>
      </c>
    </row>
    <row r="3430" spans="1:6" x14ac:dyDescent="0.25">
      <c r="A3430" t="s">
        <v>52</v>
      </c>
      <c r="B3430" t="s">
        <v>53</v>
      </c>
      <c r="C3430" t="s">
        <v>62</v>
      </c>
      <c r="E3430">
        <v>2019</v>
      </c>
      <c r="F3430" t="s">
        <v>68</v>
      </c>
    </row>
    <row r="3431" spans="1:6" x14ac:dyDescent="0.25">
      <c r="A3431" t="s">
        <v>54</v>
      </c>
      <c r="B3431" t="s">
        <v>55</v>
      </c>
      <c r="C3431" t="s">
        <v>62</v>
      </c>
      <c r="E3431">
        <v>2019</v>
      </c>
      <c r="F3431" t="s">
        <v>68</v>
      </c>
    </row>
    <row r="3432" spans="1:6" x14ac:dyDescent="0.25">
      <c r="A3432" t="s">
        <v>56</v>
      </c>
      <c r="B3432" t="s">
        <v>57</v>
      </c>
      <c r="C3432" t="s">
        <v>62</v>
      </c>
      <c r="E3432">
        <v>2019</v>
      </c>
      <c r="F3432" t="s">
        <v>68</v>
      </c>
    </row>
    <row r="3433" spans="1:6" x14ac:dyDescent="0.25">
      <c r="A3433" t="s">
        <v>58</v>
      </c>
      <c r="B3433" t="s">
        <v>59</v>
      </c>
      <c r="C3433" t="s">
        <v>62</v>
      </c>
      <c r="E3433">
        <v>2019</v>
      </c>
      <c r="F3433" t="s">
        <v>68</v>
      </c>
    </row>
    <row r="3434" spans="1:6" x14ac:dyDescent="0.25">
      <c r="A3434" t="s">
        <v>6</v>
      </c>
      <c r="B3434" t="s">
        <v>7</v>
      </c>
      <c r="C3434" t="s">
        <v>66</v>
      </c>
      <c r="D3434">
        <v>85923</v>
      </c>
      <c r="E3434">
        <v>2019</v>
      </c>
      <c r="F3434" t="s">
        <v>68</v>
      </c>
    </row>
    <row r="3435" spans="1:6" x14ac:dyDescent="0.25">
      <c r="A3435" t="s">
        <v>10</v>
      </c>
      <c r="B3435" t="s">
        <v>11</v>
      </c>
      <c r="C3435" t="s">
        <v>66</v>
      </c>
      <c r="D3435">
        <v>45433</v>
      </c>
      <c r="E3435">
        <v>2019</v>
      </c>
      <c r="F3435" t="s">
        <v>68</v>
      </c>
    </row>
    <row r="3436" spans="1:6" x14ac:dyDescent="0.25">
      <c r="A3436" t="s">
        <v>12</v>
      </c>
      <c r="B3436" t="s">
        <v>13</v>
      </c>
      <c r="C3436" t="s">
        <v>66</v>
      </c>
      <c r="D3436">
        <v>4256</v>
      </c>
      <c r="E3436">
        <v>2019</v>
      </c>
      <c r="F3436" t="s">
        <v>68</v>
      </c>
    </row>
    <row r="3437" spans="1:6" x14ac:dyDescent="0.25">
      <c r="A3437" t="s">
        <v>14</v>
      </c>
      <c r="B3437" t="s">
        <v>15</v>
      </c>
      <c r="C3437" t="s">
        <v>66</v>
      </c>
      <c r="E3437">
        <v>2019</v>
      </c>
      <c r="F3437" t="s">
        <v>68</v>
      </c>
    </row>
    <row r="3438" spans="1:6" x14ac:dyDescent="0.25">
      <c r="A3438" t="s">
        <v>16</v>
      </c>
      <c r="B3438" t="s">
        <v>17</v>
      </c>
      <c r="C3438" t="s">
        <v>66</v>
      </c>
      <c r="D3438">
        <v>1200</v>
      </c>
      <c r="E3438">
        <v>2019</v>
      </c>
      <c r="F3438" t="s">
        <v>68</v>
      </c>
    </row>
    <row r="3439" spans="1:6" x14ac:dyDescent="0.25">
      <c r="A3439" t="s">
        <v>18</v>
      </c>
      <c r="B3439" t="s">
        <v>19</v>
      </c>
      <c r="C3439" t="s">
        <v>66</v>
      </c>
      <c r="D3439">
        <v>1164</v>
      </c>
      <c r="E3439">
        <v>2019</v>
      </c>
      <c r="F3439" t="s">
        <v>68</v>
      </c>
    </row>
    <row r="3440" spans="1:6" x14ac:dyDescent="0.25">
      <c r="A3440" t="s">
        <v>20</v>
      </c>
      <c r="B3440" t="s">
        <v>21</v>
      </c>
      <c r="C3440" t="s">
        <v>66</v>
      </c>
      <c r="D3440">
        <v>3173</v>
      </c>
      <c r="E3440">
        <v>2019</v>
      </c>
      <c r="F3440" t="s">
        <v>68</v>
      </c>
    </row>
    <row r="3441" spans="1:6" x14ac:dyDescent="0.25">
      <c r="A3441" t="s">
        <v>22</v>
      </c>
      <c r="B3441" t="s">
        <v>23</v>
      </c>
      <c r="C3441" t="s">
        <v>66</v>
      </c>
      <c r="D3441">
        <v>1586</v>
      </c>
      <c r="E3441">
        <v>2019</v>
      </c>
      <c r="F3441" t="s">
        <v>68</v>
      </c>
    </row>
    <row r="3442" spans="1:6" x14ac:dyDescent="0.25">
      <c r="A3442" t="s">
        <v>24</v>
      </c>
      <c r="B3442" t="s">
        <v>25</v>
      </c>
      <c r="C3442" t="s">
        <v>66</v>
      </c>
      <c r="D3442">
        <v>1855</v>
      </c>
      <c r="E3442">
        <v>2019</v>
      </c>
      <c r="F3442" t="s">
        <v>68</v>
      </c>
    </row>
    <row r="3443" spans="1:6" x14ac:dyDescent="0.25">
      <c r="A3443" t="s">
        <v>26</v>
      </c>
      <c r="B3443" t="s">
        <v>27</v>
      </c>
      <c r="C3443" t="s">
        <v>66</v>
      </c>
      <c r="D3443">
        <v>2255</v>
      </c>
      <c r="E3443">
        <v>2019</v>
      </c>
      <c r="F3443" t="s">
        <v>68</v>
      </c>
    </row>
    <row r="3444" spans="1:6" x14ac:dyDescent="0.25">
      <c r="A3444" t="s">
        <v>28</v>
      </c>
      <c r="B3444" t="s">
        <v>29</v>
      </c>
      <c r="C3444" t="s">
        <v>66</v>
      </c>
      <c r="D3444">
        <v>1308</v>
      </c>
      <c r="E3444">
        <v>2019</v>
      </c>
      <c r="F3444" t="s">
        <v>68</v>
      </c>
    </row>
    <row r="3445" spans="1:6" x14ac:dyDescent="0.25">
      <c r="A3445" t="s">
        <v>30</v>
      </c>
      <c r="B3445" t="s">
        <v>31</v>
      </c>
      <c r="C3445" t="s">
        <v>66</v>
      </c>
      <c r="D3445">
        <v>4170</v>
      </c>
      <c r="E3445">
        <v>2019</v>
      </c>
      <c r="F3445" t="s">
        <v>68</v>
      </c>
    </row>
    <row r="3446" spans="1:6" x14ac:dyDescent="0.25">
      <c r="A3446" t="s">
        <v>32</v>
      </c>
      <c r="B3446" t="s">
        <v>33</v>
      </c>
      <c r="C3446" t="s">
        <v>66</v>
      </c>
      <c r="D3446">
        <v>4207</v>
      </c>
      <c r="E3446">
        <v>2019</v>
      </c>
      <c r="F3446" t="s">
        <v>68</v>
      </c>
    </row>
    <row r="3447" spans="1:6" x14ac:dyDescent="0.25">
      <c r="A3447" t="s">
        <v>34</v>
      </c>
      <c r="B3447" t="s">
        <v>35</v>
      </c>
      <c r="C3447" t="s">
        <v>66</v>
      </c>
      <c r="D3447">
        <v>3051</v>
      </c>
      <c r="E3447">
        <v>2019</v>
      </c>
      <c r="F3447" t="s">
        <v>68</v>
      </c>
    </row>
    <row r="3448" spans="1:6" x14ac:dyDescent="0.25">
      <c r="A3448" t="s">
        <v>36</v>
      </c>
      <c r="B3448" t="s">
        <v>37</v>
      </c>
      <c r="C3448" t="s">
        <v>66</v>
      </c>
      <c r="D3448">
        <v>2369</v>
      </c>
      <c r="E3448">
        <v>2019</v>
      </c>
      <c r="F3448" t="s">
        <v>68</v>
      </c>
    </row>
    <row r="3449" spans="1:6" x14ac:dyDescent="0.25">
      <c r="A3449" t="s">
        <v>38</v>
      </c>
      <c r="B3449" t="s">
        <v>39</v>
      </c>
      <c r="C3449" t="s">
        <v>66</v>
      </c>
      <c r="D3449">
        <v>676</v>
      </c>
      <c r="E3449">
        <v>2019</v>
      </c>
      <c r="F3449" t="s">
        <v>68</v>
      </c>
    </row>
    <row r="3450" spans="1:6" x14ac:dyDescent="0.25">
      <c r="A3450" t="s">
        <v>40</v>
      </c>
      <c r="B3450" t="s">
        <v>41</v>
      </c>
      <c r="C3450" t="s">
        <v>66</v>
      </c>
      <c r="D3450">
        <v>2836</v>
      </c>
      <c r="E3450">
        <v>2019</v>
      </c>
      <c r="F3450" t="s">
        <v>68</v>
      </c>
    </row>
    <row r="3451" spans="1:6" x14ac:dyDescent="0.25">
      <c r="A3451" t="s">
        <v>42</v>
      </c>
      <c r="B3451" t="s">
        <v>43</v>
      </c>
      <c r="C3451" t="s">
        <v>66</v>
      </c>
      <c r="D3451">
        <v>79</v>
      </c>
      <c r="E3451">
        <v>2019</v>
      </c>
      <c r="F3451" t="s">
        <v>68</v>
      </c>
    </row>
    <row r="3452" spans="1:6" x14ac:dyDescent="0.25">
      <c r="A3452" t="s">
        <v>44</v>
      </c>
      <c r="B3452" t="s">
        <v>45</v>
      </c>
      <c r="C3452" t="s">
        <v>66</v>
      </c>
      <c r="D3452">
        <v>811</v>
      </c>
      <c r="E3452">
        <v>2019</v>
      </c>
      <c r="F3452" t="s">
        <v>68</v>
      </c>
    </row>
    <row r="3453" spans="1:6" x14ac:dyDescent="0.25">
      <c r="A3453" t="s">
        <v>46</v>
      </c>
      <c r="B3453" t="s">
        <v>47</v>
      </c>
      <c r="C3453" t="s">
        <v>66</v>
      </c>
      <c r="D3453">
        <v>87</v>
      </c>
      <c r="E3453">
        <v>2019</v>
      </c>
      <c r="F3453" t="s">
        <v>68</v>
      </c>
    </row>
    <row r="3454" spans="1:6" x14ac:dyDescent="0.25">
      <c r="A3454" t="s">
        <v>48</v>
      </c>
      <c r="B3454" t="s">
        <v>49</v>
      </c>
      <c r="C3454" t="s">
        <v>66</v>
      </c>
      <c r="D3454">
        <v>2553</v>
      </c>
      <c r="E3454">
        <v>2019</v>
      </c>
      <c r="F3454" t="s">
        <v>68</v>
      </c>
    </row>
    <row r="3455" spans="1:6" x14ac:dyDescent="0.25">
      <c r="A3455" t="s">
        <v>50</v>
      </c>
      <c r="B3455" t="s">
        <v>51</v>
      </c>
      <c r="C3455" t="s">
        <v>66</v>
      </c>
      <c r="E3455">
        <v>2019</v>
      </c>
      <c r="F3455" t="s">
        <v>68</v>
      </c>
    </row>
    <row r="3456" spans="1:6" x14ac:dyDescent="0.25">
      <c r="A3456" t="s">
        <v>52</v>
      </c>
      <c r="B3456" t="s">
        <v>53</v>
      </c>
      <c r="C3456" t="s">
        <v>66</v>
      </c>
      <c r="D3456">
        <v>848</v>
      </c>
      <c r="E3456">
        <v>2019</v>
      </c>
      <c r="F3456" t="s">
        <v>68</v>
      </c>
    </row>
    <row r="3457" spans="1:6" x14ac:dyDescent="0.25">
      <c r="A3457" t="s">
        <v>54</v>
      </c>
      <c r="B3457" t="s">
        <v>55</v>
      </c>
      <c r="C3457" t="s">
        <v>66</v>
      </c>
      <c r="D3457">
        <v>494</v>
      </c>
      <c r="E3457">
        <v>2019</v>
      </c>
      <c r="F3457" t="s">
        <v>68</v>
      </c>
    </row>
    <row r="3458" spans="1:6" x14ac:dyDescent="0.25">
      <c r="A3458" t="s">
        <v>56</v>
      </c>
      <c r="B3458" t="s">
        <v>57</v>
      </c>
      <c r="C3458" t="s">
        <v>66</v>
      </c>
      <c r="D3458">
        <v>1503</v>
      </c>
      <c r="E3458">
        <v>2019</v>
      </c>
      <c r="F3458" t="s">
        <v>68</v>
      </c>
    </row>
    <row r="3459" spans="1:6" x14ac:dyDescent="0.25">
      <c r="A3459" t="s">
        <v>58</v>
      </c>
      <c r="B3459" t="s">
        <v>59</v>
      </c>
      <c r="C3459" t="s">
        <v>66</v>
      </c>
      <c r="E3459">
        <v>2019</v>
      </c>
      <c r="F3459" t="s">
        <v>68</v>
      </c>
    </row>
    <row r="3460" spans="1:6" x14ac:dyDescent="0.25">
      <c r="A3460" t="s">
        <v>6</v>
      </c>
      <c r="B3460" t="s">
        <v>7</v>
      </c>
      <c r="C3460" t="s">
        <v>63</v>
      </c>
      <c r="D3460">
        <v>5767790</v>
      </c>
      <c r="E3460">
        <v>2020</v>
      </c>
      <c r="F3460" t="s">
        <v>68</v>
      </c>
    </row>
    <row r="3461" spans="1:6" x14ac:dyDescent="0.25">
      <c r="A3461" t="s">
        <v>10</v>
      </c>
      <c r="B3461" t="s">
        <v>11</v>
      </c>
      <c r="C3461" t="s">
        <v>63</v>
      </c>
      <c r="D3461">
        <v>1528892</v>
      </c>
      <c r="E3461">
        <v>2020</v>
      </c>
      <c r="F3461" t="s">
        <v>68</v>
      </c>
    </row>
    <row r="3462" spans="1:6" x14ac:dyDescent="0.25">
      <c r="A3462" t="s">
        <v>12</v>
      </c>
      <c r="B3462" t="s">
        <v>13</v>
      </c>
      <c r="C3462" t="s">
        <v>63</v>
      </c>
      <c r="D3462">
        <v>155006</v>
      </c>
      <c r="E3462">
        <v>2020</v>
      </c>
      <c r="F3462" t="s">
        <v>68</v>
      </c>
    </row>
    <row r="3463" spans="1:6" x14ac:dyDescent="0.25">
      <c r="A3463" t="s">
        <v>14</v>
      </c>
      <c r="B3463" t="s">
        <v>15</v>
      </c>
      <c r="C3463" t="s">
        <v>63</v>
      </c>
      <c r="D3463">
        <v>15626</v>
      </c>
      <c r="E3463">
        <v>2020</v>
      </c>
      <c r="F3463" t="s">
        <v>68</v>
      </c>
    </row>
    <row r="3464" spans="1:6" x14ac:dyDescent="0.25">
      <c r="A3464" t="s">
        <v>16</v>
      </c>
      <c r="B3464" t="s">
        <v>17</v>
      </c>
      <c r="C3464" t="s">
        <v>63</v>
      </c>
      <c r="D3464">
        <v>202051</v>
      </c>
      <c r="E3464">
        <v>2020</v>
      </c>
      <c r="F3464" t="s">
        <v>68</v>
      </c>
    </row>
    <row r="3465" spans="1:6" x14ac:dyDescent="0.25">
      <c r="A3465" t="s">
        <v>18</v>
      </c>
      <c r="B3465" t="s">
        <v>19</v>
      </c>
      <c r="C3465" t="s">
        <v>63</v>
      </c>
      <c r="D3465">
        <v>305799</v>
      </c>
      <c r="E3465">
        <v>2020</v>
      </c>
      <c r="F3465" t="s">
        <v>68</v>
      </c>
    </row>
    <row r="3466" spans="1:6" x14ac:dyDescent="0.25">
      <c r="A3466" t="s">
        <v>20</v>
      </c>
      <c r="B3466" t="s">
        <v>21</v>
      </c>
      <c r="C3466" t="s">
        <v>63</v>
      </c>
      <c r="D3466">
        <v>255718</v>
      </c>
      <c r="E3466">
        <v>2020</v>
      </c>
      <c r="F3466" t="s">
        <v>68</v>
      </c>
    </row>
    <row r="3467" spans="1:6" x14ac:dyDescent="0.25">
      <c r="A3467" t="s">
        <v>22</v>
      </c>
      <c r="B3467" t="s">
        <v>23</v>
      </c>
      <c r="C3467" t="s">
        <v>63</v>
      </c>
      <c r="D3467">
        <v>108185</v>
      </c>
      <c r="E3467">
        <v>2020</v>
      </c>
      <c r="F3467" t="s">
        <v>68</v>
      </c>
    </row>
    <row r="3468" spans="1:6" x14ac:dyDescent="0.25">
      <c r="A3468" t="s">
        <v>24</v>
      </c>
      <c r="B3468" t="s">
        <v>25</v>
      </c>
      <c r="C3468" t="s">
        <v>63</v>
      </c>
      <c r="D3468">
        <v>167520</v>
      </c>
      <c r="E3468">
        <v>2020</v>
      </c>
      <c r="F3468" t="s">
        <v>68</v>
      </c>
    </row>
    <row r="3469" spans="1:6" x14ac:dyDescent="0.25">
      <c r="A3469" t="s">
        <v>26</v>
      </c>
      <c r="B3469" t="s">
        <v>27</v>
      </c>
      <c r="C3469" t="s">
        <v>63</v>
      </c>
      <c r="D3469">
        <v>39980</v>
      </c>
      <c r="E3469">
        <v>2020</v>
      </c>
      <c r="F3469" t="s">
        <v>68</v>
      </c>
    </row>
    <row r="3470" spans="1:6" x14ac:dyDescent="0.25">
      <c r="A3470" t="s">
        <v>28</v>
      </c>
      <c r="B3470" t="s">
        <v>29</v>
      </c>
      <c r="C3470" t="s">
        <v>63</v>
      </c>
      <c r="D3470">
        <v>68972</v>
      </c>
      <c r="E3470">
        <v>2020</v>
      </c>
      <c r="F3470" t="s">
        <v>68</v>
      </c>
    </row>
    <row r="3471" spans="1:6" x14ac:dyDescent="0.25">
      <c r="A3471" t="s">
        <v>30</v>
      </c>
      <c r="B3471" t="s">
        <v>31</v>
      </c>
      <c r="C3471" t="s">
        <v>63</v>
      </c>
      <c r="D3471">
        <v>374586</v>
      </c>
      <c r="E3471">
        <v>2020</v>
      </c>
      <c r="F3471" t="s">
        <v>68</v>
      </c>
    </row>
    <row r="3472" spans="1:6" x14ac:dyDescent="0.25">
      <c r="A3472" t="s">
        <v>32</v>
      </c>
      <c r="B3472" t="s">
        <v>33</v>
      </c>
      <c r="C3472" t="s">
        <v>63</v>
      </c>
      <c r="D3472">
        <v>109367</v>
      </c>
      <c r="E3472">
        <v>2020</v>
      </c>
      <c r="F3472" t="s">
        <v>68</v>
      </c>
    </row>
    <row r="3473" spans="1:6" x14ac:dyDescent="0.25">
      <c r="A3473" t="s">
        <v>34</v>
      </c>
      <c r="B3473" t="s">
        <v>35</v>
      </c>
      <c r="C3473" t="s">
        <v>63</v>
      </c>
      <c r="D3473">
        <v>302932</v>
      </c>
      <c r="E3473">
        <v>2020</v>
      </c>
      <c r="F3473" t="s">
        <v>68</v>
      </c>
    </row>
    <row r="3474" spans="1:6" x14ac:dyDescent="0.25">
      <c r="A3474" t="s">
        <v>36</v>
      </c>
      <c r="B3474" t="s">
        <v>37</v>
      </c>
      <c r="C3474" t="s">
        <v>63</v>
      </c>
      <c r="D3474">
        <v>250326</v>
      </c>
      <c r="E3474">
        <v>2020</v>
      </c>
      <c r="F3474" t="s">
        <v>68</v>
      </c>
    </row>
    <row r="3475" spans="1:6" x14ac:dyDescent="0.25">
      <c r="A3475" t="s">
        <v>38</v>
      </c>
      <c r="B3475" t="s">
        <v>39</v>
      </c>
      <c r="C3475" t="s">
        <v>63</v>
      </c>
      <c r="D3475">
        <v>203196</v>
      </c>
      <c r="E3475">
        <v>2020</v>
      </c>
      <c r="F3475" t="s">
        <v>68</v>
      </c>
    </row>
    <row r="3476" spans="1:6" x14ac:dyDescent="0.25">
      <c r="A3476" t="s">
        <v>40</v>
      </c>
      <c r="B3476" t="s">
        <v>41</v>
      </c>
      <c r="C3476" t="s">
        <v>63</v>
      </c>
      <c r="D3476">
        <v>247351</v>
      </c>
      <c r="E3476">
        <v>2020</v>
      </c>
      <c r="F3476" t="s">
        <v>68</v>
      </c>
    </row>
    <row r="3477" spans="1:6" x14ac:dyDescent="0.25">
      <c r="A3477" t="s">
        <v>42</v>
      </c>
      <c r="B3477" t="s">
        <v>43</v>
      </c>
      <c r="C3477" t="s">
        <v>63</v>
      </c>
      <c r="D3477">
        <v>100036</v>
      </c>
      <c r="E3477">
        <v>2020</v>
      </c>
      <c r="F3477" t="s">
        <v>68</v>
      </c>
    </row>
    <row r="3478" spans="1:6" x14ac:dyDescent="0.25">
      <c r="A3478" t="s">
        <v>44</v>
      </c>
      <c r="B3478" t="s">
        <v>45</v>
      </c>
      <c r="C3478" t="s">
        <v>63</v>
      </c>
      <c r="D3478">
        <v>192930</v>
      </c>
      <c r="E3478">
        <v>2020</v>
      </c>
      <c r="F3478" t="s">
        <v>68</v>
      </c>
    </row>
    <row r="3479" spans="1:6" x14ac:dyDescent="0.25">
      <c r="A3479" t="s">
        <v>46</v>
      </c>
      <c r="B3479" t="s">
        <v>47</v>
      </c>
      <c r="C3479" t="s">
        <v>63</v>
      </c>
      <c r="D3479">
        <v>291232</v>
      </c>
      <c r="E3479">
        <v>2020</v>
      </c>
      <c r="F3479" t="s">
        <v>68</v>
      </c>
    </row>
    <row r="3480" spans="1:6" x14ac:dyDescent="0.25">
      <c r="A3480" t="s">
        <v>48</v>
      </c>
      <c r="B3480" t="s">
        <v>49</v>
      </c>
      <c r="C3480" t="s">
        <v>63</v>
      </c>
      <c r="D3480">
        <v>398366</v>
      </c>
      <c r="E3480">
        <v>2020</v>
      </c>
      <c r="F3480" t="s">
        <v>68</v>
      </c>
    </row>
    <row r="3481" spans="1:6" x14ac:dyDescent="0.25">
      <c r="A3481" t="s">
        <v>50</v>
      </c>
      <c r="B3481" t="s">
        <v>51</v>
      </c>
      <c r="C3481" t="s">
        <v>63</v>
      </c>
      <c r="D3481">
        <v>70893</v>
      </c>
      <c r="E3481">
        <v>2020</v>
      </c>
      <c r="F3481" t="s">
        <v>68</v>
      </c>
    </row>
    <row r="3482" spans="1:6" x14ac:dyDescent="0.25">
      <c r="A3482" t="s">
        <v>52</v>
      </c>
      <c r="B3482" t="s">
        <v>53</v>
      </c>
      <c r="C3482" t="s">
        <v>63</v>
      </c>
      <c r="D3482">
        <v>157629</v>
      </c>
      <c r="E3482">
        <v>2020</v>
      </c>
      <c r="F3482" t="s">
        <v>68</v>
      </c>
    </row>
    <row r="3483" spans="1:6" x14ac:dyDescent="0.25">
      <c r="A3483" t="s">
        <v>54</v>
      </c>
      <c r="B3483" t="s">
        <v>55</v>
      </c>
      <c r="C3483" t="s">
        <v>63</v>
      </c>
      <c r="D3483">
        <v>102959</v>
      </c>
      <c r="E3483">
        <v>2020</v>
      </c>
      <c r="F3483" t="s">
        <v>68</v>
      </c>
    </row>
    <row r="3484" spans="1:6" x14ac:dyDescent="0.25">
      <c r="A3484" t="s">
        <v>56</v>
      </c>
      <c r="B3484" t="s">
        <v>57</v>
      </c>
      <c r="C3484" t="s">
        <v>63</v>
      </c>
      <c r="D3484">
        <v>118238</v>
      </c>
      <c r="E3484">
        <v>2020</v>
      </c>
      <c r="F3484" t="s">
        <v>68</v>
      </c>
    </row>
    <row r="3485" spans="1:6" x14ac:dyDescent="0.25">
      <c r="A3485" t="s">
        <v>58</v>
      </c>
      <c r="B3485" t="s">
        <v>59</v>
      </c>
      <c r="C3485" t="s">
        <v>63</v>
      </c>
      <c r="E3485">
        <v>2020</v>
      </c>
      <c r="F3485" t="s">
        <v>68</v>
      </c>
    </row>
    <row r="3486" spans="1:6" x14ac:dyDescent="0.25">
      <c r="A3486" t="s">
        <v>6</v>
      </c>
      <c r="B3486" t="s">
        <v>7</v>
      </c>
      <c r="C3486" t="s">
        <v>8</v>
      </c>
      <c r="D3486">
        <v>447528</v>
      </c>
      <c r="E3486">
        <v>2020</v>
      </c>
      <c r="F3486" t="s">
        <v>68</v>
      </c>
    </row>
    <row r="3487" spans="1:6" x14ac:dyDescent="0.25">
      <c r="A3487" t="s">
        <v>10</v>
      </c>
      <c r="B3487" t="s">
        <v>11</v>
      </c>
      <c r="C3487" t="s">
        <v>8</v>
      </c>
      <c r="D3487">
        <v>162764</v>
      </c>
      <c r="E3487">
        <v>2020</v>
      </c>
      <c r="F3487" t="s">
        <v>68</v>
      </c>
    </row>
    <row r="3488" spans="1:6" x14ac:dyDescent="0.25">
      <c r="A3488" t="s">
        <v>12</v>
      </c>
      <c r="B3488" t="s">
        <v>13</v>
      </c>
      <c r="C3488" t="s">
        <v>8</v>
      </c>
      <c r="D3488">
        <v>25976</v>
      </c>
      <c r="E3488">
        <v>2020</v>
      </c>
      <c r="F3488" t="s">
        <v>68</v>
      </c>
    </row>
    <row r="3489" spans="1:6" x14ac:dyDescent="0.25">
      <c r="A3489" t="s">
        <v>14</v>
      </c>
      <c r="B3489" t="s">
        <v>15</v>
      </c>
      <c r="C3489" t="s">
        <v>8</v>
      </c>
      <c r="E3489">
        <v>2020</v>
      </c>
      <c r="F3489" t="s">
        <v>68</v>
      </c>
    </row>
    <row r="3490" spans="1:6" x14ac:dyDescent="0.25">
      <c r="A3490" t="s">
        <v>16</v>
      </c>
      <c r="B3490" t="s">
        <v>17</v>
      </c>
      <c r="C3490" t="s">
        <v>8</v>
      </c>
      <c r="D3490">
        <v>4192</v>
      </c>
      <c r="E3490">
        <v>2020</v>
      </c>
      <c r="F3490" t="s">
        <v>68</v>
      </c>
    </row>
    <row r="3491" spans="1:6" x14ac:dyDescent="0.25">
      <c r="A3491" t="s">
        <v>18</v>
      </c>
      <c r="B3491" t="s">
        <v>19</v>
      </c>
      <c r="C3491" t="s">
        <v>8</v>
      </c>
      <c r="D3491">
        <v>4408</v>
      </c>
      <c r="E3491">
        <v>2020</v>
      </c>
      <c r="F3491" t="s">
        <v>68</v>
      </c>
    </row>
    <row r="3492" spans="1:6" x14ac:dyDescent="0.25">
      <c r="A3492" t="s">
        <v>20</v>
      </c>
      <c r="B3492" t="s">
        <v>21</v>
      </c>
      <c r="C3492" t="s">
        <v>8</v>
      </c>
      <c r="D3492">
        <v>1373</v>
      </c>
      <c r="E3492">
        <v>2020</v>
      </c>
      <c r="F3492" t="s">
        <v>68</v>
      </c>
    </row>
    <row r="3493" spans="1:6" x14ac:dyDescent="0.25">
      <c r="A3493" t="s">
        <v>22</v>
      </c>
      <c r="B3493" t="s">
        <v>23</v>
      </c>
      <c r="C3493" t="s">
        <v>8</v>
      </c>
      <c r="D3493">
        <v>26149</v>
      </c>
      <c r="E3493">
        <v>2020</v>
      </c>
      <c r="F3493" t="s">
        <v>68</v>
      </c>
    </row>
    <row r="3494" spans="1:6" x14ac:dyDescent="0.25">
      <c r="A3494" t="s">
        <v>24</v>
      </c>
      <c r="B3494" t="s">
        <v>25</v>
      </c>
      <c r="C3494" t="s">
        <v>8</v>
      </c>
      <c r="D3494">
        <v>24193</v>
      </c>
      <c r="E3494">
        <v>2020</v>
      </c>
      <c r="F3494" t="s">
        <v>68</v>
      </c>
    </row>
    <row r="3495" spans="1:6" x14ac:dyDescent="0.25">
      <c r="A3495" t="s">
        <v>26</v>
      </c>
      <c r="B3495" t="s">
        <v>27</v>
      </c>
      <c r="C3495" t="s">
        <v>8</v>
      </c>
      <c r="D3495">
        <v>5445</v>
      </c>
      <c r="E3495">
        <v>2020</v>
      </c>
      <c r="F3495" t="s">
        <v>68</v>
      </c>
    </row>
    <row r="3496" spans="1:6" x14ac:dyDescent="0.25">
      <c r="A3496" t="s">
        <v>28</v>
      </c>
      <c r="B3496" t="s">
        <v>29</v>
      </c>
      <c r="C3496" t="s">
        <v>8</v>
      </c>
      <c r="E3496">
        <v>2020</v>
      </c>
      <c r="F3496" t="s">
        <v>68</v>
      </c>
    </row>
    <row r="3497" spans="1:6" x14ac:dyDescent="0.25">
      <c r="A3497" t="s">
        <v>30</v>
      </c>
      <c r="B3497" t="s">
        <v>31</v>
      </c>
      <c r="C3497" t="s">
        <v>8</v>
      </c>
      <c r="D3497">
        <v>26833</v>
      </c>
      <c r="E3497">
        <v>2020</v>
      </c>
      <c r="F3497" t="s">
        <v>68</v>
      </c>
    </row>
    <row r="3498" spans="1:6" x14ac:dyDescent="0.25">
      <c r="A3498" t="s">
        <v>32</v>
      </c>
      <c r="B3498" t="s">
        <v>33</v>
      </c>
      <c r="C3498" t="s">
        <v>8</v>
      </c>
      <c r="D3498">
        <v>10723</v>
      </c>
      <c r="E3498">
        <v>2020</v>
      </c>
      <c r="F3498" t="s">
        <v>68</v>
      </c>
    </row>
    <row r="3499" spans="1:6" x14ac:dyDescent="0.25">
      <c r="A3499" t="s">
        <v>34</v>
      </c>
      <c r="B3499" t="s">
        <v>35</v>
      </c>
      <c r="C3499" t="s">
        <v>8</v>
      </c>
      <c r="D3499">
        <v>24196</v>
      </c>
      <c r="E3499">
        <v>2020</v>
      </c>
      <c r="F3499" t="s">
        <v>68</v>
      </c>
    </row>
    <row r="3500" spans="1:6" x14ac:dyDescent="0.25">
      <c r="A3500" t="s">
        <v>36</v>
      </c>
      <c r="B3500" t="s">
        <v>37</v>
      </c>
      <c r="C3500" t="s">
        <v>8</v>
      </c>
      <c r="D3500">
        <v>17218</v>
      </c>
      <c r="E3500">
        <v>2020</v>
      </c>
      <c r="F3500" t="s">
        <v>68</v>
      </c>
    </row>
    <row r="3501" spans="1:6" x14ac:dyDescent="0.25">
      <c r="A3501" t="s">
        <v>38</v>
      </c>
      <c r="B3501" t="s">
        <v>39</v>
      </c>
      <c r="C3501" t="s">
        <v>8</v>
      </c>
      <c r="D3501">
        <v>8832</v>
      </c>
      <c r="E3501">
        <v>2020</v>
      </c>
      <c r="F3501" t="s">
        <v>68</v>
      </c>
    </row>
    <row r="3502" spans="1:6" x14ac:dyDescent="0.25">
      <c r="A3502" t="s">
        <v>40</v>
      </c>
      <c r="B3502" t="s">
        <v>41</v>
      </c>
      <c r="C3502" t="s">
        <v>8</v>
      </c>
      <c r="D3502">
        <v>27332</v>
      </c>
      <c r="E3502">
        <v>2020</v>
      </c>
      <c r="F3502" t="s">
        <v>68</v>
      </c>
    </row>
    <row r="3503" spans="1:6" x14ac:dyDescent="0.25">
      <c r="A3503" t="s">
        <v>42</v>
      </c>
      <c r="B3503" t="s">
        <v>43</v>
      </c>
      <c r="C3503" t="s">
        <v>8</v>
      </c>
      <c r="D3503">
        <v>171</v>
      </c>
      <c r="E3503">
        <v>2020</v>
      </c>
      <c r="F3503" t="s">
        <v>68</v>
      </c>
    </row>
    <row r="3504" spans="1:6" x14ac:dyDescent="0.25">
      <c r="A3504" t="s">
        <v>44</v>
      </c>
      <c r="B3504" t="s">
        <v>45</v>
      </c>
      <c r="C3504" t="s">
        <v>8</v>
      </c>
      <c r="D3504">
        <v>7693</v>
      </c>
      <c r="E3504">
        <v>2020</v>
      </c>
      <c r="F3504" t="s">
        <v>68</v>
      </c>
    </row>
    <row r="3505" spans="1:6" x14ac:dyDescent="0.25">
      <c r="A3505" t="s">
        <v>46</v>
      </c>
      <c r="B3505" t="s">
        <v>47</v>
      </c>
      <c r="C3505" t="s">
        <v>8</v>
      </c>
      <c r="D3505">
        <v>11119</v>
      </c>
      <c r="E3505">
        <v>2020</v>
      </c>
      <c r="F3505" t="s">
        <v>68</v>
      </c>
    </row>
    <row r="3506" spans="1:6" x14ac:dyDescent="0.25">
      <c r="A3506" t="s">
        <v>48</v>
      </c>
      <c r="B3506" t="s">
        <v>49</v>
      </c>
      <c r="C3506" t="s">
        <v>8</v>
      </c>
      <c r="D3506">
        <v>1391</v>
      </c>
      <c r="E3506">
        <v>2020</v>
      </c>
      <c r="F3506" t="s">
        <v>68</v>
      </c>
    </row>
    <row r="3507" spans="1:6" x14ac:dyDescent="0.25">
      <c r="A3507" t="s">
        <v>50</v>
      </c>
      <c r="B3507" t="s">
        <v>51</v>
      </c>
      <c r="C3507" t="s">
        <v>8</v>
      </c>
      <c r="D3507">
        <v>970</v>
      </c>
      <c r="E3507">
        <v>2020</v>
      </c>
      <c r="F3507" t="s">
        <v>68</v>
      </c>
    </row>
    <row r="3508" spans="1:6" x14ac:dyDescent="0.25">
      <c r="A3508" t="s">
        <v>52</v>
      </c>
      <c r="B3508" t="s">
        <v>53</v>
      </c>
      <c r="C3508" t="s">
        <v>8</v>
      </c>
      <c r="D3508">
        <v>10391</v>
      </c>
      <c r="E3508">
        <v>2020</v>
      </c>
      <c r="F3508" t="s">
        <v>68</v>
      </c>
    </row>
    <row r="3509" spans="1:6" x14ac:dyDescent="0.25">
      <c r="A3509" t="s">
        <v>54</v>
      </c>
      <c r="B3509" t="s">
        <v>55</v>
      </c>
      <c r="C3509" t="s">
        <v>8</v>
      </c>
      <c r="D3509">
        <v>1224</v>
      </c>
      <c r="E3509">
        <v>2020</v>
      </c>
      <c r="F3509" t="s">
        <v>68</v>
      </c>
    </row>
    <row r="3510" spans="1:6" x14ac:dyDescent="0.25">
      <c r="A3510" t="s">
        <v>56</v>
      </c>
      <c r="B3510" t="s">
        <v>57</v>
      </c>
      <c r="C3510" t="s">
        <v>8</v>
      </c>
      <c r="D3510">
        <v>28539</v>
      </c>
      <c r="E3510">
        <v>2020</v>
      </c>
      <c r="F3510" t="s">
        <v>68</v>
      </c>
    </row>
    <row r="3511" spans="1:6" x14ac:dyDescent="0.25">
      <c r="A3511" t="s">
        <v>58</v>
      </c>
      <c r="B3511" t="s">
        <v>59</v>
      </c>
      <c r="C3511" t="s">
        <v>8</v>
      </c>
      <c r="D3511">
        <v>16396</v>
      </c>
      <c r="E3511">
        <v>2020</v>
      </c>
      <c r="F3511" t="s">
        <v>68</v>
      </c>
    </row>
    <row r="3512" spans="1:6" x14ac:dyDescent="0.25">
      <c r="A3512" t="s">
        <v>6</v>
      </c>
      <c r="B3512" t="s">
        <v>7</v>
      </c>
      <c r="C3512" t="s">
        <v>60</v>
      </c>
      <c r="D3512">
        <v>568874</v>
      </c>
      <c r="E3512">
        <v>2020</v>
      </c>
      <c r="F3512" t="s">
        <v>68</v>
      </c>
    </row>
    <row r="3513" spans="1:6" x14ac:dyDescent="0.25">
      <c r="A3513" t="s">
        <v>10</v>
      </c>
      <c r="B3513" t="s">
        <v>11</v>
      </c>
      <c r="C3513" t="s">
        <v>60</v>
      </c>
      <c r="D3513">
        <v>138848</v>
      </c>
      <c r="E3513">
        <v>2020</v>
      </c>
      <c r="F3513" t="s">
        <v>68</v>
      </c>
    </row>
    <row r="3514" spans="1:6" x14ac:dyDescent="0.25">
      <c r="A3514" t="s">
        <v>12</v>
      </c>
      <c r="B3514" t="s">
        <v>13</v>
      </c>
      <c r="C3514" t="s">
        <v>60</v>
      </c>
      <c r="D3514">
        <v>10684</v>
      </c>
      <c r="E3514">
        <v>2020</v>
      </c>
      <c r="F3514" t="s">
        <v>68</v>
      </c>
    </row>
    <row r="3515" spans="1:6" x14ac:dyDescent="0.25">
      <c r="A3515" t="s">
        <v>14</v>
      </c>
      <c r="B3515" t="s">
        <v>15</v>
      </c>
      <c r="C3515" t="s">
        <v>60</v>
      </c>
      <c r="E3515">
        <v>2020</v>
      </c>
      <c r="F3515" t="s">
        <v>68</v>
      </c>
    </row>
    <row r="3516" spans="1:6" x14ac:dyDescent="0.25">
      <c r="A3516" t="s">
        <v>16</v>
      </c>
      <c r="B3516" t="s">
        <v>17</v>
      </c>
      <c r="C3516" t="s">
        <v>60</v>
      </c>
      <c r="D3516">
        <v>24787</v>
      </c>
      <c r="E3516">
        <v>2020</v>
      </c>
      <c r="F3516" t="s">
        <v>68</v>
      </c>
    </row>
    <row r="3517" spans="1:6" x14ac:dyDescent="0.25">
      <c r="A3517" t="s">
        <v>18</v>
      </c>
      <c r="B3517" t="s">
        <v>19</v>
      </c>
      <c r="C3517" t="s">
        <v>60</v>
      </c>
      <c r="D3517">
        <v>57094</v>
      </c>
      <c r="E3517">
        <v>2020</v>
      </c>
      <c r="F3517" t="s">
        <v>68</v>
      </c>
    </row>
    <row r="3518" spans="1:6" x14ac:dyDescent="0.25">
      <c r="A3518" t="s">
        <v>20</v>
      </c>
      <c r="B3518" t="s">
        <v>21</v>
      </c>
      <c r="C3518" t="s">
        <v>60</v>
      </c>
      <c r="D3518">
        <v>11764</v>
      </c>
      <c r="E3518">
        <v>2020</v>
      </c>
      <c r="F3518" t="s">
        <v>68</v>
      </c>
    </row>
    <row r="3519" spans="1:6" x14ac:dyDescent="0.25">
      <c r="A3519" t="s">
        <v>22</v>
      </c>
      <c r="B3519" t="s">
        <v>23</v>
      </c>
      <c r="C3519" t="s">
        <v>60</v>
      </c>
      <c r="D3519">
        <v>3915</v>
      </c>
      <c r="E3519">
        <v>2020</v>
      </c>
      <c r="F3519" t="s">
        <v>68</v>
      </c>
    </row>
    <row r="3520" spans="1:6" x14ac:dyDescent="0.25">
      <c r="A3520" t="s">
        <v>24</v>
      </c>
      <c r="B3520" t="s">
        <v>25</v>
      </c>
      <c r="C3520" t="s">
        <v>60</v>
      </c>
      <c r="D3520">
        <v>15691</v>
      </c>
      <c r="E3520">
        <v>2020</v>
      </c>
      <c r="F3520" t="s">
        <v>68</v>
      </c>
    </row>
    <row r="3521" spans="1:6" x14ac:dyDescent="0.25">
      <c r="A3521" t="s">
        <v>26</v>
      </c>
      <c r="B3521" t="s">
        <v>27</v>
      </c>
      <c r="C3521" t="s">
        <v>60</v>
      </c>
      <c r="D3521">
        <v>15730</v>
      </c>
      <c r="E3521">
        <v>2020</v>
      </c>
      <c r="F3521" t="s">
        <v>68</v>
      </c>
    </row>
    <row r="3522" spans="1:6" x14ac:dyDescent="0.25">
      <c r="A3522" t="s">
        <v>28</v>
      </c>
      <c r="B3522" t="s">
        <v>29</v>
      </c>
      <c r="C3522" t="s">
        <v>60</v>
      </c>
      <c r="D3522">
        <v>3681</v>
      </c>
      <c r="E3522">
        <v>2020</v>
      </c>
      <c r="F3522" t="s">
        <v>68</v>
      </c>
    </row>
    <row r="3523" spans="1:6" x14ac:dyDescent="0.25">
      <c r="A3523" t="s">
        <v>30</v>
      </c>
      <c r="B3523" t="s">
        <v>31</v>
      </c>
      <c r="C3523" t="s">
        <v>60</v>
      </c>
      <c r="D3523">
        <v>47870</v>
      </c>
      <c r="E3523">
        <v>2020</v>
      </c>
      <c r="F3523" t="s">
        <v>68</v>
      </c>
    </row>
    <row r="3524" spans="1:6" x14ac:dyDescent="0.25">
      <c r="A3524" t="s">
        <v>32</v>
      </c>
      <c r="B3524" t="s">
        <v>33</v>
      </c>
      <c r="C3524" t="s">
        <v>60</v>
      </c>
      <c r="D3524">
        <v>23585</v>
      </c>
      <c r="E3524">
        <v>2020</v>
      </c>
      <c r="F3524" t="s">
        <v>68</v>
      </c>
    </row>
    <row r="3525" spans="1:6" x14ac:dyDescent="0.25">
      <c r="A3525" t="s">
        <v>34</v>
      </c>
      <c r="B3525" t="s">
        <v>35</v>
      </c>
      <c r="C3525" t="s">
        <v>60</v>
      </c>
      <c r="D3525">
        <v>47641</v>
      </c>
      <c r="E3525">
        <v>2020</v>
      </c>
      <c r="F3525" t="s">
        <v>68</v>
      </c>
    </row>
    <row r="3526" spans="1:6" x14ac:dyDescent="0.25">
      <c r="A3526" t="s">
        <v>36</v>
      </c>
      <c r="B3526" t="s">
        <v>37</v>
      </c>
      <c r="C3526" t="s">
        <v>60</v>
      </c>
      <c r="D3526">
        <v>30493</v>
      </c>
      <c r="E3526">
        <v>2020</v>
      </c>
      <c r="F3526" t="s">
        <v>68</v>
      </c>
    </row>
    <row r="3527" spans="1:6" x14ac:dyDescent="0.25">
      <c r="A3527" t="s">
        <v>38</v>
      </c>
      <c r="B3527" t="s">
        <v>39</v>
      </c>
      <c r="C3527" t="s">
        <v>60</v>
      </c>
      <c r="D3527">
        <v>12136</v>
      </c>
      <c r="E3527">
        <v>2020</v>
      </c>
      <c r="F3527" t="s">
        <v>68</v>
      </c>
    </row>
    <row r="3528" spans="1:6" x14ac:dyDescent="0.25">
      <c r="A3528" t="s">
        <v>40</v>
      </c>
      <c r="B3528" t="s">
        <v>41</v>
      </c>
      <c r="C3528" t="s">
        <v>60</v>
      </c>
      <c r="D3528">
        <v>27297</v>
      </c>
      <c r="E3528">
        <v>2020</v>
      </c>
      <c r="F3528" t="s">
        <v>68</v>
      </c>
    </row>
    <row r="3529" spans="1:6" x14ac:dyDescent="0.25">
      <c r="A3529" t="s">
        <v>42</v>
      </c>
      <c r="B3529" t="s">
        <v>43</v>
      </c>
      <c r="C3529" t="s">
        <v>60</v>
      </c>
      <c r="E3529">
        <v>2020</v>
      </c>
      <c r="F3529" t="s">
        <v>68</v>
      </c>
    </row>
    <row r="3530" spans="1:6" x14ac:dyDescent="0.25">
      <c r="A3530" t="s">
        <v>44</v>
      </c>
      <c r="B3530" t="s">
        <v>45</v>
      </c>
      <c r="C3530" t="s">
        <v>60</v>
      </c>
      <c r="D3530">
        <v>16920</v>
      </c>
      <c r="E3530">
        <v>2020</v>
      </c>
      <c r="F3530" t="s">
        <v>68</v>
      </c>
    </row>
    <row r="3531" spans="1:6" x14ac:dyDescent="0.25">
      <c r="A3531" t="s">
        <v>46</v>
      </c>
      <c r="B3531" t="s">
        <v>47</v>
      </c>
      <c r="C3531" t="s">
        <v>60</v>
      </c>
      <c r="D3531">
        <v>14293</v>
      </c>
      <c r="E3531">
        <v>2020</v>
      </c>
      <c r="F3531" t="s">
        <v>68</v>
      </c>
    </row>
    <row r="3532" spans="1:6" x14ac:dyDescent="0.25">
      <c r="A3532" t="s">
        <v>48</v>
      </c>
      <c r="B3532" t="s">
        <v>49</v>
      </c>
      <c r="C3532" t="s">
        <v>60</v>
      </c>
      <c r="D3532">
        <v>10242</v>
      </c>
      <c r="E3532">
        <v>2020</v>
      </c>
      <c r="F3532" t="s">
        <v>68</v>
      </c>
    </row>
    <row r="3533" spans="1:6" x14ac:dyDescent="0.25">
      <c r="A3533" t="s">
        <v>50</v>
      </c>
      <c r="B3533" t="s">
        <v>51</v>
      </c>
      <c r="C3533" t="s">
        <v>60</v>
      </c>
      <c r="D3533">
        <v>5286</v>
      </c>
      <c r="E3533">
        <v>2020</v>
      </c>
      <c r="F3533" t="s">
        <v>68</v>
      </c>
    </row>
    <row r="3534" spans="1:6" x14ac:dyDescent="0.25">
      <c r="A3534" t="s">
        <v>52</v>
      </c>
      <c r="B3534" t="s">
        <v>53</v>
      </c>
      <c r="C3534" t="s">
        <v>60</v>
      </c>
      <c r="D3534">
        <v>15633</v>
      </c>
      <c r="E3534">
        <v>2020</v>
      </c>
      <c r="F3534" t="s">
        <v>68</v>
      </c>
    </row>
    <row r="3535" spans="1:6" x14ac:dyDescent="0.25">
      <c r="A3535" t="s">
        <v>54</v>
      </c>
      <c r="B3535" t="s">
        <v>55</v>
      </c>
      <c r="C3535" t="s">
        <v>60</v>
      </c>
      <c r="D3535">
        <v>35284</v>
      </c>
      <c r="E3535">
        <v>2020</v>
      </c>
      <c r="F3535" t="s">
        <v>68</v>
      </c>
    </row>
    <row r="3536" spans="1:6" x14ac:dyDescent="0.25">
      <c r="A3536" t="s">
        <v>56</v>
      </c>
      <c r="B3536" t="s">
        <v>57</v>
      </c>
      <c r="C3536" t="s">
        <v>60</v>
      </c>
      <c r="E3536">
        <v>2020</v>
      </c>
      <c r="F3536" t="s">
        <v>68</v>
      </c>
    </row>
    <row r="3537" spans="1:6" x14ac:dyDescent="0.25">
      <c r="A3537" t="s">
        <v>58</v>
      </c>
      <c r="B3537" t="s">
        <v>59</v>
      </c>
      <c r="C3537" t="s">
        <v>60</v>
      </c>
      <c r="E3537">
        <v>2020</v>
      </c>
      <c r="F3537" t="s">
        <v>68</v>
      </c>
    </row>
    <row r="3538" spans="1:6" x14ac:dyDescent="0.25">
      <c r="A3538" t="s">
        <v>6</v>
      </c>
      <c r="B3538" t="s">
        <v>7</v>
      </c>
      <c r="C3538" t="s">
        <v>61</v>
      </c>
      <c r="D3538">
        <v>234404</v>
      </c>
      <c r="E3538">
        <v>2020</v>
      </c>
      <c r="F3538" t="s">
        <v>68</v>
      </c>
    </row>
    <row r="3539" spans="1:6" x14ac:dyDescent="0.25">
      <c r="A3539" t="s">
        <v>10</v>
      </c>
      <c r="B3539" t="s">
        <v>11</v>
      </c>
      <c r="C3539" t="s">
        <v>61</v>
      </c>
      <c r="D3539">
        <v>128484</v>
      </c>
      <c r="E3539">
        <v>2020</v>
      </c>
      <c r="F3539" t="s">
        <v>68</v>
      </c>
    </row>
    <row r="3540" spans="1:6" x14ac:dyDescent="0.25">
      <c r="A3540" t="s">
        <v>12</v>
      </c>
      <c r="B3540" t="s">
        <v>13</v>
      </c>
      <c r="C3540" t="s">
        <v>61</v>
      </c>
      <c r="D3540">
        <v>6765</v>
      </c>
      <c r="E3540">
        <v>2020</v>
      </c>
      <c r="F3540" t="s">
        <v>68</v>
      </c>
    </row>
    <row r="3541" spans="1:6" x14ac:dyDescent="0.25">
      <c r="A3541" t="s">
        <v>14</v>
      </c>
      <c r="B3541" t="s">
        <v>15</v>
      </c>
      <c r="C3541" t="s">
        <v>61</v>
      </c>
      <c r="D3541">
        <v>44</v>
      </c>
      <c r="E3541">
        <v>2020</v>
      </c>
      <c r="F3541" t="s">
        <v>68</v>
      </c>
    </row>
    <row r="3542" spans="1:6" x14ac:dyDescent="0.25">
      <c r="A3542" t="s">
        <v>16</v>
      </c>
      <c r="B3542" t="s">
        <v>17</v>
      </c>
      <c r="C3542" t="s">
        <v>61</v>
      </c>
      <c r="D3542">
        <v>4780</v>
      </c>
      <c r="E3542">
        <v>2020</v>
      </c>
      <c r="F3542" t="s">
        <v>68</v>
      </c>
    </row>
    <row r="3543" spans="1:6" x14ac:dyDescent="0.25">
      <c r="A3543" t="s">
        <v>18</v>
      </c>
      <c r="B3543" t="s">
        <v>19</v>
      </c>
      <c r="C3543" t="s">
        <v>61</v>
      </c>
      <c r="D3543">
        <v>2752</v>
      </c>
      <c r="E3543">
        <v>2020</v>
      </c>
      <c r="F3543" t="s">
        <v>68</v>
      </c>
    </row>
    <row r="3544" spans="1:6" x14ac:dyDescent="0.25">
      <c r="A3544" t="s">
        <v>20</v>
      </c>
      <c r="B3544" t="s">
        <v>21</v>
      </c>
      <c r="C3544" t="s">
        <v>61</v>
      </c>
      <c r="D3544">
        <v>3556</v>
      </c>
      <c r="E3544">
        <v>2020</v>
      </c>
      <c r="F3544" t="s">
        <v>68</v>
      </c>
    </row>
    <row r="3545" spans="1:6" x14ac:dyDescent="0.25">
      <c r="A3545" t="s">
        <v>22</v>
      </c>
      <c r="B3545" t="s">
        <v>23</v>
      </c>
      <c r="C3545" t="s">
        <v>61</v>
      </c>
      <c r="D3545">
        <v>4688</v>
      </c>
      <c r="E3545">
        <v>2020</v>
      </c>
      <c r="F3545" t="s">
        <v>68</v>
      </c>
    </row>
    <row r="3546" spans="1:6" x14ac:dyDescent="0.25">
      <c r="A3546" t="s">
        <v>24</v>
      </c>
      <c r="B3546" t="s">
        <v>25</v>
      </c>
      <c r="C3546" t="s">
        <v>61</v>
      </c>
      <c r="D3546">
        <v>8739</v>
      </c>
      <c r="E3546">
        <v>2020</v>
      </c>
      <c r="F3546" t="s">
        <v>68</v>
      </c>
    </row>
    <row r="3547" spans="1:6" x14ac:dyDescent="0.25">
      <c r="A3547" t="s">
        <v>26</v>
      </c>
      <c r="B3547" t="s">
        <v>27</v>
      </c>
      <c r="C3547" t="s">
        <v>61</v>
      </c>
      <c r="D3547">
        <v>4387</v>
      </c>
      <c r="E3547">
        <v>2020</v>
      </c>
      <c r="F3547" t="s">
        <v>68</v>
      </c>
    </row>
    <row r="3548" spans="1:6" x14ac:dyDescent="0.25">
      <c r="A3548" t="s">
        <v>28</v>
      </c>
      <c r="B3548" t="s">
        <v>29</v>
      </c>
      <c r="C3548" t="s">
        <v>61</v>
      </c>
      <c r="D3548">
        <v>774</v>
      </c>
      <c r="E3548">
        <v>2020</v>
      </c>
      <c r="F3548" t="s">
        <v>68</v>
      </c>
    </row>
    <row r="3549" spans="1:6" x14ac:dyDescent="0.25">
      <c r="A3549" t="s">
        <v>30</v>
      </c>
      <c r="B3549" t="s">
        <v>31</v>
      </c>
      <c r="C3549" t="s">
        <v>61</v>
      </c>
      <c r="D3549">
        <v>10256</v>
      </c>
      <c r="E3549">
        <v>2020</v>
      </c>
      <c r="F3549" t="s">
        <v>68</v>
      </c>
    </row>
    <row r="3550" spans="1:6" x14ac:dyDescent="0.25">
      <c r="A3550" t="s">
        <v>32</v>
      </c>
      <c r="B3550" t="s">
        <v>33</v>
      </c>
      <c r="C3550" t="s">
        <v>61</v>
      </c>
      <c r="D3550">
        <v>5529</v>
      </c>
      <c r="E3550">
        <v>2020</v>
      </c>
      <c r="F3550" t="s">
        <v>68</v>
      </c>
    </row>
    <row r="3551" spans="1:6" x14ac:dyDescent="0.25">
      <c r="A3551" t="s">
        <v>34</v>
      </c>
      <c r="B3551" t="s">
        <v>35</v>
      </c>
      <c r="C3551" t="s">
        <v>61</v>
      </c>
      <c r="D3551">
        <v>19533</v>
      </c>
      <c r="E3551">
        <v>2020</v>
      </c>
      <c r="F3551" t="s">
        <v>68</v>
      </c>
    </row>
    <row r="3552" spans="1:6" x14ac:dyDescent="0.25">
      <c r="A3552" t="s">
        <v>36</v>
      </c>
      <c r="B3552" t="s">
        <v>37</v>
      </c>
      <c r="C3552" t="s">
        <v>61</v>
      </c>
      <c r="D3552">
        <v>8059</v>
      </c>
      <c r="E3552">
        <v>2020</v>
      </c>
      <c r="F3552" t="s">
        <v>68</v>
      </c>
    </row>
    <row r="3553" spans="1:6" x14ac:dyDescent="0.25">
      <c r="A3553" t="s">
        <v>38</v>
      </c>
      <c r="B3553" t="s">
        <v>39</v>
      </c>
      <c r="C3553" t="s">
        <v>61</v>
      </c>
      <c r="D3553">
        <v>5256</v>
      </c>
      <c r="E3553">
        <v>2020</v>
      </c>
      <c r="F3553" t="s">
        <v>68</v>
      </c>
    </row>
    <row r="3554" spans="1:6" x14ac:dyDescent="0.25">
      <c r="A3554" t="s">
        <v>40</v>
      </c>
      <c r="B3554" t="s">
        <v>41</v>
      </c>
      <c r="C3554" t="s">
        <v>61</v>
      </c>
      <c r="D3554">
        <v>3804</v>
      </c>
      <c r="E3554">
        <v>2020</v>
      </c>
      <c r="F3554" t="s">
        <v>68</v>
      </c>
    </row>
    <row r="3555" spans="1:6" x14ac:dyDescent="0.25">
      <c r="A3555" t="s">
        <v>42</v>
      </c>
      <c r="B3555" t="s">
        <v>43</v>
      </c>
      <c r="C3555" t="s">
        <v>61</v>
      </c>
      <c r="D3555">
        <v>606</v>
      </c>
      <c r="E3555">
        <v>2020</v>
      </c>
      <c r="F3555" t="s">
        <v>68</v>
      </c>
    </row>
    <row r="3556" spans="1:6" x14ac:dyDescent="0.25">
      <c r="A3556" t="s">
        <v>44</v>
      </c>
      <c r="B3556" t="s">
        <v>45</v>
      </c>
      <c r="C3556" t="s">
        <v>61</v>
      </c>
      <c r="D3556">
        <v>6871</v>
      </c>
      <c r="E3556">
        <v>2020</v>
      </c>
      <c r="F3556" t="s">
        <v>68</v>
      </c>
    </row>
    <row r="3557" spans="1:6" x14ac:dyDescent="0.25">
      <c r="A3557" t="s">
        <v>46</v>
      </c>
      <c r="B3557" t="s">
        <v>47</v>
      </c>
      <c r="C3557" t="s">
        <v>61</v>
      </c>
      <c r="D3557">
        <v>2017</v>
      </c>
      <c r="E3557">
        <v>2020</v>
      </c>
      <c r="F3557" t="s">
        <v>68</v>
      </c>
    </row>
    <row r="3558" spans="1:6" x14ac:dyDescent="0.25">
      <c r="A3558" t="s">
        <v>48</v>
      </c>
      <c r="B3558" t="s">
        <v>49</v>
      </c>
      <c r="C3558" t="s">
        <v>61</v>
      </c>
      <c r="D3558">
        <v>1255</v>
      </c>
      <c r="E3558">
        <v>2020</v>
      </c>
      <c r="F3558" t="s">
        <v>68</v>
      </c>
    </row>
    <row r="3559" spans="1:6" x14ac:dyDescent="0.25">
      <c r="A3559" t="s">
        <v>50</v>
      </c>
      <c r="B3559" t="s">
        <v>51</v>
      </c>
      <c r="C3559" t="s">
        <v>61</v>
      </c>
      <c r="D3559">
        <v>1310</v>
      </c>
      <c r="E3559">
        <v>2020</v>
      </c>
      <c r="F3559" t="s">
        <v>68</v>
      </c>
    </row>
    <row r="3560" spans="1:6" x14ac:dyDescent="0.25">
      <c r="A3560" t="s">
        <v>52</v>
      </c>
      <c r="B3560" t="s">
        <v>53</v>
      </c>
      <c r="C3560" t="s">
        <v>61</v>
      </c>
      <c r="D3560">
        <v>3290</v>
      </c>
      <c r="E3560">
        <v>2020</v>
      </c>
      <c r="F3560" t="s">
        <v>68</v>
      </c>
    </row>
    <row r="3561" spans="1:6" x14ac:dyDescent="0.25">
      <c r="A3561" t="s">
        <v>54</v>
      </c>
      <c r="B3561" t="s">
        <v>55</v>
      </c>
      <c r="C3561" t="s">
        <v>61</v>
      </c>
      <c r="D3561">
        <v>286</v>
      </c>
      <c r="E3561">
        <v>2020</v>
      </c>
      <c r="F3561" t="s">
        <v>68</v>
      </c>
    </row>
    <row r="3562" spans="1:6" x14ac:dyDescent="0.25">
      <c r="A3562" t="s">
        <v>56</v>
      </c>
      <c r="B3562" t="s">
        <v>57</v>
      </c>
      <c r="C3562" t="s">
        <v>61</v>
      </c>
      <c r="D3562">
        <v>1357</v>
      </c>
      <c r="E3562">
        <v>2020</v>
      </c>
      <c r="F3562" t="s">
        <v>68</v>
      </c>
    </row>
    <row r="3563" spans="1:6" x14ac:dyDescent="0.25">
      <c r="A3563" t="s">
        <v>58</v>
      </c>
      <c r="B3563" t="s">
        <v>59</v>
      </c>
      <c r="C3563" t="s">
        <v>61</v>
      </c>
      <c r="E3563">
        <v>2020</v>
      </c>
      <c r="F3563" t="s">
        <v>68</v>
      </c>
    </row>
    <row r="3564" spans="1:6" x14ac:dyDescent="0.25">
      <c r="A3564" t="s">
        <v>6</v>
      </c>
      <c r="B3564" t="s">
        <v>7</v>
      </c>
      <c r="C3564" t="s">
        <v>65</v>
      </c>
      <c r="D3564">
        <v>4240745</v>
      </c>
      <c r="E3564">
        <v>2020</v>
      </c>
      <c r="F3564" t="s">
        <v>68</v>
      </c>
    </row>
    <row r="3565" spans="1:6" x14ac:dyDescent="0.25">
      <c r="A3565" t="s">
        <v>10</v>
      </c>
      <c r="B3565" t="s">
        <v>11</v>
      </c>
      <c r="C3565" t="s">
        <v>65</v>
      </c>
      <c r="D3565">
        <v>838625</v>
      </c>
      <c r="E3565">
        <v>2020</v>
      </c>
      <c r="F3565" t="s">
        <v>68</v>
      </c>
    </row>
    <row r="3566" spans="1:6" x14ac:dyDescent="0.25">
      <c r="A3566" t="s">
        <v>12</v>
      </c>
      <c r="B3566" t="s">
        <v>13</v>
      </c>
      <c r="C3566" t="s">
        <v>65</v>
      </c>
      <c r="D3566">
        <v>148950</v>
      </c>
      <c r="E3566">
        <v>2020</v>
      </c>
      <c r="F3566" t="s">
        <v>68</v>
      </c>
    </row>
    <row r="3567" spans="1:6" x14ac:dyDescent="0.25">
      <c r="A3567" t="s">
        <v>14</v>
      </c>
      <c r="B3567" t="s">
        <v>15</v>
      </c>
      <c r="C3567" t="s">
        <v>65</v>
      </c>
      <c r="D3567">
        <v>2359</v>
      </c>
      <c r="E3567">
        <v>2020</v>
      </c>
      <c r="F3567" t="s">
        <v>68</v>
      </c>
    </row>
    <row r="3568" spans="1:6" x14ac:dyDescent="0.25">
      <c r="A3568" t="s">
        <v>16</v>
      </c>
      <c r="B3568" t="s">
        <v>17</v>
      </c>
      <c r="C3568" t="s">
        <v>65</v>
      </c>
      <c r="D3568">
        <v>278997</v>
      </c>
      <c r="E3568">
        <v>2020</v>
      </c>
      <c r="F3568" t="s">
        <v>68</v>
      </c>
    </row>
    <row r="3569" spans="1:6" x14ac:dyDescent="0.25">
      <c r="A3569" t="s">
        <v>18</v>
      </c>
      <c r="B3569" t="s">
        <v>19</v>
      </c>
      <c r="C3569" t="s">
        <v>65</v>
      </c>
      <c r="D3569">
        <v>132083</v>
      </c>
      <c r="E3569">
        <v>2020</v>
      </c>
      <c r="F3569" t="s">
        <v>68</v>
      </c>
    </row>
    <row r="3570" spans="1:6" x14ac:dyDescent="0.25">
      <c r="A3570" t="s">
        <v>20</v>
      </c>
      <c r="B3570" t="s">
        <v>21</v>
      </c>
      <c r="C3570" t="s">
        <v>65</v>
      </c>
      <c r="D3570">
        <v>62627</v>
      </c>
      <c r="E3570">
        <v>2020</v>
      </c>
      <c r="F3570" t="s">
        <v>68</v>
      </c>
    </row>
    <row r="3571" spans="1:6" x14ac:dyDescent="0.25">
      <c r="A3571" t="s">
        <v>22</v>
      </c>
      <c r="B3571" t="s">
        <v>23</v>
      </c>
      <c r="C3571" t="s">
        <v>65</v>
      </c>
      <c r="D3571">
        <v>27647</v>
      </c>
      <c r="E3571">
        <v>2020</v>
      </c>
      <c r="F3571" t="s">
        <v>68</v>
      </c>
    </row>
    <row r="3572" spans="1:6" x14ac:dyDescent="0.25">
      <c r="A3572" t="s">
        <v>24</v>
      </c>
      <c r="B3572" t="s">
        <v>25</v>
      </c>
      <c r="C3572" t="s">
        <v>65</v>
      </c>
      <c r="D3572">
        <v>76896</v>
      </c>
      <c r="E3572">
        <v>2020</v>
      </c>
      <c r="F3572" t="s">
        <v>68</v>
      </c>
    </row>
    <row r="3573" spans="1:6" x14ac:dyDescent="0.25">
      <c r="A3573" t="s">
        <v>26</v>
      </c>
      <c r="B3573" t="s">
        <v>27</v>
      </c>
      <c r="C3573" t="s">
        <v>65</v>
      </c>
      <c r="D3573">
        <v>13594</v>
      </c>
      <c r="E3573">
        <v>2020</v>
      </c>
      <c r="F3573" t="s">
        <v>68</v>
      </c>
    </row>
    <row r="3574" spans="1:6" x14ac:dyDescent="0.25">
      <c r="A3574" t="s">
        <v>28</v>
      </c>
      <c r="B3574" t="s">
        <v>29</v>
      </c>
      <c r="C3574" t="s">
        <v>65</v>
      </c>
      <c r="D3574">
        <v>26784</v>
      </c>
      <c r="E3574">
        <v>2020</v>
      </c>
      <c r="F3574" t="s">
        <v>68</v>
      </c>
    </row>
    <row r="3575" spans="1:6" x14ac:dyDescent="0.25">
      <c r="A3575" t="s">
        <v>30</v>
      </c>
      <c r="B3575" t="s">
        <v>31</v>
      </c>
      <c r="C3575" t="s">
        <v>65</v>
      </c>
      <c r="D3575">
        <v>183534</v>
      </c>
      <c r="E3575">
        <v>2020</v>
      </c>
      <c r="F3575" t="s">
        <v>68</v>
      </c>
    </row>
    <row r="3576" spans="1:6" x14ac:dyDescent="0.25">
      <c r="A3576" t="s">
        <v>32</v>
      </c>
      <c r="B3576" t="s">
        <v>33</v>
      </c>
      <c r="C3576" t="s">
        <v>65</v>
      </c>
      <c r="D3576">
        <v>79365</v>
      </c>
      <c r="E3576">
        <v>2020</v>
      </c>
      <c r="F3576" t="s">
        <v>68</v>
      </c>
    </row>
    <row r="3577" spans="1:6" x14ac:dyDescent="0.25">
      <c r="A3577" t="s">
        <v>34</v>
      </c>
      <c r="B3577" t="s">
        <v>35</v>
      </c>
      <c r="C3577" t="s">
        <v>65</v>
      </c>
      <c r="D3577">
        <v>248879</v>
      </c>
      <c r="E3577">
        <v>2020</v>
      </c>
      <c r="F3577" t="s">
        <v>68</v>
      </c>
    </row>
    <row r="3578" spans="1:6" x14ac:dyDescent="0.25">
      <c r="A3578" t="s">
        <v>36</v>
      </c>
      <c r="B3578" t="s">
        <v>37</v>
      </c>
      <c r="C3578" t="s">
        <v>65</v>
      </c>
      <c r="D3578">
        <v>163668</v>
      </c>
      <c r="E3578">
        <v>2020</v>
      </c>
      <c r="F3578" t="s">
        <v>68</v>
      </c>
    </row>
    <row r="3579" spans="1:6" x14ac:dyDescent="0.25">
      <c r="A3579" t="s">
        <v>38</v>
      </c>
      <c r="B3579" t="s">
        <v>39</v>
      </c>
      <c r="C3579" t="s">
        <v>65</v>
      </c>
      <c r="D3579">
        <v>115048</v>
      </c>
      <c r="E3579">
        <v>2020</v>
      </c>
      <c r="F3579" t="s">
        <v>68</v>
      </c>
    </row>
    <row r="3580" spans="1:6" x14ac:dyDescent="0.25">
      <c r="A3580" t="s">
        <v>40</v>
      </c>
      <c r="B3580" t="s">
        <v>41</v>
      </c>
      <c r="C3580" t="s">
        <v>65</v>
      </c>
      <c r="D3580">
        <v>303739</v>
      </c>
      <c r="E3580">
        <v>2020</v>
      </c>
      <c r="F3580" t="s">
        <v>68</v>
      </c>
    </row>
    <row r="3581" spans="1:6" x14ac:dyDescent="0.25">
      <c r="A3581" t="s">
        <v>42</v>
      </c>
      <c r="B3581" t="s">
        <v>43</v>
      </c>
      <c r="C3581" t="s">
        <v>65</v>
      </c>
      <c r="D3581">
        <v>348538</v>
      </c>
      <c r="E3581">
        <v>2020</v>
      </c>
      <c r="F3581" t="s">
        <v>68</v>
      </c>
    </row>
    <row r="3582" spans="1:6" x14ac:dyDescent="0.25">
      <c r="A3582" t="s">
        <v>44</v>
      </c>
      <c r="B3582" t="s">
        <v>45</v>
      </c>
      <c r="C3582" t="s">
        <v>65</v>
      </c>
      <c r="D3582">
        <v>581401</v>
      </c>
      <c r="E3582">
        <v>2020</v>
      </c>
      <c r="F3582" t="s">
        <v>68</v>
      </c>
    </row>
    <row r="3583" spans="1:6" x14ac:dyDescent="0.25">
      <c r="A3583" t="s">
        <v>46</v>
      </c>
      <c r="B3583" t="s">
        <v>47</v>
      </c>
      <c r="C3583" t="s">
        <v>65</v>
      </c>
      <c r="D3583">
        <v>429334</v>
      </c>
      <c r="E3583">
        <v>2020</v>
      </c>
      <c r="F3583" t="s">
        <v>68</v>
      </c>
    </row>
    <row r="3584" spans="1:6" x14ac:dyDescent="0.25">
      <c r="A3584" t="s">
        <v>48</v>
      </c>
      <c r="B3584" t="s">
        <v>49</v>
      </c>
      <c r="C3584" t="s">
        <v>65</v>
      </c>
      <c r="D3584">
        <v>111281</v>
      </c>
      <c r="E3584">
        <v>2020</v>
      </c>
      <c r="F3584" t="s">
        <v>68</v>
      </c>
    </row>
    <row r="3585" spans="1:6" x14ac:dyDescent="0.25">
      <c r="A3585" t="s">
        <v>50</v>
      </c>
      <c r="B3585" t="s">
        <v>51</v>
      </c>
      <c r="C3585" t="s">
        <v>65</v>
      </c>
      <c r="D3585">
        <v>24166</v>
      </c>
      <c r="E3585">
        <v>2020</v>
      </c>
      <c r="F3585" t="s">
        <v>68</v>
      </c>
    </row>
    <row r="3586" spans="1:6" x14ac:dyDescent="0.25">
      <c r="A3586" t="s">
        <v>52</v>
      </c>
      <c r="B3586" t="s">
        <v>53</v>
      </c>
      <c r="C3586" t="s">
        <v>65</v>
      </c>
      <c r="D3586">
        <v>28184</v>
      </c>
      <c r="E3586">
        <v>2020</v>
      </c>
      <c r="F3586" t="s">
        <v>68</v>
      </c>
    </row>
    <row r="3587" spans="1:6" x14ac:dyDescent="0.25">
      <c r="A3587" t="s">
        <v>54</v>
      </c>
      <c r="B3587" t="s">
        <v>55</v>
      </c>
      <c r="C3587" t="s">
        <v>65</v>
      </c>
      <c r="D3587">
        <v>15046</v>
      </c>
      <c r="E3587">
        <v>2020</v>
      </c>
      <c r="F3587" t="s">
        <v>68</v>
      </c>
    </row>
    <row r="3588" spans="1:6" x14ac:dyDescent="0.25">
      <c r="A3588" t="s">
        <v>56</v>
      </c>
      <c r="B3588" t="s">
        <v>57</v>
      </c>
      <c r="C3588" t="s">
        <v>65</v>
      </c>
      <c r="E3588">
        <v>2020</v>
      </c>
      <c r="F3588" t="s">
        <v>68</v>
      </c>
    </row>
    <row r="3589" spans="1:6" x14ac:dyDescent="0.25">
      <c r="A3589" t="s">
        <v>58</v>
      </c>
      <c r="B3589" t="s">
        <v>59</v>
      </c>
      <c r="C3589" t="s">
        <v>65</v>
      </c>
      <c r="E3589">
        <v>2020</v>
      </c>
      <c r="F3589" t="s">
        <v>68</v>
      </c>
    </row>
    <row r="3590" spans="1:6" x14ac:dyDescent="0.25">
      <c r="A3590" t="s">
        <v>6</v>
      </c>
      <c r="B3590" t="s">
        <v>7</v>
      </c>
      <c r="C3590" t="s">
        <v>62</v>
      </c>
      <c r="E3590">
        <v>2020</v>
      </c>
      <c r="F3590" t="s">
        <v>68</v>
      </c>
    </row>
    <row r="3591" spans="1:6" x14ac:dyDescent="0.25">
      <c r="A3591" t="s">
        <v>10</v>
      </c>
      <c r="B3591" t="s">
        <v>11</v>
      </c>
      <c r="C3591" t="s">
        <v>62</v>
      </c>
      <c r="E3591">
        <v>2020</v>
      </c>
      <c r="F3591" t="s">
        <v>68</v>
      </c>
    </row>
    <row r="3592" spans="1:6" x14ac:dyDescent="0.25">
      <c r="A3592" t="s">
        <v>12</v>
      </c>
      <c r="B3592" t="s">
        <v>13</v>
      </c>
      <c r="C3592" t="s">
        <v>62</v>
      </c>
      <c r="E3592">
        <v>2020</v>
      </c>
      <c r="F3592" t="s">
        <v>68</v>
      </c>
    </row>
    <row r="3593" spans="1:6" x14ac:dyDescent="0.25">
      <c r="A3593" t="s">
        <v>14</v>
      </c>
      <c r="B3593" t="s">
        <v>15</v>
      </c>
      <c r="C3593" t="s">
        <v>62</v>
      </c>
      <c r="E3593">
        <v>2020</v>
      </c>
      <c r="F3593" t="s">
        <v>68</v>
      </c>
    </row>
    <row r="3594" spans="1:6" x14ac:dyDescent="0.25">
      <c r="A3594" t="s">
        <v>16</v>
      </c>
      <c r="B3594" t="s">
        <v>17</v>
      </c>
      <c r="C3594" t="s">
        <v>62</v>
      </c>
      <c r="E3594">
        <v>2020</v>
      </c>
      <c r="F3594" t="s">
        <v>68</v>
      </c>
    </row>
    <row r="3595" spans="1:6" x14ac:dyDescent="0.25">
      <c r="A3595" t="s">
        <v>18</v>
      </c>
      <c r="B3595" t="s">
        <v>19</v>
      </c>
      <c r="C3595" t="s">
        <v>62</v>
      </c>
      <c r="E3595">
        <v>2020</v>
      </c>
      <c r="F3595" t="s">
        <v>68</v>
      </c>
    </row>
    <row r="3596" spans="1:6" x14ac:dyDescent="0.25">
      <c r="A3596" t="s">
        <v>20</v>
      </c>
      <c r="B3596" t="s">
        <v>21</v>
      </c>
      <c r="C3596" t="s">
        <v>62</v>
      </c>
      <c r="E3596">
        <v>2020</v>
      </c>
      <c r="F3596" t="s">
        <v>68</v>
      </c>
    </row>
    <row r="3597" spans="1:6" x14ac:dyDescent="0.25">
      <c r="A3597" t="s">
        <v>22</v>
      </c>
      <c r="B3597" t="s">
        <v>23</v>
      </c>
      <c r="C3597" t="s">
        <v>62</v>
      </c>
      <c r="E3597">
        <v>2020</v>
      </c>
      <c r="F3597" t="s">
        <v>68</v>
      </c>
    </row>
    <row r="3598" spans="1:6" x14ac:dyDescent="0.25">
      <c r="A3598" t="s">
        <v>24</v>
      </c>
      <c r="B3598" t="s">
        <v>25</v>
      </c>
      <c r="C3598" t="s">
        <v>62</v>
      </c>
      <c r="E3598">
        <v>2020</v>
      </c>
      <c r="F3598" t="s">
        <v>68</v>
      </c>
    </row>
    <row r="3599" spans="1:6" x14ac:dyDescent="0.25">
      <c r="A3599" t="s">
        <v>26</v>
      </c>
      <c r="B3599" t="s">
        <v>27</v>
      </c>
      <c r="C3599" t="s">
        <v>62</v>
      </c>
      <c r="E3599">
        <v>2020</v>
      </c>
      <c r="F3599" t="s">
        <v>68</v>
      </c>
    </row>
    <row r="3600" spans="1:6" x14ac:dyDescent="0.25">
      <c r="A3600" t="s">
        <v>28</v>
      </c>
      <c r="B3600" t="s">
        <v>29</v>
      </c>
      <c r="C3600" t="s">
        <v>62</v>
      </c>
      <c r="E3600">
        <v>2020</v>
      </c>
      <c r="F3600" t="s">
        <v>68</v>
      </c>
    </row>
    <row r="3601" spans="1:6" x14ac:dyDescent="0.25">
      <c r="A3601" t="s">
        <v>30</v>
      </c>
      <c r="B3601" t="s">
        <v>31</v>
      </c>
      <c r="C3601" t="s">
        <v>62</v>
      </c>
      <c r="E3601">
        <v>2020</v>
      </c>
      <c r="F3601" t="s">
        <v>68</v>
      </c>
    </row>
    <row r="3602" spans="1:6" x14ac:dyDescent="0.25">
      <c r="A3602" t="s">
        <v>32</v>
      </c>
      <c r="B3602" t="s">
        <v>33</v>
      </c>
      <c r="C3602" t="s">
        <v>62</v>
      </c>
      <c r="E3602">
        <v>2020</v>
      </c>
      <c r="F3602" t="s">
        <v>68</v>
      </c>
    </row>
    <row r="3603" spans="1:6" x14ac:dyDescent="0.25">
      <c r="A3603" t="s">
        <v>34</v>
      </c>
      <c r="B3603" t="s">
        <v>35</v>
      </c>
      <c r="C3603" t="s">
        <v>62</v>
      </c>
      <c r="E3603">
        <v>2020</v>
      </c>
      <c r="F3603" t="s">
        <v>68</v>
      </c>
    </row>
    <row r="3604" spans="1:6" x14ac:dyDescent="0.25">
      <c r="A3604" t="s">
        <v>36</v>
      </c>
      <c r="B3604" t="s">
        <v>37</v>
      </c>
      <c r="C3604" t="s">
        <v>62</v>
      </c>
      <c r="E3604">
        <v>2020</v>
      </c>
      <c r="F3604" t="s">
        <v>68</v>
      </c>
    </row>
    <row r="3605" spans="1:6" x14ac:dyDescent="0.25">
      <c r="A3605" t="s">
        <v>38</v>
      </c>
      <c r="B3605" t="s">
        <v>39</v>
      </c>
      <c r="C3605" t="s">
        <v>62</v>
      </c>
      <c r="E3605">
        <v>2020</v>
      </c>
      <c r="F3605" t="s">
        <v>68</v>
      </c>
    </row>
    <row r="3606" spans="1:6" x14ac:dyDescent="0.25">
      <c r="A3606" t="s">
        <v>40</v>
      </c>
      <c r="B3606" t="s">
        <v>41</v>
      </c>
      <c r="C3606" t="s">
        <v>62</v>
      </c>
      <c r="E3606">
        <v>2020</v>
      </c>
      <c r="F3606" t="s">
        <v>68</v>
      </c>
    </row>
    <row r="3607" spans="1:6" x14ac:dyDescent="0.25">
      <c r="A3607" t="s">
        <v>42</v>
      </c>
      <c r="B3607" t="s">
        <v>43</v>
      </c>
      <c r="C3607" t="s">
        <v>62</v>
      </c>
      <c r="E3607">
        <v>2020</v>
      </c>
      <c r="F3607" t="s">
        <v>68</v>
      </c>
    </row>
    <row r="3608" spans="1:6" x14ac:dyDescent="0.25">
      <c r="A3608" t="s">
        <v>44</v>
      </c>
      <c r="B3608" t="s">
        <v>45</v>
      </c>
      <c r="C3608" t="s">
        <v>62</v>
      </c>
      <c r="E3608">
        <v>2020</v>
      </c>
      <c r="F3608" t="s">
        <v>68</v>
      </c>
    </row>
    <row r="3609" spans="1:6" x14ac:dyDescent="0.25">
      <c r="A3609" t="s">
        <v>46</v>
      </c>
      <c r="B3609" t="s">
        <v>47</v>
      </c>
      <c r="C3609" t="s">
        <v>62</v>
      </c>
      <c r="E3609">
        <v>2020</v>
      </c>
      <c r="F3609" t="s">
        <v>68</v>
      </c>
    </row>
    <row r="3610" spans="1:6" x14ac:dyDescent="0.25">
      <c r="A3610" t="s">
        <v>48</v>
      </c>
      <c r="B3610" t="s">
        <v>49</v>
      </c>
      <c r="C3610" t="s">
        <v>62</v>
      </c>
      <c r="E3610">
        <v>2020</v>
      </c>
      <c r="F3610" t="s">
        <v>68</v>
      </c>
    </row>
    <row r="3611" spans="1:6" x14ac:dyDescent="0.25">
      <c r="A3611" t="s">
        <v>50</v>
      </c>
      <c r="B3611" t="s">
        <v>51</v>
      </c>
      <c r="C3611" t="s">
        <v>62</v>
      </c>
      <c r="E3611">
        <v>2020</v>
      </c>
      <c r="F3611" t="s">
        <v>68</v>
      </c>
    </row>
    <row r="3612" spans="1:6" x14ac:dyDescent="0.25">
      <c r="A3612" t="s">
        <v>52</v>
      </c>
      <c r="B3612" t="s">
        <v>53</v>
      </c>
      <c r="C3612" t="s">
        <v>62</v>
      </c>
      <c r="E3612">
        <v>2020</v>
      </c>
      <c r="F3612" t="s">
        <v>68</v>
      </c>
    </row>
    <row r="3613" spans="1:6" x14ac:dyDescent="0.25">
      <c r="A3613" t="s">
        <v>54</v>
      </c>
      <c r="B3613" t="s">
        <v>55</v>
      </c>
      <c r="C3613" t="s">
        <v>62</v>
      </c>
      <c r="E3613">
        <v>2020</v>
      </c>
      <c r="F3613" t="s">
        <v>68</v>
      </c>
    </row>
    <row r="3614" spans="1:6" x14ac:dyDescent="0.25">
      <c r="A3614" t="s">
        <v>56</v>
      </c>
      <c r="B3614" t="s">
        <v>57</v>
      </c>
      <c r="C3614" t="s">
        <v>62</v>
      </c>
      <c r="E3614">
        <v>2020</v>
      </c>
      <c r="F3614" t="s">
        <v>68</v>
      </c>
    </row>
    <row r="3615" spans="1:6" x14ac:dyDescent="0.25">
      <c r="A3615" t="s">
        <v>58</v>
      </c>
      <c r="B3615" t="s">
        <v>59</v>
      </c>
      <c r="C3615" t="s">
        <v>62</v>
      </c>
      <c r="E3615">
        <v>2020</v>
      </c>
      <c r="F3615" t="s">
        <v>68</v>
      </c>
    </row>
    <row r="3616" spans="1:6" x14ac:dyDescent="0.25">
      <c r="A3616" t="s">
        <v>6</v>
      </c>
      <c r="B3616" t="s">
        <v>7</v>
      </c>
      <c r="C3616" t="s">
        <v>66</v>
      </c>
      <c r="E3616">
        <v>2020</v>
      </c>
      <c r="F3616" t="s">
        <v>68</v>
      </c>
    </row>
    <row r="3617" spans="1:6" x14ac:dyDescent="0.25">
      <c r="A3617" t="s">
        <v>10</v>
      </c>
      <c r="B3617" t="s">
        <v>11</v>
      </c>
      <c r="C3617" t="s">
        <v>66</v>
      </c>
      <c r="E3617">
        <v>2020</v>
      </c>
      <c r="F3617" t="s">
        <v>68</v>
      </c>
    </row>
    <row r="3618" spans="1:6" x14ac:dyDescent="0.25">
      <c r="A3618" t="s">
        <v>12</v>
      </c>
      <c r="B3618" t="s">
        <v>13</v>
      </c>
      <c r="C3618" t="s">
        <v>66</v>
      </c>
      <c r="E3618">
        <v>2020</v>
      </c>
      <c r="F3618" t="s">
        <v>68</v>
      </c>
    </row>
    <row r="3619" spans="1:6" x14ac:dyDescent="0.25">
      <c r="A3619" t="s">
        <v>14</v>
      </c>
      <c r="B3619" t="s">
        <v>15</v>
      </c>
      <c r="C3619" t="s">
        <v>66</v>
      </c>
      <c r="E3619">
        <v>2020</v>
      </c>
      <c r="F3619" t="s">
        <v>68</v>
      </c>
    </row>
    <row r="3620" spans="1:6" x14ac:dyDescent="0.25">
      <c r="A3620" t="s">
        <v>16</v>
      </c>
      <c r="B3620" t="s">
        <v>17</v>
      </c>
      <c r="C3620" t="s">
        <v>66</v>
      </c>
      <c r="E3620">
        <v>2020</v>
      </c>
      <c r="F3620" t="s">
        <v>68</v>
      </c>
    </row>
    <row r="3621" spans="1:6" x14ac:dyDescent="0.25">
      <c r="A3621" t="s">
        <v>18</v>
      </c>
      <c r="B3621" t="s">
        <v>19</v>
      </c>
      <c r="C3621" t="s">
        <v>66</v>
      </c>
      <c r="E3621">
        <v>2020</v>
      </c>
      <c r="F3621" t="s">
        <v>68</v>
      </c>
    </row>
    <row r="3622" spans="1:6" x14ac:dyDescent="0.25">
      <c r="A3622" t="s">
        <v>20</v>
      </c>
      <c r="B3622" t="s">
        <v>21</v>
      </c>
      <c r="C3622" t="s">
        <v>66</v>
      </c>
      <c r="E3622">
        <v>2020</v>
      </c>
      <c r="F3622" t="s">
        <v>68</v>
      </c>
    </row>
    <row r="3623" spans="1:6" x14ac:dyDescent="0.25">
      <c r="A3623" t="s">
        <v>22</v>
      </c>
      <c r="B3623" t="s">
        <v>23</v>
      </c>
      <c r="C3623" t="s">
        <v>66</v>
      </c>
      <c r="E3623">
        <v>2020</v>
      </c>
      <c r="F3623" t="s">
        <v>68</v>
      </c>
    </row>
    <row r="3624" spans="1:6" x14ac:dyDescent="0.25">
      <c r="A3624" t="s">
        <v>24</v>
      </c>
      <c r="B3624" t="s">
        <v>25</v>
      </c>
      <c r="C3624" t="s">
        <v>66</v>
      </c>
      <c r="E3624">
        <v>2020</v>
      </c>
      <c r="F3624" t="s">
        <v>68</v>
      </c>
    </row>
    <row r="3625" spans="1:6" x14ac:dyDescent="0.25">
      <c r="A3625" t="s">
        <v>26</v>
      </c>
      <c r="B3625" t="s">
        <v>27</v>
      </c>
      <c r="C3625" t="s">
        <v>66</v>
      </c>
      <c r="E3625">
        <v>2020</v>
      </c>
      <c r="F3625" t="s">
        <v>68</v>
      </c>
    </row>
    <row r="3626" spans="1:6" x14ac:dyDescent="0.25">
      <c r="A3626" t="s">
        <v>28</v>
      </c>
      <c r="B3626" t="s">
        <v>29</v>
      </c>
      <c r="C3626" t="s">
        <v>66</v>
      </c>
      <c r="E3626">
        <v>2020</v>
      </c>
      <c r="F3626" t="s">
        <v>68</v>
      </c>
    </row>
    <row r="3627" spans="1:6" x14ac:dyDescent="0.25">
      <c r="A3627" t="s">
        <v>30</v>
      </c>
      <c r="B3627" t="s">
        <v>31</v>
      </c>
      <c r="C3627" t="s">
        <v>66</v>
      </c>
      <c r="E3627">
        <v>2020</v>
      </c>
      <c r="F3627" t="s">
        <v>68</v>
      </c>
    </row>
    <row r="3628" spans="1:6" x14ac:dyDescent="0.25">
      <c r="A3628" t="s">
        <v>32</v>
      </c>
      <c r="B3628" t="s">
        <v>33</v>
      </c>
      <c r="C3628" t="s">
        <v>66</v>
      </c>
      <c r="E3628">
        <v>2020</v>
      </c>
      <c r="F3628" t="s">
        <v>68</v>
      </c>
    </row>
    <row r="3629" spans="1:6" x14ac:dyDescent="0.25">
      <c r="A3629" t="s">
        <v>34</v>
      </c>
      <c r="B3629" t="s">
        <v>35</v>
      </c>
      <c r="C3629" t="s">
        <v>66</v>
      </c>
      <c r="E3629">
        <v>2020</v>
      </c>
      <c r="F3629" t="s">
        <v>68</v>
      </c>
    </row>
    <row r="3630" spans="1:6" x14ac:dyDescent="0.25">
      <c r="A3630" t="s">
        <v>36</v>
      </c>
      <c r="B3630" t="s">
        <v>37</v>
      </c>
      <c r="C3630" t="s">
        <v>66</v>
      </c>
      <c r="E3630">
        <v>2020</v>
      </c>
      <c r="F3630" t="s">
        <v>68</v>
      </c>
    </row>
    <row r="3631" spans="1:6" x14ac:dyDescent="0.25">
      <c r="A3631" t="s">
        <v>38</v>
      </c>
      <c r="B3631" t="s">
        <v>39</v>
      </c>
      <c r="C3631" t="s">
        <v>66</v>
      </c>
      <c r="E3631">
        <v>2020</v>
      </c>
      <c r="F3631" t="s">
        <v>68</v>
      </c>
    </row>
    <row r="3632" spans="1:6" x14ac:dyDescent="0.25">
      <c r="A3632" t="s">
        <v>40</v>
      </c>
      <c r="B3632" t="s">
        <v>41</v>
      </c>
      <c r="C3632" t="s">
        <v>66</v>
      </c>
      <c r="E3632">
        <v>2020</v>
      </c>
      <c r="F3632" t="s">
        <v>68</v>
      </c>
    </row>
    <row r="3633" spans="1:6" x14ac:dyDescent="0.25">
      <c r="A3633" t="s">
        <v>42</v>
      </c>
      <c r="B3633" t="s">
        <v>43</v>
      </c>
      <c r="C3633" t="s">
        <v>66</v>
      </c>
      <c r="E3633">
        <v>2020</v>
      </c>
      <c r="F3633" t="s">
        <v>68</v>
      </c>
    </row>
    <row r="3634" spans="1:6" x14ac:dyDescent="0.25">
      <c r="A3634" t="s">
        <v>44</v>
      </c>
      <c r="B3634" t="s">
        <v>45</v>
      </c>
      <c r="C3634" t="s">
        <v>66</v>
      </c>
      <c r="E3634">
        <v>2020</v>
      </c>
      <c r="F3634" t="s">
        <v>68</v>
      </c>
    </row>
    <row r="3635" spans="1:6" x14ac:dyDescent="0.25">
      <c r="A3635" t="s">
        <v>46</v>
      </c>
      <c r="B3635" t="s">
        <v>47</v>
      </c>
      <c r="C3635" t="s">
        <v>66</v>
      </c>
      <c r="E3635">
        <v>2020</v>
      </c>
      <c r="F3635" t="s">
        <v>68</v>
      </c>
    </row>
    <row r="3636" spans="1:6" x14ac:dyDescent="0.25">
      <c r="A3636" t="s">
        <v>48</v>
      </c>
      <c r="B3636" t="s">
        <v>49</v>
      </c>
      <c r="C3636" t="s">
        <v>66</v>
      </c>
      <c r="E3636">
        <v>2020</v>
      </c>
      <c r="F3636" t="s">
        <v>68</v>
      </c>
    </row>
    <row r="3637" spans="1:6" x14ac:dyDescent="0.25">
      <c r="A3637" t="s">
        <v>50</v>
      </c>
      <c r="B3637" t="s">
        <v>51</v>
      </c>
      <c r="C3637" t="s">
        <v>66</v>
      </c>
      <c r="E3637">
        <v>2020</v>
      </c>
      <c r="F3637" t="s">
        <v>68</v>
      </c>
    </row>
    <row r="3638" spans="1:6" x14ac:dyDescent="0.25">
      <c r="A3638" t="s">
        <v>52</v>
      </c>
      <c r="B3638" t="s">
        <v>53</v>
      </c>
      <c r="C3638" t="s">
        <v>66</v>
      </c>
      <c r="E3638">
        <v>2020</v>
      </c>
      <c r="F3638" t="s">
        <v>68</v>
      </c>
    </row>
    <row r="3639" spans="1:6" x14ac:dyDescent="0.25">
      <c r="A3639" t="s">
        <v>54</v>
      </c>
      <c r="B3639" t="s">
        <v>55</v>
      </c>
      <c r="C3639" t="s">
        <v>66</v>
      </c>
      <c r="E3639">
        <v>2020</v>
      </c>
      <c r="F3639" t="s">
        <v>68</v>
      </c>
    </row>
    <row r="3640" spans="1:6" x14ac:dyDescent="0.25">
      <c r="A3640" t="s">
        <v>56</v>
      </c>
      <c r="B3640" t="s">
        <v>57</v>
      </c>
      <c r="C3640" t="s">
        <v>66</v>
      </c>
      <c r="E3640">
        <v>2020</v>
      </c>
      <c r="F3640" t="s">
        <v>68</v>
      </c>
    </row>
    <row r="3641" spans="1:6" x14ac:dyDescent="0.25">
      <c r="A3641" t="s">
        <v>58</v>
      </c>
      <c r="B3641" t="s">
        <v>59</v>
      </c>
      <c r="C3641" t="s">
        <v>66</v>
      </c>
      <c r="E3641">
        <v>2020</v>
      </c>
      <c r="F3641" t="s">
        <v>68</v>
      </c>
    </row>
    <row r="3642" spans="1:6" x14ac:dyDescent="0.25">
      <c r="A3642" t="s">
        <v>6</v>
      </c>
      <c r="B3642" t="s">
        <v>7</v>
      </c>
      <c r="C3642" t="s">
        <v>63</v>
      </c>
      <c r="D3642">
        <v>-399987916744</v>
      </c>
      <c r="E3642">
        <v>2021</v>
      </c>
      <c r="F3642" t="s">
        <v>68</v>
      </c>
    </row>
    <row r="3643" spans="1:6" x14ac:dyDescent="0.25">
      <c r="A3643" t="s">
        <v>10</v>
      </c>
      <c r="B3643" t="s">
        <v>11</v>
      </c>
      <c r="C3643" t="s">
        <v>63</v>
      </c>
      <c r="D3643">
        <v>3113636</v>
      </c>
      <c r="E3643">
        <v>2021</v>
      </c>
      <c r="F3643" t="s">
        <v>68</v>
      </c>
    </row>
    <row r="3644" spans="1:6" x14ac:dyDescent="0.25">
      <c r="A3644" t="s">
        <v>12</v>
      </c>
      <c r="B3644" t="s">
        <v>13</v>
      </c>
      <c r="C3644" t="s">
        <v>63</v>
      </c>
      <c r="D3644">
        <v>314574</v>
      </c>
      <c r="E3644">
        <v>2021</v>
      </c>
      <c r="F3644" t="s">
        <v>68</v>
      </c>
    </row>
    <row r="3645" spans="1:6" x14ac:dyDescent="0.25">
      <c r="A3645" t="s">
        <v>14</v>
      </c>
      <c r="B3645" t="s">
        <v>15</v>
      </c>
      <c r="C3645" t="s">
        <v>63</v>
      </c>
      <c r="D3645">
        <v>31364</v>
      </c>
      <c r="E3645">
        <v>2021</v>
      </c>
      <c r="F3645" t="s">
        <v>68</v>
      </c>
    </row>
    <row r="3646" spans="1:6" x14ac:dyDescent="0.25">
      <c r="A3646" t="s">
        <v>16</v>
      </c>
      <c r="B3646" t="s">
        <v>17</v>
      </c>
      <c r="C3646" t="s">
        <v>63</v>
      </c>
      <c r="D3646">
        <v>421706</v>
      </c>
      <c r="E3646">
        <v>2021</v>
      </c>
      <c r="F3646" t="s">
        <v>68</v>
      </c>
    </row>
    <row r="3647" spans="1:6" x14ac:dyDescent="0.25">
      <c r="A3647" t="s">
        <v>18</v>
      </c>
      <c r="B3647" t="s">
        <v>19</v>
      </c>
      <c r="C3647" t="s">
        <v>63</v>
      </c>
      <c r="D3647">
        <v>668038</v>
      </c>
      <c r="E3647">
        <v>2021</v>
      </c>
      <c r="F3647" t="s">
        <v>68</v>
      </c>
    </row>
    <row r="3648" spans="1:6" x14ac:dyDescent="0.25">
      <c r="A3648" t="s">
        <v>20</v>
      </c>
      <c r="B3648" t="s">
        <v>21</v>
      </c>
      <c r="C3648" t="s">
        <v>63</v>
      </c>
      <c r="D3648">
        <v>555348</v>
      </c>
      <c r="E3648">
        <v>2021</v>
      </c>
      <c r="F3648" t="s">
        <v>68</v>
      </c>
    </row>
    <row r="3649" spans="1:6" x14ac:dyDescent="0.25">
      <c r="A3649" t="s">
        <v>22</v>
      </c>
      <c r="B3649" t="s">
        <v>23</v>
      </c>
      <c r="C3649" t="s">
        <v>63</v>
      </c>
      <c r="D3649">
        <v>242390</v>
      </c>
      <c r="E3649">
        <v>2021</v>
      </c>
      <c r="F3649" t="s">
        <v>68</v>
      </c>
    </row>
    <row r="3650" spans="1:6" x14ac:dyDescent="0.25">
      <c r="A3650" t="s">
        <v>24</v>
      </c>
      <c r="B3650" t="s">
        <v>25</v>
      </c>
      <c r="C3650" t="s">
        <v>63</v>
      </c>
      <c r="D3650">
        <v>345518</v>
      </c>
      <c r="E3650">
        <v>2021</v>
      </c>
      <c r="F3650" t="s">
        <v>68</v>
      </c>
    </row>
    <row r="3651" spans="1:6" x14ac:dyDescent="0.25">
      <c r="A3651" t="s">
        <v>26</v>
      </c>
      <c r="B3651" t="s">
        <v>27</v>
      </c>
      <c r="C3651" t="s">
        <v>63</v>
      </c>
      <c r="D3651">
        <v>78271</v>
      </c>
      <c r="E3651">
        <v>2021</v>
      </c>
      <c r="F3651" t="s">
        <v>68</v>
      </c>
    </row>
    <row r="3652" spans="1:6" x14ac:dyDescent="0.25">
      <c r="A3652" t="s">
        <v>28</v>
      </c>
      <c r="B3652" t="s">
        <v>29</v>
      </c>
      <c r="C3652" t="s">
        <v>63</v>
      </c>
      <c r="D3652">
        <v>-99999868698</v>
      </c>
      <c r="E3652">
        <v>2021</v>
      </c>
      <c r="F3652" t="s">
        <v>68</v>
      </c>
    </row>
    <row r="3653" spans="1:6" x14ac:dyDescent="0.25">
      <c r="A3653" t="s">
        <v>30</v>
      </c>
      <c r="B3653" t="s">
        <v>31</v>
      </c>
      <c r="C3653" t="s">
        <v>63</v>
      </c>
      <c r="D3653">
        <v>-99999196124</v>
      </c>
      <c r="E3653">
        <v>2021</v>
      </c>
      <c r="F3653" t="s">
        <v>68</v>
      </c>
    </row>
    <row r="3654" spans="1:6" x14ac:dyDescent="0.25">
      <c r="A3654" t="s">
        <v>32</v>
      </c>
      <c r="B3654" t="s">
        <v>33</v>
      </c>
      <c r="C3654" t="s">
        <v>63</v>
      </c>
      <c r="D3654">
        <v>221951</v>
      </c>
      <c r="E3654">
        <v>2021</v>
      </c>
      <c r="F3654" t="s">
        <v>68</v>
      </c>
    </row>
    <row r="3655" spans="1:6" x14ac:dyDescent="0.25">
      <c r="A3655" t="s">
        <v>34</v>
      </c>
      <c r="B3655" t="s">
        <v>35</v>
      </c>
      <c r="C3655" t="s">
        <v>63</v>
      </c>
      <c r="D3655">
        <v>616034</v>
      </c>
      <c r="E3655">
        <v>2021</v>
      </c>
      <c r="F3655" t="s">
        <v>68</v>
      </c>
    </row>
    <row r="3656" spans="1:6" x14ac:dyDescent="0.25">
      <c r="A3656" t="s">
        <v>36</v>
      </c>
      <c r="B3656" t="s">
        <v>37</v>
      </c>
      <c r="C3656" t="s">
        <v>63</v>
      </c>
      <c r="D3656">
        <v>544451</v>
      </c>
      <c r="E3656">
        <v>2021</v>
      </c>
      <c r="F3656" t="s">
        <v>68</v>
      </c>
    </row>
    <row r="3657" spans="1:6" x14ac:dyDescent="0.25">
      <c r="A3657" t="s">
        <v>38</v>
      </c>
      <c r="B3657" t="s">
        <v>39</v>
      </c>
      <c r="C3657" t="s">
        <v>63</v>
      </c>
      <c r="D3657">
        <v>433987</v>
      </c>
      <c r="E3657">
        <v>2021</v>
      </c>
      <c r="F3657" t="s">
        <v>68</v>
      </c>
    </row>
    <row r="3658" spans="1:6" x14ac:dyDescent="0.25">
      <c r="A3658" t="s">
        <v>40</v>
      </c>
      <c r="B3658" t="s">
        <v>41</v>
      </c>
      <c r="C3658" t="s">
        <v>63</v>
      </c>
      <c r="D3658">
        <v>534315</v>
      </c>
      <c r="E3658">
        <v>2021</v>
      </c>
      <c r="F3658" t="s">
        <v>68</v>
      </c>
    </row>
    <row r="3659" spans="1:6" x14ac:dyDescent="0.25">
      <c r="A3659" t="s">
        <v>42</v>
      </c>
      <c r="B3659" t="s">
        <v>43</v>
      </c>
      <c r="C3659" t="s">
        <v>63</v>
      </c>
      <c r="D3659">
        <v>-99999783472</v>
      </c>
      <c r="E3659">
        <v>2021</v>
      </c>
      <c r="F3659" t="s">
        <v>68</v>
      </c>
    </row>
    <row r="3660" spans="1:6" x14ac:dyDescent="0.25">
      <c r="A3660" t="s">
        <v>44</v>
      </c>
      <c r="B3660" t="s">
        <v>45</v>
      </c>
      <c r="C3660" t="s">
        <v>63</v>
      </c>
      <c r="D3660">
        <v>403866</v>
      </c>
      <c r="E3660">
        <v>2021</v>
      </c>
      <c r="F3660" t="s">
        <v>68</v>
      </c>
    </row>
    <row r="3661" spans="1:6" x14ac:dyDescent="0.25">
      <c r="A3661" t="s">
        <v>46</v>
      </c>
      <c r="B3661" t="s">
        <v>47</v>
      </c>
      <c r="C3661" t="s">
        <v>63</v>
      </c>
      <c r="D3661">
        <v>656800</v>
      </c>
      <c r="E3661">
        <v>2021</v>
      </c>
      <c r="F3661" t="s">
        <v>68</v>
      </c>
    </row>
    <row r="3662" spans="1:6" x14ac:dyDescent="0.25">
      <c r="A3662" t="s">
        <v>48</v>
      </c>
      <c r="B3662" t="s">
        <v>49</v>
      </c>
      <c r="C3662" t="s">
        <v>63</v>
      </c>
      <c r="D3662">
        <v>814973</v>
      </c>
      <c r="E3662">
        <v>2021</v>
      </c>
      <c r="F3662" t="s">
        <v>68</v>
      </c>
    </row>
    <row r="3663" spans="1:6" x14ac:dyDescent="0.25">
      <c r="A3663" t="s">
        <v>50</v>
      </c>
      <c r="B3663" t="s">
        <v>51</v>
      </c>
      <c r="C3663" t="s">
        <v>63</v>
      </c>
      <c r="D3663">
        <v>-99999858169</v>
      </c>
      <c r="E3663">
        <v>2021</v>
      </c>
      <c r="F3663" t="s">
        <v>68</v>
      </c>
    </row>
    <row r="3664" spans="1:6" x14ac:dyDescent="0.25">
      <c r="A3664" t="s">
        <v>52</v>
      </c>
      <c r="B3664" t="s">
        <v>53</v>
      </c>
      <c r="C3664" t="s">
        <v>63</v>
      </c>
      <c r="D3664">
        <v>312695</v>
      </c>
      <c r="E3664">
        <v>2021</v>
      </c>
      <c r="F3664" t="s">
        <v>68</v>
      </c>
    </row>
    <row r="3665" spans="1:6" x14ac:dyDescent="0.25">
      <c r="A3665" t="s">
        <v>54</v>
      </c>
      <c r="B3665" t="s">
        <v>55</v>
      </c>
      <c r="C3665" t="s">
        <v>63</v>
      </c>
      <c r="D3665">
        <v>212743</v>
      </c>
      <c r="E3665">
        <v>2021</v>
      </c>
      <c r="F3665" t="s">
        <v>68</v>
      </c>
    </row>
    <row r="3666" spans="1:6" x14ac:dyDescent="0.25">
      <c r="A3666" t="s">
        <v>56</v>
      </c>
      <c r="B3666" t="s">
        <v>57</v>
      </c>
      <c r="C3666" t="s">
        <v>63</v>
      </c>
      <c r="D3666">
        <v>267059</v>
      </c>
      <c r="E3666">
        <v>2021</v>
      </c>
      <c r="F3666" t="s">
        <v>68</v>
      </c>
    </row>
    <row r="3667" spans="1:6" x14ac:dyDescent="0.25">
      <c r="A3667" t="s">
        <v>58</v>
      </c>
      <c r="B3667" t="s">
        <v>59</v>
      </c>
      <c r="C3667" t="s">
        <v>63</v>
      </c>
      <c r="E3667">
        <v>2021</v>
      </c>
      <c r="F3667" t="s">
        <v>68</v>
      </c>
    </row>
    <row r="3668" spans="1:6" x14ac:dyDescent="0.25">
      <c r="A3668" t="s">
        <v>6</v>
      </c>
      <c r="B3668" t="s">
        <v>7</v>
      </c>
      <c r="C3668" t="s">
        <v>8</v>
      </c>
      <c r="D3668">
        <v>468268</v>
      </c>
      <c r="E3668">
        <v>2021</v>
      </c>
      <c r="F3668" t="s">
        <v>68</v>
      </c>
    </row>
    <row r="3669" spans="1:6" x14ac:dyDescent="0.25">
      <c r="A3669" t="s">
        <v>10</v>
      </c>
      <c r="B3669" t="s">
        <v>11</v>
      </c>
      <c r="C3669" t="s">
        <v>8</v>
      </c>
      <c r="D3669">
        <v>184026</v>
      </c>
      <c r="E3669">
        <v>2021</v>
      </c>
      <c r="F3669" t="s">
        <v>68</v>
      </c>
    </row>
    <row r="3670" spans="1:6" x14ac:dyDescent="0.25">
      <c r="A3670" t="s">
        <v>12</v>
      </c>
      <c r="B3670" t="s">
        <v>13</v>
      </c>
      <c r="C3670" t="s">
        <v>8</v>
      </c>
      <c r="D3670">
        <v>21831</v>
      </c>
      <c r="E3670">
        <v>2021</v>
      </c>
      <c r="F3670" t="s">
        <v>68</v>
      </c>
    </row>
    <row r="3671" spans="1:6" x14ac:dyDescent="0.25">
      <c r="A3671" t="s">
        <v>14</v>
      </c>
      <c r="B3671" t="s">
        <v>15</v>
      </c>
      <c r="C3671" t="s">
        <v>8</v>
      </c>
      <c r="E3671">
        <v>2021</v>
      </c>
      <c r="F3671" t="s">
        <v>68</v>
      </c>
    </row>
    <row r="3672" spans="1:6" x14ac:dyDescent="0.25">
      <c r="A3672" t="s">
        <v>16</v>
      </c>
      <c r="B3672" t="s">
        <v>17</v>
      </c>
      <c r="C3672" t="s">
        <v>8</v>
      </c>
      <c r="D3672">
        <v>3838</v>
      </c>
      <c r="E3672">
        <v>2021</v>
      </c>
      <c r="F3672" t="s">
        <v>68</v>
      </c>
    </row>
    <row r="3673" spans="1:6" x14ac:dyDescent="0.25">
      <c r="A3673" t="s">
        <v>18</v>
      </c>
      <c r="B3673" t="s">
        <v>19</v>
      </c>
      <c r="C3673" t="s">
        <v>8</v>
      </c>
      <c r="D3673">
        <v>3398</v>
      </c>
      <c r="E3673">
        <v>2021</v>
      </c>
      <c r="F3673" t="s">
        <v>68</v>
      </c>
    </row>
    <row r="3674" spans="1:6" x14ac:dyDescent="0.25">
      <c r="A3674" t="s">
        <v>20</v>
      </c>
      <c r="B3674" t="s">
        <v>21</v>
      </c>
      <c r="C3674" t="s">
        <v>8</v>
      </c>
      <c r="D3674">
        <v>1111</v>
      </c>
      <c r="E3674">
        <v>2021</v>
      </c>
      <c r="F3674" t="s">
        <v>68</v>
      </c>
    </row>
    <row r="3675" spans="1:6" x14ac:dyDescent="0.25">
      <c r="A3675" t="s">
        <v>22</v>
      </c>
      <c r="B3675" t="s">
        <v>23</v>
      </c>
      <c r="C3675" t="s">
        <v>8</v>
      </c>
      <c r="D3675">
        <v>28476</v>
      </c>
      <c r="E3675">
        <v>2021</v>
      </c>
      <c r="F3675" t="s">
        <v>68</v>
      </c>
    </row>
    <row r="3676" spans="1:6" x14ac:dyDescent="0.25">
      <c r="A3676" t="s">
        <v>24</v>
      </c>
      <c r="B3676" t="s">
        <v>25</v>
      </c>
      <c r="C3676" t="s">
        <v>8</v>
      </c>
      <c r="D3676">
        <v>22562</v>
      </c>
      <c r="E3676">
        <v>2021</v>
      </c>
      <c r="F3676" t="s">
        <v>68</v>
      </c>
    </row>
    <row r="3677" spans="1:6" x14ac:dyDescent="0.25">
      <c r="A3677" t="s">
        <v>26</v>
      </c>
      <c r="B3677" t="s">
        <v>27</v>
      </c>
      <c r="C3677" t="s">
        <v>8</v>
      </c>
      <c r="D3677">
        <v>5067</v>
      </c>
      <c r="E3677">
        <v>2021</v>
      </c>
      <c r="F3677" t="s">
        <v>68</v>
      </c>
    </row>
    <row r="3678" spans="1:6" x14ac:dyDescent="0.25">
      <c r="A3678" t="s">
        <v>28</v>
      </c>
      <c r="B3678" t="s">
        <v>29</v>
      </c>
      <c r="C3678" t="s">
        <v>8</v>
      </c>
      <c r="E3678">
        <v>2021</v>
      </c>
      <c r="F3678" t="s">
        <v>68</v>
      </c>
    </row>
    <row r="3679" spans="1:6" x14ac:dyDescent="0.25">
      <c r="A3679" t="s">
        <v>30</v>
      </c>
      <c r="B3679" t="s">
        <v>31</v>
      </c>
      <c r="C3679" t="s">
        <v>8</v>
      </c>
      <c r="D3679">
        <v>27730</v>
      </c>
      <c r="E3679">
        <v>2021</v>
      </c>
      <c r="F3679" t="s">
        <v>68</v>
      </c>
    </row>
    <row r="3680" spans="1:6" x14ac:dyDescent="0.25">
      <c r="A3680" t="s">
        <v>32</v>
      </c>
      <c r="B3680" t="s">
        <v>33</v>
      </c>
      <c r="C3680" t="s">
        <v>8</v>
      </c>
      <c r="D3680">
        <v>12552</v>
      </c>
      <c r="E3680">
        <v>2021</v>
      </c>
      <c r="F3680" t="s">
        <v>68</v>
      </c>
    </row>
    <row r="3681" spans="1:6" x14ac:dyDescent="0.25">
      <c r="A3681" t="s">
        <v>34</v>
      </c>
      <c r="B3681" t="s">
        <v>35</v>
      </c>
      <c r="C3681" t="s">
        <v>8</v>
      </c>
      <c r="D3681">
        <v>25690</v>
      </c>
      <c r="E3681">
        <v>2021</v>
      </c>
      <c r="F3681" t="s">
        <v>68</v>
      </c>
    </row>
    <row r="3682" spans="1:6" x14ac:dyDescent="0.25">
      <c r="A3682" t="s">
        <v>36</v>
      </c>
      <c r="B3682" t="s">
        <v>37</v>
      </c>
      <c r="C3682" t="s">
        <v>8</v>
      </c>
      <c r="D3682">
        <v>16921</v>
      </c>
      <c r="E3682">
        <v>2021</v>
      </c>
      <c r="F3682" t="s">
        <v>68</v>
      </c>
    </row>
    <row r="3683" spans="1:6" x14ac:dyDescent="0.25">
      <c r="A3683" t="s">
        <v>38</v>
      </c>
      <c r="B3683" t="s">
        <v>39</v>
      </c>
      <c r="C3683" t="s">
        <v>8</v>
      </c>
      <c r="D3683">
        <v>9370</v>
      </c>
      <c r="E3683">
        <v>2021</v>
      </c>
      <c r="F3683" t="s">
        <v>68</v>
      </c>
    </row>
    <row r="3684" spans="1:6" x14ac:dyDescent="0.25">
      <c r="A3684" t="s">
        <v>40</v>
      </c>
      <c r="B3684" t="s">
        <v>41</v>
      </c>
      <c r="C3684" t="s">
        <v>8</v>
      </c>
      <c r="D3684">
        <v>23501</v>
      </c>
      <c r="E3684">
        <v>2021</v>
      </c>
      <c r="F3684" t="s">
        <v>68</v>
      </c>
    </row>
    <row r="3685" spans="1:6" x14ac:dyDescent="0.25">
      <c r="A3685" t="s">
        <v>42</v>
      </c>
      <c r="B3685" t="s">
        <v>43</v>
      </c>
      <c r="C3685" t="s">
        <v>8</v>
      </c>
      <c r="D3685">
        <v>388</v>
      </c>
      <c r="E3685">
        <v>2021</v>
      </c>
      <c r="F3685" t="s">
        <v>68</v>
      </c>
    </row>
    <row r="3686" spans="1:6" x14ac:dyDescent="0.25">
      <c r="A3686" t="s">
        <v>44</v>
      </c>
      <c r="B3686" t="s">
        <v>45</v>
      </c>
      <c r="C3686" t="s">
        <v>8</v>
      </c>
      <c r="D3686">
        <v>7017</v>
      </c>
      <c r="E3686">
        <v>2021</v>
      </c>
      <c r="F3686" t="s">
        <v>68</v>
      </c>
    </row>
    <row r="3687" spans="1:6" x14ac:dyDescent="0.25">
      <c r="A3687" t="s">
        <v>46</v>
      </c>
      <c r="B3687" t="s">
        <v>47</v>
      </c>
      <c r="C3687" t="s">
        <v>8</v>
      </c>
      <c r="D3687">
        <v>14401</v>
      </c>
      <c r="E3687">
        <v>2021</v>
      </c>
      <c r="F3687" t="s">
        <v>68</v>
      </c>
    </row>
    <row r="3688" spans="1:6" x14ac:dyDescent="0.25">
      <c r="A3688" t="s">
        <v>48</v>
      </c>
      <c r="B3688" t="s">
        <v>49</v>
      </c>
      <c r="C3688" t="s">
        <v>8</v>
      </c>
      <c r="D3688">
        <v>1079</v>
      </c>
      <c r="E3688">
        <v>2021</v>
      </c>
      <c r="F3688" t="s">
        <v>68</v>
      </c>
    </row>
    <row r="3689" spans="1:6" x14ac:dyDescent="0.25">
      <c r="A3689" t="s">
        <v>50</v>
      </c>
      <c r="B3689" t="s">
        <v>51</v>
      </c>
      <c r="C3689" t="s">
        <v>8</v>
      </c>
      <c r="D3689">
        <v>516</v>
      </c>
      <c r="E3689">
        <v>2021</v>
      </c>
      <c r="F3689" t="s">
        <v>68</v>
      </c>
    </row>
    <row r="3690" spans="1:6" x14ac:dyDescent="0.25">
      <c r="A3690" t="s">
        <v>52</v>
      </c>
      <c r="B3690" t="s">
        <v>53</v>
      </c>
      <c r="C3690" t="s">
        <v>8</v>
      </c>
      <c r="D3690">
        <v>10418</v>
      </c>
      <c r="E3690">
        <v>2021</v>
      </c>
      <c r="F3690" t="s">
        <v>68</v>
      </c>
    </row>
    <row r="3691" spans="1:6" x14ac:dyDescent="0.25">
      <c r="A3691" t="s">
        <v>54</v>
      </c>
      <c r="B3691" t="s">
        <v>55</v>
      </c>
      <c r="C3691" t="s">
        <v>8</v>
      </c>
      <c r="D3691">
        <v>1707</v>
      </c>
      <c r="E3691">
        <v>2021</v>
      </c>
      <c r="F3691" t="s">
        <v>68</v>
      </c>
    </row>
    <row r="3692" spans="1:6" x14ac:dyDescent="0.25">
      <c r="A3692" t="s">
        <v>56</v>
      </c>
      <c r="B3692" t="s">
        <v>57</v>
      </c>
      <c r="C3692" t="s">
        <v>8</v>
      </c>
      <c r="D3692">
        <v>28156</v>
      </c>
      <c r="E3692">
        <v>2021</v>
      </c>
      <c r="F3692" t="s">
        <v>68</v>
      </c>
    </row>
    <row r="3693" spans="1:6" x14ac:dyDescent="0.25">
      <c r="A3693" t="s">
        <v>58</v>
      </c>
      <c r="B3693" t="s">
        <v>59</v>
      </c>
      <c r="C3693" t="s">
        <v>8</v>
      </c>
      <c r="D3693">
        <v>18513</v>
      </c>
      <c r="E3693">
        <v>2021</v>
      </c>
      <c r="F3693" t="s">
        <v>68</v>
      </c>
    </row>
    <row r="3694" spans="1:6" x14ac:dyDescent="0.25">
      <c r="A3694" t="s">
        <v>6</v>
      </c>
      <c r="B3694" t="s">
        <v>7</v>
      </c>
      <c r="C3694" t="s">
        <v>60</v>
      </c>
      <c r="D3694">
        <v>681246</v>
      </c>
      <c r="E3694">
        <v>2021</v>
      </c>
      <c r="F3694" t="s">
        <v>68</v>
      </c>
    </row>
    <row r="3695" spans="1:6" x14ac:dyDescent="0.25">
      <c r="A3695" t="s">
        <v>10</v>
      </c>
      <c r="B3695" t="s">
        <v>11</v>
      </c>
      <c r="C3695" t="s">
        <v>60</v>
      </c>
      <c r="D3695">
        <v>164970</v>
      </c>
      <c r="E3695">
        <v>2021</v>
      </c>
      <c r="F3695" t="s">
        <v>68</v>
      </c>
    </row>
    <row r="3696" spans="1:6" x14ac:dyDescent="0.25">
      <c r="A3696" t="s">
        <v>12</v>
      </c>
      <c r="B3696" t="s">
        <v>13</v>
      </c>
      <c r="C3696" t="s">
        <v>60</v>
      </c>
      <c r="D3696">
        <v>12873</v>
      </c>
      <c r="E3696">
        <v>2021</v>
      </c>
      <c r="F3696" t="s">
        <v>68</v>
      </c>
    </row>
    <row r="3697" spans="1:6" x14ac:dyDescent="0.25">
      <c r="A3697" t="s">
        <v>14</v>
      </c>
      <c r="B3697" t="s">
        <v>15</v>
      </c>
      <c r="C3697" t="s">
        <v>60</v>
      </c>
      <c r="E3697">
        <v>2021</v>
      </c>
      <c r="F3697" t="s">
        <v>68</v>
      </c>
    </row>
    <row r="3698" spans="1:6" x14ac:dyDescent="0.25">
      <c r="A3698" t="s">
        <v>16</v>
      </c>
      <c r="B3698" t="s">
        <v>17</v>
      </c>
      <c r="C3698" t="s">
        <v>60</v>
      </c>
      <c r="D3698">
        <v>29821</v>
      </c>
      <c r="E3698">
        <v>2021</v>
      </c>
      <c r="F3698" t="s">
        <v>68</v>
      </c>
    </row>
    <row r="3699" spans="1:6" x14ac:dyDescent="0.25">
      <c r="A3699" t="s">
        <v>18</v>
      </c>
      <c r="B3699" t="s">
        <v>19</v>
      </c>
      <c r="C3699" t="s">
        <v>60</v>
      </c>
      <c r="D3699">
        <v>65975</v>
      </c>
      <c r="E3699">
        <v>2021</v>
      </c>
      <c r="F3699" t="s">
        <v>68</v>
      </c>
    </row>
    <row r="3700" spans="1:6" x14ac:dyDescent="0.25">
      <c r="A3700" t="s">
        <v>20</v>
      </c>
      <c r="B3700" t="s">
        <v>21</v>
      </c>
      <c r="C3700" t="s">
        <v>60</v>
      </c>
      <c r="D3700">
        <v>13369</v>
      </c>
      <c r="E3700">
        <v>2021</v>
      </c>
      <c r="F3700" t="s">
        <v>68</v>
      </c>
    </row>
    <row r="3701" spans="1:6" x14ac:dyDescent="0.25">
      <c r="A3701" t="s">
        <v>22</v>
      </c>
      <c r="B3701" t="s">
        <v>23</v>
      </c>
      <c r="C3701" t="s">
        <v>60</v>
      </c>
      <c r="D3701">
        <v>4580</v>
      </c>
      <c r="E3701">
        <v>2021</v>
      </c>
      <c r="F3701" t="s">
        <v>68</v>
      </c>
    </row>
    <row r="3702" spans="1:6" x14ac:dyDescent="0.25">
      <c r="A3702" t="s">
        <v>24</v>
      </c>
      <c r="B3702" t="s">
        <v>25</v>
      </c>
      <c r="C3702" t="s">
        <v>60</v>
      </c>
      <c r="D3702">
        <v>19016</v>
      </c>
      <c r="E3702">
        <v>2021</v>
      </c>
      <c r="F3702" t="s">
        <v>68</v>
      </c>
    </row>
    <row r="3703" spans="1:6" x14ac:dyDescent="0.25">
      <c r="A3703" t="s">
        <v>26</v>
      </c>
      <c r="B3703" t="s">
        <v>27</v>
      </c>
      <c r="C3703" t="s">
        <v>60</v>
      </c>
      <c r="D3703">
        <v>17736</v>
      </c>
      <c r="E3703">
        <v>2021</v>
      </c>
      <c r="F3703" t="s">
        <v>68</v>
      </c>
    </row>
    <row r="3704" spans="1:6" x14ac:dyDescent="0.25">
      <c r="A3704" t="s">
        <v>28</v>
      </c>
      <c r="B3704" t="s">
        <v>29</v>
      </c>
      <c r="C3704" t="s">
        <v>60</v>
      </c>
      <c r="D3704">
        <v>4931</v>
      </c>
      <c r="E3704">
        <v>2021</v>
      </c>
      <c r="F3704" t="s">
        <v>68</v>
      </c>
    </row>
    <row r="3705" spans="1:6" x14ac:dyDescent="0.25">
      <c r="A3705" t="s">
        <v>30</v>
      </c>
      <c r="B3705" t="s">
        <v>31</v>
      </c>
      <c r="C3705" t="s">
        <v>60</v>
      </c>
      <c r="D3705">
        <v>55998</v>
      </c>
      <c r="E3705">
        <v>2021</v>
      </c>
      <c r="F3705" t="s">
        <v>68</v>
      </c>
    </row>
    <row r="3706" spans="1:6" x14ac:dyDescent="0.25">
      <c r="A3706" t="s">
        <v>32</v>
      </c>
      <c r="B3706" t="s">
        <v>33</v>
      </c>
      <c r="C3706" t="s">
        <v>60</v>
      </c>
      <c r="D3706">
        <v>29576</v>
      </c>
      <c r="E3706">
        <v>2021</v>
      </c>
      <c r="F3706" t="s">
        <v>68</v>
      </c>
    </row>
    <row r="3707" spans="1:6" x14ac:dyDescent="0.25">
      <c r="A3707" t="s">
        <v>34</v>
      </c>
      <c r="B3707" t="s">
        <v>35</v>
      </c>
      <c r="C3707" t="s">
        <v>60</v>
      </c>
      <c r="D3707">
        <v>59742</v>
      </c>
      <c r="E3707">
        <v>2021</v>
      </c>
      <c r="F3707" t="s">
        <v>68</v>
      </c>
    </row>
    <row r="3708" spans="1:6" x14ac:dyDescent="0.25">
      <c r="A3708" t="s">
        <v>36</v>
      </c>
      <c r="B3708" t="s">
        <v>37</v>
      </c>
      <c r="C3708" t="s">
        <v>60</v>
      </c>
      <c r="D3708">
        <v>36227</v>
      </c>
      <c r="E3708">
        <v>2021</v>
      </c>
      <c r="F3708" t="s">
        <v>68</v>
      </c>
    </row>
    <row r="3709" spans="1:6" x14ac:dyDescent="0.25">
      <c r="A3709" t="s">
        <v>38</v>
      </c>
      <c r="B3709" t="s">
        <v>39</v>
      </c>
      <c r="C3709" t="s">
        <v>60</v>
      </c>
      <c r="D3709">
        <v>12078</v>
      </c>
      <c r="E3709">
        <v>2021</v>
      </c>
      <c r="F3709" t="s">
        <v>68</v>
      </c>
    </row>
    <row r="3710" spans="1:6" x14ac:dyDescent="0.25">
      <c r="A3710" t="s">
        <v>40</v>
      </c>
      <c r="B3710" t="s">
        <v>41</v>
      </c>
      <c r="C3710" t="s">
        <v>60</v>
      </c>
      <c r="D3710">
        <v>32953</v>
      </c>
      <c r="E3710">
        <v>2021</v>
      </c>
      <c r="F3710" t="s">
        <v>68</v>
      </c>
    </row>
    <row r="3711" spans="1:6" x14ac:dyDescent="0.25">
      <c r="A3711" t="s">
        <v>42</v>
      </c>
      <c r="B3711" t="s">
        <v>43</v>
      </c>
      <c r="C3711" t="s">
        <v>60</v>
      </c>
      <c r="E3711">
        <v>2021</v>
      </c>
      <c r="F3711" t="s">
        <v>68</v>
      </c>
    </row>
    <row r="3712" spans="1:6" x14ac:dyDescent="0.25">
      <c r="A3712" t="s">
        <v>44</v>
      </c>
      <c r="B3712" t="s">
        <v>45</v>
      </c>
      <c r="C3712" t="s">
        <v>60</v>
      </c>
      <c r="D3712">
        <v>21108</v>
      </c>
      <c r="E3712">
        <v>2021</v>
      </c>
      <c r="F3712" t="s">
        <v>68</v>
      </c>
    </row>
    <row r="3713" spans="1:6" x14ac:dyDescent="0.25">
      <c r="A3713" t="s">
        <v>46</v>
      </c>
      <c r="B3713" t="s">
        <v>47</v>
      </c>
      <c r="C3713" t="s">
        <v>60</v>
      </c>
      <c r="D3713">
        <v>16703</v>
      </c>
      <c r="E3713">
        <v>2021</v>
      </c>
      <c r="F3713" t="s">
        <v>68</v>
      </c>
    </row>
    <row r="3714" spans="1:6" x14ac:dyDescent="0.25">
      <c r="A3714" t="s">
        <v>48</v>
      </c>
      <c r="B3714" t="s">
        <v>49</v>
      </c>
      <c r="C3714" t="s">
        <v>60</v>
      </c>
      <c r="D3714">
        <v>11254</v>
      </c>
      <c r="E3714">
        <v>2021</v>
      </c>
      <c r="F3714" t="s">
        <v>68</v>
      </c>
    </row>
    <row r="3715" spans="1:6" x14ac:dyDescent="0.25">
      <c r="A3715" t="s">
        <v>50</v>
      </c>
      <c r="B3715" t="s">
        <v>51</v>
      </c>
      <c r="C3715" t="s">
        <v>60</v>
      </c>
      <c r="D3715">
        <v>7468</v>
      </c>
      <c r="E3715">
        <v>2021</v>
      </c>
      <c r="F3715" t="s">
        <v>68</v>
      </c>
    </row>
    <row r="3716" spans="1:6" x14ac:dyDescent="0.25">
      <c r="A3716" t="s">
        <v>52</v>
      </c>
      <c r="B3716" t="s">
        <v>53</v>
      </c>
      <c r="C3716" t="s">
        <v>60</v>
      </c>
      <c r="D3716">
        <v>18910</v>
      </c>
      <c r="E3716">
        <v>2021</v>
      </c>
      <c r="F3716" t="s">
        <v>68</v>
      </c>
    </row>
    <row r="3717" spans="1:6" x14ac:dyDescent="0.25">
      <c r="A3717" t="s">
        <v>54</v>
      </c>
      <c r="B3717" t="s">
        <v>55</v>
      </c>
      <c r="C3717" t="s">
        <v>60</v>
      </c>
      <c r="D3717">
        <v>45958</v>
      </c>
      <c r="E3717">
        <v>2021</v>
      </c>
      <c r="F3717" t="s">
        <v>68</v>
      </c>
    </row>
    <row r="3718" spans="1:6" x14ac:dyDescent="0.25">
      <c r="A3718" t="s">
        <v>56</v>
      </c>
      <c r="B3718" t="s">
        <v>57</v>
      </c>
      <c r="C3718" t="s">
        <v>60</v>
      </c>
      <c r="E3718">
        <v>2021</v>
      </c>
      <c r="F3718" t="s">
        <v>68</v>
      </c>
    </row>
    <row r="3719" spans="1:6" x14ac:dyDescent="0.25">
      <c r="A3719" t="s">
        <v>58</v>
      </c>
      <c r="B3719" t="s">
        <v>59</v>
      </c>
      <c r="C3719" t="s">
        <v>60</v>
      </c>
      <c r="E3719">
        <v>2021</v>
      </c>
      <c r="F3719" t="s">
        <v>68</v>
      </c>
    </row>
    <row r="3720" spans="1:6" x14ac:dyDescent="0.25">
      <c r="A3720" t="s">
        <v>6</v>
      </c>
      <c r="B3720" t="s">
        <v>7</v>
      </c>
      <c r="C3720" t="s">
        <v>61</v>
      </c>
      <c r="D3720">
        <v>246628</v>
      </c>
      <c r="E3720">
        <v>2021</v>
      </c>
      <c r="F3720" t="s">
        <v>68</v>
      </c>
    </row>
    <row r="3721" spans="1:6" x14ac:dyDescent="0.25">
      <c r="A3721" t="s">
        <v>10</v>
      </c>
      <c r="B3721" t="s">
        <v>11</v>
      </c>
      <c r="C3721" t="s">
        <v>61</v>
      </c>
      <c r="D3721">
        <v>133281</v>
      </c>
      <c r="E3721">
        <v>2021</v>
      </c>
      <c r="F3721" t="s">
        <v>68</v>
      </c>
    </row>
    <row r="3722" spans="1:6" x14ac:dyDescent="0.25">
      <c r="A3722" t="s">
        <v>12</v>
      </c>
      <c r="B3722" t="s">
        <v>13</v>
      </c>
      <c r="C3722" t="s">
        <v>61</v>
      </c>
      <c r="D3722">
        <v>8270</v>
      </c>
      <c r="E3722">
        <v>2021</v>
      </c>
      <c r="F3722" t="s">
        <v>68</v>
      </c>
    </row>
    <row r="3723" spans="1:6" x14ac:dyDescent="0.25">
      <c r="A3723" t="s">
        <v>14</v>
      </c>
      <c r="B3723" t="s">
        <v>15</v>
      </c>
      <c r="C3723" t="s">
        <v>61</v>
      </c>
      <c r="D3723">
        <v>2</v>
      </c>
      <c r="E3723">
        <v>2021</v>
      </c>
      <c r="F3723" t="s">
        <v>68</v>
      </c>
    </row>
    <row r="3724" spans="1:6" x14ac:dyDescent="0.25">
      <c r="A3724" t="s">
        <v>16</v>
      </c>
      <c r="B3724" t="s">
        <v>17</v>
      </c>
      <c r="C3724" t="s">
        <v>61</v>
      </c>
      <c r="D3724">
        <v>6017</v>
      </c>
      <c r="E3724">
        <v>2021</v>
      </c>
      <c r="F3724" t="s">
        <v>68</v>
      </c>
    </row>
    <row r="3725" spans="1:6" x14ac:dyDescent="0.25">
      <c r="A3725" t="s">
        <v>18</v>
      </c>
      <c r="B3725" t="s">
        <v>19</v>
      </c>
      <c r="C3725" t="s">
        <v>61</v>
      </c>
      <c r="D3725">
        <v>3588</v>
      </c>
      <c r="E3725">
        <v>2021</v>
      </c>
      <c r="F3725" t="s">
        <v>68</v>
      </c>
    </row>
    <row r="3726" spans="1:6" x14ac:dyDescent="0.25">
      <c r="A3726" t="s">
        <v>20</v>
      </c>
      <c r="B3726" t="s">
        <v>21</v>
      </c>
      <c r="C3726" t="s">
        <v>61</v>
      </c>
      <c r="D3726">
        <v>1502</v>
      </c>
      <c r="E3726">
        <v>2021</v>
      </c>
      <c r="F3726" t="s">
        <v>68</v>
      </c>
    </row>
    <row r="3727" spans="1:6" x14ac:dyDescent="0.25">
      <c r="A3727" t="s">
        <v>22</v>
      </c>
      <c r="B3727" t="s">
        <v>23</v>
      </c>
      <c r="C3727" t="s">
        <v>61</v>
      </c>
      <c r="D3727">
        <v>3773</v>
      </c>
      <c r="E3727">
        <v>2021</v>
      </c>
      <c r="F3727" t="s">
        <v>68</v>
      </c>
    </row>
    <row r="3728" spans="1:6" x14ac:dyDescent="0.25">
      <c r="A3728" t="s">
        <v>24</v>
      </c>
      <c r="B3728" t="s">
        <v>25</v>
      </c>
      <c r="C3728" t="s">
        <v>61</v>
      </c>
      <c r="D3728">
        <v>9491</v>
      </c>
      <c r="E3728">
        <v>2021</v>
      </c>
      <c r="F3728" t="s">
        <v>68</v>
      </c>
    </row>
    <row r="3729" spans="1:6" x14ac:dyDescent="0.25">
      <c r="A3729" t="s">
        <v>26</v>
      </c>
      <c r="B3729" t="s">
        <v>27</v>
      </c>
      <c r="C3729" t="s">
        <v>61</v>
      </c>
      <c r="D3729">
        <v>2432</v>
      </c>
      <c r="E3729">
        <v>2021</v>
      </c>
      <c r="F3729" t="s">
        <v>68</v>
      </c>
    </row>
    <row r="3730" spans="1:6" x14ac:dyDescent="0.25">
      <c r="A3730" t="s">
        <v>28</v>
      </c>
      <c r="B3730" t="s">
        <v>29</v>
      </c>
      <c r="C3730" t="s">
        <v>61</v>
      </c>
      <c r="D3730">
        <v>695</v>
      </c>
      <c r="E3730">
        <v>2021</v>
      </c>
      <c r="F3730" t="s">
        <v>68</v>
      </c>
    </row>
    <row r="3731" spans="1:6" x14ac:dyDescent="0.25">
      <c r="A3731" t="s">
        <v>30</v>
      </c>
      <c r="B3731" t="s">
        <v>31</v>
      </c>
      <c r="C3731" t="s">
        <v>61</v>
      </c>
      <c r="D3731">
        <v>13668</v>
      </c>
      <c r="E3731">
        <v>2021</v>
      </c>
      <c r="F3731" t="s">
        <v>68</v>
      </c>
    </row>
    <row r="3732" spans="1:6" x14ac:dyDescent="0.25">
      <c r="A3732" t="s">
        <v>32</v>
      </c>
      <c r="B3732" t="s">
        <v>33</v>
      </c>
      <c r="C3732" t="s">
        <v>61</v>
      </c>
      <c r="D3732">
        <v>6880</v>
      </c>
      <c r="E3732">
        <v>2021</v>
      </c>
      <c r="F3732" t="s">
        <v>68</v>
      </c>
    </row>
    <row r="3733" spans="1:6" x14ac:dyDescent="0.25">
      <c r="A3733" t="s">
        <v>34</v>
      </c>
      <c r="B3733" t="s">
        <v>35</v>
      </c>
      <c r="C3733" t="s">
        <v>61</v>
      </c>
      <c r="D3733">
        <v>15832</v>
      </c>
      <c r="E3733">
        <v>2021</v>
      </c>
      <c r="F3733" t="s">
        <v>68</v>
      </c>
    </row>
    <row r="3734" spans="1:6" x14ac:dyDescent="0.25">
      <c r="A3734" t="s">
        <v>36</v>
      </c>
      <c r="B3734" t="s">
        <v>37</v>
      </c>
      <c r="C3734" t="s">
        <v>61</v>
      </c>
      <c r="D3734">
        <v>7475</v>
      </c>
      <c r="E3734">
        <v>2021</v>
      </c>
      <c r="F3734" t="s">
        <v>68</v>
      </c>
    </row>
    <row r="3735" spans="1:6" x14ac:dyDescent="0.25">
      <c r="A3735" t="s">
        <v>38</v>
      </c>
      <c r="B3735" t="s">
        <v>39</v>
      </c>
      <c r="C3735" t="s">
        <v>61</v>
      </c>
      <c r="D3735">
        <v>6248</v>
      </c>
      <c r="E3735">
        <v>2021</v>
      </c>
      <c r="F3735" t="s">
        <v>68</v>
      </c>
    </row>
    <row r="3736" spans="1:6" x14ac:dyDescent="0.25">
      <c r="A3736" t="s">
        <v>40</v>
      </c>
      <c r="B3736" t="s">
        <v>41</v>
      </c>
      <c r="C3736" t="s">
        <v>61</v>
      </c>
      <c r="D3736">
        <v>4383</v>
      </c>
      <c r="E3736">
        <v>2021</v>
      </c>
      <c r="F3736" t="s">
        <v>68</v>
      </c>
    </row>
    <row r="3737" spans="1:6" x14ac:dyDescent="0.25">
      <c r="A3737" t="s">
        <v>42</v>
      </c>
      <c r="B3737" t="s">
        <v>43</v>
      </c>
      <c r="C3737" t="s">
        <v>61</v>
      </c>
      <c r="D3737">
        <v>698</v>
      </c>
      <c r="E3737">
        <v>2021</v>
      </c>
      <c r="F3737" t="s">
        <v>68</v>
      </c>
    </row>
    <row r="3738" spans="1:6" x14ac:dyDescent="0.25">
      <c r="A3738" t="s">
        <v>44</v>
      </c>
      <c r="B3738" t="s">
        <v>45</v>
      </c>
      <c r="C3738" t="s">
        <v>61</v>
      </c>
      <c r="D3738">
        <v>7503</v>
      </c>
      <c r="E3738">
        <v>2021</v>
      </c>
      <c r="F3738" t="s">
        <v>68</v>
      </c>
    </row>
    <row r="3739" spans="1:6" x14ac:dyDescent="0.25">
      <c r="A3739" t="s">
        <v>46</v>
      </c>
      <c r="B3739" t="s">
        <v>47</v>
      </c>
      <c r="C3739" t="s">
        <v>61</v>
      </c>
      <c r="D3739">
        <v>2777</v>
      </c>
      <c r="E3739">
        <v>2021</v>
      </c>
      <c r="F3739" t="s">
        <v>68</v>
      </c>
    </row>
    <row r="3740" spans="1:6" x14ac:dyDescent="0.25">
      <c r="A3740" t="s">
        <v>48</v>
      </c>
      <c r="B3740" t="s">
        <v>49</v>
      </c>
      <c r="C3740" t="s">
        <v>61</v>
      </c>
      <c r="D3740">
        <v>1284</v>
      </c>
      <c r="E3740">
        <v>2021</v>
      </c>
      <c r="F3740" t="s">
        <v>68</v>
      </c>
    </row>
    <row r="3741" spans="1:6" x14ac:dyDescent="0.25">
      <c r="A3741" t="s">
        <v>50</v>
      </c>
      <c r="B3741" t="s">
        <v>51</v>
      </c>
      <c r="C3741" t="s">
        <v>61</v>
      </c>
      <c r="D3741">
        <v>1421</v>
      </c>
      <c r="E3741">
        <v>2021</v>
      </c>
      <c r="F3741" t="s">
        <v>68</v>
      </c>
    </row>
    <row r="3742" spans="1:6" x14ac:dyDescent="0.25">
      <c r="A3742" t="s">
        <v>52</v>
      </c>
      <c r="B3742" t="s">
        <v>53</v>
      </c>
      <c r="C3742" t="s">
        <v>61</v>
      </c>
      <c r="D3742">
        <v>3334</v>
      </c>
      <c r="E3742">
        <v>2021</v>
      </c>
      <c r="F3742" t="s">
        <v>68</v>
      </c>
    </row>
    <row r="3743" spans="1:6" x14ac:dyDescent="0.25">
      <c r="A3743" t="s">
        <v>54</v>
      </c>
      <c r="B3743" t="s">
        <v>55</v>
      </c>
      <c r="C3743" t="s">
        <v>61</v>
      </c>
      <c r="D3743">
        <v>192</v>
      </c>
      <c r="E3743">
        <v>2021</v>
      </c>
      <c r="F3743" t="s">
        <v>68</v>
      </c>
    </row>
    <row r="3744" spans="1:6" x14ac:dyDescent="0.25">
      <c r="A3744" t="s">
        <v>56</v>
      </c>
      <c r="B3744" t="s">
        <v>57</v>
      </c>
      <c r="C3744" t="s">
        <v>61</v>
      </c>
      <c r="D3744">
        <v>5876</v>
      </c>
      <c r="E3744">
        <v>2021</v>
      </c>
      <c r="F3744" t="s">
        <v>68</v>
      </c>
    </row>
    <row r="3745" spans="1:6" x14ac:dyDescent="0.25">
      <c r="A3745" t="s">
        <v>58</v>
      </c>
      <c r="B3745" t="s">
        <v>59</v>
      </c>
      <c r="C3745" t="s">
        <v>61</v>
      </c>
      <c r="E3745">
        <v>2021</v>
      </c>
      <c r="F3745" t="s">
        <v>68</v>
      </c>
    </row>
    <row r="3746" spans="1:6" x14ac:dyDescent="0.25">
      <c r="A3746" t="s">
        <v>6</v>
      </c>
      <c r="B3746" t="s">
        <v>7</v>
      </c>
      <c r="C3746" t="s">
        <v>65</v>
      </c>
      <c r="D3746">
        <v>4397872</v>
      </c>
      <c r="E3746">
        <v>2021</v>
      </c>
      <c r="F3746" t="s">
        <v>68</v>
      </c>
    </row>
    <row r="3747" spans="1:6" x14ac:dyDescent="0.25">
      <c r="A3747" t="s">
        <v>10</v>
      </c>
      <c r="B3747" t="s">
        <v>11</v>
      </c>
      <c r="C3747" t="s">
        <v>65</v>
      </c>
      <c r="D3747">
        <v>797707</v>
      </c>
      <c r="E3747">
        <v>2021</v>
      </c>
      <c r="F3747" t="s">
        <v>68</v>
      </c>
    </row>
    <row r="3748" spans="1:6" x14ac:dyDescent="0.25">
      <c r="A3748" t="s">
        <v>12</v>
      </c>
      <c r="B3748" t="s">
        <v>13</v>
      </c>
      <c r="C3748" t="s">
        <v>65</v>
      </c>
      <c r="D3748">
        <v>133590</v>
      </c>
      <c r="E3748">
        <v>2021</v>
      </c>
      <c r="F3748" t="s">
        <v>68</v>
      </c>
    </row>
    <row r="3749" spans="1:6" x14ac:dyDescent="0.25">
      <c r="A3749" t="s">
        <v>14</v>
      </c>
      <c r="B3749" t="s">
        <v>15</v>
      </c>
      <c r="C3749" t="s">
        <v>65</v>
      </c>
      <c r="D3749">
        <v>1091</v>
      </c>
      <c r="E3749">
        <v>2021</v>
      </c>
      <c r="F3749" t="s">
        <v>68</v>
      </c>
    </row>
    <row r="3750" spans="1:6" x14ac:dyDescent="0.25">
      <c r="A3750" t="s">
        <v>16</v>
      </c>
      <c r="B3750" t="s">
        <v>17</v>
      </c>
      <c r="C3750" t="s">
        <v>65</v>
      </c>
      <c r="D3750">
        <v>389993</v>
      </c>
      <c r="E3750">
        <v>2021</v>
      </c>
      <c r="F3750" t="s">
        <v>68</v>
      </c>
    </row>
    <row r="3751" spans="1:6" x14ac:dyDescent="0.25">
      <c r="A3751" t="s">
        <v>18</v>
      </c>
      <c r="B3751" t="s">
        <v>19</v>
      </c>
      <c r="C3751" t="s">
        <v>65</v>
      </c>
      <c r="D3751">
        <v>240698</v>
      </c>
      <c r="E3751">
        <v>2021</v>
      </c>
      <c r="F3751" t="s">
        <v>68</v>
      </c>
    </row>
    <row r="3752" spans="1:6" x14ac:dyDescent="0.25">
      <c r="A3752" t="s">
        <v>20</v>
      </c>
      <c r="B3752" t="s">
        <v>21</v>
      </c>
      <c r="C3752" t="s">
        <v>65</v>
      </c>
      <c r="D3752">
        <v>128615</v>
      </c>
      <c r="E3752">
        <v>2021</v>
      </c>
      <c r="F3752" t="s">
        <v>68</v>
      </c>
    </row>
    <row r="3753" spans="1:6" x14ac:dyDescent="0.25">
      <c r="A3753" t="s">
        <v>22</v>
      </c>
      <c r="B3753" t="s">
        <v>23</v>
      </c>
      <c r="C3753" t="s">
        <v>65</v>
      </c>
      <c r="D3753">
        <v>114569</v>
      </c>
      <c r="E3753">
        <v>2021</v>
      </c>
      <c r="F3753" t="s">
        <v>68</v>
      </c>
    </row>
    <row r="3754" spans="1:6" x14ac:dyDescent="0.25">
      <c r="A3754" t="s">
        <v>24</v>
      </c>
      <c r="B3754" t="s">
        <v>25</v>
      </c>
      <c r="C3754" t="s">
        <v>65</v>
      </c>
      <c r="D3754">
        <v>101753</v>
      </c>
      <c r="E3754">
        <v>2021</v>
      </c>
      <c r="F3754" t="s">
        <v>68</v>
      </c>
    </row>
    <row r="3755" spans="1:6" x14ac:dyDescent="0.25">
      <c r="A3755" t="s">
        <v>26</v>
      </c>
      <c r="B3755" t="s">
        <v>27</v>
      </c>
      <c r="C3755" t="s">
        <v>65</v>
      </c>
      <c r="D3755">
        <v>10758</v>
      </c>
      <c r="E3755">
        <v>2021</v>
      </c>
      <c r="F3755" t="s">
        <v>68</v>
      </c>
    </row>
    <row r="3756" spans="1:6" x14ac:dyDescent="0.25">
      <c r="A3756" t="s">
        <v>28</v>
      </c>
      <c r="B3756" t="s">
        <v>29</v>
      </c>
      <c r="C3756" t="s">
        <v>65</v>
      </c>
      <c r="D3756">
        <v>24381</v>
      </c>
      <c r="E3756">
        <v>2021</v>
      </c>
      <c r="F3756" t="s">
        <v>68</v>
      </c>
    </row>
    <row r="3757" spans="1:6" x14ac:dyDescent="0.25">
      <c r="A3757" t="s">
        <v>30</v>
      </c>
      <c r="B3757" t="s">
        <v>31</v>
      </c>
      <c r="C3757" t="s">
        <v>65</v>
      </c>
      <c r="D3757">
        <v>150155</v>
      </c>
      <c r="E3757">
        <v>2021</v>
      </c>
      <c r="F3757" t="s">
        <v>68</v>
      </c>
    </row>
    <row r="3758" spans="1:6" x14ac:dyDescent="0.25">
      <c r="A3758" t="s">
        <v>32</v>
      </c>
      <c r="B3758" t="s">
        <v>33</v>
      </c>
      <c r="C3758" t="s">
        <v>65</v>
      </c>
      <c r="D3758">
        <v>80209</v>
      </c>
      <c r="E3758">
        <v>2021</v>
      </c>
      <c r="F3758" t="s">
        <v>68</v>
      </c>
    </row>
    <row r="3759" spans="1:6" x14ac:dyDescent="0.25">
      <c r="A3759" t="s">
        <v>34</v>
      </c>
      <c r="B3759" t="s">
        <v>35</v>
      </c>
      <c r="C3759" t="s">
        <v>65</v>
      </c>
      <c r="D3759">
        <v>235130</v>
      </c>
      <c r="E3759">
        <v>2021</v>
      </c>
      <c r="F3759" t="s">
        <v>68</v>
      </c>
    </row>
    <row r="3760" spans="1:6" x14ac:dyDescent="0.25">
      <c r="A3760" t="s">
        <v>36</v>
      </c>
      <c r="B3760" t="s">
        <v>37</v>
      </c>
      <c r="C3760" t="s">
        <v>65</v>
      </c>
      <c r="D3760">
        <v>174691</v>
      </c>
      <c r="E3760">
        <v>2021</v>
      </c>
      <c r="F3760" t="s">
        <v>68</v>
      </c>
    </row>
    <row r="3761" spans="1:6" x14ac:dyDescent="0.25">
      <c r="A3761" t="s">
        <v>38</v>
      </c>
      <c r="B3761" t="s">
        <v>39</v>
      </c>
      <c r="C3761" t="s">
        <v>65</v>
      </c>
      <c r="D3761">
        <v>96838</v>
      </c>
      <c r="E3761">
        <v>2021</v>
      </c>
      <c r="F3761" t="s">
        <v>68</v>
      </c>
    </row>
    <row r="3762" spans="1:6" x14ac:dyDescent="0.25">
      <c r="A3762" t="s">
        <v>40</v>
      </c>
      <c r="B3762" t="s">
        <v>41</v>
      </c>
      <c r="C3762" t="s">
        <v>65</v>
      </c>
      <c r="D3762">
        <v>361048</v>
      </c>
      <c r="E3762">
        <v>2021</v>
      </c>
      <c r="F3762" t="s">
        <v>68</v>
      </c>
    </row>
    <row r="3763" spans="1:6" x14ac:dyDescent="0.25">
      <c r="A3763" t="s">
        <v>42</v>
      </c>
      <c r="B3763" t="s">
        <v>43</v>
      </c>
      <c r="C3763" t="s">
        <v>65</v>
      </c>
      <c r="D3763">
        <v>323466</v>
      </c>
      <c r="E3763">
        <v>2021</v>
      </c>
      <c r="F3763" t="s">
        <v>68</v>
      </c>
    </row>
    <row r="3764" spans="1:6" x14ac:dyDescent="0.25">
      <c r="A3764" t="s">
        <v>44</v>
      </c>
      <c r="B3764" t="s">
        <v>45</v>
      </c>
      <c r="C3764" t="s">
        <v>65</v>
      </c>
      <c r="D3764">
        <v>425942</v>
      </c>
      <c r="E3764">
        <v>2021</v>
      </c>
      <c r="F3764" t="s">
        <v>68</v>
      </c>
    </row>
    <row r="3765" spans="1:6" x14ac:dyDescent="0.25">
      <c r="A3765" t="s">
        <v>46</v>
      </c>
      <c r="B3765" t="s">
        <v>47</v>
      </c>
      <c r="C3765" t="s">
        <v>65</v>
      </c>
      <c r="D3765">
        <v>370071</v>
      </c>
      <c r="E3765">
        <v>2021</v>
      </c>
      <c r="F3765" t="s">
        <v>68</v>
      </c>
    </row>
    <row r="3766" spans="1:6" x14ac:dyDescent="0.25">
      <c r="A3766" t="s">
        <v>48</v>
      </c>
      <c r="B3766" t="s">
        <v>49</v>
      </c>
      <c r="C3766" t="s">
        <v>65</v>
      </c>
      <c r="D3766">
        <v>94079</v>
      </c>
      <c r="E3766">
        <v>2021</v>
      </c>
      <c r="F3766" t="s">
        <v>68</v>
      </c>
    </row>
    <row r="3767" spans="1:6" x14ac:dyDescent="0.25">
      <c r="A3767" t="s">
        <v>50</v>
      </c>
      <c r="B3767" t="s">
        <v>51</v>
      </c>
      <c r="C3767" t="s">
        <v>65</v>
      </c>
      <c r="D3767">
        <v>17224</v>
      </c>
      <c r="E3767">
        <v>2021</v>
      </c>
      <c r="F3767" t="s">
        <v>68</v>
      </c>
    </row>
    <row r="3768" spans="1:6" x14ac:dyDescent="0.25">
      <c r="A3768" t="s">
        <v>52</v>
      </c>
      <c r="B3768" t="s">
        <v>53</v>
      </c>
      <c r="C3768" t="s">
        <v>65</v>
      </c>
      <c r="D3768">
        <v>117557</v>
      </c>
      <c r="E3768">
        <v>2021</v>
      </c>
      <c r="F3768" t="s">
        <v>68</v>
      </c>
    </row>
    <row r="3769" spans="1:6" x14ac:dyDescent="0.25">
      <c r="A3769" t="s">
        <v>54</v>
      </c>
      <c r="B3769" t="s">
        <v>55</v>
      </c>
      <c r="C3769" t="s">
        <v>65</v>
      </c>
      <c r="D3769">
        <v>8307</v>
      </c>
      <c r="E3769">
        <v>2021</v>
      </c>
      <c r="F3769" t="s">
        <v>68</v>
      </c>
    </row>
    <row r="3770" spans="1:6" x14ac:dyDescent="0.25">
      <c r="A3770" t="s">
        <v>56</v>
      </c>
      <c r="B3770" t="s">
        <v>57</v>
      </c>
      <c r="C3770" t="s">
        <v>65</v>
      </c>
      <c r="E3770">
        <v>2021</v>
      </c>
      <c r="F3770" t="s">
        <v>68</v>
      </c>
    </row>
    <row r="3771" spans="1:6" x14ac:dyDescent="0.25">
      <c r="A3771" t="s">
        <v>58</v>
      </c>
      <c r="B3771" t="s">
        <v>59</v>
      </c>
      <c r="C3771" t="s">
        <v>65</v>
      </c>
      <c r="E3771">
        <v>2021</v>
      </c>
      <c r="F3771" t="s">
        <v>68</v>
      </c>
    </row>
    <row r="3772" spans="1:6" x14ac:dyDescent="0.25">
      <c r="A3772" t="s">
        <v>6</v>
      </c>
      <c r="B3772" t="s">
        <v>7</v>
      </c>
      <c r="C3772" t="s">
        <v>62</v>
      </c>
      <c r="E3772">
        <v>2021</v>
      </c>
      <c r="F3772" t="s">
        <v>68</v>
      </c>
    </row>
    <row r="3773" spans="1:6" x14ac:dyDescent="0.25">
      <c r="A3773" t="s">
        <v>10</v>
      </c>
      <c r="B3773" t="s">
        <v>11</v>
      </c>
      <c r="C3773" t="s">
        <v>62</v>
      </c>
      <c r="E3773">
        <v>2021</v>
      </c>
      <c r="F3773" t="s">
        <v>68</v>
      </c>
    </row>
    <row r="3774" spans="1:6" x14ac:dyDescent="0.25">
      <c r="A3774" t="s">
        <v>12</v>
      </c>
      <c r="B3774" t="s">
        <v>13</v>
      </c>
      <c r="C3774" t="s">
        <v>62</v>
      </c>
      <c r="E3774">
        <v>2021</v>
      </c>
      <c r="F3774" t="s">
        <v>68</v>
      </c>
    </row>
    <row r="3775" spans="1:6" x14ac:dyDescent="0.25">
      <c r="A3775" t="s">
        <v>14</v>
      </c>
      <c r="B3775" t="s">
        <v>15</v>
      </c>
      <c r="C3775" t="s">
        <v>62</v>
      </c>
      <c r="E3775">
        <v>2021</v>
      </c>
      <c r="F3775" t="s">
        <v>68</v>
      </c>
    </row>
    <row r="3776" spans="1:6" x14ac:dyDescent="0.25">
      <c r="A3776" t="s">
        <v>16</v>
      </c>
      <c r="B3776" t="s">
        <v>17</v>
      </c>
      <c r="C3776" t="s">
        <v>62</v>
      </c>
      <c r="E3776">
        <v>2021</v>
      </c>
      <c r="F3776" t="s">
        <v>68</v>
      </c>
    </row>
    <row r="3777" spans="1:6" x14ac:dyDescent="0.25">
      <c r="A3777" t="s">
        <v>18</v>
      </c>
      <c r="B3777" t="s">
        <v>19</v>
      </c>
      <c r="C3777" t="s">
        <v>62</v>
      </c>
      <c r="E3777">
        <v>2021</v>
      </c>
      <c r="F3777" t="s">
        <v>68</v>
      </c>
    </row>
    <row r="3778" spans="1:6" x14ac:dyDescent="0.25">
      <c r="A3778" t="s">
        <v>20</v>
      </c>
      <c r="B3778" t="s">
        <v>21</v>
      </c>
      <c r="C3778" t="s">
        <v>62</v>
      </c>
      <c r="E3778">
        <v>2021</v>
      </c>
      <c r="F3778" t="s">
        <v>68</v>
      </c>
    </row>
    <row r="3779" spans="1:6" x14ac:dyDescent="0.25">
      <c r="A3779" t="s">
        <v>22</v>
      </c>
      <c r="B3779" t="s">
        <v>23</v>
      </c>
      <c r="C3779" t="s">
        <v>62</v>
      </c>
      <c r="E3779">
        <v>2021</v>
      </c>
      <c r="F3779" t="s">
        <v>68</v>
      </c>
    </row>
    <row r="3780" spans="1:6" x14ac:dyDescent="0.25">
      <c r="A3780" t="s">
        <v>24</v>
      </c>
      <c r="B3780" t="s">
        <v>25</v>
      </c>
      <c r="C3780" t="s">
        <v>62</v>
      </c>
      <c r="E3780">
        <v>2021</v>
      </c>
      <c r="F3780" t="s">
        <v>68</v>
      </c>
    </row>
    <row r="3781" spans="1:6" x14ac:dyDescent="0.25">
      <c r="A3781" t="s">
        <v>26</v>
      </c>
      <c r="B3781" t="s">
        <v>27</v>
      </c>
      <c r="C3781" t="s">
        <v>62</v>
      </c>
      <c r="E3781">
        <v>2021</v>
      </c>
      <c r="F3781" t="s">
        <v>68</v>
      </c>
    </row>
    <row r="3782" spans="1:6" x14ac:dyDescent="0.25">
      <c r="A3782" t="s">
        <v>28</v>
      </c>
      <c r="B3782" t="s">
        <v>29</v>
      </c>
      <c r="C3782" t="s">
        <v>62</v>
      </c>
      <c r="E3782">
        <v>2021</v>
      </c>
      <c r="F3782" t="s">
        <v>68</v>
      </c>
    </row>
    <row r="3783" spans="1:6" x14ac:dyDescent="0.25">
      <c r="A3783" t="s">
        <v>30</v>
      </c>
      <c r="B3783" t="s">
        <v>31</v>
      </c>
      <c r="C3783" t="s">
        <v>62</v>
      </c>
      <c r="E3783">
        <v>2021</v>
      </c>
      <c r="F3783" t="s">
        <v>68</v>
      </c>
    </row>
    <row r="3784" spans="1:6" x14ac:dyDescent="0.25">
      <c r="A3784" t="s">
        <v>32</v>
      </c>
      <c r="B3784" t="s">
        <v>33</v>
      </c>
      <c r="C3784" t="s">
        <v>62</v>
      </c>
      <c r="E3784">
        <v>2021</v>
      </c>
      <c r="F3784" t="s">
        <v>68</v>
      </c>
    </row>
    <row r="3785" spans="1:6" x14ac:dyDescent="0.25">
      <c r="A3785" t="s">
        <v>34</v>
      </c>
      <c r="B3785" t="s">
        <v>35</v>
      </c>
      <c r="C3785" t="s">
        <v>62</v>
      </c>
      <c r="E3785">
        <v>2021</v>
      </c>
      <c r="F3785" t="s">
        <v>68</v>
      </c>
    </row>
    <row r="3786" spans="1:6" x14ac:dyDescent="0.25">
      <c r="A3786" t="s">
        <v>36</v>
      </c>
      <c r="B3786" t="s">
        <v>37</v>
      </c>
      <c r="C3786" t="s">
        <v>62</v>
      </c>
      <c r="E3786">
        <v>2021</v>
      </c>
      <c r="F3786" t="s">
        <v>68</v>
      </c>
    </row>
    <row r="3787" spans="1:6" x14ac:dyDescent="0.25">
      <c r="A3787" t="s">
        <v>38</v>
      </c>
      <c r="B3787" t="s">
        <v>39</v>
      </c>
      <c r="C3787" t="s">
        <v>62</v>
      </c>
      <c r="E3787">
        <v>2021</v>
      </c>
      <c r="F3787" t="s">
        <v>68</v>
      </c>
    </row>
    <row r="3788" spans="1:6" x14ac:dyDescent="0.25">
      <c r="A3788" t="s">
        <v>40</v>
      </c>
      <c r="B3788" t="s">
        <v>41</v>
      </c>
      <c r="C3788" t="s">
        <v>62</v>
      </c>
      <c r="E3788">
        <v>2021</v>
      </c>
      <c r="F3788" t="s">
        <v>68</v>
      </c>
    </row>
    <row r="3789" spans="1:6" x14ac:dyDescent="0.25">
      <c r="A3789" t="s">
        <v>42</v>
      </c>
      <c r="B3789" t="s">
        <v>43</v>
      </c>
      <c r="C3789" t="s">
        <v>62</v>
      </c>
      <c r="E3789">
        <v>2021</v>
      </c>
      <c r="F3789" t="s">
        <v>68</v>
      </c>
    </row>
    <row r="3790" spans="1:6" x14ac:dyDescent="0.25">
      <c r="A3790" t="s">
        <v>44</v>
      </c>
      <c r="B3790" t="s">
        <v>45</v>
      </c>
      <c r="C3790" t="s">
        <v>62</v>
      </c>
      <c r="E3790">
        <v>2021</v>
      </c>
      <c r="F3790" t="s">
        <v>68</v>
      </c>
    </row>
    <row r="3791" spans="1:6" x14ac:dyDescent="0.25">
      <c r="A3791" t="s">
        <v>46</v>
      </c>
      <c r="B3791" t="s">
        <v>47</v>
      </c>
      <c r="C3791" t="s">
        <v>62</v>
      </c>
      <c r="E3791">
        <v>2021</v>
      </c>
      <c r="F3791" t="s">
        <v>68</v>
      </c>
    </row>
    <row r="3792" spans="1:6" x14ac:dyDescent="0.25">
      <c r="A3792" t="s">
        <v>48</v>
      </c>
      <c r="B3792" t="s">
        <v>49</v>
      </c>
      <c r="C3792" t="s">
        <v>62</v>
      </c>
      <c r="E3792">
        <v>2021</v>
      </c>
      <c r="F3792" t="s">
        <v>68</v>
      </c>
    </row>
    <row r="3793" spans="1:6" x14ac:dyDescent="0.25">
      <c r="A3793" t="s">
        <v>50</v>
      </c>
      <c r="B3793" t="s">
        <v>51</v>
      </c>
      <c r="C3793" t="s">
        <v>62</v>
      </c>
      <c r="E3793">
        <v>2021</v>
      </c>
      <c r="F3793" t="s">
        <v>68</v>
      </c>
    </row>
    <row r="3794" spans="1:6" x14ac:dyDescent="0.25">
      <c r="A3794" t="s">
        <v>52</v>
      </c>
      <c r="B3794" t="s">
        <v>53</v>
      </c>
      <c r="C3794" t="s">
        <v>62</v>
      </c>
      <c r="E3794">
        <v>2021</v>
      </c>
      <c r="F3794" t="s">
        <v>68</v>
      </c>
    </row>
    <row r="3795" spans="1:6" x14ac:dyDescent="0.25">
      <c r="A3795" t="s">
        <v>54</v>
      </c>
      <c r="B3795" t="s">
        <v>55</v>
      </c>
      <c r="C3795" t="s">
        <v>62</v>
      </c>
      <c r="E3795">
        <v>2021</v>
      </c>
      <c r="F3795" t="s">
        <v>68</v>
      </c>
    </row>
    <row r="3796" spans="1:6" x14ac:dyDescent="0.25">
      <c r="A3796" t="s">
        <v>56</v>
      </c>
      <c r="B3796" t="s">
        <v>57</v>
      </c>
      <c r="C3796" t="s">
        <v>62</v>
      </c>
      <c r="E3796">
        <v>2021</v>
      </c>
      <c r="F3796" t="s">
        <v>68</v>
      </c>
    </row>
    <row r="3797" spans="1:6" x14ac:dyDescent="0.25">
      <c r="A3797" t="s">
        <v>58</v>
      </c>
      <c r="B3797" t="s">
        <v>59</v>
      </c>
      <c r="C3797" t="s">
        <v>62</v>
      </c>
      <c r="E3797">
        <v>2021</v>
      </c>
      <c r="F3797" t="s">
        <v>68</v>
      </c>
    </row>
    <row r="3798" spans="1:6" x14ac:dyDescent="0.25">
      <c r="A3798" t="s">
        <v>6</v>
      </c>
      <c r="B3798" t="s">
        <v>7</v>
      </c>
      <c r="C3798" t="s">
        <v>66</v>
      </c>
      <c r="E3798">
        <v>2021</v>
      </c>
      <c r="F3798" t="s">
        <v>68</v>
      </c>
    </row>
    <row r="3799" spans="1:6" x14ac:dyDescent="0.25">
      <c r="A3799" t="s">
        <v>10</v>
      </c>
      <c r="B3799" t="s">
        <v>11</v>
      </c>
      <c r="C3799" t="s">
        <v>66</v>
      </c>
      <c r="E3799">
        <v>2021</v>
      </c>
      <c r="F3799" t="s">
        <v>68</v>
      </c>
    </row>
    <row r="3800" spans="1:6" x14ac:dyDescent="0.25">
      <c r="A3800" t="s">
        <v>12</v>
      </c>
      <c r="B3800" t="s">
        <v>13</v>
      </c>
      <c r="C3800" t="s">
        <v>66</v>
      </c>
      <c r="E3800">
        <v>2021</v>
      </c>
      <c r="F3800" t="s">
        <v>68</v>
      </c>
    </row>
    <row r="3801" spans="1:6" x14ac:dyDescent="0.25">
      <c r="A3801" t="s">
        <v>14</v>
      </c>
      <c r="B3801" t="s">
        <v>15</v>
      </c>
      <c r="C3801" t="s">
        <v>66</v>
      </c>
      <c r="E3801">
        <v>2021</v>
      </c>
      <c r="F3801" t="s">
        <v>68</v>
      </c>
    </row>
    <row r="3802" spans="1:6" x14ac:dyDescent="0.25">
      <c r="A3802" t="s">
        <v>16</v>
      </c>
      <c r="B3802" t="s">
        <v>17</v>
      </c>
      <c r="C3802" t="s">
        <v>66</v>
      </c>
      <c r="E3802">
        <v>2021</v>
      </c>
      <c r="F3802" t="s">
        <v>68</v>
      </c>
    </row>
    <row r="3803" spans="1:6" x14ac:dyDescent="0.25">
      <c r="A3803" t="s">
        <v>18</v>
      </c>
      <c r="B3803" t="s">
        <v>19</v>
      </c>
      <c r="C3803" t="s">
        <v>66</v>
      </c>
      <c r="E3803">
        <v>2021</v>
      </c>
      <c r="F3803" t="s">
        <v>68</v>
      </c>
    </row>
    <row r="3804" spans="1:6" x14ac:dyDescent="0.25">
      <c r="A3804" t="s">
        <v>20</v>
      </c>
      <c r="B3804" t="s">
        <v>21</v>
      </c>
      <c r="C3804" t="s">
        <v>66</v>
      </c>
      <c r="E3804">
        <v>2021</v>
      </c>
      <c r="F3804" t="s">
        <v>68</v>
      </c>
    </row>
    <row r="3805" spans="1:6" x14ac:dyDescent="0.25">
      <c r="A3805" t="s">
        <v>22</v>
      </c>
      <c r="B3805" t="s">
        <v>23</v>
      </c>
      <c r="C3805" t="s">
        <v>66</v>
      </c>
      <c r="E3805">
        <v>2021</v>
      </c>
      <c r="F3805" t="s">
        <v>68</v>
      </c>
    </row>
    <row r="3806" spans="1:6" x14ac:dyDescent="0.25">
      <c r="A3806" t="s">
        <v>24</v>
      </c>
      <c r="B3806" t="s">
        <v>25</v>
      </c>
      <c r="C3806" t="s">
        <v>66</v>
      </c>
      <c r="E3806">
        <v>2021</v>
      </c>
      <c r="F3806" t="s">
        <v>68</v>
      </c>
    </row>
    <row r="3807" spans="1:6" x14ac:dyDescent="0.25">
      <c r="A3807" t="s">
        <v>26</v>
      </c>
      <c r="B3807" t="s">
        <v>27</v>
      </c>
      <c r="C3807" t="s">
        <v>66</v>
      </c>
      <c r="E3807">
        <v>2021</v>
      </c>
      <c r="F3807" t="s">
        <v>68</v>
      </c>
    </row>
    <row r="3808" spans="1:6" x14ac:dyDescent="0.25">
      <c r="A3808" t="s">
        <v>28</v>
      </c>
      <c r="B3808" t="s">
        <v>29</v>
      </c>
      <c r="C3808" t="s">
        <v>66</v>
      </c>
      <c r="E3808">
        <v>2021</v>
      </c>
      <c r="F3808" t="s">
        <v>68</v>
      </c>
    </row>
    <row r="3809" spans="1:6" x14ac:dyDescent="0.25">
      <c r="A3809" t="s">
        <v>30</v>
      </c>
      <c r="B3809" t="s">
        <v>31</v>
      </c>
      <c r="C3809" t="s">
        <v>66</v>
      </c>
      <c r="E3809">
        <v>2021</v>
      </c>
      <c r="F3809" t="s">
        <v>68</v>
      </c>
    </row>
    <row r="3810" spans="1:6" x14ac:dyDescent="0.25">
      <c r="A3810" t="s">
        <v>32</v>
      </c>
      <c r="B3810" t="s">
        <v>33</v>
      </c>
      <c r="C3810" t="s">
        <v>66</v>
      </c>
      <c r="E3810">
        <v>2021</v>
      </c>
      <c r="F3810" t="s">
        <v>68</v>
      </c>
    </row>
    <row r="3811" spans="1:6" x14ac:dyDescent="0.25">
      <c r="A3811" t="s">
        <v>34</v>
      </c>
      <c r="B3811" t="s">
        <v>35</v>
      </c>
      <c r="C3811" t="s">
        <v>66</v>
      </c>
      <c r="E3811">
        <v>2021</v>
      </c>
      <c r="F3811" t="s">
        <v>68</v>
      </c>
    </row>
    <row r="3812" spans="1:6" x14ac:dyDescent="0.25">
      <c r="A3812" t="s">
        <v>36</v>
      </c>
      <c r="B3812" t="s">
        <v>37</v>
      </c>
      <c r="C3812" t="s">
        <v>66</v>
      </c>
      <c r="E3812">
        <v>2021</v>
      </c>
      <c r="F3812" t="s">
        <v>68</v>
      </c>
    </row>
    <row r="3813" spans="1:6" x14ac:dyDescent="0.25">
      <c r="A3813" t="s">
        <v>38</v>
      </c>
      <c r="B3813" t="s">
        <v>39</v>
      </c>
      <c r="C3813" t="s">
        <v>66</v>
      </c>
      <c r="E3813">
        <v>2021</v>
      </c>
      <c r="F3813" t="s">
        <v>68</v>
      </c>
    </row>
    <row r="3814" spans="1:6" x14ac:dyDescent="0.25">
      <c r="A3814" t="s">
        <v>40</v>
      </c>
      <c r="B3814" t="s">
        <v>41</v>
      </c>
      <c r="C3814" t="s">
        <v>66</v>
      </c>
      <c r="E3814">
        <v>2021</v>
      </c>
      <c r="F3814" t="s">
        <v>68</v>
      </c>
    </row>
    <row r="3815" spans="1:6" x14ac:dyDescent="0.25">
      <c r="A3815" t="s">
        <v>42</v>
      </c>
      <c r="B3815" t="s">
        <v>43</v>
      </c>
      <c r="C3815" t="s">
        <v>66</v>
      </c>
      <c r="E3815">
        <v>2021</v>
      </c>
      <c r="F3815" t="s">
        <v>68</v>
      </c>
    </row>
    <row r="3816" spans="1:6" x14ac:dyDescent="0.25">
      <c r="A3816" t="s">
        <v>44</v>
      </c>
      <c r="B3816" t="s">
        <v>45</v>
      </c>
      <c r="C3816" t="s">
        <v>66</v>
      </c>
      <c r="E3816">
        <v>2021</v>
      </c>
      <c r="F3816" t="s">
        <v>68</v>
      </c>
    </row>
    <row r="3817" spans="1:6" x14ac:dyDescent="0.25">
      <c r="A3817" t="s">
        <v>46</v>
      </c>
      <c r="B3817" t="s">
        <v>47</v>
      </c>
      <c r="C3817" t="s">
        <v>66</v>
      </c>
      <c r="E3817">
        <v>2021</v>
      </c>
      <c r="F3817" t="s">
        <v>68</v>
      </c>
    </row>
    <row r="3818" spans="1:6" x14ac:dyDescent="0.25">
      <c r="A3818" t="s">
        <v>48</v>
      </c>
      <c r="B3818" t="s">
        <v>49</v>
      </c>
      <c r="C3818" t="s">
        <v>66</v>
      </c>
      <c r="E3818">
        <v>2021</v>
      </c>
      <c r="F3818" t="s">
        <v>68</v>
      </c>
    </row>
    <row r="3819" spans="1:6" x14ac:dyDescent="0.25">
      <c r="A3819" t="s">
        <v>50</v>
      </c>
      <c r="B3819" t="s">
        <v>51</v>
      </c>
      <c r="C3819" t="s">
        <v>66</v>
      </c>
      <c r="E3819">
        <v>2021</v>
      </c>
      <c r="F3819" t="s">
        <v>68</v>
      </c>
    </row>
    <row r="3820" spans="1:6" x14ac:dyDescent="0.25">
      <c r="A3820" t="s">
        <v>52</v>
      </c>
      <c r="B3820" t="s">
        <v>53</v>
      </c>
      <c r="C3820" t="s">
        <v>66</v>
      </c>
      <c r="E3820">
        <v>2021</v>
      </c>
      <c r="F3820" t="s">
        <v>68</v>
      </c>
    </row>
    <row r="3821" spans="1:6" x14ac:dyDescent="0.25">
      <c r="A3821" t="s">
        <v>54</v>
      </c>
      <c r="B3821" t="s">
        <v>55</v>
      </c>
      <c r="C3821" t="s">
        <v>66</v>
      </c>
      <c r="E3821">
        <v>2021</v>
      </c>
      <c r="F3821" t="s">
        <v>68</v>
      </c>
    </row>
    <row r="3822" spans="1:6" x14ac:dyDescent="0.25">
      <c r="A3822" t="s">
        <v>56</v>
      </c>
      <c r="B3822" t="s">
        <v>57</v>
      </c>
      <c r="C3822" t="s">
        <v>66</v>
      </c>
      <c r="E3822">
        <v>2021</v>
      </c>
      <c r="F3822" t="s">
        <v>68</v>
      </c>
    </row>
    <row r="3823" spans="1:6" x14ac:dyDescent="0.25">
      <c r="A3823" t="s">
        <v>58</v>
      </c>
      <c r="B3823" t="s">
        <v>59</v>
      </c>
      <c r="C3823" t="s">
        <v>66</v>
      </c>
      <c r="E3823">
        <v>2021</v>
      </c>
      <c r="F3823" t="s">
        <v>68</v>
      </c>
    </row>
    <row r="3824" spans="1:6" x14ac:dyDescent="0.25">
      <c r="A3824" t="s">
        <v>6</v>
      </c>
      <c r="B3824" t="s">
        <v>7</v>
      </c>
      <c r="C3824" t="s">
        <v>63</v>
      </c>
      <c r="D3824">
        <v>-399987570625</v>
      </c>
      <c r="E3824">
        <v>2022</v>
      </c>
      <c r="F3824" t="s">
        <v>68</v>
      </c>
    </row>
    <row r="3825" spans="1:6" x14ac:dyDescent="0.25">
      <c r="A3825" t="s">
        <v>10</v>
      </c>
      <c r="B3825" t="s">
        <v>11</v>
      </c>
      <c r="C3825" t="s">
        <v>63</v>
      </c>
      <c r="D3825">
        <v>3276607</v>
      </c>
      <c r="E3825">
        <v>2022</v>
      </c>
      <c r="F3825" t="s">
        <v>68</v>
      </c>
    </row>
    <row r="3826" spans="1:6" x14ac:dyDescent="0.25">
      <c r="A3826" t="s">
        <v>12</v>
      </c>
      <c r="B3826" t="s">
        <v>13</v>
      </c>
      <c r="C3826" t="s">
        <v>63</v>
      </c>
      <c r="D3826">
        <v>327675</v>
      </c>
      <c r="E3826">
        <v>2022</v>
      </c>
      <c r="F3826" t="s">
        <v>68</v>
      </c>
    </row>
    <row r="3827" spans="1:6" x14ac:dyDescent="0.25">
      <c r="A3827" t="s">
        <v>14</v>
      </c>
      <c r="B3827" t="s">
        <v>15</v>
      </c>
      <c r="C3827" t="s">
        <v>63</v>
      </c>
      <c r="D3827">
        <v>29910</v>
      </c>
      <c r="E3827">
        <v>2022</v>
      </c>
      <c r="F3827" t="s">
        <v>68</v>
      </c>
    </row>
    <row r="3828" spans="1:6" x14ac:dyDescent="0.25">
      <c r="A3828" t="s">
        <v>16</v>
      </c>
      <c r="B3828" t="s">
        <v>17</v>
      </c>
      <c r="C3828" t="s">
        <v>63</v>
      </c>
      <c r="D3828">
        <v>406309</v>
      </c>
      <c r="E3828">
        <v>2022</v>
      </c>
      <c r="F3828" t="s">
        <v>68</v>
      </c>
    </row>
    <row r="3829" spans="1:6" x14ac:dyDescent="0.25">
      <c r="A3829" t="s">
        <v>18</v>
      </c>
      <c r="B3829" t="s">
        <v>19</v>
      </c>
      <c r="C3829" t="s">
        <v>63</v>
      </c>
      <c r="D3829">
        <v>662432</v>
      </c>
      <c r="E3829">
        <v>2022</v>
      </c>
      <c r="F3829" t="s">
        <v>68</v>
      </c>
    </row>
    <row r="3830" spans="1:6" x14ac:dyDescent="0.25">
      <c r="A3830" t="s">
        <v>20</v>
      </c>
      <c r="B3830" t="s">
        <v>21</v>
      </c>
      <c r="C3830" t="s">
        <v>63</v>
      </c>
      <c r="D3830">
        <v>593513</v>
      </c>
      <c r="E3830">
        <v>2022</v>
      </c>
      <c r="F3830" t="s">
        <v>68</v>
      </c>
    </row>
    <row r="3831" spans="1:6" x14ac:dyDescent="0.25">
      <c r="A3831" t="s">
        <v>22</v>
      </c>
      <c r="B3831" t="s">
        <v>23</v>
      </c>
      <c r="C3831" t="s">
        <v>63</v>
      </c>
      <c r="D3831">
        <v>222357</v>
      </c>
      <c r="E3831">
        <v>2022</v>
      </c>
      <c r="F3831" t="s">
        <v>68</v>
      </c>
    </row>
    <row r="3832" spans="1:6" x14ac:dyDescent="0.25">
      <c r="A3832" t="s">
        <v>24</v>
      </c>
      <c r="B3832" t="s">
        <v>25</v>
      </c>
      <c r="C3832" t="s">
        <v>63</v>
      </c>
      <c r="D3832">
        <v>363760</v>
      </c>
      <c r="E3832">
        <v>2022</v>
      </c>
      <c r="F3832" t="s">
        <v>68</v>
      </c>
    </row>
    <row r="3833" spans="1:6" x14ac:dyDescent="0.25">
      <c r="A3833" t="s">
        <v>26</v>
      </c>
      <c r="B3833" t="s">
        <v>27</v>
      </c>
      <c r="C3833" t="s">
        <v>63</v>
      </c>
      <c r="D3833">
        <v>77288</v>
      </c>
      <c r="E3833">
        <v>2022</v>
      </c>
      <c r="F3833" t="s">
        <v>68</v>
      </c>
    </row>
    <row r="3834" spans="1:6" x14ac:dyDescent="0.25">
      <c r="A3834" t="s">
        <v>28</v>
      </c>
      <c r="B3834" t="s">
        <v>29</v>
      </c>
      <c r="C3834" t="s">
        <v>63</v>
      </c>
      <c r="D3834">
        <v>-99999860751</v>
      </c>
      <c r="E3834">
        <v>2022</v>
      </c>
      <c r="F3834" t="s">
        <v>68</v>
      </c>
    </row>
    <row r="3835" spans="1:6" x14ac:dyDescent="0.25">
      <c r="A3835" t="s">
        <v>30</v>
      </c>
      <c r="B3835" t="s">
        <v>31</v>
      </c>
      <c r="C3835" t="s">
        <v>63</v>
      </c>
      <c r="D3835">
        <v>-99999207775</v>
      </c>
      <c r="E3835">
        <v>2022</v>
      </c>
      <c r="F3835" t="s">
        <v>68</v>
      </c>
    </row>
    <row r="3836" spans="1:6" x14ac:dyDescent="0.25">
      <c r="A3836" t="s">
        <v>32</v>
      </c>
      <c r="B3836" t="s">
        <v>33</v>
      </c>
      <c r="C3836" t="s">
        <v>63</v>
      </c>
      <c r="D3836">
        <v>236895</v>
      </c>
      <c r="E3836">
        <v>2022</v>
      </c>
      <c r="F3836" t="s">
        <v>68</v>
      </c>
    </row>
    <row r="3837" spans="1:6" x14ac:dyDescent="0.25">
      <c r="A3837" t="s">
        <v>34</v>
      </c>
      <c r="B3837" t="s">
        <v>35</v>
      </c>
      <c r="C3837" t="s">
        <v>63</v>
      </c>
      <c r="D3837">
        <v>621606</v>
      </c>
      <c r="E3837">
        <v>2022</v>
      </c>
      <c r="F3837" t="s">
        <v>68</v>
      </c>
    </row>
    <row r="3838" spans="1:6" x14ac:dyDescent="0.25">
      <c r="A3838" t="s">
        <v>36</v>
      </c>
      <c r="B3838" t="s">
        <v>37</v>
      </c>
      <c r="C3838" t="s">
        <v>63</v>
      </c>
      <c r="D3838">
        <v>539877</v>
      </c>
      <c r="E3838">
        <v>2022</v>
      </c>
      <c r="F3838" t="s">
        <v>68</v>
      </c>
    </row>
    <row r="3839" spans="1:6" x14ac:dyDescent="0.25">
      <c r="A3839" t="s">
        <v>38</v>
      </c>
      <c r="B3839" t="s">
        <v>39</v>
      </c>
      <c r="C3839" t="s">
        <v>63</v>
      </c>
      <c r="D3839">
        <v>453158</v>
      </c>
      <c r="E3839">
        <v>2022</v>
      </c>
      <c r="F3839" t="s">
        <v>68</v>
      </c>
    </row>
    <row r="3840" spans="1:6" x14ac:dyDescent="0.25">
      <c r="A3840" t="s">
        <v>40</v>
      </c>
      <c r="B3840" t="s">
        <v>41</v>
      </c>
      <c r="C3840" t="s">
        <v>63</v>
      </c>
      <c r="D3840">
        <v>533409</v>
      </c>
      <c r="E3840">
        <v>2022</v>
      </c>
      <c r="F3840" t="s">
        <v>68</v>
      </c>
    </row>
    <row r="3841" spans="1:6" x14ac:dyDescent="0.25">
      <c r="A3841" t="s">
        <v>42</v>
      </c>
      <c r="B3841" t="s">
        <v>43</v>
      </c>
      <c r="C3841" t="s">
        <v>63</v>
      </c>
      <c r="D3841">
        <v>-99999770053</v>
      </c>
      <c r="E3841">
        <v>2022</v>
      </c>
      <c r="F3841" t="s">
        <v>68</v>
      </c>
    </row>
    <row r="3842" spans="1:6" x14ac:dyDescent="0.25">
      <c r="A3842" t="s">
        <v>44</v>
      </c>
      <c r="B3842" t="s">
        <v>45</v>
      </c>
      <c r="C3842" t="s">
        <v>63</v>
      </c>
      <c r="D3842">
        <v>417570</v>
      </c>
      <c r="E3842">
        <v>2022</v>
      </c>
      <c r="F3842" t="s">
        <v>68</v>
      </c>
    </row>
    <row r="3843" spans="1:6" x14ac:dyDescent="0.25">
      <c r="A3843" t="s">
        <v>46</v>
      </c>
      <c r="B3843" t="s">
        <v>47</v>
      </c>
      <c r="C3843" t="s">
        <v>63</v>
      </c>
      <c r="D3843">
        <v>677947</v>
      </c>
      <c r="E3843">
        <v>2022</v>
      </c>
      <c r="F3843" t="s">
        <v>68</v>
      </c>
    </row>
    <row r="3844" spans="1:6" x14ac:dyDescent="0.25">
      <c r="A3844" t="s">
        <v>48</v>
      </c>
      <c r="B3844" t="s">
        <v>49</v>
      </c>
      <c r="C3844" t="s">
        <v>63</v>
      </c>
      <c r="D3844">
        <v>853120</v>
      </c>
      <c r="E3844">
        <v>2022</v>
      </c>
      <c r="F3844" t="s">
        <v>68</v>
      </c>
    </row>
    <row r="3845" spans="1:6" x14ac:dyDescent="0.25">
      <c r="A3845" t="s">
        <v>50</v>
      </c>
      <c r="B3845" t="s">
        <v>51</v>
      </c>
      <c r="C3845" t="s">
        <v>63</v>
      </c>
      <c r="D3845">
        <v>-99999850798</v>
      </c>
      <c r="E3845">
        <v>2022</v>
      </c>
      <c r="F3845" t="s">
        <v>68</v>
      </c>
    </row>
    <row r="3846" spans="1:6" x14ac:dyDescent="0.25">
      <c r="A3846" t="s">
        <v>52</v>
      </c>
      <c r="B3846" t="s">
        <v>53</v>
      </c>
      <c r="C3846" t="s">
        <v>63</v>
      </c>
      <c r="D3846">
        <v>304165</v>
      </c>
      <c r="E3846">
        <v>2022</v>
      </c>
      <c r="F3846" t="s">
        <v>68</v>
      </c>
    </row>
    <row r="3847" spans="1:6" x14ac:dyDescent="0.25">
      <c r="A3847" t="s">
        <v>54</v>
      </c>
      <c r="B3847" t="s">
        <v>55</v>
      </c>
      <c r="C3847" t="s">
        <v>63</v>
      </c>
      <c r="D3847">
        <v>218223</v>
      </c>
      <c r="E3847">
        <v>2022</v>
      </c>
      <c r="F3847" t="s">
        <v>68</v>
      </c>
    </row>
    <row r="3848" spans="1:6" x14ac:dyDescent="0.25">
      <c r="A3848" t="s">
        <v>56</v>
      </c>
      <c r="B3848" t="s">
        <v>57</v>
      </c>
      <c r="C3848" t="s">
        <v>63</v>
      </c>
      <c r="D3848">
        <v>302931</v>
      </c>
      <c r="E3848">
        <v>2022</v>
      </c>
      <c r="F3848" t="s">
        <v>68</v>
      </c>
    </row>
    <row r="3849" spans="1:6" x14ac:dyDescent="0.25">
      <c r="A3849" t="s">
        <v>58</v>
      </c>
      <c r="B3849" t="s">
        <v>59</v>
      </c>
      <c r="C3849" t="s">
        <v>63</v>
      </c>
      <c r="E3849">
        <v>2022</v>
      </c>
      <c r="F3849" t="s">
        <v>68</v>
      </c>
    </row>
    <row r="3850" spans="1:6" x14ac:dyDescent="0.25">
      <c r="A3850" t="s">
        <v>6</v>
      </c>
      <c r="B3850" t="s">
        <v>7</v>
      </c>
      <c r="C3850" t="s">
        <v>8</v>
      </c>
      <c r="D3850">
        <v>537675</v>
      </c>
      <c r="E3850">
        <v>2022</v>
      </c>
      <c r="F3850" t="s">
        <v>68</v>
      </c>
    </row>
    <row r="3851" spans="1:6" x14ac:dyDescent="0.25">
      <c r="A3851" t="s">
        <v>10</v>
      </c>
      <c r="B3851" t="s">
        <v>11</v>
      </c>
      <c r="C3851" t="s">
        <v>8</v>
      </c>
      <c r="D3851">
        <v>169707</v>
      </c>
      <c r="E3851">
        <v>2022</v>
      </c>
      <c r="F3851" t="s">
        <v>68</v>
      </c>
    </row>
    <row r="3852" spans="1:6" x14ac:dyDescent="0.25">
      <c r="A3852" t="s">
        <v>12</v>
      </c>
      <c r="B3852" t="s">
        <v>13</v>
      </c>
      <c r="C3852" t="s">
        <v>8</v>
      </c>
      <c r="D3852">
        <v>22736</v>
      </c>
      <c r="E3852">
        <v>2022</v>
      </c>
      <c r="F3852" t="s">
        <v>68</v>
      </c>
    </row>
    <row r="3853" spans="1:6" x14ac:dyDescent="0.25">
      <c r="A3853" t="s">
        <v>14</v>
      </c>
      <c r="B3853" t="s">
        <v>15</v>
      </c>
      <c r="C3853" t="s">
        <v>8</v>
      </c>
      <c r="E3853">
        <v>2022</v>
      </c>
      <c r="F3853" t="s">
        <v>68</v>
      </c>
    </row>
    <row r="3854" spans="1:6" x14ac:dyDescent="0.25">
      <c r="A3854" t="s">
        <v>16</v>
      </c>
      <c r="B3854" t="s">
        <v>17</v>
      </c>
      <c r="C3854" t="s">
        <v>8</v>
      </c>
      <c r="D3854">
        <v>3378</v>
      </c>
      <c r="E3854">
        <v>2022</v>
      </c>
      <c r="F3854" t="s">
        <v>68</v>
      </c>
    </row>
    <row r="3855" spans="1:6" x14ac:dyDescent="0.25">
      <c r="A3855" t="s">
        <v>18</v>
      </c>
      <c r="B3855" t="s">
        <v>19</v>
      </c>
      <c r="C3855" t="s">
        <v>8</v>
      </c>
      <c r="D3855">
        <v>2743</v>
      </c>
      <c r="E3855">
        <v>2022</v>
      </c>
      <c r="F3855" t="s">
        <v>68</v>
      </c>
    </row>
    <row r="3856" spans="1:6" x14ac:dyDescent="0.25">
      <c r="A3856" t="s">
        <v>20</v>
      </c>
      <c r="B3856" t="s">
        <v>21</v>
      </c>
      <c r="C3856" t="s">
        <v>8</v>
      </c>
      <c r="D3856">
        <v>1044</v>
      </c>
      <c r="E3856">
        <v>2022</v>
      </c>
      <c r="F3856" t="s">
        <v>68</v>
      </c>
    </row>
    <row r="3857" spans="1:6" x14ac:dyDescent="0.25">
      <c r="A3857" t="s">
        <v>22</v>
      </c>
      <c r="B3857" t="s">
        <v>23</v>
      </c>
      <c r="C3857" t="s">
        <v>8</v>
      </c>
      <c r="D3857">
        <v>28977</v>
      </c>
      <c r="E3857">
        <v>2022</v>
      </c>
      <c r="F3857" t="s">
        <v>68</v>
      </c>
    </row>
    <row r="3858" spans="1:6" x14ac:dyDescent="0.25">
      <c r="A3858" t="s">
        <v>24</v>
      </c>
      <c r="B3858" t="s">
        <v>25</v>
      </c>
      <c r="C3858" t="s">
        <v>8</v>
      </c>
      <c r="D3858">
        <v>18439</v>
      </c>
      <c r="E3858">
        <v>2022</v>
      </c>
      <c r="F3858" t="s">
        <v>68</v>
      </c>
    </row>
    <row r="3859" spans="1:6" x14ac:dyDescent="0.25">
      <c r="A3859" t="s">
        <v>26</v>
      </c>
      <c r="B3859" t="s">
        <v>27</v>
      </c>
      <c r="C3859" t="s">
        <v>8</v>
      </c>
      <c r="D3859">
        <v>3954</v>
      </c>
      <c r="E3859">
        <v>2022</v>
      </c>
      <c r="F3859" t="s">
        <v>68</v>
      </c>
    </row>
    <row r="3860" spans="1:6" x14ac:dyDescent="0.25">
      <c r="A3860" t="s">
        <v>28</v>
      </c>
      <c r="B3860" t="s">
        <v>29</v>
      </c>
      <c r="C3860" t="s">
        <v>8</v>
      </c>
      <c r="E3860">
        <v>2022</v>
      </c>
      <c r="F3860" t="s">
        <v>68</v>
      </c>
    </row>
    <row r="3861" spans="1:6" x14ac:dyDescent="0.25">
      <c r="A3861" t="s">
        <v>30</v>
      </c>
      <c r="B3861" t="s">
        <v>31</v>
      </c>
      <c r="C3861" t="s">
        <v>8</v>
      </c>
      <c r="D3861">
        <v>31148</v>
      </c>
      <c r="E3861">
        <v>2022</v>
      </c>
      <c r="F3861" t="s">
        <v>68</v>
      </c>
    </row>
    <row r="3862" spans="1:6" x14ac:dyDescent="0.25">
      <c r="A3862" t="s">
        <v>32</v>
      </c>
      <c r="B3862" t="s">
        <v>33</v>
      </c>
      <c r="C3862" t="s">
        <v>8</v>
      </c>
      <c r="D3862">
        <v>11481</v>
      </c>
      <c r="E3862">
        <v>2022</v>
      </c>
      <c r="F3862" t="s">
        <v>68</v>
      </c>
    </row>
    <row r="3863" spans="1:6" x14ac:dyDescent="0.25">
      <c r="A3863" t="s">
        <v>34</v>
      </c>
      <c r="B3863" t="s">
        <v>35</v>
      </c>
      <c r="C3863" t="s">
        <v>8</v>
      </c>
      <c r="D3863">
        <v>22901</v>
      </c>
      <c r="E3863">
        <v>2022</v>
      </c>
      <c r="F3863" t="s">
        <v>68</v>
      </c>
    </row>
    <row r="3864" spans="1:6" x14ac:dyDescent="0.25">
      <c r="A3864" t="s">
        <v>36</v>
      </c>
      <c r="B3864" t="s">
        <v>37</v>
      </c>
      <c r="C3864" t="s">
        <v>8</v>
      </c>
      <c r="D3864">
        <v>18519</v>
      </c>
      <c r="E3864">
        <v>2022</v>
      </c>
      <c r="F3864" t="s">
        <v>68</v>
      </c>
    </row>
    <row r="3865" spans="1:6" x14ac:dyDescent="0.25">
      <c r="A3865" t="s">
        <v>38</v>
      </c>
      <c r="B3865" t="s">
        <v>39</v>
      </c>
      <c r="C3865" t="s">
        <v>8</v>
      </c>
      <c r="D3865">
        <v>8199</v>
      </c>
      <c r="E3865">
        <v>2022</v>
      </c>
      <c r="F3865" t="s">
        <v>68</v>
      </c>
    </row>
    <row r="3866" spans="1:6" x14ac:dyDescent="0.25">
      <c r="A3866" t="s">
        <v>40</v>
      </c>
      <c r="B3866" t="s">
        <v>41</v>
      </c>
      <c r="C3866" t="s">
        <v>8</v>
      </c>
      <c r="D3866">
        <v>48915</v>
      </c>
      <c r="E3866">
        <v>2022</v>
      </c>
      <c r="F3866" t="s">
        <v>68</v>
      </c>
    </row>
    <row r="3867" spans="1:6" x14ac:dyDescent="0.25">
      <c r="A3867" t="s">
        <v>42</v>
      </c>
      <c r="B3867" t="s">
        <v>43</v>
      </c>
      <c r="C3867" t="s">
        <v>8</v>
      </c>
      <c r="D3867">
        <v>375</v>
      </c>
      <c r="E3867">
        <v>2022</v>
      </c>
      <c r="F3867" t="s">
        <v>68</v>
      </c>
    </row>
    <row r="3868" spans="1:6" x14ac:dyDescent="0.25">
      <c r="A3868" t="s">
        <v>44</v>
      </c>
      <c r="B3868" t="s">
        <v>45</v>
      </c>
      <c r="C3868" t="s">
        <v>8</v>
      </c>
      <c r="D3868">
        <v>82894</v>
      </c>
      <c r="E3868">
        <v>2022</v>
      </c>
      <c r="F3868" t="s">
        <v>68</v>
      </c>
    </row>
    <row r="3869" spans="1:6" x14ac:dyDescent="0.25">
      <c r="A3869" t="s">
        <v>46</v>
      </c>
      <c r="B3869" t="s">
        <v>47</v>
      </c>
      <c r="C3869" t="s">
        <v>8</v>
      </c>
      <c r="D3869">
        <v>9137</v>
      </c>
      <c r="E3869">
        <v>2022</v>
      </c>
      <c r="F3869" t="s">
        <v>68</v>
      </c>
    </row>
    <row r="3870" spans="1:6" x14ac:dyDescent="0.25">
      <c r="A3870" t="s">
        <v>48</v>
      </c>
      <c r="B3870" t="s">
        <v>49</v>
      </c>
      <c r="C3870" t="s">
        <v>8</v>
      </c>
      <c r="D3870">
        <v>792</v>
      </c>
      <c r="E3870">
        <v>2022</v>
      </c>
      <c r="F3870" t="s">
        <v>68</v>
      </c>
    </row>
    <row r="3871" spans="1:6" x14ac:dyDescent="0.25">
      <c r="A3871" t="s">
        <v>50</v>
      </c>
      <c r="B3871" t="s">
        <v>51</v>
      </c>
      <c r="C3871" t="s">
        <v>8</v>
      </c>
      <c r="D3871">
        <v>704</v>
      </c>
      <c r="E3871">
        <v>2022</v>
      </c>
      <c r="F3871" t="s">
        <v>68</v>
      </c>
    </row>
    <row r="3872" spans="1:6" x14ac:dyDescent="0.25">
      <c r="A3872" t="s">
        <v>52</v>
      </c>
      <c r="B3872" t="s">
        <v>53</v>
      </c>
      <c r="C3872" t="s">
        <v>8</v>
      </c>
      <c r="D3872">
        <v>9248</v>
      </c>
      <c r="E3872">
        <v>2022</v>
      </c>
      <c r="F3872" t="s">
        <v>68</v>
      </c>
    </row>
    <row r="3873" spans="1:6" x14ac:dyDescent="0.25">
      <c r="A3873" t="s">
        <v>54</v>
      </c>
      <c r="B3873" t="s">
        <v>55</v>
      </c>
      <c r="C3873" t="s">
        <v>8</v>
      </c>
      <c r="D3873">
        <v>1635</v>
      </c>
      <c r="E3873">
        <v>2022</v>
      </c>
      <c r="F3873" t="s">
        <v>68</v>
      </c>
    </row>
    <row r="3874" spans="1:6" x14ac:dyDescent="0.25">
      <c r="A3874" t="s">
        <v>56</v>
      </c>
      <c r="B3874" t="s">
        <v>57</v>
      </c>
      <c r="C3874" t="s">
        <v>8</v>
      </c>
      <c r="D3874">
        <v>24961</v>
      </c>
      <c r="E3874">
        <v>2022</v>
      </c>
      <c r="F3874" t="s">
        <v>68</v>
      </c>
    </row>
    <row r="3875" spans="1:6" x14ac:dyDescent="0.25">
      <c r="A3875" t="s">
        <v>58</v>
      </c>
      <c r="B3875" t="s">
        <v>59</v>
      </c>
      <c r="C3875" t="s">
        <v>8</v>
      </c>
      <c r="D3875">
        <v>15788</v>
      </c>
      <c r="E3875">
        <v>2022</v>
      </c>
      <c r="F3875" t="s">
        <v>68</v>
      </c>
    </row>
    <row r="3876" spans="1:6" x14ac:dyDescent="0.25">
      <c r="A3876" t="s">
        <v>6</v>
      </c>
      <c r="B3876" t="s">
        <v>7</v>
      </c>
      <c r="C3876" t="s">
        <v>60</v>
      </c>
      <c r="D3876">
        <v>710060</v>
      </c>
      <c r="E3876">
        <v>2022</v>
      </c>
      <c r="F3876" t="s">
        <v>68</v>
      </c>
    </row>
    <row r="3877" spans="1:6" x14ac:dyDescent="0.25">
      <c r="A3877" t="s">
        <v>10</v>
      </c>
      <c r="B3877" t="s">
        <v>11</v>
      </c>
      <c r="C3877" t="s">
        <v>60</v>
      </c>
      <c r="D3877">
        <v>171298</v>
      </c>
      <c r="E3877">
        <v>2022</v>
      </c>
      <c r="F3877" t="s">
        <v>68</v>
      </c>
    </row>
    <row r="3878" spans="1:6" x14ac:dyDescent="0.25">
      <c r="A3878" t="s">
        <v>12</v>
      </c>
      <c r="B3878" t="s">
        <v>13</v>
      </c>
      <c r="C3878" t="s">
        <v>60</v>
      </c>
      <c r="D3878">
        <v>13515</v>
      </c>
      <c r="E3878">
        <v>2022</v>
      </c>
      <c r="F3878" t="s">
        <v>68</v>
      </c>
    </row>
    <row r="3879" spans="1:6" x14ac:dyDescent="0.25">
      <c r="A3879" t="s">
        <v>14</v>
      </c>
      <c r="B3879" t="s">
        <v>15</v>
      </c>
      <c r="C3879" t="s">
        <v>60</v>
      </c>
      <c r="E3879">
        <v>2022</v>
      </c>
      <c r="F3879" t="s">
        <v>68</v>
      </c>
    </row>
    <row r="3880" spans="1:6" x14ac:dyDescent="0.25">
      <c r="A3880" t="s">
        <v>16</v>
      </c>
      <c r="B3880" t="s">
        <v>17</v>
      </c>
      <c r="C3880" t="s">
        <v>60</v>
      </c>
      <c r="D3880">
        <v>30767</v>
      </c>
      <c r="E3880">
        <v>2022</v>
      </c>
      <c r="F3880" t="s">
        <v>68</v>
      </c>
    </row>
    <row r="3881" spans="1:6" x14ac:dyDescent="0.25">
      <c r="A3881" t="s">
        <v>18</v>
      </c>
      <c r="B3881" t="s">
        <v>19</v>
      </c>
      <c r="C3881" t="s">
        <v>60</v>
      </c>
      <c r="D3881">
        <v>68536</v>
      </c>
      <c r="E3881">
        <v>2022</v>
      </c>
      <c r="F3881" t="s">
        <v>68</v>
      </c>
    </row>
    <row r="3882" spans="1:6" x14ac:dyDescent="0.25">
      <c r="A3882" t="s">
        <v>20</v>
      </c>
      <c r="B3882" t="s">
        <v>21</v>
      </c>
      <c r="C3882" t="s">
        <v>60</v>
      </c>
      <c r="D3882">
        <v>14750</v>
      </c>
      <c r="E3882">
        <v>2022</v>
      </c>
      <c r="F3882" t="s">
        <v>68</v>
      </c>
    </row>
    <row r="3883" spans="1:6" x14ac:dyDescent="0.25">
      <c r="A3883" t="s">
        <v>22</v>
      </c>
      <c r="B3883" t="s">
        <v>23</v>
      </c>
      <c r="C3883" t="s">
        <v>60</v>
      </c>
      <c r="D3883">
        <v>4266</v>
      </c>
      <c r="E3883">
        <v>2022</v>
      </c>
      <c r="F3883" t="s">
        <v>68</v>
      </c>
    </row>
    <row r="3884" spans="1:6" x14ac:dyDescent="0.25">
      <c r="A3884" t="s">
        <v>24</v>
      </c>
      <c r="B3884" t="s">
        <v>25</v>
      </c>
      <c r="C3884" t="s">
        <v>60</v>
      </c>
      <c r="D3884">
        <v>19673</v>
      </c>
      <c r="E3884">
        <v>2022</v>
      </c>
      <c r="F3884" t="s">
        <v>68</v>
      </c>
    </row>
    <row r="3885" spans="1:6" x14ac:dyDescent="0.25">
      <c r="A3885" t="s">
        <v>26</v>
      </c>
      <c r="B3885" t="s">
        <v>27</v>
      </c>
      <c r="C3885" t="s">
        <v>60</v>
      </c>
      <c r="D3885">
        <v>18216</v>
      </c>
      <c r="E3885">
        <v>2022</v>
      </c>
      <c r="F3885" t="s">
        <v>68</v>
      </c>
    </row>
    <row r="3886" spans="1:6" x14ac:dyDescent="0.25">
      <c r="A3886" t="s">
        <v>28</v>
      </c>
      <c r="B3886" t="s">
        <v>29</v>
      </c>
      <c r="C3886" t="s">
        <v>60</v>
      </c>
      <c r="D3886">
        <v>6194</v>
      </c>
      <c r="E3886">
        <v>2022</v>
      </c>
      <c r="F3886" t="s">
        <v>68</v>
      </c>
    </row>
    <row r="3887" spans="1:6" x14ac:dyDescent="0.25">
      <c r="A3887" t="s">
        <v>30</v>
      </c>
      <c r="B3887" t="s">
        <v>31</v>
      </c>
      <c r="C3887" t="s">
        <v>60</v>
      </c>
      <c r="D3887">
        <v>57474</v>
      </c>
      <c r="E3887">
        <v>2022</v>
      </c>
      <c r="F3887" t="s">
        <v>68</v>
      </c>
    </row>
    <row r="3888" spans="1:6" x14ac:dyDescent="0.25">
      <c r="A3888" t="s">
        <v>32</v>
      </c>
      <c r="B3888" t="s">
        <v>33</v>
      </c>
      <c r="C3888" t="s">
        <v>60</v>
      </c>
      <c r="D3888">
        <v>31605</v>
      </c>
      <c r="E3888">
        <v>2022</v>
      </c>
      <c r="F3888" t="s">
        <v>68</v>
      </c>
    </row>
    <row r="3889" spans="1:6" x14ac:dyDescent="0.25">
      <c r="A3889" t="s">
        <v>34</v>
      </c>
      <c r="B3889" t="s">
        <v>35</v>
      </c>
      <c r="C3889" t="s">
        <v>60</v>
      </c>
      <c r="D3889">
        <v>60997</v>
      </c>
      <c r="E3889">
        <v>2022</v>
      </c>
      <c r="F3889" t="s">
        <v>68</v>
      </c>
    </row>
    <row r="3890" spans="1:6" x14ac:dyDescent="0.25">
      <c r="A3890" t="s">
        <v>36</v>
      </c>
      <c r="B3890" t="s">
        <v>37</v>
      </c>
      <c r="C3890" t="s">
        <v>60</v>
      </c>
      <c r="D3890">
        <v>38781</v>
      </c>
      <c r="E3890">
        <v>2022</v>
      </c>
      <c r="F3890" t="s">
        <v>68</v>
      </c>
    </row>
    <row r="3891" spans="1:6" x14ac:dyDescent="0.25">
      <c r="A3891" t="s">
        <v>38</v>
      </c>
      <c r="B3891" t="s">
        <v>39</v>
      </c>
      <c r="C3891" t="s">
        <v>60</v>
      </c>
      <c r="D3891">
        <v>12795</v>
      </c>
      <c r="E3891">
        <v>2022</v>
      </c>
      <c r="F3891" t="s">
        <v>68</v>
      </c>
    </row>
    <row r="3892" spans="1:6" x14ac:dyDescent="0.25">
      <c r="A3892" t="s">
        <v>40</v>
      </c>
      <c r="B3892" t="s">
        <v>41</v>
      </c>
      <c r="C3892" t="s">
        <v>60</v>
      </c>
      <c r="D3892">
        <v>34774</v>
      </c>
      <c r="E3892">
        <v>2022</v>
      </c>
      <c r="F3892" t="s">
        <v>68</v>
      </c>
    </row>
    <row r="3893" spans="1:6" x14ac:dyDescent="0.25">
      <c r="A3893" t="s">
        <v>42</v>
      </c>
      <c r="B3893" t="s">
        <v>43</v>
      </c>
      <c r="C3893" t="s">
        <v>60</v>
      </c>
      <c r="E3893">
        <v>2022</v>
      </c>
      <c r="F3893" t="s">
        <v>68</v>
      </c>
    </row>
    <row r="3894" spans="1:6" x14ac:dyDescent="0.25">
      <c r="A3894" t="s">
        <v>44</v>
      </c>
      <c r="B3894" t="s">
        <v>45</v>
      </c>
      <c r="C3894" t="s">
        <v>60</v>
      </c>
      <c r="D3894">
        <v>20855</v>
      </c>
      <c r="E3894">
        <v>2022</v>
      </c>
      <c r="F3894" t="s">
        <v>68</v>
      </c>
    </row>
    <row r="3895" spans="1:6" x14ac:dyDescent="0.25">
      <c r="A3895" t="s">
        <v>46</v>
      </c>
      <c r="B3895" t="s">
        <v>47</v>
      </c>
      <c r="C3895" t="s">
        <v>60</v>
      </c>
      <c r="D3895">
        <v>17143</v>
      </c>
      <c r="E3895">
        <v>2022</v>
      </c>
      <c r="F3895" t="s">
        <v>68</v>
      </c>
    </row>
    <row r="3896" spans="1:6" x14ac:dyDescent="0.25">
      <c r="A3896" t="s">
        <v>48</v>
      </c>
      <c r="B3896" t="s">
        <v>49</v>
      </c>
      <c r="C3896" t="s">
        <v>60</v>
      </c>
      <c r="D3896">
        <v>11869</v>
      </c>
      <c r="E3896">
        <v>2022</v>
      </c>
      <c r="F3896" t="s">
        <v>68</v>
      </c>
    </row>
    <row r="3897" spans="1:6" x14ac:dyDescent="0.25">
      <c r="A3897" t="s">
        <v>50</v>
      </c>
      <c r="B3897" t="s">
        <v>51</v>
      </c>
      <c r="C3897" t="s">
        <v>60</v>
      </c>
      <c r="D3897">
        <v>7764</v>
      </c>
      <c r="E3897">
        <v>2022</v>
      </c>
      <c r="F3897" t="s">
        <v>68</v>
      </c>
    </row>
    <row r="3898" spans="1:6" x14ac:dyDescent="0.25">
      <c r="A3898" t="s">
        <v>52</v>
      </c>
      <c r="B3898" t="s">
        <v>53</v>
      </c>
      <c r="C3898" t="s">
        <v>60</v>
      </c>
      <c r="D3898">
        <v>18849</v>
      </c>
      <c r="E3898">
        <v>2022</v>
      </c>
      <c r="F3898" t="s">
        <v>68</v>
      </c>
    </row>
    <row r="3899" spans="1:6" x14ac:dyDescent="0.25">
      <c r="A3899" t="s">
        <v>54</v>
      </c>
      <c r="B3899" t="s">
        <v>55</v>
      </c>
      <c r="C3899" t="s">
        <v>60</v>
      </c>
      <c r="D3899">
        <v>49939</v>
      </c>
      <c r="E3899">
        <v>2022</v>
      </c>
      <c r="F3899" t="s">
        <v>68</v>
      </c>
    </row>
    <row r="3900" spans="1:6" x14ac:dyDescent="0.25">
      <c r="A3900" t="s">
        <v>56</v>
      </c>
      <c r="B3900" t="s">
        <v>57</v>
      </c>
      <c r="C3900" t="s">
        <v>60</v>
      </c>
      <c r="E3900">
        <v>2022</v>
      </c>
      <c r="F3900" t="s">
        <v>68</v>
      </c>
    </row>
    <row r="3901" spans="1:6" x14ac:dyDescent="0.25">
      <c r="A3901" t="s">
        <v>58</v>
      </c>
      <c r="B3901" t="s">
        <v>59</v>
      </c>
      <c r="C3901" t="s">
        <v>60</v>
      </c>
      <c r="E3901">
        <v>2022</v>
      </c>
      <c r="F3901" t="s">
        <v>68</v>
      </c>
    </row>
    <row r="3902" spans="1:6" x14ac:dyDescent="0.25">
      <c r="A3902" t="s">
        <v>6</v>
      </c>
      <c r="B3902" t="s">
        <v>7</v>
      </c>
      <c r="C3902" t="s">
        <v>61</v>
      </c>
      <c r="D3902">
        <v>267802</v>
      </c>
      <c r="E3902">
        <v>2022</v>
      </c>
      <c r="F3902" t="s">
        <v>68</v>
      </c>
    </row>
    <row r="3903" spans="1:6" x14ac:dyDescent="0.25">
      <c r="A3903" t="s">
        <v>10</v>
      </c>
      <c r="B3903" t="s">
        <v>11</v>
      </c>
      <c r="C3903" t="s">
        <v>61</v>
      </c>
      <c r="D3903">
        <v>135753</v>
      </c>
      <c r="E3903">
        <v>2022</v>
      </c>
      <c r="F3903" t="s">
        <v>68</v>
      </c>
    </row>
    <row r="3904" spans="1:6" x14ac:dyDescent="0.25">
      <c r="A3904" t="s">
        <v>12</v>
      </c>
      <c r="B3904" t="s">
        <v>13</v>
      </c>
      <c r="C3904" t="s">
        <v>61</v>
      </c>
      <c r="D3904">
        <v>7041</v>
      </c>
      <c r="E3904">
        <v>2022</v>
      </c>
      <c r="F3904" t="s">
        <v>68</v>
      </c>
    </row>
    <row r="3905" spans="1:6" x14ac:dyDescent="0.25">
      <c r="A3905" t="s">
        <v>14</v>
      </c>
      <c r="B3905" t="s">
        <v>15</v>
      </c>
      <c r="C3905" t="s">
        <v>61</v>
      </c>
      <c r="E3905">
        <v>2022</v>
      </c>
      <c r="F3905" t="s">
        <v>68</v>
      </c>
    </row>
    <row r="3906" spans="1:6" x14ac:dyDescent="0.25">
      <c r="A3906" t="s">
        <v>16</v>
      </c>
      <c r="B3906" t="s">
        <v>17</v>
      </c>
      <c r="C3906" t="s">
        <v>61</v>
      </c>
      <c r="D3906">
        <v>11427</v>
      </c>
      <c r="E3906">
        <v>2022</v>
      </c>
      <c r="F3906" t="s">
        <v>68</v>
      </c>
    </row>
    <row r="3907" spans="1:6" x14ac:dyDescent="0.25">
      <c r="A3907" t="s">
        <v>18</v>
      </c>
      <c r="B3907" t="s">
        <v>19</v>
      </c>
      <c r="C3907" t="s">
        <v>61</v>
      </c>
      <c r="D3907">
        <v>5664</v>
      </c>
      <c r="E3907">
        <v>2022</v>
      </c>
      <c r="F3907" t="s">
        <v>68</v>
      </c>
    </row>
    <row r="3908" spans="1:6" x14ac:dyDescent="0.25">
      <c r="A3908" t="s">
        <v>20</v>
      </c>
      <c r="B3908" t="s">
        <v>21</v>
      </c>
      <c r="C3908" t="s">
        <v>61</v>
      </c>
      <c r="D3908">
        <v>1812</v>
      </c>
      <c r="E3908">
        <v>2022</v>
      </c>
      <c r="F3908" t="s">
        <v>68</v>
      </c>
    </row>
    <row r="3909" spans="1:6" x14ac:dyDescent="0.25">
      <c r="A3909" t="s">
        <v>22</v>
      </c>
      <c r="B3909" t="s">
        <v>23</v>
      </c>
      <c r="C3909" t="s">
        <v>61</v>
      </c>
      <c r="D3909">
        <v>3400</v>
      </c>
      <c r="E3909">
        <v>2022</v>
      </c>
      <c r="F3909" t="s">
        <v>68</v>
      </c>
    </row>
    <row r="3910" spans="1:6" x14ac:dyDescent="0.25">
      <c r="A3910" t="s">
        <v>24</v>
      </c>
      <c r="B3910" t="s">
        <v>25</v>
      </c>
      <c r="C3910" t="s">
        <v>61</v>
      </c>
      <c r="D3910">
        <v>8871</v>
      </c>
      <c r="E3910">
        <v>2022</v>
      </c>
      <c r="F3910" t="s">
        <v>68</v>
      </c>
    </row>
    <row r="3911" spans="1:6" x14ac:dyDescent="0.25">
      <c r="A3911" t="s">
        <v>26</v>
      </c>
      <c r="B3911" t="s">
        <v>27</v>
      </c>
      <c r="C3911" t="s">
        <v>61</v>
      </c>
      <c r="D3911">
        <v>3557</v>
      </c>
      <c r="E3911">
        <v>2022</v>
      </c>
      <c r="F3911" t="s">
        <v>68</v>
      </c>
    </row>
    <row r="3912" spans="1:6" x14ac:dyDescent="0.25">
      <c r="A3912" t="s">
        <v>28</v>
      </c>
      <c r="B3912" t="s">
        <v>29</v>
      </c>
      <c r="C3912" t="s">
        <v>61</v>
      </c>
      <c r="D3912">
        <v>4286</v>
      </c>
      <c r="E3912">
        <v>2022</v>
      </c>
      <c r="F3912" t="s">
        <v>68</v>
      </c>
    </row>
    <row r="3913" spans="1:6" x14ac:dyDescent="0.25">
      <c r="A3913" t="s">
        <v>30</v>
      </c>
      <c r="B3913" t="s">
        <v>31</v>
      </c>
      <c r="C3913" t="s">
        <v>61</v>
      </c>
      <c r="D3913">
        <v>11971</v>
      </c>
      <c r="E3913">
        <v>2022</v>
      </c>
      <c r="F3913" t="s">
        <v>68</v>
      </c>
    </row>
    <row r="3914" spans="1:6" x14ac:dyDescent="0.25">
      <c r="A3914" t="s">
        <v>32</v>
      </c>
      <c r="B3914" t="s">
        <v>33</v>
      </c>
      <c r="C3914" t="s">
        <v>61</v>
      </c>
      <c r="D3914">
        <v>4911</v>
      </c>
      <c r="E3914">
        <v>2022</v>
      </c>
      <c r="F3914" t="s">
        <v>68</v>
      </c>
    </row>
    <row r="3915" spans="1:6" x14ac:dyDescent="0.25">
      <c r="A3915" t="s">
        <v>34</v>
      </c>
      <c r="B3915" t="s">
        <v>35</v>
      </c>
      <c r="C3915" t="s">
        <v>61</v>
      </c>
      <c r="D3915">
        <v>17841</v>
      </c>
      <c r="E3915">
        <v>2022</v>
      </c>
      <c r="F3915" t="s">
        <v>68</v>
      </c>
    </row>
    <row r="3916" spans="1:6" x14ac:dyDescent="0.25">
      <c r="A3916" t="s">
        <v>36</v>
      </c>
      <c r="B3916" t="s">
        <v>37</v>
      </c>
      <c r="C3916" t="s">
        <v>61</v>
      </c>
      <c r="D3916">
        <v>8630</v>
      </c>
      <c r="E3916">
        <v>2022</v>
      </c>
      <c r="F3916" t="s">
        <v>68</v>
      </c>
    </row>
    <row r="3917" spans="1:6" x14ac:dyDescent="0.25">
      <c r="A3917" t="s">
        <v>38</v>
      </c>
      <c r="B3917" t="s">
        <v>39</v>
      </c>
      <c r="C3917" t="s">
        <v>61</v>
      </c>
      <c r="D3917">
        <v>6660</v>
      </c>
      <c r="E3917">
        <v>2022</v>
      </c>
      <c r="F3917" t="s">
        <v>68</v>
      </c>
    </row>
    <row r="3918" spans="1:6" x14ac:dyDescent="0.25">
      <c r="A3918" t="s">
        <v>40</v>
      </c>
      <c r="B3918" t="s">
        <v>41</v>
      </c>
      <c r="C3918" t="s">
        <v>61</v>
      </c>
      <c r="D3918">
        <v>7997</v>
      </c>
      <c r="E3918">
        <v>2022</v>
      </c>
      <c r="F3918" t="s">
        <v>68</v>
      </c>
    </row>
    <row r="3919" spans="1:6" x14ac:dyDescent="0.25">
      <c r="A3919" t="s">
        <v>42</v>
      </c>
      <c r="B3919" t="s">
        <v>43</v>
      </c>
      <c r="C3919" t="s">
        <v>61</v>
      </c>
      <c r="D3919">
        <v>1206</v>
      </c>
      <c r="E3919">
        <v>2022</v>
      </c>
      <c r="F3919" t="s">
        <v>68</v>
      </c>
    </row>
    <row r="3920" spans="1:6" x14ac:dyDescent="0.25">
      <c r="A3920" t="s">
        <v>44</v>
      </c>
      <c r="B3920" t="s">
        <v>45</v>
      </c>
      <c r="C3920" t="s">
        <v>61</v>
      </c>
      <c r="D3920">
        <v>4914</v>
      </c>
      <c r="E3920">
        <v>2022</v>
      </c>
      <c r="F3920" t="s">
        <v>68</v>
      </c>
    </row>
    <row r="3921" spans="1:6" x14ac:dyDescent="0.25">
      <c r="A3921" t="s">
        <v>46</v>
      </c>
      <c r="B3921" t="s">
        <v>47</v>
      </c>
      <c r="C3921" t="s">
        <v>61</v>
      </c>
      <c r="D3921">
        <v>1778</v>
      </c>
      <c r="E3921">
        <v>2022</v>
      </c>
      <c r="F3921" t="s">
        <v>68</v>
      </c>
    </row>
    <row r="3922" spans="1:6" x14ac:dyDescent="0.25">
      <c r="A3922" t="s">
        <v>48</v>
      </c>
      <c r="B3922" t="s">
        <v>49</v>
      </c>
      <c r="C3922" t="s">
        <v>61</v>
      </c>
      <c r="D3922">
        <v>1167</v>
      </c>
      <c r="E3922">
        <v>2022</v>
      </c>
      <c r="F3922" t="s">
        <v>68</v>
      </c>
    </row>
    <row r="3923" spans="1:6" x14ac:dyDescent="0.25">
      <c r="A3923" t="s">
        <v>50</v>
      </c>
      <c r="B3923" t="s">
        <v>51</v>
      </c>
      <c r="C3923" t="s">
        <v>61</v>
      </c>
      <c r="D3923">
        <v>1439</v>
      </c>
      <c r="E3923">
        <v>2022</v>
      </c>
      <c r="F3923" t="s">
        <v>68</v>
      </c>
    </row>
    <row r="3924" spans="1:6" x14ac:dyDescent="0.25">
      <c r="A3924" t="s">
        <v>52</v>
      </c>
      <c r="B3924" t="s">
        <v>53</v>
      </c>
      <c r="C3924" t="s">
        <v>61</v>
      </c>
      <c r="D3924">
        <v>6039</v>
      </c>
      <c r="E3924">
        <v>2022</v>
      </c>
      <c r="F3924" t="s">
        <v>68</v>
      </c>
    </row>
    <row r="3925" spans="1:6" x14ac:dyDescent="0.25">
      <c r="A3925" t="s">
        <v>54</v>
      </c>
      <c r="B3925" t="s">
        <v>55</v>
      </c>
      <c r="C3925" t="s">
        <v>61</v>
      </c>
      <c r="D3925">
        <v>207</v>
      </c>
      <c r="E3925">
        <v>2022</v>
      </c>
      <c r="F3925" t="s">
        <v>68</v>
      </c>
    </row>
    <row r="3926" spans="1:6" x14ac:dyDescent="0.25">
      <c r="A3926" t="s">
        <v>56</v>
      </c>
      <c r="B3926" t="s">
        <v>57</v>
      </c>
      <c r="C3926" t="s">
        <v>61</v>
      </c>
      <c r="D3926">
        <v>11226</v>
      </c>
      <c r="E3926">
        <v>2022</v>
      </c>
      <c r="F3926" t="s">
        <v>68</v>
      </c>
    </row>
    <row r="3927" spans="1:6" x14ac:dyDescent="0.25">
      <c r="A3927" t="s">
        <v>58</v>
      </c>
      <c r="B3927" t="s">
        <v>59</v>
      </c>
      <c r="C3927" t="s">
        <v>61</v>
      </c>
      <c r="E3927">
        <v>2022</v>
      </c>
      <c r="F3927" t="s">
        <v>68</v>
      </c>
    </row>
    <row r="3928" spans="1:6" x14ac:dyDescent="0.25">
      <c r="A3928" t="s">
        <v>6</v>
      </c>
      <c r="B3928" t="s">
        <v>7</v>
      </c>
      <c r="C3928" t="s">
        <v>65</v>
      </c>
      <c r="D3928">
        <v>4817026</v>
      </c>
      <c r="E3928">
        <v>2022</v>
      </c>
      <c r="F3928" t="s">
        <v>68</v>
      </c>
    </row>
    <row r="3929" spans="1:6" x14ac:dyDescent="0.25">
      <c r="A3929" t="s">
        <v>10</v>
      </c>
      <c r="B3929" t="s">
        <v>11</v>
      </c>
      <c r="C3929" t="s">
        <v>65</v>
      </c>
      <c r="D3929">
        <v>867750</v>
      </c>
      <c r="E3929">
        <v>2022</v>
      </c>
      <c r="F3929" t="s">
        <v>68</v>
      </c>
    </row>
    <row r="3930" spans="1:6" x14ac:dyDescent="0.25">
      <c r="A3930" t="s">
        <v>12</v>
      </c>
      <c r="B3930" t="s">
        <v>13</v>
      </c>
      <c r="C3930" t="s">
        <v>65</v>
      </c>
      <c r="D3930">
        <v>147255</v>
      </c>
      <c r="E3930">
        <v>2022</v>
      </c>
      <c r="F3930" t="s">
        <v>68</v>
      </c>
    </row>
    <row r="3931" spans="1:6" x14ac:dyDescent="0.25">
      <c r="A3931" t="s">
        <v>14</v>
      </c>
      <c r="B3931" t="s">
        <v>15</v>
      </c>
      <c r="C3931" t="s">
        <v>65</v>
      </c>
      <c r="D3931">
        <v>2052</v>
      </c>
      <c r="E3931">
        <v>2022</v>
      </c>
      <c r="F3931" t="s">
        <v>68</v>
      </c>
    </row>
    <row r="3932" spans="1:6" x14ac:dyDescent="0.25">
      <c r="A3932" t="s">
        <v>16</v>
      </c>
      <c r="B3932" t="s">
        <v>17</v>
      </c>
      <c r="C3932" t="s">
        <v>65</v>
      </c>
      <c r="D3932">
        <v>409561</v>
      </c>
      <c r="E3932">
        <v>2022</v>
      </c>
      <c r="F3932" t="s">
        <v>68</v>
      </c>
    </row>
    <row r="3933" spans="1:6" x14ac:dyDescent="0.25">
      <c r="A3933" t="s">
        <v>18</v>
      </c>
      <c r="B3933" t="s">
        <v>19</v>
      </c>
      <c r="C3933" t="s">
        <v>65</v>
      </c>
      <c r="D3933">
        <v>248644</v>
      </c>
      <c r="E3933">
        <v>2022</v>
      </c>
      <c r="F3933" t="s">
        <v>68</v>
      </c>
    </row>
    <row r="3934" spans="1:6" x14ac:dyDescent="0.25">
      <c r="A3934" t="s">
        <v>20</v>
      </c>
      <c r="B3934" t="s">
        <v>21</v>
      </c>
      <c r="C3934" t="s">
        <v>65</v>
      </c>
      <c r="D3934">
        <v>130461</v>
      </c>
      <c r="E3934">
        <v>2022</v>
      </c>
      <c r="F3934" t="s">
        <v>68</v>
      </c>
    </row>
    <row r="3935" spans="1:6" x14ac:dyDescent="0.25">
      <c r="A3935" t="s">
        <v>22</v>
      </c>
      <c r="B3935" t="s">
        <v>23</v>
      </c>
      <c r="C3935" t="s">
        <v>65</v>
      </c>
      <c r="D3935">
        <v>110973</v>
      </c>
      <c r="E3935">
        <v>2022</v>
      </c>
      <c r="F3935" t="s">
        <v>68</v>
      </c>
    </row>
    <row r="3936" spans="1:6" x14ac:dyDescent="0.25">
      <c r="A3936" t="s">
        <v>24</v>
      </c>
      <c r="B3936" t="s">
        <v>25</v>
      </c>
      <c r="C3936" t="s">
        <v>65</v>
      </c>
      <c r="D3936">
        <v>105534</v>
      </c>
      <c r="E3936">
        <v>2022</v>
      </c>
      <c r="F3936" t="s">
        <v>68</v>
      </c>
    </row>
    <row r="3937" spans="1:6" x14ac:dyDescent="0.25">
      <c r="A3937" t="s">
        <v>26</v>
      </c>
      <c r="B3937" t="s">
        <v>27</v>
      </c>
      <c r="C3937" t="s">
        <v>65</v>
      </c>
      <c r="D3937">
        <v>10968</v>
      </c>
      <c r="E3937">
        <v>2022</v>
      </c>
      <c r="F3937" t="s">
        <v>68</v>
      </c>
    </row>
    <row r="3938" spans="1:6" x14ac:dyDescent="0.25">
      <c r="A3938" t="s">
        <v>28</v>
      </c>
      <c r="B3938" t="s">
        <v>29</v>
      </c>
      <c r="C3938" t="s">
        <v>65</v>
      </c>
      <c r="D3938">
        <v>24944</v>
      </c>
      <c r="E3938">
        <v>2022</v>
      </c>
      <c r="F3938" t="s">
        <v>68</v>
      </c>
    </row>
    <row r="3939" spans="1:6" x14ac:dyDescent="0.25">
      <c r="A3939" t="s">
        <v>30</v>
      </c>
      <c r="B3939" t="s">
        <v>31</v>
      </c>
      <c r="C3939" t="s">
        <v>65</v>
      </c>
      <c r="D3939">
        <v>172475</v>
      </c>
      <c r="E3939">
        <v>2022</v>
      </c>
      <c r="F3939" t="s">
        <v>68</v>
      </c>
    </row>
    <row r="3940" spans="1:6" x14ac:dyDescent="0.25">
      <c r="A3940" t="s">
        <v>32</v>
      </c>
      <c r="B3940" t="s">
        <v>33</v>
      </c>
      <c r="C3940" t="s">
        <v>65</v>
      </c>
      <c r="D3940">
        <v>82654</v>
      </c>
      <c r="E3940">
        <v>2022</v>
      </c>
      <c r="F3940" t="s">
        <v>68</v>
      </c>
    </row>
    <row r="3941" spans="1:6" x14ac:dyDescent="0.25">
      <c r="A3941" t="s">
        <v>34</v>
      </c>
      <c r="B3941" t="s">
        <v>35</v>
      </c>
      <c r="C3941" t="s">
        <v>65</v>
      </c>
      <c r="D3941">
        <v>270749</v>
      </c>
      <c r="E3941">
        <v>2022</v>
      </c>
      <c r="F3941" t="s">
        <v>68</v>
      </c>
    </row>
    <row r="3942" spans="1:6" x14ac:dyDescent="0.25">
      <c r="A3942" t="s">
        <v>36</v>
      </c>
      <c r="B3942" t="s">
        <v>37</v>
      </c>
      <c r="C3942" t="s">
        <v>65</v>
      </c>
      <c r="D3942">
        <v>200648</v>
      </c>
      <c r="E3942">
        <v>2022</v>
      </c>
      <c r="F3942" t="s">
        <v>68</v>
      </c>
    </row>
    <row r="3943" spans="1:6" x14ac:dyDescent="0.25">
      <c r="A3943" t="s">
        <v>38</v>
      </c>
      <c r="B3943" t="s">
        <v>39</v>
      </c>
      <c r="C3943" t="s">
        <v>65</v>
      </c>
      <c r="D3943">
        <v>115329</v>
      </c>
      <c r="E3943">
        <v>2022</v>
      </c>
      <c r="F3943" t="s">
        <v>68</v>
      </c>
    </row>
    <row r="3944" spans="1:6" x14ac:dyDescent="0.25">
      <c r="A3944" t="s">
        <v>40</v>
      </c>
      <c r="B3944" t="s">
        <v>41</v>
      </c>
      <c r="C3944" t="s">
        <v>65</v>
      </c>
      <c r="D3944">
        <v>394669</v>
      </c>
      <c r="E3944">
        <v>2022</v>
      </c>
      <c r="F3944" t="s">
        <v>68</v>
      </c>
    </row>
    <row r="3945" spans="1:6" x14ac:dyDescent="0.25">
      <c r="A3945" t="s">
        <v>42</v>
      </c>
      <c r="B3945" t="s">
        <v>43</v>
      </c>
      <c r="C3945" t="s">
        <v>65</v>
      </c>
      <c r="D3945">
        <v>360173</v>
      </c>
      <c r="E3945">
        <v>2022</v>
      </c>
      <c r="F3945" t="s">
        <v>68</v>
      </c>
    </row>
    <row r="3946" spans="1:6" x14ac:dyDescent="0.25">
      <c r="A3946" t="s">
        <v>44</v>
      </c>
      <c r="B3946" t="s">
        <v>45</v>
      </c>
      <c r="C3946" t="s">
        <v>65</v>
      </c>
      <c r="D3946">
        <v>476609</v>
      </c>
      <c r="E3946">
        <v>2022</v>
      </c>
      <c r="F3946" t="s">
        <v>68</v>
      </c>
    </row>
    <row r="3947" spans="1:6" x14ac:dyDescent="0.25">
      <c r="A3947" t="s">
        <v>46</v>
      </c>
      <c r="B3947" t="s">
        <v>47</v>
      </c>
      <c r="C3947" t="s">
        <v>65</v>
      </c>
      <c r="D3947">
        <v>426464</v>
      </c>
      <c r="E3947">
        <v>2022</v>
      </c>
      <c r="F3947" t="s">
        <v>68</v>
      </c>
    </row>
    <row r="3948" spans="1:6" x14ac:dyDescent="0.25">
      <c r="A3948" t="s">
        <v>48</v>
      </c>
      <c r="B3948" t="s">
        <v>49</v>
      </c>
      <c r="C3948" t="s">
        <v>65</v>
      </c>
      <c r="D3948">
        <v>114234</v>
      </c>
      <c r="E3948">
        <v>2022</v>
      </c>
      <c r="F3948" t="s">
        <v>68</v>
      </c>
    </row>
    <row r="3949" spans="1:6" x14ac:dyDescent="0.25">
      <c r="A3949" t="s">
        <v>50</v>
      </c>
      <c r="B3949" t="s">
        <v>51</v>
      </c>
      <c r="C3949" t="s">
        <v>65</v>
      </c>
      <c r="D3949">
        <v>24304</v>
      </c>
      <c r="E3949">
        <v>2022</v>
      </c>
      <c r="F3949" t="s">
        <v>68</v>
      </c>
    </row>
    <row r="3950" spans="1:6" x14ac:dyDescent="0.25">
      <c r="A3950" t="s">
        <v>52</v>
      </c>
      <c r="B3950" t="s">
        <v>53</v>
      </c>
      <c r="C3950" t="s">
        <v>65</v>
      </c>
      <c r="D3950">
        <v>111994</v>
      </c>
      <c r="E3950">
        <v>2022</v>
      </c>
      <c r="F3950" t="s">
        <v>68</v>
      </c>
    </row>
    <row r="3951" spans="1:6" x14ac:dyDescent="0.25">
      <c r="A3951" t="s">
        <v>54</v>
      </c>
      <c r="B3951" t="s">
        <v>55</v>
      </c>
      <c r="C3951" t="s">
        <v>65</v>
      </c>
      <c r="D3951">
        <v>8582</v>
      </c>
      <c r="E3951">
        <v>2022</v>
      </c>
      <c r="F3951" t="s">
        <v>68</v>
      </c>
    </row>
    <row r="3952" spans="1:6" x14ac:dyDescent="0.25">
      <c r="A3952" t="s">
        <v>56</v>
      </c>
      <c r="B3952" t="s">
        <v>57</v>
      </c>
      <c r="C3952" t="s">
        <v>65</v>
      </c>
      <c r="E3952">
        <v>2022</v>
      </c>
      <c r="F3952" t="s">
        <v>68</v>
      </c>
    </row>
    <row r="3953" spans="1:6" x14ac:dyDescent="0.25">
      <c r="A3953" t="s">
        <v>58</v>
      </c>
      <c r="B3953" t="s">
        <v>59</v>
      </c>
      <c r="C3953" t="s">
        <v>65</v>
      </c>
      <c r="E3953">
        <v>2022</v>
      </c>
      <c r="F3953" t="s">
        <v>68</v>
      </c>
    </row>
    <row r="3954" spans="1:6" x14ac:dyDescent="0.25">
      <c r="A3954" t="s">
        <v>6</v>
      </c>
      <c r="B3954" t="s">
        <v>7</v>
      </c>
      <c r="C3954" t="s">
        <v>62</v>
      </c>
      <c r="E3954">
        <v>2022</v>
      </c>
      <c r="F3954" t="s">
        <v>68</v>
      </c>
    </row>
    <row r="3955" spans="1:6" x14ac:dyDescent="0.25">
      <c r="A3955" t="s">
        <v>10</v>
      </c>
      <c r="B3955" t="s">
        <v>11</v>
      </c>
      <c r="C3955" t="s">
        <v>62</v>
      </c>
      <c r="E3955">
        <v>2022</v>
      </c>
      <c r="F3955" t="s">
        <v>68</v>
      </c>
    </row>
    <row r="3956" spans="1:6" x14ac:dyDescent="0.25">
      <c r="A3956" t="s">
        <v>12</v>
      </c>
      <c r="B3956" t="s">
        <v>13</v>
      </c>
      <c r="C3956" t="s">
        <v>62</v>
      </c>
      <c r="E3956">
        <v>2022</v>
      </c>
      <c r="F3956" t="s">
        <v>68</v>
      </c>
    </row>
    <row r="3957" spans="1:6" x14ac:dyDescent="0.25">
      <c r="A3957" t="s">
        <v>14</v>
      </c>
      <c r="B3957" t="s">
        <v>15</v>
      </c>
      <c r="C3957" t="s">
        <v>62</v>
      </c>
      <c r="E3957">
        <v>2022</v>
      </c>
      <c r="F3957" t="s">
        <v>68</v>
      </c>
    </row>
    <row r="3958" spans="1:6" x14ac:dyDescent="0.25">
      <c r="A3958" t="s">
        <v>16</v>
      </c>
      <c r="B3958" t="s">
        <v>17</v>
      </c>
      <c r="C3958" t="s">
        <v>62</v>
      </c>
      <c r="E3958">
        <v>2022</v>
      </c>
      <c r="F3958" t="s">
        <v>68</v>
      </c>
    </row>
    <row r="3959" spans="1:6" x14ac:dyDescent="0.25">
      <c r="A3959" t="s">
        <v>18</v>
      </c>
      <c r="B3959" t="s">
        <v>19</v>
      </c>
      <c r="C3959" t="s">
        <v>62</v>
      </c>
      <c r="E3959">
        <v>2022</v>
      </c>
      <c r="F3959" t="s">
        <v>68</v>
      </c>
    </row>
    <row r="3960" spans="1:6" x14ac:dyDescent="0.25">
      <c r="A3960" t="s">
        <v>20</v>
      </c>
      <c r="B3960" t="s">
        <v>21</v>
      </c>
      <c r="C3960" t="s">
        <v>62</v>
      </c>
      <c r="E3960">
        <v>2022</v>
      </c>
      <c r="F3960" t="s">
        <v>68</v>
      </c>
    </row>
    <row r="3961" spans="1:6" x14ac:dyDescent="0.25">
      <c r="A3961" t="s">
        <v>22</v>
      </c>
      <c r="B3961" t="s">
        <v>23</v>
      </c>
      <c r="C3961" t="s">
        <v>62</v>
      </c>
      <c r="E3961">
        <v>2022</v>
      </c>
      <c r="F3961" t="s">
        <v>68</v>
      </c>
    </row>
    <row r="3962" spans="1:6" x14ac:dyDescent="0.25">
      <c r="A3962" t="s">
        <v>24</v>
      </c>
      <c r="B3962" t="s">
        <v>25</v>
      </c>
      <c r="C3962" t="s">
        <v>62</v>
      </c>
      <c r="E3962">
        <v>2022</v>
      </c>
      <c r="F3962" t="s">
        <v>68</v>
      </c>
    </row>
    <row r="3963" spans="1:6" x14ac:dyDescent="0.25">
      <c r="A3963" t="s">
        <v>26</v>
      </c>
      <c r="B3963" t="s">
        <v>27</v>
      </c>
      <c r="C3963" t="s">
        <v>62</v>
      </c>
      <c r="E3963">
        <v>2022</v>
      </c>
      <c r="F3963" t="s">
        <v>68</v>
      </c>
    </row>
    <row r="3964" spans="1:6" x14ac:dyDescent="0.25">
      <c r="A3964" t="s">
        <v>28</v>
      </c>
      <c r="B3964" t="s">
        <v>29</v>
      </c>
      <c r="C3964" t="s">
        <v>62</v>
      </c>
      <c r="E3964">
        <v>2022</v>
      </c>
      <c r="F3964" t="s">
        <v>68</v>
      </c>
    </row>
    <row r="3965" spans="1:6" x14ac:dyDescent="0.25">
      <c r="A3965" t="s">
        <v>30</v>
      </c>
      <c r="B3965" t="s">
        <v>31</v>
      </c>
      <c r="C3965" t="s">
        <v>62</v>
      </c>
      <c r="E3965">
        <v>2022</v>
      </c>
      <c r="F3965" t="s">
        <v>68</v>
      </c>
    </row>
    <row r="3966" spans="1:6" x14ac:dyDescent="0.25">
      <c r="A3966" t="s">
        <v>32</v>
      </c>
      <c r="B3966" t="s">
        <v>33</v>
      </c>
      <c r="C3966" t="s">
        <v>62</v>
      </c>
      <c r="E3966">
        <v>2022</v>
      </c>
      <c r="F3966" t="s">
        <v>68</v>
      </c>
    </row>
    <row r="3967" spans="1:6" x14ac:dyDescent="0.25">
      <c r="A3967" t="s">
        <v>34</v>
      </c>
      <c r="B3967" t="s">
        <v>35</v>
      </c>
      <c r="C3967" t="s">
        <v>62</v>
      </c>
      <c r="E3967">
        <v>2022</v>
      </c>
      <c r="F3967" t="s">
        <v>68</v>
      </c>
    </row>
    <row r="3968" spans="1:6" x14ac:dyDescent="0.25">
      <c r="A3968" t="s">
        <v>36</v>
      </c>
      <c r="B3968" t="s">
        <v>37</v>
      </c>
      <c r="C3968" t="s">
        <v>62</v>
      </c>
      <c r="E3968">
        <v>2022</v>
      </c>
      <c r="F3968" t="s">
        <v>68</v>
      </c>
    </row>
    <row r="3969" spans="1:6" x14ac:dyDescent="0.25">
      <c r="A3969" t="s">
        <v>38</v>
      </c>
      <c r="B3969" t="s">
        <v>39</v>
      </c>
      <c r="C3969" t="s">
        <v>62</v>
      </c>
      <c r="E3969">
        <v>2022</v>
      </c>
      <c r="F3969" t="s">
        <v>68</v>
      </c>
    </row>
    <row r="3970" spans="1:6" x14ac:dyDescent="0.25">
      <c r="A3970" t="s">
        <v>40</v>
      </c>
      <c r="B3970" t="s">
        <v>41</v>
      </c>
      <c r="C3970" t="s">
        <v>62</v>
      </c>
      <c r="E3970">
        <v>2022</v>
      </c>
      <c r="F3970" t="s">
        <v>68</v>
      </c>
    </row>
    <row r="3971" spans="1:6" x14ac:dyDescent="0.25">
      <c r="A3971" t="s">
        <v>42</v>
      </c>
      <c r="B3971" t="s">
        <v>43</v>
      </c>
      <c r="C3971" t="s">
        <v>62</v>
      </c>
      <c r="E3971">
        <v>2022</v>
      </c>
      <c r="F3971" t="s">
        <v>68</v>
      </c>
    </row>
    <row r="3972" spans="1:6" x14ac:dyDescent="0.25">
      <c r="A3972" t="s">
        <v>44</v>
      </c>
      <c r="B3972" t="s">
        <v>45</v>
      </c>
      <c r="C3972" t="s">
        <v>62</v>
      </c>
      <c r="E3972">
        <v>2022</v>
      </c>
      <c r="F3972" t="s">
        <v>68</v>
      </c>
    </row>
    <row r="3973" spans="1:6" x14ac:dyDescent="0.25">
      <c r="A3973" t="s">
        <v>46</v>
      </c>
      <c r="B3973" t="s">
        <v>47</v>
      </c>
      <c r="C3973" t="s">
        <v>62</v>
      </c>
      <c r="E3973">
        <v>2022</v>
      </c>
      <c r="F3973" t="s">
        <v>68</v>
      </c>
    </row>
    <row r="3974" spans="1:6" x14ac:dyDescent="0.25">
      <c r="A3974" t="s">
        <v>48</v>
      </c>
      <c r="B3974" t="s">
        <v>49</v>
      </c>
      <c r="C3974" t="s">
        <v>62</v>
      </c>
      <c r="E3974">
        <v>2022</v>
      </c>
      <c r="F3974" t="s">
        <v>68</v>
      </c>
    </row>
    <row r="3975" spans="1:6" x14ac:dyDescent="0.25">
      <c r="A3975" t="s">
        <v>50</v>
      </c>
      <c r="B3975" t="s">
        <v>51</v>
      </c>
      <c r="C3975" t="s">
        <v>62</v>
      </c>
      <c r="E3975">
        <v>2022</v>
      </c>
      <c r="F3975" t="s">
        <v>68</v>
      </c>
    </row>
    <row r="3976" spans="1:6" x14ac:dyDescent="0.25">
      <c r="A3976" t="s">
        <v>52</v>
      </c>
      <c r="B3976" t="s">
        <v>53</v>
      </c>
      <c r="C3976" t="s">
        <v>62</v>
      </c>
      <c r="E3976">
        <v>2022</v>
      </c>
      <c r="F3976" t="s">
        <v>68</v>
      </c>
    </row>
    <row r="3977" spans="1:6" x14ac:dyDescent="0.25">
      <c r="A3977" t="s">
        <v>54</v>
      </c>
      <c r="B3977" t="s">
        <v>55</v>
      </c>
      <c r="C3977" t="s">
        <v>62</v>
      </c>
      <c r="E3977">
        <v>2022</v>
      </c>
      <c r="F3977" t="s">
        <v>68</v>
      </c>
    </row>
    <row r="3978" spans="1:6" x14ac:dyDescent="0.25">
      <c r="A3978" t="s">
        <v>56</v>
      </c>
      <c r="B3978" t="s">
        <v>57</v>
      </c>
      <c r="C3978" t="s">
        <v>62</v>
      </c>
      <c r="E3978">
        <v>2022</v>
      </c>
      <c r="F3978" t="s">
        <v>68</v>
      </c>
    </row>
    <row r="3979" spans="1:6" x14ac:dyDescent="0.25">
      <c r="A3979" t="s">
        <v>58</v>
      </c>
      <c r="B3979" t="s">
        <v>59</v>
      </c>
      <c r="C3979" t="s">
        <v>62</v>
      </c>
      <c r="E3979">
        <v>2022</v>
      </c>
      <c r="F3979" t="s">
        <v>68</v>
      </c>
    </row>
    <row r="3980" spans="1:6" x14ac:dyDescent="0.25">
      <c r="A3980" t="s">
        <v>6</v>
      </c>
      <c r="B3980" t="s">
        <v>7</v>
      </c>
      <c r="C3980" t="s">
        <v>66</v>
      </c>
      <c r="E3980">
        <v>2022</v>
      </c>
      <c r="F3980" t="s">
        <v>68</v>
      </c>
    </row>
    <row r="3981" spans="1:6" x14ac:dyDescent="0.25">
      <c r="A3981" t="s">
        <v>10</v>
      </c>
      <c r="B3981" t="s">
        <v>11</v>
      </c>
      <c r="C3981" t="s">
        <v>66</v>
      </c>
      <c r="E3981">
        <v>2022</v>
      </c>
      <c r="F3981" t="s">
        <v>68</v>
      </c>
    </row>
    <row r="3982" spans="1:6" x14ac:dyDescent="0.25">
      <c r="A3982" t="s">
        <v>12</v>
      </c>
      <c r="B3982" t="s">
        <v>13</v>
      </c>
      <c r="C3982" t="s">
        <v>66</v>
      </c>
      <c r="E3982">
        <v>2022</v>
      </c>
      <c r="F3982" t="s">
        <v>68</v>
      </c>
    </row>
    <row r="3983" spans="1:6" x14ac:dyDescent="0.25">
      <c r="A3983" t="s">
        <v>14</v>
      </c>
      <c r="B3983" t="s">
        <v>15</v>
      </c>
      <c r="C3983" t="s">
        <v>66</v>
      </c>
      <c r="E3983">
        <v>2022</v>
      </c>
      <c r="F3983" t="s">
        <v>68</v>
      </c>
    </row>
    <row r="3984" spans="1:6" x14ac:dyDescent="0.25">
      <c r="A3984" t="s">
        <v>16</v>
      </c>
      <c r="B3984" t="s">
        <v>17</v>
      </c>
      <c r="C3984" t="s">
        <v>66</v>
      </c>
      <c r="E3984">
        <v>2022</v>
      </c>
      <c r="F3984" t="s">
        <v>68</v>
      </c>
    </row>
    <row r="3985" spans="1:6" x14ac:dyDescent="0.25">
      <c r="A3985" t="s">
        <v>18</v>
      </c>
      <c r="B3985" t="s">
        <v>19</v>
      </c>
      <c r="C3985" t="s">
        <v>66</v>
      </c>
      <c r="E3985">
        <v>2022</v>
      </c>
      <c r="F3985" t="s">
        <v>68</v>
      </c>
    </row>
    <row r="3986" spans="1:6" x14ac:dyDescent="0.25">
      <c r="A3986" t="s">
        <v>20</v>
      </c>
      <c r="B3986" t="s">
        <v>21</v>
      </c>
      <c r="C3986" t="s">
        <v>66</v>
      </c>
      <c r="E3986">
        <v>2022</v>
      </c>
      <c r="F3986" t="s">
        <v>68</v>
      </c>
    </row>
    <row r="3987" spans="1:6" x14ac:dyDescent="0.25">
      <c r="A3987" t="s">
        <v>22</v>
      </c>
      <c r="B3987" t="s">
        <v>23</v>
      </c>
      <c r="C3987" t="s">
        <v>66</v>
      </c>
      <c r="E3987">
        <v>2022</v>
      </c>
      <c r="F3987" t="s">
        <v>68</v>
      </c>
    </row>
    <row r="3988" spans="1:6" x14ac:dyDescent="0.25">
      <c r="A3988" t="s">
        <v>24</v>
      </c>
      <c r="B3988" t="s">
        <v>25</v>
      </c>
      <c r="C3988" t="s">
        <v>66</v>
      </c>
      <c r="E3988">
        <v>2022</v>
      </c>
      <c r="F3988" t="s">
        <v>68</v>
      </c>
    </row>
    <row r="3989" spans="1:6" x14ac:dyDescent="0.25">
      <c r="A3989" t="s">
        <v>26</v>
      </c>
      <c r="B3989" t="s">
        <v>27</v>
      </c>
      <c r="C3989" t="s">
        <v>66</v>
      </c>
      <c r="E3989">
        <v>2022</v>
      </c>
      <c r="F3989" t="s">
        <v>68</v>
      </c>
    </row>
    <row r="3990" spans="1:6" x14ac:dyDescent="0.25">
      <c r="A3990" t="s">
        <v>28</v>
      </c>
      <c r="B3990" t="s">
        <v>29</v>
      </c>
      <c r="C3990" t="s">
        <v>66</v>
      </c>
      <c r="E3990">
        <v>2022</v>
      </c>
      <c r="F3990" t="s">
        <v>68</v>
      </c>
    </row>
    <row r="3991" spans="1:6" x14ac:dyDescent="0.25">
      <c r="A3991" t="s">
        <v>30</v>
      </c>
      <c r="B3991" t="s">
        <v>31</v>
      </c>
      <c r="C3991" t="s">
        <v>66</v>
      </c>
      <c r="E3991">
        <v>2022</v>
      </c>
      <c r="F3991" t="s">
        <v>68</v>
      </c>
    </row>
    <row r="3992" spans="1:6" x14ac:dyDescent="0.25">
      <c r="A3992" t="s">
        <v>32</v>
      </c>
      <c r="B3992" t="s">
        <v>33</v>
      </c>
      <c r="C3992" t="s">
        <v>66</v>
      </c>
      <c r="E3992">
        <v>2022</v>
      </c>
      <c r="F3992" t="s">
        <v>68</v>
      </c>
    </row>
    <row r="3993" spans="1:6" x14ac:dyDescent="0.25">
      <c r="A3993" t="s">
        <v>34</v>
      </c>
      <c r="B3993" t="s">
        <v>35</v>
      </c>
      <c r="C3993" t="s">
        <v>66</v>
      </c>
      <c r="E3993">
        <v>2022</v>
      </c>
      <c r="F3993" t="s">
        <v>68</v>
      </c>
    </row>
    <row r="3994" spans="1:6" x14ac:dyDescent="0.25">
      <c r="A3994" t="s">
        <v>36</v>
      </c>
      <c r="B3994" t="s">
        <v>37</v>
      </c>
      <c r="C3994" t="s">
        <v>66</v>
      </c>
      <c r="E3994">
        <v>2022</v>
      </c>
      <c r="F3994" t="s">
        <v>68</v>
      </c>
    </row>
    <row r="3995" spans="1:6" x14ac:dyDescent="0.25">
      <c r="A3995" t="s">
        <v>38</v>
      </c>
      <c r="B3995" t="s">
        <v>39</v>
      </c>
      <c r="C3995" t="s">
        <v>66</v>
      </c>
      <c r="E3995">
        <v>2022</v>
      </c>
      <c r="F3995" t="s">
        <v>68</v>
      </c>
    </row>
    <row r="3996" spans="1:6" x14ac:dyDescent="0.25">
      <c r="A3996" t="s">
        <v>40</v>
      </c>
      <c r="B3996" t="s">
        <v>41</v>
      </c>
      <c r="C3996" t="s">
        <v>66</v>
      </c>
      <c r="E3996">
        <v>2022</v>
      </c>
      <c r="F3996" t="s">
        <v>68</v>
      </c>
    </row>
    <row r="3997" spans="1:6" x14ac:dyDescent="0.25">
      <c r="A3997" t="s">
        <v>42</v>
      </c>
      <c r="B3997" t="s">
        <v>43</v>
      </c>
      <c r="C3997" t="s">
        <v>66</v>
      </c>
      <c r="E3997">
        <v>2022</v>
      </c>
      <c r="F3997" t="s">
        <v>68</v>
      </c>
    </row>
    <row r="3998" spans="1:6" x14ac:dyDescent="0.25">
      <c r="A3998" t="s">
        <v>44</v>
      </c>
      <c r="B3998" t="s">
        <v>45</v>
      </c>
      <c r="C3998" t="s">
        <v>66</v>
      </c>
      <c r="E3998">
        <v>2022</v>
      </c>
      <c r="F3998" t="s">
        <v>68</v>
      </c>
    </row>
    <row r="3999" spans="1:6" x14ac:dyDescent="0.25">
      <c r="A3999" t="s">
        <v>46</v>
      </c>
      <c r="B3999" t="s">
        <v>47</v>
      </c>
      <c r="C3999" t="s">
        <v>66</v>
      </c>
      <c r="E3999">
        <v>2022</v>
      </c>
      <c r="F3999" t="s">
        <v>68</v>
      </c>
    </row>
    <row r="4000" spans="1:6" x14ac:dyDescent="0.25">
      <c r="A4000" t="s">
        <v>48</v>
      </c>
      <c r="B4000" t="s">
        <v>49</v>
      </c>
      <c r="C4000" t="s">
        <v>66</v>
      </c>
      <c r="E4000">
        <v>2022</v>
      </c>
      <c r="F4000" t="s">
        <v>68</v>
      </c>
    </row>
    <row r="4001" spans="1:6" x14ac:dyDescent="0.25">
      <c r="A4001" t="s">
        <v>50</v>
      </c>
      <c r="B4001" t="s">
        <v>51</v>
      </c>
      <c r="C4001" t="s">
        <v>66</v>
      </c>
      <c r="E4001">
        <v>2022</v>
      </c>
      <c r="F4001" t="s">
        <v>68</v>
      </c>
    </row>
    <row r="4002" spans="1:6" x14ac:dyDescent="0.25">
      <c r="A4002" t="s">
        <v>52</v>
      </c>
      <c r="B4002" t="s">
        <v>53</v>
      </c>
      <c r="C4002" t="s">
        <v>66</v>
      </c>
      <c r="E4002">
        <v>2022</v>
      </c>
      <c r="F4002" t="s">
        <v>68</v>
      </c>
    </row>
    <row r="4003" spans="1:6" x14ac:dyDescent="0.25">
      <c r="A4003" t="s">
        <v>54</v>
      </c>
      <c r="B4003" t="s">
        <v>55</v>
      </c>
      <c r="C4003" t="s">
        <v>66</v>
      </c>
      <c r="E4003">
        <v>2022</v>
      </c>
      <c r="F4003" t="s">
        <v>68</v>
      </c>
    </row>
    <row r="4004" spans="1:6" x14ac:dyDescent="0.25">
      <c r="A4004" t="s">
        <v>56</v>
      </c>
      <c r="B4004" t="s">
        <v>57</v>
      </c>
      <c r="C4004" t="s">
        <v>66</v>
      </c>
      <c r="E4004">
        <v>2022</v>
      </c>
      <c r="F4004" t="s">
        <v>68</v>
      </c>
    </row>
    <row r="4005" spans="1:6" x14ac:dyDescent="0.25">
      <c r="A4005" t="s">
        <v>58</v>
      </c>
      <c r="B4005" t="s">
        <v>59</v>
      </c>
      <c r="C4005" t="s">
        <v>66</v>
      </c>
      <c r="E4005">
        <v>2022</v>
      </c>
      <c r="F4005" t="s">
        <v>68</v>
      </c>
    </row>
    <row r="4006" spans="1:6" x14ac:dyDescent="0.25">
      <c r="A4006" t="s">
        <v>6</v>
      </c>
      <c r="B4006" t="s">
        <v>7</v>
      </c>
      <c r="C4006" t="s">
        <v>63</v>
      </c>
      <c r="D4006">
        <v>107638.63</v>
      </c>
      <c r="E4006">
        <v>2016</v>
      </c>
      <c r="F4006" t="s">
        <v>69</v>
      </c>
    </row>
    <row r="4007" spans="1:6" x14ac:dyDescent="0.25">
      <c r="A4007" t="s">
        <v>10</v>
      </c>
      <c r="B4007" t="s">
        <v>11</v>
      </c>
      <c r="C4007" t="s">
        <v>63</v>
      </c>
      <c r="D4007">
        <v>19541.259999999998</v>
      </c>
      <c r="E4007">
        <v>2016</v>
      </c>
      <c r="F4007" t="s">
        <v>69</v>
      </c>
    </row>
    <row r="4008" spans="1:6" x14ac:dyDescent="0.25">
      <c r="A4008" t="s">
        <v>12</v>
      </c>
      <c r="B4008" t="s">
        <v>13</v>
      </c>
      <c r="C4008" t="s">
        <v>63</v>
      </c>
      <c r="D4008">
        <v>2838.09</v>
      </c>
      <c r="E4008">
        <v>2016</v>
      </c>
      <c r="F4008" t="s">
        <v>69</v>
      </c>
    </row>
    <row r="4009" spans="1:6" x14ac:dyDescent="0.25">
      <c r="A4009" t="s">
        <v>14</v>
      </c>
      <c r="B4009" t="s">
        <v>15</v>
      </c>
      <c r="C4009" t="s">
        <v>63</v>
      </c>
      <c r="D4009">
        <v>494.75</v>
      </c>
      <c r="E4009">
        <v>2016</v>
      </c>
      <c r="F4009" t="s">
        <v>69</v>
      </c>
    </row>
    <row r="4010" spans="1:6" x14ac:dyDescent="0.25">
      <c r="A4010" t="s">
        <v>16</v>
      </c>
      <c r="B4010" t="s">
        <v>17</v>
      </c>
      <c r="C4010" t="s">
        <v>63</v>
      </c>
      <c r="D4010">
        <v>2299.94</v>
      </c>
      <c r="E4010">
        <v>2016</v>
      </c>
      <c r="F4010" t="s">
        <v>69</v>
      </c>
    </row>
    <row r="4011" spans="1:6" x14ac:dyDescent="0.25">
      <c r="A4011" t="s">
        <v>18</v>
      </c>
      <c r="B4011" t="s">
        <v>19</v>
      </c>
      <c r="C4011" t="s">
        <v>63</v>
      </c>
      <c r="D4011">
        <v>2824.06</v>
      </c>
      <c r="E4011">
        <v>2016</v>
      </c>
      <c r="F4011" t="s">
        <v>69</v>
      </c>
    </row>
    <row r="4012" spans="1:6" x14ac:dyDescent="0.25">
      <c r="A4012" t="s">
        <v>20</v>
      </c>
      <c r="B4012" t="s">
        <v>21</v>
      </c>
      <c r="C4012" t="s">
        <v>63</v>
      </c>
      <c r="D4012">
        <v>2240</v>
      </c>
      <c r="E4012">
        <v>2016</v>
      </c>
      <c r="F4012" t="s">
        <v>69</v>
      </c>
    </row>
    <row r="4013" spans="1:6" x14ac:dyDescent="0.25">
      <c r="A4013" t="s">
        <v>22</v>
      </c>
      <c r="B4013" t="s">
        <v>23</v>
      </c>
      <c r="C4013" t="s">
        <v>63</v>
      </c>
      <c r="D4013">
        <v>1099.49</v>
      </c>
      <c r="E4013">
        <v>2016</v>
      </c>
      <c r="F4013" t="s">
        <v>69</v>
      </c>
    </row>
    <row r="4014" spans="1:6" x14ac:dyDescent="0.25">
      <c r="A4014" t="s">
        <v>24</v>
      </c>
      <c r="B4014" t="s">
        <v>25</v>
      </c>
      <c r="C4014" t="s">
        <v>63</v>
      </c>
      <c r="D4014">
        <v>3390.61</v>
      </c>
      <c r="E4014">
        <v>2016</v>
      </c>
      <c r="F4014" t="s">
        <v>69</v>
      </c>
    </row>
    <row r="4015" spans="1:6" x14ac:dyDescent="0.25">
      <c r="A4015" t="s">
        <v>26</v>
      </c>
      <c r="B4015" t="s">
        <v>27</v>
      </c>
      <c r="C4015" t="s">
        <v>63</v>
      </c>
      <c r="D4015">
        <v>847.9</v>
      </c>
      <c r="E4015">
        <v>2016</v>
      </c>
      <c r="F4015" t="s">
        <v>69</v>
      </c>
    </row>
    <row r="4016" spans="1:6" x14ac:dyDescent="0.25">
      <c r="A4016" t="s">
        <v>28</v>
      </c>
      <c r="B4016" t="s">
        <v>29</v>
      </c>
      <c r="C4016" t="s">
        <v>63</v>
      </c>
      <c r="D4016">
        <v>10588.42</v>
      </c>
      <c r="E4016">
        <v>2016</v>
      </c>
      <c r="F4016" t="s">
        <v>69</v>
      </c>
    </row>
    <row r="4017" spans="1:6" x14ac:dyDescent="0.25">
      <c r="A4017" t="s">
        <v>30</v>
      </c>
      <c r="B4017" t="s">
        <v>31</v>
      </c>
      <c r="C4017" t="s">
        <v>63</v>
      </c>
      <c r="D4017">
        <v>8776.0499999999993</v>
      </c>
      <c r="E4017">
        <v>2016</v>
      </c>
      <c r="F4017" t="s">
        <v>69</v>
      </c>
    </row>
    <row r="4018" spans="1:6" x14ac:dyDescent="0.25">
      <c r="A4018" t="s">
        <v>32</v>
      </c>
      <c r="B4018" t="s">
        <v>33</v>
      </c>
      <c r="C4018" t="s">
        <v>63</v>
      </c>
      <c r="D4018">
        <v>3490.02</v>
      </c>
      <c r="E4018">
        <v>2016</v>
      </c>
      <c r="F4018" t="s">
        <v>69</v>
      </c>
    </row>
    <row r="4019" spans="1:6" x14ac:dyDescent="0.25">
      <c r="A4019" t="s">
        <v>34</v>
      </c>
      <c r="B4019" t="s">
        <v>35</v>
      </c>
      <c r="C4019" t="s">
        <v>63</v>
      </c>
      <c r="D4019">
        <v>4840.68</v>
      </c>
      <c r="E4019">
        <v>2016</v>
      </c>
      <c r="F4019" t="s">
        <v>69</v>
      </c>
    </row>
    <row r="4020" spans="1:6" x14ac:dyDescent="0.25">
      <c r="A4020" t="s">
        <v>36</v>
      </c>
      <c r="B4020" t="s">
        <v>37</v>
      </c>
      <c r="C4020" t="s">
        <v>63</v>
      </c>
      <c r="D4020">
        <v>4289.13</v>
      </c>
      <c r="E4020">
        <v>2016</v>
      </c>
      <c r="F4020" t="s">
        <v>69</v>
      </c>
    </row>
    <row r="4021" spans="1:6" x14ac:dyDescent="0.25">
      <c r="A4021" t="s">
        <v>38</v>
      </c>
      <c r="B4021" t="s">
        <v>39</v>
      </c>
      <c r="C4021" t="s">
        <v>63</v>
      </c>
      <c r="D4021">
        <v>5403.83</v>
      </c>
      <c r="E4021">
        <v>2016</v>
      </c>
      <c r="F4021" t="s">
        <v>69</v>
      </c>
    </row>
    <row r="4022" spans="1:6" x14ac:dyDescent="0.25">
      <c r="A4022" t="s">
        <v>40</v>
      </c>
      <c r="B4022" t="s">
        <v>41</v>
      </c>
      <c r="C4022" t="s">
        <v>63</v>
      </c>
      <c r="D4022">
        <v>4010.78</v>
      </c>
      <c r="E4022">
        <v>2016</v>
      </c>
      <c r="F4022" t="s">
        <v>69</v>
      </c>
    </row>
    <row r="4023" spans="1:6" x14ac:dyDescent="0.25">
      <c r="A4023" t="s">
        <v>42</v>
      </c>
      <c r="B4023" t="s">
        <v>43</v>
      </c>
      <c r="C4023" t="s">
        <v>63</v>
      </c>
      <c r="D4023">
        <v>2665.88</v>
      </c>
      <c r="E4023">
        <v>2016</v>
      </c>
      <c r="F4023" t="s">
        <v>69</v>
      </c>
    </row>
    <row r="4024" spans="1:6" x14ac:dyDescent="0.25">
      <c r="A4024" t="s">
        <v>44</v>
      </c>
      <c r="B4024" t="s">
        <v>45</v>
      </c>
      <c r="C4024" t="s">
        <v>63</v>
      </c>
      <c r="D4024">
        <v>4004.89</v>
      </c>
      <c r="E4024">
        <v>2016</v>
      </c>
      <c r="F4024" t="s">
        <v>69</v>
      </c>
    </row>
    <row r="4025" spans="1:6" x14ac:dyDescent="0.25">
      <c r="A4025" t="s">
        <v>46</v>
      </c>
      <c r="B4025" t="s">
        <v>47</v>
      </c>
      <c r="C4025" t="s">
        <v>63</v>
      </c>
      <c r="D4025">
        <v>6557.63</v>
      </c>
      <c r="E4025">
        <v>2016</v>
      </c>
      <c r="F4025" t="s">
        <v>69</v>
      </c>
    </row>
    <row r="4026" spans="1:6" x14ac:dyDescent="0.25">
      <c r="A4026" t="s">
        <v>48</v>
      </c>
      <c r="B4026" t="s">
        <v>49</v>
      </c>
      <c r="C4026" t="s">
        <v>63</v>
      </c>
      <c r="D4026">
        <v>10789.33</v>
      </c>
      <c r="E4026">
        <v>2016</v>
      </c>
      <c r="F4026" t="s">
        <v>69</v>
      </c>
    </row>
    <row r="4027" spans="1:6" x14ac:dyDescent="0.25">
      <c r="A4027" t="s">
        <v>50</v>
      </c>
      <c r="B4027" t="s">
        <v>51</v>
      </c>
      <c r="C4027" t="s">
        <v>63</v>
      </c>
      <c r="D4027">
        <v>1754.5</v>
      </c>
      <c r="E4027">
        <v>2016</v>
      </c>
      <c r="F4027" t="s">
        <v>69</v>
      </c>
    </row>
    <row r="4028" spans="1:6" x14ac:dyDescent="0.25">
      <c r="A4028" t="s">
        <v>52</v>
      </c>
      <c r="B4028" t="s">
        <v>53</v>
      </c>
      <c r="C4028" t="s">
        <v>63</v>
      </c>
      <c r="D4028">
        <v>1524.92</v>
      </c>
      <c r="E4028">
        <v>2016</v>
      </c>
      <c r="F4028" t="s">
        <v>69</v>
      </c>
    </row>
    <row r="4029" spans="1:6" x14ac:dyDescent="0.25">
      <c r="A4029" t="s">
        <v>54</v>
      </c>
      <c r="B4029" t="s">
        <v>55</v>
      </c>
      <c r="C4029" t="s">
        <v>63</v>
      </c>
      <c r="D4029">
        <v>1471.44</v>
      </c>
      <c r="E4029">
        <v>2016</v>
      </c>
      <c r="F4029" t="s">
        <v>69</v>
      </c>
    </row>
    <row r="4030" spans="1:6" x14ac:dyDescent="0.25">
      <c r="A4030" t="s">
        <v>56</v>
      </c>
      <c r="B4030" t="s">
        <v>57</v>
      </c>
      <c r="C4030" t="s">
        <v>63</v>
      </c>
      <c r="D4030">
        <v>1895.03</v>
      </c>
      <c r="E4030">
        <v>2016</v>
      </c>
      <c r="F4030" t="s">
        <v>69</v>
      </c>
    </row>
    <row r="4031" spans="1:6" x14ac:dyDescent="0.25">
      <c r="A4031" t="s">
        <v>58</v>
      </c>
      <c r="B4031" t="s">
        <v>59</v>
      </c>
      <c r="C4031" t="s">
        <v>63</v>
      </c>
      <c r="E4031">
        <v>2016</v>
      </c>
      <c r="F4031" t="s">
        <v>69</v>
      </c>
    </row>
    <row r="4032" spans="1:6" x14ac:dyDescent="0.25">
      <c r="A4032" t="s">
        <v>6</v>
      </c>
      <c r="B4032" t="s">
        <v>7</v>
      </c>
      <c r="C4032" t="s">
        <v>8</v>
      </c>
      <c r="D4032">
        <v>6456.91</v>
      </c>
      <c r="E4032">
        <v>2016</v>
      </c>
      <c r="F4032" t="s">
        <v>69</v>
      </c>
    </row>
    <row r="4033" spans="1:6" x14ac:dyDescent="0.25">
      <c r="A4033" t="s">
        <v>10</v>
      </c>
      <c r="B4033" t="s">
        <v>11</v>
      </c>
      <c r="C4033" t="s">
        <v>8</v>
      </c>
      <c r="D4033">
        <v>1842.43</v>
      </c>
      <c r="E4033">
        <v>2016</v>
      </c>
      <c r="F4033" t="s">
        <v>69</v>
      </c>
    </row>
    <row r="4034" spans="1:6" x14ac:dyDescent="0.25">
      <c r="A4034" t="s">
        <v>12</v>
      </c>
      <c r="B4034" t="s">
        <v>13</v>
      </c>
      <c r="C4034" t="s">
        <v>8</v>
      </c>
      <c r="D4034">
        <v>299.16000000000003</v>
      </c>
      <c r="E4034">
        <v>2016</v>
      </c>
      <c r="F4034" t="s">
        <v>69</v>
      </c>
    </row>
    <row r="4035" spans="1:6" x14ac:dyDescent="0.25">
      <c r="A4035" t="s">
        <v>14</v>
      </c>
      <c r="B4035" t="s">
        <v>15</v>
      </c>
      <c r="C4035" t="s">
        <v>8</v>
      </c>
      <c r="E4035">
        <v>2016</v>
      </c>
      <c r="F4035" t="s">
        <v>69</v>
      </c>
    </row>
    <row r="4036" spans="1:6" x14ac:dyDescent="0.25">
      <c r="A4036" t="s">
        <v>16</v>
      </c>
      <c r="B4036" t="s">
        <v>17</v>
      </c>
      <c r="C4036" t="s">
        <v>8</v>
      </c>
      <c r="D4036">
        <v>65.010000000000005</v>
      </c>
      <c r="E4036">
        <v>2016</v>
      </c>
      <c r="F4036" t="s">
        <v>69</v>
      </c>
    </row>
    <row r="4037" spans="1:6" x14ac:dyDescent="0.25">
      <c r="A4037" t="s">
        <v>18</v>
      </c>
      <c r="B4037" t="s">
        <v>19</v>
      </c>
      <c r="C4037" t="s">
        <v>8</v>
      </c>
      <c r="D4037">
        <v>90.28</v>
      </c>
      <c r="E4037">
        <v>2016</v>
      </c>
      <c r="F4037" t="s">
        <v>69</v>
      </c>
    </row>
    <row r="4038" spans="1:6" x14ac:dyDescent="0.25">
      <c r="A4038" t="s">
        <v>20</v>
      </c>
      <c r="B4038" t="s">
        <v>21</v>
      </c>
      <c r="C4038" t="s">
        <v>8</v>
      </c>
      <c r="D4038">
        <v>67.650000000000006</v>
      </c>
      <c r="E4038">
        <v>2016</v>
      </c>
      <c r="F4038" t="s">
        <v>69</v>
      </c>
    </row>
    <row r="4039" spans="1:6" x14ac:dyDescent="0.25">
      <c r="A4039" t="s">
        <v>22</v>
      </c>
      <c r="B4039" t="s">
        <v>23</v>
      </c>
      <c r="C4039" t="s">
        <v>8</v>
      </c>
      <c r="D4039">
        <v>363.92</v>
      </c>
      <c r="E4039">
        <v>2016</v>
      </c>
      <c r="F4039" t="s">
        <v>69</v>
      </c>
    </row>
    <row r="4040" spans="1:6" x14ac:dyDescent="0.25">
      <c r="A4040" t="s">
        <v>24</v>
      </c>
      <c r="B4040" t="s">
        <v>25</v>
      </c>
      <c r="C4040" t="s">
        <v>8</v>
      </c>
      <c r="D4040">
        <v>358.46</v>
      </c>
      <c r="E4040">
        <v>2016</v>
      </c>
      <c r="F4040" t="s">
        <v>69</v>
      </c>
    </row>
    <row r="4041" spans="1:6" x14ac:dyDescent="0.25">
      <c r="A4041" t="s">
        <v>26</v>
      </c>
      <c r="B4041" t="s">
        <v>27</v>
      </c>
      <c r="C4041" t="s">
        <v>8</v>
      </c>
      <c r="D4041">
        <v>142.04</v>
      </c>
      <c r="E4041">
        <v>2016</v>
      </c>
      <c r="F4041" t="s">
        <v>69</v>
      </c>
    </row>
    <row r="4042" spans="1:6" x14ac:dyDescent="0.25">
      <c r="A4042" t="s">
        <v>28</v>
      </c>
      <c r="B4042" t="s">
        <v>29</v>
      </c>
      <c r="C4042" t="s">
        <v>8</v>
      </c>
      <c r="E4042">
        <v>2016</v>
      </c>
      <c r="F4042" t="s">
        <v>69</v>
      </c>
    </row>
    <row r="4043" spans="1:6" x14ac:dyDescent="0.25">
      <c r="A4043" t="s">
        <v>30</v>
      </c>
      <c r="B4043" t="s">
        <v>31</v>
      </c>
      <c r="C4043" t="s">
        <v>8</v>
      </c>
      <c r="D4043">
        <v>718.38</v>
      </c>
      <c r="E4043">
        <v>2016</v>
      </c>
      <c r="F4043" t="s">
        <v>69</v>
      </c>
    </row>
    <row r="4044" spans="1:6" x14ac:dyDescent="0.25">
      <c r="A4044" t="s">
        <v>32</v>
      </c>
      <c r="B4044" t="s">
        <v>33</v>
      </c>
      <c r="C4044" t="s">
        <v>8</v>
      </c>
      <c r="D4044">
        <v>234.95</v>
      </c>
      <c r="E4044">
        <v>2016</v>
      </c>
      <c r="F4044" t="s">
        <v>69</v>
      </c>
    </row>
    <row r="4045" spans="1:6" x14ac:dyDescent="0.25">
      <c r="A4045" t="s">
        <v>34</v>
      </c>
      <c r="B4045" t="s">
        <v>35</v>
      </c>
      <c r="C4045" t="s">
        <v>8</v>
      </c>
      <c r="D4045">
        <v>398.72</v>
      </c>
      <c r="E4045">
        <v>2016</v>
      </c>
      <c r="F4045" t="s">
        <v>69</v>
      </c>
    </row>
    <row r="4046" spans="1:6" x14ac:dyDescent="0.25">
      <c r="A4046" t="s">
        <v>36</v>
      </c>
      <c r="B4046" t="s">
        <v>37</v>
      </c>
      <c r="C4046" t="s">
        <v>8</v>
      </c>
      <c r="D4046">
        <v>269.99</v>
      </c>
      <c r="E4046">
        <v>2016</v>
      </c>
      <c r="F4046" t="s">
        <v>69</v>
      </c>
    </row>
    <row r="4047" spans="1:6" x14ac:dyDescent="0.25">
      <c r="A4047" t="s">
        <v>38</v>
      </c>
      <c r="B4047" t="s">
        <v>39</v>
      </c>
      <c r="C4047" t="s">
        <v>8</v>
      </c>
      <c r="D4047">
        <v>127.25</v>
      </c>
      <c r="E4047">
        <v>2016</v>
      </c>
      <c r="F4047" t="s">
        <v>69</v>
      </c>
    </row>
    <row r="4048" spans="1:6" x14ac:dyDescent="0.25">
      <c r="A4048" t="s">
        <v>40</v>
      </c>
      <c r="B4048" t="s">
        <v>41</v>
      </c>
      <c r="C4048" t="s">
        <v>8</v>
      </c>
      <c r="D4048">
        <v>394.1</v>
      </c>
      <c r="E4048">
        <v>2016</v>
      </c>
      <c r="F4048" t="s">
        <v>69</v>
      </c>
    </row>
    <row r="4049" spans="1:6" x14ac:dyDescent="0.25">
      <c r="A4049" t="s">
        <v>42</v>
      </c>
      <c r="B4049" t="s">
        <v>43</v>
      </c>
      <c r="C4049" t="s">
        <v>8</v>
      </c>
      <c r="D4049">
        <v>33.85</v>
      </c>
      <c r="E4049">
        <v>2016</v>
      </c>
      <c r="F4049" t="s">
        <v>69</v>
      </c>
    </row>
    <row r="4050" spans="1:6" x14ac:dyDescent="0.25">
      <c r="A4050" t="s">
        <v>44</v>
      </c>
      <c r="B4050" t="s">
        <v>45</v>
      </c>
      <c r="C4050" t="s">
        <v>8</v>
      </c>
      <c r="D4050">
        <v>154.01</v>
      </c>
      <c r="E4050">
        <v>2016</v>
      </c>
      <c r="F4050" t="s">
        <v>69</v>
      </c>
    </row>
    <row r="4051" spans="1:6" x14ac:dyDescent="0.25">
      <c r="A4051" t="s">
        <v>46</v>
      </c>
      <c r="B4051" t="s">
        <v>47</v>
      </c>
      <c r="C4051" t="s">
        <v>8</v>
      </c>
      <c r="D4051">
        <v>209.35</v>
      </c>
      <c r="E4051">
        <v>2016</v>
      </c>
      <c r="F4051" t="s">
        <v>69</v>
      </c>
    </row>
    <row r="4052" spans="1:6" x14ac:dyDescent="0.25">
      <c r="A4052" t="s">
        <v>48</v>
      </c>
      <c r="B4052" t="s">
        <v>49</v>
      </c>
      <c r="C4052" t="s">
        <v>8</v>
      </c>
      <c r="D4052">
        <v>17.84</v>
      </c>
      <c r="E4052">
        <v>2016</v>
      </c>
      <c r="F4052" t="s">
        <v>69</v>
      </c>
    </row>
    <row r="4053" spans="1:6" x14ac:dyDescent="0.25">
      <c r="A4053" t="s">
        <v>50</v>
      </c>
      <c r="B4053" t="s">
        <v>51</v>
      </c>
      <c r="C4053" t="s">
        <v>8</v>
      </c>
      <c r="D4053">
        <v>14.23</v>
      </c>
      <c r="E4053">
        <v>2016</v>
      </c>
      <c r="F4053" t="s">
        <v>69</v>
      </c>
    </row>
    <row r="4054" spans="1:6" x14ac:dyDescent="0.25">
      <c r="A4054" t="s">
        <v>52</v>
      </c>
      <c r="B4054" t="s">
        <v>53</v>
      </c>
      <c r="C4054" t="s">
        <v>8</v>
      </c>
      <c r="D4054">
        <v>101.86</v>
      </c>
      <c r="E4054">
        <v>2016</v>
      </c>
      <c r="F4054" t="s">
        <v>69</v>
      </c>
    </row>
    <row r="4055" spans="1:6" x14ac:dyDescent="0.25">
      <c r="A4055" t="s">
        <v>54</v>
      </c>
      <c r="B4055" t="s">
        <v>55</v>
      </c>
      <c r="C4055" t="s">
        <v>8</v>
      </c>
      <c r="D4055">
        <v>18.63</v>
      </c>
      <c r="E4055">
        <v>2016</v>
      </c>
      <c r="F4055" t="s">
        <v>69</v>
      </c>
    </row>
    <row r="4056" spans="1:6" x14ac:dyDescent="0.25">
      <c r="A4056" t="s">
        <v>56</v>
      </c>
      <c r="B4056" t="s">
        <v>57</v>
      </c>
      <c r="C4056" t="s">
        <v>8</v>
      </c>
      <c r="D4056">
        <v>389.1</v>
      </c>
      <c r="E4056">
        <v>2016</v>
      </c>
      <c r="F4056" t="s">
        <v>69</v>
      </c>
    </row>
    <row r="4057" spans="1:6" x14ac:dyDescent="0.25">
      <c r="A4057" t="s">
        <v>58</v>
      </c>
      <c r="B4057" t="s">
        <v>59</v>
      </c>
      <c r="C4057" t="s">
        <v>8</v>
      </c>
      <c r="D4057">
        <v>145.69999999999999</v>
      </c>
      <c r="E4057">
        <v>2016</v>
      </c>
      <c r="F4057" t="s">
        <v>69</v>
      </c>
    </row>
    <row r="4058" spans="1:6" x14ac:dyDescent="0.25">
      <c r="A4058" t="s">
        <v>6</v>
      </c>
      <c r="B4058" t="s">
        <v>7</v>
      </c>
      <c r="C4058" t="s">
        <v>60</v>
      </c>
      <c r="D4058">
        <v>6229.46</v>
      </c>
      <c r="E4058">
        <v>2016</v>
      </c>
      <c r="F4058" t="s">
        <v>69</v>
      </c>
    </row>
    <row r="4059" spans="1:6" x14ac:dyDescent="0.25">
      <c r="A4059" t="s">
        <v>10</v>
      </c>
      <c r="B4059" t="s">
        <v>11</v>
      </c>
      <c r="C4059" t="s">
        <v>60</v>
      </c>
      <c r="D4059">
        <v>1404.62</v>
      </c>
      <c r="E4059">
        <v>2016</v>
      </c>
      <c r="F4059" t="s">
        <v>69</v>
      </c>
    </row>
    <row r="4060" spans="1:6" x14ac:dyDescent="0.25">
      <c r="A4060" t="s">
        <v>12</v>
      </c>
      <c r="B4060" t="s">
        <v>13</v>
      </c>
      <c r="C4060" t="s">
        <v>60</v>
      </c>
      <c r="D4060">
        <v>236.91</v>
      </c>
      <c r="E4060">
        <v>2016</v>
      </c>
      <c r="F4060" t="s">
        <v>69</v>
      </c>
    </row>
    <row r="4061" spans="1:6" x14ac:dyDescent="0.25">
      <c r="A4061" t="s">
        <v>14</v>
      </c>
      <c r="B4061" t="s">
        <v>15</v>
      </c>
      <c r="C4061" t="s">
        <v>60</v>
      </c>
      <c r="E4061">
        <v>2016</v>
      </c>
      <c r="F4061" t="s">
        <v>69</v>
      </c>
    </row>
    <row r="4062" spans="1:6" x14ac:dyDescent="0.25">
      <c r="A4062" t="s">
        <v>16</v>
      </c>
      <c r="B4062" t="s">
        <v>17</v>
      </c>
      <c r="C4062" t="s">
        <v>60</v>
      </c>
      <c r="D4062">
        <v>264.51</v>
      </c>
      <c r="E4062">
        <v>2016</v>
      </c>
      <c r="F4062" t="s">
        <v>69</v>
      </c>
    </row>
    <row r="4063" spans="1:6" x14ac:dyDescent="0.25">
      <c r="A4063" t="s">
        <v>18</v>
      </c>
      <c r="B4063" t="s">
        <v>19</v>
      </c>
      <c r="C4063" t="s">
        <v>60</v>
      </c>
      <c r="D4063">
        <v>472.27</v>
      </c>
      <c r="E4063">
        <v>2016</v>
      </c>
      <c r="F4063" t="s">
        <v>69</v>
      </c>
    </row>
    <row r="4064" spans="1:6" x14ac:dyDescent="0.25">
      <c r="A4064" t="s">
        <v>20</v>
      </c>
      <c r="B4064" t="s">
        <v>21</v>
      </c>
      <c r="C4064" t="s">
        <v>60</v>
      </c>
      <c r="D4064">
        <v>137.02000000000001</v>
      </c>
      <c r="E4064">
        <v>2016</v>
      </c>
      <c r="F4064" t="s">
        <v>69</v>
      </c>
    </row>
    <row r="4065" spans="1:6" x14ac:dyDescent="0.25">
      <c r="A4065" t="s">
        <v>22</v>
      </c>
      <c r="B4065" t="s">
        <v>23</v>
      </c>
      <c r="C4065" t="s">
        <v>60</v>
      </c>
      <c r="D4065">
        <v>40.36</v>
      </c>
      <c r="E4065">
        <v>2016</v>
      </c>
      <c r="F4065" t="s">
        <v>69</v>
      </c>
    </row>
    <row r="4066" spans="1:6" x14ac:dyDescent="0.25">
      <c r="A4066" t="s">
        <v>24</v>
      </c>
      <c r="B4066" t="s">
        <v>25</v>
      </c>
      <c r="C4066" t="s">
        <v>60</v>
      </c>
      <c r="D4066">
        <v>217.63</v>
      </c>
      <c r="E4066">
        <v>2016</v>
      </c>
      <c r="F4066" t="s">
        <v>69</v>
      </c>
    </row>
    <row r="4067" spans="1:6" x14ac:dyDescent="0.25">
      <c r="A4067" t="s">
        <v>26</v>
      </c>
      <c r="B4067" t="s">
        <v>27</v>
      </c>
      <c r="C4067" t="s">
        <v>60</v>
      </c>
      <c r="D4067">
        <v>155.29</v>
      </c>
      <c r="E4067">
        <v>2016</v>
      </c>
      <c r="F4067" t="s">
        <v>69</v>
      </c>
    </row>
    <row r="4068" spans="1:6" x14ac:dyDescent="0.25">
      <c r="A4068" t="s">
        <v>28</v>
      </c>
      <c r="B4068" t="s">
        <v>29</v>
      </c>
      <c r="C4068" t="s">
        <v>60</v>
      </c>
      <c r="D4068">
        <v>101.82</v>
      </c>
      <c r="E4068">
        <v>2016</v>
      </c>
      <c r="F4068" t="s">
        <v>69</v>
      </c>
    </row>
    <row r="4069" spans="1:6" x14ac:dyDescent="0.25">
      <c r="A4069" t="s">
        <v>30</v>
      </c>
      <c r="B4069" t="s">
        <v>31</v>
      </c>
      <c r="C4069" t="s">
        <v>60</v>
      </c>
      <c r="D4069">
        <v>618.51</v>
      </c>
      <c r="E4069">
        <v>2016</v>
      </c>
      <c r="F4069" t="s">
        <v>69</v>
      </c>
    </row>
    <row r="4070" spans="1:6" x14ac:dyDescent="0.25">
      <c r="A4070" t="s">
        <v>32</v>
      </c>
      <c r="B4070" t="s">
        <v>33</v>
      </c>
      <c r="C4070" t="s">
        <v>60</v>
      </c>
      <c r="D4070">
        <v>301.72000000000003</v>
      </c>
      <c r="E4070">
        <v>2016</v>
      </c>
      <c r="F4070" t="s">
        <v>69</v>
      </c>
    </row>
    <row r="4071" spans="1:6" x14ac:dyDescent="0.25">
      <c r="A4071" t="s">
        <v>34</v>
      </c>
      <c r="B4071" t="s">
        <v>35</v>
      </c>
      <c r="C4071" t="s">
        <v>60</v>
      </c>
      <c r="D4071">
        <v>416.11</v>
      </c>
      <c r="E4071">
        <v>2016</v>
      </c>
      <c r="F4071" t="s">
        <v>69</v>
      </c>
    </row>
    <row r="4072" spans="1:6" x14ac:dyDescent="0.25">
      <c r="A4072" t="s">
        <v>36</v>
      </c>
      <c r="B4072" t="s">
        <v>37</v>
      </c>
      <c r="C4072" t="s">
        <v>60</v>
      </c>
      <c r="D4072">
        <v>424.4</v>
      </c>
      <c r="E4072">
        <v>2016</v>
      </c>
      <c r="F4072" t="s">
        <v>69</v>
      </c>
    </row>
    <row r="4073" spans="1:6" x14ac:dyDescent="0.25">
      <c r="A4073" t="s">
        <v>38</v>
      </c>
      <c r="B4073" t="s">
        <v>39</v>
      </c>
      <c r="C4073" t="s">
        <v>60</v>
      </c>
      <c r="D4073">
        <v>164.72</v>
      </c>
      <c r="E4073">
        <v>2016</v>
      </c>
      <c r="F4073" t="s">
        <v>69</v>
      </c>
    </row>
    <row r="4074" spans="1:6" x14ac:dyDescent="0.25">
      <c r="A4074" t="s">
        <v>40</v>
      </c>
      <c r="B4074" t="s">
        <v>41</v>
      </c>
      <c r="C4074" t="s">
        <v>60</v>
      </c>
      <c r="D4074">
        <v>317.52999999999997</v>
      </c>
      <c r="E4074">
        <v>2016</v>
      </c>
      <c r="F4074" t="s">
        <v>69</v>
      </c>
    </row>
    <row r="4075" spans="1:6" x14ac:dyDescent="0.25">
      <c r="A4075" t="s">
        <v>42</v>
      </c>
      <c r="B4075" t="s">
        <v>43</v>
      </c>
      <c r="C4075" t="s">
        <v>60</v>
      </c>
      <c r="D4075">
        <v>3.16</v>
      </c>
      <c r="E4075">
        <v>2016</v>
      </c>
      <c r="F4075" t="s">
        <v>69</v>
      </c>
    </row>
    <row r="4076" spans="1:6" x14ac:dyDescent="0.25">
      <c r="A4076" t="s">
        <v>44</v>
      </c>
      <c r="B4076" t="s">
        <v>45</v>
      </c>
      <c r="C4076" t="s">
        <v>60</v>
      </c>
      <c r="D4076">
        <v>184.76</v>
      </c>
      <c r="E4076">
        <v>2016</v>
      </c>
      <c r="F4076" t="s">
        <v>69</v>
      </c>
    </row>
    <row r="4077" spans="1:6" x14ac:dyDescent="0.25">
      <c r="A4077" t="s">
        <v>46</v>
      </c>
      <c r="B4077" t="s">
        <v>47</v>
      </c>
      <c r="C4077" t="s">
        <v>60</v>
      </c>
      <c r="D4077">
        <v>154.93</v>
      </c>
      <c r="E4077">
        <v>2016</v>
      </c>
      <c r="F4077" t="s">
        <v>69</v>
      </c>
    </row>
    <row r="4078" spans="1:6" x14ac:dyDescent="0.25">
      <c r="A4078" t="s">
        <v>48</v>
      </c>
      <c r="B4078" t="s">
        <v>49</v>
      </c>
      <c r="C4078" t="s">
        <v>60</v>
      </c>
      <c r="D4078">
        <v>140.03</v>
      </c>
      <c r="E4078">
        <v>2016</v>
      </c>
      <c r="F4078" t="s">
        <v>69</v>
      </c>
    </row>
    <row r="4079" spans="1:6" x14ac:dyDescent="0.25">
      <c r="A4079" t="s">
        <v>50</v>
      </c>
      <c r="B4079" t="s">
        <v>51</v>
      </c>
      <c r="C4079" t="s">
        <v>60</v>
      </c>
      <c r="D4079">
        <v>64.930000000000007</v>
      </c>
      <c r="E4079">
        <v>2016</v>
      </c>
      <c r="F4079" t="s">
        <v>69</v>
      </c>
    </row>
    <row r="4080" spans="1:6" x14ac:dyDescent="0.25">
      <c r="A4080" t="s">
        <v>52</v>
      </c>
      <c r="B4080" t="s">
        <v>53</v>
      </c>
      <c r="C4080" t="s">
        <v>60</v>
      </c>
      <c r="D4080">
        <v>143.03</v>
      </c>
      <c r="E4080">
        <v>2016</v>
      </c>
      <c r="F4080" t="s">
        <v>69</v>
      </c>
    </row>
    <row r="4081" spans="1:6" x14ac:dyDescent="0.25">
      <c r="A4081" t="s">
        <v>54</v>
      </c>
      <c r="B4081" t="s">
        <v>55</v>
      </c>
      <c r="C4081" t="s">
        <v>60</v>
      </c>
      <c r="D4081">
        <v>265.2</v>
      </c>
      <c r="E4081">
        <v>2016</v>
      </c>
      <c r="F4081" t="s">
        <v>69</v>
      </c>
    </row>
    <row r="4082" spans="1:6" x14ac:dyDescent="0.25">
      <c r="A4082" t="s">
        <v>56</v>
      </c>
      <c r="B4082" t="s">
        <v>57</v>
      </c>
      <c r="C4082" t="s">
        <v>60</v>
      </c>
      <c r="E4082">
        <v>2016</v>
      </c>
      <c r="F4082" t="s">
        <v>69</v>
      </c>
    </row>
    <row r="4083" spans="1:6" x14ac:dyDescent="0.25">
      <c r="A4083" t="s">
        <v>58</v>
      </c>
      <c r="B4083" t="s">
        <v>59</v>
      </c>
      <c r="C4083" t="s">
        <v>60</v>
      </c>
      <c r="E4083">
        <v>2016</v>
      </c>
      <c r="F4083" t="s">
        <v>69</v>
      </c>
    </row>
    <row r="4084" spans="1:6" x14ac:dyDescent="0.25">
      <c r="A4084" t="s">
        <v>6</v>
      </c>
      <c r="B4084" t="s">
        <v>7</v>
      </c>
      <c r="C4084" t="s">
        <v>61</v>
      </c>
      <c r="D4084">
        <v>3832.64</v>
      </c>
      <c r="E4084">
        <v>2016</v>
      </c>
      <c r="F4084" t="s">
        <v>69</v>
      </c>
    </row>
    <row r="4085" spans="1:6" x14ac:dyDescent="0.25">
      <c r="A4085" t="s">
        <v>10</v>
      </c>
      <c r="B4085" t="s">
        <v>11</v>
      </c>
      <c r="C4085" t="s">
        <v>61</v>
      </c>
      <c r="D4085">
        <v>1595.32</v>
      </c>
      <c r="E4085">
        <v>2016</v>
      </c>
      <c r="F4085" t="s">
        <v>69</v>
      </c>
    </row>
    <row r="4086" spans="1:6" x14ac:dyDescent="0.25">
      <c r="A4086" t="s">
        <v>12</v>
      </c>
      <c r="B4086" t="s">
        <v>13</v>
      </c>
      <c r="C4086" t="s">
        <v>61</v>
      </c>
      <c r="D4086">
        <v>210.58</v>
      </c>
      <c r="E4086">
        <v>2016</v>
      </c>
      <c r="F4086" t="s">
        <v>69</v>
      </c>
    </row>
    <row r="4087" spans="1:6" x14ac:dyDescent="0.25">
      <c r="A4087" t="s">
        <v>14</v>
      </c>
      <c r="B4087" t="s">
        <v>15</v>
      </c>
      <c r="C4087" t="s">
        <v>61</v>
      </c>
      <c r="D4087">
        <v>2.52</v>
      </c>
      <c r="E4087">
        <v>2016</v>
      </c>
      <c r="F4087" t="s">
        <v>69</v>
      </c>
    </row>
    <row r="4088" spans="1:6" x14ac:dyDescent="0.25">
      <c r="A4088" t="s">
        <v>16</v>
      </c>
      <c r="B4088" t="s">
        <v>17</v>
      </c>
      <c r="C4088" t="s">
        <v>61</v>
      </c>
      <c r="D4088">
        <v>122.93</v>
      </c>
      <c r="E4088">
        <v>2016</v>
      </c>
      <c r="F4088" t="s">
        <v>69</v>
      </c>
    </row>
    <row r="4089" spans="1:6" x14ac:dyDescent="0.25">
      <c r="A4089" t="s">
        <v>18</v>
      </c>
      <c r="B4089" t="s">
        <v>19</v>
      </c>
      <c r="C4089" t="s">
        <v>61</v>
      </c>
      <c r="D4089">
        <v>129.11000000000001</v>
      </c>
      <c r="E4089">
        <v>2016</v>
      </c>
      <c r="F4089" t="s">
        <v>69</v>
      </c>
    </row>
    <row r="4090" spans="1:6" x14ac:dyDescent="0.25">
      <c r="A4090" t="s">
        <v>20</v>
      </c>
      <c r="B4090" t="s">
        <v>21</v>
      </c>
      <c r="C4090" t="s">
        <v>61</v>
      </c>
      <c r="D4090">
        <v>32.06</v>
      </c>
      <c r="E4090">
        <v>2016</v>
      </c>
      <c r="F4090" t="s">
        <v>69</v>
      </c>
    </row>
    <row r="4091" spans="1:6" x14ac:dyDescent="0.25">
      <c r="A4091" t="s">
        <v>22</v>
      </c>
      <c r="B4091" t="s">
        <v>23</v>
      </c>
      <c r="C4091" t="s">
        <v>61</v>
      </c>
      <c r="D4091">
        <v>89.88</v>
      </c>
      <c r="E4091">
        <v>2016</v>
      </c>
      <c r="F4091" t="s">
        <v>69</v>
      </c>
    </row>
    <row r="4092" spans="1:6" x14ac:dyDescent="0.25">
      <c r="A4092" t="s">
        <v>24</v>
      </c>
      <c r="B4092" t="s">
        <v>25</v>
      </c>
      <c r="C4092" t="s">
        <v>61</v>
      </c>
      <c r="D4092">
        <v>165.5</v>
      </c>
      <c r="E4092">
        <v>2016</v>
      </c>
      <c r="F4092" t="s">
        <v>69</v>
      </c>
    </row>
    <row r="4093" spans="1:6" x14ac:dyDescent="0.25">
      <c r="A4093" t="s">
        <v>26</v>
      </c>
      <c r="B4093" t="s">
        <v>27</v>
      </c>
      <c r="C4093" t="s">
        <v>61</v>
      </c>
      <c r="D4093">
        <v>84.66</v>
      </c>
      <c r="E4093">
        <v>2016</v>
      </c>
      <c r="F4093" t="s">
        <v>69</v>
      </c>
    </row>
    <row r="4094" spans="1:6" x14ac:dyDescent="0.25">
      <c r="A4094" t="s">
        <v>28</v>
      </c>
      <c r="B4094" t="s">
        <v>29</v>
      </c>
      <c r="C4094" t="s">
        <v>61</v>
      </c>
      <c r="D4094">
        <v>14.34</v>
      </c>
      <c r="E4094">
        <v>2016</v>
      </c>
      <c r="F4094" t="s">
        <v>69</v>
      </c>
    </row>
    <row r="4095" spans="1:6" x14ac:dyDescent="0.25">
      <c r="A4095" t="s">
        <v>30</v>
      </c>
      <c r="B4095" t="s">
        <v>31</v>
      </c>
      <c r="C4095" t="s">
        <v>61</v>
      </c>
      <c r="D4095">
        <v>200.91</v>
      </c>
      <c r="E4095">
        <v>2016</v>
      </c>
      <c r="F4095" t="s">
        <v>69</v>
      </c>
    </row>
    <row r="4096" spans="1:6" x14ac:dyDescent="0.25">
      <c r="A4096" t="s">
        <v>32</v>
      </c>
      <c r="B4096" t="s">
        <v>33</v>
      </c>
      <c r="C4096" t="s">
        <v>61</v>
      </c>
      <c r="D4096">
        <v>80.45</v>
      </c>
      <c r="E4096">
        <v>2016</v>
      </c>
      <c r="F4096" t="s">
        <v>69</v>
      </c>
    </row>
    <row r="4097" spans="1:6" x14ac:dyDescent="0.25">
      <c r="A4097" t="s">
        <v>34</v>
      </c>
      <c r="B4097" t="s">
        <v>35</v>
      </c>
      <c r="C4097" t="s">
        <v>61</v>
      </c>
      <c r="D4097">
        <v>248.95</v>
      </c>
      <c r="E4097">
        <v>2016</v>
      </c>
      <c r="F4097" t="s">
        <v>69</v>
      </c>
    </row>
    <row r="4098" spans="1:6" x14ac:dyDescent="0.25">
      <c r="A4098" t="s">
        <v>36</v>
      </c>
      <c r="B4098" t="s">
        <v>37</v>
      </c>
      <c r="C4098" t="s">
        <v>61</v>
      </c>
      <c r="D4098">
        <v>223.43</v>
      </c>
      <c r="E4098">
        <v>2016</v>
      </c>
      <c r="F4098" t="s">
        <v>69</v>
      </c>
    </row>
    <row r="4099" spans="1:6" x14ac:dyDescent="0.25">
      <c r="A4099" t="s">
        <v>38</v>
      </c>
      <c r="B4099" t="s">
        <v>39</v>
      </c>
      <c r="C4099" t="s">
        <v>61</v>
      </c>
      <c r="D4099">
        <v>139.80000000000001</v>
      </c>
      <c r="E4099">
        <v>2016</v>
      </c>
      <c r="F4099" t="s">
        <v>69</v>
      </c>
    </row>
    <row r="4100" spans="1:6" x14ac:dyDescent="0.25">
      <c r="A4100" t="s">
        <v>40</v>
      </c>
      <c r="B4100" t="s">
        <v>41</v>
      </c>
      <c r="C4100" t="s">
        <v>61</v>
      </c>
      <c r="D4100">
        <v>98.34</v>
      </c>
      <c r="E4100">
        <v>2016</v>
      </c>
      <c r="F4100" t="s">
        <v>69</v>
      </c>
    </row>
    <row r="4101" spans="1:6" x14ac:dyDescent="0.25">
      <c r="A4101" t="s">
        <v>42</v>
      </c>
      <c r="B4101" t="s">
        <v>43</v>
      </c>
      <c r="C4101" t="s">
        <v>61</v>
      </c>
      <c r="D4101">
        <v>9.57</v>
      </c>
      <c r="E4101">
        <v>2016</v>
      </c>
      <c r="F4101" t="s">
        <v>69</v>
      </c>
    </row>
    <row r="4102" spans="1:6" x14ac:dyDescent="0.25">
      <c r="A4102" t="s">
        <v>44</v>
      </c>
      <c r="B4102" t="s">
        <v>45</v>
      </c>
      <c r="C4102" t="s">
        <v>61</v>
      </c>
      <c r="D4102">
        <v>86.94</v>
      </c>
      <c r="E4102">
        <v>2016</v>
      </c>
      <c r="F4102" t="s">
        <v>69</v>
      </c>
    </row>
    <row r="4103" spans="1:6" x14ac:dyDescent="0.25">
      <c r="A4103" t="s">
        <v>46</v>
      </c>
      <c r="B4103" t="s">
        <v>47</v>
      </c>
      <c r="C4103" t="s">
        <v>61</v>
      </c>
      <c r="D4103">
        <v>32.19</v>
      </c>
      <c r="E4103">
        <v>2016</v>
      </c>
      <c r="F4103" t="s">
        <v>69</v>
      </c>
    </row>
    <row r="4104" spans="1:6" x14ac:dyDescent="0.25">
      <c r="A4104" t="s">
        <v>48</v>
      </c>
      <c r="B4104" t="s">
        <v>49</v>
      </c>
      <c r="C4104" t="s">
        <v>61</v>
      </c>
      <c r="D4104">
        <v>60.99</v>
      </c>
      <c r="E4104">
        <v>2016</v>
      </c>
      <c r="F4104" t="s">
        <v>69</v>
      </c>
    </row>
    <row r="4105" spans="1:6" x14ac:dyDescent="0.25">
      <c r="A4105" t="s">
        <v>50</v>
      </c>
      <c r="B4105" t="s">
        <v>51</v>
      </c>
      <c r="C4105" t="s">
        <v>61</v>
      </c>
      <c r="D4105">
        <v>18.71</v>
      </c>
      <c r="E4105">
        <v>2016</v>
      </c>
      <c r="F4105" t="s">
        <v>69</v>
      </c>
    </row>
    <row r="4106" spans="1:6" x14ac:dyDescent="0.25">
      <c r="A4106" t="s">
        <v>52</v>
      </c>
      <c r="B4106" t="s">
        <v>53</v>
      </c>
      <c r="C4106" t="s">
        <v>61</v>
      </c>
      <c r="D4106">
        <v>61.15</v>
      </c>
      <c r="E4106">
        <v>2016</v>
      </c>
      <c r="F4106" t="s">
        <v>69</v>
      </c>
    </row>
    <row r="4107" spans="1:6" x14ac:dyDescent="0.25">
      <c r="A4107" t="s">
        <v>54</v>
      </c>
      <c r="B4107" t="s">
        <v>55</v>
      </c>
      <c r="C4107" t="s">
        <v>61</v>
      </c>
      <c r="D4107">
        <v>19.95</v>
      </c>
      <c r="E4107">
        <v>2016</v>
      </c>
      <c r="F4107" t="s">
        <v>69</v>
      </c>
    </row>
    <row r="4108" spans="1:6" x14ac:dyDescent="0.25">
      <c r="A4108" t="s">
        <v>56</v>
      </c>
      <c r="B4108" t="s">
        <v>57</v>
      </c>
      <c r="C4108" t="s">
        <v>61</v>
      </c>
      <c r="D4108">
        <v>104.36</v>
      </c>
      <c r="E4108">
        <v>2016</v>
      </c>
      <c r="F4108" t="s">
        <v>69</v>
      </c>
    </row>
    <row r="4109" spans="1:6" x14ac:dyDescent="0.25">
      <c r="A4109" t="s">
        <v>58</v>
      </c>
      <c r="B4109" t="s">
        <v>59</v>
      </c>
      <c r="C4109" t="s">
        <v>61</v>
      </c>
      <c r="E4109">
        <v>2016</v>
      </c>
      <c r="F4109" t="s">
        <v>69</v>
      </c>
    </row>
    <row r="4110" spans="1:6" x14ac:dyDescent="0.25">
      <c r="A4110" t="s">
        <v>6</v>
      </c>
      <c r="B4110" t="s">
        <v>7</v>
      </c>
      <c r="C4110" t="s">
        <v>65</v>
      </c>
      <c r="D4110">
        <v>27366.58</v>
      </c>
      <c r="E4110">
        <v>2016</v>
      </c>
      <c r="F4110" t="s">
        <v>69</v>
      </c>
    </row>
    <row r="4111" spans="1:6" x14ac:dyDescent="0.25">
      <c r="A4111" t="s">
        <v>10</v>
      </c>
      <c r="B4111" t="s">
        <v>11</v>
      </c>
      <c r="C4111" t="s">
        <v>65</v>
      </c>
      <c r="D4111">
        <v>3182.83</v>
      </c>
      <c r="E4111">
        <v>2016</v>
      </c>
      <c r="F4111" t="s">
        <v>69</v>
      </c>
    </row>
    <row r="4112" spans="1:6" x14ac:dyDescent="0.25">
      <c r="A4112" t="s">
        <v>12</v>
      </c>
      <c r="B4112" t="s">
        <v>13</v>
      </c>
      <c r="C4112" t="s">
        <v>65</v>
      </c>
      <c r="D4112">
        <v>779.35</v>
      </c>
      <c r="E4112">
        <v>2016</v>
      </c>
      <c r="F4112" t="s">
        <v>69</v>
      </c>
    </row>
    <row r="4113" spans="1:6" x14ac:dyDescent="0.25">
      <c r="A4113" t="s">
        <v>14</v>
      </c>
      <c r="B4113" t="s">
        <v>15</v>
      </c>
      <c r="C4113" t="s">
        <v>65</v>
      </c>
      <c r="D4113">
        <v>19.420000000000002</v>
      </c>
      <c r="E4113">
        <v>2016</v>
      </c>
      <c r="F4113" t="s">
        <v>69</v>
      </c>
    </row>
    <row r="4114" spans="1:6" x14ac:dyDescent="0.25">
      <c r="A4114" t="s">
        <v>16</v>
      </c>
      <c r="B4114" t="s">
        <v>17</v>
      </c>
      <c r="C4114" t="s">
        <v>65</v>
      </c>
      <c r="D4114">
        <v>1629.44</v>
      </c>
      <c r="E4114">
        <v>2016</v>
      </c>
      <c r="F4114" t="s">
        <v>69</v>
      </c>
    </row>
    <row r="4115" spans="1:6" x14ac:dyDescent="0.25">
      <c r="A4115" t="s">
        <v>18</v>
      </c>
      <c r="B4115" t="s">
        <v>19</v>
      </c>
      <c r="C4115" t="s">
        <v>65</v>
      </c>
      <c r="D4115">
        <v>695.63</v>
      </c>
      <c r="E4115">
        <v>2016</v>
      </c>
      <c r="F4115" t="s">
        <v>69</v>
      </c>
    </row>
    <row r="4116" spans="1:6" x14ac:dyDescent="0.25">
      <c r="A4116" t="s">
        <v>20</v>
      </c>
      <c r="B4116" t="s">
        <v>21</v>
      </c>
      <c r="C4116" t="s">
        <v>65</v>
      </c>
      <c r="D4116">
        <v>383.65</v>
      </c>
      <c r="E4116">
        <v>2016</v>
      </c>
      <c r="F4116" t="s">
        <v>69</v>
      </c>
    </row>
    <row r="4117" spans="1:6" x14ac:dyDescent="0.25">
      <c r="A4117" t="s">
        <v>22</v>
      </c>
      <c r="B4117" t="s">
        <v>23</v>
      </c>
      <c r="C4117" t="s">
        <v>65</v>
      </c>
      <c r="D4117">
        <v>157.38</v>
      </c>
      <c r="E4117">
        <v>2016</v>
      </c>
      <c r="F4117" t="s">
        <v>69</v>
      </c>
    </row>
    <row r="4118" spans="1:6" x14ac:dyDescent="0.25">
      <c r="A4118" t="s">
        <v>24</v>
      </c>
      <c r="B4118" t="s">
        <v>25</v>
      </c>
      <c r="C4118" t="s">
        <v>65</v>
      </c>
      <c r="D4118">
        <v>623.30999999999995</v>
      </c>
      <c r="E4118">
        <v>2016</v>
      </c>
      <c r="F4118" t="s">
        <v>69</v>
      </c>
    </row>
    <row r="4119" spans="1:6" x14ac:dyDescent="0.25">
      <c r="A4119" t="s">
        <v>26</v>
      </c>
      <c r="B4119" t="s">
        <v>27</v>
      </c>
      <c r="C4119" t="s">
        <v>65</v>
      </c>
      <c r="D4119">
        <v>122.35</v>
      </c>
      <c r="E4119">
        <v>2016</v>
      </c>
      <c r="F4119" t="s">
        <v>69</v>
      </c>
    </row>
    <row r="4120" spans="1:6" x14ac:dyDescent="0.25">
      <c r="A4120" t="s">
        <v>28</v>
      </c>
      <c r="B4120" t="s">
        <v>29</v>
      </c>
      <c r="C4120" t="s">
        <v>65</v>
      </c>
      <c r="D4120">
        <v>772.73</v>
      </c>
      <c r="E4120">
        <v>2016</v>
      </c>
      <c r="F4120" t="s">
        <v>69</v>
      </c>
    </row>
    <row r="4121" spans="1:6" x14ac:dyDescent="0.25">
      <c r="A4121" t="s">
        <v>30</v>
      </c>
      <c r="B4121" t="s">
        <v>31</v>
      </c>
      <c r="C4121" t="s">
        <v>65</v>
      </c>
      <c r="D4121">
        <v>2096.59</v>
      </c>
      <c r="E4121">
        <v>2016</v>
      </c>
      <c r="F4121" t="s">
        <v>69</v>
      </c>
    </row>
    <row r="4122" spans="1:6" x14ac:dyDescent="0.25">
      <c r="A4122" t="s">
        <v>32</v>
      </c>
      <c r="B4122" t="s">
        <v>33</v>
      </c>
      <c r="C4122" t="s">
        <v>65</v>
      </c>
      <c r="D4122">
        <v>608.03</v>
      </c>
      <c r="E4122">
        <v>2016</v>
      </c>
      <c r="F4122" t="s">
        <v>69</v>
      </c>
    </row>
    <row r="4123" spans="1:6" x14ac:dyDescent="0.25">
      <c r="A4123" t="s">
        <v>34</v>
      </c>
      <c r="B4123" t="s">
        <v>35</v>
      </c>
      <c r="C4123" t="s">
        <v>65</v>
      </c>
      <c r="D4123">
        <v>1441.69</v>
      </c>
      <c r="E4123">
        <v>2016</v>
      </c>
      <c r="F4123" t="s">
        <v>69</v>
      </c>
    </row>
    <row r="4124" spans="1:6" x14ac:dyDescent="0.25">
      <c r="A4124" t="s">
        <v>36</v>
      </c>
      <c r="B4124" t="s">
        <v>37</v>
      </c>
      <c r="C4124" t="s">
        <v>65</v>
      </c>
      <c r="D4124">
        <v>1367.01</v>
      </c>
      <c r="E4124">
        <v>2016</v>
      </c>
      <c r="F4124" t="s">
        <v>69</v>
      </c>
    </row>
    <row r="4125" spans="1:6" x14ac:dyDescent="0.25">
      <c r="A4125" t="s">
        <v>38</v>
      </c>
      <c r="B4125" t="s">
        <v>39</v>
      </c>
      <c r="C4125" t="s">
        <v>65</v>
      </c>
      <c r="D4125">
        <v>1149.72</v>
      </c>
      <c r="E4125">
        <v>2016</v>
      </c>
      <c r="F4125" t="s">
        <v>69</v>
      </c>
    </row>
    <row r="4126" spans="1:6" x14ac:dyDescent="0.25">
      <c r="A4126" t="s">
        <v>40</v>
      </c>
      <c r="B4126" t="s">
        <v>41</v>
      </c>
      <c r="C4126" t="s">
        <v>65</v>
      </c>
      <c r="D4126">
        <v>1494.08</v>
      </c>
      <c r="E4126">
        <v>2016</v>
      </c>
      <c r="F4126" t="s">
        <v>69</v>
      </c>
    </row>
    <row r="4127" spans="1:6" x14ac:dyDescent="0.25">
      <c r="A4127" t="s">
        <v>42</v>
      </c>
      <c r="B4127" t="s">
        <v>43</v>
      </c>
      <c r="C4127" t="s">
        <v>65</v>
      </c>
      <c r="D4127">
        <v>2541.04</v>
      </c>
      <c r="E4127">
        <v>2016</v>
      </c>
      <c r="F4127" t="s">
        <v>69</v>
      </c>
    </row>
    <row r="4128" spans="1:6" x14ac:dyDescent="0.25">
      <c r="A4128" t="s">
        <v>44</v>
      </c>
      <c r="B4128" t="s">
        <v>45</v>
      </c>
      <c r="C4128" t="s">
        <v>65</v>
      </c>
      <c r="D4128">
        <v>3471.33</v>
      </c>
      <c r="E4128">
        <v>2016</v>
      </c>
      <c r="F4128" t="s">
        <v>69</v>
      </c>
    </row>
    <row r="4129" spans="1:6" x14ac:dyDescent="0.25">
      <c r="A4129" t="s">
        <v>46</v>
      </c>
      <c r="B4129" t="s">
        <v>47</v>
      </c>
      <c r="C4129" t="s">
        <v>65</v>
      </c>
      <c r="D4129">
        <v>3140.11</v>
      </c>
      <c r="E4129">
        <v>2016</v>
      </c>
      <c r="F4129" t="s">
        <v>69</v>
      </c>
    </row>
    <row r="4130" spans="1:6" x14ac:dyDescent="0.25">
      <c r="A4130" t="s">
        <v>48</v>
      </c>
      <c r="B4130" t="s">
        <v>49</v>
      </c>
      <c r="C4130" t="s">
        <v>65</v>
      </c>
      <c r="D4130">
        <v>1334.72</v>
      </c>
      <c r="E4130">
        <v>2016</v>
      </c>
      <c r="F4130" t="s">
        <v>69</v>
      </c>
    </row>
    <row r="4131" spans="1:6" x14ac:dyDescent="0.25">
      <c r="A4131" t="s">
        <v>50</v>
      </c>
      <c r="B4131" t="s">
        <v>51</v>
      </c>
      <c r="C4131" t="s">
        <v>65</v>
      </c>
      <c r="D4131">
        <v>95.12</v>
      </c>
      <c r="E4131">
        <v>2016</v>
      </c>
      <c r="F4131" t="s">
        <v>69</v>
      </c>
    </row>
    <row r="4132" spans="1:6" x14ac:dyDescent="0.25">
      <c r="A4132" t="s">
        <v>52</v>
      </c>
      <c r="B4132" t="s">
        <v>53</v>
      </c>
      <c r="C4132" t="s">
        <v>65</v>
      </c>
      <c r="D4132">
        <v>161.31</v>
      </c>
      <c r="E4132">
        <v>2016</v>
      </c>
      <c r="F4132" t="s">
        <v>69</v>
      </c>
    </row>
    <row r="4133" spans="1:6" x14ac:dyDescent="0.25">
      <c r="A4133" t="s">
        <v>54</v>
      </c>
      <c r="B4133" t="s">
        <v>55</v>
      </c>
      <c r="C4133" t="s">
        <v>65</v>
      </c>
      <c r="D4133">
        <v>99.74</v>
      </c>
      <c r="E4133">
        <v>2016</v>
      </c>
      <c r="F4133" t="s">
        <v>69</v>
      </c>
    </row>
    <row r="4134" spans="1:6" x14ac:dyDescent="0.25">
      <c r="A4134" t="s">
        <v>56</v>
      </c>
      <c r="B4134" t="s">
        <v>57</v>
      </c>
      <c r="C4134" t="s">
        <v>65</v>
      </c>
      <c r="E4134">
        <v>2016</v>
      </c>
      <c r="F4134" t="s">
        <v>69</v>
      </c>
    </row>
    <row r="4135" spans="1:6" x14ac:dyDescent="0.25">
      <c r="A4135" t="s">
        <v>58</v>
      </c>
      <c r="B4135" t="s">
        <v>59</v>
      </c>
      <c r="C4135" t="s">
        <v>65</v>
      </c>
      <c r="E4135">
        <v>2016</v>
      </c>
      <c r="F4135" t="s">
        <v>69</v>
      </c>
    </row>
    <row r="4136" spans="1:6" x14ac:dyDescent="0.25">
      <c r="A4136" t="s">
        <v>6</v>
      </c>
      <c r="B4136" t="s">
        <v>7</v>
      </c>
      <c r="C4136" t="s">
        <v>62</v>
      </c>
      <c r="D4136">
        <v>6042.31</v>
      </c>
      <c r="E4136">
        <v>2016</v>
      </c>
      <c r="F4136" t="s">
        <v>69</v>
      </c>
    </row>
    <row r="4137" spans="1:6" x14ac:dyDescent="0.25">
      <c r="A4137" t="s">
        <v>10</v>
      </c>
      <c r="B4137" t="s">
        <v>11</v>
      </c>
      <c r="C4137" t="s">
        <v>62</v>
      </c>
      <c r="D4137">
        <v>1597.63</v>
      </c>
      <c r="E4137">
        <v>2016</v>
      </c>
      <c r="F4137" t="s">
        <v>69</v>
      </c>
    </row>
    <row r="4138" spans="1:6" x14ac:dyDescent="0.25">
      <c r="A4138" t="s">
        <v>12</v>
      </c>
      <c r="B4138" t="s">
        <v>13</v>
      </c>
      <c r="C4138" t="s">
        <v>62</v>
      </c>
      <c r="D4138">
        <v>205.51</v>
      </c>
      <c r="E4138">
        <v>2016</v>
      </c>
      <c r="F4138" t="s">
        <v>69</v>
      </c>
    </row>
    <row r="4139" spans="1:6" x14ac:dyDescent="0.25">
      <c r="A4139" t="s">
        <v>14</v>
      </c>
      <c r="B4139" t="s">
        <v>15</v>
      </c>
      <c r="C4139" t="s">
        <v>62</v>
      </c>
      <c r="E4139">
        <v>2016</v>
      </c>
      <c r="F4139" t="s">
        <v>69</v>
      </c>
    </row>
    <row r="4140" spans="1:6" x14ac:dyDescent="0.25">
      <c r="A4140" t="s">
        <v>16</v>
      </c>
      <c r="B4140" t="s">
        <v>17</v>
      </c>
      <c r="C4140" t="s">
        <v>62</v>
      </c>
      <c r="D4140">
        <v>331.03</v>
      </c>
      <c r="E4140">
        <v>2016</v>
      </c>
      <c r="F4140" t="s">
        <v>69</v>
      </c>
    </row>
    <row r="4141" spans="1:6" x14ac:dyDescent="0.25">
      <c r="A4141" t="s">
        <v>18</v>
      </c>
      <c r="B4141" t="s">
        <v>19</v>
      </c>
      <c r="C4141" t="s">
        <v>62</v>
      </c>
      <c r="D4141">
        <v>370.19</v>
      </c>
      <c r="E4141">
        <v>2016</v>
      </c>
      <c r="F4141" t="s">
        <v>69</v>
      </c>
    </row>
    <row r="4142" spans="1:6" x14ac:dyDescent="0.25">
      <c r="A4142" t="s">
        <v>20</v>
      </c>
      <c r="B4142" t="s">
        <v>21</v>
      </c>
      <c r="C4142" t="s">
        <v>62</v>
      </c>
      <c r="D4142">
        <v>54.29</v>
      </c>
      <c r="E4142">
        <v>2016</v>
      </c>
      <c r="F4142" t="s">
        <v>69</v>
      </c>
    </row>
    <row r="4143" spans="1:6" x14ac:dyDescent="0.25">
      <c r="A4143" t="s">
        <v>22</v>
      </c>
      <c r="B4143" t="s">
        <v>23</v>
      </c>
      <c r="C4143" t="s">
        <v>62</v>
      </c>
      <c r="D4143">
        <v>46.81</v>
      </c>
      <c r="E4143">
        <v>2016</v>
      </c>
      <c r="F4143" t="s">
        <v>69</v>
      </c>
    </row>
    <row r="4144" spans="1:6" x14ac:dyDescent="0.25">
      <c r="A4144" t="s">
        <v>24</v>
      </c>
      <c r="B4144" t="s">
        <v>25</v>
      </c>
      <c r="C4144" t="s">
        <v>62</v>
      </c>
      <c r="D4144">
        <v>171.59</v>
      </c>
      <c r="E4144">
        <v>2016</v>
      </c>
      <c r="F4144" t="s">
        <v>69</v>
      </c>
    </row>
    <row r="4145" spans="1:6" x14ac:dyDescent="0.25">
      <c r="A4145" t="s">
        <v>26</v>
      </c>
      <c r="B4145" t="s">
        <v>27</v>
      </c>
      <c r="C4145" t="s">
        <v>62</v>
      </c>
      <c r="D4145">
        <v>140.03</v>
      </c>
      <c r="E4145">
        <v>2016</v>
      </c>
      <c r="F4145" t="s">
        <v>69</v>
      </c>
    </row>
    <row r="4146" spans="1:6" x14ac:dyDescent="0.25">
      <c r="A4146" t="s">
        <v>28</v>
      </c>
      <c r="B4146" t="s">
        <v>29</v>
      </c>
      <c r="C4146" t="s">
        <v>62</v>
      </c>
      <c r="D4146">
        <v>219.69</v>
      </c>
      <c r="E4146">
        <v>2016</v>
      </c>
      <c r="F4146" t="s">
        <v>69</v>
      </c>
    </row>
    <row r="4147" spans="1:6" x14ac:dyDescent="0.25">
      <c r="A4147" t="s">
        <v>30</v>
      </c>
      <c r="B4147" t="s">
        <v>31</v>
      </c>
      <c r="C4147" t="s">
        <v>62</v>
      </c>
      <c r="D4147">
        <v>495.01</v>
      </c>
      <c r="E4147">
        <v>2016</v>
      </c>
      <c r="F4147" t="s">
        <v>69</v>
      </c>
    </row>
    <row r="4148" spans="1:6" x14ac:dyDescent="0.25">
      <c r="A4148" t="s">
        <v>32</v>
      </c>
      <c r="B4148" t="s">
        <v>33</v>
      </c>
      <c r="C4148" t="s">
        <v>62</v>
      </c>
      <c r="D4148">
        <v>232.29</v>
      </c>
      <c r="E4148">
        <v>2016</v>
      </c>
      <c r="F4148" t="s">
        <v>69</v>
      </c>
    </row>
    <row r="4149" spans="1:6" x14ac:dyDescent="0.25">
      <c r="A4149" t="s">
        <v>34</v>
      </c>
      <c r="B4149" t="s">
        <v>35</v>
      </c>
      <c r="C4149" t="s">
        <v>62</v>
      </c>
      <c r="D4149">
        <v>422.05</v>
      </c>
      <c r="E4149">
        <v>2016</v>
      </c>
      <c r="F4149" t="s">
        <v>69</v>
      </c>
    </row>
    <row r="4150" spans="1:6" x14ac:dyDescent="0.25">
      <c r="A4150" t="s">
        <v>36</v>
      </c>
      <c r="B4150" t="s">
        <v>37</v>
      </c>
      <c r="C4150" t="s">
        <v>62</v>
      </c>
      <c r="D4150">
        <v>445.48</v>
      </c>
      <c r="E4150">
        <v>2016</v>
      </c>
      <c r="F4150" t="s">
        <v>69</v>
      </c>
    </row>
    <row r="4151" spans="1:6" x14ac:dyDescent="0.25">
      <c r="A4151" t="s">
        <v>38</v>
      </c>
      <c r="B4151" t="s">
        <v>39</v>
      </c>
      <c r="C4151" t="s">
        <v>62</v>
      </c>
      <c r="D4151">
        <v>219.1</v>
      </c>
      <c r="E4151">
        <v>2016</v>
      </c>
      <c r="F4151" t="s">
        <v>69</v>
      </c>
    </row>
    <row r="4152" spans="1:6" x14ac:dyDescent="0.25">
      <c r="A4152" t="s">
        <v>40</v>
      </c>
      <c r="B4152" t="s">
        <v>41</v>
      </c>
      <c r="C4152" t="s">
        <v>62</v>
      </c>
      <c r="D4152">
        <v>400.27</v>
      </c>
      <c r="E4152">
        <v>2016</v>
      </c>
      <c r="F4152" t="s">
        <v>69</v>
      </c>
    </row>
    <row r="4153" spans="1:6" x14ac:dyDescent="0.25">
      <c r="A4153" t="s">
        <v>42</v>
      </c>
      <c r="B4153" t="s">
        <v>43</v>
      </c>
      <c r="C4153" t="s">
        <v>62</v>
      </c>
      <c r="D4153">
        <v>14.88</v>
      </c>
      <c r="E4153">
        <v>2016</v>
      </c>
      <c r="F4153" t="s">
        <v>69</v>
      </c>
    </row>
    <row r="4154" spans="1:6" x14ac:dyDescent="0.25">
      <c r="A4154" t="s">
        <v>44</v>
      </c>
      <c r="B4154" t="s">
        <v>45</v>
      </c>
      <c r="C4154" t="s">
        <v>62</v>
      </c>
      <c r="D4154">
        <v>124.14</v>
      </c>
      <c r="E4154">
        <v>2016</v>
      </c>
      <c r="F4154" t="s">
        <v>69</v>
      </c>
    </row>
    <row r="4155" spans="1:6" x14ac:dyDescent="0.25">
      <c r="A4155" t="s">
        <v>46</v>
      </c>
      <c r="B4155" t="s">
        <v>47</v>
      </c>
      <c r="C4155" t="s">
        <v>62</v>
      </c>
      <c r="D4155">
        <v>132.04</v>
      </c>
      <c r="E4155">
        <v>2016</v>
      </c>
      <c r="F4155" t="s">
        <v>69</v>
      </c>
    </row>
    <row r="4156" spans="1:6" x14ac:dyDescent="0.25">
      <c r="A4156" t="s">
        <v>48</v>
      </c>
      <c r="B4156" t="s">
        <v>49</v>
      </c>
      <c r="C4156" t="s">
        <v>62</v>
      </c>
      <c r="D4156">
        <v>60.11</v>
      </c>
      <c r="E4156">
        <v>2016</v>
      </c>
      <c r="F4156" t="s">
        <v>69</v>
      </c>
    </row>
    <row r="4157" spans="1:6" x14ac:dyDescent="0.25">
      <c r="A4157" t="s">
        <v>50</v>
      </c>
      <c r="B4157" t="s">
        <v>51</v>
      </c>
      <c r="C4157" t="s">
        <v>62</v>
      </c>
      <c r="D4157">
        <v>37.36</v>
      </c>
      <c r="E4157">
        <v>2016</v>
      </c>
      <c r="F4157" t="s">
        <v>69</v>
      </c>
    </row>
    <row r="4158" spans="1:6" x14ac:dyDescent="0.25">
      <c r="A4158" t="s">
        <v>52</v>
      </c>
      <c r="B4158" t="s">
        <v>53</v>
      </c>
      <c r="C4158" t="s">
        <v>62</v>
      </c>
      <c r="D4158">
        <v>95.9</v>
      </c>
      <c r="E4158">
        <v>2016</v>
      </c>
      <c r="F4158" t="s">
        <v>69</v>
      </c>
    </row>
    <row r="4159" spans="1:6" x14ac:dyDescent="0.25">
      <c r="A4159" t="s">
        <v>54</v>
      </c>
      <c r="B4159" t="s">
        <v>55</v>
      </c>
      <c r="C4159" t="s">
        <v>62</v>
      </c>
      <c r="D4159">
        <v>51.09</v>
      </c>
      <c r="E4159">
        <v>2016</v>
      </c>
      <c r="F4159" t="s">
        <v>69</v>
      </c>
    </row>
    <row r="4160" spans="1:6" x14ac:dyDescent="0.25">
      <c r="A4160" t="s">
        <v>56</v>
      </c>
      <c r="B4160" t="s">
        <v>57</v>
      </c>
      <c r="C4160" t="s">
        <v>62</v>
      </c>
      <c r="D4160">
        <v>175.82</v>
      </c>
      <c r="E4160">
        <v>2016</v>
      </c>
      <c r="F4160" t="s">
        <v>69</v>
      </c>
    </row>
    <row r="4161" spans="1:6" x14ac:dyDescent="0.25">
      <c r="A4161" t="s">
        <v>58</v>
      </c>
      <c r="B4161" t="s">
        <v>59</v>
      </c>
      <c r="C4161" t="s">
        <v>62</v>
      </c>
      <c r="E4161">
        <v>2016</v>
      </c>
      <c r="F4161" t="s">
        <v>69</v>
      </c>
    </row>
    <row r="4162" spans="1:6" x14ac:dyDescent="0.25">
      <c r="A4162" t="s">
        <v>6</v>
      </c>
      <c r="B4162" t="s">
        <v>7</v>
      </c>
      <c r="C4162" t="s">
        <v>66</v>
      </c>
      <c r="D4162">
        <v>1754.05</v>
      </c>
      <c r="E4162">
        <v>2016</v>
      </c>
      <c r="F4162" t="s">
        <v>69</v>
      </c>
    </row>
    <row r="4163" spans="1:6" x14ac:dyDescent="0.25">
      <c r="A4163" t="s">
        <v>10</v>
      </c>
      <c r="B4163" t="s">
        <v>11</v>
      </c>
      <c r="C4163" t="s">
        <v>66</v>
      </c>
      <c r="D4163">
        <v>751.89</v>
      </c>
      <c r="E4163">
        <v>2016</v>
      </c>
      <c r="F4163" t="s">
        <v>69</v>
      </c>
    </row>
    <row r="4164" spans="1:6" x14ac:dyDescent="0.25">
      <c r="A4164" t="s">
        <v>12</v>
      </c>
      <c r="B4164" t="s">
        <v>13</v>
      </c>
      <c r="C4164" t="s">
        <v>66</v>
      </c>
      <c r="D4164">
        <v>96.72</v>
      </c>
      <c r="E4164">
        <v>2016</v>
      </c>
      <c r="F4164" t="s">
        <v>69</v>
      </c>
    </row>
    <row r="4165" spans="1:6" x14ac:dyDescent="0.25">
      <c r="A4165" t="s">
        <v>14</v>
      </c>
      <c r="B4165" t="s">
        <v>15</v>
      </c>
      <c r="C4165" t="s">
        <v>66</v>
      </c>
      <c r="E4165">
        <v>2016</v>
      </c>
      <c r="F4165" t="s">
        <v>69</v>
      </c>
    </row>
    <row r="4166" spans="1:6" x14ac:dyDescent="0.25">
      <c r="A4166" t="s">
        <v>16</v>
      </c>
      <c r="B4166" t="s">
        <v>17</v>
      </c>
      <c r="C4166" t="s">
        <v>66</v>
      </c>
      <c r="D4166">
        <v>24.49</v>
      </c>
      <c r="E4166">
        <v>2016</v>
      </c>
      <c r="F4166" t="s">
        <v>69</v>
      </c>
    </row>
    <row r="4167" spans="1:6" x14ac:dyDescent="0.25">
      <c r="A4167" t="s">
        <v>18</v>
      </c>
      <c r="B4167" t="s">
        <v>19</v>
      </c>
      <c r="C4167" t="s">
        <v>66</v>
      </c>
      <c r="D4167">
        <v>20.329999999999998</v>
      </c>
      <c r="E4167">
        <v>2016</v>
      </c>
      <c r="F4167" t="s">
        <v>69</v>
      </c>
    </row>
    <row r="4168" spans="1:6" x14ac:dyDescent="0.25">
      <c r="A4168" t="s">
        <v>20</v>
      </c>
      <c r="B4168" t="s">
        <v>21</v>
      </c>
      <c r="C4168" t="s">
        <v>66</v>
      </c>
      <c r="D4168">
        <v>64.349999999999994</v>
      </c>
      <c r="E4168">
        <v>2016</v>
      </c>
      <c r="F4168" t="s">
        <v>69</v>
      </c>
    </row>
    <row r="4169" spans="1:6" x14ac:dyDescent="0.25">
      <c r="A4169" t="s">
        <v>22</v>
      </c>
      <c r="B4169" t="s">
        <v>23</v>
      </c>
      <c r="C4169" t="s">
        <v>66</v>
      </c>
      <c r="D4169">
        <v>25.57</v>
      </c>
      <c r="E4169">
        <v>2016</v>
      </c>
      <c r="F4169" t="s">
        <v>69</v>
      </c>
    </row>
    <row r="4170" spans="1:6" x14ac:dyDescent="0.25">
      <c r="A4170" t="s">
        <v>24</v>
      </c>
      <c r="B4170" t="s">
        <v>25</v>
      </c>
      <c r="C4170" t="s">
        <v>66</v>
      </c>
      <c r="D4170">
        <v>66.760000000000005</v>
      </c>
      <c r="E4170">
        <v>2016</v>
      </c>
      <c r="F4170" t="s">
        <v>69</v>
      </c>
    </row>
    <row r="4171" spans="1:6" x14ac:dyDescent="0.25">
      <c r="A4171" t="s">
        <v>26</v>
      </c>
      <c r="B4171" t="s">
        <v>27</v>
      </c>
      <c r="C4171" t="s">
        <v>66</v>
      </c>
      <c r="D4171">
        <v>40.340000000000003</v>
      </c>
      <c r="E4171">
        <v>2016</v>
      </c>
      <c r="F4171" t="s">
        <v>69</v>
      </c>
    </row>
    <row r="4172" spans="1:6" x14ac:dyDescent="0.25">
      <c r="A4172" t="s">
        <v>28</v>
      </c>
      <c r="B4172" t="s">
        <v>29</v>
      </c>
      <c r="C4172" t="s">
        <v>66</v>
      </c>
      <c r="D4172">
        <v>53.7</v>
      </c>
      <c r="E4172">
        <v>2016</v>
      </c>
      <c r="F4172" t="s">
        <v>69</v>
      </c>
    </row>
    <row r="4173" spans="1:6" x14ac:dyDescent="0.25">
      <c r="A4173" t="s">
        <v>30</v>
      </c>
      <c r="B4173" t="s">
        <v>31</v>
      </c>
      <c r="C4173" t="s">
        <v>66</v>
      </c>
      <c r="D4173">
        <v>129.96</v>
      </c>
      <c r="E4173">
        <v>2016</v>
      </c>
      <c r="F4173" t="s">
        <v>69</v>
      </c>
    </row>
    <row r="4174" spans="1:6" x14ac:dyDescent="0.25">
      <c r="A4174" t="s">
        <v>32</v>
      </c>
      <c r="B4174" t="s">
        <v>33</v>
      </c>
      <c r="C4174" t="s">
        <v>66</v>
      </c>
      <c r="D4174">
        <v>126.54</v>
      </c>
      <c r="E4174">
        <v>2016</v>
      </c>
      <c r="F4174" t="s">
        <v>69</v>
      </c>
    </row>
    <row r="4175" spans="1:6" x14ac:dyDescent="0.25">
      <c r="A4175" t="s">
        <v>34</v>
      </c>
      <c r="B4175" t="s">
        <v>35</v>
      </c>
      <c r="C4175" t="s">
        <v>66</v>
      </c>
      <c r="D4175">
        <v>69.47</v>
      </c>
      <c r="E4175">
        <v>2016</v>
      </c>
      <c r="F4175" t="s">
        <v>69</v>
      </c>
    </row>
    <row r="4176" spans="1:6" x14ac:dyDescent="0.25">
      <c r="A4176" t="s">
        <v>36</v>
      </c>
      <c r="B4176" t="s">
        <v>37</v>
      </c>
      <c r="C4176" t="s">
        <v>66</v>
      </c>
      <c r="D4176">
        <v>68.44</v>
      </c>
      <c r="E4176">
        <v>2016</v>
      </c>
      <c r="F4176" t="s">
        <v>69</v>
      </c>
    </row>
    <row r="4177" spans="1:6" x14ac:dyDescent="0.25">
      <c r="A4177" t="s">
        <v>38</v>
      </c>
      <c r="B4177" t="s">
        <v>39</v>
      </c>
      <c r="C4177" t="s">
        <v>66</v>
      </c>
      <c r="D4177">
        <v>20.99</v>
      </c>
      <c r="E4177">
        <v>2016</v>
      </c>
      <c r="F4177" t="s">
        <v>69</v>
      </c>
    </row>
    <row r="4178" spans="1:6" x14ac:dyDescent="0.25">
      <c r="A4178" t="s">
        <v>40</v>
      </c>
      <c r="B4178" t="s">
        <v>41</v>
      </c>
      <c r="C4178" t="s">
        <v>66</v>
      </c>
      <c r="D4178">
        <v>59.86</v>
      </c>
      <c r="E4178">
        <v>2016</v>
      </c>
      <c r="F4178" t="s">
        <v>69</v>
      </c>
    </row>
    <row r="4179" spans="1:6" x14ac:dyDescent="0.25">
      <c r="A4179" t="s">
        <v>42</v>
      </c>
      <c r="B4179" t="s">
        <v>43</v>
      </c>
      <c r="C4179" t="s">
        <v>66</v>
      </c>
      <c r="D4179">
        <v>0.67</v>
      </c>
      <c r="E4179">
        <v>2016</v>
      </c>
      <c r="F4179" t="s">
        <v>69</v>
      </c>
    </row>
    <row r="4180" spans="1:6" x14ac:dyDescent="0.25">
      <c r="A4180" t="s">
        <v>44</v>
      </c>
      <c r="B4180" t="s">
        <v>45</v>
      </c>
      <c r="C4180" t="s">
        <v>66</v>
      </c>
      <c r="D4180">
        <v>22.54</v>
      </c>
      <c r="E4180">
        <v>2016</v>
      </c>
      <c r="F4180" t="s">
        <v>69</v>
      </c>
    </row>
    <row r="4181" spans="1:6" x14ac:dyDescent="0.25">
      <c r="A4181" t="s">
        <v>46</v>
      </c>
      <c r="B4181" t="s">
        <v>47</v>
      </c>
      <c r="C4181" t="s">
        <v>66</v>
      </c>
      <c r="D4181">
        <v>4.5199999999999996</v>
      </c>
      <c r="E4181">
        <v>2016</v>
      </c>
      <c r="F4181" t="s">
        <v>69</v>
      </c>
    </row>
    <row r="4182" spans="1:6" x14ac:dyDescent="0.25">
      <c r="A4182" t="s">
        <v>48</v>
      </c>
      <c r="B4182" t="s">
        <v>49</v>
      </c>
      <c r="C4182" t="s">
        <v>66</v>
      </c>
      <c r="D4182">
        <v>35.96</v>
      </c>
      <c r="E4182">
        <v>2016</v>
      </c>
      <c r="F4182" t="s">
        <v>69</v>
      </c>
    </row>
    <row r="4183" spans="1:6" x14ac:dyDescent="0.25">
      <c r="A4183" t="s">
        <v>50</v>
      </c>
      <c r="B4183" t="s">
        <v>51</v>
      </c>
      <c r="C4183" t="s">
        <v>66</v>
      </c>
      <c r="E4183">
        <v>2016</v>
      </c>
      <c r="F4183" t="s">
        <v>69</v>
      </c>
    </row>
    <row r="4184" spans="1:6" x14ac:dyDescent="0.25">
      <c r="A4184" t="s">
        <v>52</v>
      </c>
      <c r="B4184" t="s">
        <v>53</v>
      </c>
      <c r="C4184" t="s">
        <v>66</v>
      </c>
      <c r="D4184">
        <v>22.81</v>
      </c>
      <c r="E4184">
        <v>2016</v>
      </c>
      <c r="F4184" t="s">
        <v>69</v>
      </c>
    </row>
    <row r="4185" spans="1:6" x14ac:dyDescent="0.25">
      <c r="A4185" t="s">
        <v>54</v>
      </c>
      <c r="B4185" t="s">
        <v>55</v>
      </c>
      <c r="C4185" t="s">
        <v>66</v>
      </c>
      <c r="D4185">
        <v>10.75</v>
      </c>
      <c r="E4185">
        <v>2016</v>
      </c>
      <c r="F4185" t="s">
        <v>69</v>
      </c>
    </row>
    <row r="4186" spans="1:6" x14ac:dyDescent="0.25">
      <c r="A4186" t="s">
        <v>56</v>
      </c>
      <c r="B4186" t="s">
        <v>57</v>
      </c>
      <c r="C4186" t="s">
        <v>66</v>
      </c>
      <c r="D4186">
        <v>37.39</v>
      </c>
      <c r="E4186">
        <v>2016</v>
      </c>
      <c r="F4186" t="s">
        <v>69</v>
      </c>
    </row>
    <row r="4187" spans="1:6" x14ac:dyDescent="0.25">
      <c r="A4187" t="s">
        <v>58</v>
      </c>
      <c r="B4187" t="s">
        <v>59</v>
      </c>
      <c r="C4187" t="s">
        <v>66</v>
      </c>
      <c r="E4187">
        <v>2016</v>
      </c>
      <c r="F4187" t="s">
        <v>69</v>
      </c>
    </row>
    <row r="4188" spans="1:6" x14ac:dyDescent="0.25">
      <c r="A4188" t="s">
        <v>6</v>
      </c>
      <c r="B4188" t="s">
        <v>7</v>
      </c>
      <c r="C4188" t="s">
        <v>63</v>
      </c>
      <c r="D4188">
        <v>118530.32</v>
      </c>
      <c r="E4188">
        <v>2017</v>
      </c>
      <c r="F4188" t="s">
        <v>69</v>
      </c>
    </row>
    <row r="4189" spans="1:6" x14ac:dyDescent="0.25">
      <c r="A4189" t="s">
        <v>10</v>
      </c>
      <c r="B4189" t="s">
        <v>11</v>
      </c>
      <c r="C4189" t="s">
        <v>63</v>
      </c>
      <c r="D4189">
        <v>22330.95</v>
      </c>
      <c r="E4189">
        <v>2017</v>
      </c>
      <c r="F4189" t="s">
        <v>69</v>
      </c>
    </row>
    <row r="4190" spans="1:6" x14ac:dyDescent="0.25">
      <c r="A4190" t="s">
        <v>12</v>
      </c>
      <c r="B4190" t="s">
        <v>13</v>
      </c>
      <c r="C4190" t="s">
        <v>63</v>
      </c>
      <c r="D4190">
        <v>3270.92</v>
      </c>
      <c r="E4190">
        <v>2017</v>
      </c>
      <c r="F4190" t="s">
        <v>69</v>
      </c>
    </row>
    <row r="4191" spans="1:6" x14ac:dyDescent="0.25">
      <c r="A4191" t="s">
        <v>14</v>
      </c>
      <c r="B4191" t="s">
        <v>15</v>
      </c>
      <c r="C4191" t="s">
        <v>63</v>
      </c>
      <c r="D4191">
        <v>570.42999999999995</v>
      </c>
      <c r="E4191">
        <v>2017</v>
      </c>
      <c r="F4191" t="s">
        <v>69</v>
      </c>
    </row>
    <row r="4192" spans="1:6" x14ac:dyDescent="0.25">
      <c r="A4192" t="s">
        <v>16</v>
      </c>
      <c r="B4192" t="s">
        <v>17</v>
      </c>
      <c r="C4192" t="s">
        <v>63</v>
      </c>
      <c r="D4192">
        <v>2719.97</v>
      </c>
      <c r="E4192">
        <v>2017</v>
      </c>
      <c r="F4192" t="s">
        <v>69</v>
      </c>
    </row>
    <row r="4193" spans="1:6" x14ac:dyDescent="0.25">
      <c r="A4193" t="s">
        <v>18</v>
      </c>
      <c r="B4193" t="s">
        <v>19</v>
      </c>
      <c r="C4193" t="s">
        <v>63</v>
      </c>
      <c r="D4193">
        <v>3236.73</v>
      </c>
      <c r="E4193">
        <v>2017</v>
      </c>
      <c r="F4193" t="s">
        <v>69</v>
      </c>
    </row>
    <row r="4194" spans="1:6" x14ac:dyDescent="0.25">
      <c r="A4194" t="s">
        <v>20</v>
      </c>
      <c r="B4194" t="s">
        <v>21</v>
      </c>
      <c r="C4194" t="s">
        <v>63</v>
      </c>
      <c r="D4194">
        <v>2575.7399999999998</v>
      </c>
      <c r="E4194">
        <v>2017</v>
      </c>
      <c r="F4194" t="s">
        <v>69</v>
      </c>
    </row>
    <row r="4195" spans="1:6" x14ac:dyDescent="0.25">
      <c r="A4195" t="s">
        <v>22</v>
      </c>
      <c r="B4195" t="s">
        <v>23</v>
      </c>
      <c r="C4195" t="s">
        <v>63</v>
      </c>
      <c r="D4195">
        <v>1241.52</v>
      </c>
      <c r="E4195">
        <v>2017</v>
      </c>
      <c r="F4195" t="s">
        <v>69</v>
      </c>
    </row>
    <row r="4196" spans="1:6" x14ac:dyDescent="0.25">
      <c r="A4196" t="s">
        <v>24</v>
      </c>
      <c r="B4196" t="s">
        <v>25</v>
      </c>
      <c r="C4196" t="s">
        <v>63</v>
      </c>
      <c r="D4196">
        <v>4079.45</v>
      </c>
      <c r="E4196">
        <v>2017</v>
      </c>
      <c r="F4196" t="s">
        <v>69</v>
      </c>
    </row>
    <row r="4197" spans="1:6" x14ac:dyDescent="0.25">
      <c r="A4197" t="s">
        <v>26</v>
      </c>
      <c r="B4197" t="s">
        <v>27</v>
      </c>
      <c r="C4197" t="s">
        <v>63</v>
      </c>
      <c r="D4197">
        <v>935.79</v>
      </c>
      <c r="E4197">
        <v>2017</v>
      </c>
      <c r="F4197" t="s">
        <v>69</v>
      </c>
    </row>
    <row r="4198" spans="1:6" x14ac:dyDescent="0.25">
      <c r="A4198" t="s">
        <v>28</v>
      </c>
      <c r="B4198" t="s">
        <v>29</v>
      </c>
      <c r="C4198" t="s">
        <v>63</v>
      </c>
      <c r="D4198">
        <v>7815.78</v>
      </c>
      <c r="E4198">
        <v>2017</v>
      </c>
      <c r="F4198" t="s">
        <v>69</v>
      </c>
    </row>
    <row r="4199" spans="1:6" x14ac:dyDescent="0.25">
      <c r="A4199" t="s">
        <v>30</v>
      </c>
      <c r="B4199" t="s">
        <v>31</v>
      </c>
      <c r="C4199" t="s">
        <v>63</v>
      </c>
      <c r="D4199">
        <v>10562.8</v>
      </c>
      <c r="E4199">
        <v>2017</v>
      </c>
      <c r="F4199" t="s">
        <v>69</v>
      </c>
    </row>
    <row r="4200" spans="1:6" x14ac:dyDescent="0.25">
      <c r="A4200" t="s">
        <v>32</v>
      </c>
      <c r="B4200" t="s">
        <v>33</v>
      </c>
      <c r="C4200" t="s">
        <v>63</v>
      </c>
      <c r="D4200">
        <v>4153.1400000000003</v>
      </c>
      <c r="E4200">
        <v>2017</v>
      </c>
      <c r="F4200" t="s">
        <v>69</v>
      </c>
    </row>
    <row r="4201" spans="1:6" x14ac:dyDescent="0.25">
      <c r="A4201" t="s">
        <v>34</v>
      </c>
      <c r="B4201" t="s">
        <v>35</v>
      </c>
      <c r="C4201" t="s">
        <v>63</v>
      </c>
      <c r="D4201">
        <v>5425.99</v>
      </c>
      <c r="E4201">
        <v>2017</v>
      </c>
      <c r="F4201" t="s">
        <v>69</v>
      </c>
    </row>
    <row r="4202" spans="1:6" x14ac:dyDescent="0.25">
      <c r="A4202" t="s">
        <v>36</v>
      </c>
      <c r="B4202" t="s">
        <v>37</v>
      </c>
      <c r="C4202" t="s">
        <v>63</v>
      </c>
      <c r="D4202">
        <v>4512.37</v>
      </c>
      <c r="E4202">
        <v>2017</v>
      </c>
      <c r="F4202" t="s">
        <v>69</v>
      </c>
    </row>
    <row r="4203" spans="1:6" x14ac:dyDescent="0.25">
      <c r="A4203" t="s">
        <v>38</v>
      </c>
      <c r="B4203" t="s">
        <v>39</v>
      </c>
      <c r="C4203" t="s">
        <v>63</v>
      </c>
      <c r="D4203">
        <v>5962.55</v>
      </c>
      <c r="E4203">
        <v>2017</v>
      </c>
      <c r="F4203" t="s">
        <v>69</v>
      </c>
    </row>
    <row r="4204" spans="1:6" x14ac:dyDescent="0.25">
      <c r="A4204" t="s">
        <v>40</v>
      </c>
      <c r="B4204" t="s">
        <v>41</v>
      </c>
      <c r="C4204" t="s">
        <v>63</v>
      </c>
      <c r="D4204">
        <v>4488.1899999999996</v>
      </c>
      <c r="E4204">
        <v>2017</v>
      </c>
      <c r="F4204" t="s">
        <v>69</v>
      </c>
    </row>
    <row r="4205" spans="1:6" x14ac:dyDescent="0.25">
      <c r="A4205" t="s">
        <v>42</v>
      </c>
      <c r="B4205" t="s">
        <v>43</v>
      </c>
      <c r="C4205" t="s">
        <v>63</v>
      </c>
      <c r="D4205">
        <v>3047.61</v>
      </c>
      <c r="E4205">
        <v>2017</v>
      </c>
      <c r="F4205" t="s">
        <v>69</v>
      </c>
    </row>
    <row r="4206" spans="1:6" x14ac:dyDescent="0.25">
      <c r="A4206" t="s">
        <v>44</v>
      </c>
      <c r="B4206" t="s">
        <v>45</v>
      </c>
      <c r="C4206" t="s">
        <v>63</v>
      </c>
      <c r="D4206">
        <v>4346.47</v>
      </c>
      <c r="E4206">
        <v>2017</v>
      </c>
      <c r="F4206" t="s">
        <v>69</v>
      </c>
    </row>
    <row r="4207" spans="1:6" x14ac:dyDescent="0.25">
      <c r="A4207" t="s">
        <v>46</v>
      </c>
      <c r="B4207" t="s">
        <v>47</v>
      </c>
      <c r="C4207" t="s">
        <v>63</v>
      </c>
      <c r="D4207">
        <v>7146.61</v>
      </c>
      <c r="E4207">
        <v>2017</v>
      </c>
      <c r="F4207" t="s">
        <v>69</v>
      </c>
    </row>
    <row r="4208" spans="1:6" x14ac:dyDescent="0.25">
      <c r="A4208" t="s">
        <v>48</v>
      </c>
      <c r="B4208" t="s">
        <v>49</v>
      </c>
      <c r="C4208" t="s">
        <v>63</v>
      </c>
      <c r="D4208">
        <v>12212.45</v>
      </c>
      <c r="E4208">
        <v>2017</v>
      </c>
      <c r="F4208" t="s">
        <v>69</v>
      </c>
    </row>
    <row r="4209" spans="1:6" x14ac:dyDescent="0.25">
      <c r="A4209" t="s">
        <v>50</v>
      </c>
      <c r="B4209" t="s">
        <v>51</v>
      </c>
      <c r="C4209" t="s">
        <v>63</v>
      </c>
      <c r="D4209">
        <v>2449.66</v>
      </c>
      <c r="E4209">
        <v>2017</v>
      </c>
      <c r="F4209" t="s">
        <v>69</v>
      </c>
    </row>
    <row r="4210" spans="1:6" x14ac:dyDescent="0.25">
      <c r="A4210" t="s">
        <v>52</v>
      </c>
      <c r="B4210" t="s">
        <v>53</v>
      </c>
      <c r="C4210" t="s">
        <v>63</v>
      </c>
      <c r="D4210">
        <v>1730.72</v>
      </c>
      <c r="E4210">
        <v>2017</v>
      </c>
      <c r="F4210" t="s">
        <v>69</v>
      </c>
    </row>
    <row r="4211" spans="1:6" x14ac:dyDescent="0.25">
      <c r="A4211" t="s">
        <v>54</v>
      </c>
      <c r="B4211" t="s">
        <v>55</v>
      </c>
      <c r="C4211" t="s">
        <v>63</v>
      </c>
      <c r="D4211">
        <v>1643.53</v>
      </c>
      <c r="E4211">
        <v>2017</v>
      </c>
      <c r="F4211" t="s">
        <v>69</v>
      </c>
    </row>
    <row r="4212" spans="1:6" x14ac:dyDescent="0.25">
      <c r="A4212" t="s">
        <v>56</v>
      </c>
      <c r="B4212" t="s">
        <v>57</v>
      </c>
      <c r="C4212" t="s">
        <v>63</v>
      </c>
      <c r="D4212">
        <v>2070.9499999999998</v>
      </c>
      <c r="E4212">
        <v>2017</v>
      </c>
      <c r="F4212" t="s">
        <v>69</v>
      </c>
    </row>
    <row r="4213" spans="1:6" x14ac:dyDescent="0.25">
      <c r="A4213" t="s">
        <v>58</v>
      </c>
      <c r="B4213" t="s">
        <v>59</v>
      </c>
      <c r="C4213" t="s">
        <v>63</v>
      </c>
      <c r="E4213">
        <v>2017</v>
      </c>
      <c r="F4213" t="s">
        <v>69</v>
      </c>
    </row>
    <row r="4214" spans="1:6" x14ac:dyDescent="0.25">
      <c r="A4214" t="s">
        <v>6</v>
      </c>
      <c r="B4214" t="s">
        <v>7</v>
      </c>
      <c r="C4214" t="s">
        <v>8</v>
      </c>
      <c r="D4214">
        <v>6973.62</v>
      </c>
      <c r="E4214">
        <v>2017</v>
      </c>
      <c r="F4214" t="s">
        <v>69</v>
      </c>
    </row>
    <row r="4215" spans="1:6" x14ac:dyDescent="0.25">
      <c r="A4215" t="s">
        <v>10</v>
      </c>
      <c r="B4215" t="s">
        <v>11</v>
      </c>
      <c r="C4215" t="s">
        <v>8</v>
      </c>
      <c r="D4215">
        <v>1855.75</v>
      </c>
      <c r="E4215">
        <v>2017</v>
      </c>
      <c r="F4215" t="s">
        <v>69</v>
      </c>
    </row>
    <row r="4216" spans="1:6" x14ac:dyDescent="0.25">
      <c r="A4216" t="s">
        <v>12</v>
      </c>
      <c r="B4216" t="s">
        <v>13</v>
      </c>
      <c r="C4216" t="s">
        <v>8</v>
      </c>
      <c r="D4216">
        <v>278.14</v>
      </c>
      <c r="E4216">
        <v>2017</v>
      </c>
      <c r="F4216" t="s">
        <v>69</v>
      </c>
    </row>
    <row r="4217" spans="1:6" x14ac:dyDescent="0.25">
      <c r="A4217" t="s">
        <v>14</v>
      </c>
      <c r="B4217" t="s">
        <v>15</v>
      </c>
      <c r="C4217" t="s">
        <v>8</v>
      </c>
      <c r="E4217">
        <v>2017</v>
      </c>
      <c r="F4217" t="s">
        <v>69</v>
      </c>
    </row>
    <row r="4218" spans="1:6" x14ac:dyDescent="0.25">
      <c r="A4218" t="s">
        <v>16</v>
      </c>
      <c r="B4218" t="s">
        <v>17</v>
      </c>
      <c r="C4218" t="s">
        <v>8</v>
      </c>
      <c r="D4218">
        <v>63.12</v>
      </c>
      <c r="E4218">
        <v>2017</v>
      </c>
      <c r="F4218" t="s">
        <v>69</v>
      </c>
    </row>
    <row r="4219" spans="1:6" x14ac:dyDescent="0.25">
      <c r="A4219" t="s">
        <v>18</v>
      </c>
      <c r="B4219" t="s">
        <v>19</v>
      </c>
      <c r="C4219" t="s">
        <v>8</v>
      </c>
      <c r="D4219">
        <v>79.89</v>
      </c>
      <c r="E4219">
        <v>2017</v>
      </c>
      <c r="F4219" t="s">
        <v>69</v>
      </c>
    </row>
    <row r="4220" spans="1:6" x14ac:dyDescent="0.25">
      <c r="A4220" t="s">
        <v>20</v>
      </c>
      <c r="B4220" t="s">
        <v>21</v>
      </c>
      <c r="C4220" t="s">
        <v>8</v>
      </c>
      <c r="D4220">
        <v>78.84</v>
      </c>
      <c r="E4220">
        <v>2017</v>
      </c>
      <c r="F4220" t="s">
        <v>69</v>
      </c>
    </row>
    <row r="4221" spans="1:6" x14ac:dyDescent="0.25">
      <c r="A4221" t="s">
        <v>22</v>
      </c>
      <c r="B4221" t="s">
        <v>23</v>
      </c>
      <c r="C4221" t="s">
        <v>8</v>
      </c>
      <c r="D4221">
        <v>399.62</v>
      </c>
      <c r="E4221">
        <v>2017</v>
      </c>
      <c r="F4221" t="s">
        <v>69</v>
      </c>
    </row>
    <row r="4222" spans="1:6" x14ac:dyDescent="0.25">
      <c r="A4222" t="s">
        <v>24</v>
      </c>
      <c r="B4222" t="s">
        <v>25</v>
      </c>
      <c r="C4222" t="s">
        <v>8</v>
      </c>
      <c r="D4222">
        <v>411.6</v>
      </c>
      <c r="E4222">
        <v>2017</v>
      </c>
      <c r="F4222" t="s">
        <v>69</v>
      </c>
    </row>
    <row r="4223" spans="1:6" x14ac:dyDescent="0.25">
      <c r="A4223" t="s">
        <v>26</v>
      </c>
      <c r="B4223" t="s">
        <v>27</v>
      </c>
      <c r="C4223" t="s">
        <v>8</v>
      </c>
      <c r="D4223">
        <v>171.28</v>
      </c>
      <c r="E4223">
        <v>2017</v>
      </c>
      <c r="F4223" t="s">
        <v>69</v>
      </c>
    </row>
    <row r="4224" spans="1:6" x14ac:dyDescent="0.25">
      <c r="A4224" t="s">
        <v>28</v>
      </c>
      <c r="B4224" t="s">
        <v>29</v>
      </c>
      <c r="C4224" t="s">
        <v>8</v>
      </c>
      <c r="E4224">
        <v>2017</v>
      </c>
      <c r="F4224" t="s">
        <v>69</v>
      </c>
    </row>
    <row r="4225" spans="1:6" x14ac:dyDescent="0.25">
      <c r="A4225" t="s">
        <v>30</v>
      </c>
      <c r="B4225" t="s">
        <v>31</v>
      </c>
      <c r="C4225" t="s">
        <v>8</v>
      </c>
      <c r="D4225">
        <v>710.89</v>
      </c>
      <c r="E4225">
        <v>2017</v>
      </c>
      <c r="F4225" t="s">
        <v>69</v>
      </c>
    </row>
    <row r="4226" spans="1:6" x14ac:dyDescent="0.25">
      <c r="A4226" t="s">
        <v>32</v>
      </c>
      <c r="B4226" t="s">
        <v>33</v>
      </c>
      <c r="C4226" t="s">
        <v>8</v>
      </c>
      <c r="D4226">
        <v>276.82</v>
      </c>
      <c r="E4226">
        <v>2017</v>
      </c>
      <c r="F4226" t="s">
        <v>69</v>
      </c>
    </row>
    <row r="4227" spans="1:6" x14ac:dyDescent="0.25">
      <c r="A4227" t="s">
        <v>34</v>
      </c>
      <c r="B4227" t="s">
        <v>35</v>
      </c>
      <c r="C4227" t="s">
        <v>8</v>
      </c>
      <c r="D4227">
        <v>394.49</v>
      </c>
      <c r="E4227">
        <v>2017</v>
      </c>
      <c r="F4227" t="s">
        <v>69</v>
      </c>
    </row>
    <row r="4228" spans="1:6" x14ac:dyDescent="0.25">
      <c r="A4228" t="s">
        <v>36</v>
      </c>
      <c r="B4228" t="s">
        <v>37</v>
      </c>
      <c r="C4228" t="s">
        <v>8</v>
      </c>
      <c r="D4228">
        <v>298.91000000000003</v>
      </c>
      <c r="E4228">
        <v>2017</v>
      </c>
      <c r="F4228" t="s">
        <v>69</v>
      </c>
    </row>
    <row r="4229" spans="1:6" x14ac:dyDescent="0.25">
      <c r="A4229" t="s">
        <v>38</v>
      </c>
      <c r="B4229" t="s">
        <v>39</v>
      </c>
      <c r="C4229" t="s">
        <v>8</v>
      </c>
      <c r="D4229">
        <v>252.99</v>
      </c>
      <c r="E4229">
        <v>2017</v>
      </c>
      <c r="F4229" t="s">
        <v>69</v>
      </c>
    </row>
    <row r="4230" spans="1:6" x14ac:dyDescent="0.25">
      <c r="A4230" t="s">
        <v>40</v>
      </c>
      <c r="B4230" t="s">
        <v>41</v>
      </c>
      <c r="C4230" t="s">
        <v>8</v>
      </c>
      <c r="D4230">
        <v>384.97</v>
      </c>
      <c r="E4230">
        <v>2017</v>
      </c>
      <c r="F4230" t="s">
        <v>69</v>
      </c>
    </row>
    <row r="4231" spans="1:6" x14ac:dyDescent="0.25">
      <c r="A4231" t="s">
        <v>42</v>
      </c>
      <c r="B4231" t="s">
        <v>43</v>
      </c>
      <c r="C4231" t="s">
        <v>8</v>
      </c>
      <c r="D4231">
        <v>19.43</v>
      </c>
      <c r="E4231">
        <v>2017</v>
      </c>
      <c r="F4231" t="s">
        <v>69</v>
      </c>
    </row>
    <row r="4232" spans="1:6" x14ac:dyDescent="0.25">
      <c r="A4232" t="s">
        <v>44</v>
      </c>
      <c r="B4232" t="s">
        <v>45</v>
      </c>
      <c r="C4232" t="s">
        <v>8</v>
      </c>
      <c r="D4232">
        <v>149.66</v>
      </c>
      <c r="E4232">
        <v>2017</v>
      </c>
      <c r="F4232" t="s">
        <v>69</v>
      </c>
    </row>
    <row r="4233" spans="1:6" x14ac:dyDescent="0.25">
      <c r="A4233" t="s">
        <v>46</v>
      </c>
      <c r="B4233" t="s">
        <v>47</v>
      </c>
      <c r="C4233" t="s">
        <v>8</v>
      </c>
      <c r="D4233">
        <v>203.87</v>
      </c>
      <c r="E4233">
        <v>2017</v>
      </c>
      <c r="F4233" t="s">
        <v>69</v>
      </c>
    </row>
    <row r="4234" spans="1:6" x14ac:dyDescent="0.25">
      <c r="A4234" t="s">
        <v>48</v>
      </c>
      <c r="B4234" t="s">
        <v>49</v>
      </c>
      <c r="C4234" t="s">
        <v>8</v>
      </c>
      <c r="D4234">
        <v>18.440000000000001</v>
      </c>
      <c r="E4234">
        <v>2017</v>
      </c>
      <c r="F4234" t="s">
        <v>69</v>
      </c>
    </row>
    <row r="4235" spans="1:6" x14ac:dyDescent="0.25">
      <c r="A4235" t="s">
        <v>50</v>
      </c>
      <c r="B4235" t="s">
        <v>51</v>
      </c>
      <c r="C4235" t="s">
        <v>8</v>
      </c>
      <c r="D4235">
        <v>11.58</v>
      </c>
      <c r="E4235">
        <v>2017</v>
      </c>
      <c r="F4235" t="s">
        <v>69</v>
      </c>
    </row>
    <row r="4236" spans="1:6" x14ac:dyDescent="0.25">
      <c r="A4236" t="s">
        <v>52</v>
      </c>
      <c r="B4236" t="s">
        <v>53</v>
      </c>
      <c r="C4236" t="s">
        <v>8</v>
      </c>
      <c r="D4236">
        <v>127.65</v>
      </c>
      <c r="E4236">
        <v>2017</v>
      </c>
      <c r="F4236" t="s">
        <v>69</v>
      </c>
    </row>
    <row r="4237" spans="1:6" x14ac:dyDescent="0.25">
      <c r="A4237" t="s">
        <v>54</v>
      </c>
      <c r="B4237" t="s">
        <v>55</v>
      </c>
      <c r="C4237" t="s">
        <v>8</v>
      </c>
      <c r="D4237">
        <v>15.76</v>
      </c>
      <c r="E4237">
        <v>2017</v>
      </c>
      <c r="F4237" t="s">
        <v>69</v>
      </c>
    </row>
    <row r="4238" spans="1:6" x14ac:dyDescent="0.25">
      <c r="A4238" t="s">
        <v>56</v>
      </c>
      <c r="B4238" t="s">
        <v>57</v>
      </c>
      <c r="C4238" t="s">
        <v>8</v>
      </c>
      <c r="D4238">
        <v>467.74</v>
      </c>
      <c r="E4238">
        <v>2017</v>
      </c>
      <c r="F4238" t="s">
        <v>69</v>
      </c>
    </row>
    <row r="4239" spans="1:6" x14ac:dyDescent="0.25">
      <c r="A4239" t="s">
        <v>58</v>
      </c>
      <c r="B4239" t="s">
        <v>59</v>
      </c>
      <c r="C4239" t="s">
        <v>8</v>
      </c>
      <c r="D4239">
        <v>302.18</v>
      </c>
      <c r="E4239">
        <v>2017</v>
      </c>
      <c r="F4239" t="s">
        <v>69</v>
      </c>
    </row>
    <row r="4240" spans="1:6" x14ac:dyDescent="0.25">
      <c r="A4240" t="s">
        <v>6</v>
      </c>
      <c r="B4240" t="s">
        <v>7</v>
      </c>
      <c r="C4240" t="s">
        <v>60</v>
      </c>
      <c r="D4240">
        <v>6657.34</v>
      </c>
      <c r="E4240">
        <v>2017</v>
      </c>
      <c r="F4240" t="s">
        <v>69</v>
      </c>
    </row>
    <row r="4241" spans="1:6" x14ac:dyDescent="0.25">
      <c r="A4241" t="s">
        <v>10</v>
      </c>
      <c r="B4241" t="s">
        <v>11</v>
      </c>
      <c r="C4241" t="s">
        <v>60</v>
      </c>
      <c r="D4241">
        <v>1442.6</v>
      </c>
      <c r="E4241">
        <v>2017</v>
      </c>
      <c r="F4241" t="s">
        <v>69</v>
      </c>
    </row>
    <row r="4242" spans="1:6" x14ac:dyDescent="0.25">
      <c r="A4242" t="s">
        <v>12</v>
      </c>
      <c r="B4242" t="s">
        <v>13</v>
      </c>
      <c r="C4242" t="s">
        <v>60</v>
      </c>
      <c r="D4242">
        <v>235.61</v>
      </c>
      <c r="E4242">
        <v>2017</v>
      </c>
      <c r="F4242" t="s">
        <v>69</v>
      </c>
    </row>
    <row r="4243" spans="1:6" x14ac:dyDescent="0.25">
      <c r="A4243" t="s">
        <v>14</v>
      </c>
      <c r="B4243" t="s">
        <v>15</v>
      </c>
      <c r="C4243" t="s">
        <v>60</v>
      </c>
      <c r="E4243">
        <v>2017</v>
      </c>
      <c r="F4243" t="s">
        <v>69</v>
      </c>
    </row>
    <row r="4244" spans="1:6" x14ac:dyDescent="0.25">
      <c r="A4244" t="s">
        <v>16</v>
      </c>
      <c r="B4244" t="s">
        <v>17</v>
      </c>
      <c r="C4244" t="s">
        <v>60</v>
      </c>
      <c r="D4244">
        <v>255.25</v>
      </c>
      <c r="E4244">
        <v>2017</v>
      </c>
      <c r="F4244" t="s">
        <v>69</v>
      </c>
    </row>
    <row r="4245" spans="1:6" x14ac:dyDescent="0.25">
      <c r="A4245" t="s">
        <v>18</v>
      </c>
      <c r="B4245" t="s">
        <v>19</v>
      </c>
      <c r="C4245" t="s">
        <v>60</v>
      </c>
      <c r="D4245">
        <v>523.64</v>
      </c>
      <c r="E4245">
        <v>2017</v>
      </c>
      <c r="F4245" t="s">
        <v>69</v>
      </c>
    </row>
    <row r="4246" spans="1:6" x14ac:dyDescent="0.25">
      <c r="A4246" t="s">
        <v>20</v>
      </c>
      <c r="B4246" t="s">
        <v>21</v>
      </c>
      <c r="C4246" t="s">
        <v>60</v>
      </c>
      <c r="D4246">
        <v>147.97999999999999</v>
      </c>
      <c r="E4246">
        <v>2017</v>
      </c>
      <c r="F4246" t="s">
        <v>69</v>
      </c>
    </row>
    <row r="4247" spans="1:6" x14ac:dyDescent="0.25">
      <c r="A4247" t="s">
        <v>22</v>
      </c>
      <c r="B4247" t="s">
        <v>23</v>
      </c>
      <c r="C4247" t="s">
        <v>60</v>
      </c>
      <c r="D4247">
        <v>40.92</v>
      </c>
      <c r="E4247">
        <v>2017</v>
      </c>
      <c r="F4247" t="s">
        <v>69</v>
      </c>
    </row>
    <row r="4248" spans="1:6" x14ac:dyDescent="0.25">
      <c r="A4248" t="s">
        <v>24</v>
      </c>
      <c r="B4248" t="s">
        <v>25</v>
      </c>
      <c r="C4248" t="s">
        <v>60</v>
      </c>
      <c r="D4248">
        <v>239.3</v>
      </c>
      <c r="E4248">
        <v>2017</v>
      </c>
      <c r="F4248" t="s">
        <v>69</v>
      </c>
    </row>
    <row r="4249" spans="1:6" x14ac:dyDescent="0.25">
      <c r="A4249" t="s">
        <v>26</v>
      </c>
      <c r="B4249" t="s">
        <v>27</v>
      </c>
      <c r="C4249" t="s">
        <v>60</v>
      </c>
      <c r="D4249">
        <v>172.52</v>
      </c>
      <c r="E4249">
        <v>2017</v>
      </c>
      <c r="F4249" t="s">
        <v>69</v>
      </c>
    </row>
    <row r="4250" spans="1:6" x14ac:dyDescent="0.25">
      <c r="A4250" t="s">
        <v>28</v>
      </c>
      <c r="B4250" t="s">
        <v>29</v>
      </c>
      <c r="C4250" t="s">
        <v>60</v>
      </c>
      <c r="D4250">
        <v>126.34</v>
      </c>
      <c r="E4250">
        <v>2017</v>
      </c>
      <c r="F4250" t="s">
        <v>69</v>
      </c>
    </row>
    <row r="4251" spans="1:6" x14ac:dyDescent="0.25">
      <c r="A4251" t="s">
        <v>30</v>
      </c>
      <c r="B4251" t="s">
        <v>31</v>
      </c>
      <c r="C4251" t="s">
        <v>60</v>
      </c>
      <c r="D4251">
        <v>722.98</v>
      </c>
      <c r="E4251">
        <v>2017</v>
      </c>
      <c r="F4251" t="s">
        <v>69</v>
      </c>
    </row>
    <row r="4252" spans="1:6" x14ac:dyDescent="0.25">
      <c r="A4252" t="s">
        <v>32</v>
      </c>
      <c r="B4252" t="s">
        <v>33</v>
      </c>
      <c r="C4252" t="s">
        <v>60</v>
      </c>
      <c r="D4252">
        <v>335.69</v>
      </c>
      <c r="E4252">
        <v>2017</v>
      </c>
      <c r="F4252" t="s">
        <v>69</v>
      </c>
    </row>
    <row r="4253" spans="1:6" x14ac:dyDescent="0.25">
      <c r="A4253" t="s">
        <v>34</v>
      </c>
      <c r="B4253" t="s">
        <v>35</v>
      </c>
      <c r="C4253" t="s">
        <v>60</v>
      </c>
      <c r="D4253">
        <v>447.61</v>
      </c>
      <c r="E4253">
        <v>2017</v>
      </c>
      <c r="F4253" t="s">
        <v>69</v>
      </c>
    </row>
    <row r="4254" spans="1:6" x14ac:dyDescent="0.25">
      <c r="A4254" t="s">
        <v>36</v>
      </c>
      <c r="B4254" t="s">
        <v>37</v>
      </c>
      <c r="C4254" t="s">
        <v>60</v>
      </c>
      <c r="D4254">
        <v>426.53</v>
      </c>
      <c r="E4254">
        <v>2017</v>
      </c>
      <c r="F4254" t="s">
        <v>69</v>
      </c>
    </row>
    <row r="4255" spans="1:6" x14ac:dyDescent="0.25">
      <c r="A4255" t="s">
        <v>38</v>
      </c>
      <c r="B4255" t="s">
        <v>39</v>
      </c>
      <c r="C4255" t="s">
        <v>60</v>
      </c>
      <c r="D4255">
        <v>173.81</v>
      </c>
      <c r="E4255">
        <v>2017</v>
      </c>
      <c r="F4255" t="s">
        <v>69</v>
      </c>
    </row>
    <row r="4256" spans="1:6" x14ac:dyDescent="0.25">
      <c r="A4256" t="s">
        <v>40</v>
      </c>
      <c r="B4256" t="s">
        <v>41</v>
      </c>
      <c r="C4256" t="s">
        <v>60</v>
      </c>
      <c r="D4256">
        <v>327.62</v>
      </c>
      <c r="E4256">
        <v>2017</v>
      </c>
      <c r="F4256" t="s">
        <v>69</v>
      </c>
    </row>
    <row r="4257" spans="1:6" x14ac:dyDescent="0.25">
      <c r="A4257" t="s">
        <v>42</v>
      </c>
      <c r="B4257" t="s">
        <v>43</v>
      </c>
      <c r="C4257" t="s">
        <v>60</v>
      </c>
      <c r="D4257">
        <v>2.3199999999999998</v>
      </c>
      <c r="E4257">
        <v>2017</v>
      </c>
      <c r="F4257" t="s">
        <v>69</v>
      </c>
    </row>
    <row r="4258" spans="1:6" x14ac:dyDescent="0.25">
      <c r="A4258" t="s">
        <v>44</v>
      </c>
      <c r="B4258" t="s">
        <v>45</v>
      </c>
      <c r="C4258" t="s">
        <v>60</v>
      </c>
      <c r="D4258">
        <v>206.65</v>
      </c>
      <c r="E4258">
        <v>2017</v>
      </c>
      <c r="F4258" t="s">
        <v>69</v>
      </c>
    </row>
    <row r="4259" spans="1:6" x14ac:dyDescent="0.25">
      <c r="A4259" t="s">
        <v>46</v>
      </c>
      <c r="B4259" t="s">
        <v>47</v>
      </c>
      <c r="C4259" t="s">
        <v>60</v>
      </c>
      <c r="D4259">
        <v>156.99</v>
      </c>
      <c r="E4259">
        <v>2017</v>
      </c>
      <c r="F4259" t="s">
        <v>69</v>
      </c>
    </row>
    <row r="4260" spans="1:6" x14ac:dyDescent="0.25">
      <c r="A4260" t="s">
        <v>48</v>
      </c>
      <c r="B4260" t="s">
        <v>49</v>
      </c>
      <c r="C4260" t="s">
        <v>60</v>
      </c>
      <c r="D4260">
        <v>148.41999999999999</v>
      </c>
      <c r="E4260">
        <v>2017</v>
      </c>
      <c r="F4260" t="s">
        <v>69</v>
      </c>
    </row>
    <row r="4261" spans="1:6" x14ac:dyDescent="0.25">
      <c r="A4261" t="s">
        <v>50</v>
      </c>
      <c r="B4261" t="s">
        <v>51</v>
      </c>
      <c r="C4261" t="s">
        <v>60</v>
      </c>
      <c r="D4261">
        <v>73.05</v>
      </c>
      <c r="E4261">
        <v>2017</v>
      </c>
      <c r="F4261" t="s">
        <v>69</v>
      </c>
    </row>
    <row r="4262" spans="1:6" x14ac:dyDescent="0.25">
      <c r="A4262" t="s">
        <v>52</v>
      </c>
      <c r="B4262" t="s">
        <v>53</v>
      </c>
      <c r="C4262" t="s">
        <v>60</v>
      </c>
      <c r="D4262">
        <v>154.22</v>
      </c>
      <c r="E4262">
        <v>2017</v>
      </c>
      <c r="F4262" t="s">
        <v>69</v>
      </c>
    </row>
    <row r="4263" spans="1:6" x14ac:dyDescent="0.25">
      <c r="A4263" t="s">
        <v>54</v>
      </c>
      <c r="B4263" t="s">
        <v>55</v>
      </c>
      <c r="C4263" t="s">
        <v>60</v>
      </c>
      <c r="D4263">
        <v>297.29000000000002</v>
      </c>
      <c r="E4263">
        <v>2017</v>
      </c>
      <c r="F4263" t="s">
        <v>69</v>
      </c>
    </row>
    <row r="4264" spans="1:6" x14ac:dyDescent="0.25">
      <c r="A4264" t="s">
        <v>56</v>
      </c>
      <c r="B4264" t="s">
        <v>57</v>
      </c>
      <c r="C4264" t="s">
        <v>60</v>
      </c>
      <c r="E4264">
        <v>2017</v>
      </c>
      <c r="F4264" t="s">
        <v>69</v>
      </c>
    </row>
    <row r="4265" spans="1:6" x14ac:dyDescent="0.25">
      <c r="A4265" t="s">
        <v>58</v>
      </c>
      <c r="B4265" t="s">
        <v>59</v>
      </c>
      <c r="C4265" t="s">
        <v>60</v>
      </c>
      <c r="E4265">
        <v>2017</v>
      </c>
      <c r="F4265" t="s">
        <v>69</v>
      </c>
    </row>
    <row r="4266" spans="1:6" x14ac:dyDescent="0.25">
      <c r="A4266" t="s">
        <v>6</v>
      </c>
      <c r="B4266" t="s">
        <v>7</v>
      </c>
      <c r="C4266" t="s">
        <v>61</v>
      </c>
      <c r="D4266">
        <v>4005.28</v>
      </c>
      <c r="E4266">
        <v>2017</v>
      </c>
      <c r="F4266" t="s">
        <v>69</v>
      </c>
    </row>
    <row r="4267" spans="1:6" x14ac:dyDescent="0.25">
      <c r="A4267" t="s">
        <v>10</v>
      </c>
      <c r="B4267" t="s">
        <v>11</v>
      </c>
      <c r="C4267" t="s">
        <v>61</v>
      </c>
      <c r="D4267">
        <v>1697.3</v>
      </c>
      <c r="E4267">
        <v>2017</v>
      </c>
      <c r="F4267" t="s">
        <v>69</v>
      </c>
    </row>
    <row r="4268" spans="1:6" x14ac:dyDescent="0.25">
      <c r="A4268" t="s">
        <v>12</v>
      </c>
      <c r="B4268" t="s">
        <v>13</v>
      </c>
      <c r="C4268" t="s">
        <v>61</v>
      </c>
      <c r="D4268">
        <v>202.01</v>
      </c>
      <c r="E4268">
        <v>2017</v>
      </c>
      <c r="F4268" t="s">
        <v>69</v>
      </c>
    </row>
    <row r="4269" spans="1:6" x14ac:dyDescent="0.25">
      <c r="A4269" t="s">
        <v>14</v>
      </c>
      <c r="B4269" t="s">
        <v>15</v>
      </c>
      <c r="C4269" t="s">
        <v>61</v>
      </c>
      <c r="D4269">
        <v>2.29</v>
      </c>
      <c r="E4269">
        <v>2017</v>
      </c>
      <c r="F4269" t="s">
        <v>69</v>
      </c>
    </row>
    <row r="4270" spans="1:6" x14ac:dyDescent="0.25">
      <c r="A4270" t="s">
        <v>16</v>
      </c>
      <c r="B4270" t="s">
        <v>17</v>
      </c>
      <c r="C4270" t="s">
        <v>61</v>
      </c>
      <c r="D4270">
        <v>118.03</v>
      </c>
      <c r="E4270">
        <v>2017</v>
      </c>
      <c r="F4270" t="s">
        <v>69</v>
      </c>
    </row>
    <row r="4271" spans="1:6" x14ac:dyDescent="0.25">
      <c r="A4271" t="s">
        <v>18</v>
      </c>
      <c r="B4271" t="s">
        <v>19</v>
      </c>
      <c r="C4271" t="s">
        <v>61</v>
      </c>
      <c r="D4271">
        <v>58.45</v>
      </c>
      <c r="E4271">
        <v>2017</v>
      </c>
      <c r="F4271" t="s">
        <v>69</v>
      </c>
    </row>
    <row r="4272" spans="1:6" x14ac:dyDescent="0.25">
      <c r="A4272" t="s">
        <v>20</v>
      </c>
      <c r="B4272" t="s">
        <v>21</v>
      </c>
      <c r="C4272" t="s">
        <v>61</v>
      </c>
      <c r="D4272">
        <v>43.05</v>
      </c>
      <c r="E4272">
        <v>2017</v>
      </c>
      <c r="F4272" t="s">
        <v>69</v>
      </c>
    </row>
    <row r="4273" spans="1:6" x14ac:dyDescent="0.25">
      <c r="A4273" t="s">
        <v>22</v>
      </c>
      <c r="B4273" t="s">
        <v>23</v>
      </c>
      <c r="C4273" t="s">
        <v>61</v>
      </c>
      <c r="D4273">
        <v>75.900000000000006</v>
      </c>
      <c r="E4273">
        <v>2017</v>
      </c>
      <c r="F4273" t="s">
        <v>69</v>
      </c>
    </row>
    <row r="4274" spans="1:6" x14ac:dyDescent="0.25">
      <c r="A4274" t="s">
        <v>24</v>
      </c>
      <c r="B4274" t="s">
        <v>25</v>
      </c>
      <c r="C4274" t="s">
        <v>61</v>
      </c>
      <c r="D4274">
        <v>190.77</v>
      </c>
      <c r="E4274">
        <v>2017</v>
      </c>
      <c r="F4274" t="s">
        <v>69</v>
      </c>
    </row>
    <row r="4275" spans="1:6" x14ac:dyDescent="0.25">
      <c r="A4275" t="s">
        <v>26</v>
      </c>
      <c r="B4275" t="s">
        <v>27</v>
      </c>
      <c r="C4275" t="s">
        <v>61</v>
      </c>
      <c r="D4275">
        <v>120.51</v>
      </c>
      <c r="E4275">
        <v>2017</v>
      </c>
      <c r="F4275" t="s">
        <v>69</v>
      </c>
    </row>
    <row r="4276" spans="1:6" x14ac:dyDescent="0.25">
      <c r="A4276" t="s">
        <v>28</v>
      </c>
      <c r="B4276" t="s">
        <v>29</v>
      </c>
      <c r="C4276" t="s">
        <v>61</v>
      </c>
      <c r="D4276">
        <v>17.510000000000002</v>
      </c>
      <c r="E4276">
        <v>2017</v>
      </c>
      <c r="F4276" t="s">
        <v>69</v>
      </c>
    </row>
    <row r="4277" spans="1:6" x14ac:dyDescent="0.25">
      <c r="A4277" t="s">
        <v>30</v>
      </c>
      <c r="B4277" t="s">
        <v>31</v>
      </c>
      <c r="C4277" t="s">
        <v>61</v>
      </c>
      <c r="D4277">
        <v>218.46</v>
      </c>
      <c r="E4277">
        <v>2017</v>
      </c>
      <c r="F4277" t="s">
        <v>69</v>
      </c>
    </row>
    <row r="4278" spans="1:6" x14ac:dyDescent="0.25">
      <c r="A4278" t="s">
        <v>32</v>
      </c>
      <c r="B4278" t="s">
        <v>33</v>
      </c>
      <c r="C4278" t="s">
        <v>61</v>
      </c>
      <c r="D4278">
        <v>85.43</v>
      </c>
      <c r="E4278">
        <v>2017</v>
      </c>
      <c r="F4278" t="s">
        <v>69</v>
      </c>
    </row>
    <row r="4279" spans="1:6" x14ac:dyDescent="0.25">
      <c r="A4279" t="s">
        <v>34</v>
      </c>
      <c r="B4279" t="s">
        <v>35</v>
      </c>
      <c r="C4279" t="s">
        <v>61</v>
      </c>
      <c r="D4279">
        <v>234.34</v>
      </c>
      <c r="E4279">
        <v>2017</v>
      </c>
      <c r="F4279" t="s">
        <v>69</v>
      </c>
    </row>
    <row r="4280" spans="1:6" x14ac:dyDescent="0.25">
      <c r="A4280" t="s">
        <v>36</v>
      </c>
      <c r="B4280" t="s">
        <v>37</v>
      </c>
      <c r="C4280" t="s">
        <v>61</v>
      </c>
      <c r="D4280">
        <v>189.73</v>
      </c>
      <c r="E4280">
        <v>2017</v>
      </c>
      <c r="F4280" t="s">
        <v>69</v>
      </c>
    </row>
    <row r="4281" spans="1:6" x14ac:dyDescent="0.25">
      <c r="A4281" t="s">
        <v>38</v>
      </c>
      <c r="B4281" t="s">
        <v>39</v>
      </c>
      <c r="C4281" t="s">
        <v>61</v>
      </c>
      <c r="D4281">
        <v>162.4</v>
      </c>
      <c r="E4281">
        <v>2017</v>
      </c>
      <c r="F4281" t="s">
        <v>69</v>
      </c>
    </row>
    <row r="4282" spans="1:6" x14ac:dyDescent="0.25">
      <c r="A4282" t="s">
        <v>40</v>
      </c>
      <c r="B4282" t="s">
        <v>41</v>
      </c>
      <c r="C4282" t="s">
        <v>61</v>
      </c>
      <c r="D4282">
        <v>162.47</v>
      </c>
      <c r="E4282">
        <v>2017</v>
      </c>
      <c r="F4282" t="s">
        <v>69</v>
      </c>
    </row>
    <row r="4283" spans="1:6" x14ac:dyDescent="0.25">
      <c r="A4283" t="s">
        <v>42</v>
      </c>
      <c r="B4283" t="s">
        <v>43</v>
      </c>
      <c r="C4283" t="s">
        <v>61</v>
      </c>
      <c r="D4283">
        <v>15.64</v>
      </c>
      <c r="E4283">
        <v>2017</v>
      </c>
      <c r="F4283" t="s">
        <v>69</v>
      </c>
    </row>
    <row r="4284" spans="1:6" x14ac:dyDescent="0.25">
      <c r="A4284" t="s">
        <v>44</v>
      </c>
      <c r="B4284" t="s">
        <v>45</v>
      </c>
      <c r="C4284" t="s">
        <v>61</v>
      </c>
      <c r="D4284">
        <v>95.98</v>
      </c>
      <c r="E4284">
        <v>2017</v>
      </c>
      <c r="F4284" t="s">
        <v>69</v>
      </c>
    </row>
    <row r="4285" spans="1:6" x14ac:dyDescent="0.25">
      <c r="A4285" t="s">
        <v>46</v>
      </c>
      <c r="B4285" t="s">
        <v>47</v>
      </c>
      <c r="C4285" t="s">
        <v>61</v>
      </c>
      <c r="D4285">
        <v>36.51</v>
      </c>
      <c r="E4285">
        <v>2017</v>
      </c>
      <c r="F4285" t="s">
        <v>69</v>
      </c>
    </row>
    <row r="4286" spans="1:6" x14ac:dyDescent="0.25">
      <c r="A4286" t="s">
        <v>48</v>
      </c>
      <c r="B4286" t="s">
        <v>49</v>
      </c>
      <c r="C4286" t="s">
        <v>61</v>
      </c>
      <c r="D4286">
        <v>70.59</v>
      </c>
      <c r="E4286">
        <v>2017</v>
      </c>
      <c r="F4286" t="s">
        <v>69</v>
      </c>
    </row>
    <row r="4287" spans="1:6" x14ac:dyDescent="0.25">
      <c r="A4287" t="s">
        <v>50</v>
      </c>
      <c r="B4287" t="s">
        <v>51</v>
      </c>
      <c r="C4287" t="s">
        <v>61</v>
      </c>
      <c r="D4287">
        <v>24.75</v>
      </c>
      <c r="E4287">
        <v>2017</v>
      </c>
      <c r="F4287" t="s">
        <v>69</v>
      </c>
    </row>
    <row r="4288" spans="1:6" x14ac:dyDescent="0.25">
      <c r="A4288" t="s">
        <v>52</v>
      </c>
      <c r="B4288" t="s">
        <v>53</v>
      </c>
      <c r="C4288" t="s">
        <v>61</v>
      </c>
      <c r="D4288">
        <v>84.92</v>
      </c>
      <c r="E4288">
        <v>2017</v>
      </c>
      <c r="F4288" t="s">
        <v>69</v>
      </c>
    </row>
    <row r="4289" spans="1:6" x14ac:dyDescent="0.25">
      <c r="A4289" t="s">
        <v>54</v>
      </c>
      <c r="B4289" t="s">
        <v>55</v>
      </c>
      <c r="C4289" t="s">
        <v>61</v>
      </c>
      <c r="D4289">
        <v>40.729999999999997</v>
      </c>
      <c r="E4289">
        <v>2017</v>
      </c>
      <c r="F4289" t="s">
        <v>69</v>
      </c>
    </row>
    <row r="4290" spans="1:6" x14ac:dyDescent="0.25">
      <c r="A4290" t="s">
        <v>56</v>
      </c>
      <c r="B4290" t="s">
        <v>57</v>
      </c>
      <c r="C4290" t="s">
        <v>61</v>
      </c>
      <c r="D4290">
        <v>57.51</v>
      </c>
      <c r="E4290">
        <v>2017</v>
      </c>
      <c r="F4290" t="s">
        <v>69</v>
      </c>
    </row>
    <row r="4291" spans="1:6" x14ac:dyDescent="0.25">
      <c r="A4291" t="s">
        <v>58</v>
      </c>
      <c r="B4291" t="s">
        <v>59</v>
      </c>
      <c r="C4291" t="s">
        <v>61</v>
      </c>
      <c r="E4291">
        <v>2017</v>
      </c>
      <c r="F4291" t="s">
        <v>69</v>
      </c>
    </row>
    <row r="4292" spans="1:6" x14ac:dyDescent="0.25">
      <c r="A4292" t="s">
        <v>6</v>
      </c>
      <c r="B4292" t="s">
        <v>7</v>
      </c>
      <c r="C4292" t="s">
        <v>65</v>
      </c>
      <c r="D4292">
        <v>29451.200000000001</v>
      </c>
      <c r="E4292">
        <v>2017</v>
      </c>
      <c r="F4292" t="s">
        <v>69</v>
      </c>
    </row>
    <row r="4293" spans="1:6" x14ac:dyDescent="0.25">
      <c r="A4293" t="s">
        <v>10</v>
      </c>
      <c r="B4293" t="s">
        <v>11</v>
      </c>
      <c r="C4293" t="s">
        <v>65</v>
      </c>
      <c r="D4293">
        <v>3321.28</v>
      </c>
      <c r="E4293">
        <v>2017</v>
      </c>
      <c r="F4293" t="s">
        <v>69</v>
      </c>
    </row>
    <row r="4294" spans="1:6" x14ac:dyDescent="0.25">
      <c r="A4294" t="s">
        <v>12</v>
      </c>
      <c r="B4294" t="s">
        <v>13</v>
      </c>
      <c r="C4294" t="s">
        <v>65</v>
      </c>
      <c r="D4294">
        <v>818.51</v>
      </c>
      <c r="E4294">
        <v>2017</v>
      </c>
      <c r="F4294" t="s">
        <v>69</v>
      </c>
    </row>
    <row r="4295" spans="1:6" x14ac:dyDescent="0.25">
      <c r="A4295" t="s">
        <v>14</v>
      </c>
      <c r="B4295" t="s">
        <v>15</v>
      </c>
      <c r="C4295" t="s">
        <v>65</v>
      </c>
      <c r="D4295">
        <v>20.84</v>
      </c>
      <c r="E4295">
        <v>2017</v>
      </c>
      <c r="F4295" t="s">
        <v>69</v>
      </c>
    </row>
    <row r="4296" spans="1:6" x14ac:dyDescent="0.25">
      <c r="A4296" t="s">
        <v>16</v>
      </c>
      <c r="B4296" t="s">
        <v>17</v>
      </c>
      <c r="C4296" t="s">
        <v>65</v>
      </c>
      <c r="D4296">
        <v>1768.42</v>
      </c>
      <c r="E4296">
        <v>2017</v>
      </c>
      <c r="F4296" t="s">
        <v>69</v>
      </c>
    </row>
    <row r="4297" spans="1:6" x14ac:dyDescent="0.25">
      <c r="A4297" t="s">
        <v>18</v>
      </c>
      <c r="B4297" t="s">
        <v>19</v>
      </c>
      <c r="C4297" t="s">
        <v>65</v>
      </c>
      <c r="D4297">
        <v>714.15</v>
      </c>
      <c r="E4297">
        <v>2017</v>
      </c>
      <c r="F4297" t="s">
        <v>69</v>
      </c>
    </row>
    <row r="4298" spans="1:6" x14ac:dyDescent="0.25">
      <c r="A4298" t="s">
        <v>20</v>
      </c>
      <c r="B4298" t="s">
        <v>21</v>
      </c>
      <c r="C4298" t="s">
        <v>65</v>
      </c>
      <c r="D4298">
        <v>297.49</v>
      </c>
      <c r="E4298">
        <v>2017</v>
      </c>
      <c r="F4298" t="s">
        <v>69</v>
      </c>
    </row>
    <row r="4299" spans="1:6" x14ac:dyDescent="0.25">
      <c r="A4299" t="s">
        <v>22</v>
      </c>
      <c r="B4299" t="s">
        <v>23</v>
      </c>
      <c r="C4299" t="s">
        <v>65</v>
      </c>
      <c r="D4299">
        <v>172.21</v>
      </c>
      <c r="E4299">
        <v>2017</v>
      </c>
      <c r="F4299" t="s">
        <v>69</v>
      </c>
    </row>
    <row r="4300" spans="1:6" x14ac:dyDescent="0.25">
      <c r="A4300" t="s">
        <v>24</v>
      </c>
      <c r="B4300" t="s">
        <v>25</v>
      </c>
      <c r="C4300" t="s">
        <v>65</v>
      </c>
      <c r="D4300">
        <v>661.18</v>
      </c>
      <c r="E4300">
        <v>2017</v>
      </c>
      <c r="F4300" t="s">
        <v>69</v>
      </c>
    </row>
    <row r="4301" spans="1:6" x14ac:dyDescent="0.25">
      <c r="A4301" t="s">
        <v>26</v>
      </c>
      <c r="B4301" t="s">
        <v>27</v>
      </c>
      <c r="C4301" t="s">
        <v>65</v>
      </c>
      <c r="D4301">
        <v>121.11</v>
      </c>
      <c r="E4301">
        <v>2017</v>
      </c>
      <c r="F4301" t="s">
        <v>69</v>
      </c>
    </row>
    <row r="4302" spans="1:6" x14ac:dyDescent="0.25">
      <c r="A4302" t="s">
        <v>28</v>
      </c>
      <c r="B4302" t="s">
        <v>29</v>
      </c>
      <c r="C4302" t="s">
        <v>65</v>
      </c>
      <c r="D4302">
        <v>733.94</v>
      </c>
      <c r="E4302">
        <v>2017</v>
      </c>
      <c r="F4302" t="s">
        <v>69</v>
      </c>
    </row>
    <row r="4303" spans="1:6" x14ac:dyDescent="0.25">
      <c r="A4303" t="s">
        <v>30</v>
      </c>
      <c r="B4303" t="s">
        <v>31</v>
      </c>
      <c r="C4303" t="s">
        <v>65</v>
      </c>
      <c r="D4303">
        <v>2188.56</v>
      </c>
      <c r="E4303">
        <v>2017</v>
      </c>
      <c r="F4303" t="s">
        <v>69</v>
      </c>
    </row>
    <row r="4304" spans="1:6" x14ac:dyDescent="0.25">
      <c r="A4304" t="s">
        <v>32</v>
      </c>
      <c r="B4304" t="s">
        <v>33</v>
      </c>
      <c r="C4304" t="s">
        <v>65</v>
      </c>
      <c r="D4304">
        <v>671.5</v>
      </c>
      <c r="E4304">
        <v>2017</v>
      </c>
      <c r="F4304" t="s">
        <v>69</v>
      </c>
    </row>
    <row r="4305" spans="1:6" x14ac:dyDescent="0.25">
      <c r="A4305" t="s">
        <v>34</v>
      </c>
      <c r="B4305" t="s">
        <v>35</v>
      </c>
      <c r="C4305" t="s">
        <v>65</v>
      </c>
      <c r="D4305">
        <v>1602.86</v>
      </c>
      <c r="E4305">
        <v>2017</v>
      </c>
      <c r="F4305" t="s">
        <v>69</v>
      </c>
    </row>
    <row r="4306" spans="1:6" x14ac:dyDescent="0.25">
      <c r="A4306" t="s">
        <v>36</v>
      </c>
      <c r="B4306" t="s">
        <v>37</v>
      </c>
      <c r="C4306" t="s">
        <v>65</v>
      </c>
      <c r="D4306">
        <v>1491.5</v>
      </c>
      <c r="E4306">
        <v>2017</v>
      </c>
      <c r="F4306" t="s">
        <v>69</v>
      </c>
    </row>
    <row r="4307" spans="1:6" x14ac:dyDescent="0.25">
      <c r="A4307" t="s">
        <v>38</v>
      </c>
      <c r="B4307" t="s">
        <v>39</v>
      </c>
      <c r="C4307" t="s">
        <v>65</v>
      </c>
      <c r="D4307">
        <v>1219.1300000000001</v>
      </c>
      <c r="E4307">
        <v>2017</v>
      </c>
      <c r="F4307" t="s">
        <v>69</v>
      </c>
    </row>
    <row r="4308" spans="1:6" x14ac:dyDescent="0.25">
      <c r="A4308" t="s">
        <v>40</v>
      </c>
      <c r="B4308" t="s">
        <v>41</v>
      </c>
      <c r="C4308" t="s">
        <v>65</v>
      </c>
      <c r="D4308">
        <v>1621.38</v>
      </c>
      <c r="E4308">
        <v>2017</v>
      </c>
      <c r="F4308" t="s">
        <v>69</v>
      </c>
    </row>
    <row r="4309" spans="1:6" x14ac:dyDescent="0.25">
      <c r="A4309" t="s">
        <v>42</v>
      </c>
      <c r="B4309" t="s">
        <v>43</v>
      </c>
      <c r="C4309" t="s">
        <v>65</v>
      </c>
      <c r="D4309">
        <v>2876.37</v>
      </c>
      <c r="E4309">
        <v>2017</v>
      </c>
      <c r="F4309" t="s">
        <v>69</v>
      </c>
    </row>
    <row r="4310" spans="1:6" x14ac:dyDescent="0.25">
      <c r="A4310" t="s">
        <v>44</v>
      </c>
      <c r="B4310" t="s">
        <v>45</v>
      </c>
      <c r="C4310" t="s">
        <v>65</v>
      </c>
      <c r="D4310">
        <v>3789.89</v>
      </c>
      <c r="E4310">
        <v>2017</v>
      </c>
      <c r="F4310" t="s">
        <v>69</v>
      </c>
    </row>
    <row r="4311" spans="1:6" x14ac:dyDescent="0.25">
      <c r="A4311" t="s">
        <v>46</v>
      </c>
      <c r="B4311" t="s">
        <v>47</v>
      </c>
      <c r="C4311" t="s">
        <v>65</v>
      </c>
      <c r="D4311">
        <v>3451.56</v>
      </c>
      <c r="E4311">
        <v>2017</v>
      </c>
      <c r="F4311" t="s">
        <v>69</v>
      </c>
    </row>
    <row r="4312" spans="1:6" x14ac:dyDescent="0.25">
      <c r="A4312" t="s">
        <v>48</v>
      </c>
      <c r="B4312" t="s">
        <v>49</v>
      </c>
      <c r="C4312" t="s">
        <v>65</v>
      </c>
      <c r="D4312">
        <v>1527.19</v>
      </c>
      <c r="E4312">
        <v>2017</v>
      </c>
      <c r="F4312" t="s">
        <v>69</v>
      </c>
    </row>
    <row r="4313" spans="1:6" x14ac:dyDescent="0.25">
      <c r="A4313" t="s">
        <v>50</v>
      </c>
      <c r="B4313" t="s">
        <v>51</v>
      </c>
      <c r="C4313" t="s">
        <v>65</v>
      </c>
      <c r="D4313">
        <v>107.25</v>
      </c>
      <c r="E4313">
        <v>2017</v>
      </c>
      <c r="F4313" t="s">
        <v>69</v>
      </c>
    </row>
    <row r="4314" spans="1:6" x14ac:dyDescent="0.25">
      <c r="A4314" t="s">
        <v>52</v>
      </c>
      <c r="B4314" t="s">
        <v>53</v>
      </c>
      <c r="C4314" t="s">
        <v>65</v>
      </c>
      <c r="D4314">
        <v>171.55</v>
      </c>
      <c r="E4314">
        <v>2017</v>
      </c>
      <c r="F4314" t="s">
        <v>69</v>
      </c>
    </row>
    <row r="4315" spans="1:6" x14ac:dyDescent="0.25">
      <c r="A4315" t="s">
        <v>54</v>
      </c>
      <c r="B4315" t="s">
        <v>55</v>
      </c>
      <c r="C4315" t="s">
        <v>65</v>
      </c>
      <c r="D4315">
        <v>103.33</v>
      </c>
      <c r="E4315">
        <v>2017</v>
      </c>
      <c r="F4315" t="s">
        <v>69</v>
      </c>
    </row>
    <row r="4316" spans="1:6" x14ac:dyDescent="0.25">
      <c r="A4316" t="s">
        <v>56</v>
      </c>
      <c r="B4316" t="s">
        <v>57</v>
      </c>
      <c r="C4316" t="s">
        <v>65</v>
      </c>
      <c r="E4316">
        <v>2017</v>
      </c>
      <c r="F4316" t="s">
        <v>69</v>
      </c>
    </row>
    <row r="4317" spans="1:6" x14ac:dyDescent="0.25">
      <c r="A4317" t="s">
        <v>58</v>
      </c>
      <c r="B4317" t="s">
        <v>59</v>
      </c>
      <c r="C4317" t="s">
        <v>65</v>
      </c>
      <c r="E4317">
        <v>2017</v>
      </c>
      <c r="F4317" t="s">
        <v>69</v>
      </c>
    </row>
    <row r="4318" spans="1:6" x14ac:dyDescent="0.25">
      <c r="A4318" t="s">
        <v>6</v>
      </c>
      <c r="B4318" t="s">
        <v>7</v>
      </c>
      <c r="C4318" t="s">
        <v>62</v>
      </c>
      <c r="D4318">
        <v>8298.9500000000007</v>
      </c>
      <c r="E4318">
        <v>2017</v>
      </c>
      <c r="F4318" t="s">
        <v>69</v>
      </c>
    </row>
    <row r="4319" spans="1:6" x14ac:dyDescent="0.25">
      <c r="A4319" t="s">
        <v>10</v>
      </c>
      <c r="B4319" t="s">
        <v>11</v>
      </c>
      <c r="C4319" t="s">
        <v>62</v>
      </c>
      <c r="D4319">
        <v>3080.1</v>
      </c>
      <c r="E4319">
        <v>2017</v>
      </c>
      <c r="F4319" t="s">
        <v>69</v>
      </c>
    </row>
    <row r="4320" spans="1:6" x14ac:dyDescent="0.25">
      <c r="A4320" t="s">
        <v>12</v>
      </c>
      <c r="B4320" t="s">
        <v>13</v>
      </c>
      <c r="C4320" t="s">
        <v>62</v>
      </c>
      <c r="D4320">
        <v>319.54000000000002</v>
      </c>
      <c r="E4320">
        <v>2017</v>
      </c>
      <c r="F4320" t="s">
        <v>69</v>
      </c>
    </row>
    <row r="4321" spans="1:6" x14ac:dyDescent="0.25">
      <c r="A4321" t="s">
        <v>14</v>
      </c>
      <c r="B4321" t="s">
        <v>15</v>
      </c>
      <c r="C4321" t="s">
        <v>62</v>
      </c>
      <c r="E4321">
        <v>2017</v>
      </c>
      <c r="F4321" t="s">
        <v>69</v>
      </c>
    </row>
    <row r="4322" spans="1:6" x14ac:dyDescent="0.25">
      <c r="A4322" t="s">
        <v>16</v>
      </c>
      <c r="B4322" t="s">
        <v>17</v>
      </c>
      <c r="C4322" t="s">
        <v>62</v>
      </c>
      <c r="D4322">
        <v>332.59</v>
      </c>
      <c r="E4322">
        <v>2017</v>
      </c>
      <c r="F4322" t="s">
        <v>69</v>
      </c>
    </row>
    <row r="4323" spans="1:6" x14ac:dyDescent="0.25">
      <c r="A4323" t="s">
        <v>18</v>
      </c>
      <c r="B4323" t="s">
        <v>19</v>
      </c>
      <c r="C4323" t="s">
        <v>62</v>
      </c>
      <c r="D4323">
        <v>421.88</v>
      </c>
      <c r="E4323">
        <v>2017</v>
      </c>
      <c r="F4323" t="s">
        <v>69</v>
      </c>
    </row>
    <row r="4324" spans="1:6" x14ac:dyDescent="0.25">
      <c r="A4324" t="s">
        <v>20</v>
      </c>
      <c r="B4324" t="s">
        <v>21</v>
      </c>
      <c r="C4324" t="s">
        <v>62</v>
      </c>
      <c r="D4324">
        <v>59.88</v>
      </c>
      <c r="E4324">
        <v>2017</v>
      </c>
      <c r="F4324" t="s">
        <v>69</v>
      </c>
    </row>
    <row r="4325" spans="1:6" x14ac:dyDescent="0.25">
      <c r="A4325" t="s">
        <v>22</v>
      </c>
      <c r="B4325" t="s">
        <v>23</v>
      </c>
      <c r="C4325" t="s">
        <v>62</v>
      </c>
      <c r="D4325">
        <v>45.03</v>
      </c>
      <c r="E4325">
        <v>2017</v>
      </c>
      <c r="F4325" t="s">
        <v>69</v>
      </c>
    </row>
    <row r="4326" spans="1:6" x14ac:dyDescent="0.25">
      <c r="A4326" t="s">
        <v>24</v>
      </c>
      <c r="B4326" t="s">
        <v>25</v>
      </c>
      <c r="C4326" t="s">
        <v>62</v>
      </c>
      <c r="D4326">
        <v>126.19</v>
      </c>
      <c r="E4326">
        <v>2017</v>
      </c>
      <c r="F4326" t="s">
        <v>69</v>
      </c>
    </row>
    <row r="4327" spans="1:6" x14ac:dyDescent="0.25">
      <c r="A4327" t="s">
        <v>26</v>
      </c>
      <c r="B4327" t="s">
        <v>27</v>
      </c>
      <c r="C4327" t="s">
        <v>62</v>
      </c>
      <c r="D4327">
        <v>157.22999999999999</v>
      </c>
      <c r="E4327">
        <v>2017</v>
      </c>
      <c r="F4327" t="s">
        <v>69</v>
      </c>
    </row>
    <row r="4328" spans="1:6" x14ac:dyDescent="0.25">
      <c r="A4328" t="s">
        <v>28</v>
      </c>
      <c r="B4328" t="s">
        <v>29</v>
      </c>
      <c r="C4328" t="s">
        <v>62</v>
      </c>
      <c r="D4328">
        <v>229.47</v>
      </c>
      <c r="E4328">
        <v>2017</v>
      </c>
      <c r="F4328" t="s">
        <v>69</v>
      </c>
    </row>
    <row r="4329" spans="1:6" x14ac:dyDescent="0.25">
      <c r="A4329" t="s">
        <v>30</v>
      </c>
      <c r="B4329" t="s">
        <v>31</v>
      </c>
      <c r="C4329" t="s">
        <v>62</v>
      </c>
      <c r="D4329">
        <v>642.57000000000005</v>
      </c>
      <c r="E4329">
        <v>2017</v>
      </c>
      <c r="F4329" t="s">
        <v>69</v>
      </c>
    </row>
    <row r="4330" spans="1:6" x14ac:dyDescent="0.25">
      <c r="A4330" t="s">
        <v>32</v>
      </c>
      <c r="B4330" t="s">
        <v>33</v>
      </c>
      <c r="C4330" t="s">
        <v>62</v>
      </c>
      <c r="D4330">
        <v>289.52</v>
      </c>
      <c r="E4330">
        <v>2017</v>
      </c>
      <c r="F4330" t="s">
        <v>69</v>
      </c>
    </row>
    <row r="4331" spans="1:6" x14ac:dyDescent="0.25">
      <c r="A4331" t="s">
        <v>34</v>
      </c>
      <c r="B4331" t="s">
        <v>35</v>
      </c>
      <c r="C4331" t="s">
        <v>62</v>
      </c>
      <c r="D4331">
        <v>551.66</v>
      </c>
      <c r="E4331">
        <v>2017</v>
      </c>
      <c r="F4331" t="s">
        <v>69</v>
      </c>
    </row>
    <row r="4332" spans="1:6" x14ac:dyDescent="0.25">
      <c r="A4332" t="s">
        <v>36</v>
      </c>
      <c r="B4332" t="s">
        <v>37</v>
      </c>
      <c r="C4332" t="s">
        <v>62</v>
      </c>
      <c r="D4332">
        <v>553.33000000000004</v>
      </c>
      <c r="E4332">
        <v>2017</v>
      </c>
      <c r="F4332" t="s">
        <v>69</v>
      </c>
    </row>
    <row r="4333" spans="1:6" x14ac:dyDescent="0.25">
      <c r="A4333" t="s">
        <v>38</v>
      </c>
      <c r="B4333" t="s">
        <v>39</v>
      </c>
      <c r="C4333" t="s">
        <v>62</v>
      </c>
      <c r="D4333">
        <v>297.32</v>
      </c>
      <c r="E4333">
        <v>2017</v>
      </c>
      <c r="F4333" t="s">
        <v>69</v>
      </c>
    </row>
    <row r="4334" spans="1:6" x14ac:dyDescent="0.25">
      <c r="A4334" t="s">
        <v>40</v>
      </c>
      <c r="B4334" t="s">
        <v>41</v>
      </c>
      <c r="C4334" t="s">
        <v>62</v>
      </c>
      <c r="D4334">
        <v>446.53</v>
      </c>
      <c r="E4334">
        <v>2017</v>
      </c>
      <c r="F4334" t="s">
        <v>69</v>
      </c>
    </row>
    <row r="4335" spans="1:6" x14ac:dyDescent="0.25">
      <c r="A4335" t="s">
        <v>42</v>
      </c>
      <c r="B4335" t="s">
        <v>43</v>
      </c>
      <c r="C4335" t="s">
        <v>62</v>
      </c>
      <c r="D4335">
        <v>10.65</v>
      </c>
      <c r="E4335">
        <v>2017</v>
      </c>
      <c r="F4335" t="s">
        <v>69</v>
      </c>
    </row>
    <row r="4336" spans="1:6" x14ac:dyDescent="0.25">
      <c r="A4336" t="s">
        <v>44</v>
      </c>
      <c r="B4336" t="s">
        <v>45</v>
      </c>
      <c r="C4336" t="s">
        <v>62</v>
      </c>
      <c r="D4336">
        <v>113.51</v>
      </c>
      <c r="E4336">
        <v>2017</v>
      </c>
      <c r="F4336" t="s">
        <v>69</v>
      </c>
    </row>
    <row r="4337" spans="1:6" x14ac:dyDescent="0.25">
      <c r="A4337" t="s">
        <v>46</v>
      </c>
      <c r="B4337" t="s">
        <v>47</v>
      </c>
      <c r="C4337" t="s">
        <v>62</v>
      </c>
      <c r="D4337">
        <v>130.55000000000001</v>
      </c>
      <c r="E4337">
        <v>2017</v>
      </c>
      <c r="F4337" t="s">
        <v>69</v>
      </c>
    </row>
    <row r="4338" spans="1:6" x14ac:dyDescent="0.25">
      <c r="A4338" t="s">
        <v>48</v>
      </c>
      <c r="B4338" t="s">
        <v>49</v>
      </c>
      <c r="C4338" t="s">
        <v>62</v>
      </c>
      <c r="D4338">
        <v>61.13</v>
      </c>
      <c r="E4338">
        <v>2017</v>
      </c>
      <c r="F4338" t="s">
        <v>69</v>
      </c>
    </row>
    <row r="4339" spans="1:6" x14ac:dyDescent="0.25">
      <c r="A4339" t="s">
        <v>50</v>
      </c>
      <c r="B4339" t="s">
        <v>51</v>
      </c>
      <c r="C4339" t="s">
        <v>62</v>
      </c>
      <c r="D4339">
        <v>32.549999999999997</v>
      </c>
      <c r="E4339">
        <v>2017</v>
      </c>
      <c r="F4339" t="s">
        <v>69</v>
      </c>
    </row>
    <row r="4340" spans="1:6" x14ac:dyDescent="0.25">
      <c r="A4340" t="s">
        <v>52</v>
      </c>
      <c r="B4340" t="s">
        <v>53</v>
      </c>
      <c r="C4340" t="s">
        <v>62</v>
      </c>
      <c r="D4340">
        <v>84.06</v>
      </c>
      <c r="E4340">
        <v>2017</v>
      </c>
      <c r="F4340" t="s">
        <v>69</v>
      </c>
    </row>
    <row r="4341" spans="1:6" x14ac:dyDescent="0.25">
      <c r="A4341" t="s">
        <v>54</v>
      </c>
      <c r="B4341" t="s">
        <v>55</v>
      </c>
      <c r="C4341" t="s">
        <v>62</v>
      </c>
      <c r="D4341">
        <v>162.36000000000001</v>
      </c>
      <c r="E4341">
        <v>2017</v>
      </c>
      <c r="F4341" t="s">
        <v>69</v>
      </c>
    </row>
    <row r="4342" spans="1:6" x14ac:dyDescent="0.25">
      <c r="A4342" t="s">
        <v>56</v>
      </c>
      <c r="B4342" t="s">
        <v>57</v>
      </c>
      <c r="C4342" t="s">
        <v>62</v>
      </c>
      <c r="D4342">
        <v>151.30000000000001</v>
      </c>
      <c r="E4342">
        <v>2017</v>
      </c>
      <c r="F4342" t="s">
        <v>69</v>
      </c>
    </row>
    <row r="4343" spans="1:6" x14ac:dyDescent="0.25">
      <c r="A4343" t="s">
        <v>58</v>
      </c>
      <c r="B4343" t="s">
        <v>59</v>
      </c>
      <c r="C4343" t="s">
        <v>62</v>
      </c>
      <c r="E4343">
        <v>2017</v>
      </c>
      <c r="F4343" t="s">
        <v>69</v>
      </c>
    </row>
    <row r="4344" spans="1:6" x14ac:dyDescent="0.25">
      <c r="A4344" t="s">
        <v>6</v>
      </c>
      <c r="B4344" t="s">
        <v>7</v>
      </c>
      <c r="C4344" t="s">
        <v>66</v>
      </c>
      <c r="D4344">
        <v>1935.37</v>
      </c>
      <c r="E4344">
        <v>2017</v>
      </c>
      <c r="F4344" t="s">
        <v>69</v>
      </c>
    </row>
    <row r="4345" spans="1:6" x14ac:dyDescent="0.25">
      <c r="A4345" t="s">
        <v>10</v>
      </c>
      <c r="B4345" t="s">
        <v>11</v>
      </c>
      <c r="C4345" t="s">
        <v>66</v>
      </c>
      <c r="D4345">
        <v>874.73</v>
      </c>
      <c r="E4345">
        <v>2017</v>
      </c>
      <c r="F4345" t="s">
        <v>69</v>
      </c>
    </row>
    <row r="4346" spans="1:6" x14ac:dyDescent="0.25">
      <c r="A4346" t="s">
        <v>12</v>
      </c>
      <c r="B4346" t="s">
        <v>13</v>
      </c>
      <c r="C4346" t="s">
        <v>66</v>
      </c>
      <c r="D4346">
        <v>110.31</v>
      </c>
      <c r="E4346">
        <v>2017</v>
      </c>
      <c r="F4346" t="s">
        <v>69</v>
      </c>
    </row>
    <row r="4347" spans="1:6" x14ac:dyDescent="0.25">
      <c r="A4347" t="s">
        <v>14</v>
      </c>
      <c r="B4347" t="s">
        <v>15</v>
      </c>
      <c r="C4347" t="s">
        <v>66</v>
      </c>
      <c r="E4347">
        <v>2017</v>
      </c>
      <c r="F4347" t="s">
        <v>69</v>
      </c>
    </row>
    <row r="4348" spans="1:6" x14ac:dyDescent="0.25">
      <c r="A4348" t="s">
        <v>16</v>
      </c>
      <c r="B4348" t="s">
        <v>17</v>
      </c>
      <c r="C4348" t="s">
        <v>66</v>
      </c>
      <c r="D4348">
        <v>26.92</v>
      </c>
      <c r="E4348">
        <v>2017</v>
      </c>
      <c r="F4348" t="s">
        <v>69</v>
      </c>
    </row>
    <row r="4349" spans="1:6" x14ac:dyDescent="0.25">
      <c r="A4349" t="s">
        <v>18</v>
      </c>
      <c r="B4349" t="s">
        <v>19</v>
      </c>
      <c r="C4349" t="s">
        <v>66</v>
      </c>
      <c r="D4349">
        <v>19.04</v>
      </c>
      <c r="E4349">
        <v>2017</v>
      </c>
      <c r="F4349" t="s">
        <v>69</v>
      </c>
    </row>
    <row r="4350" spans="1:6" x14ac:dyDescent="0.25">
      <c r="A4350" t="s">
        <v>20</v>
      </c>
      <c r="B4350" t="s">
        <v>21</v>
      </c>
      <c r="C4350" t="s">
        <v>66</v>
      </c>
      <c r="D4350">
        <v>64.5</v>
      </c>
      <c r="E4350">
        <v>2017</v>
      </c>
      <c r="F4350" t="s">
        <v>69</v>
      </c>
    </row>
    <row r="4351" spans="1:6" x14ac:dyDescent="0.25">
      <c r="A4351" t="s">
        <v>22</v>
      </c>
      <c r="B4351" t="s">
        <v>23</v>
      </c>
      <c r="C4351" t="s">
        <v>66</v>
      </c>
      <c r="D4351">
        <v>34.68</v>
      </c>
      <c r="E4351">
        <v>2017</v>
      </c>
      <c r="F4351" t="s">
        <v>69</v>
      </c>
    </row>
    <row r="4352" spans="1:6" x14ac:dyDescent="0.25">
      <c r="A4352" t="s">
        <v>24</v>
      </c>
      <c r="B4352" t="s">
        <v>25</v>
      </c>
      <c r="C4352" t="s">
        <v>66</v>
      </c>
      <c r="D4352">
        <v>62.27</v>
      </c>
      <c r="E4352">
        <v>2017</v>
      </c>
      <c r="F4352" t="s">
        <v>69</v>
      </c>
    </row>
    <row r="4353" spans="1:6" x14ac:dyDescent="0.25">
      <c r="A4353" t="s">
        <v>26</v>
      </c>
      <c r="B4353" t="s">
        <v>27</v>
      </c>
      <c r="C4353" t="s">
        <v>66</v>
      </c>
      <c r="D4353">
        <v>41.25</v>
      </c>
      <c r="E4353">
        <v>2017</v>
      </c>
      <c r="F4353" t="s">
        <v>69</v>
      </c>
    </row>
    <row r="4354" spans="1:6" x14ac:dyDescent="0.25">
      <c r="A4354" t="s">
        <v>28</v>
      </c>
      <c r="B4354" t="s">
        <v>29</v>
      </c>
      <c r="C4354" t="s">
        <v>66</v>
      </c>
      <c r="D4354">
        <v>42.27</v>
      </c>
      <c r="E4354">
        <v>2017</v>
      </c>
      <c r="F4354" t="s">
        <v>69</v>
      </c>
    </row>
    <row r="4355" spans="1:6" x14ac:dyDescent="0.25">
      <c r="A4355" t="s">
        <v>30</v>
      </c>
      <c r="B4355" t="s">
        <v>31</v>
      </c>
      <c r="C4355" t="s">
        <v>66</v>
      </c>
      <c r="D4355">
        <v>140.82</v>
      </c>
      <c r="E4355">
        <v>2017</v>
      </c>
      <c r="F4355" t="s">
        <v>69</v>
      </c>
    </row>
    <row r="4356" spans="1:6" x14ac:dyDescent="0.25">
      <c r="A4356" t="s">
        <v>32</v>
      </c>
      <c r="B4356" t="s">
        <v>33</v>
      </c>
      <c r="C4356" t="s">
        <v>66</v>
      </c>
      <c r="D4356">
        <v>143.65</v>
      </c>
      <c r="E4356">
        <v>2017</v>
      </c>
      <c r="F4356" t="s">
        <v>69</v>
      </c>
    </row>
    <row r="4357" spans="1:6" x14ac:dyDescent="0.25">
      <c r="A4357" t="s">
        <v>34</v>
      </c>
      <c r="B4357" t="s">
        <v>35</v>
      </c>
      <c r="C4357" t="s">
        <v>66</v>
      </c>
      <c r="D4357">
        <v>70.14</v>
      </c>
      <c r="E4357">
        <v>2017</v>
      </c>
      <c r="F4357" t="s">
        <v>69</v>
      </c>
    </row>
    <row r="4358" spans="1:6" x14ac:dyDescent="0.25">
      <c r="A4358" t="s">
        <v>36</v>
      </c>
      <c r="B4358" t="s">
        <v>37</v>
      </c>
      <c r="C4358" t="s">
        <v>66</v>
      </c>
      <c r="D4358">
        <v>71.5</v>
      </c>
      <c r="E4358">
        <v>2017</v>
      </c>
      <c r="F4358" t="s">
        <v>69</v>
      </c>
    </row>
    <row r="4359" spans="1:6" x14ac:dyDescent="0.25">
      <c r="A4359" t="s">
        <v>38</v>
      </c>
      <c r="B4359" t="s">
        <v>39</v>
      </c>
      <c r="C4359" t="s">
        <v>66</v>
      </c>
      <c r="D4359">
        <v>16.03</v>
      </c>
      <c r="E4359">
        <v>2017</v>
      </c>
      <c r="F4359" t="s">
        <v>69</v>
      </c>
    </row>
    <row r="4360" spans="1:6" x14ac:dyDescent="0.25">
      <c r="A4360" t="s">
        <v>40</v>
      </c>
      <c r="B4360" t="s">
        <v>41</v>
      </c>
      <c r="C4360" t="s">
        <v>66</v>
      </c>
      <c r="D4360">
        <v>57.14</v>
      </c>
      <c r="E4360">
        <v>2017</v>
      </c>
      <c r="F4360" t="s">
        <v>69</v>
      </c>
    </row>
    <row r="4361" spans="1:6" x14ac:dyDescent="0.25">
      <c r="A4361" t="s">
        <v>42</v>
      </c>
      <c r="B4361" t="s">
        <v>43</v>
      </c>
      <c r="C4361" t="s">
        <v>66</v>
      </c>
      <c r="D4361">
        <v>0.86</v>
      </c>
      <c r="E4361">
        <v>2017</v>
      </c>
      <c r="F4361" t="s">
        <v>69</v>
      </c>
    </row>
    <row r="4362" spans="1:6" x14ac:dyDescent="0.25">
      <c r="A4362" t="s">
        <v>44</v>
      </c>
      <c r="B4362" t="s">
        <v>45</v>
      </c>
      <c r="C4362" t="s">
        <v>66</v>
      </c>
      <c r="D4362">
        <v>18.27</v>
      </c>
      <c r="E4362">
        <v>2017</v>
      </c>
      <c r="F4362" t="s">
        <v>69</v>
      </c>
    </row>
    <row r="4363" spans="1:6" x14ac:dyDescent="0.25">
      <c r="A4363" t="s">
        <v>46</v>
      </c>
      <c r="B4363" t="s">
        <v>47</v>
      </c>
      <c r="C4363" t="s">
        <v>66</v>
      </c>
      <c r="D4363">
        <v>2.31</v>
      </c>
      <c r="E4363">
        <v>2017</v>
      </c>
      <c r="F4363" t="s">
        <v>69</v>
      </c>
    </row>
    <row r="4364" spans="1:6" x14ac:dyDescent="0.25">
      <c r="A4364" t="s">
        <v>48</v>
      </c>
      <c r="B4364" t="s">
        <v>49</v>
      </c>
      <c r="C4364" t="s">
        <v>66</v>
      </c>
      <c r="D4364">
        <v>50.66</v>
      </c>
      <c r="E4364">
        <v>2017</v>
      </c>
      <c r="F4364" t="s">
        <v>69</v>
      </c>
    </row>
    <row r="4365" spans="1:6" x14ac:dyDescent="0.25">
      <c r="A4365" t="s">
        <v>50</v>
      </c>
      <c r="B4365" t="s">
        <v>51</v>
      </c>
      <c r="C4365" t="s">
        <v>66</v>
      </c>
      <c r="E4365">
        <v>2017</v>
      </c>
      <c r="F4365" t="s">
        <v>69</v>
      </c>
    </row>
    <row r="4366" spans="1:6" x14ac:dyDescent="0.25">
      <c r="A4366" t="s">
        <v>52</v>
      </c>
      <c r="B4366" t="s">
        <v>53</v>
      </c>
      <c r="C4366" t="s">
        <v>66</v>
      </c>
      <c r="D4366">
        <v>21.23</v>
      </c>
      <c r="E4366">
        <v>2017</v>
      </c>
      <c r="F4366" t="s">
        <v>69</v>
      </c>
    </row>
    <row r="4367" spans="1:6" x14ac:dyDescent="0.25">
      <c r="A4367" t="s">
        <v>54</v>
      </c>
      <c r="B4367" t="s">
        <v>55</v>
      </c>
      <c r="C4367" t="s">
        <v>66</v>
      </c>
      <c r="D4367">
        <v>12.6</v>
      </c>
      <c r="E4367">
        <v>2017</v>
      </c>
      <c r="F4367" t="s">
        <v>69</v>
      </c>
    </row>
    <row r="4368" spans="1:6" x14ac:dyDescent="0.25">
      <c r="A4368" t="s">
        <v>56</v>
      </c>
      <c r="B4368" t="s">
        <v>57</v>
      </c>
      <c r="C4368" t="s">
        <v>66</v>
      </c>
      <c r="D4368">
        <v>54.19</v>
      </c>
      <c r="E4368">
        <v>2017</v>
      </c>
      <c r="F4368" t="s">
        <v>69</v>
      </c>
    </row>
    <row r="4369" spans="1:6" x14ac:dyDescent="0.25">
      <c r="A4369" t="s">
        <v>58</v>
      </c>
      <c r="B4369" t="s">
        <v>59</v>
      </c>
      <c r="C4369" t="s">
        <v>66</v>
      </c>
      <c r="E4369">
        <v>2017</v>
      </c>
      <c r="F4369" t="s">
        <v>69</v>
      </c>
    </row>
    <row r="4370" spans="1:6" x14ac:dyDescent="0.25">
      <c r="A4370" t="s">
        <v>6</v>
      </c>
      <c r="B4370" t="s">
        <v>7</v>
      </c>
      <c r="C4370" t="s">
        <v>63</v>
      </c>
      <c r="D4370">
        <v>106134.67</v>
      </c>
      <c r="E4370">
        <v>2018</v>
      </c>
      <c r="F4370" t="s">
        <v>69</v>
      </c>
    </row>
    <row r="4371" spans="1:6" x14ac:dyDescent="0.25">
      <c r="A4371" t="s">
        <v>10</v>
      </c>
      <c r="B4371" t="s">
        <v>11</v>
      </c>
      <c r="C4371" t="s">
        <v>63</v>
      </c>
      <c r="D4371">
        <v>19169.47</v>
      </c>
      <c r="E4371">
        <v>2018</v>
      </c>
      <c r="F4371" t="s">
        <v>69</v>
      </c>
    </row>
    <row r="4372" spans="1:6" x14ac:dyDescent="0.25">
      <c r="A4372" t="s">
        <v>12</v>
      </c>
      <c r="B4372" t="s">
        <v>13</v>
      </c>
      <c r="C4372" t="s">
        <v>63</v>
      </c>
      <c r="D4372">
        <v>2974.48</v>
      </c>
      <c r="E4372">
        <v>2018</v>
      </c>
      <c r="F4372" t="s">
        <v>69</v>
      </c>
    </row>
    <row r="4373" spans="1:6" x14ac:dyDescent="0.25">
      <c r="A4373" t="s">
        <v>14</v>
      </c>
      <c r="B4373" t="s">
        <v>15</v>
      </c>
      <c r="C4373" t="s">
        <v>63</v>
      </c>
      <c r="D4373">
        <v>525.12</v>
      </c>
      <c r="E4373">
        <v>2018</v>
      </c>
      <c r="F4373" t="s">
        <v>69</v>
      </c>
    </row>
    <row r="4374" spans="1:6" x14ac:dyDescent="0.25">
      <c r="A4374" t="s">
        <v>16</v>
      </c>
      <c r="B4374" t="s">
        <v>17</v>
      </c>
      <c r="C4374" t="s">
        <v>63</v>
      </c>
      <c r="D4374">
        <v>2407.12</v>
      </c>
      <c r="E4374">
        <v>2018</v>
      </c>
      <c r="F4374" t="s">
        <v>69</v>
      </c>
    </row>
    <row r="4375" spans="1:6" x14ac:dyDescent="0.25">
      <c r="A4375" t="s">
        <v>18</v>
      </c>
      <c r="B4375" t="s">
        <v>19</v>
      </c>
      <c r="C4375" t="s">
        <v>63</v>
      </c>
      <c r="D4375">
        <v>2811.67</v>
      </c>
      <c r="E4375">
        <v>2018</v>
      </c>
      <c r="F4375" t="s">
        <v>69</v>
      </c>
    </row>
    <row r="4376" spans="1:6" x14ac:dyDescent="0.25">
      <c r="A4376" t="s">
        <v>20</v>
      </c>
      <c r="B4376" t="s">
        <v>21</v>
      </c>
      <c r="C4376" t="s">
        <v>63</v>
      </c>
      <c r="D4376">
        <v>2242.64</v>
      </c>
      <c r="E4376">
        <v>2018</v>
      </c>
      <c r="F4376" t="s">
        <v>69</v>
      </c>
    </row>
    <row r="4377" spans="1:6" x14ac:dyDescent="0.25">
      <c r="A4377" t="s">
        <v>22</v>
      </c>
      <c r="B4377" t="s">
        <v>23</v>
      </c>
      <c r="C4377" t="s">
        <v>63</v>
      </c>
      <c r="D4377">
        <v>1157.73</v>
      </c>
      <c r="E4377">
        <v>2018</v>
      </c>
      <c r="F4377" t="s">
        <v>69</v>
      </c>
    </row>
    <row r="4378" spans="1:6" x14ac:dyDescent="0.25">
      <c r="A4378" t="s">
        <v>24</v>
      </c>
      <c r="B4378" t="s">
        <v>25</v>
      </c>
      <c r="C4378" t="s">
        <v>63</v>
      </c>
      <c r="D4378">
        <v>3708.74</v>
      </c>
      <c r="E4378">
        <v>2018</v>
      </c>
      <c r="F4378" t="s">
        <v>69</v>
      </c>
    </row>
    <row r="4379" spans="1:6" x14ac:dyDescent="0.25">
      <c r="A4379" t="s">
        <v>26</v>
      </c>
      <c r="B4379" t="s">
        <v>27</v>
      </c>
      <c r="C4379" t="s">
        <v>63</v>
      </c>
      <c r="D4379">
        <v>800.17</v>
      </c>
      <c r="E4379">
        <v>2018</v>
      </c>
      <c r="F4379" t="s">
        <v>69</v>
      </c>
    </row>
    <row r="4380" spans="1:6" x14ac:dyDescent="0.25">
      <c r="A4380" t="s">
        <v>28</v>
      </c>
      <c r="B4380" t="s">
        <v>29</v>
      </c>
      <c r="C4380" t="s">
        <v>63</v>
      </c>
      <c r="D4380">
        <v>6860.04</v>
      </c>
      <c r="E4380">
        <v>2018</v>
      </c>
      <c r="F4380" t="s">
        <v>69</v>
      </c>
    </row>
    <row r="4381" spans="1:6" x14ac:dyDescent="0.25">
      <c r="A4381" t="s">
        <v>30</v>
      </c>
      <c r="B4381" t="s">
        <v>31</v>
      </c>
      <c r="C4381" t="s">
        <v>63</v>
      </c>
      <c r="D4381">
        <v>10174.219999999999</v>
      </c>
      <c r="E4381">
        <v>2018</v>
      </c>
      <c r="F4381" t="s">
        <v>69</v>
      </c>
    </row>
    <row r="4382" spans="1:6" x14ac:dyDescent="0.25">
      <c r="A4382" t="s">
        <v>32</v>
      </c>
      <c r="B4382" t="s">
        <v>33</v>
      </c>
      <c r="C4382" t="s">
        <v>63</v>
      </c>
      <c r="D4382">
        <v>3804.31</v>
      </c>
      <c r="E4382">
        <v>2018</v>
      </c>
      <c r="F4382" t="s">
        <v>69</v>
      </c>
    </row>
    <row r="4383" spans="1:6" x14ac:dyDescent="0.25">
      <c r="A4383" t="s">
        <v>34</v>
      </c>
      <c r="B4383" t="s">
        <v>35</v>
      </c>
      <c r="C4383" t="s">
        <v>63</v>
      </c>
      <c r="D4383">
        <v>4867.71</v>
      </c>
      <c r="E4383">
        <v>2018</v>
      </c>
      <c r="F4383" t="s">
        <v>69</v>
      </c>
    </row>
    <row r="4384" spans="1:6" x14ac:dyDescent="0.25">
      <c r="A4384" t="s">
        <v>36</v>
      </c>
      <c r="B4384" t="s">
        <v>37</v>
      </c>
      <c r="C4384" t="s">
        <v>63</v>
      </c>
      <c r="D4384">
        <v>3976.13</v>
      </c>
      <c r="E4384">
        <v>2018</v>
      </c>
      <c r="F4384" t="s">
        <v>69</v>
      </c>
    </row>
    <row r="4385" spans="1:6" x14ac:dyDescent="0.25">
      <c r="A4385" t="s">
        <v>38</v>
      </c>
      <c r="B4385" t="s">
        <v>39</v>
      </c>
      <c r="C4385" t="s">
        <v>63</v>
      </c>
      <c r="D4385">
        <v>5511.23</v>
      </c>
      <c r="E4385">
        <v>2018</v>
      </c>
      <c r="F4385" t="s">
        <v>69</v>
      </c>
    </row>
    <row r="4386" spans="1:6" x14ac:dyDescent="0.25">
      <c r="A4386" t="s">
        <v>40</v>
      </c>
      <c r="B4386" t="s">
        <v>41</v>
      </c>
      <c r="C4386" t="s">
        <v>63</v>
      </c>
      <c r="D4386">
        <v>3996.64</v>
      </c>
      <c r="E4386">
        <v>2018</v>
      </c>
      <c r="F4386" t="s">
        <v>69</v>
      </c>
    </row>
    <row r="4387" spans="1:6" x14ac:dyDescent="0.25">
      <c r="A4387" t="s">
        <v>42</v>
      </c>
      <c r="B4387" t="s">
        <v>43</v>
      </c>
      <c r="C4387" t="s">
        <v>63</v>
      </c>
      <c r="D4387">
        <v>2679.25</v>
      </c>
      <c r="E4387">
        <v>2018</v>
      </c>
      <c r="F4387" t="s">
        <v>69</v>
      </c>
    </row>
    <row r="4388" spans="1:6" x14ac:dyDescent="0.25">
      <c r="A4388" t="s">
        <v>44</v>
      </c>
      <c r="B4388" t="s">
        <v>45</v>
      </c>
      <c r="C4388" t="s">
        <v>63</v>
      </c>
      <c r="D4388">
        <v>3802.13</v>
      </c>
      <c r="E4388">
        <v>2018</v>
      </c>
      <c r="F4388" t="s">
        <v>69</v>
      </c>
    </row>
    <row r="4389" spans="1:6" x14ac:dyDescent="0.25">
      <c r="A4389" t="s">
        <v>46</v>
      </c>
      <c r="B4389" t="s">
        <v>47</v>
      </c>
      <c r="C4389" t="s">
        <v>63</v>
      </c>
      <c r="D4389">
        <v>6319.54</v>
      </c>
      <c r="E4389">
        <v>2018</v>
      </c>
      <c r="F4389" t="s">
        <v>69</v>
      </c>
    </row>
    <row r="4390" spans="1:6" x14ac:dyDescent="0.25">
      <c r="A4390" t="s">
        <v>48</v>
      </c>
      <c r="B4390" t="s">
        <v>49</v>
      </c>
      <c r="C4390" t="s">
        <v>63</v>
      </c>
      <c r="D4390">
        <v>11092.6</v>
      </c>
      <c r="E4390">
        <v>2018</v>
      </c>
      <c r="F4390" t="s">
        <v>69</v>
      </c>
    </row>
    <row r="4391" spans="1:6" x14ac:dyDescent="0.25">
      <c r="A4391" t="s">
        <v>50</v>
      </c>
      <c r="B4391" t="s">
        <v>51</v>
      </c>
      <c r="C4391" t="s">
        <v>63</v>
      </c>
      <c r="D4391">
        <v>2079.6799999999998</v>
      </c>
      <c r="E4391">
        <v>2018</v>
      </c>
      <c r="F4391" t="s">
        <v>69</v>
      </c>
    </row>
    <row r="4392" spans="1:6" x14ac:dyDescent="0.25">
      <c r="A4392" t="s">
        <v>52</v>
      </c>
      <c r="B4392" t="s">
        <v>53</v>
      </c>
      <c r="C4392" t="s">
        <v>63</v>
      </c>
      <c r="D4392">
        <v>1638.05</v>
      </c>
      <c r="E4392">
        <v>2018</v>
      </c>
      <c r="F4392" t="s">
        <v>69</v>
      </c>
    </row>
    <row r="4393" spans="1:6" x14ac:dyDescent="0.25">
      <c r="A4393" t="s">
        <v>54</v>
      </c>
      <c r="B4393" t="s">
        <v>55</v>
      </c>
      <c r="C4393" t="s">
        <v>63</v>
      </c>
      <c r="D4393">
        <v>1513.64</v>
      </c>
      <c r="E4393">
        <v>2018</v>
      </c>
      <c r="F4393" t="s">
        <v>69</v>
      </c>
    </row>
    <row r="4394" spans="1:6" x14ac:dyDescent="0.25">
      <c r="A4394" t="s">
        <v>56</v>
      </c>
      <c r="B4394" t="s">
        <v>57</v>
      </c>
      <c r="C4394" t="s">
        <v>63</v>
      </c>
      <c r="D4394">
        <v>2022.36</v>
      </c>
      <c r="E4394">
        <v>2018</v>
      </c>
      <c r="F4394" t="s">
        <v>69</v>
      </c>
    </row>
    <row r="4395" spans="1:6" x14ac:dyDescent="0.25">
      <c r="A4395" t="s">
        <v>58</v>
      </c>
      <c r="B4395" t="s">
        <v>59</v>
      </c>
      <c r="C4395" t="s">
        <v>63</v>
      </c>
      <c r="E4395">
        <v>2018</v>
      </c>
      <c r="F4395" t="s">
        <v>69</v>
      </c>
    </row>
    <row r="4396" spans="1:6" x14ac:dyDescent="0.25">
      <c r="A4396" t="s">
        <v>6</v>
      </c>
      <c r="B4396" t="s">
        <v>7</v>
      </c>
      <c r="C4396" t="s">
        <v>8</v>
      </c>
      <c r="D4396">
        <v>9396.01</v>
      </c>
      <c r="E4396">
        <v>2018</v>
      </c>
      <c r="F4396" t="s">
        <v>69</v>
      </c>
    </row>
    <row r="4397" spans="1:6" x14ac:dyDescent="0.25">
      <c r="A4397" t="s">
        <v>10</v>
      </c>
      <c r="B4397" t="s">
        <v>11</v>
      </c>
      <c r="C4397" t="s">
        <v>8</v>
      </c>
      <c r="D4397">
        <v>2110</v>
      </c>
      <c r="E4397">
        <v>2018</v>
      </c>
      <c r="F4397" t="s">
        <v>69</v>
      </c>
    </row>
    <row r="4398" spans="1:6" x14ac:dyDescent="0.25">
      <c r="A4398" t="s">
        <v>12</v>
      </c>
      <c r="B4398" t="s">
        <v>13</v>
      </c>
      <c r="C4398" t="s">
        <v>8</v>
      </c>
      <c r="D4398">
        <v>349.82</v>
      </c>
      <c r="E4398">
        <v>2018</v>
      </c>
      <c r="F4398" t="s">
        <v>69</v>
      </c>
    </row>
    <row r="4399" spans="1:6" x14ac:dyDescent="0.25">
      <c r="A4399" t="s">
        <v>14</v>
      </c>
      <c r="B4399" t="s">
        <v>15</v>
      </c>
      <c r="C4399" t="s">
        <v>8</v>
      </c>
      <c r="E4399">
        <v>2018</v>
      </c>
      <c r="F4399" t="s">
        <v>69</v>
      </c>
    </row>
    <row r="4400" spans="1:6" x14ac:dyDescent="0.25">
      <c r="A4400" t="s">
        <v>16</v>
      </c>
      <c r="B4400" t="s">
        <v>17</v>
      </c>
      <c r="C4400" t="s">
        <v>8</v>
      </c>
      <c r="D4400">
        <v>72.89</v>
      </c>
      <c r="E4400">
        <v>2018</v>
      </c>
      <c r="F4400" t="s">
        <v>69</v>
      </c>
    </row>
    <row r="4401" spans="1:6" x14ac:dyDescent="0.25">
      <c r="A4401" t="s">
        <v>18</v>
      </c>
      <c r="B4401" t="s">
        <v>19</v>
      </c>
      <c r="C4401" t="s">
        <v>8</v>
      </c>
      <c r="D4401">
        <v>74.069999999999993</v>
      </c>
      <c r="E4401">
        <v>2018</v>
      </c>
      <c r="F4401" t="s">
        <v>69</v>
      </c>
    </row>
    <row r="4402" spans="1:6" x14ac:dyDescent="0.25">
      <c r="A4402" t="s">
        <v>20</v>
      </c>
      <c r="B4402" t="s">
        <v>21</v>
      </c>
      <c r="C4402" t="s">
        <v>8</v>
      </c>
      <c r="D4402">
        <v>84.01</v>
      </c>
      <c r="E4402">
        <v>2018</v>
      </c>
      <c r="F4402" t="s">
        <v>69</v>
      </c>
    </row>
    <row r="4403" spans="1:6" x14ac:dyDescent="0.25">
      <c r="A4403" t="s">
        <v>22</v>
      </c>
      <c r="B4403" t="s">
        <v>23</v>
      </c>
      <c r="C4403" t="s">
        <v>8</v>
      </c>
      <c r="D4403">
        <v>422</v>
      </c>
      <c r="E4403">
        <v>2018</v>
      </c>
      <c r="F4403" t="s">
        <v>69</v>
      </c>
    </row>
    <row r="4404" spans="1:6" x14ac:dyDescent="0.25">
      <c r="A4404" t="s">
        <v>24</v>
      </c>
      <c r="B4404" t="s">
        <v>25</v>
      </c>
      <c r="C4404" t="s">
        <v>8</v>
      </c>
      <c r="D4404">
        <v>439.34</v>
      </c>
      <c r="E4404">
        <v>2018</v>
      </c>
      <c r="F4404" t="s">
        <v>69</v>
      </c>
    </row>
    <row r="4405" spans="1:6" x14ac:dyDescent="0.25">
      <c r="A4405" t="s">
        <v>26</v>
      </c>
      <c r="B4405" t="s">
        <v>27</v>
      </c>
      <c r="C4405" t="s">
        <v>8</v>
      </c>
      <c r="D4405">
        <v>212.82</v>
      </c>
      <c r="E4405">
        <v>2018</v>
      </c>
      <c r="F4405" t="s">
        <v>69</v>
      </c>
    </row>
    <row r="4406" spans="1:6" x14ac:dyDescent="0.25">
      <c r="A4406" t="s">
        <v>28</v>
      </c>
      <c r="B4406" t="s">
        <v>29</v>
      </c>
      <c r="C4406" t="s">
        <v>8</v>
      </c>
      <c r="D4406">
        <v>1.1399999999999999</v>
      </c>
      <c r="E4406">
        <v>2018</v>
      </c>
      <c r="F4406" t="s">
        <v>69</v>
      </c>
    </row>
    <row r="4407" spans="1:6" x14ac:dyDescent="0.25">
      <c r="A4407" t="s">
        <v>30</v>
      </c>
      <c r="B4407" t="s">
        <v>31</v>
      </c>
      <c r="C4407" t="s">
        <v>8</v>
      </c>
      <c r="D4407">
        <v>2188.2600000000002</v>
      </c>
      <c r="E4407">
        <v>2018</v>
      </c>
      <c r="F4407" t="s">
        <v>69</v>
      </c>
    </row>
    <row r="4408" spans="1:6" x14ac:dyDescent="0.25">
      <c r="A4408" t="s">
        <v>32</v>
      </c>
      <c r="B4408" t="s">
        <v>33</v>
      </c>
      <c r="C4408" t="s">
        <v>8</v>
      </c>
      <c r="D4408">
        <v>265.83</v>
      </c>
      <c r="E4408">
        <v>2018</v>
      </c>
      <c r="F4408" t="s">
        <v>69</v>
      </c>
    </row>
    <row r="4409" spans="1:6" x14ac:dyDescent="0.25">
      <c r="A4409" t="s">
        <v>34</v>
      </c>
      <c r="B4409" t="s">
        <v>35</v>
      </c>
      <c r="C4409" t="s">
        <v>8</v>
      </c>
      <c r="D4409">
        <v>420.66</v>
      </c>
      <c r="E4409">
        <v>2018</v>
      </c>
      <c r="F4409" t="s">
        <v>69</v>
      </c>
    </row>
    <row r="4410" spans="1:6" x14ac:dyDescent="0.25">
      <c r="A4410" t="s">
        <v>36</v>
      </c>
      <c r="B4410" t="s">
        <v>37</v>
      </c>
      <c r="C4410" t="s">
        <v>8</v>
      </c>
      <c r="D4410">
        <v>358.05</v>
      </c>
      <c r="E4410">
        <v>2018</v>
      </c>
      <c r="F4410" t="s">
        <v>69</v>
      </c>
    </row>
    <row r="4411" spans="1:6" x14ac:dyDescent="0.25">
      <c r="A4411" t="s">
        <v>38</v>
      </c>
      <c r="B4411" t="s">
        <v>39</v>
      </c>
      <c r="C4411" t="s">
        <v>8</v>
      </c>
      <c r="D4411">
        <v>146.72999999999999</v>
      </c>
      <c r="E4411">
        <v>2018</v>
      </c>
      <c r="F4411" t="s">
        <v>69</v>
      </c>
    </row>
    <row r="4412" spans="1:6" x14ac:dyDescent="0.25">
      <c r="A4412" t="s">
        <v>40</v>
      </c>
      <c r="B4412" t="s">
        <v>41</v>
      </c>
      <c r="C4412" t="s">
        <v>8</v>
      </c>
      <c r="D4412">
        <v>1006.27</v>
      </c>
      <c r="E4412">
        <v>2018</v>
      </c>
      <c r="F4412" t="s">
        <v>69</v>
      </c>
    </row>
    <row r="4413" spans="1:6" x14ac:dyDescent="0.25">
      <c r="A4413" t="s">
        <v>42</v>
      </c>
      <c r="B4413" t="s">
        <v>43</v>
      </c>
      <c r="C4413" t="s">
        <v>8</v>
      </c>
      <c r="D4413">
        <v>55.69</v>
      </c>
      <c r="E4413">
        <v>2018</v>
      </c>
      <c r="F4413" t="s">
        <v>69</v>
      </c>
    </row>
    <row r="4414" spans="1:6" x14ac:dyDescent="0.25">
      <c r="A4414" t="s">
        <v>44</v>
      </c>
      <c r="B4414" t="s">
        <v>45</v>
      </c>
      <c r="C4414" t="s">
        <v>8</v>
      </c>
      <c r="D4414">
        <v>178.64</v>
      </c>
      <c r="E4414">
        <v>2018</v>
      </c>
      <c r="F4414" t="s">
        <v>69</v>
      </c>
    </row>
    <row r="4415" spans="1:6" x14ac:dyDescent="0.25">
      <c r="A4415" t="s">
        <v>46</v>
      </c>
      <c r="B4415" t="s">
        <v>47</v>
      </c>
      <c r="C4415" t="s">
        <v>8</v>
      </c>
      <c r="D4415">
        <v>299.83</v>
      </c>
      <c r="E4415">
        <v>2018</v>
      </c>
      <c r="F4415" t="s">
        <v>69</v>
      </c>
    </row>
    <row r="4416" spans="1:6" x14ac:dyDescent="0.25">
      <c r="A4416" t="s">
        <v>48</v>
      </c>
      <c r="B4416" t="s">
        <v>49</v>
      </c>
      <c r="C4416" t="s">
        <v>8</v>
      </c>
      <c r="D4416">
        <v>37.75</v>
      </c>
      <c r="E4416">
        <v>2018</v>
      </c>
      <c r="F4416" t="s">
        <v>69</v>
      </c>
    </row>
    <row r="4417" spans="1:6" x14ac:dyDescent="0.25">
      <c r="A4417" t="s">
        <v>50</v>
      </c>
      <c r="B4417" t="s">
        <v>51</v>
      </c>
      <c r="C4417" t="s">
        <v>8</v>
      </c>
      <c r="D4417">
        <v>12.22</v>
      </c>
      <c r="E4417">
        <v>2018</v>
      </c>
      <c r="F4417" t="s">
        <v>69</v>
      </c>
    </row>
    <row r="4418" spans="1:6" x14ac:dyDescent="0.25">
      <c r="A4418" t="s">
        <v>52</v>
      </c>
      <c r="B4418" t="s">
        <v>53</v>
      </c>
      <c r="C4418" t="s">
        <v>8</v>
      </c>
      <c r="D4418">
        <v>152.96</v>
      </c>
      <c r="E4418">
        <v>2018</v>
      </c>
      <c r="F4418" t="s">
        <v>69</v>
      </c>
    </row>
    <row r="4419" spans="1:6" x14ac:dyDescent="0.25">
      <c r="A4419" t="s">
        <v>54</v>
      </c>
      <c r="B4419" t="s">
        <v>55</v>
      </c>
      <c r="C4419" t="s">
        <v>8</v>
      </c>
      <c r="D4419">
        <v>17.07</v>
      </c>
      <c r="E4419">
        <v>2018</v>
      </c>
      <c r="F4419" t="s">
        <v>69</v>
      </c>
    </row>
    <row r="4420" spans="1:6" x14ac:dyDescent="0.25">
      <c r="A4420" t="s">
        <v>56</v>
      </c>
      <c r="B4420" t="s">
        <v>57</v>
      </c>
      <c r="C4420" t="s">
        <v>8</v>
      </c>
      <c r="D4420">
        <v>483.94</v>
      </c>
      <c r="E4420">
        <v>2018</v>
      </c>
      <c r="F4420" t="s">
        <v>69</v>
      </c>
    </row>
    <row r="4421" spans="1:6" x14ac:dyDescent="0.25">
      <c r="A4421" t="s">
        <v>58</v>
      </c>
      <c r="B4421" t="s">
        <v>59</v>
      </c>
      <c r="C4421" t="s">
        <v>8</v>
      </c>
      <c r="D4421">
        <v>6.02</v>
      </c>
      <c r="E4421">
        <v>2018</v>
      </c>
      <c r="F4421" t="s">
        <v>69</v>
      </c>
    </row>
    <row r="4422" spans="1:6" x14ac:dyDescent="0.25">
      <c r="A4422" t="s">
        <v>6</v>
      </c>
      <c r="B4422" t="s">
        <v>7</v>
      </c>
      <c r="C4422" t="s">
        <v>60</v>
      </c>
      <c r="D4422">
        <v>7004.59</v>
      </c>
      <c r="E4422">
        <v>2018</v>
      </c>
      <c r="F4422" t="s">
        <v>69</v>
      </c>
    </row>
    <row r="4423" spans="1:6" x14ac:dyDescent="0.25">
      <c r="A4423" t="s">
        <v>10</v>
      </c>
      <c r="B4423" t="s">
        <v>11</v>
      </c>
      <c r="C4423" t="s">
        <v>60</v>
      </c>
      <c r="D4423">
        <v>1518.37</v>
      </c>
      <c r="E4423">
        <v>2018</v>
      </c>
      <c r="F4423" t="s">
        <v>69</v>
      </c>
    </row>
    <row r="4424" spans="1:6" x14ac:dyDescent="0.25">
      <c r="A4424" t="s">
        <v>12</v>
      </c>
      <c r="B4424" t="s">
        <v>13</v>
      </c>
      <c r="C4424" t="s">
        <v>60</v>
      </c>
      <c r="D4424">
        <v>179.6</v>
      </c>
      <c r="E4424">
        <v>2018</v>
      </c>
      <c r="F4424" t="s">
        <v>69</v>
      </c>
    </row>
    <row r="4425" spans="1:6" x14ac:dyDescent="0.25">
      <c r="A4425" t="s">
        <v>14</v>
      </c>
      <c r="B4425" t="s">
        <v>15</v>
      </c>
      <c r="C4425" t="s">
        <v>60</v>
      </c>
      <c r="E4425">
        <v>2018</v>
      </c>
      <c r="F4425" t="s">
        <v>69</v>
      </c>
    </row>
    <row r="4426" spans="1:6" x14ac:dyDescent="0.25">
      <c r="A4426" t="s">
        <v>16</v>
      </c>
      <c r="B4426" t="s">
        <v>17</v>
      </c>
      <c r="C4426" t="s">
        <v>60</v>
      </c>
      <c r="D4426">
        <v>267.19</v>
      </c>
      <c r="E4426">
        <v>2018</v>
      </c>
      <c r="F4426" t="s">
        <v>69</v>
      </c>
    </row>
    <row r="4427" spans="1:6" x14ac:dyDescent="0.25">
      <c r="A4427" t="s">
        <v>18</v>
      </c>
      <c r="B4427" t="s">
        <v>19</v>
      </c>
      <c r="C4427" t="s">
        <v>60</v>
      </c>
      <c r="D4427">
        <v>528.79999999999995</v>
      </c>
      <c r="E4427">
        <v>2018</v>
      </c>
      <c r="F4427" t="s">
        <v>69</v>
      </c>
    </row>
    <row r="4428" spans="1:6" x14ac:dyDescent="0.25">
      <c r="A4428" t="s">
        <v>20</v>
      </c>
      <c r="B4428" t="s">
        <v>21</v>
      </c>
      <c r="C4428" t="s">
        <v>60</v>
      </c>
      <c r="D4428">
        <v>125.94</v>
      </c>
      <c r="E4428">
        <v>2018</v>
      </c>
      <c r="F4428" t="s">
        <v>69</v>
      </c>
    </row>
    <row r="4429" spans="1:6" x14ac:dyDescent="0.25">
      <c r="A4429" t="s">
        <v>22</v>
      </c>
      <c r="B4429" t="s">
        <v>23</v>
      </c>
      <c r="C4429" t="s">
        <v>60</v>
      </c>
      <c r="D4429">
        <v>36.96</v>
      </c>
      <c r="E4429">
        <v>2018</v>
      </c>
      <c r="F4429" t="s">
        <v>69</v>
      </c>
    </row>
    <row r="4430" spans="1:6" x14ac:dyDescent="0.25">
      <c r="A4430" t="s">
        <v>24</v>
      </c>
      <c r="B4430" t="s">
        <v>25</v>
      </c>
      <c r="C4430" t="s">
        <v>60</v>
      </c>
      <c r="D4430">
        <v>260.82</v>
      </c>
      <c r="E4430">
        <v>2018</v>
      </c>
      <c r="F4430" t="s">
        <v>69</v>
      </c>
    </row>
    <row r="4431" spans="1:6" x14ac:dyDescent="0.25">
      <c r="A4431" t="s">
        <v>26</v>
      </c>
      <c r="B4431" t="s">
        <v>27</v>
      </c>
      <c r="C4431" t="s">
        <v>60</v>
      </c>
      <c r="D4431">
        <v>177.49</v>
      </c>
      <c r="E4431">
        <v>2018</v>
      </c>
      <c r="F4431" t="s">
        <v>69</v>
      </c>
    </row>
    <row r="4432" spans="1:6" x14ac:dyDescent="0.25">
      <c r="A4432" t="s">
        <v>28</v>
      </c>
      <c r="B4432" t="s">
        <v>29</v>
      </c>
      <c r="C4432" t="s">
        <v>60</v>
      </c>
      <c r="D4432">
        <v>94.16</v>
      </c>
      <c r="E4432">
        <v>2018</v>
      </c>
      <c r="F4432" t="s">
        <v>69</v>
      </c>
    </row>
    <row r="4433" spans="1:6" x14ac:dyDescent="0.25">
      <c r="A4433" t="s">
        <v>30</v>
      </c>
      <c r="B4433" t="s">
        <v>31</v>
      </c>
      <c r="C4433" t="s">
        <v>60</v>
      </c>
      <c r="D4433">
        <v>746.18</v>
      </c>
      <c r="E4433">
        <v>2018</v>
      </c>
      <c r="F4433" t="s">
        <v>69</v>
      </c>
    </row>
    <row r="4434" spans="1:6" x14ac:dyDescent="0.25">
      <c r="A4434" t="s">
        <v>32</v>
      </c>
      <c r="B4434" t="s">
        <v>33</v>
      </c>
      <c r="C4434" t="s">
        <v>60</v>
      </c>
      <c r="D4434">
        <v>364.08</v>
      </c>
      <c r="E4434">
        <v>2018</v>
      </c>
      <c r="F4434" t="s">
        <v>69</v>
      </c>
    </row>
    <row r="4435" spans="1:6" x14ac:dyDescent="0.25">
      <c r="A4435" t="s">
        <v>34</v>
      </c>
      <c r="B4435" t="s">
        <v>35</v>
      </c>
      <c r="C4435" t="s">
        <v>60</v>
      </c>
      <c r="D4435">
        <v>477.91</v>
      </c>
      <c r="E4435">
        <v>2018</v>
      </c>
      <c r="F4435" t="s">
        <v>69</v>
      </c>
    </row>
    <row r="4436" spans="1:6" x14ac:dyDescent="0.25">
      <c r="A4436" t="s">
        <v>36</v>
      </c>
      <c r="B4436" t="s">
        <v>37</v>
      </c>
      <c r="C4436" t="s">
        <v>60</v>
      </c>
      <c r="D4436">
        <v>418.38</v>
      </c>
      <c r="E4436">
        <v>2018</v>
      </c>
      <c r="F4436" t="s">
        <v>69</v>
      </c>
    </row>
    <row r="4437" spans="1:6" x14ac:dyDescent="0.25">
      <c r="A4437" t="s">
        <v>38</v>
      </c>
      <c r="B4437" t="s">
        <v>39</v>
      </c>
      <c r="C4437" t="s">
        <v>60</v>
      </c>
      <c r="D4437">
        <v>177.51</v>
      </c>
      <c r="E4437">
        <v>2018</v>
      </c>
      <c r="F4437" t="s">
        <v>69</v>
      </c>
    </row>
    <row r="4438" spans="1:6" x14ac:dyDescent="0.25">
      <c r="A4438" t="s">
        <v>40</v>
      </c>
      <c r="B4438" t="s">
        <v>41</v>
      </c>
      <c r="C4438" t="s">
        <v>60</v>
      </c>
      <c r="D4438">
        <v>338.9</v>
      </c>
      <c r="E4438">
        <v>2018</v>
      </c>
      <c r="F4438" t="s">
        <v>69</v>
      </c>
    </row>
    <row r="4439" spans="1:6" x14ac:dyDescent="0.25">
      <c r="A4439" t="s">
        <v>42</v>
      </c>
      <c r="B4439" t="s">
        <v>43</v>
      </c>
      <c r="C4439" t="s">
        <v>60</v>
      </c>
      <c r="E4439">
        <v>2018</v>
      </c>
      <c r="F4439" t="s">
        <v>69</v>
      </c>
    </row>
    <row r="4440" spans="1:6" x14ac:dyDescent="0.25">
      <c r="A4440" t="s">
        <v>44</v>
      </c>
      <c r="B4440" t="s">
        <v>45</v>
      </c>
      <c r="C4440" t="s">
        <v>60</v>
      </c>
      <c r="D4440">
        <v>237.06</v>
      </c>
      <c r="E4440">
        <v>2018</v>
      </c>
      <c r="F4440" t="s">
        <v>69</v>
      </c>
    </row>
    <row r="4441" spans="1:6" x14ac:dyDescent="0.25">
      <c r="A4441" t="s">
        <v>46</v>
      </c>
      <c r="B4441" t="s">
        <v>47</v>
      </c>
      <c r="C4441" t="s">
        <v>60</v>
      </c>
      <c r="D4441">
        <v>164.25</v>
      </c>
      <c r="E4441">
        <v>2018</v>
      </c>
      <c r="F4441" t="s">
        <v>69</v>
      </c>
    </row>
    <row r="4442" spans="1:6" x14ac:dyDescent="0.25">
      <c r="A4442" t="s">
        <v>48</v>
      </c>
      <c r="B4442" t="s">
        <v>49</v>
      </c>
      <c r="C4442" t="s">
        <v>60</v>
      </c>
      <c r="D4442">
        <v>128.5</v>
      </c>
      <c r="E4442">
        <v>2018</v>
      </c>
      <c r="F4442" t="s">
        <v>69</v>
      </c>
    </row>
    <row r="4443" spans="1:6" x14ac:dyDescent="0.25">
      <c r="A4443" t="s">
        <v>50</v>
      </c>
      <c r="B4443" t="s">
        <v>51</v>
      </c>
      <c r="C4443" t="s">
        <v>60</v>
      </c>
      <c r="D4443">
        <v>76.260000000000005</v>
      </c>
      <c r="E4443">
        <v>2018</v>
      </c>
      <c r="F4443" t="s">
        <v>69</v>
      </c>
    </row>
    <row r="4444" spans="1:6" x14ac:dyDescent="0.25">
      <c r="A4444" t="s">
        <v>52</v>
      </c>
      <c r="B4444" t="s">
        <v>53</v>
      </c>
      <c r="C4444" t="s">
        <v>60</v>
      </c>
      <c r="D4444">
        <v>158.9</v>
      </c>
      <c r="E4444">
        <v>2018</v>
      </c>
      <c r="F4444" t="s">
        <v>69</v>
      </c>
    </row>
    <row r="4445" spans="1:6" x14ac:dyDescent="0.25">
      <c r="A4445" t="s">
        <v>54</v>
      </c>
      <c r="B4445" t="s">
        <v>55</v>
      </c>
      <c r="C4445" t="s">
        <v>60</v>
      </c>
      <c r="D4445">
        <v>527.33000000000004</v>
      </c>
      <c r="E4445">
        <v>2018</v>
      </c>
      <c r="F4445" t="s">
        <v>69</v>
      </c>
    </row>
    <row r="4446" spans="1:6" x14ac:dyDescent="0.25">
      <c r="A4446" t="s">
        <v>56</v>
      </c>
      <c r="B4446" t="s">
        <v>57</v>
      </c>
      <c r="C4446" t="s">
        <v>60</v>
      </c>
      <c r="E4446">
        <v>2018</v>
      </c>
      <c r="F4446" t="s">
        <v>69</v>
      </c>
    </row>
    <row r="4447" spans="1:6" x14ac:dyDescent="0.25">
      <c r="A4447" t="s">
        <v>58</v>
      </c>
      <c r="B4447" t="s">
        <v>59</v>
      </c>
      <c r="C4447" t="s">
        <v>60</v>
      </c>
      <c r="E4447">
        <v>2018</v>
      </c>
      <c r="F4447" t="s">
        <v>69</v>
      </c>
    </row>
    <row r="4448" spans="1:6" x14ac:dyDescent="0.25">
      <c r="A4448" t="s">
        <v>6</v>
      </c>
      <c r="B4448" t="s">
        <v>7</v>
      </c>
      <c r="C4448" t="s">
        <v>61</v>
      </c>
      <c r="D4448">
        <v>4186.03</v>
      </c>
      <c r="E4448">
        <v>2018</v>
      </c>
      <c r="F4448" t="s">
        <v>69</v>
      </c>
    </row>
    <row r="4449" spans="1:6" x14ac:dyDescent="0.25">
      <c r="A4449" t="s">
        <v>10</v>
      </c>
      <c r="B4449" t="s">
        <v>11</v>
      </c>
      <c r="C4449" t="s">
        <v>61</v>
      </c>
      <c r="D4449">
        <v>1794.94</v>
      </c>
      <c r="E4449">
        <v>2018</v>
      </c>
      <c r="F4449" t="s">
        <v>69</v>
      </c>
    </row>
    <row r="4450" spans="1:6" x14ac:dyDescent="0.25">
      <c r="A4450" t="s">
        <v>12</v>
      </c>
      <c r="B4450" t="s">
        <v>13</v>
      </c>
      <c r="C4450" t="s">
        <v>61</v>
      </c>
      <c r="D4450">
        <v>217.45</v>
      </c>
      <c r="E4450">
        <v>2018</v>
      </c>
      <c r="F4450" t="s">
        <v>69</v>
      </c>
    </row>
    <row r="4451" spans="1:6" x14ac:dyDescent="0.25">
      <c r="A4451" t="s">
        <v>14</v>
      </c>
      <c r="B4451" t="s">
        <v>15</v>
      </c>
      <c r="C4451" t="s">
        <v>61</v>
      </c>
      <c r="D4451">
        <v>2</v>
      </c>
      <c r="E4451">
        <v>2018</v>
      </c>
      <c r="F4451" t="s">
        <v>69</v>
      </c>
    </row>
    <row r="4452" spans="1:6" x14ac:dyDescent="0.25">
      <c r="A4452" t="s">
        <v>16</v>
      </c>
      <c r="B4452" t="s">
        <v>17</v>
      </c>
      <c r="C4452" t="s">
        <v>61</v>
      </c>
      <c r="D4452">
        <v>129.29</v>
      </c>
      <c r="E4452">
        <v>2018</v>
      </c>
      <c r="F4452" t="s">
        <v>69</v>
      </c>
    </row>
    <row r="4453" spans="1:6" x14ac:dyDescent="0.25">
      <c r="A4453" t="s">
        <v>18</v>
      </c>
      <c r="B4453" t="s">
        <v>19</v>
      </c>
      <c r="C4453" t="s">
        <v>61</v>
      </c>
      <c r="D4453">
        <v>95.24</v>
      </c>
      <c r="E4453">
        <v>2018</v>
      </c>
      <c r="F4453" t="s">
        <v>69</v>
      </c>
    </row>
    <row r="4454" spans="1:6" x14ac:dyDescent="0.25">
      <c r="A4454" t="s">
        <v>20</v>
      </c>
      <c r="B4454" t="s">
        <v>21</v>
      </c>
      <c r="C4454" t="s">
        <v>61</v>
      </c>
      <c r="D4454">
        <v>32.54</v>
      </c>
      <c r="E4454">
        <v>2018</v>
      </c>
      <c r="F4454" t="s">
        <v>69</v>
      </c>
    </row>
    <row r="4455" spans="1:6" x14ac:dyDescent="0.25">
      <c r="A4455" t="s">
        <v>22</v>
      </c>
      <c r="B4455" t="s">
        <v>23</v>
      </c>
      <c r="C4455" t="s">
        <v>61</v>
      </c>
      <c r="D4455">
        <v>69.83</v>
      </c>
      <c r="E4455">
        <v>2018</v>
      </c>
      <c r="F4455" t="s">
        <v>69</v>
      </c>
    </row>
    <row r="4456" spans="1:6" x14ac:dyDescent="0.25">
      <c r="A4456" t="s">
        <v>24</v>
      </c>
      <c r="B4456" t="s">
        <v>25</v>
      </c>
      <c r="C4456" t="s">
        <v>61</v>
      </c>
      <c r="D4456">
        <v>188.86</v>
      </c>
      <c r="E4456">
        <v>2018</v>
      </c>
      <c r="F4456" t="s">
        <v>69</v>
      </c>
    </row>
    <row r="4457" spans="1:6" x14ac:dyDescent="0.25">
      <c r="A4457" t="s">
        <v>26</v>
      </c>
      <c r="B4457" t="s">
        <v>27</v>
      </c>
      <c r="C4457" t="s">
        <v>61</v>
      </c>
      <c r="D4457">
        <v>99.29</v>
      </c>
      <c r="E4457">
        <v>2018</v>
      </c>
      <c r="F4457" t="s">
        <v>69</v>
      </c>
    </row>
    <row r="4458" spans="1:6" x14ac:dyDescent="0.25">
      <c r="A4458" t="s">
        <v>28</v>
      </c>
      <c r="B4458" t="s">
        <v>29</v>
      </c>
      <c r="C4458" t="s">
        <v>61</v>
      </c>
      <c r="D4458">
        <v>17.100000000000001</v>
      </c>
      <c r="E4458">
        <v>2018</v>
      </c>
      <c r="F4458" t="s">
        <v>69</v>
      </c>
    </row>
    <row r="4459" spans="1:6" x14ac:dyDescent="0.25">
      <c r="A4459" t="s">
        <v>30</v>
      </c>
      <c r="B4459" t="s">
        <v>31</v>
      </c>
      <c r="C4459" t="s">
        <v>61</v>
      </c>
      <c r="D4459">
        <v>233.57</v>
      </c>
      <c r="E4459">
        <v>2018</v>
      </c>
      <c r="F4459" t="s">
        <v>69</v>
      </c>
    </row>
    <row r="4460" spans="1:6" x14ac:dyDescent="0.25">
      <c r="A4460" t="s">
        <v>32</v>
      </c>
      <c r="B4460" t="s">
        <v>33</v>
      </c>
      <c r="C4460" t="s">
        <v>61</v>
      </c>
      <c r="D4460">
        <v>135.78</v>
      </c>
      <c r="E4460">
        <v>2018</v>
      </c>
      <c r="F4460" t="s">
        <v>69</v>
      </c>
    </row>
    <row r="4461" spans="1:6" x14ac:dyDescent="0.25">
      <c r="A4461" t="s">
        <v>34</v>
      </c>
      <c r="B4461" t="s">
        <v>35</v>
      </c>
      <c r="C4461" t="s">
        <v>61</v>
      </c>
      <c r="D4461">
        <v>279.2</v>
      </c>
      <c r="E4461">
        <v>2018</v>
      </c>
      <c r="F4461" t="s">
        <v>69</v>
      </c>
    </row>
    <row r="4462" spans="1:6" x14ac:dyDescent="0.25">
      <c r="A4462" t="s">
        <v>36</v>
      </c>
      <c r="B4462" t="s">
        <v>37</v>
      </c>
      <c r="C4462" t="s">
        <v>61</v>
      </c>
      <c r="D4462">
        <v>206.23</v>
      </c>
      <c r="E4462">
        <v>2018</v>
      </c>
      <c r="F4462" t="s">
        <v>69</v>
      </c>
    </row>
    <row r="4463" spans="1:6" x14ac:dyDescent="0.25">
      <c r="A4463" t="s">
        <v>38</v>
      </c>
      <c r="B4463" t="s">
        <v>39</v>
      </c>
      <c r="C4463" t="s">
        <v>61</v>
      </c>
      <c r="D4463">
        <v>134.11000000000001</v>
      </c>
      <c r="E4463">
        <v>2018</v>
      </c>
      <c r="F4463" t="s">
        <v>69</v>
      </c>
    </row>
    <row r="4464" spans="1:6" x14ac:dyDescent="0.25">
      <c r="A4464" t="s">
        <v>40</v>
      </c>
      <c r="B4464" t="s">
        <v>41</v>
      </c>
      <c r="C4464" t="s">
        <v>61</v>
      </c>
      <c r="D4464">
        <v>144.49</v>
      </c>
      <c r="E4464">
        <v>2018</v>
      </c>
      <c r="F4464" t="s">
        <v>69</v>
      </c>
    </row>
    <row r="4465" spans="1:6" x14ac:dyDescent="0.25">
      <c r="A4465" t="s">
        <v>42</v>
      </c>
      <c r="B4465" t="s">
        <v>43</v>
      </c>
      <c r="C4465" t="s">
        <v>61</v>
      </c>
      <c r="D4465">
        <v>48.73</v>
      </c>
      <c r="E4465">
        <v>2018</v>
      </c>
      <c r="F4465" t="s">
        <v>69</v>
      </c>
    </row>
    <row r="4466" spans="1:6" x14ac:dyDescent="0.25">
      <c r="A4466" t="s">
        <v>44</v>
      </c>
      <c r="B4466" t="s">
        <v>45</v>
      </c>
      <c r="C4466" t="s">
        <v>61</v>
      </c>
      <c r="D4466">
        <v>84.41</v>
      </c>
      <c r="E4466">
        <v>2018</v>
      </c>
      <c r="F4466" t="s">
        <v>69</v>
      </c>
    </row>
    <row r="4467" spans="1:6" x14ac:dyDescent="0.25">
      <c r="A4467" t="s">
        <v>46</v>
      </c>
      <c r="B4467" t="s">
        <v>47</v>
      </c>
      <c r="C4467" t="s">
        <v>61</v>
      </c>
      <c r="D4467">
        <v>33.909999999999997</v>
      </c>
      <c r="E4467">
        <v>2018</v>
      </c>
      <c r="F4467" t="s">
        <v>69</v>
      </c>
    </row>
    <row r="4468" spans="1:6" x14ac:dyDescent="0.25">
      <c r="A4468" t="s">
        <v>48</v>
      </c>
      <c r="B4468" t="s">
        <v>49</v>
      </c>
      <c r="C4468" t="s">
        <v>61</v>
      </c>
      <c r="D4468">
        <v>49.87</v>
      </c>
      <c r="E4468">
        <v>2018</v>
      </c>
      <c r="F4468" t="s">
        <v>69</v>
      </c>
    </row>
    <row r="4469" spans="1:6" x14ac:dyDescent="0.25">
      <c r="A4469" t="s">
        <v>50</v>
      </c>
      <c r="B4469" t="s">
        <v>51</v>
      </c>
      <c r="C4469" t="s">
        <v>61</v>
      </c>
      <c r="D4469">
        <v>34.04</v>
      </c>
      <c r="E4469">
        <v>2018</v>
      </c>
      <c r="F4469" t="s">
        <v>69</v>
      </c>
    </row>
    <row r="4470" spans="1:6" x14ac:dyDescent="0.25">
      <c r="A4470" t="s">
        <v>52</v>
      </c>
      <c r="B4470" t="s">
        <v>53</v>
      </c>
      <c r="C4470" t="s">
        <v>61</v>
      </c>
      <c r="D4470">
        <v>68.66</v>
      </c>
      <c r="E4470">
        <v>2018</v>
      </c>
      <c r="F4470" t="s">
        <v>69</v>
      </c>
    </row>
    <row r="4471" spans="1:6" x14ac:dyDescent="0.25">
      <c r="A4471" t="s">
        <v>54</v>
      </c>
      <c r="B4471" t="s">
        <v>55</v>
      </c>
      <c r="C4471" t="s">
        <v>61</v>
      </c>
      <c r="D4471">
        <v>50.81</v>
      </c>
      <c r="E4471">
        <v>2018</v>
      </c>
      <c r="F4471" t="s">
        <v>69</v>
      </c>
    </row>
    <row r="4472" spans="1:6" x14ac:dyDescent="0.25">
      <c r="A4472" t="s">
        <v>56</v>
      </c>
      <c r="B4472" t="s">
        <v>57</v>
      </c>
      <c r="C4472" t="s">
        <v>61</v>
      </c>
      <c r="D4472">
        <v>35.68</v>
      </c>
      <c r="E4472">
        <v>2018</v>
      </c>
      <c r="F4472" t="s">
        <v>69</v>
      </c>
    </row>
    <row r="4473" spans="1:6" x14ac:dyDescent="0.25">
      <c r="A4473" t="s">
        <v>58</v>
      </c>
      <c r="B4473" t="s">
        <v>59</v>
      </c>
      <c r="C4473" t="s">
        <v>61</v>
      </c>
      <c r="E4473">
        <v>2018</v>
      </c>
      <c r="F4473" t="s">
        <v>69</v>
      </c>
    </row>
    <row r="4474" spans="1:6" x14ac:dyDescent="0.25">
      <c r="A4474" t="s">
        <v>6</v>
      </c>
      <c r="B4474" t="s">
        <v>7</v>
      </c>
      <c r="C4474" t="s">
        <v>65</v>
      </c>
      <c r="D4474">
        <v>31661.31</v>
      </c>
      <c r="E4474">
        <v>2018</v>
      </c>
      <c r="F4474" t="s">
        <v>69</v>
      </c>
    </row>
    <row r="4475" spans="1:6" x14ac:dyDescent="0.25">
      <c r="A4475" t="s">
        <v>10</v>
      </c>
      <c r="B4475" t="s">
        <v>11</v>
      </c>
      <c r="C4475" t="s">
        <v>65</v>
      </c>
      <c r="D4475">
        <v>3469.26</v>
      </c>
      <c r="E4475">
        <v>2018</v>
      </c>
      <c r="F4475" t="s">
        <v>69</v>
      </c>
    </row>
    <row r="4476" spans="1:6" x14ac:dyDescent="0.25">
      <c r="A4476" t="s">
        <v>12</v>
      </c>
      <c r="B4476" t="s">
        <v>13</v>
      </c>
      <c r="C4476" t="s">
        <v>65</v>
      </c>
      <c r="D4476">
        <v>897.55</v>
      </c>
      <c r="E4476">
        <v>2018</v>
      </c>
      <c r="F4476" t="s">
        <v>69</v>
      </c>
    </row>
    <row r="4477" spans="1:6" x14ac:dyDescent="0.25">
      <c r="A4477" t="s">
        <v>14</v>
      </c>
      <c r="B4477" t="s">
        <v>15</v>
      </c>
      <c r="C4477" t="s">
        <v>65</v>
      </c>
      <c r="D4477">
        <v>18.829999999999998</v>
      </c>
      <c r="E4477">
        <v>2018</v>
      </c>
      <c r="F4477" t="s">
        <v>69</v>
      </c>
    </row>
    <row r="4478" spans="1:6" x14ac:dyDescent="0.25">
      <c r="A4478" t="s">
        <v>16</v>
      </c>
      <c r="B4478" t="s">
        <v>17</v>
      </c>
      <c r="C4478" t="s">
        <v>65</v>
      </c>
      <c r="D4478">
        <v>1905.09</v>
      </c>
      <c r="E4478">
        <v>2018</v>
      </c>
      <c r="F4478" t="s">
        <v>69</v>
      </c>
    </row>
    <row r="4479" spans="1:6" x14ac:dyDescent="0.25">
      <c r="A4479" t="s">
        <v>18</v>
      </c>
      <c r="B4479" t="s">
        <v>19</v>
      </c>
      <c r="C4479" t="s">
        <v>65</v>
      </c>
      <c r="D4479">
        <v>725.57</v>
      </c>
      <c r="E4479">
        <v>2018</v>
      </c>
      <c r="F4479" t="s">
        <v>69</v>
      </c>
    </row>
    <row r="4480" spans="1:6" x14ac:dyDescent="0.25">
      <c r="A4480" t="s">
        <v>20</v>
      </c>
      <c r="B4480" t="s">
        <v>21</v>
      </c>
      <c r="C4480" t="s">
        <v>65</v>
      </c>
      <c r="D4480">
        <v>300.77</v>
      </c>
      <c r="E4480">
        <v>2018</v>
      </c>
      <c r="F4480" t="s">
        <v>69</v>
      </c>
    </row>
    <row r="4481" spans="1:6" x14ac:dyDescent="0.25">
      <c r="A4481" t="s">
        <v>22</v>
      </c>
      <c r="B4481" t="s">
        <v>23</v>
      </c>
      <c r="C4481" t="s">
        <v>65</v>
      </c>
      <c r="D4481">
        <v>179.68</v>
      </c>
      <c r="E4481">
        <v>2018</v>
      </c>
      <c r="F4481" t="s">
        <v>69</v>
      </c>
    </row>
    <row r="4482" spans="1:6" x14ac:dyDescent="0.25">
      <c r="A4482" t="s">
        <v>24</v>
      </c>
      <c r="B4482" t="s">
        <v>25</v>
      </c>
      <c r="C4482" t="s">
        <v>65</v>
      </c>
      <c r="D4482">
        <v>687.78</v>
      </c>
      <c r="E4482">
        <v>2018</v>
      </c>
      <c r="F4482" t="s">
        <v>69</v>
      </c>
    </row>
    <row r="4483" spans="1:6" x14ac:dyDescent="0.25">
      <c r="A4483" t="s">
        <v>26</v>
      </c>
      <c r="B4483" t="s">
        <v>27</v>
      </c>
      <c r="C4483" t="s">
        <v>65</v>
      </c>
      <c r="D4483">
        <v>119.62</v>
      </c>
      <c r="E4483">
        <v>2018</v>
      </c>
      <c r="F4483" t="s">
        <v>69</v>
      </c>
    </row>
    <row r="4484" spans="1:6" x14ac:dyDescent="0.25">
      <c r="A4484" t="s">
        <v>28</v>
      </c>
      <c r="B4484" t="s">
        <v>29</v>
      </c>
      <c r="C4484" t="s">
        <v>65</v>
      </c>
      <c r="D4484">
        <v>670.44</v>
      </c>
      <c r="E4484">
        <v>2018</v>
      </c>
      <c r="F4484" t="s">
        <v>69</v>
      </c>
    </row>
    <row r="4485" spans="1:6" x14ac:dyDescent="0.25">
      <c r="A4485" t="s">
        <v>30</v>
      </c>
      <c r="B4485" t="s">
        <v>31</v>
      </c>
      <c r="C4485" t="s">
        <v>65</v>
      </c>
      <c r="D4485">
        <v>2208.13</v>
      </c>
      <c r="E4485">
        <v>2018</v>
      </c>
      <c r="F4485" t="s">
        <v>69</v>
      </c>
    </row>
    <row r="4486" spans="1:6" x14ac:dyDescent="0.25">
      <c r="A4486" t="s">
        <v>32</v>
      </c>
      <c r="B4486" t="s">
        <v>33</v>
      </c>
      <c r="C4486" t="s">
        <v>65</v>
      </c>
      <c r="D4486">
        <v>708.4</v>
      </c>
      <c r="E4486">
        <v>2018</v>
      </c>
      <c r="F4486" t="s">
        <v>69</v>
      </c>
    </row>
    <row r="4487" spans="1:6" x14ac:dyDescent="0.25">
      <c r="A4487" t="s">
        <v>34</v>
      </c>
      <c r="B4487" t="s">
        <v>35</v>
      </c>
      <c r="C4487" t="s">
        <v>65</v>
      </c>
      <c r="D4487">
        <v>1773.62</v>
      </c>
      <c r="E4487">
        <v>2018</v>
      </c>
      <c r="F4487" t="s">
        <v>69</v>
      </c>
    </row>
    <row r="4488" spans="1:6" x14ac:dyDescent="0.25">
      <c r="A4488" t="s">
        <v>36</v>
      </c>
      <c r="B4488" t="s">
        <v>37</v>
      </c>
      <c r="C4488" t="s">
        <v>65</v>
      </c>
      <c r="D4488">
        <v>1612.87</v>
      </c>
      <c r="E4488">
        <v>2018</v>
      </c>
      <c r="F4488" t="s">
        <v>69</v>
      </c>
    </row>
    <row r="4489" spans="1:6" x14ac:dyDescent="0.25">
      <c r="A4489" t="s">
        <v>38</v>
      </c>
      <c r="B4489" t="s">
        <v>39</v>
      </c>
      <c r="C4489" t="s">
        <v>65</v>
      </c>
      <c r="D4489">
        <v>1302.51</v>
      </c>
      <c r="E4489">
        <v>2018</v>
      </c>
      <c r="F4489" t="s">
        <v>69</v>
      </c>
    </row>
    <row r="4490" spans="1:6" x14ac:dyDescent="0.25">
      <c r="A4490" t="s">
        <v>40</v>
      </c>
      <c r="B4490" t="s">
        <v>41</v>
      </c>
      <c r="C4490" t="s">
        <v>65</v>
      </c>
      <c r="D4490">
        <v>1727.79</v>
      </c>
      <c r="E4490">
        <v>2018</v>
      </c>
      <c r="F4490" t="s">
        <v>69</v>
      </c>
    </row>
    <row r="4491" spans="1:6" x14ac:dyDescent="0.25">
      <c r="A4491" t="s">
        <v>42</v>
      </c>
      <c r="B4491" t="s">
        <v>43</v>
      </c>
      <c r="C4491" t="s">
        <v>65</v>
      </c>
      <c r="D4491">
        <v>3193.1</v>
      </c>
      <c r="E4491">
        <v>2018</v>
      </c>
      <c r="F4491" t="s">
        <v>69</v>
      </c>
    </row>
    <row r="4492" spans="1:6" x14ac:dyDescent="0.25">
      <c r="A4492" t="s">
        <v>44</v>
      </c>
      <c r="B4492" t="s">
        <v>45</v>
      </c>
      <c r="C4492" t="s">
        <v>65</v>
      </c>
      <c r="D4492">
        <v>4264.76</v>
      </c>
      <c r="E4492">
        <v>2018</v>
      </c>
      <c r="F4492" t="s">
        <v>69</v>
      </c>
    </row>
    <row r="4493" spans="1:6" x14ac:dyDescent="0.25">
      <c r="A4493" t="s">
        <v>46</v>
      </c>
      <c r="B4493" t="s">
        <v>47</v>
      </c>
      <c r="C4493" t="s">
        <v>65</v>
      </c>
      <c r="D4493">
        <v>3742.68</v>
      </c>
      <c r="E4493">
        <v>2018</v>
      </c>
      <c r="F4493" t="s">
        <v>69</v>
      </c>
    </row>
    <row r="4494" spans="1:6" x14ac:dyDescent="0.25">
      <c r="A4494" t="s">
        <v>48</v>
      </c>
      <c r="B4494" t="s">
        <v>49</v>
      </c>
      <c r="C4494" t="s">
        <v>65</v>
      </c>
      <c r="D4494">
        <v>1729.36</v>
      </c>
      <c r="E4494">
        <v>2018</v>
      </c>
      <c r="F4494" t="s">
        <v>69</v>
      </c>
    </row>
    <row r="4495" spans="1:6" x14ac:dyDescent="0.25">
      <c r="A4495" t="s">
        <v>50</v>
      </c>
      <c r="B4495" t="s">
        <v>51</v>
      </c>
      <c r="C4495" t="s">
        <v>65</v>
      </c>
      <c r="D4495">
        <v>129.53</v>
      </c>
      <c r="E4495">
        <v>2018</v>
      </c>
      <c r="F4495" t="s">
        <v>69</v>
      </c>
    </row>
    <row r="4496" spans="1:6" x14ac:dyDescent="0.25">
      <c r="A4496" t="s">
        <v>52</v>
      </c>
      <c r="B4496" t="s">
        <v>53</v>
      </c>
      <c r="C4496" t="s">
        <v>65</v>
      </c>
      <c r="D4496">
        <v>180</v>
      </c>
      <c r="E4496">
        <v>2018</v>
      </c>
      <c r="F4496" t="s">
        <v>69</v>
      </c>
    </row>
    <row r="4497" spans="1:6" x14ac:dyDescent="0.25">
      <c r="A4497" t="s">
        <v>54</v>
      </c>
      <c r="B4497" t="s">
        <v>55</v>
      </c>
      <c r="C4497" t="s">
        <v>65</v>
      </c>
      <c r="D4497">
        <v>113.97</v>
      </c>
      <c r="E4497">
        <v>2018</v>
      </c>
      <c r="F4497" t="s">
        <v>69</v>
      </c>
    </row>
    <row r="4498" spans="1:6" x14ac:dyDescent="0.25">
      <c r="A4498" t="s">
        <v>56</v>
      </c>
      <c r="B4498" t="s">
        <v>57</v>
      </c>
      <c r="C4498" t="s">
        <v>65</v>
      </c>
      <c r="E4498">
        <v>2018</v>
      </c>
      <c r="F4498" t="s">
        <v>69</v>
      </c>
    </row>
    <row r="4499" spans="1:6" x14ac:dyDescent="0.25">
      <c r="A4499" t="s">
        <v>58</v>
      </c>
      <c r="B4499" t="s">
        <v>59</v>
      </c>
      <c r="C4499" t="s">
        <v>65</v>
      </c>
      <c r="E4499">
        <v>2018</v>
      </c>
      <c r="F4499" t="s">
        <v>69</v>
      </c>
    </row>
    <row r="4500" spans="1:6" x14ac:dyDescent="0.25">
      <c r="A4500" t="s">
        <v>6</v>
      </c>
      <c r="B4500" t="s">
        <v>7</v>
      </c>
      <c r="C4500" t="s">
        <v>62</v>
      </c>
      <c r="D4500">
        <v>9376.24</v>
      </c>
      <c r="E4500">
        <v>2018</v>
      </c>
      <c r="F4500" t="s">
        <v>69</v>
      </c>
    </row>
    <row r="4501" spans="1:6" x14ac:dyDescent="0.25">
      <c r="A4501" t="s">
        <v>10</v>
      </c>
      <c r="B4501" t="s">
        <v>11</v>
      </c>
      <c r="C4501" t="s">
        <v>62</v>
      </c>
      <c r="D4501">
        <v>3814.09</v>
      </c>
      <c r="E4501">
        <v>2018</v>
      </c>
      <c r="F4501" t="s">
        <v>69</v>
      </c>
    </row>
    <row r="4502" spans="1:6" x14ac:dyDescent="0.25">
      <c r="A4502" t="s">
        <v>12</v>
      </c>
      <c r="B4502" t="s">
        <v>13</v>
      </c>
      <c r="C4502" t="s">
        <v>62</v>
      </c>
      <c r="D4502">
        <v>364.85</v>
      </c>
      <c r="E4502">
        <v>2018</v>
      </c>
      <c r="F4502" t="s">
        <v>69</v>
      </c>
    </row>
    <row r="4503" spans="1:6" x14ac:dyDescent="0.25">
      <c r="A4503" t="s">
        <v>14</v>
      </c>
      <c r="B4503" t="s">
        <v>15</v>
      </c>
      <c r="C4503" t="s">
        <v>62</v>
      </c>
      <c r="E4503">
        <v>2018</v>
      </c>
      <c r="F4503" t="s">
        <v>69</v>
      </c>
    </row>
    <row r="4504" spans="1:6" x14ac:dyDescent="0.25">
      <c r="A4504" t="s">
        <v>16</v>
      </c>
      <c r="B4504" t="s">
        <v>17</v>
      </c>
      <c r="C4504" t="s">
        <v>62</v>
      </c>
      <c r="D4504">
        <v>381.89</v>
      </c>
      <c r="E4504">
        <v>2018</v>
      </c>
      <c r="F4504" t="s">
        <v>69</v>
      </c>
    </row>
    <row r="4505" spans="1:6" x14ac:dyDescent="0.25">
      <c r="A4505" t="s">
        <v>18</v>
      </c>
      <c r="B4505" t="s">
        <v>19</v>
      </c>
      <c r="C4505" t="s">
        <v>62</v>
      </c>
      <c r="D4505">
        <v>467.75</v>
      </c>
      <c r="E4505">
        <v>2018</v>
      </c>
      <c r="F4505" t="s">
        <v>69</v>
      </c>
    </row>
    <row r="4506" spans="1:6" x14ac:dyDescent="0.25">
      <c r="A4506" t="s">
        <v>20</v>
      </c>
      <c r="B4506" t="s">
        <v>21</v>
      </c>
      <c r="C4506" t="s">
        <v>62</v>
      </c>
      <c r="D4506">
        <v>60.47</v>
      </c>
      <c r="E4506">
        <v>2018</v>
      </c>
      <c r="F4506" t="s">
        <v>69</v>
      </c>
    </row>
    <row r="4507" spans="1:6" x14ac:dyDescent="0.25">
      <c r="A4507" t="s">
        <v>22</v>
      </c>
      <c r="B4507" t="s">
        <v>23</v>
      </c>
      <c r="C4507" t="s">
        <v>62</v>
      </c>
      <c r="D4507">
        <v>64.489999999999995</v>
      </c>
      <c r="E4507">
        <v>2018</v>
      </c>
      <c r="F4507" t="s">
        <v>69</v>
      </c>
    </row>
    <row r="4508" spans="1:6" x14ac:dyDescent="0.25">
      <c r="A4508" t="s">
        <v>24</v>
      </c>
      <c r="B4508" t="s">
        <v>25</v>
      </c>
      <c r="C4508" t="s">
        <v>62</v>
      </c>
      <c r="D4508">
        <v>180.9</v>
      </c>
      <c r="E4508">
        <v>2018</v>
      </c>
      <c r="F4508" t="s">
        <v>69</v>
      </c>
    </row>
    <row r="4509" spans="1:6" x14ac:dyDescent="0.25">
      <c r="A4509" t="s">
        <v>26</v>
      </c>
      <c r="B4509" t="s">
        <v>27</v>
      </c>
      <c r="C4509" t="s">
        <v>62</v>
      </c>
      <c r="D4509">
        <v>136.66</v>
      </c>
      <c r="E4509">
        <v>2018</v>
      </c>
      <c r="F4509" t="s">
        <v>69</v>
      </c>
    </row>
    <row r="4510" spans="1:6" x14ac:dyDescent="0.25">
      <c r="A4510" t="s">
        <v>28</v>
      </c>
      <c r="B4510" t="s">
        <v>29</v>
      </c>
      <c r="C4510" t="s">
        <v>62</v>
      </c>
      <c r="D4510">
        <v>298.17</v>
      </c>
      <c r="E4510">
        <v>2018</v>
      </c>
      <c r="F4510" t="s">
        <v>69</v>
      </c>
    </row>
    <row r="4511" spans="1:6" x14ac:dyDescent="0.25">
      <c r="A4511" t="s">
        <v>30</v>
      </c>
      <c r="B4511" t="s">
        <v>31</v>
      </c>
      <c r="C4511" t="s">
        <v>62</v>
      </c>
      <c r="D4511">
        <v>621.6</v>
      </c>
      <c r="E4511">
        <v>2018</v>
      </c>
      <c r="F4511" t="s">
        <v>69</v>
      </c>
    </row>
    <row r="4512" spans="1:6" x14ac:dyDescent="0.25">
      <c r="A4512" t="s">
        <v>32</v>
      </c>
      <c r="B4512" t="s">
        <v>33</v>
      </c>
      <c r="C4512" t="s">
        <v>62</v>
      </c>
      <c r="D4512">
        <v>249.45</v>
      </c>
      <c r="E4512">
        <v>2018</v>
      </c>
      <c r="F4512" t="s">
        <v>69</v>
      </c>
    </row>
    <row r="4513" spans="1:6" x14ac:dyDescent="0.25">
      <c r="A4513" t="s">
        <v>34</v>
      </c>
      <c r="B4513" t="s">
        <v>35</v>
      </c>
      <c r="C4513" t="s">
        <v>62</v>
      </c>
      <c r="D4513">
        <v>510.35</v>
      </c>
      <c r="E4513">
        <v>2018</v>
      </c>
      <c r="F4513" t="s">
        <v>69</v>
      </c>
    </row>
    <row r="4514" spans="1:6" x14ac:dyDescent="0.25">
      <c r="A4514" t="s">
        <v>36</v>
      </c>
      <c r="B4514" t="s">
        <v>37</v>
      </c>
      <c r="C4514" t="s">
        <v>62</v>
      </c>
      <c r="D4514">
        <v>594.12</v>
      </c>
      <c r="E4514">
        <v>2018</v>
      </c>
      <c r="F4514" t="s">
        <v>69</v>
      </c>
    </row>
    <row r="4515" spans="1:6" x14ac:dyDescent="0.25">
      <c r="A4515" t="s">
        <v>38</v>
      </c>
      <c r="B4515" t="s">
        <v>39</v>
      </c>
      <c r="C4515" t="s">
        <v>62</v>
      </c>
      <c r="D4515">
        <v>364.69</v>
      </c>
      <c r="E4515">
        <v>2018</v>
      </c>
      <c r="F4515" t="s">
        <v>69</v>
      </c>
    </row>
    <row r="4516" spans="1:6" x14ac:dyDescent="0.25">
      <c r="A4516" t="s">
        <v>40</v>
      </c>
      <c r="B4516" t="s">
        <v>41</v>
      </c>
      <c r="C4516" t="s">
        <v>62</v>
      </c>
      <c r="D4516">
        <v>459.86</v>
      </c>
      <c r="E4516">
        <v>2018</v>
      </c>
      <c r="F4516" t="s">
        <v>69</v>
      </c>
    </row>
    <row r="4517" spans="1:6" x14ac:dyDescent="0.25">
      <c r="A4517" t="s">
        <v>42</v>
      </c>
      <c r="B4517" t="s">
        <v>43</v>
      </c>
      <c r="C4517" t="s">
        <v>62</v>
      </c>
      <c r="D4517">
        <v>7.12</v>
      </c>
      <c r="E4517">
        <v>2018</v>
      </c>
      <c r="F4517" t="s">
        <v>69</v>
      </c>
    </row>
    <row r="4518" spans="1:6" x14ac:dyDescent="0.25">
      <c r="A4518" t="s">
        <v>44</v>
      </c>
      <c r="B4518" t="s">
        <v>45</v>
      </c>
      <c r="C4518" t="s">
        <v>62</v>
      </c>
      <c r="D4518">
        <v>126.47</v>
      </c>
      <c r="E4518">
        <v>2018</v>
      </c>
      <c r="F4518" t="s">
        <v>69</v>
      </c>
    </row>
    <row r="4519" spans="1:6" x14ac:dyDescent="0.25">
      <c r="A4519" t="s">
        <v>46</v>
      </c>
      <c r="B4519" t="s">
        <v>47</v>
      </c>
      <c r="C4519" t="s">
        <v>62</v>
      </c>
      <c r="D4519">
        <v>140.91</v>
      </c>
      <c r="E4519">
        <v>2018</v>
      </c>
      <c r="F4519" t="s">
        <v>69</v>
      </c>
    </row>
    <row r="4520" spans="1:6" x14ac:dyDescent="0.25">
      <c r="A4520" t="s">
        <v>48</v>
      </c>
      <c r="B4520" t="s">
        <v>49</v>
      </c>
      <c r="C4520" t="s">
        <v>62</v>
      </c>
      <c r="D4520">
        <v>123.75</v>
      </c>
      <c r="E4520">
        <v>2018</v>
      </c>
      <c r="F4520" t="s">
        <v>69</v>
      </c>
    </row>
    <row r="4521" spans="1:6" x14ac:dyDescent="0.25">
      <c r="A4521" t="s">
        <v>50</v>
      </c>
      <c r="B4521" t="s">
        <v>51</v>
      </c>
      <c r="C4521" t="s">
        <v>62</v>
      </c>
      <c r="D4521">
        <v>35.979999999999997</v>
      </c>
      <c r="E4521">
        <v>2018</v>
      </c>
      <c r="F4521" t="s">
        <v>69</v>
      </c>
    </row>
    <row r="4522" spans="1:6" x14ac:dyDescent="0.25">
      <c r="A4522" t="s">
        <v>52</v>
      </c>
      <c r="B4522" t="s">
        <v>53</v>
      </c>
      <c r="C4522" t="s">
        <v>62</v>
      </c>
      <c r="D4522">
        <v>94.09</v>
      </c>
      <c r="E4522">
        <v>2018</v>
      </c>
      <c r="F4522" t="s">
        <v>69</v>
      </c>
    </row>
    <row r="4523" spans="1:6" x14ac:dyDescent="0.25">
      <c r="A4523" t="s">
        <v>54</v>
      </c>
      <c r="B4523" t="s">
        <v>55</v>
      </c>
      <c r="C4523" t="s">
        <v>62</v>
      </c>
      <c r="D4523">
        <v>117.72</v>
      </c>
      <c r="E4523">
        <v>2018</v>
      </c>
      <c r="F4523" t="s">
        <v>69</v>
      </c>
    </row>
    <row r="4524" spans="1:6" x14ac:dyDescent="0.25">
      <c r="A4524" t="s">
        <v>56</v>
      </c>
      <c r="B4524" t="s">
        <v>57</v>
      </c>
      <c r="C4524" t="s">
        <v>62</v>
      </c>
      <c r="D4524">
        <v>160.86000000000001</v>
      </c>
      <c r="E4524">
        <v>2018</v>
      </c>
      <c r="F4524" t="s">
        <v>69</v>
      </c>
    </row>
    <row r="4525" spans="1:6" x14ac:dyDescent="0.25">
      <c r="A4525" t="s">
        <v>58</v>
      </c>
      <c r="B4525" t="s">
        <v>59</v>
      </c>
      <c r="C4525" t="s">
        <v>62</v>
      </c>
      <c r="E4525">
        <v>2018</v>
      </c>
      <c r="F4525" t="s">
        <v>69</v>
      </c>
    </row>
    <row r="4526" spans="1:6" x14ac:dyDescent="0.25">
      <c r="A4526" t="s">
        <v>6</v>
      </c>
      <c r="B4526" t="s">
        <v>7</v>
      </c>
      <c r="C4526" t="s">
        <v>66</v>
      </c>
      <c r="D4526">
        <v>1961.41</v>
      </c>
      <c r="E4526">
        <v>2018</v>
      </c>
      <c r="F4526" t="s">
        <v>69</v>
      </c>
    </row>
    <row r="4527" spans="1:6" x14ac:dyDescent="0.25">
      <c r="A4527" t="s">
        <v>10</v>
      </c>
      <c r="B4527" t="s">
        <v>11</v>
      </c>
      <c r="C4527" t="s">
        <v>66</v>
      </c>
      <c r="D4527">
        <v>899.63</v>
      </c>
      <c r="E4527">
        <v>2018</v>
      </c>
      <c r="F4527" t="s">
        <v>69</v>
      </c>
    </row>
    <row r="4528" spans="1:6" x14ac:dyDescent="0.25">
      <c r="A4528" t="s">
        <v>12</v>
      </c>
      <c r="B4528" t="s">
        <v>13</v>
      </c>
      <c r="C4528" t="s">
        <v>66</v>
      </c>
      <c r="D4528">
        <v>119.46</v>
      </c>
      <c r="E4528">
        <v>2018</v>
      </c>
      <c r="F4528" t="s">
        <v>69</v>
      </c>
    </row>
    <row r="4529" spans="1:6" x14ac:dyDescent="0.25">
      <c r="A4529" t="s">
        <v>14</v>
      </c>
      <c r="B4529" t="s">
        <v>15</v>
      </c>
      <c r="C4529" t="s">
        <v>66</v>
      </c>
      <c r="E4529">
        <v>2018</v>
      </c>
      <c r="F4529" t="s">
        <v>69</v>
      </c>
    </row>
    <row r="4530" spans="1:6" x14ac:dyDescent="0.25">
      <c r="A4530" t="s">
        <v>16</v>
      </c>
      <c r="B4530" t="s">
        <v>17</v>
      </c>
      <c r="C4530" t="s">
        <v>66</v>
      </c>
      <c r="D4530">
        <v>21.24</v>
      </c>
      <c r="E4530">
        <v>2018</v>
      </c>
      <c r="F4530" t="s">
        <v>69</v>
      </c>
    </row>
    <row r="4531" spans="1:6" x14ac:dyDescent="0.25">
      <c r="A4531" t="s">
        <v>18</v>
      </c>
      <c r="B4531" t="s">
        <v>19</v>
      </c>
      <c r="C4531" t="s">
        <v>66</v>
      </c>
      <c r="D4531">
        <v>15.43</v>
      </c>
      <c r="E4531">
        <v>2018</v>
      </c>
      <c r="F4531" t="s">
        <v>69</v>
      </c>
    </row>
    <row r="4532" spans="1:6" x14ac:dyDescent="0.25">
      <c r="A4532" t="s">
        <v>20</v>
      </c>
      <c r="B4532" t="s">
        <v>21</v>
      </c>
      <c r="C4532" t="s">
        <v>66</v>
      </c>
      <c r="D4532">
        <v>60.7</v>
      </c>
      <c r="E4532">
        <v>2018</v>
      </c>
      <c r="F4532" t="s">
        <v>69</v>
      </c>
    </row>
    <row r="4533" spans="1:6" x14ac:dyDescent="0.25">
      <c r="A4533" t="s">
        <v>22</v>
      </c>
      <c r="B4533" t="s">
        <v>23</v>
      </c>
      <c r="C4533" t="s">
        <v>66</v>
      </c>
      <c r="D4533">
        <v>31.57</v>
      </c>
      <c r="E4533">
        <v>2018</v>
      </c>
      <c r="F4533" t="s">
        <v>69</v>
      </c>
    </row>
    <row r="4534" spans="1:6" x14ac:dyDescent="0.25">
      <c r="A4534" t="s">
        <v>24</v>
      </c>
      <c r="B4534" t="s">
        <v>25</v>
      </c>
      <c r="C4534" t="s">
        <v>66</v>
      </c>
      <c r="D4534">
        <v>59.52</v>
      </c>
      <c r="E4534">
        <v>2018</v>
      </c>
      <c r="F4534" t="s">
        <v>69</v>
      </c>
    </row>
    <row r="4535" spans="1:6" x14ac:dyDescent="0.25">
      <c r="A4535" t="s">
        <v>26</v>
      </c>
      <c r="B4535" t="s">
        <v>27</v>
      </c>
      <c r="C4535" t="s">
        <v>66</v>
      </c>
      <c r="D4535">
        <v>39.25</v>
      </c>
      <c r="E4535">
        <v>2018</v>
      </c>
      <c r="F4535" t="s">
        <v>69</v>
      </c>
    </row>
    <row r="4536" spans="1:6" x14ac:dyDescent="0.25">
      <c r="A4536" t="s">
        <v>28</v>
      </c>
      <c r="B4536" t="s">
        <v>29</v>
      </c>
      <c r="C4536" t="s">
        <v>66</v>
      </c>
      <c r="D4536">
        <v>51.51</v>
      </c>
      <c r="E4536">
        <v>2018</v>
      </c>
      <c r="F4536" t="s">
        <v>69</v>
      </c>
    </row>
    <row r="4537" spans="1:6" x14ac:dyDescent="0.25">
      <c r="A4537" t="s">
        <v>30</v>
      </c>
      <c r="B4537" t="s">
        <v>31</v>
      </c>
      <c r="C4537" t="s">
        <v>66</v>
      </c>
      <c r="D4537">
        <v>133.47</v>
      </c>
      <c r="E4537">
        <v>2018</v>
      </c>
      <c r="F4537" t="s">
        <v>69</v>
      </c>
    </row>
    <row r="4538" spans="1:6" x14ac:dyDescent="0.25">
      <c r="A4538" t="s">
        <v>32</v>
      </c>
      <c r="B4538" t="s">
        <v>33</v>
      </c>
      <c r="C4538" t="s">
        <v>66</v>
      </c>
      <c r="D4538">
        <v>152.30000000000001</v>
      </c>
      <c r="E4538">
        <v>2018</v>
      </c>
      <c r="F4538" t="s">
        <v>69</v>
      </c>
    </row>
    <row r="4539" spans="1:6" x14ac:dyDescent="0.25">
      <c r="A4539" t="s">
        <v>34</v>
      </c>
      <c r="B4539" t="s">
        <v>35</v>
      </c>
      <c r="C4539" t="s">
        <v>66</v>
      </c>
      <c r="D4539">
        <v>74.150000000000006</v>
      </c>
      <c r="E4539">
        <v>2018</v>
      </c>
      <c r="F4539" t="s">
        <v>69</v>
      </c>
    </row>
    <row r="4540" spans="1:6" x14ac:dyDescent="0.25">
      <c r="A4540" t="s">
        <v>36</v>
      </c>
      <c r="B4540" t="s">
        <v>37</v>
      </c>
      <c r="C4540" t="s">
        <v>66</v>
      </c>
      <c r="D4540">
        <v>67.56</v>
      </c>
      <c r="E4540">
        <v>2018</v>
      </c>
      <c r="F4540" t="s">
        <v>69</v>
      </c>
    </row>
    <row r="4541" spans="1:6" x14ac:dyDescent="0.25">
      <c r="A4541" t="s">
        <v>38</v>
      </c>
      <c r="B4541" t="s">
        <v>39</v>
      </c>
      <c r="C4541" t="s">
        <v>66</v>
      </c>
      <c r="D4541">
        <v>14.79</v>
      </c>
      <c r="E4541">
        <v>2018</v>
      </c>
      <c r="F4541" t="s">
        <v>69</v>
      </c>
    </row>
    <row r="4542" spans="1:6" x14ac:dyDescent="0.25">
      <c r="A4542" t="s">
        <v>40</v>
      </c>
      <c r="B4542" t="s">
        <v>41</v>
      </c>
      <c r="C4542" t="s">
        <v>66</v>
      </c>
      <c r="D4542">
        <v>62.36</v>
      </c>
      <c r="E4542">
        <v>2018</v>
      </c>
      <c r="F4542" t="s">
        <v>69</v>
      </c>
    </row>
    <row r="4543" spans="1:6" x14ac:dyDescent="0.25">
      <c r="A4543" t="s">
        <v>42</v>
      </c>
      <c r="B4543" t="s">
        <v>43</v>
      </c>
      <c r="C4543" t="s">
        <v>66</v>
      </c>
      <c r="D4543">
        <v>0.9</v>
      </c>
      <c r="E4543">
        <v>2018</v>
      </c>
      <c r="F4543" t="s">
        <v>69</v>
      </c>
    </row>
    <row r="4544" spans="1:6" x14ac:dyDescent="0.25">
      <c r="A4544" t="s">
        <v>44</v>
      </c>
      <c r="B4544" t="s">
        <v>45</v>
      </c>
      <c r="C4544" t="s">
        <v>66</v>
      </c>
      <c r="D4544">
        <v>18.03</v>
      </c>
      <c r="E4544">
        <v>2018</v>
      </c>
      <c r="F4544" t="s">
        <v>69</v>
      </c>
    </row>
    <row r="4545" spans="1:6" x14ac:dyDescent="0.25">
      <c r="A4545" t="s">
        <v>46</v>
      </c>
      <c r="B4545" t="s">
        <v>47</v>
      </c>
      <c r="C4545" t="s">
        <v>66</v>
      </c>
      <c r="D4545">
        <v>3.96</v>
      </c>
      <c r="E4545">
        <v>2018</v>
      </c>
      <c r="F4545" t="s">
        <v>69</v>
      </c>
    </row>
    <row r="4546" spans="1:6" x14ac:dyDescent="0.25">
      <c r="A4546" t="s">
        <v>48</v>
      </c>
      <c r="B4546" t="s">
        <v>49</v>
      </c>
      <c r="C4546" t="s">
        <v>66</v>
      </c>
      <c r="D4546">
        <v>49.78</v>
      </c>
      <c r="E4546">
        <v>2018</v>
      </c>
      <c r="F4546" t="s">
        <v>69</v>
      </c>
    </row>
    <row r="4547" spans="1:6" x14ac:dyDescent="0.25">
      <c r="A4547" t="s">
        <v>50</v>
      </c>
      <c r="B4547" t="s">
        <v>51</v>
      </c>
      <c r="C4547" t="s">
        <v>66</v>
      </c>
      <c r="E4547">
        <v>2018</v>
      </c>
      <c r="F4547" t="s">
        <v>69</v>
      </c>
    </row>
    <row r="4548" spans="1:6" x14ac:dyDescent="0.25">
      <c r="A4548" t="s">
        <v>52</v>
      </c>
      <c r="B4548" t="s">
        <v>53</v>
      </c>
      <c r="C4548" t="s">
        <v>66</v>
      </c>
      <c r="D4548">
        <v>16.41</v>
      </c>
      <c r="E4548">
        <v>2018</v>
      </c>
      <c r="F4548" t="s">
        <v>69</v>
      </c>
    </row>
    <row r="4549" spans="1:6" x14ac:dyDescent="0.25">
      <c r="A4549" t="s">
        <v>54</v>
      </c>
      <c r="B4549" t="s">
        <v>55</v>
      </c>
      <c r="C4549" t="s">
        <v>66</v>
      </c>
      <c r="D4549">
        <v>9.75</v>
      </c>
      <c r="E4549">
        <v>2018</v>
      </c>
      <c r="F4549" t="s">
        <v>69</v>
      </c>
    </row>
    <row r="4550" spans="1:6" x14ac:dyDescent="0.25">
      <c r="A4550" t="s">
        <v>56</v>
      </c>
      <c r="B4550" t="s">
        <v>57</v>
      </c>
      <c r="C4550" t="s">
        <v>66</v>
      </c>
      <c r="D4550">
        <v>59.64</v>
      </c>
      <c r="E4550">
        <v>2018</v>
      </c>
      <c r="F4550" t="s">
        <v>69</v>
      </c>
    </row>
    <row r="4551" spans="1:6" x14ac:dyDescent="0.25">
      <c r="A4551" t="s">
        <v>58</v>
      </c>
      <c r="B4551" t="s">
        <v>59</v>
      </c>
      <c r="C4551" t="s">
        <v>66</v>
      </c>
      <c r="E4551">
        <v>2018</v>
      </c>
      <c r="F4551" t="s">
        <v>69</v>
      </c>
    </row>
    <row r="4552" spans="1:6" x14ac:dyDescent="0.25">
      <c r="A4552" t="s">
        <v>6</v>
      </c>
      <c r="B4552" t="s">
        <v>7</v>
      </c>
      <c r="C4552" t="s">
        <v>63</v>
      </c>
      <c r="D4552">
        <v>101689.13</v>
      </c>
      <c r="E4552">
        <v>2019</v>
      </c>
      <c r="F4552" t="s">
        <v>69</v>
      </c>
    </row>
    <row r="4553" spans="1:6" x14ac:dyDescent="0.25">
      <c r="A4553" t="s">
        <v>10</v>
      </c>
      <c r="B4553" t="s">
        <v>11</v>
      </c>
      <c r="C4553" t="s">
        <v>63</v>
      </c>
      <c r="D4553">
        <v>17612.54</v>
      </c>
      <c r="E4553">
        <v>2019</v>
      </c>
      <c r="F4553" t="s">
        <v>69</v>
      </c>
    </row>
    <row r="4554" spans="1:6" x14ac:dyDescent="0.25">
      <c r="A4554" t="s">
        <v>12</v>
      </c>
      <c r="B4554" t="s">
        <v>13</v>
      </c>
      <c r="C4554" t="s">
        <v>63</v>
      </c>
      <c r="D4554">
        <v>2928.92</v>
      </c>
      <c r="E4554">
        <v>2019</v>
      </c>
      <c r="F4554" t="s">
        <v>69</v>
      </c>
    </row>
    <row r="4555" spans="1:6" x14ac:dyDescent="0.25">
      <c r="A4555" t="s">
        <v>14</v>
      </c>
      <c r="B4555" t="s">
        <v>15</v>
      </c>
      <c r="C4555" t="s">
        <v>63</v>
      </c>
      <c r="D4555">
        <v>465.48</v>
      </c>
      <c r="E4555">
        <v>2019</v>
      </c>
      <c r="F4555" t="s">
        <v>69</v>
      </c>
    </row>
    <row r="4556" spans="1:6" x14ac:dyDescent="0.25">
      <c r="A4556" t="s">
        <v>16</v>
      </c>
      <c r="B4556" t="s">
        <v>17</v>
      </c>
      <c r="C4556" t="s">
        <v>63</v>
      </c>
      <c r="D4556">
        <v>2290.59</v>
      </c>
      <c r="E4556">
        <v>2019</v>
      </c>
      <c r="F4556" t="s">
        <v>69</v>
      </c>
    </row>
    <row r="4557" spans="1:6" x14ac:dyDescent="0.25">
      <c r="A4557" t="s">
        <v>18</v>
      </c>
      <c r="B4557" t="s">
        <v>19</v>
      </c>
      <c r="C4557" t="s">
        <v>63</v>
      </c>
      <c r="D4557">
        <v>2647.21</v>
      </c>
      <c r="E4557">
        <v>2019</v>
      </c>
      <c r="F4557" t="s">
        <v>69</v>
      </c>
    </row>
    <row r="4558" spans="1:6" x14ac:dyDescent="0.25">
      <c r="A4558" t="s">
        <v>20</v>
      </c>
      <c r="B4558" t="s">
        <v>21</v>
      </c>
      <c r="C4558" t="s">
        <v>63</v>
      </c>
      <c r="D4558">
        <v>2129.54</v>
      </c>
      <c r="E4558">
        <v>2019</v>
      </c>
      <c r="F4558" t="s">
        <v>69</v>
      </c>
    </row>
    <row r="4559" spans="1:6" x14ac:dyDescent="0.25">
      <c r="A4559" t="s">
        <v>22</v>
      </c>
      <c r="B4559" t="s">
        <v>23</v>
      </c>
      <c r="C4559" t="s">
        <v>63</v>
      </c>
      <c r="D4559">
        <v>1065.57</v>
      </c>
      <c r="E4559">
        <v>2019</v>
      </c>
      <c r="F4559" t="s">
        <v>69</v>
      </c>
    </row>
    <row r="4560" spans="1:6" x14ac:dyDescent="0.25">
      <c r="A4560" t="s">
        <v>24</v>
      </c>
      <c r="B4560" t="s">
        <v>25</v>
      </c>
      <c r="C4560" t="s">
        <v>63</v>
      </c>
      <c r="D4560">
        <v>3605.64</v>
      </c>
      <c r="E4560">
        <v>2019</v>
      </c>
      <c r="F4560" t="s">
        <v>69</v>
      </c>
    </row>
    <row r="4561" spans="1:6" x14ac:dyDescent="0.25">
      <c r="A4561" t="s">
        <v>26</v>
      </c>
      <c r="B4561" t="s">
        <v>27</v>
      </c>
      <c r="C4561" t="s">
        <v>63</v>
      </c>
      <c r="D4561">
        <v>772.36</v>
      </c>
      <c r="E4561">
        <v>2019</v>
      </c>
      <c r="F4561" t="s">
        <v>69</v>
      </c>
    </row>
    <row r="4562" spans="1:6" x14ac:dyDescent="0.25">
      <c r="A4562" t="s">
        <v>28</v>
      </c>
      <c r="B4562" t="s">
        <v>29</v>
      </c>
      <c r="C4562" t="s">
        <v>63</v>
      </c>
      <c r="D4562">
        <v>6560.26</v>
      </c>
      <c r="E4562">
        <v>2019</v>
      </c>
      <c r="F4562" t="s">
        <v>69</v>
      </c>
    </row>
    <row r="4563" spans="1:6" x14ac:dyDescent="0.25">
      <c r="A4563" t="s">
        <v>30</v>
      </c>
      <c r="B4563" t="s">
        <v>31</v>
      </c>
      <c r="C4563" t="s">
        <v>63</v>
      </c>
      <c r="D4563">
        <v>10448.36</v>
      </c>
      <c r="E4563">
        <v>2019</v>
      </c>
      <c r="F4563" t="s">
        <v>69</v>
      </c>
    </row>
    <row r="4564" spans="1:6" x14ac:dyDescent="0.25">
      <c r="A4564" t="s">
        <v>32</v>
      </c>
      <c r="B4564" t="s">
        <v>33</v>
      </c>
      <c r="C4564" t="s">
        <v>63</v>
      </c>
      <c r="D4564">
        <v>3614.56</v>
      </c>
      <c r="E4564">
        <v>2019</v>
      </c>
      <c r="F4564" t="s">
        <v>69</v>
      </c>
    </row>
    <row r="4565" spans="1:6" x14ac:dyDescent="0.25">
      <c r="A4565" t="s">
        <v>34</v>
      </c>
      <c r="B4565" t="s">
        <v>35</v>
      </c>
      <c r="C4565" t="s">
        <v>63</v>
      </c>
      <c r="D4565">
        <v>4629.99</v>
      </c>
      <c r="E4565">
        <v>2019</v>
      </c>
      <c r="F4565" t="s">
        <v>69</v>
      </c>
    </row>
    <row r="4566" spans="1:6" x14ac:dyDescent="0.25">
      <c r="A4566" t="s">
        <v>36</v>
      </c>
      <c r="B4566" t="s">
        <v>37</v>
      </c>
      <c r="C4566" t="s">
        <v>63</v>
      </c>
      <c r="D4566">
        <v>3797</v>
      </c>
      <c r="E4566">
        <v>2019</v>
      </c>
      <c r="F4566" t="s">
        <v>69</v>
      </c>
    </row>
    <row r="4567" spans="1:6" x14ac:dyDescent="0.25">
      <c r="A4567" t="s">
        <v>38</v>
      </c>
      <c r="B4567" t="s">
        <v>39</v>
      </c>
      <c r="C4567" t="s">
        <v>63</v>
      </c>
      <c r="D4567">
        <v>5244.63</v>
      </c>
      <c r="E4567">
        <v>2019</v>
      </c>
      <c r="F4567" t="s">
        <v>69</v>
      </c>
    </row>
    <row r="4568" spans="1:6" x14ac:dyDescent="0.25">
      <c r="A4568" t="s">
        <v>40</v>
      </c>
      <c r="B4568" t="s">
        <v>41</v>
      </c>
      <c r="C4568" t="s">
        <v>63</v>
      </c>
      <c r="D4568">
        <v>3728.08</v>
      </c>
      <c r="E4568">
        <v>2019</v>
      </c>
      <c r="F4568" t="s">
        <v>69</v>
      </c>
    </row>
    <row r="4569" spans="1:6" x14ac:dyDescent="0.25">
      <c r="A4569" t="s">
        <v>42</v>
      </c>
      <c r="B4569" t="s">
        <v>43</v>
      </c>
      <c r="C4569" t="s">
        <v>63</v>
      </c>
      <c r="D4569">
        <v>2535.54</v>
      </c>
      <c r="E4569">
        <v>2019</v>
      </c>
      <c r="F4569" t="s">
        <v>69</v>
      </c>
    </row>
    <row r="4570" spans="1:6" x14ac:dyDescent="0.25">
      <c r="A4570" t="s">
        <v>44</v>
      </c>
      <c r="B4570" t="s">
        <v>45</v>
      </c>
      <c r="C4570" t="s">
        <v>63</v>
      </c>
      <c r="D4570">
        <v>3606.44</v>
      </c>
      <c r="E4570">
        <v>2019</v>
      </c>
      <c r="F4570" t="s">
        <v>69</v>
      </c>
    </row>
    <row r="4571" spans="1:6" x14ac:dyDescent="0.25">
      <c r="A4571" t="s">
        <v>46</v>
      </c>
      <c r="B4571" t="s">
        <v>47</v>
      </c>
      <c r="C4571" t="s">
        <v>63</v>
      </c>
      <c r="D4571">
        <v>6420.12</v>
      </c>
      <c r="E4571">
        <v>2019</v>
      </c>
      <c r="F4571" t="s">
        <v>69</v>
      </c>
    </row>
    <row r="4572" spans="1:6" x14ac:dyDescent="0.25">
      <c r="A4572" t="s">
        <v>48</v>
      </c>
      <c r="B4572" t="s">
        <v>49</v>
      </c>
      <c r="C4572" t="s">
        <v>63</v>
      </c>
      <c r="D4572">
        <v>10751.98</v>
      </c>
      <c r="E4572">
        <v>2019</v>
      </c>
      <c r="F4572" t="s">
        <v>69</v>
      </c>
    </row>
    <row r="4573" spans="1:6" x14ac:dyDescent="0.25">
      <c r="A4573" t="s">
        <v>50</v>
      </c>
      <c r="B4573" t="s">
        <v>51</v>
      </c>
      <c r="C4573" t="s">
        <v>63</v>
      </c>
      <c r="D4573">
        <v>1835.31</v>
      </c>
      <c r="E4573">
        <v>2019</v>
      </c>
      <c r="F4573" t="s">
        <v>69</v>
      </c>
    </row>
    <row r="4574" spans="1:6" x14ac:dyDescent="0.25">
      <c r="A4574" t="s">
        <v>52</v>
      </c>
      <c r="B4574" t="s">
        <v>53</v>
      </c>
      <c r="C4574" t="s">
        <v>63</v>
      </c>
      <c r="D4574">
        <v>1597.17</v>
      </c>
      <c r="E4574">
        <v>2019</v>
      </c>
      <c r="F4574" t="s">
        <v>69</v>
      </c>
    </row>
    <row r="4575" spans="1:6" x14ac:dyDescent="0.25">
      <c r="A4575" t="s">
        <v>54</v>
      </c>
      <c r="B4575" t="s">
        <v>55</v>
      </c>
      <c r="C4575" t="s">
        <v>63</v>
      </c>
      <c r="D4575">
        <v>1460.55</v>
      </c>
      <c r="E4575">
        <v>2019</v>
      </c>
      <c r="F4575" t="s">
        <v>69</v>
      </c>
    </row>
    <row r="4576" spans="1:6" x14ac:dyDescent="0.25">
      <c r="A4576" t="s">
        <v>56</v>
      </c>
      <c r="B4576" t="s">
        <v>57</v>
      </c>
      <c r="C4576" t="s">
        <v>63</v>
      </c>
      <c r="D4576">
        <v>1941.29</v>
      </c>
      <c r="E4576">
        <v>2019</v>
      </c>
      <c r="F4576" t="s">
        <v>69</v>
      </c>
    </row>
    <row r="4577" spans="1:6" x14ac:dyDescent="0.25">
      <c r="A4577" t="s">
        <v>58</v>
      </c>
      <c r="B4577" t="s">
        <v>59</v>
      </c>
      <c r="C4577" t="s">
        <v>63</v>
      </c>
      <c r="E4577">
        <v>2019</v>
      </c>
      <c r="F4577" t="s">
        <v>69</v>
      </c>
    </row>
    <row r="4578" spans="1:6" x14ac:dyDescent="0.25">
      <c r="A4578" t="s">
        <v>6</v>
      </c>
      <c r="B4578" t="s">
        <v>7</v>
      </c>
      <c r="C4578" t="s">
        <v>8</v>
      </c>
      <c r="D4578">
        <v>7238.54</v>
      </c>
      <c r="E4578">
        <v>2019</v>
      </c>
      <c r="F4578" t="s">
        <v>69</v>
      </c>
    </row>
    <row r="4579" spans="1:6" x14ac:dyDescent="0.25">
      <c r="A4579" t="s">
        <v>10</v>
      </c>
      <c r="B4579" t="s">
        <v>11</v>
      </c>
      <c r="C4579" t="s">
        <v>8</v>
      </c>
      <c r="D4579">
        <v>2046.9</v>
      </c>
      <c r="E4579">
        <v>2019</v>
      </c>
      <c r="F4579" t="s">
        <v>69</v>
      </c>
    </row>
    <row r="4580" spans="1:6" x14ac:dyDescent="0.25">
      <c r="A4580" t="s">
        <v>12</v>
      </c>
      <c r="B4580" t="s">
        <v>13</v>
      </c>
      <c r="C4580" t="s">
        <v>8</v>
      </c>
      <c r="D4580">
        <v>360.31</v>
      </c>
      <c r="E4580">
        <v>2019</v>
      </c>
      <c r="F4580" t="s">
        <v>69</v>
      </c>
    </row>
    <row r="4581" spans="1:6" x14ac:dyDescent="0.25">
      <c r="A4581" t="s">
        <v>14</v>
      </c>
      <c r="B4581" t="s">
        <v>15</v>
      </c>
      <c r="C4581" t="s">
        <v>8</v>
      </c>
      <c r="E4581">
        <v>2019</v>
      </c>
      <c r="F4581" t="s">
        <v>69</v>
      </c>
    </row>
    <row r="4582" spans="1:6" x14ac:dyDescent="0.25">
      <c r="A4582" t="s">
        <v>16</v>
      </c>
      <c r="B4582" t="s">
        <v>17</v>
      </c>
      <c r="C4582" t="s">
        <v>8</v>
      </c>
      <c r="D4582">
        <v>55.82</v>
      </c>
      <c r="E4582">
        <v>2019</v>
      </c>
      <c r="F4582" t="s">
        <v>69</v>
      </c>
    </row>
    <row r="4583" spans="1:6" x14ac:dyDescent="0.25">
      <c r="A4583" t="s">
        <v>18</v>
      </c>
      <c r="B4583" t="s">
        <v>19</v>
      </c>
      <c r="C4583" t="s">
        <v>8</v>
      </c>
      <c r="D4583">
        <v>62.8</v>
      </c>
      <c r="E4583">
        <v>2019</v>
      </c>
      <c r="F4583" t="s">
        <v>69</v>
      </c>
    </row>
    <row r="4584" spans="1:6" x14ac:dyDescent="0.25">
      <c r="A4584" t="s">
        <v>20</v>
      </c>
      <c r="B4584" t="s">
        <v>21</v>
      </c>
      <c r="C4584" t="s">
        <v>8</v>
      </c>
      <c r="D4584">
        <v>66.94</v>
      </c>
      <c r="E4584">
        <v>2019</v>
      </c>
      <c r="F4584" t="s">
        <v>69</v>
      </c>
    </row>
    <row r="4585" spans="1:6" x14ac:dyDescent="0.25">
      <c r="A4585" t="s">
        <v>22</v>
      </c>
      <c r="B4585" t="s">
        <v>23</v>
      </c>
      <c r="C4585" t="s">
        <v>8</v>
      </c>
      <c r="D4585">
        <v>381.55</v>
      </c>
      <c r="E4585">
        <v>2019</v>
      </c>
      <c r="F4585" t="s">
        <v>69</v>
      </c>
    </row>
    <row r="4586" spans="1:6" x14ac:dyDescent="0.25">
      <c r="A4586" t="s">
        <v>24</v>
      </c>
      <c r="B4586" t="s">
        <v>25</v>
      </c>
      <c r="C4586" t="s">
        <v>8</v>
      </c>
      <c r="D4586">
        <v>411.83</v>
      </c>
      <c r="E4586">
        <v>2019</v>
      </c>
      <c r="F4586" t="s">
        <v>69</v>
      </c>
    </row>
    <row r="4587" spans="1:6" x14ac:dyDescent="0.25">
      <c r="A4587" t="s">
        <v>26</v>
      </c>
      <c r="B4587" t="s">
        <v>27</v>
      </c>
      <c r="C4587" t="s">
        <v>8</v>
      </c>
      <c r="D4587">
        <v>146.08000000000001</v>
      </c>
      <c r="E4587">
        <v>2019</v>
      </c>
      <c r="F4587" t="s">
        <v>69</v>
      </c>
    </row>
    <row r="4588" spans="1:6" x14ac:dyDescent="0.25">
      <c r="A4588" t="s">
        <v>28</v>
      </c>
      <c r="B4588" t="s">
        <v>29</v>
      </c>
      <c r="C4588" t="s">
        <v>8</v>
      </c>
      <c r="E4588">
        <v>2019</v>
      </c>
      <c r="F4588" t="s">
        <v>69</v>
      </c>
    </row>
    <row r="4589" spans="1:6" x14ac:dyDescent="0.25">
      <c r="A4589" t="s">
        <v>30</v>
      </c>
      <c r="B4589" t="s">
        <v>31</v>
      </c>
      <c r="C4589" t="s">
        <v>8</v>
      </c>
      <c r="D4589">
        <v>678.59</v>
      </c>
      <c r="E4589">
        <v>2019</v>
      </c>
      <c r="F4589" t="s">
        <v>69</v>
      </c>
    </row>
    <row r="4590" spans="1:6" x14ac:dyDescent="0.25">
      <c r="A4590" t="s">
        <v>32</v>
      </c>
      <c r="B4590" t="s">
        <v>33</v>
      </c>
      <c r="C4590" t="s">
        <v>8</v>
      </c>
      <c r="D4590">
        <v>254.03</v>
      </c>
      <c r="E4590">
        <v>2019</v>
      </c>
      <c r="F4590" t="s">
        <v>69</v>
      </c>
    </row>
    <row r="4591" spans="1:6" x14ac:dyDescent="0.25">
      <c r="A4591" t="s">
        <v>34</v>
      </c>
      <c r="B4591" t="s">
        <v>35</v>
      </c>
      <c r="C4591" t="s">
        <v>8</v>
      </c>
      <c r="D4591">
        <v>447.25</v>
      </c>
      <c r="E4591">
        <v>2019</v>
      </c>
      <c r="F4591" t="s">
        <v>69</v>
      </c>
    </row>
    <row r="4592" spans="1:6" x14ac:dyDescent="0.25">
      <c r="A4592" t="s">
        <v>36</v>
      </c>
      <c r="B4592" t="s">
        <v>37</v>
      </c>
      <c r="C4592" t="s">
        <v>8</v>
      </c>
      <c r="D4592">
        <v>344.75</v>
      </c>
      <c r="E4592">
        <v>2019</v>
      </c>
      <c r="F4592" t="s">
        <v>69</v>
      </c>
    </row>
    <row r="4593" spans="1:6" x14ac:dyDescent="0.25">
      <c r="A4593" t="s">
        <v>38</v>
      </c>
      <c r="B4593" t="s">
        <v>39</v>
      </c>
      <c r="C4593" t="s">
        <v>8</v>
      </c>
      <c r="D4593">
        <v>143.33000000000001</v>
      </c>
      <c r="E4593">
        <v>2019</v>
      </c>
      <c r="F4593" t="s">
        <v>69</v>
      </c>
    </row>
    <row r="4594" spans="1:6" x14ac:dyDescent="0.25">
      <c r="A4594" t="s">
        <v>40</v>
      </c>
      <c r="B4594" t="s">
        <v>41</v>
      </c>
      <c r="C4594" t="s">
        <v>8</v>
      </c>
      <c r="D4594">
        <v>491.81</v>
      </c>
      <c r="E4594">
        <v>2019</v>
      </c>
      <c r="F4594" t="s">
        <v>69</v>
      </c>
    </row>
    <row r="4595" spans="1:6" x14ac:dyDescent="0.25">
      <c r="A4595" t="s">
        <v>42</v>
      </c>
      <c r="B4595" t="s">
        <v>43</v>
      </c>
      <c r="C4595" t="s">
        <v>8</v>
      </c>
      <c r="D4595">
        <v>35.08</v>
      </c>
      <c r="E4595">
        <v>2019</v>
      </c>
      <c r="F4595" t="s">
        <v>69</v>
      </c>
    </row>
    <row r="4596" spans="1:6" x14ac:dyDescent="0.25">
      <c r="A4596" t="s">
        <v>44</v>
      </c>
      <c r="B4596" t="s">
        <v>45</v>
      </c>
      <c r="C4596" t="s">
        <v>8</v>
      </c>
      <c r="D4596">
        <v>146.54</v>
      </c>
      <c r="E4596">
        <v>2019</v>
      </c>
      <c r="F4596" t="s">
        <v>69</v>
      </c>
    </row>
    <row r="4597" spans="1:6" x14ac:dyDescent="0.25">
      <c r="A4597" t="s">
        <v>46</v>
      </c>
      <c r="B4597" t="s">
        <v>47</v>
      </c>
      <c r="C4597" t="s">
        <v>8</v>
      </c>
      <c r="D4597">
        <v>235.56</v>
      </c>
      <c r="E4597">
        <v>2019</v>
      </c>
      <c r="F4597" t="s">
        <v>69</v>
      </c>
    </row>
    <row r="4598" spans="1:6" x14ac:dyDescent="0.25">
      <c r="A4598" t="s">
        <v>48</v>
      </c>
      <c r="B4598" t="s">
        <v>49</v>
      </c>
      <c r="C4598" t="s">
        <v>8</v>
      </c>
      <c r="D4598">
        <v>18.47</v>
      </c>
      <c r="E4598">
        <v>2019</v>
      </c>
      <c r="F4598" t="s">
        <v>69</v>
      </c>
    </row>
    <row r="4599" spans="1:6" x14ac:dyDescent="0.25">
      <c r="A4599" t="s">
        <v>50</v>
      </c>
      <c r="B4599" t="s">
        <v>51</v>
      </c>
      <c r="C4599" t="s">
        <v>8</v>
      </c>
      <c r="D4599">
        <v>19.89</v>
      </c>
      <c r="E4599">
        <v>2019</v>
      </c>
      <c r="F4599" t="s">
        <v>69</v>
      </c>
    </row>
    <row r="4600" spans="1:6" x14ac:dyDescent="0.25">
      <c r="A4600" t="s">
        <v>52</v>
      </c>
      <c r="B4600" t="s">
        <v>53</v>
      </c>
      <c r="C4600" t="s">
        <v>8</v>
      </c>
      <c r="D4600">
        <v>135.04</v>
      </c>
      <c r="E4600">
        <v>2019</v>
      </c>
      <c r="F4600" t="s">
        <v>69</v>
      </c>
    </row>
    <row r="4601" spans="1:6" x14ac:dyDescent="0.25">
      <c r="A4601" t="s">
        <v>54</v>
      </c>
      <c r="B4601" t="s">
        <v>55</v>
      </c>
      <c r="C4601" t="s">
        <v>8</v>
      </c>
      <c r="D4601">
        <v>17.899999999999999</v>
      </c>
      <c r="E4601">
        <v>2019</v>
      </c>
      <c r="F4601" t="s">
        <v>69</v>
      </c>
    </row>
    <row r="4602" spans="1:6" x14ac:dyDescent="0.25">
      <c r="A4602" t="s">
        <v>56</v>
      </c>
      <c r="B4602" t="s">
        <v>57</v>
      </c>
      <c r="C4602" t="s">
        <v>8</v>
      </c>
      <c r="D4602">
        <v>471.22</v>
      </c>
      <c r="E4602">
        <v>2019</v>
      </c>
      <c r="F4602" t="s">
        <v>69</v>
      </c>
    </row>
    <row r="4603" spans="1:6" x14ac:dyDescent="0.25">
      <c r="A4603" t="s">
        <v>58</v>
      </c>
      <c r="B4603" t="s">
        <v>59</v>
      </c>
      <c r="C4603" t="s">
        <v>8</v>
      </c>
      <c r="D4603">
        <v>266.85000000000002</v>
      </c>
      <c r="E4603">
        <v>2019</v>
      </c>
      <c r="F4603" t="s">
        <v>69</v>
      </c>
    </row>
    <row r="4604" spans="1:6" x14ac:dyDescent="0.25">
      <c r="A4604" t="s">
        <v>6</v>
      </c>
      <c r="B4604" t="s">
        <v>7</v>
      </c>
      <c r="C4604" t="s">
        <v>60</v>
      </c>
      <c r="D4604">
        <v>6860.01</v>
      </c>
      <c r="E4604">
        <v>2019</v>
      </c>
      <c r="F4604" t="s">
        <v>69</v>
      </c>
    </row>
    <row r="4605" spans="1:6" x14ac:dyDescent="0.25">
      <c r="A4605" t="s">
        <v>10</v>
      </c>
      <c r="B4605" t="s">
        <v>11</v>
      </c>
      <c r="C4605" t="s">
        <v>60</v>
      </c>
      <c r="D4605">
        <v>1542.69</v>
      </c>
      <c r="E4605">
        <v>2019</v>
      </c>
      <c r="F4605" t="s">
        <v>69</v>
      </c>
    </row>
    <row r="4606" spans="1:6" x14ac:dyDescent="0.25">
      <c r="A4606" t="s">
        <v>12</v>
      </c>
      <c r="B4606" t="s">
        <v>13</v>
      </c>
      <c r="C4606" t="s">
        <v>60</v>
      </c>
      <c r="D4606">
        <v>217.89</v>
      </c>
      <c r="E4606">
        <v>2019</v>
      </c>
      <c r="F4606" t="s">
        <v>69</v>
      </c>
    </row>
    <row r="4607" spans="1:6" x14ac:dyDescent="0.25">
      <c r="A4607" t="s">
        <v>14</v>
      </c>
      <c r="B4607" t="s">
        <v>15</v>
      </c>
      <c r="C4607" t="s">
        <v>60</v>
      </c>
      <c r="E4607">
        <v>2019</v>
      </c>
      <c r="F4607" t="s">
        <v>69</v>
      </c>
    </row>
    <row r="4608" spans="1:6" x14ac:dyDescent="0.25">
      <c r="A4608" t="s">
        <v>16</v>
      </c>
      <c r="B4608" t="s">
        <v>17</v>
      </c>
      <c r="C4608" t="s">
        <v>60</v>
      </c>
      <c r="D4608">
        <v>254.11</v>
      </c>
      <c r="E4608">
        <v>2019</v>
      </c>
      <c r="F4608" t="s">
        <v>69</v>
      </c>
    </row>
    <row r="4609" spans="1:6" x14ac:dyDescent="0.25">
      <c r="A4609" t="s">
        <v>18</v>
      </c>
      <c r="B4609" t="s">
        <v>19</v>
      </c>
      <c r="C4609" t="s">
        <v>60</v>
      </c>
      <c r="D4609">
        <v>504.31</v>
      </c>
      <c r="E4609">
        <v>2019</v>
      </c>
      <c r="F4609" t="s">
        <v>69</v>
      </c>
    </row>
    <row r="4610" spans="1:6" x14ac:dyDescent="0.25">
      <c r="A4610" t="s">
        <v>20</v>
      </c>
      <c r="B4610" t="s">
        <v>21</v>
      </c>
      <c r="C4610" t="s">
        <v>60</v>
      </c>
      <c r="D4610">
        <v>111.41</v>
      </c>
      <c r="E4610">
        <v>2019</v>
      </c>
      <c r="F4610" t="s">
        <v>69</v>
      </c>
    </row>
    <row r="4611" spans="1:6" x14ac:dyDescent="0.25">
      <c r="A4611" t="s">
        <v>22</v>
      </c>
      <c r="B4611" t="s">
        <v>23</v>
      </c>
      <c r="C4611" t="s">
        <v>60</v>
      </c>
      <c r="D4611">
        <v>34.74</v>
      </c>
      <c r="E4611">
        <v>2019</v>
      </c>
      <c r="F4611" t="s">
        <v>69</v>
      </c>
    </row>
    <row r="4612" spans="1:6" x14ac:dyDescent="0.25">
      <c r="A4612" t="s">
        <v>24</v>
      </c>
      <c r="B4612" t="s">
        <v>25</v>
      </c>
      <c r="C4612" t="s">
        <v>60</v>
      </c>
      <c r="D4612">
        <v>249.33</v>
      </c>
      <c r="E4612">
        <v>2019</v>
      </c>
      <c r="F4612" t="s">
        <v>69</v>
      </c>
    </row>
    <row r="4613" spans="1:6" x14ac:dyDescent="0.25">
      <c r="A4613" t="s">
        <v>26</v>
      </c>
      <c r="B4613" t="s">
        <v>27</v>
      </c>
      <c r="C4613" t="s">
        <v>60</v>
      </c>
      <c r="D4613">
        <v>171.9</v>
      </c>
      <c r="E4613">
        <v>2019</v>
      </c>
      <c r="F4613" t="s">
        <v>69</v>
      </c>
    </row>
    <row r="4614" spans="1:6" x14ac:dyDescent="0.25">
      <c r="A4614" t="s">
        <v>28</v>
      </c>
      <c r="B4614" t="s">
        <v>29</v>
      </c>
      <c r="C4614" t="s">
        <v>60</v>
      </c>
      <c r="D4614">
        <v>91.68</v>
      </c>
      <c r="E4614">
        <v>2019</v>
      </c>
      <c r="F4614" t="s">
        <v>69</v>
      </c>
    </row>
    <row r="4615" spans="1:6" x14ac:dyDescent="0.25">
      <c r="A4615" t="s">
        <v>30</v>
      </c>
      <c r="B4615" t="s">
        <v>31</v>
      </c>
      <c r="C4615" t="s">
        <v>60</v>
      </c>
      <c r="D4615">
        <v>728.62</v>
      </c>
      <c r="E4615">
        <v>2019</v>
      </c>
      <c r="F4615" t="s">
        <v>69</v>
      </c>
    </row>
    <row r="4616" spans="1:6" x14ac:dyDescent="0.25">
      <c r="A4616" t="s">
        <v>32</v>
      </c>
      <c r="B4616" t="s">
        <v>33</v>
      </c>
      <c r="C4616" t="s">
        <v>60</v>
      </c>
      <c r="D4616">
        <v>392.48</v>
      </c>
      <c r="E4616">
        <v>2019</v>
      </c>
      <c r="F4616" t="s">
        <v>69</v>
      </c>
    </row>
    <row r="4617" spans="1:6" x14ac:dyDescent="0.25">
      <c r="A4617" t="s">
        <v>34</v>
      </c>
      <c r="B4617" t="s">
        <v>35</v>
      </c>
      <c r="C4617" t="s">
        <v>60</v>
      </c>
      <c r="D4617">
        <v>457.06</v>
      </c>
      <c r="E4617">
        <v>2019</v>
      </c>
      <c r="F4617" t="s">
        <v>69</v>
      </c>
    </row>
    <row r="4618" spans="1:6" x14ac:dyDescent="0.25">
      <c r="A4618" t="s">
        <v>36</v>
      </c>
      <c r="B4618" t="s">
        <v>37</v>
      </c>
      <c r="C4618" t="s">
        <v>60</v>
      </c>
      <c r="D4618">
        <v>388.5</v>
      </c>
      <c r="E4618">
        <v>2019</v>
      </c>
      <c r="F4618" t="s">
        <v>69</v>
      </c>
    </row>
    <row r="4619" spans="1:6" x14ac:dyDescent="0.25">
      <c r="A4619" t="s">
        <v>38</v>
      </c>
      <c r="B4619" t="s">
        <v>39</v>
      </c>
      <c r="C4619" t="s">
        <v>60</v>
      </c>
      <c r="D4619">
        <v>170.81</v>
      </c>
      <c r="E4619">
        <v>2019</v>
      </c>
      <c r="F4619" t="s">
        <v>69</v>
      </c>
    </row>
    <row r="4620" spans="1:6" x14ac:dyDescent="0.25">
      <c r="A4620" t="s">
        <v>40</v>
      </c>
      <c r="B4620" t="s">
        <v>41</v>
      </c>
      <c r="C4620" t="s">
        <v>60</v>
      </c>
      <c r="D4620">
        <v>303.05</v>
      </c>
      <c r="E4620">
        <v>2019</v>
      </c>
      <c r="F4620" t="s">
        <v>69</v>
      </c>
    </row>
    <row r="4621" spans="1:6" x14ac:dyDescent="0.25">
      <c r="A4621" t="s">
        <v>42</v>
      </c>
      <c r="B4621" t="s">
        <v>43</v>
      </c>
      <c r="C4621" t="s">
        <v>60</v>
      </c>
      <c r="E4621">
        <v>2019</v>
      </c>
      <c r="F4621" t="s">
        <v>69</v>
      </c>
    </row>
    <row r="4622" spans="1:6" x14ac:dyDescent="0.25">
      <c r="A4622" t="s">
        <v>44</v>
      </c>
      <c r="B4622" t="s">
        <v>45</v>
      </c>
      <c r="C4622" t="s">
        <v>60</v>
      </c>
      <c r="D4622">
        <v>214.79</v>
      </c>
      <c r="E4622">
        <v>2019</v>
      </c>
      <c r="F4622" t="s">
        <v>69</v>
      </c>
    </row>
    <row r="4623" spans="1:6" x14ac:dyDescent="0.25">
      <c r="A4623" t="s">
        <v>46</v>
      </c>
      <c r="B4623" t="s">
        <v>47</v>
      </c>
      <c r="C4623" t="s">
        <v>60</v>
      </c>
      <c r="D4623">
        <v>157.28</v>
      </c>
      <c r="E4623">
        <v>2019</v>
      </c>
      <c r="F4623" t="s">
        <v>69</v>
      </c>
    </row>
    <row r="4624" spans="1:6" x14ac:dyDescent="0.25">
      <c r="A4624" t="s">
        <v>48</v>
      </c>
      <c r="B4624" t="s">
        <v>49</v>
      </c>
      <c r="C4624" t="s">
        <v>60</v>
      </c>
      <c r="D4624">
        <v>129.84</v>
      </c>
      <c r="E4624">
        <v>2019</v>
      </c>
      <c r="F4624" t="s">
        <v>69</v>
      </c>
    </row>
    <row r="4625" spans="1:6" x14ac:dyDescent="0.25">
      <c r="A4625" t="s">
        <v>50</v>
      </c>
      <c r="B4625" t="s">
        <v>51</v>
      </c>
      <c r="C4625" t="s">
        <v>60</v>
      </c>
      <c r="D4625">
        <v>67.61</v>
      </c>
      <c r="E4625">
        <v>2019</v>
      </c>
      <c r="F4625" t="s">
        <v>69</v>
      </c>
    </row>
    <row r="4626" spans="1:6" x14ac:dyDescent="0.25">
      <c r="A4626" t="s">
        <v>52</v>
      </c>
      <c r="B4626" t="s">
        <v>53</v>
      </c>
      <c r="C4626" t="s">
        <v>60</v>
      </c>
      <c r="D4626">
        <v>151.30000000000001</v>
      </c>
      <c r="E4626">
        <v>2019</v>
      </c>
      <c r="F4626" t="s">
        <v>69</v>
      </c>
    </row>
    <row r="4627" spans="1:6" x14ac:dyDescent="0.25">
      <c r="A4627" t="s">
        <v>54</v>
      </c>
      <c r="B4627" t="s">
        <v>55</v>
      </c>
      <c r="C4627" t="s">
        <v>60</v>
      </c>
      <c r="D4627">
        <v>520.61</v>
      </c>
      <c r="E4627">
        <v>2019</v>
      </c>
      <c r="F4627" t="s">
        <v>69</v>
      </c>
    </row>
    <row r="4628" spans="1:6" x14ac:dyDescent="0.25">
      <c r="A4628" t="s">
        <v>56</v>
      </c>
      <c r="B4628" t="s">
        <v>57</v>
      </c>
      <c r="C4628" t="s">
        <v>60</v>
      </c>
      <c r="E4628">
        <v>2019</v>
      </c>
      <c r="F4628" t="s">
        <v>69</v>
      </c>
    </row>
    <row r="4629" spans="1:6" x14ac:dyDescent="0.25">
      <c r="A4629" t="s">
        <v>58</v>
      </c>
      <c r="B4629" t="s">
        <v>59</v>
      </c>
      <c r="C4629" t="s">
        <v>60</v>
      </c>
      <c r="E4629">
        <v>2019</v>
      </c>
      <c r="F4629" t="s">
        <v>69</v>
      </c>
    </row>
    <row r="4630" spans="1:6" x14ac:dyDescent="0.25">
      <c r="A4630" t="s">
        <v>6</v>
      </c>
      <c r="B4630" t="s">
        <v>7</v>
      </c>
      <c r="C4630" t="s">
        <v>61</v>
      </c>
      <c r="D4630">
        <v>4035.29</v>
      </c>
      <c r="E4630">
        <v>2019</v>
      </c>
      <c r="F4630" t="s">
        <v>69</v>
      </c>
    </row>
    <row r="4631" spans="1:6" x14ac:dyDescent="0.25">
      <c r="A4631" t="s">
        <v>10</v>
      </c>
      <c r="B4631" t="s">
        <v>11</v>
      </c>
      <c r="C4631" t="s">
        <v>61</v>
      </c>
      <c r="D4631">
        <v>1721.7</v>
      </c>
      <c r="E4631">
        <v>2019</v>
      </c>
      <c r="F4631" t="s">
        <v>69</v>
      </c>
    </row>
    <row r="4632" spans="1:6" x14ac:dyDescent="0.25">
      <c r="A4632" t="s">
        <v>12</v>
      </c>
      <c r="B4632" t="s">
        <v>13</v>
      </c>
      <c r="C4632" t="s">
        <v>61</v>
      </c>
      <c r="D4632">
        <v>174.29</v>
      </c>
      <c r="E4632">
        <v>2019</v>
      </c>
      <c r="F4632" t="s">
        <v>69</v>
      </c>
    </row>
    <row r="4633" spans="1:6" x14ac:dyDescent="0.25">
      <c r="A4633" t="s">
        <v>14</v>
      </c>
      <c r="B4633" t="s">
        <v>15</v>
      </c>
      <c r="C4633" t="s">
        <v>61</v>
      </c>
      <c r="D4633">
        <v>2.2000000000000002</v>
      </c>
      <c r="E4633">
        <v>2019</v>
      </c>
      <c r="F4633" t="s">
        <v>69</v>
      </c>
    </row>
    <row r="4634" spans="1:6" x14ac:dyDescent="0.25">
      <c r="A4634" t="s">
        <v>16</v>
      </c>
      <c r="B4634" t="s">
        <v>17</v>
      </c>
      <c r="C4634" t="s">
        <v>61</v>
      </c>
      <c r="D4634">
        <v>108.45</v>
      </c>
      <c r="E4634">
        <v>2019</v>
      </c>
      <c r="F4634" t="s">
        <v>69</v>
      </c>
    </row>
    <row r="4635" spans="1:6" x14ac:dyDescent="0.25">
      <c r="A4635" t="s">
        <v>18</v>
      </c>
      <c r="B4635" t="s">
        <v>19</v>
      </c>
      <c r="C4635" t="s">
        <v>61</v>
      </c>
      <c r="D4635">
        <v>84.18</v>
      </c>
      <c r="E4635">
        <v>2019</v>
      </c>
      <c r="F4635" t="s">
        <v>69</v>
      </c>
    </row>
    <row r="4636" spans="1:6" x14ac:dyDescent="0.25">
      <c r="A4636" t="s">
        <v>20</v>
      </c>
      <c r="B4636" t="s">
        <v>21</v>
      </c>
      <c r="C4636" t="s">
        <v>61</v>
      </c>
      <c r="D4636">
        <v>43.36</v>
      </c>
      <c r="E4636">
        <v>2019</v>
      </c>
      <c r="F4636" t="s">
        <v>69</v>
      </c>
    </row>
    <row r="4637" spans="1:6" x14ac:dyDescent="0.25">
      <c r="A4637" t="s">
        <v>22</v>
      </c>
      <c r="B4637" t="s">
        <v>23</v>
      </c>
      <c r="C4637" t="s">
        <v>61</v>
      </c>
      <c r="D4637">
        <v>78.59</v>
      </c>
      <c r="E4637">
        <v>2019</v>
      </c>
      <c r="F4637" t="s">
        <v>69</v>
      </c>
    </row>
    <row r="4638" spans="1:6" x14ac:dyDescent="0.25">
      <c r="A4638" t="s">
        <v>24</v>
      </c>
      <c r="B4638" t="s">
        <v>25</v>
      </c>
      <c r="C4638" t="s">
        <v>61</v>
      </c>
      <c r="D4638">
        <v>181.62</v>
      </c>
      <c r="E4638">
        <v>2019</v>
      </c>
      <c r="F4638" t="s">
        <v>69</v>
      </c>
    </row>
    <row r="4639" spans="1:6" x14ac:dyDescent="0.25">
      <c r="A4639" t="s">
        <v>26</v>
      </c>
      <c r="B4639" t="s">
        <v>27</v>
      </c>
      <c r="C4639" t="s">
        <v>61</v>
      </c>
      <c r="D4639">
        <v>100.51</v>
      </c>
      <c r="E4639">
        <v>2019</v>
      </c>
      <c r="F4639" t="s">
        <v>69</v>
      </c>
    </row>
    <row r="4640" spans="1:6" x14ac:dyDescent="0.25">
      <c r="A4640" t="s">
        <v>28</v>
      </c>
      <c r="B4640" t="s">
        <v>29</v>
      </c>
      <c r="C4640" t="s">
        <v>61</v>
      </c>
      <c r="D4640">
        <v>43.72</v>
      </c>
      <c r="E4640">
        <v>2019</v>
      </c>
      <c r="F4640" t="s">
        <v>69</v>
      </c>
    </row>
    <row r="4641" spans="1:6" x14ac:dyDescent="0.25">
      <c r="A4641" t="s">
        <v>30</v>
      </c>
      <c r="B4641" t="s">
        <v>31</v>
      </c>
      <c r="C4641" t="s">
        <v>61</v>
      </c>
      <c r="D4641">
        <v>231.03</v>
      </c>
      <c r="E4641">
        <v>2019</v>
      </c>
      <c r="F4641" t="s">
        <v>69</v>
      </c>
    </row>
    <row r="4642" spans="1:6" x14ac:dyDescent="0.25">
      <c r="A4642" t="s">
        <v>32</v>
      </c>
      <c r="B4642" t="s">
        <v>33</v>
      </c>
      <c r="C4642" t="s">
        <v>61</v>
      </c>
      <c r="D4642">
        <v>136.36000000000001</v>
      </c>
      <c r="E4642">
        <v>2019</v>
      </c>
      <c r="F4642" t="s">
        <v>69</v>
      </c>
    </row>
    <row r="4643" spans="1:6" x14ac:dyDescent="0.25">
      <c r="A4643" t="s">
        <v>34</v>
      </c>
      <c r="B4643" t="s">
        <v>35</v>
      </c>
      <c r="C4643" t="s">
        <v>61</v>
      </c>
      <c r="D4643">
        <v>284.81</v>
      </c>
      <c r="E4643">
        <v>2019</v>
      </c>
      <c r="F4643" t="s">
        <v>69</v>
      </c>
    </row>
    <row r="4644" spans="1:6" x14ac:dyDescent="0.25">
      <c r="A4644" t="s">
        <v>36</v>
      </c>
      <c r="B4644" t="s">
        <v>37</v>
      </c>
      <c r="C4644" t="s">
        <v>61</v>
      </c>
      <c r="D4644">
        <v>197.84</v>
      </c>
      <c r="E4644">
        <v>2019</v>
      </c>
      <c r="F4644" t="s">
        <v>69</v>
      </c>
    </row>
    <row r="4645" spans="1:6" x14ac:dyDescent="0.25">
      <c r="A4645" t="s">
        <v>38</v>
      </c>
      <c r="B4645" t="s">
        <v>39</v>
      </c>
      <c r="C4645" t="s">
        <v>61</v>
      </c>
      <c r="D4645">
        <v>116.65</v>
      </c>
      <c r="E4645">
        <v>2019</v>
      </c>
      <c r="F4645" t="s">
        <v>69</v>
      </c>
    </row>
    <row r="4646" spans="1:6" x14ac:dyDescent="0.25">
      <c r="A4646" t="s">
        <v>40</v>
      </c>
      <c r="B4646" t="s">
        <v>41</v>
      </c>
      <c r="C4646" t="s">
        <v>61</v>
      </c>
      <c r="D4646">
        <v>160.78</v>
      </c>
      <c r="E4646">
        <v>2019</v>
      </c>
      <c r="F4646" t="s">
        <v>69</v>
      </c>
    </row>
    <row r="4647" spans="1:6" x14ac:dyDescent="0.25">
      <c r="A4647" t="s">
        <v>42</v>
      </c>
      <c r="B4647" t="s">
        <v>43</v>
      </c>
      <c r="C4647" t="s">
        <v>61</v>
      </c>
      <c r="D4647">
        <v>12.12</v>
      </c>
      <c r="E4647">
        <v>2019</v>
      </c>
      <c r="F4647" t="s">
        <v>69</v>
      </c>
    </row>
    <row r="4648" spans="1:6" x14ac:dyDescent="0.25">
      <c r="A4648" t="s">
        <v>44</v>
      </c>
      <c r="B4648" t="s">
        <v>45</v>
      </c>
      <c r="C4648" t="s">
        <v>61</v>
      </c>
      <c r="D4648">
        <v>108.5</v>
      </c>
      <c r="E4648">
        <v>2019</v>
      </c>
      <c r="F4648" t="s">
        <v>69</v>
      </c>
    </row>
    <row r="4649" spans="1:6" x14ac:dyDescent="0.25">
      <c r="A4649" t="s">
        <v>46</v>
      </c>
      <c r="B4649" t="s">
        <v>47</v>
      </c>
      <c r="C4649" t="s">
        <v>61</v>
      </c>
      <c r="D4649">
        <v>24.91</v>
      </c>
      <c r="E4649">
        <v>2019</v>
      </c>
      <c r="F4649" t="s">
        <v>69</v>
      </c>
    </row>
    <row r="4650" spans="1:6" x14ac:dyDescent="0.25">
      <c r="A4650" t="s">
        <v>48</v>
      </c>
      <c r="B4650" t="s">
        <v>49</v>
      </c>
      <c r="C4650" t="s">
        <v>61</v>
      </c>
      <c r="D4650">
        <v>81.75</v>
      </c>
      <c r="E4650">
        <v>2019</v>
      </c>
      <c r="F4650" t="s">
        <v>69</v>
      </c>
    </row>
    <row r="4651" spans="1:6" x14ac:dyDescent="0.25">
      <c r="A4651" t="s">
        <v>50</v>
      </c>
      <c r="B4651" t="s">
        <v>51</v>
      </c>
      <c r="C4651" t="s">
        <v>61</v>
      </c>
      <c r="D4651">
        <v>21.19</v>
      </c>
      <c r="E4651">
        <v>2019</v>
      </c>
      <c r="F4651" t="s">
        <v>69</v>
      </c>
    </row>
    <row r="4652" spans="1:6" x14ac:dyDescent="0.25">
      <c r="A4652" t="s">
        <v>52</v>
      </c>
      <c r="B4652" t="s">
        <v>53</v>
      </c>
      <c r="C4652" t="s">
        <v>61</v>
      </c>
      <c r="D4652">
        <v>69.61</v>
      </c>
      <c r="E4652">
        <v>2019</v>
      </c>
      <c r="F4652" t="s">
        <v>69</v>
      </c>
    </row>
    <row r="4653" spans="1:6" x14ac:dyDescent="0.25">
      <c r="A4653" t="s">
        <v>54</v>
      </c>
      <c r="B4653" t="s">
        <v>55</v>
      </c>
      <c r="C4653" t="s">
        <v>61</v>
      </c>
      <c r="D4653">
        <v>9.1999999999999993</v>
      </c>
      <c r="E4653">
        <v>2019</v>
      </c>
      <c r="F4653" t="s">
        <v>69</v>
      </c>
    </row>
    <row r="4654" spans="1:6" x14ac:dyDescent="0.25">
      <c r="A4654" t="s">
        <v>56</v>
      </c>
      <c r="B4654" t="s">
        <v>57</v>
      </c>
      <c r="C4654" t="s">
        <v>61</v>
      </c>
      <c r="D4654">
        <v>41.92</v>
      </c>
      <c r="E4654">
        <v>2019</v>
      </c>
      <c r="F4654" t="s">
        <v>69</v>
      </c>
    </row>
    <row r="4655" spans="1:6" x14ac:dyDescent="0.25">
      <c r="A4655" t="s">
        <v>58</v>
      </c>
      <c r="B4655" t="s">
        <v>59</v>
      </c>
      <c r="C4655" t="s">
        <v>61</v>
      </c>
      <c r="E4655">
        <v>2019</v>
      </c>
      <c r="F4655" t="s">
        <v>69</v>
      </c>
    </row>
    <row r="4656" spans="1:6" x14ac:dyDescent="0.25">
      <c r="A4656" t="s">
        <v>6</v>
      </c>
      <c r="B4656" t="s">
        <v>7</v>
      </c>
      <c r="C4656" t="s">
        <v>65</v>
      </c>
      <c r="D4656">
        <v>33991.64</v>
      </c>
      <c r="E4656">
        <v>2019</v>
      </c>
      <c r="F4656" t="s">
        <v>69</v>
      </c>
    </row>
    <row r="4657" spans="1:6" x14ac:dyDescent="0.25">
      <c r="A4657" t="s">
        <v>10</v>
      </c>
      <c r="B4657" t="s">
        <v>11</v>
      </c>
      <c r="C4657" t="s">
        <v>65</v>
      </c>
      <c r="D4657">
        <v>3724.73</v>
      </c>
      <c r="E4657">
        <v>2019</v>
      </c>
      <c r="F4657" t="s">
        <v>69</v>
      </c>
    </row>
    <row r="4658" spans="1:6" x14ac:dyDescent="0.25">
      <c r="A4658" t="s">
        <v>12</v>
      </c>
      <c r="B4658" t="s">
        <v>13</v>
      </c>
      <c r="C4658" t="s">
        <v>65</v>
      </c>
      <c r="D4658">
        <v>944.28</v>
      </c>
      <c r="E4658">
        <v>2019</v>
      </c>
      <c r="F4658" t="s">
        <v>69</v>
      </c>
    </row>
    <row r="4659" spans="1:6" x14ac:dyDescent="0.25">
      <c r="A4659" t="s">
        <v>14</v>
      </c>
      <c r="B4659" t="s">
        <v>15</v>
      </c>
      <c r="C4659" t="s">
        <v>65</v>
      </c>
      <c r="D4659">
        <v>21.33</v>
      </c>
      <c r="E4659">
        <v>2019</v>
      </c>
      <c r="F4659" t="s">
        <v>69</v>
      </c>
    </row>
    <row r="4660" spans="1:6" x14ac:dyDescent="0.25">
      <c r="A4660" t="s">
        <v>16</v>
      </c>
      <c r="B4660" t="s">
        <v>17</v>
      </c>
      <c r="C4660" t="s">
        <v>65</v>
      </c>
      <c r="D4660">
        <v>2010.8</v>
      </c>
      <c r="E4660">
        <v>2019</v>
      </c>
      <c r="F4660" t="s">
        <v>69</v>
      </c>
    </row>
    <row r="4661" spans="1:6" x14ac:dyDescent="0.25">
      <c r="A4661" t="s">
        <v>18</v>
      </c>
      <c r="B4661" t="s">
        <v>19</v>
      </c>
      <c r="C4661" t="s">
        <v>65</v>
      </c>
      <c r="D4661">
        <v>743.42</v>
      </c>
      <c r="E4661">
        <v>2019</v>
      </c>
      <c r="F4661" t="s">
        <v>69</v>
      </c>
    </row>
    <row r="4662" spans="1:6" x14ac:dyDescent="0.25">
      <c r="A4662" t="s">
        <v>20</v>
      </c>
      <c r="B4662" t="s">
        <v>21</v>
      </c>
      <c r="C4662" t="s">
        <v>65</v>
      </c>
      <c r="D4662">
        <v>411.2</v>
      </c>
      <c r="E4662">
        <v>2019</v>
      </c>
      <c r="F4662" t="s">
        <v>69</v>
      </c>
    </row>
    <row r="4663" spans="1:6" x14ac:dyDescent="0.25">
      <c r="A4663" t="s">
        <v>22</v>
      </c>
      <c r="B4663" t="s">
        <v>23</v>
      </c>
      <c r="C4663" t="s">
        <v>65</v>
      </c>
      <c r="D4663">
        <v>188.99</v>
      </c>
      <c r="E4663">
        <v>2019</v>
      </c>
      <c r="F4663" t="s">
        <v>69</v>
      </c>
    </row>
    <row r="4664" spans="1:6" x14ac:dyDescent="0.25">
      <c r="A4664" t="s">
        <v>24</v>
      </c>
      <c r="B4664" t="s">
        <v>25</v>
      </c>
      <c r="C4664" t="s">
        <v>65</v>
      </c>
      <c r="D4664">
        <v>730.47</v>
      </c>
      <c r="E4664">
        <v>2019</v>
      </c>
      <c r="F4664" t="s">
        <v>69</v>
      </c>
    </row>
    <row r="4665" spans="1:6" x14ac:dyDescent="0.25">
      <c r="A4665" t="s">
        <v>26</v>
      </c>
      <c r="B4665" t="s">
        <v>27</v>
      </c>
      <c r="C4665" t="s">
        <v>65</v>
      </c>
      <c r="D4665">
        <v>126.73</v>
      </c>
      <c r="E4665">
        <v>2019</v>
      </c>
      <c r="F4665" t="s">
        <v>69</v>
      </c>
    </row>
    <row r="4666" spans="1:6" x14ac:dyDescent="0.25">
      <c r="A4666" t="s">
        <v>28</v>
      </c>
      <c r="B4666" t="s">
        <v>29</v>
      </c>
      <c r="C4666" t="s">
        <v>65</v>
      </c>
      <c r="D4666">
        <v>614.89</v>
      </c>
      <c r="E4666">
        <v>2019</v>
      </c>
      <c r="F4666" t="s">
        <v>69</v>
      </c>
    </row>
    <row r="4667" spans="1:6" x14ac:dyDescent="0.25">
      <c r="A4667" t="s">
        <v>30</v>
      </c>
      <c r="B4667" t="s">
        <v>31</v>
      </c>
      <c r="C4667" t="s">
        <v>65</v>
      </c>
      <c r="D4667">
        <v>2282.86</v>
      </c>
      <c r="E4667">
        <v>2019</v>
      </c>
      <c r="F4667" t="s">
        <v>69</v>
      </c>
    </row>
    <row r="4668" spans="1:6" x14ac:dyDescent="0.25">
      <c r="A4668" t="s">
        <v>32</v>
      </c>
      <c r="B4668" t="s">
        <v>33</v>
      </c>
      <c r="C4668" t="s">
        <v>65</v>
      </c>
      <c r="D4668">
        <v>775.58</v>
      </c>
      <c r="E4668">
        <v>2019</v>
      </c>
      <c r="F4668" t="s">
        <v>69</v>
      </c>
    </row>
    <row r="4669" spans="1:6" x14ac:dyDescent="0.25">
      <c r="A4669" t="s">
        <v>34</v>
      </c>
      <c r="B4669" t="s">
        <v>35</v>
      </c>
      <c r="C4669" t="s">
        <v>65</v>
      </c>
      <c r="D4669">
        <v>1931.67</v>
      </c>
      <c r="E4669">
        <v>2019</v>
      </c>
      <c r="F4669" t="s">
        <v>69</v>
      </c>
    </row>
    <row r="4670" spans="1:6" x14ac:dyDescent="0.25">
      <c r="A4670" t="s">
        <v>36</v>
      </c>
      <c r="B4670" t="s">
        <v>37</v>
      </c>
      <c r="C4670" t="s">
        <v>65</v>
      </c>
      <c r="D4670">
        <v>1668.93</v>
      </c>
      <c r="E4670">
        <v>2019</v>
      </c>
      <c r="F4670" t="s">
        <v>69</v>
      </c>
    </row>
    <row r="4671" spans="1:6" x14ac:dyDescent="0.25">
      <c r="A4671" t="s">
        <v>38</v>
      </c>
      <c r="B4671" t="s">
        <v>39</v>
      </c>
      <c r="C4671" t="s">
        <v>65</v>
      </c>
      <c r="D4671">
        <v>1440.71</v>
      </c>
      <c r="E4671">
        <v>2019</v>
      </c>
      <c r="F4671" t="s">
        <v>69</v>
      </c>
    </row>
    <row r="4672" spans="1:6" x14ac:dyDescent="0.25">
      <c r="A4672" t="s">
        <v>40</v>
      </c>
      <c r="B4672" t="s">
        <v>41</v>
      </c>
      <c r="C4672" t="s">
        <v>65</v>
      </c>
      <c r="D4672">
        <v>1832.27</v>
      </c>
      <c r="E4672">
        <v>2019</v>
      </c>
      <c r="F4672" t="s">
        <v>69</v>
      </c>
    </row>
    <row r="4673" spans="1:6" x14ac:dyDescent="0.25">
      <c r="A4673" t="s">
        <v>42</v>
      </c>
      <c r="B4673" t="s">
        <v>43</v>
      </c>
      <c r="C4673" t="s">
        <v>65</v>
      </c>
      <c r="D4673">
        <v>3574.1</v>
      </c>
      <c r="E4673">
        <v>2019</v>
      </c>
      <c r="F4673" t="s">
        <v>69</v>
      </c>
    </row>
    <row r="4674" spans="1:6" x14ac:dyDescent="0.25">
      <c r="A4674" t="s">
        <v>44</v>
      </c>
      <c r="B4674" t="s">
        <v>45</v>
      </c>
      <c r="C4674" t="s">
        <v>65</v>
      </c>
      <c r="D4674">
        <v>4621.92</v>
      </c>
      <c r="E4674">
        <v>2019</v>
      </c>
      <c r="F4674" t="s">
        <v>69</v>
      </c>
    </row>
    <row r="4675" spans="1:6" x14ac:dyDescent="0.25">
      <c r="A4675" t="s">
        <v>46</v>
      </c>
      <c r="B4675" t="s">
        <v>47</v>
      </c>
      <c r="C4675" t="s">
        <v>65</v>
      </c>
      <c r="D4675">
        <v>3998.2</v>
      </c>
      <c r="E4675">
        <v>2019</v>
      </c>
      <c r="F4675" t="s">
        <v>69</v>
      </c>
    </row>
    <row r="4676" spans="1:6" x14ac:dyDescent="0.25">
      <c r="A4676" t="s">
        <v>48</v>
      </c>
      <c r="B4676" t="s">
        <v>49</v>
      </c>
      <c r="C4676" t="s">
        <v>65</v>
      </c>
      <c r="D4676">
        <v>1877.94</v>
      </c>
      <c r="E4676">
        <v>2019</v>
      </c>
      <c r="F4676" t="s">
        <v>69</v>
      </c>
    </row>
    <row r="4677" spans="1:6" x14ac:dyDescent="0.25">
      <c r="A4677" t="s">
        <v>50</v>
      </c>
      <c r="B4677" t="s">
        <v>51</v>
      </c>
      <c r="C4677" t="s">
        <v>65</v>
      </c>
      <c r="D4677">
        <v>156.32</v>
      </c>
      <c r="E4677">
        <v>2019</v>
      </c>
      <c r="F4677" t="s">
        <v>69</v>
      </c>
    </row>
    <row r="4678" spans="1:6" x14ac:dyDescent="0.25">
      <c r="A4678" t="s">
        <v>52</v>
      </c>
      <c r="B4678" t="s">
        <v>53</v>
      </c>
      <c r="C4678" t="s">
        <v>65</v>
      </c>
      <c r="D4678">
        <v>186.03</v>
      </c>
      <c r="E4678">
        <v>2019</v>
      </c>
      <c r="F4678" t="s">
        <v>69</v>
      </c>
    </row>
    <row r="4679" spans="1:6" x14ac:dyDescent="0.25">
      <c r="A4679" t="s">
        <v>54</v>
      </c>
      <c r="B4679" t="s">
        <v>55</v>
      </c>
      <c r="C4679" t="s">
        <v>65</v>
      </c>
      <c r="D4679">
        <v>128.27000000000001</v>
      </c>
      <c r="E4679">
        <v>2019</v>
      </c>
      <c r="F4679" t="s">
        <v>69</v>
      </c>
    </row>
    <row r="4680" spans="1:6" x14ac:dyDescent="0.25">
      <c r="A4680" t="s">
        <v>56</v>
      </c>
      <c r="B4680" t="s">
        <v>57</v>
      </c>
      <c r="C4680" t="s">
        <v>65</v>
      </c>
      <c r="E4680">
        <v>2019</v>
      </c>
      <c r="F4680" t="s">
        <v>69</v>
      </c>
    </row>
    <row r="4681" spans="1:6" x14ac:dyDescent="0.25">
      <c r="A4681" t="s">
        <v>58</v>
      </c>
      <c r="B4681" t="s">
        <v>59</v>
      </c>
      <c r="C4681" t="s">
        <v>65</v>
      </c>
      <c r="E4681">
        <v>2019</v>
      </c>
      <c r="F4681" t="s">
        <v>69</v>
      </c>
    </row>
    <row r="4682" spans="1:6" x14ac:dyDescent="0.25">
      <c r="A4682" t="s">
        <v>6</v>
      </c>
      <c r="B4682" t="s">
        <v>7</v>
      </c>
      <c r="C4682" t="s">
        <v>62</v>
      </c>
      <c r="E4682">
        <v>2019</v>
      </c>
      <c r="F4682" t="s">
        <v>69</v>
      </c>
    </row>
    <row r="4683" spans="1:6" x14ac:dyDescent="0.25">
      <c r="A4683" t="s">
        <v>10</v>
      </c>
      <c r="B4683" t="s">
        <v>11</v>
      </c>
      <c r="C4683" t="s">
        <v>62</v>
      </c>
      <c r="E4683">
        <v>2019</v>
      </c>
      <c r="F4683" t="s">
        <v>69</v>
      </c>
    </row>
    <row r="4684" spans="1:6" x14ac:dyDescent="0.25">
      <c r="A4684" t="s">
        <v>12</v>
      </c>
      <c r="B4684" t="s">
        <v>13</v>
      </c>
      <c r="C4684" t="s">
        <v>62</v>
      </c>
      <c r="E4684">
        <v>2019</v>
      </c>
      <c r="F4684" t="s">
        <v>69</v>
      </c>
    </row>
    <row r="4685" spans="1:6" x14ac:dyDescent="0.25">
      <c r="A4685" t="s">
        <v>14</v>
      </c>
      <c r="B4685" t="s">
        <v>15</v>
      </c>
      <c r="C4685" t="s">
        <v>62</v>
      </c>
      <c r="E4685">
        <v>2019</v>
      </c>
      <c r="F4685" t="s">
        <v>69</v>
      </c>
    </row>
    <row r="4686" spans="1:6" x14ac:dyDescent="0.25">
      <c r="A4686" t="s">
        <v>16</v>
      </c>
      <c r="B4686" t="s">
        <v>17</v>
      </c>
      <c r="C4686" t="s">
        <v>62</v>
      </c>
      <c r="E4686">
        <v>2019</v>
      </c>
      <c r="F4686" t="s">
        <v>69</v>
      </c>
    </row>
    <row r="4687" spans="1:6" x14ac:dyDescent="0.25">
      <c r="A4687" t="s">
        <v>18</v>
      </c>
      <c r="B4687" t="s">
        <v>19</v>
      </c>
      <c r="C4687" t="s">
        <v>62</v>
      </c>
      <c r="E4687">
        <v>2019</v>
      </c>
      <c r="F4687" t="s">
        <v>69</v>
      </c>
    </row>
    <row r="4688" spans="1:6" x14ac:dyDescent="0.25">
      <c r="A4688" t="s">
        <v>20</v>
      </c>
      <c r="B4688" t="s">
        <v>21</v>
      </c>
      <c r="C4688" t="s">
        <v>62</v>
      </c>
      <c r="E4688">
        <v>2019</v>
      </c>
      <c r="F4688" t="s">
        <v>69</v>
      </c>
    </row>
    <row r="4689" spans="1:6" x14ac:dyDescent="0.25">
      <c r="A4689" t="s">
        <v>22</v>
      </c>
      <c r="B4689" t="s">
        <v>23</v>
      </c>
      <c r="C4689" t="s">
        <v>62</v>
      </c>
      <c r="E4689">
        <v>2019</v>
      </c>
      <c r="F4689" t="s">
        <v>69</v>
      </c>
    </row>
    <row r="4690" spans="1:6" x14ac:dyDescent="0.25">
      <c r="A4690" t="s">
        <v>24</v>
      </c>
      <c r="B4690" t="s">
        <v>25</v>
      </c>
      <c r="C4690" t="s">
        <v>62</v>
      </c>
      <c r="E4690">
        <v>2019</v>
      </c>
      <c r="F4690" t="s">
        <v>69</v>
      </c>
    </row>
    <row r="4691" spans="1:6" x14ac:dyDescent="0.25">
      <c r="A4691" t="s">
        <v>26</v>
      </c>
      <c r="B4691" t="s">
        <v>27</v>
      </c>
      <c r="C4691" t="s">
        <v>62</v>
      </c>
      <c r="E4691">
        <v>2019</v>
      </c>
      <c r="F4691" t="s">
        <v>69</v>
      </c>
    </row>
    <row r="4692" spans="1:6" x14ac:dyDescent="0.25">
      <c r="A4692" t="s">
        <v>28</v>
      </c>
      <c r="B4692" t="s">
        <v>29</v>
      </c>
      <c r="C4692" t="s">
        <v>62</v>
      </c>
      <c r="E4692">
        <v>2019</v>
      </c>
      <c r="F4692" t="s">
        <v>69</v>
      </c>
    </row>
    <row r="4693" spans="1:6" x14ac:dyDescent="0.25">
      <c r="A4693" t="s">
        <v>30</v>
      </c>
      <c r="B4693" t="s">
        <v>31</v>
      </c>
      <c r="C4693" t="s">
        <v>62</v>
      </c>
      <c r="E4693">
        <v>2019</v>
      </c>
      <c r="F4693" t="s">
        <v>69</v>
      </c>
    </row>
    <row r="4694" spans="1:6" x14ac:dyDescent="0.25">
      <c r="A4694" t="s">
        <v>32</v>
      </c>
      <c r="B4694" t="s">
        <v>33</v>
      </c>
      <c r="C4694" t="s">
        <v>62</v>
      </c>
      <c r="E4694">
        <v>2019</v>
      </c>
      <c r="F4694" t="s">
        <v>69</v>
      </c>
    </row>
    <row r="4695" spans="1:6" x14ac:dyDescent="0.25">
      <c r="A4695" t="s">
        <v>34</v>
      </c>
      <c r="B4695" t="s">
        <v>35</v>
      </c>
      <c r="C4695" t="s">
        <v>62</v>
      </c>
      <c r="E4695">
        <v>2019</v>
      </c>
      <c r="F4695" t="s">
        <v>69</v>
      </c>
    </row>
    <row r="4696" spans="1:6" x14ac:dyDescent="0.25">
      <c r="A4696" t="s">
        <v>36</v>
      </c>
      <c r="B4696" t="s">
        <v>37</v>
      </c>
      <c r="C4696" t="s">
        <v>62</v>
      </c>
      <c r="E4696">
        <v>2019</v>
      </c>
      <c r="F4696" t="s">
        <v>69</v>
      </c>
    </row>
    <row r="4697" spans="1:6" x14ac:dyDescent="0.25">
      <c r="A4697" t="s">
        <v>38</v>
      </c>
      <c r="B4697" t="s">
        <v>39</v>
      </c>
      <c r="C4697" t="s">
        <v>62</v>
      </c>
      <c r="E4697">
        <v>2019</v>
      </c>
      <c r="F4697" t="s">
        <v>69</v>
      </c>
    </row>
    <row r="4698" spans="1:6" x14ac:dyDescent="0.25">
      <c r="A4698" t="s">
        <v>40</v>
      </c>
      <c r="B4698" t="s">
        <v>41</v>
      </c>
      <c r="C4698" t="s">
        <v>62</v>
      </c>
      <c r="E4698">
        <v>2019</v>
      </c>
      <c r="F4698" t="s">
        <v>69</v>
      </c>
    </row>
    <row r="4699" spans="1:6" x14ac:dyDescent="0.25">
      <c r="A4699" t="s">
        <v>42</v>
      </c>
      <c r="B4699" t="s">
        <v>43</v>
      </c>
      <c r="C4699" t="s">
        <v>62</v>
      </c>
      <c r="E4699">
        <v>2019</v>
      </c>
      <c r="F4699" t="s">
        <v>69</v>
      </c>
    </row>
    <row r="4700" spans="1:6" x14ac:dyDescent="0.25">
      <c r="A4700" t="s">
        <v>44</v>
      </c>
      <c r="B4700" t="s">
        <v>45</v>
      </c>
      <c r="C4700" t="s">
        <v>62</v>
      </c>
      <c r="E4700">
        <v>2019</v>
      </c>
      <c r="F4700" t="s">
        <v>69</v>
      </c>
    </row>
    <row r="4701" spans="1:6" x14ac:dyDescent="0.25">
      <c r="A4701" t="s">
        <v>46</v>
      </c>
      <c r="B4701" t="s">
        <v>47</v>
      </c>
      <c r="C4701" t="s">
        <v>62</v>
      </c>
      <c r="E4701">
        <v>2019</v>
      </c>
      <c r="F4701" t="s">
        <v>69</v>
      </c>
    </row>
    <row r="4702" spans="1:6" x14ac:dyDescent="0.25">
      <c r="A4702" t="s">
        <v>48</v>
      </c>
      <c r="B4702" t="s">
        <v>49</v>
      </c>
      <c r="C4702" t="s">
        <v>62</v>
      </c>
      <c r="E4702">
        <v>2019</v>
      </c>
      <c r="F4702" t="s">
        <v>69</v>
      </c>
    </row>
    <row r="4703" spans="1:6" x14ac:dyDescent="0.25">
      <c r="A4703" t="s">
        <v>50</v>
      </c>
      <c r="B4703" t="s">
        <v>51</v>
      </c>
      <c r="C4703" t="s">
        <v>62</v>
      </c>
      <c r="E4703">
        <v>2019</v>
      </c>
      <c r="F4703" t="s">
        <v>69</v>
      </c>
    </row>
    <row r="4704" spans="1:6" x14ac:dyDescent="0.25">
      <c r="A4704" t="s">
        <v>52</v>
      </c>
      <c r="B4704" t="s">
        <v>53</v>
      </c>
      <c r="C4704" t="s">
        <v>62</v>
      </c>
      <c r="E4704">
        <v>2019</v>
      </c>
      <c r="F4704" t="s">
        <v>69</v>
      </c>
    </row>
    <row r="4705" spans="1:6" x14ac:dyDescent="0.25">
      <c r="A4705" t="s">
        <v>54</v>
      </c>
      <c r="B4705" t="s">
        <v>55</v>
      </c>
      <c r="C4705" t="s">
        <v>62</v>
      </c>
      <c r="E4705">
        <v>2019</v>
      </c>
      <c r="F4705" t="s">
        <v>69</v>
      </c>
    </row>
    <row r="4706" spans="1:6" x14ac:dyDescent="0.25">
      <c r="A4706" t="s">
        <v>56</v>
      </c>
      <c r="B4706" t="s">
        <v>57</v>
      </c>
      <c r="C4706" t="s">
        <v>62</v>
      </c>
      <c r="E4706">
        <v>2019</v>
      </c>
      <c r="F4706" t="s">
        <v>69</v>
      </c>
    </row>
    <row r="4707" spans="1:6" x14ac:dyDescent="0.25">
      <c r="A4707" t="s">
        <v>58</v>
      </c>
      <c r="B4707" t="s">
        <v>59</v>
      </c>
      <c r="C4707" t="s">
        <v>62</v>
      </c>
      <c r="E4707">
        <v>2019</v>
      </c>
      <c r="F4707" t="s">
        <v>69</v>
      </c>
    </row>
    <row r="4708" spans="1:6" x14ac:dyDescent="0.25">
      <c r="A4708" t="s">
        <v>6</v>
      </c>
      <c r="B4708" t="s">
        <v>7</v>
      </c>
      <c r="C4708" t="s">
        <v>66</v>
      </c>
      <c r="D4708">
        <v>1795.29</v>
      </c>
      <c r="E4708">
        <v>2019</v>
      </c>
      <c r="F4708" t="s">
        <v>69</v>
      </c>
    </row>
    <row r="4709" spans="1:6" x14ac:dyDescent="0.25">
      <c r="A4709" t="s">
        <v>10</v>
      </c>
      <c r="B4709" t="s">
        <v>11</v>
      </c>
      <c r="C4709" t="s">
        <v>66</v>
      </c>
      <c r="D4709">
        <v>838.21</v>
      </c>
      <c r="E4709">
        <v>2019</v>
      </c>
      <c r="F4709" t="s">
        <v>69</v>
      </c>
    </row>
    <row r="4710" spans="1:6" x14ac:dyDescent="0.25">
      <c r="A4710" t="s">
        <v>12</v>
      </c>
      <c r="B4710" t="s">
        <v>13</v>
      </c>
      <c r="C4710" t="s">
        <v>66</v>
      </c>
      <c r="D4710">
        <v>120.26</v>
      </c>
      <c r="E4710">
        <v>2019</v>
      </c>
      <c r="F4710" t="s">
        <v>69</v>
      </c>
    </row>
    <row r="4711" spans="1:6" x14ac:dyDescent="0.25">
      <c r="A4711" t="s">
        <v>14</v>
      </c>
      <c r="B4711" t="s">
        <v>15</v>
      </c>
      <c r="C4711" t="s">
        <v>66</v>
      </c>
      <c r="E4711">
        <v>2019</v>
      </c>
      <c r="F4711" t="s">
        <v>69</v>
      </c>
    </row>
    <row r="4712" spans="1:6" x14ac:dyDescent="0.25">
      <c r="A4712" t="s">
        <v>16</v>
      </c>
      <c r="B4712" t="s">
        <v>17</v>
      </c>
      <c r="C4712" t="s">
        <v>66</v>
      </c>
      <c r="D4712">
        <v>20.09</v>
      </c>
      <c r="E4712">
        <v>2019</v>
      </c>
      <c r="F4712" t="s">
        <v>69</v>
      </c>
    </row>
    <row r="4713" spans="1:6" x14ac:dyDescent="0.25">
      <c r="A4713" t="s">
        <v>18</v>
      </c>
      <c r="B4713" t="s">
        <v>19</v>
      </c>
      <c r="C4713" t="s">
        <v>66</v>
      </c>
      <c r="D4713">
        <v>11.79</v>
      </c>
      <c r="E4713">
        <v>2019</v>
      </c>
      <c r="F4713" t="s">
        <v>69</v>
      </c>
    </row>
    <row r="4714" spans="1:6" x14ac:dyDescent="0.25">
      <c r="A4714" t="s">
        <v>20</v>
      </c>
      <c r="B4714" t="s">
        <v>21</v>
      </c>
      <c r="C4714" t="s">
        <v>66</v>
      </c>
      <c r="D4714">
        <v>56.37</v>
      </c>
      <c r="E4714">
        <v>2019</v>
      </c>
      <c r="F4714" t="s">
        <v>69</v>
      </c>
    </row>
    <row r="4715" spans="1:6" x14ac:dyDescent="0.25">
      <c r="A4715" t="s">
        <v>22</v>
      </c>
      <c r="B4715" t="s">
        <v>23</v>
      </c>
      <c r="C4715" t="s">
        <v>66</v>
      </c>
      <c r="D4715">
        <v>26.17</v>
      </c>
      <c r="E4715">
        <v>2019</v>
      </c>
      <c r="F4715" t="s">
        <v>69</v>
      </c>
    </row>
    <row r="4716" spans="1:6" x14ac:dyDescent="0.25">
      <c r="A4716" t="s">
        <v>24</v>
      </c>
      <c r="B4716" t="s">
        <v>25</v>
      </c>
      <c r="C4716" t="s">
        <v>66</v>
      </c>
      <c r="D4716">
        <v>60.28</v>
      </c>
      <c r="E4716">
        <v>2019</v>
      </c>
      <c r="F4716" t="s">
        <v>69</v>
      </c>
    </row>
    <row r="4717" spans="1:6" x14ac:dyDescent="0.25">
      <c r="A4717" t="s">
        <v>26</v>
      </c>
      <c r="B4717" t="s">
        <v>27</v>
      </c>
      <c r="C4717" t="s">
        <v>66</v>
      </c>
      <c r="D4717">
        <v>38.4</v>
      </c>
      <c r="E4717">
        <v>2019</v>
      </c>
      <c r="F4717" t="s">
        <v>69</v>
      </c>
    </row>
    <row r="4718" spans="1:6" x14ac:dyDescent="0.25">
      <c r="A4718" t="s">
        <v>28</v>
      </c>
      <c r="B4718" t="s">
        <v>29</v>
      </c>
      <c r="C4718" t="s">
        <v>66</v>
      </c>
      <c r="D4718">
        <v>40.799999999999997</v>
      </c>
      <c r="E4718">
        <v>2019</v>
      </c>
      <c r="F4718" t="s">
        <v>69</v>
      </c>
    </row>
    <row r="4719" spans="1:6" x14ac:dyDescent="0.25">
      <c r="A4719" t="s">
        <v>30</v>
      </c>
      <c r="B4719" t="s">
        <v>31</v>
      </c>
      <c r="C4719" t="s">
        <v>66</v>
      </c>
      <c r="D4719">
        <v>116.12</v>
      </c>
      <c r="E4719">
        <v>2019</v>
      </c>
      <c r="F4719" t="s">
        <v>69</v>
      </c>
    </row>
    <row r="4720" spans="1:6" x14ac:dyDescent="0.25">
      <c r="A4720" t="s">
        <v>32</v>
      </c>
      <c r="B4720" t="s">
        <v>33</v>
      </c>
      <c r="C4720" t="s">
        <v>66</v>
      </c>
      <c r="D4720">
        <v>139.09</v>
      </c>
      <c r="E4720">
        <v>2019</v>
      </c>
      <c r="F4720" t="s">
        <v>69</v>
      </c>
    </row>
    <row r="4721" spans="1:6" x14ac:dyDescent="0.25">
      <c r="A4721" t="s">
        <v>34</v>
      </c>
      <c r="B4721" t="s">
        <v>35</v>
      </c>
      <c r="C4721" t="s">
        <v>66</v>
      </c>
      <c r="D4721">
        <v>61.16</v>
      </c>
      <c r="E4721">
        <v>2019</v>
      </c>
      <c r="F4721" t="s">
        <v>69</v>
      </c>
    </row>
    <row r="4722" spans="1:6" x14ac:dyDescent="0.25">
      <c r="A4722" t="s">
        <v>36</v>
      </c>
      <c r="B4722" t="s">
        <v>37</v>
      </c>
      <c r="C4722" t="s">
        <v>66</v>
      </c>
      <c r="D4722">
        <v>71.209999999999994</v>
      </c>
      <c r="E4722">
        <v>2019</v>
      </c>
      <c r="F4722" t="s">
        <v>69</v>
      </c>
    </row>
    <row r="4723" spans="1:6" x14ac:dyDescent="0.25">
      <c r="A4723" t="s">
        <v>38</v>
      </c>
      <c r="B4723" t="s">
        <v>39</v>
      </c>
      <c r="C4723" t="s">
        <v>66</v>
      </c>
      <c r="D4723">
        <v>16.309999999999999</v>
      </c>
      <c r="E4723">
        <v>2019</v>
      </c>
      <c r="F4723" t="s">
        <v>69</v>
      </c>
    </row>
    <row r="4724" spans="1:6" x14ac:dyDescent="0.25">
      <c r="A4724" t="s">
        <v>40</v>
      </c>
      <c r="B4724" t="s">
        <v>41</v>
      </c>
      <c r="C4724" t="s">
        <v>66</v>
      </c>
      <c r="D4724">
        <v>50.56</v>
      </c>
      <c r="E4724">
        <v>2019</v>
      </c>
      <c r="F4724" t="s">
        <v>69</v>
      </c>
    </row>
    <row r="4725" spans="1:6" x14ac:dyDescent="0.25">
      <c r="A4725" t="s">
        <v>42</v>
      </c>
      <c r="B4725" t="s">
        <v>43</v>
      </c>
      <c r="C4725" t="s">
        <v>66</v>
      </c>
      <c r="D4725">
        <v>0.71</v>
      </c>
      <c r="E4725">
        <v>2019</v>
      </c>
      <c r="F4725" t="s">
        <v>69</v>
      </c>
    </row>
    <row r="4726" spans="1:6" x14ac:dyDescent="0.25">
      <c r="A4726" t="s">
        <v>44</v>
      </c>
      <c r="B4726" t="s">
        <v>45</v>
      </c>
      <c r="C4726" t="s">
        <v>66</v>
      </c>
      <c r="D4726">
        <v>16.93</v>
      </c>
      <c r="E4726">
        <v>2019</v>
      </c>
      <c r="F4726" t="s">
        <v>69</v>
      </c>
    </row>
    <row r="4727" spans="1:6" x14ac:dyDescent="0.25">
      <c r="A4727" t="s">
        <v>46</v>
      </c>
      <c r="B4727" t="s">
        <v>47</v>
      </c>
      <c r="C4727" t="s">
        <v>66</v>
      </c>
      <c r="D4727">
        <v>1.91</v>
      </c>
      <c r="E4727">
        <v>2019</v>
      </c>
      <c r="F4727" t="s">
        <v>69</v>
      </c>
    </row>
    <row r="4728" spans="1:6" x14ac:dyDescent="0.25">
      <c r="A4728" t="s">
        <v>48</v>
      </c>
      <c r="B4728" t="s">
        <v>49</v>
      </c>
      <c r="C4728" t="s">
        <v>66</v>
      </c>
      <c r="D4728">
        <v>46.31</v>
      </c>
      <c r="E4728">
        <v>2019</v>
      </c>
      <c r="F4728" t="s">
        <v>69</v>
      </c>
    </row>
    <row r="4729" spans="1:6" x14ac:dyDescent="0.25">
      <c r="A4729" t="s">
        <v>50</v>
      </c>
      <c r="B4729" t="s">
        <v>51</v>
      </c>
      <c r="C4729" t="s">
        <v>66</v>
      </c>
      <c r="E4729">
        <v>2019</v>
      </c>
      <c r="F4729" t="s">
        <v>69</v>
      </c>
    </row>
    <row r="4730" spans="1:6" x14ac:dyDescent="0.25">
      <c r="A4730" t="s">
        <v>52</v>
      </c>
      <c r="B4730" t="s">
        <v>53</v>
      </c>
      <c r="C4730" t="s">
        <v>66</v>
      </c>
      <c r="D4730">
        <v>12.61</v>
      </c>
      <c r="E4730">
        <v>2019</v>
      </c>
      <c r="F4730" t="s">
        <v>69</v>
      </c>
    </row>
    <row r="4731" spans="1:6" x14ac:dyDescent="0.25">
      <c r="A4731" t="s">
        <v>54</v>
      </c>
      <c r="B4731" t="s">
        <v>55</v>
      </c>
      <c r="C4731" t="s">
        <v>66</v>
      </c>
      <c r="D4731">
        <v>8.36</v>
      </c>
      <c r="E4731">
        <v>2019</v>
      </c>
      <c r="F4731" t="s">
        <v>69</v>
      </c>
    </row>
    <row r="4732" spans="1:6" x14ac:dyDescent="0.25">
      <c r="A4732" t="s">
        <v>56</v>
      </c>
      <c r="B4732" t="s">
        <v>57</v>
      </c>
      <c r="C4732" t="s">
        <v>66</v>
      </c>
      <c r="D4732">
        <v>41.64</v>
      </c>
      <c r="E4732">
        <v>2019</v>
      </c>
      <c r="F4732" t="s">
        <v>69</v>
      </c>
    </row>
    <row r="4733" spans="1:6" x14ac:dyDescent="0.25">
      <c r="A4733" t="s">
        <v>58</v>
      </c>
      <c r="B4733" t="s">
        <v>59</v>
      </c>
      <c r="C4733" t="s">
        <v>66</v>
      </c>
      <c r="E4733">
        <v>2019</v>
      </c>
      <c r="F4733" t="s">
        <v>69</v>
      </c>
    </row>
    <row r="4734" spans="1:6" x14ac:dyDescent="0.25">
      <c r="A4734" t="s">
        <v>6</v>
      </c>
      <c r="B4734" t="s">
        <v>7</v>
      </c>
      <c r="C4734" t="s">
        <v>63</v>
      </c>
      <c r="D4734">
        <v>77675.33</v>
      </c>
      <c r="E4734">
        <v>2020</v>
      </c>
      <c r="F4734" t="s">
        <v>69</v>
      </c>
    </row>
    <row r="4735" spans="1:6" x14ac:dyDescent="0.25">
      <c r="A4735" t="s">
        <v>10</v>
      </c>
      <c r="B4735" t="s">
        <v>11</v>
      </c>
      <c r="C4735" t="s">
        <v>63</v>
      </c>
      <c r="D4735">
        <v>15340.57</v>
      </c>
      <c r="E4735">
        <v>2020</v>
      </c>
      <c r="F4735" t="s">
        <v>69</v>
      </c>
    </row>
    <row r="4736" spans="1:6" x14ac:dyDescent="0.25">
      <c r="A4736" t="s">
        <v>12</v>
      </c>
      <c r="B4736" t="s">
        <v>13</v>
      </c>
      <c r="C4736" t="s">
        <v>63</v>
      </c>
      <c r="D4736">
        <v>2186.4899999999998</v>
      </c>
      <c r="E4736">
        <v>2020</v>
      </c>
      <c r="F4736" t="s">
        <v>69</v>
      </c>
    </row>
    <row r="4737" spans="1:6" x14ac:dyDescent="0.25">
      <c r="A4737" t="s">
        <v>14</v>
      </c>
      <c r="B4737" t="s">
        <v>15</v>
      </c>
      <c r="C4737" t="s">
        <v>63</v>
      </c>
      <c r="D4737">
        <v>370.03</v>
      </c>
      <c r="E4737">
        <v>2020</v>
      </c>
      <c r="F4737" t="s">
        <v>69</v>
      </c>
    </row>
    <row r="4738" spans="1:6" x14ac:dyDescent="0.25">
      <c r="A4738" t="s">
        <v>16</v>
      </c>
      <c r="B4738" t="s">
        <v>17</v>
      </c>
      <c r="C4738" t="s">
        <v>63</v>
      </c>
      <c r="D4738">
        <v>1620.91</v>
      </c>
      <c r="E4738">
        <v>2020</v>
      </c>
      <c r="F4738" t="s">
        <v>69</v>
      </c>
    </row>
    <row r="4739" spans="1:6" x14ac:dyDescent="0.25">
      <c r="A4739" t="s">
        <v>18</v>
      </c>
      <c r="B4739" t="s">
        <v>19</v>
      </c>
      <c r="C4739" t="s">
        <v>63</v>
      </c>
      <c r="D4739">
        <v>1704.23</v>
      </c>
      <c r="E4739">
        <v>2020</v>
      </c>
      <c r="F4739" t="s">
        <v>69</v>
      </c>
    </row>
    <row r="4740" spans="1:6" x14ac:dyDescent="0.25">
      <c r="A4740" t="s">
        <v>20</v>
      </c>
      <c r="B4740" t="s">
        <v>21</v>
      </c>
      <c r="C4740" t="s">
        <v>63</v>
      </c>
      <c r="D4740">
        <v>1364.27</v>
      </c>
      <c r="E4740">
        <v>2020</v>
      </c>
      <c r="F4740" t="s">
        <v>69</v>
      </c>
    </row>
    <row r="4741" spans="1:6" x14ac:dyDescent="0.25">
      <c r="A4741" t="s">
        <v>22</v>
      </c>
      <c r="B4741" t="s">
        <v>23</v>
      </c>
      <c r="C4741" t="s">
        <v>63</v>
      </c>
      <c r="D4741">
        <v>839.2</v>
      </c>
      <c r="E4741">
        <v>2020</v>
      </c>
      <c r="F4741" t="s">
        <v>69</v>
      </c>
    </row>
    <row r="4742" spans="1:6" x14ac:dyDescent="0.25">
      <c r="A4742" t="s">
        <v>24</v>
      </c>
      <c r="B4742" t="s">
        <v>25</v>
      </c>
      <c r="C4742" t="s">
        <v>63</v>
      </c>
      <c r="D4742">
        <v>2742.74</v>
      </c>
      <c r="E4742">
        <v>2020</v>
      </c>
      <c r="F4742" t="s">
        <v>69</v>
      </c>
    </row>
    <row r="4743" spans="1:6" x14ac:dyDescent="0.25">
      <c r="A4743" t="s">
        <v>26</v>
      </c>
      <c r="B4743" t="s">
        <v>27</v>
      </c>
      <c r="C4743" t="s">
        <v>63</v>
      </c>
      <c r="D4743">
        <v>519.05999999999995</v>
      </c>
      <c r="E4743">
        <v>2020</v>
      </c>
      <c r="F4743" t="s">
        <v>69</v>
      </c>
    </row>
    <row r="4744" spans="1:6" x14ac:dyDescent="0.25">
      <c r="A4744" t="s">
        <v>28</v>
      </c>
      <c r="B4744" t="s">
        <v>29</v>
      </c>
      <c r="C4744" t="s">
        <v>63</v>
      </c>
      <c r="D4744">
        <v>5682.95</v>
      </c>
      <c r="E4744">
        <v>2020</v>
      </c>
      <c r="F4744" t="s">
        <v>69</v>
      </c>
    </row>
    <row r="4745" spans="1:6" x14ac:dyDescent="0.25">
      <c r="A4745" t="s">
        <v>30</v>
      </c>
      <c r="B4745" t="s">
        <v>31</v>
      </c>
      <c r="C4745" t="s">
        <v>63</v>
      </c>
      <c r="D4745">
        <v>7066.24</v>
      </c>
      <c r="E4745">
        <v>2020</v>
      </c>
      <c r="F4745" t="s">
        <v>69</v>
      </c>
    </row>
    <row r="4746" spans="1:6" x14ac:dyDescent="0.25">
      <c r="A4746" t="s">
        <v>32</v>
      </c>
      <c r="B4746" t="s">
        <v>33</v>
      </c>
      <c r="C4746" t="s">
        <v>63</v>
      </c>
      <c r="D4746">
        <v>2881.65</v>
      </c>
      <c r="E4746">
        <v>2020</v>
      </c>
      <c r="F4746" t="s">
        <v>69</v>
      </c>
    </row>
    <row r="4747" spans="1:6" x14ac:dyDescent="0.25">
      <c r="A4747" t="s">
        <v>34</v>
      </c>
      <c r="B4747" t="s">
        <v>35</v>
      </c>
      <c r="C4747" t="s">
        <v>63</v>
      </c>
      <c r="D4747">
        <v>3593.93</v>
      </c>
      <c r="E4747">
        <v>2020</v>
      </c>
      <c r="F4747" t="s">
        <v>69</v>
      </c>
    </row>
    <row r="4748" spans="1:6" x14ac:dyDescent="0.25">
      <c r="A4748" t="s">
        <v>36</v>
      </c>
      <c r="B4748" t="s">
        <v>37</v>
      </c>
      <c r="C4748" t="s">
        <v>63</v>
      </c>
      <c r="D4748">
        <v>2945.81</v>
      </c>
      <c r="E4748">
        <v>2020</v>
      </c>
      <c r="F4748" t="s">
        <v>69</v>
      </c>
    </row>
    <row r="4749" spans="1:6" x14ac:dyDescent="0.25">
      <c r="A4749" t="s">
        <v>38</v>
      </c>
      <c r="B4749" t="s">
        <v>39</v>
      </c>
      <c r="C4749" t="s">
        <v>63</v>
      </c>
      <c r="D4749">
        <v>3935.93</v>
      </c>
      <c r="E4749">
        <v>2020</v>
      </c>
      <c r="F4749" t="s">
        <v>69</v>
      </c>
    </row>
    <row r="4750" spans="1:6" x14ac:dyDescent="0.25">
      <c r="A4750" t="s">
        <v>40</v>
      </c>
      <c r="B4750" t="s">
        <v>41</v>
      </c>
      <c r="C4750" t="s">
        <v>63</v>
      </c>
      <c r="D4750">
        <v>2899.27</v>
      </c>
      <c r="E4750">
        <v>2020</v>
      </c>
      <c r="F4750" t="s">
        <v>69</v>
      </c>
    </row>
    <row r="4751" spans="1:6" x14ac:dyDescent="0.25">
      <c r="A4751" t="s">
        <v>42</v>
      </c>
      <c r="B4751" t="s">
        <v>43</v>
      </c>
      <c r="C4751" t="s">
        <v>63</v>
      </c>
      <c r="D4751">
        <v>1857.33</v>
      </c>
      <c r="E4751">
        <v>2020</v>
      </c>
      <c r="F4751" t="s">
        <v>69</v>
      </c>
    </row>
    <row r="4752" spans="1:6" x14ac:dyDescent="0.25">
      <c r="A4752" t="s">
        <v>44</v>
      </c>
      <c r="B4752" t="s">
        <v>45</v>
      </c>
      <c r="C4752" t="s">
        <v>63</v>
      </c>
      <c r="D4752">
        <v>2910.63</v>
      </c>
      <c r="E4752">
        <v>2020</v>
      </c>
      <c r="F4752" t="s">
        <v>69</v>
      </c>
    </row>
    <row r="4753" spans="1:6" x14ac:dyDescent="0.25">
      <c r="A4753" t="s">
        <v>46</v>
      </c>
      <c r="B4753" t="s">
        <v>47</v>
      </c>
      <c r="C4753" t="s">
        <v>63</v>
      </c>
      <c r="D4753">
        <v>4949.7299999999996</v>
      </c>
      <c r="E4753">
        <v>2020</v>
      </c>
      <c r="F4753" t="s">
        <v>69</v>
      </c>
    </row>
    <row r="4754" spans="1:6" x14ac:dyDescent="0.25">
      <c r="A4754" t="s">
        <v>48</v>
      </c>
      <c r="B4754" t="s">
        <v>49</v>
      </c>
      <c r="C4754" t="s">
        <v>63</v>
      </c>
      <c r="D4754">
        <v>7302.95</v>
      </c>
      <c r="E4754">
        <v>2020</v>
      </c>
      <c r="F4754" t="s">
        <v>69</v>
      </c>
    </row>
    <row r="4755" spans="1:6" x14ac:dyDescent="0.25">
      <c r="A4755" t="s">
        <v>50</v>
      </c>
      <c r="B4755" t="s">
        <v>51</v>
      </c>
      <c r="C4755" t="s">
        <v>63</v>
      </c>
      <c r="D4755">
        <v>1281.1500000000001</v>
      </c>
      <c r="E4755">
        <v>2020</v>
      </c>
      <c r="F4755" t="s">
        <v>69</v>
      </c>
    </row>
    <row r="4756" spans="1:6" x14ac:dyDescent="0.25">
      <c r="A4756" t="s">
        <v>52</v>
      </c>
      <c r="B4756" t="s">
        <v>53</v>
      </c>
      <c r="C4756" t="s">
        <v>63</v>
      </c>
      <c r="D4756">
        <v>1203.6500000000001</v>
      </c>
      <c r="E4756">
        <v>2020</v>
      </c>
      <c r="F4756" t="s">
        <v>69</v>
      </c>
    </row>
    <row r="4757" spans="1:6" x14ac:dyDescent="0.25">
      <c r="A4757" t="s">
        <v>54</v>
      </c>
      <c r="B4757" t="s">
        <v>55</v>
      </c>
      <c r="C4757" t="s">
        <v>63</v>
      </c>
      <c r="D4757">
        <v>1057.68</v>
      </c>
      <c r="E4757">
        <v>2020</v>
      </c>
      <c r="F4757" t="s">
        <v>69</v>
      </c>
    </row>
    <row r="4758" spans="1:6" x14ac:dyDescent="0.25">
      <c r="A4758" t="s">
        <v>56</v>
      </c>
      <c r="B4758" t="s">
        <v>57</v>
      </c>
      <c r="C4758" t="s">
        <v>63</v>
      </c>
      <c r="D4758">
        <v>1418.93</v>
      </c>
      <c r="E4758">
        <v>2020</v>
      </c>
      <c r="F4758" t="s">
        <v>69</v>
      </c>
    </row>
    <row r="4759" spans="1:6" x14ac:dyDescent="0.25">
      <c r="A4759" t="s">
        <v>58</v>
      </c>
      <c r="B4759" t="s">
        <v>59</v>
      </c>
      <c r="C4759" t="s">
        <v>63</v>
      </c>
      <c r="E4759">
        <v>2020</v>
      </c>
      <c r="F4759" t="s">
        <v>69</v>
      </c>
    </row>
    <row r="4760" spans="1:6" x14ac:dyDescent="0.25">
      <c r="A4760" t="s">
        <v>6</v>
      </c>
      <c r="B4760" t="s">
        <v>7</v>
      </c>
      <c r="C4760" t="s">
        <v>8</v>
      </c>
      <c r="D4760">
        <v>6736.62</v>
      </c>
      <c r="E4760">
        <v>2020</v>
      </c>
      <c r="F4760" t="s">
        <v>69</v>
      </c>
    </row>
    <row r="4761" spans="1:6" x14ac:dyDescent="0.25">
      <c r="A4761" t="s">
        <v>10</v>
      </c>
      <c r="B4761" t="s">
        <v>11</v>
      </c>
      <c r="C4761" t="s">
        <v>8</v>
      </c>
      <c r="D4761">
        <v>2240.29</v>
      </c>
      <c r="E4761">
        <v>2020</v>
      </c>
      <c r="F4761" t="s">
        <v>69</v>
      </c>
    </row>
    <row r="4762" spans="1:6" x14ac:dyDescent="0.25">
      <c r="A4762" t="s">
        <v>12</v>
      </c>
      <c r="B4762" t="s">
        <v>13</v>
      </c>
      <c r="C4762" t="s">
        <v>8</v>
      </c>
      <c r="D4762">
        <v>359.9</v>
      </c>
      <c r="E4762">
        <v>2020</v>
      </c>
      <c r="F4762" t="s">
        <v>69</v>
      </c>
    </row>
    <row r="4763" spans="1:6" x14ac:dyDescent="0.25">
      <c r="A4763" t="s">
        <v>14</v>
      </c>
      <c r="B4763" t="s">
        <v>15</v>
      </c>
      <c r="C4763" t="s">
        <v>8</v>
      </c>
      <c r="E4763">
        <v>2020</v>
      </c>
      <c r="F4763" t="s">
        <v>69</v>
      </c>
    </row>
    <row r="4764" spans="1:6" x14ac:dyDescent="0.25">
      <c r="A4764" t="s">
        <v>16</v>
      </c>
      <c r="B4764" t="s">
        <v>17</v>
      </c>
      <c r="C4764" t="s">
        <v>8</v>
      </c>
      <c r="D4764">
        <v>50.36</v>
      </c>
      <c r="E4764">
        <v>2020</v>
      </c>
      <c r="F4764" t="s">
        <v>69</v>
      </c>
    </row>
    <row r="4765" spans="1:6" x14ac:dyDescent="0.25">
      <c r="A4765" t="s">
        <v>18</v>
      </c>
      <c r="B4765" t="s">
        <v>19</v>
      </c>
      <c r="C4765" t="s">
        <v>8</v>
      </c>
      <c r="D4765">
        <v>37.520000000000003</v>
      </c>
      <c r="E4765">
        <v>2020</v>
      </c>
      <c r="F4765" t="s">
        <v>69</v>
      </c>
    </row>
    <row r="4766" spans="1:6" x14ac:dyDescent="0.25">
      <c r="A4766" t="s">
        <v>20</v>
      </c>
      <c r="B4766" t="s">
        <v>21</v>
      </c>
      <c r="C4766" t="s">
        <v>8</v>
      </c>
      <c r="D4766">
        <v>13.12</v>
      </c>
      <c r="E4766">
        <v>2020</v>
      </c>
      <c r="F4766" t="s">
        <v>69</v>
      </c>
    </row>
    <row r="4767" spans="1:6" x14ac:dyDescent="0.25">
      <c r="A4767" t="s">
        <v>22</v>
      </c>
      <c r="B4767" t="s">
        <v>23</v>
      </c>
      <c r="C4767" t="s">
        <v>8</v>
      </c>
      <c r="D4767">
        <v>345.73</v>
      </c>
      <c r="E4767">
        <v>2020</v>
      </c>
      <c r="F4767" t="s">
        <v>69</v>
      </c>
    </row>
    <row r="4768" spans="1:6" x14ac:dyDescent="0.25">
      <c r="A4768" t="s">
        <v>24</v>
      </c>
      <c r="B4768" t="s">
        <v>25</v>
      </c>
      <c r="C4768" t="s">
        <v>8</v>
      </c>
      <c r="D4768">
        <v>420.65</v>
      </c>
      <c r="E4768">
        <v>2020</v>
      </c>
      <c r="F4768" t="s">
        <v>69</v>
      </c>
    </row>
    <row r="4769" spans="1:6" x14ac:dyDescent="0.25">
      <c r="A4769" t="s">
        <v>26</v>
      </c>
      <c r="B4769" t="s">
        <v>27</v>
      </c>
      <c r="C4769" t="s">
        <v>8</v>
      </c>
      <c r="D4769">
        <v>93.17</v>
      </c>
      <c r="E4769">
        <v>2020</v>
      </c>
      <c r="F4769" t="s">
        <v>69</v>
      </c>
    </row>
    <row r="4770" spans="1:6" x14ac:dyDescent="0.25">
      <c r="A4770" t="s">
        <v>28</v>
      </c>
      <c r="B4770" t="s">
        <v>29</v>
      </c>
      <c r="C4770" t="s">
        <v>8</v>
      </c>
      <c r="E4770">
        <v>2020</v>
      </c>
      <c r="F4770" t="s">
        <v>69</v>
      </c>
    </row>
    <row r="4771" spans="1:6" x14ac:dyDescent="0.25">
      <c r="A4771" t="s">
        <v>30</v>
      </c>
      <c r="B4771" t="s">
        <v>31</v>
      </c>
      <c r="C4771" t="s">
        <v>8</v>
      </c>
      <c r="D4771">
        <v>652.39</v>
      </c>
      <c r="E4771">
        <v>2020</v>
      </c>
      <c r="F4771" t="s">
        <v>69</v>
      </c>
    </row>
    <row r="4772" spans="1:6" x14ac:dyDescent="0.25">
      <c r="A4772" t="s">
        <v>32</v>
      </c>
      <c r="B4772" t="s">
        <v>33</v>
      </c>
      <c r="C4772" t="s">
        <v>8</v>
      </c>
      <c r="D4772">
        <v>233.24</v>
      </c>
      <c r="E4772">
        <v>2020</v>
      </c>
      <c r="F4772" t="s">
        <v>69</v>
      </c>
    </row>
    <row r="4773" spans="1:6" x14ac:dyDescent="0.25">
      <c r="A4773" t="s">
        <v>34</v>
      </c>
      <c r="B4773" t="s">
        <v>35</v>
      </c>
      <c r="C4773" t="s">
        <v>8</v>
      </c>
      <c r="D4773">
        <v>397.95</v>
      </c>
      <c r="E4773">
        <v>2020</v>
      </c>
      <c r="F4773" t="s">
        <v>69</v>
      </c>
    </row>
    <row r="4774" spans="1:6" x14ac:dyDescent="0.25">
      <c r="A4774" t="s">
        <v>36</v>
      </c>
      <c r="B4774" t="s">
        <v>37</v>
      </c>
      <c r="C4774" t="s">
        <v>8</v>
      </c>
      <c r="D4774">
        <v>274.82</v>
      </c>
      <c r="E4774">
        <v>2020</v>
      </c>
      <c r="F4774" t="s">
        <v>69</v>
      </c>
    </row>
    <row r="4775" spans="1:6" x14ac:dyDescent="0.25">
      <c r="A4775" t="s">
        <v>38</v>
      </c>
      <c r="B4775" t="s">
        <v>39</v>
      </c>
      <c r="C4775" t="s">
        <v>8</v>
      </c>
      <c r="D4775">
        <v>132.02000000000001</v>
      </c>
      <c r="E4775">
        <v>2020</v>
      </c>
      <c r="F4775" t="s">
        <v>69</v>
      </c>
    </row>
    <row r="4776" spans="1:6" x14ac:dyDescent="0.25">
      <c r="A4776" t="s">
        <v>40</v>
      </c>
      <c r="B4776" t="s">
        <v>41</v>
      </c>
      <c r="C4776" t="s">
        <v>8</v>
      </c>
      <c r="D4776">
        <v>347.3</v>
      </c>
      <c r="E4776">
        <v>2020</v>
      </c>
      <c r="F4776" t="s">
        <v>69</v>
      </c>
    </row>
    <row r="4777" spans="1:6" x14ac:dyDescent="0.25">
      <c r="A4777" t="s">
        <v>42</v>
      </c>
      <c r="B4777" t="s">
        <v>43</v>
      </c>
      <c r="C4777" t="s">
        <v>8</v>
      </c>
      <c r="D4777">
        <v>2.66</v>
      </c>
      <c r="E4777">
        <v>2020</v>
      </c>
      <c r="F4777" t="s">
        <v>69</v>
      </c>
    </row>
    <row r="4778" spans="1:6" x14ac:dyDescent="0.25">
      <c r="A4778" t="s">
        <v>44</v>
      </c>
      <c r="B4778" t="s">
        <v>45</v>
      </c>
      <c r="C4778" t="s">
        <v>8</v>
      </c>
      <c r="D4778">
        <v>148.66</v>
      </c>
      <c r="E4778">
        <v>2020</v>
      </c>
      <c r="F4778" t="s">
        <v>69</v>
      </c>
    </row>
    <row r="4779" spans="1:6" x14ac:dyDescent="0.25">
      <c r="A4779" t="s">
        <v>46</v>
      </c>
      <c r="B4779" t="s">
        <v>47</v>
      </c>
      <c r="C4779" t="s">
        <v>8</v>
      </c>
      <c r="D4779">
        <v>182.87</v>
      </c>
      <c r="E4779">
        <v>2020</v>
      </c>
      <c r="F4779" t="s">
        <v>69</v>
      </c>
    </row>
    <row r="4780" spans="1:6" x14ac:dyDescent="0.25">
      <c r="A4780" t="s">
        <v>48</v>
      </c>
      <c r="B4780" t="s">
        <v>49</v>
      </c>
      <c r="C4780" t="s">
        <v>8</v>
      </c>
      <c r="D4780">
        <v>14.42</v>
      </c>
      <c r="E4780">
        <v>2020</v>
      </c>
      <c r="F4780" t="s">
        <v>69</v>
      </c>
    </row>
    <row r="4781" spans="1:6" x14ac:dyDescent="0.25">
      <c r="A4781" t="s">
        <v>50</v>
      </c>
      <c r="B4781" t="s">
        <v>51</v>
      </c>
      <c r="C4781" t="s">
        <v>8</v>
      </c>
      <c r="D4781">
        <v>14.93</v>
      </c>
      <c r="E4781">
        <v>2020</v>
      </c>
      <c r="F4781" t="s">
        <v>69</v>
      </c>
    </row>
    <row r="4782" spans="1:6" x14ac:dyDescent="0.25">
      <c r="A4782" t="s">
        <v>52</v>
      </c>
      <c r="B4782" t="s">
        <v>53</v>
      </c>
      <c r="C4782" t="s">
        <v>8</v>
      </c>
      <c r="D4782">
        <v>112.65</v>
      </c>
      <c r="E4782">
        <v>2020</v>
      </c>
      <c r="F4782" t="s">
        <v>69</v>
      </c>
    </row>
    <row r="4783" spans="1:6" x14ac:dyDescent="0.25">
      <c r="A4783" t="s">
        <v>54</v>
      </c>
      <c r="B4783" t="s">
        <v>55</v>
      </c>
      <c r="C4783" t="s">
        <v>8</v>
      </c>
      <c r="D4783">
        <v>15.55</v>
      </c>
      <c r="E4783">
        <v>2020</v>
      </c>
      <c r="F4783" t="s">
        <v>69</v>
      </c>
    </row>
    <row r="4784" spans="1:6" x14ac:dyDescent="0.25">
      <c r="A4784" t="s">
        <v>56</v>
      </c>
      <c r="B4784" t="s">
        <v>57</v>
      </c>
      <c r="C4784" t="s">
        <v>8</v>
      </c>
      <c r="D4784">
        <v>416.05</v>
      </c>
      <c r="E4784">
        <v>2020</v>
      </c>
      <c r="F4784" t="s">
        <v>69</v>
      </c>
    </row>
    <row r="4785" spans="1:6" x14ac:dyDescent="0.25">
      <c r="A4785" t="s">
        <v>58</v>
      </c>
      <c r="B4785" t="s">
        <v>59</v>
      </c>
      <c r="C4785" t="s">
        <v>8</v>
      </c>
      <c r="D4785">
        <v>230.37</v>
      </c>
      <c r="E4785">
        <v>2020</v>
      </c>
      <c r="F4785" t="s">
        <v>69</v>
      </c>
    </row>
    <row r="4786" spans="1:6" x14ac:dyDescent="0.25">
      <c r="A4786" t="s">
        <v>6</v>
      </c>
      <c r="B4786" t="s">
        <v>7</v>
      </c>
      <c r="C4786" t="s">
        <v>60</v>
      </c>
      <c r="D4786">
        <v>5802.99</v>
      </c>
      <c r="E4786">
        <v>2020</v>
      </c>
      <c r="F4786" t="s">
        <v>69</v>
      </c>
    </row>
    <row r="4787" spans="1:6" x14ac:dyDescent="0.25">
      <c r="A4787" t="s">
        <v>10</v>
      </c>
      <c r="B4787" t="s">
        <v>11</v>
      </c>
      <c r="C4787" t="s">
        <v>60</v>
      </c>
      <c r="D4787">
        <v>1342.65</v>
      </c>
      <c r="E4787">
        <v>2020</v>
      </c>
      <c r="F4787" t="s">
        <v>69</v>
      </c>
    </row>
    <row r="4788" spans="1:6" x14ac:dyDescent="0.25">
      <c r="A4788" t="s">
        <v>12</v>
      </c>
      <c r="B4788" t="s">
        <v>13</v>
      </c>
      <c r="C4788" t="s">
        <v>60</v>
      </c>
      <c r="D4788">
        <v>152.41</v>
      </c>
      <c r="E4788">
        <v>2020</v>
      </c>
      <c r="F4788" t="s">
        <v>69</v>
      </c>
    </row>
    <row r="4789" spans="1:6" x14ac:dyDescent="0.25">
      <c r="A4789" t="s">
        <v>14</v>
      </c>
      <c r="B4789" t="s">
        <v>15</v>
      </c>
      <c r="C4789" t="s">
        <v>60</v>
      </c>
      <c r="E4789">
        <v>2020</v>
      </c>
      <c r="F4789" t="s">
        <v>69</v>
      </c>
    </row>
    <row r="4790" spans="1:6" x14ac:dyDescent="0.25">
      <c r="A4790" t="s">
        <v>16</v>
      </c>
      <c r="B4790" t="s">
        <v>17</v>
      </c>
      <c r="C4790" t="s">
        <v>60</v>
      </c>
      <c r="D4790">
        <v>203.85</v>
      </c>
      <c r="E4790">
        <v>2020</v>
      </c>
      <c r="F4790" t="s">
        <v>69</v>
      </c>
    </row>
    <row r="4791" spans="1:6" x14ac:dyDescent="0.25">
      <c r="A4791" t="s">
        <v>18</v>
      </c>
      <c r="B4791" t="s">
        <v>19</v>
      </c>
      <c r="C4791" t="s">
        <v>60</v>
      </c>
      <c r="D4791">
        <v>383.66</v>
      </c>
      <c r="E4791">
        <v>2020</v>
      </c>
      <c r="F4791" t="s">
        <v>69</v>
      </c>
    </row>
    <row r="4792" spans="1:6" x14ac:dyDescent="0.25">
      <c r="A4792" t="s">
        <v>20</v>
      </c>
      <c r="B4792" t="s">
        <v>21</v>
      </c>
      <c r="C4792" t="s">
        <v>60</v>
      </c>
      <c r="D4792">
        <v>61.53</v>
      </c>
      <c r="E4792">
        <v>2020</v>
      </c>
      <c r="F4792" t="s">
        <v>69</v>
      </c>
    </row>
    <row r="4793" spans="1:6" x14ac:dyDescent="0.25">
      <c r="A4793" t="s">
        <v>22</v>
      </c>
      <c r="B4793" t="s">
        <v>23</v>
      </c>
      <c r="C4793" t="s">
        <v>60</v>
      </c>
      <c r="D4793">
        <v>30.05</v>
      </c>
      <c r="E4793">
        <v>2020</v>
      </c>
      <c r="F4793" t="s">
        <v>69</v>
      </c>
    </row>
    <row r="4794" spans="1:6" x14ac:dyDescent="0.25">
      <c r="A4794" t="s">
        <v>24</v>
      </c>
      <c r="B4794" t="s">
        <v>25</v>
      </c>
      <c r="C4794" t="s">
        <v>60</v>
      </c>
      <c r="D4794">
        <v>226.07</v>
      </c>
      <c r="E4794">
        <v>2020</v>
      </c>
      <c r="F4794" t="s">
        <v>69</v>
      </c>
    </row>
    <row r="4795" spans="1:6" x14ac:dyDescent="0.25">
      <c r="A4795" t="s">
        <v>26</v>
      </c>
      <c r="B4795" t="s">
        <v>27</v>
      </c>
      <c r="C4795" t="s">
        <v>60</v>
      </c>
      <c r="D4795">
        <v>141.56</v>
      </c>
      <c r="E4795">
        <v>2020</v>
      </c>
      <c r="F4795" t="s">
        <v>69</v>
      </c>
    </row>
    <row r="4796" spans="1:6" x14ac:dyDescent="0.25">
      <c r="A4796" t="s">
        <v>28</v>
      </c>
      <c r="B4796" t="s">
        <v>29</v>
      </c>
      <c r="C4796" t="s">
        <v>60</v>
      </c>
      <c r="D4796">
        <v>77.88</v>
      </c>
      <c r="E4796">
        <v>2020</v>
      </c>
      <c r="F4796" t="s">
        <v>69</v>
      </c>
    </row>
    <row r="4797" spans="1:6" x14ac:dyDescent="0.25">
      <c r="A4797" t="s">
        <v>30</v>
      </c>
      <c r="B4797" t="s">
        <v>31</v>
      </c>
      <c r="C4797" t="s">
        <v>60</v>
      </c>
      <c r="D4797">
        <v>635.32000000000005</v>
      </c>
      <c r="E4797">
        <v>2020</v>
      </c>
      <c r="F4797" t="s">
        <v>69</v>
      </c>
    </row>
    <row r="4798" spans="1:6" x14ac:dyDescent="0.25">
      <c r="A4798" t="s">
        <v>32</v>
      </c>
      <c r="B4798" t="s">
        <v>33</v>
      </c>
      <c r="C4798" t="s">
        <v>60</v>
      </c>
      <c r="D4798">
        <v>353.58</v>
      </c>
      <c r="E4798">
        <v>2020</v>
      </c>
      <c r="F4798" t="s">
        <v>69</v>
      </c>
    </row>
    <row r="4799" spans="1:6" x14ac:dyDescent="0.25">
      <c r="A4799" t="s">
        <v>34</v>
      </c>
      <c r="B4799" t="s">
        <v>35</v>
      </c>
      <c r="C4799" t="s">
        <v>60</v>
      </c>
      <c r="D4799">
        <v>424.74</v>
      </c>
      <c r="E4799">
        <v>2020</v>
      </c>
      <c r="F4799" t="s">
        <v>69</v>
      </c>
    </row>
    <row r="4800" spans="1:6" x14ac:dyDescent="0.25">
      <c r="A4800" t="s">
        <v>36</v>
      </c>
      <c r="B4800" t="s">
        <v>37</v>
      </c>
      <c r="C4800" t="s">
        <v>60</v>
      </c>
      <c r="D4800">
        <v>336.22</v>
      </c>
      <c r="E4800">
        <v>2020</v>
      </c>
      <c r="F4800" t="s">
        <v>69</v>
      </c>
    </row>
    <row r="4801" spans="1:6" x14ac:dyDescent="0.25">
      <c r="A4801" t="s">
        <v>38</v>
      </c>
      <c r="B4801" t="s">
        <v>39</v>
      </c>
      <c r="C4801" t="s">
        <v>60</v>
      </c>
      <c r="D4801">
        <v>146.84</v>
      </c>
      <c r="E4801">
        <v>2020</v>
      </c>
      <c r="F4801" t="s">
        <v>69</v>
      </c>
    </row>
    <row r="4802" spans="1:6" x14ac:dyDescent="0.25">
      <c r="A4802" t="s">
        <v>40</v>
      </c>
      <c r="B4802" t="s">
        <v>41</v>
      </c>
      <c r="C4802" t="s">
        <v>60</v>
      </c>
      <c r="D4802">
        <v>248.68</v>
      </c>
      <c r="E4802">
        <v>2020</v>
      </c>
      <c r="F4802" t="s">
        <v>69</v>
      </c>
    </row>
    <row r="4803" spans="1:6" x14ac:dyDescent="0.25">
      <c r="A4803" t="s">
        <v>42</v>
      </c>
      <c r="B4803" t="s">
        <v>43</v>
      </c>
      <c r="C4803" t="s">
        <v>60</v>
      </c>
      <c r="E4803">
        <v>2020</v>
      </c>
      <c r="F4803" t="s">
        <v>69</v>
      </c>
    </row>
    <row r="4804" spans="1:6" x14ac:dyDescent="0.25">
      <c r="A4804" t="s">
        <v>44</v>
      </c>
      <c r="B4804" t="s">
        <v>45</v>
      </c>
      <c r="C4804" t="s">
        <v>60</v>
      </c>
      <c r="D4804">
        <v>191.97</v>
      </c>
      <c r="E4804">
        <v>2020</v>
      </c>
      <c r="F4804" t="s">
        <v>69</v>
      </c>
    </row>
    <row r="4805" spans="1:6" x14ac:dyDescent="0.25">
      <c r="A4805" t="s">
        <v>46</v>
      </c>
      <c r="B4805" t="s">
        <v>47</v>
      </c>
      <c r="C4805" t="s">
        <v>60</v>
      </c>
      <c r="D4805">
        <v>129.06</v>
      </c>
      <c r="E4805">
        <v>2020</v>
      </c>
      <c r="F4805" t="s">
        <v>69</v>
      </c>
    </row>
    <row r="4806" spans="1:6" x14ac:dyDescent="0.25">
      <c r="A4806" t="s">
        <v>48</v>
      </c>
      <c r="B4806" t="s">
        <v>49</v>
      </c>
      <c r="C4806" t="s">
        <v>60</v>
      </c>
      <c r="D4806">
        <v>94.99</v>
      </c>
      <c r="E4806">
        <v>2020</v>
      </c>
      <c r="F4806" t="s">
        <v>69</v>
      </c>
    </row>
    <row r="4807" spans="1:6" x14ac:dyDescent="0.25">
      <c r="A4807" t="s">
        <v>50</v>
      </c>
      <c r="B4807" t="s">
        <v>51</v>
      </c>
      <c r="C4807" t="s">
        <v>60</v>
      </c>
      <c r="D4807">
        <v>55.15</v>
      </c>
      <c r="E4807">
        <v>2020</v>
      </c>
      <c r="F4807" t="s">
        <v>69</v>
      </c>
    </row>
    <row r="4808" spans="1:6" x14ac:dyDescent="0.25">
      <c r="A4808" t="s">
        <v>52</v>
      </c>
      <c r="B4808" t="s">
        <v>53</v>
      </c>
      <c r="C4808" t="s">
        <v>60</v>
      </c>
      <c r="D4808">
        <v>118.75</v>
      </c>
      <c r="E4808">
        <v>2020</v>
      </c>
      <c r="F4808" t="s">
        <v>69</v>
      </c>
    </row>
    <row r="4809" spans="1:6" x14ac:dyDescent="0.25">
      <c r="A4809" t="s">
        <v>54</v>
      </c>
      <c r="B4809" t="s">
        <v>55</v>
      </c>
      <c r="C4809" t="s">
        <v>60</v>
      </c>
      <c r="D4809">
        <v>448.03</v>
      </c>
      <c r="E4809">
        <v>2020</v>
      </c>
      <c r="F4809" t="s">
        <v>69</v>
      </c>
    </row>
    <row r="4810" spans="1:6" x14ac:dyDescent="0.25">
      <c r="A4810" t="s">
        <v>56</v>
      </c>
      <c r="B4810" t="s">
        <v>57</v>
      </c>
      <c r="C4810" t="s">
        <v>60</v>
      </c>
      <c r="E4810">
        <v>2020</v>
      </c>
      <c r="F4810" t="s">
        <v>69</v>
      </c>
    </row>
    <row r="4811" spans="1:6" x14ac:dyDescent="0.25">
      <c r="A4811" t="s">
        <v>58</v>
      </c>
      <c r="B4811" t="s">
        <v>59</v>
      </c>
      <c r="C4811" t="s">
        <v>60</v>
      </c>
      <c r="E4811">
        <v>2020</v>
      </c>
      <c r="F4811" t="s">
        <v>69</v>
      </c>
    </row>
    <row r="4812" spans="1:6" x14ac:dyDescent="0.25">
      <c r="A4812" t="s">
        <v>6</v>
      </c>
      <c r="B4812" t="s">
        <v>7</v>
      </c>
      <c r="C4812" t="s">
        <v>61</v>
      </c>
      <c r="D4812">
        <v>3816.78</v>
      </c>
      <c r="E4812">
        <v>2020</v>
      </c>
      <c r="F4812" t="s">
        <v>69</v>
      </c>
    </row>
    <row r="4813" spans="1:6" x14ac:dyDescent="0.25">
      <c r="A4813" t="s">
        <v>10</v>
      </c>
      <c r="B4813" t="s">
        <v>11</v>
      </c>
      <c r="C4813" t="s">
        <v>61</v>
      </c>
      <c r="D4813">
        <v>1903.11</v>
      </c>
      <c r="E4813">
        <v>2020</v>
      </c>
      <c r="F4813" t="s">
        <v>69</v>
      </c>
    </row>
    <row r="4814" spans="1:6" x14ac:dyDescent="0.25">
      <c r="A4814" t="s">
        <v>12</v>
      </c>
      <c r="B4814" t="s">
        <v>13</v>
      </c>
      <c r="C4814" t="s">
        <v>61</v>
      </c>
      <c r="D4814">
        <v>147.78</v>
      </c>
      <c r="E4814">
        <v>2020</v>
      </c>
      <c r="F4814" t="s">
        <v>69</v>
      </c>
    </row>
    <row r="4815" spans="1:6" x14ac:dyDescent="0.25">
      <c r="A4815" t="s">
        <v>14</v>
      </c>
      <c r="B4815" t="s">
        <v>15</v>
      </c>
      <c r="C4815" t="s">
        <v>61</v>
      </c>
      <c r="D4815">
        <v>1.69</v>
      </c>
      <c r="E4815">
        <v>2020</v>
      </c>
      <c r="F4815" t="s">
        <v>69</v>
      </c>
    </row>
    <row r="4816" spans="1:6" x14ac:dyDescent="0.25">
      <c r="A4816" t="s">
        <v>16</v>
      </c>
      <c r="B4816" t="s">
        <v>17</v>
      </c>
      <c r="C4816" t="s">
        <v>61</v>
      </c>
      <c r="D4816">
        <v>58.15</v>
      </c>
      <c r="E4816">
        <v>2020</v>
      </c>
      <c r="F4816" t="s">
        <v>69</v>
      </c>
    </row>
    <row r="4817" spans="1:6" x14ac:dyDescent="0.25">
      <c r="A4817" t="s">
        <v>18</v>
      </c>
      <c r="B4817" t="s">
        <v>19</v>
      </c>
      <c r="C4817" t="s">
        <v>61</v>
      </c>
      <c r="D4817">
        <v>25.91</v>
      </c>
      <c r="E4817">
        <v>2020</v>
      </c>
      <c r="F4817" t="s">
        <v>69</v>
      </c>
    </row>
    <row r="4818" spans="1:6" x14ac:dyDescent="0.25">
      <c r="A4818" t="s">
        <v>20</v>
      </c>
      <c r="B4818" t="s">
        <v>21</v>
      </c>
      <c r="C4818" t="s">
        <v>61</v>
      </c>
      <c r="D4818">
        <v>41.56</v>
      </c>
      <c r="E4818">
        <v>2020</v>
      </c>
      <c r="F4818" t="s">
        <v>69</v>
      </c>
    </row>
    <row r="4819" spans="1:6" x14ac:dyDescent="0.25">
      <c r="A4819" t="s">
        <v>22</v>
      </c>
      <c r="B4819" t="s">
        <v>23</v>
      </c>
      <c r="C4819" t="s">
        <v>61</v>
      </c>
      <c r="D4819">
        <v>82.05</v>
      </c>
      <c r="E4819">
        <v>2020</v>
      </c>
      <c r="F4819" t="s">
        <v>69</v>
      </c>
    </row>
    <row r="4820" spans="1:6" x14ac:dyDescent="0.25">
      <c r="A4820" t="s">
        <v>24</v>
      </c>
      <c r="B4820" t="s">
        <v>25</v>
      </c>
      <c r="C4820" t="s">
        <v>61</v>
      </c>
      <c r="D4820">
        <v>179.27</v>
      </c>
      <c r="E4820">
        <v>2020</v>
      </c>
      <c r="F4820" t="s">
        <v>69</v>
      </c>
    </row>
    <row r="4821" spans="1:6" x14ac:dyDescent="0.25">
      <c r="A4821" t="s">
        <v>26</v>
      </c>
      <c r="B4821" t="s">
        <v>27</v>
      </c>
      <c r="C4821" t="s">
        <v>61</v>
      </c>
      <c r="D4821">
        <v>76.11</v>
      </c>
      <c r="E4821">
        <v>2020</v>
      </c>
      <c r="F4821" t="s">
        <v>69</v>
      </c>
    </row>
    <row r="4822" spans="1:6" x14ac:dyDescent="0.25">
      <c r="A4822" t="s">
        <v>28</v>
      </c>
      <c r="B4822" t="s">
        <v>29</v>
      </c>
      <c r="C4822" t="s">
        <v>61</v>
      </c>
      <c r="D4822">
        <v>17.55</v>
      </c>
      <c r="E4822">
        <v>2020</v>
      </c>
      <c r="F4822" t="s">
        <v>69</v>
      </c>
    </row>
    <row r="4823" spans="1:6" x14ac:dyDescent="0.25">
      <c r="A4823" t="s">
        <v>30</v>
      </c>
      <c r="B4823" t="s">
        <v>31</v>
      </c>
      <c r="C4823" t="s">
        <v>61</v>
      </c>
      <c r="D4823">
        <v>225.22</v>
      </c>
      <c r="E4823">
        <v>2020</v>
      </c>
      <c r="F4823" t="s">
        <v>69</v>
      </c>
    </row>
    <row r="4824" spans="1:6" x14ac:dyDescent="0.25">
      <c r="A4824" t="s">
        <v>32</v>
      </c>
      <c r="B4824" t="s">
        <v>33</v>
      </c>
      <c r="C4824" t="s">
        <v>61</v>
      </c>
      <c r="D4824">
        <v>155.93</v>
      </c>
      <c r="E4824">
        <v>2020</v>
      </c>
      <c r="F4824" t="s">
        <v>69</v>
      </c>
    </row>
    <row r="4825" spans="1:6" x14ac:dyDescent="0.25">
      <c r="A4825" t="s">
        <v>34</v>
      </c>
      <c r="B4825" t="s">
        <v>35</v>
      </c>
      <c r="C4825" t="s">
        <v>61</v>
      </c>
      <c r="D4825">
        <v>288.55</v>
      </c>
      <c r="E4825">
        <v>2020</v>
      </c>
      <c r="F4825" t="s">
        <v>69</v>
      </c>
    </row>
    <row r="4826" spans="1:6" x14ac:dyDescent="0.25">
      <c r="A4826" t="s">
        <v>36</v>
      </c>
      <c r="B4826" t="s">
        <v>37</v>
      </c>
      <c r="C4826" t="s">
        <v>61</v>
      </c>
      <c r="D4826">
        <v>152.16</v>
      </c>
      <c r="E4826">
        <v>2020</v>
      </c>
      <c r="F4826" t="s">
        <v>69</v>
      </c>
    </row>
    <row r="4827" spans="1:6" x14ac:dyDescent="0.25">
      <c r="A4827" t="s">
        <v>38</v>
      </c>
      <c r="B4827" t="s">
        <v>39</v>
      </c>
      <c r="C4827" t="s">
        <v>61</v>
      </c>
      <c r="D4827">
        <v>104.18</v>
      </c>
      <c r="E4827">
        <v>2020</v>
      </c>
      <c r="F4827" t="s">
        <v>69</v>
      </c>
    </row>
    <row r="4828" spans="1:6" x14ac:dyDescent="0.25">
      <c r="A4828" t="s">
        <v>40</v>
      </c>
      <c r="B4828" t="s">
        <v>41</v>
      </c>
      <c r="C4828" t="s">
        <v>61</v>
      </c>
      <c r="D4828">
        <v>78.2</v>
      </c>
      <c r="E4828">
        <v>2020</v>
      </c>
      <c r="F4828" t="s">
        <v>69</v>
      </c>
    </row>
    <row r="4829" spans="1:6" x14ac:dyDescent="0.25">
      <c r="A4829" t="s">
        <v>42</v>
      </c>
      <c r="B4829" t="s">
        <v>43</v>
      </c>
      <c r="C4829" t="s">
        <v>61</v>
      </c>
      <c r="D4829">
        <v>11.9</v>
      </c>
      <c r="E4829">
        <v>2020</v>
      </c>
      <c r="F4829" t="s">
        <v>69</v>
      </c>
    </row>
    <row r="4830" spans="1:6" x14ac:dyDescent="0.25">
      <c r="A4830" t="s">
        <v>44</v>
      </c>
      <c r="B4830" t="s">
        <v>45</v>
      </c>
      <c r="C4830" t="s">
        <v>61</v>
      </c>
      <c r="D4830">
        <v>99.91</v>
      </c>
      <c r="E4830">
        <v>2020</v>
      </c>
      <c r="F4830" t="s">
        <v>69</v>
      </c>
    </row>
    <row r="4831" spans="1:6" x14ac:dyDescent="0.25">
      <c r="A4831" t="s">
        <v>46</v>
      </c>
      <c r="B4831" t="s">
        <v>47</v>
      </c>
      <c r="C4831" t="s">
        <v>61</v>
      </c>
      <c r="D4831">
        <v>35.83</v>
      </c>
      <c r="E4831">
        <v>2020</v>
      </c>
      <c r="F4831" t="s">
        <v>69</v>
      </c>
    </row>
    <row r="4832" spans="1:6" x14ac:dyDescent="0.25">
      <c r="A4832" t="s">
        <v>48</v>
      </c>
      <c r="B4832" t="s">
        <v>49</v>
      </c>
      <c r="C4832" t="s">
        <v>61</v>
      </c>
      <c r="D4832">
        <v>24.07</v>
      </c>
      <c r="E4832">
        <v>2020</v>
      </c>
      <c r="F4832" t="s">
        <v>69</v>
      </c>
    </row>
    <row r="4833" spans="1:6" x14ac:dyDescent="0.25">
      <c r="A4833" t="s">
        <v>50</v>
      </c>
      <c r="B4833" t="s">
        <v>51</v>
      </c>
      <c r="C4833" t="s">
        <v>61</v>
      </c>
      <c r="D4833">
        <v>19.48</v>
      </c>
      <c r="E4833">
        <v>2020</v>
      </c>
      <c r="F4833" t="s">
        <v>69</v>
      </c>
    </row>
    <row r="4834" spans="1:6" x14ac:dyDescent="0.25">
      <c r="A4834" t="s">
        <v>52</v>
      </c>
      <c r="B4834" t="s">
        <v>53</v>
      </c>
      <c r="C4834" t="s">
        <v>61</v>
      </c>
      <c r="D4834">
        <v>49.34</v>
      </c>
      <c r="E4834">
        <v>2020</v>
      </c>
      <c r="F4834" t="s">
        <v>69</v>
      </c>
    </row>
    <row r="4835" spans="1:6" x14ac:dyDescent="0.25">
      <c r="A4835" t="s">
        <v>54</v>
      </c>
      <c r="B4835" t="s">
        <v>55</v>
      </c>
      <c r="C4835" t="s">
        <v>61</v>
      </c>
      <c r="D4835">
        <v>4.88</v>
      </c>
      <c r="E4835">
        <v>2020</v>
      </c>
      <c r="F4835" t="s">
        <v>69</v>
      </c>
    </row>
    <row r="4836" spans="1:6" x14ac:dyDescent="0.25">
      <c r="A4836" t="s">
        <v>56</v>
      </c>
      <c r="B4836" t="s">
        <v>57</v>
      </c>
      <c r="C4836" t="s">
        <v>61</v>
      </c>
      <c r="D4836">
        <v>33.950000000000003</v>
      </c>
      <c r="E4836">
        <v>2020</v>
      </c>
      <c r="F4836" t="s">
        <v>69</v>
      </c>
    </row>
    <row r="4837" spans="1:6" x14ac:dyDescent="0.25">
      <c r="A4837" t="s">
        <v>58</v>
      </c>
      <c r="B4837" t="s">
        <v>59</v>
      </c>
      <c r="C4837" t="s">
        <v>61</v>
      </c>
      <c r="E4837">
        <v>2020</v>
      </c>
      <c r="F4837" t="s">
        <v>69</v>
      </c>
    </row>
    <row r="4838" spans="1:6" x14ac:dyDescent="0.25">
      <c r="A4838" t="s">
        <v>6</v>
      </c>
      <c r="B4838" t="s">
        <v>7</v>
      </c>
      <c r="C4838" t="s">
        <v>65</v>
      </c>
      <c r="D4838">
        <v>31124.71</v>
      </c>
      <c r="E4838">
        <v>2020</v>
      </c>
      <c r="F4838" t="s">
        <v>69</v>
      </c>
    </row>
    <row r="4839" spans="1:6" x14ac:dyDescent="0.25">
      <c r="A4839" t="s">
        <v>10</v>
      </c>
      <c r="B4839" t="s">
        <v>11</v>
      </c>
      <c r="C4839" t="s">
        <v>65</v>
      </c>
      <c r="D4839">
        <v>3495.98</v>
      </c>
      <c r="E4839">
        <v>2020</v>
      </c>
      <c r="F4839" t="s">
        <v>69</v>
      </c>
    </row>
    <row r="4840" spans="1:6" x14ac:dyDescent="0.25">
      <c r="A4840" t="s">
        <v>12</v>
      </c>
      <c r="B4840" t="s">
        <v>13</v>
      </c>
      <c r="C4840" t="s">
        <v>65</v>
      </c>
      <c r="D4840">
        <v>896.87</v>
      </c>
      <c r="E4840">
        <v>2020</v>
      </c>
      <c r="F4840" t="s">
        <v>69</v>
      </c>
    </row>
    <row r="4841" spans="1:6" x14ac:dyDescent="0.25">
      <c r="A4841" t="s">
        <v>14</v>
      </c>
      <c r="B4841" t="s">
        <v>15</v>
      </c>
      <c r="C4841" t="s">
        <v>65</v>
      </c>
      <c r="D4841">
        <v>20.77</v>
      </c>
      <c r="E4841">
        <v>2020</v>
      </c>
      <c r="F4841" t="s">
        <v>69</v>
      </c>
    </row>
    <row r="4842" spans="1:6" x14ac:dyDescent="0.25">
      <c r="A4842" t="s">
        <v>16</v>
      </c>
      <c r="B4842" t="s">
        <v>17</v>
      </c>
      <c r="C4842" t="s">
        <v>65</v>
      </c>
      <c r="D4842">
        <v>1778.66</v>
      </c>
      <c r="E4842">
        <v>2020</v>
      </c>
      <c r="F4842" t="s">
        <v>69</v>
      </c>
    </row>
    <row r="4843" spans="1:6" x14ac:dyDescent="0.25">
      <c r="A4843" t="s">
        <v>18</v>
      </c>
      <c r="B4843" t="s">
        <v>19</v>
      </c>
      <c r="C4843" t="s">
        <v>65</v>
      </c>
      <c r="D4843">
        <v>584.33000000000004</v>
      </c>
      <c r="E4843">
        <v>2020</v>
      </c>
      <c r="F4843" t="s">
        <v>69</v>
      </c>
    </row>
    <row r="4844" spans="1:6" x14ac:dyDescent="0.25">
      <c r="A4844" t="s">
        <v>20</v>
      </c>
      <c r="B4844" t="s">
        <v>21</v>
      </c>
      <c r="C4844" t="s">
        <v>65</v>
      </c>
      <c r="D4844">
        <v>325.52</v>
      </c>
      <c r="E4844">
        <v>2020</v>
      </c>
      <c r="F4844" t="s">
        <v>69</v>
      </c>
    </row>
    <row r="4845" spans="1:6" x14ac:dyDescent="0.25">
      <c r="A4845" t="s">
        <v>22</v>
      </c>
      <c r="B4845" t="s">
        <v>23</v>
      </c>
      <c r="C4845" t="s">
        <v>65</v>
      </c>
      <c r="D4845">
        <v>166.84</v>
      </c>
      <c r="E4845">
        <v>2020</v>
      </c>
      <c r="F4845" t="s">
        <v>69</v>
      </c>
    </row>
    <row r="4846" spans="1:6" x14ac:dyDescent="0.25">
      <c r="A4846" t="s">
        <v>24</v>
      </c>
      <c r="B4846" t="s">
        <v>25</v>
      </c>
      <c r="C4846" t="s">
        <v>65</v>
      </c>
      <c r="D4846">
        <v>673.3</v>
      </c>
      <c r="E4846">
        <v>2020</v>
      </c>
      <c r="F4846" t="s">
        <v>69</v>
      </c>
    </row>
    <row r="4847" spans="1:6" x14ac:dyDescent="0.25">
      <c r="A4847" t="s">
        <v>26</v>
      </c>
      <c r="B4847" t="s">
        <v>27</v>
      </c>
      <c r="C4847" t="s">
        <v>65</v>
      </c>
      <c r="D4847">
        <v>119.87</v>
      </c>
      <c r="E4847">
        <v>2020</v>
      </c>
      <c r="F4847" t="s">
        <v>69</v>
      </c>
    </row>
    <row r="4848" spans="1:6" x14ac:dyDescent="0.25">
      <c r="A4848" t="s">
        <v>28</v>
      </c>
      <c r="B4848" t="s">
        <v>29</v>
      </c>
      <c r="C4848" t="s">
        <v>65</v>
      </c>
      <c r="D4848">
        <v>536.6</v>
      </c>
      <c r="E4848">
        <v>2020</v>
      </c>
      <c r="F4848" t="s">
        <v>69</v>
      </c>
    </row>
    <row r="4849" spans="1:6" x14ac:dyDescent="0.25">
      <c r="A4849" t="s">
        <v>30</v>
      </c>
      <c r="B4849" t="s">
        <v>31</v>
      </c>
      <c r="C4849" t="s">
        <v>65</v>
      </c>
      <c r="D4849">
        <v>2086.2600000000002</v>
      </c>
      <c r="E4849">
        <v>2020</v>
      </c>
      <c r="F4849" t="s">
        <v>69</v>
      </c>
    </row>
    <row r="4850" spans="1:6" x14ac:dyDescent="0.25">
      <c r="A4850" t="s">
        <v>32</v>
      </c>
      <c r="B4850" t="s">
        <v>33</v>
      </c>
      <c r="C4850" t="s">
        <v>65</v>
      </c>
      <c r="D4850">
        <v>832.27</v>
      </c>
      <c r="E4850">
        <v>2020</v>
      </c>
      <c r="F4850" t="s">
        <v>69</v>
      </c>
    </row>
    <row r="4851" spans="1:6" x14ac:dyDescent="0.25">
      <c r="A4851" t="s">
        <v>34</v>
      </c>
      <c r="B4851" t="s">
        <v>35</v>
      </c>
      <c r="C4851" t="s">
        <v>65</v>
      </c>
      <c r="D4851">
        <v>1771.28</v>
      </c>
      <c r="E4851">
        <v>2020</v>
      </c>
      <c r="F4851" t="s">
        <v>69</v>
      </c>
    </row>
    <row r="4852" spans="1:6" x14ac:dyDescent="0.25">
      <c r="A4852" t="s">
        <v>36</v>
      </c>
      <c r="B4852" t="s">
        <v>37</v>
      </c>
      <c r="C4852" t="s">
        <v>65</v>
      </c>
      <c r="D4852">
        <v>1471.29</v>
      </c>
      <c r="E4852">
        <v>2020</v>
      </c>
      <c r="F4852" t="s">
        <v>69</v>
      </c>
    </row>
    <row r="4853" spans="1:6" x14ac:dyDescent="0.25">
      <c r="A4853" t="s">
        <v>38</v>
      </c>
      <c r="B4853" t="s">
        <v>39</v>
      </c>
      <c r="C4853" t="s">
        <v>65</v>
      </c>
      <c r="D4853">
        <v>1322.18</v>
      </c>
      <c r="E4853">
        <v>2020</v>
      </c>
      <c r="F4853" t="s">
        <v>69</v>
      </c>
    </row>
    <row r="4854" spans="1:6" x14ac:dyDescent="0.25">
      <c r="A4854" t="s">
        <v>40</v>
      </c>
      <c r="B4854" t="s">
        <v>41</v>
      </c>
      <c r="C4854" t="s">
        <v>65</v>
      </c>
      <c r="D4854">
        <v>1652.75</v>
      </c>
      <c r="E4854">
        <v>2020</v>
      </c>
      <c r="F4854" t="s">
        <v>69</v>
      </c>
    </row>
    <row r="4855" spans="1:6" x14ac:dyDescent="0.25">
      <c r="A4855" t="s">
        <v>42</v>
      </c>
      <c r="B4855" t="s">
        <v>43</v>
      </c>
      <c r="C4855" t="s">
        <v>65</v>
      </c>
      <c r="D4855">
        <v>3285.99</v>
      </c>
      <c r="E4855">
        <v>2020</v>
      </c>
      <c r="F4855" t="s">
        <v>69</v>
      </c>
    </row>
    <row r="4856" spans="1:6" x14ac:dyDescent="0.25">
      <c r="A4856" t="s">
        <v>44</v>
      </c>
      <c r="B4856" t="s">
        <v>45</v>
      </c>
      <c r="C4856" t="s">
        <v>65</v>
      </c>
      <c r="D4856">
        <v>4347.0200000000004</v>
      </c>
      <c r="E4856">
        <v>2020</v>
      </c>
      <c r="F4856" t="s">
        <v>69</v>
      </c>
    </row>
    <row r="4857" spans="1:6" x14ac:dyDescent="0.25">
      <c r="A4857" t="s">
        <v>46</v>
      </c>
      <c r="B4857" t="s">
        <v>47</v>
      </c>
      <c r="C4857" t="s">
        <v>65</v>
      </c>
      <c r="D4857">
        <v>3646.51</v>
      </c>
      <c r="E4857">
        <v>2020</v>
      </c>
      <c r="F4857" t="s">
        <v>69</v>
      </c>
    </row>
    <row r="4858" spans="1:6" x14ac:dyDescent="0.25">
      <c r="A4858" t="s">
        <v>48</v>
      </c>
      <c r="B4858" t="s">
        <v>49</v>
      </c>
      <c r="C4858" t="s">
        <v>65</v>
      </c>
      <c r="D4858">
        <v>1660.77</v>
      </c>
      <c r="E4858">
        <v>2020</v>
      </c>
      <c r="F4858" t="s">
        <v>69</v>
      </c>
    </row>
    <row r="4859" spans="1:6" x14ac:dyDescent="0.25">
      <c r="A4859" t="s">
        <v>50</v>
      </c>
      <c r="B4859" t="s">
        <v>51</v>
      </c>
      <c r="C4859" t="s">
        <v>65</v>
      </c>
      <c r="D4859">
        <v>167.06</v>
      </c>
      <c r="E4859">
        <v>2020</v>
      </c>
      <c r="F4859" t="s">
        <v>69</v>
      </c>
    </row>
    <row r="4860" spans="1:6" x14ac:dyDescent="0.25">
      <c r="A4860" t="s">
        <v>52</v>
      </c>
      <c r="B4860" t="s">
        <v>53</v>
      </c>
      <c r="C4860" t="s">
        <v>65</v>
      </c>
      <c r="D4860">
        <v>160.6</v>
      </c>
      <c r="E4860">
        <v>2020</v>
      </c>
      <c r="F4860" t="s">
        <v>69</v>
      </c>
    </row>
    <row r="4861" spans="1:6" x14ac:dyDescent="0.25">
      <c r="A4861" t="s">
        <v>54</v>
      </c>
      <c r="B4861" t="s">
        <v>55</v>
      </c>
      <c r="C4861" t="s">
        <v>65</v>
      </c>
      <c r="D4861">
        <v>121.99</v>
      </c>
      <c r="E4861">
        <v>2020</v>
      </c>
      <c r="F4861" t="s">
        <v>69</v>
      </c>
    </row>
    <row r="4862" spans="1:6" x14ac:dyDescent="0.25">
      <c r="A4862" t="s">
        <v>56</v>
      </c>
      <c r="B4862" t="s">
        <v>57</v>
      </c>
      <c r="C4862" t="s">
        <v>65</v>
      </c>
      <c r="E4862">
        <v>2020</v>
      </c>
      <c r="F4862" t="s">
        <v>69</v>
      </c>
    </row>
    <row r="4863" spans="1:6" x14ac:dyDescent="0.25">
      <c r="A4863" t="s">
        <v>58</v>
      </c>
      <c r="B4863" t="s">
        <v>59</v>
      </c>
      <c r="C4863" t="s">
        <v>65</v>
      </c>
      <c r="E4863">
        <v>2020</v>
      </c>
      <c r="F4863" t="s">
        <v>69</v>
      </c>
    </row>
    <row r="4864" spans="1:6" x14ac:dyDescent="0.25">
      <c r="A4864" t="s">
        <v>6</v>
      </c>
      <c r="B4864" t="s">
        <v>7</v>
      </c>
      <c r="C4864" t="s">
        <v>62</v>
      </c>
      <c r="E4864">
        <v>2020</v>
      </c>
      <c r="F4864" t="s">
        <v>69</v>
      </c>
    </row>
    <row r="4865" spans="1:6" x14ac:dyDescent="0.25">
      <c r="A4865" t="s">
        <v>10</v>
      </c>
      <c r="B4865" t="s">
        <v>11</v>
      </c>
      <c r="C4865" t="s">
        <v>62</v>
      </c>
      <c r="E4865">
        <v>2020</v>
      </c>
      <c r="F4865" t="s">
        <v>69</v>
      </c>
    </row>
    <row r="4866" spans="1:6" x14ac:dyDescent="0.25">
      <c r="A4866" t="s">
        <v>12</v>
      </c>
      <c r="B4866" t="s">
        <v>13</v>
      </c>
      <c r="C4866" t="s">
        <v>62</v>
      </c>
      <c r="E4866">
        <v>2020</v>
      </c>
      <c r="F4866" t="s">
        <v>69</v>
      </c>
    </row>
    <row r="4867" spans="1:6" x14ac:dyDescent="0.25">
      <c r="A4867" t="s">
        <v>14</v>
      </c>
      <c r="B4867" t="s">
        <v>15</v>
      </c>
      <c r="C4867" t="s">
        <v>62</v>
      </c>
      <c r="E4867">
        <v>2020</v>
      </c>
      <c r="F4867" t="s">
        <v>69</v>
      </c>
    </row>
    <row r="4868" spans="1:6" x14ac:dyDescent="0.25">
      <c r="A4868" t="s">
        <v>16</v>
      </c>
      <c r="B4868" t="s">
        <v>17</v>
      </c>
      <c r="C4868" t="s">
        <v>62</v>
      </c>
      <c r="E4868">
        <v>2020</v>
      </c>
      <c r="F4868" t="s">
        <v>69</v>
      </c>
    </row>
    <row r="4869" spans="1:6" x14ac:dyDescent="0.25">
      <c r="A4869" t="s">
        <v>18</v>
      </c>
      <c r="B4869" t="s">
        <v>19</v>
      </c>
      <c r="C4869" t="s">
        <v>62</v>
      </c>
      <c r="E4869">
        <v>2020</v>
      </c>
      <c r="F4869" t="s">
        <v>69</v>
      </c>
    </row>
    <row r="4870" spans="1:6" x14ac:dyDescent="0.25">
      <c r="A4870" t="s">
        <v>20</v>
      </c>
      <c r="B4870" t="s">
        <v>21</v>
      </c>
      <c r="C4870" t="s">
        <v>62</v>
      </c>
      <c r="E4870">
        <v>2020</v>
      </c>
      <c r="F4870" t="s">
        <v>69</v>
      </c>
    </row>
    <row r="4871" spans="1:6" x14ac:dyDescent="0.25">
      <c r="A4871" t="s">
        <v>22</v>
      </c>
      <c r="B4871" t="s">
        <v>23</v>
      </c>
      <c r="C4871" t="s">
        <v>62</v>
      </c>
      <c r="E4871">
        <v>2020</v>
      </c>
      <c r="F4871" t="s">
        <v>69</v>
      </c>
    </row>
    <row r="4872" spans="1:6" x14ac:dyDescent="0.25">
      <c r="A4872" t="s">
        <v>24</v>
      </c>
      <c r="B4872" t="s">
        <v>25</v>
      </c>
      <c r="C4872" t="s">
        <v>62</v>
      </c>
      <c r="E4872">
        <v>2020</v>
      </c>
      <c r="F4872" t="s">
        <v>69</v>
      </c>
    </row>
    <row r="4873" spans="1:6" x14ac:dyDescent="0.25">
      <c r="A4873" t="s">
        <v>26</v>
      </c>
      <c r="B4873" t="s">
        <v>27</v>
      </c>
      <c r="C4873" t="s">
        <v>62</v>
      </c>
      <c r="E4873">
        <v>2020</v>
      </c>
      <c r="F4873" t="s">
        <v>69</v>
      </c>
    </row>
    <row r="4874" spans="1:6" x14ac:dyDescent="0.25">
      <c r="A4874" t="s">
        <v>28</v>
      </c>
      <c r="B4874" t="s">
        <v>29</v>
      </c>
      <c r="C4874" t="s">
        <v>62</v>
      </c>
      <c r="E4874">
        <v>2020</v>
      </c>
      <c r="F4874" t="s">
        <v>69</v>
      </c>
    </row>
    <row r="4875" spans="1:6" x14ac:dyDescent="0.25">
      <c r="A4875" t="s">
        <v>30</v>
      </c>
      <c r="B4875" t="s">
        <v>31</v>
      </c>
      <c r="C4875" t="s">
        <v>62</v>
      </c>
      <c r="E4875">
        <v>2020</v>
      </c>
      <c r="F4875" t="s">
        <v>69</v>
      </c>
    </row>
    <row r="4876" spans="1:6" x14ac:dyDescent="0.25">
      <c r="A4876" t="s">
        <v>32</v>
      </c>
      <c r="B4876" t="s">
        <v>33</v>
      </c>
      <c r="C4876" t="s">
        <v>62</v>
      </c>
      <c r="E4876">
        <v>2020</v>
      </c>
      <c r="F4876" t="s">
        <v>69</v>
      </c>
    </row>
    <row r="4877" spans="1:6" x14ac:dyDescent="0.25">
      <c r="A4877" t="s">
        <v>34</v>
      </c>
      <c r="B4877" t="s">
        <v>35</v>
      </c>
      <c r="C4877" t="s">
        <v>62</v>
      </c>
      <c r="E4877">
        <v>2020</v>
      </c>
      <c r="F4877" t="s">
        <v>69</v>
      </c>
    </row>
    <row r="4878" spans="1:6" x14ac:dyDescent="0.25">
      <c r="A4878" t="s">
        <v>36</v>
      </c>
      <c r="B4878" t="s">
        <v>37</v>
      </c>
      <c r="C4878" t="s">
        <v>62</v>
      </c>
      <c r="E4878">
        <v>2020</v>
      </c>
      <c r="F4878" t="s">
        <v>69</v>
      </c>
    </row>
    <row r="4879" spans="1:6" x14ac:dyDescent="0.25">
      <c r="A4879" t="s">
        <v>38</v>
      </c>
      <c r="B4879" t="s">
        <v>39</v>
      </c>
      <c r="C4879" t="s">
        <v>62</v>
      </c>
      <c r="E4879">
        <v>2020</v>
      </c>
      <c r="F4879" t="s">
        <v>69</v>
      </c>
    </row>
    <row r="4880" spans="1:6" x14ac:dyDescent="0.25">
      <c r="A4880" t="s">
        <v>40</v>
      </c>
      <c r="B4880" t="s">
        <v>41</v>
      </c>
      <c r="C4880" t="s">
        <v>62</v>
      </c>
      <c r="E4880">
        <v>2020</v>
      </c>
      <c r="F4880" t="s">
        <v>69</v>
      </c>
    </row>
    <row r="4881" spans="1:6" x14ac:dyDescent="0.25">
      <c r="A4881" t="s">
        <v>42</v>
      </c>
      <c r="B4881" t="s">
        <v>43</v>
      </c>
      <c r="C4881" t="s">
        <v>62</v>
      </c>
      <c r="E4881">
        <v>2020</v>
      </c>
      <c r="F4881" t="s">
        <v>69</v>
      </c>
    </row>
    <row r="4882" spans="1:6" x14ac:dyDescent="0.25">
      <c r="A4882" t="s">
        <v>44</v>
      </c>
      <c r="B4882" t="s">
        <v>45</v>
      </c>
      <c r="C4882" t="s">
        <v>62</v>
      </c>
      <c r="E4882">
        <v>2020</v>
      </c>
      <c r="F4882" t="s">
        <v>69</v>
      </c>
    </row>
    <row r="4883" spans="1:6" x14ac:dyDescent="0.25">
      <c r="A4883" t="s">
        <v>46</v>
      </c>
      <c r="B4883" t="s">
        <v>47</v>
      </c>
      <c r="C4883" t="s">
        <v>62</v>
      </c>
      <c r="E4883">
        <v>2020</v>
      </c>
      <c r="F4883" t="s">
        <v>69</v>
      </c>
    </row>
    <row r="4884" spans="1:6" x14ac:dyDescent="0.25">
      <c r="A4884" t="s">
        <v>48</v>
      </c>
      <c r="B4884" t="s">
        <v>49</v>
      </c>
      <c r="C4884" t="s">
        <v>62</v>
      </c>
      <c r="E4884">
        <v>2020</v>
      </c>
      <c r="F4884" t="s">
        <v>69</v>
      </c>
    </row>
    <row r="4885" spans="1:6" x14ac:dyDescent="0.25">
      <c r="A4885" t="s">
        <v>50</v>
      </c>
      <c r="B4885" t="s">
        <v>51</v>
      </c>
      <c r="C4885" t="s">
        <v>62</v>
      </c>
      <c r="E4885">
        <v>2020</v>
      </c>
      <c r="F4885" t="s">
        <v>69</v>
      </c>
    </row>
    <row r="4886" spans="1:6" x14ac:dyDescent="0.25">
      <c r="A4886" t="s">
        <v>52</v>
      </c>
      <c r="B4886" t="s">
        <v>53</v>
      </c>
      <c r="C4886" t="s">
        <v>62</v>
      </c>
      <c r="E4886">
        <v>2020</v>
      </c>
      <c r="F4886" t="s">
        <v>69</v>
      </c>
    </row>
    <row r="4887" spans="1:6" x14ac:dyDescent="0.25">
      <c r="A4887" t="s">
        <v>54</v>
      </c>
      <c r="B4887" t="s">
        <v>55</v>
      </c>
      <c r="C4887" t="s">
        <v>62</v>
      </c>
      <c r="E4887">
        <v>2020</v>
      </c>
      <c r="F4887" t="s">
        <v>69</v>
      </c>
    </row>
    <row r="4888" spans="1:6" x14ac:dyDescent="0.25">
      <c r="A4888" t="s">
        <v>56</v>
      </c>
      <c r="B4888" t="s">
        <v>57</v>
      </c>
      <c r="C4888" t="s">
        <v>62</v>
      </c>
      <c r="E4888">
        <v>2020</v>
      </c>
      <c r="F4888" t="s">
        <v>69</v>
      </c>
    </row>
    <row r="4889" spans="1:6" x14ac:dyDescent="0.25">
      <c r="A4889" t="s">
        <v>58</v>
      </c>
      <c r="B4889" t="s">
        <v>59</v>
      </c>
      <c r="C4889" t="s">
        <v>62</v>
      </c>
      <c r="E4889">
        <v>2020</v>
      </c>
      <c r="F4889" t="s">
        <v>69</v>
      </c>
    </row>
    <row r="4890" spans="1:6" x14ac:dyDescent="0.25">
      <c r="A4890" t="s">
        <v>6</v>
      </c>
      <c r="B4890" t="s">
        <v>7</v>
      </c>
      <c r="C4890" t="s">
        <v>66</v>
      </c>
      <c r="E4890">
        <v>2020</v>
      </c>
      <c r="F4890" t="s">
        <v>69</v>
      </c>
    </row>
    <row r="4891" spans="1:6" x14ac:dyDescent="0.25">
      <c r="A4891" t="s">
        <v>10</v>
      </c>
      <c r="B4891" t="s">
        <v>11</v>
      </c>
      <c r="C4891" t="s">
        <v>66</v>
      </c>
      <c r="E4891">
        <v>2020</v>
      </c>
      <c r="F4891" t="s">
        <v>69</v>
      </c>
    </row>
    <row r="4892" spans="1:6" x14ac:dyDescent="0.25">
      <c r="A4892" t="s">
        <v>12</v>
      </c>
      <c r="B4892" t="s">
        <v>13</v>
      </c>
      <c r="C4892" t="s">
        <v>66</v>
      </c>
      <c r="E4892">
        <v>2020</v>
      </c>
      <c r="F4892" t="s">
        <v>69</v>
      </c>
    </row>
    <row r="4893" spans="1:6" x14ac:dyDescent="0.25">
      <c r="A4893" t="s">
        <v>14</v>
      </c>
      <c r="B4893" t="s">
        <v>15</v>
      </c>
      <c r="C4893" t="s">
        <v>66</v>
      </c>
      <c r="E4893">
        <v>2020</v>
      </c>
      <c r="F4893" t="s">
        <v>69</v>
      </c>
    </row>
    <row r="4894" spans="1:6" x14ac:dyDescent="0.25">
      <c r="A4894" t="s">
        <v>16</v>
      </c>
      <c r="B4894" t="s">
        <v>17</v>
      </c>
      <c r="C4894" t="s">
        <v>66</v>
      </c>
      <c r="E4894">
        <v>2020</v>
      </c>
      <c r="F4894" t="s">
        <v>69</v>
      </c>
    </row>
    <row r="4895" spans="1:6" x14ac:dyDescent="0.25">
      <c r="A4895" t="s">
        <v>18</v>
      </c>
      <c r="B4895" t="s">
        <v>19</v>
      </c>
      <c r="C4895" t="s">
        <v>66</v>
      </c>
      <c r="E4895">
        <v>2020</v>
      </c>
      <c r="F4895" t="s">
        <v>69</v>
      </c>
    </row>
    <row r="4896" spans="1:6" x14ac:dyDescent="0.25">
      <c r="A4896" t="s">
        <v>20</v>
      </c>
      <c r="B4896" t="s">
        <v>21</v>
      </c>
      <c r="C4896" t="s">
        <v>66</v>
      </c>
      <c r="E4896">
        <v>2020</v>
      </c>
      <c r="F4896" t="s">
        <v>69</v>
      </c>
    </row>
    <row r="4897" spans="1:6" x14ac:dyDescent="0.25">
      <c r="A4897" t="s">
        <v>22</v>
      </c>
      <c r="B4897" t="s">
        <v>23</v>
      </c>
      <c r="C4897" t="s">
        <v>66</v>
      </c>
      <c r="E4897">
        <v>2020</v>
      </c>
      <c r="F4897" t="s">
        <v>69</v>
      </c>
    </row>
    <row r="4898" spans="1:6" x14ac:dyDescent="0.25">
      <c r="A4898" t="s">
        <v>24</v>
      </c>
      <c r="B4898" t="s">
        <v>25</v>
      </c>
      <c r="C4898" t="s">
        <v>66</v>
      </c>
      <c r="E4898">
        <v>2020</v>
      </c>
      <c r="F4898" t="s">
        <v>69</v>
      </c>
    </row>
    <row r="4899" spans="1:6" x14ac:dyDescent="0.25">
      <c r="A4899" t="s">
        <v>26</v>
      </c>
      <c r="B4899" t="s">
        <v>27</v>
      </c>
      <c r="C4899" t="s">
        <v>66</v>
      </c>
      <c r="E4899">
        <v>2020</v>
      </c>
      <c r="F4899" t="s">
        <v>69</v>
      </c>
    </row>
    <row r="4900" spans="1:6" x14ac:dyDescent="0.25">
      <c r="A4900" t="s">
        <v>28</v>
      </c>
      <c r="B4900" t="s">
        <v>29</v>
      </c>
      <c r="C4900" t="s">
        <v>66</v>
      </c>
      <c r="E4900">
        <v>2020</v>
      </c>
      <c r="F4900" t="s">
        <v>69</v>
      </c>
    </row>
    <row r="4901" spans="1:6" x14ac:dyDescent="0.25">
      <c r="A4901" t="s">
        <v>30</v>
      </c>
      <c r="B4901" t="s">
        <v>31</v>
      </c>
      <c r="C4901" t="s">
        <v>66</v>
      </c>
      <c r="E4901">
        <v>2020</v>
      </c>
      <c r="F4901" t="s">
        <v>69</v>
      </c>
    </row>
    <row r="4902" spans="1:6" x14ac:dyDescent="0.25">
      <c r="A4902" t="s">
        <v>32</v>
      </c>
      <c r="B4902" t="s">
        <v>33</v>
      </c>
      <c r="C4902" t="s">
        <v>66</v>
      </c>
      <c r="E4902">
        <v>2020</v>
      </c>
      <c r="F4902" t="s">
        <v>69</v>
      </c>
    </row>
    <row r="4903" spans="1:6" x14ac:dyDescent="0.25">
      <c r="A4903" t="s">
        <v>34</v>
      </c>
      <c r="B4903" t="s">
        <v>35</v>
      </c>
      <c r="C4903" t="s">
        <v>66</v>
      </c>
      <c r="E4903">
        <v>2020</v>
      </c>
      <c r="F4903" t="s">
        <v>69</v>
      </c>
    </row>
    <row r="4904" spans="1:6" x14ac:dyDescent="0.25">
      <c r="A4904" t="s">
        <v>36</v>
      </c>
      <c r="B4904" t="s">
        <v>37</v>
      </c>
      <c r="C4904" t="s">
        <v>66</v>
      </c>
      <c r="E4904">
        <v>2020</v>
      </c>
      <c r="F4904" t="s">
        <v>69</v>
      </c>
    </row>
    <row r="4905" spans="1:6" x14ac:dyDescent="0.25">
      <c r="A4905" t="s">
        <v>38</v>
      </c>
      <c r="B4905" t="s">
        <v>39</v>
      </c>
      <c r="C4905" t="s">
        <v>66</v>
      </c>
      <c r="E4905">
        <v>2020</v>
      </c>
      <c r="F4905" t="s">
        <v>69</v>
      </c>
    </row>
    <row r="4906" spans="1:6" x14ac:dyDescent="0.25">
      <c r="A4906" t="s">
        <v>40</v>
      </c>
      <c r="B4906" t="s">
        <v>41</v>
      </c>
      <c r="C4906" t="s">
        <v>66</v>
      </c>
      <c r="E4906">
        <v>2020</v>
      </c>
      <c r="F4906" t="s">
        <v>69</v>
      </c>
    </row>
    <row r="4907" spans="1:6" x14ac:dyDescent="0.25">
      <c r="A4907" t="s">
        <v>42</v>
      </c>
      <c r="B4907" t="s">
        <v>43</v>
      </c>
      <c r="C4907" t="s">
        <v>66</v>
      </c>
      <c r="E4907">
        <v>2020</v>
      </c>
      <c r="F4907" t="s">
        <v>69</v>
      </c>
    </row>
    <row r="4908" spans="1:6" x14ac:dyDescent="0.25">
      <c r="A4908" t="s">
        <v>44</v>
      </c>
      <c r="B4908" t="s">
        <v>45</v>
      </c>
      <c r="C4908" t="s">
        <v>66</v>
      </c>
      <c r="E4908">
        <v>2020</v>
      </c>
      <c r="F4908" t="s">
        <v>69</v>
      </c>
    </row>
    <row r="4909" spans="1:6" x14ac:dyDescent="0.25">
      <c r="A4909" t="s">
        <v>46</v>
      </c>
      <c r="B4909" t="s">
        <v>47</v>
      </c>
      <c r="C4909" t="s">
        <v>66</v>
      </c>
      <c r="E4909">
        <v>2020</v>
      </c>
      <c r="F4909" t="s">
        <v>69</v>
      </c>
    </row>
    <row r="4910" spans="1:6" x14ac:dyDescent="0.25">
      <c r="A4910" t="s">
        <v>48</v>
      </c>
      <c r="B4910" t="s">
        <v>49</v>
      </c>
      <c r="C4910" t="s">
        <v>66</v>
      </c>
      <c r="E4910">
        <v>2020</v>
      </c>
      <c r="F4910" t="s">
        <v>69</v>
      </c>
    </row>
    <row r="4911" spans="1:6" x14ac:dyDescent="0.25">
      <c r="A4911" t="s">
        <v>50</v>
      </c>
      <c r="B4911" t="s">
        <v>51</v>
      </c>
      <c r="C4911" t="s">
        <v>66</v>
      </c>
      <c r="E4911">
        <v>2020</v>
      </c>
      <c r="F4911" t="s">
        <v>69</v>
      </c>
    </row>
    <row r="4912" spans="1:6" x14ac:dyDescent="0.25">
      <c r="A4912" t="s">
        <v>52</v>
      </c>
      <c r="B4912" t="s">
        <v>53</v>
      </c>
      <c r="C4912" t="s">
        <v>66</v>
      </c>
      <c r="E4912">
        <v>2020</v>
      </c>
      <c r="F4912" t="s">
        <v>69</v>
      </c>
    </row>
    <row r="4913" spans="1:6" x14ac:dyDescent="0.25">
      <c r="A4913" t="s">
        <v>54</v>
      </c>
      <c r="B4913" t="s">
        <v>55</v>
      </c>
      <c r="C4913" t="s">
        <v>66</v>
      </c>
      <c r="E4913">
        <v>2020</v>
      </c>
      <c r="F4913" t="s">
        <v>69</v>
      </c>
    </row>
    <row r="4914" spans="1:6" x14ac:dyDescent="0.25">
      <c r="A4914" t="s">
        <v>56</v>
      </c>
      <c r="B4914" t="s">
        <v>57</v>
      </c>
      <c r="C4914" t="s">
        <v>66</v>
      </c>
      <c r="E4914">
        <v>2020</v>
      </c>
      <c r="F4914" t="s">
        <v>69</v>
      </c>
    </row>
    <row r="4915" spans="1:6" x14ac:dyDescent="0.25">
      <c r="A4915" t="s">
        <v>58</v>
      </c>
      <c r="B4915" t="s">
        <v>59</v>
      </c>
      <c r="C4915" t="s">
        <v>66</v>
      </c>
      <c r="E4915">
        <v>2020</v>
      </c>
      <c r="F4915" t="s">
        <v>69</v>
      </c>
    </row>
    <row r="4916" spans="1:6" x14ac:dyDescent="0.25">
      <c r="A4916" t="s">
        <v>6</v>
      </c>
      <c r="B4916" t="s">
        <v>7</v>
      </c>
      <c r="C4916" t="s">
        <v>63</v>
      </c>
      <c r="D4916">
        <v>96130.18</v>
      </c>
      <c r="E4916">
        <v>2021</v>
      </c>
      <c r="F4916" t="s">
        <v>69</v>
      </c>
    </row>
    <row r="4917" spans="1:6" x14ac:dyDescent="0.25">
      <c r="A4917" t="s">
        <v>10</v>
      </c>
      <c r="B4917" t="s">
        <v>11</v>
      </c>
      <c r="C4917" t="s">
        <v>63</v>
      </c>
      <c r="D4917">
        <v>32845.47</v>
      </c>
      <c r="E4917">
        <v>2021</v>
      </c>
      <c r="F4917" t="s">
        <v>69</v>
      </c>
    </row>
    <row r="4918" spans="1:6" x14ac:dyDescent="0.25">
      <c r="A4918" t="s">
        <v>12</v>
      </c>
      <c r="B4918" t="s">
        <v>13</v>
      </c>
      <c r="C4918" t="s">
        <v>63</v>
      </c>
      <c r="D4918">
        <v>4683.01</v>
      </c>
      <c r="E4918">
        <v>2021</v>
      </c>
      <c r="F4918" t="s">
        <v>69</v>
      </c>
    </row>
    <row r="4919" spans="1:6" x14ac:dyDescent="0.25">
      <c r="A4919" t="s">
        <v>14</v>
      </c>
      <c r="B4919" t="s">
        <v>15</v>
      </c>
      <c r="C4919" t="s">
        <v>63</v>
      </c>
      <c r="D4919">
        <v>750.01</v>
      </c>
      <c r="E4919">
        <v>2021</v>
      </c>
      <c r="F4919" t="s">
        <v>69</v>
      </c>
    </row>
    <row r="4920" spans="1:6" x14ac:dyDescent="0.25">
      <c r="A4920" t="s">
        <v>16</v>
      </c>
      <c r="B4920" t="s">
        <v>17</v>
      </c>
      <c r="C4920" t="s">
        <v>63</v>
      </c>
      <c r="D4920">
        <v>3718.38</v>
      </c>
      <c r="E4920">
        <v>2021</v>
      </c>
      <c r="F4920" t="s">
        <v>69</v>
      </c>
    </row>
    <row r="4921" spans="1:6" x14ac:dyDescent="0.25">
      <c r="A4921" t="s">
        <v>18</v>
      </c>
      <c r="B4921" t="s">
        <v>19</v>
      </c>
      <c r="C4921" t="s">
        <v>63</v>
      </c>
      <c r="D4921">
        <v>3982.41</v>
      </c>
      <c r="E4921">
        <v>2021</v>
      </c>
      <c r="F4921" t="s">
        <v>69</v>
      </c>
    </row>
    <row r="4922" spans="1:6" x14ac:dyDescent="0.25">
      <c r="A4922" t="s">
        <v>20</v>
      </c>
      <c r="B4922" t="s">
        <v>21</v>
      </c>
      <c r="C4922" t="s">
        <v>63</v>
      </c>
      <c r="D4922">
        <v>3128.84</v>
      </c>
      <c r="E4922">
        <v>2021</v>
      </c>
      <c r="F4922" t="s">
        <v>69</v>
      </c>
    </row>
    <row r="4923" spans="1:6" x14ac:dyDescent="0.25">
      <c r="A4923" t="s">
        <v>22</v>
      </c>
      <c r="B4923" t="s">
        <v>23</v>
      </c>
      <c r="C4923" t="s">
        <v>63</v>
      </c>
      <c r="D4923">
        <v>2044.25</v>
      </c>
      <c r="E4923">
        <v>2021</v>
      </c>
      <c r="F4923" t="s">
        <v>69</v>
      </c>
    </row>
    <row r="4924" spans="1:6" x14ac:dyDescent="0.25">
      <c r="A4924" t="s">
        <v>24</v>
      </c>
      <c r="B4924" t="s">
        <v>25</v>
      </c>
      <c r="C4924" t="s">
        <v>63</v>
      </c>
      <c r="D4924">
        <v>5825.2</v>
      </c>
      <c r="E4924">
        <v>2021</v>
      </c>
      <c r="F4924" t="s">
        <v>69</v>
      </c>
    </row>
    <row r="4925" spans="1:6" x14ac:dyDescent="0.25">
      <c r="A4925" t="s">
        <v>26</v>
      </c>
      <c r="B4925" t="s">
        <v>27</v>
      </c>
      <c r="C4925" t="s">
        <v>63</v>
      </c>
      <c r="D4925">
        <v>1020.84</v>
      </c>
      <c r="E4925">
        <v>2021</v>
      </c>
      <c r="F4925" t="s">
        <v>69</v>
      </c>
    </row>
    <row r="4926" spans="1:6" x14ac:dyDescent="0.25">
      <c r="A4926" t="s">
        <v>28</v>
      </c>
      <c r="B4926" t="s">
        <v>29</v>
      </c>
      <c r="C4926" t="s">
        <v>63</v>
      </c>
      <c r="D4926">
        <v>-6539.14</v>
      </c>
      <c r="E4926">
        <v>2021</v>
      </c>
      <c r="F4926" t="s">
        <v>69</v>
      </c>
    </row>
    <row r="4927" spans="1:6" x14ac:dyDescent="0.25">
      <c r="A4927" t="s">
        <v>30</v>
      </c>
      <c r="B4927" t="s">
        <v>31</v>
      </c>
      <c r="C4927" t="s">
        <v>63</v>
      </c>
      <c r="D4927">
        <v>-2661.76</v>
      </c>
      <c r="E4927">
        <v>2021</v>
      </c>
      <c r="F4927" t="s">
        <v>69</v>
      </c>
    </row>
    <row r="4928" spans="1:6" x14ac:dyDescent="0.25">
      <c r="A4928" t="s">
        <v>32</v>
      </c>
      <c r="B4928" t="s">
        <v>33</v>
      </c>
      <c r="C4928" t="s">
        <v>63</v>
      </c>
      <c r="D4928">
        <v>6010.88</v>
      </c>
      <c r="E4928">
        <v>2021</v>
      </c>
      <c r="F4928" t="s">
        <v>69</v>
      </c>
    </row>
    <row r="4929" spans="1:6" x14ac:dyDescent="0.25">
      <c r="A4929" t="s">
        <v>34</v>
      </c>
      <c r="B4929" t="s">
        <v>35</v>
      </c>
      <c r="C4929" t="s">
        <v>63</v>
      </c>
      <c r="D4929">
        <v>7829.97</v>
      </c>
      <c r="E4929">
        <v>2021</v>
      </c>
      <c r="F4929" t="s">
        <v>69</v>
      </c>
    </row>
    <row r="4930" spans="1:6" x14ac:dyDescent="0.25">
      <c r="A4930" t="s">
        <v>36</v>
      </c>
      <c r="B4930" t="s">
        <v>37</v>
      </c>
      <c r="C4930" t="s">
        <v>63</v>
      </c>
      <c r="D4930">
        <v>6628.14</v>
      </c>
      <c r="E4930">
        <v>2021</v>
      </c>
      <c r="F4930" t="s">
        <v>69</v>
      </c>
    </row>
    <row r="4931" spans="1:6" x14ac:dyDescent="0.25">
      <c r="A4931" t="s">
        <v>38</v>
      </c>
      <c r="B4931" t="s">
        <v>39</v>
      </c>
      <c r="C4931" t="s">
        <v>63</v>
      </c>
      <c r="D4931">
        <v>8668.0300000000007</v>
      </c>
      <c r="E4931">
        <v>2021</v>
      </c>
      <c r="F4931" t="s">
        <v>69</v>
      </c>
    </row>
    <row r="4932" spans="1:6" x14ac:dyDescent="0.25">
      <c r="A4932" t="s">
        <v>40</v>
      </c>
      <c r="B4932" t="s">
        <v>41</v>
      </c>
      <c r="C4932" t="s">
        <v>63</v>
      </c>
      <c r="D4932">
        <v>6591.08</v>
      </c>
      <c r="E4932">
        <v>2021</v>
      </c>
      <c r="F4932" t="s">
        <v>69</v>
      </c>
    </row>
    <row r="4933" spans="1:6" x14ac:dyDescent="0.25">
      <c r="A4933" t="s">
        <v>42</v>
      </c>
      <c r="B4933" t="s">
        <v>43</v>
      </c>
      <c r="C4933" t="s">
        <v>63</v>
      </c>
      <c r="D4933">
        <v>-14503.58</v>
      </c>
      <c r="E4933">
        <v>2021</v>
      </c>
      <c r="F4933" t="s">
        <v>69</v>
      </c>
    </row>
    <row r="4934" spans="1:6" x14ac:dyDescent="0.25">
      <c r="A4934" t="s">
        <v>44</v>
      </c>
      <c r="B4934" t="s">
        <v>45</v>
      </c>
      <c r="C4934" t="s">
        <v>63</v>
      </c>
      <c r="D4934">
        <v>6426.59</v>
      </c>
      <c r="E4934">
        <v>2021</v>
      </c>
      <c r="F4934" t="s">
        <v>69</v>
      </c>
    </row>
    <row r="4935" spans="1:6" x14ac:dyDescent="0.25">
      <c r="A4935" t="s">
        <v>46</v>
      </c>
      <c r="B4935" t="s">
        <v>47</v>
      </c>
      <c r="C4935" t="s">
        <v>63</v>
      </c>
      <c r="D4935">
        <v>11382.72</v>
      </c>
      <c r="E4935">
        <v>2021</v>
      </c>
      <c r="F4935" t="s">
        <v>69</v>
      </c>
    </row>
    <row r="4936" spans="1:6" x14ac:dyDescent="0.25">
      <c r="A4936" t="s">
        <v>48</v>
      </c>
      <c r="B4936" t="s">
        <v>49</v>
      </c>
      <c r="C4936" t="s">
        <v>63</v>
      </c>
      <c r="D4936">
        <v>15705.44</v>
      </c>
      <c r="E4936">
        <v>2021</v>
      </c>
      <c r="F4936" t="s">
        <v>69</v>
      </c>
    </row>
    <row r="4937" spans="1:6" x14ac:dyDescent="0.25">
      <c r="A4937" t="s">
        <v>50</v>
      </c>
      <c r="B4937" t="s">
        <v>51</v>
      </c>
      <c r="C4937" t="s">
        <v>63</v>
      </c>
      <c r="D4937">
        <v>-15736.32</v>
      </c>
      <c r="E4937">
        <v>2021</v>
      </c>
      <c r="F4937" t="s">
        <v>69</v>
      </c>
    </row>
    <row r="4938" spans="1:6" x14ac:dyDescent="0.25">
      <c r="A4938" t="s">
        <v>52</v>
      </c>
      <c r="B4938" t="s">
        <v>53</v>
      </c>
      <c r="C4938" t="s">
        <v>63</v>
      </c>
      <c r="D4938">
        <v>2601.2800000000002</v>
      </c>
      <c r="E4938">
        <v>2021</v>
      </c>
      <c r="F4938" t="s">
        <v>69</v>
      </c>
    </row>
    <row r="4939" spans="1:6" x14ac:dyDescent="0.25">
      <c r="A4939" t="s">
        <v>54</v>
      </c>
      <c r="B4939" t="s">
        <v>55</v>
      </c>
      <c r="C4939" t="s">
        <v>63</v>
      </c>
      <c r="D4939">
        <v>2358.4899999999998</v>
      </c>
      <c r="E4939">
        <v>2021</v>
      </c>
      <c r="F4939" t="s">
        <v>69</v>
      </c>
    </row>
    <row r="4940" spans="1:6" x14ac:dyDescent="0.25">
      <c r="A4940" t="s">
        <v>56</v>
      </c>
      <c r="B4940" t="s">
        <v>57</v>
      </c>
      <c r="C4940" t="s">
        <v>63</v>
      </c>
      <c r="D4940">
        <v>3369.95</v>
      </c>
      <c r="E4940">
        <v>2021</v>
      </c>
      <c r="F4940" t="s">
        <v>69</v>
      </c>
    </row>
    <row r="4941" spans="1:6" x14ac:dyDescent="0.25">
      <c r="A4941" t="s">
        <v>58</v>
      </c>
      <c r="B4941" t="s">
        <v>59</v>
      </c>
      <c r="C4941" t="s">
        <v>63</v>
      </c>
      <c r="E4941">
        <v>2021</v>
      </c>
      <c r="F4941" t="s">
        <v>69</v>
      </c>
    </row>
    <row r="4942" spans="1:6" x14ac:dyDescent="0.25">
      <c r="A4942" t="s">
        <v>6</v>
      </c>
      <c r="B4942" t="s">
        <v>7</v>
      </c>
      <c r="C4942" t="s">
        <v>8</v>
      </c>
      <c r="D4942">
        <v>21867.06</v>
      </c>
      <c r="E4942">
        <v>2021</v>
      </c>
      <c r="F4942" t="s">
        <v>69</v>
      </c>
    </row>
    <row r="4943" spans="1:6" x14ac:dyDescent="0.25">
      <c r="A4943" t="s">
        <v>10</v>
      </c>
      <c r="B4943" t="s">
        <v>11</v>
      </c>
      <c r="C4943" t="s">
        <v>8</v>
      </c>
      <c r="D4943">
        <v>10798.14</v>
      </c>
      <c r="E4943">
        <v>2021</v>
      </c>
      <c r="F4943" t="s">
        <v>69</v>
      </c>
    </row>
    <row r="4944" spans="1:6" x14ac:dyDescent="0.25">
      <c r="A4944" t="s">
        <v>12</v>
      </c>
      <c r="B4944" t="s">
        <v>13</v>
      </c>
      <c r="C4944" t="s">
        <v>8</v>
      </c>
      <c r="D4944">
        <v>364.18</v>
      </c>
      <c r="E4944">
        <v>2021</v>
      </c>
      <c r="F4944" t="s">
        <v>69</v>
      </c>
    </row>
    <row r="4945" spans="1:6" x14ac:dyDescent="0.25">
      <c r="A4945" t="s">
        <v>14</v>
      </c>
      <c r="B4945" t="s">
        <v>15</v>
      </c>
      <c r="C4945" t="s">
        <v>8</v>
      </c>
      <c r="E4945">
        <v>2021</v>
      </c>
      <c r="F4945" t="s">
        <v>69</v>
      </c>
    </row>
    <row r="4946" spans="1:6" x14ac:dyDescent="0.25">
      <c r="A4946" t="s">
        <v>16</v>
      </c>
      <c r="B4946" t="s">
        <v>17</v>
      </c>
      <c r="C4946" t="s">
        <v>8</v>
      </c>
      <c r="D4946">
        <v>52.16</v>
      </c>
      <c r="E4946">
        <v>2021</v>
      </c>
      <c r="F4946" t="s">
        <v>69</v>
      </c>
    </row>
    <row r="4947" spans="1:6" x14ac:dyDescent="0.25">
      <c r="A4947" t="s">
        <v>18</v>
      </c>
      <c r="B4947" t="s">
        <v>19</v>
      </c>
      <c r="C4947" t="s">
        <v>8</v>
      </c>
      <c r="D4947">
        <v>31.45</v>
      </c>
      <c r="E4947">
        <v>2021</v>
      </c>
      <c r="F4947" t="s">
        <v>69</v>
      </c>
    </row>
    <row r="4948" spans="1:6" x14ac:dyDescent="0.25">
      <c r="A4948" t="s">
        <v>20</v>
      </c>
      <c r="B4948" t="s">
        <v>21</v>
      </c>
      <c r="C4948" t="s">
        <v>8</v>
      </c>
      <c r="D4948">
        <v>14.66</v>
      </c>
      <c r="E4948">
        <v>2021</v>
      </c>
      <c r="F4948" t="s">
        <v>69</v>
      </c>
    </row>
    <row r="4949" spans="1:6" x14ac:dyDescent="0.25">
      <c r="A4949" t="s">
        <v>22</v>
      </c>
      <c r="B4949" t="s">
        <v>23</v>
      </c>
      <c r="C4949" t="s">
        <v>8</v>
      </c>
      <c r="D4949">
        <v>4192.63</v>
      </c>
      <c r="E4949">
        <v>2021</v>
      </c>
      <c r="F4949" t="s">
        <v>69</v>
      </c>
    </row>
    <row r="4950" spans="1:6" x14ac:dyDescent="0.25">
      <c r="A4950" t="s">
        <v>24</v>
      </c>
      <c r="B4950" t="s">
        <v>25</v>
      </c>
      <c r="C4950" t="s">
        <v>8</v>
      </c>
      <c r="D4950">
        <v>415.55</v>
      </c>
      <c r="E4950">
        <v>2021</v>
      </c>
      <c r="F4950" t="s">
        <v>69</v>
      </c>
    </row>
    <row r="4951" spans="1:6" x14ac:dyDescent="0.25">
      <c r="A4951" t="s">
        <v>26</v>
      </c>
      <c r="B4951" t="s">
        <v>27</v>
      </c>
      <c r="C4951" t="s">
        <v>8</v>
      </c>
      <c r="D4951">
        <v>100.55</v>
      </c>
      <c r="E4951">
        <v>2021</v>
      </c>
      <c r="F4951" t="s">
        <v>69</v>
      </c>
    </row>
    <row r="4952" spans="1:6" x14ac:dyDescent="0.25">
      <c r="A4952" t="s">
        <v>28</v>
      </c>
      <c r="B4952" t="s">
        <v>29</v>
      </c>
      <c r="C4952" t="s">
        <v>8</v>
      </c>
      <c r="E4952">
        <v>2021</v>
      </c>
      <c r="F4952" t="s">
        <v>69</v>
      </c>
    </row>
    <row r="4953" spans="1:6" x14ac:dyDescent="0.25">
      <c r="A4953" t="s">
        <v>30</v>
      </c>
      <c r="B4953" t="s">
        <v>31</v>
      </c>
      <c r="C4953" t="s">
        <v>8</v>
      </c>
      <c r="D4953">
        <v>739.58</v>
      </c>
      <c r="E4953">
        <v>2021</v>
      </c>
      <c r="F4953" t="s">
        <v>69</v>
      </c>
    </row>
    <row r="4954" spans="1:6" x14ac:dyDescent="0.25">
      <c r="A4954" t="s">
        <v>32</v>
      </c>
      <c r="B4954" t="s">
        <v>33</v>
      </c>
      <c r="C4954" t="s">
        <v>8</v>
      </c>
      <c r="D4954">
        <v>258.01</v>
      </c>
      <c r="E4954">
        <v>2021</v>
      </c>
      <c r="F4954" t="s">
        <v>69</v>
      </c>
    </row>
    <row r="4955" spans="1:6" x14ac:dyDescent="0.25">
      <c r="A4955" t="s">
        <v>34</v>
      </c>
      <c r="B4955" t="s">
        <v>35</v>
      </c>
      <c r="C4955" t="s">
        <v>8</v>
      </c>
      <c r="D4955">
        <v>555.75</v>
      </c>
      <c r="E4955">
        <v>2021</v>
      </c>
      <c r="F4955" t="s">
        <v>69</v>
      </c>
    </row>
    <row r="4956" spans="1:6" x14ac:dyDescent="0.25">
      <c r="A4956" t="s">
        <v>36</v>
      </c>
      <c r="B4956" t="s">
        <v>37</v>
      </c>
      <c r="C4956" t="s">
        <v>8</v>
      </c>
      <c r="D4956">
        <v>351.19</v>
      </c>
      <c r="E4956">
        <v>2021</v>
      </c>
      <c r="F4956" t="s">
        <v>69</v>
      </c>
    </row>
    <row r="4957" spans="1:6" x14ac:dyDescent="0.25">
      <c r="A4957" t="s">
        <v>38</v>
      </c>
      <c r="B4957" t="s">
        <v>39</v>
      </c>
      <c r="C4957" t="s">
        <v>8</v>
      </c>
      <c r="D4957">
        <v>173.75</v>
      </c>
      <c r="E4957">
        <v>2021</v>
      </c>
      <c r="F4957" t="s">
        <v>69</v>
      </c>
    </row>
    <row r="4958" spans="1:6" x14ac:dyDescent="0.25">
      <c r="A4958" t="s">
        <v>40</v>
      </c>
      <c r="B4958" t="s">
        <v>41</v>
      </c>
      <c r="C4958" t="s">
        <v>8</v>
      </c>
      <c r="D4958">
        <v>491.16</v>
      </c>
      <c r="E4958">
        <v>2021</v>
      </c>
      <c r="F4958" t="s">
        <v>69</v>
      </c>
    </row>
    <row r="4959" spans="1:6" x14ac:dyDescent="0.25">
      <c r="A4959" t="s">
        <v>42</v>
      </c>
      <c r="B4959" t="s">
        <v>43</v>
      </c>
      <c r="C4959" t="s">
        <v>8</v>
      </c>
      <c r="D4959">
        <v>4.75</v>
      </c>
      <c r="E4959">
        <v>2021</v>
      </c>
      <c r="F4959" t="s">
        <v>69</v>
      </c>
    </row>
    <row r="4960" spans="1:6" x14ac:dyDescent="0.25">
      <c r="A4960" t="s">
        <v>44</v>
      </c>
      <c r="B4960" t="s">
        <v>45</v>
      </c>
      <c r="C4960" t="s">
        <v>8</v>
      </c>
      <c r="D4960">
        <v>141.29</v>
      </c>
      <c r="E4960">
        <v>2021</v>
      </c>
      <c r="F4960" t="s">
        <v>69</v>
      </c>
    </row>
    <row r="4961" spans="1:6" x14ac:dyDescent="0.25">
      <c r="A4961" t="s">
        <v>46</v>
      </c>
      <c r="B4961" t="s">
        <v>47</v>
      </c>
      <c r="C4961" t="s">
        <v>8</v>
      </c>
      <c r="D4961">
        <v>2272.0300000000002</v>
      </c>
      <c r="E4961">
        <v>2021</v>
      </c>
      <c r="F4961" t="s">
        <v>69</v>
      </c>
    </row>
    <row r="4962" spans="1:6" x14ac:dyDescent="0.25">
      <c r="A4962" t="s">
        <v>48</v>
      </c>
      <c r="B4962" t="s">
        <v>49</v>
      </c>
      <c r="C4962" t="s">
        <v>8</v>
      </c>
      <c r="D4962">
        <v>13.16</v>
      </c>
      <c r="E4962">
        <v>2021</v>
      </c>
      <c r="F4962" t="s">
        <v>69</v>
      </c>
    </row>
    <row r="4963" spans="1:6" x14ac:dyDescent="0.25">
      <c r="A4963" t="s">
        <v>50</v>
      </c>
      <c r="B4963" t="s">
        <v>51</v>
      </c>
      <c r="C4963" t="s">
        <v>8</v>
      </c>
      <c r="D4963">
        <v>10.050000000000001</v>
      </c>
      <c r="E4963">
        <v>2021</v>
      </c>
      <c r="F4963" t="s">
        <v>69</v>
      </c>
    </row>
    <row r="4964" spans="1:6" x14ac:dyDescent="0.25">
      <c r="A4964" t="s">
        <v>52</v>
      </c>
      <c r="B4964" t="s">
        <v>53</v>
      </c>
      <c r="C4964" t="s">
        <v>8</v>
      </c>
      <c r="D4964">
        <v>130.59</v>
      </c>
      <c r="E4964">
        <v>2021</v>
      </c>
      <c r="F4964" t="s">
        <v>69</v>
      </c>
    </row>
    <row r="4965" spans="1:6" x14ac:dyDescent="0.25">
      <c r="A4965" t="s">
        <v>54</v>
      </c>
      <c r="B4965" t="s">
        <v>55</v>
      </c>
      <c r="C4965" t="s">
        <v>8</v>
      </c>
      <c r="D4965">
        <v>22.74</v>
      </c>
      <c r="E4965">
        <v>2021</v>
      </c>
      <c r="F4965" t="s">
        <v>69</v>
      </c>
    </row>
    <row r="4966" spans="1:6" x14ac:dyDescent="0.25">
      <c r="A4966" t="s">
        <v>56</v>
      </c>
      <c r="B4966" t="s">
        <v>57</v>
      </c>
      <c r="C4966" t="s">
        <v>8</v>
      </c>
      <c r="D4966">
        <v>418.92</v>
      </c>
      <c r="E4966">
        <v>2021</v>
      </c>
      <c r="F4966" t="s">
        <v>69</v>
      </c>
    </row>
    <row r="4967" spans="1:6" x14ac:dyDescent="0.25">
      <c r="A4967" t="s">
        <v>58</v>
      </c>
      <c r="B4967" t="s">
        <v>59</v>
      </c>
      <c r="C4967" t="s">
        <v>8</v>
      </c>
      <c r="D4967">
        <v>314.77</v>
      </c>
      <c r="E4967">
        <v>2021</v>
      </c>
      <c r="F4967" t="s">
        <v>69</v>
      </c>
    </row>
    <row r="4968" spans="1:6" x14ac:dyDescent="0.25">
      <c r="A4968" t="s">
        <v>6</v>
      </c>
      <c r="B4968" t="s">
        <v>7</v>
      </c>
      <c r="C4968" t="s">
        <v>60</v>
      </c>
      <c r="D4968">
        <v>7909.81</v>
      </c>
      <c r="E4968">
        <v>2021</v>
      </c>
      <c r="F4968" t="s">
        <v>69</v>
      </c>
    </row>
    <row r="4969" spans="1:6" x14ac:dyDescent="0.25">
      <c r="A4969" t="s">
        <v>10</v>
      </c>
      <c r="B4969" t="s">
        <v>11</v>
      </c>
      <c r="C4969" t="s">
        <v>60</v>
      </c>
      <c r="D4969">
        <v>1842.04</v>
      </c>
      <c r="E4969">
        <v>2021</v>
      </c>
      <c r="F4969" t="s">
        <v>69</v>
      </c>
    </row>
    <row r="4970" spans="1:6" x14ac:dyDescent="0.25">
      <c r="A4970" t="s">
        <v>12</v>
      </c>
      <c r="B4970" t="s">
        <v>13</v>
      </c>
      <c r="C4970" t="s">
        <v>60</v>
      </c>
      <c r="D4970">
        <v>188.79</v>
      </c>
      <c r="E4970">
        <v>2021</v>
      </c>
      <c r="F4970" t="s">
        <v>69</v>
      </c>
    </row>
    <row r="4971" spans="1:6" x14ac:dyDescent="0.25">
      <c r="A4971" t="s">
        <v>14</v>
      </c>
      <c r="B4971" t="s">
        <v>15</v>
      </c>
      <c r="C4971" t="s">
        <v>60</v>
      </c>
      <c r="E4971">
        <v>2021</v>
      </c>
      <c r="F4971" t="s">
        <v>69</v>
      </c>
    </row>
    <row r="4972" spans="1:6" x14ac:dyDescent="0.25">
      <c r="A4972" t="s">
        <v>16</v>
      </c>
      <c r="B4972" t="s">
        <v>17</v>
      </c>
      <c r="C4972" t="s">
        <v>60</v>
      </c>
      <c r="D4972">
        <v>270.56</v>
      </c>
      <c r="E4972">
        <v>2021</v>
      </c>
      <c r="F4972" t="s">
        <v>69</v>
      </c>
    </row>
    <row r="4973" spans="1:6" x14ac:dyDescent="0.25">
      <c r="A4973" t="s">
        <v>18</v>
      </c>
      <c r="B4973" t="s">
        <v>19</v>
      </c>
      <c r="C4973" t="s">
        <v>60</v>
      </c>
      <c r="D4973">
        <v>541.04999999999995</v>
      </c>
      <c r="E4973">
        <v>2021</v>
      </c>
      <c r="F4973" t="s">
        <v>69</v>
      </c>
    </row>
    <row r="4974" spans="1:6" x14ac:dyDescent="0.25">
      <c r="A4974" t="s">
        <v>20</v>
      </c>
      <c r="B4974" t="s">
        <v>21</v>
      </c>
      <c r="C4974" t="s">
        <v>60</v>
      </c>
      <c r="D4974">
        <v>94.92</v>
      </c>
      <c r="E4974">
        <v>2021</v>
      </c>
      <c r="F4974" t="s">
        <v>69</v>
      </c>
    </row>
    <row r="4975" spans="1:6" x14ac:dyDescent="0.25">
      <c r="A4975" t="s">
        <v>22</v>
      </c>
      <c r="B4975" t="s">
        <v>23</v>
      </c>
      <c r="C4975" t="s">
        <v>60</v>
      </c>
      <c r="D4975">
        <v>38.44</v>
      </c>
      <c r="E4975">
        <v>2021</v>
      </c>
      <c r="F4975" t="s">
        <v>69</v>
      </c>
    </row>
    <row r="4976" spans="1:6" x14ac:dyDescent="0.25">
      <c r="A4976" t="s">
        <v>24</v>
      </c>
      <c r="B4976" t="s">
        <v>25</v>
      </c>
      <c r="C4976" t="s">
        <v>60</v>
      </c>
      <c r="D4976">
        <v>284.73</v>
      </c>
      <c r="E4976">
        <v>2021</v>
      </c>
      <c r="F4976" t="s">
        <v>69</v>
      </c>
    </row>
    <row r="4977" spans="1:6" x14ac:dyDescent="0.25">
      <c r="A4977" t="s">
        <v>26</v>
      </c>
      <c r="B4977" t="s">
        <v>27</v>
      </c>
      <c r="C4977" t="s">
        <v>60</v>
      </c>
      <c r="D4977">
        <v>178.64</v>
      </c>
      <c r="E4977">
        <v>2021</v>
      </c>
      <c r="F4977" t="s">
        <v>69</v>
      </c>
    </row>
    <row r="4978" spans="1:6" x14ac:dyDescent="0.25">
      <c r="A4978" t="s">
        <v>28</v>
      </c>
      <c r="B4978" t="s">
        <v>29</v>
      </c>
      <c r="C4978" t="s">
        <v>60</v>
      </c>
      <c r="D4978">
        <v>110.14</v>
      </c>
      <c r="E4978">
        <v>2021</v>
      </c>
      <c r="F4978" t="s">
        <v>69</v>
      </c>
    </row>
    <row r="4979" spans="1:6" x14ac:dyDescent="0.25">
      <c r="A4979" t="s">
        <v>30</v>
      </c>
      <c r="B4979" t="s">
        <v>31</v>
      </c>
      <c r="C4979" t="s">
        <v>60</v>
      </c>
      <c r="D4979">
        <v>878.8</v>
      </c>
      <c r="E4979">
        <v>2021</v>
      </c>
      <c r="F4979" t="s">
        <v>69</v>
      </c>
    </row>
    <row r="4980" spans="1:6" x14ac:dyDescent="0.25">
      <c r="A4980" t="s">
        <v>32</v>
      </c>
      <c r="B4980" t="s">
        <v>33</v>
      </c>
      <c r="C4980" t="s">
        <v>60</v>
      </c>
      <c r="D4980">
        <v>452.23</v>
      </c>
      <c r="E4980">
        <v>2021</v>
      </c>
      <c r="F4980" t="s">
        <v>69</v>
      </c>
    </row>
    <row r="4981" spans="1:6" x14ac:dyDescent="0.25">
      <c r="A4981" t="s">
        <v>34</v>
      </c>
      <c r="B4981" t="s">
        <v>35</v>
      </c>
      <c r="C4981" t="s">
        <v>60</v>
      </c>
      <c r="D4981">
        <v>704.23</v>
      </c>
      <c r="E4981">
        <v>2021</v>
      </c>
      <c r="F4981" t="s">
        <v>69</v>
      </c>
    </row>
    <row r="4982" spans="1:6" x14ac:dyDescent="0.25">
      <c r="A4982" t="s">
        <v>36</v>
      </c>
      <c r="B4982" t="s">
        <v>37</v>
      </c>
      <c r="C4982" t="s">
        <v>60</v>
      </c>
      <c r="D4982">
        <v>427.48</v>
      </c>
      <c r="E4982">
        <v>2021</v>
      </c>
      <c r="F4982" t="s">
        <v>69</v>
      </c>
    </row>
    <row r="4983" spans="1:6" x14ac:dyDescent="0.25">
      <c r="A4983" t="s">
        <v>38</v>
      </c>
      <c r="B4983" t="s">
        <v>39</v>
      </c>
      <c r="C4983" t="s">
        <v>60</v>
      </c>
      <c r="D4983">
        <v>159.97999999999999</v>
      </c>
      <c r="E4983">
        <v>2021</v>
      </c>
      <c r="F4983" t="s">
        <v>69</v>
      </c>
    </row>
    <row r="4984" spans="1:6" x14ac:dyDescent="0.25">
      <c r="A4984" t="s">
        <v>40</v>
      </c>
      <c r="B4984" t="s">
        <v>41</v>
      </c>
      <c r="C4984" t="s">
        <v>60</v>
      </c>
      <c r="D4984">
        <v>317.79000000000002</v>
      </c>
      <c r="E4984">
        <v>2021</v>
      </c>
      <c r="F4984" t="s">
        <v>69</v>
      </c>
    </row>
    <row r="4985" spans="1:6" x14ac:dyDescent="0.25">
      <c r="A4985" t="s">
        <v>42</v>
      </c>
      <c r="B4985" t="s">
        <v>43</v>
      </c>
      <c r="C4985" t="s">
        <v>60</v>
      </c>
      <c r="E4985">
        <v>2021</v>
      </c>
      <c r="F4985" t="s">
        <v>69</v>
      </c>
    </row>
    <row r="4986" spans="1:6" x14ac:dyDescent="0.25">
      <c r="A4986" t="s">
        <v>44</v>
      </c>
      <c r="B4986" t="s">
        <v>45</v>
      </c>
      <c r="C4986" t="s">
        <v>60</v>
      </c>
      <c r="D4986">
        <v>265.18</v>
      </c>
      <c r="E4986">
        <v>2021</v>
      </c>
      <c r="F4986" t="s">
        <v>69</v>
      </c>
    </row>
    <row r="4987" spans="1:6" x14ac:dyDescent="0.25">
      <c r="A4987" t="s">
        <v>46</v>
      </c>
      <c r="B4987" t="s">
        <v>47</v>
      </c>
      <c r="C4987" t="s">
        <v>60</v>
      </c>
      <c r="D4987">
        <v>163.77000000000001</v>
      </c>
      <c r="E4987">
        <v>2021</v>
      </c>
      <c r="F4987" t="s">
        <v>69</v>
      </c>
    </row>
    <row r="4988" spans="1:6" x14ac:dyDescent="0.25">
      <c r="A4988" t="s">
        <v>48</v>
      </c>
      <c r="B4988" t="s">
        <v>49</v>
      </c>
      <c r="C4988" t="s">
        <v>60</v>
      </c>
      <c r="D4988">
        <v>118.47</v>
      </c>
      <c r="E4988">
        <v>2021</v>
      </c>
      <c r="F4988" t="s">
        <v>69</v>
      </c>
    </row>
    <row r="4989" spans="1:6" x14ac:dyDescent="0.25">
      <c r="A4989" t="s">
        <v>50</v>
      </c>
      <c r="B4989" t="s">
        <v>51</v>
      </c>
      <c r="C4989" t="s">
        <v>60</v>
      </c>
      <c r="D4989">
        <v>76.37</v>
      </c>
      <c r="E4989">
        <v>2021</v>
      </c>
      <c r="F4989" t="s">
        <v>69</v>
      </c>
    </row>
    <row r="4990" spans="1:6" x14ac:dyDescent="0.25">
      <c r="A4990" t="s">
        <v>52</v>
      </c>
      <c r="B4990" t="s">
        <v>53</v>
      </c>
      <c r="C4990" t="s">
        <v>60</v>
      </c>
      <c r="D4990">
        <v>214.65</v>
      </c>
      <c r="E4990">
        <v>2021</v>
      </c>
      <c r="F4990" t="s">
        <v>69</v>
      </c>
    </row>
    <row r="4991" spans="1:6" x14ac:dyDescent="0.25">
      <c r="A4991" t="s">
        <v>54</v>
      </c>
      <c r="B4991" t="s">
        <v>55</v>
      </c>
      <c r="C4991" t="s">
        <v>60</v>
      </c>
      <c r="D4991">
        <v>581.54999999999995</v>
      </c>
      <c r="E4991">
        <v>2021</v>
      </c>
      <c r="F4991" t="s">
        <v>69</v>
      </c>
    </row>
    <row r="4992" spans="1:6" x14ac:dyDescent="0.25">
      <c r="A4992" t="s">
        <v>56</v>
      </c>
      <c r="B4992" t="s">
        <v>57</v>
      </c>
      <c r="C4992" t="s">
        <v>60</v>
      </c>
      <c r="E4992">
        <v>2021</v>
      </c>
      <c r="F4992" t="s">
        <v>69</v>
      </c>
    </row>
    <row r="4993" spans="1:6" x14ac:dyDescent="0.25">
      <c r="A4993" t="s">
        <v>58</v>
      </c>
      <c r="B4993" t="s">
        <v>59</v>
      </c>
      <c r="C4993" t="s">
        <v>60</v>
      </c>
      <c r="E4993">
        <v>2021</v>
      </c>
      <c r="F4993" t="s">
        <v>69</v>
      </c>
    </row>
    <row r="4994" spans="1:6" x14ac:dyDescent="0.25">
      <c r="A4994" t="s">
        <v>6</v>
      </c>
      <c r="B4994" t="s">
        <v>7</v>
      </c>
      <c r="C4994" t="s">
        <v>61</v>
      </c>
      <c r="D4994">
        <v>4201.3100000000004</v>
      </c>
      <c r="E4994">
        <v>2021</v>
      </c>
      <c r="F4994" t="s">
        <v>69</v>
      </c>
    </row>
    <row r="4995" spans="1:6" x14ac:dyDescent="0.25">
      <c r="A4995" t="s">
        <v>10</v>
      </c>
      <c r="B4995" t="s">
        <v>11</v>
      </c>
      <c r="C4995" t="s">
        <v>61</v>
      </c>
      <c r="D4995">
        <v>1963.65</v>
      </c>
      <c r="E4995">
        <v>2021</v>
      </c>
      <c r="F4995" t="s">
        <v>69</v>
      </c>
    </row>
    <row r="4996" spans="1:6" x14ac:dyDescent="0.25">
      <c r="A4996" t="s">
        <v>12</v>
      </c>
      <c r="B4996" t="s">
        <v>13</v>
      </c>
      <c r="C4996" t="s">
        <v>61</v>
      </c>
      <c r="D4996">
        <v>178.97</v>
      </c>
      <c r="E4996">
        <v>2021</v>
      </c>
      <c r="F4996" t="s">
        <v>69</v>
      </c>
    </row>
    <row r="4997" spans="1:6" x14ac:dyDescent="0.25">
      <c r="A4997" t="s">
        <v>14</v>
      </c>
      <c r="B4997" t="s">
        <v>15</v>
      </c>
      <c r="C4997" t="s">
        <v>61</v>
      </c>
      <c r="D4997">
        <v>3.63</v>
      </c>
      <c r="E4997">
        <v>2021</v>
      </c>
      <c r="F4997" t="s">
        <v>69</v>
      </c>
    </row>
    <row r="4998" spans="1:6" x14ac:dyDescent="0.25">
      <c r="A4998" t="s">
        <v>16</v>
      </c>
      <c r="B4998" t="s">
        <v>17</v>
      </c>
      <c r="C4998" t="s">
        <v>61</v>
      </c>
      <c r="D4998">
        <v>83.79</v>
      </c>
      <c r="E4998">
        <v>2021</v>
      </c>
      <c r="F4998" t="s">
        <v>69</v>
      </c>
    </row>
    <row r="4999" spans="1:6" x14ac:dyDescent="0.25">
      <c r="A4999" t="s">
        <v>18</v>
      </c>
      <c r="B4999" t="s">
        <v>19</v>
      </c>
      <c r="C4999" t="s">
        <v>61</v>
      </c>
      <c r="D4999">
        <v>36.909999999999997</v>
      </c>
      <c r="E4999">
        <v>2021</v>
      </c>
      <c r="F4999" t="s">
        <v>69</v>
      </c>
    </row>
    <row r="5000" spans="1:6" x14ac:dyDescent="0.25">
      <c r="A5000" t="s">
        <v>20</v>
      </c>
      <c r="B5000" t="s">
        <v>21</v>
      </c>
      <c r="C5000" t="s">
        <v>61</v>
      </c>
      <c r="D5000">
        <v>23.48</v>
      </c>
      <c r="E5000">
        <v>2021</v>
      </c>
      <c r="F5000" t="s">
        <v>69</v>
      </c>
    </row>
    <row r="5001" spans="1:6" x14ac:dyDescent="0.25">
      <c r="A5001" t="s">
        <v>22</v>
      </c>
      <c r="B5001" t="s">
        <v>23</v>
      </c>
      <c r="C5001" t="s">
        <v>61</v>
      </c>
      <c r="D5001">
        <v>77.63</v>
      </c>
      <c r="E5001">
        <v>2021</v>
      </c>
      <c r="F5001" t="s">
        <v>69</v>
      </c>
    </row>
    <row r="5002" spans="1:6" x14ac:dyDescent="0.25">
      <c r="A5002" t="s">
        <v>24</v>
      </c>
      <c r="B5002" t="s">
        <v>25</v>
      </c>
      <c r="C5002" t="s">
        <v>61</v>
      </c>
      <c r="D5002">
        <v>240.53</v>
      </c>
      <c r="E5002">
        <v>2021</v>
      </c>
      <c r="F5002" t="s">
        <v>69</v>
      </c>
    </row>
    <row r="5003" spans="1:6" x14ac:dyDescent="0.25">
      <c r="A5003" t="s">
        <v>26</v>
      </c>
      <c r="B5003" t="s">
        <v>27</v>
      </c>
      <c r="C5003" t="s">
        <v>61</v>
      </c>
      <c r="D5003">
        <v>48.14</v>
      </c>
      <c r="E5003">
        <v>2021</v>
      </c>
      <c r="F5003" t="s">
        <v>69</v>
      </c>
    </row>
    <row r="5004" spans="1:6" x14ac:dyDescent="0.25">
      <c r="A5004" t="s">
        <v>28</v>
      </c>
      <c r="B5004" t="s">
        <v>29</v>
      </c>
      <c r="C5004" t="s">
        <v>61</v>
      </c>
      <c r="D5004">
        <v>38.25</v>
      </c>
      <c r="E5004">
        <v>2021</v>
      </c>
      <c r="F5004" t="s">
        <v>69</v>
      </c>
    </row>
    <row r="5005" spans="1:6" x14ac:dyDescent="0.25">
      <c r="A5005" t="s">
        <v>30</v>
      </c>
      <c r="B5005" t="s">
        <v>31</v>
      </c>
      <c r="C5005" t="s">
        <v>61</v>
      </c>
      <c r="D5005">
        <v>306.31</v>
      </c>
      <c r="E5005">
        <v>2021</v>
      </c>
      <c r="F5005" t="s">
        <v>69</v>
      </c>
    </row>
    <row r="5006" spans="1:6" x14ac:dyDescent="0.25">
      <c r="A5006" t="s">
        <v>32</v>
      </c>
      <c r="B5006" t="s">
        <v>33</v>
      </c>
      <c r="C5006" t="s">
        <v>61</v>
      </c>
      <c r="D5006">
        <v>127.46</v>
      </c>
      <c r="E5006">
        <v>2021</v>
      </c>
      <c r="F5006" t="s">
        <v>69</v>
      </c>
    </row>
    <row r="5007" spans="1:6" x14ac:dyDescent="0.25">
      <c r="A5007" t="s">
        <v>34</v>
      </c>
      <c r="B5007" t="s">
        <v>35</v>
      </c>
      <c r="C5007" t="s">
        <v>61</v>
      </c>
      <c r="D5007">
        <v>264.29000000000002</v>
      </c>
      <c r="E5007">
        <v>2021</v>
      </c>
      <c r="F5007" t="s">
        <v>69</v>
      </c>
    </row>
    <row r="5008" spans="1:6" x14ac:dyDescent="0.25">
      <c r="A5008" t="s">
        <v>36</v>
      </c>
      <c r="B5008" t="s">
        <v>37</v>
      </c>
      <c r="C5008" t="s">
        <v>61</v>
      </c>
      <c r="D5008">
        <v>173.77</v>
      </c>
      <c r="E5008">
        <v>2021</v>
      </c>
      <c r="F5008" t="s">
        <v>69</v>
      </c>
    </row>
    <row r="5009" spans="1:6" x14ac:dyDescent="0.25">
      <c r="A5009" t="s">
        <v>38</v>
      </c>
      <c r="B5009" t="s">
        <v>39</v>
      </c>
      <c r="C5009" t="s">
        <v>61</v>
      </c>
      <c r="D5009">
        <v>150.15</v>
      </c>
      <c r="E5009">
        <v>2021</v>
      </c>
      <c r="F5009" t="s">
        <v>69</v>
      </c>
    </row>
    <row r="5010" spans="1:6" x14ac:dyDescent="0.25">
      <c r="A5010" t="s">
        <v>40</v>
      </c>
      <c r="B5010" t="s">
        <v>41</v>
      </c>
      <c r="C5010" t="s">
        <v>61</v>
      </c>
      <c r="D5010">
        <v>92.75</v>
      </c>
      <c r="E5010">
        <v>2021</v>
      </c>
      <c r="F5010" t="s">
        <v>69</v>
      </c>
    </row>
    <row r="5011" spans="1:6" x14ac:dyDescent="0.25">
      <c r="A5011" t="s">
        <v>42</v>
      </c>
      <c r="B5011" t="s">
        <v>43</v>
      </c>
      <c r="C5011" t="s">
        <v>61</v>
      </c>
      <c r="D5011">
        <v>14.23</v>
      </c>
      <c r="E5011">
        <v>2021</v>
      </c>
      <c r="F5011" t="s">
        <v>69</v>
      </c>
    </row>
    <row r="5012" spans="1:6" x14ac:dyDescent="0.25">
      <c r="A5012" t="s">
        <v>44</v>
      </c>
      <c r="B5012" t="s">
        <v>45</v>
      </c>
      <c r="C5012" t="s">
        <v>61</v>
      </c>
      <c r="D5012">
        <v>118.11</v>
      </c>
      <c r="E5012">
        <v>2021</v>
      </c>
      <c r="F5012" t="s">
        <v>69</v>
      </c>
    </row>
    <row r="5013" spans="1:6" x14ac:dyDescent="0.25">
      <c r="A5013" t="s">
        <v>46</v>
      </c>
      <c r="B5013" t="s">
        <v>47</v>
      </c>
      <c r="C5013" t="s">
        <v>61</v>
      </c>
      <c r="D5013">
        <v>46.35</v>
      </c>
      <c r="E5013">
        <v>2021</v>
      </c>
      <c r="F5013" t="s">
        <v>69</v>
      </c>
    </row>
    <row r="5014" spans="1:6" x14ac:dyDescent="0.25">
      <c r="A5014" t="s">
        <v>48</v>
      </c>
      <c r="B5014" t="s">
        <v>49</v>
      </c>
      <c r="C5014" t="s">
        <v>61</v>
      </c>
      <c r="D5014">
        <v>29.5</v>
      </c>
      <c r="E5014">
        <v>2021</v>
      </c>
      <c r="F5014" t="s">
        <v>69</v>
      </c>
    </row>
    <row r="5015" spans="1:6" x14ac:dyDescent="0.25">
      <c r="A5015" t="s">
        <v>50</v>
      </c>
      <c r="B5015" t="s">
        <v>51</v>
      </c>
      <c r="C5015" t="s">
        <v>61</v>
      </c>
      <c r="D5015">
        <v>22.7</v>
      </c>
      <c r="E5015">
        <v>2021</v>
      </c>
      <c r="F5015" t="s">
        <v>69</v>
      </c>
    </row>
    <row r="5016" spans="1:6" x14ac:dyDescent="0.25">
      <c r="A5016" t="s">
        <v>52</v>
      </c>
      <c r="B5016" t="s">
        <v>53</v>
      </c>
      <c r="C5016" t="s">
        <v>61</v>
      </c>
      <c r="D5016">
        <v>54.82</v>
      </c>
      <c r="E5016">
        <v>2021</v>
      </c>
      <c r="F5016" t="s">
        <v>69</v>
      </c>
    </row>
    <row r="5017" spans="1:6" x14ac:dyDescent="0.25">
      <c r="A5017" t="s">
        <v>54</v>
      </c>
      <c r="B5017" t="s">
        <v>55</v>
      </c>
      <c r="C5017" t="s">
        <v>61</v>
      </c>
      <c r="D5017">
        <v>4.9800000000000004</v>
      </c>
      <c r="E5017">
        <v>2021</v>
      </c>
      <c r="F5017" t="s">
        <v>69</v>
      </c>
    </row>
    <row r="5018" spans="1:6" x14ac:dyDescent="0.25">
      <c r="A5018" t="s">
        <v>56</v>
      </c>
      <c r="B5018" t="s">
        <v>57</v>
      </c>
      <c r="C5018" t="s">
        <v>61</v>
      </c>
      <c r="D5018">
        <v>100.91</v>
      </c>
      <c r="E5018">
        <v>2021</v>
      </c>
      <c r="F5018" t="s">
        <v>69</v>
      </c>
    </row>
    <row r="5019" spans="1:6" x14ac:dyDescent="0.25">
      <c r="A5019" t="s">
        <v>58</v>
      </c>
      <c r="B5019" t="s">
        <v>59</v>
      </c>
      <c r="C5019" t="s">
        <v>61</v>
      </c>
      <c r="E5019">
        <v>2021</v>
      </c>
      <c r="F5019" t="s">
        <v>69</v>
      </c>
    </row>
    <row r="5020" spans="1:6" x14ac:dyDescent="0.25">
      <c r="A5020" t="s">
        <v>6</v>
      </c>
      <c r="B5020" t="s">
        <v>7</v>
      </c>
      <c r="C5020" t="s">
        <v>65</v>
      </c>
      <c r="D5020">
        <v>42587.12</v>
      </c>
      <c r="E5020">
        <v>2021</v>
      </c>
      <c r="F5020" t="s">
        <v>69</v>
      </c>
    </row>
    <row r="5021" spans="1:6" x14ac:dyDescent="0.25">
      <c r="A5021" t="s">
        <v>10</v>
      </c>
      <c r="B5021" t="s">
        <v>11</v>
      </c>
      <c r="C5021" t="s">
        <v>65</v>
      </c>
      <c r="D5021">
        <v>4701.96</v>
      </c>
      <c r="E5021">
        <v>2021</v>
      </c>
      <c r="F5021" t="s">
        <v>69</v>
      </c>
    </row>
    <row r="5022" spans="1:6" x14ac:dyDescent="0.25">
      <c r="A5022" t="s">
        <v>12</v>
      </c>
      <c r="B5022" t="s">
        <v>13</v>
      </c>
      <c r="C5022" t="s">
        <v>65</v>
      </c>
      <c r="D5022">
        <v>1027.71</v>
      </c>
      <c r="E5022">
        <v>2021</v>
      </c>
      <c r="F5022" t="s">
        <v>69</v>
      </c>
    </row>
    <row r="5023" spans="1:6" x14ac:dyDescent="0.25">
      <c r="A5023" t="s">
        <v>14</v>
      </c>
      <c r="B5023" t="s">
        <v>15</v>
      </c>
      <c r="C5023" t="s">
        <v>65</v>
      </c>
      <c r="D5023">
        <v>34.11</v>
      </c>
      <c r="E5023">
        <v>2021</v>
      </c>
      <c r="F5023" t="s">
        <v>69</v>
      </c>
    </row>
    <row r="5024" spans="1:6" x14ac:dyDescent="0.25">
      <c r="A5024" t="s">
        <v>16</v>
      </c>
      <c r="B5024" t="s">
        <v>17</v>
      </c>
      <c r="C5024" t="s">
        <v>65</v>
      </c>
      <c r="D5024">
        <v>3018.45</v>
      </c>
      <c r="E5024">
        <v>2021</v>
      </c>
      <c r="F5024" t="s">
        <v>69</v>
      </c>
    </row>
    <row r="5025" spans="1:6" x14ac:dyDescent="0.25">
      <c r="A5025" t="s">
        <v>18</v>
      </c>
      <c r="B5025" t="s">
        <v>19</v>
      </c>
      <c r="C5025" t="s">
        <v>65</v>
      </c>
      <c r="D5025">
        <v>1010.31</v>
      </c>
      <c r="E5025">
        <v>2021</v>
      </c>
      <c r="F5025" t="s">
        <v>69</v>
      </c>
    </row>
    <row r="5026" spans="1:6" x14ac:dyDescent="0.25">
      <c r="A5026" t="s">
        <v>20</v>
      </c>
      <c r="B5026" t="s">
        <v>21</v>
      </c>
      <c r="C5026" t="s">
        <v>65</v>
      </c>
      <c r="D5026">
        <v>663.05</v>
      </c>
      <c r="E5026">
        <v>2021</v>
      </c>
      <c r="F5026" t="s">
        <v>69</v>
      </c>
    </row>
    <row r="5027" spans="1:6" x14ac:dyDescent="0.25">
      <c r="A5027" t="s">
        <v>22</v>
      </c>
      <c r="B5027" t="s">
        <v>23</v>
      </c>
      <c r="C5027" t="s">
        <v>65</v>
      </c>
      <c r="D5027">
        <v>528.20000000000005</v>
      </c>
      <c r="E5027">
        <v>2021</v>
      </c>
      <c r="F5027" t="s">
        <v>69</v>
      </c>
    </row>
    <row r="5028" spans="1:6" x14ac:dyDescent="0.25">
      <c r="A5028" t="s">
        <v>24</v>
      </c>
      <c r="B5028" t="s">
        <v>25</v>
      </c>
      <c r="C5028" t="s">
        <v>65</v>
      </c>
      <c r="D5028">
        <v>1137.52</v>
      </c>
      <c r="E5028">
        <v>2021</v>
      </c>
      <c r="F5028" t="s">
        <v>69</v>
      </c>
    </row>
    <row r="5029" spans="1:6" x14ac:dyDescent="0.25">
      <c r="A5029" t="s">
        <v>26</v>
      </c>
      <c r="B5029" t="s">
        <v>27</v>
      </c>
      <c r="C5029" t="s">
        <v>65</v>
      </c>
      <c r="D5029">
        <v>133.07</v>
      </c>
      <c r="E5029">
        <v>2021</v>
      </c>
      <c r="F5029" t="s">
        <v>69</v>
      </c>
    </row>
    <row r="5030" spans="1:6" x14ac:dyDescent="0.25">
      <c r="A5030" t="s">
        <v>28</v>
      </c>
      <c r="B5030" t="s">
        <v>29</v>
      </c>
      <c r="C5030" t="s">
        <v>65</v>
      </c>
      <c r="D5030">
        <v>596.42999999999995</v>
      </c>
      <c r="E5030">
        <v>2021</v>
      </c>
      <c r="F5030" t="s">
        <v>69</v>
      </c>
    </row>
    <row r="5031" spans="1:6" x14ac:dyDescent="0.25">
      <c r="A5031" t="s">
        <v>30</v>
      </c>
      <c r="B5031" t="s">
        <v>31</v>
      </c>
      <c r="C5031" t="s">
        <v>65</v>
      </c>
      <c r="D5031">
        <v>2662.6</v>
      </c>
      <c r="E5031">
        <v>2021</v>
      </c>
      <c r="F5031" t="s">
        <v>69</v>
      </c>
    </row>
    <row r="5032" spans="1:6" x14ac:dyDescent="0.25">
      <c r="A5032" t="s">
        <v>32</v>
      </c>
      <c r="B5032" t="s">
        <v>33</v>
      </c>
      <c r="C5032" t="s">
        <v>65</v>
      </c>
      <c r="D5032">
        <v>977.01</v>
      </c>
      <c r="E5032">
        <v>2021</v>
      </c>
      <c r="F5032" t="s">
        <v>69</v>
      </c>
    </row>
    <row r="5033" spans="1:6" x14ac:dyDescent="0.25">
      <c r="A5033" t="s">
        <v>34</v>
      </c>
      <c r="B5033" t="s">
        <v>35</v>
      </c>
      <c r="C5033" t="s">
        <v>65</v>
      </c>
      <c r="D5033">
        <v>2609.64</v>
      </c>
      <c r="E5033">
        <v>2021</v>
      </c>
      <c r="F5033" t="s">
        <v>69</v>
      </c>
    </row>
    <row r="5034" spans="1:6" x14ac:dyDescent="0.25">
      <c r="A5034" t="s">
        <v>36</v>
      </c>
      <c r="B5034" t="s">
        <v>37</v>
      </c>
      <c r="C5034" t="s">
        <v>65</v>
      </c>
      <c r="D5034">
        <v>2194.65</v>
      </c>
      <c r="E5034">
        <v>2021</v>
      </c>
      <c r="F5034" t="s">
        <v>69</v>
      </c>
    </row>
    <row r="5035" spans="1:6" x14ac:dyDescent="0.25">
      <c r="A5035" t="s">
        <v>38</v>
      </c>
      <c r="B5035" t="s">
        <v>39</v>
      </c>
      <c r="C5035" t="s">
        <v>65</v>
      </c>
      <c r="D5035">
        <v>1985.09</v>
      </c>
      <c r="E5035">
        <v>2021</v>
      </c>
      <c r="F5035" t="s">
        <v>69</v>
      </c>
    </row>
    <row r="5036" spans="1:6" x14ac:dyDescent="0.25">
      <c r="A5036" t="s">
        <v>40</v>
      </c>
      <c r="B5036" t="s">
        <v>41</v>
      </c>
      <c r="C5036" t="s">
        <v>65</v>
      </c>
      <c r="D5036">
        <v>2679.91</v>
      </c>
      <c r="E5036">
        <v>2021</v>
      </c>
      <c r="F5036" t="s">
        <v>69</v>
      </c>
    </row>
    <row r="5037" spans="1:6" x14ac:dyDescent="0.25">
      <c r="A5037" t="s">
        <v>42</v>
      </c>
      <c r="B5037" t="s">
        <v>43</v>
      </c>
      <c r="C5037" t="s">
        <v>65</v>
      </c>
      <c r="D5037">
        <v>3881.57</v>
      </c>
      <c r="E5037">
        <v>2021</v>
      </c>
      <c r="F5037" t="s">
        <v>69</v>
      </c>
    </row>
    <row r="5038" spans="1:6" x14ac:dyDescent="0.25">
      <c r="A5038" t="s">
        <v>44</v>
      </c>
      <c r="B5038" t="s">
        <v>45</v>
      </c>
      <c r="C5038" t="s">
        <v>65</v>
      </c>
      <c r="D5038">
        <v>4937.66</v>
      </c>
      <c r="E5038">
        <v>2021</v>
      </c>
      <c r="F5038" t="s">
        <v>69</v>
      </c>
    </row>
    <row r="5039" spans="1:6" x14ac:dyDescent="0.25">
      <c r="A5039" t="s">
        <v>46</v>
      </c>
      <c r="B5039" t="s">
        <v>47</v>
      </c>
      <c r="C5039" t="s">
        <v>65</v>
      </c>
      <c r="D5039">
        <v>5071.4399999999996</v>
      </c>
      <c r="E5039">
        <v>2021</v>
      </c>
      <c r="F5039" t="s">
        <v>69</v>
      </c>
    </row>
    <row r="5040" spans="1:6" x14ac:dyDescent="0.25">
      <c r="A5040" t="s">
        <v>48</v>
      </c>
      <c r="B5040" t="s">
        <v>49</v>
      </c>
      <c r="C5040" t="s">
        <v>65</v>
      </c>
      <c r="D5040">
        <v>1974.04</v>
      </c>
      <c r="E5040">
        <v>2021</v>
      </c>
      <c r="F5040" t="s">
        <v>69</v>
      </c>
    </row>
    <row r="5041" spans="1:6" x14ac:dyDescent="0.25">
      <c r="A5041" t="s">
        <v>50</v>
      </c>
      <c r="B5041" t="s">
        <v>51</v>
      </c>
      <c r="C5041" t="s">
        <v>65</v>
      </c>
      <c r="D5041">
        <v>207.71</v>
      </c>
      <c r="E5041">
        <v>2021</v>
      </c>
      <c r="F5041" t="s">
        <v>69</v>
      </c>
    </row>
    <row r="5042" spans="1:6" x14ac:dyDescent="0.25">
      <c r="A5042" t="s">
        <v>52</v>
      </c>
      <c r="B5042" t="s">
        <v>53</v>
      </c>
      <c r="C5042" t="s">
        <v>65</v>
      </c>
      <c r="D5042">
        <v>480.21</v>
      </c>
      <c r="E5042">
        <v>2021</v>
      </c>
      <c r="F5042" t="s">
        <v>69</v>
      </c>
    </row>
    <row r="5043" spans="1:6" x14ac:dyDescent="0.25">
      <c r="A5043" t="s">
        <v>54</v>
      </c>
      <c r="B5043" t="s">
        <v>55</v>
      </c>
      <c r="C5043" t="s">
        <v>65</v>
      </c>
      <c r="D5043">
        <v>74.78</v>
      </c>
      <c r="E5043">
        <v>2021</v>
      </c>
      <c r="F5043" t="s">
        <v>69</v>
      </c>
    </row>
    <row r="5044" spans="1:6" x14ac:dyDescent="0.25">
      <c r="A5044" t="s">
        <v>56</v>
      </c>
      <c r="B5044" t="s">
        <v>57</v>
      </c>
      <c r="C5044" t="s">
        <v>65</v>
      </c>
      <c r="E5044">
        <v>2021</v>
      </c>
      <c r="F5044" t="s">
        <v>69</v>
      </c>
    </row>
    <row r="5045" spans="1:6" x14ac:dyDescent="0.25">
      <c r="A5045" t="s">
        <v>58</v>
      </c>
      <c r="B5045" t="s">
        <v>59</v>
      </c>
      <c r="C5045" t="s">
        <v>65</v>
      </c>
      <c r="E5045">
        <v>2021</v>
      </c>
      <c r="F5045" t="s">
        <v>69</v>
      </c>
    </row>
    <row r="5046" spans="1:6" x14ac:dyDescent="0.25">
      <c r="A5046" t="s">
        <v>6</v>
      </c>
      <c r="B5046" t="s">
        <v>7</v>
      </c>
      <c r="C5046" t="s">
        <v>62</v>
      </c>
      <c r="E5046">
        <v>2021</v>
      </c>
      <c r="F5046" t="s">
        <v>69</v>
      </c>
    </row>
    <row r="5047" spans="1:6" x14ac:dyDescent="0.25">
      <c r="A5047" t="s">
        <v>10</v>
      </c>
      <c r="B5047" t="s">
        <v>11</v>
      </c>
      <c r="C5047" t="s">
        <v>62</v>
      </c>
      <c r="E5047">
        <v>2021</v>
      </c>
      <c r="F5047" t="s">
        <v>69</v>
      </c>
    </row>
    <row r="5048" spans="1:6" x14ac:dyDescent="0.25">
      <c r="A5048" t="s">
        <v>12</v>
      </c>
      <c r="B5048" t="s">
        <v>13</v>
      </c>
      <c r="C5048" t="s">
        <v>62</v>
      </c>
      <c r="E5048">
        <v>2021</v>
      </c>
      <c r="F5048" t="s">
        <v>69</v>
      </c>
    </row>
    <row r="5049" spans="1:6" x14ac:dyDescent="0.25">
      <c r="A5049" t="s">
        <v>14</v>
      </c>
      <c r="B5049" t="s">
        <v>15</v>
      </c>
      <c r="C5049" t="s">
        <v>62</v>
      </c>
      <c r="E5049">
        <v>2021</v>
      </c>
      <c r="F5049" t="s">
        <v>69</v>
      </c>
    </row>
    <row r="5050" spans="1:6" x14ac:dyDescent="0.25">
      <c r="A5050" t="s">
        <v>16</v>
      </c>
      <c r="B5050" t="s">
        <v>17</v>
      </c>
      <c r="C5050" t="s">
        <v>62</v>
      </c>
      <c r="E5050">
        <v>2021</v>
      </c>
      <c r="F5050" t="s">
        <v>69</v>
      </c>
    </row>
    <row r="5051" spans="1:6" x14ac:dyDescent="0.25">
      <c r="A5051" t="s">
        <v>18</v>
      </c>
      <c r="B5051" t="s">
        <v>19</v>
      </c>
      <c r="C5051" t="s">
        <v>62</v>
      </c>
      <c r="E5051">
        <v>2021</v>
      </c>
      <c r="F5051" t="s">
        <v>69</v>
      </c>
    </row>
    <row r="5052" spans="1:6" x14ac:dyDescent="0.25">
      <c r="A5052" t="s">
        <v>20</v>
      </c>
      <c r="B5052" t="s">
        <v>21</v>
      </c>
      <c r="C5052" t="s">
        <v>62</v>
      </c>
      <c r="E5052">
        <v>2021</v>
      </c>
      <c r="F5052" t="s">
        <v>69</v>
      </c>
    </row>
    <row r="5053" spans="1:6" x14ac:dyDescent="0.25">
      <c r="A5053" t="s">
        <v>22</v>
      </c>
      <c r="B5053" t="s">
        <v>23</v>
      </c>
      <c r="C5053" t="s">
        <v>62</v>
      </c>
      <c r="E5053">
        <v>2021</v>
      </c>
      <c r="F5053" t="s">
        <v>69</v>
      </c>
    </row>
    <row r="5054" spans="1:6" x14ac:dyDescent="0.25">
      <c r="A5054" t="s">
        <v>24</v>
      </c>
      <c r="B5054" t="s">
        <v>25</v>
      </c>
      <c r="C5054" t="s">
        <v>62</v>
      </c>
      <c r="E5054">
        <v>2021</v>
      </c>
      <c r="F5054" t="s">
        <v>69</v>
      </c>
    </row>
    <row r="5055" spans="1:6" x14ac:dyDescent="0.25">
      <c r="A5055" t="s">
        <v>26</v>
      </c>
      <c r="B5055" t="s">
        <v>27</v>
      </c>
      <c r="C5055" t="s">
        <v>62</v>
      </c>
      <c r="E5055">
        <v>2021</v>
      </c>
      <c r="F5055" t="s">
        <v>69</v>
      </c>
    </row>
    <row r="5056" spans="1:6" x14ac:dyDescent="0.25">
      <c r="A5056" t="s">
        <v>28</v>
      </c>
      <c r="B5056" t="s">
        <v>29</v>
      </c>
      <c r="C5056" t="s">
        <v>62</v>
      </c>
      <c r="E5056">
        <v>2021</v>
      </c>
      <c r="F5056" t="s">
        <v>69</v>
      </c>
    </row>
    <row r="5057" spans="1:6" x14ac:dyDescent="0.25">
      <c r="A5057" t="s">
        <v>30</v>
      </c>
      <c r="B5057" t="s">
        <v>31</v>
      </c>
      <c r="C5057" t="s">
        <v>62</v>
      </c>
      <c r="E5057">
        <v>2021</v>
      </c>
      <c r="F5057" t="s">
        <v>69</v>
      </c>
    </row>
    <row r="5058" spans="1:6" x14ac:dyDescent="0.25">
      <c r="A5058" t="s">
        <v>32</v>
      </c>
      <c r="B5058" t="s">
        <v>33</v>
      </c>
      <c r="C5058" t="s">
        <v>62</v>
      </c>
      <c r="E5058">
        <v>2021</v>
      </c>
      <c r="F5058" t="s">
        <v>69</v>
      </c>
    </row>
    <row r="5059" spans="1:6" x14ac:dyDescent="0.25">
      <c r="A5059" t="s">
        <v>34</v>
      </c>
      <c r="B5059" t="s">
        <v>35</v>
      </c>
      <c r="C5059" t="s">
        <v>62</v>
      </c>
      <c r="E5059">
        <v>2021</v>
      </c>
      <c r="F5059" t="s">
        <v>69</v>
      </c>
    </row>
    <row r="5060" spans="1:6" x14ac:dyDescent="0.25">
      <c r="A5060" t="s">
        <v>36</v>
      </c>
      <c r="B5060" t="s">
        <v>37</v>
      </c>
      <c r="C5060" t="s">
        <v>62</v>
      </c>
      <c r="E5060">
        <v>2021</v>
      </c>
      <c r="F5060" t="s">
        <v>69</v>
      </c>
    </row>
    <row r="5061" spans="1:6" x14ac:dyDescent="0.25">
      <c r="A5061" t="s">
        <v>38</v>
      </c>
      <c r="B5061" t="s">
        <v>39</v>
      </c>
      <c r="C5061" t="s">
        <v>62</v>
      </c>
      <c r="E5061">
        <v>2021</v>
      </c>
      <c r="F5061" t="s">
        <v>69</v>
      </c>
    </row>
    <row r="5062" spans="1:6" x14ac:dyDescent="0.25">
      <c r="A5062" t="s">
        <v>40</v>
      </c>
      <c r="B5062" t="s">
        <v>41</v>
      </c>
      <c r="C5062" t="s">
        <v>62</v>
      </c>
      <c r="E5062">
        <v>2021</v>
      </c>
      <c r="F5062" t="s">
        <v>69</v>
      </c>
    </row>
    <row r="5063" spans="1:6" x14ac:dyDescent="0.25">
      <c r="A5063" t="s">
        <v>42</v>
      </c>
      <c r="B5063" t="s">
        <v>43</v>
      </c>
      <c r="C5063" t="s">
        <v>62</v>
      </c>
      <c r="E5063">
        <v>2021</v>
      </c>
      <c r="F5063" t="s">
        <v>69</v>
      </c>
    </row>
    <row r="5064" spans="1:6" x14ac:dyDescent="0.25">
      <c r="A5064" t="s">
        <v>44</v>
      </c>
      <c r="B5064" t="s">
        <v>45</v>
      </c>
      <c r="C5064" t="s">
        <v>62</v>
      </c>
      <c r="E5064">
        <v>2021</v>
      </c>
      <c r="F5064" t="s">
        <v>69</v>
      </c>
    </row>
    <row r="5065" spans="1:6" x14ac:dyDescent="0.25">
      <c r="A5065" t="s">
        <v>46</v>
      </c>
      <c r="B5065" t="s">
        <v>47</v>
      </c>
      <c r="C5065" t="s">
        <v>62</v>
      </c>
      <c r="E5065">
        <v>2021</v>
      </c>
      <c r="F5065" t="s">
        <v>69</v>
      </c>
    </row>
    <row r="5066" spans="1:6" x14ac:dyDescent="0.25">
      <c r="A5066" t="s">
        <v>48</v>
      </c>
      <c r="B5066" t="s">
        <v>49</v>
      </c>
      <c r="C5066" t="s">
        <v>62</v>
      </c>
      <c r="E5066">
        <v>2021</v>
      </c>
      <c r="F5066" t="s">
        <v>69</v>
      </c>
    </row>
    <row r="5067" spans="1:6" x14ac:dyDescent="0.25">
      <c r="A5067" t="s">
        <v>50</v>
      </c>
      <c r="B5067" t="s">
        <v>51</v>
      </c>
      <c r="C5067" t="s">
        <v>62</v>
      </c>
      <c r="E5067">
        <v>2021</v>
      </c>
      <c r="F5067" t="s">
        <v>69</v>
      </c>
    </row>
    <row r="5068" spans="1:6" x14ac:dyDescent="0.25">
      <c r="A5068" t="s">
        <v>52</v>
      </c>
      <c r="B5068" t="s">
        <v>53</v>
      </c>
      <c r="C5068" t="s">
        <v>62</v>
      </c>
      <c r="E5068">
        <v>2021</v>
      </c>
      <c r="F5068" t="s">
        <v>69</v>
      </c>
    </row>
    <row r="5069" spans="1:6" x14ac:dyDescent="0.25">
      <c r="A5069" t="s">
        <v>54</v>
      </c>
      <c r="B5069" t="s">
        <v>55</v>
      </c>
      <c r="C5069" t="s">
        <v>62</v>
      </c>
      <c r="E5069">
        <v>2021</v>
      </c>
      <c r="F5069" t="s">
        <v>69</v>
      </c>
    </row>
    <row r="5070" spans="1:6" x14ac:dyDescent="0.25">
      <c r="A5070" t="s">
        <v>56</v>
      </c>
      <c r="B5070" t="s">
        <v>57</v>
      </c>
      <c r="C5070" t="s">
        <v>62</v>
      </c>
      <c r="E5070">
        <v>2021</v>
      </c>
      <c r="F5070" t="s">
        <v>69</v>
      </c>
    </row>
    <row r="5071" spans="1:6" x14ac:dyDescent="0.25">
      <c r="A5071" t="s">
        <v>58</v>
      </c>
      <c r="B5071" t="s">
        <v>59</v>
      </c>
      <c r="C5071" t="s">
        <v>62</v>
      </c>
      <c r="E5071">
        <v>2021</v>
      </c>
      <c r="F5071" t="s">
        <v>69</v>
      </c>
    </row>
    <row r="5072" spans="1:6" x14ac:dyDescent="0.25">
      <c r="A5072" t="s">
        <v>6</v>
      </c>
      <c r="B5072" t="s">
        <v>7</v>
      </c>
      <c r="C5072" t="s">
        <v>66</v>
      </c>
      <c r="E5072">
        <v>2021</v>
      </c>
      <c r="F5072" t="s">
        <v>69</v>
      </c>
    </row>
    <row r="5073" spans="1:6" x14ac:dyDescent="0.25">
      <c r="A5073" t="s">
        <v>10</v>
      </c>
      <c r="B5073" t="s">
        <v>11</v>
      </c>
      <c r="C5073" t="s">
        <v>66</v>
      </c>
      <c r="E5073">
        <v>2021</v>
      </c>
      <c r="F5073" t="s">
        <v>69</v>
      </c>
    </row>
    <row r="5074" spans="1:6" x14ac:dyDescent="0.25">
      <c r="A5074" t="s">
        <v>12</v>
      </c>
      <c r="B5074" t="s">
        <v>13</v>
      </c>
      <c r="C5074" t="s">
        <v>66</v>
      </c>
      <c r="E5074">
        <v>2021</v>
      </c>
      <c r="F5074" t="s">
        <v>69</v>
      </c>
    </row>
    <row r="5075" spans="1:6" x14ac:dyDescent="0.25">
      <c r="A5075" t="s">
        <v>14</v>
      </c>
      <c r="B5075" t="s">
        <v>15</v>
      </c>
      <c r="C5075" t="s">
        <v>66</v>
      </c>
      <c r="E5075">
        <v>2021</v>
      </c>
      <c r="F5075" t="s">
        <v>69</v>
      </c>
    </row>
    <row r="5076" spans="1:6" x14ac:dyDescent="0.25">
      <c r="A5076" t="s">
        <v>16</v>
      </c>
      <c r="B5076" t="s">
        <v>17</v>
      </c>
      <c r="C5076" t="s">
        <v>66</v>
      </c>
      <c r="E5076">
        <v>2021</v>
      </c>
      <c r="F5076" t="s">
        <v>69</v>
      </c>
    </row>
    <row r="5077" spans="1:6" x14ac:dyDescent="0.25">
      <c r="A5077" t="s">
        <v>18</v>
      </c>
      <c r="B5077" t="s">
        <v>19</v>
      </c>
      <c r="C5077" t="s">
        <v>66</v>
      </c>
      <c r="E5077">
        <v>2021</v>
      </c>
      <c r="F5077" t="s">
        <v>69</v>
      </c>
    </row>
    <row r="5078" spans="1:6" x14ac:dyDescent="0.25">
      <c r="A5078" t="s">
        <v>20</v>
      </c>
      <c r="B5078" t="s">
        <v>21</v>
      </c>
      <c r="C5078" t="s">
        <v>66</v>
      </c>
      <c r="E5078">
        <v>2021</v>
      </c>
      <c r="F5078" t="s">
        <v>69</v>
      </c>
    </row>
    <row r="5079" spans="1:6" x14ac:dyDescent="0.25">
      <c r="A5079" t="s">
        <v>22</v>
      </c>
      <c r="B5079" t="s">
        <v>23</v>
      </c>
      <c r="C5079" t="s">
        <v>66</v>
      </c>
      <c r="E5079">
        <v>2021</v>
      </c>
      <c r="F5079" t="s">
        <v>69</v>
      </c>
    </row>
    <row r="5080" spans="1:6" x14ac:dyDescent="0.25">
      <c r="A5080" t="s">
        <v>24</v>
      </c>
      <c r="B5080" t="s">
        <v>25</v>
      </c>
      <c r="C5080" t="s">
        <v>66</v>
      </c>
      <c r="E5080">
        <v>2021</v>
      </c>
      <c r="F5080" t="s">
        <v>69</v>
      </c>
    </row>
    <row r="5081" spans="1:6" x14ac:dyDescent="0.25">
      <c r="A5081" t="s">
        <v>26</v>
      </c>
      <c r="B5081" t="s">
        <v>27</v>
      </c>
      <c r="C5081" t="s">
        <v>66</v>
      </c>
      <c r="E5081">
        <v>2021</v>
      </c>
      <c r="F5081" t="s">
        <v>69</v>
      </c>
    </row>
    <row r="5082" spans="1:6" x14ac:dyDescent="0.25">
      <c r="A5082" t="s">
        <v>28</v>
      </c>
      <c r="B5082" t="s">
        <v>29</v>
      </c>
      <c r="C5082" t="s">
        <v>66</v>
      </c>
      <c r="E5082">
        <v>2021</v>
      </c>
      <c r="F5082" t="s">
        <v>69</v>
      </c>
    </row>
    <row r="5083" spans="1:6" x14ac:dyDescent="0.25">
      <c r="A5083" t="s">
        <v>30</v>
      </c>
      <c r="B5083" t="s">
        <v>31</v>
      </c>
      <c r="C5083" t="s">
        <v>66</v>
      </c>
      <c r="E5083">
        <v>2021</v>
      </c>
      <c r="F5083" t="s">
        <v>69</v>
      </c>
    </row>
    <row r="5084" spans="1:6" x14ac:dyDescent="0.25">
      <c r="A5084" t="s">
        <v>32</v>
      </c>
      <c r="B5084" t="s">
        <v>33</v>
      </c>
      <c r="C5084" t="s">
        <v>66</v>
      </c>
      <c r="E5084">
        <v>2021</v>
      </c>
      <c r="F5084" t="s">
        <v>69</v>
      </c>
    </row>
    <row r="5085" spans="1:6" x14ac:dyDescent="0.25">
      <c r="A5085" t="s">
        <v>34</v>
      </c>
      <c r="B5085" t="s">
        <v>35</v>
      </c>
      <c r="C5085" t="s">
        <v>66</v>
      </c>
      <c r="E5085">
        <v>2021</v>
      </c>
      <c r="F5085" t="s">
        <v>69</v>
      </c>
    </row>
    <row r="5086" spans="1:6" x14ac:dyDescent="0.25">
      <c r="A5086" t="s">
        <v>36</v>
      </c>
      <c r="B5086" t="s">
        <v>37</v>
      </c>
      <c r="C5086" t="s">
        <v>66</v>
      </c>
      <c r="E5086">
        <v>2021</v>
      </c>
      <c r="F5086" t="s">
        <v>69</v>
      </c>
    </row>
    <row r="5087" spans="1:6" x14ac:dyDescent="0.25">
      <c r="A5087" t="s">
        <v>38</v>
      </c>
      <c r="B5087" t="s">
        <v>39</v>
      </c>
      <c r="C5087" t="s">
        <v>66</v>
      </c>
      <c r="E5087">
        <v>2021</v>
      </c>
      <c r="F5087" t="s">
        <v>69</v>
      </c>
    </row>
    <row r="5088" spans="1:6" x14ac:dyDescent="0.25">
      <c r="A5088" t="s">
        <v>40</v>
      </c>
      <c r="B5088" t="s">
        <v>41</v>
      </c>
      <c r="C5088" t="s">
        <v>66</v>
      </c>
      <c r="E5088">
        <v>2021</v>
      </c>
      <c r="F5088" t="s">
        <v>69</v>
      </c>
    </row>
    <row r="5089" spans="1:6" x14ac:dyDescent="0.25">
      <c r="A5089" t="s">
        <v>42</v>
      </c>
      <c r="B5089" t="s">
        <v>43</v>
      </c>
      <c r="C5089" t="s">
        <v>66</v>
      </c>
      <c r="E5089">
        <v>2021</v>
      </c>
      <c r="F5089" t="s">
        <v>69</v>
      </c>
    </row>
    <row r="5090" spans="1:6" x14ac:dyDescent="0.25">
      <c r="A5090" t="s">
        <v>44</v>
      </c>
      <c r="B5090" t="s">
        <v>45</v>
      </c>
      <c r="C5090" t="s">
        <v>66</v>
      </c>
      <c r="E5090">
        <v>2021</v>
      </c>
      <c r="F5090" t="s">
        <v>69</v>
      </c>
    </row>
    <row r="5091" spans="1:6" x14ac:dyDescent="0.25">
      <c r="A5091" t="s">
        <v>46</v>
      </c>
      <c r="B5091" t="s">
        <v>47</v>
      </c>
      <c r="C5091" t="s">
        <v>66</v>
      </c>
      <c r="E5091">
        <v>2021</v>
      </c>
      <c r="F5091" t="s">
        <v>69</v>
      </c>
    </row>
    <row r="5092" spans="1:6" x14ac:dyDescent="0.25">
      <c r="A5092" t="s">
        <v>48</v>
      </c>
      <c r="B5092" t="s">
        <v>49</v>
      </c>
      <c r="C5092" t="s">
        <v>66</v>
      </c>
      <c r="E5092">
        <v>2021</v>
      </c>
      <c r="F5092" t="s">
        <v>69</v>
      </c>
    </row>
    <row r="5093" spans="1:6" x14ac:dyDescent="0.25">
      <c r="A5093" t="s">
        <v>50</v>
      </c>
      <c r="B5093" t="s">
        <v>51</v>
      </c>
      <c r="C5093" t="s">
        <v>66</v>
      </c>
      <c r="E5093">
        <v>2021</v>
      </c>
      <c r="F5093" t="s">
        <v>69</v>
      </c>
    </row>
    <row r="5094" spans="1:6" x14ac:dyDescent="0.25">
      <c r="A5094" t="s">
        <v>52</v>
      </c>
      <c r="B5094" t="s">
        <v>53</v>
      </c>
      <c r="C5094" t="s">
        <v>66</v>
      </c>
      <c r="E5094">
        <v>2021</v>
      </c>
      <c r="F5094" t="s">
        <v>69</v>
      </c>
    </row>
    <row r="5095" spans="1:6" x14ac:dyDescent="0.25">
      <c r="A5095" t="s">
        <v>54</v>
      </c>
      <c r="B5095" t="s">
        <v>55</v>
      </c>
      <c r="C5095" t="s">
        <v>66</v>
      </c>
      <c r="E5095">
        <v>2021</v>
      </c>
      <c r="F5095" t="s">
        <v>69</v>
      </c>
    </row>
    <row r="5096" spans="1:6" x14ac:dyDescent="0.25">
      <c r="A5096" t="s">
        <v>56</v>
      </c>
      <c r="B5096" t="s">
        <v>57</v>
      </c>
      <c r="C5096" t="s">
        <v>66</v>
      </c>
      <c r="E5096">
        <v>2021</v>
      </c>
      <c r="F5096" t="s">
        <v>69</v>
      </c>
    </row>
    <row r="5097" spans="1:6" x14ac:dyDescent="0.25">
      <c r="A5097" t="s">
        <v>58</v>
      </c>
      <c r="B5097" t="s">
        <v>59</v>
      </c>
      <c r="C5097" t="s">
        <v>66</v>
      </c>
      <c r="E5097">
        <v>2021</v>
      </c>
      <c r="F5097" t="s">
        <v>69</v>
      </c>
    </row>
    <row r="5098" spans="1:6" x14ac:dyDescent="0.25">
      <c r="A5098" t="s">
        <v>6</v>
      </c>
      <c r="B5098" t="s">
        <v>7</v>
      </c>
      <c r="C5098" t="s">
        <v>63</v>
      </c>
      <c r="D5098">
        <v>123228.49</v>
      </c>
      <c r="E5098">
        <v>2022</v>
      </c>
      <c r="F5098" t="s">
        <v>69</v>
      </c>
    </row>
    <row r="5099" spans="1:6" x14ac:dyDescent="0.25">
      <c r="A5099" t="s">
        <v>10</v>
      </c>
      <c r="B5099" t="s">
        <v>11</v>
      </c>
      <c r="C5099" t="s">
        <v>63</v>
      </c>
      <c r="D5099">
        <v>39205.46</v>
      </c>
      <c r="E5099">
        <v>2022</v>
      </c>
      <c r="F5099" t="s">
        <v>69</v>
      </c>
    </row>
    <row r="5100" spans="1:6" x14ac:dyDescent="0.25">
      <c r="A5100" t="s">
        <v>12</v>
      </c>
      <c r="B5100" t="s">
        <v>13</v>
      </c>
      <c r="C5100" t="s">
        <v>63</v>
      </c>
      <c r="D5100">
        <v>5468.12</v>
      </c>
      <c r="E5100">
        <v>2022</v>
      </c>
      <c r="F5100" t="s">
        <v>69</v>
      </c>
    </row>
    <row r="5101" spans="1:6" x14ac:dyDescent="0.25">
      <c r="A5101" t="s">
        <v>14</v>
      </c>
      <c r="B5101" t="s">
        <v>15</v>
      </c>
      <c r="C5101" t="s">
        <v>63</v>
      </c>
      <c r="D5101">
        <v>831.06</v>
      </c>
      <c r="E5101">
        <v>2022</v>
      </c>
      <c r="F5101" t="s">
        <v>69</v>
      </c>
    </row>
    <row r="5102" spans="1:6" x14ac:dyDescent="0.25">
      <c r="A5102" t="s">
        <v>16</v>
      </c>
      <c r="B5102" t="s">
        <v>17</v>
      </c>
      <c r="C5102" t="s">
        <v>63</v>
      </c>
      <c r="D5102">
        <v>4314.88</v>
      </c>
      <c r="E5102">
        <v>2022</v>
      </c>
      <c r="F5102" t="s">
        <v>69</v>
      </c>
    </row>
    <row r="5103" spans="1:6" x14ac:dyDescent="0.25">
      <c r="A5103" t="s">
        <v>18</v>
      </c>
      <c r="B5103" t="s">
        <v>19</v>
      </c>
      <c r="C5103" t="s">
        <v>63</v>
      </c>
      <c r="D5103">
        <v>4717.78</v>
      </c>
      <c r="E5103">
        <v>2022</v>
      </c>
      <c r="F5103" t="s">
        <v>69</v>
      </c>
    </row>
    <row r="5104" spans="1:6" x14ac:dyDescent="0.25">
      <c r="A5104" t="s">
        <v>20</v>
      </c>
      <c r="B5104" t="s">
        <v>21</v>
      </c>
      <c r="C5104" t="s">
        <v>63</v>
      </c>
      <c r="D5104">
        <v>3964.69</v>
      </c>
      <c r="E5104">
        <v>2022</v>
      </c>
      <c r="F5104" t="s">
        <v>69</v>
      </c>
    </row>
    <row r="5105" spans="1:6" x14ac:dyDescent="0.25">
      <c r="A5105" t="s">
        <v>22</v>
      </c>
      <c r="B5105" t="s">
        <v>23</v>
      </c>
      <c r="C5105" t="s">
        <v>63</v>
      </c>
      <c r="D5105">
        <v>2350.36</v>
      </c>
      <c r="E5105">
        <v>2022</v>
      </c>
      <c r="F5105" t="s">
        <v>69</v>
      </c>
    </row>
    <row r="5106" spans="1:6" x14ac:dyDescent="0.25">
      <c r="A5106" t="s">
        <v>24</v>
      </c>
      <c r="B5106" t="s">
        <v>25</v>
      </c>
      <c r="C5106" t="s">
        <v>63</v>
      </c>
      <c r="D5106">
        <v>7128.89</v>
      </c>
      <c r="E5106">
        <v>2022</v>
      </c>
      <c r="F5106" t="s">
        <v>69</v>
      </c>
    </row>
    <row r="5107" spans="1:6" x14ac:dyDescent="0.25">
      <c r="A5107" t="s">
        <v>26</v>
      </c>
      <c r="B5107" t="s">
        <v>27</v>
      </c>
      <c r="C5107" t="s">
        <v>63</v>
      </c>
      <c r="D5107">
        <v>1173.52</v>
      </c>
      <c r="E5107">
        <v>2022</v>
      </c>
      <c r="F5107" t="s">
        <v>69</v>
      </c>
    </row>
    <row r="5108" spans="1:6" x14ac:dyDescent="0.25">
      <c r="A5108" t="s">
        <v>28</v>
      </c>
      <c r="B5108" t="s">
        <v>29</v>
      </c>
      <c r="C5108" t="s">
        <v>63</v>
      </c>
      <c r="D5108">
        <v>-5767.54</v>
      </c>
      <c r="E5108">
        <v>2022</v>
      </c>
      <c r="F5108" t="s">
        <v>69</v>
      </c>
    </row>
    <row r="5109" spans="1:6" x14ac:dyDescent="0.25">
      <c r="A5109" t="s">
        <v>30</v>
      </c>
      <c r="B5109" t="s">
        <v>31</v>
      </c>
      <c r="C5109" t="s">
        <v>63</v>
      </c>
      <c r="D5109">
        <v>-1246.18</v>
      </c>
      <c r="E5109">
        <v>2022</v>
      </c>
      <c r="F5109" t="s">
        <v>69</v>
      </c>
    </row>
    <row r="5110" spans="1:6" x14ac:dyDescent="0.25">
      <c r="A5110" t="s">
        <v>32</v>
      </c>
      <c r="B5110" t="s">
        <v>33</v>
      </c>
      <c r="C5110" t="s">
        <v>63</v>
      </c>
      <c r="D5110">
        <v>6969.66</v>
      </c>
      <c r="E5110">
        <v>2022</v>
      </c>
      <c r="F5110" t="s">
        <v>69</v>
      </c>
    </row>
    <row r="5111" spans="1:6" x14ac:dyDescent="0.25">
      <c r="A5111" t="s">
        <v>34</v>
      </c>
      <c r="B5111" t="s">
        <v>35</v>
      </c>
      <c r="C5111" t="s">
        <v>63</v>
      </c>
      <c r="D5111">
        <v>9134.91</v>
      </c>
      <c r="E5111">
        <v>2022</v>
      </c>
      <c r="F5111" t="s">
        <v>69</v>
      </c>
    </row>
    <row r="5112" spans="1:6" x14ac:dyDescent="0.25">
      <c r="A5112" t="s">
        <v>36</v>
      </c>
      <c r="B5112" t="s">
        <v>37</v>
      </c>
      <c r="C5112" t="s">
        <v>63</v>
      </c>
      <c r="D5112">
        <v>7769.63</v>
      </c>
      <c r="E5112">
        <v>2022</v>
      </c>
      <c r="F5112" t="s">
        <v>69</v>
      </c>
    </row>
    <row r="5113" spans="1:6" x14ac:dyDescent="0.25">
      <c r="A5113" t="s">
        <v>38</v>
      </c>
      <c r="B5113" t="s">
        <v>39</v>
      </c>
      <c r="C5113" t="s">
        <v>63</v>
      </c>
      <c r="D5113">
        <v>10374.57</v>
      </c>
      <c r="E5113">
        <v>2022</v>
      </c>
      <c r="F5113" t="s">
        <v>69</v>
      </c>
    </row>
    <row r="5114" spans="1:6" x14ac:dyDescent="0.25">
      <c r="A5114" t="s">
        <v>40</v>
      </c>
      <c r="B5114" t="s">
        <v>41</v>
      </c>
      <c r="C5114" t="s">
        <v>63</v>
      </c>
      <c r="D5114">
        <v>7618.2</v>
      </c>
      <c r="E5114">
        <v>2022</v>
      </c>
      <c r="F5114" t="s">
        <v>69</v>
      </c>
    </row>
    <row r="5115" spans="1:6" x14ac:dyDescent="0.25">
      <c r="A5115" t="s">
        <v>42</v>
      </c>
      <c r="B5115" t="s">
        <v>43</v>
      </c>
      <c r="C5115" t="s">
        <v>63</v>
      </c>
      <c r="D5115">
        <v>-14480.37</v>
      </c>
      <c r="E5115">
        <v>2022</v>
      </c>
      <c r="F5115" t="s">
        <v>69</v>
      </c>
    </row>
    <row r="5116" spans="1:6" x14ac:dyDescent="0.25">
      <c r="A5116" t="s">
        <v>44</v>
      </c>
      <c r="B5116" t="s">
        <v>45</v>
      </c>
      <c r="C5116" t="s">
        <v>63</v>
      </c>
      <c r="D5116">
        <v>7620.43</v>
      </c>
      <c r="E5116">
        <v>2022</v>
      </c>
      <c r="F5116" t="s">
        <v>69</v>
      </c>
    </row>
    <row r="5117" spans="1:6" x14ac:dyDescent="0.25">
      <c r="A5117" t="s">
        <v>46</v>
      </c>
      <c r="B5117" t="s">
        <v>47</v>
      </c>
      <c r="C5117" t="s">
        <v>63</v>
      </c>
      <c r="D5117">
        <v>13789.74</v>
      </c>
      <c r="E5117">
        <v>2022</v>
      </c>
      <c r="F5117" t="s">
        <v>69</v>
      </c>
    </row>
    <row r="5118" spans="1:6" x14ac:dyDescent="0.25">
      <c r="A5118" t="s">
        <v>48</v>
      </c>
      <c r="B5118" t="s">
        <v>49</v>
      </c>
      <c r="C5118" t="s">
        <v>63</v>
      </c>
      <c r="D5118">
        <v>18423.41</v>
      </c>
      <c r="E5118">
        <v>2022</v>
      </c>
      <c r="F5118" t="s">
        <v>69</v>
      </c>
    </row>
    <row r="5119" spans="1:6" x14ac:dyDescent="0.25">
      <c r="A5119" t="s">
        <v>50</v>
      </c>
      <c r="B5119" t="s">
        <v>51</v>
      </c>
      <c r="C5119" t="s">
        <v>63</v>
      </c>
      <c r="D5119">
        <v>-15995.62</v>
      </c>
      <c r="E5119">
        <v>2022</v>
      </c>
      <c r="F5119" t="s">
        <v>69</v>
      </c>
    </row>
    <row r="5120" spans="1:6" x14ac:dyDescent="0.25">
      <c r="A5120" t="s">
        <v>52</v>
      </c>
      <c r="B5120" t="s">
        <v>53</v>
      </c>
      <c r="C5120" t="s">
        <v>63</v>
      </c>
      <c r="D5120">
        <v>2943.53</v>
      </c>
      <c r="E5120">
        <v>2022</v>
      </c>
      <c r="F5120" t="s">
        <v>69</v>
      </c>
    </row>
    <row r="5121" spans="1:6" x14ac:dyDescent="0.25">
      <c r="A5121" t="s">
        <v>54</v>
      </c>
      <c r="B5121" t="s">
        <v>55</v>
      </c>
      <c r="C5121" t="s">
        <v>63</v>
      </c>
      <c r="D5121">
        <v>2794.97</v>
      </c>
      <c r="E5121">
        <v>2022</v>
      </c>
      <c r="F5121" t="s">
        <v>69</v>
      </c>
    </row>
    <row r="5122" spans="1:6" x14ac:dyDescent="0.25">
      <c r="A5122" t="s">
        <v>56</v>
      </c>
      <c r="B5122" t="s">
        <v>57</v>
      </c>
      <c r="C5122" t="s">
        <v>63</v>
      </c>
      <c r="D5122">
        <v>4124.3900000000003</v>
      </c>
      <c r="E5122">
        <v>2022</v>
      </c>
      <c r="F5122" t="s">
        <v>69</v>
      </c>
    </row>
    <row r="5123" spans="1:6" x14ac:dyDescent="0.25">
      <c r="A5123" t="s">
        <v>58</v>
      </c>
      <c r="B5123" t="s">
        <v>59</v>
      </c>
      <c r="C5123" t="s">
        <v>63</v>
      </c>
      <c r="E5123">
        <v>2022</v>
      </c>
      <c r="F5123" t="s">
        <v>69</v>
      </c>
    </row>
    <row r="5124" spans="1:6" x14ac:dyDescent="0.25">
      <c r="A5124" t="s">
        <v>6</v>
      </c>
      <c r="B5124" t="s">
        <v>7</v>
      </c>
      <c r="C5124" t="s">
        <v>8</v>
      </c>
      <c r="D5124">
        <v>11201.63</v>
      </c>
      <c r="E5124">
        <v>2022</v>
      </c>
      <c r="F5124" t="s">
        <v>69</v>
      </c>
    </row>
    <row r="5125" spans="1:6" x14ac:dyDescent="0.25">
      <c r="A5125" t="s">
        <v>10</v>
      </c>
      <c r="B5125" t="s">
        <v>11</v>
      </c>
      <c r="C5125" t="s">
        <v>8</v>
      </c>
      <c r="D5125">
        <v>5507.46</v>
      </c>
      <c r="E5125">
        <v>2022</v>
      </c>
      <c r="F5125" t="s">
        <v>69</v>
      </c>
    </row>
    <row r="5126" spans="1:6" x14ac:dyDescent="0.25">
      <c r="A5126" t="s">
        <v>12</v>
      </c>
      <c r="B5126" t="s">
        <v>13</v>
      </c>
      <c r="C5126" t="s">
        <v>8</v>
      </c>
      <c r="D5126">
        <v>366.2</v>
      </c>
      <c r="E5126">
        <v>2022</v>
      </c>
      <c r="F5126" t="s">
        <v>69</v>
      </c>
    </row>
    <row r="5127" spans="1:6" x14ac:dyDescent="0.25">
      <c r="A5127" t="s">
        <v>14</v>
      </c>
      <c r="B5127" t="s">
        <v>15</v>
      </c>
      <c r="C5127" t="s">
        <v>8</v>
      </c>
      <c r="E5127">
        <v>2022</v>
      </c>
      <c r="F5127" t="s">
        <v>69</v>
      </c>
    </row>
    <row r="5128" spans="1:6" x14ac:dyDescent="0.25">
      <c r="A5128" t="s">
        <v>16</v>
      </c>
      <c r="B5128" t="s">
        <v>17</v>
      </c>
      <c r="C5128" t="s">
        <v>8</v>
      </c>
      <c r="D5128">
        <v>243.18</v>
      </c>
      <c r="E5128">
        <v>2022</v>
      </c>
      <c r="F5128" t="s">
        <v>69</v>
      </c>
    </row>
    <row r="5129" spans="1:6" x14ac:dyDescent="0.25">
      <c r="A5129" t="s">
        <v>18</v>
      </c>
      <c r="B5129" t="s">
        <v>19</v>
      </c>
      <c r="C5129" t="s">
        <v>8</v>
      </c>
      <c r="D5129">
        <v>38.68</v>
      </c>
      <c r="E5129">
        <v>2022</v>
      </c>
      <c r="F5129" t="s">
        <v>69</v>
      </c>
    </row>
    <row r="5130" spans="1:6" x14ac:dyDescent="0.25">
      <c r="A5130" t="s">
        <v>20</v>
      </c>
      <c r="B5130" t="s">
        <v>21</v>
      </c>
      <c r="C5130" t="s">
        <v>8</v>
      </c>
      <c r="D5130">
        <v>15.12</v>
      </c>
      <c r="E5130">
        <v>2022</v>
      </c>
      <c r="F5130" t="s">
        <v>69</v>
      </c>
    </row>
    <row r="5131" spans="1:6" x14ac:dyDescent="0.25">
      <c r="A5131" t="s">
        <v>22</v>
      </c>
      <c r="B5131" t="s">
        <v>23</v>
      </c>
      <c r="C5131" t="s">
        <v>8</v>
      </c>
      <c r="D5131">
        <v>374.64</v>
      </c>
      <c r="E5131">
        <v>2022</v>
      </c>
      <c r="F5131" t="s">
        <v>69</v>
      </c>
    </row>
    <row r="5132" spans="1:6" x14ac:dyDescent="0.25">
      <c r="A5132" t="s">
        <v>24</v>
      </c>
      <c r="B5132" t="s">
        <v>25</v>
      </c>
      <c r="C5132" t="s">
        <v>8</v>
      </c>
      <c r="D5132">
        <v>441.51</v>
      </c>
      <c r="E5132">
        <v>2022</v>
      </c>
      <c r="F5132" t="s">
        <v>69</v>
      </c>
    </row>
    <row r="5133" spans="1:6" x14ac:dyDescent="0.25">
      <c r="A5133" t="s">
        <v>26</v>
      </c>
      <c r="B5133" t="s">
        <v>27</v>
      </c>
      <c r="C5133" t="s">
        <v>8</v>
      </c>
      <c r="D5133">
        <v>81.900000000000006</v>
      </c>
      <c r="E5133">
        <v>2022</v>
      </c>
      <c r="F5133" t="s">
        <v>69</v>
      </c>
    </row>
    <row r="5134" spans="1:6" x14ac:dyDescent="0.25">
      <c r="A5134" t="s">
        <v>28</v>
      </c>
      <c r="B5134" t="s">
        <v>29</v>
      </c>
      <c r="C5134" t="s">
        <v>8</v>
      </c>
      <c r="E5134">
        <v>2022</v>
      </c>
      <c r="F5134" t="s">
        <v>69</v>
      </c>
    </row>
    <row r="5135" spans="1:6" x14ac:dyDescent="0.25">
      <c r="A5135" t="s">
        <v>30</v>
      </c>
      <c r="B5135" t="s">
        <v>31</v>
      </c>
      <c r="C5135" t="s">
        <v>8</v>
      </c>
      <c r="D5135">
        <v>694.27</v>
      </c>
      <c r="E5135">
        <v>2022</v>
      </c>
      <c r="F5135" t="s">
        <v>69</v>
      </c>
    </row>
    <row r="5136" spans="1:6" x14ac:dyDescent="0.25">
      <c r="A5136" t="s">
        <v>32</v>
      </c>
      <c r="B5136" t="s">
        <v>33</v>
      </c>
      <c r="C5136" t="s">
        <v>8</v>
      </c>
      <c r="D5136">
        <v>251.44</v>
      </c>
      <c r="E5136">
        <v>2022</v>
      </c>
      <c r="F5136" t="s">
        <v>69</v>
      </c>
    </row>
    <row r="5137" spans="1:6" x14ac:dyDescent="0.25">
      <c r="A5137" t="s">
        <v>34</v>
      </c>
      <c r="B5137" t="s">
        <v>35</v>
      </c>
      <c r="C5137" t="s">
        <v>8</v>
      </c>
      <c r="D5137">
        <v>389.38</v>
      </c>
      <c r="E5137">
        <v>2022</v>
      </c>
      <c r="F5137" t="s">
        <v>69</v>
      </c>
    </row>
    <row r="5138" spans="1:6" x14ac:dyDescent="0.25">
      <c r="A5138" t="s">
        <v>36</v>
      </c>
      <c r="B5138" t="s">
        <v>37</v>
      </c>
      <c r="C5138" t="s">
        <v>8</v>
      </c>
      <c r="D5138">
        <v>320.51</v>
      </c>
      <c r="E5138">
        <v>2022</v>
      </c>
      <c r="F5138" t="s">
        <v>69</v>
      </c>
    </row>
    <row r="5139" spans="1:6" x14ac:dyDescent="0.25">
      <c r="A5139" t="s">
        <v>38</v>
      </c>
      <c r="B5139" t="s">
        <v>39</v>
      </c>
      <c r="C5139" t="s">
        <v>8</v>
      </c>
      <c r="D5139">
        <v>134.63</v>
      </c>
      <c r="E5139">
        <v>2022</v>
      </c>
      <c r="F5139" t="s">
        <v>69</v>
      </c>
    </row>
    <row r="5140" spans="1:6" x14ac:dyDescent="0.25">
      <c r="A5140" t="s">
        <v>40</v>
      </c>
      <c r="B5140" t="s">
        <v>41</v>
      </c>
      <c r="C5140" t="s">
        <v>8</v>
      </c>
      <c r="D5140">
        <v>375.73</v>
      </c>
      <c r="E5140">
        <v>2022</v>
      </c>
      <c r="F5140" t="s">
        <v>69</v>
      </c>
    </row>
    <row r="5141" spans="1:6" x14ac:dyDescent="0.25">
      <c r="A5141" t="s">
        <v>42</v>
      </c>
      <c r="B5141" t="s">
        <v>43</v>
      </c>
      <c r="C5141" t="s">
        <v>8</v>
      </c>
      <c r="D5141">
        <v>5.41</v>
      </c>
      <c r="E5141">
        <v>2022</v>
      </c>
      <c r="F5141" t="s">
        <v>69</v>
      </c>
    </row>
    <row r="5142" spans="1:6" x14ac:dyDescent="0.25">
      <c r="A5142" t="s">
        <v>44</v>
      </c>
      <c r="B5142" t="s">
        <v>45</v>
      </c>
      <c r="C5142" t="s">
        <v>8</v>
      </c>
      <c r="D5142">
        <v>200.07</v>
      </c>
      <c r="E5142">
        <v>2022</v>
      </c>
      <c r="F5142" t="s">
        <v>69</v>
      </c>
    </row>
    <row r="5143" spans="1:6" x14ac:dyDescent="0.25">
      <c r="A5143" t="s">
        <v>46</v>
      </c>
      <c r="B5143" t="s">
        <v>47</v>
      </c>
      <c r="C5143" t="s">
        <v>8</v>
      </c>
      <c r="D5143">
        <v>959.97</v>
      </c>
      <c r="E5143">
        <v>2022</v>
      </c>
      <c r="F5143" t="s">
        <v>69</v>
      </c>
    </row>
    <row r="5144" spans="1:6" x14ac:dyDescent="0.25">
      <c r="A5144" t="s">
        <v>48</v>
      </c>
      <c r="B5144" t="s">
        <v>49</v>
      </c>
      <c r="C5144" t="s">
        <v>8</v>
      </c>
      <c r="D5144">
        <v>11.26</v>
      </c>
      <c r="E5144">
        <v>2022</v>
      </c>
      <c r="F5144" t="s">
        <v>69</v>
      </c>
    </row>
    <row r="5145" spans="1:6" x14ac:dyDescent="0.25">
      <c r="A5145" t="s">
        <v>50</v>
      </c>
      <c r="B5145" t="s">
        <v>51</v>
      </c>
      <c r="C5145" t="s">
        <v>8</v>
      </c>
      <c r="D5145">
        <v>11.07</v>
      </c>
      <c r="E5145">
        <v>2022</v>
      </c>
      <c r="F5145" t="s">
        <v>69</v>
      </c>
    </row>
    <row r="5146" spans="1:6" x14ac:dyDescent="0.25">
      <c r="A5146" t="s">
        <v>52</v>
      </c>
      <c r="B5146" t="s">
        <v>53</v>
      </c>
      <c r="C5146" t="s">
        <v>8</v>
      </c>
      <c r="D5146">
        <v>121.35</v>
      </c>
      <c r="E5146">
        <v>2022</v>
      </c>
      <c r="F5146" t="s">
        <v>69</v>
      </c>
    </row>
    <row r="5147" spans="1:6" x14ac:dyDescent="0.25">
      <c r="A5147" t="s">
        <v>54</v>
      </c>
      <c r="B5147" t="s">
        <v>55</v>
      </c>
      <c r="C5147" t="s">
        <v>8</v>
      </c>
      <c r="D5147">
        <v>29.67</v>
      </c>
      <c r="E5147">
        <v>2022</v>
      </c>
      <c r="F5147" t="s">
        <v>69</v>
      </c>
    </row>
    <row r="5148" spans="1:6" x14ac:dyDescent="0.25">
      <c r="A5148" t="s">
        <v>56</v>
      </c>
      <c r="B5148" t="s">
        <v>57</v>
      </c>
      <c r="C5148" t="s">
        <v>8</v>
      </c>
      <c r="D5148">
        <v>336.75</v>
      </c>
      <c r="E5148">
        <v>2022</v>
      </c>
      <c r="F5148" t="s">
        <v>69</v>
      </c>
    </row>
    <row r="5149" spans="1:6" x14ac:dyDescent="0.25">
      <c r="A5149" t="s">
        <v>58</v>
      </c>
      <c r="B5149" t="s">
        <v>59</v>
      </c>
      <c r="C5149" t="s">
        <v>8</v>
      </c>
      <c r="D5149">
        <v>291.43</v>
      </c>
      <c r="E5149">
        <v>2022</v>
      </c>
      <c r="F5149" t="s">
        <v>69</v>
      </c>
    </row>
    <row r="5150" spans="1:6" x14ac:dyDescent="0.25">
      <c r="A5150" t="s">
        <v>6</v>
      </c>
      <c r="B5150" t="s">
        <v>7</v>
      </c>
      <c r="C5150" t="s">
        <v>60</v>
      </c>
      <c r="D5150">
        <v>7549.77</v>
      </c>
      <c r="E5150">
        <v>2022</v>
      </c>
      <c r="F5150" t="s">
        <v>69</v>
      </c>
    </row>
    <row r="5151" spans="1:6" x14ac:dyDescent="0.25">
      <c r="A5151" t="s">
        <v>10</v>
      </c>
      <c r="B5151" t="s">
        <v>11</v>
      </c>
      <c r="C5151" t="s">
        <v>60</v>
      </c>
      <c r="D5151">
        <v>1672.54</v>
      </c>
      <c r="E5151">
        <v>2022</v>
      </c>
      <c r="F5151" t="s">
        <v>69</v>
      </c>
    </row>
    <row r="5152" spans="1:6" x14ac:dyDescent="0.25">
      <c r="A5152" t="s">
        <v>12</v>
      </c>
      <c r="B5152" t="s">
        <v>13</v>
      </c>
      <c r="C5152" t="s">
        <v>60</v>
      </c>
      <c r="D5152">
        <v>186.12</v>
      </c>
      <c r="E5152">
        <v>2022</v>
      </c>
      <c r="F5152" t="s">
        <v>69</v>
      </c>
    </row>
    <row r="5153" spans="1:6" x14ac:dyDescent="0.25">
      <c r="A5153" t="s">
        <v>14</v>
      </c>
      <c r="B5153" t="s">
        <v>15</v>
      </c>
      <c r="C5153" t="s">
        <v>60</v>
      </c>
      <c r="E5153">
        <v>2022</v>
      </c>
      <c r="F5153" t="s">
        <v>69</v>
      </c>
    </row>
    <row r="5154" spans="1:6" x14ac:dyDescent="0.25">
      <c r="A5154" t="s">
        <v>16</v>
      </c>
      <c r="B5154" t="s">
        <v>17</v>
      </c>
      <c r="C5154" t="s">
        <v>60</v>
      </c>
      <c r="D5154">
        <v>262.08</v>
      </c>
      <c r="E5154">
        <v>2022</v>
      </c>
      <c r="F5154" t="s">
        <v>69</v>
      </c>
    </row>
    <row r="5155" spans="1:6" x14ac:dyDescent="0.25">
      <c r="A5155" t="s">
        <v>18</v>
      </c>
      <c r="B5155" t="s">
        <v>19</v>
      </c>
      <c r="C5155" t="s">
        <v>60</v>
      </c>
      <c r="D5155">
        <v>532.16999999999996</v>
      </c>
      <c r="E5155">
        <v>2022</v>
      </c>
      <c r="F5155" t="s">
        <v>69</v>
      </c>
    </row>
    <row r="5156" spans="1:6" x14ac:dyDescent="0.25">
      <c r="A5156" t="s">
        <v>20</v>
      </c>
      <c r="B5156" t="s">
        <v>21</v>
      </c>
      <c r="C5156" t="s">
        <v>60</v>
      </c>
      <c r="D5156">
        <v>112.44</v>
      </c>
      <c r="E5156">
        <v>2022</v>
      </c>
      <c r="F5156" t="s">
        <v>69</v>
      </c>
    </row>
    <row r="5157" spans="1:6" x14ac:dyDescent="0.25">
      <c r="A5157" t="s">
        <v>22</v>
      </c>
      <c r="B5157" t="s">
        <v>23</v>
      </c>
      <c r="C5157" t="s">
        <v>60</v>
      </c>
      <c r="D5157">
        <v>34.06</v>
      </c>
      <c r="E5157">
        <v>2022</v>
      </c>
      <c r="F5157" t="s">
        <v>69</v>
      </c>
    </row>
    <row r="5158" spans="1:6" x14ac:dyDescent="0.25">
      <c r="A5158" t="s">
        <v>24</v>
      </c>
      <c r="B5158" t="s">
        <v>25</v>
      </c>
      <c r="C5158" t="s">
        <v>60</v>
      </c>
      <c r="D5158">
        <v>277.89</v>
      </c>
      <c r="E5158">
        <v>2022</v>
      </c>
      <c r="F5158" t="s">
        <v>69</v>
      </c>
    </row>
    <row r="5159" spans="1:6" x14ac:dyDescent="0.25">
      <c r="A5159" t="s">
        <v>26</v>
      </c>
      <c r="B5159" t="s">
        <v>27</v>
      </c>
      <c r="C5159" t="s">
        <v>60</v>
      </c>
      <c r="D5159">
        <v>162.44999999999999</v>
      </c>
      <c r="E5159">
        <v>2022</v>
      </c>
      <c r="F5159" t="s">
        <v>69</v>
      </c>
    </row>
    <row r="5160" spans="1:6" x14ac:dyDescent="0.25">
      <c r="A5160" t="s">
        <v>28</v>
      </c>
      <c r="B5160" t="s">
        <v>29</v>
      </c>
      <c r="C5160" t="s">
        <v>60</v>
      </c>
      <c r="D5160">
        <v>127</v>
      </c>
      <c r="E5160">
        <v>2022</v>
      </c>
      <c r="F5160" t="s">
        <v>69</v>
      </c>
    </row>
    <row r="5161" spans="1:6" x14ac:dyDescent="0.25">
      <c r="A5161" t="s">
        <v>30</v>
      </c>
      <c r="B5161" t="s">
        <v>31</v>
      </c>
      <c r="C5161" t="s">
        <v>60</v>
      </c>
      <c r="D5161">
        <v>773.36</v>
      </c>
      <c r="E5161">
        <v>2022</v>
      </c>
      <c r="F5161" t="s">
        <v>69</v>
      </c>
    </row>
    <row r="5162" spans="1:6" x14ac:dyDescent="0.25">
      <c r="A5162" t="s">
        <v>32</v>
      </c>
      <c r="B5162" t="s">
        <v>33</v>
      </c>
      <c r="C5162" t="s">
        <v>60</v>
      </c>
      <c r="D5162">
        <v>465.68</v>
      </c>
      <c r="E5162">
        <v>2022</v>
      </c>
      <c r="F5162" t="s">
        <v>69</v>
      </c>
    </row>
    <row r="5163" spans="1:6" x14ac:dyDescent="0.25">
      <c r="A5163" t="s">
        <v>34</v>
      </c>
      <c r="B5163" t="s">
        <v>35</v>
      </c>
      <c r="C5163" t="s">
        <v>60</v>
      </c>
      <c r="D5163">
        <v>683.47</v>
      </c>
      <c r="E5163">
        <v>2022</v>
      </c>
      <c r="F5163" t="s">
        <v>69</v>
      </c>
    </row>
    <row r="5164" spans="1:6" x14ac:dyDescent="0.25">
      <c r="A5164" t="s">
        <v>36</v>
      </c>
      <c r="B5164" t="s">
        <v>37</v>
      </c>
      <c r="C5164" t="s">
        <v>60</v>
      </c>
      <c r="D5164">
        <v>423.56</v>
      </c>
      <c r="E5164">
        <v>2022</v>
      </c>
      <c r="F5164" t="s">
        <v>69</v>
      </c>
    </row>
    <row r="5165" spans="1:6" x14ac:dyDescent="0.25">
      <c r="A5165" t="s">
        <v>38</v>
      </c>
      <c r="B5165" t="s">
        <v>39</v>
      </c>
      <c r="C5165" t="s">
        <v>60</v>
      </c>
      <c r="D5165">
        <v>160.15</v>
      </c>
      <c r="E5165">
        <v>2022</v>
      </c>
      <c r="F5165" t="s">
        <v>69</v>
      </c>
    </row>
    <row r="5166" spans="1:6" x14ac:dyDescent="0.25">
      <c r="A5166" t="s">
        <v>40</v>
      </c>
      <c r="B5166" t="s">
        <v>41</v>
      </c>
      <c r="C5166" t="s">
        <v>60</v>
      </c>
      <c r="D5166">
        <v>317.27999999999997</v>
      </c>
      <c r="E5166">
        <v>2022</v>
      </c>
      <c r="F5166" t="s">
        <v>69</v>
      </c>
    </row>
    <row r="5167" spans="1:6" x14ac:dyDescent="0.25">
      <c r="A5167" t="s">
        <v>42</v>
      </c>
      <c r="B5167" t="s">
        <v>43</v>
      </c>
      <c r="C5167" t="s">
        <v>60</v>
      </c>
      <c r="E5167">
        <v>2022</v>
      </c>
      <c r="F5167" t="s">
        <v>69</v>
      </c>
    </row>
    <row r="5168" spans="1:6" x14ac:dyDescent="0.25">
      <c r="A5168" t="s">
        <v>44</v>
      </c>
      <c r="B5168" t="s">
        <v>45</v>
      </c>
      <c r="C5168" t="s">
        <v>60</v>
      </c>
      <c r="D5168">
        <v>262.77</v>
      </c>
      <c r="E5168">
        <v>2022</v>
      </c>
      <c r="F5168" t="s">
        <v>69</v>
      </c>
    </row>
    <row r="5169" spans="1:6" x14ac:dyDescent="0.25">
      <c r="A5169" t="s">
        <v>46</v>
      </c>
      <c r="B5169" t="s">
        <v>47</v>
      </c>
      <c r="C5169" t="s">
        <v>60</v>
      </c>
      <c r="D5169">
        <v>189.62</v>
      </c>
      <c r="E5169">
        <v>2022</v>
      </c>
      <c r="F5169" t="s">
        <v>69</v>
      </c>
    </row>
    <row r="5170" spans="1:6" x14ac:dyDescent="0.25">
      <c r="A5170" t="s">
        <v>48</v>
      </c>
      <c r="B5170" t="s">
        <v>49</v>
      </c>
      <c r="C5170" t="s">
        <v>60</v>
      </c>
      <c r="D5170">
        <v>119.04</v>
      </c>
      <c r="E5170">
        <v>2022</v>
      </c>
      <c r="F5170" t="s">
        <v>69</v>
      </c>
    </row>
    <row r="5171" spans="1:6" x14ac:dyDescent="0.25">
      <c r="A5171" t="s">
        <v>50</v>
      </c>
      <c r="B5171" t="s">
        <v>51</v>
      </c>
      <c r="C5171" t="s">
        <v>60</v>
      </c>
      <c r="D5171">
        <v>70.319999999999993</v>
      </c>
      <c r="E5171">
        <v>2022</v>
      </c>
      <c r="F5171" t="s">
        <v>69</v>
      </c>
    </row>
    <row r="5172" spans="1:6" x14ac:dyDescent="0.25">
      <c r="A5172" t="s">
        <v>52</v>
      </c>
      <c r="B5172" t="s">
        <v>53</v>
      </c>
      <c r="C5172" t="s">
        <v>60</v>
      </c>
      <c r="D5172">
        <v>150.36000000000001</v>
      </c>
      <c r="E5172">
        <v>2022</v>
      </c>
      <c r="F5172" t="s">
        <v>69</v>
      </c>
    </row>
    <row r="5173" spans="1:6" x14ac:dyDescent="0.25">
      <c r="A5173" t="s">
        <v>54</v>
      </c>
      <c r="B5173" t="s">
        <v>55</v>
      </c>
      <c r="C5173" t="s">
        <v>60</v>
      </c>
      <c r="D5173">
        <v>567.41</v>
      </c>
      <c r="E5173">
        <v>2022</v>
      </c>
      <c r="F5173" t="s">
        <v>69</v>
      </c>
    </row>
    <row r="5174" spans="1:6" x14ac:dyDescent="0.25">
      <c r="A5174" t="s">
        <v>56</v>
      </c>
      <c r="B5174" t="s">
        <v>57</v>
      </c>
      <c r="C5174" t="s">
        <v>60</v>
      </c>
      <c r="E5174">
        <v>2022</v>
      </c>
      <c r="F5174" t="s">
        <v>69</v>
      </c>
    </row>
    <row r="5175" spans="1:6" x14ac:dyDescent="0.25">
      <c r="A5175" t="s">
        <v>58</v>
      </c>
      <c r="B5175" t="s">
        <v>59</v>
      </c>
      <c r="C5175" t="s">
        <v>60</v>
      </c>
      <c r="E5175">
        <v>2022</v>
      </c>
      <c r="F5175" t="s">
        <v>69</v>
      </c>
    </row>
    <row r="5176" spans="1:6" x14ac:dyDescent="0.25">
      <c r="A5176" t="s">
        <v>6</v>
      </c>
      <c r="B5176" t="s">
        <v>7</v>
      </c>
      <c r="C5176" t="s">
        <v>61</v>
      </c>
      <c r="D5176">
        <v>4854.8900000000003</v>
      </c>
      <c r="E5176">
        <v>2022</v>
      </c>
      <c r="F5176" t="s">
        <v>69</v>
      </c>
    </row>
    <row r="5177" spans="1:6" x14ac:dyDescent="0.25">
      <c r="A5177" t="s">
        <v>10</v>
      </c>
      <c r="B5177" t="s">
        <v>11</v>
      </c>
      <c r="C5177" t="s">
        <v>61</v>
      </c>
      <c r="D5177">
        <v>2108.75</v>
      </c>
      <c r="E5177">
        <v>2022</v>
      </c>
      <c r="F5177" t="s">
        <v>69</v>
      </c>
    </row>
    <row r="5178" spans="1:6" x14ac:dyDescent="0.25">
      <c r="A5178" t="s">
        <v>12</v>
      </c>
      <c r="B5178" t="s">
        <v>13</v>
      </c>
      <c r="C5178" t="s">
        <v>61</v>
      </c>
      <c r="D5178">
        <v>166.21</v>
      </c>
      <c r="E5178">
        <v>2022</v>
      </c>
      <c r="F5178" t="s">
        <v>69</v>
      </c>
    </row>
    <row r="5179" spans="1:6" x14ac:dyDescent="0.25">
      <c r="A5179" t="s">
        <v>14</v>
      </c>
      <c r="B5179" t="s">
        <v>15</v>
      </c>
      <c r="C5179" t="s">
        <v>61</v>
      </c>
      <c r="E5179">
        <v>2022</v>
      </c>
      <c r="F5179" t="s">
        <v>69</v>
      </c>
    </row>
    <row r="5180" spans="1:6" x14ac:dyDescent="0.25">
      <c r="A5180" t="s">
        <v>16</v>
      </c>
      <c r="B5180" t="s">
        <v>17</v>
      </c>
      <c r="C5180" t="s">
        <v>61</v>
      </c>
      <c r="D5180">
        <v>162.97999999999999</v>
      </c>
      <c r="E5180">
        <v>2022</v>
      </c>
      <c r="F5180" t="s">
        <v>69</v>
      </c>
    </row>
    <row r="5181" spans="1:6" x14ac:dyDescent="0.25">
      <c r="A5181" t="s">
        <v>18</v>
      </c>
      <c r="B5181" t="s">
        <v>19</v>
      </c>
      <c r="C5181" t="s">
        <v>61</v>
      </c>
      <c r="D5181">
        <v>52.45</v>
      </c>
      <c r="E5181">
        <v>2022</v>
      </c>
      <c r="F5181" t="s">
        <v>69</v>
      </c>
    </row>
    <row r="5182" spans="1:6" x14ac:dyDescent="0.25">
      <c r="A5182" t="s">
        <v>20</v>
      </c>
      <c r="B5182" t="s">
        <v>21</v>
      </c>
      <c r="C5182" t="s">
        <v>61</v>
      </c>
      <c r="D5182">
        <v>25.98</v>
      </c>
      <c r="E5182">
        <v>2022</v>
      </c>
      <c r="F5182" t="s">
        <v>69</v>
      </c>
    </row>
    <row r="5183" spans="1:6" x14ac:dyDescent="0.25">
      <c r="A5183" t="s">
        <v>22</v>
      </c>
      <c r="B5183" t="s">
        <v>23</v>
      </c>
      <c r="C5183" t="s">
        <v>61</v>
      </c>
      <c r="D5183">
        <v>68.53</v>
      </c>
      <c r="E5183">
        <v>2022</v>
      </c>
      <c r="F5183" t="s">
        <v>69</v>
      </c>
    </row>
    <row r="5184" spans="1:6" x14ac:dyDescent="0.25">
      <c r="A5184" t="s">
        <v>24</v>
      </c>
      <c r="B5184" t="s">
        <v>25</v>
      </c>
      <c r="C5184" t="s">
        <v>61</v>
      </c>
      <c r="D5184">
        <v>214.39</v>
      </c>
      <c r="E5184">
        <v>2022</v>
      </c>
      <c r="F5184" t="s">
        <v>69</v>
      </c>
    </row>
    <row r="5185" spans="1:6" x14ac:dyDescent="0.25">
      <c r="A5185" t="s">
        <v>26</v>
      </c>
      <c r="B5185" t="s">
        <v>27</v>
      </c>
      <c r="C5185" t="s">
        <v>61</v>
      </c>
      <c r="D5185">
        <v>62.16</v>
      </c>
      <c r="E5185">
        <v>2022</v>
      </c>
      <c r="F5185" t="s">
        <v>69</v>
      </c>
    </row>
    <row r="5186" spans="1:6" x14ac:dyDescent="0.25">
      <c r="A5186" t="s">
        <v>28</v>
      </c>
      <c r="B5186" t="s">
        <v>29</v>
      </c>
      <c r="C5186" t="s">
        <v>61</v>
      </c>
      <c r="D5186">
        <v>363.54</v>
      </c>
      <c r="E5186">
        <v>2022</v>
      </c>
      <c r="F5186" t="s">
        <v>69</v>
      </c>
    </row>
    <row r="5187" spans="1:6" x14ac:dyDescent="0.25">
      <c r="A5187" t="s">
        <v>30</v>
      </c>
      <c r="B5187" t="s">
        <v>31</v>
      </c>
      <c r="C5187" t="s">
        <v>61</v>
      </c>
      <c r="D5187">
        <v>264.49</v>
      </c>
      <c r="E5187">
        <v>2022</v>
      </c>
      <c r="F5187" t="s">
        <v>69</v>
      </c>
    </row>
    <row r="5188" spans="1:6" x14ac:dyDescent="0.25">
      <c r="A5188" t="s">
        <v>32</v>
      </c>
      <c r="B5188" t="s">
        <v>33</v>
      </c>
      <c r="C5188" t="s">
        <v>61</v>
      </c>
      <c r="D5188">
        <v>102.46</v>
      </c>
      <c r="E5188">
        <v>2022</v>
      </c>
      <c r="F5188" t="s">
        <v>69</v>
      </c>
    </row>
    <row r="5189" spans="1:6" x14ac:dyDescent="0.25">
      <c r="A5189" t="s">
        <v>34</v>
      </c>
      <c r="B5189" t="s">
        <v>35</v>
      </c>
      <c r="C5189" t="s">
        <v>61</v>
      </c>
      <c r="D5189">
        <v>310.43</v>
      </c>
      <c r="E5189">
        <v>2022</v>
      </c>
      <c r="F5189" t="s">
        <v>69</v>
      </c>
    </row>
    <row r="5190" spans="1:6" x14ac:dyDescent="0.25">
      <c r="A5190" t="s">
        <v>36</v>
      </c>
      <c r="B5190" t="s">
        <v>37</v>
      </c>
      <c r="C5190" t="s">
        <v>61</v>
      </c>
      <c r="D5190">
        <v>193.24</v>
      </c>
      <c r="E5190">
        <v>2022</v>
      </c>
      <c r="F5190" t="s">
        <v>69</v>
      </c>
    </row>
    <row r="5191" spans="1:6" x14ac:dyDescent="0.25">
      <c r="A5191" t="s">
        <v>38</v>
      </c>
      <c r="B5191" t="s">
        <v>39</v>
      </c>
      <c r="C5191" t="s">
        <v>61</v>
      </c>
      <c r="D5191">
        <v>138.80000000000001</v>
      </c>
      <c r="E5191">
        <v>2022</v>
      </c>
      <c r="F5191" t="s">
        <v>69</v>
      </c>
    </row>
    <row r="5192" spans="1:6" x14ac:dyDescent="0.25">
      <c r="A5192" t="s">
        <v>40</v>
      </c>
      <c r="B5192" t="s">
        <v>41</v>
      </c>
      <c r="C5192" t="s">
        <v>61</v>
      </c>
      <c r="D5192">
        <v>129.79</v>
      </c>
      <c r="E5192">
        <v>2022</v>
      </c>
      <c r="F5192" t="s">
        <v>69</v>
      </c>
    </row>
    <row r="5193" spans="1:6" x14ac:dyDescent="0.25">
      <c r="A5193" t="s">
        <v>42</v>
      </c>
      <c r="B5193" t="s">
        <v>43</v>
      </c>
      <c r="C5193" t="s">
        <v>61</v>
      </c>
      <c r="D5193">
        <v>20.07</v>
      </c>
      <c r="E5193">
        <v>2022</v>
      </c>
      <c r="F5193" t="s">
        <v>69</v>
      </c>
    </row>
    <row r="5194" spans="1:6" x14ac:dyDescent="0.25">
      <c r="A5194" t="s">
        <v>44</v>
      </c>
      <c r="B5194" t="s">
        <v>45</v>
      </c>
      <c r="C5194" t="s">
        <v>61</v>
      </c>
      <c r="D5194">
        <v>85.47</v>
      </c>
      <c r="E5194">
        <v>2022</v>
      </c>
      <c r="F5194" t="s">
        <v>69</v>
      </c>
    </row>
    <row r="5195" spans="1:6" x14ac:dyDescent="0.25">
      <c r="A5195" t="s">
        <v>46</v>
      </c>
      <c r="B5195" t="s">
        <v>47</v>
      </c>
      <c r="C5195" t="s">
        <v>61</v>
      </c>
      <c r="D5195">
        <v>35.119999999999997</v>
      </c>
      <c r="E5195">
        <v>2022</v>
      </c>
      <c r="F5195" t="s">
        <v>69</v>
      </c>
    </row>
    <row r="5196" spans="1:6" x14ac:dyDescent="0.25">
      <c r="A5196" t="s">
        <v>48</v>
      </c>
      <c r="B5196" t="s">
        <v>49</v>
      </c>
      <c r="C5196" t="s">
        <v>61</v>
      </c>
      <c r="D5196">
        <v>27.38</v>
      </c>
      <c r="E5196">
        <v>2022</v>
      </c>
      <c r="F5196" t="s">
        <v>69</v>
      </c>
    </row>
    <row r="5197" spans="1:6" x14ac:dyDescent="0.25">
      <c r="A5197" t="s">
        <v>50</v>
      </c>
      <c r="B5197" t="s">
        <v>51</v>
      </c>
      <c r="C5197" t="s">
        <v>61</v>
      </c>
      <c r="D5197">
        <v>25.77</v>
      </c>
      <c r="E5197">
        <v>2022</v>
      </c>
      <c r="F5197" t="s">
        <v>69</v>
      </c>
    </row>
    <row r="5198" spans="1:6" x14ac:dyDescent="0.25">
      <c r="A5198" t="s">
        <v>52</v>
      </c>
      <c r="B5198" t="s">
        <v>53</v>
      </c>
      <c r="C5198" t="s">
        <v>61</v>
      </c>
      <c r="D5198">
        <v>90.39</v>
      </c>
      <c r="E5198">
        <v>2022</v>
      </c>
      <c r="F5198" t="s">
        <v>69</v>
      </c>
    </row>
    <row r="5199" spans="1:6" x14ac:dyDescent="0.25">
      <c r="A5199" t="s">
        <v>54</v>
      </c>
      <c r="B5199" t="s">
        <v>55</v>
      </c>
      <c r="C5199" t="s">
        <v>61</v>
      </c>
      <c r="D5199">
        <v>3.44</v>
      </c>
      <c r="E5199">
        <v>2022</v>
      </c>
      <c r="F5199" t="s">
        <v>69</v>
      </c>
    </row>
    <row r="5200" spans="1:6" x14ac:dyDescent="0.25">
      <c r="A5200" t="s">
        <v>56</v>
      </c>
      <c r="B5200" t="s">
        <v>57</v>
      </c>
      <c r="C5200" t="s">
        <v>61</v>
      </c>
      <c r="D5200">
        <v>203.05</v>
      </c>
      <c r="E5200">
        <v>2022</v>
      </c>
      <c r="F5200" t="s">
        <v>69</v>
      </c>
    </row>
    <row r="5201" spans="1:6" x14ac:dyDescent="0.25">
      <c r="A5201" t="s">
        <v>58</v>
      </c>
      <c r="B5201" t="s">
        <v>59</v>
      </c>
      <c r="C5201" t="s">
        <v>61</v>
      </c>
      <c r="E5201">
        <v>2022</v>
      </c>
      <c r="F5201" t="s">
        <v>69</v>
      </c>
    </row>
    <row r="5202" spans="1:6" x14ac:dyDescent="0.25">
      <c r="A5202" t="s">
        <v>6</v>
      </c>
      <c r="B5202" t="s">
        <v>7</v>
      </c>
      <c r="C5202" t="s">
        <v>65</v>
      </c>
      <c r="D5202">
        <v>54465.42</v>
      </c>
      <c r="E5202">
        <v>2022</v>
      </c>
      <c r="F5202" t="s">
        <v>69</v>
      </c>
    </row>
    <row r="5203" spans="1:6" x14ac:dyDescent="0.25">
      <c r="A5203" t="s">
        <v>10</v>
      </c>
      <c r="B5203" t="s">
        <v>11</v>
      </c>
      <c r="C5203" t="s">
        <v>65</v>
      </c>
      <c r="D5203">
        <v>6101.3</v>
      </c>
      <c r="E5203">
        <v>2022</v>
      </c>
      <c r="F5203" t="s">
        <v>69</v>
      </c>
    </row>
    <row r="5204" spans="1:6" x14ac:dyDescent="0.25">
      <c r="A5204" t="s">
        <v>12</v>
      </c>
      <c r="B5204" t="s">
        <v>13</v>
      </c>
      <c r="C5204" t="s">
        <v>65</v>
      </c>
      <c r="D5204">
        <v>1368.22</v>
      </c>
      <c r="E5204">
        <v>2022</v>
      </c>
      <c r="F5204" t="s">
        <v>69</v>
      </c>
    </row>
    <row r="5205" spans="1:6" x14ac:dyDescent="0.25">
      <c r="A5205" t="s">
        <v>14</v>
      </c>
      <c r="B5205" t="s">
        <v>15</v>
      </c>
      <c r="C5205" t="s">
        <v>65</v>
      </c>
      <c r="D5205">
        <v>105.4</v>
      </c>
      <c r="E5205">
        <v>2022</v>
      </c>
      <c r="F5205" t="s">
        <v>69</v>
      </c>
    </row>
    <row r="5206" spans="1:6" x14ac:dyDescent="0.25">
      <c r="A5206" t="s">
        <v>16</v>
      </c>
      <c r="B5206" t="s">
        <v>17</v>
      </c>
      <c r="C5206" t="s">
        <v>65</v>
      </c>
      <c r="D5206">
        <v>3719.61</v>
      </c>
      <c r="E5206">
        <v>2022</v>
      </c>
      <c r="F5206" t="s">
        <v>69</v>
      </c>
    </row>
    <row r="5207" spans="1:6" x14ac:dyDescent="0.25">
      <c r="A5207" t="s">
        <v>18</v>
      </c>
      <c r="B5207" t="s">
        <v>19</v>
      </c>
      <c r="C5207" t="s">
        <v>65</v>
      </c>
      <c r="D5207">
        <v>1222.57</v>
      </c>
      <c r="E5207">
        <v>2022</v>
      </c>
      <c r="F5207" t="s">
        <v>69</v>
      </c>
    </row>
    <row r="5208" spans="1:6" x14ac:dyDescent="0.25">
      <c r="A5208" t="s">
        <v>20</v>
      </c>
      <c r="B5208" t="s">
        <v>21</v>
      </c>
      <c r="C5208" t="s">
        <v>65</v>
      </c>
      <c r="D5208">
        <v>804.67</v>
      </c>
      <c r="E5208">
        <v>2022</v>
      </c>
      <c r="F5208" t="s">
        <v>69</v>
      </c>
    </row>
    <row r="5209" spans="1:6" x14ac:dyDescent="0.25">
      <c r="A5209" t="s">
        <v>22</v>
      </c>
      <c r="B5209" t="s">
        <v>23</v>
      </c>
      <c r="C5209" t="s">
        <v>65</v>
      </c>
      <c r="D5209">
        <v>594.57000000000005</v>
      </c>
      <c r="E5209">
        <v>2022</v>
      </c>
      <c r="F5209" t="s">
        <v>69</v>
      </c>
    </row>
    <row r="5210" spans="1:6" x14ac:dyDescent="0.25">
      <c r="A5210" t="s">
        <v>24</v>
      </c>
      <c r="B5210" t="s">
        <v>25</v>
      </c>
      <c r="C5210" t="s">
        <v>65</v>
      </c>
      <c r="D5210">
        <v>1356.35</v>
      </c>
      <c r="E5210">
        <v>2022</v>
      </c>
      <c r="F5210" t="s">
        <v>69</v>
      </c>
    </row>
    <row r="5211" spans="1:6" x14ac:dyDescent="0.25">
      <c r="A5211" t="s">
        <v>26</v>
      </c>
      <c r="B5211" t="s">
        <v>27</v>
      </c>
      <c r="C5211" t="s">
        <v>65</v>
      </c>
      <c r="D5211">
        <v>150.47</v>
      </c>
      <c r="E5211">
        <v>2022</v>
      </c>
      <c r="F5211" t="s">
        <v>69</v>
      </c>
    </row>
    <row r="5212" spans="1:6" x14ac:dyDescent="0.25">
      <c r="A5212" t="s">
        <v>28</v>
      </c>
      <c r="B5212" t="s">
        <v>29</v>
      </c>
      <c r="C5212" t="s">
        <v>65</v>
      </c>
      <c r="D5212">
        <v>629.16999999999996</v>
      </c>
      <c r="E5212">
        <v>2022</v>
      </c>
      <c r="F5212" t="s">
        <v>69</v>
      </c>
    </row>
    <row r="5213" spans="1:6" x14ac:dyDescent="0.25">
      <c r="A5213" t="s">
        <v>30</v>
      </c>
      <c r="B5213" t="s">
        <v>31</v>
      </c>
      <c r="C5213" t="s">
        <v>65</v>
      </c>
      <c r="D5213">
        <v>3367.02</v>
      </c>
      <c r="E5213">
        <v>2022</v>
      </c>
      <c r="F5213" t="s">
        <v>69</v>
      </c>
    </row>
    <row r="5214" spans="1:6" x14ac:dyDescent="0.25">
      <c r="A5214" t="s">
        <v>32</v>
      </c>
      <c r="B5214" t="s">
        <v>33</v>
      </c>
      <c r="C5214" t="s">
        <v>65</v>
      </c>
      <c r="D5214">
        <v>1168.47</v>
      </c>
      <c r="E5214">
        <v>2022</v>
      </c>
      <c r="F5214" t="s">
        <v>69</v>
      </c>
    </row>
    <row r="5215" spans="1:6" x14ac:dyDescent="0.25">
      <c r="A5215" t="s">
        <v>34</v>
      </c>
      <c r="B5215" t="s">
        <v>35</v>
      </c>
      <c r="C5215" t="s">
        <v>65</v>
      </c>
      <c r="D5215">
        <v>3530.89</v>
      </c>
      <c r="E5215">
        <v>2022</v>
      </c>
      <c r="F5215" t="s">
        <v>69</v>
      </c>
    </row>
    <row r="5216" spans="1:6" x14ac:dyDescent="0.25">
      <c r="A5216" t="s">
        <v>36</v>
      </c>
      <c r="B5216" t="s">
        <v>37</v>
      </c>
      <c r="C5216" t="s">
        <v>65</v>
      </c>
      <c r="D5216">
        <v>2971.78</v>
      </c>
      <c r="E5216">
        <v>2022</v>
      </c>
      <c r="F5216" t="s">
        <v>69</v>
      </c>
    </row>
    <row r="5217" spans="1:6" x14ac:dyDescent="0.25">
      <c r="A5217" t="s">
        <v>38</v>
      </c>
      <c r="B5217" t="s">
        <v>39</v>
      </c>
      <c r="C5217" t="s">
        <v>65</v>
      </c>
      <c r="D5217">
        <v>2571.4299999999998</v>
      </c>
      <c r="E5217">
        <v>2022</v>
      </c>
      <c r="F5217" t="s">
        <v>69</v>
      </c>
    </row>
    <row r="5218" spans="1:6" x14ac:dyDescent="0.25">
      <c r="A5218" t="s">
        <v>40</v>
      </c>
      <c r="B5218" t="s">
        <v>41</v>
      </c>
      <c r="C5218" t="s">
        <v>65</v>
      </c>
      <c r="D5218">
        <v>3647.45</v>
      </c>
      <c r="E5218">
        <v>2022</v>
      </c>
      <c r="F5218" t="s">
        <v>69</v>
      </c>
    </row>
    <row r="5219" spans="1:6" x14ac:dyDescent="0.25">
      <c r="A5219" t="s">
        <v>42</v>
      </c>
      <c r="B5219" t="s">
        <v>43</v>
      </c>
      <c r="C5219" t="s">
        <v>65</v>
      </c>
      <c r="D5219">
        <v>4842.3900000000003</v>
      </c>
      <c r="E5219">
        <v>2022</v>
      </c>
      <c r="F5219" t="s">
        <v>69</v>
      </c>
    </row>
    <row r="5220" spans="1:6" x14ac:dyDescent="0.25">
      <c r="A5220" t="s">
        <v>44</v>
      </c>
      <c r="B5220" t="s">
        <v>45</v>
      </c>
      <c r="C5220" t="s">
        <v>65</v>
      </c>
      <c r="D5220">
        <v>6116.77</v>
      </c>
      <c r="E5220">
        <v>2022</v>
      </c>
      <c r="F5220" t="s">
        <v>69</v>
      </c>
    </row>
    <row r="5221" spans="1:6" x14ac:dyDescent="0.25">
      <c r="A5221" t="s">
        <v>46</v>
      </c>
      <c r="B5221" t="s">
        <v>47</v>
      </c>
      <c r="C5221" t="s">
        <v>65</v>
      </c>
      <c r="D5221">
        <v>6702.49</v>
      </c>
      <c r="E5221">
        <v>2022</v>
      </c>
      <c r="F5221" t="s">
        <v>69</v>
      </c>
    </row>
    <row r="5222" spans="1:6" x14ac:dyDescent="0.25">
      <c r="A5222" t="s">
        <v>48</v>
      </c>
      <c r="B5222" t="s">
        <v>49</v>
      </c>
      <c r="C5222" t="s">
        <v>65</v>
      </c>
      <c r="D5222">
        <v>2579.0700000000002</v>
      </c>
      <c r="E5222">
        <v>2022</v>
      </c>
      <c r="F5222" t="s">
        <v>69</v>
      </c>
    </row>
    <row r="5223" spans="1:6" x14ac:dyDescent="0.25">
      <c r="A5223" t="s">
        <v>50</v>
      </c>
      <c r="B5223" t="s">
        <v>51</v>
      </c>
      <c r="C5223" t="s">
        <v>65</v>
      </c>
      <c r="D5223">
        <v>297.64</v>
      </c>
      <c r="E5223">
        <v>2022</v>
      </c>
      <c r="F5223" t="s">
        <v>69</v>
      </c>
    </row>
    <row r="5224" spans="1:6" x14ac:dyDescent="0.25">
      <c r="A5224" t="s">
        <v>52</v>
      </c>
      <c r="B5224" t="s">
        <v>53</v>
      </c>
      <c r="C5224" t="s">
        <v>65</v>
      </c>
      <c r="D5224">
        <v>535.84</v>
      </c>
      <c r="E5224">
        <v>2022</v>
      </c>
      <c r="F5224" t="s">
        <v>69</v>
      </c>
    </row>
    <row r="5225" spans="1:6" x14ac:dyDescent="0.25">
      <c r="A5225" t="s">
        <v>54</v>
      </c>
      <c r="B5225" t="s">
        <v>55</v>
      </c>
      <c r="C5225" t="s">
        <v>65</v>
      </c>
      <c r="D5225">
        <v>81.849999999999994</v>
      </c>
      <c r="E5225">
        <v>2022</v>
      </c>
      <c r="F5225" t="s">
        <v>69</v>
      </c>
    </row>
    <row r="5226" spans="1:6" x14ac:dyDescent="0.25">
      <c r="A5226" t="s">
        <v>56</v>
      </c>
      <c r="B5226" t="s">
        <v>57</v>
      </c>
      <c r="C5226" t="s">
        <v>65</v>
      </c>
      <c r="E5226">
        <v>2022</v>
      </c>
      <c r="F5226" t="s">
        <v>69</v>
      </c>
    </row>
    <row r="5227" spans="1:6" x14ac:dyDescent="0.25">
      <c r="A5227" t="s">
        <v>58</v>
      </c>
      <c r="B5227" t="s">
        <v>59</v>
      </c>
      <c r="C5227" t="s">
        <v>65</v>
      </c>
      <c r="E5227">
        <v>2022</v>
      </c>
      <c r="F5227" t="s">
        <v>69</v>
      </c>
    </row>
    <row r="5228" spans="1:6" x14ac:dyDescent="0.25">
      <c r="A5228" t="s">
        <v>6</v>
      </c>
      <c r="B5228" t="s">
        <v>7</v>
      </c>
      <c r="C5228" t="s">
        <v>62</v>
      </c>
      <c r="E5228">
        <v>2022</v>
      </c>
      <c r="F5228" t="s">
        <v>69</v>
      </c>
    </row>
    <row r="5229" spans="1:6" x14ac:dyDescent="0.25">
      <c r="A5229" t="s">
        <v>10</v>
      </c>
      <c r="B5229" t="s">
        <v>11</v>
      </c>
      <c r="C5229" t="s">
        <v>62</v>
      </c>
      <c r="E5229">
        <v>2022</v>
      </c>
      <c r="F5229" t="s">
        <v>69</v>
      </c>
    </row>
    <row r="5230" spans="1:6" x14ac:dyDescent="0.25">
      <c r="A5230" t="s">
        <v>12</v>
      </c>
      <c r="B5230" t="s">
        <v>13</v>
      </c>
      <c r="C5230" t="s">
        <v>62</v>
      </c>
      <c r="E5230">
        <v>2022</v>
      </c>
      <c r="F5230" t="s">
        <v>69</v>
      </c>
    </row>
    <row r="5231" spans="1:6" x14ac:dyDescent="0.25">
      <c r="A5231" t="s">
        <v>14</v>
      </c>
      <c r="B5231" t="s">
        <v>15</v>
      </c>
      <c r="C5231" t="s">
        <v>62</v>
      </c>
      <c r="E5231">
        <v>2022</v>
      </c>
      <c r="F5231" t="s">
        <v>69</v>
      </c>
    </row>
    <row r="5232" spans="1:6" x14ac:dyDescent="0.25">
      <c r="A5232" t="s">
        <v>16</v>
      </c>
      <c r="B5232" t="s">
        <v>17</v>
      </c>
      <c r="C5232" t="s">
        <v>62</v>
      </c>
      <c r="E5232">
        <v>2022</v>
      </c>
      <c r="F5232" t="s">
        <v>69</v>
      </c>
    </row>
    <row r="5233" spans="1:6" x14ac:dyDescent="0.25">
      <c r="A5233" t="s">
        <v>18</v>
      </c>
      <c r="B5233" t="s">
        <v>19</v>
      </c>
      <c r="C5233" t="s">
        <v>62</v>
      </c>
      <c r="E5233">
        <v>2022</v>
      </c>
      <c r="F5233" t="s">
        <v>69</v>
      </c>
    </row>
    <row r="5234" spans="1:6" x14ac:dyDescent="0.25">
      <c r="A5234" t="s">
        <v>20</v>
      </c>
      <c r="B5234" t="s">
        <v>21</v>
      </c>
      <c r="C5234" t="s">
        <v>62</v>
      </c>
      <c r="E5234">
        <v>2022</v>
      </c>
      <c r="F5234" t="s">
        <v>69</v>
      </c>
    </row>
    <row r="5235" spans="1:6" x14ac:dyDescent="0.25">
      <c r="A5235" t="s">
        <v>22</v>
      </c>
      <c r="B5235" t="s">
        <v>23</v>
      </c>
      <c r="C5235" t="s">
        <v>62</v>
      </c>
      <c r="E5235">
        <v>2022</v>
      </c>
      <c r="F5235" t="s">
        <v>69</v>
      </c>
    </row>
    <row r="5236" spans="1:6" x14ac:dyDescent="0.25">
      <c r="A5236" t="s">
        <v>24</v>
      </c>
      <c r="B5236" t="s">
        <v>25</v>
      </c>
      <c r="C5236" t="s">
        <v>62</v>
      </c>
      <c r="E5236">
        <v>2022</v>
      </c>
      <c r="F5236" t="s">
        <v>69</v>
      </c>
    </row>
    <row r="5237" spans="1:6" x14ac:dyDescent="0.25">
      <c r="A5237" t="s">
        <v>26</v>
      </c>
      <c r="B5237" t="s">
        <v>27</v>
      </c>
      <c r="C5237" t="s">
        <v>62</v>
      </c>
      <c r="E5237">
        <v>2022</v>
      </c>
      <c r="F5237" t="s">
        <v>69</v>
      </c>
    </row>
    <row r="5238" spans="1:6" x14ac:dyDescent="0.25">
      <c r="A5238" t="s">
        <v>28</v>
      </c>
      <c r="B5238" t="s">
        <v>29</v>
      </c>
      <c r="C5238" t="s">
        <v>62</v>
      </c>
      <c r="E5238">
        <v>2022</v>
      </c>
      <c r="F5238" t="s">
        <v>69</v>
      </c>
    </row>
    <row r="5239" spans="1:6" x14ac:dyDescent="0.25">
      <c r="A5239" t="s">
        <v>30</v>
      </c>
      <c r="B5239" t="s">
        <v>31</v>
      </c>
      <c r="C5239" t="s">
        <v>62</v>
      </c>
      <c r="E5239">
        <v>2022</v>
      </c>
      <c r="F5239" t="s">
        <v>69</v>
      </c>
    </row>
    <row r="5240" spans="1:6" x14ac:dyDescent="0.25">
      <c r="A5240" t="s">
        <v>32</v>
      </c>
      <c r="B5240" t="s">
        <v>33</v>
      </c>
      <c r="C5240" t="s">
        <v>62</v>
      </c>
      <c r="E5240">
        <v>2022</v>
      </c>
      <c r="F5240" t="s">
        <v>69</v>
      </c>
    </row>
    <row r="5241" spans="1:6" x14ac:dyDescent="0.25">
      <c r="A5241" t="s">
        <v>34</v>
      </c>
      <c r="B5241" t="s">
        <v>35</v>
      </c>
      <c r="C5241" t="s">
        <v>62</v>
      </c>
      <c r="E5241">
        <v>2022</v>
      </c>
      <c r="F5241" t="s">
        <v>69</v>
      </c>
    </row>
    <row r="5242" spans="1:6" x14ac:dyDescent="0.25">
      <c r="A5242" t="s">
        <v>36</v>
      </c>
      <c r="B5242" t="s">
        <v>37</v>
      </c>
      <c r="C5242" t="s">
        <v>62</v>
      </c>
      <c r="E5242">
        <v>2022</v>
      </c>
      <c r="F5242" t="s">
        <v>69</v>
      </c>
    </row>
    <row r="5243" spans="1:6" x14ac:dyDescent="0.25">
      <c r="A5243" t="s">
        <v>38</v>
      </c>
      <c r="B5243" t="s">
        <v>39</v>
      </c>
      <c r="C5243" t="s">
        <v>62</v>
      </c>
      <c r="E5243">
        <v>2022</v>
      </c>
      <c r="F5243" t="s">
        <v>69</v>
      </c>
    </row>
    <row r="5244" spans="1:6" x14ac:dyDescent="0.25">
      <c r="A5244" t="s">
        <v>40</v>
      </c>
      <c r="B5244" t="s">
        <v>41</v>
      </c>
      <c r="C5244" t="s">
        <v>62</v>
      </c>
      <c r="E5244">
        <v>2022</v>
      </c>
      <c r="F5244" t="s">
        <v>69</v>
      </c>
    </row>
    <row r="5245" spans="1:6" x14ac:dyDescent="0.25">
      <c r="A5245" t="s">
        <v>42</v>
      </c>
      <c r="B5245" t="s">
        <v>43</v>
      </c>
      <c r="C5245" t="s">
        <v>62</v>
      </c>
      <c r="E5245">
        <v>2022</v>
      </c>
      <c r="F5245" t="s">
        <v>69</v>
      </c>
    </row>
    <row r="5246" spans="1:6" x14ac:dyDescent="0.25">
      <c r="A5246" t="s">
        <v>44</v>
      </c>
      <c r="B5246" t="s">
        <v>45</v>
      </c>
      <c r="C5246" t="s">
        <v>62</v>
      </c>
      <c r="E5246">
        <v>2022</v>
      </c>
      <c r="F5246" t="s">
        <v>69</v>
      </c>
    </row>
    <row r="5247" spans="1:6" x14ac:dyDescent="0.25">
      <c r="A5247" t="s">
        <v>46</v>
      </c>
      <c r="B5247" t="s">
        <v>47</v>
      </c>
      <c r="C5247" t="s">
        <v>62</v>
      </c>
      <c r="E5247">
        <v>2022</v>
      </c>
      <c r="F5247" t="s">
        <v>69</v>
      </c>
    </row>
    <row r="5248" spans="1:6" x14ac:dyDescent="0.25">
      <c r="A5248" t="s">
        <v>48</v>
      </c>
      <c r="B5248" t="s">
        <v>49</v>
      </c>
      <c r="C5248" t="s">
        <v>62</v>
      </c>
      <c r="E5248">
        <v>2022</v>
      </c>
      <c r="F5248" t="s">
        <v>69</v>
      </c>
    </row>
    <row r="5249" spans="1:6" x14ac:dyDescent="0.25">
      <c r="A5249" t="s">
        <v>50</v>
      </c>
      <c r="B5249" t="s">
        <v>51</v>
      </c>
      <c r="C5249" t="s">
        <v>62</v>
      </c>
      <c r="E5249">
        <v>2022</v>
      </c>
      <c r="F5249" t="s">
        <v>69</v>
      </c>
    </row>
    <row r="5250" spans="1:6" x14ac:dyDescent="0.25">
      <c r="A5250" t="s">
        <v>52</v>
      </c>
      <c r="B5250" t="s">
        <v>53</v>
      </c>
      <c r="C5250" t="s">
        <v>62</v>
      </c>
      <c r="E5250">
        <v>2022</v>
      </c>
      <c r="F5250" t="s">
        <v>69</v>
      </c>
    </row>
    <row r="5251" spans="1:6" x14ac:dyDescent="0.25">
      <c r="A5251" t="s">
        <v>54</v>
      </c>
      <c r="B5251" t="s">
        <v>55</v>
      </c>
      <c r="C5251" t="s">
        <v>62</v>
      </c>
      <c r="E5251">
        <v>2022</v>
      </c>
      <c r="F5251" t="s">
        <v>69</v>
      </c>
    </row>
    <row r="5252" spans="1:6" x14ac:dyDescent="0.25">
      <c r="A5252" t="s">
        <v>56</v>
      </c>
      <c r="B5252" t="s">
        <v>57</v>
      </c>
      <c r="C5252" t="s">
        <v>62</v>
      </c>
      <c r="E5252">
        <v>2022</v>
      </c>
      <c r="F5252" t="s">
        <v>69</v>
      </c>
    </row>
    <row r="5253" spans="1:6" x14ac:dyDescent="0.25">
      <c r="A5253" t="s">
        <v>58</v>
      </c>
      <c r="B5253" t="s">
        <v>59</v>
      </c>
      <c r="C5253" t="s">
        <v>62</v>
      </c>
      <c r="E5253">
        <v>2022</v>
      </c>
      <c r="F5253" t="s">
        <v>69</v>
      </c>
    </row>
    <row r="5254" spans="1:6" x14ac:dyDescent="0.25">
      <c r="A5254" t="s">
        <v>6</v>
      </c>
      <c r="B5254" t="s">
        <v>7</v>
      </c>
      <c r="C5254" t="s">
        <v>66</v>
      </c>
      <c r="E5254">
        <v>2022</v>
      </c>
      <c r="F5254" t="s">
        <v>69</v>
      </c>
    </row>
    <row r="5255" spans="1:6" x14ac:dyDescent="0.25">
      <c r="A5255" t="s">
        <v>10</v>
      </c>
      <c r="B5255" t="s">
        <v>11</v>
      </c>
      <c r="C5255" t="s">
        <v>66</v>
      </c>
      <c r="E5255">
        <v>2022</v>
      </c>
      <c r="F5255" t="s">
        <v>69</v>
      </c>
    </row>
    <row r="5256" spans="1:6" x14ac:dyDescent="0.25">
      <c r="A5256" t="s">
        <v>12</v>
      </c>
      <c r="B5256" t="s">
        <v>13</v>
      </c>
      <c r="C5256" t="s">
        <v>66</v>
      </c>
      <c r="E5256">
        <v>2022</v>
      </c>
      <c r="F5256" t="s">
        <v>69</v>
      </c>
    </row>
    <row r="5257" spans="1:6" x14ac:dyDescent="0.25">
      <c r="A5257" t="s">
        <v>14</v>
      </c>
      <c r="B5257" t="s">
        <v>15</v>
      </c>
      <c r="C5257" t="s">
        <v>66</v>
      </c>
      <c r="E5257">
        <v>2022</v>
      </c>
      <c r="F5257" t="s">
        <v>69</v>
      </c>
    </row>
    <row r="5258" spans="1:6" x14ac:dyDescent="0.25">
      <c r="A5258" t="s">
        <v>16</v>
      </c>
      <c r="B5258" t="s">
        <v>17</v>
      </c>
      <c r="C5258" t="s">
        <v>66</v>
      </c>
      <c r="E5258">
        <v>2022</v>
      </c>
      <c r="F5258" t="s">
        <v>69</v>
      </c>
    </row>
    <row r="5259" spans="1:6" x14ac:dyDescent="0.25">
      <c r="A5259" t="s">
        <v>18</v>
      </c>
      <c r="B5259" t="s">
        <v>19</v>
      </c>
      <c r="C5259" t="s">
        <v>66</v>
      </c>
      <c r="E5259">
        <v>2022</v>
      </c>
      <c r="F5259" t="s">
        <v>69</v>
      </c>
    </row>
    <row r="5260" spans="1:6" x14ac:dyDescent="0.25">
      <c r="A5260" t="s">
        <v>20</v>
      </c>
      <c r="B5260" t="s">
        <v>21</v>
      </c>
      <c r="C5260" t="s">
        <v>66</v>
      </c>
      <c r="E5260">
        <v>2022</v>
      </c>
      <c r="F5260" t="s">
        <v>69</v>
      </c>
    </row>
    <row r="5261" spans="1:6" x14ac:dyDescent="0.25">
      <c r="A5261" t="s">
        <v>22</v>
      </c>
      <c r="B5261" t="s">
        <v>23</v>
      </c>
      <c r="C5261" t="s">
        <v>66</v>
      </c>
      <c r="E5261">
        <v>2022</v>
      </c>
      <c r="F5261" t="s">
        <v>69</v>
      </c>
    </row>
    <row r="5262" spans="1:6" x14ac:dyDescent="0.25">
      <c r="A5262" t="s">
        <v>24</v>
      </c>
      <c r="B5262" t="s">
        <v>25</v>
      </c>
      <c r="C5262" t="s">
        <v>66</v>
      </c>
      <c r="E5262">
        <v>2022</v>
      </c>
      <c r="F5262" t="s">
        <v>69</v>
      </c>
    </row>
    <row r="5263" spans="1:6" x14ac:dyDescent="0.25">
      <c r="A5263" t="s">
        <v>26</v>
      </c>
      <c r="B5263" t="s">
        <v>27</v>
      </c>
      <c r="C5263" t="s">
        <v>66</v>
      </c>
      <c r="E5263">
        <v>2022</v>
      </c>
      <c r="F5263" t="s">
        <v>69</v>
      </c>
    </row>
    <row r="5264" spans="1:6" x14ac:dyDescent="0.25">
      <c r="A5264" t="s">
        <v>28</v>
      </c>
      <c r="B5264" t="s">
        <v>29</v>
      </c>
      <c r="C5264" t="s">
        <v>66</v>
      </c>
      <c r="E5264">
        <v>2022</v>
      </c>
      <c r="F5264" t="s">
        <v>69</v>
      </c>
    </row>
    <row r="5265" spans="1:6" x14ac:dyDescent="0.25">
      <c r="A5265" t="s">
        <v>30</v>
      </c>
      <c r="B5265" t="s">
        <v>31</v>
      </c>
      <c r="C5265" t="s">
        <v>66</v>
      </c>
      <c r="E5265">
        <v>2022</v>
      </c>
      <c r="F5265" t="s">
        <v>69</v>
      </c>
    </row>
    <row r="5266" spans="1:6" x14ac:dyDescent="0.25">
      <c r="A5266" t="s">
        <v>32</v>
      </c>
      <c r="B5266" t="s">
        <v>33</v>
      </c>
      <c r="C5266" t="s">
        <v>66</v>
      </c>
      <c r="E5266">
        <v>2022</v>
      </c>
      <c r="F5266" t="s">
        <v>69</v>
      </c>
    </row>
    <row r="5267" spans="1:6" x14ac:dyDescent="0.25">
      <c r="A5267" t="s">
        <v>34</v>
      </c>
      <c r="B5267" t="s">
        <v>35</v>
      </c>
      <c r="C5267" t="s">
        <v>66</v>
      </c>
      <c r="E5267">
        <v>2022</v>
      </c>
      <c r="F5267" t="s">
        <v>69</v>
      </c>
    </row>
    <row r="5268" spans="1:6" x14ac:dyDescent="0.25">
      <c r="A5268" t="s">
        <v>36</v>
      </c>
      <c r="B5268" t="s">
        <v>37</v>
      </c>
      <c r="C5268" t="s">
        <v>66</v>
      </c>
      <c r="E5268">
        <v>2022</v>
      </c>
      <c r="F5268" t="s">
        <v>69</v>
      </c>
    </row>
    <row r="5269" spans="1:6" x14ac:dyDescent="0.25">
      <c r="A5269" t="s">
        <v>38</v>
      </c>
      <c r="B5269" t="s">
        <v>39</v>
      </c>
      <c r="C5269" t="s">
        <v>66</v>
      </c>
      <c r="E5269">
        <v>2022</v>
      </c>
      <c r="F5269" t="s">
        <v>69</v>
      </c>
    </row>
    <row r="5270" spans="1:6" x14ac:dyDescent="0.25">
      <c r="A5270" t="s">
        <v>40</v>
      </c>
      <c r="B5270" t="s">
        <v>41</v>
      </c>
      <c r="C5270" t="s">
        <v>66</v>
      </c>
      <c r="E5270">
        <v>2022</v>
      </c>
      <c r="F5270" t="s">
        <v>69</v>
      </c>
    </row>
    <row r="5271" spans="1:6" x14ac:dyDescent="0.25">
      <c r="A5271" t="s">
        <v>42</v>
      </c>
      <c r="B5271" t="s">
        <v>43</v>
      </c>
      <c r="C5271" t="s">
        <v>66</v>
      </c>
      <c r="E5271">
        <v>2022</v>
      </c>
      <c r="F5271" t="s">
        <v>69</v>
      </c>
    </row>
    <row r="5272" spans="1:6" x14ac:dyDescent="0.25">
      <c r="A5272" t="s">
        <v>44</v>
      </c>
      <c r="B5272" t="s">
        <v>45</v>
      </c>
      <c r="C5272" t="s">
        <v>66</v>
      </c>
      <c r="E5272">
        <v>2022</v>
      </c>
      <c r="F5272" t="s">
        <v>69</v>
      </c>
    </row>
    <row r="5273" spans="1:6" x14ac:dyDescent="0.25">
      <c r="A5273" t="s">
        <v>46</v>
      </c>
      <c r="B5273" t="s">
        <v>47</v>
      </c>
      <c r="C5273" t="s">
        <v>66</v>
      </c>
      <c r="E5273">
        <v>2022</v>
      </c>
      <c r="F5273" t="s">
        <v>69</v>
      </c>
    </row>
    <row r="5274" spans="1:6" x14ac:dyDescent="0.25">
      <c r="A5274" t="s">
        <v>48</v>
      </c>
      <c r="B5274" t="s">
        <v>49</v>
      </c>
      <c r="C5274" t="s">
        <v>66</v>
      </c>
      <c r="E5274">
        <v>2022</v>
      </c>
      <c r="F5274" t="s">
        <v>69</v>
      </c>
    </row>
    <row r="5275" spans="1:6" x14ac:dyDescent="0.25">
      <c r="A5275" t="s">
        <v>50</v>
      </c>
      <c r="B5275" t="s">
        <v>51</v>
      </c>
      <c r="C5275" t="s">
        <v>66</v>
      </c>
      <c r="E5275">
        <v>2022</v>
      </c>
      <c r="F5275" t="s">
        <v>69</v>
      </c>
    </row>
    <row r="5276" spans="1:6" x14ac:dyDescent="0.25">
      <c r="A5276" t="s">
        <v>52</v>
      </c>
      <c r="B5276" t="s">
        <v>53</v>
      </c>
      <c r="C5276" t="s">
        <v>66</v>
      </c>
      <c r="E5276">
        <v>2022</v>
      </c>
      <c r="F5276" t="s">
        <v>69</v>
      </c>
    </row>
    <row r="5277" spans="1:6" x14ac:dyDescent="0.25">
      <c r="A5277" t="s">
        <v>54</v>
      </c>
      <c r="B5277" t="s">
        <v>55</v>
      </c>
      <c r="C5277" t="s">
        <v>66</v>
      </c>
      <c r="E5277">
        <v>2022</v>
      </c>
      <c r="F5277" t="s">
        <v>69</v>
      </c>
    </row>
    <row r="5278" spans="1:6" x14ac:dyDescent="0.25">
      <c r="A5278" t="s">
        <v>56</v>
      </c>
      <c r="B5278" t="s">
        <v>57</v>
      </c>
      <c r="C5278" t="s">
        <v>66</v>
      </c>
      <c r="E5278">
        <v>2022</v>
      </c>
      <c r="F5278" t="s">
        <v>69</v>
      </c>
    </row>
    <row r="5279" spans="1:6" x14ac:dyDescent="0.25">
      <c r="A5279" t="s">
        <v>58</v>
      </c>
      <c r="B5279" t="s">
        <v>59</v>
      </c>
      <c r="C5279" t="s">
        <v>66</v>
      </c>
      <c r="E5279">
        <v>2022</v>
      </c>
      <c r="F5279" t="s">
        <v>69</v>
      </c>
    </row>
    <row r="5280" spans="1:6" x14ac:dyDescent="0.25">
      <c r="A5280" t="s">
        <v>6</v>
      </c>
      <c r="B5280" t="s">
        <v>7</v>
      </c>
      <c r="C5280" t="s">
        <v>63</v>
      </c>
      <c r="D5280">
        <v>182077.6</v>
      </c>
      <c r="E5280">
        <v>2016</v>
      </c>
      <c r="F5280" t="s">
        <v>70</v>
      </c>
    </row>
    <row r="5281" spans="1:6" x14ac:dyDescent="0.25">
      <c r="A5281" t="s">
        <v>10</v>
      </c>
      <c r="B5281" t="s">
        <v>11</v>
      </c>
      <c r="C5281" t="s">
        <v>63</v>
      </c>
      <c r="D5281">
        <v>35130.870000000003</v>
      </c>
      <c r="E5281">
        <v>2016</v>
      </c>
      <c r="F5281" t="s">
        <v>70</v>
      </c>
    </row>
    <row r="5282" spans="1:6" x14ac:dyDescent="0.25">
      <c r="A5282" t="s">
        <v>12</v>
      </c>
      <c r="B5282" t="s">
        <v>13</v>
      </c>
      <c r="C5282" t="s">
        <v>63</v>
      </c>
      <c r="D5282">
        <v>7153.47</v>
      </c>
      <c r="E5282">
        <v>2016</v>
      </c>
      <c r="F5282" t="s">
        <v>70</v>
      </c>
    </row>
    <row r="5283" spans="1:6" x14ac:dyDescent="0.25">
      <c r="A5283" t="s">
        <v>14</v>
      </c>
      <c r="B5283" t="s">
        <v>15</v>
      </c>
      <c r="C5283" t="s">
        <v>63</v>
      </c>
      <c r="D5283">
        <v>1043.73</v>
      </c>
      <c r="E5283">
        <v>2016</v>
      </c>
      <c r="F5283" t="s">
        <v>70</v>
      </c>
    </row>
    <row r="5284" spans="1:6" x14ac:dyDescent="0.25">
      <c r="A5284" t="s">
        <v>16</v>
      </c>
      <c r="B5284" t="s">
        <v>17</v>
      </c>
      <c r="C5284" t="s">
        <v>63</v>
      </c>
      <c r="D5284">
        <v>3111.62</v>
      </c>
      <c r="E5284">
        <v>2016</v>
      </c>
      <c r="F5284" t="s">
        <v>70</v>
      </c>
    </row>
    <row r="5285" spans="1:6" x14ac:dyDescent="0.25">
      <c r="A5285" t="s">
        <v>18</v>
      </c>
      <c r="B5285" t="s">
        <v>19</v>
      </c>
      <c r="C5285" t="s">
        <v>63</v>
      </c>
      <c r="D5285">
        <v>3769.54</v>
      </c>
      <c r="E5285">
        <v>2016</v>
      </c>
      <c r="F5285" t="s">
        <v>70</v>
      </c>
    </row>
    <row r="5286" spans="1:6" x14ac:dyDescent="0.25">
      <c r="A5286" t="s">
        <v>20</v>
      </c>
      <c r="B5286" t="s">
        <v>21</v>
      </c>
      <c r="C5286" t="s">
        <v>63</v>
      </c>
      <c r="D5286">
        <v>3334.65</v>
      </c>
      <c r="E5286">
        <v>2016</v>
      </c>
      <c r="F5286" t="s">
        <v>70</v>
      </c>
    </row>
    <row r="5287" spans="1:6" x14ac:dyDescent="0.25">
      <c r="A5287" t="s">
        <v>22</v>
      </c>
      <c r="B5287" t="s">
        <v>23</v>
      </c>
      <c r="C5287" t="s">
        <v>63</v>
      </c>
      <c r="D5287">
        <v>1792.99</v>
      </c>
      <c r="E5287">
        <v>2016</v>
      </c>
      <c r="F5287" t="s">
        <v>70</v>
      </c>
    </row>
    <row r="5288" spans="1:6" x14ac:dyDescent="0.25">
      <c r="A5288" t="s">
        <v>24</v>
      </c>
      <c r="B5288" t="s">
        <v>25</v>
      </c>
      <c r="C5288" t="s">
        <v>63</v>
      </c>
      <c r="D5288">
        <v>8162.73</v>
      </c>
      <c r="E5288">
        <v>2016</v>
      </c>
      <c r="F5288" t="s">
        <v>70</v>
      </c>
    </row>
    <row r="5289" spans="1:6" x14ac:dyDescent="0.25">
      <c r="A5289" t="s">
        <v>26</v>
      </c>
      <c r="B5289" t="s">
        <v>27</v>
      </c>
      <c r="C5289" t="s">
        <v>63</v>
      </c>
      <c r="D5289">
        <v>1241.46</v>
      </c>
      <c r="E5289">
        <v>2016</v>
      </c>
      <c r="F5289" t="s">
        <v>70</v>
      </c>
    </row>
    <row r="5290" spans="1:6" x14ac:dyDescent="0.25">
      <c r="A5290" t="s">
        <v>28</v>
      </c>
      <c r="B5290" t="s">
        <v>29</v>
      </c>
      <c r="C5290" t="s">
        <v>63</v>
      </c>
      <c r="D5290">
        <v>25018.91</v>
      </c>
      <c r="E5290">
        <v>2016</v>
      </c>
      <c r="F5290" t="s">
        <v>70</v>
      </c>
    </row>
    <row r="5291" spans="1:6" x14ac:dyDescent="0.25">
      <c r="A5291" t="s">
        <v>30</v>
      </c>
      <c r="B5291" t="s">
        <v>31</v>
      </c>
      <c r="C5291" t="s">
        <v>63</v>
      </c>
      <c r="D5291">
        <v>19660.62</v>
      </c>
      <c r="E5291">
        <v>2016</v>
      </c>
      <c r="F5291" t="s">
        <v>70</v>
      </c>
    </row>
    <row r="5292" spans="1:6" x14ac:dyDescent="0.25">
      <c r="A5292" t="s">
        <v>32</v>
      </c>
      <c r="B5292" t="s">
        <v>33</v>
      </c>
      <c r="C5292" t="s">
        <v>63</v>
      </c>
      <c r="D5292">
        <v>5777.2</v>
      </c>
      <c r="E5292">
        <v>2016</v>
      </c>
      <c r="F5292" t="s">
        <v>70</v>
      </c>
    </row>
    <row r="5293" spans="1:6" x14ac:dyDescent="0.25">
      <c r="A5293" t="s">
        <v>34</v>
      </c>
      <c r="B5293" t="s">
        <v>35</v>
      </c>
      <c r="C5293" t="s">
        <v>63</v>
      </c>
      <c r="D5293">
        <v>6954.19</v>
      </c>
      <c r="E5293">
        <v>2016</v>
      </c>
      <c r="F5293" t="s">
        <v>70</v>
      </c>
    </row>
    <row r="5294" spans="1:6" x14ac:dyDescent="0.25">
      <c r="A5294" t="s">
        <v>36</v>
      </c>
      <c r="B5294" t="s">
        <v>37</v>
      </c>
      <c r="C5294" t="s">
        <v>63</v>
      </c>
      <c r="D5294">
        <v>5962.56</v>
      </c>
      <c r="E5294">
        <v>2016</v>
      </c>
      <c r="F5294" t="s">
        <v>70</v>
      </c>
    </row>
    <row r="5295" spans="1:6" x14ac:dyDescent="0.25">
      <c r="A5295" t="s">
        <v>38</v>
      </c>
      <c r="B5295" t="s">
        <v>39</v>
      </c>
      <c r="C5295" t="s">
        <v>63</v>
      </c>
      <c r="D5295">
        <v>10359.44</v>
      </c>
      <c r="E5295">
        <v>2016</v>
      </c>
      <c r="F5295" t="s">
        <v>70</v>
      </c>
    </row>
    <row r="5296" spans="1:6" x14ac:dyDescent="0.25">
      <c r="A5296" t="s">
        <v>40</v>
      </c>
      <c r="B5296" t="s">
        <v>41</v>
      </c>
      <c r="C5296" t="s">
        <v>63</v>
      </c>
      <c r="D5296">
        <v>5570.13</v>
      </c>
      <c r="E5296">
        <v>2016</v>
      </c>
      <c r="F5296" t="s">
        <v>70</v>
      </c>
    </row>
    <row r="5297" spans="1:6" x14ac:dyDescent="0.25">
      <c r="A5297" t="s">
        <v>42</v>
      </c>
      <c r="B5297" t="s">
        <v>43</v>
      </c>
      <c r="C5297" t="s">
        <v>63</v>
      </c>
      <c r="D5297">
        <v>4461.75</v>
      </c>
      <c r="E5297">
        <v>2016</v>
      </c>
      <c r="F5297" t="s">
        <v>70</v>
      </c>
    </row>
    <row r="5298" spans="1:6" x14ac:dyDescent="0.25">
      <c r="A5298" t="s">
        <v>44</v>
      </c>
      <c r="B5298" t="s">
        <v>45</v>
      </c>
      <c r="C5298" t="s">
        <v>63</v>
      </c>
      <c r="D5298">
        <v>5302.97</v>
      </c>
      <c r="E5298">
        <v>2016</v>
      </c>
      <c r="F5298" t="s">
        <v>70</v>
      </c>
    </row>
    <row r="5299" spans="1:6" x14ac:dyDescent="0.25">
      <c r="A5299" t="s">
        <v>46</v>
      </c>
      <c r="B5299" t="s">
        <v>47</v>
      </c>
      <c r="C5299" t="s">
        <v>63</v>
      </c>
      <c r="D5299">
        <v>8779.58</v>
      </c>
      <c r="E5299">
        <v>2016</v>
      </c>
      <c r="F5299" t="s">
        <v>70</v>
      </c>
    </row>
    <row r="5300" spans="1:6" x14ac:dyDescent="0.25">
      <c r="A5300" t="s">
        <v>48</v>
      </c>
      <c r="B5300" t="s">
        <v>49</v>
      </c>
      <c r="C5300" t="s">
        <v>63</v>
      </c>
      <c r="D5300">
        <v>10889.29</v>
      </c>
      <c r="E5300">
        <v>2016</v>
      </c>
      <c r="F5300" t="s">
        <v>70</v>
      </c>
    </row>
    <row r="5301" spans="1:6" x14ac:dyDescent="0.25">
      <c r="A5301" t="s">
        <v>50</v>
      </c>
      <c r="B5301" t="s">
        <v>51</v>
      </c>
      <c r="C5301" t="s">
        <v>63</v>
      </c>
      <c r="D5301">
        <v>2031.27</v>
      </c>
      <c r="E5301">
        <v>2016</v>
      </c>
      <c r="F5301" t="s">
        <v>70</v>
      </c>
    </row>
    <row r="5302" spans="1:6" x14ac:dyDescent="0.25">
      <c r="A5302" t="s">
        <v>52</v>
      </c>
      <c r="B5302" t="s">
        <v>53</v>
      </c>
      <c r="C5302" t="s">
        <v>63</v>
      </c>
      <c r="D5302">
        <v>1848.79</v>
      </c>
      <c r="E5302">
        <v>2016</v>
      </c>
      <c r="F5302" t="s">
        <v>70</v>
      </c>
    </row>
    <row r="5303" spans="1:6" x14ac:dyDescent="0.25">
      <c r="A5303" t="s">
        <v>54</v>
      </c>
      <c r="B5303" t="s">
        <v>55</v>
      </c>
      <c r="C5303" t="s">
        <v>63</v>
      </c>
      <c r="D5303">
        <v>2207.5100000000002</v>
      </c>
      <c r="E5303">
        <v>2016</v>
      </c>
      <c r="F5303" t="s">
        <v>70</v>
      </c>
    </row>
    <row r="5304" spans="1:6" x14ac:dyDescent="0.25">
      <c r="A5304" t="s">
        <v>56</v>
      </c>
      <c r="B5304" t="s">
        <v>57</v>
      </c>
      <c r="C5304" t="s">
        <v>63</v>
      </c>
      <c r="D5304">
        <v>2512.33</v>
      </c>
      <c r="E5304">
        <v>2016</v>
      </c>
      <c r="F5304" t="s">
        <v>70</v>
      </c>
    </row>
    <row r="5305" spans="1:6" x14ac:dyDescent="0.25">
      <c r="A5305" t="s">
        <v>58</v>
      </c>
      <c r="B5305" t="s">
        <v>59</v>
      </c>
      <c r="C5305" t="s">
        <v>63</v>
      </c>
      <c r="E5305">
        <v>2016</v>
      </c>
      <c r="F5305" t="s">
        <v>70</v>
      </c>
    </row>
    <row r="5306" spans="1:6" x14ac:dyDescent="0.25">
      <c r="A5306" t="s">
        <v>6</v>
      </c>
      <c r="B5306" t="s">
        <v>7</v>
      </c>
      <c r="C5306" t="s">
        <v>8</v>
      </c>
      <c r="D5306">
        <v>17213.849999999999</v>
      </c>
      <c r="E5306">
        <v>2016</v>
      </c>
      <c r="F5306" t="s">
        <v>70</v>
      </c>
    </row>
    <row r="5307" spans="1:6" x14ac:dyDescent="0.25">
      <c r="A5307" t="s">
        <v>10</v>
      </c>
      <c r="B5307" t="s">
        <v>11</v>
      </c>
      <c r="C5307" t="s">
        <v>8</v>
      </c>
      <c r="D5307">
        <v>5717.74</v>
      </c>
      <c r="E5307">
        <v>2016</v>
      </c>
      <c r="F5307" t="s">
        <v>70</v>
      </c>
    </row>
    <row r="5308" spans="1:6" x14ac:dyDescent="0.25">
      <c r="A5308" t="s">
        <v>12</v>
      </c>
      <c r="B5308" t="s">
        <v>13</v>
      </c>
      <c r="C5308" t="s">
        <v>8</v>
      </c>
      <c r="D5308">
        <v>1048.8800000000001</v>
      </c>
      <c r="E5308">
        <v>2016</v>
      </c>
      <c r="F5308" t="s">
        <v>70</v>
      </c>
    </row>
    <row r="5309" spans="1:6" x14ac:dyDescent="0.25">
      <c r="A5309" t="s">
        <v>14</v>
      </c>
      <c r="B5309" t="s">
        <v>15</v>
      </c>
      <c r="C5309" t="s">
        <v>8</v>
      </c>
      <c r="E5309">
        <v>2016</v>
      </c>
      <c r="F5309" t="s">
        <v>70</v>
      </c>
    </row>
    <row r="5310" spans="1:6" x14ac:dyDescent="0.25">
      <c r="A5310" t="s">
        <v>16</v>
      </c>
      <c r="B5310" t="s">
        <v>17</v>
      </c>
      <c r="C5310" t="s">
        <v>8</v>
      </c>
      <c r="D5310">
        <v>126.16</v>
      </c>
      <c r="E5310">
        <v>2016</v>
      </c>
      <c r="F5310" t="s">
        <v>70</v>
      </c>
    </row>
    <row r="5311" spans="1:6" x14ac:dyDescent="0.25">
      <c r="A5311" t="s">
        <v>18</v>
      </c>
      <c r="B5311" t="s">
        <v>19</v>
      </c>
      <c r="C5311" t="s">
        <v>8</v>
      </c>
      <c r="D5311">
        <v>123.49</v>
      </c>
      <c r="E5311">
        <v>2016</v>
      </c>
      <c r="F5311" t="s">
        <v>70</v>
      </c>
    </row>
    <row r="5312" spans="1:6" x14ac:dyDescent="0.25">
      <c r="A5312" t="s">
        <v>20</v>
      </c>
      <c r="B5312" t="s">
        <v>21</v>
      </c>
      <c r="C5312" t="s">
        <v>8</v>
      </c>
      <c r="D5312">
        <v>146.28</v>
      </c>
      <c r="E5312">
        <v>2016</v>
      </c>
      <c r="F5312" t="s">
        <v>70</v>
      </c>
    </row>
    <row r="5313" spans="1:6" x14ac:dyDescent="0.25">
      <c r="A5313" t="s">
        <v>22</v>
      </c>
      <c r="B5313" t="s">
        <v>23</v>
      </c>
      <c r="C5313" t="s">
        <v>8</v>
      </c>
      <c r="D5313">
        <v>907.47</v>
      </c>
      <c r="E5313">
        <v>2016</v>
      </c>
      <c r="F5313" t="s">
        <v>70</v>
      </c>
    </row>
    <row r="5314" spans="1:6" x14ac:dyDescent="0.25">
      <c r="A5314" t="s">
        <v>24</v>
      </c>
      <c r="B5314" t="s">
        <v>25</v>
      </c>
      <c r="C5314" t="s">
        <v>8</v>
      </c>
      <c r="D5314">
        <v>1268.74</v>
      </c>
      <c r="E5314">
        <v>2016</v>
      </c>
      <c r="F5314" t="s">
        <v>70</v>
      </c>
    </row>
    <row r="5315" spans="1:6" x14ac:dyDescent="0.25">
      <c r="A5315" t="s">
        <v>26</v>
      </c>
      <c r="B5315" t="s">
        <v>27</v>
      </c>
      <c r="C5315" t="s">
        <v>8</v>
      </c>
      <c r="D5315">
        <v>198.14</v>
      </c>
      <c r="E5315">
        <v>2016</v>
      </c>
      <c r="F5315" t="s">
        <v>70</v>
      </c>
    </row>
    <row r="5316" spans="1:6" x14ac:dyDescent="0.25">
      <c r="A5316" t="s">
        <v>28</v>
      </c>
      <c r="B5316" t="s">
        <v>29</v>
      </c>
      <c r="C5316" t="s">
        <v>8</v>
      </c>
      <c r="E5316">
        <v>2016</v>
      </c>
      <c r="F5316" t="s">
        <v>70</v>
      </c>
    </row>
    <row r="5317" spans="1:6" x14ac:dyDescent="0.25">
      <c r="A5317" t="s">
        <v>30</v>
      </c>
      <c r="B5317" t="s">
        <v>31</v>
      </c>
      <c r="C5317" t="s">
        <v>8</v>
      </c>
      <c r="D5317">
        <v>3035.06</v>
      </c>
      <c r="E5317">
        <v>2016</v>
      </c>
      <c r="F5317" t="s">
        <v>70</v>
      </c>
    </row>
    <row r="5318" spans="1:6" x14ac:dyDescent="0.25">
      <c r="A5318" t="s">
        <v>32</v>
      </c>
      <c r="B5318" t="s">
        <v>33</v>
      </c>
      <c r="C5318" t="s">
        <v>8</v>
      </c>
      <c r="D5318">
        <v>401.31</v>
      </c>
      <c r="E5318">
        <v>2016</v>
      </c>
      <c r="F5318" t="s">
        <v>70</v>
      </c>
    </row>
    <row r="5319" spans="1:6" x14ac:dyDescent="0.25">
      <c r="A5319" t="s">
        <v>34</v>
      </c>
      <c r="B5319" t="s">
        <v>35</v>
      </c>
      <c r="C5319" t="s">
        <v>8</v>
      </c>
      <c r="D5319">
        <v>743.17</v>
      </c>
      <c r="E5319">
        <v>2016</v>
      </c>
      <c r="F5319" t="s">
        <v>70</v>
      </c>
    </row>
    <row r="5320" spans="1:6" x14ac:dyDescent="0.25">
      <c r="A5320" t="s">
        <v>36</v>
      </c>
      <c r="B5320" t="s">
        <v>37</v>
      </c>
      <c r="C5320" t="s">
        <v>8</v>
      </c>
      <c r="D5320">
        <v>731.4</v>
      </c>
      <c r="E5320">
        <v>2016</v>
      </c>
      <c r="F5320" t="s">
        <v>70</v>
      </c>
    </row>
    <row r="5321" spans="1:6" x14ac:dyDescent="0.25">
      <c r="A5321" t="s">
        <v>38</v>
      </c>
      <c r="B5321" t="s">
        <v>39</v>
      </c>
      <c r="C5321" t="s">
        <v>8</v>
      </c>
      <c r="D5321">
        <v>266.8</v>
      </c>
      <c r="E5321">
        <v>2016</v>
      </c>
      <c r="F5321" t="s">
        <v>70</v>
      </c>
    </row>
    <row r="5322" spans="1:6" x14ac:dyDescent="0.25">
      <c r="A5322" t="s">
        <v>40</v>
      </c>
      <c r="B5322" t="s">
        <v>41</v>
      </c>
      <c r="C5322" t="s">
        <v>8</v>
      </c>
      <c r="D5322">
        <v>673.94</v>
      </c>
      <c r="E5322">
        <v>2016</v>
      </c>
      <c r="F5322" t="s">
        <v>70</v>
      </c>
    </row>
    <row r="5323" spans="1:6" x14ac:dyDescent="0.25">
      <c r="A5323" t="s">
        <v>42</v>
      </c>
      <c r="B5323" t="s">
        <v>43</v>
      </c>
      <c r="C5323" t="s">
        <v>8</v>
      </c>
      <c r="D5323">
        <v>22.03</v>
      </c>
      <c r="E5323">
        <v>2016</v>
      </c>
      <c r="F5323" t="s">
        <v>70</v>
      </c>
    </row>
    <row r="5324" spans="1:6" x14ac:dyDescent="0.25">
      <c r="A5324" t="s">
        <v>44</v>
      </c>
      <c r="B5324" t="s">
        <v>45</v>
      </c>
      <c r="C5324" t="s">
        <v>8</v>
      </c>
      <c r="D5324">
        <v>237.67</v>
      </c>
      <c r="E5324">
        <v>2016</v>
      </c>
      <c r="F5324" t="s">
        <v>70</v>
      </c>
    </row>
    <row r="5325" spans="1:6" x14ac:dyDescent="0.25">
      <c r="A5325" t="s">
        <v>46</v>
      </c>
      <c r="B5325" t="s">
        <v>47</v>
      </c>
      <c r="C5325" t="s">
        <v>8</v>
      </c>
      <c r="D5325">
        <v>371.21</v>
      </c>
      <c r="E5325">
        <v>2016</v>
      </c>
      <c r="F5325" t="s">
        <v>70</v>
      </c>
    </row>
    <row r="5326" spans="1:6" x14ac:dyDescent="0.25">
      <c r="A5326" t="s">
        <v>48</v>
      </c>
      <c r="B5326" t="s">
        <v>49</v>
      </c>
      <c r="C5326" t="s">
        <v>8</v>
      </c>
      <c r="D5326">
        <v>17.64</v>
      </c>
      <c r="E5326">
        <v>2016</v>
      </c>
      <c r="F5326" t="s">
        <v>70</v>
      </c>
    </row>
    <row r="5327" spans="1:6" x14ac:dyDescent="0.25">
      <c r="A5327" t="s">
        <v>50</v>
      </c>
      <c r="B5327" t="s">
        <v>51</v>
      </c>
      <c r="C5327" t="s">
        <v>8</v>
      </c>
      <c r="D5327">
        <v>40.54</v>
      </c>
      <c r="E5327">
        <v>2016</v>
      </c>
      <c r="F5327" t="s">
        <v>70</v>
      </c>
    </row>
    <row r="5328" spans="1:6" x14ac:dyDescent="0.25">
      <c r="A5328" t="s">
        <v>52</v>
      </c>
      <c r="B5328" t="s">
        <v>53</v>
      </c>
      <c r="C5328" t="s">
        <v>8</v>
      </c>
      <c r="D5328">
        <v>167.76</v>
      </c>
      <c r="E5328">
        <v>2016</v>
      </c>
      <c r="F5328" t="s">
        <v>70</v>
      </c>
    </row>
    <row r="5329" spans="1:6" x14ac:dyDescent="0.25">
      <c r="A5329" t="s">
        <v>54</v>
      </c>
      <c r="B5329" t="s">
        <v>55</v>
      </c>
      <c r="C5329" t="s">
        <v>8</v>
      </c>
      <c r="D5329">
        <v>40.770000000000003</v>
      </c>
      <c r="E5329">
        <v>2016</v>
      </c>
      <c r="F5329" t="s">
        <v>70</v>
      </c>
    </row>
    <row r="5330" spans="1:6" x14ac:dyDescent="0.25">
      <c r="A5330" t="s">
        <v>56</v>
      </c>
      <c r="B5330" t="s">
        <v>57</v>
      </c>
      <c r="C5330" t="s">
        <v>8</v>
      </c>
      <c r="D5330">
        <v>534.04</v>
      </c>
      <c r="E5330">
        <v>2016</v>
      </c>
      <c r="F5330" t="s">
        <v>70</v>
      </c>
    </row>
    <row r="5331" spans="1:6" x14ac:dyDescent="0.25">
      <c r="A5331" t="s">
        <v>58</v>
      </c>
      <c r="B5331" t="s">
        <v>59</v>
      </c>
      <c r="C5331" t="s">
        <v>8</v>
      </c>
      <c r="D5331">
        <v>393.61</v>
      </c>
      <c r="E5331">
        <v>2016</v>
      </c>
      <c r="F5331" t="s">
        <v>70</v>
      </c>
    </row>
    <row r="5332" spans="1:6" x14ac:dyDescent="0.25">
      <c r="A5332" t="s">
        <v>6</v>
      </c>
      <c r="B5332" t="s">
        <v>7</v>
      </c>
      <c r="C5332" t="s">
        <v>60</v>
      </c>
      <c r="D5332">
        <v>24077.86</v>
      </c>
      <c r="E5332">
        <v>2016</v>
      </c>
      <c r="F5332" t="s">
        <v>70</v>
      </c>
    </row>
    <row r="5333" spans="1:6" x14ac:dyDescent="0.25">
      <c r="A5333" t="s">
        <v>10</v>
      </c>
      <c r="B5333" t="s">
        <v>11</v>
      </c>
      <c r="C5333" t="s">
        <v>60</v>
      </c>
      <c r="D5333">
        <v>5753.12</v>
      </c>
      <c r="E5333">
        <v>2016</v>
      </c>
      <c r="F5333" t="s">
        <v>70</v>
      </c>
    </row>
    <row r="5334" spans="1:6" x14ac:dyDescent="0.25">
      <c r="A5334" t="s">
        <v>12</v>
      </c>
      <c r="B5334" t="s">
        <v>13</v>
      </c>
      <c r="C5334" t="s">
        <v>60</v>
      </c>
      <c r="D5334">
        <v>2351.33</v>
      </c>
      <c r="E5334">
        <v>2016</v>
      </c>
      <c r="F5334" t="s">
        <v>70</v>
      </c>
    </row>
    <row r="5335" spans="1:6" x14ac:dyDescent="0.25">
      <c r="A5335" t="s">
        <v>14</v>
      </c>
      <c r="B5335" t="s">
        <v>15</v>
      </c>
      <c r="C5335" t="s">
        <v>60</v>
      </c>
      <c r="E5335">
        <v>2016</v>
      </c>
      <c r="F5335" t="s">
        <v>70</v>
      </c>
    </row>
    <row r="5336" spans="1:6" x14ac:dyDescent="0.25">
      <c r="A5336" t="s">
        <v>16</v>
      </c>
      <c r="B5336" t="s">
        <v>17</v>
      </c>
      <c r="C5336" t="s">
        <v>60</v>
      </c>
      <c r="D5336">
        <v>535.91999999999996</v>
      </c>
      <c r="E5336">
        <v>2016</v>
      </c>
      <c r="F5336" t="s">
        <v>70</v>
      </c>
    </row>
    <row r="5337" spans="1:6" x14ac:dyDescent="0.25">
      <c r="A5337" t="s">
        <v>18</v>
      </c>
      <c r="B5337" t="s">
        <v>19</v>
      </c>
      <c r="C5337" t="s">
        <v>60</v>
      </c>
      <c r="D5337">
        <v>1273.44</v>
      </c>
      <c r="E5337">
        <v>2016</v>
      </c>
      <c r="F5337" t="s">
        <v>70</v>
      </c>
    </row>
    <row r="5338" spans="1:6" x14ac:dyDescent="0.25">
      <c r="A5338" t="s">
        <v>20</v>
      </c>
      <c r="B5338" t="s">
        <v>21</v>
      </c>
      <c r="C5338" t="s">
        <v>60</v>
      </c>
      <c r="D5338">
        <v>251.67</v>
      </c>
      <c r="E5338">
        <v>2016</v>
      </c>
      <c r="F5338" t="s">
        <v>70</v>
      </c>
    </row>
    <row r="5339" spans="1:6" x14ac:dyDescent="0.25">
      <c r="A5339" t="s">
        <v>22</v>
      </c>
      <c r="B5339" t="s">
        <v>23</v>
      </c>
      <c r="C5339" t="s">
        <v>60</v>
      </c>
      <c r="D5339">
        <v>149.88999999999999</v>
      </c>
      <c r="E5339">
        <v>2016</v>
      </c>
      <c r="F5339" t="s">
        <v>70</v>
      </c>
    </row>
    <row r="5340" spans="1:6" x14ac:dyDescent="0.25">
      <c r="A5340" t="s">
        <v>24</v>
      </c>
      <c r="B5340" t="s">
        <v>25</v>
      </c>
      <c r="C5340" t="s">
        <v>60</v>
      </c>
      <c r="D5340">
        <v>924.65</v>
      </c>
      <c r="E5340">
        <v>2016</v>
      </c>
      <c r="F5340" t="s">
        <v>70</v>
      </c>
    </row>
    <row r="5341" spans="1:6" x14ac:dyDescent="0.25">
      <c r="A5341" t="s">
        <v>26</v>
      </c>
      <c r="B5341" t="s">
        <v>27</v>
      </c>
      <c r="C5341" t="s">
        <v>60</v>
      </c>
      <c r="D5341">
        <v>346.89</v>
      </c>
      <c r="E5341">
        <v>2016</v>
      </c>
      <c r="F5341" t="s">
        <v>70</v>
      </c>
    </row>
    <row r="5342" spans="1:6" x14ac:dyDescent="0.25">
      <c r="A5342" t="s">
        <v>28</v>
      </c>
      <c r="B5342" t="s">
        <v>29</v>
      </c>
      <c r="C5342" t="s">
        <v>60</v>
      </c>
      <c r="D5342">
        <v>1451.65</v>
      </c>
      <c r="E5342">
        <v>2016</v>
      </c>
      <c r="F5342" t="s">
        <v>70</v>
      </c>
    </row>
    <row r="5343" spans="1:6" x14ac:dyDescent="0.25">
      <c r="A5343" t="s">
        <v>30</v>
      </c>
      <c r="B5343" t="s">
        <v>31</v>
      </c>
      <c r="C5343" t="s">
        <v>60</v>
      </c>
      <c r="D5343">
        <v>2949.2</v>
      </c>
      <c r="E5343">
        <v>2016</v>
      </c>
      <c r="F5343" t="s">
        <v>70</v>
      </c>
    </row>
    <row r="5344" spans="1:6" x14ac:dyDescent="0.25">
      <c r="A5344" t="s">
        <v>32</v>
      </c>
      <c r="B5344" t="s">
        <v>33</v>
      </c>
      <c r="C5344" t="s">
        <v>60</v>
      </c>
      <c r="D5344">
        <v>1102.46</v>
      </c>
      <c r="E5344">
        <v>2016</v>
      </c>
      <c r="F5344" t="s">
        <v>70</v>
      </c>
    </row>
    <row r="5345" spans="1:6" x14ac:dyDescent="0.25">
      <c r="A5345" t="s">
        <v>34</v>
      </c>
      <c r="B5345" t="s">
        <v>35</v>
      </c>
      <c r="C5345" t="s">
        <v>60</v>
      </c>
      <c r="D5345">
        <v>1023.57</v>
      </c>
      <c r="E5345">
        <v>2016</v>
      </c>
      <c r="F5345" t="s">
        <v>70</v>
      </c>
    </row>
    <row r="5346" spans="1:6" x14ac:dyDescent="0.25">
      <c r="A5346" t="s">
        <v>36</v>
      </c>
      <c r="B5346" t="s">
        <v>37</v>
      </c>
      <c r="C5346" t="s">
        <v>60</v>
      </c>
      <c r="D5346">
        <v>2099.71</v>
      </c>
      <c r="E5346">
        <v>2016</v>
      </c>
      <c r="F5346" t="s">
        <v>70</v>
      </c>
    </row>
    <row r="5347" spans="1:6" x14ac:dyDescent="0.25">
      <c r="A5347" t="s">
        <v>38</v>
      </c>
      <c r="B5347" t="s">
        <v>39</v>
      </c>
      <c r="C5347" t="s">
        <v>60</v>
      </c>
      <c r="D5347">
        <v>623.51</v>
      </c>
      <c r="E5347">
        <v>2016</v>
      </c>
      <c r="F5347" t="s">
        <v>70</v>
      </c>
    </row>
    <row r="5348" spans="1:6" x14ac:dyDescent="0.25">
      <c r="A5348" t="s">
        <v>40</v>
      </c>
      <c r="B5348" t="s">
        <v>41</v>
      </c>
      <c r="C5348" t="s">
        <v>60</v>
      </c>
      <c r="D5348">
        <v>623.49</v>
      </c>
      <c r="E5348">
        <v>2016</v>
      </c>
      <c r="F5348" t="s">
        <v>70</v>
      </c>
    </row>
    <row r="5349" spans="1:6" x14ac:dyDescent="0.25">
      <c r="A5349" t="s">
        <v>42</v>
      </c>
      <c r="B5349" t="s">
        <v>43</v>
      </c>
      <c r="C5349" t="s">
        <v>60</v>
      </c>
      <c r="D5349">
        <v>5.54</v>
      </c>
      <c r="E5349">
        <v>2016</v>
      </c>
      <c r="F5349" t="s">
        <v>70</v>
      </c>
    </row>
    <row r="5350" spans="1:6" x14ac:dyDescent="0.25">
      <c r="A5350" t="s">
        <v>44</v>
      </c>
      <c r="B5350" t="s">
        <v>45</v>
      </c>
      <c r="C5350" t="s">
        <v>60</v>
      </c>
      <c r="D5350">
        <v>477.17</v>
      </c>
      <c r="E5350">
        <v>2016</v>
      </c>
      <c r="F5350" t="s">
        <v>70</v>
      </c>
    </row>
    <row r="5351" spans="1:6" x14ac:dyDescent="0.25">
      <c r="A5351" t="s">
        <v>46</v>
      </c>
      <c r="B5351" t="s">
        <v>47</v>
      </c>
      <c r="C5351" t="s">
        <v>60</v>
      </c>
      <c r="D5351">
        <v>350.87</v>
      </c>
      <c r="E5351">
        <v>2016</v>
      </c>
      <c r="F5351" t="s">
        <v>70</v>
      </c>
    </row>
    <row r="5352" spans="1:6" x14ac:dyDescent="0.25">
      <c r="A5352" t="s">
        <v>48</v>
      </c>
      <c r="B5352" t="s">
        <v>49</v>
      </c>
      <c r="C5352" t="s">
        <v>60</v>
      </c>
      <c r="D5352">
        <v>463.21</v>
      </c>
      <c r="E5352">
        <v>2016</v>
      </c>
      <c r="F5352" t="s">
        <v>70</v>
      </c>
    </row>
    <row r="5353" spans="1:6" x14ac:dyDescent="0.25">
      <c r="A5353" t="s">
        <v>50</v>
      </c>
      <c r="B5353" t="s">
        <v>51</v>
      </c>
      <c r="C5353" t="s">
        <v>60</v>
      </c>
      <c r="D5353">
        <v>123.63</v>
      </c>
      <c r="E5353">
        <v>2016</v>
      </c>
      <c r="F5353" t="s">
        <v>70</v>
      </c>
    </row>
    <row r="5354" spans="1:6" x14ac:dyDescent="0.25">
      <c r="A5354" t="s">
        <v>52</v>
      </c>
      <c r="B5354" t="s">
        <v>53</v>
      </c>
      <c r="C5354" t="s">
        <v>60</v>
      </c>
      <c r="D5354">
        <v>321.38</v>
      </c>
      <c r="E5354">
        <v>2016</v>
      </c>
      <c r="F5354" t="s">
        <v>70</v>
      </c>
    </row>
    <row r="5355" spans="1:6" x14ac:dyDescent="0.25">
      <c r="A5355" t="s">
        <v>54</v>
      </c>
      <c r="B5355" t="s">
        <v>55</v>
      </c>
      <c r="C5355" t="s">
        <v>60</v>
      </c>
      <c r="D5355">
        <v>875.56</v>
      </c>
      <c r="E5355">
        <v>2016</v>
      </c>
      <c r="F5355" t="s">
        <v>70</v>
      </c>
    </row>
    <row r="5356" spans="1:6" x14ac:dyDescent="0.25">
      <c r="A5356" t="s">
        <v>56</v>
      </c>
      <c r="B5356" t="s">
        <v>57</v>
      </c>
      <c r="C5356" t="s">
        <v>60</v>
      </c>
      <c r="E5356">
        <v>2016</v>
      </c>
      <c r="F5356" t="s">
        <v>70</v>
      </c>
    </row>
    <row r="5357" spans="1:6" x14ac:dyDescent="0.25">
      <c r="A5357" t="s">
        <v>58</v>
      </c>
      <c r="B5357" t="s">
        <v>59</v>
      </c>
      <c r="C5357" t="s">
        <v>60</v>
      </c>
      <c r="E5357">
        <v>2016</v>
      </c>
      <c r="F5357" t="s">
        <v>70</v>
      </c>
    </row>
    <row r="5358" spans="1:6" x14ac:dyDescent="0.25">
      <c r="A5358" t="s">
        <v>6</v>
      </c>
      <c r="B5358" t="s">
        <v>7</v>
      </c>
      <c r="C5358" t="s">
        <v>61</v>
      </c>
      <c r="D5358">
        <v>6163.99</v>
      </c>
      <c r="E5358">
        <v>2016</v>
      </c>
      <c r="F5358" t="s">
        <v>70</v>
      </c>
    </row>
    <row r="5359" spans="1:6" x14ac:dyDescent="0.25">
      <c r="A5359" t="s">
        <v>10</v>
      </c>
      <c r="B5359" t="s">
        <v>11</v>
      </c>
      <c r="C5359" t="s">
        <v>61</v>
      </c>
      <c r="D5359">
        <v>2348.98</v>
      </c>
      <c r="E5359">
        <v>2016</v>
      </c>
      <c r="F5359" t="s">
        <v>70</v>
      </c>
    </row>
    <row r="5360" spans="1:6" x14ac:dyDescent="0.25">
      <c r="A5360" t="s">
        <v>12</v>
      </c>
      <c r="B5360" t="s">
        <v>13</v>
      </c>
      <c r="C5360" t="s">
        <v>61</v>
      </c>
      <c r="D5360">
        <v>458.47</v>
      </c>
      <c r="E5360">
        <v>2016</v>
      </c>
      <c r="F5360" t="s">
        <v>70</v>
      </c>
    </row>
    <row r="5361" spans="1:6" x14ac:dyDescent="0.25">
      <c r="A5361" t="s">
        <v>14</v>
      </c>
      <c r="B5361" t="s">
        <v>15</v>
      </c>
      <c r="C5361" t="s">
        <v>61</v>
      </c>
      <c r="D5361">
        <v>2.82</v>
      </c>
      <c r="E5361">
        <v>2016</v>
      </c>
      <c r="F5361" t="s">
        <v>70</v>
      </c>
    </row>
    <row r="5362" spans="1:6" x14ac:dyDescent="0.25">
      <c r="A5362" t="s">
        <v>16</v>
      </c>
      <c r="B5362" t="s">
        <v>17</v>
      </c>
      <c r="C5362" t="s">
        <v>61</v>
      </c>
      <c r="D5362">
        <v>161.36000000000001</v>
      </c>
      <c r="E5362">
        <v>2016</v>
      </c>
      <c r="F5362" t="s">
        <v>70</v>
      </c>
    </row>
    <row r="5363" spans="1:6" x14ac:dyDescent="0.25">
      <c r="A5363" t="s">
        <v>18</v>
      </c>
      <c r="B5363" t="s">
        <v>19</v>
      </c>
      <c r="C5363" t="s">
        <v>61</v>
      </c>
      <c r="D5363">
        <v>150.9</v>
      </c>
      <c r="E5363">
        <v>2016</v>
      </c>
      <c r="F5363" t="s">
        <v>70</v>
      </c>
    </row>
    <row r="5364" spans="1:6" x14ac:dyDescent="0.25">
      <c r="A5364" t="s">
        <v>20</v>
      </c>
      <c r="B5364" t="s">
        <v>21</v>
      </c>
      <c r="C5364" t="s">
        <v>61</v>
      </c>
      <c r="D5364">
        <v>44.9</v>
      </c>
      <c r="E5364">
        <v>2016</v>
      </c>
      <c r="F5364" t="s">
        <v>70</v>
      </c>
    </row>
    <row r="5365" spans="1:6" x14ac:dyDescent="0.25">
      <c r="A5365" t="s">
        <v>22</v>
      </c>
      <c r="B5365" t="s">
        <v>23</v>
      </c>
      <c r="C5365" t="s">
        <v>61</v>
      </c>
      <c r="D5365">
        <v>141.29</v>
      </c>
      <c r="E5365">
        <v>2016</v>
      </c>
      <c r="F5365" t="s">
        <v>70</v>
      </c>
    </row>
    <row r="5366" spans="1:6" x14ac:dyDescent="0.25">
      <c r="A5366" t="s">
        <v>24</v>
      </c>
      <c r="B5366" t="s">
        <v>25</v>
      </c>
      <c r="C5366" t="s">
        <v>61</v>
      </c>
      <c r="D5366">
        <v>278.95999999999998</v>
      </c>
      <c r="E5366">
        <v>2016</v>
      </c>
      <c r="F5366" t="s">
        <v>70</v>
      </c>
    </row>
    <row r="5367" spans="1:6" x14ac:dyDescent="0.25">
      <c r="A5367" t="s">
        <v>26</v>
      </c>
      <c r="B5367" t="s">
        <v>27</v>
      </c>
      <c r="C5367" t="s">
        <v>61</v>
      </c>
      <c r="D5367">
        <v>106.69</v>
      </c>
      <c r="E5367">
        <v>2016</v>
      </c>
      <c r="F5367" t="s">
        <v>70</v>
      </c>
    </row>
    <row r="5368" spans="1:6" x14ac:dyDescent="0.25">
      <c r="A5368" t="s">
        <v>28</v>
      </c>
      <c r="B5368" t="s">
        <v>29</v>
      </c>
      <c r="C5368" t="s">
        <v>61</v>
      </c>
      <c r="D5368">
        <v>27.62</v>
      </c>
      <c r="E5368">
        <v>2016</v>
      </c>
      <c r="F5368" t="s">
        <v>70</v>
      </c>
    </row>
    <row r="5369" spans="1:6" x14ac:dyDescent="0.25">
      <c r="A5369" t="s">
        <v>30</v>
      </c>
      <c r="B5369" t="s">
        <v>31</v>
      </c>
      <c r="C5369" t="s">
        <v>61</v>
      </c>
      <c r="D5369">
        <v>366.45</v>
      </c>
      <c r="E5369">
        <v>2016</v>
      </c>
      <c r="F5369" t="s">
        <v>70</v>
      </c>
    </row>
    <row r="5370" spans="1:6" x14ac:dyDescent="0.25">
      <c r="A5370" t="s">
        <v>32</v>
      </c>
      <c r="B5370" t="s">
        <v>33</v>
      </c>
      <c r="C5370" t="s">
        <v>61</v>
      </c>
      <c r="D5370">
        <v>120.65</v>
      </c>
      <c r="E5370">
        <v>2016</v>
      </c>
      <c r="F5370" t="s">
        <v>70</v>
      </c>
    </row>
    <row r="5371" spans="1:6" x14ac:dyDescent="0.25">
      <c r="A5371" t="s">
        <v>34</v>
      </c>
      <c r="B5371" t="s">
        <v>35</v>
      </c>
      <c r="C5371" t="s">
        <v>61</v>
      </c>
      <c r="D5371">
        <v>421.78</v>
      </c>
      <c r="E5371">
        <v>2016</v>
      </c>
      <c r="F5371" t="s">
        <v>70</v>
      </c>
    </row>
    <row r="5372" spans="1:6" x14ac:dyDescent="0.25">
      <c r="A5372" t="s">
        <v>36</v>
      </c>
      <c r="B5372" t="s">
        <v>37</v>
      </c>
      <c r="C5372" t="s">
        <v>61</v>
      </c>
      <c r="D5372">
        <v>555.59</v>
      </c>
      <c r="E5372">
        <v>2016</v>
      </c>
      <c r="F5372" t="s">
        <v>70</v>
      </c>
    </row>
    <row r="5373" spans="1:6" x14ac:dyDescent="0.25">
      <c r="A5373" t="s">
        <v>38</v>
      </c>
      <c r="B5373" t="s">
        <v>39</v>
      </c>
      <c r="C5373" t="s">
        <v>61</v>
      </c>
      <c r="D5373">
        <v>259.57</v>
      </c>
      <c r="E5373">
        <v>2016</v>
      </c>
      <c r="F5373" t="s">
        <v>70</v>
      </c>
    </row>
    <row r="5374" spans="1:6" x14ac:dyDescent="0.25">
      <c r="A5374" t="s">
        <v>40</v>
      </c>
      <c r="B5374" t="s">
        <v>41</v>
      </c>
      <c r="C5374" t="s">
        <v>61</v>
      </c>
      <c r="D5374">
        <v>161.74</v>
      </c>
      <c r="E5374">
        <v>2016</v>
      </c>
      <c r="F5374" t="s">
        <v>70</v>
      </c>
    </row>
    <row r="5375" spans="1:6" x14ac:dyDescent="0.25">
      <c r="A5375" t="s">
        <v>42</v>
      </c>
      <c r="B5375" t="s">
        <v>43</v>
      </c>
      <c r="C5375" t="s">
        <v>61</v>
      </c>
      <c r="D5375">
        <v>16.29</v>
      </c>
      <c r="E5375">
        <v>2016</v>
      </c>
      <c r="F5375" t="s">
        <v>70</v>
      </c>
    </row>
    <row r="5376" spans="1:6" x14ac:dyDescent="0.25">
      <c r="A5376" t="s">
        <v>44</v>
      </c>
      <c r="B5376" t="s">
        <v>45</v>
      </c>
      <c r="C5376" t="s">
        <v>61</v>
      </c>
      <c r="D5376">
        <v>127.83</v>
      </c>
      <c r="E5376">
        <v>2016</v>
      </c>
      <c r="F5376" t="s">
        <v>70</v>
      </c>
    </row>
    <row r="5377" spans="1:6" x14ac:dyDescent="0.25">
      <c r="A5377" t="s">
        <v>46</v>
      </c>
      <c r="B5377" t="s">
        <v>47</v>
      </c>
      <c r="C5377" t="s">
        <v>61</v>
      </c>
      <c r="D5377">
        <v>36.96</v>
      </c>
      <c r="E5377">
        <v>2016</v>
      </c>
      <c r="F5377" t="s">
        <v>70</v>
      </c>
    </row>
    <row r="5378" spans="1:6" x14ac:dyDescent="0.25">
      <c r="A5378" t="s">
        <v>48</v>
      </c>
      <c r="B5378" t="s">
        <v>49</v>
      </c>
      <c r="C5378" t="s">
        <v>61</v>
      </c>
      <c r="D5378">
        <v>108.84</v>
      </c>
      <c r="E5378">
        <v>2016</v>
      </c>
      <c r="F5378" t="s">
        <v>70</v>
      </c>
    </row>
    <row r="5379" spans="1:6" x14ac:dyDescent="0.25">
      <c r="A5379" t="s">
        <v>50</v>
      </c>
      <c r="B5379" t="s">
        <v>51</v>
      </c>
      <c r="C5379" t="s">
        <v>61</v>
      </c>
      <c r="D5379">
        <v>21.89</v>
      </c>
      <c r="E5379">
        <v>2016</v>
      </c>
      <c r="F5379" t="s">
        <v>70</v>
      </c>
    </row>
    <row r="5380" spans="1:6" x14ac:dyDescent="0.25">
      <c r="A5380" t="s">
        <v>52</v>
      </c>
      <c r="B5380" t="s">
        <v>53</v>
      </c>
      <c r="C5380" t="s">
        <v>61</v>
      </c>
      <c r="D5380">
        <v>91.89</v>
      </c>
      <c r="E5380">
        <v>2016</v>
      </c>
      <c r="F5380" t="s">
        <v>70</v>
      </c>
    </row>
    <row r="5381" spans="1:6" x14ac:dyDescent="0.25">
      <c r="A5381" t="s">
        <v>54</v>
      </c>
      <c r="B5381" t="s">
        <v>55</v>
      </c>
      <c r="C5381" t="s">
        <v>61</v>
      </c>
      <c r="D5381">
        <v>36.950000000000003</v>
      </c>
      <c r="E5381">
        <v>2016</v>
      </c>
      <c r="F5381" t="s">
        <v>70</v>
      </c>
    </row>
    <row r="5382" spans="1:6" x14ac:dyDescent="0.25">
      <c r="A5382" t="s">
        <v>56</v>
      </c>
      <c r="B5382" t="s">
        <v>57</v>
      </c>
      <c r="C5382" t="s">
        <v>61</v>
      </c>
      <c r="D5382">
        <v>115.57</v>
      </c>
      <c r="E5382">
        <v>2016</v>
      </c>
      <c r="F5382" t="s">
        <v>70</v>
      </c>
    </row>
    <row r="5383" spans="1:6" x14ac:dyDescent="0.25">
      <c r="A5383" t="s">
        <v>58</v>
      </c>
      <c r="B5383" t="s">
        <v>59</v>
      </c>
      <c r="C5383" t="s">
        <v>61</v>
      </c>
      <c r="E5383">
        <v>2016</v>
      </c>
      <c r="F5383" t="s">
        <v>70</v>
      </c>
    </row>
    <row r="5384" spans="1:6" x14ac:dyDescent="0.25">
      <c r="A5384" t="s">
        <v>6</v>
      </c>
      <c r="B5384" t="s">
        <v>7</v>
      </c>
      <c r="C5384" t="s">
        <v>65</v>
      </c>
      <c r="D5384">
        <v>142810.51</v>
      </c>
      <c r="E5384">
        <v>2016</v>
      </c>
      <c r="F5384" t="s">
        <v>70</v>
      </c>
    </row>
    <row r="5385" spans="1:6" x14ac:dyDescent="0.25">
      <c r="A5385" t="s">
        <v>10</v>
      </c>
      <c r="B5385" t="s">
        <v>11</v>
      </c>
      <c r="C5385" t="s">
        <v>65</v>
      </c>
      <c r="D5385">
        <v>20779.939999999999</v>
      </c>
      <c r="E5385">
        <v>2016</v>
      </c>
      <c r="F5385" t="s">
        <v>70</v>
      </c>
    </row>
    <row r="5386" spans="1:6" x14ac:dyDescent="0.25">
      <c r="A5386" t="s">
        <v>12</v>
      </c>
      <c r="B5386" t="s">
        <v>13</v>
      </c>
      <c r="C5386" t="s">
        <v>65</v>
      </c>
      <c r="D5386">
        <v>9173.25</v>
      </c>
      <c r="E5386">
        <v>2016</v>
      </c>
      <c r="F5386" t="s">
        <v>70</v>
      </c>
    </row>
    <row r="5387" spans="1:6" x14ac:dyDescent="0.25">
      <c r="A5387" t="s">
        <v>14</v>
      </c>
      <c r="B5387" t="s">
        <v>15</v>
      </c>
      <c r="C5387" t="s">
        <v>65</v>
      </c>
      <c r="D5387">
        <v>609.97</v>
      </c>
      <c r="E5387">
        <v>2016</v>
      </c>
      <c r="F5387" t="s">
        <v>70</v>
      </c>
    </row>
    <row r="5388" spans="1:6" x14ac:dyDescent="0.25">
      <c r="A5388" t="s">
        <v>16</v>
      </c>
      <c r="B5388" t="s">
        <v>17</v>
      </c>
      <c r="C5388" t="s">
        <v>65</v>
      </c>
      <c r="D5388">
        <v>5428.26</v>
      </c>
      <c r="E5388">
        <v>2016</v>
      </c>
      <c r="F5388" t="s">
        <v>70</v>
      </c>
    </row>
    <row r="5389" spans="1:6" x14ac:dyDescent="0.25">
      <c r="A5389" t="s">
        <v>18</v>
      </c>
      <c r="B5389" t="s">
        <v>19</v>
      </c>
      <c r="C5389" t="s">
        <v>65</v>
      </c>
      <c r="D5389">
        <v>1588.46</v>
      </c>
      <c r="E5389">
        <v>2016</v>
      </c>
      <c r="F5389" t="s">
        <v>70</v>
      </c>
    </row>
    <row r="5390" spans="1:6" x14ac:dyDescent="0.25">
      <c r="A5390" t="s">
        <v>20</v>
      </c>
      <c r="B5390" t="s">
        <v>21</v>
      </c>
      <c r="C5390" t="s">
        <v>65</v>
      </c>
      <c r="D5390">
        <v>949.24</v>
      </c>
      <c r="E5390">
        <v>2016</v>
      </c>
      <c r="F5390" t="s">
        <v>70</v>
      </c>
    </row>
    <row r="5391" spans="1:6" x14ac:dyDescent="0.25">
      <c r="A5391" t="s">
        <v>22</v>
      </c>
      <c r="B5391" t="s">
        <v>23</v>
      </c>
      <c r="C5391" t="s">
        <v>65</v>
      </c>
      <c r="D5391">
        <v>439.33</v>
      </c>
      <c r="E5391">
        <v>2016</v>
      </c>
      <c r="F5391" t="s">
        <v>70</v>
      </c>
    </row>
    <row r="5392" spans="1:6" x14ac:dyDescent="0.25">
      <c r="A5392" t="s">
        <v>24</v>
      </c>
      <c r="B5392" t="s">
        <v>25</v>
      </c>
      <c r="C5392" t="s">
        <v>65</v>
      </c>
      <c r="D5392">
        <v>2898.52</v>
      </c>
      <c r="E5392">
        <v>2016</v>
      </c>
      <c r="F5392" t="s">
        <v>70</v>
      </c>
    </row>
    <row r="5393" spans="1:6" x14ac:dyDescent="0.25">
      <c r="A5393" t="s">
        <v>26</v>
      </c>
      <c r="B5393" t="s">
        <v>27</v>
      </c>
      <c r="C5393" t="s">
        <v>65</v>
      </c>
      <c r="D5393">
        <v>312.75</v>
      </c>
      <c r="E5393">
        <v>2016</v>
      </c>
      <c r="F5393" t="s">
        <v>70</v>
      </c>
    </row>
    <row r="5394" spans="1:6" x14ac:dyDescent="0.25">
      <c r="A5394" t="s">
        <v>28</v>
      </c>
      <c r="B5394" t="s">
        <v>29</v>
      </c>
      <c r="C5394" t="s">
        <v>65</v>
      </c>
      <c r="D5394">
        <v>15253</v>
      </c>
      <c r="E5394">
        <v>2016</v>
      </c>
      <c r="F5394" t="s">
        <v>70</v>
      </c>
    </row>
    <row r="5395" spans="1:6" x14ac:dyDescent="0.25">
      <c r="A5395" t="s">
        <v>30</v>
      </c>
      <c r="B5395" t="s">
        <v>31</v>
      </c>
      <c r="C5395" t="s">
        <v>65</v>
      </c>
      <c r="D5395">
        <v>12155.08</v>
      </c>
      <c r="E5395">
        <v>2016</v>
      </c>
      <c r="F5395" t="s">
        <v>70</v>
      </c>
    </row>
    <row r="5396" spans="1:6" x14ac:dyDescent="0.25">
      <c r="A5396" t="s">
        <v>32</v>
      </c>
      <c r="B5396" t="s">
        <v>33</v>
      </c>
      <c r="C5396" t="s">
        <v>65</v>
      </c>
      <c r="D5396">
        <v>1159.2</v>
      </c>
      <c r="E5396">
        <v>2016</v>
      </c>
      <c r="F5396" t="s">
        <v>70</v>
      </c>
    </row>
    <row r="5397" spans="1:6" x14ac:dyDescent="0.25">
      <c r="A5397" t="s">
        <v>34</v>
      </c>
      <c r="B5397" t="s">
        <v>35</v>
      </c>
      <c r="C5397" t="s">
        <v>65</v>
      </c>
      <c r="D5397">
        <v>5871.32</v>
      </c>
      <c r="E5397">
        <v>2016</v>
      </c>
      <c r="F5397" t="s">
        <v>70</v>
      </c>
    </row>
    <row r="5398" spans="1:6" x14ac:dyDescent="0.25">
      <c r="A5398" t="s">
        <v>36</v>
      </c>
      <c r="B5398" t="s">
        <v>37</v>
      </c>
      <c r="C5398" t="s">
        <v>65</v>
      </c>
      <c r="D5398">
        <v>8376.06</v>
      </c>
      <c r="E5398">
        <v>2016</v>
      </c>
      <c r="F5398" t="s">
        <v>70</v>
      </c>
    </row>
    <row r="5399" spans="1:6" x14ac:dyDescent="0.25">
      <c r="A5399" t="s">
        <v>38</v>
      </c>
      <c r="B5399" t="s">
        <v>39</v>
      </c>
      <c r="C5399" t="s">
        <v>65</v>
      </c>
      <c r="D5399">
        <v>8255.51</v>
      </c>
      <c r="E5399">
        <v>2016</v>
      </c>
      <c r="F5399" t="s">
        <v>70</v>
      </c>
    </row>
    <row r="5400" spans="1:6" x14ac:dyDescent="0.25">
      <c r="A5400" t="s">
        <v>40</v>
      </c>
      <c r="B5400" t="s">
        <v>41</v>
      </c>
      <c r="C5400" t="s">
        <v>65</v>
      </c>
      <c r="D5400">
        <v>6385.46</v>
      </c>
      <c r="E5400">
        <v>2016</v>
      </c>
      <c r="F5400" t="s">
        <v>70</v>
      </c>
    </row>
    <row r="5401" spans="1:6" x14ac:dyDescent="0.25">
      <c r="A5401" t="s">
        <v>42</v>
      </c>
      <c r="B5401" t="s">
        <v>43</v>
      </c>
      <c r="C5401" t="s">
        <v>65</v>
      </c>
      <c r="D5401">
        <v>4806.5600000000004</v>
      </c>
      <c r="E5401">
        <v>2016</v>
      </c>
      <c r="F5401" t="s">
        <v>70</v>
      </c>
    </row>
    <row r="5402" spans="1:6" x14ac:dyDescent="0.25">
      <c r="A5402" t="s">
        <v>44</v>
      </c>
      <c r="B5402" t="s">
        <v>45</v>
      </c>
      <c r="C5402" t="s">
        <v>65</v>
      </c>
      <c r="D5402">
        <v>10340.51</v>
      </c>
      <c r="E5402">
        <v>2016</v>
      </c>
      <c r="F5402" t="s">
        <v>70</v>
      </c>
    </row>
    <row r="5403" spans="1:6" x14ac:dyDescent="0.25">
      <c r="A5403" t="s">
        <v>46</v>
      </c>
      <c r="B5403" t="s">
        <v>47</v>
      </c>
      <c r="C5403" t="s">
        <v>65</v>
      </c>
      <c r="D5403">
        <v>12122.78</v>
      </c>
      <c r="E5403">
        <v>2016</v>
      </c>
      <c r="F5403" t="s">
        <v>70</v>
      </c>
    </row>
    <row r="5404" spans="1:6" x14ac:dyDescent="0.25">
      <c r="A5404" t="s">
        <v>48</v>
      </c>
      <c r="B5404" t="s">
        <v>49</v>
      </c>
      <c r="C5404" t="s">
        <v>65</v>
      </c>
      <c r="D5404">
        <v>14887.5</v>
      </c>
      <c r="E5404">
        <v>2016</v>
      </c>
      <c r="F5404" t="s">
        <v>70</v>
      </c>
    </row>
    <row r="5405" spans="1:6" x14ac:dyDescent="0.25">
      <c r="A5405" t="s">
        <v>50</v>
      </c>
      <c r="B5405" t="s">
        <v>51</v>
      </c>
      <c r="C5405" t="s">
        <v>65</v>
      </c>
      <c r="D5405">
        <v>433.2</v>
      </c>
      <c r="E5405">
        <v>2016</v>
      </c>
      <c r="F5405" t="s">
        <v>70</v>
      </c>
    </row>
    <row r="5406" spans="1:6" x14ac:dyDescent="0.25">
      <c r="A5406" t="s">
        <v>52</v>
      </c>
      <c r="B5406" t="s">
        <v>53</v>
      </c>
      <c r="C5406" t="s">
        <v>65</v>
      </c>
      <c r="D5406">
        <v>350.27</v>
      </c>
      <c r="E5406">
        <v>2016</v>
      </c>
      <c r="F5406" t="s">
        <v>70</v>
      </c>
    </row>
    <row r="5407" spans="1:6" x14ac:dyDescent="0.25">
      <c r="A5407" t="s">
        <v>54</v>
      </c>
      <c r="B5407" t="s">
        <v>55</v>
      </c>
      <c r="C5407" t="s">
        <v>65</v>
      </c>
      <c r="D5407">
        <v>234.34</v>
      </c>
      <c r="E5407">
        <v>2016</v>
      </c>
      <c r="F5407" t="s">
        <v>70</v>
      </c>
    </row>
    <row r="5408" spans="1:6" x14ac:dyDescent="0.25">
      <c r="A5408" t="s">
        <v>56</v>
      </c>
      <c r="B5408" t="s">
        <v>57</v>
      </c>
      <c r="C5408" t="s">
        <v>65</v>
      </c>
      <c r="E5408">
        <v>2016</v>
      </c>
      <c r="F5408" t="s">
        <v>70</v>
      </c>
    </row>
    <row r="5409" spans="1:6" x14ac:dyDescent="0.25">
      <c r="A5409" t="s">
        <v>58</v>
      </c>
      <c r="B5409" t="s">
        <v>59</v>
      </c>
      <c r="C5409" t="s">
        <v>65</v>
      </c>
      <c r="E5409">
        <v>2016</v>
      </c>
      <c r="F5409" t="s">
        <v>70</v>
      </c>
    </row>
    <row r="5410" spans="1:6" x14ac:dyDescent="0.25">
      <c r="A5410" t="s">
        <v>6</v>
      </c>
      <c r="B5410" t="s">
        <v>7</v>
      </c>
      <c r="C5410" t="s">
        <v>62</v>
      </c>
      <c r="D5410">
        <v>15283.66</v>
      </c>
      <c r="E5410">
        <v>2016</v>
      </c>
      <c r="F5410" t="s">
        <v>70</v>
      </c>
    </row>
    <row r="5411" spans="1:6" x14ac:dyDescent="0.25">
      <c r="A5411" t="s">
        <v>10</v>
      </c>
      <c r="B5411" t="s">
        <v>11</v>
      </c>
      <c r="C5411" t="s">
        <v>62</v>
      </c>
      <c r="D5411">
        <v>4498.42</v>
      </c>
      <c r="E5411">
        <v>2016</v>
      </c>
      <c r="F5411" t="s">
        <v>70</v>
      </c>
    </row>
    <row r="5412" spans="1:6" x14ac:dyDescent="0.25">
      <c r="A5412" t="s">
        <v>12</v>
      </c>
      <c r="B5412" t="s">
        <v>13</v>
      </c>
      <c r="C5412" t="s">
        <v>62</v>
      </c>
      <c r="D5412">
        <v>1355.84</v>
      </c>
      <c r="E5412">
        <v>2016</v>
      </c>
      <c r="F5412" t="s">
        <v>70</v>
      </c>
    </row>
    <row r="5413" spans="1:6" x14ac:dyDescent="0.25">
      <c r="A5413" t="s">
        <v>14</v>
      </c>
      <c r="B5413" t="s">
        <v>15</v>
      </c>
      <c r="C5413" t="s">
        <v>62</v>
      </c>
      <c r="E5413">
        <v>2016</v>
      </c>
      <c r="F5413" t="s">
        <v>70</v>
      </c>
    </row>
    <row r="5414" spans="1:6" x14ac:dyDescent="0.25">
      <c r="A5414" t="s">
        <v>16</v>
      </c>
      <c r="B5414" t="s">
        <v>17</v>
      </c>
      <c r="C5414" t="s">
        <v>62</v>
      </c>
      <c r="D5414">
        <v>580.91</v>
      </c>
      <c r="E5414">
        <v>2016</v>
      </c>
      <c r="F5414" t="s">
        <v>70</v>
      </c>
    </row>
    <row r="5415" spans="1:6" x14ac:dyDescent="0.25">
      <c r="A5415" t="s">
        <v>18</v>
      </c>
      <c r="B5415" t="s">
        <v>19</v>
      </c>
      <c r="C5415" t="s">
        <v>62</v>
      </c>
      <c r="D5415">
        <v>608.08000000000004</v>
      </c>
      <c r="E5415">
        <v>2016</v>
      </c>
      <c r="F5415" t="s">
        <v>70</v>
      </c>
    </row>
    <row r="5416" spans="1:6" x14ac:dyDescent="0.25">
      <c r="A5416" t="s">
        <v>20</v>
      </c>
      <c r="B5416" t="s">
        <v>21</v>
      </c>
      <c r="C5416" t="s">
        <v>62</v>
      </c>
      <c r="D5416">
        <v>115.73</v>
      </c>
      <c r="E5416">
        <v>2016</v>
      </c>
      <c r="F5416" t="s">
        <v>70</v>
      </c>
    </row>
    <row r="5417" spans="1:6" x14ac:dyDescent="0.25">
      <c r="A5417" t="s">
        <v>22</v>
      </c>
      <c r="B5417" t="s">
        <v>23</v>
      </c>
      <c r="C5417" t="s">
        <v>62</v>
      </c>
      <c r="D5417">
        <v>102.93</v>
      </c>
      <c r="E5417">
        <v>2016</v>
      </c>
      <c r="F5417" t="s">
        <v>70</v>
      </c>
    </row>
    <row r="5418" spans="1:6" x14ac:dyDescent="0.25">
      <c r="A5418" t="s">
        <v>24</v>
      </c>
      <c r="B5418" t="s">
        <v>25</v>
      </c>
      <c r="C5418" t="s">
        <v>62</v>
      </c>
      <c r="D5418">
        <v>601.79999999999995</v>
      </c>
      <c r="E5418">
        <v>2016</v>
      </c>
      <c r="F5418" t="s">
        <v>70</v>
      </c>
    </row>
    <row r="5419" spans="1:6" x14ac:dyDescent="0.25">
      <c r="A5419" t="s">
        <v>26</v>
      </c>
      <c r="B5419" t="s">
        <v>27</v>
      </c>
      <c r="C5419" t="s">
        <v>62</v>
      </c>
      <c r="D5419">
        <v>318.79000000000002</v>
      </c>
      <c r="E5419">
        <v>2016</v>
      </c>
      <c r="F5419" t="s">
        <v>70</v>
      </c>
    </row>
    <row r="5420" spans="1:6" x14ac:dyDescent="0.25">
      <c r="A5420" t="s">
        <v>28</v>
      </c>
      <c r="B5420" t="s">
        <v>29</v>
      </c>
      <c r="C5420" t="s">
        <v>62</v>
      </c>
      <c r="D5420">
        <v>669.52</v>
      </c>
      <c r="E5420">
        <v>2016</v>
      </c>
      <c r="F5420" t="s">
        <v>70</v>
      </c>
    </row>
    <row r="5421" spans="1:6" x14ac:dyDescent="0.25">
      <c r="A5421" t="s">
        <v>30</v>
      </c>
      <c r="B5421" t="s">
        <v>31</v>
      </c>
      <c r="C5421" t="s">
        <v>62</v>
      </c>
      <c r="D5421">
        <v>1152.9100000000001</v>
      </c>
      <c r="E5421">
        <v>2016</v>
      </c>
      <c r="F5421" t="s">
        <v>70</v>
      </c>
    </row>
    <row r="5422" spans="1:6" x14ac:dyDescent="0.25">
      <c r="A5422" t="s">
        <v>32</v>
      </c>
      <c r="B5422" t="s">
        <v>33</v>
      </c>
      <c r="C5422" t="s">
        <v>62</v>
      </c>
      <c r="D5422">
        <v>512.16</v>
      </c>
      <c r="E5422">
        <v>2016</v>
      </c>
      <c r="F5422" t="s">
        <v>70</v>
      </c>
    </row>
    <row r="5423" spans="1:6" x14ac:dyDescent="0.25">
      <c r="A5423" t="s">
        <v>34</v>
      </c>
      <c r="B5423" t="s">
        <v>35</v>
      </c>
      <c r="C5423" t="s">
        <v>62</v>
      </c>
      <c r="D5423">
        <v>998.19</v>
      </c>
      <c r="E5423">
        <v>2016</v>
      </c>
      <c r="F5423" t="s">
        <v>70</v>
      </c>
    </row>
    <row r="5424" spans="1:6" x14ac:dyDescent="0.25">
      <c r="A5424" t="s">
        <v>36</v>
      </c>
      <c r="B5424" t="s">
        <v>37</v>
      </c>
      <c r="C5424" t="s">
        <v>62</v>
      </c>
      <c r="D5424">
        <v>1335.27</v>
      </c>
      <c r="E5424">
        <v>2016</v>
      </c>
      <c r="F5424" t="s">
        <v>70</v>
      </c>
    </row>
    <row r="5425" spans="1:6" x14ac:dyDescent="0.25">
      <c r="A5425" t="s">
        <v>38</v>
      </c>
      <c r="B5425" t="s">
        <v>39</v>
      </c>
      <c r="C5425" t="s">
        <v>62</v>
      </c>
      <c r="D5425">
        <v>499.66</v>
      </c>
      <c r="E5425">
        <v>2016</v>
      </c>
      <c r="F5425" t="s">
        <v>70</v>
      </c>
    </row>
    <row r="5426" spans="1:6" x14ac:dyDescent="0.25">
      <c r="A5426" t="s">
        <v>40</v>
      </c>
      <c r="B5426" t="s">
        <v>41</v>
      </c>
      <c r="C5426" t="s">
        <v>62</v>
      </c>
      <c r="D5426">
        <v>675.14</v>
      </c>
      <c r="E5426">
        <v>2016</v>
      </c>
      <c r="F5426" t="s">
        <v>70</v>
      </c>
    </row>
    <row r="5427" spans="1:6" x14ac:dyDescent="0.25">
      <c r="A5427" t="s">
        <v>42</v>
      </c>
      <c r="B5427" t="s">
        <v>43</v>
      </c>
      <c r="C5427" t="s">
        <v>62</v>
      </c>
      <c r="D5427">
        <v>25.06</v>
      </c>
      <c r="E5427">
        <v>2016</v>
      </c>
      <c r="F5427" t="s">
        <v>70</v>
      </c>
    </row>
    <row r="5428" spans="1:6" x14ac:dyDescent="0.25">
      <c r="A5428" t="s">
        <v>44</v>
      </c>
      <c r="B5428" t="s">
        <v>45</v>
      </c>
      <c r="C5428" t="s">
        <v>62</v>
      </c>
      <c r="D5428">
        <v>207.23</v>
      </c>
      <c r="E5428">
        <v>2016</v>
      </c>
      <c r="F5428" t="s">
        <v>70</v>
      </c>
    </row>
    <row r="5429" spans="1:6" x14ac:dyDescent="0.25">
      <c r="A5429" t="s">
        <v>46</v>
      </c>
      <c r="B5429" t="s">
        <v>47</v>
      </c>
      <c r="C5429" t="s">
        <v>62</v>
      </c>
      <c r="D5429">
        <v>266.77999999999997</v>
      </c>
      <c r="E5429">
        <v>2016</v>
      </c>
      <c r="F5429" t="s">
        <v>70</v>
      </c>
    </row>
    <row r="5430" spans="1:6" x14ac:dyDescent="0.25">
      <c r="A5430" t="s">
        <v>48</v>
      </c>
      <c r="B5430" t="s">
        <v>49</v>
      </c>
      <c r="C5430" t="s">
        <v>62</v>
      </c>
      <c r="D5430">
        <v>120.89</v>
      </c>
      <c r="E5430">
        <v>2016</v>
      </c>
      <c r="F5430" t="s">
        <v>70</v>
      </c>
    </row>
    <row r="5431" spans="1:6" x14ac:dyDescent="0.25">
      <c r="A5431" t="s">
        <v>50</v>
      </c>
      <c r="B5431" t="s">
        <v>51</v>
      </c>
      <c r="C5431" t="s">
        <v>62</v>
      </c>
      <c r="D5431">
        <v>57.91</v>
      </c>
      <c r="E5431">
        <v>2016</v>
      </c>
      <c r="F5431" t="s">
        <v>70</v>
      </c>
    </row>
    <row r="5432" spans="1:6" x14ac:dyDescent="0.25">
      <c r="A5432" t="s">
        <v>52</v>
      </c>
      <c r="B5432" t="s">
        <v>53</v>
      </c>
      <c r="C5432" t="s">
        <v>62</v>
      </c>
      <c r="D5432">
        <v>210.35</v>
      </c>
      <c r="E5432">
        <v>2016</v>
      </c>
      <c r="F5432" t="s">
        <v>70</v>
      </c>
    </row>
    <row r="5433" spans="1:6" x14ac:dyDescent="0.25">
      <c r="A5433" t="s">
        <v>54</v>
      </c>
      <c r="B5433" t="s">
        <v>55</v>
      </c>
      <c r="C5433" t="s">
        <v>62</v>
      </c>
      <c r="D5433">
        <v>101.25</v>
      </c>
      <c r="E5433">
        <v>2016</v>
      </c>
      <c r="F5433" t="s">
        <v>70</v>
      </c>
    </row>
    <row r="5434" spans="1:6" x14ac:dyDescent="0.25">
      <c r="A5434" t="s">
        <v>56</v>
      </c>
      <c r="B5434" t="s">
        <v>57</v>
      </c>
      <c r="C5434" t="s">
        <v>62</v>
      </c>
      <c r="D5434">
        <v>268.83999999999997</v>
      </c>
      <c r="E5434">
        <v>2016</v>
      </c>
      <c r="F5434" t="s">
        <v>70</v>
      </c>
    </row>
    <row r="5435" spans="1:6" x14ac:dyDescent="0.25">
      <c r="A5435" t="s">
        <v>58</v>
      </c>
      <c r="B5435" t="s">
        <v>59</v>
      </c>
      <c r="C5435" t="s">
        <v>62</v>
      </c>
      <c r="E5435">
        <v>2016</v>
      </c>
      <c r="F5435" t="s">
        <v>70</v>
      </c>
    </row>
    <row r="5436" spans="1:6" x14ac:dyDescent="0.25">
      <c r="A5436" t="s">
        <v>6</v>
      </c>
      <c r="B5436" t="s">
        <v>7</v>
      </c>
      <c r="C5436" t="s">
        <v>66</v>
      </c>
      <c r="D5436">
        <v>3763.99</v>
      </c>
      <c r="E5436">
        <v>2016</v>
      </c>
      <c r="F5436" t="s">
        <v>70</v>
      </c>
    </row>
    <row r="5437" spans="1:6" x14ac:dyDescent="0.25">
      <c r="A5437" t="s">
        <v>10</v>
      </c>
      <c r="B5437" t="s">
        <v>11</v>
      </c>
      <c r="C5437" t="s">
        <v>66</v>
      </c>
      <c r="D5437">
        <v>1403.05</v>
      </c>
      <c r="E5437">
        <v>2016</v>
      </c>
      <c r="F5437" t="s">
        <v>70</v>
      </c>
    </row>
    <row r="5438" spans="1:6" x14ac:dyDescent="0.25">
      <c r="A5438" t="s">
        <v>12</v>
      </c>
      <c r="B5438" t="s">
        <v>13</v>
      </c>
      <c r="C5438" t="s">
        <v>66</v>
      </c>
      <c r="D5438">
        <v>266.56</v>
      </c>
      <c r="E5438">
        <v>2016</v>
      </c>
      <c r="F5438" t="s">
        <v>70</v>
      </c>
    </row>
    <row r="5439" spans="1:6" x14ac:dyDescent="0.25">
      <c r="A5439" t="s">
        <v>14</v>
      </c>
      <c r="B5439" t="s">
        <v>15</v>
      </c>
      <c r="C5439" t="s">
        <v>66</v>
      </c>
      <c r="E5439">
        <v>2016</v>
      </c>
      <c r="F5439" t="s">
        <v>70</v>
      </c>
    </row>
    <row r="5440" spans="1:6" x14ac:dyDescent="0.25">
      <c r="A5440" t="s">
        <v>16</v>
      </c>
      <c r="B5440" t="s">
        <v>17</v>
      </c>
      <c r="C5440" t="s">
        <v>66</v>
      </c>
      <c r="D5440">
        <v>52.89</v>
      </c>
      <c r="E5440">
        <v>2016</v>
      </c>
      <c r="F5440" t="s">
        <v>70</v>
      </c>
    </row>
    <row r="5441" spans="1:6" x14ac:dyDescent="0.25">
      <c r="A5441" t="s">
        <v>18</v>
      </c>
      <c r="B5441" t="s">
        <v>19</v>
      </c>
      <c r="C5441" t="s">
        <v>66</v>
      </c>
      <c r="D5441">
        <v>35.630000000000003</v>
      </c>
      <c r="E5441">
        <v>2016</v>
      </c>
      <c r="F5441" t="s">
        <v>70</v>
      </c>
    </row>
    <row r="5442" spans="1:6" x14ac:dyDescent="0.25">
      <c r="A5442" t="s">
        <v>20</v>
      </c>
      <c r="B5442" t="s">
        <v>21</v>
      </c>
      <c r="C5442" t="s">
        <v>66</v>
      </c>
      <c r="D5442">
        <v>74.959999999999994</v>
      </c>
      <c r="E5442">
        <v>2016</v>
      </c>
      <c r="F5442" t="s">
        <v>70</v>
      </c>
    </row>
    <row r="5443" spans="1:6" x14ac:dyDescent="0.25">
      <c r="A5443" t="s">
        <v>22</v>
      </c>
      <c r="B5443" t="s">
        <v>23</v>
      </c>
      <c r="C5443" t="s">
        <v>66</v>
      </c>
      <c r="D5443">
        <v>47.15</v>
      </c>
      <c r="E5443">
        <v>2016</v>
      </c>
      <c r="F5443" t="s">
        <v>70</v>
      </c>
    </row>
    <row r="5444" spans="1:6" x14ac:dyDescent="0.25">
      <c r="A5444" t="s">
        <v>24</v>
      </c>
      <c r="B5444" t="s">
        <v>25</v>
      </c>
      <c r="C5444" t="s">
        <v>66</v>
      </c>
      <c r="D5444">
        <v>336.66</v>
      </c>
      <c r="E5444">
        <v>2016</v>
      </c>
      <c r="F5444" t="s">
        <v>70</v>
      </c>
    </row>
    <row r="5445" spans="1:6" x14ac:dyDescent="0.25">
      <c r="A5445" t="s">
        <v>26</v>
      </c>
      <c r="B5445" t="s">
        <v>27</v>
      </c>
      <c r="C5445" t="s">
        <v>66</v>
      </c>
      <c r="D5445">
        <v>65.95</v>
      </c>
      <c r="E5445">
        <v>2016</v>
      </c>
      <c r="F5445" t="s">
        <v>70</v>
      </c>
    </row>
    <row r="5446" spans="1:6" x14ac:dyDescent="0.25">
      <c r="A5446" t="s">
        <v>28</v>
      </c>
      <c r="B5446" t="s">
        <v>29</v>
      </c>
      <c r="C5446" t="s">
        <v>66</v>
      </c>
      <c r="D5446">
        <v>419.63</v>
      </c>
      <c r="E5446">
        <v>2016</v>
      </c>
      <c r="F5446" t="s">
        <v>70</v>
      </c>
    </row>
    <row r="5447" spans="1:6" x14ac:dyDescent="0.25">
      <c r="A5447" t="s">
        <v>30</v>
      </c>
      <c r="B5447" t="s">
        <v>31</v>
      </c>
      <c r="C5447" t="s">
        <v>66</v>
      </c>
      <c r="D5447">
        <v>260.5</v>
      </c>
      <c r="E5447">
        <v>2016</v>
      </c>
      <c r="F5447" t="s">
        <v>70</v>
      </c>
    </row>
    <row r="5448" spans="1:6" x14ac:dyDescent="0.25">
      <c r="A5448" t="s">
        <v>32</v>
      </c>
      <c r="B5448" t="s">
        <v>33</v>
      </c>
      <c r="C5448" t="s">
        <v>66</v>
      </c>
      <c r="D5448">
        <v>272.33</v>
      </c>
      <c r="E5448">
        <v>2016</v>
      </c>
      <c r="F5448" t="s">
        <v>70</v>
      </c>
    </row>
    <row r="5449" spans="1:6" x14ac:dyDescent="0.25">
      <c r="A5449" t="s">
        <v>34</v>
      </c>
      <c r="B5449" t="s">
        <v>35</v>
      </c>
      <c r="C5449" t="s">
        <v>66</v>
      </c>
      <c r="D5449">
        <v>143.41</v>
      </c>
      <c r="E5449">
        <v>2016</v>
      </c>
      <c r="F5449" t="s">
        <v>70</v>
      </c>
    </row>
    <row r="5450" spans="1:6" x14ac:dyDescent="0.25">
      <c r="A5450" t="s">
        <v>36</v>
      </c>
      <c r="B5450" t="s">
        <v>37</v>
      </c>
      <c r="C5450" t="s">
        <v>66</v>
      </c>
      <c r="D5450">
        <v>51.74</v>
      </c>
      <c r="E5450">
        <v>2016</v>
      </c>
      <c r="F5450" t="s">
        <v>70</v>
      </c>
    </row>
    <row r="5451" spans="1:6" x14ac:dyDescent="0.25">
      <c r="A5451" t="s">
        <v>38</v>
      </c>
      <c r="B5451" t="s">
        <v>39</v>
      </c>
      <c r="C5451" t="s">
        <v>66</v>
      </c>
      <c r="D5451">
        <v>27.09</v>
      </c>
      <c r="E5451">
        <v>2016</v>
      </c>
      <c r="F5451" t="s">
        <v>70</v>
      </c>
    </row>
    <row r="5452" spans="1:6" x14ac:dyDescent="0.25">
      <c r="A5452" t="s">
        <v>40</v>
      </c>
      <c r="B5452" t="s">
        <v>41</v>
      </c>
      <c r="C5452" t="s">
        <v>66</v>
      </c>
      <c r="D5452">
        <v>96.36</v>
      </c>
      <c r="E5452">
        <v>2016</v>
      </c>
      <c r="F5452" t="s">
        <v>70</v>
      </c>
    </row>
    <row r="5453" spans="1:6" x14ac:dyDescent="0.25">
      <c r="A5453" t="s">
        <v>42</v>
      </c>
      <c r="B5453" t="s">
        <v>43</v>
      </c>
      <c r="C5453" t="s">
        <v>66</v>
      </c>
      <c r="D5453">
        <v>1.83</v>
      </c>
      <c r="E5453">
        <v>2016</v>
      </c>
      <c r="F5453" t="s">
        <v>70</v>
      </c>
    </row>
    <row r="5454" spans="1:6" x14ac:dyDescent="0.25">
      <c r="A5454" t="s">
        <v>44</v>
      </c>
      <c r="B5454" t="s">
        <v>45</v>
      </c>
      <c r="C5454" t="s">
        <v>66</v>
      </c>
      <c r="D5454">
        <v>33.86</v>
      </c>
      <c r="E5454">
        <v>2016</v>
      </c>
      <c r="F5454" t="s">
        <v>70</v>
      </c>
    </row>
    <row r="5455" spans="1:6" x14ac:dyDescent="0.25">
      <c r="A5455" t="s">
        <v>46</v>
      </c>
      <c r="B5455" t="s">
        <v>47</v>
      </c>
      <c r="C5455" t="s">
        <v>66</v>
      </c>
      <c r="D5455">
        <v>13.68</v>
      </c>
      <c r="E5455">
        <v>2016</v>
      </c>
      <c r="F5455" t="s">
        <v>70</v>
      </c>
    </row>
    <row r="5456" spans="1:6" x14ac:dyDescent="0.25">
      <c r="A5456" t="s">
        <v>48</v>
      </c>
      <c r="B5456" t="s">
        <v>49</v>
      </c>
      <c r="C5456" t="s">
        <v>66</v>
      </c>
      <c r="D5456">
        <v>43.52</v>
      </c>
      <c r="E5456">
        <v>2016</v>
      </c>
      <c r="F5456" t="s">
        <v>70</v>
      </c>
    </row>
    <row r="5457" spans="1:6" x14ac:dyDescent="0.25">
      <c r="A5457" t="s">
        <v>50</v>
      </c>
      <c r="B5457" t="s">
        <v>51</v>
      </c>
      <c r="C5457" t="s">
        <v>66</v>
      </c>
      <c r="E5457">
        <v>2016</v>
      </c>
      <c r="F5457" t="s">
        <v>70</v>
      </c>
    </row>
    <row r="5458" spans="1:6" x14ac:dyDescent="0.25">
      <c r="A5458" t="s">
        <v>52</v>
      </c>
      <c r="B5458" t="s">
        <v>53</v>
      </c>
      <c r="C5458" t="s">
        <v>66</v>
      </c>
      <c r="D5458">
        <v>38.130000000000003</v>
      </c>
      <c r="E5458">
        <v>2016</v>
      </c>
      <c r="F5458" t="s">
        <v>70</v>
      </c>
    </row>
    <row r="5459" spans="1:6" x14ac:dyDescent="0.25">
      <c r="A5459" t="s">
        <v>54</v>
      </c>
      <c r="B5459" t="s">
        <v>55</v>
      </c>
      <c r="C5459" t="s">
        <v>66</v>
      </c>
      <c r="D5459">
        <v>17.54</v>
      </c>
      <c r="E5459">
        <v>2016</v>
      </c>
      <c r="F5459" t="s">
        <v>70</v>
      </c>
    </row>
    <row r="5460" spans="1:6" x14ac:dyDescent="0.25">
      <c r="A5460" t="s">
        <v>56</v>
      </c>
      <c r="B5460" t="s">
        <v>57</v>
      </c>
      <c r="C5460" t="s">
        <v>66</v>
      </c>
      <c r="D5460">
        <v>61.52</v>
      </c>
      <c r="E5460">
        <v>2016</v>
      </c>
      <c r="F5460" t="s">
        <v>70</v>
      </c>
    </row>
    <row r="5461" spans="1:6" x14ac:dyDescent="0.25">
      <c r="A5461" t="s">
        <v>58</v>
      </c>
      <c r="B5461" t="s">
        <v>59</v>
      </c>
      <c r="C5461" t="s">
        <v>66</v>
      </c>
      <c r="E5461">
        <v>2016</v>
      </c>
      <c r="F5461" t="s">
        <v>70</v>
      </c>
    </row>
    <row r="5462" spans="1:6" x14ac:dyDescent="0.25">
      <c r="A5462" t="s">
        <v>6</v>
      </c>
      <c r="B5462" t="s">
        <v>7</v>
      </c>
      <c r="C5462" t="s">
        <v>63</v>
      </c>
      <c r="D5462">
        <v>202753.23</v>
      </c>
      <c r="E5462">
        <v>2017</v>
      </c>
      <c r="F5462" t="s">
        <v>70</v>
      </c>
    </row>
    <row r="5463" spans="1:6" x14ac:dyDescent="0.25">
      <c r="A5463" t="s">
        <v>10</v>
      </c>
      <c r="B5463" t="s">
        <v>11</v>
      </c>
      <c r="C5463" t="s">
        <v>63</v>
      </c>
      <c r="D5463">
        <v>39864.33</v>
      </c>
      <c r="E5463">
        <v>2017</v>
      </c>
      <c r="F5463" t="s">
        <v>70</v>
      </c>
    </row>
    <row r="5464" spans="1:6" x14ac:dyDescent="0.25">
      <c r="A5464" t="s">
        <v>12</v>
      </c>
      <c r="B5464" t="s">
        <v>13</v>
      </c>
      <c r="C5464" t="s">
        <v>63</v>
      </c>
      <c r="D5464">
        <v>7699.36</v>
      </c>
      <c r="E5464">
        <v>2017</v>
      </c>
      <c r="F5464" t="s">
        <v>70</v>
      </c>
    </row>
    <row r="5465" spans="1:6" x14ac:dyDescent="0.25">
      <c r="A5465" t="s">
        <v>14</v>
      </c>
      <c r="B5465" t="s">
        <v>15</v>
      </c>
      <c r="C5465" t="s">
        <v>63</v>
      </c>
      <c r="D5465">
        <v>1082.52</v>
      </c>
      <c r="E5465">
        <v>2017</v>
      </c>
      <c r="F5465" t="s">
        <v>70</v>
      </c>
    </row>
    <row r="5466" spans="1:6" x14ac:dyDescent="0.25">
      <c r="A5466" t="s">
        <v>16</v>
      </c>
      <c r="B5466" t="s">
        <v>17</v>
      </c>
      <c r="C5466" t="s">
        <v>63</v>
      </c>
      <c r="D5466">
        <v>4030.87</v>
      </c>
      <c r="E5466">
        <v>2017</v>
      </c>
      <c r="F5466" t="s">
        <v>70</v>
      </c>
    </row>
    <row r="5467" spans="1:6" x14ac:dyDescent="0.25">
      <c r="A5467" t="s">
        <v>18</v>
      </c>
      <c r="B5467" t="s">
        <v>19</v>
      </c>
      <c r="C5467" t="s">
        <v>63</v>
      </c>
      <c r="D5467">
        <v>4515.8500000000004</v>
      </c>
      <c r="E5467">
        <v>2017</v>
      </c>
      <c r="F5467" t="s">
        <v>70</v>
      </c>
    </row>
    <row r="5468" spans="1:6" x14ac:dyDescent="0.25">
      <c r="A5468" t="s">
        <v>20</v>
      </c>
      <c r="B5468" t="s">
        <v>21</v>
      </c>
      <c r="C5468" t="s">
        <v>63</v>
      </c>
      <c r="D5468">
        <v>3889.95</v>
      </c>
      <c r="E5468">
        <v>2017</v>
      </c>
      <c r="F5468" t="s">
        <v>70</v>
      </c>
    </row>
    <row r="5469" spans="1:6" x14ac:dyDescent="0.25">
      <c r="A5469" t="s">
        <v>22</v>
      </c>
      <c r="B5469" t="s">
        <v>23</v>
      </c>
      <c r="C5469" t="s">
        <v>63</v>
      </c>
      <c r="D5469">
        <v>2218.88</v>
      </c>
      <c r="E5469">
        <v>2017</v>
      </c>
      <c r="F5469" t="s">
        <v>70</v>
      </c>
    </row>
    <row r="5470" spans="1:6" x14ac:dyDescent="0.25">
      <c r="A5470" t="s">
        <v>24</v>
      </c>
      <c r="B5470" t="s">
        <v>25</v>
      </c>
      <c r="C5470" t="s">
        <v>63</v>
      </c>
      <c r="D5470">
        <v>9825.58</v>
      </c>
      <c r="E5470">
        <v>2017</v>
      </c>
      <c r="F5470" t="s">
        <v>70</v>
      </c>
    </row>
    <row r="5471" spans="1:6" x14ac:dyDescent="0.25">
      <c r="A5471" t="s">
        <v>26</v>
      </c>
      <c r="B5471" t="s">
        <v>27</v>
      </c>
      <c r="C5471" t="s">
        <v>63</v>
      </c>
      <c r="D5471">
        <v>1254.46</v>
      </c>
      <c r="E5471">
        <v>2017</v>
      </c>
      <c r="F5471" t="s">
        <v>70</v>
      </c>
    </row>
    <row r="5472" spans="1:6" x14ac:dyDescent="0.25">
      <c r="A5472" t="s">
        <v>28</v>
      </c>
      <c r="B5472" t="s">
        <v>29</v>
      </c>
      <c r="C5472" t="s">
        <v>63</v>
      </c>
      <c r="D5472">
        <v>20824.13</v>
      </c>
      <c r="E5472">
        <v>2017</v>
      </c>
      <c r="F5472" t="s">
        <v>70</v>
      </c>
    </row>
    <row r="5473" spans="1:6" x14ac:dyDescent="0.25">
      <c r="A5473" t="s">
        <v>30</v>
      </c>
      <c r="B5473" t="s">
        <v>31</v>
      </c>
      <c r="C5473" t="s">
        <v>63</v>
      </c>
      <c r="D5473">
        <v>21468.7</v>
      </c>
      <c r="E5473">
        <v>2017</v>
      </c>
      <c r="F5473" t="s">
        <v>70</v>
      </c>
    </row>
    <row r="5474" spans="1:6" x14ac:dyDescent="0.25">
      <c r="A5474" t="s">
        <v>32</v>
      </c>
      <c r="B5474" t="s">
        <v>33</v>
      </c>
      <c r="C5474" t="s">
        <v>63</v>
      </c>
      <c r="D5474">
        <v>6901.87</v>
      </c>
      <c r="E5474">
        <v>2017</v>
      </c>
      <c r="F5474" t="s">
        <v>70</v>
      </c>
    </row>
    <row r="5475" spans="1:6" x14ac:dyDescent="0.25">
      <c r="A5475" t="s">
        <v>34</v>
      </c>
      <c r="B5475" t="s">
        <v>35</v>
      </c>
      <c r="C5475" t="s">
        <v>63</v>
      </c>
      <c r="D5475">
        <v>7794.97</v>
      </c>
      <c r="E5475">
        <v>2017</v>
      </c>
      <c r="F5475" t="s">
        <v>70</v>
      </c>
    </row>
    <row r="5476" spans="1:6" x14ac:dyDescent="0.25">
      <c r="A5476" t="s">
        <v>36</v>
      </c>
      <c r="B5476" t="s">
        <v>37</v>
      </c>
      <c r="C5476" t="s">
        <v>63</v>
      </c>
      <c r="D5476">
        <v>5758.44</v>
      </c>
      <c r="E5476">
        <v>2017</v>
      </c>
      <c r="F5476" t="s">
        <v>70</v>
      </c>
    </row>
    <row r="5477" spans="1:6" x14ac:dyDescent="0.25">
      <c r="A5477" t="s">
        <v>38</v>
      </c>
      <c r="B5477" t="s">
        <v>39</v>
      </c>
      <c r="C5477" t="s">
        <v>63</v>
      </c>
      <c r="D5477">
        <v>12202.5</v>
      </c>
      <c r="E5477">
        <v>2017</v>
      </c>
      <c r="F5477" t="s">
        <v>70</v>
      </c>
    </row>
    <row r="5478" spans="1:6" x14ac:dyDescent="0.25">
      <c r="A5478" t="s">
        <v>40</v>
      </c>
      <c r="B5478" t="s">
        <v>41</v>
      </c>
      <c r="C5478" t="s">
        <v>63</v>
      </c>
      <c r="D5478">
        <v>6105.41</v>
      </c>
      <c r="E5478">
        <v>2017</v>
      </c>
      <c r="F5478" t="s">
        <v>70</v>
      </c>
    </row>
    <row r="5479" spans="1:6" x14ac:dyDescent="0.25">
      <c r="A5479" t="s">
        <v>42</v>
      </c>
      <c r="B5479" t="s">
        <v>43</v>
      </c>
      <c r="C5479" t="s">
        <v>63</v>
      </c>
      <c r="D5479">
        <v>5157.43</v>
      </c>
      <c r="E5479">
        <v>2017</v>
      </c>
      <c r="F5479" t="s">
        <v>70</v>
      </c>
    </row>
    <row r="5480" spans="1:6" x14ac:dyDescent="0.25">
      <c r="A5480" t="s">
        <v>44</v>
      </c>
      <c r="B5480" t="s">
        <v>45</v>
      </c>
      <c r="C5480" t="s">
        <v>63</v>
      </c>
      <c r="D5480">
        <v>5618.79</v>
      </c>
      <c r="E5480">
        <v>2017</v>
      </c>
      <c r="F5480" t="s">
        <v>70</v>
      </c>
    </row>
    <row r="5481" spans="1:6" x14ac:dyDescent="0.25">
      <c r="A5481" t="s">
        <v>46</v>
      </c>
      <c r="B5481" t="s">
        <v>47</v>
      </c>
      <c r="C5481" t="s">
        <v>63</v>
      </c>
      <c r="D5481">
        <v>9088.2000000000007</v>
      </c>
      <c r="E5481">
        <v>2017</v>
      </c>
      <c r="F5481" t="s">
        <v>70</v>
      </c>
    </row>
    <row r="5482" spans="1:6" x14ac:dyDescent="0.25">
      <c r="A5482" t="s">
        <v>48</v>
      </c>
      <c r="B5482" t="s">
        <v>49</v>
      </c>
      <c r="C5482" t="s">
        <v>63</v>
      </c>
      <c r="D5482">
        <v>15814.61</v>
      </c>
      <c r="E5482">
        <v>2017</v>
      </c>
      <c r="F5482" t="s">
        <v>70</v>
      </c>
    </row>
    <row r="5483" spans="1:6" x14ac:dyDescent="0.25">
      <c r="A5483" t="s">
        <v>50</v>
      </c>
      <c r="B5483" t="s">
        <v>51</v>
      </c>
      <c r="C5483" t="s">
        <v>63</v>
      </c>
      <c r="D5483">
        <v>3658.93</v>
      </c>
      <c r="E5483">
        <v>2017</v>
      </c>
      <c r="F5483" t="s">
        <v>70</v>
      </c>
    </row>
    <row r="5484" spans="1:6" x14ac:dyDescent="0.25">
      <c r="A5484" t="s">
        <v>52</v>
      </c>
      <c r="B5484" t="s">
        <v>53</v>
      </c>
      <c r="C5484" t="s">
        <v>63</v>
      </c>
      <c r="D5484">
        <v>2137.16</v>
      </c>
      <c r="E5484">
        <v>2017</v>
      </c>
      <c r="F5484" t="s">
        <v>70</v>
      </c>
    </row>
    <row r="5485" spans="1:6" x14ac:dyDescent="0.25">
      <c r="A5485" t="s">
        <v>54</v>
      </c>
      <c r="B5485" t="s">
        <v>55</v>
      </c>
      <c r="C5485" t="s">
        <v>63</v>
      </c>
      <c r="D5485">
        <v>2490.58</v>
      </c>
      <c r="E5485">
        <v>2017</v>
      </c>
      <c r="F5485" t="s">
        <v>70</v>
      </c>
    </row>
    <row r="5486" spans="1:6" x14ac:dyDescent="0.25">
      <c r="A5486" t="s">
        <v>56</v>
      </c>
      <c r="B5486" t="s">
        <v>57</v>
      </c>
      <c r="C5486" t="s">
        <v>63</v>
      </c>
      <c r="D5486">
        <v>3349.71</v>
      </c>
      <c r="E5486">
        <v>2017</v>
      </c>
      <c r="F5486" t="s">
        <v>70</v>
      </c>
    </row>
    <row r="5487" spans="1:6" x14ac:dyDescent="0.25">
      <c r="A5487" t="s">
        <v>58</v>
      </c>
      <c r="B5487" t="s">
        <v>59</v>
      </c>
      <c r="C5487" t="s">
        <v>63</v>
      </c>
      <c r="E5487">
        <v>2017</v>
      </c>
      <c r="F5487" t="s">
        <v>70</v>
      </c>
    </row>
    <row r="5488" spans="1:6" x14ac:dyDescent="0.25">
      <c r="A5488" t="s">
        <v>6</v>
      </c>
      <c r="B5488" t="s">
        <v>7</v>
      </c>
      <c r="C5488" t="s">
        <v>8</v>
      </c>
      <c r="D5488">
        <v>26411.42</v>
      </c>
      <c r="E5488">
        <v>2017</v>
      </c>
      <c r="F5488" t="s">
        <v>70</v>
      </c>
    </row>
    <row r="5489" spans="1:6" x14ac:dyDescent="0.25">
      <c r="A5489" t="s">
        <v>10</v>
      </c>
      <c r="B5489" t="s">
        <v>11</v>
      </c>
      <c r="C5489" t="s">
        <v>8</v>
      </c>
      <c r="D5489">
        <v>7853.61</v>
      </c>
      <c r="E5489">
        <v>2017</v>
      </c>
      <c r="F5489" t="s">
        <v>70</v>
      </c>
    </row>
    <row r="5490" spans="1:6" x14ac:dyDescent="0.25">
      <c r="A5490" t="s">
        <v>12</v>
      </c>
      <c r="B5490" t="s">
        <v>13</v>
      </c>
      <c r="C5490" t="s">
        <v>8</v>
      </c>
      <c r="D5490">
        <v>3042.59</v>
      </c>
      <c r="E5490">
        <v>2017</v>
      </c>
      <c r="F5490" t="s">
        <v>70</v>
      </c>
    </row>
    <row r="5491" spans="1:6" x14ac:dyDescent="0.25">
      <c r="A5491" t="s">
        <v>14</v>
      </c>
      <c r="B5491" t="s">
        <v>15</v>
      </c>
      <c r="C5491" t="s">
        <v>8</v>
      </c>
      <c r="E5491">
        <v>2017</v>
      </c>
      <c r="F5491" t="s">
        <v>70</v>
      </c>
    </row>
    <row r="5492" spans="1:6" x14ac:dyDescent="0.25">
      <c r="A5492" t="s">
        <v>16</v>
      </c>
      <c r="B5492" t="s">
        <v>17</v>
      </c>
      <c r="C5492" t="s">
        <v>8</v>
      </c>
      <c r="D5492">
        <v>218.25</v>
      </c>
      <c r="E5492">
        <v>2017</v>
      </c>
      <c r="F5492" t="s">
        <v>70</v>
      </c>
    </row>
    <row r="5493" spans="1:6" x14ac:dyDescent="0.25">
      <c r="A5493" t="s">
        <v>18</v>
      </c>
      <c r="B5493" t="s">
        <v>19</v>
      </c>
      <c r="C5493" t="s">
        <v>8</v>
      </c>
      <c r="D5493">
        <v>177.95</v>
      </c>
      <c r="E5493">
        <v>2017</v>
      </c>
      <c r="F5493" t="s">
        <v>70</v>
      </c>
    </row>
    <row r="5494" spans="1:6" x14ac:dyDescent="0.25">
      <c r="A5494" t="s">
        <v>20</v>
      </c>
      <c r="B5494" t="s">
        <v>21</v>
      </c>
      <c r="C5494" t="s">
        <v>8</v>
      </c>
      <c r="D5494">
        <v>160.46</v>
      </c>
      <c r="E5494">
        <v>2017</v>
      </c>
      <c r="F5494" t="s">
        <v>70</v>
      </c>
    </row>
    <row r="5495" spans="1:6" x14ac:dyDescent="0.25">
      <c r="A5495" t="s">
        <v>22</v>
      </c>
      <c r="B5495" t="s">
        <v>23</v>
      </c>
      <c r="C5495" t="s">
        <v>8</v>
      </c>
      <c r="D5495">
        <v>1131.56</v>
      </c>
      <c r="E5495">
        <v>2017</v>
      </c>
      <c r="F5495" t="s">
        <v>70</v>
      </c>
    </row>
    <row r="5496" spans="1:6" x14ac:dyDescent="0.25">
      <c r="A5496" t="s">
        <v>24</v>
      </c>
      <c r="B5496" t="s">
        <v>25</v>
      </c>
      <c r="C5496" t="s">
        <v>8</v>
      </c>
      <c r="D5496">
        <v>2171.4899999999998</v>
      </c>
      <c r="E5496">
        <v>2017</v>
      </c>
      <c r="F5496" t="s">
        <v>70</v>
      </c>
    </row>
    <row r="5497" spans="1:6" x14ac:dyDescent="0.25">
      <c r="A5497" t="s">
        <v>26</v>
      </c>
      <c r="B5497" t="s">
        <v>27</v>
      </c>
      <c r="C5497" t="s">
        <v>8</v>
      </c>
      <c r="D5497">
        <v>196.21</v>
      </c>
      <c r="E5497">
        <v>2017</v>
      </c>
      <c r="F5497" t="s">
        <v>70</v>
      </c>
    </row>
    <row r="5498" spans="1:6" x14ac:dyDescent="0.25">
      <c r="A5498" t="s">
        <v>28</v>
      </c>
      <c r="B5498" t="s">
        <v>29</v>
      </c>
      <c r="C5498" t="s">
        <v>8</v>
      </c>
      <c r="E5498">
        <v>2017</v>
      </c>
      <c r="F5498" t="s">
        <v>70</v>
      </c>
    </row>
    <row r="5499" spans="1:6" x14ac:dyDescent="0.25">
      <c r="A5499" t="s">
        <v>30</v>
      </c>
      <c r="B5499" t="s">
        <v>31</v>
      </c>
      <c r="C5499" t="s">
        <v>8</v>
      </c>
      <c r="D5499">
        <v>3174.34</v>
      </c>
      <c r="E5499">
        <v>2017</v>
      </c>
      <c r="F5499" t="s">
        <v>70</v>
      </c>
    </row>
    <row r="5500" spans="1:6" x14ac:dyDescent="0.25">
      <c r="A5500" t="s">
        <v>32</v>
      </c>
      <c r="B5500" t="s">
        <v>33</v>
      </c>
      <c r="C5500" t="s">
        <v>8</v>
      </c>
      <c r="D5500">
        <v>583.25</v>
      </c>
      <c r="E5500">
        <v>2017</v>
      </c>
      <c r="F5500" t="s">
        <v>70</v>
      </c>
    </row>
    <row r="5501" spans="1:6" x14ac:dyDescent="0.25">
      <c r="A5501" t="s">
        <v>34</v>
      </c>
      <c r="B5501" t="s">
        <v>35</v>
      </c>
      <c r="C5501" t="s">
        <v>8</v>
      </c>
      <c r="D5501">
        <v>1306.73</v>
      </c>
      <c r="E5501">
        <v>2017</v>
      </c>
      <c r="F5501" t="s">
        <v>70</v>
      </c>
    </row>
    <row r="5502" spans="1:6" x14ac:dyDescent="0.25">
      <c r="A5502" t="s">
        <v>36</v>
      </c>
      <c r="B5502" t="s">
        <v>37</v>
      </c>
      <c r="C5502" t="s">
        <v>8</v>
      </c>
      <c r="D5502">
        <v>789.56</v>
      </c>
      <c r="E5502">
        <v>2017</v>
      </c>
      <c r="F5502" t="s">
        <v>70</v>
      </c>
    </row>
    <row r="5503" spans="1:6" x14ac:dyDescent="0.25">
      <c r="A5503" t="s">
        <v>38</v>
      </c>
      <c r="B5503" t="s">
        <v>39</v>
      </c>
      <c r="C5503" t="s">
        <v>8</v>
      </c>
      <c r="D5503">
        <v>237.51</v>
      </c>
      <c r="E5503">
        <v>2017</v>
      </c>
      <c r="F5503" t="s">
        <v>70</v>
      </c>
    </row>
    <row r="5504" spans="1:6" x14ac:dyDescent="0.25">
      <c r="A5504" t="s">
        <v>40</v>
      </c>
      <c r="B5504" t="s">
        <v>41</v>
      </c>
      <c r="C5504" t="s">
        <v>8</v>
      </c>
      <c r="D5504">
        <v>2567.08</v>
      </c>
      <c r="E5504">
        <v>2017</v>
      </c>
      <c r="F5504" t="s">
        <v>70</v>
      </c>
    </row>
    <row r="5505" spans="1:6" x14ac:dyDescent="0.25">
      <c r="A5505" t="s">
        <v>42</v>
      </c>
      <c r="B5505" t="s">
        <v>43</v>
      </c>
      <c r="C5505" t="s">
        <v>8</v>
      </c>
      <c r="D5505">
        <v>-1</v>
      </c>
      <c r="E5505">
        <v>2017</v>
      </c>
      <c r="F5505" t="s">
        <v>70</v>
      </c>
    </row>
    <row r="5506" spans="1:6" x14ac:dyDescent="0.25">
      <c r="A5506" t="s">
        <v>44</v>
      </c>
      <c r="B5506" t="s">
        <v>45</v>
      </c>
      <c r="C5506" t="s">
        <v>8</v>
      </c>
      <c r="D5506">
        <v>197.89</v>
      </c>
      <c r="E5506">
        <v>2017</v>
      </c>
      <c r="F5506" t="s">
        <v>70</v>
      </c>
    </row>
    <row r="5507" spans="1:6" x14ac:dyDescent="0.25">
      <c r="A5507" t="s">
        <v>46</v>
      </c>
      <c r="B5507" t="s">
        <v>47</v>
      </c>
      <c r="C5507" t="s">
        <v>8</v>
      </c>
      <c r="D5507">
        <v>439.48</v>
      </c>
      <c r="E5507">
        <v>2017</v>
      </c>
      <c r="F5507" t="s">
        <v>70</v>
      </c>
    </row>
    <row r="5508" spans="1:6" x14ac:dyDescent="0.25">
      <c r="A5508" t="s">
        <v>48</v>
      </c>
      <c r="B5508" t="s">
        <v>49</v>
      </c>
      <c r="C5508" t="s">
        <v>8</v>
      </c>
      <c r="D5508">
        <v>28.61</v>
      </c>
      <c r="E5508">
        <v>2017</v>
      </c>
      <c r="F5508" t="s">
        <v>70</v>
      </c>
    </row>
    <row r="5509" spans="1:6" x14ac:dyDescent="0.25">
      <c r="A5509" t="s">
        <v>50</v>
      </c>
      <c r="B5509" t="s">
        <v>51</v>
      </c>
      <c r="C5509" t="s">
        <v>8</v>
      </c>
      <c r="D5509">
        <v>21.12</v>
      </c>
      <c r="E5509">
        <v>2017</v>
      </c>
      <c r="F5509" t="s">
        <v>70</v>
      </c>
    </row>
    <row r="5510" spans="1:6" x14ac:dyDescent="0.25">
      <c r="A5510" t="s">
        <v>52</v>
      </c>
      <c r="B5510" t="s">
        <v>53</v>
      </c>
      <c r="C5510" t="s">
        <v>8</v>
      </c>
      <c r="D5510">
        <v>235.16</v>
      </c>
      <c r="E5510">
        <v>2017</v>
      </c>
      <c r="F5510" t="s">
        <v>70</v>
      </c>
    </row>
    <row r="5511" spans="1:6" x14ac:dyDescent="0.25">
      <c r="A5511" t="s">
        <v>54</v>
      </c>
      <c r="B5511" t="s">
        <v>55</v>
      </c>
      <c r="C5511" t="s">
        <v>8</v>
      </c>
      <c r="D5511">
        <v>31.48</v>
      </c>
      <c r="E5511">
        <v>2017</v>
      </c>
      <c r="F5511" t="s">
        <v>70</v>
      </c>
    </row>
    <row r="5512" spans="1:6" x14ac:dyDescent="0.25">
      <c r="A5512" t="s">
        <v>56</v>
      </c>
      <c r="B5512" t="s">
        <v>57</v>
      </c>
      <c r="C5512" t="s">
        <v>8</v>
      </c>
      <c r="D5512">
        <v>869.35</v>
      </c>
      <c r="E5512">
        <v>2017</v>
      </c>
      <c r="F5512" t="s">
        <v>70</v>
      </c>
    </row>
    <row r="5513" spans="1:6" x14ac:dyDescent="0.25">
      <c r="A5513" t="s">
        <v>58</v>
      </c>
      <c r="B5513" t="s">
        <v>59</v>
      </c>
      <c r="C5513" t="s">
        <v>8</v>
      </c>
      <c r="D5513">
        <v>978.74</v>
      </c>
      <c r="E5513">
        <v>2017</v>
      </c>
      <c r="F5513" t="s">
        <v>70</v>
      </c>
    </row>
    <row r="5514" spans="1:6" x14ac:dyDescent="0.25">
      <c r="A5514" t="s">
        <v>6</v>
      </c>
      <c r="B5514" t="s">
        <v>7</v>
      </c>
      <c r="C5514" t="s">
        <v>60</v>
      </c>
      <c r="D5514">
        <v>24554.61</v>
      </c>
      <c r="E5514">
        <v>2017</v>
      </c>
      <c r="F5514" t="s">
        <v>70</v>
      </c>
    </row>
    <row r="5515" spans="1:6" x14ac:dyDescent="0.25">
      <c r="A5515" t="s">
        <v>10</v>
      </c>
      <c r="B5515" t="s">
        <v>11</v>
      </c>
      <c r="C5515" t="s">
        <v>60</v>
      </c>
      <c r="D5515">
        <v>5934.97</v>
      </c>
      <c r="E5515">
        <v>2017</v>
      </c>
      <c r="F5515" t="s">
        <v>70</v>
      </c>
    </row>
    <row r="5516" spans="1:6" x14ac:dyDescent="0.25">
      <c r="A5516" t="s">
        <v>12</v>
      </c>
      <c r="B5516" t="s">
        <v>13</v>
      </c>
      <c r="C5516" t="s">
        <v>60</v>
      </c>
      <c r="D5516">
        <v>2509.81</v>
      </c>
      <c r="E5516">
        <v>2017</v>
      </c>
      <c r="F5516" t="s">
        <v>70</v>
      </c>
    </row>
    <row r="5517" spans="1:6" x14ac:dyDescent="0.25">
      <c r="A5517" t="s">
        <v>14</v>
      </c>
      <c r="B5517" t="s">
        <v>15</v>
      </c>
      <c r="C5517" t="s">
        <v>60</v>
      </c>
      <c r="E5517">
        <v>2017</v>
      </c>
      <c r="F5517" t="s">
        <v>70</v>
      </c>
    </row>
    <row r="5518" spans="1:6" x14ac:dyDescent="0.25">
      <c r="A5518" t="s">
        <v>16</v>
      </c>
      <c r="B5518" t="s">
        <v>17</v>
      </c>
      <c r="C5518" t="s">
        <v>60</v>
      </c>
      <c r="D5518">
        <v>479.3</v>
      </c>
      <c r="E5518">
        <v>2017</v>
      </c>
      <c r="F5518" t="s">
        <v>70</v>
      </c>
    </row>
    <row r="5519" spans="1:6" x14ac:dyDescent="0.25">
      <c r="A5519" t="s">
        <v>18</v>
      </c>
      <c r="B5519" t="s">
        <v>19</v>
      </c>
      <c r="C5519" t="s">
        <v>60</v>
      </c>
      <c r="D5519">
        <v>1195.96</v>
      </c>
      <c r="E5519">
        <v>2017</v>
      </c>
      <c r="F5519" t="s">
        <v>70</v>
      </c>
    </row>
    <row r="5520" spans="1:6" x14ac:dyDescent="0.25">
      <c r="A5520" t="s">
        <v>20</v>
      </c>
      <c r="B5520" t="s">
        <v>21</v>
      </c>
      <c r="C5520" t="s">
        <v>60</v>
      </c>
      <c r="D5520">
        <v>260.17</v>
      </c>
      <c r="E5520">
        <v>2017</v>
      </c>
      <c r="F5520" t="s">
        <v>70</v>
      </c>
    </row>
    <row r="5521" spans="1:6" x14ac:dyDescent="0.25">
      <c r="A5521" t="s">
        <v>22</v>
      </c>
      <c r="B5521" t="s">
        <v>23</v>
      </c>
      <c r="C5521" t="s">
        <v>60</v>
      </c>
      <c r="D5521">
        <v>145.52000000000001</v>
      </c>
      <c r="E5521">
        <v>2017</v>
      </c>
      <c r="F5521" t="s">
        <v>70</v>
      </c>
    </row>
    <row r="5522" spans="1:6" x14ac:dyDescent="0.25">
      <c r="A5522" t="s">
        <v>24</v>
      </c>
      <c r="B5522" t="s">
        <v>25</v>
      </c>
      <c r="C5522" t="s">
        <v>60</v>
      </c>
      <c r="D5522">
        <v>1030.82</v>
      </c>
      <c r="E5522">
        <v>2017</v>
      </c>
      <c r="F5522" t="s">
        <v>70</v>
      </c>
    </row>
    <row r="5523" spans="1:6" x14ac:dyDescent="0.25">
      <c r="A5523" t="s">
        <v>26</v>
      </c>
      <c r="B5523" t="s">
        <v>27</v>
      </c>
      <c r="C5523" t="s">
        <v>60</v>
      </c>
      <c r="D5523">
        <v>378.71</v>
      </c>
      <c r="E5523">
        <v>2017</v>
      </c>
      <c r="F5523" t="s">
        <v>70</v>
      </c>
    </row>
    <row r="5524" spans="1:6" x14ac:dyDescent="0.25">
      <c r="A5524" t="s">
        <v>28</v>
      </c>
      <c r="B5524" t="s">
        <v>29</v>
      </c>
      <c r="C5524" t="s">
        <v>60</v>
      </c>
      <c r="D5524">
        <v>1539.1</v>
      </c>
      <c r="E5524">
        <v>2017</v>
      </c>
      <c r="F5524" t="s">
        <v>70</v>
      </c>
    </row>
    <row r="5525" spans="1:6" x14ac:dyDescent="0.25">
      <c r="A5525" t="s">
        <v>30</v>
      </c>
      <c r="B5525" t="s">
        <v>31</v>
      </c>
      <c r="C5525" t="s">
        <v>60</v>
      </c>
      <c r="D5525">
        <v>3037.33</v>
      </c>
      <c r="E5525">
        <v>2017</v>
      </c>
      <c r="F5525" t="s">
        <v>70</v>
      </c>
    </row>
    <row r="5526" spans="1:6" x14ac:dyDescent="0.25">
      <c r="A5526" t="s">
        <v>32</v>
      </c>
      <c r="B5526" t="s">
        <v>33</v>
      </c>
      <c r="C5526" t="s">
        <v>60</v>
      </c>
      <c r="D5526">
        <v>1160.8699999999999</v>
      </c>
      <c r="E5526">
        <v>2017</v>
      </c>
      <c r="F5526" t="s">
        <v>70</v>
      </c>
    </row>
    <row r="5527" spans="1:6" x14ac:dyDescent="0.25">
      <c r="A5527" t="s">
        <v>34</v>
      </c>
      <c r="B5527" t="s">
        <v>35</v>
      </c>
      <c r="C5527" t="s">
        <v>60</v>
      </c>
      <c r="D5527">
        <v>1054.71</v>
      </c>
      <c r="E5527">
        <v>2017</v>
      </c>
      <c r="F5527" t="s">
        <v>70</v>
      </c>
    </row>
    <row r="5528" spans="1:6" x14ac:dyDescent="0.25">
      <c r="A5528" t="s">
        <v>36</v>
      </c>
      <c r="B5528" t="s">
        <v>37</v>
      </c>
      <c r="C5528" t="s">
        <v>60</v>
      </c>
      <c r="D5528">
        <v>1850.35</v>
      </c>
      <c r="E5528">
        <v>2017</v>
      </c>
      <c r="F5528" t="s">
        <v>70</v>
      </c>
    </row>
    <row r="5529" spans="1:6" x14ac:dyDescent="0.25">
      <c r="A5529" t="s">
        <v>38</v>
      </c>
      <c r="B5529" t="s">
        <v>39</v>
      </c>
      <c r="C5529" t="s">
        <v>60</v>
      </c>
      <c r="D5529">
        <v>624.91</v>
      </c>
      <c r="E5529">
        <v>2017</v>
      </c>
      <c r="F5529" t="s">
        <v>70</v>
      </c>
    </row>
    <row r="5530" spans="1:6" x14ac:dyDescent="0.25">
      <c r="A5530" t="s">
        <v>40</v>
      </c>
      <c r="B5530" t="s">
        <v>41</v>
      </c>
      <c r="C5530" t="s">
        <v>60</v>
      </c>
      <c r="D5530">
        <v>624.6</v>
      </c>
      <c r="E5530">
        <v>2017</v>
      </c>
      <c r="F5530" t="s">
        <v>70</v>
      </c>
    </row>
    <row r="5531" spans="1:6" x14ac:dyDescent="0.25">
      <c r="A5531" t="s">
        <v>42</v>
      </c>
      <c r="B5531" t="s">
        <v>43</v>
      </c>
      <c r="C5531" t="s">
        <v>60</v>
      </c>
      <c r="D5531">
        <v>4.8600000000000003</v>
      </c>
      <c r="E5531">
        <v>2017</v>
      </c>
      <c r="F5531" t="s">
        <v>70</v>
      </c>
    </row>
    <row r="5532" spans="1:6" x14ac:dyDescent="0.25">
      <c r="A5532" t="s">
        <v>44</v>
      </c>
      <c r="B5532" t="s">
        <v>45</v>
      </c>
      <c r="C5532" t="s">
        <v>60</v>
      </c>
      <c r="D5532">
        <v>455.46</v>
      </c>
      <c r="E5532">
        <v>2017</v>
      </c>
      <c r="F5532" t="s">
        <v>70</v>
      </c>
    </row>
    <row r="5533" spans="1:6" x14ac:dyDescent="0.25">
      <c r="A5533" t="s">
        <v>46</v>
      </c>
      <c r="B5533" t="s">
        <v>47</v>
      </c>
      <c r="C5533" t="s">
        <v>60</v>
      </c>
      <c r="D5533">
        <v>298.62</v>
      </c>
      <c r="E5533">
        <v>2017</v>
      </c>
      <c r="F5533" t="s">
        <v>70</v>
      </c>
    </row>
    <row r="5534" spans="1:6" x14ac:dyDescent="0.25">
      <c r="A5534" t="s">
        <v>48</v>
      </c>
      <c r="B5534" t="s">
        <v>49</v>
      </c>
      <c r="C5534" t="s">
        <v>60</v>
      </c>
      <c r="D5534">
        <v>437.55</v>
      </c>
      <c r="E5534">
        <v>2017</v>
      </c>
      <c r="F5534" t="s">
        <v>70</v>
      </c>
    </row>
    <row r="5535" spans="1:6" x14ac:dyDescent="0.25">
      <c r="A5535" t="s">
        <v>50</v>
      </c>
      <c r="B5535" t="s">
        <v>51</v>
      </c>
      <c r="C5535" t="s">
        <v>60</v>
      </c>
      <c r="D5535">
        <v>136.31</v>
      </c>
      <c r="E5535">
        <v>2017</v>
      </c>
      <c r="F5535" t="s">
        <v>70</v>
      </c>
    </row>
    <row r="5536" spans="1:6" x14ac:dyDescent="0.25">
      <c r="A5536" t="s">
        <v>52</v>
      </c>
      <c r="B5536" t="s">
        <v>53</v>
      </c>
      <c r="C5536" t="s">
        <v>60</v>
      </c>
      <c r="D5536">
        <v>332.76</v>
      </c>
      <c r="E5536">
        <v>2017</v>
      </c>
      <c r="F5536" t="s">
        <v>70</v>
      </c>
    </row>
    <row r="5537" spans="1:6" x14ac:dyDescent="0.25">
      <c r="A5537" t="s">
        <v>54</v>
      </c>
      <c r="B5537" t="s">
        <v>55</v>
      </c>
      <c r="C5537" t="s">
        <v>60</v>
      </c>
      <c r="D5537">
        <v>1061.92</v>
      </c>
      <c r="E5537">
        <v>2017</v>
      </c>
      <c r="F5537" t="s">
        <v>70</v>
      </c>
    </row>
    <row r="5538" spans="1:6" x14ac:dyDescent="0.25">
      <c r="A5538" t="s">
        <v>56</v>
      </c>
      <c r="B5538" t="s">
        <v>57</v>
      </c>
      <c r="C5538" t="s">
        <v>60</v>
      </c>
      <c r="E5538">
        <v>2017</v>
      </c>
      <c r="F5538" t="s">
        <v>70</v>
      </c>
    </row>
    <row r="5539" spans="1:6" x14ac:dyDescent="0.25">
      <c r="A5539" t="s">
        <v>58</v>
      </c>
      <c r="B5539" t="s">
        <v>59</v>
      </c>
      <c r="C5539" t="s">
        <v>60</v>
      </c>
      <c r="E5539">
        <v>2017</v>
      </c>
      <c r="F5539" t="s">
        <v>70</v>
      </c>
    </row>
    <row r="5540" spans="1:6" x14ac:dyDescent="0.25">
      <c r="A5540" t="s">
        <v>6</v>
      </c>
      <c r="B5540" t="s">
        <v>7</v>
      </c>
      <c r="C5540" t="s">
        <v>61</v>
      </c>
      <c r="D5540">
        <v>6770.48</v>
      </c>
      <c r="E5540">
        <v>2017</v>
      </c>
      <c r="F5540" t="s">
        <v>70</v>
      </c>
    </row>
    <row r="5541" spans="1:6" x14ac:dyDescent="0.25">
      <c r="A5541" t="s">
        <v>10</v>
      </c>
      <c r="B5541" t="s">
        <v>11</v>
      </c>
      <c r="C5541" t="s">
        <v>61</v>
      </c>
      <c r="D5541">
        <v>2576.2199999999998</v>
      </c>
      <c r="E5541">
        <v>2017</v>
      </c>
      <c r="F5541" t="s">
        <v>70</v>
      </c>
    </row>
    <row r="5542" spans="1:6" x14ac:dyDescent="0.25">
      <c r="A5542" t="s">
        <v>12</v>
      </c>
      <c r="B5542" t="s">
        <v>13</v>
      </c>
      <c r="C5542" t="s">
        <v>61</v>
      </c>
      <c r="D5542">
        <v>519.36</v>
      </c>
      <c r="E5542">
        <v>2017</v>
      </c>
      <c r="F5542" t="s">
        <v>70</v>
      </c>
    </row>
    <row r="5543" spans="1:6" x14ac:dyDescent="0.25">
      <c r="A5543" t="s">
        <v>14</v>
      </c>
      <c r="B5543" t="s">
        <v>15</v>
      </c>
      <c r="C5543" t="s">
        <v>61</v>
      </c>
      <c r="D5543">
        <v>7.33</v>
      </c>
      <c r="E5543">
        <v>2017</v>
      </c>
      <c r="F5543" t="s">
        <v>70</v>
      </c>
    </row>
    <row r="5544" spans="1:6" x14ac:dyDescent="0.25">
      <c r="A5544" t="s">
        <v>16</v>
      </c>
      <c r="B5544" t="s">
        <v>17</v>
      </c>
      <c r="C5544" t="s">
        <v>61</v>
      </c>
      <c r="D5544">
        <v>170.07</v>
      </c>
      <c r="E5544">
        <v>2017</v>
      </c>
      <c r="F5544" t="s">
        <v>70</v>
      </c>
    </row>
    <row r="5545" spans="1:6" x14ac:dyDescent="0.25">
      <c r="A5545" t="s">
        <v>18</v>
      </c>
      <c r="B5545" t="s">
        <v>19</v>
      </c>
      <c r="C5545" t="s">
        <v>61</v>
      </c>
      <c r="D5545">
        <v>73.569999999999993</v>
      </c>
      <c r="E5545">
        <v>2017</v>
      </c>
      <c r="F5545" t="s">
        <v>70</v>
      </c>
    </row>
    <row r="5546" spans="1:6" x14ac:dyDescent="0.25">
      <c r="A5546" t="s">
        <v>20</v>
      </c>
      <c r="B5546" t="s">
        <v>21</v>
      </c>
      <c r="C5546" t="s">
        <v>61</v>
      </c>
      <c r="D5546">
        <v>64.760000000000005</v>
      </c>
      <c r="E5546">
        <v>2017</v>
      </c>
      <c r="F5546" t="s">
        <v>70</v>
      </c>
    </row>
    <row r="5547" spans="1:6" x14ac:dyDescent="0.25">
      <c r="A5547" t="s">
        <v>22</v>
      </c>
      <c r="B5547" t="s">
        <v>23</v>
      </c>
      <c r="C5547" t="s">
        <v>61</v>
      </c>
      <c r="D5547">
        <v>132.01</v>
      </c>
      <c r="E5547">
        <v>2017</v>
      </c>
      <c r="F5547" t="s">
        <v>70</v>
      </c>
    </row>
    <row r="5548" spans="1:6" x14ac:dyDescent="0.25">
      <c r="A5548" t="s">
        <v>24</v>
      </c>
      <c r="B5548" t="s">
        <v>25</v>
      </c>
      <c r="C5548" t="s">
        <v>61</v>
      </c>
      <c r="D5548">
        <v>351.43</v>
      </c>
      <c r="E5548">
        <v>2017</v>
      </c>
      <c r="F5548" t="s">
        <v>70</v>
      </c>
    </row>
    <row r="5549" spans="1:6" x14ac:dyDescent="0.25">
      <c r="A5549" t="s">
        <v>26</v>
      </c>
      <c r="B5549" t="s">
        <v>27</v>
      </c>
      <c r="C5549" t="s">
        <v>61</v>
      </c>
      <c r="D5549">
        <v>122.23</v>
      </c>
      <c r="E5549">
        <v>2017</v>
      </c>
      <c r="F5549" t="s">
        <v>70</v>
      </c>
    </row>
    <row r="5550" spans="1:6" x14ac:dyDescent="0.25">
      <c r="A5550" t="s">
        <v>28</v>
      </c>
      <c r="B5550" t="s">
        <v>29</v>
      </c>
      <c r="C5550" t="s">
        <v>61</v>
      </c>
      <c r="D5550">
        <v>32.86</v>
      </c>
      <c r="E5550">
        <v>2017</v>
      </c>
      <c r="F5550" t="s">
        <v>70</v>
      </c>
    </row>
    <row r="5551" spans="1:6" x14ac:dyDescent="0.25">
      <c r="A5551" t="s">
        <v>30</v>
      </c>
      <c r="B5551" t="s">
        <v>31</v>
      </c>
      <c r="C5551" t="s">
        <v>61</v>
      </c>
      <c r="D5551">
        <v>411.76</v>
      </c>
      <c r="E5551">
        <v>2017</v>
      </c>
      <c r="F5551" t="s">
        <v>70</v>
      </c>
    </row>
    <row r="5552" spans="1:6" x14ac:dyDescent="0.25">
      <c r="A5552" t="s">
        <v>32</v>
      </c>
      <c r="B5552" t="s">
        <v>33</v>
      </c>
      <c r="C5552" t="s">
        <v>61</v>
      </c>
      <c r="D5552">
        <v>117.01</v>
      </c>
      <c r="E5552">
        <v>2017</v>
      </c>
      <c r="F5552" t="s">
        <v>70</v>
      </c>
    </row>
    <row r="5553" spans="1:6" x14ac:dyDescent="0.25">
      <c r="A5553" t="s">
        <v>34</v>
      </c>
      <c r="B5553" t="s">
        <v>35</v>
      </c>
      <c r="C5553" t="s">
        <v>61</v>
      </c>
      <c r="D5553">
        <v>419.62</v>
      </c>
      <c r="E5553">
        <v>2017</v>
      </c>
      <c r="F5553" t="s">
        <v>70</v>
      </c>
    </row>
    <row r="5554" spans="1:6" x14ac:dyDescent="0.25">
      <c r="A5554" t="s">
        <v>36</v>
      </c>
      <c r="B5554" t="s">
        <v>37</v>
      </c>
      <c r="C5554" t="s">
        <v>61</v>
      </c>
      <c r="D5554">
        <v>535.28</v>
      </c>
      <c r="E5554">
        <v>2017</v>
      </c>
      <c r="F5554" t="s">
        <v>70</v>
      </c>
    </row>
    <row r="5555" spans="1:6" x14ac:dyDescent="0.25">
      <c r="A5555" t="s">
        <v>38</v>
      </c>
      <c r="B5555" t="s">
        <v>39</v>
      </c>
      <c r="C5555" t="s">
        <v>61</v>
      </c>
      <c r="D5555">
        <v>340.67</v>
      </c>
      <c r="E5555">
        <v>2017</v>
      </c>
      <c r="F5555" t="s">
        <v>70</v>
      </c>
    </row>
    <row r="5556" spans="1:6" x14ac:dyDescent="0.25">
      <c r="A5556" t="s">
        <v>40</v>
      </c>
      <c r="B5556" t="s">
        <v>41</v>
      </c>
      <c r="C5556" t="s">
        <v>61</v>
      </c>
      <c r="D5556">
        <v>253.66</v>
      </c>
      <c r="E5556">
        <v>2017</v>
      </c>
      <c r="F5556" t="s">
        <v>70</v>
      </c>
    </row>
    <row r="5557" spans="1:6" x14ac:dyDescent="0.25">
      <c r="A5557" t="s">
        <v>42</v>
      </c>
      <c r="B5557" t="s">
        <v>43</v>
      </c>
      <c r="C5557" t="s">
        <v>61</v>
      </c>
      <c r="D5557">
        <v>22.14</v>
      </c>
      <c r="E5557">
        <v>2017</v>
      </c>
      <c r="F5557" t="s">
        <v>70</v>
      </c>
    </row>
    <row r="5558" spans="1:6" x14ac:dyDescent="0.25">
      <c r="A5558" t="s">
        <v>44</v>
      </c>
      <c r="B5558" t="s">
        <v>45</v>
      </c>
      <c r="C5558" t="s">
        <v>61</v>
      </c>
      <c r="D5558">
        <v>138.81</v>
      </c>
      <c r="E5558">
        <v>2017</v>
      </c>
      <c r="F5558" t="s">
        <v>70</v>
      </c>
    </row>
    <row r="5559" spans="1:6" x14ac:dyDescent="0.25">
      <c r="A5559" t="s">
        <v>46</v>
      </c>
      <c r="B5559" t="s">
        <v>47</v>
      </c>
      <c r="C5559" t="s">
        <v>61</v>
      </c>
      <c r="D5559">
        <v>55.41</v>
      </c>
      <c r="E5559">
        <v>2017</v>
      </c>
      <c r="F5559" t="s">
        <v>70</v>
      </c>
    </row>
    <row r="5560" spans="1:6" x14ac:dyDescent="0.25">
      <c r="A5560" t="s">
        <v>48</v>
      </c>
      <c r="B5560" t="s">
        <v>49</v>
      </c>
      <c r="C5560" t="s">
        <v>61</v>
      </c>
      <c r="D5560">
        <v>132.75</v>
      </c>
      <c r="E5560">
        <v>2017</v>
      </c>
      <c r="F5560" t="s">
        <v>70</v>
      </c>
    </row>
    <row r="5561" spans="1:6" x14ac:dyDescent="0.25">
      <c r="A5561" t="s">
        <v>50</v>
      </c>
      <c r="B5561" t="s">
        <v>51</v>
      </c>
      <c r="C5561" t="s">
        <v>61</v>
      </c>
      <c r="D5561">
        <v>36.869999999999997</v>
      </c>
      <c r="E5561">
        <v>2017</v>
      </c>
      <c r="F5561" t="s">
        <v>70</v>
      </c>
    </row>
    <row r="5562" spans="1:6" x14ac:dyDescent="0.25">
      <c r="A5562" t="s">
        <v>52</v>
      </c>
      <c r="B5562" t="s">
        <v>53</v>
      </c>
      <c r="C5562" t="s">
        <v>61</v>
      </c>
      <c r="D5562">
        <v>115.27</v>
      </c>
      <c r="E5562">
        <v>2017</v>
      </c>
      <c r="F5562" t="s">
        <v>70</v>
      </c>
    </row>
    <row r="5563" spans="1:6" x14ac:dyDescent="0.25">
      <c r="A5563" t="s">
        <v>54</v>
      </c>
      <c r="B5563" t="s">
        <v>55</v>
      </c>
      <c r="C5563" t="s">
        <v>61</v>
      </c>
      <c r="D5563">
        <v>60.05</v>
      </c>
      <c r="E5563">
        <v>2017</v>
      </c>
      <c r="F5563" t="s">
        <v>70</v>
      </c>
    </row>
    <row r="5564" spans="1:6" x14ac:dyDescent="0.25">
      <c r="A5564" t="s">
        <v>56</v>
      </c>
      <c r="B5564" t="s">
        <v>57</v>
      </c>
      <c r="C5564" t="s">
        <v>61</v>
      </c>
      <c r="D5564">
        <v>81.34</v>
      </c>
      <c r="E5564">
        <v>2017</v>
      </c>
      <c r="F5564" t="s">
        <v>70</v>
      </c>
    </row>
    <row r="5565" spans="1:6" x14ac:dyDescent="0.25">
      <c r="A5565" t="s">
        <v>58</v>
      </c>
      <c r="B5565" t="s">
        <v>59</v>
      </c>
      <c r="C5565" t="s">
        <v>61</v>
      </c>
      <c r="E5565">
        <v>2017</v>
      </c>
      <c r="F5565" t="s">
        <v>70</v>
      </c>
    </row>
    <row r="5566" spans="1:6" x14ac:dyDescent="0.25">
      <c r="A5566" t="s">
        <v>6</v>
      </c>
      <c r="B5566" t="s">
        <v>7</v>
      </c>
      <c r="C5566" t="s">
        <v>65</v>
      </c>
      <c r="D5566">
        <v>155833.42000000001</v>
      </c>
      <c r="E5566">
        <v>2017</v>
      </c>
      <c r="F5566" t="s">
        <v>70</v>
      </c>
    </row>
    <row r="5567" spans="1:6" x14ac:dyDescent="0.25">
      <c r="A5567" t="s">
        <v>10</v>
      </c>
      <c r="B5567" t="s">
        <v>11</v>
      </c>
      <c r="C5567" t="s">
        <v>65</v>
      </c>
      <c r="D5567">
        <v>22168.95</v>
      </c>
      <c r="E5567">
        <v>2017</v>
      </c>
      <c r="F5567" t="s">
        <v>70</v>
      </c>
    </row>
    <row r="5568" spans="1:6" x14ac:dyDescent="0.25">
      <c r="A5568" t="s">
        <v>12</v>
      </c>
      <c r="B5568" t="s">
        <v>13</v>
      </c>
      <c r="C5568" t="s">
        <v>65</v>
      </c>
      <c r="D5568">
        <v>9890.7900000000009</v>
      </c>
      <c r="E5568">
        <v>2017</v>
      </c>
      <c r="F5568" t="s">
        <v>70</v>
      </c>
    </row>
    <row r="5569" spans="1:6" x14ac:dyDescent="0.25">
      <c r="A5569" t="s">
        <v>14</v>
      </c>
      <c r="B5569" t="s">
        <v>15</v>
      </c>
      <c r="C5569" t="s">
        <v>65</v>
      </c>
      <c r="D5569">
        <v>546</v>
      </c>
      <c r="E5569">
        <v>2017</v>
      </c>
      <c r="F5569" t="s">
        <v>70</v>
      </c>
    </row>
    <row r="5570" spans="1:6" x14ac:dyDescent="0.25">
      <c r="A5570" t="s">
        <v>16</v>
      </c>
      <c r="B5570" t="s">
        <v>17</v>
      </c>
      <c r="C5570" t="s">
        <v>65</v>
      </c>
      <c r="D5570">
        <v>5495.03</v>
      </c>
      <c r="E5570">
        <v>2017</v>
      </c>
      <c r="F5570" t="s">
        <v>70</v>
      </c>
    </row>
    <row r="5571" spans="1:6" x14ac:dyDescent="0.25">
      <c r="A5571" t="s">
        <v>18</v>
      </c>
      <c r="B5571" t="s">
        <v>19</v>
      </c>
      <c r="C5571" t="s">
        <v>65</v>
      </c>
      <c r="D5571">
        <v>1632.57</v>
      </c>
      <c r="E5571">
        <v>2017</v>
      </c>
      <c r="F5571" t="s">
        <v>70</v>
      </c>
    </row>
    <row r="5572" spans="1:6" x14ac:dyDescent="0.25">
      <c r="A5572" t="s">
        <v>20</v>
      </c>
      <c r="B5572" t="s">
        <v>21</v>
      </c>
      <c r="C5572" t="s">
        <v>65</v>
      </c>
      <c r="D5572">
        <v>677.6</v>
      </c>
      <c r="E5572">
        <v>2017</v>
      </c>
      <c r="F5572" t="s">
        <v>70</v>
      </c>
    </row>
    <row r="5573" spans="1:6" x14ac:dyDescent="0.25">
      <c r="A5573" t="s">
        <v>22</v>
      </c>
      <c r="B5573" t="s">
        <v>23</v>
      </c>
      <c r="C5573" t="s">
        <v>65</v>
      </c>
      <c r="D5573">
        <v>459.99</v>
      </c>
      <c r="E5573">
        <v>2017</v>
      </c>
      <c r="F5573" t="s">
        <v>70</v>
      </c>
    </row>
    <row r="5574" spans="1:6" x14ac:dyDescent="0.25">
      <c r="A5574" t="s">
        <v>24</v>
      </c>
      <c r="B5574" t="s">
        <v>25</v>
      </c>
      <c r="C5574" t="s">
        <v>65</v>
      </c>
      <c r="D5574">
        <v>3188.58</v>
      </c>
      <c r="E5574">
        <v>2017</v>
      </c>
      <c r="F5574" t="s">
        <v>70</v>
      </c>
    </row>
    <row r="5575" spans="1:6" x14ac:dyDescent="0.25">
      <c r="A5575" t="s">
        <v>26</v>
      </c>
      <c r="B5575" t="s">
        <v>27</v>
      </c>
      <c r="C5575" t="s">
        <v>65</v>
      </c>
      <c r="D5575">
        <v>312.02</v>
      </c>
      <c r="E5575">
        <v>2017</v>
      </c>
      <c r="F5575" t="s">
        <v>70</v>
      </c>
    </row>
    <row r="5576" spans="1:6" x14ac:dyDescent="0.25">
      <c r="A5576" t="s">
        <v>28</v>
      </c>
      <c r="B5576" t="s">
        <v>29</v>
      </c>
      <c r="C5576" t="s">
        <v>65</v>
      </c>
      <c r="D5576">
        <v>15813.69</v>
      </c>
      <c r="E5576">
        <v>2017</v>
      </c>
      <c r="F5576" t="s">
        <v>70</v>
      </c>
    </row>
    <row r="5577" spans="1:6" x14ac:dyDescent="0.25">
      <c r="A5577" t="s">
        <v>30</v>
      </c>
      <c r="B5577" t="s">
        <v>31</v>
      </c>
      <c r="C5577" t="s">
        <v>65</v>
      </c>
      <c r="D5577">
        <v>12965.58</v>
      </c>
      <c r="E5577">
        <v>2017</v>
      </c>
      <c r="F5577" t="s">
        <v>70</v>
      </c>
    </row>
    <row r="5578" spans="1:6" x14ac:dyDescent="0.25">
      <c r="A5578" t="s">
        <v>32</v>
      </c>
      <c r="B5578" t="s">
        <v>33</v>
      </c>
      <c r="C5578" t="s">
        <v>65</v>
      </c>
      <c r="D5578">
        <v>1230.83</v>
      </c>
      <c r="E5578">
        <v>2017</v>
      </c>
      <c r="F5578" t="s">
        <v>70</v>
      </c>
    </row>
    <row r="5579" spans="1:6" x14ac:dyDescent="0.25">
      <c r="A5579" t="s">
        <v>34</v>
      </c>
      <c r="B5579" t="s">
        <v>35</v>
      </c>
      <c r="C5579" t="s">
        <v>65</v>
      </c>
      <c r="D5579">
        <v>6249.47</v>
      </c>
      <c r="E5579">
        <v>2017</v>
      </c>
      <c r="F5579" t="s">
        <v>70</v>
      </c>
    </row>
    <row r="5580" spans="1:6" x14ac:dyDescent="0.25">
      <c r="A5580" t="s">
        <v>36</v>
      </c>
      <c r="B5580" t="s">
        <v>37</v>
      </c>
      <c r="C5580" t="s">
        <v>65</v>
      </c>
      <c r="D5580">
        <v>9351.89</v>
      </c>
      <c r="E5580">
        <v>2017</v>
      </c>
      <c r="F5580" t="s">
        <v>70</v>
      </c>
    </row>
    <row r="5581" spans="1:6" x14ac:dyDescent="0.25">
      <c r="A5581" t="s">
        <v>38</v>
      </c>
      <c r="B5581" t="s">
        <v>39</v>
      </c>
      <c r="C5581" t="s">
        <v>65</v>
      </c>
      <c r="D5581">
        <v>9389.56</v>
      </c>
      <c r="E5581">
        <v>2017</v>
      </c>
      <c r="F5581" t="s">
        <v>70</v>
      </c>
    </row>
    <row r="5582" spans="1:6" x14ac:dyDescent="0.25">
      <c r="A5582" t="s">
        <v>40</v>
      </c>
      <c r="B5582" t="s">
        <v>41</v>
      </c>
      <c r="C5582" t="s">
        <v>65</v>
      </c>
      <c r="D5582">
        <v>6732.76</v>
      </c>
      <c r="E5582">
        <v>2017</v>
      </c>
      <c r="F5582" t="s">
        <v>70</v>
      </c>
    </row>
    <row r="5583" spans="1:6" x14ac:dyDescent="0.25">
      <c r="A5583" t="s">
        <v>42</v>
      </c>
      <c r="B5583" t="s">
        <v>43</v>
      </c>
      <c r="C5583" t="s">
        <v>65</v>
      </c>
      <c r="D5583">
        <v>5221.1499999999996</v>
      </c>
      <c r="E5583">
        <v>2017</v>
      </c>
      <c r="F5583" t="s">
        <v>70</v>
      </c>
    </row>
    <row r="5584" spans="1:6" x14ac:dyDescent="0.25">
      <c r="A5584" t="s">
        <v>44</v>
      </c>
      <c r="B5584" t="s">
        <v>45</v>
      </c>
      <c r="C5584" t="s">
        <v>65</v>
      </c>
      <c r="D5584">
        <v>11570.04</v>
      </c>
      <c r="E5584">
        <v>2017</v>
      </c>
      <c r="F5584" t="s">
        <v>70</v>
      </c>
    </row>
    <row r="5585" spans="1:6" x14ac:dyDescent="0.25">
      <c r="A5585" t="s">
        <v>46</v>
      </c>
      <c r="B5585" t="s">
        <v>47</v>
      </c>
      <c r="C5585" t="s">
        <v>65</v>
      </c>
      <c r="D5585">
        <v>13720.27</v>
      </c>
      <c r="E5585">
        <v>2017</v>
      </c>
      <c r="F5585" t="s">
        <v>70</v>
      </c>
    </row>
    <row r="5586" spans="1:6" x14ac:dyDescent="0.25">
      <c r="A5586" t="s">
        <v>48</v>
      </c>
      <c r="B5586" t="s">
        <v>49</v>
      </c>
      <c r="C5586" t="s">
        <v>65</v>
      </c>
      <c r="D5586">
        <v>18146.900000000001</v>
      </c>
      <c r="E5586">
        <v>2017</v>
      </c>
      <c r="F5586" t="s">
        <v>70</v>
      </c>
    </row>
    <row r="5587" spans="1:6" x14ac:dyDescent="0.25">
      <c r="A5587" t="s">
        <v>50</v>
      </c>
      <c r="B5587" t="s">
        <v>51</v>
      </c>
      <c r="C5587" t="s">
        <v>65</v>
      </c>
      <c r="D5587">
        <v>454.6</v>
      </c>
      <c r="E5587">
        <v>2017</v>
      </c>
      <c r="F5587" t="s">
        <v>70</v>
      </c>
    </row>
    <row r="5588" spans="1:6" x14ac:dyDescent="0.25">
      <c r="A5588" t="s">
        <v>52</v>
      </c>
      <c r="B5588" t="s">
        <v>53</v>
      </c>
      <c r="C5588" t="s">
        <v>65</v>
      </c>
      <c r="D5588">
        <v>377.22</v>
      </c>
      <c r="E5588">
        <v>2017</v>
      </c>
      <c r="F5588" t="s">
        <v>70</v>
      </c>
    </row>
    <row r="5589" spans="1:6" x14ac:dyDescent="0.25">
      <c r="A5589" t="s">
        <v>54</v>
      </c>
      <c r="B5589" t="s">
        <v>55</v>
      </c>
      <c r="C5589" t="s">
        <v>65</v>
      </c>
      <c r="D5589">
        <v>237.93</v>
      </c>
      <c r="E5589">
        <v>2017</v>
      </c>
      <c r="F5589" t="s">
        <v>70</v>
      </c>
    </row>
    <row r="5590" spans="1:6" x14ac:dyDescent="0.25">
      <c r="A5590" t="s">
        <v>56</v>
      </c>
      <c r="B5590" t="s">
        <v>57</v>
      </c>
      <c r="C5590" t="s">
        <v>65</v>
      </c>
      <c r="E5590">
        <v>2017</v>
      </c>
      <c r="F5590" t="s">
        <v>70</v>
      </c>
    </row>
    <row r="5591" spans="1:6" x14ac:dyDescent="0.25">
      <c r="A5591" t="s">
        <v>58</v>
      </c>
      <c r="B5591" t="s">
        <v>59</v>
      </c>
      <c r="C5591" t="s">
        <v>65</v>
      </c>
      <c r="E5591">
        <v>2017</v>
      </c>
      <c r="F5591" t="s">
        <v>70</v>
      </c>
    </row>
    <row r="5592" spans="1:6" x14ac:dyDescent="0.25">
      <c r="A5592" t="s">
        <v>6</v>
      </c>
      <c r="B5592" t="s">
        <v>7</v>
      </c>
      <c r="C5592" t="s">
        <v>62</v>
      </c>
      <c r="D5592">
        <v>19145.89</v>
      </c>
      <c r="E5592">
        <v>2017</v>
      </c>
      <c r="F5592" t="s">
        <v>70</v>
      </c>
    </row>
    <row r="5593" spans="1:6" x14ac:dyDescent="0.25">
      <c r="A5593" t="s">
        <v>10</v>
      </c>
      <c r="B5593" t="s">
        <v>11</v>
      </c>
      <c r="C5593" t="s">
        <v>62</v>
      </c>
      <c r="D5593">
        <v>6480.76</v>
      </c>
      <c r="E5593">
        <v>2017</v>
      </c>
      <c r="F5593" t="s">
        <v>70</v>
      </c>
    </row>
    <row r="5594" spans="1:6" x14ac:dyDescent="0.25">
      <c r="A5594" t="s">
        <v>12</v>
      </c>
      <c r="B5594" t="s">
        <v>13</v>
      </c>
      <c r="C5594" t="s">
        <v>62</v>
      </c>
      <c r="D5594">
        <v>1887.01</v>
      </c>
      <c r="E5594">
        <v>2017</v>
      </c>
      <c r="F5594" t="s">
        <v>70</v>
      </c>
    </row>
    <row r="5595" spans="1:6" x14ac:dyDescent="0.25">
      <c r="A5595" t="s">
        <v>14</v>
      </c>
      <c r="B5595" t="s">
        <v>15</v>
      </c>
      <c r="C5595" t="s">
        <v>62</v>
      </c>
      <c r="E5595">
        <v>2017</v>
      </c>
      <c r="F5595" t="s">
        <v>70</v>
      </c>
    </row>
    <row r="5596" spans="1:6" x14ac:dyDescent="0.25">
      <c r="A5596" t="s">
        <v>16</v>
      </c>
      <c r="B5596" t="s">
        <v>17</v>
      </c>
      <c r="C5596" t="s">
        <v>62</v>
      </c>
      <c r="D5596">
        <v>556.80999999999995</v>
      </c>
      <c r="E5596">
        <v>2017</v>
      </c>
      <c r="F5596" t="s">
        <v>70</v>
      </c>
    </row>
    <row r="5597" spans="1:6" x14ac:dyDescent="0.25">
      <c r="A5597" t="s">
        <v>18</v>
      </c>
      <c r="B5597" t="s">
        <v>19</v>
      </c>
      <c r="C5597" t="s">
        <v>62</v>
      </c>
      <c r="D5597">
        <v>627.54999999999995</v>
      </c>
      <c r="E5597">
        <v>2017</v>
      </c>
      <c r="F5597" t="s">
        <v>70</v>
      </c>
    </row>
    <row r="5598" spans="1:6" x14ac:dyDescent="0.25">
      <c r="A5598" t="s">
        <v>20</v>
      </c>
      <c r="B5598" t="s">
        <v>21</v>
      </c>
      <c r="C5598" t="s">
        <v>62</v>
      </c>
      <c r="D5598">
        <v>104.04</v>
      </c>
      <c r="E5598">
        <v>2017</v>
      </c>
      <c r="F5598" t="s">
        <v>70</v>
      </c>
    </row>
    <row r="5599" spans="1:6" x14ac:dyDescent="0.25">
      <c r="A5599" t="s">
        <v>22</v>
      </c>
      <c r="B5599" t="s">
        <v>23</v>
      </c>
      <c r="C5599" t="s">
        <v>62</v>
      </c>
      <c r="D5599">
        <v>85.39</v>
      </c>
      <c r="E5599">
        <v>2017</v>
      </c>
      <c r="F5599" t="s">
        <v>70</v>
      </c>
    </row>
    <row r="5600" spans="1:6" x14ac:dyDescent="0.25">
      <c r="A5600" t="s">
        <v>24</v>
      </c>
      <c r="B5600" t="s">
        <v>25</v>
      </c>
      <c r="C5600" t="s">
        <v>62</v>
      </c>
      <c r="D5600">
        <v>293.52999999999997</v>
      </c>
      <c r="E5600">
        <v>2017</v>
      </c>
      <c r="F5600" t="s">
        <v>70</v>
      </c>
    </row>
    <row r="5601" spans="1:6" x14ac:dyDescent="0.25">
      <c r="A5601" t="s">
        <v>26</v>
      </c>
      <c r="B5601" t="s">
        <v>27</v>
      </c>
      <c r="C5601" t="s">
        <v>62</v>
      </c>
      <c r="D5601">
        <v>328.67</v>
      </c>
      <c r="E5601">
        <v>2017</v>
      </c>
      <c r="F5601" t="s">
        <v>70</v>
      </c>
    </row>
    <row r="5602" spans="1:6" x14ac:dyDescent="0.25">
      <c r="A5602" t="s">
        <v>28</v>
      </c>
      <c r="B5602" t="s">
        <v>29</v>
      </c>
      <c r="C5602" t="s">
        <v>62</v>
      </c>
      <c r="D5602">
        <v>813.68</v>
      </c>
      <c r="E5602">
        <v>2017</v>
      </c>
      <c r="F5602" t="s">
        <v>70</v>
      </c>
    </row>
    <row r="5603" spans="1:6" x14ac:dyDescent="0.25">
      <c r="A5603" t="s">
        <v>30</v>
      </c>
      <c r="B5603" t="s">
        <v>31</v>
      </c>
      <c r="C5603" t="s">
        <v>62</v>
      </c>
      <c r="D5603">
        <v>1443.92</v>
      </c>
      <c r="E5603">
        <v>2017</v>
      </c>
      <c r="F5603" t="s">
        <v>70</v>
      </c>
    </row>
    <row r="5604" spans="1:6" x14ac:dyDescent="0.25">
      <c r="A5604" t="s">
        <v>32</v>
      </c>
      <c r="B5604" t="s">
        <v>33</v>
      </c>
      <c r="C5604" t="s">
        <v>62</v>
      </c>
      <c r="D5604">
        <v>607.39</v>
      </c>
      <c r="E5604">
        <v>2017</v>
      </c>
      <c r="F5604" t="s">
        <v>70</v>
      </c>
    </row>
    <row r="5605" spans="1:6" x14ac:dyDescent="0.25">
      <c r="A5605" t="s">
        <v>34</v>
      </c>
      <c r="B5605" t="s">
        <v>35</v>
      </c>
      <c r="C5605" t="s">
        <v>62</v>
      </c>
      <c r="D5605">
        <v>1281.43</v>
      </c>
      <c r="E5605">
        <v>2017</v>
      </c>
      <c r="F5605" t="s">
        <v>70</v>
      </c>
    </row>
    <row r="5606" spans="1:6" x14ac:dyDescent="0.25">
      <c r="A5606" t="s">
        <v>36</v>
      </c>
      <c r="B5606" t="s">
        <v>37</v>
      </c>
      <c r="C5606" t="s">
        <v>62</v>
      </c>
      <c r="D5606">
        <v>1578.19</v>
      </c>
      <c r="E5606">
        <v>2017</v>
      </c>
      <c r="F5606" t="s">
        <v>70</v>
      </c>
    </row>
    <row r="5607" spans="1:6" x14ac:dyDescent="0.25">
      <c r="A5607" t="s">
        <v>38</v>
      </c>
      <c r="B5607" t="s">
        <v>39</v>
      </c>
      <c r="C5607" t="s">
        <v>62</v>
      </c>
      <c r="D5607">
        <v>700.13</v>
      </c>
      <c r="E5607">
        <v>2017</v>
      </c>
      <c r="F5607" t="s">
        <v>70</v>
      </c>
    </row>
    <row r="5608" spans="1:6" x14ac:dyDescent="0.25">
      <c r="A5608" t="s">
        <v>40</v>
      </c>
      <c r="B5608" t="s">
        <v>41</v>
      </c>
      <c r="C5608" t="s">
        <v>62</v>
      </c>
      <c r="D5608">
        <v>703.9</v>
      </c>
      <c r="E5608">
        <v>2017</v>
      </c>
      <c r="F5608" t="s">
        <v>70</v>
      </c>
    </row>
    <row r="5609" spans="1:6" x14ac:dyDescent="0.25">
      <c r="A5609" t="s">
        <v>42</v>
      </c>
      <c r="B5609" t="s">
        <v>43</v>
      </c>
      <c r="C5609" t="s">
        <v>62</v>
      </c>
      <c r="D5609">
        <v>18.420000000000002</v>
      </c>
      <c r="E5609">
        <v>2017</v>
      </c>
      <c r="F5609" t="s">
        <v>70</v>
      </c>
    </row>
    <row r="5610" spans="1:6" x14ac:dyDescent="0.25">
      <c r="A5610" t="s">
        <v>44</v>
      </c>
      <c r="B5610" t="s">
        <v>45</v>
      </c>
      <c r="C5610" t="s">
        <v>62</v>
      </c>
      <c r="D5610">
        <v>250.18</v>
      </c>
      <c r="E5610">
        <v>2017</v>
      </c>
      <c r="F5610" t="s">
        <v>70</v>
      </c>
    </row>
    <row r="5611" spans="1:6" x14ac:dyDescent="0.25">
      <c r="A5611" t="s">
        <v>46</v>
      </c>
      <c r="B5611" t="s">
        <v>47</v>
      </c>
      <c r="C5611" t="s">
        <v>62</v>
      </c>
      <c r="D5611">
        <v>317.74</v>
      </c>
      <c r="E5611">
        <v>2017</v>
      </c>
      <c r="F5611" t="s">
        <v>70</v>
      </c>
    </row>
    <row r="5612" spans="1:6" x14ac:dyDescent="0.25">
      <c r="A5612" t="s">
        <v>48</v>
      </c>
      <c r="B5612" t="s">
        <v>49</v>
      </c>
      <c r="C5612" t="s">
        <v>62</v>
      </c>
      <c r="D5612">
        <v>132.87</v>
      </c>
      <c r="E5612">
        <v>2017</v>
      </c>
      <c r="F5612" t="s">
        <v>70</v>
      </c>
    </row>
    <row r="5613" spans="1:6" x14ac:dyDescent="0.25">
      <c r="A5613" t="s">
        <v>50</v>
      </c>
      <c r="B5613" t="s">
        <v>51</v>
      </c>
      <c r="C5613" t="s">
        <v>62</v>
      </c>
      <c r="D5613">
        <v>54.89</v>
      </c>
      <c r="E5613">
        <v>2017</v>
      </c>
      <c r="F5613" t="s">
        <v>70</v>
      </c>
    </row>
    <row r="5614" spans="1:6" x14ac:dyDescent="0.25">
      <c r="A5614" t="s">
        <v>52</v>
      </c>
      <c r="B5614" t="s">
        <v>53</v>
      </c>
      <c r="C5614" t="s">
        <v>62</v>
      </c>
      <c r="D5614">
        <v>167.23</v>
      </c>
      <c r="E5614">
        <v>2017</v>
      </c>
      <c r="F5614" t="s">
        <v>70</v>
      </c>
    </row>
    <row r="5615" spans="1:6" x14ac:dyDescent="0.25">
      <c r="A5615" t="s">
        <v>54</v>
      </c>
      <c r="B5615" t="s">
        <v>55</v>
      </c>
      <c r="C5615" t="s">
        <v>62</v>
      </c>
      <c r="D5615">
        <v>489.39</v>
      </c>
      <c r="E5615">
        <v>2017</v>
      </c>
      <c r="F5615" t="s">
        <v>70</v>
      </c>
    </row>
    <row r="5616" spans="1:6" x14ac:dyDescent="0.25">
      <c r="A5616" t="s">
        <v>56</v>
      </c>
      <c r="B5616" t="s">
        <v>57</v>
      </c>
      <c r="C5616" t="s">
        <v>62</v>
      </c>
      <c r="D5616">
        <v>222.77</v>
      </c>
      <c r="E5616">
        <v>2017</v>
      </c>
      <c r="F5616" t="s">
        <v>70</v>
      </c>
    </row>
    <row r="5617" spans="1:6" x14ac:dyDescent="0.25">
      <c r="A5617" t="s">
        <v>58</v>
      </c>
      <c r="B5617" t="s">
        <v>59</v>
      </c>
      <c r="C5617" t="s">
        <v>62</v>
      </c>
      <c r="E5617">
        <v>2017</v>
      </c>
      <c r="F5617" t="s">
        <v>70</v>
      </c>
    </row>
    <row r="5618" spans="1:6" x14ac:dyDescent="0.25">
      <c r="A5618" t="s">
        <v>6</v>
      </c>
      <c r="B5618" t="s">
        <v>7</v>
      </c>
      <c r="C5618" t="s">
        <v>66</v>
      </c>
      <c r="E5618">
        <v>2017</v>
      </c>
      <c r="F5618" t="s">
        <v>70</v>
      </c>
    </row>
    <row r="5619" spans="1:6" x14ac:dyDescent="0.25">
      <c r="A5619" t="s">
        <v>10</v>
      </c>
      <c r="B5619" t="s">
        <v>11</v>
      </c>
      <c r="C5619" t="s">
        <v>66</v>
      </c>
      <c r="E5619">
        <v>2017</v>
      </c>
      <c r="F5619" t="s">
        <v>70</v>
      </c>
    </row>
    <row r="5620" spans="1:6" x14ac:dyDescent="0.25">
      <c r="A5620" t="s">
        <v>12</v>
      </c>
      <c r="B5620" t="s">
        <v>13</v>
      </c>
      <c r="C5620" t="s">
        <v>66</v>
      </c>
      <c r="E5620">
        <v>2017</v>
      </c>
      <c r="F5620" t="s">
        <v>70</v>
      </c>
    </row>
    <row r="5621" spans="1:6" x14ac:dyDescent="0.25">
      <c r="A5621" t="s">
        <v>14</v>
      </c>
      <c r="B5621" t="s">
        <v>15</v>
      </c>
      <c r="C5621" t="s">
        <v>66</v>
      </c>
      <c r="E5621">
        <v>2017</v>
      </c>
      <c r="F5621" t="s">
        <v>70</v>
      </c>
    </row>
    <row r="5622" spans="1:6" x14ac:dyDescent="0.25">
      <c r="A5622" t="s">
        <v>16</v>
      </c>
      <c r="B5622" t="s">
        <v>17</v>
      </c>
      <c r="C5622" t="s">
        <v>66</v>
      </c>
      <c r="E5622">
        <v>2017</v>
      </c>
      <c r="F5622" t="s">
        <v>70</v>
      </c>
    </row>
    <row r="5623" spans="1:6" x14ac:dyDescent="0.25">
      <c r="A5623" t="s">
        <v>18</v>
      </c>
      <c r="B5623" t="s">
        <v>19</v>
      </c>
      <c r="C5623" t="s">
        <v>66</v>
      </c>
      <c r="E5623">
        <v>2017</v>
      </c>
      <c r="F5623" t="s">
        <v>70</v>
      </c>
    </row>
    <row r="5624" spans="1:6" x14ac:dyDescent="0.25">
      <c r="A5624" t="s">
        <v>20</v>
      </c>
      <c r="B5624" t="s">
        <v>21</v>
      </c>
      <c r="C5624" t="s">
        <v>66</v>
      </c>
      <c r="E5624">
        <v>2017</v>
      </c>
      <c r="F5624" t="s">
        <v>70</v>
      </c>
    </row>
    <row r="5625" spans="1:6" x14ac:dyDescent="0.25">
      <c r="A5625" t="s">
        <v>22</v>
      </c>
      <c r="B5625" t="s">
        <v>23</v>
      </c>
      <c r="C5625" t="s">
        <v>66</v>
      </c>
      <c r="E5625">
        <v>2017</v>
      </c>
      <c r="F5625" t="s">
        <v>70</v>
      </c>
    </row>
    <row r="5626" spans="1:6" x14ac:dyDescent="0.25">
      <c r="A5626" t="s">
        <v>24</v>
      </c>
      <c r="B5626" t="s">
        <v>25</v>
      </c>
      <c r="C5626" t="s">
        <v>66</v>
      </c>
      <c r="E5626">
        <v>2017</v>
      </c>
      <c r="F5626" t="s">
        <v>70</v>
      </c>
    </row>
    <row r="5627" spans="1:6" x14ac:dyDescent="0.25">
      <c r="A5627" t="s">
        <v>26</v>
      </c>
      <c r="B5627" t="s">
        <v>27</v>
      </c>
      <c r="C5627" t="s">
        <v>66</v>
      </c>
      <c r="E5627">
        <v>2017</v>
      </c>
      <c r="F5627" t="s">
        <v>70</v>
      </c>
    </row>
    <row r="5628" spans="1:6" x14ac:dyDescent="0.25">
      <c r="A5628" t="s">
        <v>28</v>
      </c>
      <c r="B5628" t="s">
        <v>29</v>
      </c>
      <c r="C5628" t="s">
        <v>66</v>
      </c>
      <c r="E5628">
        <v>2017</v>
      </c>
      <c r="F5628" t="s">
        <v>70</v>
      </c>
    </row>
    <row r="5629" spans="1:6" x14ac:dyDescent="0.25">
      <c r="A5629" t="s">
        <v>30</v>
      </c>
      <c r="B5629" t="s">
        <v>31</v>
      </c>
      <c r="C5629" t="s">
        <v>66</v>
      </c>
      <c r="E5629">
        <v>2017</v>
      </c>
      <c r="F5629" t="s">
        <v>70</v>
      </c>
    </row>
    <row r="5630" spans="1:6" x14ac:dyDescent="0.25">
      <c r="A5630" t="s">
        <v>32</v>
      </c>
      <c r="B5630" t="s">
        <v>33</v>
      </c>
      <c r="C5630" t="s">
        <v>66</v>
      </c>
      <c r="E5630">
        <v>2017</v>
      </c>
      <c r="F5630" t="s">
        <v>70</v>
      </c>
    </row>
    <row r="5631" spans="1:6" x14ac:dyDescent="0.25">
      <c r="A5631" t="s">
        <v>34</v>
      </c>
      <c r="B5631" t="s">
        <v>35</v>
      </c>
      <c r="C5631" t="s">
        <v>66</v>
      </c>
      <c r="E5631">
        <v>2017</v>
      </c>
      <c r="F5631" t="s">
        <v>70</v>
      </c>
    </row>
    <row r="5632" spans="1:6" x14ac:dyDescent="0.25">
      <c r="A5632" t="s">
        <v>36</v>
      </c>
      <c r="B5632" t="s">
        <v>37</v>
      </c>
      <c r="C5632" t="s">
        <v>66</v>
      </c>
      <c r="E5632">
        <v>2017</v>
      </c>
      <c r="F5632" t="s">
        <v>70</v>
      </c>
    </row>
    <row r="5633" spans="1:6" x14ac:dyDescent="0.25">
      <c r="A5633" t="s">
        <v>38</v>
      </c>
      <c r="B5633" t="s">
        <v>39</v>
      </c>
      <c r="C5633" t="s">
        <v>66</v>
      </c>
      <c r="E5633">
        <v>2017</v>
      </c>
      <c r="F5633" t="s">
        <v>70</v>
      </c>
    </row>
    <row r="5634" spans="1:6" x14ac:dyDescent="0.25">
      <c r="A5634" t="s">
        <v>40</v>
      </c>
      <c r="B5634" t="s">
        <v>41</v>
      </c>
      <c r="C5634" t="s">
        <v>66</v>
      </c>
      <c r="E5634">
        <v>2017</v>
      </c>
      <c r="F5634" t="s">
        <v>70</v>
      </c>
    </row>
    <row r="5635" spans="1:6" x14ac:dyDescent="0.25">
      <c r="A5635" t="s">
        <v>42</v>
      </c>
      <c r="B5635" t="s">
        <v>43</v>
      </c>
      <c r="C5635" t="s">
        <v>66</v>
      </c>
      <c r="E5635">
        <v>2017</v>
      </c>
      <c r="F5635" t="s">
        <v>70</v>
      </c>
    </row>
    <row r="5636" spans="1:6" x14ac:dyDescent="0.25">
      <c r="A5636" t="s">
        <v>44</v>
      </c>
      <c r="B5636" t="s">
        <v>45</v>
      </c>
      <c r="C5636" t="s">
        <v>66</v>
      </c>
      <c r="E5636">
        <v>2017</v>
      </c>
      <c r="F5636" t="s">
        <v>70</v>
      </c>
    </row>
    <row r="5637" spans="1:6" x14ac:dyDescent="0.25">
      <c r="A5637" t="s">
        <v>46</v>
      </c>
      <c r="B5637" t="s">
        <v>47</v>
      </c>
      <c r="C5637" t="s">
        <v>66</v>
      </c>
      <c r="E5637">
        <v>2017</v>
      </c>
      <c r="F5637" t="s">
        <v>70</v>
      </c>
    </row>
    <row r="5638" spans="1:6" x14ac:dyDescent="0.25">
      <c r="A5638" t="s">
        <v>48</v>
      </c>
      <c r="B5638" t="s">
        <v>49</v>
      </c>
      <c r="C5638" t="s">
        <v>66</v>
      </c>
      <c r="E5638">
        <v>2017</v>
      </c>
      <c r="F5638" t="s">
        <v>70</v>
      </c>
    </row>
    <row r="5639" spans="1:6" x14ac:dyDescent="0.25">
      <c r="A5639" t="s">
        <v>50</v>
      </c>
      <c r="B5639" t="s">
        <v>51</v>
      </c>
      <c r="C5639" t="s">
        <v>66</v>
      </c>
      <c r="E5639">
        <v>2017</v>
      </c>
      <c r="F5639" t="s">
        <v>70</v>
      </c>
    </row>
    <row r="5640" spans="1:6" x14ac:dyDescent="0.25">
      <c r="A5640" t="s">
        <v>52</v>
      </c>
      <c r="B5640" t="s">
        <v>53</v>
      </c>
      <c r="C5640" t="s">
        <v>66</v>
      </c>
      <c r="E5640">
        <v>2017</v>
      </c>
      <c r="F5640" t="s">
        <v>70</v>
      </c>
    </row>
    <row r="5641" spans="1:6" x14ac:dyDescent="0.25">
      <c r="A5641" t="s">
        <v>54</v>
      </c>
      <c r="B5641" t="s">
        <v>55</v>
      </c>
      <c r="C5641" t="s">
        <v>66</v>
      </c>
      <c r="E5641">
        <v>2017</v>
      </c>
      <c r="F5641" t="s">
        <v>70</v>
      </c>
    </row>
    <row r="5642" spans="1:6" x14ac:dyDescent="0.25">
      <c r="A5642" t="s">
        <v>56</v>
      </c>
      <c r="B5642" t="s">
        <v>57</v>
      </c>
      <c r="C5642" t="s">
        <v>66</v>
      </c>
      <c r="E5642">
        <v>2017</v>
      </c>
      <c r="F5642" t="s">
        <v>70</v>
      </c>
    </row>
    <row r="5643" spans="1:6" x14ac:dyDescent="0.25">
      <c r="A5643" t="s">
        <v>58</v>
      </c>
      <c r="B5643" t="s">
        <v>59</v>
      </c>
      <c r="C5643" t="s">
        <v>66</v>
      </c>
      <c r="E5643">
        <v>2017</v>
      </c>
      <c r="F5643" t="s">
        <v>70</v>
      </c>
    </row>
    <row r="5644" spans="1:6" x14ac:dyDescent="0.25">
      <c r="A5644" t="s">
        <v>6</v>
      </c>
      <c r="B5644" t="s">
        <v>7</v>
      </c>
      <c r="C5644" t="s">
        <v>63</v>
      </c>
      <c r="D5644">
        <v>192472.72</v>
      </c>
      <c r="E5644">
        <v>2018</v>
      </c>
      <c r="F5644" t="s">
        <v>70</v>
      </c>
    </row>
    <row r="5645" spans="1:6" x14ac:dyDescent="0.25">
      <c r="A5645" t="s">
        <v>10</v>
      </c>
      <c r="B5645" t="s">
        <v>11</v>
      </c>
      <c r="C5645" t="s">
        <v>63</v>
      </c>
      <c r="D5645">
        <v>33707.56</v>
      </c>
      <c r="E5645">
        <v>2018</v>
      </c>
      <c r="F5645" t="s">
        <v>70</v>
      </c>
    </row>
    <row r="5646" spans="1:6" x14ac:dyDescent="0.25">
      <c r="A5646" t="s">
        <v>12</v>
      </c>
      <c r="B5646" t="s">
        <v>13</v>
      </c>
      <c r="C5646" t="s">
        <v>63</v>
      </c>
      <c r="D5646">
        <v>6791.14</v>
      </c>
      <c r="E5646">
        <v>2018</v>
      </c>
      <c r="F5646" t="s">
        <v>70</v>
      </c>
    </row>
    <row r="5647" spans="1:6" x14ac:dyDescent="0.25">
      <c r="A5647" t="s">
        <v>14</v>
      </c>
      <c r="B5647" t="s">
        <v>15</v>
      </c>
      <c r="C5647" t="s">
        <v>63</v>
      </c>
      <c r="D5647">
        <v>1030.6400000000001</v>
      </c>
      <c r="E5647">
        <v>2018</v>
      </c>
      <c r="F5647" t="s">
        <v>70</v>
      </c>
    </row>
    <row r="5648" spans="1:6" x14ac:dyDescent="0.25">
      <c r="A5648" t="s">
        <v>16</v>
      </c>
      <c r="B5648" t="s">
        <v>17</v>
      </c>
      <c r="C5648" t="s">
        <v>63</v>
      </c>
      <c r="D5648">
        <v>3214.63</v>
      </c>
      <c r="E5648">
        <v>2018</v>
      </c>
      <c r="F5648" t="s">
        <v>70</v>
      </c>
    </row>
    <row r="5649" spans="1:6" x14ac:dyDescent="0.25">
      <c r="A5649" t="s">
        <v>18</v>
      </c>
      <c r="B5649" t="s">
        <v>19</v>
      </c>
      <c r="C5649" t="s">
        <v>63</v>
      </c>
      <c r="D5649">
        <v>3954.84</v>
      </c>
      <c r="E5649">
        <v>2018</v>
      </c>
      <c r="F5649" t="s">
        <v>70</v>
      </c>
    </row>
    <row r="5650" spans="1:6" x14ac:dyDescent="0.25">
      <c r="A5650" t="s">
        <v>20</v>
      </c>
      <c r="B5650" t="s">
        <v>21</v>
      </c>
      <c r="C5650" t="s">
        <v>63</v>
      </c>
      <c r="D5650">
        <v>3418.13</v>
      </c>
      <c r="E5650">
        <v>2018</v>
      </c>
      <c r="F5650" t="s">
        <v>70</v>
      </c>
    </row>
    <row r="5651" spans="1:6" x14ac:dyDescent="0.25">
      <c r="A5651" t="s">
        <v>22</v>
      </c>
      <c r="B5651" t="s">
        <v>23</v>
      </c>
      <c r="C5651" t="s">
        <v>63</v>
      </c>
      <c r="D5651">
        <v>2198.56</v>
      </c>
      <c r="E5651">
        <v>2018</v>
      </c>
      <c r="F5651" t="s">
        <v>70</v>
      </c>
    </row>
    <row r="5652" spans="1:6" x14ac:dyDescent="0.25">
      <c r="A5652" t="s">
        <v>24</v>
      </c>
      <c r="B5652" t="s">
        <v>25</v>
      </c>
      <c r="C5652" t="s">
        <v>63</v>
      </c>
      <c r="D5652">
        <v>9866.07</v>
      </c>
      <c r="E5652">
        <v>2018</v>
      </c>
      <c r="F5652" t="s">
        <v>70</v>
      </c>
    </row>
    <row r="5653" spans="1:6" x14ac:dyDescent="0.25">
      <c r="A5653" t="s">
        <v>26</v>
      </c>
      <c r="B5653" t="s">
        <v>27</v>
      </c>
      <c r="C5653" t="s">
        <v>63</v>
      </c>
      <c r="D5653">
        <v>1135.9100000000001</v>
      </c>
      <c r="E5653">
        <v>2018</v>
      </c>
      <c r="F5653" t="s">
        <v>70</v>
      </c>
    </row>
    <row r="5654" spans="1:6" x14ac:dyDescent="0.25">
      <c r="A5654" t="s">
        <v>28</v>
      </c>
      <c r="B5654" t="s">
        <v>29</v>
      </c>
      <c r="C5654" t="s">
        <v>63</v>
      </c>
      <c r="D5654">
        <v>24909.8</v>
      </c>
      <c r="E5654">
        <v>2018</v>
      </c>
      <c r="F5654" t="s">
        <v>70</v>
      </c>
    </row>
    <row r="5655" spans="1:6" x14ac:dyDescent="0.25">
      <c r="A5655" t="s">
        <v>30</v>
      </c>
      <c r="B5655" t="s">
        <v>31</v>
      </c>
      <c r="C5655" t="s">
        <v>63</v>
      </c>
      <c r="D5655">
        <v>20340.669999999998</v>
      </c>
      <c r="E5655">
        <v>2018</v>
      </c>
      <c r="F5655" t="s">
        <v>70</v>
      </c>
    </row>
    <row r="5656" spans="1:6" x14ac:dyDescent="0.25">
      <c r="A5656" t="s">
        <v>32</v>
      </c>
      <c r="B5656" t="s">
        <v>33</v>
      </c>
      <c r="C5656" t="s">
        <v>63</v>
      </c>
      <c r="D5656">
        <v>6445.86</v>
      </c>
      <c r="E5656">
        <v>2018</v>
      </c>
      <c r="F5656" t="s">
        <v>70</v>
      </c>
    </row>
    <row r="5657" spans="1:6" x14ac:dyDescent="0.25">
      <c r="A5657" t="s">
        <v>34</v>
      </c>
      <c r="B5657" t="s">
        <v>35</v>
      </c>
      <c r="C5657" t="s">
        <v>63</v>
      </c>
      <c r="D5657">
        <v>6464.83</v>
      </c>
      <c r="E5657">
        <v>2018</v>
      </c>
      <c r="F5657" t="s">
        <v>70</v>
      </c>
    </row>
    <row r="5658" spans="1:6" x14ac:dyDescent="0.25">
      <c r="A5658" t="s">
        <v>36</v>
      </c>
      <c r="B5658" t="s">
        <v>37</v>
      </c>
      <c r="C5658" t="s">
        <v>63</v>
      </c>
      <c r="D5658">
        <v>5847.98</v>
      </c>
      <c r="E5658">
        <v>2018</v>
      </c>
      <c r="F5658" t="s">
        <v>70</v>
      </c>
    </row>
    <row r="5659" spans="1:6" x14ac:dyDescent="0.25">
      <c r="A5659" t="s">
        <v>38</v>
      </c>
      <c r="B5659" t="s">
        <v>39</v>
      </c>
      <c r="C5659" t="s">
        <v>63</v>
      </c>
      <c r="D5659">
        <v>15232.47</v>
      </c>
      <c r="E5659">
        <v>2018</v>
      </c>
      <c r="F5659" t="s">
        <v>70</v>
      </c>
    </row>
    <row r="5660" spans="1:6" x14ac:dyDescent="0.25">
      <c r="A5660" t="s">
        <v>40</v>
      </c>
      <c r="B5660" t="s">
        <v>41</v>
      </c>
      <c r="C5660" t="s">
        <v>63</v>
      </c>
      <c r="D5660">
        <v>5718.4</v>
      </c>
      <c r="E5660">
        <v>2018</v>
      </c>
      <c r="F5660" t="s">
        <v>70</v>
      </c>
    </row>
    <row r="5661" spans="1:6" x14ac:dyDescent="0.25">
      <c r="A5661" t="s">
        <v>42</v>
      </c>
      <c r="B5661" t="s">
        <v>43</v>
      </c>
      <c r="C5661" t="s">
        <v>63</v>
      </c>
      <c r="D5661">
        <v>3855.99</v>
      </c>
      <c r="E5661">
        <v>2018</v>
      </c>
      <c r="F5661" t="s">
        <v>70</v>
      </c>
    </row>
    <row r="5662" spans="1:6" x14ac:dyDescent="0.25">
      <c r="A5662" t="s">
        <v>44</v>
      </c>
      <c r="B5662" t="s">
        <v>45</v>
      </c>
      <c r="C5662" t="s">
        <v>63</v>
      </c>
      <c r="D5662">
        <v>5089.41</v>
      </c>
      <c r="E5662">
        <v>2018</v>
      </c>
      <c r="F5662" t="s">
        <v>70</v>
      </c>
    </row>
    <row r="5663" spans="1:6" x14ac:dyDescent="0.25">
      <c r="A5663" t="s">
        <v>46</v>
      </c>
      <c r="B5663" t="s">
        <v>47</v>
      </c>
      <c r="C5663" t="s">
        <v>63</v>
      </c>
      <c r="D5663">
        <v>8468.8700000000008</v>
      </c>
      <c r="E5663">
        <v>2018</v>
      </c>
      <c r="F5663" t="s">
        <v>70</v>
      </c>
    </row>
    <row r="5664" spans="1:6" x14ac:dyDescent="0.25">
      <c r="A5664" t="s">
        <v>48</v>
      </c>
      <c r="B5664" t="s">
        <v>49</v>
      </c>
      <c r="C5664" t="s">
        <v>63</v>
      </c>
      <c r="D5664">
        <v>15279.96</v>
      </c>
      <c r="E5664">
        <v>2018</v>
      </c>
      <c r="F5664" t="s">
        <v>70</v>
      </c>
    </row>
    <row r="5665" spans="1:6" x14ac:dyDescent="0.25">
      <c r="A5665" t="s">
        <v>50</v>
      </c>
      <c r="B5665" t="s">
        <v>51</v>
      </c>
      <c r="C5665" t="s">
        <v>63</v>
      </c>
      <c r="D5665">
        <v>2398.9699999999998</v>
      </c>
      <c r="E5665">
        <v>2018</v>
      </c>
      <c r="F5665" t="s">
        <v>70</v>
      </c>
    </row>
    <row r="5666" spans="1:6" x14ac:dyDescent="0.25">
      <c r="A5666" t="s">
        <v>52</v>
      </c>
      <c r="B5666" t="s">
        <v>53</v>
      </c>
      <c r="C5666" t="s">
        <v>63</v>
      </c>
      <c r="D5666">
        <v>2128.37</v>
      </c>
      <c r="E5666">
        <v>2018</v>
      </c>
      <c r="F5666" t="s">
        <v>70</v>
      </c>
    </row>
    <row r="5667" spans="1:6" x14ac:dyDescent="0.25">
      <c r="A5667" t="s">
        <v>54</v>
      </c>
      <c r="B5667" t="s">
        <v>55</v>
      </c>
      <c r="C5667" t="s">
        <v>63</v>
      </c>
      <c r="D5667">
        <v>2218.0700000000002</v>
      </c>
      <c r="E5667">
        <v>2018</v>
      </c>
      <c r="F5667" t="s">
        <v>70</v>
      </c>
    </row>
    <row r="5668" spans="1:6" x14ac:dyDescent="0.25">
      <c r="A5668" t="s">
        <v>56</v>
      </c>
      <c r="B5668" t="s">
        <v>57</v>
      </c>
      <c r="C5668" t="s">
        <v>63</v>
      </c>
      <c r="D5668">
        <v>2755.59</v>
      </c>
      <c r="E5668">
        <v>2018</v>
      </c>
      <c r="F5668" t="s">
        <v>70</v>
      </c>
    </row>
    <row r="5669" spans="1:6" x14ac:dyDescent="0.25">
      <c r="A5669" t="s">
        <v>58</v>
      </c>
      <c r="B5669" t="s">
        <v>59</v>
      </c>
      <c r="C5669" t="s">
        <v>63</v>
      </c>
      <c r="E5669">
        <v>2018</v>
      </c>
      <c r="F5669" t="s">
        <v>70</v>
      </c>
    </row>
    <row r="5670" spans="1:6" x14ac:dyDescent="0.25">
      <c r="A5670" t="s">
        <v>6</v>
      </c>
      <c r="B5670" t="s">
        <v>7</v>
      </c>
      <c r="C5670" t="s">
        <v>8</v>
      </c>
      <c r="D5670">
        <v>30155.360000000001</v>
      </c>
      <c r="E5670">
        <v>2018</v>
      </c>
      <c r="F5670" t="s">
        <v>70</v>
      </c>
    </row>
    <row r="5671" spans="1:6" x14ac:dyDescent="0.25">
      <c r="A5671" t="s">
        <v>10</v>
      </c>
      <c r="B5671" t="s">
        <v>11</v>
      </c>
      <c r="C5671" t="s">
        <v>8</v>
      </c>
      <c r="D5671">
        <v>9289.8700000000008</v>
      </c>
      <c r="E5671">
        <v>2018</v>
      </c>
      <c r="F5671" t="s">
        <v>70</v>
      </c>
    </row>
    <row r="5672" spans="1:6" x14ac:dyDescent="0.25">
      <c r="A5672" t="s">
        <v>12</v>
      </c>
      <c r="B5672" t="s">
        <v>13</v>
      </c>
      <c r="C5672" t="s">
        <v>8</v>
      </c>
      <c r="D5672">
        <v>3776.86</v>
      </c>
      <c r="E5672">
        <v>2018</v>
      </c>
      <c r="F5672" t="s">
        <v>70</v>
      </c>
    </row>
    <row r="5673" spans="1:6" x14ac:dyDescent="0.25">
      <c r="A5673" t="s">
        <v>14</v>
      </c>
      <c r="B5673" t="s">
        <v>15</v>
      </c>
      <c r="C5673" t="s">
        <v>8</v>
      </c>
      <c r="E5673">
        <v>2018</v>
      </c>
      <c r="F5673" t="s">
        <v>70</v>
      </c>
    </row>
    <row r="5674" spans="1:6" x14ac:dyDescent="0.25">
      <c r="A5674" t="s">
        <v>16</v>
      </c>
      <c r="B5674" t="s">
        <v>17</v>
      </c>
      <c r="C5674" t="s">
        <v>8</v>
      </c>
      <c r="D5674">
        <v>141.27000000000001</v>
      </c>
      <c r="E5674">
        <v>2018</v>
      </c>
      <c r="F5674" t="s">
        <v>70</v>
      </c>
    </row>
    <row r="5675" spans="1:6" x14ac:dyDescent="0.25">
      <c r="A5675" t="s">
        <v>18</v>
      </c>
      <c r="B5675" t="s">
        <v>19</v>
      </c>
      <c r="C5675" t="s">
        <v>8</v>
      </c>
      <c r="D5675">
        <v>673.41</v>
      </c>
      <c r="E5675">
        <v>2018</v>
      </c>
      <c r="F5675" t="s">
        <v>70</v>
      </c>
    </row>
    <row r="5676" spans="1:6" x14ac:dyDescent="0.25">
      <c r="A5676" t="s">
        <v>20</v>
      </c>
      <c r="B5676" t="s">
        <v>21</v>
      </c>
      <c r="C5676" t="s">
        <v>8</v>
      </c>
      <c r="D5676">
        <v>159.81</v>
      </c>
      <c r="E5676">
        <v>2018</v>
      </c>
      <c r="F5676" t="s">
        <v>70</v>
      </c>
    </row>
    <row r="5677" spans="1:6" x14ac:dyDescent="0.25">
      <c r="A5677" t="s">
        <v>22</v>
      </c>
      <c r="B5677" t="s">
        <v>23</v>
      </c>
      <c r="C5677" t="s">
        <v>8</v>
      </c>
      <c r="D5677">
        <v>1712.09</v>
      </c>
      <c r="E5677">
        <v>2018</v>
      </c>
      <c r="F5677" t="s">
        <v>70</v>
      </c>
    </row>
    <row r="5678" spans="1:6" x14ac:dyDescent="0.25">
      <c r="A5678" t="s">
        <v>24</v>
      </c>
      <c r="B5678" t="s">
        <v>25</v>
      </c>
      <c r="C5678" t="s">
        <v>8</v>
      </c>
      <c r="D5678">
        <v>3081.75</v>
      </c>
      <c r="E5678">
        <v>2018</v>
      </c>
      <c r="F5678" t="s">
        <v>70</v>
      </c>
    </row>
    <row r="5679" spans="1:6" x14ac:dyDescent="0.25">
      <c r="A5679" t="s">
        <v>26</v>
      </c>
      <c r="B5679" t="s">
        <v>27</v>
      </c>
      <c r="C5679" t="s">
        <v>8</v>
      </c>
      <c r="D5679">
        <v>507.94</v>
      </c>
      <c r="E5679">
        <v>2018</v>
      </c>
      <c r="F5679" t="s">
        <v>70</v>
      </c>
    </row>
    <row r="5680" spans="1:6" x14ac:dyDescent="0.25">
      <c r="A5680" t="s">
        <v>28</v>
      </c>
      <c r="B5680" t="s">
        <v>29</v>
      </c>
      <c r="C5680" t="s">
        <v>8</v>
      </c>
      <c r="D5680">
        <v>3.63</v>
      </c>
      <c r="E5680">
        <v>2018</v>
      </c>
      <c r="F5680" t="s">
        <v>70</v>
      </c>
    </row>
    <row r="5681" spans="1:6" x14ac:dyDescent="0.25">
      <c r="A5681" t="s">
        <v>30</v>
      </c>
      <c r="B5681" t="s">
        <v>31</v>
      </c>
      <c r="C5681" t="s">
        <v>8</v>
      </c>
      <c r="D5681">
        <v>3551.38</v>
      </c>
      <c r="E5681">
        <v>2018</v>
      </c>
      <c r="F5681" t="s">
        <v>70</v>
      </c>
    </row>
    <row r="5682" spans="1:6" x14ac:dyDescent="0.25">
      <c r="A5682" t="s">
        <v>32</v>
      </c>
      <c r="B5682" t="s">
        <v>33</v>
      </c>
      <c r="C5682" t="s">
        <v>8</v>
      </c>
      <c r="D5682">
        <v>555.55999999999995</v>
      </c>
      <c r="E5682">
        <v>2018</v>
      </c>
      <c r="F5682" t="s">
        <v>70</v>
      </c>
    </row>
    <row r="5683" spans="1:6" x14ac:dyDescent="0.25">
      <c r="A5683" t="s">
        <v>34</v>
      </c>
      <c r="B5683" t="s">
        <v>35</v>
      </c>
      <c r="C5683" t="s">
        <v>8</v>
      </c>
      <c r="D5683">
        <v>948.21</v>
      </c>
      <c r="E5683">
        <v>2018</v>
      </c>
      <c r="F5683" t="s">
        <v>70</v>
      </c>
    </row>
    <row r="5684" spans="1:6" x14ac:dyDescent="0.25">
      <c r="A5684" t="s">
        <v>36</v>
      </c>
      <c r="B5684" t="s">
        <v>37</v>
      </c>
      <c r="C5684" t="s">
        <v>8</v>
      </c>
      <c r="D5684">
        <v>1467.69</v>
      </c>
      <c r="E5684">
        <v>2018</v>
      </c>
      <c r="F5684" t="s">
        <v>70</v>
      </c>
    </row>
    <row r="5685" spans="1:6" x14ac:dyDescent="0.25">
      <c r="A5685" t="s">
        <v>38</v>
      </c>
      <c r="B5685" t="s">
        <v>39</v>
      </c>
      <c r="C5685" t="s">
        <v>8</v>
      </c>
      <c r="D5685">
        <v>795.31</v>
      </c>
      <c r="E5685">
        <v>2018</v>
      </c>
      <c r="F5685" t="s">
        <v>70</v>
      </c>
    </row>
    <row r="5686" spans="1:6" x14ac:dyDescent="0.25">
      <c r="A5686" t="s">
        <v>40</v>
      </c>
      <c r="B5686" t="s">
        <v>41</v>
      </c>
      <c r="C5686" t="s">
        <v>8</v>
      </c>
      <c r="D5686">
        <v>1155.02</v>
      </c>
      <c r="E5686">
        <v>2018</v>
      </c>
      <c r="F5686" t="s">
        <v>70</v>
      </c>
    </row>
    <row r="5687" spans="1:6" x14ac:dyDescent="0.25">
      <c r="A5687" t="s">
        <v>42</v>
      </c>
      <c r="B5687" t="s">
        <v>43</v>
      </c>
      <c r="C5687" t="s">
        <v>8</v>
      </c>
      <c r="D5687">
        <v>198.94</v>
      </c>
      <c r="E5687">
        <v>2018</v>
      </c>
      <c r="F5687" t="s">
        <v>70</v>
      </c>
    </row>
    <row r="5688" spans="1:6" x14ac:dyDescent="0.25">
      <c r="A5688" t="s">
        <v>44</v>
      </c>
      <c r="B5688" t="s">
        <v>45</v>
      </c>
      <c r="C5688" t="s">
        <v>8</v>
      </c>
      <c r="D5688">
        <v>209.63</v>
      </c>
      <c r="E5688">
        <v>2018</v>
      </c>
      <c r="F5688" t="s">
        <v>70</v>
      </c>
    </row>
    <row r="5689" spans="1:6" x14ac:dyDescent="0.25">
      <c r="A5689" t="s">
        <v>46</v>
      </c>
      <c r="B5689" t="s">
        <v>47</v>
      </c>
      <c r="C5689" t="s">
        <v>8</v>
      </c>
      <c r="D5689">
        <v>797.95</v>
      </c>
      <c r="E5689">
        <v>2018</v>
      </c>
      <c r="F5689" t="s">
        <v>70</v>
      </c>
    </row>
    <row r="5690" spans="1:6" x14ac:dyDescent="0.25">
      <c r="A5690" t="s">
        <v>48</v>
      </c>
      <c r="B5690" t="s">
        <v>49</v>
      </c>
      <c r="C5690" t="s">
        <v>8</v>
      </c>
      <c r="D5690">
        <v>85.73</v>
      </c>
      <c r="E5690">
        <v>2018</v>
      </c>
      <c r="F5690" t="s">
        <v>70</v>
      </c>
    </row>
    <row r="5691" spans="1:6" x14ac:dyDescent="0.25">
      <c r="A5691" t="s">
        <v>50</v>
      </c>
      <c r="B5691" t="s">
        <v>51</v>
      </c>
      <c r="C5691" t="s">
        <v>8</v>
      </c>
      <c r="D5691">
        <v>31.78</v>
      </c>
      <c r="E5691">
        <v>2018</v>
      </c>
      <c r="F5691" t="s">
        <v>70</v>
      </c>
    </row>
    <row r="5692" spans="1:6" x14ac:dyDescent="0.25">
      <c r="A5692" t="s">
        <v>52</v>
      </c>
      <c r="B5692" t="s">
        <v>53</v>
      </c>
      <c r="C5692" t="s">
        <v>8</v>
      </c>
      <c r="D5692">
        <v>245.79</v>
      </c>
      <c r="E5692">
        <v>2018</v>
      </c>
      <c r="F5692" t="s">
        <v>70</v>
      </c>
    </row>
    <row r="5693" spans="1:6" x14ac:dyDescent="0.25">
      <c r="A5693" t="s">
        <v>54</v>
      </c>
      <c r="B5693" t="s">
        <v>55</v>
      </c>
      <c r="C5693" t="s">
        <v>8</v>
      </c>
      <c r="D5693">
        <v>35.299999999999997</v>
      </c>
      <c r="E5693">
        <v>2018</v>
      </c>
      <c r="F5693" t="s">
        <v>70</v>
      </c>
    </row>
    <row r="5694" spans="1:6" x14ac:dyDescent="0.25">
      <c r="A5694" t="s">
        <v>56</v>
      </c>
      <c r="B5694" t="s">
        <v>57</v>
      </c>
      <c r="C5694" t="s">
        <v>8</v>
      </c>
      <c r="D5694">
        <v>719.29</v>
      </c>
      <c r="E5694">
        <v>2018</v>
      </c>
      <c r="F5694" t="s">
        <v>70</v>
      </c>
    </row>
    <row r="5695" spans="1:6" x14ac:dyDescent="0.25">
      <c r="A5695" t="s">
        <v>58</v>
      </c>
      <c r="B5695" t="s">
        <v>59</v>
      </c>
      <c r="C5695" t="s">
        <v>8</v>
      </c>
      <c r="D5695">
        <v>11.15</v>
      </c>
      <c r="E5695">
        <v>2018</v>
      </c>
      <c r="F5695" t="s">
        <v>70</v>
      </c>
    </row>
    <row r="5696" spans="1:6" x14ac:dyDescent="0.25">
      <c r="A5696" t="s">
        <v>6</v>
      </c>
      <c r="B5696" t="s">
        <v>7</v>
      </c>
      <c r="C5696" t="s">
        <v>60</v>
      </c>
      <c r="D5696">
        <v>26424.720000000001</v>
      </c>
      <c r="E5696">
        <v>2018</v>
      </c>
      <c r="F5696" t="s">
        <v>70</v>
      </c>
    </row>
    <row r="5697" spans="1:6" x14ac:dyDescent="0.25">
      <c r="A5697" t="s">
        <v>10</v>
      </c>
      <c r="B5697" t="s">
        <v>11</v>
      </c>
      <c r="C5697" t="s">
        <v>60</v>
      </c>
      <c r="D5697">
        <v>6270.68</v>
      </c>
      <c r="E5697">
        <v>2018</v>
      </c>
      <c r="F5697" t="s">
        <v>70</v>
      </c>
    </row>
    <row r="5698" spans="1:6" x14ac:dyDescent="0.25">
      <c r="A5698" t="s">
        <v>12</v>
      </c>
      <c r="B5698" t="s">
        <v>13</v>
      </c>
      <c r="C5698" t="s">
        <v>60</v>
      </c>
      <c r="D5698">
        <v>1229.1500000000001</v>
      </c>
      <c r="E5698">
        <v>2018</v>
      </c>
      <c r="F5698" t="s">
        <v>70</v>
      </c>
    </row>
    <row r="5699" spans="1:6" x14ac:dyDescent="0.25">
      <c r="A5699" t="s">
        <v>14</v>
      </c>
      <c r="B5699" t="s">
        <v>15</v>
      </c>
      <c r="C5699" t="s">
        <v>60</v>
      </c>
      <c r="E5699">
        <v>2018</v>
      </c>
      <c r="F5699" t="s">
        <v>70</v>
      </c>
    </row>
    <row r="5700" spans="1:6" x14ac:dyDescent="0.25">
      <c r="A5700" t="s">
        <v>16</v>
      </c>
      <c r="B5700" t="s">
        <v>17</v>
      </c>
      <c r="C5700" t="s">
        <v>60</v>
      </c>
      <c r="D5700">
        <v>486.64</v>
      </c>
      <c r="E5700">
        <v>2018</v>
      </c>
      <c r="F5700" t="s">
        <v>70</v>
      </c>
    </row>
    <row r="5701" spans="1:6" x14ac:dyDescent="0.25">
      <c r="A5701" t="s">
        <v>18</v>
      </c>
      <c r="B5701" t="s">
        <v>19</v>
      </c>
      <c r="C5701" t="s">
        <v>60</v>
      </c>
      <c r="D5701">
        <v>1219.1300000000001</v>
      </c>
      <c r="E5701">
        <v>2018</v>
      </c>
      <c r="F5701" t="s">
        <v>70</v>
      </c>
    </row>
    <row r="5702" spans="1:6" x14ac:dyDescent="0.25">
      <c r="A5702" t="s">
        <v>20</v>
      </c>
      <c r="B5702" t="s">
        <v>21</v>
      </c>
      <c r="C5702" t="s">
        <v>60</v>
      </c>
      <c r="D5702">
        <v>212.34</v>
      </c>
      <c r="E5702">
        <v>2018</v>
      </c>
      <c r="F5702" t="s">
        <v>70</v>
      </c>
    </row>
    <row r="5703" spans="1:6" x14ac:dyDescent="0.25">
      <c r="A5703" t="s">
        <v>22</v>
      </c>
      <c r="B5703" t="s">
        <v>23</v>
      </c>
      <c r="C5703" t="s">
        <v>60</v>
      </c>
      <c r="D5703">
        <v>127.72</v>
      </c>
      <c r="E5703">
        <v>2018</v>
      </c>
      <c r="F5703" t="s">
        <v>70</v>
      </c>
    </row>
    <row r="5704" spans="1:6" x14ac:dyDescent="0.25">
      <c r="A5704" t="s">
        <v>24</v>
      </c>
      <c r="B5704" t="s">
        <v>25</v>
      </c>
      <c r="C5704" t="s">
        <v>60</v>
      </c>
      <c r="D5704">
        <v>1147.1300000000001</v>
      </c>
      <c r="E5704">
        <v>2018</v>
      </c>
      <c r="F5704" t="s">
        <v>70</v>
      </c>
    </row>
    <row r="5705" spans="1:6" x14ac:dyDescent="0.25">
      <c r="A5705" t="s">
        <v>26</v>
      </c>
      <c r="B5705" t="s">
        <v>27</v>
      </c>
      <c r="C5705" t="s">
        <v>60</v>
      </c>
      <c r="D5705">
        <v>389.47</v>
      </c>
      <c r="E5705">
        <v>2018</v>
      </c>
      <c r="F5705" t="s">
        <v>70</v>
      </c>
    </row>
    <row r="5706" spans="1:6" x14ac:dyDescent="0.25">
      <c r="A5706" t="s">
        <v>28</v>
      </c>
      <c r="B5706" t="s">
        <v>29</v>
      </c>
      <c r="C5706" t="s">
        <v>60</v>
      </c>
      <c r="D5706">
        <v>1597.1</v>
      </c>
      <c r="E5706">
        <v>2018</v>
      </c>
      <c r="F5706" t="s">
        <v>70</v>
      </c>
    </row>
    <row r="5707" spans="1:6" x14ac:dyDescent="0.25">
      <c r="A5707" t="s">
        <v>30</v>
      </c>
      <c r="B5707" t="s">
        <v>31</v>
      </c>
      <c r="C5707" t="s">
        <v>60</v>
      </c>
      <c r="D5707">
        <v>3141.98</v>
      </c>
      <c r="E5707">
        <v>2018</v>
      </c>
      <c r="F5707" t="s">
        <v>70</v>
      </c>
    </row>
    <row r="5708" spans="1:6" x14ac:dyDescent="0.25">
      <c r="A5708" t="s">
        <v>32</v>
      </c>
      <c r="B5708" t="s">
        <v>33</v>
      </c>
      <c r="C5708" t="s">
        <v>60</v>
      </c>
      <c r="D5708">
        <v>1286.1600000000001</v>
      </c>
      <c r="E5708">
        <v>2018</v>
      </c>
      <c r="F5708" t="s">
        <v>70</v>
      </c>
    </row>
    <row r="5709" spans="1:6" x14ac:dyDescent="0.25">
      <c r="A5709" t="s">
        <v>34</v>
      </c>
      <c r="B5709" t="s">
        <v>35</v>
      </c>
      <c r="C5709" t="s">
        <v>60</v>
      </c>
      <c r="D5709">
        <v>1078.25</v>
      </c>
      <c r="E5709">
        <v>2018</v>
      </c>
      <c r="F5709" t="s">
        <v>70</v>
      </c>
    </row>
    <row r="5710" spans="1:6" x14ac:dyDescent="0.25">
      <c r="A5710" t="s">
        <v>36</v>
      </c>
      <c r="B5710" t="s">
        <v>37</v>
      </c>
      <c r="C5710" t="s">
        <v>60</v>
      </c>
      <c r="D5710">
        <v>1755.11</v>
      </c>
      <c r="E5710">
        <v>2018</v>
      </c>
      <c r="F5710" t="s">
        <v>70</v>
      </c>
    </row>
    <row r="5711" spans="1:6" x14ac:dyDescent="0.25">
      <c r="A5711" t="s">
        <v>38</v>
      </c>
      <c r="B5711" t="s">
        <v>39</v>
      </c>
      <c r="C5711" t="s">
        <v>60</v>
      </c>
      <c r="D5711">
        <v>691.71</v>
      </c>
      <c r="E5711">
        <v>2018</v>
      </c>
      <c r="F5711" t="s">
        <v>70</v>
      </c>
    </row>
    <row r="5712" spans="1:6" x14ac:dyDescent="0.25">
      <c r="A5712" t="s">
        <v>40</v>
      </c>
      <c r="B5712" t="s">
        <v>41</v>
      </c>
      <c r="C5712" t="s">
        <v>60</v>
      </c>
      <c r="D5712">
        <v>681.48</v>
      </c>
      <c r="E5712">
        <v>2018</v>
      </c>
      <c r="F5712" t="s">
        <v>70</v>
      </c>
    </row>
    <row r="5713" spans="1:6" x14ac:dyDescent="0.25">
      <c r="A5713" t="s">
        <v>42</v>
      </c>
      <c r="B5713" t="s">
        <v>43</v>
      </c>
      <c r="C5713" t="s">
        <v>60</v>
      </c>
      <c r="E5713">
        <v>2018</v>
      </c>
      <c r="F5713" t="s">
        <v>70</v>
      </c>
    </row>
    <row r="5714" spans="1:6" x14ac:dyDescent="0.25">
      <c r="A5714" t="s">
        <v>44</v>
      </c>
      <c r="B5714" t="s">
        <v>45</v>
      </c>
      <c r="C5714" t="s">
        <v>60</v>
      </c>
      <c r="D5714">
        <v>539.53</v>
      </c>
      <c r="E5714">
        <v>2018</v>
      </c>
      <c r="F5714" t="s">
        <v>70</v>
      </c>
    </row>
    <row r="5715" spans="1:6" x14ac:dyDescent="0.25">
      <c r="A5715" t="s">
        <v>46</v>
      </c>
      <c r="B5715" t="s">
        <v>47</v>
      </c>
      <c r="C5715" t="s">
        <v>60</v>
      </c>
      <c r="D5715">
        <v>309.60000000000002</v>
      </c>
      <c r="E5715">
        <v>2018</v>
      </c>
      <c r="F5715" t="s">
        <v>70</v>
      </c>
    </row>
    <row r="5716" spans="1:6" x14ac:dyDescent="0.25">
      <c r="A5716" t="s">
        <v>48</v>
      </c>
      <c r="B5716" t="s">
        <v>49</v>
      </c>
      <c r="C5716" t="s">
        <v>60</v>
      </c>
      <c r="D5716">
        <v>312.76</v>
      </c>
      <c r="E5716">
        <v>2018</v>
      </c>
      <c r="F5716" t="s">
        <v>70</v>
      </c>
    </row>
    <row r="5717" spans="1:6" x14ac:dyDescent="0.25">
      <c r="A5717" t="s">
        <v>50</v>
      </c>
      <c r="B5717" t="s">
        <v>51</v>
      </c>
      <c r="C5717" t="s">
        <v>60</v>
      </c>
      <c r="D5717">
        <v>165.18</v>
      </c>
      <c r="E5717">
        <v>2018</v>
      </c>
      <c r="F5717" t="s">
        <v>70</v>
      </c>
    </row>
    <row r="5718" spans="1:6" x14ac:dyDescent="0.25">
      <c r="A5718" t="s">
        <v>52</v>
      </c>
      <c r="B5718" t="s">
        <v>53</v>
      </c>
      <c r="C5718" t="s">
        <v>60</v>
      </c>
      <c r="D5718">
        <v>342</v>
      </c>
      <c r="E5718">
        <v>2018</v>
      </c>
      <c r="F5718" t="s">
        <v>70</v>
      </c>
    </row>
    <row r="5719" spans="1:6" x14ac:dyDescent="0.25">
      <c r="A5719" t="s">
        <v>54</v>
      </c>
      <c r="B5719" t="s">
        <v>55</v>
      </c>
      <c r="C5719" t="s">
        <v>60</v>
      </c>
      <c r="D5719">
        <v>3441.6</v>
      </c>
      <c r="E5719">
        <v>2018</v>
      </c>
      <c r="F5719" t="s">
        <v>70</v>
      </c>
    </row>
    <row r="5720" spans="1:6" x14ac:dyDescent="0.25">
      <c r="A5720" t="s">
        <v>56</v>
      </c>
      <c r="B5720" t="s">
        <v>57</v>
      </c>
      <c r="C5720" t="s">
        <v>60</v>
      </c>
      <c r="E5720">
        <v>2018</v>
      </c>
      <c r="F5720" t="s">
        <v>70</v>
      </c>
    </row>
    <row r="5721" spans="1:6" x14ac:dyDescent="0.25">
      <c r="A5721" t="s">
        <v>58</v>
      </c>
      <c r="B5721" t="s">
        <v>59</v>
      </c>
      <c r="C5721" t="s">
        <v>60</v>
      </c>
      <c r="E5721">
        <v>2018</v>
      </c>
      <c r="F5721" t="s">
        <v>70</v>
      </c>
    </row>
    <row r="5722" spans="1:6" x14ac:dyDescent="0.25">
      <c r="A5722" t="s">
        <v>6</v>
      </c>
      <c r="B5722" t="s">
        <v>7</v>
      </c>
      <c r="C5722" t="s">
        <v>61</v>
      </c>
      <c r="D5722">
        <v>7162.9</v>
      </c>
      <c r="E5722">
        <v>2018</v>
      </c>
      <c r="F5722" t="s">
        <v>70</v>
      </c>
    </row>
    <row r="5723" spans="1:6" x14ac:dyDescent="0.25">
      <c r="A5723" t="s">
        <v>10</v>
      </c>
      <c r="B5723" t="s">
        <v>11</v>
      </c>
      <c r="C5723" t="s">
        <v>61</v>
      </c>
      <c r="D5723">
        <v>2788.66</v>
      </c>
      <c r="E5723">
        <v>2018</v>
      </c>
      <c r="F5723" t="s">
        <v>70</v>
      </c>
    </row>
    <row r="5724" spans="1:6" x14ac:dyDescent="0.25">
      <c r="A5724" t="s">
        <v>12</v>
      </c>
      <c r="B5724" t="s">
        <v>13</v>
      </c>
      <c r="C5724" t="s">
        <v>61</v>
      </c>
      <c r="D5724">
        <v>592.67999999999995</v>
      </c>
      <c r="E5724">
        <v>2018</v>
      </c>
      <c r="F5724" t="s">
        <v>70</v>
      </c>
    </row>
    <row r="5725" spans="1:6" x14ac:dyDescent="0.25">
      <c r="A5725" t="s">
        <v>14</v>
      </c>
      <c r="B5725" t="s">
        <v>15</v>
      </c>
      <c r="C5725" t="s">
        <v>61</v>
      </c>
      <c r="D5725">
        <v>8.7899999999999991</v>
      </c>
      <c r="E5725">
        <v>2018</v>
      </c>
      <c r="F5725" t="s">
        <v>70</v>
      </c>
    </row>
    <row r="5726" spans="1:6" x14ac:dyDescent="0.25">
      <c r="A5726" t="s">
        <v>16</v>
      </c>
      <c r="B5726" t="s">
        <v>17</v>
      </c>
      <c r="C5726" t="s">
        <v>61</v>
      </c>
      <c r="D5726">
        <v>175.46</v>
      </c>
      <c r="E5726">
        <v>2018</v>
      </c>
      <c r="F5726" t="s">
        <v>70</v>
      </c>
    </row>
    <row r="5727" spans="1:6" x14ac:dyDescent="0.25">
      <c r="A5727" t="s">
        <v>18</v>
      </c>
      <c r="B5727" t="s">
        <v>19</v>
      </c>
      <c r="C5727" t="s">
        <v>61</v>
      </c>
      <c r="D5727">
        <v>122.66</v>
      </c>
      <c r="E5727">
        <v>2018</v>
      </c>
      <c r="F5727" t="s">
        <v>70</v>
      </c>
    </row>
    <row r="5728" spans="1:6" x14ac:dyDescent="0.25">
      <c r="A5728" t="s">
        <v>20</v>
      </c>
      <c r="B5728" t="s">
        <v>21</v>
      </c>
      <c r="C5728" t="s">
        <v>61</v>
      </c>
      <c r="D5728">
        <v>43.16</v>
      </c>
      <c r="E5728">
        <v>2018</v>
      </c>
      <c r="F5728" t="s">
        <v>70</v>
      </c>
    </row>
    <row r="5729" spans="1:6" x14ac:dyDescent="0.25">
      <c r="A5729" t="s">
        <v>22</v>
      </c>
      <c r="B5729" t="s">
        <v>23</v>
      </c>
      <c r="C5729" t="s">
        <v>61</v>
      </c>
      <c r="D5729">
        <v>113.34</v>
      </c>
      <c r="E5729">
        <v>2018</v>
      </c>
      <c r="F5729" t="s">
        <v>70</v>
      </c>
    </row>
    <row r="5730" spans="1:6" x14ac:dyDescent="0.25">
      <c r="A5730" t="s">
        <v>24</v>
      </c>
      <c r="B5730" t="s">
        <v>25</v>
      </c>
      <c r="C5730" t="s">
        <v>61</v>
      </c>
      <c r="D5730">
        <v>383.44</v>
      </c>
      <c r="E5730">
        <v>2018</v>
      </c>
      <c r="F5730" t="s">
        <v>70</v>
      </c>
    </row>
    <row r="5731" spans="1:6" x14ac:dyDescent="0.25">
      <c r="A5731" t="s">
        <v>26</v>
      </c>
      <c r="B5731" t="s">
        <v>27</v>
      </c>
      <c r="C5731" t="s">
        <v>61</v>
      </c>
      <c r="D5731">
        <v>98.71</v>
      </c>
      <c r="E5731">
        <v>2018</v>
      </c>
      <c r="F5731" t="s">
        <v>70</v>
      </c>
    </row>
    <row r="5732" spans="1:6" x14ac:dyDescent="0.25">
      <c r="A5732" t="s">
        <v>28</v>
      </c>
      <c r="B5732" t="s">
        <v>29</v>
      </c>
      <c r="C5732" t="s">
        <v>61</v>
      </c>
      <c r="D5732">
        <v>25.55</v>
      </c>
      <c r="E5732">
        <v>2018</v>
      </c>
      <c r="F5732" t="s">
        <v>70</v>
      </c>
    </row>
    <row r="5733" spans="1:6" x14ac:dyDescent="0.25">
      <c r="A5733" t="s">
        <v>30</v>
      </c>
      <c r="B5733" t="s">
        <v>31</v>
      </c>
      <c r="C5733" t="s">
        <v>61</v>
      </c>
      <c r="D5733">
        <v>465.61</v>
      </c>
      <c r="E5733">
        <v>2018</v>
      </c>
      <c r="F5733" t="s">
        <v>70</v>
      </c>
    </row>
    <row r="5734" spans="1:6" x14ac:dyDescent="0.25">
      <c r="A5734" t="s">
        <v>32</v>
      </c>
      <c r="B5734" t="s">
        <v>33</v>
      </c>
      <c r="C5734" t="s">
        <v>61</v>
      </c>
      <c r="D5734">
        <v>180.71</v>
      </c>
      <c r="E5734">
        <v>2018</v>
      </c>
      <c r="F5734" t="s">
        <v>70</v>
      </c>
    </row>
    <row r="5735" spans="1:6" x14ac:dyDescent="0.25">
      <c r="A5735" t="s">
        <v>34</v>
      </c>
      <c r="B5735" t="s">
        <v>35</v>
      </c>
      <c r="C5735" t="s">
        <v>61</v>
      </c>
      <c r="D5735">
        <v>451.03</v>
      </c>
      <c r="E5735">
        <v>2018</v>
      </c>
      <c r="F5735" t="s">
        <v>70</v>
      </c>
    </row>
    <row r="5736" spans="1:6" x14ac:dyDescent="0.25">
      <c r="A5736" t="s">
        <v>36</v>
      </c>
      <c r="B5736" t="s">
        <v>37</v>
      </c>
      <c r="C5736" t="s">
        <v>61</v>
      </c>
      <c r="D5736">
        <v>681.18</v>
      </c>
      <c r="E5736">
        <v>2018</v>
      </c>
      <c r="F5736" t="s">
        <v>70</v>
      </c>
    </row>
    <row r="5737" spans="1:6" x14ac:dyDescent="0.25">
      <c r="A5737" t="s">
        <v>38</v>
      </c>
      <c r="B5737" t="s">
        <v>39</v>
      </c>
      <c r="C5737" t="s">
        <v>61</v>
      </c>
      <c r="D5737">
        <v>244.66</v>
      </c>
      <c r="E5737">
        <v>2018</v>
      </c>
      <c r="F5737" t="s">
        <v>70</v>
      </c>
    </row>
    <row r="5738" spans="1:6" x14ac:dyDescent="0.25">
      <c r="A5738" t="s">
        <v>40</v>
      </c>
      <c r="B5738" t="s">
        <v>41</v>
      </c>
      <c r="C5738" t="s">
        <v>61</v>
      </c>
      <c r="D5738">
        <v>198.81</v>
      </c>
      <c r="E5738">
        <v>2018</v>
      </c>
      <c r="F5738" t="s">
        <v>70</v>
      </c>
    </row>
    <row r="5739" spans="1:6" x14ac:dyDescent="0.25">
      <c r="A5739" t="s">
        <v>42</v>
      </c>
      <c r="B5739" t="s">
        <v>43</v>
      </c>
      <c r="C5739" t="s">
        <v>61</v>
      </c>
      <c r="D5739">
        <v>55.98</v>
      </c>
      <c r="E5739">
        <v>2018</v>
      </c>
      <c r="F5739" t="s">
        <v>70</v>
      </c>
    </row>
    <row r="5740" spans="1:6" x14ac:dyDescent="0.25">
      <c r="A5740" t="s">
        <v>44</v>
      </c>
      <c r="B5740" t="s">
        <v>45</v>
      </c>
      <c r="C5740" t="s">
        <v>61</v>
      </c>
      <c r="D5740">
        <v>124.85</v>
      </c>
      <c r="E5740">
        <v>2018</v>
      </c>
      <c r="F5740" t="s">
        <v>70</v>
      </c>
    </row>
    <row r="5741" spans="1:6" x14ac:dyDescent="0.25">
      <c r="A5741" t="s">
        <v>46</v>
      </c>
      <c r="B5741" t="s">
        <v>47</v>
      </c>
      <c r="C5741" t="s">
        <v>61</v>
      </c>
      <c r="D5741">
        <v>47.4</v>
      </c>
      <c r="E5741">
        <v>2018</v>
      </c>
      <c r="F5741" t="s">
        <v>70</v>
      </c>
    </row>
    <row r="5742" spans="1:6" x14ac:dyDescent="0.25">
      <c r="A5742" t="s">
        <v>48</v>
      </c>
      <c r="B5742" t="s">
        <v>49</v>
      </c>
      <c r="C5742" t="s">
        <v>61</v>
      </c>
      <c r="D5742">
        <v>101.15</v>
      </c>
      <c r="E5742">
        <v>2018</v>
      </c>
      <c r="F5742" t="s">
        <v>70</v>
      </c>
    </row>
    <row r="5743" spans="1:6" x14ac:dyDescent="0.25">
      <c r="A5743" t="s">
        <v>50</v>
      </c>
      <c r="B5743" t="s">
        <v>51</v>
      </c>
      <c r="C5743" t="s">
        <v>61</v>
      </c>
      <c r="D5743">
        <v>55.71</v>
      </c>
      <c r="E5743">
        <v>2018</v>
      </c>
      <c r="F5743" t="s">
        <v>70</v>
      </c>
    </row>
    <row r="5744" spans="1:6" x14ac:dyDescent="0.25">
      <c r="A5744" t="s">
        <v>52</v>
      </c>
      <c r="B5744" t="s">
        <v>53</v>
      </c>
      <c r="C5744" t="s">
        <v>61</v>
      </c>
      <c r="D5744">
        <v>90.14</v>
      </c>
      <c r="E5744">
        <v>2018</v>
      </c>
      <c r="F5744" t="s">
        <v>70</v>
      </c>
    </row>
    <row r="5745" spans="1:6" x14ac:dyDescent="0.25">
      <c r="A5745" t="s">
        <v>54</v>
      </c>
      <c r="B5745" t="s">
        <v>55</v>
      </c>
      <c r="C5745" t="s">
        <v>61</v>
      </c>
      <c r="D5745">
        <v>56.94</v>
      </c>
      <c r="E5745">
        <v>2018</v>
      </c>
      <c r="F5745" t="s">
        <v>70</v>
      </c>
    </row>
    <row r="5746" spans="1:6" x14ac:dyDescent="0.25">
      <c r="A5746" t="s">
        <v>56</v>
      </c>
      <c r="B5746" t="s">
        <v>57</v>
      </c>
      <c r="C5746" t="s">
        <v>61</v>
      </c>
      <c r="D5746">
        <v>56.28</v>
      </c>
      <c r="E5746">
        <v>2018</v>
      </c>
      <c r="F5746" t="s">
        <v>70</v>
      </c>
    </row>
    <row r="5747" spans="1:6" x14ac:dyDescent="0.25">
      <c r="A5747" t="s">
        <v>58</v>
      </c>
      <c r="B5747" t="s">
        <v>59</v>
      </c>
      <c r="C5747" t="s">
        <v>61</v>
      </c>
      <c r="E5747">
        <v>2018</v>
      </c>
      <c r="F5747" t="s">
        <v>70</v>
      </c>
    </row>
    <row r="5748" spans="1:6" x14ac:dyDescent="0.25">
      <c r="A5748" t="s">
        <v>6</v>
      </c>
      <c r="B5748" t="s">
        <v>7</v>
      </c>
      <c r="C5748" t="s">
        <v>65</v>
      </c>
      <c r="D5748">
        <v>164642.82999999999</v>
      </c>
      <c r="E5748">
        <v>2018</v>
      </c>
      <c r="F5748" t="s">
        <v>70</v>
      </c>
    </row>
    <row r="5749" spans="1:6" x14ac:dyDescent="0.25">
      <c r="A5749" t="s">
        <v>10</v>
      </c>
      <c r="B5749" t="s">
        <v>11</v>
      </c>
      <c r="C5749" t="s">
        <v>65</v>
      </c>
      <c r="D5749">
        <v>22672.15</v>
      </c>
      <c r="E5749">
        <v>2018</v>
      </c>
      <c r="F5749" t="s">
        <v>70</v>
      </c>
    </row>
    <row r="5750" spans="1:6" x14ac:dyDescent="0.25">
      <c r="A5750" t="s">
        <v>12</v>
      </c>
      <c r="B5750" t="s">
        <v>13</v>
      </c>
      <c r="C5750" t="s">
        <v>65</v>
      </c>
      <c r="D5750">
        <v>10670.2</v>
      </c>
      <c r="E5750">
        <v>2018</v>
      </c>
      <c r="F5750" t="s">
        <v>70</v>
      </c>
    </row>
    <row r="5751" spans="1:6" x14ac:dyDescent="0.25">
      <c r="A5751" t="s">
        <v>14</v>
      </c>
      <c r="B5751" t="s">
        <v>15</v>
      </c>
      <c r="C5751" t="s">
        <v>65</v>
      </c>
      <c r="D5751">
        <v>517.23</v>
      </c>
      <c r="E5751">
        <v>2018</v>
      </c>
      <c r="F5751" t="s">
        <v>70</v>
      </c>
    </row>
    <row r="5752" spans="1:6" x14ac:dyDescent="0.25">
      <c r="A5752" t="s">
        <v>16</v>
      </c>
      <c r="B5752" t="s">
        <v>17</v>
      </c>
      <c r="C5752" t="s">
        <v>65</v>
      </c>
      <c r="D5752">
        <v>5735.14</v>
      </c>
      <c r="E5752">
        <v>2018</v>
      </c>
      <c r="F5752" t="s">
        <v>70</v>
      </c>
    </row>
    <row r="5753" spans="1:6" x14ac:dyDescent="0.25">
      <c r="A5753" t="s">
        <v>18</v>
      </c>
      <c r="B5753" t="s">
        <v>19</v>
      </c>
      <c r="C5753" t="s">
        <v>65</v>
      </c>
      <c r="D5753">
        <v>1681.75</v>
      </c>
      <c r="E5753">
        <v>2018</v>
      </c>
      <c r="F5753" t="s">
        <v>70</v>
      </c>
    </row>
    <row r="5754" spans="1:6" x14ac:dyDescent="0.25">
      <c r="A5754" t="s">
        <v>20</v>
      </c>
      <c r="B5754" t="s">
        <v>21</v>
      </c>
      <c r="C5754" t="s">
        <v>65</v>
      </c>
      <c r="D5754">
        <v>717.31</v>
      </c>
      <c r="E5754">
        <v>2018</v>
      </c>
      <c r="F5754" t="s">
        <v>70</v>
      </c>
    </row>
    <row r="5755" spans="1:6" x14ac:dyDescent="0.25">
      <c r="A5755" t="s">
        <v>22</v>
      </c>
      <c r="B5755" t="s">
        <v>23</v>
      </c>
      <c r="C5755" t="s">
        <v>65</v>
      </c>
      <c r="D5755">
        <v>460.99</v>
      </c>
      <c r="E5755">
        <v>2018</v>
      </c>
      <c r="F5755" t="s">
        <v>70</v>
      </c>
    </row>
    <row r="5756" spans="1:6" x14ac:dyDescent="0.25">
      <c r="A5756" t="s">
        <v>24</v>
      </c>
      <c r="B5756" t="s">
        <v>25</v>
      </c>
      <c r="C5756" t="s">
        <v>65</v>
      </c>
      <c r="D5756">
        <v>3402.02</v>
      </c>
      <c r="E5756">
        <v>2018</v>
      </c>
      <c r="F5756" t="s">
        <v>70</v>
      </c>
    </row>
    <row r="5757" spans="1:6" x14ac:dyDescent="0.25">
      <c r="A5757" t="s">
        <v>26</v>
      </c>
      <c r="B5757" t="s">
        <v>27</v>
      </c>
      <c r="C5757" t="s">
        <v>65</v>
      </c>
      <c r="D5757">
        <v>277.27</v>
      </c>
      <c r="E5757">
        <v>2018</v>
      </c>
      <c r="F5757" t="s">
        <v>70</v>
      </c>
    </row>
    <row r="5758" spans="1:6" x14ac:dyDescent="0.25">
      <c r="A5758" t="s">
        <v>28</v>
      </c>
      <c r="B5758" t="s">
        <v>29</v>
      </c>
      <c r="C5758" t="s">
        <v>65</v>
      </c>
      <c r="D5758">
        <v>16466.39</v>
      </c>
      <c r="E5758">
        <v>2018</v>
      </c>
      <c r="F5758" t="s">
        <v>70</v>
      </c>
    </row>
    <row r="5759" spans="1:6" x14ac:dyDescent="0.25">
      <c r="A5759" t="s">
        <v>30</v>
      </c>
      <c r="B5759" t="s">
        <v>31</v>
      </c>
      <c r="C5759" t="s">
        <v>65</v>
      </c>
      <c r="D5759">
        <v>13293.49</v>
      </c>
      <c r="E5759">
        <v>2018</v>
      </c>
      <c r="F5759" t="s">
        <v>70</v>
      </c>
    </row>
    <row r="5760" spans="1:6" x14ac:dyDescent="0.25">
      <c r="A5760" t="s">
        <v>32</v>
      </c>
      <c r="B5760" t="s">
        <v>33</v>
      </c>
      <c r="C5760" t="s">
        <v>65</v>
      </c>
      <c r="D5760">
        <v>1271.6300000000001</v>
      </c>
      <c r="E5760">
        <v>2018</v>
      </c>
      <c r="F5760" t="s">
        <v>70</v>
      </c>
    </row>
    <row r="5761" spans="1:6" x14ac:dyDescent="0.25">
      <c r="A5761" t="s">
        <v>34</v>
      </c>
      <c r="B5761" t="s">
        <v>35</v>
      </c>
      <c r="C5761" t="s">
        <v>65</v>
      </c>
      <c r="D5761">
        <v>6547.31</v>
      </c>
      <c r="E5761">
        <v>2018</v>
      </c>
      <c r="F5761" t="s">
        <v>70</v>
      </c>
    </row>
    <row r="5762" spans="1:6" x14ac:dyDescent="0.25">
      <c r="A5762" t="s">
        <v>36</v>
      </c>
      <c r="B5762" t="s">
        <v>37</v>
      </c>
      <c r="C5762" t="s">
        <v>65</v>
      </c>
      <c r="D5762">
        <v>9797.59</v>
      </c>
      <c r="E5762">
        <v>2018</v>
      </c>
      <c r="F5762" t="s">
        <v>70</v>
      </c>
    </row>
    <row r="5763" spans="1:6" x14ac:dyDescent="0.25">
      <c r="A5763" t="s">
        <v>38</v>
      </c>
      <c r="B5763" t="s">
        <v>39</v>
      </c>
      <c r="C5763" t="s">
        <v>65</v>
      </c>
      <c r="D5763">
        <v>10255.14</v>
      </c>
      <c r="E5763">
        <v>2018</v>
      </c>
      <c r="F5763" t="s">
        <v>70</v>
      </c>
    </row>
    <row r="5764" spans="1:6" x14ac:dyDescent="0.25">
      <c r="A5764" t="s">
        <v>40</v>
      </c>
      <c r="B5764" t="s">
        <v>41</v>
      </c>
      <c r="C5764" t="s">
        <v>65</v>
      </c>
      <c r="D5764">
        <v>7235.65</v>
      </c>
      <c r="E5764">
        <v>2018</v>
      </c>
      <c r="F5764" t="s">
        <v>70</v>
      </c>
    </row>
    <row r="5765" spans="1:6" x14ac:dyDescent="0.25">
      <c r="A5765" t="s">
        <v>42</v>
      </c>
      <c r="B5765" t="s">
        <v>43</v>
      </c>
      <c r="C5765" t="s">
        <v>65</v>
      </c>
      <c r="D5765">
        <v>5626.26</v>
      </c>
      <c r="E5765">
        <v>2018</v>
      </c>
      <c r="F5765" t="s">
        <v>70</v>
      </c>
    </row>
    <row r="5766" spans="1:6" x14ac:dyDescent="0.25">
      <c r="A5766" t="s">
        <v>44</v>
      </c>
      <c r="B5766" t="s">
        <v>45</v>
      </c>
      <c r="C5766" t="s">
        <v>65</v>
      </c>
      <c r="D5766">
        <v>12357.34</v>
      </c>
      <c r="E5766">
        <v>2018</v>
      </c>
      <c r="F5766" t="s">
        <v>70</v>
      </c>
    </row>
    <row r="5767" spans="1:6" x14ac:dyDescent="0.25">
      <c r="A5767" t="s">
        <v>46</v>
      </c>
      <c r="B5767" t="s">
        <v>47</v>
      </c>
      <c r="C5767" t="s">
        <v>65</v>
      </c>
      <c r="D5767">
        <v>14960.5</v>
      </c>
      <c r="E5767">
        <v>2018</v>
      </c>
      <c r="F5767" t="s">
        <v>70</v>
      </c>
    </row>
    <row r="5768" spans="1:6" x14ac:dyDescent="0.25">
      <c r="A5768" t="s">
        <v>48</v>
      </c>
      <c r="B5768" t="s">
        <v>49</v>
      </c>
      <c r="C5768" t="s">
        <v>65</v>
      </c>
      <c r="D5768">
        <v>19504.22</v>
      </c>
      <c r="E5768">
        <v>2018</v>
      </c>
      <c r="F5768" t="s">
        <v>70</v>
      </c>
    </row>
    <row r="5769" spans="1:6" x14ac:dyDescent="0.25">
      <c r="A5769" t="s">
        <v>50</v>
      </c>
      <c r="B5769" t="s">
        <v>51</v>
      </c>
      <c r="C5769" t="s">
        <v>65</v>
      </c>
      <c r="D5769">
        <v>545.15</v>
      </c>
      <c r="E5769">
        <v>2018</v>
      </c>
      <c r="F5769" t="s">
        <v>70</v>
      </c>
    </row>
    <row r="5770" spans="1:6" x14ac:dyDescent="0.25">
      <c r="A5770" t="s">
        <v>52</v>
      </c>
      <c r="B5770" t="s">
        <v>53</v>
      </c>
      <c r="C5770" t="s">
        <v>65</v>
      </c>
      <c r="D5770">
        <v>394.07</v>
      </c>
      <c r="E5770">
        <v>2018</v>
      </c>
      <c r="F5770" t="s">
        <v>70</v>
      </c>
    </row>
    <row r="5771" spans="1:6" x14ac:dyDescent="0.25">
      <c r="A5771" t="s">
        <v>54</v>
      </c>
      <c r="B5771" t="s">
        <v>55</v>
      </c>
      <c r="C5771" t="s">
        <v>65</v>
      </c>
      <c r="D5771">
        <v>254.03</v>
      </c>
      <c r="E5771">
        <v>2018</v>
      </c>
      <c r="F5771" t="s">
        <v>70</v>
      </c>
    </row>
    <row r="5772" spans="1:6" x14ac:dyDescent="0.25">
      <c r="A5772" t="s">
        <v>56</v>
      </c>
      <c r="B5772" t="s">
        <v>57</v>
      </c>
      <c r="C5772" t="s">
        <v>65</v>
      </c>
      <c r="E5772">
        <v>2018</v>
      </c>
      <c r="F5772" t="s">
        <v>70</v>
      </c>
    </row>
    <row r="5773" spans="1:6" x14ac:dyDescent="0.25">
      <c r="A5773" t="s">
        <v>58</v>
      </c>
      <c r="B5773" t="s">
        <v>59</v>
      </c>
      <c r="C5773" t="s">
        <v>65</v>
      </c>
      <c r="E5773">
        <v>2018</v>
      </c>
      <c r="F5773" t="s">
        <v>70</v>
      </c>
    </row>
    <row r="5774" spans="1:6" x14ac:dyDescent="0.25">
      <c r="A5774" t="s">
        <v>6</v>
      </c>
      <c r="B5774" t="s">
        <v>7</v>
      </c>
      <c r="C5774" t="s">
        <v>62</v>
      </c>
      <c r="D5774">
        <v>20468.29</v>
      </c>
      <c r="E5774">
        <v>2018</v>
      </c>
      <c r="F5774" t="s">
        <v>70</v>
      </c>
    </row>
    <row r="5775" spans="1:6" x14ac:dyDescent="0.25">
      <c r="A5775" t="s">
        <v>10</v>
      </c>
      <c r="B5775" t="s">
        <v>11</v>
      </c>
      <c r="C5775" t="s">
        <v>62</v>
      </c>
      <c r="D5775">
        <v>7711.81</v>
      </c>
      <c r="E5775">
        <v>2018</v>
      </c>
      <c r="F5775" t="s">
        <v>70</v>
      </c>
    </row>
    <row r="5776" spans="1:6" x14ac:dyDescent="0.25">
      <c r="A5776" t="s">
        <v>12</v>
      </c>
      <c r="B5776" t="s">
        <v>13</v>
      </c>
      <c r="C5776" t="s">
        <v>62</v>
      </c>
      <c r="D5776">
        <v>1696.89</v>
      </c>
      <c r="E5776">
        <v>2018</v>
      </c>
      <c r="F5776" t="s">
        <v>70</v>
      </c>
    </row>
    <row r="5777" spans="1:6" x14ac:dyDescent="0.25">
      <c r="A5777" t="s">
        <v>14</v>
      </c>
      <c r="B5777" t="s">
        <v>15</v>
      </c>
      <c r="C5777" t="s">
        <v>62</v>
      </c>
      <c r="E5777">
        <v>2018</v>
      </c>
      <c r="F5777" t="s">
        <v>70</v>
      </c>
    </row>
    <row r="5778" spans="1:6" x14ac:dyDescent="0.25">
      <c r="A5778" t="s">
        <v>16</v>
      </c>
      <c r="B5778" t="s">
        <v>17</v>
      </c>
      <c r="C5778" t="s">
        <v>62</v>
      </c>
      <c r="D5778">
        <v>644.91</v>
      </c>
      <c r="E5778">
        <v>2018</v>
      </c>
      <c r="F5778" t="s">
        <v>70</v>
      </c>
    </row>
    <row r="5779" spans="1:6" x14ac:dyDescent="0.25">
      <c r="A5779" t="s">
        <v>18</v>
      </c>
      <c r="B5779" t="s">
        <v>19</v>
      </c>
      <c r="C5779" t="s">
        <v>62</v>
      </c>
      <c r="D5779">
        <v>712.01</v>
      </c>
      <c r="E5779">
        <v>2018</v>
      </c>
      <c r="F5779" t="s">
        <v>70</v>
      </c>
    </row>
    <row r="5780" spans="1:6" x14ac:dyDescent="0.25">
      <c r="A5780" t="s">
        <v>20</v>
      </c>
      <c r="B5780" t="s">
        <v>21</v>
      </c>
      <c r="C5780" t="s">
        <v>62</v>
      </c>
      <c r="D5780">
        <v>98.91</v>
      </c>
      <c r="E5780">
        <v>2018</v>
      </c>
      <c r="F5780" t="s">
        <v>70</v>
      </c>
    </row>
    <row r="5781" spans="1:6" x14ac:dyDescent="0.25">
      <c r="A5781" t="s">
        <v>22</v>
      </c>
      <c r="B5781" t="s">
        <v>23</v>
      </c>
      <c r="C5781" t="s">
        <v>62</v>
      </c>
      <c r="D5781">
        <v>166.6</v>
      </c>
      <c r="E5781">
        <v>2018</v>
      </c>
      <c r="F5781" t="s">
        <v>70</v>
      </c>
    </row>
    <row r="5782" spans="1:6" x14ac:dyDescent="0.25">
      <c r="A5782" t="s">
        <v>24</v>
      </c>
      <c r="B5782" t="s">
        <v>25</v>
      </c>
      <c r="C5782" t="s">
        <v>62</v>
      </c>
      <c r="D5782">
        <v>548.20000000000005</v>
      </c>
      <c r="E5782">
        <v>2018</v>
      </c>
      <c r="F5782" t="s">
        <v>70</v>
      </c>
    </row>
    <row r="5783" spans="1:6" x14ac:dyDescent="0.25">
      <c r="A5783" t="s">
        <v>26</v>
      </c>
      <c r="B5783" t="s">
        <v>27</v>
      </c>
      <c r="C5783" t="s">
        <v>62</v>
      </c>
      <c r="D5783">
        <v>301.5</v>
      </c>
      <c r="E5783">
        <v>2018</v>
      </c>
      <c r="F5783" t="s">
        <v>70</v>
      </c>
    </row>
    <row r="5784" spans="1:6" x14ac:dyDescent="0.25">
      <c r="A5784" t="s">
        <v>28</v>
      </c>
      <c r="B5784" t="s">
        <v>29</v>
      </c>
      <c r="C5784" t="s">
        <v>62</v>
      </c>
      <c r="D5784">
        <v>717.26</v>
      </c>
      <c r="E5784">
        <v>2018</v>
      </c>
      <c r="F5784" t="s">
        <v>70</v>
      </c>
    </row>
    <row r="5785" spans="1:6" x14ac:dyDescent="0.25">
      <c r="A5785" t="s">
        <v>30</v>
      </c>
      <c r="B5785" t="s">
        <v>31</v>
      </c>
      <c r="C5785" t="s">
        <v>62</v>
      </c>
      <c r="D5785">
        <v>1516.54</v>
      </c>
      <c r="E5785">
        <v>2018</v>
      </c>
      <c r="F5785" t="s">
        <v>70</v>
      </c>
    </row>
    <row r="5786" spans="1:6" x14ac:dyDescent="0.25">
      <c r="A5786" t="s">
        <v>32</v>
      </c>
      <c r="B5786" t="s">
        <v>33</v>
      </c>
      <c r="C5786" t="s">
        <v>62</v>
      </c>
      <c r="D5786">
        <v>583.1</v>
      </c>
      <c r="E5786">
        <v>2018</v>
      </c>
      <c r="F5786" t="s">
        <v>70</v>
      </c>
    </row>
    <row r="5787" spans="1:6" x14ac:dyDescent="0.25">
      <c r="A5787" t="s">
        <v>34</v>
      </c>
      <c r="B5787" t="s">
        <v>35</v>
      </c>
      <c r="C5787" t="s">
        <v>62</v>
      </c>
      <c r="D5787">
        <v>1078.69</v>
      </c>
      <c r="E5787">
        <v>2018</v>
      </c>
      <c r="F5787" t="s">
        <v>70</v>
      </c>
    </row>
    <row r="5788" spans="1:6" x14ac:dyDescent="0.25">
      <c r="A5788" t="s">
        <v>36</v>
      </c>
      <c r="B5788" t="s">
        <v>37</v>
      </c>
      <c r="C5788" t="s">
        <v>62</v>
      </c>
      <c r="D5788">
        <v>1701.94</v>
      </c>
      <c r="E5788">
        <v>2018</v>
      </c>
      <c r="F5788" t="s">
        <v>70</v>
      </c>
    </row>
    <row r="5789" spans="1:6" x14ac:dyDescent="0.25">
      <c r="A5789" t="s">
        <v>38</v>
      </c>
      <c r="B5789" t="s">
        <v>39</v>
      </c>
      <c r="C5789" t="s">
        <v>62</v>
      </c>
      <c r="D5789">
        <v>779.3</v>
      </c>
      <c r="E5789">
        <v>2018</v>
      </c>
      <c r="F5789" t="s">
        <v>70</v>
      </c>
    </row>
    <row r="5790" spans="1:6" x14ac:dyDescent="0.25">
      <c r="A5790" t="s">
        <v>40</v>
      </c>
      <c r="B5790" t="s">
        <v>41</v>
      </c>
      <c r="C5790" t="s">
        <v>62</v>
      </c>
      <c r="D5790">
        <v>760.97</v>
      </c>
      <c r="E5790">
        <v>2018</v>
      </c>
      <c r="F5790" t="s">
        <v>70</v>
      </c>
    </row>
    <row r="5791" spans="1:6" x14ac:dyDescent="0.25">
      <c r="A5791" t="s">
        <v>42</v>
      </c>
      <c r="B5791" t="s">
        <v>43</v>
      </c>
      <c r="C5791" t="s">
        <v>62</v>
      </c>
      <c r="D5791">
        <v>15.2</v>
      </c>
      <c r="E5791">
        <v>2018</v>
      </c>
      <c r="F5791" t="s">
        <v>70</v>
      </c>
    </row>
    <row r="5792" spans="1:6" x14ac:dyDescent="0.25">
      <c r="A5792" t="s">
        <v>44</v>
      </c>
      <c r="B5792" t="s">
        <v>45</v>
      </c>
      <c r="C5792" t="s">
        <v>62</v>
      </c>
      <c r="D5792">
        <v>228.88</v>
      </c>
      <c r="E5792">
        <v>2018</v>
      </c>
      <c r="F5792" t="s">
        <v>70</v>
      </c>
    </row>
    <row r="5793" spans="1:6" x14ac:dyDescent="0.25">
      <c r="A5793" t="s">
        <v>46</v>
      </c>
      <c r="B5793" t="s">
        <v>47</v>
      </c>
      <c r="C5793" t="s">
        <v>62</v>
      </c>
      <c r="D5793">
        <v>239.89</v>
      </c>
      <c r="E5793">
        <v>2018</v>
      </c>
      <c r="F5793" t="s">
        <v>70</v>
      </c>
    </row>
    <row r="5794" spans="1:6" x14ac:dyDescent="0.25">
      <c r="A5794" t="s">
        <v>48</v>
      </c>
      <c r="B5794" t="s">
        <v>49</v>
      </c>
      <c r="C5794" t="s">
        <v>62</v>
      </c>
      <c r="D5794">
        <v>220.91</v>
      </c>
      <c r="E5794">
        <v>2018</v>
      </c>
      <c r="F5794" t="s">
        <v>70</v>
      </c>
    </row>
    <row r="5795" spans="1:6" x14ac:dyDescent="0.25">
      <c r="A5795" t="s">
        <v>50</v>
      </c>
      <c r="B5795" t="s">
        <v>51</v>
      </c>
      <c r="C5795" t="s">
        <v>62</v>
      </c>
      <c r="D5795">
        <v>57.79</v>
      </c>
      <c r="E5795">
        <v>2018</v>
      </c>
      <c r="F5795" t="s">
        <v>70</v>
      </c>
    </row>
    <row r="5796" spans="1:6" x14ac:dyDescent="0.25">
      <c r="A5796" t="s">
        <v>52</v>
      </c>
      <c r="B5796" t="s">
        <v>53</v>
      </c>
      <c r="C5796" t="s">
        <v>62</v>
      </c>
      <c r="D5796">
        <v>183.85</v>
      </c>
      <c r="E5796">
        <v>2018</v>
      </c>
      <c r="F5796" t="s">
        <v>70</v>
      </c>
    </row>
    <row r="5797" spans="1:6" x14ac:dyDescent="0.25">
      <c r="A5797" t="s">
        <v>54</v>
      </c>
      <c r="B5797" t="s">
        <v>55</v>
      </c>
      <c r="C5797" t="s">
        <v>62</v>
      </c>
      <c r="D5797">
        <v>261.61</v>
      </c>
      <c r="E5797">
        <v>2018</v>
      </c>
      <c r="F5797" t="s">
        <v>70</v>
      </c>
    </row>
    <row r="5798" spans="1:6" x14ac:dyDescent="0.25">
      <c r="A5798" t="s">
        <v>56</v>
      </c>
      <c r="B5798" t="s">
        <v>57</v>
      </c>
      <c r="C5798" t="s">
        <v>62</v>
      </c>
      <c r="D5798">
        <v>241.53</v>
      </c>
      <c r="E5798">
        <v>2018</v>
      </c>
      <c r="F5798" t="s">
        <v>70</v>
      </c>
    </row>
    <row r="5799" spans="1:6" x14ac:dyDescent="0.25">
      <c r="A5799" t="s">
        <v>58</v>
      </c>
      <c r="B5799" t="s">
        <v>59</v>
      </c>
      <c r="C5799" t="s">
        <v>62</v>
      </c>
      <c r="E5799">
        <v>2018</v>
      </c>
      <c r="F5799" t="s">
        <v>70</v>
      </c>
    </row>
    <row r="5800" spans="1:6" x14ac:dyDescent="0.25">
      <c r="A5800" t="s">
        <v>6</v>
      </c>
      <c r="B5800" t="s">
        <v>7</v>
      </c>
      <c r="C5800" t="s">
        <v>66</v>
      </c>
      <c r="D5800">
        <v>4952.38</v>
      </c>
      <c r="E5800">
        <v>2018</v>
      </c>
      <c r="F5800" t="s">
        <v>70</v>
      </c>
    </row>
    <row r="5801" spans="1:6" x14ac:dyDescent="0.25">
      <c r="A5801" t="s">
        <v>10</v>
      </c>
      <c r="B5801" t="s">
        <v>11</v>
      </c>
      <c r="C5801" t="s">
        <v>66</v>
      </c>
      <c r="D5801">
        <v>1784.83</v>
      </c>
      <c r="E5801">
        <v>2018</v>
      </c>
      <c r="F5801" t="s">
        <v>70</v>
      </c>
    </row>
    <row r="5802" spans="1:6" x14ac:dyDescent="0.25">
      <c r="A5802" t="s">
        <v>12</v>
      </c>
      <c r="B5802" t="s">
        <v>13</v>
      </c>
      <c r="C5802" t="s">
        <v>66</v>
      </c>
      <c r="D5802">
        <v>329.92</v>
      </c>
      <c r="E5802">
        <v>2018</v>
      </c>
      <c r="F5802" t="s">
        <v>70</v>
      </c>
    </row>
    <row r="5803" spans="1:6" x14ac:dyDescent="0.25">
      <c r="A5803" t="s">
        <v>14</v>
      </c>
      <c r="B5803" t="s">
        <v>15</v>
      </c>
      <c r="C5803" t="s">
        <v>66</v>
      </c>
      <c r="E5803">
        <v>2018</v>
      </c>
      <c r="F5803" t="s">
        <v>70</v>
      </c>
    </row>
    <row r="5804" spans="1:6" x14ac:dyDescent="0.25">
      <c r="A5804" t="s">
        <v>16</v>
      </c>
      <c r="B5804" t="s">
        <v>17</v>
      </c>
      <c r="C5804" t="s">
        <v>66</v>
      </c>
      <c r="D5804">
        <v>25.48</v>
      </c>
      <c r="E5804">
        <v>2018</v>
      </c>
      <c r="F5804" t="s">
        <v>70</v>
      </c>
    </row>
    <row r="5805" spans="1:6" x14ac:dyDescent="0.25">
      <c r="A5805" t="s">
        <v>18</v>
      </c>
      <c r="B5805" t="s">
        <v>19</v>
      </c>
      <c r="C5805" t="s">
        <v>66</v>
      </c>
      <c r="D5805">
        <v>28.32</v>
      </c>
      <c r="E5805">
        <v>2018</v>
      </c>
      <c r="F5805" t="s">
        <v>70</v>
      </c>
    </row>
    <row r="5806" spans="1:6" x14ac:dyDescent="0.25">
      <c r="A5806" t="s">
        <v>20</v>
      </c>
      <c r="B5806" t="s">
        <v>21</v>
      </c>
      <c r="C5806" t="s">
        <v>66</v>
      </c>
      <c r="D5806">
        <v>89.11</v>
      </c>
      <c r="E5806">
        <v>2018</v>
      </c>
      <c r="F5806" t="s">
        <v>70</v>
      </c>
    </row>
    <row r="5807" spans="1:6" x14ac:dyDescent="0.25">
      <c r="A5807" t="s">
        <v>22</v>
      </c>
      <c r="B5807" t="s">
        <v>23</v>
      </c>
      <c r="C5807" t="s">
        <v>66</v>
      </c>
      <c r="D5807">
        <v>85.47</v>
      </c>
      <c r="E5807">
        <v>2018</v>
      </c>
      <c r="F5807" t="s">
        <v>70</v>
      </c>
    </row>
    <row r="5808" spans="1:6" x14ac:dyDescent="0.25">
      <c r="A5808" t="s">
        <v>24</v>
      </c>
      <c r="B5808" t="s">
        <v>25</v>
      </c>
      <c r="C5808" t="s">
        <v>66</v>
      </c>
      <c r="D5808">
        <v>854.28</v>
      </c>
      <c r="E5808">
        <v>2018</v>
      </c>
      <c r="F5808" t="s">
        <v>70</v>
      </c>
    </row>
    <row r="5809" spans="1:6" x14ac:dyDescent="0.25">
      <c r="A5809" t="s">
        <v>26</v>
      </c>
      <c r="B5809" t="s">
        <v>27</v>
      </c>
      <c r="C5809" t="s">
        <v>66</v>
      </c>
      <c r="D5809">
        <v>66.069999999999993</v>
      </c>
      <c r="E5809">
        <v>2018</v>
      </c>
      <c r="F5809" t="s">
        <v>70</v>
      </c>
    </row>
    <row r="5810" spans="1:6" x14ac:dyDescent="0.25">
      <c r="A5810" t="s">
        <v>28</v>
      </c>
      <c r="B5810" t="s">
        <v>29</v>
      </c>
      <c r="C5810" t="s">
        <v>66</v>
      </c>
      <c r="D5810">
        <v>509.46</v>
      </c>
      <c r="E5810">
        <v>2018</v>
      </c>
      <c r="F5810" t="s">
        <v>70</v>
      </c>
    </row>
    <row r="5811" spans="1:6" x14ac:dyDescent="0.25">
      <c r="A5811" t="s">
        <v>30</v>
      </c>
      <c r="B5811" t="s">
        <v>31</v>
      </c>
      <c r="C5811" t="s">
        <v>66</v>
      </c>
      <c r="D5811">
        <v>271.67</v>
      </c>
      <c r="E5811">
        <v>2018</v>
      </c>
      <c r="F5811" t="s">
        <v>70</v>
      </c>
    </row>
    <row r="5812" spans="1:6" x14ac:dyDescent="0.25">
      <c r="A5812" t="s">
        <v>32</v>
      </c>
      <c r="B5812" t="s">
        <v>33</v>
      </c>
      <c r="C5812" t="s">
        <v>66</v>
      </c>
      <c r="D5812">
        <v>279.45999999999998</v>
      </c>
      <c r="E5812">
        <v>2018</v>
      </c>
      <c r="F5812" t="s">
        <v>70</v>
      </c>
    </row>
    <row r="5813" spans="1:6" x14ac:dyDescent="0.25">
      <c r="A5813" t="s">
        <v>34</v>
      </c>
      <c r="B5813" t="s">
        <v>35</v>
      </c>
      <c r="C5813" t="s">
        <v>66</v>
      </c>
      <c r="D5813">
        <v>153.1</v>
      </c>
      <c r="E5813">
        <v>2018</v>
      </c>
      <c r="F5813" t="s">
        <v>70</v>
      </c>
    </row>
    <row r="5814" spans="1:6" x14ac:dyDescent="0.25">
      <c r="A5814" t="s">
        <v>36</v>
      </c>
      <c r="B5814" t="s">
        <v>37</v>
      </c>
      <c r="C5814" t="s">
        <v>66</v>
      </c>
      <c r="D5814">
        <v>95.11</v>
      </c>
      <c r="E5814">
        <v>2018</v>
      </c>
      <c r="F5814" t="s">
        <v>70</v>
      </c>
    </row>
    <row r="5815" spans="1:6" x14ac:dyDescent="0.25">
      <c r="A5815" t="s">
        <v>38</v>
      </c>
      <c r="B5815" t="s">
        <v>39</v>
      </c>
      <c r="C5815" t="s">
        <v>66</v>
      </c>
      <c r="D5815">
        <v>32.26</v>
      </c>
      <c r="E5815">
        <v>2018</v>
      </c>
      <c r="F5815" t="s">
        <v>70</v>
      </c>
    </row>
    <row r="5816" spans="1:6" x14ac:dyDescent="0.25">
      <c r="A5816" t="s">
        <v>40</v>
      </c>
      <c r="B5816" t="s">
        <v>41</v>
      </c>
      <c r="C5816" t="s">
        <v>66</v>
      </c>
      <c r="D5816">
        <v>89.59</v>
      </c>
      <c r="E5816">
        <v>2018</v>
      </c>
      <c r="F5816" t="s">
        <v>70</v>
      </c>
    </row>
    <row r="5817" spans="1:6" x14ac:dyDescent="0.25">
      <c r="A5817" t="s">
        <v>42</v>
      </c>
      <c r="B5817" t="s">
        <v>43</v>
      </c>
      <c r="C5817" t="s">
        <v>66</v>
      </c>
      <c r="D5817">
        <v>1.98</v>
      </c>
      <c r="E5817">
        <v>2018</v>
      </c>
      <c r="F5817" t="s">
        <v>70</v>
      </c>
    </row>
    <row r="5818" spans="1:6" x14ac:dyDescent="0.25">
      <c r="A5818" t="s">
        <v>44</v>
      </c>
      <c r="B5818" t="s">
        <v>45</v>
      </c>
      <c r="C5818" t="s">
        <v>66</v>
      </c>
      <c r="D5818">
        <v>43.26</v>
      </c>
      <c r="E5818">
        <v>2018</v>
      </c>
      <c r="F5818" t="s">
        <v>70</v>
      </c>
    </row>
    <row r="5819" spans="1:6" x14ac:dyDescent="0.25">
      <c r="A5819" t="s">
        <v>46</v>
      </c>
      <c r="B5819" t="s">
        <v>47</v>
      </c>
      <c r="C5819" t="s">
        <v>66</v>
      </c>
      <c r="D5819">
        <v>6.43</v>
      </c>
      <c r="E5819">
        <v>2018</v>
      </c>
      <c r="F5819" t="s">
        <v>70</v>
      </c>
    </row>
    <row r="5820" spans="1:6" x14ac:dyDescent="0.25">
      <c r="A5820" t="s">
        <v>48</v>
      </c>
      <c r="B5820" t="s">
        <v>49</v>
      </c>
      <c r="C5820" t="s">
        <v>66</v>
      </c>
      <c r="D5820">
        <v>77.59</v>
      </c>
      <c r="E5820">
        <v>2018</v>
      </c>
      <c r="F5820" t="s">
        <v>70</v>
      </c>
    </row>
    <row r="5821" spans="1:6" x14ac:dyDescent="0.25">
      <c r="A5821" t="s">
        <v>50</v>
      </c>
      <c r="B5821" t="s">
        <v>51</v>
      </c>
      <c r="C5821" t="s">
        <v>66</v>
      </c>
      <c r="E5821">
        <v>2018</v>
      </c>
      <c r="F5821" t="s">
        <v>70</v>
      </c>
    </row>
    <row r="5822" spans="1:6" x14ac:dyDescent="0.25">
      <c r="A5822" t="s">
        <v>52</v>
      </c>
      <c r="B5822" t="s">
        <v>53</v>
      </c>
      <c r="C5822" t="s">
        <v>66</v>
      </c>
      <c r="D5822">
        <v>25.52</v>
      </c>
      <c r="E5822">
        <v>2018</v>
      </c>
      <c r="F5822" t="s">
        <v>70</v>
      </c>
    </row>
    <row r="5823" spans="1:6" x14ac:dyDescent="0.25">
      <c r="A5823" t="s">
        <v>54</v>
      </c>
      <c r="B5823" t="s">
        <v>55</v>
      </c>
      <c r="C5823" t="s">
        <v>66</v>
      </c>
      <c r="D5823">
        <v>14.77</v>
      </c>
      <c r="E5823">
        <v>2018</v>
      </c>
      <c r="F5823" t="s">
        <v>70</v>
      </c>
    </row>
    <row r="5824" spans="1:6" x14ac:dyDescent="0.25">
      <c r="A5824" t="s">
        <v>56</v>
      </c>
      <c r="B5824" t="s">
        <v>57</v>
      </c>
      <c r="C5824" t="s">
        <v>66</v>
      </c>
      <c r="D5824">
        <v>88.7</v>
      </c>
      <c r="E5824">
        <v>2018</v>
      </c>
      <c r="F5824" t="s">
        <v>70</v>
      </c>
    </row>
    <row r="5825" spans="1:6" x14ac:dyDescent="0.25">
      <c r="A5825" t="s">
        <v>58</v>
      </c>
      <c r="B5825" t="s">
        <v>59</v>
      </c>
      <c r="C5825" t="s">
        <v>66</v>
      </c>
      <c r="E5825">
        <v>2018</v>
      </c>
      <c r="F5825" t="s">
        <v>70</v>
      </c>
    </row>
    <row r="5826" spans="1:6" x14ac:dyDescent="0.25">
      <c r="A5826" t="s">
        <v>6</v>
      </c>
      <c r="B5826" t="s">
        <v>7</v>
      </c>
      <c r="C5826" t="s">
        <v>63</v>
      </c>
      <c r="D5826">
        <v>199755.61</v>
      </c>
      <c r="E5826">
        <v>2019</v>
      </c>
      <c r="F5826" t="s">
        <v>70</v>
      </c>
    </row>
    <row r="5827" spans="1:6" x14ac:dyDescent="0.25">
      <c r="A5827" t="s">
        <v>10</v>
      </c>
      <c r="B5827" t="s">
        <v>11</v>
      </c>
      <c r="C5827" t="s">
        <v>63</v>
      </c>
      <c r="D5827">
        <v>31123.93</v>
      </c>
      <c r="E5827">
        <v>2019</v>
      </c>
      <c r="F5827" t="s">
        <v>70</v>
      </c>
    </row>
    <row r="5828" spans="1:6" x14ac:dyDescent="0.25">
      <c r="A5828" t="s">
        <v>12</v>
      </c>
      <c r="B5828" t="s">
        <v>13</v>
      </c>
      <c r="C5828" t="s">
        <v>63</v>
      </c>
      <c r="D5828">
        <v>6762.57</v>
      </c>
      <c r="E5828">
        <v>2019</v>
      </c>
      <c r="F5828" t="s">
        <v>70</v>
      </c>
    </row>
    <row r="5829" spans="1:6" x14ac:dyDescent="0.25">
      <c r="A5829" t="s">
        <v>14</v>
      </c>
      <c r="B5829" t="s">
        <v>15</v>
      </c>
      <c r="C5829" t="s">
        <v>63</v>
      </c>
      <c r="D5829">
        <v>987.24</v>
      </c>
      <c r="E5829">
        <v>2019</v>
      </c>
      <c r="F5829" t="s">
        <v>70</v>
      </c>
    </row>
    <row r="5830" spans="1:6" x14ac:dyDescent="0.25">
      <c r="A5830" t="s">
        <v>16</v>
      </c>
      <c r="B5830" t="s">
        <v>17</v>
      </c>
      <c r="C5830" t="s">
        <v>63</v>
      </c>
      <c r="D5830">
        <v>3166.14</v>
      </c>
      <c r="E5830">
        <v>2019</v>
      </c>
      <c r="F5830" t="s">
        <v>70</v>
      </c>
    </row>
    <row r="5831" spans="1:6" x14ac:dyDescent="0.25">
      <c r="A5831" t="s">
        <v>18</v>
      </c>
      <c r="B5831" t="s">
        <v>19</v>
      </c>
      <c r="C5831" t="s">
        <v>63</v>
      </c>
      <c r="D5831">
        <v>3731.72</v>
      </c>
      <c r="E5831">
        <v>2019</v>
      </c>
      <c r="F5831" t="s">
        <v>70</v>
      </c>
    </row>
    <row r="5832" spans="1:6" x14ac:dyDescent="0.25">
      <c r="A5832" t="s">
        <v>20</v>
      </c>
      <c r="B5832" t="s">
        <v>21</v>
      </c>
      <c r="C5832" t="s">
        <v>63</v>
      </c>
      <c r="D5832">
        <v>3113.07</v>
      </c>
      <c r="E5832">
        <v>2019</v>
      </c>
      <c r="F5832" t="s">
        <v>70</v>
      </c>
    </row>
    <row r="5833" spans="1:6" x14ac:dyDescent="0.25">
      <c r="A5833" t="s">
        <v>22</v>
      </c>
      <c r="B5833" t="s">
        <v>23</v>
      </c>
      <c r="C5833" t="s">
        <v>63</v>
      </c>
      <c r="D5833">
        <v>2103.87</v>
      </c>
      <c r="E5833">
        <v>2019</v>
      </c>
      <c r="F5833" t="s">
        <v>70</v>
      </c>
    </row>
    <row r="5834" spans="1:6" x14ac:dyDescent="0.25">
      <c r="A5834" t="s">
        <v>24</v>
      </c>
      <c r="B5834" t="s">
        <v>25</v>
      </c>
      <c r="C5834" t="s">
        <v>63</v>
      </c>
      <c r="D5834">
        <v>8025.54</v>
      </c>
      <c r="E5834">
        <v>2019</v>
      </c>
      <c r="F5834" t="s">
        <v>70</v>
      </c>
    </row>
    <row r="5835" spans="1:6" x14ac:dyDescent="0.25">
      <c r="A5835" t="s">
        <v>26</v>
      </c>
      <c r="B5835" t="s">
        <v>27</v>
      </c>
      <c r="C5835" t="s">
        <v>63</v>
      </c>
      <c r="D5835">
        <v>1144.6500000000001</v>
      </c>
      <c r="E5835">
        <v>2019</v>
      </c>
      <c r="F5835" t="s">
        <v>70</v>
      </c>
    </row>
    <row r="5836" spans="1:6" x14ac:dyDescent="0.25">
      <c r="A5836" t="s">
        <v>28</v>
      </c>
      <c r="B5836" t="s">
        <v>29</v>
      </c>
      <c r="C5836" t="s">
        <v>63</v>
      </c>
      <c r="D5836">
        <v>35367.58</v>
      </c>
      <c r="E5836">
        <v>2019</v>
      </c>
      <c r="F5836" t="s">
        <v>70</v>
      </c>
    </row>
    <row r="5837" spans="1:6" x14ac:dyDescent="0.25">
      <c r="A5837" t="s">
        <v>30</v>
      </c>
      <c r="B5837" t="s">
        <v>31</v>
      </c>
      <c r="C5837" t="s">
        <v>63</v>
      </c>
      <c r="D5837">
        <v>23119.03</v>
      </c>
      <c r="E5837">
        <v>2019</v>
      </c>
      <c r="F5837" t="s">
        <v>70</v>
      </c>
    </row>
    <row r="5838" spans="1:6" x14ac:dyDescent="0.25">
      <c r="A5838" t="s">
        <v>32</v>
      </c>
      <c r="B5838" t="s">
        <v>33</v>
      </c>
      <c r="C5838" t="s">
        <v>63</v>
      </c>
      <c r="D5838">
        <v>6361.28</v>
      </c>
      <c r="E5838">
        <v>2019</v>
      </c>
      <c r="F5838" t="s">
        <v>70</v>
      </c>
    </row>
    <row r="5839" spans="1:6" x14ac:dyDescent="0.25">
      <c r="A5839" t="s">
        <v>34</v>
      </c>
      <c r="B5839" t="s">
        <v>35</v>
      </c>
      <c r="C5839" t="s">
        <v>63</v>
      </c>
      <c r="D5839">
        <v>6725.76</v>
      </c>
      <c r="E5839">
        <v>2019</v>
      </c>
      <c r="F5839" t="s">
        <v>70</v>
      </c>
    </row>
    <row r="5840" spans="1:6" x14ac:dyDescent="0.25">
      <c r="A5840" t="s">
        <v>36</v>
      </c>
      <c r="B5840" t="s">
        <v>37</v>
      </c>
      <c r="C5840" t="s">
        <v>63</v>
      </c>
      <c r="D5840">
        <v>5405.48</v>
      </c>
      <c r="E5840">
        <v>2019</v>
      </c>
      <c r="F5840" t="s">
        <v>70</v>
      </c>
    </row>
    <row r="5841" spans="1:6" x14ac:dyDescent="0.25">
      <c r="A5841" t="s">
        <v>38</v>
      </c>
      <c r="B5841" t="s">
        <v>39</v>
      </c>
      <c r="C5841" t="s">
        <v>63</v>
      </c>
      <c r="D5841">
        <v>13090.23</v>
      </c>
      <c r="E5841">
        <v>2019</v>
      </c>
      <c r="F5841" t="s">
        <v>70</v>
      </c>
    </row>
    <row r="5842" spans="1:6" x14ac:dyDescent="0.25">
      <c r="A5842" t="s">
        <v>40</v>
      </c>
      <c r="B5842" t="s">
        <v>41</v>
      </c>
      <c r="C5842" t="s">
        <v>63</v>
      </c>
      <c r="D5842">
        <v>6065.84</v>
      </c>
      <c r="E5842">
        <v>2019</v>
      </c>
      <c r="F5842" t="s">
        <v>70</v>
      </c>
    </row>
    <row r="5843" spans="1:6" x14ac:dyDescent="0.25">
      <c r="A5843" t="s">
        <v>42</v>
      </c>
      <c r="B5843" t="s">
        <v>43</v>
      </c>
      <c r="C5843" t="s">
        <v>63</v>
      </c>
      <c r="D5843">
        <v>4617.47</v>
      </c>
      <c r="E5843">
        <v>2019</v>
      </c>
      <c r="F5843" t="s">
        <v>70</v>
      </c>
    </row>
    <row r="5844" spans="1:6" x14ac:dyDescent="0.25">
      <c r="A5844" t="s">
        <v>44</v>
      </c>
      <c r="B5844" t="s">
        <v>45</v>
      </c>
      <c r="C5844" t="s">
        <v>63</v>
      </c>
      <c r="D5844">
        <v>5539.38</v>
      </c>
      <c r="E5844">
        <v>2019</v>
      </c>
      <c r="F5844" t="s">
        <v>70</v>
      </c>
    </row>
    <row r="5845" spans="1:6" x14ac:dyDescent="0.25">
      <c r="A5845" t="s">
        <v>46</v>
      </c>
      <c r="B5845" t="s">
        <v>47</v>
      </c>
      <c r="C5845" t="s">
        <v>63</v>
      </c>
      <c r="D5845">
        <v>9078.64</v>
      </c>
      <c r="E5845">
        <v>2019</v>
      </c>
      <c r="F5845" t="s">
        <v>70</v>
      </c>
    </row>
    <row r="5846" spans="1:6" x14ac:dyDescent="0.25">
      <c r="A5846" t="s">
        <v>48</v>
      </c>
      <c r="B5846" t="s">
        <v>49</v>
      </c>
      <c r="C5846" t="s">
        <v>63</v>
      </c>
      <c r="D5846">
        <v>14534.23</v>
      </c>
      <c r="E5846">
        <v>2019</v>
      </c>
      <c r="F5846" t="s">
        <v>70</v>
      </c>
    </row>
    <row r="5847" spans="1:6" x14ac:dyDescent="0.25">
      <c r="A5847" t="s">
        <v>50</v>
      </c>
      <c r="B5847" t="s">
        <v>51</v>
      </c>
      <c r="C5847" t="s">
        <v>63</v>
      </c>
      <c r="D5847">
        <v>2788.59</v>
      </c>
      <c r="E5847">
        <v>2019</v>
      </c>
      <c r="F5847" t="s">
        <v>70</v>
      </c>
    </row>
    <row r="5848" spans="1:6" x14ac:dyDescent="0.25">
      <c r="A5848" t="s">
        <v>52</v>
      </c>
      <c r="B5848" t="s">
        <v>53</v>
      </c>
      <c r="C5848" t="s">
        <v>63</v>
      </c>
      <c r="D5848">
        <v>2203.5100000000002</v>
      </c>
      <c r="E5848">
        <v>2019</v>
      </c>
      <c r="F5848" t="s">
        <v>70</v>
      </c>
    </row>
    <row r="5849" spans="1:6" x14ac:dyDescent="0.25">
      <c r="A5849" t="s">
        <v>54</v>
      </c>
      <c r="B5849" t="s">
        <v>55</v>
      </c>
      <c r="C5849" t="s">
        <v>63</v>
      </c>
      <c r="D5849">
        <v>2314.19</v>
      </c>
      <c r="E5849">
        <v>2019</v>
      </c>
      <c r="F5849" t="s">
        <v>70</v>
      </c>
    </row>
    <row r="5850" spans="1:6" x14ac:dyDescent="0.25">
      <c r="A5850" t="s">
        <v>56</v>
      </c>
      <c r="B5850" t="s">
        <v>57</v>
      </c>
      <c r="C5850" t="s">
        <v>63</v>
      </c>
      <c r="D5850">
        <v>2385.67</v>
      </c>
      <c r="E5850">
        <v>2019</v>
      </c>
      <c r="F5850" t="s">
        <v>70</v>
      </c>
    </row>
    <row r="5851" spans="1:6" x14ac:dyDescent="0.25">
      <c r="A5851" t="s">
        <v>58</v>
      </c>
      <c r="B5851" t="s">
        <v>59</v>
      </c>
      <c r="C5851" t="s">
        <v>63</v>
      </c>
      <c r="E5851">
        <v>2019</v>
      </c>
      <c r="F5851" t="s">
        <v>70</v>
      </c>
    </row>
    <row r="5852" spans="1:6" x14ac:dyDescent="0.25">
      <c r="A5852" t="s">
        <v>6</v>
      </c>
      <c r="B5852" t="s">
        <v>7</v>
      </c>
      <c r="C5852" t="s">
        <v>8</v>
      </c>
      <c r="D5852">
        <v>22162.27</v>
      </c>
      <c r="E5852">
        <v>2019</v>
      </c>
      <c r="F5852" t="s">
        <v>70</v>
      </c>
    </row>
    <row r="5853" spans="1:6" x14ac:dyDescent="0.25">
      <c r="A5853" t="s">
        <v>10</v>
      </c>
      <c r="B5853" t="s">
        <v>11</v>
      </c>
      <c r="C5853" t="s">
        <v>8</v>
      </c>
      <c r="D5853">
        <v>7685.19</v>
      </c>
      <c r="E5853">
        <v>2019</v>
      </c>
      <c r="F5853" t="s">
        <v>70</v>
      </c>
    </row>
    <row r="5854" spans="1:6" x14ac:dyDescent="0.25">
      <c r="A5854" t="s">
        <v>12</v>
      </c>
      <c r="B5854" t="s">
        <v>13</v>
      </c>
      <c r="C5854" t="s">
        <v>8</v>
      </c>
      <c r="D5854">
        <v>1841.96</v>
      </c>
      <c r="E5854">
        <v>2019</v>
      </c>
      <c r="F5854" t="s">
        <v>70</v>
      </c>
    </row>
    <row r="5855" spans="1:6" x14ac:dyDescent="0.25">
      <c r="A5855" t="s">
        <v>14</v>
      </c>
      <c r="B5855" t="s">
        <v>15</v>
      </c>
      <c r="C5855" t="s">
        <v>8</v>
      </c>
      <c r="E5855">
        <v>2019</v>
      </c>
      <c r="F5855" t="s">
        <v>70</v>
      </c>
    </row>
    <row r="5856" spans="1:6" x14ac:dyDescent="0.25">
      <c r="A5856" t="s">
        <v>16</v>
      </c>
      <c r="B5856" t="s">
        <v>17</v>
      </c>
      <c r="C5856" t="s">
        <v>8</v>
      </c>
      <c r="D5856">
        <v>92.78</v>
      </c>
      <c r="E5856">
        <v>2019</v>
      </c>
      <c r="F5856" t="s">
        <v>70</v>
      </c>
    </row>
    <row r="5857" spans="1:6" x14ac:dyDescent="0.25">
      <c r="A5857" t="s">
        <v>18</v>
      </c>
      <c r="B5857" t="s">
        <v>19</v>
      </c>
      <c r="C5857" t="s">
        <v>8</v>
      </c>
      <c r="D5857">
        <v>101</v>
      </c>
      <c r="E5857">
        <v>2019</v>
      </c>
      <c r="F5857" t="s">
        <v>70</v>
      </c>
    </row>
    <row r="5858" spans="1:6" x14ac:dyDescent="0.25">
      <c r="A5858" t="s">
        <v>20</v>
      </c>
      <c r="B5858" t="s">
        <v>21</v>
      </c>
      <c r="C5858" t="s">
        <v>8</v>
      </c>
      <c r="D5858">
        <v>113.69</v>
      </c>
      <c r="E5858">
        <v>2019</v>
      </c>
      <c r="F5858" t="s">
        <v>70</v>
      </c>
    </row>
    <row r="5859" spans="1:6" x14ac:dyDescent="0.25">
      <c r="A5859" t="s">
        <v>22</v>
      </c>
      <c r="B5859" t="s">
        <v>23</v>
      </c>
      <c r="C5859" t="s">
        <v>8</v>
      </c>
      <c r="D5859">
        <v>1149.24</v>
      </c>
      <c r="E5859">
        <v>2019</v>
      </c>
      <c r="F5859" t="s">
        <v>70</v>
      </c>
    </row>
    <row r="5860" spans="1:6" x14ac:dyDescent="0.25">
      <c r="A5860" t="s">
        <v>24</v>
      </c>
      <c r="B5860" t="s">
        <v>25</v>
      </c>
      <c r="C5860" t="s">
        <v>8</v>
      </c>
      <c r="D5860">
        <v>1620.81</v>
      </c>
      <c r="E5860">
        <v>2019</v>
      </c>
      <c r="F5860" t="s">
        <v>70</v>
      </c>
    </row>
    <row r="5861" spans="1:6" x14ac:dyDescent="0.25">
      <c r="A5861" t="s">
        <v>26</v>
      </c>
      <c r="B5861" t="s">
        <v>27</v>
      </c>
      <c r="C5861" t="s">
        <v>8</v>
      </c>
      <c r="D5861">
        <v>184.82</v>
      </c>
      <c r="E5861">
        <v>2019</v>
      </c>
      <c r="F5861" t="s">
        <v>70</v>
      </c>
    </row>
    <row r="5862" spans="1:6" x14ac:dyDescent="0.25">
      <c r="A5862" t="s">
        <v>28</v>
      </c>
      <c r="B5862" t="s">
        <v>29</v>
      </c>
      <c r="C5862" t="s">
        <v>8</v>
      </c>
      <c r="E5862">
        <v>2019</v>
      </c>
      <c r="F5862" t="s">
        <v>70</v>
      </c>
    </row>
    <row r="5863" spans="1:6" x14ac:dyDescent="0.25">
      <c r="A5863" t="s">
        <v>30</v>
      </c>
      <c r="B5863" t="s">
        <v>31</v>
      </c>
      <c r="C5863" t="s">
        <v>8</v>
      </c>
      <c r="D5863">
        <v>2876.27</v>
      </c>
      <c r="E5863">
        <v>2019</v>
      </c>
      <c r="F5863" t="s">
        <v>70</v>
      </c>
    </row>
    <row r="5864" spans="1:6" x14ac:dyDescent="0.25">
      <c r="A5864" t="s">
        <v>32</v>
      </c>
      <c r="B5864" t="s">
        <v>33</v>
      </c>
      <c r="C5864" t="s">
        <v>8</v>
      </c>
      <c r="D5864">
        <v>638.33000000000004</v>
      </c>
      <c r="E5864">
        <v>2019</v>
      </c>
      <c r="F5864" t="s">
        <v>70</v>
      </c>
    </row>
    <row r="5865" spans="1:6" x14ac:dyDescent="0.25">
      <c r="A5865" t="s">
        <v>34</v>
      </c>
      <c r="B5865" t="s">
        <v>35</v>
      </c>
      <c r="C5865" t="s">
        <v>8</v>
      </c>
      <c r="D5865">
        <v>889.8</v>
      </c>
      <c r="E5865">
        <v>2019</v>
      </c>
      <c r="F5865" t="s">
        <v>70</v>
      </c>
    </row>
    <row r="5866" spans="1:6" x14ac:dyDescent="0.25">
      <c r="A5866" t="s">
        <v>36</v>
      </c>
      <c r="B5866" t="s">
        <v>37</v>
      </c>
      <c r="C5866" t="s">
        <v>8</v>
      </c>
      <c r="D5866">
        <v>913.13</v>
      </c>
      <c r="E5866">
        <v>2019</v>
      </c>
      <c r="F5866" t="s">
        <v>70</v>
      </c>
    </row>
    <row r="5867" spans="1:6" x14ac:dyDescent="0.25">
      <c r="A5867" t="s">
        <v>38</v>
      </c>
      <c r="B5867" t="s">
        <v>39</v>
      </c>
      <c r="C5867" t="s">
        <v>8</v>
      </c>
      <c r="D5867">
        <v>170.13</v>
      </c>
      <c r="E5867">
        <v>2019</v>
      </c>
      <c r="F5867" t="s">
        <v>70</v>
      </c>
    </row>
    <row r="5868" spans="1:6" x14ac:dyDescent="0.25">
      <c r="A5868" t="s">
        <v>40</v>
      </c>
      <c r="B5868" t="s">
        <v>41</v>
      </c>
      <c r="C5868" t="s">
        <v>8</v>
      </c>
      <c r="D5868">
        <v>929.04</v>
      </c>
      <c r="E5868">
        <v>2019</v>
      </c>
      <c r="F5868" t="s">
        <v>70</v>
      </c>
    </row>
    <row r="5869" spans="1:6" x14ac:dyDescent="0.25">
      <c r="A5869" t="s">
        <v>42</v>
      </c>
      <c r="B5869" t="s">
        <v>43</v>
      </c>
      <c r="C5869" t="s">
        <v>8</v>
      </c>
      <c r="D5869">
        <v>96.25</v>
      </c>
      <c r="E5869">
        <v>2019</v>
      </c>
      <c r="F5869" t="s">
        <v>70</v>
      </c>
    </row>
    <row r="5870" spans="1:6" x14ac:dyDescent="0.25">
      <c r="A5870" t="s">
        <v>44</v>
      </c>
      <c r="B5870" t="s">
        <v>45</v>
      </c>
      <c r="C5870" t="s">
        <v>8</v>
      </c>
      <c r="D5870">
        <v>187.38</v>
      </c>
      <c r="E5870">
        <v>2019</v>
      </c>
      <c r="F5870" t="s">
        <v>70</v>
      </c>
    </row>
    <row r="5871" spans="1:6" x14ac:dyDescent="0.25">
      <c r="A5871" t="s">
        <v>46</v>
      </c>
      <c r="B5871" t="s">
        <v>47</v>
      </c>
      <c r="C5871" t="s">
        <v>8</v>
      </c>
      <c r="D5871">
        <v>415.84</v>
      </c>
      <c r="E5871">
        <v>2019</v>
      </c>
      <c r="F5871" t="s">
        <v>70</v>
      </c>
    </row>
    <row r="5872" spans="1:6" x14ac:dyDescent="0.25">
      <c r="A5872" t="s">
        <v>48</v>
      </c>
      <c r="B5872" t="s">
        <v>49</v>
      </c>
      <c r="C5872" t="s">
        <v>8</v>
      </c>
      <c r="D5872">
        <v>29.83</v>
      </c>
      <c r="E5872">
        <v>2019</v>
      </c>
      <c r="F5872" t="s">
        <v>70</v>
      </c>
    </row>
    <row r="5873" spans="1:6" x14ac:dyDescent="0.25">
      <c r="A5873" t="s">
        <v>50</v>
      </c>
      <c r="B5873" t="s">
        <v>51</v>
      </c>
      <c r="C5873" t="s">
        <v>8</v>
      </c>
      <c r="D5873">
        <v>42.19</v>
      </c>
      <c r="E5873">
        <v>2019</v>
      </c>
      <c r="F5873" t="s">
        <v>70</v>
      </c>
    </row>
    <row r="5874" spans="1:6" x14ac:dyDescent="0.25">
      <c r="A5874" t="s">
        <v>52</v>
      </c>
      <c r="B5874" t="s">
        <v>53</v>
      </c>
      <c r="C5874" t="s">
        <v>8</v>
      </c>
      <c r="D5874">
        <v>245.35</v>
      </c>
      <c r="E5874">
        <v>2019</v>
      </c>
      <c r="F5874" t="s">
        <v>70</v>
      </c>
    </row>
    <row r="5875" spans="1:6" x14ac:dyDescent="0.25">
      <c r="A5875" t="s">
        <v>54</v>
      </c>
      <c r="B5875" t="s">
        <v>55</v>
      </c>
      <c r="C5875" t="s">
        <v>8</v>
      </c>
      <c r="D5875">
        <v>29.2</v>
      </c>
      <c r="E5875">
        <v>2019</v>
      </c>
      <c r="F5875" t="s">
        <v>70</v>
      </c>
    </row>
    <row r="5876" spans="1:6" x14ac:dyDescent="0.25">
      <c r="A5876" t="s">
        <v>56</v>
      </c>
      <c r="B5876" t="s">
        <v>57</v>
      </c>
      <c r="C5876" t="s">
        <v>8</v>
      </c>
      <c r="D5876">
        <v>795.19</v>
      </c>
      <c r="E5876">
        <v>2019</v>
      </c>
      <c r="F5876" t="s">
        <v>70</v>
      </c>
    </row>
    <row r="5877" spans="1:6" x14ac:dyDescent="0.25">
      <c r="A5877" t="s">
        <v>58</v>
      </c>
      <c r="B5877" t="s">
        <v>59</v>
      </c>
      <c r="C5877" t="s">
        <v>8</v>
      </c>
      <c r="D5877">
        <v>1114.8499999999999</v>
      </c>
      <c r="E5877">
        <v>2019</v>
      </c>
      <c r="F5877" t="s">
        <v>70</v>
      </c>
    </row>
    <row r="5878" spans="1:6" x14ac:dyDescent="0.25">
      <c r="A5878" t="s">
        <v>6</v>
      </c>
      <c r="B5878" t="s">
        <v>7</v>
      </c>
      <c r="C5878" t="s">
        <v>60</v>
      </c>
      <c r="D5878">
        <v>24543.47</v>
      </c>
      <c r="E5878">
        <v>2019</v>
      </c>
      <c r="F5878" t="s">
        <v>70</v>
      </c>
    </row>
    <row r="5879" spans="1:6" x14ac:dyDescent="0.25">
      <c r="A5879" t="s">
        <v>10</v>
      </c>
      <c r="B5879" t="s">
        <v>11</v>
      </c>
      <c r="C5879" t="s">
        <v>60</v>
      </c>
      <c r="D5879">
        <v>5921.01</v>
      </c>
      <c r="E5879">
        <v>2019</v>
      </c>
      <c r="F5879" t="s">
        <v>70</v>
      </c>
    </row>
    <row r="5880" spans="1:6" x14ac:dyDescent="0.25">
      <c r="A5880" t="s">
        <v>12</v>
      </c>
      <c r="B5880" t="s">
        <v>13</v>
      </c>
      <c r="C5880" t="s">
        <v>60</v>
      </c>
      <c r="D5880">
        <v>1370.18</v>
      </c>
      <c r="E5880">
        <v>2019</v>
      </c>
      <c r="F5880" t="s">
        <v>70</v>
      </c>
    </row>
    <row r="5881" spans="1:6" x14ac:dyDescent="0.25">
      <c r="A5881" t="s">
        <v>14</v>
      </c>
      <c r="B5881" t="s">
        <v>15</v>
      </c>
      <c r="C5881" t="s">
        <v>60</v>
      </c>
      <c r="E5881">
        <v>2019</v>
      </c>
      <c r="F5881" t="s">
        <v>70</v>
      </c>
    </row>
    <row r="5882" spans="1:6" x14ac:dyDescent="0.25">
      <c r="A5882" t="s">
        <v>16</v>
      </c>
      <c r="B5882" t="s">
        <v>17</v>
      </c>
      <c r="C5882" t="s">
        <v>60</v>
      </c>
      <c r="D5882">
        <v>515.41999999999996</v>
      </c>
      <c r="E5882">
        <v>2019</v>
      </c>
      <c r="F5882" t="s">
        <v>70</v>
      </c>
    </row>
    <row r="5883" spans="1:6" x14ac:dyDescent="0.25">
      <c r="A5883" t="s">
        <v>18</v>
      </c>
      <c r="B5883" t="s">
        <v>19</v>
      </c>
      <c r="C5883" t="s">
        <v>60</v>
      </c>
      <c r="D5883">
        <v>1073.98</v>
      </c>
      <c r="E5883">
        <v>2019</v>
      </c>
      <c r="F5883" t="s">
        <v>70</v>
      </c>
    </row>
    <row r="5884" spans="1:6" x14ac:dyDescent="0.25">
      <c r="A5884" t="s">
        <v>20</v>
      </c>
      <c r="B5884" t="s">
        <v>21</v>
      </c>
      <c r="C5884" t="s">
        <v>60</v>
      </c>
      <c r="D5884">
        <v>192.38</v>
      </c>
      <c r="E5884">
        <v>2019</v>
      </c>
      <c r="F5884" t="s">
        <v>70</v>
      </c>
    </row>
    <row r="5885" spans="1:6" x14ac:dyDescent="0.25">
      <c r="A5885" t="s">
        <v>22</v>
      </c>
      <c r="B5885" t="s">
        <v>23</v>
      </c>
      <c r="C5885" t="s">
        <v>60</v>
      </c>
      <c r="D5885">
        <v>117.39</v>
      </c>
      <c r="E5885">
        <v>2019</v>
      </c>
      <c r="F5885" t="s">
        <v>70</v>
      </c>
    </row>
    <row r="5886" spans="1:6" x14ac:dyDescent="0.25">
      <c r="A5886" t="s">
        <v>24</v>
      </c>
      <c r="B5886" t="s">
        <v>25</v>
      </c>
      <c r="C5886" t="s">
        <v>60</v>
      </c>
      <c r="D5886">
        <v>1110.6099999999999</v>
      </c>
      <c r="E5886">
        <v>2019</v>
      </c>
      <c r="F5886" t="s">
        <v>70</v>
      </c>
    </row>
    <row r="5887" spans="1:6" x14ac:dyDescent="0.25">
      <c r="A5887" t="s">
        <v>26</v>
      </c>
      <c r="B5887" t="s">
        <v>27</v>
      </c>
      <c r="C5887" t="s">
        <v>60</v>
      </c>
      <c r="D5887">
        <v>391.88</v>
      </c>
      <c r="E5887">
        <v>2019</v>
      </c>
      <c r="F5887" t="s">
        <v>70</v>
      </c>
    </row>
    <row r="5888" spans="1:6" x14ac:dyDescent="0.25">
      <c r="A5888" t="s">
        <v>28</v>
      </c>
      <c r="B5888" t="s">
        <v>29</v>
      </c>
      <c r="C5888" t="s">
        <v>60</v>
      </c>
      <c r="D5888">
        <v>1231.47</v>
      </c>
      <c r="E5888">
        <v>2019</v>
      </c>
      <c r="F5888" t="s">
        <v>70</v>
      </c>
    </row>
    <row r="5889" spans="1:6" x14ac:dyDescent="0.25">
      <c r="A5889" t="s">
        <v>30</v>
      </c>
      <c r="B5889" t="s">
        <v>31</v>
      </c>
      <c r="C5889" t="s">
        <v>60</v>
      </c>
      <c r="D5889">
        <v>3067.75</v>
      </c>
      <c r="E5889">
        <v>2019</v>
      </c>
      <c r="F5889" t="s">
        <v>70</v>
      </c>
    </row>
    <row r="5890" spans="1:6" x14ac:dyDescent="0.25">
      <c r="A5890" t="s">
        <v>32</v>
      </c>
      <c r="B5890" t="s">
        <v>33</v>
      </c>
      <c r="C5890" t="s">
        <v>60</v>
      </c>
      <c r="D5890">
        <v>1233.26</v>
      </c>
      <c r="E5890">
        <v>2019</v>
      </c>
      <c r="F5890" t="s">
        <v>70</v>
      </c>
    </row>
    <row r="5891" spans="1:6" x14ac:dyDescent="0.25">
      <c r="A5891" t="s">
        <v>34</v>
      </c>
      <c r="B5891" t="s">
        <v>35</v>
      </c>
      <c r="C5891" t="s">
        <v>60</v>
      </c>
      <c r="D5891">
        <v>1055.6500000000001</v>
      </c>
      <c r="E5891">
        <v>2019</v>
      </c>
      <c r="F5891" t="s">
        <v>70</v>
      </c>
    </row>
    <row r="5892" spans="1:6" x14ac:dyDescent="0.25">
      <c r="A5892" t="s">
        <v>36</v>
      </c>
      <c r="B5892" t="s">
        <v>37</v>
      </c>
      <c r="C5892" t="s">
        <v>60</v>
      </c>
      <c r="D5892">
        <v>1636.55</v>
      </c>
      <c r="E5892">
        <v>2019</v>
      </c>
      <c r="F5892" t="s">
        <v>70</v>
      </c>
    </row>
    <row r="5893" spans="1:6" x14ac:dyDescent="0.25">
      <c r="A5893" t="s">
        <v>38</v>
      </c>
      <c r="B5893" t="s">
        <v>39</v>
      </c>
      <c r="C5893" t="s">
        <v>60</v>
      </c>
      <c r="D5893">
        <v>716.47</v>
      </c>
      <c r="E5893">
        <v>2019</v>
      </c>
      <c r="F5893" t="s">
        <v>70</v>
      </c>
    </row>
    <row r="5894" spans="1:6" x14ac:dyDescent="0.25">
      <c r="A5894" t="s">
        <v>40</v>
      </c>
      <c r="B5894" t="s">
        <v>41</v>
      </c>
      <c r="C5894" t="s">
        <v>60</v>
      </c>
      <c r="D5894">
        <v>618.05999999999995</v>
      </c>
      <c r="E5894">
        <v>2019</v>
      </c>
      <c r="F5894" t="s">
        <v>70</v>
      </c>
    </row>
    <row r="5895" spans="1:6" x14ac:dyDescent="0.25">
      <c r="A5895" t="s">
        <v>42</v>
      </c>
      <c r="B5895" t="s">
        <v>43</v>
      </c>
      <c r="C5895" t="s">
        <v>60</v>
      </c>
      <c r="E5895">
        <v>2019</v>
      </c>
      <c r="F5895" t="s">
        <v>70</v>
      </c>
    </row>
    <row r="5896" spans="1:6" x14ac:dyDescent="0.25">
      <c r="A5896" t="s">
        <v>44</v>
      </c>
      <c r="B5896" t="s">
        <v>45</v>
      </c>
      <c r="C5896" t="s">
        <v>60</v>
      </c>
      <c r="D5896">
        <v>531.79</v>
      </c>
      <c r="E5896">
        <v>2019</v>
      </c>
      <c r="F5896" t="s">
        <v>70</v>
      </c>
    </row>
    <row r="5897" spans="1:6" x14ac:dyDescent="0.25">
      <c r="A5897" t="s">
        <v>46</v>
      </c>
      <c r="B5897" t="s">
        <v>47</v>
      </c>
      <c r="C5897" t="s">
        <v>60</v>
      </c>
      <c r="D5897">
        <v>331.77</v>
      </c>
      <c r="E5897">
        <v>2019</v>
      </c>
      <c r="F5897" t="s">
        <v>70</v>
      </c>
    </row>
    <row r="5898" spans="1:6" x14ac:dyDescent="0.25">
      <c r="A5898" t="s">
        <v>48</v>
      </c>
      <c r="B5898" t="s">
        <v>49</v>
      </c>
      <c r="C5898" t="s">
        <v>60</v>
      </c>
      <c r="D5898">
        <v>363.41</v>
      </c>
      <c r="E5898">
        <v>2019</v>
      </c>
      <c r="F5898" t="s">
        <v>70</v>
      </c>
    </row>
    <row r="5899" spans="1:6" x14ac:dyDescent="0.25">
      <c r="A5899" t="s">
        <v>50</v>
      </c>
      <c r="B5899" t="s">
        <v>51</v>
      </c>
      <c r="C5899" t="s">
        <v>60</v>
      </c>
      <c r="D5899">
        <v>149.63</v>
      </c>
      <c r="E5899">
        <v>2019</v>
      </c>
      <c r="F5899" t="s">
        <v>70</v>
      </c>
    </row>
    <row r="5900" spans="1:6" x14ac:dyDescent="0.25">
      <c r="A5900" t="s">
        <v>52</v>
      </c>
      <c r="B5900" t="s">
        <v>53</v>
      </c>
      <c r="C5900" t="s">
        <v>60</v>
      </c>
      <c r="D5900">
        <v>320.33999999999997</v>
      </c>
      <c r="E5900">
        <v>2019</v>
      </c>
      <c r="F5900" t="s">
        <v>70</v>
      </c>
    </row>
    <row r="5901" spans="1:6" x14ac:dyDescent="0.25">
      <c r="A5901" t="s">
        <v>54</v>
      </c>
      <c r="B5901" t="s">
        <v>55</v>
      </c>
      <c r="C5901" t="s">
        <v>60</v>
      </c>
      <c r="D5901">
        <v>2594.4699999999998</v>
      </c>
      <c r="E5901">
        <v>2019</v>
      </c>
      <c r="F5901" t="s">
        <v>70</v>
      </c>
    </row>
    <row r="5902" spans="1:6" x14ac:dyDescent="0.25">
      <c r="A5902" t="s">
        <v>56</v>
      </c>
      <c r="B5902" t="s">
        <v>57</v>
      </c>
      <c r="C5902" t="s">
        <v>60</v>
      </c>
      <c r="E5902">
        <v>2019</v>
      </c>
      <c r="F5902" t="s">
        <v>70</v>
      </c>
    </row>
    <row r="5903" spans="1:6" x14ac:dyDescent="0.25">
      <c r="A5903" t="s">
        <v>58</v>
      </c>
      <c r="B5903" t="s">
        <v>59</v>
      </c>
      <c r="C5903" t="s">
        <v>60</v>
      </c>
      <c r="E5903">
        <v>2019</v>
      </c>
      <c r="F5903" t="s">
        <v>70</v>
      </c>
    </row>
    <row r="5904" spans="1:6" x14ac:dyDescent="0.25">
      <c r="A5904" t="s">
        <v>6</v>
      </c>
      <c r="B5904" t="s">
        <v>7</v>
      </c>
      <c r="C5904" t="s">
        <v>61</v>
      </c>
      <c r="D5904">
        <v>6559.45</v>
      </c>
      <c r="E5904">
        <v>2019</v>
      </c>
      <c r="F5904" t="s">
        <v>70</v>
      </c>
    </row>
    <row r="5905" spans="1:6" x14ac:dyDescent="0.25">
      <c r="A5905" t="s">
        <v>10</v>
      </c>
      <c r="B5905" t="s">
        <v>11</v>
      </c>
      <c r="C5905" t="s">
        <v>61</v>
      </c>
      <c r="D5905">
        <v>2644.1</v>
      </c>
      <c r="E5905">
        <v>2019</v>
      </c>
      <c r="F5905" t="s">
        <v>70</v>
      </c>
    </row>
    <row r="5906" spans="1:6" x14ac:dyDescent="0.25">
      <c r="A5906" t="s">
        <v>12</v>
      </c>
      <c r="B5906" t="s">
        <v>13</v>
      </c>
      <c r="C5906" t="s">
        <v>61</v>
      </c>
      <c r="D5906">
        <v>443.62</v>
      </c>
      <c r="E5906">
        <v>2019</v>
      </c>
      <c r="F5906" t="s">
        <v>70</v>
      </c>
    </row>
    <row r="5907" spans="1:6" x14ac:dyDescent="0.25">
      <c r="A5907" t="s">
        <v>14</v>
      </c>
      <c r="B5907" t="s">
        <v>15</v>
      </c>
      <c r="C5907" t="s">
        <v>61</v>
      </c>
      <c r="D5907">
        <v>2.86</v>
      </c>
      <c r="E5907">
        <v>2019</v>
      </c>
      <c r="F5907" t="s">
        <v>70</v>
      </c>
    </row>
    <row r="5908" spans="1:6" x14ac:dyDescent="0.25">
      <c r="A5908" t="s">
        <v>16</v>
      </c>
      <c r="B5908" t="s">
        <v>17</v>
      </c>
      <c r="C5908" t="s">
        <v>61</v>
      </c>
      <c r="D5908">
        <v>140.55000000000001</v>
      </c>
      <c r="E5908">
        <v>2019</v>
      </c>
      <c r="F5908" t="s">
        <v>70</v>
      </c>
    </row>
    <row r="5909" spans="1:6" x14ac:dyDescent="0.25">
      <c r="A5909" t="s">
        <v>18</v>
      </c>
      <c r="B5909" t="s">
        <v>19</v>
      </c>
      <c r="C5909" t="s">
        <v>61</v>
      </c>
      <c r="D5909">
        <v>103.28</v>
      </c>
      <c r="E5909">
        <v>2019</v>
      </c>
      <c r="F5909" t="s">
        <v>70</v>
      </c>
    </row>
    <row r="5910" spans="1:6" x14ac:dyDescent="0.25">
      <c r="A5910" t="s">
        <v>20</v>
      </c>
      <c r="B5910" t="s">
        <v>21</v>
      </c>
      <c r="C5910" t="s">
        <v>61</v>
      </c>
      <c r="D5910">
        <v>60.05</v>
      </c>
      <c r="E5910">
        <v>2019</v>
      </c>
      <c r="F5910" t="s">
        <v>70</v>
      </c>
    </row>
    <row r="5911" spans="1:6" x14ac:dyDescent="0.25">
      <c r="A5911" t="s">
        <v>22</v>
      </c>
      <c r="B5911" t="s">
        <v>23</v>
      </c>
      <c r="C5911" t="s">
        <v>61</v>
      </c>
      <c r="D5911">
        <v>117.95</v>
      </c>
      <c r="E5911">
        <v>2019</v>
      </c>
      <c r="F5911" t="s">
        <v>70</v>
      </c>
    </row>
    <row r="5912" spans="1:6" x14ac:dyDescent="0.25">
      <c r="A5912" t="s">
        <v>24</v>
      </c>
      <c r="B5912" t="s">
        <v>25</v>
      </c>
      <c r="C5912" t="s">
        <v>61</v>
      </c>
      <c r="D5912">
        <v>363.96</v>
      </c>
      <c r="E5912">
        <v>2019</v>
      </c>
      <c r="F5912" t="s">
        <v>70</v>
      </c>
    </row>
    <row r="5913" spans="1:6" x14ac:dyDescent="0.25">
      <c r="A5913" t="s">
        <v>26</v>
      </c>
      <c r="B5913" t="s">
        <v>27</v>
      </c>
      <c r="C5913" t="s">
        <v>61</v>
      </c>
      <c r="D5913">
        <v>102.61</v>
      </c>
      <c r="E5913">
        <v>2019</v>
      </c>
      <c r="F5913" t="s">
        <v>70</v>
      </c>
    </row>
    <row r="5914" spans="1:6" x14ac:dyDescent="0.25">
      <c r="A5914" t="s">
        <v>28</v>
      </c>
      <c r="B5914" t="s">
        <v>29</v>
      </c>
      <c r="C5914" t="s">
        <v>61</v>
      </c>
      <c r="D5914">
        <v>86.94</v>
      </c>
      <c r="E5914">
        <v>2019</v>
      </c>
      <c r="F5914" t="s">
        <v>70</v>
      </c>
    </row>
    <row r="5915" spans="1:6" x14ac:dyDescent="0.25">
      <c r="A5915" t="s">
        <v>30</v>
      </c>
      <c r="B5915" t="s">
        <v>31</v>
      </c>
      <c r="C5915" t="s">
        <v>61</v>
      </c>
      <c r="D5915">
        <v>426.46</v>
      </c>
      <c r="E5915">
        <v>2019</v>
      </c>
      <c r="F5915" t="s">
        <v>70</v>
      </c>
    </row>
    <row r="5916" spans="1:6" x14ac:dyDescent="0.25">
      <c r="A5916" t="s">
        <v>32</v>
      </c>
      <c r="B5916" t="s">
        <v>33</v>
      </c>
      <c r="C5916" t="s">
        <v>61</v>
      </c>
      <c r="D5916">
        <v>181.92</v>
      </c>
      <c r="E5916">
        <v>2019</v>
      </c>
      <c r="F5916" t="s">
        <v>70</v>
      </c>
    </row>
    <row r="5917" spans="1:6" x14ac:dyDescent="0.25">
      <c r="A5917" t="s">
        <v>34</v>
      </c>
      <c r="B5917" t="s">
        <v>35</v>
      </c>
      <c r="C5917" t="s">
        <v>61</v>
      </c>
      <c r="D5917">
        <v>464.28</v>
      </c>
      <c r="E5917">
        <v>2019</v>
      </c>
      <c r="F5917" t="s">
        <v>70</v>
      </c>
    </row>
    <row r="5918" spans="1:6" x14ac:dyDescent="0.25">
      <c r="A5918" t="s">
        <v>36</v>
      </c>
      <c r="B5918" t="s">
        <v>37</v>
      </c>
      <c r="C5918" t="s">
        <v>61</v>
      </c>
      <c r="D5918">
        <v>449.79</v>
      </c>
      <c r="E5918">
        <v>2019</v>
      </c>
      <c r="F5918" t="s">
        <v>70</v>
      </c>
    </row>
    <row r="5919" spans="1:6" x14ac:dyDescent="0.25">
      <c r="A5919" t="s">
        <v>38</v>
      </c>
      <c r="B5919" t="s">
        <v>39</v>
      </c>
      <c r="C5919" t="s">
        <v>61</v>
      </c>
      <c r="D5919">
        <v>199.19</v>
      </c>
      <c r="E5919">
        <v>2019</v>
      </c>
      <c r="F5919" t="s">
        <v>70</v>
      </c>
    </row>
    <row r="5920" spans="1:6" x14ac:dyDescent="0.25">
      <c r="A5920" t="s">
        <v>40</v>
      </c>
      <c r="B5920" t="s">
        <v>41</v>
      </c>
      <c r="C5920" t="s">
        <v>61</v>
      </c>
      <c r="D5920">
        <v>214.12</v>
      </c>
      <c r="E5920">
        <v>2019</v>
      </c>
      <c r="F5920" t="s">
        <v>70</v>
      </c>
    </row>
    <row r="5921" spans="1:6" x14ac:dyDescent="0.25">
      <c r="A5921" t="s">
        <v>42</v>
      </c>
      <c r="B5921" t="s">
        <v>43</v>
      </c>
      <c r="C5921" t="s">
        <v>61</v>
      </c>
      <c r="D5921">
        <v>24.29</v>
      </c>
      <c r="E5921">
        <v>2019</v>
      </c>
      <c r="F5921" t="s">
        <v>70</v>
      </c>
    </row>
    <row r="5922" spans="1:6" x14ac:dyDescent="0.25">
      <c r="A5922" t="s">
        <v>44</v>
      </c>
      <c r="B5922" t="s">
        <v>45</v>
      </c>
      <c r="C5922" t="s">
        <v>61</v>
      </c>
      <c r="D5922">
        <v>157.76</v>
      </c>
      <c r="E5922">
        <v>2019</v>
      </c>
      <c r="F5922" t="s">
        <v>70</v>
      </c>
    </row>
    <row r="5923" spans="1:6" x14ac:dyDescent="0.25">
      <c r="A5923" t="s">
        <v>46</v>
      </c>
      <c r="B5923" t="s">
        <v>47</v>
      </c>
      <c r="C5923" t="s">
        <v>61</v>
      </c>
      <c r="D5923">
        <v>38.56</v>
      </c>
      <c r="E5923">
        <v>2019</v>
      </c>
      <c r="F5923" t="s">
        <v>70</v>
      </c>
    </row>
    <row r="5924" spans="1:6" x14ac:dyDescent="0.25">
      <c r="A5924" t="s">
        <v>48</v>
      </c>
      <c r="B5924" t="s">
        <v>49</v>
      </c>
      <c r="C5924" t="s">
        <v>61</v>
      </c>
      <c r="D5924">
        <v>128.96</v>
      </c>
      <c r="E5924">
        <v>2019</v>
      </c>
      <c r="F5924" t="s">
        <v>70</v>
      </c>
    </row>
    <row r="5925" spans="1:6" x14ac:dyDescent="0.25">
      <c r="A5925" t="s">
        <v>50</v>
      </c>
      <c r="B5925" t="s">
        <v>51</v>
      </c>
      <c r="C5925" t="s">
        <v>61</v>
      </c>
      <c r="D5925">
        <v>27.52</v>
      </c>
      <c r="E5925">
        <v>2019</v>
      </c>
      <c r="F5925" t="s">
        <v>70</v>
      </c>
    </row>
    <row r="5926" spans="1:6" x14ac:dyDescent="0.25">
      <c r="A5926" t="s">
        <v>52</v>
      </c>
      <c r="B5926" t="s">
        <v>53</v>
      </c>
      <c r="C5926" t="s">
        <v>61</v>
      </c>
      <c r="D5926">
        <v>103.82</v>
      </c>
      <c r="E5926">
        <v>2019</v>
      </c>
      <c r="F5926" t="s">
        <v>70</v>
      </c>
    </row>
    <row r="5927" spans="1:6" x14ac:dyDescent="0.25">
      <c r="A5927" t="s">
        <v>54</v>
      </c>
      <c r="B5927" t="s">
        <v>55</v>
      </c>
      <c r="C5927" t="s">
        <v>61</v>
      </c>
      <c r="D5927">
        <v>16.13</v>
      </c>
      <c r="E5927">
        <v>2019</v>
      </c>
      <c r="F5927" t="s">
        <v>70</v>
      </c>
    </row>
    <row r="5928" spans="1:6" x14ac:dyDescent="0.25">
      <c r="A5928" t="s">
        <v>56</v>
      </c>
      <c r="B5928" t="s">
        <v>57</v>
      </c>
      <c r="C5928" t="s">
        <v>61</v>
      </c>
      <c r="D5928">
        <v>60.73</v>
      </c>
      <c r="E5928">
        <v>2019</v>
      </c>
      <c r="F5928" t="s">
        <v>70</v>
      </c>
    </row>
    <row r="5929" spans="1:6" x14ac:dyDescent="0.25">
      <c r="A5929" t="s">
        <v>58</v>
      </c>
      <c r="B5929" t="s">
        <v>59</v>
      </c>
      <c r="C5929" t="s">
        <v>61</v>
      </c>
      <c r="E5929">
        <v>2019</v>
      </c>
      <c r="F5929" t="s">
        <v>70</v>
      </c>
    </row>
    <row r="5930" spans="1:6" x14ac:dyDescent="0.25">
      <c r="A5930" t="s">
        <v>6</v>
      </c>
      <c r="B5930" t="s">
        <v>7</v>
      </c>
      <c r="C5930" t="s">
        <v>65</v>
      </c>
      <c r="D5930">
        <v>166401.16</v>
      </c>
      <c r="E5930">
        <v>2019</v>
      </c>
      <c r="F5930" t="s">
        <v>70</v>
      </c>
    </row>
    <row r="5931" spans="1:6" x14ac:dyDescent="0.25">
      <c r="A5931" t="s">
        <v>10</v>
      </c>
      <c r="B5931" t="s">
        <v>11</v>
      </c>
      <c r="C5931" t="s">
        <v>65</v>
      </c>
      <c r="D5931">
        <v>23602.27</v>
      </c>
      <c r="E5931">
        <v>2019</v>
      </c>
      <c r="F5931" t="s">
        <v>70</v>
      </c>
    </row>
    <row r="5932" spans="1:6" x14ac:dyDescent="0.25">
      <c r="A5932" t="s">
        <v>12</v>
      </c>
      <c r="B5932" t="s">
        <v>13</v>
      </c>
      <c r="C5932" t="s">
        <v>65</v>
      </c>
      <c r="D5932">
        <v>11908.67</v>
      </c>
      <c r="E5932">
        <v>2019</v>
      </c>
      <c r="F5932" t="s">
        <v>70</v>
      </c>
    </row>
    <row r="5933" spans="1:6" x14ac:dyDescent="0.25">
      <c r="A5933" t="s">
        <v>14</v>
      </c>
      <c r="B5933" t="s">
        <v>15</v>
      </c>
      <c r="C5933" t="s">
        <v>65</v>
      </c>
      <c r="D5933">
        <v>546.6</v>
      </c>
      <c r="E5933">
        <v>2019</v>
      </c>
      <c r="F5933" t="s">
        <v>70</v>
      </c>
    </row>
    <row r="5934" spans="1:6" x14ac:dyDescent="0.25">
      <c r="A5934" t="s">
        <v>16</v>
      </c>
      <c r="B5934" t="s">
        <v>17</v>
      </c>
      <c r="C5934" t="s">
        <v>65</v>
      </c>
      <c r="D5934">
        <v>5702.63</v>
      </c>
      <c r="E5934">
        <v>2019</v>
      </c>
      <c r="F5934" t="s">
        <v>70</v>
      </c>
    </row>
    <row r="5935" spans="1:6" x14ac:dyDescent="0.25">
      <c r="A5935" t="s">
        <v>18</v>
      </c>
      <c r="B5935" t="s">
        <v>19</v>
      </c>
      <c r="C5935" t="s">
        <v>65</v>
      </c>
      <c r="D5935">
        <v>1743.59</v>
      </c>
      <c r="E5935">
        <v>2019</v>
      </c>
      <c r="F5935" t="s">
        <v>70</v>
      </c>
    </row>
    <row r="5936" spans="1:6" x14ac:dyDescent="0.25">
      <c r="A5936" t="s">
        <v>20</v>
      </c>
      <c r="B5936" t="s">
        <v>21</v>
      </c>
      <c r="C5936" t="s">
        <v>65</v>
      </c>
      <c r="D5936">
        <v>981.82</v>
      </c>
      <c r="E5936">
        <v>2019</v>
      </c>
      <c r="F5936" t="s">
        <v>70</v>
      </c>
    </row>
    <row r="5937" spans="1:6" x14ac:dyDescent="0.25">
      <c r="A5937" t="s">
        <v>22</v>
      </c>
      <c r="B5937" t="s">
        <v>23</v>
      </c>
      <c r="C5937" t="s">
        <v>65</v>
      </c>
      <c r="D5937">
        <v>471.55</v>
      </c>
      <c r="E5937">
        <v>2019</v>
      </c>
      <c r="F5937" t="s">
        <v>70</v>
      </c>
    </row>
    <row r="5938" spans="1:6" x14ac:dyDescent="0.25">
      <c r="A5938" t="s">
        <v>24</v>
      </c>
      <c r="B5938" t="s">
        <v>25</v>
      </c>
      <c r="C5938" t="s">
        <v>65</v>
      </c>
      <c r="D5938">
        <v>3546.24</v>
      </c>
      <c r="E5938">
        <v>2019</v>
      </c>
      <c r="F5938" t="s">
        <v>70</v>
      </c>
    </row>
    <row r="5939" spans="1:6" x14ac:dyDescent="0.25">
      <c r="A5939" t="s">
        <v>26</v>
      </c>
      <c r="B5939" t="s">
        <v>27</v>
      </c>
      <c r="C5939" t="s">
        <v>65</v>
      </c>
      <c r="D5939">
        <v>307.08999999999997</v>
      </c>
      <c r="E5939">
        <v>2019</v>
      </c>
      <c r="F5939" t="s">
        <v>70</v>
      </c>
    </row>
    <row r="5940" spans="1:6" x14ac:dyDescent="0.25">
      <c r="A5940" t="s">
        <v>28</v>
      </c>
      <c r="B5940" t="s">
        <v>29</v>
      </c>
      <c r="C5940" t="s">
        <v>65</v>
      </c>
      <c r="D5940">
        <v>14339.4</v>
      </c>
      <c r="E5940">
        <v>2019</v>
      </c>
      <c r="F5940" t="s">
        <v>70</v>
      </c>
    </row>
    <row r="5941" spans="1:6" x14ac:dyDescent="0.25">
      <c r="A5941" t="s">
        <v>30</v>
      </c>
      <c r="B5941" t="s">
        <v>31</v>
      </c>
      <c r="C5941" t="s">
        <v>65</v>
      </c>
      <c r="D5941">
        <v>13024.54</v>
      </c>
      <c r="E5941">
        <v>2019</v>
      </c>
      <c r="F5941" t="s">
        <v>70</v>
      </c>
    </row>
    <row r="5942" spans="1:6" x14ac:dyDescent="0.25">
      <c r="A5942" t="s">
        <v>32</v>
      </c>
      <c r="B5942" t="s">
        <v>33</v>
      </c>
      <c r="C5942" t="s">
        <v>65</v>
      </c>
      <c r="D5942">
        <v>1384.12</v>
      </c>
      <c r="E5942">
        <v>2019</v>
      </c>
      <c r="F5942" t="s">
        <v>70</v>
      </c>
    </row>
    <row r="5943" spans="1:6" x14ac:dyDescent="0.25">
      <c r="A5943" t="s">
        <v>34</v>
      </c>
      <c r="B5943" t="s">
        <v>35</v>
      </c>
      <c r="C5943" t="s">
        <v>65</v>
      </c>
      <c r="D5943">
        <v>6550.39</v>
      </c>
      <c r="E5943">
        <v>2019</v>
      </c>
      <c r="F5943" t="s">
        <v>70</v>
      </c>
    </row>
    <row r="5944" spans="1:6" x14ac:dyDescent="0.25">
      <c r="A5944" t="s">
        <v>36</v>
      </c>
      <c r="B5944" t="s">
        <v>37</v>
      </c>
      <c r="C5944" t="s">
        <v>65</v>
      </c>
      <c r="D5944">
        <v>9690.36</v>
      </c>
      <c r="E5944">
        <v>2019</v>
      </c>
      <c r="F5944" t="s">
        <v>70</v>
      </c>
    </row>
    <row r="5945" spans="1:6" x14ac:dyDescent="0.25">
      <c r="A5945" t="s">
        <v>38</v>
      </c>
      <c r="B5945" t="s">
        <v>39</v>
      </c>
      <c r="C5945" t="s">
        <v>65</v>
      </c>
      <c r="D5945">
        <v>9504.6299999999992</v>
      </c>
      <c r="E5945">
        <v>2019</v>
      </c>
      <c r="F5945" t="s">
        <v>70</v>
      </c>
    </row>
    <row r="5946" spans="1:6" x14ac:dyDescent="0.25">
      <c r="A5946" t="s">
        <v>40</v>
      </c>
      <c r="B5946" t="s">
        <v>41</v>
      </c>
      <c r="C5946" t="s">
        <v>65</v>
      </c>
      <c r="D5946">
        <v>7291.08</v>
      </c>
      <c r="E5946">
        <v>2019</v>
      </c>
      <c r="F5946" t="s">
        <v>70</v>
      </c>
    </row>
    <row r="5947" spans="1:6" x14ac:dyDescent="0.25">
      <c r="A5947" t="s">
        <v>42</v>
      </c>
      <c r="B5947" t="s">
        <v>43</v>
      </c>
      <c r="C5947" t="s">
        <v>65</v>
      </c>
      <c r="D5947">
        <v>6307.71</v>
      </c>
      <c r="E5947">
        <v>2019</v>
      </c>
      <c r="F5947" t="s">
        <v>70</v>
      </c>
    </row>
    <row r="5948" spans="1:6" x14ac:dyDescent="0.25">
      <c r="A5948" t="s">
        <v>44</v>
      </c>
      <c r="B5948" t="s">
        <v>45</v>
      </c>
      <c r="C5948" t="s">
        <v>65</v>
      </c>
      <c r="D5948">
        <v>12825.38</v>
      </c>
      <c r="E5948">
        <v>2019</v>
      </c>
      <c r="F5948" t="s">
        <v>70</v>
      </c>
    </row>
    <row r="5949" spans="1:6" x14ac:dyDescent="0.25">
      <c r="A5949" t="s">
        <v>46</v>
      </c>
      <c r="B5949" t="s">
        <v>47</v>
      </c>
      <c r="C5949" t="s">
        <v>65</v>
      </c>
      <c r="D5949">
        <v>15628.58</v>
      </c>
      <c r="E5949">
        <v>2019</v>
      </c>
      <c r="F5949" t="s">
        <v>70</v>
      </c>
    </row>
    <row r="5950" spans="1:6" x14ac:dyDescent="0.25">
      <c r="A5950" t="s">
        <v>48</v>
      </c>
      <c r="B5950" t="s">
        <v>49</v>
      </c>
      <c r="C5950" t="s">
        <v>65</v>
      </c>
      <c r="D5950">
        <v>19558.53</v>
      </c>
      <c r="E5950">
        <v>2019</v>
      </c>
      <c r="F5950" t="s">
        <v>70</v>
      </c>
    </row>
    <row r="5951" spans="1:6" x14ac:dyDescent="0.25">
      <c r="A5951" t="s">
        <v>50</v>
      </c>
      <c r="B5951" t="s">
        <v>51</v>
      </c>
      <c r="C5951" t="s">
        <v>65</v>
      </c>
      <c r="D5951">
        <v>837.83</v>
      </c>
      <c r="E5951">
        <v>2019</v>
      </c>
      <c r="F5951" t="s">
        <v>70</v>
      </c>
    </row>
    <row r="5952" spans="1:6" x14ac:dyDescent="0.25">
      <c r="A5952" t="s">
        <v>52</v>
      </c>
      <c r="B5952" t="s">
        <v>53</v>
      </c>
      <c r="C5952" t="s">
        <v>65</v>
      </c>
      <c r="D5952">
        <v>380.67</v>
      </c>
      <c r="E5952">
        <v>2019</v>
      </c>
      <c r="F5952" t="s">
        <v>70</v>
      </c>
    </row>
    <row r="5953" spans="1:6" x14ac:dyDescent="0.25">
      <c r="A5953" t="s">
        <v>54</v>
      </c>
      <c r="B5953" t="s">
        <v>55</v>
      </c>
      <c r="C5953" t="s">
        <v>65</v>
      </c>
      <c r="D5953">
        <v>267.48</v>
      </c>
      <c r="E5953">
        <v>2019</v>
      </c>
      <c r="F5953" t="s">
        <v>70</v>
      </c>
    </row>
    <row r="5954" spans="1:6" x14ac:dyDescent="0.25">
      <c r="A5954" t="s">
        <v>56</v>
      </c>
      <c r="B5954" t="s">
        <v>57</v>
      </c>
      <c r="C5954" t="s">
        <v>65</v>
      </c>
      <c r="E5954">
        <v>2019</v>
      </c>
      <c r="F5954" t="s">
        <v>70</v>
      </c>
    </row>
    <row r="5955" spans="1:6" x14ac:dyDescent="0.25">
      <c r="A5955" t="s">
        <v>58</v>
      </c>
      <c r="B5955" t="s">
        <v>59</v>
      </c>
      <c r="C5955" t="s">
        <v>65</v>
      </c>
      <c r="E5955">
        <v>2019</v>
      </c>
      <c r="F5955" t="s">
        <v>70</v>
      </c>
    </row>
    <row r="5956" spans="1:6" x14ac:dyDescent="0.25">
      <c r="A5956" t="s">
        <v>6</v>
      </c>
      <c r="B5956" t="s">
        <v>7</v>
      </c>
      <c r="C5956" t="s">
        <v>62</v>
      </c>
      <c r="D5956">
        <v>19645.990000000002</v>
      </c>
      <c r="E5956">
        <v>2019</v>
      </c>
      <c r="F5956" t="s">
        <v>70</v>
      </c>
    </row>
    <row r="5957" spans="1:6" x14ac:dyDescent="0.25">
      <c r="A5957" t="s">
        <v>10</v>
      </c>
      <c r="B5957" t="s">
        <v>11</v>
      </c>
      <c r="C5957" t="s">
        <v>62</v>
      </c>
      <c r="D5957">
        <v>6506.64</v>
      </c>
      <c r="E5957">
        <v>2019</v>
      </c>
      <c r="F5957" t="s">
        <v>70</v>
      </c>
    </row>
    <row r="5958" spans="1:6" x14ac:dyDescent="0.25">
      <c r="A5958" t="s">
        <v>12</v>
      </c>
      <c r="B5958" t="s">
        <v>13</v>
      </c>
      <c r="C5958" t="s">
        <v>62</v>
      </c>
      <c r="D5958">
        <v>1809.94</v>
      </c>
      <c r="E5958">
        <v>2019</v>
      </c>
      <c r="F5958" t="s">
        <v>70</v>
      </c>
    </row>
    <row r="5959" spans="1:6" x14ac:dyDescent="0.25">
      <c r="A5959" t="s">
        <v>14</v>
      </c>
      <c r="B5959" t="s">
        <v>15</v>
      </c>
      <c r="C5959" t="s">
        <v>62</v>
      </c>
      <c r="E5959">
        <v>2019</v>
      </c>
      <c r="F5959" t="s">
        <v>70</v>
      </c>
    </row>
    <row r="5960" spans="1:6" x14ac:dyDescent="0.25">
      <c r="A5960" t="s">
        <v>16</v>
      </c>
      <c r="B5960" t="s">
        <v>17</v>
      </c>
      <c r="C5960" t="s">
        <v>62</v>
      </c>
      <c r="D5960">
        <v>434.01</v>
      </c>
      <c r="E5960">
        <v>2019</v>
      </c>
      <c r="F5960" t="s">
        <v>70</v>
      </c>
    </row>
    <row r="5961" spans="1:6" x14ac:dyDescent="0.25">
      <c r="A5961" t="s">
        <v>18</v>
      </c>
      <c r="B5961" t="s">
        <v>19</v>
      </c>
      <c r="C5961" t="s">
        <v>62</v>
      </c>
      <c r="D5961">
        <v>1639.41</v>
      </c>
      <c r="E5961">
        <v>2019</v>
      </c>
      <c r="F5961" t="s">
        <v>70</v>
      </c>
    </row>
    <row r="5962" spans="1:6" x14ac:dyDescent="0.25">
      <c r="A5962" t="s">
        <v>20</v>
      </c>
      <c r="B5962" t="s">
        <v>21</v>
      </c>
      <c r="C5962" t="s">
        <v>62</v>
      </c>
      <c r="D5962">
        <v>40.409999999999997</v>
      </c>
      <c r="E5962">
        <v>2019</v>
      </c>
      <c r="F5962" t="s">
        <v>70</v>
      </c>
    </row>
    <row r="5963" spans="1:6" x14ac:dyDescent="0.25">
      <c r="A5963" t="s">
        <v>22</v>
      </c>
      <c r="B5963" t="s">
        <v>23</v>
      </c>
      <c r="C5963" t="s">
        <v>62</v>
      </c>
      <c r="D5963">
        <v>53.34</v>
      </c>
      <c r="E5963">
        <v>2019</v>
      </c>
      <c r="F5963" t="s">
        <v>70</v>
      </c>
    </row>
    <row r="5964" spans="1:6" x14ac:dyDescent="0.25">
      <c r="A5964" t="s">
        <v>24</v>
      </c>
      <c r="B5964" t="s">
        <v>25</v>
      </c>
      <c r="C5964" t="s">
        <v>62</v>
      </c>
      <c r="D5964">
        <v>318.89999999999998</v>
      </c>
      <c r="E5964">
        <v>2019</v>
      </c>
      <c r="F5964" t="s">
        <v>70</v>
      </c>
    </row>
    <row r="5965" spans="1:6" x14ac:dyDescent="0.25">
      <c r="A5965" t="s">
        <v>26</v>
      </c>
      <c r="B5965" t="s">
        <v>27</v>
      </c>
      <c r="C5965" t="s">
        <v>62</v>
      </c>
      <c r="D5965">
        <v>466.94</v>
      </c>
      <c r="E5965">
        <v>2019</v>
      </c>
      <c r="F5965" t="s">
        <v>70</v>
      </c>
    </row>
    <row r="5966" spans="1:6" x14ac:dyDescent="0.25">
      <c r="A5966" t="s">
        <v>28</v>
      </c>
      <c r="B5966" t="s">
        <v>29</v>
      </c>
      <c r="C5966" t="s">
        <v>62</v>
      </c>
      <c r="D5966">
        <v>939.8</v>
      </c>
      <c r="E5966">
        <v>2019</v>
      </c>
      <c r="F5966" t="s">
        <v>70</v>
      </c>
    </row>
    <row r="5967" spans="1:6" x14ac:dyDescent="0.25">
      <c r="A5967" t="s">
        <v>30</v>
      </c>
      <c r="B5967" t="s">
        <v>31</v>
      </c>
      <c r="C5967" t="s">
        <v>62</v>
      </c>
      <c r="D5967">
        <v>1391.77</v>
      </c>
      <c r="E5967">
        <v>2019</v>
      </c>
      <c r="F5967" t="s">
        <v>70</v>
      </c>
    </row>
    <row r="5968" spans="1:6" x14ac:dyDescent="0.25">
      <c r="A5968" t="s">
        <v>32</v>
      </c>
      <c r="B5968" t="s">
        <v>33</v>
      </c>
      <c r="C5968" t="s">
        <v>62</v>
      </c>
      <c r="D5968">
        <v>465.85</v>
      </c>
      <c r="E5968">
        <v>2019</v>
      </c>
      <c r="F5968" t="s">
        <v>70</v>
      </c>
    </row>
    <row r="5969" spans="1:6" x14ac:dyDescent="0.25">
      <c r="A5969" t="s">
        <v>34</v>
      </c>
      <c r="B5969" t="s">
        <v>35</v>
      </c>
      <c r="C5969" t="s">
        <v>62</v>
      </c>
      <c r="D5969">
        <v>973.61</v>
      </c>
      <c r="E5969">
        <v>2019</v>
      </c>
      <c r="F5969" t="s">
        <v>70</v>
      </c>
    </row>
    <row r="5970" spans="1:6" x14ac:dyDescent="0.25">
      <c r="A5970" t="s">
        <v>36</v>
      </c>
      <c r="B5970" t="s">
        <v>37</v>
      </c>
      <c r="C5970" t="s">
        <v>62</v>
      </c>
      <c r="D5970">
        <v>1755.38</v>
      </c>
      <c r="E5970">
        <v>2019</v>
      </c>
      <c r="F5970" t="s">
        <v>70</v>
      </c>
    </row>
    <row r="5971" spans="1:6" x14ac:dyDescent="0.25">
      <c r="A5971" t="s">
        <v>38</v>
      </c>
      <c r="B5971" t="s">
        <v>39</v>
      </c>
      <c r="C5971" t="s">
        <v>62</v>
      </c>
      <c r="D5971">
        <v>758.7</v>
      </c>
      <c r="E5971">
        <v>2019</v>
      </c>
      <c r="F5971" t="s">
        <v>70</v>
      </c>
    </row>
    <row r="5972" spans="1:6" x14ac:dyDescent="0.25">
      <c r="A5972" t="s">
        <v>40</v>
      </c>
      <c r="B5972" t="s">
        <v>41</v>
      </c>
      <c r="C5972" t="s">
        <v>62</v>
      </c>
      <c r="D5972">
        <v>683.32</v>
      </c>
      <c r="E5972">
        <v>2019</v>
      </c>
      <c r="F5972" t="s">
        <v>70</v>
      </c>
    </row>
    <row r="5973" spans="1:6" x14ac:dyDescent="0.25">
      <c r="A5973" t="s">
        <v>42</v>
      </c>
      <c r="B5973" t="s">
        <v>43</v>
      </c>
      <c r="C5973" t="s">
        <v>62</v>
      </c>
      <c r="D5973">
        <v>4.91</v>
      </c>
      <c r="E5973">
        <v>2019</v>
      </c>
      <c r="F5973" t="s">
        <v>70</v>
      </c>
    </row>
    <row r="5974" spans="1:6" x14ac:dyDescent="0.25">
      <c r="A5974" t="s">
        <v>44</v>
      </c>
      <c r="B5974" t="s">
        <v>45</v>
      </c>
      <c r="C5974" t="s">
        <v>62</v>
      </c>
      <c r="D5974">
        <v>233.61</v>
      </c>
      <c r="E5974">
        <v>2019</v>
      </c>
      <c r="F5974" t="s">
        <v>70</v>
      </c>
    </row>
    <row r="5975" spans="1:6" x14ac:dyDescent="0.25">
      <c r="A5975" t="s">
        <v>46</v>
      </c>
      <c r="B5975" t="s">
        <v>47</v>
      </c>
      <c r="C5975" t="s">
        <v>62</v>
      </c>
      <c r="D5975">
        <v>198.8</v>
      </c>
      <c r="E5975">
        <v>2019</v>
      </c>
      <c r="F5975" t="s">
        <v>70</v>
      </c>
    </row>
    <row r="5976" spans="1:6" x14ac:dyDescent="0.25">
      <c r="A5976" t="s">
        <v>48</v>
      </c>
      <c r="B5976" t="s">
        <v>49</v>
      </c>
      <c r="C5976" t="s">
        <v>62</v>
      </c>
      <c r="D5976">
        <v>109.18</v>
      </c>
      <c r="E5976">
        <v>2019</v>
      </c>
      <c r="F5976" t="s">
        <v>70</v>
      </c>
    </row>
    <row r="5977" spans="1:6" x14ac:dyDescent="0.25">
      <c r="A5977" t="s">
        <v>50</v>
      </c>
      <c r="B5977" t="s">
        <v>51</v>
      </c>
      <c r="C5977" t="s">
        <v>62</v>
      </c>
      <c r="D5977">
        <v>56.49</v>
      </c>
      <c r="E5977">
        <v>2019</v>
      </c>
      <c r="F5977" t="s">
        <v>70</v>
      </c>
    </row>
    <row r="5978" spans="1:6" x14ac:dyDescent="0.25">
      <c r="A5978" t="s">
        <v>52</v>
      </c>
      <c r="B5978" t="s">
        <v>53</v>
      </c>
      <c r="C5978" t="s">
        <v>62</v>
      </c>
      <c r="D5978">
        <v>103.61</v>
      </c>
      <c r="E5978">
        <v>2019</v>
      </c>
      <c r="F5978" t="s">
        <v>70</v>
      </c>
    </row>
    <row r="5979" spans="1:6" x14ac:dyDescent="0.25">
      <c r="A5979" t="s">
        <v>54</v>
      </c>
      <c r="B5979" t="s">
        <v>55</v>
      </c>
      <c r="C5979" t="s">
        <v>62</v>
      </c>
      <c r="D5979">
        <v>225.31</v>
      </c>
      <c r="E5979">
        <v>2019</v>
      </c>
      <c r="F5979" t="s">
        <v>70</v>
      </c>
    </row>
    <row r="5980" spans="1:6" x14ac:dyDescent="0.25">
      <c r="A5980" t="s">
        <v>56</v>
      </c>
      <c r="B5980" t="s">
        <v>57</v>
      </c>
      <c r="C5980" t="s">
        <v>62</v>
      </c>
      <c r="D5980">
        <v>476.06</v>
      </c>
      <c r="E5980">
        <v>2019</v>
      </c>
      <c r="F5980" t="s">
        <v>70</v>
      </c>
    </row>
    <row r="5981" spans="1:6" x14ac:dyDescent="0.25">
      <c r="A5981" t="s">
        <v>58</v>
      </c>
      <c r="B5981" t="s">
        <v>59</v>
      </c>
      <c r="C5981" t="s">
        <v>62</v>
      </c>
      <c r="E5981">
        <v>2019</v>
      </c>
      <c r="F5981" t="s">
        <v>70</v>
      </c>
    </row>
    <row r="5982" spans="1:6" x14ac:dyDescent="0.25">
      <c r="A5982" t="s">
        <v>6</v>
      </c>
      <c r="B5982" t="s">
        <v>7</v>
      </c>
      <c r="C5982" t="s">
        <v>66</v>
      </c>
      <c r="D5982">
        <v>4002.8</v>
      </c>
      <c r="E5982">
        <v>2019</v>
      </c>
      <c r="F5982" t="s">
        <v>70</v>
      </c>
    </row>
    <row r="5983" spans="1:6" x14ac:dyDescent="0.25">
      <c r="A5983" t="s">
        <v>10</v>
      </c>
      <c r="B5983" t="s">
        <v>11</v>
      </c>
      <c r="C5983" t="s">
        <v>66</v>
      </c>
      <c r="D5983">
        <v>1440.16</v>
      </c>
      <c r="E5983">
        <v>2019</v>
      </c>
      <c r="F5983" t="s">
        <v>70</v>
      </c>
    </row>
    <row r="5984" spans="1:6" x14ac:dyDescent="0.25">
      <c r="A5984" t="s">
        <v>12</v>
      </c>
      <c r="B5984" t="s">
        <v>13</v>
      </c>
      <c r="C5984" t="s">
        <v>66</v>
      </c>
      <c r="D5984">
        <v>296.98</v>
      </c>
      <c r="E5984">
        <v>2019</v>
      </c>
      <c r="F5984" t="s">
        <v>70</v>
      </c>
    </row>
    <row r="5985" spans="1:6" x14ac:dyDescent="0.25">
      <c r="A5985" t="s">
        <v>14</v>
      </c>
      <c r="B5985" t="s">
        <v>15</v>
      </c>
      <c r="C5985" t="s">
        <v>66</v>
      </c>
      <c r="E5985">
        <v>2019</v>
      </c>
      <c r="F5985" t="s">
        <v>70</v>
      </c>
    </row>
    <row r="5986" spans="1:6" x14ac:dyDescent="0.25">
      <c r="A5986" t="s">
        <v>16</v>
      </c>
      <c r="B5986" t="s">
        <v>17</v>
      </c>
      <c r="C5986" t="s">
        <v>66</v>
      </c>
      <c r="D5986">
        <v>37.17</v>
      </c>
      <c r="E5986">
        <v>2019</v>
      </c>
      <c r="F5986" t="s">
        <v>70</v>
      </c>
    </row>
    <row r="5987" spans="1:6" x14ac:dyDescent="0.25">
      <c r="A5987" t="s">
        <v>18</v>
      </c>
      <c r="B5987" t="s">
        <v>19</v>
      </c>
      <c r="C5987" t="s">
        <v>66</v>
      </c>
      <c r="D5987">
        <v>22.88</v>
      </c>
      <c r="E5987">
        <v>2019</v>
      </c>
      <c r="F5987" t="s">
        <v>70</v>
      </c>
    </row>
    <row r="5988" spans="1:6" x14ac:dyDescent="0.25">
      <c r="A5988" t="s">
        <v>20</v>
      </c>
      <c r="B5988" t="s">
        <v>21</v>
      </c>
      <c r="C5988" t="s">
        <v>66</v>
      </c>
      <c r="D5988">
        <v>62.69</v>
      </c>
      <c r="E5988">
        <v>2019</v>
      </c>
      <c r="F5988" t="s">
        <v>70</v>
      </c>
    </row>
    <row r="5989" spans="1:6" x14ac:dyDescent="0.25">
      <c r="A5989" t="s">
        <v>22</v>
      </c>
      <c r="B5989" t="s">
        <v>23</v>
      </c>
      <c r="C5989" t="s">
        <v>66</v>
      </c>
      <c r="D5989">
        <v>61.8</v>
      </c>
      <c r="E5989">
        <v>2019</v>
      </c>
      <c r="F5989" t="s">
        <v>70</v>
      </c>
    </row>
    <row r="5990" spans="1:6" x14ac:dyDescent="0.25">
      <c r="A5990" t="s">
        <v>24</v>
      </c>
      <c r="B5990" t="s">
        <v>25</v>
      </c>
      <c r="C5990" t="s">
        <v>66</v>
      </c>
      <c r="D5990">
        <v>642.12</v>
      </c>
      <c r="E5990">
        <v>2019</v>
      </c>
      <c r="F5990" t="s">
        <v>70</v>
      </c>
    </row>
    <row r="5991" spans="1:6" x14ac:dyDescent="0.25">
      <c r="A5991" t="s">
        <v>26</v>
      </c>
      <c r="B5991" t="s">
        <v>27</v>
      </c>
      <c r="C5991" t="s">
        <v>66</v>
      </c>
      <c r="D5991">
        <v>64.010000000000005</v>
      </c>
      <c r="E5991">
        <v>2019</v>
      </c>
      <c r="F5991" t="s">
        <v>70</v>
      </c>
    </row>
    <row r="5992" spans="1:6" x14ac:dyDescent="0.25">
      <c r="A5992" t="s">
        <v>28</v>
      </c>
      <c r="B5992" t="s">
        <v>29</v>
      </c>
      <c r="C5992" t="s">
        <v>66</v>
      </c>
      <c r="D5992">
        <v>192.71</v>
      </c>
      <c r="E5992">
        <v>2019</v>
      </c>
      <c r="F5992" t="s">
        <v>70</v>
      </c>
    </row>
    <row r="5993" spans="1:6" x14ac:dyDescent="0.25">
      <c r="A5993" t="s">
        <v>30</v>
      </c>
      <c r="B5993" t="s">
        <v>31</v>
      </c>
      <c r="C5993" t="s">
        <v>66</v>
      </c>
      <c r="D5993">
        <v>254.71</v>
      </c>
      <c r="E5993">
        <v>2019</v>
      </c>
      <c r="F5993" t="s">
        <v>70</v>
      </c>
    </row>
    <row r="5994" spans="1:6" x14ac:dyDescent="0.25">
      <c r="A5994" t="s">
        <v>32</v>
      </c>
      <c r="B5994" t="s">
        <v>33</v>
      </c>
      <c r="C5994" t="s">
        <v>66</v>
      </c>
      <c r="D5994">
        <v>281</v>
      </c>
      <c r="E5994">
        <v>2019</v>
      </c>
      <c r="F5994" t="s">
        <v>70</v>
      </c>
    </row>
    <row r="5995" spans="1:6" x14ac:dyDescent="0.25">
      <c r="A5995" t="s">
        <v>34</v>
      </c>
      <c r="B5995" t="s">
        <v>35</v>
      </c>
      <c r="C5995" t="s">
        <v>66</v>
      </c>
      <c r="D5995">
        <v>125.15</v>
      </c>
      <c r="E5995">
        <v>2019</v>
      </c>
      <c r="F5995" t="s">
        <v>70</v>
      </c>
    </row>
    <row r="5996" spans="1:6" x14ac:dyDescent="0.25">
      <c r="A5996" t="s">
        <v>36</v>
      </c>
      <c r="B5996" t="s">
        <v>37</v>
      </c>
      <c r="C5996" t="s">
        <v>66</v>
      </c>
      <c r="D5996">
        <v>168.64</v>
      </c>
      <c r="E5996">
        <v>2019</v>
      </c>
      <c r="F5996" t="s">
        <v>70</v>
      </c>
    </row>
    <row r="5997" spans="1:6" x14ac:dyDescent="0.25">
      <c r="A5997" t="s">
        <v>38</v>
      </c>
      <c r="B5997" t="s">
        <v>39</v>
      </c>
      <c r="C5997" t="s">
        <v>66</v>
      </c>
      <c r="D5997">
        <v>50.39</v>
      </c>
      <c r="E5997">
        <v>2019</v>
      </c>
      <c r="F5997" t="s">
        <v>70</v>
      </c>
    </row>
    <row r="5998" spans="1:6" x14ac:dyDescent="0.25">
      <c r="A5998" t="s">
        <v>40</v>
      </c>
      <c r="B5998" t="s">
        <v>41</v>
      </c>
      <c r="C5998" t="s">
        <v>66</v>
      </c>
      <c r="D5998">
        <v>70.989999999999995</v>
      </c>
      <c r="E5998">
        <v>2019</v>
      </c>
      <c r="F5998" t="s">
        <v>70</v>
      </c>
    </row>
    <row r="5999" spans="1:6" x14ac:dyDescent="0.25">
      <c r="A5999" t="s">
        <v>42</v>
      </c>
      <c r="B5999" t="s">
        <v>43</v>
      </c>
      <c r="C5999" t="s">
        <v>66</v>
      </c>
      <c r="D5999">
        <v>2.11</v>
      </c>
      <c r="E5999">
        <v>2019</v>
      </c>
      <c r="F5999" t="s">
        <v>70</v>
      </c>
    </row>
    <row r="6000" spans="1:6" x14ac:dyDescent="0.25">
      <c r="A6000" t="s">
        <v>44</v>
      </c>
      <c r="B6000" t="s">
        <v>45</v>
      </c>
      <c r="C6000" t="s">
        <v>66</v>
      </c>
      <c r="D6000">
        <v>36.61</v>
      </c>
      <c r="E6000">
        <v>2019</v>
      </c>
      <c r="F6000" t="s">
        <v>70</v>
      </c>
    </row>
    <row r="6001" spans="1:6" x14ac:dyDescent="0.25">
      <c r="A6001" t="s">
        <v>46</v>
      </c>
      <c r="B6001" t="s">
        <v>47</v>
      </c>
      <c r="C6001" t="s">
        <v>66</v>
      </c>
      <c r="D6001">
        <v>5.49</v>
      </c>
      <c r="E6001">
        <v>2019</v>
      </c>
      <c r="F6001" t="s">
        <v>70</v>
      </c>
    </row>
    <row r="6002" spans="1:6" x14ac:dyDescent="0.25">
      <c r="A6002" t="s">
        <v>48</v>
      </c>
      <c r="B6002" t="s">
        <v>49</v>
      </c>
      <c r="C6002" t="s">
        <v>66</v>
      </c>
      <c r="D6002">
        <v>72.400000000000006</v>
      </c>
      <c r="E6002">
        <v>2019</v>
      </c>
      <c r="F6002" t="s">
        <v>70</v>
      </c>
    </row>
    <row r="6003" spans="1:6" x14ac:dyDescent="0.25">
      <c r="A6003" t="s">
        <v>50</v>
      </c>
      <c r="B6003" t="s">
        <v>51</v>
      </c>
      <c r="C6003" t="s">
        <v>66</v>
      </c>
      <c r="E6003">
        <v>2019</v>
      </c>
      <c r="F6003" t="s">
        <v>70</v>
      </c>
    </row>
    <row r="6004" spans="1:6" x14ac:dyDescent="0.25">
      <c r="A6004" t="s">
        <v>52</v>
      </c>
      <c r="B6004" t="s">
        <v>53</v>
      </c>
      <c r="C6004" t="s">
        <v>66</v>
      </c>
      <c r="D6004">
        <v>18.18</v>
      </c>
      <c r="E6004">
        <v>2019</v>
      </c>
      <c r="F6004" t="s">
        <v>70</v>
      </c>
    </row>
    <row r="6005" spans="1:6" x14ac:dyDescent="0.25">
      <c r="A6005" t="s">
        <v>54</v>
      </c>
      <c r="B6005" t="s">
        <v>55</v>
      </c>
      <c r="C6005" t="s">
        <v>66</v>
      </c>
      <c r="D6005">
        <v>13.76</v>
      </c>
      <c r="E6005">
        <v>2019</v>
      </c>
      <c r="F6005" t="s">
        <v>70</v>
      </c>
    </row>
    <row r="6006" spans="1:6" x14ac:dyDescent="0.25">
      <c r="A6006" t="s">
        <v>56</v>
      </c>
      <c r="B6006" t="s">
        <v>57</v>
      </c>
      <c r="C6006" t="s">
        <v>66</v>
      </c>
      <c r="D6006">
        <v>82.85</v>
      </c>
      <c r="E6006">
        <v>2019</v>
      </c>
      <c r="F6006" t="s">
        <v>70</v>
      </c>
    </row>
    <row r="6007" spans="1:6" x14ac:dyDescent="0.25">
      <c r="A6007" t="s">
        <v>58</v>
      </c>
      <c r="B6007" t="s">
        <v>59</v>
      </c>
      <c r="C6007" t="s">
        <v>66</v>
      </c>
      <c r="E6007">
        <v>2019</v>
      </c>
      <c r="F6007" t="s">
        <v>70</v>
      </c>
    </row>
    <row r="6008" spans="1:6" x14ac:dyDescent="0.25">
      <c r="A6008" t="s">
        <v>6</v>
      </c>
      <c r="B6008" t="s">
        <v>7</v>
      </c>
      <c r="C6008" t="s">
        <v>63</v>
      </c>
      <c r="D6008">
        <v>171113.23</v>
      </c>
      <c r="E6008">
        <v>2020</v>
      </c>
      <c r="F6008" t="s">
        <v>70</v>
      </c>
    </row>
    <row r="6009" spans="1:6" x14ac:dyDescent="0.25">
      <c r="A6009" t="s">
        <v>10</v>
      </c>
      <c r="B6009" t="s">
        <v>11</v>
      </c>
      <c r="C6009" t="s">
        <v>63</v>
      </c>
      <c r="D6009">
        <v>33904.79</v>
      </c>
      <c r="E6009">
        <v>2020</v>
      </c>
      <c r="F6009" t="s">
        <v>70</v>
      </c>
    </row>
    <row r="6010" spans="1:6" x14ac:dyDescent="0.25">
      <c r="A6010" t="s">
        <v>12</v>
      </c>
      <c r="B6010" t="s">
        <v>13</v>
      </c>
      <c r="C6010" t="s">
        <v>63</v>
      </c>
      <c r="D6010">
        <v>5387.47</v>
      </c>
      <c r="E6010">
        <v>2020</v>
      </c>
      <c r="F6010" t="s">
        <v>70</v>
      </c>
    </row>
    <row r="6011" spans="1:6" x14ac:dyDescent="0.25">
      <c r="A6011" t="s">
        <v>14</v>
      </c>
      <c r="B6011" t="s">
        <v>15</v>
      </c>
      <c r="C6011" t="s">
        <v>63</v>
      </c>
      <c r="D6011">
        <v>767.01</v>
      </c>
      <c r="E6011">
        <v>2020</v>
      </c>
      <c r="F6011" t="s">
        <v>70</v>
      </c>
    </row>
    <row r="6012" spans="1:6" x14ac:dyDescent="0.25">
      <c r="A6012" t="s">
        <v>16</v>
      </c>
      <c r="B6012" t="s">
        <v>17</v>
      </c>
      <c r="C6012" t="s">
        <v>63</v>
      </c>
      <c r="D6012">
        <v>2435.19</v>
      </c>
      <c r="E6012">
        <v>2020</v>
      </c>
      <c r="F6012" t="s">
        <v>70</v>
      </c>
    </row>
    <row r="6013" spans="1:6" x14ac:dyDescent="0.25">
      <c r="A6013" t="s">
        <v>18</v>
      </c>
      <c r="B6013" t="s">
        <v>19</v>
      </c>
      <c r="C6013" t="s">
        <v>63</v>
      </c>
      <c r="D6013">
        <v>2394.84</v>
      </c>
      <c r="E6013">
        <v>2020</v>
      </c>
      <c r="F6013" t="s">
        <v>70</v>
      </c>
    </row>
    <row r="6014" spans="1:6" x14ac:dyDescent="0.25">
      <c r="A6014" t="s">
        <v>20</v>
      </c>
      <c r="B6014" t="s">
        <v>21</v>
      </c>
      <c r="C6014" t="s">
        <v>63</v>
      </c>
      <c r="D6014">
        <v>2035.28</v>
      </c>
      <c r="E6014">
        <v>2020</v>
      </c>
      <c r="F6014" t="s">
        <v>70</v>
      </c>
    </row>
    <row r="6015" spans="1:6" x14ac:dyDescent="0.25">
      <c r="A6015" t="s">
        <v>22</v>
      </c>
      <c r="B6015" t="s">
        <v>23</v>
      </c>
      <c r="C6015" t="s">
        <v>63</v>
      </c>
      <c r="D6015">
        <v>2341.2800000000002</v>
      </c>
      <c r="E6015">
        <v>2020</v>
      </c>
      <c r="F6015" t="s">
        <v>70</v>
      </c>
    </row>
    <row r="6016" spans="1:6" x14ac:dyDescent="0.25">
      <c r="A6016" t="s">
        <v>24</v>
      </c>
      <c r="B6016" t="s">
        <v>25</v>
      </c>
      <c r="C6016" t="s">
        <v>63</v>
      </c>
      <c r="D6016">
        <v>6468.58</v>
      </c>
      <c r="E6016">
        <v>2020</v>
      </c>
      <c r="F6016" t="s">
        <v>70</v>
      </c>
    </row>
    <row r="6017" spans="1:6" x14ac:dyDescent="0.25">
      <c r="A6017" t="s">
        <v>26</v>
      </c>
      <c r="B6017" t="s">
        <v>27</v>
      </c>
      <c r="C6017" t="s">
        <v>63</v>
      </c>
      <c r="D6017">
        <v>721.35</v>
      </c>
      <c r="E6017">
        <v>2020</v>
      </c>
      <c r="F6017" t="s">
        <v>70</v>
      </c>
    </row>
    <row r="6018" spans="1:6" x14ac:dyDescent="0.25">
      <c r="A6018" t="s">
        <v>28</v>
      </c>
      <c r="B6018" t="s">
        <v>29</v>
      </c>
      <c r="C6018" t="s">
        <v>63</v>
      </c>
      <c r="D6018">
        <v>32738.16</v>
      </c>
      <c r="E6018">
        <v>2020</v>
      </c>
      <c r="F6018" t="s">
        <v>70</v>
      </c>
    </row>
    <row r="6019" spans="1:6" x14ac:dyDescent="0.25">
      <c r="A6019" t="s">
        <v>30</v>
      </c>
      <c r="B6019" t="s">
        <v>31</v>
      </c>
      <c r="C6019" t="s">
        <v>63</v>
      </c>
      <c r="D6019">
        <v>18585.95</v>
      </c>
      <c r="E6019">
        <v>2020</v>
      </c>
      <c r="F6019" t="s">
        <v>70</v>
      </c>
    </row>
    <row r="6020" spans="1:6" x14ac:dyDescent="0.25">
      <c r="A6020" t="s">
        <v>32</v>
      </c>
      <c r="B6020" t="s">
        <v>33</v>
      </c>
      <c r="C6020" t="s">
        <v>63</v>
      </c>
      <c r="D6020">
        <v>5624.07</v>
      </c>
      <c r="E6020">
        <v>2020</v>
      </c>
      <c r="F6020" t="s">
        <v>70</v>
      </c>
    </row>
    <row r="6021" spans="1:6" x14ac:dyDescent="0.25">
      <c r="A6021" t="s">
        <v>34</v>
      </c>
      <c r="B6021" t="s">
        <v>35</v>
      </c>
      <c r="C6021" t="s">
        <v>63</v>
      </c>
      <c r="D6021">
        <v>5902.1</v>
      </c>
      <c r="E6021">
        <v>2020</v>
      </c>
      <c r="F6021" t="s">
        <v>70</v>
      </c>
    </row>
    <row r="6022" spans="1:6" x14ac:dyDescent="0.25">
      <c r="A6022" t="s">
        <v>36</v>
      </c>
      <c r="B6022" t="s">
        <v>37</v>
      </c>
      <c r="C6022" t="s">
        <v>63</v>
      </c>
      <c r="D6022">
        <v>5287.5</v>
      </c>
      <c r="E6022">
        <v>2020</v>
      </c>
      <c r="F6022" t="s">
        <v>70</v>
      </c>
    </row>
    <row r="6023" spans="1:6" x14ac:dyDescent="0.25">
      <c r="A6023" t="s">
        <v>38</v>
      </c>
      <c r="B6023" t="s">
        <v>39</v>
      </c>
      <c r="C6023" t="s">
        <v>63</v>
      </c>
      <c r="D6023">
        <v>12365.65</v>
      </c>
      <c r="E6023">
        <v>2020</v>
      </c>
      <c r="F6023" t="s">
        <v>70</v>
      </c>
    </row>
    <row r="6024" spans="1:6" x14ac:dyDescent="0.25">
      <c r="A6024" t="s">
        <v>40</v>
      </c>
      <c r="B6024" t="s">
        <v>41</v>
      </c>
      <c r="C6024" t="s">
        <v>63</v>
      </c>
      <c r="D6024">
        <v>5252.17</v>
      </c>
      <c r="E6024">
        <v>2020</v>
      </c>
      <c r="F6024" t="s">
        <v>70</v>
      </c>
    </row>
    <row r="6025" spans="1:6" x14ac:dyDescent="0.25">
      <c r="A6025" t="s">
        <v>42</v>
      </c>
      <c r="B6025" t="s">
        <v>43</v>
      </c>
      <c r="C6025" t="s">
        <v>63</v>
      </c>
      <c r="D6025">
        <v>3166.71</v>
      </c>
      <c r="E6025">
        <v>2020</v>
      </c>
      <c r="F6025" t="s">
        <v>70</v>
      </c>
    </row>
    <row r="6026" spans="1:6" x14ac:dyDescent="0.25">
      <c r="A6026" t="s">
        <v>44</v>
      </c>
      <c r="B6026" t="s">
        <v>45</v>
      </c>
      <c r="C6026" t="s">
        <v>63</v>
      </c>
      <c r="D6026">
        <v>4379.5600000000004</v>
      </c>
      <c r="E6026">
        <v>2020</v>
      </c>
      <c r="F6026" t="s">
        <v>70</v>
      </c>
    </row>
    <row r="6027" spans="1:6" x14ac:dyDescent="0.25">
      <c r="A6027" t="s">
        <v>46</v>
      </c>
      <c r="B6027" t="s">
        <v>47</v>
      </c>
      <c r="C6027" t="s">
        <v>63</v>
      </c>
      <c r="D6027">
        <v>7372.24</v>
      </c>
      <c r="E6027">
        <v>2020</v>
      </c>
      <c r="F6027" t="s">
        <v>70</v>
      </c>
    </row>
    <row r="6028" spans="1:6" x14ac:dyDescent="0.25">
      <c r="A6028" t="s">
        <v>48</v>
      </c>
      <c r="B6028" t="s">
        <v>49</v>
      </c>
      <c r="C6028" t="s">
        <v>63</v>
      </c>
      <c r="D6028">
        <v>7444.89</v>
      </c>
      <c r="E6028">
        <v>2020</v>
      </c>
      <c r="F6028" t="s">
        <v>70</v>
      </c>
    </row>
    <row r="6029" spans="1:6" x14ac:dyDescent="0.25">
      <c r="A6029" t="s">
        <v>50</v>
      </c>
      <c r="B6029" t="s">
        <v>51</v>
      </c>
      <c r="C6029" t="s">
        <v>63</v>
      </c>
      <c r="D6029">
        <v>825.21</v>
      </c>
      <c r="E6029">
        <v>2020</v>
      </c>
      <c r="F6029" t="s">
        <v>70</v>
      </c>
    </row>
    <row r="6030" spans="1:6" x14ac:dyDescent="0.25">
      <c r="A6030" t="s">
        <v>52</v>
      </c>
      <c r="B6030" t="s">
        <v>53</v>
      </c>
      <c r="C6030" t="s">
        <v>63</v>
      </c>
      <c r="D6030">
        <v>1840.91</v>
      </c>
      <c r="E6030">
        <v>2020</v>
      </c>
      <c r="F6030" t="s">
        <v>70</v>
      </c>
    </row>
    <row r="6031" spans="1:6" x14ac:dyDescent="0.25">
      <c r="A6031" t="s">
        <v>54</v>
      </c>
      <c r="B6031" t="s">
        <v>55</v>
      </c>
      <c r="C6031" t="s">
        <v>63</v>
      </c>
      <c r="D6031">
        <v>1950.34</v>
      </c>
      <c r="E6031">
        <v>2020</v>
      </c>
      <c r="F6031" t="s">
        <v>70</v>
      </c>
    </row>
    <row r="6032" spans="1:6" x14ac:dyDescent="0.25">
      <c r="A6032" t="s">
        <v>56</v>
      </c>
      <c r="B6032" t="s">
        <v>57</v>
      </c>
      <c r="C6032" t="s">
        <v>63</v>
      </c>
      <c r="D6032">
        <v>1921.98</v>
      </c>
      <c r="E6032">
        <v>2020</v>
      </c>
      <c r="F6032" t="s">
        <v>70</v>
      </c>
    </row>
    <row r="6033" spans="1:6" x14ac:dyDescent="0.25">
      <c r="A6033" t="s">
        <v>58</v>
      </c>
      <c r="B6033" t="s">
        <v>59</v>
      </c>
      <c r="C6033" t="s">
        <v>63</v>
      </c>
      <c r="E6033">
        <v>2020</v>
      </c>
      <c r="F6033" t="s">
        <v>70</v>
      </c>
    </row>
    <row r="6034" spans="1:6" x14ac:dyDescent="0.25">
      <c r="A6034" t="s">
        <v>6</v>
      </c>
      <c r="B6034" t="s">
        <v>7</v>
      </c>
      <c r="C6034" t="s">
        <v>8</v>
      </c>
      <c r="D6034">
        <v>19434.23</v>
      </c>
      <c r="E6034">
        <v>2020</v>
      </c>
      <c r="F6034" t="s">
        <v>70</v>
      </c>
    </row>
    <row r="6035" spans="1:6" x14ac:dyDescent="0.25">
      <c r="A6035" t="s">
        <v>10</v>
      </c>
      <c r="B6035" t="s">
        <v>11</v>
      </c>
      <c r="C6035" t="s">
        <v>8</v>
      </c>
      <c r="D6035">
        <v>6164.59</v>
      </c>
      <c r="E6035">
        <v>2020</v>
      </c>
      <c r="F6035" t="s">
        <v>70</v>
      </c>
    </row>
    <row r="6036" spans="1:6" x14ac:dyDescent="0.25">
      <c r="A6036" t="s">
        <v>12</v>
      </c>
      <c r="B6036" t="s">
        <v>13</v>
      </c>
      <c r="C6036" t="s">
        <v>8</v>
      </c>
      <c r="D6036">
        <v>1966.49</v>
      </c>
      <c r="E6036">
        <v>2020</v>
      </c>
      <c r="F6036" t="s">
        <v>70</v>
      </c>
    </row>
    <row r="6037" spans="1:6" x14ac:dyDescent="0.25">
      <c r="A6037" t="s">
        <v>14</v>
      </c>
      <c r="B6037" t="s">
        <v>15</v>
      </c>
      <c r="C6037" t="s">
        <v>8</v>
      </c>
      <c r="E6037">
        <v>2020</v>
      </c>
      <c r="F6037" t="s">
        <v>70</v>
      </c>
    </row>
    <row r="6038" spans="1:6" x14ac:dyDescent="0.25">
      <c r="A6038" t="s">
        <v>16</v>
      </c>
      <c r="B6038" t="s">
        <v>17</v>
      </c>
      <c r="C6038" t="s">
        <v>8</v>
      </c>
      <c r="D6038">
        <v>101.81</v>
      </c>
      <c r="E6038">
        <v>2020</v>
      </c>
      <c r="F6038" t="s">
        <v>70</v>
      </c>
    </row>
    <row r="6039" spans="1:6" x14ac:dyDescent="0.25">
      <c r="A6039" t="s">
        <v>18</v>
      </c>
      <c r="B6039" t="s">
        <v>19</v>
      </c>
      <c r="C6039" t="s">
        <v>8</v>
      </c>
      <c r="D6039">
        <v>82.4</v>
      </c>
      <c r="E6039">
        <v>2020</v>
      </c>
      <c r="F6039" t="s">
        <v>70</v>
      </c>
    </row>
    <row r="6040" spans="1:6" x14ac:dyDescent="0.25">
      <c r="A6040" t="s">
        <v>20</v>
      </c>
      <c r="B6040" t="s">
        <v>21</v>
      </c>
      <c r="C6040" t="s">
        <v>8</v>
      </c>
      <c r="D6040">
        <v>36.57</v>
      </c>
      <c r="E6040">
        <v>2020</v>
      </c>
      <c r="F6040" t="s">
        <v>70</v>
      </c>
    </row>
    <row r="6041" spans="1:6" x14ac:dyDescent="0.25">
      <c r="A6041" t="s">
        <v>22</v>
      </c>
      <c r="B6041" t="s">
        <v>23</v>
      </c>
      <c r="C6041" t="s">
        <v>8</v>
      </c>
      <c r="D6041">
        <v>973.04</v>
      </c>
      <c r="E6041">
        <v>2020</v>
      </c>
      <c r="F6041" t="s">
        <v>70</v>
      </c>
    </row>
    <row r="6042" spans="1:6" x14ac:dyDescent="0.25">
      <c r="A6042" t="s">
        <v>24</v>
      </c>
      <c r="B6042" t="s">
        <v>25</v>
      </c>
      <c r="C6042" t="s">
        <v>8</v>
      </c>
      <c r="D6042">
        <v>1339.75</v>
      </c>
      <c r="E6042">
        <v>2020</v>
      </c>
      <c r="F6042" t="s">
        <v>70</v>
      </c>
    </row>
    <row r="6043" spans="1:6" x14ac:dyDescent="0.25">
      <c r="A6043" t="s">
        <v>26</v>
      </c>
      <c r="B6043" t="s">
        <v>27</v>
      </c>
      <c r="C6043" t="s">
        <v>8</v>
      </c>
      <c r="D6043">
        <v>92.03</v>
      </c>
      <c r="E6043">
        <v>2020</v>
      </c>
      <c r="F6043" t="s">
        <v>70</v>
      </c>
    </row>
    <row r="6044" spans="1:6" x14ac:dyDescent="0.25">
      <c r="A6044" t="s">
        <v>28</v>
      </c>
      <c r="B6044" t="s">
        <v>29</v>
      </c>
      <c r="C6044" t="s">
        <v>8</v>
      </c>
      <c r="E6044">
        <v>2020</v>
      </c>
      <c r="F6044" t="s">
        <v>70</v>
      </c>
    </row>
    <row r="6045" spans="1:6" x14ac:dyDescent="0.25">
      <c r="A6045" t="s">
        <v>30</v>
      </c>
      <c r="B6045" t="s">
        <v>31</v>
      </c>
      <c r="C6045" t="s">
        <v>8</v>
      </c>
      <c r="D6045">
        <v>2671.82</v>
      </c>
      <c r="E6045">
        <v>2020</v>
      </c>
      <c r="F6045" t="s">
        <v>70</v>
      </c>
    </row>
    <row r="6046" spans="1:6" x14ac:dyDescent="0.25">
      <c r="A6046" t="s">
        <v>32</v>
      </c>
      <c r="B6046" t="s">
        <v>33</v>
      </c>
      <c r="C6046" t="s">
        <v>8</v>
      </c>
      <c r="D6046">
        <v>637.74</v>
      </c>
      <c r="E6046">
        <v>2020</v>
      </c>
      <c r="F6046" t="s">
        <v>70</v>
      </c>
    </row>
    <row r="6047" spans="1:6" x14ac:dyDescent="0.25">
      <c r="A6047" t="s">
        <v>34</v>
      </c>
      <c r="B6047" t="s">
        <v>35</v>
      </c>
      <c r="C6047" t="s">
        <v>8</v>
      </c>
      <c r="D6047">
        <v>840.64</v>
      </c>
      <c r="E6047">
        <v>2020</v>
      </c>
      <c r="F6047" t="s">
        <v>70</v>
      </c>
    </row>
    <row r="6048" spans="1:6" x14ac:dyDescent="0.25">
      <c r="A6048" t="s">
        <v>36</v>
      </c>
      <c r="B6048" t="s">
        <v>37</v>
      </c>
      <c r="C6048" t="s">
        <v>8</v>
      </c>
      <c r="D6048">
        <v>1012.83</v>
      </c>
      <c r="E6048">
        <v>2020</v>
      </c>
      <c r="F6048" t="s">
        <v>70</v>
      </c>
    </row>
    <row r="6049" spans="1:6" x14ac:dyDescent="0.25">
      <c r="A6049" t="s">
        <v>38</v>
      </c>
      <c r="B6049" t="s">
        <v>39</v>
      </c>
      <c r="C6049" t="s">
        <v>8</v>
      </c>
      <c r="D6049">
        <v>236.99</v>
      </c>
      <c r="E6049">
        <v>2020</v>
      </c>
      <c r="F6049" t="s">
        <v>70</v>
      </c>
    </row>
    <row r="6050" spans="1:6" x14ac:dyDescent="0.25">
      <c r="A6050" t="s">
        <v>40</v>
      </c>
      <c r="B6050" t="s">
        <v>41</v>
      </c>
      <c r="C6050" t="s">
        <v>8</v>
      </c>
      <c r="D6050">
        <v>894.61</v>
      </c>
      <c r="E6050">
        <v>2020</v>
      </c>
      <c r="F6050" t="s">
        <v>70</v>
      </c>
    </row>
    <row r="6051" spans="1:6" x14ac:dyDescent="0.25">
      <c r="A6051" t="s">
        <v>42</v>
      </c>
      <c r="B6051" t="s">
        <v>43</v>
      </c>
      <c r="C6051" t="s">
        <v>8</v>
      </c>
      <c r="D6051">
        <v>1.1599999999999999</v>
      </c>
      <c r="E6051">
        <v>2020</v>
      </c>
      <c r="F6051" t="s">
        <v>70</v>
      </c>
    </row>
    <row r="6052" spans="1:6" x14ac:dyDescent="0.25">
      <c r="A6052" t="s">
        <v>44</v>
      </c>
      <c r="B6052" t="s">
        <v>45</v>
      </c>
      <c r="C6052" t="s">
        <v>8</v>
      </c>
      <c r="D6052">
        <v>343.54</v>
      </c>
      <c r="E6052">
        <v>2020</v>
      </c>
      <c r="F6052" t="s">
        <v>70</v>
      </c>
    </row>
    <row r="6053" spans="1:6" x14ac:dyDescent="0.25">
      <c r="A6053" t="s">
        <v>46</v>
      </c>
      <c r="B6053" t="s">
        <v>47</v>
      </c>
      <c r="C6053" t="s">
        <v>8</v>
      </c>
      <c r="D6053">
        <v>379.01</v>
      </c>
      <c r="E6053">
        <v>2020</v>
      </c>
      <c r="F6053" t="s">
        <v>70</v>
      </c>
    </row>
    <row r="6054" spans="1:6" x14ac:dyDescent="0.25">
      <c r="A6054" t="s">
        <v>48</v>
      </c>
      <c r="B6054" t="s">
        <v>49</v>
      </c>
      <c r="C6054" t="s">
        <v>8</v>
      </c>
      <c r="D6054">
        <v>23.43</v>
      </c>
      <c r="E6054">
        <v>2020</v>
      </c>
      <c r="F6054" t="s">
        <v>70</v>
      </c>
    </row>
    <row r="6055" spans="1:6" x14ac:dyDescent="0.25">
      <c r="A6055" t="s">
        <v>50</v>
      </c>
      <c r="B6055" t="s">
        <v>51</v>
      </c>
      <c r="C6055" t="s">
        <v>8</v>
      </c>
      <c r="D6055">
        <v>40.659999999999997</v>
      </c>
      <c r="E6055">
        <v>2020</v>
      </c>
      <c r="F6055" t="s">
        <v>70</v>
      </c>
    </row>
    <row r="6056" spans="1:6" x14ac:dyDescent="0.25">
      <c r="A6056" t="s">
        <v>52</v>
      </c>
      <c r="B6056" t="s">
        <v>53</v>
      </c>
      <c r="C6056" t="s">
        <v>8</v>
      </c>
      <c r="D6056">
        <v>172.44</v>
      </c>
      <c r="E6056">
        <v>2020</v>
      </c>
      <c r="F6056" t="s">
        <v>70</v>
      </c>
    </row>
    <row r="6057" spans="1:6" x14ac:dyDescent="0.25">
      <c r="A6057" t="s">
        <v>54</v>
      </c>
      <c r="B6057" t="s">
        <v>55</v>
      </c>
      <c r="C6057" t="s">
        <v>8</v>
      </c>
      <c r="D6057">
        <v>18.670000000000002</v>
      </c>
      <c r="E6057">
        <v>2020</v>
      </c>
      <c r="F6057" t="s">
        <v>70</v>
      </c>
    </row>
    <row r="6058" spans="1:6" x14ac:dyDescent="0.25">
      <c r="A6058" t="s">
        <v>56</v>
      </c>
      <c r="B6058" t="s">
        <v>57</v>
      </c>
      <c r="C6058" t="s">
        <v>8</v>
      </c>
      <c r="D6058">
        <v>696.27</v>
      </c>
      <c r="E6058">
        <v>2020</v>
      </c>
      <c r="F6058" t="s">
        <v>70</v>
      </c>
    </row>
    <row r="6059" spans="1:6" x14ac:dyDescent="0.25">
      <c r="A6059" t="s">
        <v>58</v>
      </c>
      <c r="B6059" t="s">
        <v>59</v>
      </c>
      <c r="C6059" t="s">
        <v>8</v>
      </c>
      <c r="D6059">
        <v>707.74</v>
      </c>
      <c r="E6059">
        <v>2020</v>
      </c>
      <c r="F6059" t="s">
        <v>70</v>
      </c>
    </row>
    <row r="6060" spans="1:6" x14ac:dyDescent="0.25">
      <c r="A6060" t="s">
        <v>6</v>
      </c>
      <c r="B6060" t="s">
        <v>7</v>
      </c>
      <c r="C6060" t="s">
        <v>60</v>
      </c>
      <c r="D6060">
        <v>21101.27</v>
      </c>
      <c r="E6060">
        <v>2020</v>
      </c>
      <c r="F6060" t="s">
        <v>70</v>
      </c>
    </row>
    <row r="6061" spans="1:6" x14ac:dyDescent="0.25">
      <c r="A6061" t="s">
        <v>10</v>
      </c>
      <c r="B6061" t="s">
        <v>11</v>
      </c>
      <c r="C6061" t="s">
        <v>60</v>
      </c>
      <c r="D6061">
        <v>5823.83</v>
      </c>
      <c r="E6061">
        <v>2020</v>
      </c>
      <c r="F6061" t="s">
        <v>70</v>
      </c>
    </row>
    <row r="6062" spans="1:6" x14ac:dyDescent="0.25">
      <c r="A6062" t="s">
        <v>12</v>
      </c>
      <c r="B6062" t="s">
        <v>13</v>
      </c>
      <c r="C6062" t="s">
        <v>60</v>
      </c>
      <c r="D6062">
        <v>987.1</v>
      </c>
      <c r="E6062">
        <v>2020</v>
      </c>
      <c r="F6062" t="s">
        <v>70</v>
      </c>
    </row>
    <row r="6063" spans="1:6" x14ac:dyDescent="0.25">
      <c r="A6063" t="s">
        <v>14</v>
      </c>
      <c r="B6063" t="s">
        <v>15</v>
      </c>
      <c r="C6063" t="s">
        <v>60</v>
      </c>
      <c r="E6063">
        <v>2020</v>
      </c>
      <c r="F6063" t="s">
        <v>70</v>
      </c>
    </row>
    <row r="6064" spans="1:6" x14ac:dyDescent="0.25">
      <c r="A6064" t="s">
        <v>16</v>
      </c>
      <c r="B6064" t="s">
        <v>17</v>
      </c>
      <c r="C6064" t="s">
        <v>60</v>
      </c>
      <c r="D6064">
        <v>472.65</v>
      </c>
      <c r="E6064">
        <v>2020</v>
      </c>
      <c r="F6064" t="s">
        <v>70</v>
      </c>
    </row>
    <row r="6065" spans="1:6" x14ac:dyDescent="0.25">
      <c r="A6065" t="s">
        <v>18</v>
      </c>
      <c r="B6065" t="s">
        <v>19</v>
      </c>
      <c r="C6065" t="s">
        <v>60</v>
      </c>
      <c r="D6065">
        <v>751.45</v>
      </c>
      <c r="E6065">
        <v>2020</v>
      </c>
      <c r="F6065" t="s">
        <v>70</v>
      </c>
    </row>
    <row r="6066" spans="1:6" x14ac:dyDescent="0.25">
      <c r="A6066" t="s">
        <v>20</v>
      </c>
      <c r="B6066" t="s">
        <v>21</v>
      </c>
      <c r="C6066" t="s">
        <v>60</v>
      </c>
      <c r="D6066">
        <v>112.28</v>
      </c>
      <c r="E6066">
        <v>2020</v>
      </c>
      <c r="F6066" t="s">
        <v>70</v>
      </c>
    </row>
    <row r="6067" spans="1:6" x14ac:dyDescent="0.25">
      <c r="A6067" t="s">
        <v>22</v>
      </c>
      <c r="B6067" t="s">
        <v>23</v>
      </c>
      <c r="C6067" t="s">
        <v>60</v>
      </c>
      <c r="D6067">
        <v>110.37</v>
      </c>
      <c r="E6067">
        <v>2020</v>
      </c>
      <c r="F6067" t="s">
        <v>70</v>
      </c>
    </row>
    <row r="6068" spans="1:6" x14ac:dyDescent="0.25">
      <c r="A6068" t="s">
        <v>24</v>
      </c>
      <c r="B6068" t="s">
        <v>25</v>
      </c>
      <c r="C6068" t="s">
        <v>60</v>
      </c>
      <c r="D6068">
        <v>972.29</v>
      </c>
      <c r="E6068">
        <v>2020</v>
      </c>
      <c r="F6068" t="s">
        <v>70</v>
      </c>
    </row>
    <row r="6069" spans="1:6" x14ac:dyDescent="0.25">
      <c r="A6069" t="s">
        <v>26</v>
      </c>
      <c r="B6069" t="s">
        <v>27</v>
      </c>
      <c r="C6069" t="s">
        <v>60</v>
      </c>
      <c r="D6069">
        <v>318.98</v>
      </c>
      <c r="E6069">
        <v>2020</v>
      </c>
      <c r="F6069" t="s">
        <v>70</v>
      </c>
    </row>
    <row r="6070" spans="1:6" x14ac:dyDescent="0.25">
      <c r="A6070" t="s">
        <v>28</v>
      </c>
      <c r="B6070" t="s">
        <v>29</v>
      </c>
      <c r="C6070" t="s">
        <v>60</v>
      </c>
      <c r="D6070">
        <v>745.61</v>
      </c>
      <c r="E6070">
        <v>2020</v>
      </c>
      <c r="F6070" t="s">
        <v>70</v>
      </c>
    </row>
    <row r="6071" spans="1:6" x14ac:dyDescent="0.25">
      <c r="A6071" t="s">
        <v>30</v>
      </c>
      <c r="B6071" t="s">
        <v>31</v>
      </c>
      <c r="C6071" t="s">
        <v>60</v>
      </c>
      <c r="D6071">
        <v>2792.07</v>
      </c>
      <c r="E6071">
        <v>2020</v>
      </c>
      <c r="F6071" t="s">
        <v>70</v>
      </c>
    </row>
    <row r="6072" spans="1:6" x14ac:dyDescent="0.25">
      <c r="A6072" t="s">
        <v>32</v>
      </c>
      <c r="B6072" t="s">
        <v>33</v>
      </c>
      <c r="C6072" t="s">
        <v>60</v>
      </c>
      <c r="D6072">
        <v>1199</v>
      </c>
      <c r="E6072">
        <v>2020</v>
      </c>
      <c r="F6072" t="s">
        <v>70</v>
      </c>
    </row>
    <row r="6073" spans="1:6" x14ac:dyDescent="0.25">
      <c r="A6073" t="s">
        <v>34</v>
      </c>
      <c r="B6073" t="s">
        <v>35</v>
      </c>
      <c r="C6073" t="s">
        <v>60</v>
      </c>
      <c r="D6073">
        <v>1006.8</v>
      </c>
      <c r="E6073">
        <v>2020</v>
      </c>
      <c r="F6073" t="s">
        <v>70</v>
      </c>
    </row>
    <row r="6074" spans="1:6" x14ac:dyDescent="0.25">
      <c r="A6074" t="s">
        <v>36</v>
      </c>
      <c r="B6074" t="s">
        <v>37</v>
      </c>
      <c r="C6074" t="s">
        <v>60</v>
      </c>
      <c r="D6074">
        <v>1479.17</v>
      </c>
      <c r="E6074">
        <v>2020</v>
      </c>
      <c r="F6074" t="s">
        <v>70</v>
      </c>
    </row>
    <row r="6075" spans="1:6" x14ac:dyDescent="0.25">
      <c r="A6075" t="s">
        <v>38</v>
      </c>
      <c r="B6075" t="s">
        <v>39</v>
      </c>
      <c r="C6075" t="s">
        <v>60</v>
      </c>
      <c r="D6075">
        <v>647.78</v>
      </c>
      <c r="E6075">
        <v>2020</v>
      </c>
      <c r="F6075" t="s">
        <v>70</v>
      </c>
    </row>
    <row r="6076" spans="1:6" x14ac:dyDescent="0.25">
      <c r="A6076" t="s">
        <v>40</v>
      </c>
      <c r="B6076" t="s">
        <v>41</v>
      </c>
      <c r="C6076" t="s">
        <v>60</v>
      </c>
      <c r="D6076">
        <v>511.51</v>
      </c>
      <c r="E6076">
        <v>2020</v>
      </c>
      <c r="F6076" t="s">
        <v>70</v>
      </c>
    </row>
    <row r="6077" spans="1:6" x14ac:dyDescent="0.25">
      <c r="A6077" t="s">
        <v>42</v>
      </c>
      <c r="B6077" t="s">
        <v>43</v>
      </c>
      <c r="C6077" t="s">
        <v>60</v>
      </c>
      <c r="E6077">
        <v>2020</v>
      </c>
      <c r="F6077" t="s">
        <v>70</v>
      </c>
    </row>
    <row r="6078" spans="1:6" x14ac:dyDescent="0.25">
      <c r="A6078" t="s">
        <v>44</v>
      </c>
      <c r="B6078" t="s">
        <v>45</v>
      </c>
      <c r="C6078" t="s">
        <v>60</v>
      </c>
      <c r="D6078">
        <v>470.43</v>
      </c>
      <c r="E6078">
        <v>2020</v>
      </c>
      <c r="F6078" t="s">
        <v>70</v>
      </c>
    </row>
    <row r="6079" spans="1:6" x14ac:dyDescent="0.25">
      <c r="A6079" t="s">
        <v>46</v>
      </c>
      <c r="B6079" t="s">
        <v>47</v>
      </c>
      <c r="C6079" t="s">
        <v>60</v>
      </c>
      <c r="D6079">
        <v>247.19</v>
      </c>
      <c r="E6079">
        <v>2020</v>
      </c>
      <c r="F6079" t="s">
        <v>70</v>
      </c>
    </row>
    <row r="6080" spans="1:6" x14ac:dyDescent="0.25">
      <c r="A6080" t="s">
        <v>48</v>
      </c>
      <c r="B6080" t="s">
        <v>49</v>
      </c>
      <c r="C6080" t="s">
        <v>60</v>
      </c>
      <c r="D6080">
        <v>207.75</v>
      </c>
      <c r="E6080">
        <v>2020</v>
      </c>
      <c r="F6080" t="s">
        <v>70</v>
      </c>
    </row>
    <row r="6081" spans="1:6" x14ac:dyDescent="0.25">
      <c r="A6081" t="s">
        <v>50</v>
      </c>
      <c r="B6081" t="s">
        <v>51</v>
      </c>
      <c r="C6081" t="s">
        <v>60</v>
      </c>
      <c r="D6081">
        <v>136.71</v>
      </c>
      <c r="E6081">
        <v>2020</v>
      </c>
      <c r="F6081" t="s">
        <v>70</v>
      </c>
    </row>
    <row r="6082" spans="1:6" x14ac:dyDescent="0.25">
      <c r="A6082" t="s">
        <v>52</v>
      </c>
      <c r="B6082" t="s">
        <v>53</v>
      </c>
      <c r="C6082" t="s">
        <v>60</v>
      </c>
      <c r="D6082">
        <v>243.29</v>
      </c>
      <c r="E6082">
        <v>2020</v>
      </c>
      <c r="F6082" t="s">
        <v>70</v>
      </c>
    </row>
    <row r="6083" spans="1:6" x14ac:dyDescent="0.25">
      <c r="A6083" t="s">
        <v>54</v>
      </c>
      <c r="B6083" t="s">
        <v>55</v>
      </c>
      <c r="C6083" t="s">
        <v>60</v>
      </c>
      <c r="D6083">
        <v>1865.01</v>
      </c>
      <c r="E6083">
        <v>2020</v>
      </c>
      <c r="F6083" t="s">
        <v>70</v>
      </c>
    </row>
    <row r="6084" spans="1:6" x14ac:dyDescent="0.25">
      <c r="A6084" t="s">
        <v>56</v>
      </c>
      <c r="B6084" t="s">
        <v>57</v>
      </c>
      <c r="C6084" t="s">
        <v>60</v>
      </c>
      <c r="E6084">
        <v>2020</v>
      </c>
      <c r="F6084" t="s">
        <v>70</v>
      </c>
    </row>
    <row r="6085" spans="1:6" x14ac:dyDescent="0.25">
      <c r="A6085" t="s">
        <v>58</v>
      </c>
      <c r="B6085" t="s">
        <v>59</v>
      </c>
      <c r="C6085" t="s">
        <v>60</v>
      </c>
      <c r="E6085">
        <v>2020</v>
      </c>
      <c r="F6085" t="s">
        <v>70</v>
      </c>
    </row>
    <row r="6086" spans="1:6" x14ac:dyDescent="0.25">
      <c r="A6086" t="s">
        <v>6</v>
      </c>
      <c r="B6086" t="s">
        <v>7</v>
      </c>
      <c r="C6086" t="s">
        <v>61</v>
      </c>
      <c r="D6086">
        <v>6655.48</v>
      </c>
      <c r="E6086">
        <v>2020</v>
      </c>
      <c r="F6086" t="s">
        <v>70</v>
      </c>
    </row>
    <row r="6087" spans="1:6" x14ac:dyDescent="0.25">
      <c r="A6087" t="s">
        <v>10</v>
      </c>
      <c r="B6087" t="s">
        <v>11</v>
      </c>
      <c r="C6087" t="s">
        <v>61</v>
      </c>
      <c r="D6087">
        <v>3187.1</v>
      </c>
      <c r="E6087">
        <v>2020</v>
      </c>
      <c r="F6087" t="s">
        <v>70</v>
      </c>
    </row>
    <row r="6088" spans="1:6" x14ac:dyDescent="0.25">
      <c r="A6088" t="s">
        <v>12</v>
      </c>
      <c r="B6088" t="s">
        <v>13</v>
      </c>
      <c r="C6088" t="s">
        <v>61</v>
      </c>
      <c r="D6088">
        <v>349.57</v>
      </c>
      <c r="E6088">
        <v>2020</v>
      </c>
      <c r="F6088" t="s">
        <v>70</v>
      </c>
    </row>
    <row r="6089" spans="1:6" x14ac:dyDescent="0.25">
      <c r="A6089" t="s">
        <v>14</v>
      </c>
      <c r="B6089" t="s">
        <v>15</v>
      </c>
      <c r="C6089" t="s">
        <v>61</v>
      </c>
      <c r="D6089">
        <v>4.6399999999999997</v>
      </c>
      <c r="E6089">
        <v>2020</v>
      </c>
      <c r="F6089" t="s">
        <v>70</v>
      </c>
    </row>
    <row r="6090" spans="1:6" x14ac:dyDescent="0.25">
      <c r="A6090" t="s">
        <v>16</v>
      </c>
      <c r="B6090" t="s">
        <v>17</v>
      </c>
      <c r="C6090" t="s">
        <v>61</v>
      </c>
      <c r="D6090">
        <v>76.64</v>
      </c>
      <c r="E6090">
        <v>2020</v>
      </c>
      <c r="F6090" t="s">
        <v>70</v>
      </c>
    </row>
    <row r="6091" spans="1:6" x14ac:dyDescent="0.25">
      <c r="A6091" t="s">
        <v>18</v>
      </c>
      <c r="B6091" t="s">
        <v>19</v>
      </c>
      <c r="C6091" t="s">
        <v>61</v>
      </c>
      <c r="D6091">
        <v>31.91</v>
      </c>
      <c r="E6091">
        <v>2020</v>
      </c>
      <c r="F6091" t="s">
        <v>70</v>
      </c>
    </row>
    <row r="6092" spans="1:6" x14ac:dyDescent="0.25">
      <c r="A6092" t="s">
        <v>20</v>
      </c>
      <c r="B6092" t="s">
        <v>21</v>
      </c>
      <c r="C6092" t="s">
        <v>61</v>
      </c>
      <c r="D6092">
        <v>43.64</v>
      </c>
      <c r="E6092">
        <v>2020</v>
      </c>
      <c r="F6092" t="s">
        <v>70</v>
      </c>
    </row>
    <row r="6093" spans="1:6" x14ac:dyDescent="0.25">
      <c r="A6093" t="s">
        <v>22</v>
      </c>
      <c r="B6093" t="s">
        <v>23</v>
      </c>
      <c r="C6093" t="s">
        <v>61</v>
      </c>
      <c r="D6093">
        <v>167.5</v>
      </c>
      <c r="E6093">
        <v>2020</v>
      </c>
      <c r="F6093" t="s">
        <v>70</v>
      </c>
    </row>
    <row r="6094" spans="1:6" x14ac:dyDescent="0.25">
      <c r="A6094" t="s">
        <v>24</v>
      </c>
      <c r="B6094" t="s">
        <v>25</v>
      </c>
      <c r="C6094" t="s">
        <v>61</v>
      </c>
      <c r="D6094">
        <v>409.36</v>
      </c>
      <c r="E6094">
        <v>2020</v>
      </c>
      <c r="F6094" t="s">
        <v>70</v>
      </c>
    </row>
    <row r="6095" spans="1:6" x14ac:dyDescent="0.25">
      <c r="A6095" t="s">
        <v>26</v>
      </c>
      <c r="B6095" t="s">
        <v>27</v>
      </c>
      <c r="C6095" t="s">
        <v>61</v>
      </c>
      <c r="D6095">
        <v>78.760000000000005</v>
      </c>
      <c r="E6095">
        <v>2020</v>
      </c>
      <c r="F6095" t="s">
        <v>70</v>
      </c>
    </row>
    <row r="6096" spans="1:6" x14ac:dyDescent="0.25">
      <c r="A6096" t="s">
        <v>28</v>
      </c>
      <c r="B6096" t="s">
        <v>29</v>
      </c>
      <c r="C6096" t="s">
        <v>61</v>
      </c>
      <c r="D6096">
        <v>25.98</v>
      </c>
      <c r="E6096">
        <v>2020</v>
      </c>
      <c r="F6096" t="s">
        <v>70</v>
      </c>
    </row>
    <row r="6097" spans="1:6" x14ac:dyDescent="0.25">
      <c r="A6097" t="s">
        <v>30</v>
      </c>
      <c r="B6097" t="s">
        <v>31</v>
      </c>
      <c r="C6097" t="s">
        <v>61</v>
      </c>
      <c r="D6097">
        <v>433.74</v>
      </c>
      <c r="E6097">
        <v>2020</v>
      </c>
      <c r="F6097" t="s">
        <v>70</v>
      </c>
    </row>
    <row r="6098" spans="1:6" x14ac:dyDescent="0.25">
      <c r="A6098" t="s">
        <v>32</v>
      </c>
      <c r="B6098" t="s">
        <v>33</v>
      </c>
      <c r="C6098" t="s">
        <v>61</v>
      </c>
      <c r="D6098">
        <v>185.77</v>
      </c>
      <c r="E6098">
        <v>2020</v>
      </c>
      <c r="F6098" t="s">
        <v>70</v>
      </c>
    </row>
    <row r="6099" spans="1:6" x14ac:dyDescent="0.25">
      <c r="A6099" t="s">
        <v>34</v>
      </c>
      <c r="B6099" t="s">
        <v>35</v>
      </c>
      <c r="C6099" t="s">
        <v>61</v>
      </c>
      <c r="D6099">
        <v>491.58</v>
      </c>
      <c r="E6099">
        <v>2020</v>
      </c>
      <c r="F6099" t="s">
        <v>70</v>
      </c>
    </row>
    <row r="6100" spans="1:6" x14ac:dyDescent="0.25">
      <c r="A6100" t="s">
        <v>36</v>
      </c>
      <c r="B6100" t="s">
        <v>37</v>
      </c>
      <c r="C6100" t="s">
        <v>61</v>
      </c>
      <c r="D6100">
        <v>354.83</v>
      </c>
      <c r="E6100">
        <v>2020</v>
      </c>
      <c r="F6100" t="s">
        <v>70</v>
      </c>
    </row>
    <row r="6101" spans="1:6" x14ac:dyDescent="0.25">
      <c r="A6101" t="s">
        <v>38</v>
      </c>
      <c r="B6101" t="s">
        <v>39</v>
      </c>
      <c r="C6101" t="s">
        <v>61</v>
      </c>
      <c r="D6101">
        <v>229.48</v>
      </c>
      <c r="E6101">
        <v>2020</v>
      </c>
      <c r="F6101" t="s">
        <v>70</v>
      </c>
    </row>
    <row r="6102" spans="1:6" x14ac:dyDescent="0.25">
      <c r="A6102" t="s">
        <v>40</v>
      </c>
      <c r="B6102" t="s">
        <v>41</v>
      </c>
      <c r="C6102" t="s">
        <v>61</v>
      </c>
      <c r="D6102">
        <v>141.78</v>
      </c>
      <c r="E6102">
        <v>2020</v>
      </c>
      <c r="F6102" t="s">
        <v>70</v>
      </c>
    </row>
    <row r="6103" spans="1:6" x14ac:dyDescent="0.25">
      <c r="A6103" t="s">
        <v>42</v>
      </c>
      <c r="B6103" t="s">
        <v>43</v>
      </c>
      <c r="C6103" t="s">
        <v>61</v>
      </c>
      <c r="D6103">
        <v>29.87</v>
      </c>
      <c r="E6103">
        <v>2020</v>
      </c>
      <c r="F6103" t="s">
        <v>70</v>
      </c>
    </row>
    <row r="6104" spans="1:6" x14ac:dyDescent="0.25">
      <c r="A6104" t="s">
        <v>44</v>
      </c>
      <c r="B6104" t="s">
        <v>45</v>
      </c>
      <c r="C6104" t="s">
        <v>61</v>
      </c>
      <c r="D6104">
        <v>167.48</v>
      </c>
      <c r="E6104">
        <v>2020</v>
      </c>
      <c r="F6104" t="s">
        <v>70</v>
      </c>
    </row>
    <row r="6105" spans="1:6" x14ac:dyDescent="0.25">
      <c r="A6105" t="s">
        <v>46</v>
      </c>
      <c r="B6105" t="s">
        <v>47</v>
      </c>
      <c r="C6105" t="s">
        <v>61</v>
      </c>
      <c r="D6105">
        <v>68.14</v>
      </c>
      <c r="E6105">
        <v>2020</v>
      </c>
      <c r="F6105" t="s">
        <v>70</v>
      </c>
    </row>
    <row r="6106" spans="1:6" x14ac:dyDescent="0.25">
      <c r="A6106" t="s">
        <v>48</v>
      </c>
      <c r="B6106" t="s">
        <v>49</v>
      </c>
      <c r="C6106" t="s">
        <v>61</v>
      </c>
      <c r="D6106">
        <v>11.12</v>
      </c>
      <c r="E6106">
        <v>2020</v>
      </c>
      <c r="F6106" t="s">
        <v>70</v>
      </c>
    </row>
    <row r="6107" spans="1:6" x14ac:dyDescent="0.25">
      <c r="A6107" t="s">
        <v>50</v>
      </c>
      <c r="B6107" t="s">
        <v>51</v>
      </c>
      <c r="C6107" t="s">
        <v>61</v>
      </c>
      <c r="D6107">
        <v>33.42</v>
      </c>
      <c r="E6107">
        <v>2020</v>
      </c>
      <c r="F6107" t="s">
        <v>70</v>
      </c>
    </row>
    <row r="6108" spans="1:6" x14ac:dyDescent="0.25">
      <c r="A6108" t="s">
        <v>52</v>
      </c>
      <c r="B6108" t="s">
        <v>53</v>
      </c>
      <c r="C6108" t="s">
        <v>61</v>
      </c>
      <c r="D6108">
        <v>79.489999999999995</v>
      </c>
      <c r="E6108">
        <v>2020</v>
      </c>
      <c r="F6108" t="s">
        <v>70</v>
      </c>
    </row>
    <row r="6109" spans="1:6" x14ac:dyDescent="0.25">
      <c r="A6109" t="s">
        <v>54</v>
      </c>
      <c r="B6109" t="s">
        <v>55</v>
      </c>
      <c r="C6109" t="s">
        <v>61</v>
      </c>
      <c r="D6109">
        <v>6.61</v>
      </c>
      <c r="E6109">
        <v>2020</v>
      </c>
      <c r="F6109" t="s">
        <v>70</v>
      </c>
    </row>
    <row r="6110" spans="1:6" x14ac:dyDescent="0.25">
      <c r="A6110" t="s">
        <v>56</v>
      </c>
      <c r="B6110" t="s">
        <v>57</v>
      </c>
      <c r="C6110" t="s">
        <v>61</v>
      </c>
      <c r="D6110">
        <v>47.07</v>
      </c>
      <c r="E6110">
        <v>2020</v>
      </c>
      <c r="F6110" t="s">
        <v>70</v>
      </c>
    </row>
    <row r="6111" spans="1:6" x14ac:dyDescent="0.25">
      <c r="A6111" t="s">
        <v>58</v>
      </c>
      <c r="B6111" t="s">
        <v>59</v>
      </c>
      <c r="C6111" t="s">
        <v>61</v>
      </c>
      <c r="E6111">
        <v>2020</v>
      </c>
      <c r="F6111" t="s">
        <v>70</v>
      </c>
    </row>
    <row r="6112" spans="1:6" x14ac:dyDescent="0.25">
      <c r="A6112" t="s">
        <v>6</v>
      </c>
      <c r="B6112" t="s">
        <v>7</v>
      </c>
      <c r="C6112" t="s">
        <v>65</v>
      </c>
      <c r="D6112">
        <v>142209.22</v>
      </c>
      <c r="E6112">
        <v>2020</v>
      </c>
      <c r="F6112" t="s">
        <v>70</v>
      </c>
    </row>
    <row r="6113" spans="1:6" x14ac:dyDescent="0.25">
      <c r="A6113" t="s">
        <v>10</v>
      </c>
      <c r="B6113" t="s">
        <v>11</v>
      </c>
      <c r="C6113" t="s">
        <v>65</v>
      </c>
      <c r="D6113">
        <v>21989.360000000001</v>
      </c>
      <c r="E6113">
        <v>2020</v>
      </c>
      <c r="F6113" t="s">
        <v>70</v>
      </c>
    </row>
    <row r="6114" spans="1:6" x14ac:dyDescent="0.25">
      <c r="A6114" t="s">
        <v>12</v>
      </c>
      <c r="B6114" t="s">
        <v>13</v>
      </c>
      <c r="C6114" t="s">
        <v>65</v>
      </c>
      <c r="D6114">
        <v>10607.95</v>
      </c>
      <c r="E6114">
        <v>2020</v>
      </c>
      <c r="F6114" t="s">
        <v>70</v>
      </c>
    </row>
    <row r="6115" spans="1:6" x14ac:dyDescent="0.25">
      <c r="A6115" t="s">
        <v>14</v>
      </c>
      <c r="B6115" t="s">
        <v>15</v>
      </c>
      <c r="C6115" t="s">
        <v>65</v>
      </c>
      <c r="D6115">
        <v>331.87</v>
      </c>
      <c r="E6115">
        <v>2020</v>
      </c>
      <c r="F6115" t="s">
        <v>70</v>
      </c>
    </row>
    <row r="6116" spans="1:6" x14ac:dyDescent="0.25">
      <c r="A6116" t="s">
        <v>16</v>
      </c>
      <c r="B6116" t="s">
        <v>17</v>
      </c>
      <c r="C6116" t="s">
        <v>65</v>
      </c>
      <c r="D6116">
        <v>4454.7299999999996</v>
      </c>
      <c r="E6116">
        <v>2020</v>
      </c>
      <c r="F6116" t="s">
        <v>70</v>
      </c>
    </row>
    <row r="6117" spans="1:6" x14ac:dyDescent="0.25">
      <c r="A6117" t="s">
        <v>18</v>
      </c>
      <c r="B6117" t="s">
        <v>19</v>
      </c>
      <c r="C6117" t="s">
        <v>65</v>
      </c>
      <c r="D6117">
        <v>1179.75</v>
      </c>
      <c r="E6117">
        <v>2020</v>
      </c>
      <c r="F6117" t="s">
        <v>70</v>
      </c>
    </row>
    <row r="6118" spans="1:6" x14ac:dyDescent="0.25">
      <c r="A6118" t="s">
        <v>20</v>
      </c>
      <c r="B6118" t="s">
        <v>21</v>
      </c>
      <c r="C6118" t="s">
        <v>65</v>
      </c>
      <c r="D6118">
        <v>695.27</v>
      </c>
      <c r="E6118">
        <v>2020</v>
      </c>
      <c r="F6118" t="s">
        <v>70</v>
      </c>
    </row>
    <row r="6119" spans="1:6" x14ac:dyDescent="0.25">
      <c r="A6119" t="s">
        <v>22</v>
      </c>
      <c r="B6119" t="s">
        <v>23</v>
      </c>
      <c r="C6119" t="s">
        <v>65</v>
      </c>
      <c r="D6119">
        <v>399.77</v>
      </c>
      <c r="E6119">
        <v>2020</v>
      </c>
      <c r="F6119" t="s">
        <v>70</v>
      </c>
    </row>
    <row r="6120" spans="1:6" x14ac:dyDescent="0.25">
      <c r="A6120" t="s">
        <v>24</v>
      </c>
      <c r="B6120" t="s">
        <v>25</v>
      </c>
      <c r="C6120" t="s">
        <v>65</v>
      </c>
      <c r="D6120">
        <v>3111.96</v>
      </c>
      <c r="E6120">
        <v>2020</v>
      </c>
      <c r="F6120" t="s">
        <v>70</v>
      </c>
    </row>
    <row r="6121" spans="1:6" x14ac:dyDescent="0.25">
      <c r="A6121" t="s">
        <v>26</v>
      </c>
      <c r="B6121" t="s">
        <v>27</v>
      </c>
      <c r="C6121" t="s">
        <v>65</v>
      </c>
      <c r="D6121">
        <v>252.07</v>
      </c>
      <c r="E6121">
        <v>2020</v>
      </c>
      <c r="F6121" t="s">
        <v>70</v>
      </c>
    </row>
    <row r="6122" spans="1:6" x14ac:dyDescent="0.25">
      <c r="A6122" t="s">
        <v>28</v>
      </c>
      <c r="B6122" t="s">
        <v>29</v>
      </c>
      <c r="C6122" t="s">
        <v>65</v>
      </c>
      <c r="D6122">
        <v>9723.68</v>
      </c>
      <c r="E6122">
        <v>2020</v>
      </c>
      <c r="F6122" t="s">
        <v>70</v>
      </c>
    </row>
    <row r="6123" spans="1:6" x14ac:dyDescent="0.25">
      <c r="A6123" t="s">
        <v>30</v>
      </c>
      <c r="B6123" t="s">
        <v>31</v>
      </c>
      <c r="C6123" t="s">
        <v>65</v>
      </c>
      <c r="D6123">
        <v>11282.75</v>
      </c>
      <c r="E6123">
        <v>2020</v>
      </c>
      <c r="F6123" t="s">
        <v>70</v>
      </c>
    </row>
    <row r="6124" spans="1:6" x14ac:dyDescent="0.25">
      <c r="A6124" t="s">
        <v>32</v>
      </c>
      <c r="B6124" t="s">
        <v>33</v>
      </c>
      <c r="C6124" t="s">
        <v>65</v>
      </c>
      <c r="D6124">
        <v>1476.55</v>
      </c>
      <c r="E6124">
        <v>2020</v>
      </c>
      <c r="F6124" t="s">
        <v>70</v>
      </c>
    </row>
    <row r="6125" spans="1:6" x14ac:dyDescent="0.25">
      <c r="A6125" t="s">
        <v>34</v>
      </c>
      <c r="B6125" t="s">
        <v>35</v>
      </c>
      <c r="C6125" t="s">
        <v>65</v>
      </c>
      <c r="D6125">
        <v>5458.32</v>
      </c>
      <c r="E6125">
        <v>2020</v>
      </c>
      <c r="F6125" t="s">
        <v>70</v>
      </c>
    </row>
    <row r="6126" spans="1:6" x14ac:dyDescent="0.25">
      <c r="A6126" t="s">
        <v>36</v>
      </c>
      <c r="B6126" t="s">
        <v>37</v>
      </c>
      <c r="C6126" t="s">
        <v>65</v>
      </c>
      <c r="D6126">
        <v>8357.09</v>
      </c>
      <c r="E6126">
        <v>2020</v>
      </c>
      <c r="F6126" t="s">
        <v>70</v>
      </c>
    </row>
    <row r="6127" spans="1:6" x14ac:dyDescent="0.25">
      <c r="A6127" t="s">
        <v>38</v>
      </c>
      <c r="B6127" t="s">
        <v>39</v>
      </c>
      <c r="C6127" t="s">
        <v>65</v>
      </c>
      <c r="D6127">
        <v>8133.84</v>
      </c>
      <c r="E6127">
        <v>2020</v>
      </c>
      <c r="F6127" t="s">
        <v>70</v>
      </c>
    </row>
    <row r="6128" spans="1:6" x14ac:dyDescent="0.25">
      <c r="A6128" t="s">
        <v>40</v>
      </c>
      <c r="B6128" t="s">
        <v>41</v>
      </c>
      <c r="C6128" t="s">
        <v>65</v>
      </c>
      <c r="D6128">
        <v>6405.94</v>
      </c>
      <c r="E6128">
        <v>2020</v>
      </c>
      <c r="F6128" t="s">
        <v>70</v>
      </c>
    </row>
    <row r="6129" spans="1:6" x14ac:dyDescent="0.25">
      <c r="A6129" t="s">
        <v>42</v>
      </c>
      <c r="B6129" t="s">
        <v>43</v>
      </c>
      <c r="C6129" t="s">
        <v>65</v>
      </c>
      <c r="D6129">
        <v>5878.48</v>
      </c>
      <c r="E6129">
        <v>2020</v>
      </c>
      <c r="F6129" t="s">
        <v>70</v>
      </c>
    </row>
    <row r="6130" spans="1:6" x14ac:dyDescent="0.25">
      <c r="A6130" t="s">
        <v>44</v>
      </c>
      <c r="B6130" t="s">
        <v>45</v>
      </c>
      <c r="C6130" t="s">
        <v>65</v>
      </c>
      <c r="D6130">
        <v>11396.48</v>
      </c>
      <c r="E6130">
        <v>2020</v>
      </c>
      <c r="F6130" t="s">
        <v>70</v>
      </c>
    </row>
    <row r="6131" spans="1:6" x14ac:dyDescent="0.25">
      <c r="A6131" t="s">
        <v>46</v>
      </c>
      <c r="B6131" t="s">
        <v>47</v>
      </c>
      <c r="C6131" t="s">
        <v>65</v>
      </c>
      <c r="D6131">
        <v>13320.18</v>
      </c>
      <c r="E6131">
        <v>2020</v>
      </c>
      <c r="F6131" t="s">
        <v>70</v>
      </c>
    </row>
    <row r="6132" spans="1:6" x14ac:dyDescent="0.25">
      <c r="A6132" t="s">
        <v>48</v>
      </c>
      <c r="B6132" t="s">
        <v>49</v>
      </c>
      <c r="C6132" t="s">
        <v>65</v>
      </c>
      <c r="D6132">
        <v>16561.66</v>
      </c>
      <c r="E6132">
        <v>2020</v>
      </c>
      <c r="F6132" t="s">
        <v>70</v>
      </c>
    </row>
    <row r="6133" spans="1:6" x14ac:dyDescent="0.25">
      <c r="A6133" t="s">
        <v>50</v>
      </c>
      <c r="B6133" t="s">
        <v>51</v>
      </c>
      <c r="C6133" t="s">
        <v>65</v>
      </c>
      <c r="D6133">
        <v>624.32000000000005</v>
      </c>
      <c r="E6133">
        <v>2020</v>
      </c>
      <c r="F6133" t="s">
        <v>70</v>
      </c>
    </row>
    <row r="6134" spans="1:6" x14ac:dyDescent="0.25">
      <c r="A6134" t="s">
        <v>52</v>
      </c>
      <c r="B6134" t="s">
        <v>53</v>
      </c>
      <c r="C6134" t="s">
        <v>65</v>
      </c>
      <c r="D6134">
        <v>325.29000000000002</v>
      </c>
      <c r="E6134">
        <v>2020</v>
      </c>
      <c r="F6134" t="s">
        <v>70</v>
      </c>
    </row>
    <row r="6135" spans="1:6" x14ac:dyDescent="0.25">
      <c r="A6135" t="s">
        <v>54</v>
      </c>
      <c r="B6135" t="s">
        <v>55</v>
      </c>
      <c r="C6135" t="s">
        <v>65</v>
      </c>
      <c r="D6135">
        <v>241.91</v>
      </c>
      <c r="E6135">
        <v>2020</v>
      </c>
      <c r="F6135" t="s">
        <v>70</v>
      </c>
    </row>
    <row r="6136" spans="1:6" x14ac:dyDescent="0.25">
      <c r="A6136" t="s">
        <v>56</v>
      </c>
      <c r="B6136" t="s">
        <v>57</v>
      </c>
      <c r="C6136" t="s">
        <v>65</v>
      </c>
      <c r="E6136">
        <v>2020</v>
      </c>
      <c r="F6136" t="s">
        <v>70</v>
      </c>
    </row>
    <row r="6137" spans="1:6" x14ac:dyDescent="0.25">
      <c r="A6137" t="s">
        <v>58</v>
      </c>
      <c r="B6137" t="s">
        <v>59</v>
      </c>
      <c r="C6137" t="s">
        <v>65</v>
      </c>
      <c r="E6137">
        <v>2020</v>
      </c>
      <c r="F6137" t="s">
        <v>70</v>
      </c>
    </row>
    <row r="6138" spans="1:6" x14ac:dyDescent="0.25">
      <c r="A6138" t="s">
        <v>6</v>
      </c>
      <c r="B6138" t="s">
        <v>7</v>
      </c>
      <c r="C6138" t="s">
        <v>62</v>
      </c>
      <c r="D6138">
        <v>10658.19</v>
      </c>
      <c r="E6138">
        <v>2020</v>
      </c>
      <c r="F6138" t="s">
        <v>70</v>
      </c>
    </row>
    <row r="6139" spans="1:6" x14ac:dyDescent="0.25">
      <c r="A6139" t="s">
        <v>10</v>
      </c>
      <c r="B6139" t="s">
        <v>11</v>
      </c>
      <c r="C6139" t="s">
        <v>62</v>
      </c>
      <c r="D6139">
        <v>3749.1</v>
      </c>
      <c r="E6139">
        <v>2020</v>
      </c>
      <c r="F6139" t="s">
        <v>70</v>
      </c>
    </row>
    <row r="6140" spans="1:6" x14ac:dyDescent="0.25">
      <c r="A6140" t="s">
        <v>12</v>
      </c>
      <c r="B6140" t="s">
        <v>13</v>
      </c>
      <c r="C6140" t="s">
        <v>62</v>
      </c>
      <c r="D6140">
        <v>1169.3599999999999</v>
      </c>
      <c r="E6140">
        <v>2020</v>
      </c>
      <c r="F6140" t="s">
        <v>70</v>
      </c>
    </row>
    <row r="6141" spans="1:6" x14ac:dyDescent="0.25">
      <c r="A6141" t="s">
        <v>14</v>
      </c>
      <c r="B6141" t="s">
        <v>15</v>
      </c>
      <c r="C6141" t="s">
        <v>62</v>
      </c>
      <c r="E6141">
        <v>2020</v>
      </c>
      <c r="F6141" t="s">
        <v>70</v>
      </c>
    </row>
    <row r="6142" spans="1:6" x14ac:dyDescent="0.25">
      <c r="A6142" t="s">
        <v>16</v>
      </c>
      <c r="B6142" t="s">
        <v>17</v>
      </c>
      <c r="C6142" t="s">
        <v>62</v>
      </c>
      <c r="D6142">
        <v>275.27</v>
      </c>
      <c r="E6142">
        <v>2020</v>
      </c>
      <c r="F6142" t="s">
        <v>70</v>
      </c>
    </row>
    <row r="6143" spans="1:6" x14ac:dyDescent="0.25">
      <c r="A6143" t="s">
        <v>18</v>
      </c>
      <c r="B6143" t="s">
        <v>19</v>
      </c>
      <c r="C6143" t="s">
        <v>62</v>
      </c>
      <c r="D6143">
        <v>288.45999999999998</v>
      </c>
      <c r="E6143">
        <v>2020</v>
      </c>
      <c r="F6143" t="s">
        <v>70</v>
      </c>
    </row>
    <row r="6144" spans="1:6" x14ac:dyDescent="0.25">
      <c r="A6144" t="s">
        <v>20</v>
      </c>
      <c r="B6144" t="s">
        <v>21</v>
      </c>
      <c r="C6144" t="s">
        <v>62</v>
      </c>
      <c r="D6144">
        <v>18.899999999999999</v>
      </c>
      <c r="E6144">
        <v>2020</v>
      </c>
      <c r="F6144" t="s">
        <v>70</v>
      </c>
    </row>
    <row r="6145" spans="1:6" x14ac:dyDescent="0.25">
      <c r="A6145" t="s">
        <v>22</v>
      </c>
      <c r="B6145" t="s">
        <v>23</v>
      </c>
      <c r="C6145" t="s">
        <v>62</v>
      </c>
      <c r="D6145">
        <v>39.19</v>
      </c>
      <c r="E6145">
        <v>2020</v>
      </c>
      <c r="F6145" t="s">
        <v>70</v>
      </c>
    </row>
    <row r="6146" spans="1:6" x14ac:dyDescent="0.25">
      <c r="A6146" t="s">
        <v>24</v>
      </c>
      <c r="B6146" t="s">
        <v>25</v>
      </c>
      <c r="C6146" t="s">
        <v>62</v>
      </c>
      <c r="D6146">
        <v>426.62</v>
      </c>
      <c r="E6146">
        <v>2020</v>
      </c>
      <c r="F6146" t="s">
        <v>70</v>
      </c>
    </row>
    <row r="6147" spans="1:6" x14ac:dyDescent="0.25">
      <c r="A6147" t="s">
        <v>26</v>
      </c>
      <c r="B6147" t="s">
        <v>27</v>
      </c>
      <c r="C6147" t="s">
        <v>62</v>
      </c>
      <c r="D6147">
        <v>106.74</v>
      </c>
      <c r="E6147">
        <v>2020</v>
      </c>
      <c r="F6147" t="s">
        <v>70</v>
      </c>
    </row>
    <row r="6148" spans="1:6" x14ac:dyDescent="0.25">
      <c r="A6148" t="s">
        <v>28</v>
      </c>
      <c r="B6148" t="s">
        <v>29</v>
      </c>
      <c r="C6148" t="s">
        <v>62</v>
      </c>
      <c r="E6148">
        <v>2020</v>
      </c>
      <c r="F6148" t="s">
        <v>70</v>
      </c>
    </row>
    <row r="6149" spans="1:6" x14ac:dyDescent="0.25">
      <c r="A6149" t="s">
        <v>30</v>
      </c>
      <c r="B6149" t="s">
        <v>31</v>
      </c>
      <c r="C6149" t="s">
        <v>62</v>
      </c>
      <c r="D6149">
        <v>920.95</v>
      </c>
      <c r="E6149">
        <v>2020</v>
      </c>
      <c r="F6149" t="s">
        <v>70</v>
      </c>
    </row>
    <row r="6150" spans="1:6" x14ac:dyDescent="0.25">
      <c r="A6150" t="s">
        <v>32</v>
      </c>
      <c r="B6150" t="s">
        <v>33</v>
      </c>
      <c r="C6150" t="s">
        <v>62</v>
      </c>
      <c r="D6150">
        <v>471.37</v>
      </c>
      <c r="E6150">
        <v>2020</v>
      </c>
      <c r="F6150" t="s">
        <v>70</v>
      </c>
    </row>
    <row r="6151" spans="1:6" x14ac:dyDescent="0.25">
      <c r="A6151" t="s">
        <v>34</v>
      </c>
      <c r="B6151" t="s">
        <v>35</v>
      </c>
      <c r="C6151" t="s">
        <v>62</v>
      </c>
      <c r="D6151">
        <v>795.27</v>
      </c>
      <c r="E6151">
        <v>2020</v>
      </c>
      <c r="F6151" t="s">
        <v>70</v>
      </c>
    </row>
    <row r="6152" spans="1:6" x14ac:dyDescent="0.25">
      <c r="A6152" t="s">
        <v>36</v>
      </c>
      <c r="B6152" t="s">
        <v>37</v>
      </c>
      <c r="C6152" t="s">
        <v>62</v>
      </c>
      <c r="D6152">
        <v>809.54</v>
      </c>
      <c r="E6152">
        <v>2020</v>
      </c>
      <c r="F6152" t="s">
        <v>70</v>
      </c>
    </row>
    <row r="6153" spans="1:6" x14ac:dyDescent="0.25">
      <c r="A6153" t="s">
        <v>38</v>
      </c>
      <c r="B6153" t="s">
        <v>39</v>
      </c>
      <c r="C6153" t="s">
        <v>62</v>
      </c>
      <c r="D6153">
        <v>520.17999999999995</v>
      </c>
      <c r="E6153">
        <v>2020</v>
      </c>
      <c r="F6153" t="s">
        <v>70</v>
      </c>
    </row>
    <row r="6154" spans="1:6" x14ac:dyDescent="0.25">
      <c r="A6154" t="s">
        <v>40</v>
      </c>
      <c r="B6154" t="s">
        <v>41</v>
      </c>
      <c r="C6154" t="s">
        <v>62</v>
      </c>
      <c r="D6154">
        <v>358.64</v>
      </c>
      <c r="E6154">
        <v>2020</v>
      </c>
      <c r="F6154" t="s">
        <v>70</v>
      </c>
    </row>
    <row r="6155" spans="1:6" x14ac:dyDescent="0.25">
      <c r="A6155" t="s">
        <v>42</v>
      </c>
      <c r="B6155" t="s">
        <v>43</v>
      </c>
      <c r="C6155" t="s">
        <v>62</v>
      </c>
      <c r="D6155">
        <v>3.92</v>
      </c>
      <c r="E6155">
        <v>2020</v>
      </c>
      <c r="F6155" t="s">
        <v>70</v>
      </c>
    </row>
    <row r="6156" spans="1:6" x14ac:dyDescent="0.25">
      <c r="A6156" t="s">
        <v>44</v>
      </c>
      <c r="B6156" t="s">
        <v>45</v>
      </c>
      <c r="C6156" t="s">
        <v>62</v>
      </c>
      <c r="D6156">
        <v>134.66999999999999</v>
      </c>
      <c r="E6156">
        <v>2020</v>
      </c>
      <c r="F6156" t="s">
        <v>70</v>
      </c>
    </row>
    <row r="6157" spans="1:6" x14ac:dyDescent="0.25">
      <c r="A6157" t="s">
        <v>46</v>
      </c>
      <c r="B6157" t="s">
        <v>47</v>
      </c>
      <c r="C6157" t="s">
        <v>62</v>
      </c>
      <c r="D6157">
        <v>127.76</v>
      </c>
      <c r="E6157">
        <v>2020</v>
      </c>
      <c r="F6157" t="s">
        <v>70</v>
      </c>
    </row>
    <row r="6158" spans="1:6" x14ac:dyDescent="0.25">
      <c r="A6158" t="s">
        <v>48</v>
      </c>
      <c r="B6158" t="s">
        <v>49</v>
      </c>
      <c r="C6158" t="s">
        <v>62</v>
      </c>
      <c r="D6158">
        <v>40.549999999999997</v>
      </c>
      <c r="E6158">
        <v>2020</v>
      </c>
      <c r="F6158" t="s">
        <v>70</v>
      </c>
    </row>
    <row r="6159" spans="1:6" x14ac:dyDescent="0.25">
      <c r="A6159" t="s">
        <v>50</v>
      </c>
      <c r="B6159" t="s">
        <v>51</v>
      </c>
      <c r="C6159" t="s">
        <v>62</v>
      </c>
      <c r="D6159">
        <v>27.72</v>
      </c>
      <c r="E6159">
        <v>2020</v>
      </c>
      <c r="F6159" t="s">
        <v>70</v>
      </c>
    </row>
    <row r="6160" spans="1:6" x14ac:dyDescent="0.25">
      <c r="A6160" t="s">
        <v>52</v>
      </c>
      <c r="B6160" t="s">
        <v>53</v>
      </c>
      <c r="C6160" t="s">
        <v>62</v>
      </c>
      <c r="D6160">
        <v>103.85</v>
      </c>
      <c r="E6160">
        <v>2020</v>
      </c>
      <c r="F6160" t="s">
        <v>70</v>
      </c>
    </row>
    <row r="6161" spans="1:6" x14ac:dyDescent="0.25">
      <c r="A6161" t="s">
        <v>54</v>
      </c>
      <c r="B6161" t="s">
        <v>55</v>
      </c>
      <c r="C6161" t="s">
        <v>62</v>
      </c>
      <c r="D6161">
        <v>121.69</v>
      </c>
      <c r="E6161">
        <v>2020</v>
      </c>
      <c r="F6161" t="s">
        <v>70</v>
      </c>
    </row>
    <row r="6162" spans="1:6" x14ac:dyDescent="0.25">
      <c r="A6162" t="s">
        <v>56</v>
      </c>
      <c r="B6162" t="s">
        <v>57</v>
      </c>
      <c r="C6162" t="s">
        <v>62</v>
      </c>
      <c r="D6162">
        <v>148.44</v>
      </c>
      <c r="E6162">
        <v>2020</v>
      </c>
      <c r="F6162" t="s">
        <v>70</v>
      </c>
    </row>
    <row r="6163" spans="1:6" x14ac:dyDescent="0.25">
      <c r="A6163" t="s">
        <v>58</v>
      </c>
      <c r="B6163" t="s">
        <v>59</v>
      </c>
      <c r="C6163" t="s">
        <v>62</v>
      </c>
      <c r="E6163">
        <v>2020</v>
      </c>
      <c r="F6163" t="s">
        <v>70</v>
      </c>
    </row>
    <row r="6164" spans="1:6" x14ac:dyDescent="0.25">
      <c r="A6164" t="s">
        <v>6</v>
      </c>
      <c r="B6164" t="s">
        <v>7</v>
      </c>
      <c r="C6164" t="s">
        <v>66</v>
      </c>
      <c r="E6164">
        <v>2020</v>
      </c>
      <c r="F6164" t="s">
        <v>70</v>
      </c>
    </row>
    <row r="6165" spans="1:6" x14ac:dyDescent="0.25">
      <c r="A6165" t="s">
        <v>10</v>
      </c>
      <c r="B6165" t="s">
        <v>11</v>
      </c>
      <c r="C6165" t="s">
        <v>66</v>
      </c>
      <c r="E6165">
        <v>2020</v>
      </c>
      <c r="F6165" t="s">
        <v>70</v>
      </c>
    </row>
    <row r="6166" spans="1:6" x14ac:dyDescent="0.25">
      <c r="A6166" t="s">
        <v>12</v>
      </c>
      <c r="B6166" t="s">
        <v>13</v>
      </c>
      <c r="C6166" t="s">
        <v>66</v>
      </c>
      <c r="E6166">
        <v>2020</v>
      </c>
      <c r="F6166" t="s">
        <v>70</v>
      </c>
    </row>
    <row r="6167" spans="1:6" x14ac:dyDescent="0.25">
      <c r="A6167" t="s">
        <v>14</v>
      </c>
      <c r="B6167" t="s">
        <v>15</v>
      </c>
      <c r="C6167" t="s">
        <v>66</v>
      </c>
      <c r="E6167">
        <v>2020</v>
      </c>
      <c r="F6167" t="s">
        <v>70</v>
      </c>
    </row>
    <row r="6168" spans="1:6" x14ac:dyDescent="0.25">
      <c r="A6168" t="s">
        <v>16</v>
      </c>
      <c r="B6168" t="s">
        <v>17</v>
      </c>
      <c r="C6168" t="s">
        <v>66</v>
      </c>
      <c r="E6168">
        <v>2020</v>
      </c>
      <c r="F6168" t="s">
        <v>70</v>
      </c>
    </row>
    <row r="6169" spans="1:6" x14ac:dyDescent="0.25">
      <c r="A6169" t="s">
        <v>18</v>
      </c>
      <c r="B6169" t="s">
        <v>19</v>
      </c>
      <c r="C6169" t="s">
        <v>66</v>
      </c>
      <c r="E6169">
        <v>2020</v>
      </c>
      <c r="F6169" t="s">
        <v>70</v>
      </c>
    </row>
    <row r="6170" spans="1:6" x14ac:dyDescent="0.25">
      <c r="A6170" t="s">
        <v>20</v>
      </c>
      <c r="B6170" t="s">
        <v>21</v>
      </c>
      <c r="C6170" t="s">
        <v>66</v>
      </c>
      <c r="E6170">
        <v>2020</v>
      </c>
      <c r="F6170" t="s">
        <v>70</v>
      </c>
    </row>
    <row r="6171" spans="1:6" x14ac:dyDescent="0.25">
      <c r="A6171" t="s">
        <v>22</v>
      </c>
      <c r="B6171" t="s">
        <v>23</v>
      </c>
      <c r="C6171" t="s">
        <v>66</v>
      </c>
      <c r="E6171">
        <v>2020</v>
      </c>
      <c r="F6171" t="s">
        <v>70</v>
      </c>
    </row>
    <row r="6172" spans="1:6" x14ac:dyDescent="0.25">
      <c r="A6172" t="s">
        <v>24</v>
      </c>
      <c r="B6172" t="s">
        <v>25</v>
      </c>
      <c r="C6172" t="s">
        <v>66</v>
      </c>
      <c r="E6172">
        <v>2020</v>
      </c>
      <c r="F6172" t="s">
        <v>70</v>
      </c>
    </row>
    <row r="6173" spans="1:6" x14ac:dyDescent="0.25">
      <c r="A6173" t="s">
        <v>26</v>
      </c>
      <c r="B6173" t="s">
        <v>27</v>
      </c>
      <c r="C6173" t="s">
        <v>66</v>
      </c>
      <c r="E6173">
        <v>2020</v>
      </c>
      <c r="F6173" t="s">
        <v>70</v>
      </c>
    </row>
    <row r="6174" spans="1:6" x14ac:dyDescent="0.25">
      <c r="A6174" t="s">
        <v>28</v>
      </c>
      <c r="B6174" t="s">
        <v>29</v>
      </c>
      <c r="C6174" t="s">
        <v>66</v>
      </c>
      <c r="E6174">
        <v>2020</v>
      </c>
      <c r="F6174" t="s">
        <v>70</v>
      </c>
    </row>
    <row r="6175" spans="1:6" x14ac:dyDescent="0.25">
      <c r="A6175" t="s">
        <v>30</v>
      </c>
      <c r="B6175" t="s">
        <v>31</v>
      </c>
      <c r="C6175" t="s">
        <v>66</v>
      </c>
      <c r="E6175">
        <v>2020</v>
      </c>
      <c r="F6175" t="s">
        <v>70</v>
      </c>
    </row>
    <row r="6176" spans="1:6" x14ac:dyDescent="0.25">
      <c r="A6176" t="s">
        <v>32</v>
      </c>
      <c r="B6176" t="s">
        <v>33</v>
      </c>
      <c r="C6176" t="s">
        <v>66</v>
      </c>
      <c r="E6176">
        <v>2020</v>
      </c>
      <c r="F6176" t="s">
        <v>70</v>
      </c>
    </row>
    <row r="6177" spans="1:6" x14ac:dyDescent="0.25">
      <c r="A6177" t="s">
        <v>34</v>
      </c>
      <c r="B6177" t="s">
        <v>35</v>
      </c>
      <c r="C6177" t="s">
        <v>66</v>
      </c>
      <c r="E6177">
        <v>2020</v>
      </c>
      <c r="F6177" t="s">
        <v>70</v>
      </c>
    </row>
    <row r="6178" spans="1:6" x14ac:dyDescent="0.25">
      <c r="A6178" t="s">
        <v>36</v>
      </c>
      <c r="B6178" t="s">
        <v>37</v>
      </c>
      <c r="C6178" t="s">
        <v>66</v>
      </c>
      <c r="E6178">
        <v>2020</v>
      </c>
      <c r="F6178" t="s">
        <v>70</v>
      </c>
    </row>
    <row r="6179" spans="1:6" x14ac:dyDescent="0.25">
      <c r="A6179" t="s">
        <v>38</v>
      </c>
      <c r="B6179" t="s">
        <v>39</v>
      </c>
      <c r="C6179" t="s">
        <v>66</v>
      </c>
      <c r="E6179">
        <v>2020</v>
      </c>
      <c r="F6179" t="s">
        <v>70</v>
      </c>
    </row>
    <row r="6180" spans="1:6" x14ac:dyDescent="0.25">
      <c r="A6180" t="s">
        <v>40</v>
      </c>
      <c r="B6180" t="s">
        <v>41</v>
      </c>
      <c r="C6180" t="s">
        <v>66</v>
      </c>
      <c r="E6180">
        <v>2020</v>
      </c>
      <c r="F6180" t="s">
        <v>70</v>
      </c>
    </row>
    <row r="6181" spans="1:6" x14ac:dyDescent="0.25">
      <c r="A6181" t="s">
        <v>42</v>
      </c>
      <c r="B6181" t="s">
        <v>43</v>
      </c>
      <c r="C6181" t="s">
        <v>66</v>
      </c>
      <c r="E6181">
        <v>2020</v>
      </c>
      <c r="F6181" t="s">
        <v>70</v>
      </c>
    </row>
    <row r="6182" spans="1:6" x14ac:dyDescent="0.25">
      <c r="A6182" t="s">
        <v>44</v>
      </c>
      <c r="B6182" t="s">
        <v>45</v>
      </c>
      <c r="C6182" t="s">
        <v>66</v>
      </c>
      <c r="E6182">
        <v>2020</v>
      </c>
      <c r="F6182" t="s">
        <v>70</v>
      </c>
    </row>
    <row r="6183" spans="1:6" x14ac:dyDescent="0.25">
      <c r="A6183" t="s">
        <v>46</v>
      </c>
      <c r="B6183" t="s">
        <v>47</v>
      </c>
      <c r="C6183" t="s">
        <v>66</v>
      </c>
      <c r="E6183">
        <v>2020</v>
      </c>
      <c r="F6183" t="s">
        <v>70</v>
      </c>
    </row>
    <row r="6184" spans="1:6" x14ac:dyDescent="0.25">
      <c r="A6184" t="s">
        <v>48</v>
      </c>
      <c r="B6184" t="s">
        <v>49</v>
      </c>
      <c r="C6184" t="s">
        <v>66</v>
      </c>
      <c r="E6184">
        <v>2020</v>
      </c>
      <c r="F6184" t="s">
        <v>70</v>
      </c>
    </row>
    <row r="6185" spans="1:6" x14ac:dyDescent="0.25">
      <c r="A6185" t="s">
        <v>50</v>
      </c>
      <c r="B6185" t="s">
        <v>51</v>
      </c>
      <c r="C6185" t="s">
        <v>66</v>
      </c>
      <c r="E6185">
        <v>2020</v>
      </c>
      <c r="F6185" t="s">
        <v>70</v>
      </c>
    </row>
    <row r="6186" spans="1:6" x14ac:dyDescent="0.25">
      <c r="A6186" t="s">
        <v>52</v>
      </c>
      <c r="B6186" t="s">
        <v>53</v>
      </c>
      <c r="C6186" t="s">
        <v>66</v>
      </c>
      <c r="E6186">
        <v>2020</v>
      </c>
      <c r="F6186" t="s">
        <v>70</v>
      </c>
    </row>
    <row r="6187" spans="1:6" x14ac:dyDescent="0.25">
      <c r="A6187" t="s">
        <v>54</v>
      </c>
      <c r="B6187" t="s">
        <v>55</v>
      </c>
      <c r="C6187" t="s">
        <v>66</v>
      </c>
      <c r="E6187">
        <v>2020</v>
      </c>
      <c r="F6187" t="s">
        <v>70</v>
      </c>
    </row>
    <row r="6188" spans="1:6" x14ac:dyDescent="0.25">
      <c r="A6188" t="s">
        <v>56</v>
      </c>
      <c r="B6188" t="s">
        <v>57</v>
      </c>
      <c r="C6188" t="s">
        <v>66</v>
      </c>
      <c r="E6188">
        <v>2020</v>
      </c>
      <c r="F6188" t="s">
        <v>70</v>
      </c>
    </row>
    <row r="6189" spans="1:6" x14ac:dyDescent="0.25">
      <c r="A6189" t="s">
        <v>58</v>
      </c>
      <c r="B6189" t="s">
        <v>59</v>
      </c>
      <c r="C6189" t="s">
        <v>66</v>
      </c>
      <c r="E6189">
        <v>2020</v>
      </c>
      <c r="F6189" t="s">
        <v>70</v>
      </c>
    </row>
    <row r="6190" spans="1:6" x14ac:dyDescent="0.25">
      <c r="A6190" t="s">
        <v>6</v>
      </c>
      <c r="B6190" t="s">
        <v>7</v>
      </c>
      <c r="C6190" t="s">
        <v>63</v>
      </c>
      <c r="D6190">
        <v>1486961.83</v>
      </c>
      <c r="E6190">
        <v>2021</v>
      </c>
      <c r="F6190" t="s">
        <v>70</v>
      </c>
    </row>
    <row r="6191" spans="1:6" x14ac:dyDescent="0.25">
      <c r="A6191" t="s">
        <v>10</v>
      </c>
      <c r="B6191" t="s">
        <v>11</v>
      </c>
      <c r="C6191" t="s">
        <v>63</v>
      </c>
      <c r="D6191">
        <v>66280.490000000005</v>
      </c>
      <c r="E6191">
        <v>2021</v>
      </c>
      <c r="F6191" t="s">
        <v>70</v>
      </c>
    </row>
    <row r="6192" spans="1:6" x14ac:dyDescent="0.25">
      <c r="A6192" t="s">
        <v>12</v>
      </c>
      <c r="B6192" t="s">
        <v>13</v>
      </c>
      <c r="C6192" t="s">
        <v>63</v>
      </c>
      <c r="D6192">
        <v>11254.38</v>
      </c>
      <c r="E6192">
        <v>2021</v>
      </c>
      <c r="F6192" t="s">
        <v>70</v>
      </c>
    </row>
    <row r="6193" spans="1:6" x14ac:dyDescent="0.25">
      <c r="A6193" t="s">
        <v>14</v>
      </c>
      <c r="B6193" t="s">
        <v>15</v>
      </c>
      <c r="C6193" t="s">
        <v>63</v>
      </c>
      <c r="D6193">
        <v>1254.23</v>
      </c>
      <c r="E6193">
        <v>2021</v>
      </c>
      <c r="F6193" t="s">
        <v>70</v>
      </c>
    </row>
    <row r="6194" spans="1:6" x14ac:dyDescent="0.25">
      <c r="A6194" t="s">
        <v>16</v>
      </c>
      <c r="B6194" t="s">
        <v>17</v>
      </c>
      <c r="C6194" t="s">
        <v>63</v>
      </c>
      <c r="D6194">
        <v>6421.19</v>
      </c>
      <c r="E6194">
        <v>2021</v>
      </c>
      <c r="F6194" t="s">
        <v>70</v>
      </c>
    </row>
    <row r="6195" spans="1:6" x14ac:dyDescent="0.25">
      <c r="A6195" t="s">
        <v>18</v>
      </c>
      <c r="B6195" t="s">
        <v>19</v>
      </c>
      <c r="C6195" t="s">
        <v>63</v>
      </c>
      <c r="D6195">
        <v>6125.23</v>
      </c>
      <c r="E6195">
        <v>2021</v>
      </c>
      <c r="F6195" t="s">
        <v>70</v>
      </c>
    </row>
    <row r="6196" spans="1:6" x14ac:dyDescent="0.25">
      <c r="A6196" t="s">
        <v>20</v>
      </c>
      <c r="B6196" t="s">
        <v>21</v>
      </c>
      <c r="C6196" t="s">
        <v>63</v>
      </c>
      <c r="D6196">
        <v>4890.38</v>
      </c>
      <c r="E6196">
        <v>2021</v>
      </c>
      <c r="F6196" t="s">
        <v>70</v>
      </c>
    </row>
    <row r="6197" spans="1:6" x14ac:dyDescent="0.25">
      <c r="A6197" t="s">
        <v>22</v>
      </c>
      <c r="B6197" t="s">
        <v>23</v>
      </c>
      <c r="C6197" t="s">
        <v>63</v>
      </c>
      <c r="D6197">
        <v>6786.83</v>
      </c>
      <c r="E6197">
        <v>2021</v>
      </c>
      <c r="F6197" t="s">
        <v>70</v>
      </c>
    </row>
    <row r="6198" spans="1:6" x14ac:dyDescent="0.25">
      <c r="A6198" t="s">
        <v>24</v>
      </c>
      <c r="B6198" t="s">
        <v>25</v>
      </c>
      <c r="C6198" t="s">
        <v>63</v>
      </c>
      <c r="D6198">
        <v>14374.75</v>
      </c>
      <c r="E6198">
        <v>2021</v>
      </c>
      <c r="F6198" t="s">
        <v>70</v>
      </c>
    </row>
    <row r="6199" spans="1:6" x14ac:dyDescent="0.25">
      <c r="A6199" t="s">
        <v>26</v>
      </c>
      <c r="B6199" t="s">
        <v>27</v>
      </c>
      <c r="C6199" t="s">
        <v>63</v>
      </c>
      <c r="D6199">
        <v>1635.44</v>
      </c>
      <c r="E6199">
        <v>2021</v>
      </c>
      <c r="F6199" t="s">
        <v>70</v>
      </c>
    </row>
    <row r="6200" spans="1:6" x14ac:dyDescent="0.25">
      <c r="A6200" t="s">
        <v>28</v>
      </c>
      <c r="B6200" t="s">
        <v>29</v>
      </c>
      <c r="C6200" t="s">
        <v>63</v>
      </c>
      <c r="D6200">
        <v>366540.13</v>
      </c>
      <c r="E6200">
        <v>2021</v>
      </c>
      <c r="F6200" t="s">
        <v>70</v>
      </c>
    </row>
    <row r="6201" spans="1:6" x14ac:dyDescent="0.25">
      <c r="A6201" t="s">
        <v>30</v>
      </c>
      <c r="B6201" t="s">
        <v>31</v>
      </c>
      <c r="C6201" t="s">
        <v>63</v>
      </c>
      <c r="D6201">
        <v>306067.08</v>
      </c>
      <c r="E6201">
        <v>2021</v>
      </c>
      <c r="F6201" t="s">
        <v>70</v>
      </c>
    </row>
    <row r="6202" spans="1:6" x14ac:dyDescent="0.25">
      <c r="A6202" t="s">
        <v>32</v>
      </c>
      <c r="B6202" t="s">
        <v>33</v>
      </c>
      <c r="C6202" t="s">
        <v>63</v>
      </c>
      <c r="D6202">
        <v>12401.43</v>
      </c>
      <c r="E6202">
        <v>2021</v>
      </c>
      <c r="F6202" t="s">
        <v>70</v>
      </c>
    </row>
    <row r="6203" spans="1:6" x14ac:dyDescent="0.25">
      <c r="A6203" t="s">
        <v>34</v>
      </c>
      <c r="B6203" t="s">
        <v>35</v>
      </c>
      <c r="C6203" t="s">
        <v>63</v>
      </c>
      <c r="D6203">
        <v>14388.98</v>
      </c>
      <c r="E6203">
        <v>2021</v>
      </c>
      <c r="F6203" t="s">
        <v>70</v>
      </c>
    </row>
    <row r="6204" spans="1:6" x14ac:dyDescent="0.25">
      <c r="A6204" t="s">
        <v>36</v>
      </c>
      <c r="B6204" t="s">
        <v>37</v>
      </c>
      <c r="C6204" t="s">
        <v>63</v>
      </c>
      <c r="D6204">
        <v>14798.44</v>
      </c>
      <c r="E6204">
        <v>2021</v>
      </c>
      <c r="F6204" t="s">
        <v>70</v>
      </c>
    </row>
    <row r="6205" spans="1:6" x14ac:dyDescent="0.25">
      <c r="A6205" t="s">
        <v>38</v>
      </c>
      <c r="B6205" t="s">
        <v>39</v>
      </c>
      <c r="C6205" t="s">
        <v>63</v>
      </c>
      <c r="D6205">
        <v>43147.31</v>
      </c>
      <c r="E6205">
        <v>2021</v>
      </c>
      <c r="F6205" t="s">
        <v>70</v>
      </c>
    </row>
    <row r="6206" spans="1:6" x14ac:dyDescent="0.25">
      <c r="A6206" t="s">
        <v>40</v>
      </c>
      <c r="B6206" t="s">
        <v>41</v>
      </c>
      <c r="C6206" t="s">
        <v>63</v>
      </c>
      <c r="D6206">
        <v>12785.44</v>
      </c>
      <c r="E6206">
        <v>2021</v>
      </c>
      <c r="F6206" t="s">
        <v>70</v>
      </c>
    </row>
    <row r="6207" spans="1:6" x14ac:dyDescent="0.25">
      <c r="A6207" t="s">
        <v>42</v>
      </c>
      <c r="B6207" t="s">
        <v>43</v>
      </c>
      <c r="C6207" t="s">
        <v>63</v>
      </c>
      <c r="D6207">
        <v>267424.39</v>
      </c>
      <c r="E6207">
        <v>2021</v>
      </c>
      <c r="F6207" t="s">
        <v>70</v>
      </c>
    </row>
    <row r="6208" spans="1:6" x14ac:dyDescent="0.25">
      <c r="A6208" t="s">
        <v>44</v>
      </c>
      <c r="B6208" t="s">
        <v>45</v>
      </c>
      <c r="C6208" t="s">
        <v>63</v>
      </c>
      <c r="D6208">
        <v>10712.68</v>
      </c>
      <c r="E6208">
        <v>2021</v>
      </c>
      <c r="F6208" t="s">
        <v>70</v>
      </c>
    </row>
    <row r="6209" spans="1:6" x14ac:dyDescent="0.25">
      <c r="A6209" t="s">
        <v>46</v>
      </c>
      <c r="B6209" t="s">
        <v>47</v>
      </c>
      <c r="C6209" t="s">
        <v>63</v>
      </c>
      <c r="D6209">
        <v>18866.689999999999</v>
      </c>
      <c r="E6209">
        <v>2021</v>
      </c>
      <c r="F6209" t="s">
        <v>70</v>
      </c>
    </row>
    <row r="6210" spans="1:6" x14ac:dyDescent="0.25">
      <c r="A6210" t="s">
        <v>48</v>
      </c>
      <c r="B6210" t="s">
        <v>49</v>
      </c>
      <c r="C6210" t="s">
        <v>63</v>
      </c>
      <c r="D6210">
        <v>24688.03</v>
      </c>
      <c r="E6210">
        <v>2021</v>
      </c>
      <c r="F6210" t="s">
        <v>70</v>
      </c>
    </row>
    <row r="6211" spans="1:6" x14ac:dyDescent="0.25">
      <c r="A6211" t="s">
        <v>50</v>
      </c>
      <c r="B6211" t="s">
        <v>51</v>
      </c>
      <c r="C6211" t="s">
        <v>63</v>
      </c>
      <c r="D6211">
        <v>263094.63</v>
      </c>
      <c r="E6211">
        <v>2021</v>
      </c>
      <c r="F6211" t="s">
        <v>70</v>
      </c>
    </row>
    <row r="6212" spans="1:6" x14ac:dyDescent="0.25">
      <c r="A6212" t="s">
        <v>52</v>
      </c>
      <c r="B6212" t="s">
        <v>53</v>
      </c>
      <c r="C6212" t="s">
        <v>63</v>
      </c>
      <c r="D6212">
        <v>3824.25</v>
      </c>
      <c r="E6212">
        <v>2021</v>
      </c>
      <c r="F6212" t="s">
        <v>70</v>
      </c>
    </row>
    <row r="6213" spans="1:6" x14ac:dyDescent="0.25">
      <c r="A6213" t="s">
        <v>54</v>
      </c>
      <c r="B6213" t="s">
        <v>55</v>
      </c>
      <c r="C6213" t="s">
        <v>63</v>
      </c>
      <c r="D6213">
        <v>4427.28</v>
      </c>
      <c r="E6213">
        <v>2021</v>
      </c>
      <c r="F6213" t="s">
        <v>70</v>
      </c>
    </row>
    <row r="6214" spans="1:6" x14ac:dyDescent="0.25">
      <c r="A6214" t="s">
        <v>56</v>
      </c>
      <c r="B6214" t="s">
        <v>57</v>
      </c>
      <c r="C6214" t="s">
        <v>63</v>
      </c>
      <c r="D6214">
        <v>4772.1499999999996</v>
      </c>
      <c r="E6214">
        <v>2021</v>
      </c>
      <c r="F6214" t="s">
        <v>70</v>
      </c>
    </row>
    <row r="6215" spans="1:6" x14ac:dyDescent="0.25">
      <c r="A6215" t="s">
        <v>58</v>
      </c>
      <c r="B6215" t="s">
        <v>59</v>
      </c>
      <c r="C6215" t="s">
        <v>63</v>
      </c>
      <c r="E6215">
        <v>2021</v>
      </c>
      <c r="F6215" t="s">
        <v>70</v>
      </c>
    </row>
    <row r="6216" spans="1:6" x14ac:dyDescent="0.25">
      <c r="A6216" t="s">
        <v>6</v>
      </c>
      <c r="B6216" t="s">
        <v>7</v>
      </c>
      <c r="C6216" t="s">
        <v>8</v>
      </c>
      <c r="D6216">
        <v>26806.54</v>
      </c>
      <c r="E6216">
        <v>2021</v>
      </c>
      <c r="F6216" t="s">
        <v>70</v>
      </c>
    </row>
    <row r="6217" spans="1:6" x14ac:dyDescent="0.25">
      <c r="A6217" t="s">
        <v>10</v>
      </c>
      <c r="B6217" t="s">
        <v>11</v>
      </c>
      <c r="C6217" t="s">
        <v>8</v>
      </c>
      <c r="D6217">
        <v>8326.6200000000008</v>
      </c>
      <c r="E6217">
        <v>2021</v>
      </c>
      <c r="F6217" t="s">
        <v>70</v>
      </c>
    </row>
    <row r="6218" spans="1:6" x14ac:dyDescent="0.25">
      <c r="A6218" t="s">
        <v>12</v>
      </c>
      <c r="B6218" t="s">
        <v>13</v>
      </c>
      <c r="C6218" t="s">
        <v>8</v>
      </c>
      <c r="D6218">
        <v>2389.54</v>
      </c>
      <c r="E6218">
        <v>2021</v>
      </c>
      <c r="F6218" t="s">
        <v>70</v>
      </c>
    </row>
    <row r="6219" spans="1:6" x14ac:dyDescent="0.25">
      <c r="A6219" t="s">
        <v>14</v>
      </c>
      <c r="B6219" t="s">
        <v>15</v>
      </c>
      <c r="C6219" t="s">
        <v>8</v>
      </c>
      <c r="E6219">
        <v>2021</v>
      </c>
      <c r="F6219" t="s">
        <v>70</v>
      </c>
    </row>
    <row r="6220" spans="1:6" x14ac:dyDescent="0.25">
      <c r="A6220" t="s">
        <v>16</v>
      </c>
      <c r="B6220" t="s">
        <v>17</v>
      </c>
      <c r="C6220" t="s">
        <v>8</v>
      </c>
      <c r="D6220">
        <v>153.84</v>
      </c>
      <c r="E6220">
        <v>2021</v>
      </c>
      <c r="F6220" t="s">
        <v>70</v>
      </c>
    </row>
    <row r="6221" spans="1:6" x14ac:dyDescent="0.25">
      <c r="A6221" t="s">
        <v>18</v>
      </c>
      <c r="B6221" t="s">
        <v>19</v>
      </c>
      <c r="C6221" t="s">
        <v>8</v>
      </c>
      <c r="D6221">
        <v>61.47</v>
      </c>
      <c r="E6221">
        <v>2021</v>
      </c>
      <c r="F6221" t="s">
        <v>70</v>
      </c>
    </row>
    <row r="6222" spans="1:6" x14ac:dyDescent="0.25">
      <c r="A6222" t="s">
        <v>20</v>
      </c>
      <c r="B6222" t="s">
        <v>21</v>
      </c>
      <c r="C6222" t="s">
        <v>8</v>
      </c>
      <c r="D6222">
        <v>34.909999999999997</v>
      </c>
      <c r="E6222">
        <v>2021</v>
      </c>
      <c r="F6222" t="s">
        <v>70</v>
      </c>
    </row>
    <row r="6223" spans="1:6" x14ac:dyDescent="0.25">
      <c r="A6223" t="s">
        <v>22</v>
      </c>
      <c r="B6223" t="s">
        <v>23</v>
      </c>
      <c r="C6223" t="s">
        <v>8</v>
      </c>
      <c r="D6223">
        <v>2086.6</v>
      </c>
      <c r="E6223">
        <v>2021</v>
      </c>
      <c r="F6223" t="s">
        <v>70</v>
      </c>
    </row>
    <row r="6224" spans="1:6" x14ac:dyDescent="0.25">
      <c r="A6224" t="s">
        <v>24</v>
      </c>
      <c r="B6224" t="s">
        <v>25</v>
      </c>
      <c r="C6224" t="s">
        <v>8</v>
      </c>
      <c r="D6224">
        <v>2073.62</v>
      </c>
      <c r="E6224">
        <v>2021</v>
      </c>
      <c r="F6224" t="s">
        <v>70</v>
      </c>
    </row>
    <row r="6225" spans="1:6" x14ac:dyDescent="0.25">
      <c r="A6225" t="s">
        <v>26</v>
      </c>
      <c r="B6225" t="s">
        <v>27</v>
      </c>
      <c r="C6225" t="s">
        <v>8</v>
      </c>
      <c r="D6225">
        <v>110.31</v>
      </c>
      <c r="E6225">
        <v>2021</v>
      </c>
      <c r="F6225" t="s">
        <v>70</v>
      </c>
    </row>
    <row r="6226" spans="1:6" x14ac:dyDescent="0.25">
      <c r="A6226" t="s">
        <v>28</v>
      </c>
      <c r="B6226" t="s">
        <v>29</v>
      </c>
      <c r="C6226" t="s">
        <v>8</v>
      </c>
      <c r="E6226">
        <v>2021</v>
      </c>
      <c r="F6226" t="s">
        <v>70</v>
      </c>
    </row>
    <row r="6227" spans="1:6" x14ac:dyDescent="0.25">
      <c r="A6227" t="s">
        <v>30</v>
      </c>
      <c r="B6227" t="s">
        <v>31</v>
      </c>
      <c r="C6227" t="s">
        <v>8</v>
      </c>
      <c r="D6227">
        <v>3661.86</v>
      </c>
      <c r="E6227">
        <v>2021</v>
      </c>
      <c r="F6227" t="s">
        <v>70</v>
      </c>
    </row>
    <row r="6228" spans="1:6" x14ac:dyDescent="0.25">
      <c r="A6228" t="s">
        <v>32</v>
      </c>
      <c r="B6228" t="s">
        <v>33</v>
      </c>
      <c r="C6228" t="s">
        <v>8</v>
      </c>
      <c r="D6228">
        <v>811.04</v>
      </c>
      <c r="E6228">
        <v>2021</v>
      </c>
      <c r="F6228" t="s">
        <v>70</v>
      </c>
    </row>
    <row r="6229" spans="1:6" x14ac:dyDescent="0.25">
      <c r="A6229" t="s">
        <v>34</v>
      </c>
      <c r="B6229" t="s">
        <v>35</v>
      </c>
      <c r="C6229" t="s">
        <v>8</v>
      </c>
      <c r="D6229">
        <v>947.22</v>
      </c>
      <c r="E6229">
        <v>2021</v>
      </c>
      <c r="F6229" t="s">
        <v>70</v>
      </c>
    </row>
    <row r="6230" spans="1:6" x14ac:dyDescent="0.25">
      <c r="A6230" t="s">
        <v>36</v>
      </c>
      <c r="B6230" t="s">
        <v>37</v>
      </c>
      <c r="C6230" t="s">
        <v>8</v>
      </c>
      <c r="D6230">
        <v>1147.28</v>
      </c>
      <c r="E6230">
        <v>2021</v>
      </c>
      <c r="F6230" t="s">
        <v>70</v>
      </c>
    </row>
    <row r="6231" spans="1:6" x14ac:dyDescent="0.25">
      <c r="A6231" t="s">
        <v>38</v>
      </c>
      <c r="B6231" t="s">
        <v>39</v>
      </c>
      <c r="C6231" t="s">
        <v>8</v>
      </c>
      <c r="D6231">
        <v>578.77</v>
      </c>
      <c r="E6231">
        <v>2021</v>
      </c>
      <c r="F6231" t="s">
        <v>70</v>
      </c>
    </row>
    <row r="6232" spans="1:6" x14ac:dyDescent="0.25">
      <c r="A6232" t="s">
        <v>40</v>
      </c>
      <c r="B6232" t="s">
        <v>41</v>
      </c>
      <c r="C6232" t="s">
        <v>8</v>
      </c>
      <c r="D6232">
        <v>1071.0999999999999</v>
      </c>
      <c r="E6232">
        <v>2021</v>
      </c>
      <c r="F6232" t="s">
        <v>70</v>
      </c>
    </row>
    <row r="6233" spans="1:6" x14ac:dyDescent="0.25">
      <c r="A6233" t="s">
        <v>42</v>
      </c>
      <c r="B6233" t="s">
        <v>43</v>
      </c>
      <c r="C6233" t="s">
        <v>8</v>
      </c>
      <c r="D6233">
        <v>1.84</v>
      </c>
      <c r="E6233">
        <v>2021</v>
      </c>
      <c r="F6233" t="s">
        <v>70</v>
      </c>
    </row>
    <row r="6234" spans="1:6" x14ac:dyDescent="0.25">
      <c r="A6234" t="s">
        <v>44</v>
      </c>
      <c r="B6234" t="s">
        <v>45</v>
      </c>
      <c r="C6234" t="s">
        <v>8</v>
      </c>
      <c r="D6234">
        <v>362.49</v>
      </c>
      <c r="E6234">
        <v>2021</v>
      </c>
      <c r="F6234" t="s">
        <v>70</v>
      </c>
    </row>
    <row r="6235" spans="1:6" x14ac:dyDescent="0.25">
      <c r="A6235" t="s">
        <v>46</v>
      </c>
      <c r="B6235" t="s">
        <v>47</v>
      </c>
      <c r="C6235" t="s">
        <v>8</v>
      </c>
      <c r="D6235">
        <v>476.06</v>
      </c>
      <c r="E6235">
        <v>2021</v>
      </c>
      <c r="F6235" t="s">
        <v>70</v>
      </c>
    </row>
    <row r="6236" spans="1:6" x14ac:dyDescent="0.25">
      <c r="A6236" t="s">
        <v>48</v>
      </c>
      <c r="B6236" t="s">
        <v>49</v>
      </c>
      <c r="C6236" t="s">
        <v>8</v>
      </c>
      <c r="D6236">
        <v>23.98</v>
      </c>
      <c r="E6236">
        <v>2021</v>
      </c>
      <c r="F6236" t="s">
        <v>70</v>
      </c>
    </row>
    <row r="6237" spans="1:6" x14ac:dyDescent="0.25">
      <c r="A6237" t="s">
        <v>50</v>
      </c>
      <c r="B6237" t="s">
        <v>51</v>
      </c>
      <c r="C6237" t="s">
        <v>8</v>
      </c>
      <c r="D6237">
        <v>16.72</v>
      </c>
      <c r="E6237">
        <v>2021</v>
      </c>
      <c r="F6237" t="s">
        <v>70</v>
      </c>
    </row>
    <row r="6238" spans="1:6" x14ac:dyDescent="0.25">
      <c r="A6238" t="s">
        <v>52</v>
      </c>
      <c r="B6238" t="s">
        <v>53</v>
      </c>
      <c r="C6238" t="s">
        <v>8</v>
      </c>
      <c r="D6238">
        <v>234.01</v>
      </c>
      <c r="E6238">
        <v>2021</v>
      </c>
      <c r="F6238" t="s">
        <v>70</v>
      </c>
    </row>
    <row r="6239" spans="1:6" x14ac:dyDescent="0.25">
      <c r="A6239" t="s">
        <v>54</v>
      </c>
      <c r="B6239" t="s">
        <v>55</v>
      </c>
      <c r="C6239" t="s">
        <v>8</v>
      </c>
      <c r="D6239">
        <v>53.27</v>
      </c>
      <c r="E6239">
        <v>2021</v>
      </c>
      <c r="F6239" t="s">
        <v>70</v>
      </c>
    </row>
    <row r="6240" spans="1:6" x14ac:dyDescent="0.25">
      <c r="A6240" t="s">
        <v>56</v>
      </c>
      <c r="B6240" t="s">
        <v>57</v>
      </c>
      <c r="C6240" t="s">
        <v>8</v>
      </c>
      <c r="D6240">
        <v>695.92</v>
      </c>
      <c r="E6240">
        <v>2021</v>
      </c>
      <c r="F6240" t="s">
        <v>70</v>
      </c>
    </row>
    <row r="6241" spans="1:6" x14ac:dyDescent="0.25">
      <c r="A6241" t="s">
        <v>58</v>
      </c>
      <c r="B6241" t="s">
        <v>59</v>
      </c>
      <c r="C6241" t="s">
        <v>8</v>
      </c>
      <c r="D6241">
        <v>1488.07</v>
      </c>
      <c r="E6241">
        <v>2021</v>
      </c>
      <c r="F6241" t="s">
        <v>70</v>
      </c>
    </row>
    <row r="6242" spans="1:6" x14ac:dyDescent="0.25">
      <c r="A6242" t="s">
        <v>6</v>
      </c>
      <c r="B6242" t="s">
        <v>7</v>
      </c>
      <c r="C6242" t="s">
        <v>60</v>
      </c>
      <c r="D6242">
        <v>31190.77</v>
      </c>
      <c r="E6242">
        <v>2021</v>
      </c>
      <c r="F6242" t="s">
        <v>70</v>
      </c>
    </row>
    <row r="6243" spans="1:6" x14ac:dyDescent="0.25">
      <c r="A6243" t="s">
        <v>10</v>
      </c>
      <c r="B6243" t="s">
        <v>11</v>
      </c>
      <c r="C6243" t="s">
        <v>60</v>
      </c>
      <c r="D6243">
        <v>8135.3</v>
      </c>
      <c r="E6243">
        <v>2021</v>
      </c>
      <c r="F6243" t="s">
        <v>70</v>
      </c>
    </row>
    <row r="6244" spans="1:6" x14ac:dyDescent="0.25">
      <c r="A6244" t="s">
        <v>12</v>
      </c>
      <c r="B6244" t="s">
        <v>13</v>
      </c>
      <c r="C6244" t="s">
        <v>60</v>
      </c>
      <c r="D6244">
        <v>1575.25</v>
      </c>
      <c r="E6244">
        <v>2021</v>
      </c>
      <c r="F6244" t="s">
        <v>70</v>
      </c>
    </row>
    <row r="6245" spans="1:6" x14ac:dyDescent="0.25">
      <c r="A6245" t="s">
        <v>14</v>
      </c>
      <c r="B6245" t="s">
        <v>15</v>
      </c>
      <c r="C6245" t="s">
        <v>60</v>
      </c>
      <c r="E6245">
        <v>2021</v>
      </c>
      <c r="F6245" t="s">
        <v>70</v>
      </c>
    </row>
    <row r="6246" spans="1:6" x14ac:dyDescent="0.25">
      <c r="A6246" t="s">
        <v>16</v>
      </c>
      <c r="B6246" t="s">
        <v>17</v>
      </c>
      <c r="C6246" t="s">
        <v>60</v>
      </c>
      <c r="D6246">
        <v>649.01</v>
      </c>
      <c r="E6246">
        <v>2021</v>
      </c>
      <c r="F6246" t="s">
        <v>70</v>
      </c>
    </row>
    <row r="6247" spans="1:6" x14ac:dyDescent="0.25">
      <c r="A6247" t="s">
        <v>18</v>
      </c>
      <c r="B6247" t="s">
        <v>19</v>
      </c>
      <c r="C6247" t="s">
        <v>60</v>
      </c>
      <c r="D6247">
        <v>1187.79</v>
      </c>
      <c r="E6247">
        <v>2021</v>
      </c>
      <c r="F6247" t="s">
        <v>70</v>
      </c>
    </row>
    <row r="6248" spans="1:6" x14ac:dyDescent="0.25">
      <c r="A6248" t="s">
        <v>20</v>
      </c>
      <c r="B6248" t="s">
        <v>21</v>
      </c>
      <c r="C6248" t="s">
        <v>60</v>
      </c>
      <c r="D6248">
        <v>189.88</v>
      </c>
      <c r="E6248">
        <v>2021</v>
      </c>
      <c r="F6248" t="s">
        <v>70</v>
      </c>
    </row>
    <row r="6249" spans="1:6" x14ac:dyDescent="0.25">
      <c r="A6249" t="s">
        <v>22</v>
      </c>
      <c r="B6249" t="s">
        <v>23</v>
      </c>
      <c r="C6249" t="s">
        <v>60</v>
      </c>
      <c r="D6249">
        <v>144.12</v>
      </c>
      <c r="E6249">
        <v>2021</v>
      </c>
      <c r="F6249" t="s">
        <v>70</v>
      </c>
    </row>
    <row r="6250" spans="1:6" x14ac:dyDescent="0.25">
      <c r="A6250" t="s">
        <v>24</v>
      </c>
      <c r="B6250" t="s">
        <v>25</v>
      </c>
      <c r="C6250" t="s">
        <v>60</v>
      </c>
      <c r="D6250">
        <v>1125.8399999999999</v>
      </c>
      <c r="E6250">
        <v>2021</v>
      </c>
      <c r="F6250" t="s">
        <v>70</v>
      </c>
    </row>
    <row r="6251" spans="1:6" x14ac:dyDescent="0.25">
      <c r="A6251" t="s">
        <v>26</v>
      </c>
      <c r="B6251" t="s">
        <v>27</v>
      </c>
      <c r="C6251" t="s">
        <v>60</v>
      </c>
      <c r="D6251">
        <v>423.47</v>
      </c>
      <c r="E6251">
        <v>2021</v>
      </c>
      <c r="F6251" t="s">
        <v>70</v>
      </c>
    </row>
    <row r="6252" spans="1:6" x14ac:dyDescent="0.25">
      <c r="A6252" t="s">
        <v>28</v>
      </c>
      <c r="B6252" t="s">
        <v>29</v>
      </c>
      <c r="C6252" t="s">
        <v>60</v>
      </c>
      <c r="D6252">
        <v>1491.62</v>
      </c>
      <c r="E6252">
        <v>2021</v>
      </c>
      <c r="F6252" t="s">
        <v>70</v>
      </c>
    </row>
    <row r="6253" spans="1:6" x14ac:dyDescent="0.25">
      <c r="A6253" t="s">
        <v>30</v>
      </c>
      <c r="B6253" t="s">
        <v>31</v>
      </c>
      <c r="C6253" t="s">
        <v>60</v>
      </c>
      <c r="D6253">
        <v>4130.18</v>
      </c>
      <c r="E6253">
        <v>2021</v>
      </c>
      <c r="F6253" t="s">
        <v>70</v>
      </c>
    </row>
    <row r="6254" spans="1:6" x14ac:dyDescent="0.25">
      <c r="A6254" t="s">
        <v>32</v>
      </c>
      <c r="B6254" t="s">
        <v>33</v>
      </c>
      <c r="C6254" t="s">
        <v>60</v>
      </c>
      <c r="D6254">
        <v>1557.18</v>
      </c>
      <c r="E6254">
        <v>2021</v>
      </c>
      <c r="F6254" t="s">
        <v>70</v>
      </c>
    </row>
    <row r="6255" spans="1:6" x14ac:dyDescent="0.25">
      <c r="A6255" t="s">
        <v>34</v>
      </c>
      <c r="B6255" t="s">
        <v>35</v>
      </c>
      <c r="C6255" t="s">
        <v>60</v>
      </c>
      <c r="D6255">
        <v>1603.93</v>
      </c>
      <c r="E6255">
        <v>2021</v>
      </c>
      <c r="F6255" t="s">
        <v>70</v>
      </c>
    </row>
    <row r="6256" spans="1:6" x14ac:dyDescent="0.25">
      <c r="A6256" t="s">
        <v>36</v>
      </c>
      <c r="B6256" t="s">
        <v>37</v>
      </c>
      <c r="C6256" t="s">
        <v>60</v>
      </c>
      <c r="D6256">
        <v>1919.76</v>
      </c>
      <c r="E6256">
        <v>2021</v>
      </c>
      <c r="F6256" t="s">
        <v>70</v>
      </c>
    </row>
    <row r="6257" spans="1:6" x14ac:dyDescent="0.25">
      <c r="A6257" t="s">
        <v>38</v>
      </c>
      <c r="B6257" t="s">
        <v>39</v>
      </c>
      <c r="C6257" t="s">
        <v>60</v>
      </c>
      <c r="D6257">
        <v>1050.46</v>
      </c>
      <c r="E6257">
        <v>2021</v>
      </c>
      <c r="F6257" t="s">
        <v>70</v>
      </c>
    </row>
    <row r="6258" spans="1:6" x14ac:dyDescent="0.25">
      <c r="A6258" t="s">
        <v>40</v>
      </c>
      <c r="B6258" t="s">
        <v>41</v>
      </c>
      <c r="C6258" t="s">
        <v>60</v>
      </c>
      <c r="D6258">
        <v>811.81</v>
      </c>
      <c r="E6258">
        <v>2021</v>
      </c>
      <c r="F6258" t="s">
        <v>70</v>
      </c>
    </row>
    <row r="6259" spans="1:6" x14ac:dyDescent="0.25">
      <c r="A6259" t="s">
        <v>42</v>
      </c>
      <c r="B6259" t="s">
        <v>43</v>
      </c>
      <c r="C6259" t="s">
        <v>60</v>
      </c>
      <c r="E6259">
        <v>2021</v>
      </c>
      <c r="F6259" t="s">
        <v>70</v>
      </c>
    </row>
    <row r="6260" spans="1:6" x14ac:dyDescent="0.25">
      <c r="A6260" t="s">
        <v>44</v>
      </c>
      <c r="B6260" t="s">
        <v>45</v>
      </c>
      <c r="C6260" t="s">
        <v>60</v>
      </c>
      <c r="D6260">
        <v>732.56</v>
      </c>
      <c r="E6260">
        <v>2021</v>
      </c>
      <c r="F6260" t="s">
        <v>70</v>
      </c>
    </row>
    <row r="6261" spans="1:6" x14ac:dyDescent="0.25">
      <c r="A6261" t="s">
        <v>46</v>
      </c>
      <c r="B6261" t="s">
        <v>47</v>
      </c>
      <c r="C6261" t="s">
        <v>60</v>
      </c>
      <c r="D6261">
        <v>350.24</v>
      </c>
      <c r="E6261">
        <v>2021</v>
      </c>
      <c r="F6261" t="s">
        <v>70</v>
      </c>
    </row>
    <row r="6262" spans="1:6" x14ac:dyDescent="0.25">
      <c r="A6262" t="s">
        <v>48</v>
      </c>
      <c r="B6262" t="s">
        <v>49</v>
      </c>
      <c r="C6262" t="s">
        <v>60</v>
      </c>
      <c r="D6262">
        <v>281.57</v>
      </c>
      <c r="E6262">
        <v>2021</v>
      </c>
      <c r="F6262" t="s">
        <v>70</v>
      </c>
    </row>
    <row r="6263" spans="1:6" x14ac:dyDescent="0.25">
      <c r="A6263" t="s">
        <v>50</v>
      </c>
      <c r="B6263" t="s">
        <v>51</v>
      </c>
      <c r="C6263" t="s">
        <v>60</v>
      </c>
      <c r="D6263">
        <v>220.39</v>
      </c>
      <c r="E6263">
        <v>2021</v>
      </c>
      <c r="F6263" t="s">
        <v>70</v>
      </c>
    </row>
    <row r="6264" spans="1:6" x14ac:dyDescent="0.25">
      <c r="A6264" t="s">
        <v>52</v>
      </c>
      <c r="B6264" t="s">
        <v>53</v>
      </c>
      <c r="C6264" t="s">
        <v>60</v>
      </c>
      <c r="D6264">
        <v>393.56</v>
      </c>
      <c r="E6264">
        <v>2021</v>
      </c>
      <c r="F6264" t="s">
        <v>70</v>
      </c>
    </row>
    <row r="6265" spans="1:6" x14ac:dyDescent="0.25">
      <c r="A6265" t="s">
        <v>54</v>
      </c>
      <c r="B6265" t="s">
        <v>55</v>
      </c>
      <c r="C6265" t="s">
        <v>60</v>
      </c>
      <c r="D6265">
        <v>3216.85</v>
      </c>
      <c r="E6265">
        <v>2021</v>
      </c>
      <c r="F6265" t="s">
        <v>70</v>
      </c>
    </row>
    <row r="6266" spans="1:6" x14ac:dyDescent="0.25">
      <c r="A6266" t="s">
        <v>56</v>
      </c>
      <c r="B6266" t="s">
        <v>57</v>
      </c>
      <c r="C6266" t="s">
        <v>60</v>
      </c>
      <c r="E6266">
        <v>2021</v>
      </c>
      <c r="F6266" t="s">
        <v>70</v>
      </c>
    </row>
    <row r="6267" spans="1:6" x14ac:dyDescent="0.25">
      <c r="A6267" t="s">
        <v>58</v>
      </c>
      <c r="B6267" t="s">
        <v>59</v>
      </c>
      <c r="C6267" t="s">
        <v>60</v>
      </c>
      <c r="E6267">
        <v>2021</v>
      </c>
      <c r="F6267" t="s">
        <v>70</v>
      </c>
    </row>
    <row r="6268" spans="1:6" x14ac:dyDescent="0.25">
      <c r="A6268" t="s">
        <v>6</v>
      </c>
      <c r="B6268" t="s">
        <v>7</v>
      </c>
      <c r="C6268" t="s">
        <v>61</v>
      </c>
      <c r="D6268">
        <v>7836.9</v>
      </c>
      <c r="E6268">
        <v>2021</v>
      </c>
      <c r="F6268" t="s">
        <v>70</v>
      </c>
    </row>
    <row r="6269" spans="1:6" x14ac:dyDescent="0.25">
      <c r="A6269" t="s">
        <v>10</v>
      </c>
      <c r="B6269" t="s">
        <v>11</v>
      </c>
      <c r="C6269" t="s">
        <v>61</v>
      </c>
      <c r="D6269">
        <v>3345.03</v>
      </c>
      <c r="E6269">
        <v>2021</v>
      </c>
      <c r="F6269" t="s">
        <v>70</v>
      </c>
    </row>
    <row r="6270" spans="1:6" x14ac:dyDescent="0.25">
      <c r="A6270" t="s">
        <v>12</v>
      </c>
      <c r="B6270" t="s">
        <v>13</v>
      </c>
      <c r="C6270" t="s">
        <v>61</v>
      </c>
      <c r="D6270">
        <v>425.42</v>
      </c>
      <c r="E6270">
        <v>2021</v>
      </c>
      <c r="F6270" t="s">
        <v>70</v>
      </c>
    </row>
    <row r="6271" spans="1:6" x14ac:dyDescent="0.25">
      <c r="A6271" t="s">
        <v>14</v>
      </c>
      <c r="B6271" t="s">
        <v>15</v>
      </c>
      <c r="C6271" t="s">
        <v>61</v>
      </c>
      <c r="D6271">
        <v>-2.19</v>
      </c>
      <c r="E6271">
        <v>2021</v>
      </c>
      <c r="F6271" t="s">
        <v>70</v>
      </c>
    </row>
    <row r="6272" spans="1:6" x14ac:dyDescent="0.25">
      <c r="A6272" t="s">
        <v>16</v>
      </c>
      <c r="B6272" t="s">
        <v>17</v>
      </c>
      <c r="C6272" t="s">
        <v>61</v>
      </c>
      <c r="D6272">
        <v>140.49</v>
      </c>
      <c r="E6272">
        <v>2021</v>
      </c>
      <c r="F6272" t="s">
        <v>70</v>
      </c>
    </row>
    <row r="6273" spans="1:6" x14ac:dyDescent="0.25">
      <c r="A6273" t="s">
        <v>18</v>
      </c>
      <c r="B6273" t="s">
        <v>19</v>
      </c>
      <c r="C6273" t="s">
        <v>61</v>
      </c>
      <c r="D6273">
        <v>47.92</v>
      </c>
      <c r="E6273">
        <v>2021</v>
      </c>
      <c r="F6273" t="s">
        <v>70</v>
      </c>
    </row>
    <row r="6274" spans="1:6" x14ac:dyDescent="0.25">
      <c r="A6274" t="s">
        <v>20</v>
      </c>
      <c r="B6274" t="s">
        <v>21</v>
      </c>
      <c r="C6274" t="s">
        <v>61</v>
      </c>
      <c r="D6274">
        <v>29.34</v>
      </c>
      <c r="E6274">
        <v>2021</v>
      </c>
      <c r="F6274" t="s">
        <v>70</v>
      </c>
    </row>
    <row r="6275" spans="1:6" x14ac:dyDescent="0.25">
      <c r="A6275" t="s">
        <v>22</v>
      </c>
      <c r="B6275" t="s">
        <v>23</v>
      </c>
      <c r="C6275" t="s">
        <v>61</v>
      </c>
      <c r="D6275">
        <v>168.1</v>
      </c>
      <c r="E6275">
        <v>2021</v>
      </c>
      <c r="F6275" t="s">
        <v>70</v>
      </c>
    </row>
    <row r="6276" spans="1:6" x14ac:dyDescent="0.25">
      <c r="A6276" t="s">
        <v>24</v>
      </c>
      <c r="B6276" t="s">
        <v>25</v>
      </c>
      <c r="C6276" t="s">
        <v>61</v>
      </c>
      <c r="D6276">
        <v>452.25</v>
      </c>
      <c r="E6276">
        <v>2021</v>
      </c>
      <c r="F6276" t="s">
        <v>70</v>
      </c>
    </row>
    <row r="6277" spans="1:6" x14ac:dyDescent="0.25">
      <c r="A6277" t="s">
        <v>26</v>
      </c>
      <c r="B6277" t="s">
        <v>27</v>
      </c>
      <c r="C6277" t="s">
        <v>61</v>
      </c>
      <c r="D6277">
        <v>66.930000000000007</v>
      </c>
      <c r="E6277">
        <v>2021</v>
      </c>
      <c r="F6277" t="s">
        <v>70</v>
      </c>
    </row>
    <row r="6278" spans="1:6" x14ac:dyDescent="0.25">
      <c r="A6278" t="s">
        <v>28</v>
      </c>
      <c r="B6278" t="s">
        <v>29</v>
      </c>
      <c r="C6278" t="s">
        <v>61</v>
      </c>
      <c r="D6278">
        <v>33.71</v>
      </c>
      <c r="E6278">
        <v>2021</v>
      </c>
      <c r="F6278" t="s">
        <v>70</v>
      </c>
    </row>
    <row r="6279" spans="1:6" x14ac:dyDescent="0.25">
      <c r="A6279" t="s">
        <v>30</v>
      </c>
      <c r="B6279" t="s">
        <v>31</v>
      </c>
      <c r="C6279" t="s">
        <v>61</v>
      </c>
      <c r="D6279">
        <v>622.75</v>
      </c>
      <c r="E6279">
        <v>2021</v>
      </c>
      <c r="F6279" t="s">
        <v>70</v>
      </c>
    </row>
    <row r="6280" spans="1:6" x14ac:dyDescent="0.25">
      <c r="A6280" t="s">
        <v>32</v>
      </c>
      <c r="B6280" t="s">
        <v>33</v>
      </c>
      <c r="C6280" t="s">
        <v>61</v>
      </c>
      <c r="D6280">
        <v>189.14</v>
      </c>
      <c r="E6280">
        <v>2021</v>
      </c>
      <c r="F6280" t="s">
        <v>70</v>
      </c>
    </row>
    <row r="6281" spans="1:6" x14ac:dyDescent="0.25">
      <c r="A6281" t="s">
        <v>34</v>
      </c>
      <c r="B6281" t="s">
        <v>35</v>
      </c>
      <c r="C6281" t="s">
        <v>61</v>
      </c>
      <c r="D6281">
        <v>546.76</v>
      </c>
      <c r="E6281">
        <v>2021</v>
      </c>
      <c r="F6281" t="s">
        <v>70</v>
      </c>
    </row>
    <row r="6282" spans="1:6" x14ac:dyDescent="0.25">
      <c r="A6282" t="s">
        <v>36</v>
      </c>
      <c r="B6282" t="s">
        <v>37</v>
      </c>
      <c r="C6282" t="s">
        <v>61</v>
      </c>
      <c r="D6282">
        <v>536.22</v>
      </c>
      <c r="E6282">
        <v>2021</v>
      </c>
      <c r="F6282" t="s">
        <v>70</v>
      </c>
    </row>
    <row r="6283" spans="1:6" x14ac:dyDescent="0.25">
      <c r="A6283" t="s">
        <v>38</v>
      </c>
      <c r="B6283" t="s">
        <v>39</v>
      </c>
      <c r="C6283" t="s">
        <v>61</v>
      </c>
      <c r="D6283">
        <v>432.02</v>
      </c>
      <c r="E6283">
        <v>2021</v>
      </c>
      <c r="F6283" t="s">
        <v>70</v>
      </c>
    </row>
    <row r="6284" spans="1:6" x14ac:dyDescent="0.25">
      <c r="A6284" t="s">
        <v>40</v>
      </c>
      <c r="B6284" t="s">
        <v>41</v>
      </c>
      <c r="C6284" t="s">
        <v>61</v>
      </c>
      <c r="D6284">
        <v>186.66</v>
      </c>
      <c r="E6284">
        <v>2021</v>
      </c>
      <c r="F6284" t="s">
        <v>70</v>
      </c>
    </row>
    <row r="6285" spans="1:6" x14ac:dyDescent="0.25">
      <c r="A6285" t="s">
        <v>42</v>
      </c>
      <c r="B6285" t="s">
        <v>43</v>
      </c>
      <c r="C6285" t="s">
        <v>61</v>
      </c>
      <c r="D6285">
        <v>37.31</v>
      </c>
      <c r="E6285">
        <v>2021</v>
      </c>
      <c r="F6285" t="s">
        <v>70</v>
      </c>
    </row>
    <row r="6286" spans="1:6" x14ac:dyDescent="0.25">
      <c r="A6286" t="s">
        <v>44</v>
      </c>
      <c r="B6286" t="s">
        <v>45</v>
      </c>
      <c r="C6286" t="s">
        <v>61</v>
      </c>
      <c r="D6286">
        <v>195.9</v>
      </c>
      <c r="E6286">
        <v>2021</v>
      </c>
      <c r="F6286" t="s">
        <v>70</v>
      </c>
    </row>
    <row r="6287" spans="1:6" x14ac:dyDescent="0.25">
      <c r="A6287" t="s">
        <v>46</v>
      </c>
      <c r="B6287" t="s">
        <v>47</v>
      </c>
      <c r="C6287" t="s">
        <v>61</v>
      </c>
      <c r="D6287">
        <v>63.59</v>
      </c>
      <c r="E6287">
        <v>2021</v>
      </c>
      <c r="F6287" t="s">
        <v>70</v>
      </c>
    </row>
    <row r="6288" spans="1:6" x14ac:dyDescent="0.25">
      <c r="A6288" t="s">
        <v>48</v>
      </c>
      <c r="B6288" t="s">
        <v>49</v>
      </c>
      <c r="C6288" t="s">
        <v>61</v>
      </c>
      <c r="D6288">
        <v>34.619999999999997</v>
      </c>
      <c r="E6288">
        <v>2021</v>
      </c>
      <c r="F6288" t="s">
        <v>70</v>
      </c>
    </row>
    <row r="6289" spans="1:6" x14ac:dyDescent="0.25">
      <c r="A6289" t="s">
        <v>50</v>
      </c>
      <c r="B6289" t="s">
        <v>51</v>
      </c>
      <c r="C6289" t="s">
        <v>61</v>
      </c>
      <c r="D6289">
        <v>40.090000000000003</v>
      </c>
      <c r="E6289">
        <v>2021</v>
      </c>
      <c r="F6289" t="s">
        <v>70</v>
      </c>
    </row>
    <row r="6290" spans="1:6" x14ac:dyDescent="0.25">
      <c r="A6290" t="s">
        <v>52</v>
      </c>
      <c r="B6290" t="s">
        <v>53</v>
      </c>
      <c r="C6290" t="s">
        <v>61</v>
      </c>
      <c r="D6290">
        <v>90.03</v>
      </c>
      <c r="E6290">
        <v>2021</v>
      </c>
      <c r="F6290" t="s">
        <v>70</v>
      </c>
    </row>
    <row r="6291" spans="1:6" x14ac:dyDescent="0.25">
      <c r="A6291" t="s">
        <v>54</v>
      </c>
      <c r="B6291" t="s">
        <v>55</v>
      </c>
      <c r="C6291" t="s">
        <v>61</v>
      </c>
      <c r="D6291">
        <v>7.49</v>
      </c>
      <c r="E6291">
        <v>2021</v>
      </c>
      <c r="F6291" t="s">
        <v>70</v>
      </c>
    </row>
    <row r="6292" spans="1:6" x14ac:dyDescent="0.25">
      <c r="A6292" t="s">
        <v>56</v>
      </c>
      <c r="B6292" t="s">
        <v>57</v>
      </c>
      <c r="C6292" t="s">
        <v>61</v>
      </c>
      <c r="D6292">
        <v>147.32</v>
      </c>
      <c r="E6292">
        <v>2021</v>
      </c>
      <c r="F6292" t="s">
        <v>70</v>
      </c>
    </row>
    <row r="6293" spans="1:6" x14ac:dyDescent="0.25">
      <c r="A6293" t="s">
        <v>58</v>
      </c>
      <c r="B6293" t="s">
        <v>59</v>
      </c>
      <c r="C6293" t="s">
        <v>61</v>
      </c>
      <c r="E6293">
        <v>2021</v>
      </c>
      <c r="F6293" t="s">
        <v>70</v>
      </c>
    </row>
    <row r="6294" spans="1:6" x14ac:dyDescent="0.25">
      <c r="A6294" t="s">
        <v>6</v>
      </c>
      <c r="B6294" t="s">
        <v>7</v>
      </c>
      <c r="C6294" t="s">
        <v>65</v>
      </c>
      <c r="D6294">
        <v>186302.5</v>
      </c>
      <c r="E6294">
        <v>2021</v>
      </c>
      <c r="F6294" t="s">
        <v>70</v>
      </c>
    </row>
    <row r="6295" spans="1:6" x14ac:dyDescent="0.25">
      <c r="A6295" t="s">
        <v>10</v>
      </c>
      <c r="B6295" t="s">
        <v>11</v>
      </c>
      <c r="C6295" t="s">
        <v>65</v>
      </c>
      <c r="D6295">
        <v>28000.81</v>
      </c>
      <c r="E6295">
        <v>2021</v>
      </c>
      <c r="F6295" t="s">
        <v>70</v>
      </c>
    </row>
    <row r="6296" spans="1:6" x14ac:dyDescent="0.25">
      <c r="A6296" t="s">
        <v>12</v>
      </c>
      <c r="B6296" t="s">
        <v>13</v>
      </c>
      <c r="C6296" t="s">
        <v>65</v>
      </c>
      <c r="D6296">
        <v>12597.51</v>
      </c>
      <c r="E6296">
        <v>2021</v>
      </c>
      <c r="F6296" t="s">
        <v>70</v>
      </c>
    </row>
    <row r="6297" spans="1:6" x14ac:dyDescent="0.25">
      <c r="A6297" t="s">
        <v>14</v>
      </c>
      <c r="B6297" t="s">
        <v>15</v>
      </c>
      <c r="C6297" t="s">
        <v>65</v>
      </c>
      <c r="D6297">
        <v>431.68</v>
      </c>
      <c r="E6297">
        <v>2021</v>
      </c>
      <c r="F6297" t="s">
        <v>70</v>
      </c>
    </row>
    <row r="6298" spans="1:6" x14ac:dyDescent="0.25">
      <c r="A6298" t="s">
        <v>16</v>
      </c>
      <c r="B6298" t="s">
        <v>17</v>
      </c>
      <c r="C6298" t="s">
        <v>65</v>
      </c>
      <c r="D6298">
        <v>7723.25</v>
      </c>
      <c r="E6298">
        <v>2021</v>
      </c>
      <c r="F6298" t="s">
        <v>70</v>
      </c>
    </row>
    <row r="6299" spans="1:6" x14ac:dyDescent="0.25">
      <c r="A6299" t="s">
        <v>18</v>
      </c>
      <c r="B6299" t="s">
        <v>19</v>
      </c>
      <c r="C6299" t="s">
        <v>65</v>
      </c>
      <c r="D6299">
        <v>2245.83</v>
      </c>
      <c r="E6299">
        <v>2021</v>
      </c>
      <c r="F6299" t="s">
        <v>70</v>
      </c>
    </row>
    <row r="6300" spans="1:6" x14ac:dyDescent="0.25">
      <c r="A6300" t="s">
        <v>20</v>
      </c>
      <c r="B6300" t="s">
        <v>21</v>
      </c>
      <c r="C6300" t="s">
        <v>65</v>
      </c>
      <c r="D6300">
        <v>1319.12</v>
      </c>
      <c r="E6300">
        <v>2021</v>
      </c>
      <c r="F6300" t="s">
        <v>70</v>
      </c>
    </row>
    <row r="6301" spans="1:6" x14ac:dyDescent="0.25">
      <c r="A6301" t="s">
        <v>22</v>
      </c>
      <c r="B6301" t="s">
        <v>23</v>
      </c>
      <c r="C6301" t="s">
        <v>65</v>
      </c>
      <c r="D6301">
        <v>1379.57</v>
      </c>
      <c r="E6301">
        <v>2021</v>
      </c>
      <c r="F6301" t="s">
        <v>70</v>
      </c>
    </row>
    <row r="6302" spans="1:6" x14ac:dyDescent="0.25">
      <c r="A6302" t="s">
        <v>24</v>
      </c>
      <c r="B6302" t="s">
        <v>25</v>
      </c>
      <c r="C6302" t="s">
        <v>65</v>
      </c>
      <c r="D6302">
        <v>4407.6400000000003</v>
      </c>
      <c r="E6302">
        <v>2021</v>
      </c>
      <c r="F6302" t="s">
        <v>70</v>
      </c>
    </row>
    <row r="6303" spans="1:6" x14ac:dyDescent="0.25">
      <c r="A6303" t="s">
        <v>26</v>
      </c>
      <c r="B6303" t="s">
        <v>27</v>
      </c>
      <c r="C6303" t="s">
        <v>65</v>
      </c>
      <c r="D6303">
        <v>295.74</v>
      </c>
      <c r="E6303">
        <v>2021</v>
      </c>
      <c r="F6303" t="s">
        <v>70</v>
      </c>
    </row>
    <row r="6304" spans="1:6" x14ac:dyDescent="0.25">
      <c r="A6304" t="s">
        <v>28</v>
      </c>
      <c r="B6304" t="s">
        <v>29</v>
      </c>
      <c r="C6304" t="s">
        <v>65</v>
      </c>
      <c r="D6304">
        <v>9924.4599999999991</v>
      </c>
      <c r="E6304">
        <v>2021</v>
      </c>
      <c r="F6304" t="s">
        <v>70</v>
      </c>
    </row>
    <row r="6305" spans="1:6" x14ac:dyDescent="0.25">
      <c r="A6305" t="s">
        <v>30</v>
      </c>
      <c r="B6305" t="s">
        <v>31</v>
      </c>
      <c r="C6305" t="s">
        <v>65</v>
      </c>
      <c r="D6305">
        <v>14550.83</v>
      </c>
      <c r="E6305">
        <v>2021</v>
      </c>
      <c r="F6305" t="s">
        <v>70</v>
      </c>
    </row>
    <row r="6306" spans="1:6" x14ac:dyDescent="0.25">
      <c r="A6306" t="s">
        <v>32</v>
      </c>
      <c r="B6306" t="s">
        <v>33</v>
      </c>
      <c r="C6306" t="s">
        <v>65</v>
      </c>
      <c r="D6306">
        <v>1861.54</v>
      </c>
      <c r="E6306">
        <v>2021</v>
      </c>
      <c r="F6306" t="s">
        <v>70</v>
      </c>
    </row>
    <row r="6307" spans="1:6" x14ac:dyDescent="0.25">
      <c r="A6307" t="s">
        <v>34</v>
      </c>
      <c r="B6307" t="s">
        <v>35</v>
      </c>
      <c r="C6307" t="s">
        <v>65</v>
      </c>
      <c r="D6307">
        <v>9150.83</v>
      </c>
      <c r="E6307">
        <v>2021</v>
      </c>
      <c r="F6307" t="s">
        <v>70</v>
      </c>
    </row>
    <row r="6308" spans="1:6" x14ac:dyDescent="0.25">
      <c r="A6308" t="s">
        <v>36</v>
      </c>
      <c r="B6308" t="s">
        <v>37</v>
      </c>
      <c r="C6308" t="s">
        <v>65</v>
      </c>
      <c r="D6308">
        <v>11072.43</v>
      </c>
      <c r="E6308">
        <v>2021</v>
      </c>
      <c r="F6308" t="s">
        <v>70</v>
      </c>
    </row>
    <row r="6309" spans="1:6" x14ac:dyDescent="0.25">
      <c r="A6309" t="s">
        <v>38</v>
      </c>
      <c r="B6309" t="s">
        <v>39</v>
      </c>
      <c r="C6309" t="s">
        <v>65</v>
      </c>
      <c r="D6309">
        <v>13262.12</v>
      </c>
      <c r="E6309">
        <v>2021</v>
      </c>
      <c r="F6309" t="s">
        <v>70</v>
      </c>
    </row>
    <row r="6310" spans="1:6" x14ac:dyDescent="0.25">
      <c r="A6310" t="s">
        <v>40</v>
      </c>
      <c r="B6310" t="s">
        <v>41</v>
      </c>
      <c r="C6310" t="s">
        <v>65</v>
      </c>
      <c r="D6310">
        <v>10651.65</v>
      </c>
      <c r="E6310">
        <v>2021</v>
      </c>
      <c r="F6310" t="s">
        <v>70</v>
      </c>
    </row>
    <row r="6311" spans="1:6" x14ac:dyDescent="0.25">
      <c r="A6311" t="s">
        <v>42</v>
      </c>
      <c r="B6311" t="s">
        <v>43</v>
      </c>
      <c r="C6311" t="s">
        <v>65</v>
      </c>
      <c r="D6311">
        <v>6977.41</v>
      </c>
      <c r="E6311">
        <v>2021</v>
      </c>
      <c r="F6311" t="s">
        <v>70</v>
      </c>
    </row>
    <row r="6312" spans="1:6" x14ac:dyDescent="0.25">
      <c r="A6312" t="s">
        <v>44</v>
      </c>
      <c r="B6312" t="s">
        <v>45</v>
      </c>
      <c r="C6312" t="s">
        <v>65</v>
      </c>
      <c r="D6312">
        <v>13506.4</v>
      </c>
      <c r="E6312">
        <v>2021</v>
      </c>
      <c r="F6312" t="s">
        <v>70</v>
      </c>
    </row>
    <row r="6313" spans="1:6" x14ac:dyDescent="0.25">
      <c r="A6313" t="s">
        <v>46</v>
      </c>
      <c r="B6313" t="s">
        <v>47</v>
      </c>
      <c r="C6313" t="s">
        <v>65</v>
      </c>
      <c r="D6313">
        <v>16521.22</v>
      </c>
      <c r="E6313">
        <v>2021</v>
      </c>
      <c r="F6313" t="s">
        <v>70</v>
      </c>
    </row>
    <row r="6314" spans="1:6" x14ac:dyDescent="0.25">
      <c r="A6314" t="s">
        <v>48</v>
      </c>
      <c r="B6314" t="s">
        <v>49</v>
      </c>
      <c r="C6314" t="s">
        <v>65</v>
      </c>
      <c r="D6314">
        <v>18361.23</v>
      </c>
      <c r="E6314">
        <v>2021</v>
      </c>
      <c r="F6314" t="s">
        <v>70</v>
      </c>
    </row>
    <row r="6315" spans="1:6" x14ac:dyDescent="0.25">
      <c r="A6315" t="s">
        <v>50</v>
      </c>
      <c r="B6315" t="s">
        <v>51</v>
      </c>
      <c r="C6315" t="s">
        <v>65</v>
      </c>
      <c r="D6315">
        <v>901.08</v>
      </c>
      <c r="E6315">
        <v>2021</v>
      </c>
      <c r="F6315" t="s">
        <v>70</v>
      </c>
    </row>
    <row r="6316" spans="1:6" x14ac:dyDescent="0.25">
      <c r="A6316" t="s">
        <v>52</v>
      </c>
      <c r="B6316" t="s">
        <v>53</v>
      </c>
      <c r="C6316" t="s">
        <v>65</v>
      </c>
      <c r="D6316">
        <v>955.43</v>
      </c>
      <c r="E6316">
        <v>2021</v>
      </c>
      <c r="F6316" t="s">
        <v>70</v>
      </c>
    </row>
    <row r="6317" spans="1:6" x14ac:dyDescent="0.25">
      <c r="A6317" t="s">
        <v>54</v>
      </c>
      <c r="B6317" t="s">
        <v>55</v>
      </c>
      <c r="C6317" t="s">
        <v>65</v>
      </c>
      <c r="D6317">
        <v>204.72</v>
      </c>
      <c r="E6317">
        <v>2021</v>
      </c>
      <c r="F6317" t="s">
        <v>70</v>
      </c>
    </row>
    <row r="6318" spans="1:6" x14ac:dyDescent="0.25">
      <c r="A6318" t="s">
        <v>56</v>
      </c>
      <c r="B6318" t="s">
        <v>57</v>
      </c>
      <c r="C6318" t="s">
        <v>65</v>
      </c>
      <c r="E6318">
        <v>2021</v>
      </c>
      <c r="F6318" t="s">
        <v>70</v>
      </c>
    </row>
    <row r="6319" spans="1:6" x14ac:dyDescent="0.25">
      <c r="A6319" t="s">
        <v>58</v>
      </c>
      <c r="B6319" t="s">
        <v>59</v>
      </c>
      <c r="C6319" t="s">
        <v>65</v>
      </c>
      <c r="E6319">
        <v>2021</v>
      </c>
      <c r="F6319" t="s">
        <v>70</v>
      </c>
    </row>
    <row r="6320" spans="1:6" x14ac:dyDescent="0.25">
      <c r="A6320" t="s">
        <v>6</v>
      </c>
      <c r="B6320" t="s">
        <v>7</v>
      </c>
      <c r="C6320" t="s">
        <v>62</v>
      </c>
      <c r="E6320">
        <v>2021</v>
      </c>
      <c r="F6320" t="s">
        <v>70</v>
      </c>
    </row>
    <row r="6321" spans="1:6" x14ac:dyDescent="0.25">
      <c r="A6321" t="s">
        <v>10</v>
      </c>
      <c r="B6321" t="s">
        <v>11</v>
      </c>
      <c r="C6321" t="s">
        <v>62</v>
      </c>
      <c r="E6321">
        <v>2021</v>
      </c>
      <c r="F6321" t="s">
        <v>70</v>
      </c>
    </row>
    <row r="6322" spans="1:6" x14ac:dyDescent="0.25">
      <c r="A6322" t="s">
        <v>12</v>
      </c>
      <c r="B6322" t="s">
        <v>13</v>
      </c>
      <c r="C6322" t="s">
        <v>62</v>
      </c>
      <c r="E6322">
        <v>2021</v>
      </c>
      <c r="F6322" t="s">
        <v>70</v>
      </c>
    </row>
    <row r="6323" spans="1:6" x14ac:dyDescent="0.25">
      <c r="A6323" t="s">
        <v>14</v>
      </c>
      <c r="B6323" t="s">
        <v>15</v>
      </c>
      <c r="C6323" t="s">
        <v>62</v>
      </c>
      <c r="E6323">
        <v>2021</v>
      </c>
      <c r="F6323" t="s">
        <v>70</v>
      </c>
    </row>
    <row r="6324" spans="1:6" x14ac:dyDescent="0.25">
      <c r="A6324" t="s">
        <v>16</v>
      </c>
      <c r="B6324" t="s">
        <v>17</v>
      </c>
      <c r="C6324" t="s">
        <v>62</v>
      </c>
      <c r="E6324">
        <v>2021</v>
      </c>
      <c r="F6324" t="s">
        <v>70</v>
      </c>
    </row>
    <row r="6325" spans="1:6" x14ac:dyDescent="0.25">
      <c r="A6325" t="s">
        <v>18</v>
      </c>
      <c r="B6325" t="s">
        <v>19</v>
      </c>
      <c r="C6325" t="s">
        <v>62</v>
      </c>
      <c r="E6325">
        <v>2021</v>
      </c>
      <c r="F6325" t="s">
        <v>70</v>
      </c>
    </row>
    <row r="6326" spans="1:6" x14ac:dyDescent="0.25">
      <c r="A6326" t="s">
        <v>20</v>
      </c>
      <c r="B6326" t="s">
        <v>21</v>
      </c>
      <c r="C6326" t="s">
        <v>62</v>
      </c>
      <c r="E6326">
        <v>2021</v>
      </c>
      <c r="F6326" t="s">
        <v>70</v>
      </c>
    </row>
    <row r="6327" spans="1:6" x14ac:dyDescent="0.25">
      <c r="A6327" t="s">
        <v>22</v>
      </c>
      <c r="B6327" t="s">
        <v>23</v>
      </c>
      <c r="C6327" t="s">
        <v>62</v>
      </c>
      <c r="E6327">
        <v>2021</v>
      </c>
      <c r="F6327" t="s">
        <v>70</v>
      </c>
    </row>
    <row r="6328" spans="1:6" x14ac:dyDescent="0.25">
      <c r="A6328" t="s">
        <v>24</v>
      </c>
      <c r="B6328" t="s">
        <v>25</v>
      </c>
      <c r="C6328" t="s">
        <v>62</v>
      </c>
      <c r="E6328">
        <v>2021</v>
      </c>
      <c r="F6328" t="s">
        <v>70</v>
      </c>
    </row>
    <row r="6329" spans="1:6" x14ac:dyDescent="0.25">
      <c r="A6329" t="s">
        <v>26</v>
      </c>
      <c r="B6329" t="s">
        <v>27</v>
      </c>
      <c r="C6329" t="s">
        <v>62</v>
      </c>
      <c r="E6329">
        <v>2021</v>
      </c>
      <c r="F6329" t="s">
        <v>70</v>
      </c>
    </row>
    <row r="6330" spans="1:6" x14ac:dyDescent="0.25">
      <c r="A6330" t="s">
        <v>28</v>
      </c>
      <c r="B6330" t="s">
        <v>29</v>
      </c>
      <c r="C6330" t="s">
        <v>62</v>
      </c>
      <c r="E6330">
        <v>2021</v>
      </c>
      <c r="F6330" t="s">
        <v>70</v>
      </c>
    </row>
    <row r="6331" spans="1:6" x14ac:dyDescent="0.25">
      <c r="A6331" t="s">
        <v>30</v>
      </c>
      <c r="B6331" t="s">
        <v>31</v>
      </c>
      <c r="C6331" t="s">
        <v>62</v>
      </c>
      <c r="E6331">
        <v>2021</v>
      </c>
      <c r="F6331" t="s">
        <v>70</v>
      </c>
    </row>
    <row r="6332" spans="1:6" x14ac:dyDescent="0.25">
      <c r="A6332" t="s">
        <v>32</v>
      </c>
      <c r="B6332" t="s">
        <v>33</v>
      </c>
      <c r="C6332" t="s">
        <v>62</v>
      </c>
      <c r="E6332">
        <v>2021</v>
      </c>
      <c r="F6332" t="s">
        <v>70</v>
      </c>
    </row>
    <row r="6333" spans="1:6" x14ac:dyDescent="0.25">
      <c r="A6333" t="s">
        <v>34</v>
      </c>
      <c r="B6333" t="s">
        <v>35</v>
      </c>
      <c r="C6333" t="s">
        <v>62</v>
      </c>
      <c r="E6333">
        <v>2021</v>
      </c>
      <c r="F6333" t="s">
        <v>70</v>
      </c>
    </row>
    <row r="6334" spans="1:6" x14ac:dyDescent="0.25">
      <c r="A6334" t="s">
        <v>36</v>
      </c>
      <c r="B6334" t="s">
        <v>37</v>
      </c>
      <c r="C6334" t="s">
        <v>62</v>
      </c>
      <c r="E6334">
        <v>2021</v>
      </c>
      <c r="F6334" t="s">
        <v>70</v>
      </c>
    </row>
    <row r="6335" spans="1:6" x14ac:dyDescent="0.25">
      <c r="A6335" t="s">
        <v>38</v>
      </c>
      <c r="B6335" t="s">
        <v>39</v>
      </c>
      <c r="C6335" t="s">
        <v>62</v>
      </c>
      <c r="E6335">
        <v>2021</v>
      </c>
      <c r="F6335" t="s">
        <v>70</v>
      </c>
    </row>
    <row r="6336" spans="1:6" x14ac:dyDescent="0.25">
      <c r="A6336" t="s">
        <v>40</v>
      </c>
      <c r="B6336" t="s">
        <v>41</v>
      </c>
      <c r="C6336" t="s">
        <v>62</v>
      </c>
      <c r="E6336">
        <v>2021</v>
      </c>
      <c r="F6336" t="s">
        <v>70</v>
      </c>
    </row>
    <row r="6337" spans="1:6" x14ac:dyDescent="0.25">
      <c r="A6337" t="s">
        <v>42</v>
      </c>
      <c r="B6337" t="s">
        <v>43</v>
      </c>
      <c r="C6337" t="s">
        <v>62</v>
      </c>
      <c r="E6337">
        <v>2021</v>
      </c>
      <c r="F6337" t="s">
        <v>70</v>
      </c>
    </row>
    <row r="6338" spans="1:6" x14ac:dyDescent="0.25">
      <c r="A6338" t="s">
        <v>44</v>
      </c>
      <c r="B6338" t="s">
        <v>45</v>
      </c>
      <c r="C6338" t="s">
        <v>62</v>
      </c>
      <c r="E6338">
        <v>2021</v>
      </c>
      <c r="F6338" t="s">
        <v>70</v>
      </c>
    </row>
    <row r="6339" spans="1:6" x14ac:dyDescent="0.25">
      <c r="A6339" t="s">
        <v>46</v>
      </c>
      <c r="B6339" t="s">
        <v>47</v>
      </c>
      <c r="C6339" t="s">
        <v>62</v>
      </c>
      <c r="E6339">
        <v>2021</v>
      </c>
      <c r="F6339" t="s">
        <v>70</v>
      </c>
    </row>
    <row r="6340" spans="1:6" x14ac:dyDescent="0.25">
      <c r="A6340" t="s">
        <v>48</v>
      </c>
      <c r="B6340" t="s">
        <v>49</v>
      </c>
      <c r="C6340" t="s">
        <v>62</v>
      </c>
      <c r="E6340">
        <v>2021</v>
      </c>
      <c r="F6340" t="s">
        <v>70</v>
      </c>
    </row>
    <row r="6341" spans="1:6" x14ac:dyDescent="0.25">
      <c r="A6341" t="s">
        <v>50</v>
      </c>
      <c r="B6341" t="s">
        <v>51</v>
      </c>
      <c r="C6341" t="s">
        <v>62</v>
      </c>
      <c r="E6341">
        <v>2021</v>
      </c>
      <c r="F6341" t="s">
        <v>70</v>
      </c>
    </row>
    <row r="6342" spans="1:6" x14ac:dyDescent="0.25">
      <c r="A6342" t="s">
        <v>52</v>
      </c>
      <c r="B6342" t="s">
        <v>53</v>
      </c>
      <c r="C6342" t="s">
        <v>62</v>
      </c>
      <c r="E6342">
        <v>2021</v>
      </c>
      <c r="F6342" t="s">
        <v>70</v>
      </c>
    </row>
    <row r="6343" spans="1:6" x14ac:dyDescent="0.25">
      <c r="A6343" t="s">
        <v>54</v>
      </c>
      <c r="B6343" t="s">
        <v>55</v>
      </c>
      <c r="C6343" t="s">
        <v>62</v>
      </c>
      <c r="E6343">
        <v>2021</v>
      </c>
      <c r="F6343" t="s">
        <v>70</v>
      </c>
    </row>
    <row r="6344" spans="1:6" x14ac:dyDescent="0.25">
      <c r="A6344" t="s">
        <v>56</v>
      </c>
      <c r="B6344" t="s">
        <v>57</v>
      </c>
      <c r="C6344" t="s">
        <v>62</v>
      </c>
      <c r="E6344">
        <v>2021</v>
      </c>
      <c r="F6344" t="s">
        <v>70</v>
      </c>
    </row>
    <row r="6345" spans="1:6" x14ac:dyDescent="0.25">
      <c r="A6345" t="s">
        <v>58</v>
      </c>
      <c r="B6345" t="s">
        <v>59</v>
      </c>
      <c r="C6345" t="s">
        <v>62</v>
      </c>
      <c r="E6345">
        <v>2021</v>
      </c>
      <c r="F6345" t="s">
        <v>70</v>
      </c>
    </row>
    <row r="6346" spans="1:6" x14ac:dyDescent="0.25">
      <c r="A6346" t="s">
        <v>6</v>
      </c>
      <c r="B6346" t="s">
        <v>7</v>
      </c>
      <c r="C6346" t="s">
        <v>66</v>
      </c>
      <c r="E6346">
        <v>2021</v>
      </c>
      <c r="F6346" t="s">
        <v>70</v>
      </c>
    </row>
    <row r="6347" spans="1:6" x14ac:dyDescent="0.25">
      <c r="A6347" t="s">
        <v>10</v>
      </c>
      <c r="B6347" t="s">
        <v>11</v>
      </c>
      <c r="C6347" t="s">
        <v>66</v>
      </c>
      <c r="E6347">
        <v>2021</v>
      </c>
      <c r="F6347" t="s">
        <v>70</v>
      </c>
    </row>
    <row r="6348" spans="1:6" x14ac:dyDescent="0.25">
      <c r="A6348" t="s">
        <v>12</v>
      </c>
      <c r="B6348" t="s">
        <v>13</v>
      </c>
      <c r="C6348" t="s">
        <v>66</v>
      </c>
      <c r="E6348">
        <v>2021</v>
      </c>
      <c r="F6348" t="s">
        <v>70</v>
      </c>
    </row>
    <row r="6349" spans="1:6" x14ac:dyDescent="0.25">
      <c r="A6349" t="s">
        <v>14</v>
      </c>
      <c r="B6349" t="s">
        <v>15</v>
      </c>
      <c r="C6349" t="s">
        <v>66</v>
      </c>
      <c r="E6349">
        <v>2021</v>
      </c>
      <c r="F6349" t="s">
        <v>70</v>
      </c>
    </row>
    <row r="6350" spans="1:6" x14ac:dyDescent="0.25">
      <c r="A6350" t="s">
        <v>16</v>
      </c>
      <c r="B6350" t="s">
        <v>17</v>
      </c>
      <c r="C6350" t="s">
        <v>66</v>
      </c>
      <c r="E6350">
        <v>2021</v>
      </c>
      <c r="F6350" t="s">
        <v>70</v>
      </c>
    </row>
    <row r="6351" spans="1:6" x14ac:dyDescent="0.25">
      <c r="A6351" t="s">
        <v>18</v>
      </c>
      <c r="B6351" t="s">
        <v>19</v>
      </c>
      <c r="C6351" t="s">
        <v>66</v>
      </c>
      <c r="E6351">
        <v>2021</v>
      </c>
      <c r="F6351" t="s">
        <v>70</v>
      </c>
    </row>
    <row r="6352" spans="1:6" x14ac:dyDescent="0.25">
      <c r="A6352" t="s">
        <v>20</v>
      </c>
      <c r="B6352" t="s">
        <v>21</v>
      </c>
      <c r="C6352" t="s">
        <v>66</v>
      </c>
      <c r="E6352">
        <v>2021</v>
      </c>
      <c r="F6352" t="s">
        <v>70</v>
      </c>
    </row>
    <row r="6353" spans="1:6" x14ac:dyDescent="0.25">
      <c r="A6353" t="s">
        <v>22</v>
      </c>
      <c r="B6353" t="s">
        <v>23</v>
      </c>
      <c r="C6353" t="s">
        <v>66</v>
      </c>
      <c r="E6353">
        <v>2021</v>
      </c>
      <c r="F6353" t="s">
        <v>70</v>
      </c>
    </row>
    <row r="6354" spans="1:6" x14ac:dyDescent="0.25">
      <c r="A6354" t="s">
        <v>24</v>
      </c>
      <c r="B6354" t="s">
        <v>25</v>
      </c>
      <c r="C6354" t="s">
        <v>66</v>
      </c>
      <c r="E6354">
        <v>2021</v>
      </c>
      <c r="F6354" t="s">
        <v>70</v>
      </c>
    </row>
    <row r="6355" spans="1:6" x14ac:dyDescent="0.25">
      <c r="A6355" t="s">
        <v>26</v>
      </c>
      <c r="B6355" t="s">
        <v>27</v>
      </c>
      <c r="C6355" t="s">
        <v>66</v>
      </c>
      <c r="E6355">
        <v>2021</v>
      </c>
      <c r="F6355" t="s">
        <v>70</v>
      </c>
    </row>
    <row r="6356" spans="1:6" x14ac:dyDescent="0.25">
      <c r="A6356" t="s">
        <v>28</v>
      </c>
      <c r="B6356" t="s">
        <v>29</v>
      </c>
      <c r="C6356" t="s">
        <v>66</v>
      </c>
      <c r="E6356">
        <v>2021</v>
      </c>
      <c r="F6356" t="s">
        <v>70</v>
      </c>
    </row>
    <row r="6357" spans="1:6" x14ac:dyDescent="0.25">
      <c r="A6357" t="s">
        <v>30</v>
      </c>
      <c r="B6357" t="s">
        <v>31</v>
      </c>
      <c r="C6357" t="s">
        <v>66</v>
      </c>
      <c r="E6357">
        <v>2021</v>
      </c>
      <c r="F6357" t="s">
        <v>70</v>
      </c>
    </row>
    <row r="6358" spans="1:6" x14ac:dyDescent="0.25">
      <c r="A6358" t="s">
        <v>32</v>
      </c>
      <c r="B6358" t="s">
        <v>33</v>
      </c>
      <c r="C6358" t="s">
        <v>66</v>
      </c>
      <c r="E6358">
        <v>2021</v>
      </c>
      <c r="F6358" t="s">
        <v>70</v>
      </c>
    </row>
    <row r="6359" spans="1:6" x14ac:dyDescent="0.25">
      <c r="A6359" t="s">
        <v>34</v>
      </c>
      <c r="B6359" t="s">
        <v>35</v>
      </c>
      <c r="C6359" t="s">
        <v>66</v>
      </c>
      <c r="E6359">
        <v>2021</v>
      </c>
      <c r="F6359" t="s">
        <v>70</v>
      </c>
    </row>
    <row r="6360" spans="1:6" x14ac:dyDescent="0.25">
      <c r="A6360" t="s">
        <v>36</v>
      </c>
      <c r="B6360" t="s">
        <v>37</v>
      </c>
      <c r="C6360" t="s">
        <v>66</v>
      </c>
      <c r="E6360">
        <v>2021</v>
      </c>
      <c r="F6360" t="s">
        <v>70</v>
      </c>
    </row>
    <row r="6361" spans="1:6" x14ac:dyDescent="0.25">
      <c r="A6361" t="s">
        <v>38</v>
      </c>
      <c r="B6361" t="s">
        <v>39</v>
      </c>
      <c r="C6361" t="s">
        <v>66</v>
      </c>
      <c r="E6361">
        <v>2021</v>
      </c>
      <c r="F6361" t="s">
        <v>70</v>
      </c>
    </row>
    <row r="6362" spans="1:6" x14ac:dyDescent="0.25">
      <c r="A6362" t="s">
        <v>40</v>
      </c>
      <c r="B6362" t="s">
        <v>41</v>
      </c>
      <c r="C6362" t="s">
        <v>66</v>
      </c>
      <c r="E6362">
        <v>2021</v>
      </c>
      <c r="F6362" t="s">
        <v>70</v>
      </c>
    </row>
    <row r="6363" spans="1:6" x14ac:dyDescent="0.25">
      <c r="A6363" t="s">
        <v>42</v>
      </c>
      <c r="B6363" t="s">
        <v>43</v>
      </c>
      <c r="C6363" t="s">
        <v>66</v>
      </c>
      <c r="E6363">
        <v>2021</v>
      </c>
      <c r="F6363" t="s">
        <v>70</v>
      </c>
    </row>
    <row r="6364" spans="1:6" x14ac:dyDescent="0.25">
      <c r="A6364" t="s">
        <v>44</v>
      </c>
      <c r="B6364" t="s">
        <v>45</v>
      </c>
      <c r="C6364" t="s">
        <v>66</v>
      </c>
      <c r="E6364">
        <v>2021</v>
      </c>
      <c r="F6364" t="s">
        <v>70</v>
      </c>
    </row>
    <row r="6365" spans="1:6" x14ac:dyDescent="0.25">
      <c r="A6365" t="s">
        <v>46</v>
      </c>
      <c r="B6365" t="s">
        <v>47</v>
      </c>
      <c r="C6365" t="s">
        <v>66</v>
      </c>
      <c r="E6365">
        <v>2021</v>
      </c>
      <c r="F6365" t="s">
        <v>70</v>
      </c>
    </row>
    <row r="6366" spans="1:6" x14ac:dyDescent="0.25">
      <c r="A6366" t="s">
        <v>48</v>
      </c>
      <c r="B6366" t="s">
        <v>49</v>
      </c>
      <c r="C6366" t="s">
        <v>66</v>
      </c>
      <c r="E6366">
        <v>2021</v>
      </c>
      <c r="F6366" t="s">
        <v>70</v>
      </c>
    </row>
    <row r="6367" spans="1:6" x14ac:dyDescent="0.25">
      <c r="A6367" t="s">
        <v>50</v>
      </c>
      <c r="B6367" t="s">
        <v>51</v>
      </c>
      <c r="C6367" t="s">
        <v>66</v>
      </c>
      <c r="E6367">
        <v>2021</v>
      </c>
      <c r="F6367" t="s">
        <v>70</v>
      </c>
    </row>
    <row r="6368" spans="1:6" x14ac:dyDescent="0.25">
      <c r="A6368" t="s">
        <v>52</v>
      </c>
      <c r="B6368" t="s">
        <v>53</v>
      </c>
      <c r="C6368" t="s">
        <v>66</v>
      </c>
      <c r="E6368">
        <v>2021</v>
      </c>
      <c r="F6368" t="s">
        <v>70</v>
      </c>
    </row>
    <row r="6369" spans="1:6" x14ac:dyDescent="0.25">
      <c r="A6369" t="s">
        <v>54</v>
      </c>
      <c r="B6369" t="s">
        <v>55</v>
      </c>
      <c r="C6369" t="s">
        <v>66</v>
      </c>
      <c r="E6369">
        <v>2021</v>
      </c>
      <c r="F6369" t="s">
        <v>70</v>
      </c>
    </row>
    <row r="6370" spans="1:6" x14ac:dyDescent="0.25">
      <c r="A6370" t="s">
        <v>56</v>
      </c>
      <c r="B6370" t="s">
        <v>57</v>
      </c>
      <c r="C6370" t="s">
        <v>66</v>
      </c>
      <c r="E6370">
        <v>2021</v>
      </c>
      <c r="F6370" t="s">
        <v>70</v>
      </c>
    </row>
    <row r="6371" spans="1:6" x14ac:dyDescent="0.25">
      <c r="A6371" t="s">
        <v>58</v>
      </c>
      <c r="B6371" t="s">
        <v>59</v>
      </c>
      <c r="C6371" t="s">
        <v>66</v>
      </c>
      <c r="E6371">
        <v>2021</v>
      </c>
      <c r="F6371" t="s">
        <v>70</v>
      </c>
    </row>
    <row r="6372" spans="1:6" x14ac:dyDescent="0.25">
      <c r="A6372" t="s">
        <v>6</v>
      </c>
      <c r="B6372" t="s">
        <v>7</v>
      </c>
      <c r="C6372" t="s">
        <v>63</v>
      </c>
      <c r="D6372">
        <v>1656870.71</v>
      </c>
      <c r="E6372">
        <v>2022</v>
      </c>
      <c r="F6372" t="s">
        <v>70</v>
      </c>
    </row>
    <row r="6373" spans="1:6" x14ac:dyDescent="0.25">
      <c r="A6373" t="s">
        <v>10</v>
      </c>
      <c r="B6373" t="s">
        <v>11</v>
      </c>
      <c r="C6373" t="s">
        <v>63</v>
      </c>
      <c r="D6373">
        <v>85765.72</v>
      </c>
      <c r="E6373">
        <v>2022</v>
      </c>
      <c r="F6373" t="s">
        <v>70</v>
      </c>
    </row>
    <row r="6374" spans="1:6" x14ac:dyDescent="0.25">
      <c r="A6374" t="s">
        <v>12</v>
      </c>
      <c r="B6374" t="s">
        <v>13</v>
      </c>
      <c r="C6374" t="s">
        <v>63</v>
      </c>
      <c r="D6374">
        <v>15206.84</v>
      </c>
      <c r="E6374">
        <v>2022</v>
      </c>
      <c r="F6374" t="s">
        <v>70</v>
      </c>
    </row>
    <row r="6375" spans="1:6" x14ac:dyDescent="0.25">
      <c r="A6375" t="s">
        <v>14</v>
      </c>
      <c r="B6375" t="s">
        <v>15</v>
      </c>
      <c r="C6375" t="s">
        <v>63</v>
      </c>
      <c r="D6375">
        <v>1605.87</v>
      </c>
      <c r="E6375">
        <v>2022</v>
      </c>
      <c r="F6375" t="s">
        <v>70</v>
      </c>
    </row>
    <row r="6376" spans="1:6" x14ac:dyDescent="0.25">
      <c r="A6376" t="s">
        <v>16</v>
      </c>
      <c r="B6376" t="s">
        <v>17</v>
      </c>
      <c r="C6376" t="s">
        <v>63</v>
      </c>
      <c r="D6376">
        <v>7318.05</v>
      </c>
      <c r="E6376">
        <v>2022</v>
      </c>
      <c r="F6376" t="s">
        <v>70</v>
      </c>
    </row>
    <row r="6377" spans="1:6" x14ac:dyDescent="0.25">
      <c r="A6377" t="s">
        <v>18</v>
      </c>
      <c r="B6377" t="s">
        <v>19</v>
      </c>
      <c r="C6377" t="s">
        <v>63</v>
      </c>
      <c r="D6377">
        <v>7193.11</v>
      </c>
      <c r="E6377">
        <v>2022</v>
      </c>
      <c r="F6377" t="s">
        <v>70</v>
      </c>
    </row>
    <row r="6378" spans="1:6" x14ac:dyDescent="0.25">
      <c r="A6378" t="s">
        <v>20</v>
      </c>
      <c r="B6378" t="s">
        <v>21</v>
      </c>
      <c r="C6378" t="s">
        <v>63</v>
      </c>
      <c r="D6378">
        <v>6283.81</v>
      </c>
      <c r="E6378">
        <v>2022</v>
      </c>
      <c r="F6378" t="s">
        <v>70</v>
      </c>
    </row>
    <row r="6379" spans="1:6" x14ac:dyDescent="0.25">
      <c r="A6379" t="s">
        <v>22</v>
      </c>
      <c r="B6379" t="s">
        <v>23</v>
      </c>
      <c r="C6379" t="s">
        <v>63</v>
      </c>
      <c r="D6379">
        <v>5822.17</v>
      </c>
      <c r="E6379">
        <v>2022</v>
      </c>
      <c r="F6379" t="s">
        <v>70</v>
      </c>
    </row>
    <row r="6380" spans="1:6" x14ac:dyDescent="0.25">
      <c r="A6380" t="s">
        <v>24</v>
      </c>
      <c r="B6380" t="s">
        <v>25</v>
      </c>
      <c r="C6380" t="s">
        <v>63</v>
      </c>
      <c r="D6380">
        <v>17430.009999999998</v>
      </c>
      <c r="E6380">
        <v>2022</v>
      </c>
      <c r="F6380" t="s">
        <v>70</v>
      </c>
    </row>
    <row r="6381" spans="1:6" x14ac:dyDescent="0.25">
      <c r="A6381" t="s">
        <v>26</v>
      </c>
      <c r="B6381" t="s">
        <v>27</v>
      </c>
      <c r="C6381" t="s">
        <v>63</v>
      </c>
      <c r="D6381">
        <v>1840.71</v>
      </c>
      <c r="E6381">
        <v>2022</v>
      </c>
      <c r="F6381" t="s">
        <v>70</v>
      </c>
    </row>
    <row r="6382" spans="1:6" x14ac:dyDescent="0.25">
      <c r="A6382" t="s">
        <v>28</v>
      </c>
      <c r="B6382" t="s">
        <v>29</v>
      </c>
      <c r="C6382" t="s">
        <v>63</v>
      </c>
      <c r="D6382">
        <v>427206.33</v>
      </c>
      <c r="E6382">
        <v>2022</v>
      </c>
      <c r="F6382" t="s">
        <v>70</v>
      </c>
    </row>
    <row r="6383" spans="1:6" x14ac:dyDescent="0.25">
      <c r="A6383" t="s">
        <v>30</v>
      </c>
      <c r="B6383" t="s">
        <v>31</v>
      </c>
      <c r="C6383" t="s">
        <v>63</v>
      </c>
      <c r="D6383">
        <v>330303.15999999997</v>
      </c>
      <c r="E6383">
        <v>2022</v>
      </c>
      <c r="F6383" t="s">
        <v>70</v>
      </c>
    </row>
    <row r="6384" spans="1:6" x14ac:dyDescent="0.25">
      <c r="A6384" t="s">
        <v>32</v>
      </c>
      <c r="B6384" t="s">
        <v>33</v>
      </c>
      <c r="C6384" t="s">
        <v>63</v>
      </c>
      <c r="D6384">
        <v>14108.31</v>
      </c>
      <c r="E6384">
        <v>2022</v>
      </c>
      <c r="F6384" t="s">
        <v>70</v>
      </c>
    </row>
    <row r="6385" spans="1:6" x14ac:dyDescent="0.25">
      <c r="A6385" t="s">
        <v>34</v>
      </c>
      <c r="B6385" t="s">
        <v>35</v>
      </c>
      <c r="C6385" t="s">
        <v>63</v>
      </c>
      <c r="D6385">
        <v>16428.560000000001</v>
      </c>
      <c r="E6385">
        <v>2022</v>
      </c>
      <c r="F6385" t="s">
        <v>70</v>
      </c>
    </row>
    <row r="6386" spans="1:6" x14ac:dyDescent="0.25">
      <c r="A6386" t="s">
        <v>36</v>
      </c>
      <c r="B6386" t="s">
        <v>37</v>
      </c>
      <c r="C6386" t="s">
        <v>63</v>
      </c>
      <c r="D6386">
        <v>17683.07</v>
      </c>
      <c r="E6386">
        <v>2022</v>
      </c>
      <c r="F6386" t="s">
        <v>70</v>
      </c>
    </row>
    <row r="6387" spans="1:6" x14ac:dyDescent="0.25">
      <c r="A6387" t="s">
        <v>38</v>
      </c>
      <c r="B6387" t="s">
        <v>39</v>
      </c>
      <c r="C6387" t="s">
        <v>63</v>
      </c>
      <c r="D6387">
        <v>36397.040000000001</v>
      </c>
      <c r="E6387">
        <v>2022</v>
      </c>
      <c r="F6387" t="s">
        <v>70</v>
      </c>
    </row>
    <row r="6388" spans="1:6" x14ac:dyDescent="0.25">
      <c r="A6388" t="s">
        <v>40</v>
      </c>
      <c r="B6388" t="s">
        <v>41</v>
      </c>
      <c r="C6388" t="s">
        <v>63</v>
      </c>
      <c r="D6388">
        <v>15401.51</v>
      </c>
      <c r="E6388">
        <v>2022</v>
      </c>
      <c r="F6388" t="s">
        <v>70</v>
      </c>
    </row>
    <row r="6389" spans="1:6" x14ac:dyDescent="0.25">
      <c r="A6389" t="s">
        <v>42</v>
      </c>
      <c r="B6389" t="s">
        <v>43</v>
      </c>
      <c r="C6389" t="s">
        <v>63</v>
      </c>
      <c r="D6389">
        <v>280999.37</v>
      </c>
      <c r="E6389">
        <v>2022</v>
      </c>
      <c r="F6389" t="s">
        <v>70</v>
      </c>
    </row>
    <row r="6390" spans="1:6" x14ac:dyDescent="0.25">
      <c r="A6390" t="s">
        <v>44</v>
      </c>
      <c r="B6390" t="s">
        <v>45</v>
      </c>
      <c r="C6390" t="s">
        <v>63</v>
      </c>
      <c r="D6390">
        <v>13273.29</v>
      </c>
      <c r="E6390">
        <v>2022</v>
      </c>
      <c r="F6390" t="s">
        <v>70</v>
      </c>
    </row>
    <row r="6391" spans="1:6" x14ac:dyDescent="0.25">
      <c r="A6391" t="s">
        <v>46</v>
      </c>
      <c r="B6391" t="s">
        <v>47</v>
      </c>
      <c r="C6391" t="s">
        <v>63</v>
      </c>
      <c r="D6391">
        <v>29217.39</v>
      </c>
      <c r="E6391">
        <v>2022</v>
      </c>
      <c r="F6391" t="s">
        <v>70</v>
      </c>
    </row>
    <row r="6392" spans="1:6" x14ac:dyDescent="0.25">
      <c r="A6392" t="s">
        <v>48</v>
      </c>
      <c r="B6392" t="s">
        <v>49</v>
      </c>
      <c r="C6392" t="s">
        <v>63</v>
      </c>
      <c r="D6392">
        <v>38766.68</v>
      </c>
      <c r="E6392">
        <v>2022</v>
      </c>
      <c r="F6392" t="s">
        <v>70</v>
      </c>
    </row>
    <row r="6393" spans="1:6" x14ac:dyDescent="0.25">
      <c r="A6393" t="s">
        <v>50</v>
      </c>
      <c r="B6393" t="s">
        <v>51</v>
      </c>
      <c r="C6393" t="s">
        <v>63</v>
      </c>
      <c r="D6393">
        <v>273476.67</v>
      </c>
      <c r="E6393">
        <v>2022</v>
      </c>
      <c r="F6393" t="s">
        <v>70</v>
      </c>
    </row>
    <row r="6394" spans="1:6" x14ac:dyDescent="0.25">
      <c r="A6394" t="s">
        <v>52</v>
      </c>
      <c r="B6394" t="s">
        <v>53</v>
      </c>
      <c r="C6394" t="s">
        <v>63</v>
      </c>
      <c r="D6394">
        <v>4361.5</v>
      </c>
      <c r="E6394">
        <v>2022</v>
      </c>
      <c r="F6394" t="s">
        <v>70</v>
      </c>
    </row>
    <row r="6395" spans="1:6" x14ac:dyDescent="0.25">
      <c r="A6395" t="s">
        <v>54</v>
      </c>
      <c r="B6395" t="s">
        <v>55</v>
      </c>
      <c r="C6395" t="s">
        <v>63</v>
      </c>
      <c r="D6395">
        <v>4976.6499999999996</v>
      </c>
      <c r="E6395">
        <v>2022</v>
      </c>
      <c r="F6395" t="s">
        <v>70</v>
      </c>
    </row>
    <row r="6396" spans="1:6" x14ac:dyDescent="0.25">
      <c r="A6396" t="s">
        <v>56</v>
      </c>
      <c r="B6396" t="s">
        <v>57</v>
      </c>
      <c r="C6396" t="s">
        <v>63</v>
      </c>
      <c r="D6396">
        <v>5804.89</v>
      </c>
      <c r="E6396">
        <v>2022</v>
      </c>
      <c r="F6396" t="s">
        <v>70</v>
      </c>
    </row>
    <row r="6397" spans="1:6" x14ac:dyDescent="0.25">
      <c r="A6397" t="s">
        <v>58</v>
      </c>
      <c r="B6397" t="s">
        <v>59</v>
      </c>
      <c r="C6397" t="s">
        <v>63</v>
      </c>
      <c r="E6397">
        <v>2022</v>
      </c>
      <c r="F6397" t="s">
        <v>70</v>
      </c>
    </row>
    <row r="6398" spans="1:6" x14ac:dyDescent="0.25">
      <c r="A6398" t="s">
        <v>6</v>
      </c>
      <c r="B6398" t="s">
        <v>7</v>
      </c>
      <c r="C6398" t="s">
        <v>8</v>
      </c>
      <c r="D6398">
        <v>24124.83</v>
      </c>
      <c r="E6398">
        <v>2022</v>
      </c>
      <c r="F6398" t="s">
        <v>70</v>
      </c>
    </row>
    <row r="6399" spans="1:6" x14ac:dyDescent="0.25">
      <c r="A6399" t="s">
        <v>10</v>
      </c>
      <c r="B6399" t="s">
        <v>11</v>
      </c>
      <c r="C6399" t="s">
        <v>8</v>
      </c>
      <c r="D6399">
        <v>5589.5</v>
      </c>
      <c r="E6399">
        <v>2022</v>
      </c>
      <c r="F6399" t="s">
        <v>70</v>
      </c>
    </row>
    <row r="6400" spans="1:6" x14ac:dyDescent="0.25">
      <c r="A6400" t="s">
        <v>12</v>
      </c>
      <c r="B6400" t="s">
        <v>13</v>
      </c>
      <c r="C6400" t="s">
        <v>8</v>
      </c>
      <c r="D6400">
        <v>3274.24</v>
      </c>
      <c r="E6400">
        <v>2022</v>
      </c>
      <c r="F6400" t="s">
        <v>70</v>
      </c>
    </row>
    <row r="6401" spans="1:6" x14ac:dyDescent="0.25">
      <c r="A6401" t="s">
        <v>14</v>
      </c>
      <c r="B6401" t="s">
        <v>15</v>
      </c>
      <c r="C6401" t="s">
        <v>8</v>
      </c>
      <c r="E6401">
        <v>2022</v>
      </c>
      <c r="F6401" t="s">
        <v>70</v>
      </c>
    </row>
    <row r="6402" spans="1:6" x14ac:dyDescent="0.25">
      <c r="A6402" t="s">
        <v>16</v>
      </c>
      <c r="B6402" t="s">
        <v>17</v>
      </c>
      <c r="C6402" t="s">
        <v>8</v>
      </c>
      <c r="D6402">
        <v>127.94</v>
      </c>
      <c r="E6402">
        <v>2022</v>
      </c>
      <c r="F6402" t="s">
        <v>70</v>
      </c>
    </row>
    <row r="6403" spans="1:6" x14ac:dyDescent="0.25">
      <c r="A6403" t="s">
        <v>18</v>
      </c>
      <c r="B6403" t="s">
        <v>19</v>
      </c>
      <c r="C6403" t="s">
        <v>8</v>
      </c>
      <c r="D6403">
        <v>52.75</v>
      </c>
      <c r="E6403">
        <v>2022</v>
      </c>
      <c r="F6403" t="s">
        <v>70</v>
      </c>
    </row>
    <row r="6404" spans="1:6" x14ac:dyDescent="0.25">
      <c r="A6404" t="s">
        <v>20</v>
      </c>
      <c r="B6404" t="s">
        <v>21</v>
      </c>
      <c r="C6404" t="s">
        <v>8</v>
      </c>
      <c r="D6404">
        <v>25.73</v>
      </c>
      <c r="E6404">
        <v>2022</v>
      </c>
      <c r="F6404" t="s">
        <v>70</v>
      </c>
    </row>
    <row r="6405" spans="1:6" x14ac:dyDescent="0.25">
      <c r="A6405" t="s">
        <v>22</v>
      </c>
      <c r="B6405" t="s">
        <v>23</v>
      </c>
      <c r="C6405" t="s">
        <v>8</v>
      </c>
      <c r="D6405">
        <v>1957.27</v>
      </c>
      <c r="E6405">
        <v>2022</v>
      </c>
      <c r="F6405" t="s">
        <v>70</v>
      </c>
    </row>
    <row r="6406" spans="1:6" x14ac:dyDescent="0.25">
      <c r="A6406" t="s">
        <v>24</v>
      </c>
      <c r="B6406" t="s">
        <v>25</v>
      </c>
      <c r="C6406" t="s">
        <v>8</v>
      </c>
      <c r="D6406">
        <v>1631.84</v>
      </c>
      <c r="E6406">
        <v>2022</v>
      </c>
      <c r="F6406" t="s">
        <v>70</v>
      </c>
    </row>
    <row r="6407" spans="1:6" x14ac:dyDescent="0.25">
      <c r="A6407" t="s">
        <v>26</v>
      </c>
      <c r="B6407" t="s">
        <v>27</v>
      </c>
      <c r="C6407" t="s">
        <v>8</v>
      </c>
      <c r="D6407">
        <v>102.09</v>
      </c>
      <c r="E6407">
        <v>2022</v>
      </c>
      <c r="F6407" t="s">
        <v>70</v>
      </c>
    </row>
    <row r="6408" spans="1:6" x14ac:dyDescent="0.25">
      <c r="A6408" t="s">
        <v>28</v>
      </c>
      <c r="B6408" t="s">
        <v>29</v>
      </c>
      <c r="C6408" t="s">
        <v>8</v>
      </c>
      <c r="E6408">
        <v>2022</v>
      </c>
      <c r="F6408" t="s">
        <v>70</v>
      </c>
    </row>
    <row r="6409" spans="1:6" x14ac:dyDescent="0.25">
      <c r="A6409" t="s">
        <v>30</v>
      </c>
      <c r="B6409" t="s">
        <v>31</v>
      </c>
      <c r="C6409" t="s">
        <v>8</v>
      </c>
      <c r="D6409">
        <v>4025.79</v>
      </c>
      <c r="E6409">
        <v>2022</v>
      </c>
      <c r="F6409" t="s">
        <v>70</v>
      </c>
    </row>
    <row r="6410" spans="1:6" x14ac:dyDescent="0.25">
      <c r="A6410" t="s">
        <v>32</v>
      </c>
      <c r="B6410" t="s">
        <v>33</v>
      </c>
      <c r="C6410" t="s">
        <v>8</v>
      </c>
      <c r="D6410">
        <v>629.34</v>
      </c>
      <c r="E6410">
        <v>2022</v>
      </c>
      <c r="F6410" t="s">
        <v>70</v>
      </c>
    </row>
    <row r="6411" spans="1:6" x14ac:dyDescent="0.25">
      <c r="A6411" t="s">
        <v>34</v>
      </c>
      <c r="B6411" t="s">
        <v>35</v>
      </c>
      <c r="C6411" t="s">
        <v>8</v>
      </c>
      <c r="D6411">
        <v>924.35</v>
      </c>
      <c r="E6411">
        <v>2022</v>
      </c>
      <c r="F6411" t="s">
        <v>70</v>
      </c>
    </row>
    <row r="6412" spans="1:6" x14ac:dyDescent="0.25">
      <c r="A6412" t="s">
        <v>36</v>
      </c>
      <c r="B6412" t="s">
        <v>37</v>
      </c>
      <c r="C6412" t="s">
        <v>8</v>
      </c>
      <c r="D6412">
        <v>858.07</v>
      </c>
      <c r="E6412">
        <v>2022</v>
      </c>
      <c r="F6412" t="s">
        <v>70</v>
      </c>
    </row>
    <row r="6413" spans="1:6" x14ac:dyDescent="0.25">
      <c r="A6413" t="s">
        <v>38</v>
      </c>
      <c r="B6413" t="s">
        <v>39</v>
      </c>
      <c r="C6413" t="s">
        <v>8</v>
      </c>
      <c r="D6413">
        <v>281.94</v>
      </c>
      <c r="E6413">
        <v>2022</v>
      </c>
      <c r="F6413" t="s">
        <v>70</v>
      </c>
    </row>
    <row r="6414" spans="1:6" x14ac:dyDescent="0.25">
      <c r="A6414" t="s">
        <v>40</v>
      </c>
      <c r="B6414" t="s">
        <v>41</v>
      </c>
      <c r="C6414" t="s">
        <v>8</v>
      </c>
      <c r="D6414">
        <v>1170.83</v>
      </c>
      <c r="E6414">
        <v>2022</v>
      </c>
      <c r="F6414" t="s">
        <v>70</v>
      </c>
    </row>
    <row r="6415" spans="1:6" x14ac:dyDescent="0.25">
      <c r="A6415" t="s">
        <v>42</v>
      </c>
      <c r="B6415" t="s">
        <v>43</v>
      </c>
      <c r="C6415" t="s">
        <v>8</v>
      </c>
      <c r="D6415">
        <v>8.86</v>
      </c>
      <c r="E6415">
        <v>2022</v>
      </c>
      <c r="F6415" t="s">
        <v>70</v>
      </c>
    </row>
    <row r="6416" spans="1:6" x14ac:dyDescent="0.25">
      <c r="A6416" t="s">
        <v>44</v>
      </c>
      <c r="B6416" t="s">
        <v>45</v>
      </c>
      <c r="C6416" t="s">
        <v>8</v>
      </c>
      <c r="D6416">
        <v>235.14</v>
      </c>
      <c r="E6416">
        <v>2022</v>
      </c>
      <c r="F6416" t="s">
        <v>70</v>
      </c>
    </row>
    <row r="6417" spans="1:6" x14ac:dyDescent="0.25">
      <c r="A6417" t="s">
        <v>46</v>
      </c>
      <c r="B6417" t="s">
        <v>47</v>
      </c>
      <c r="C6417" t="s">
        <v>8</v>
      </c>
      <c r="D6417">
        <v>418.52</v>
      </c>
      <c r="E6417">
        <v>2022</v>
      </c>
      <c r="F6417" t="s">
        <v>70</v>
      </c>
    </row>
    <row r="6418" spans="1:6" x14ac:dyDescent="0.25">
      <c r="A6418" t="s">
        <v>48</v>
      </c>
      <c r="B6418" t="s">
        <v>49</v>
      </c>
      <c r="C6418" t="s">
        <v>8</v>
      </c>
      <c r="D6418">
        <v>21.3</v>
      </c>
      <c r="E6418">
        <v>2022</v>
      </c>
      <c r="F6418" t="s">
        <v>70</v>
      </c>
    </row>
    <row r="6419" spans="1:6" x14ac:dyDescent="0.25">
      <c r="A6419" t="s">
        <v>50</v>
      </c>
      <c r="B6419" t="s">
        <v>51</v>
      </c>
      <c r="C6419" t="s">
        <v>8</v>
      </c>
      <c r="D6419">
        <v>19.53</v>
      </c>
      <c r="E6419">
        <v>2022</v>
      </c>
      <c r="F6419" t="s">
        <v>70</v>
      </c>
    </row>
    <row r="6420" spans="1:6" x14ac:dyDescent="0.25">
      <c r="A6420" t="s">
        <v>52</v>
      </c>
      <c r="B6420" t="s">
        <v>53</v>
      </c>
      <c r="C6420" t="s">
        <v>8</v>
      </c>
      <c r="D6420">
        <v>297.62</v>
      </c>
      <c r="E6420">
        <v>2022</v>
      </c>
      <c r="F6420" t="s">
        <v>70</v>
      </c>
    </row>
    <row r="6421" spans="1:6" x14ac:dyDescent="0.25">
      <c r="A6421" t="s">
        <v>54</v>
      </c>
      <c r="B6421" t="s">
        <v>55</v>
      </c>
      <c r="C6421" t="s">
        <v>8</v>
      </c>
      <c r="D6421">
        <v>66.010000000000005</v>
      </c>
      <c r="E6421">
        <v>2022</v>
      </c>
      <c r="F6421" t="s">
        <v>70</v>
      </c>
    </row>
    <row r="6422" spans="1:6" x14ac:dyDescent="0.25">
      <c r="A6422" t="s">
        <v>56</v>
      </c>
      <c r="B6422" t="s">
        <v>57</v>
      </c>
      <c r="C6422" t="s">
        <v>8</v>
      </c>
      <c r="D6422">
        <v>654.57000000000005</v>
      </c>
      <c r="E6422">
        <v>2022</v>
      </c>
      <c r="F6422" t="s">
        <v>70</v>
      </c>
    </row>
    <row r="6423" spans="1:6" x14ac:dyDescent="0.25">
      <c r="A6423" t="s">
        <v>58</v>
      </c>
      <c r="B6423" t="s">
        <v>59</v>
      </c>
      <c r="C6423" t="s">
        <v>8</v>
      </c>
      <c r="D6423">
        <v>1751.6</v>
      </c>
      <c r="E6423">
        <v>2022</v>
      </c>
      <c r="F6423" t="s">
        <v>70</v>
      </c>
    </row>
    <row r="6424" spans="1:6" x14ac:dyDescent="0.25">
      <c r="A6424" t="s">
        <v>6</v>
      </c>
      <c r="B6424" t="s">
        <v>7</v>
      </c>
      <c r="C6424" t="s">
        <v>60</v>
      </c>
      <c r="D6424">
        <v>35137.97</v>
      </c>
      <c r="E6424">
        <v>2022</v>
      </c>
      <c r="F6424" t="s">
        <v>70</v>
      </c>
    </row>
    <row r="6425" spans="1:6" x14ac:dyDescent="0.25">
      <c r="A6425" t="s">
        <v>10</v>
      </c>
      <c r="B6425" t="s">
        <v>11</v>
      </c>
      <c r="C6425" t="s">
        <v>60</v>
      </c>
      <c r="D6425">
        <v>9368.3700000000008</v>
      </c>
      <c r="E6425">
        <v>2022</v>
      </c>
      <c r="F6425" t="s">
        <v>70</v>
      </c>
    </row>
    <row r="6426" spans="1:6" x14ac:dyDescent="0.25">
      <c r="A6426" t="s">
        <v>12</v>
      </c>
      <c r="B6426" t="s">
        <v>13</v>
      </c>
      <c r="C6426" t="s">
        <v>60</v>
      </c>
      <c r="D6426">
        <v>1753.29</v>
      </c>
      <c r="E6426">
        <v>2022</v>
      </c>
      <c r="F6426" t="s">
        <v>70</v>
      </c>
    </row>
    <row r="6427" spans="1:6" x14ac:dyDescent="0.25">
      <c r="A6427" t="s">
        <v>14</v>
      </c>
      <c r="B6427" t="s">
        <v>15</v>
      </c>
      <c r="C6427" t="s">
        <v>60</v>
      </c>
      <c r="E6427">
        <v>2022</v>
      </c>
      <c r="F6427" t="s">
        <v>70</v>
      </c>
    </row>
    <row r="6428" spans="1:6" x14ac:dyDescent="0.25">
      <c r="A6428" t="s">
        <v>16</v>
      </c>
      <c r="B6428" t="s">
        <v>17</v>
      </c>
      <c r="C6428" t="s">
        <v>60</v>
      </c>
      <c r="D6428">
        <v>715.39</v>
      </c>
      <c r="E6428">
        <v>2022</v>
      </c>
      <c r="F6428" t="s">
        <v>70</v>
      </c>
    </row>
    <row r="6429" spans="1:6" x14ac:dyDescent="0.25">
      <c r="A6429" t="s">
        <v>18</v>
      </c>
      <c r="B6429" t="s">
        <v>19</v>
      </c>
      <c r="C6429" t="s">
        <v>60</v>
      </c>
      <c r="D6429">
        <v>1312.74</v>
      </c>
      <c r="E6429">
        <v>2022</v>
      </c>
      <c r="F6429" t="s">
        <v>70</v>
      </c>
    </row>
    <row r="6430" spans="1:6" x14ac:dyDescent="0.25">
      <c r="A6430" t="s">
        <v>20</v>
      </c>
      <c r="B6430" t="s">
        <v>21</v>
      </c>
      <c r="C6430" t="s">
        <v>60</v>
      </c>
      <c r="D6430">
        <v>215.98</v>
      </c>
      <c r="E6430">
        <v>2022</v>
      </c>
      <c r="F6430" t="s">
        <v>70</v>
      </c>
    </row>
    <row r="6431" spans="1:6" x14ac:dyDescent="0.25">
      <c r="A6431" t="s">
        <v>22</v>
      </c>
      <c r="B6431" t="s">
        <v>23</v>
      </c>
      <c r="C6431" t="s">
        <v>60</v>
      </c>
      <c r="D6431">
        <v>162.04</v>
      </c>
      <c r="E6431">
        <v>2022</v>
      </c>
      <c r="F6431" t="s">
        <v>70</v>
      </c>
    </row>
    <row r="6432" spans="1:6" x14ac:dyDescent="0.25">
      <c r="A6432" t="s">
        <v>24</v>
      </c>
      <c r="B6432" t="s">
        <v>25</v>
      </c>
      <c r="C6432" t="s">
        <v>60</v>
      </c>
      <c r="D6432">
        <v>1436.19</v>
      </c>
      <c r="E6432">
        <v>2022</v>
      </c>
      <c r="F6432" t="s">
        <v>70</v>
      </c>
    </row>
    <row r="6433" spans="1:6" x14ac:dyDescent="0.25">
      <c r="A6433" t="s">
        <v>26</v>
      </c>
      <c r="B6433" t="s">
        <v>27</v>
      </c>
      <c r="C6433" t="s">
        <v>60</v>
      </c>
      <c r="D6433">
        <v>532.52</v>
      </c>
      <c r="E6433">
        <v>2022</v>
      </c>
      <c r="F6433" t="s">
        <v>70</v>
      </c>
    </row>
    <row r="6434" spans="1:6" x14ac:dyDescent="0.25">
      <c r="A6434" t="s">
        <v>28</v>
      </c>
      <c r="B6434" t="s">
        <v>29</v>
      </c>
      <c r="C6434" t="s">
        <v>60</v>
      </c>
      <c r="D6434">
        <v>1471.28</v>
      </c>
      <c r="E6434">
        <v>2022</v>
      </c>
      <c r="F6434" t="s">
        <v>70</v>
      </c>
    </row>
    <row r="6435" spans="1:6" x14ac:dyDescent="0.25">
      <c r="A6435" t="s">
        <v>30</v>
      </c>
      <c r="B6435" t="s">
        <v>31</v>
      </c>
      <c r="C6435" t="s">
        <v>60</v>
      </c>
      <c r="D6435">
        <v>4641.8100000000004</v>
      </c>
      <c r="E6435">
        <v>2022</v>
      </c>
      <c r="F6435" t="s">
        <v>70</v>
      </c>
    </row>
    <row r="6436" spans="1:6" x14ac:dyDescent="0.25">
      <c r="A6436" t="s">
        <v>32</v>
      </c>
      <c r="B6436" t="s">
        <v>33</v>
      </c>
      <c r="C6436" t="s">
        <v>60</v>
      </c>
      <c r="D6436">
        <v>1660.54</v>
      </c>
      <c r="E6436">
        <v>2022</v>
      </c>
      <c r="F6436" t="s">
        <v>70</v>
      </c>
    </row>
    <row r="6437" spans="1:6" x14ac:dyDescent="0.25">
      <c r="A6437" t="s">
        <v>34</v>
      </c>
      <c r="B6437" t="s">
        <v>35</v>
      </c>
      <c r="C6437" t="s">
        <v>60</v>
      </c>
      <c r="D6437">
        <v>1818.39</v>
      </c>
      <c r="E6437">
        <v>2022</v>
      </c>
      <c r="F6437" t="s">
        <v>70</v>
      </c>
    </row>
    <row r="6438" spans="1:6" x14ac:dyDescent="0.25">
      <c r="A6438" t="s">
        <v>36</v>
      </c>
      <c r="B6438" t="s">
        <v>37</v>
      </c>
      <c r="C6438" t="s">
        <v>60</v>
      </c>
      <c r="D6438">
        <v>2110.0700000000002</v>
      </c>
      <c r="E6438">
        <v>2022</v>
      </c>
      <c r="F6438" t="s">
        <v>70</v>
      </c>
    </row>
    <row r="6439" spans="1:6" x14ac:dyDescent="0.25">
      <c r="A6439" t="s">
        <v>38</v>
      </c>
      <c r="B6439" t="s">
        <v>39</v>
      </c>
      <c r="C6439" t="s">
        <v>60</v>
      </c>
      <c r="D6439">
        <v>1018.25</v>
      </c>
      <c r="E6439">
        <v>2022</v>
      </c>
      <c r="F6439" t="s">
        <v>70</v>
      </c>
    </row>
    <row r="6440" spans="1:6" x14ac:dyDescent="0.25">
      <c r="A6440" t="s">
        <v>40</v>
      </c>
      <c r="B6440" t="s">
        <v>41</v>
      </c>
      <c r="C6440" t="s">
        <v>60</v>
      </c>
      <c r="D6440">
        <v>945.74</v>
      </c>
      <c r="E6440">
        <v>2022</v>
      </c>
      <c r="F6440" t="s">
        <v>70</v>
      </c>
    </row>
    <row r="6441" spans="1:6" x14ac:dyDescent="0.25">
      <c r="A6441" t="s">
        <v>42</v>
      </c>
      <c r="B6441" t="s">
        <v>43</v>
      </c>
      <c r="C6441" t="s">
        <v>60</v>
      </c>
      <c r="E6441">
        <v>2022</v>
      </c>
      <c r="F6441" t="s">
        <v>70</v>
      </c>
    </row>
    <row r="6442" spans="1:6" x14ac:dyDescent="0.25">
      <c r="A6442" t="s">
        <v>44</v>
      </c>
      <c r="B6442" t="s">
        <v>45</v>
      </c>
      <c r="C6442" t="s">
        <v>60</v>
      </c>
      <c r="D6442">
        <v>733.03</v>
      </c>
      <c r="E6442">
        <v>2022</v>
      </c>
      <c r="F6442" t="s">
        <v>70</v>
      </c>
    </row>
    <row r="6443" spans="1:6" x14ac:dyDescent="0.25">
      <c r="A6443" t="s">
        <v>46</v>
      </c>
      <c r="B6443" t="s">
        <v>47</v>
      </c>
      <c r="C6443" t="s">
        <v>60</v>
      </c>
      <c r="D6443">
        <v>375.54</v>
      </c>
      <c r="E6443">
        <v>2022</v>
      </c>
      <c r="F6443" t="s">
        <v>70</v>
      </c>
    </row>
    <row r="6444" spans="1:6" x14ac:dyDescent="0.25">
      <c r="A6444" t="s">
        <v>48</v>
      </c>
      <c r="B6444" t="s">
        <v>49</v>
      </c>
      <c r="C6444" t="s">
        <v>60</v>
      </c>
      <c r="D6444">
        <v>346.78</v>
      </c>
      <c r="E6444">
        <v>2022</v>
      </c>
      <c r="F6444" t="s">
        <v>70</v>
      </c>
    </row>
    <row r="6445" spans="1:6" x14ac:dyDescent="0.25">
      <c r="A6445" t="s">
        <v>50</v>
      </c>
      <c r="B6445" t="s">
        <v>51</v>
      </c>
      <c r="C6445" t="s">
        <v>60</v>
      </c>
      <c r="D6445">
        <v>235.16</v>
      </c>
      <c r="E6445">
        <v>2022</v>
      </c>
      <c r="F6445" t="s">
        <v>70</v>
      </c>
    </row>
    <row r="6446" spans="1:6" x14ac:dyDescent="0.25">
      <c r="A6446" t="s">
        <v>52</v>
      </c>
      <c r="B6446" t="s">
        <v>53</v>
      </c>
      <c r="C6446" t="s">
        <v>60</v>
      </c>
      <c r="D6446">
        <v>393.58</v>
      </c>
      <c r="E6446">
        <v>2022</v>
      </c>
      <c r="F6446" t="s">
        <v>70</v>
      </c>
    </row>
    <row r="6447" spans="1:6" x14ac:dyDescent="0.25">
      <c r="A6447" t="s">
        <v>54</v>
      </c>
      <c r="B6447" t="s">
        <v>55</v>
      </c>
      <c r="C6447" t="s">
        <v>60</v>
      </c>
      <c r="D6447">
        <v>3891.28</v>
      </c>
      <c r="E6447">
        <v>2022</v>
      </c>
      <c r="F6447" t="s">
        <v>70</v>
      </c>
    </row>
    <row r="6448" spans="1:6" x14ac:dyDescent="0.25">
      <c r="A6448" t="s">
        <v>56</v>
      </c>
      <c r="B6448" t="s">
        <v>57</v>
      </c>
      <c r="C6448" t="s">
        <v>60</v>
      </c>
      <c r="E6448">
        <v>2022</v>
      </c>
      <c r="F6448" t="s">
        <v>70</v>
      </c>
    </row>
    <row r="6449" spans="1:6" x14ac:dyDescent="0.25">
      <c r="A6449" t="s">
        <v>58</v>
      </c>
      <c r="B6449" t="s">
        <v>59</v>
      </c>
      <c r="C6449" t="s">
        <v>60</v>
      </c>
      <c r="E6449">
        <v>2022</v>
      </c>
      <c r="F6449" t="s">
        <v>70</v>
      </c>
    </row>
    <row r="6450" spans="1:6" x14ac:dyDescent="0.25">
      <c r="A6450" t="s">
        <v>6</v>
      </c>
      <c r="B6450" t="s">
        <v>7</v>
      </c>
      <c r="C6450" t="s">
        <v>61</v>
      </c>
      <c r="D6450">
        <v>8256.73</v>
      </c>
      <c r="E6450">
        <v>2022</v>
      </c>
      <c r="F6450" t="s">
        <v>70</v>
      </c>
    </row>
    <row r="6451" spans="1:6" x14ac:dyDescent="0.25">
      <c r="A6451" t="s">
        <v>10</v>
      </c>
      <c r="B6451" t="s">
        <v>11</v>
      </c>
      <c r="C6451" t="s">
        <v>61</v>
      </c>
      <c r="D6451">
        <v>3649.81</v>
      </c>
      <c r="E6451">
        <v>2022</v>
      </c>
      <c r="F6451" t="s">
        <v>70</v>
      </c>
    </row>
    <row r="6452" spans="1:6" x14ac:dyDescent="0.25">
      <c r="A6452" t="s">
        <v>12</v>
      </c>
      <c r="B6452" t="s">
        <v>13</v>
      </c>
      <c r="C6452" t="s">
        <v>61</v>
      </c>
      <c r="D6452">
        <v>378.92</v>
      </c>
      <c r="E6452">
        <v>2022</v>
      </c>
      <c r="F6452" t="s">
        <v>70</v>
      </c>
    </row>
    <row r="6453" spans="1:6" x14ac:dyDescent="0.25">
      <c r="A6453" t="s">
        <v>14</v>
      </c>
      <c r="B6453" t="s">
        <v>15</v>
      </c>
      <c r="C6453" t="s">
        <v>61</v>
      </c>
      <c r="E6453">
        <v>2022</v>
      </c>
      <c r="F6453" t="s">
        <v>70</v>
      </c>
    </row>
    <row r="6454" spans="1:6" x14ac:dyDescent="0.25">
      <c r="A6454" t="s">
        <v>16</v>
      </c>
      <c r="B6454" t="s">
        <v>17</v>
      </c>
      <c r="C6454" t="s">
        <v>61</v>
      </c>
      <c r="D6454">
        <v>264.64</v>
      </c>
      <c r="E6454">
        <v>2022</v>
      </c>
      <c r="F6454" t="s">
        <v>70</v>
      </c>
    </row>
    <row r="6455" spans="1:6" x14ac:dyDescent="0.25">
      <c r="A6455" t="s">
        <v>18</v>
      </c>
      <c r="B6455" t="s">
        <v>19</v>
      </c>
      <c r="C6455" t="s">
        <v>61</v>
      </c>
      <c r="D6455">
        <v>60.57</v>
      </c>
      <c r="E6455">
        <v>2022</v>
      </c>
      <c r="F6455" t="s">
        <v>70</v>
      </c>
    </row>
    <row r="6456" spans="1:6" x14ac:dyDescent="0.25">
      <c r="A6456" t="s">
        <v>20</v>
      </c>
      <c r="B6456" t="s">
        <v>21</v>
      </c>
      <c r="C6456" t="s">
        <v>61</v>
      </c>
      <c r="D6456">
        <v>35.57</v>
      </c>
      <c r="E6456">
        <v>2022</v>
      </c>
      <c r="F6456" t="s">
        <v>70</v>
      </c>
    </row>
    <row r="6457" spans="1:6" x14ac:dyDescent="0.25">
      <c r="A6457" t="s">
        <v>22</v>
      </c>
      <c r="B6457" t="s">
        <v>23</v>
      </c>
      <c r="C6457" t="s">
        <v>61</v>
      </c>
      <c r="D6457">
        <v>147.49</v>
      </c>
      <c r="E6457">
        <v>2022</v>
      </c>
      <c r="F6457" t="s">
        <v>70</v>
      </c>
    </row>
    <row r="6458" spans="1:6" x14ac:dyDescent="0.25">
      <c r="A6458" t="s">
        <v>24</v>
      </c>
      <c r="B6458" t="s">
        <v>25</v>
      </c>
      <c r="C6458" t="s">
        <v>61</v>
      </c>
      <c r="D6458">
        <v>573.14</v>
      </c>
      <c r="E6458">
        <v>2022</v>
      </c>
      <c r="F6458" t="s">
        <v>70</v>
      </c>
    </row>
    <row r="6459" spans="1:6" x14ac:dyDescent="0.25">
      <c r="A6459" t="s">
        <v>26</v>
      </c>
      <c r="B6459" t="s">
        <v>27</v>
      </c>
      <c r="C6459" t="s">
        <v>61</v>
      </c>
      <c r="D6459">
        <v>95.49</v>
      </c>
      <c r="E6459">
        <v>2022</v>
      </c>
      <c r="F6459" t="s">
        <v>70</v>
      </c>
    </row>
    <row r="6460" spans="1:6" x14ac:dyDescent="0.25">
      <c r="A6460" t="s">
        <v>28</v>
      </c>
      <c r="B6460" t="s">
        <v>29</v>
      </c>
      <c r="C6460" t="s">
        <v>61</v>
      </c>
      <c r="D6460">
        <v>164.17</v>
      </c>
      <c r="E6460">
        <v>2022</v>
      </c>
      <c r="F6460" t="s">
        <v>70</v>
      </c>
    </row>
    <row r="6461" spans="1:6" x14ac:dyDescent="0.25">
      <c r="A6461" t="s">
        <v>30</v>
      </c>
      <c r="B6461" t="s">
        <v>31</v>
      </c>
      <c r="C6461" t="s">
        <v>61</v>
      </c>
      <c r="D6461">
        <v>531.34</v>
      </c>
      <c r="E6461">
        <v>2022</v>
      </c>
      <c r="F6461" t="s">
        <v>70</v>
      </c>
    </row>
    <row r="6462" spans="1:6" x14ac:dyDescent="0.25">
      <c r="A6462" t="s">
        <v>32</v>
      </c>
      <c r="B6462" t="s">
        <v>33</v>
      </c>
      <c r="C6462" t="s">
        <v>61</v>
      </c>
      <c r="D6462">
        <v>155.53</v>
      </c>
      <c r="E6462">
        <v>2022</v>
      </c>
      <c r="F6462" t="s">
        <v>70</v>
      </c>
    </row>
    <row r="6463" spans="1:6" x14ac:dyDescent="0.25">
      <c r="A6463" t="s">
        <v>34</v>
      </c>
      <c r="B6463" t="s">
        <v>35</v>
      </c>
      <c r="C6463" t="s">
        <v>61</v>
      </c>
      <c r="D6463">
        <v>307.43</v>
      </c>
      <c r="E6463">
        <v>2022</v>
      </c>
      <c r="F6463" t="s">
        <v>70</v>
      </c>
    </row>
    <row r="6464" spans="1:6" x14ac:dyDescent="0.25">
      <c r="A6464" t="s">
        <v>36</v>
      </c>
      <c r="B6464" t="s">
        <v>37</v>
      </c>
      <c r="C6464" t="s">
        <v>61</v>
      </c>
      <c r="D6464">
        <v>537.29999999999995</v>
      </c>
      <c r="E6464">
        <v>2022</v>
      </c>
      <c r="F6464" t="s">
        <v>70</v>
      </c>
    </row>
    <row r="6465" spans="1:6" x14ac:dyDescent="0.25">
      <c r="A6465" t="s">
        <v>38</v>
      </c>
      <c r="B6465" t="s">
        <v>39</v>
      </c>
      <c r="C6465" t="s">
        <v>61</v>
      </c>
      <c r="D6465">
        <v>357.33</v>
      </c>
      <c r="E6465">
        <v>2022</v>
      </c>
      <c r="F6465" t="s">
        <v>70</v>
      </c>
    </row>
    <row r="6466" spans="1:6" x14ac:dyDescent="0.25">
      <c r="A6466" t="s">
        <v>40</v>
      </c>
      <c r="B6466" t="s">
        <v>41</v>
      </c>
      <c r="C6466" t="s">
        <v>61</v>
      </c>
      <c r="D6466">
        <v>220.51</v>
      </c>
      <c r="E6466">
        <v>2022</v>
      </c>
      <c r="F6466" t="s">
        <v>70</v>
      </c>
    </row>
    <row r="6467" spans="1:6" x14ac:dyDescent="0.25">
      <c r="A6467" t="s">
        <v>42</v>
      </c>
      <c r="B6467" t="s">
        <v>43</v>
      </c>
      <c r="C6467" t="s">
        <v>61</v>
      </c>
      <c r="D6467">
        <v>60.31</v>
      </c>
      <c r="E6467">
        <v>2022</v>
      </c>
      <c r="F6467" t="s">
        <v>70</v>
      </c>
    </row>
    <row r="6468" spans="1:6" x14ac:dyDescent="0.25">
      <c r="A6468" t="s">
        <v>44</v>
      </c>
      <c r="B6468" t="s">
        <v>45</v>
      </c>
      <c r="C6468" t="s">
        <v>61</v>
      </c>
      <c r="D6468">
        <v>144.21</v>
      </c>
      <c r="E6468">
        <v>2022</v>
      </c>
      <c r="F6468" t="s">
        <v>70</v>
      </c>
    </row>
    <row r="6469" spans="1:6" x14ac:dyDescent="0.25">
      <c r="A6469" t="s">
        <v>46</v>
      </c>
      <c r="B6469" t="s">
        <v>47</v>
      </c>
      <c r="C6469" t="s">
        <v>61</v>
      </c>
      <c r="D6469">
        <v>53.82</v>
      </c>
      <c r="E6469">
        <v>2022</v>
      </c>
      <c r="F6469" t="s">
        <v>70</v>
      </c>
    </row>
    <row r="6470" spans="1:6" x14ac:dyDescent="0.25">
      <c r="A6470" t="s">
        <v>48</v>
      </c>
      <c r="B6470" t="s">
        <v>49</v>
      </c>
      <c r="C6470" t="s">
        <v>61</v>
      </c>
      <c r="D6470">
        <v>48.21</v>
      </c>
      <c r="E6470">
        <v>2022</v>
      </c>
      <c r="F6470" t="s">
        <v>70</v>
      </c>
    </row>
    <row r="6471" spans="1:6" x14ac:dyDescent="0.25">
      <c r="A6471" t="s">
        <v>50</v>
      </c>
      <c r="B6471" t="s">
        <v>51</v>
      </c>
      <c r="C6471" t="s">
        <v>61</v>
      </c>
      <c r="D6471">
        <v>44.92</v>
      </c>
      <c r="E6471">
        <v>2022</v>
      </c>
      <c r="F6471" t="s">
        <v>70</v>
      </c>
    </row>
    <row r="6472" spans="1:6" x14ac:dyDescent="0.25">
      <c r="A6472" t="s">
        <v>52</v>
      </c>
      <c r="B6472" t="s">
        <v>53</v>
      </c>
      <c r="C6472" t="s">
        <v>61</v>
      </c>
      <c r="D6472">
        <v>144.32</v>
      </c>
      <c r="E6472">
        <v>2022</v>
      </c>
      <c r="F6472" t="s">
        <v>70</v>
      </c>
    </row>
    <row r="6473" spans="1:6" x14ac:dyDescent="0.25">
      <c r="A6473" t="s">
        <v>54</v>
      </c>
      <c r="B6473" t="s">
        <v>55</v>
      </c>
      <c r="C6473" t="s">
        <v>61</v>
      </c>
      <c r="D6473">
        <v>6.1</v>
      </c>
      <c r="E6473">
        <v>2022</v>
      </c>
      <c r="F6473" t="s">
        <v>70</v>
      </c>
    </row>
    <row r="6474" spans="1:6" x14ac:dyDescent="0.25">
      <c r="A6474" t="s">
        <v>56</v>
      </c>
      <c r="B6474" t="s">
        <v>57</v>
      </c>
      <c r="C6474" t="s">
        <v>61</v>
      </c>
      <c r="D6474">
        <v>275.60000000000002</v>
      </c>
      <c r="E6474">
        <v>2022</v>
      </c>
      <c r="F6474" t="s">
        <v>70</v>
      </c>
    </row>
    <row r="6475" spans="1:6" x14ac:dyDescent="0.25">
      <c r="A6475" t="s">
        <v>58</v>
      </c>
      <c r="B6475" t="s">
        <v>59</v>
      </c>
      <c r="C6475" t="s">
        <v>61</v>
      </c>
      <c r="E6475">
        <v>2022</v>
      </c>
      <c r="F6475" t="s">
        <v>70</v>
      </c>
    </row>
    <row r="6476" spans="1:6" x14ac:dyDescent="0.25">
      <c r="A6476" t="s">
        <v>6</v>
      </c>
      <c r="B6476" t="s">
        <v>7</v>
      </c>
      <c r="C6476" t="s">
        <v>65</v>
      </c>
      <c r="D6476">
        <v>223927.31</v>
      </c>
      <c r="E6476">
        <v>2022</v>
      </c>
      <c r="F6476" t="s">
        <v>70</v>
      </c>
    </row>
    <row r="6477" spans="1:6" x14ac:dyDescent="0.25">
      <c r="A6477" t="s">
        <v>10</v>
      </c>
      <c r="B6477" t="s">
        <v>11</v>
      </c>
      <c r="C6477" t="s">
        <v>65</v>
      </c>
      <c r="D6477">
        <v>32777.870000000003</v>
      </c>
      <c r="E6477">
        <v>2022</v>
      </c>
      <c r="F6477" t="s">
        <v>70</v>
      </c>
    </row>
    <row r="6478" spans="1:6" x14ac:dyDescent="0.25">
      <c r="A6478" t="s">
        <v>12</v>
      </c>
      <c r="B6478" t="s">
        <v>13</v>
      </c>
      <c r="C6478" t="s">
        <v>65</v>
      </c>
      <c r="D6478">
        <v>14705.19</v>
      </c>
      <c r="E6478">
        <v>2022</v>
      </c>
      <c r="F6478" t="s">
        <v>70</v>
      </c>
    </row>
    <row r="6479" spans="1:6" x14ac:dyDescent="0.25">
      <c r="A6479" t="s">
        <v>14</v>
      </c>
      <c r="B6479" t="s">
        <v>15</v>
      </c>
      <c r="C6479" t="s">
        <v>65</v>
      </c>
      <c r="D6479">
        <v>565.44000000000005</v>
      </c>
      <c r="E6479">
        <v>2022</v>
      </c>
      <c r="F6479" t="s">
        <v>70</v>
      </c>
    </row>
    <row r="6480" spans="1:6" x14ac:dyDescent="0.25">
      <c r="A6480" t="s">
        <v>16</v>
      </c>
      <c r="B6480" t="s">
        <v>17</v>
      </c>
      <c r="C6480" t="s">
        <v>65</v>
      </c>
      <c r="D6480">
        <v>9055.2999999999993</v>
      </c>
      <c r="E6480">
        <v>2022</v>
      </c>
      <c r="F6480" t="s">
        <v>70</v>
      </c>
    </row>
    <row r="6481" spans="1:6" x14ac:dyDescent="0.25">
      <c r="A6481" t="s">
        <v>18</v>
      </c>
      <c r="B6481" t="s">
        <v>19</v>
      </c>
      <c r="C6481" t="s">
        <v>65</v>
      </c>
      <c r="D6481">
        <v>2639.92</v>
      </c>
      <c r="E6481">
        <v>2022</v>
      </c>
      <c r="F6481" t="s">
        <v>70</v>
      </c>
    </row>
    <row r="6482" spans="1:6" x14ac:dyDescent="0.25">
      <c r="A6482" t="s">
        <v>20</v>
      </c>
      <c r="B6482" t="s">
        <v>21</v>
      </c>
      <c r="C6482" t="s">
        <v>65</v>
      </c>
      <c r="D6482">
        <v>1562.29</v>
      </c>
      <c r="E6482">
        <v>2022</v>
      </c>
      <c r="F6482" t="s">
        <v>70</v>
      </c>
    </row>
    <row r="6483" spans="1:6" x14ac:dyDescent="0.25">
      <c r="A6483" t="s">
        <v>22</v>
      </c>
      <c r="B6483" t="s">
        <v>23</v>
      </c>
      <c r="C6483" t="s">
        <v>65</v>
      </c>
      <c r="D6483">
        <v>1700.49</v>
      </c>
      <c r="E6483">
        <v>2022</v>
      </c>
      <c r="F6483" t="s">
        <v>70</v>
      </c>
    </row>
    <row r="6484" spans="1:6" x14ac:dyDescent="0.25">
      <c r="A6484" t="s">
        <v>24</v>
      </c>
      <c r="B6484" t="s">
        <v>25</v>
      </c>
      <c r="C6484" t="s">
        <v>65</v>
      </c>
      <c r="D6484">
        <v>5293.22</v>
      </c>
      <c r="E6484">
        <v>2022</v>
      </c>
      <c r="F6484" t="s">
        <v>70</v>
      </c>
    </row>
    <row r="6485" spans="1:6" x14ac:dyDescent="0.25">
      <c r="A6485" t="s">
        <v>26</v>
      </c>
      <c r="B6485" t="s">
        <v>27</v>
      </c>
      <c r="C6485" t="s">
        <v>65</v>
      </c>
      <c r="D6485">
        <v>362.3</v>
      </c>
      <c r="E6485">
        <v>2022</v>
      </c>
      <c r="F6485" t="s">
        <v>70</v>
      </c>
    </row>
    <row r="6486" spans="1:6" x14ac:dyDescent="0.25">
      <c r="A6486" t="s">
        <v>28</v>
      </c>
      <c r="B6486" t="s">
        <v>29</v>
      </c>
      <c r="C6486" t="s">
        <v>65</v>
      </c>
      <c r="D6486">
        <v>16222.65</v>
      </c>
      <c r="E6486">
        <v>2022</v>
      </c>
      <c r="F6486" t="s">
        <v>70</v>
      </c>
    </row>
    <row r="6487" spans="1:6" x14ac:dyDescent="0.25">
      <c r="A6487" t="s">
        <v>30</v>
      </c>
      <c r="B6487" t="s">
        <v>31</v>
      </c>
      <c r="C6487" t="s">
        <v>65</v>
      </c>
      <c r="D6487">
        <v>17101.09</v>
      </c>
      <c r="E6487">
        <v>2022</v>
      </c>
      <c r="F6487" t="s">
        <v>70</v>
      </c>
    </row>
    <row r="6488" spans="1:6" x14ac:dyDescent="0.25">
      <c r="A6488" t="s">
        <v>32</v>
      </c>
      <c r="B6488" t="s">
        <v>33</v>
      </c>
      <c r="C6488" t="s">
        <v>65</v>
      </c>
      <c r="D6488">
        <v>2103.71</v>
      </c>
      <c r="E6488">
        <v>2022</v>
      </c>
      <c r="F6488" t="s">
        <v>70</v>
      </c>
    </row>
    <row r="6489" spans="1:6" x14ac:dyDescent="0.25">
      <c r="A6489" t="s">
        <v>34</v>
      </c>
      <c r="B6489" t="s">
        <v>35</v>
      </c>
      <c r="C6489" t="s">
        <v>65</v>
      </c>
      <c r="D6489">
        <v>10667.99</v>
      </c>
      <c r="E6489">
        <v>2022</v>
      </c>
      <c r="F6489" t="s">
        <v>70</v>
      </c>
    </row>
    <row r="6490" spans="1:6" x14ac:dyDescent="0.25">
      <c r="A6490" t="s">
        <v>36</v>
      </c>
      <c r="B6490" t="s">
        <v>37</v>
      </c>
      <c r="C6490" t="s">
        <v>65</v>
      </c>
      <c r="D6490">
        <v>12660.51</v>
      </c>
      <c r="E6490">
        <v>2022</v>
      </c>
      <c r="F6490" t="s">
        <v>70</v>
      </c>
    </row>
    <row r="6491" spans="1:6" x14ac:dyDescent="0.25">
      <c r="A6491" t="s">
        <v>38</v>
      </c>
      <c r="B6491" t="s">
        <v>39</v>
      </c>
      <c r="C6491" t="s">
        <v>65</v>
      </c>
      <c r="D6491">
        <v>15101.03</v>
      </c>
      <c r="E6491">
        <v>2022</v>
      </c>
      <c r="F6491" t="s">
        <v>70</v>
      </c>
    </row>
    <row r="6492" spans="1:6" x14ac:dyDescent="0.25">
      <c r="A6492" t="s">
        <v>40</v>
      </c>
      <c r="B6492" t="s">
        <v>41</v>
      </c>
      <c r="C6492" t="s">
        <v>65</v>
      </c>
      <c r="D6492">
        <v>12374.62</v>
      </c>
      <c r="E6492">
        <v>2022</v>
      </c>
      <c r="F6492" t="s">
        <v>70</v>
      </c>
    </row>
    <row r="6493" spans="1:6" x14ac:dyDescent="0.25">
      <c r="A6493" t="s">
        <v>42</v>
      </c>
      <c r="B6493" t="s">
        <v>43</v>
      </c>
      <c r="C6493" t="s">
        <v>65</v>
      </c>
      <c r="D6493">
        <v>8448.43</v>
      </c>
      <c r="E6493">
        <v>2022</v>
      </c>
      <c r="F6493" t="s">
        <v>70</v>
      </c>
    </row>
    <row r="6494" spans="1:6" x14ac:dyDescent="0.25">
      <c r="A6494" t="s">
        <v>44</v>
      </c>
      <c r="B6494" t="s">
        <v>45</v>
      </c>
      <c r="C6494" t="s">
        <v>65</v>
      </c>
      <c r="D6494">
        <v>15855.94</v>
      </c>
      <c r="E6494">
        <v>2022</v>
      </c>
      <c r="F6494" t="s">
        <v>70</v>
      </c>
    </row>
    <row r="6495" spans="1:6" x14ac:dyDescent="0.25">
      <c r="A6495" t="s">
        <v>46</v>
      </c>
      <c r="B6495" t="s">
        <v>47</v>
      </c>
      <c r="C6495" t="s">
        <v>65</v>
      </c>
      <c r="D6495">
        <v>19933.3</v>
      </c>
      <c r="E6495">
        <v>2022</v>
      </c>
      <c r="F6495" t="s">
        <v>70</v>
      </c>
    </row>
    <row r="6496" spans="1:6" x14ac:dyDescent="0.25">
      <c r="A6496" t="s">
        <v>48</v>
      </c>
      <c r="B6496" t="s">
        <v>49</v>
      </c>
      <c r="C6496" t="s">
        <v>65</v>
      </c>
      <c r="D6496">
        <v>22455.15</v>
      </c>
      <c r="E6496">
        <v>2022</v>
      </c>
      <c r="F6496" t="s">
        <v>70</v>
      </c>
    </row>
    <row r="6497" spans="1:6" x14ac:dyDescent="0.25">
      <c r="A6497" t="s">
        <v>50</v>
      </c>
      <c r="B6497" t="s">
        <v>51</v>
      </c>
      <c r="C6497" t="s">
        <v>65</v>
      </c>
      <c r="D6497">
        <v>1028.25</v>
      </c>
      <c r="E6497">
        <v>2022</v>
      </c>
      <c r="F6497" t="s">
        <v>70</v>
      </c>
    </row>
    <row r="6498" spans="1:6" x14ac:dyDescent="0.25">
      <c r="A6498" t="s">
        <v>52</v>
      </c>
      <c r="B6498" t="s">
        <v>53</v>
      </c>
      <c r="C6498" t="s">
        <v>65</v>
      </c>
      <c r="D6498">
        <v>1086.79</v>
      </c>
      <c r="E6498">
        <v>2022</v>
      </c>
      <c r="F6498" t="s">
        <v>70</v>
      </c>
    </row>
    <row r="6499" spans="1:6" x14ac:dyDescent="0.25">
      <c r="A6499" t="s">
        <v>54</v>
      </c>
      <c r="B6499" t="s">
        <v>55</v>
      </c>
      <c r="C6499" t="s">
        <v>65</v>
      </c>
      <c r="D6499">
        <v>225.83</v>
      </c>
      <c r="E6499">
        <v>2022</v>
      </c>
      <c r="F6499" t="s">
        <v>70</v>
      </c>
    </row>
    <row r="6500" spans="1:6" x14ac:dyDescent="0.25">
      <c r="A6500" t="s">
        <v>56</v>
      </c>
      <c r="B6500" t="s">
        <v>57</v>
      </c>
      <c r="C6500" t="s">
        <v>65</v>
      </c>
      <c r="E6500">
        <v>2022</v>
      </c>
      <c r="F6500" t="s">
        <v>70</v>
      </c>
    </row>
    <row r="6501" spans="1:6" x14ac:dyDescent="0.25">
      <c r="A6501" t="s">
        <v>58</v>
      </c>
      <c r="B6501" t="s">
        <v>59</v>
      </c>
      <c r="C6501" t="s">
        <v>65</v>
      </c>
      <c r="E6501">
        <v>2022</v>
      </c>
      <c r="F6501" t="s">
        <v>70</v>
      </c>
    </row>
    <row r="6502" spans="1:6" x14ac:dyDescent="0.25">
      <c r="A6502" t="s">
        <v>6</v>
      </c>
      <c r="B6502" t="s">
        <v>7</v>
      </c>
      <c r="C6502" t="s">
        <v>62</v>
      </c>
      <c r="E6502">
        <v>2022</v>
      </c>
      <c r="F6502" t="s">
        <v>70</v>
      </c>
    </row>
    <row r="6503" spans="1:6" x14ac:dyDescent="0.25">
      <c r="A6503" t="s">
        <v>10</v>
      </c>
      <c r="B6503" t="s">
        <v>11</v>
      </c>
      <c r="C6503" t="s">
        <v>62</v>
      </c>
      <c r="E6503">
        <v>2022</v>
      </c>
      <c r="F6503" t="s">
        <v>70</v>
      </c>
    </row>
    <row r="6504" spans="1:6" x14ac:dyDescent="0.25">
      <c r="A6504" t="s">
        <v>12</v>
      </c>
      <c r="B6504" t="s">
        <v>13</v>
      </c>
      <c r="C6504" t="s">
        <v>62</v>
      </c>
      <c r="E6504">
        <v>2022</v>
      </c>
      <c r="F6504" t="s">
        <v>70</v>
      </c>
    </row>
    <row r="6505" spans="1:6" x14ac:dyDescent="0.25">
      <c r="A6505" t="s">
        <v>14</v>
      </c>
      <c r="B6505" t="s">
        <v>15</v>
      </c>
      <c r="C6505" t="s">
        <v>62</v>
      </c>
      <c r="E6505">
        <v>2022</v>
      </c>
      <c r="F6505" t="s">
        <v>70</v>
      </c>
    </row>
    <row r="6506" spans="1:6" x14ac:dyDescent="0.25">
      <c r="A6506" t="s">
        <v>16</v>
      </c>
      <c r="B6506" t="s">
        <v>17</v>
      </c>
      <c r="C6506" t="s">
        <v>62</v>
      </c>
      <c r="E6506">
        <v>2022</v>
      </c>
      <c r="F6506" t="s">
        <v>70</v>
      </c>
    </row>
    <row r="6507" spans="1:6" x14ac:dyDescent="0.25">
      <c r="A6507" t="s">
        <v>18</v>
      </c>
      <c r="B6507" t="s">
        <v>19</v>
      </c>
      <c r="C6507" t="s">
        <v>62</v>
      </c>
      <c r="E6507">
        <v>2022</v>
      </c>
      <c r="F6507" t="s">
        <v>70</v>
      </c>
    </row>
    <row r="6508" spans="1:6" x14ac:dyDescent="0.25">
      <c r="A6508" t="s">
        <v>20</v>
      </c>
      <c r="B6508" t="s">
        <v>21</v>
      </c>
      <c r="C6508" t="s">
        <v>62</v>
      </c>
      <c r="E6508">
        <v>2022</v>
      </c>
      <c r="F6508" t="s">
        <v>70</v>
      </c>
    </row>
    <row r="6509" spans="1:6" x14ac:dyDescent="0.25">
      <c r="A6509" t="s">
        <v>22</v>
      </c>
      <c r="B6509" t="s">
        <v>23</v>
      </c>
      <c r="C6509" t="s">
        <v>62</v>
      </c>
      <c r="E6509">
        <v>2022</v>
      </c>
      <c r="F6509" t="s">
        <v>70</v>
      </c>
    </row>
    <row r="6510" spans="1:6" x14ac:dyDescent="0.25">
      <c r="A6510" t="s">
        <v>24</v>
      </c>
      <c r="B6510" t="s">
        <v>25</v>
      </c>
      <c r="C6510" t="s">
        <v>62</v>
      </c>
      <c r="E6510">
        <v>2022</v>
      </c>
      <c r="F6510" t="s">
        <v>70</v>
      </c>
    </row>
    <row r="6511" spans="1:6" x14ac:dyDescent="0.25">
      <c r="A6511" t="s">
        <v>26</v>
      </c>
      <c r="B6511" t="s">
        <v>27</v>
      </c>
      <c r="C6511" t="s">
        <v>62</v>
      </c>
      <c r="E6511">
        <v>2022</v>
      </c>
      <c r="F6511" t="s">
        <v>70</v>
      </c>
    </row>
    <row r="6512" spans="1:6" x14ac:dyDescent="0.25">
      <c r="A6512" t="s">
        <v>28</v>
      </c>
      <c r="B6512" t="s">
        <v>29</v>
      </c>
      <c r="C6512" t="s">
        <v>62</v>
      </c>
      <c r="E6512">
        <v>2022</v>
      </c>
      <c r="F6512" t="s">
        <v>70</v>
      </c>
    </row>
    <row r="6513" spans="1:6" x14ac:dyDescent="0.25">
      <c r="A6513" t="s">
        <v>30</v>
      </c>
      <c r="B6513" t="s">
        <v>31</v>
      </c>
      <c r="C6513" t="s">
        <v>62</v>
      </c>
      <c r="E6513">
        <v>2022</v>
      </c>
      <c r="F6513" t="s">
        <v>70</v>
      </c>
    </row>
    <row r="6514" spans="1:6" x14ac:dyDescent="0.25">
      <c r="A6514" t="s">
        <v>32</v>
      </c>
      <c r="B6514" t="s">
        <v>33</v>
      </c>
      <c r="C6514" t="s">
        <v>62</v>
      </c>
      <c r="E6514">
        <v>2022</v>
      </c>
      <c r="F6514" t="s">
        <v>70</v>
      </c>
    </row>
    <row r="6515" spans="1:6" x14ac:dyDescent="0.25">
      <c r="A6515" t="s">
        <v>34</v>
      </c>
      <c r="B6515" t="s">
        <v>35</v>
      </c>
      <c r="C6515" t="s">
        <v>62</v>
      </c>
      <c r="E6515">
        <v>2022</v>
      </c>
      <c r="F6515" t="s">
        <v>70</v>
      </c>
    </row>
    <row r="6516" spans="1:6" x14ac:dyDescent="0.25">
      <c r="A6516" t="s">
        <v>36</v>
      </c>
      <c r="B6516" t="s">
        <v>37</v>
      </c>
      <c r="C6516" t="s">
        <v>62</v>
      </c>
      <c r="E6516">
        <v>2022</v>
      </c>
      <c r="F6516" t="s">
        <v>70</v>
      </c>
    </row>
    <row r="6517" spans="1:6" x14ac:dyDescent="0.25">
      <c r="A6517" t="s">
        <v>38</v>
      </c>
      <c r="B6517" t="s">
        <v>39</v>
      </c>
      <c r="C6517" t="s">
        <v>62</v>
      </c>
      <c r="E6517">
        <v>2022</v>
      </c>
      <c r="F6517" t="s">
        <v>70</v>
      </c>
    </row>
    <row r="6518" spans="1:6" x14ac:dyDescent="0.25">
      <c r="A6518" t="s">
        <v>40</v>
      </c>
      <c r="B6518" t="s">
        <v>41</v>
      </c>
      <c r="C6518" t="s">
        <v>62</v>
      </c>
      <c r="E6518">
        <v>2022</v>
      </c>
      <c r="F6518" t="s">
        <v>70</v>
      </c>
    </row>
    <row r="6519" spans="1:6" x14ac:dyDescent="0.25">
      <c r="A6519" t="s">
        <v>42</v>
      </c>
      <c r="B6519" t="s">
        <v>43</v>
      </c>
      <c r="C6519" t="s">
        <v>62</v>
      </c>
      <c r="E6519">
        <v>2022</v>
      </c>
      <c r="F6519" t="s">
        <v>70</v>
      </c>
    </row>
    <row r="6520" spans="1:6" x14ac:dyDescent="0.25">
      <c r="A6520" t="s">
        <v>44</v>
      </c>
      <c r="B6520" t="s">
        <v>45</v>
      </c>
      <c r="C6520" t="s">
        <v>62</v>
      </c>
      <c r="E6520">
        <v>2022</v>
      </c>
      <c r="F6520" t="s">
        <v>70</v>
      </c>
    </row>
    <row r="6521" spans="1:6" x14ac:dyDescent="0.25">
      <c r="A6521" t="s">
        <v>46</v>
      </c>
      <c r="B6521" t="s">
        <v>47</v>
      </c>
      <c r="C6521" t="s">
        <v>62</v>
      </c>
      <c r="E6521">
        <v>2022</v>
      </c>
      <c r="F6521" t="s">
        <v>70</v>
      </c>
    </row>
    <row r="6522" spans="1:6" x14ac:dyDescent="0.25">
      <c r="A6522" t="s">
        <v>48</v>
      </c>
      <c r="B6522" t="s">
        <v>49</v>
      </c>
      <c r="C6522" t="s">
        <v>62</v>
      </c>
      <c r="E6522">
        <v>2022</v>
      </c>
      <c r="F6522" t="s">
        <v>70</v>
      </c>
    </row>
    <row r="6523" spans="1:6" x14ac:dyDescent="0.25">
      <c r="A6523" t="s">
        <v>50</v>
      </c>
      <c r="B6523" t="s">
        <v>51</v>
      </c>
      <c r="C6523" t="s">
        <v>62</v>
      </c>
      <c r="E6523">
        <v>2022</v>
      </c>
      <c r="F6523" t="s">
        <v>70</v>
      </c>
    </row>
    <row r="6524" spans="1:6" x14ac:dyDescent="0.25">
      <c r="A6524" t="s">
        <v>52</v>
      </c>
      <c r="B6524" t="s">
        <v>53</v>
      </c>
      <c r="C6524" t="s">
        <v>62</v>
      </c>
      <c r="E6524">
        <v>2022</v>
      </c>
      <c r="F6524" t="s">
        <v>70</v>
      </c>
    </row>
    <row r="6525" spans="1:6" x14ac:dyDescent="0.25">
      <c r="A6525" t="s">
        <v>54</v>
      </c>
      <c r="B6525" t="s">
        <v>55</v>
      </c>
      <c r="C6525" t="s">
        <v>62</v>
      </c>
      <c r="E6525">
        <v>2022</v>
      </c>
      <c r="F6525" t="s">
        <v>70</v>
      </c>
    </row>
    <row r="6526" spans="1:6" x14ac:dyDescent="0.25">
      <c r="A6526" t="s">
        <v>56</v>
      </c>
      <c r="B6526" t="s">
        <v>57</v>
      </c>
      <c r="C6526" t="s">
        <v>62</v>
      </c>
      <c r="E6526">
        <v>2022</v>
      </c>
      <c r="F6526" t="s">
        <v>70</v>
      </c>
    </row>
    <row r="6527" spans="1:6" x14ac:dyDescent="0.25">
      <c r="A6527" t="s">
        <v>58</v>
      </c>
      <c r="B6527" t="s">
        <v>59</v>
      </c>
      <c r="C6527" t="s">
        <v>62</v>
      </c>
      <c r="E6527">
        <v>2022</v>
      </c>
      <c r="F6527" t="s">
        <v>70</v>
      </c>
    </row>
    <row r="6528" spans="1:6" x14ac:dyDescent="0.25">
      <c r="A6528" t="s">
        <v>6</v>
      </c>
      <c r="B6528" t="s">
        <v>7</v>
      </c>
      <c r="C6528" t="s">
        <v>66</v>
      </c>
      <c r="E6528">
        <v>2022</v>
      </c>
      <c r="F6528" t="s">
        <v>70</v>
      </c>
    </row>
    <row r="6529" spans="1:6" x14ac:dyDescent="0.25">
      <c r="A6529" t="s">
        <v>10</v>
      </c>
      <c r="B6529" t="s">
        <v>11</v>
      </c>
      <c r="C6529" t="s">
        <v>66</v>
      </c>
      <c r="E6529">
        <v>2022</v>
      </c>
      <c r="F6529" t="s">
        <v>70</v>
      </c>
    </row>
    <row r="6530" spans="1:6" x14ac:dyDescent="0.25">
      <c r="A6530" t="s">
        <v>12</v>
      </c>
      <c r="B6530" t="s">
        <v>13</v>
      </c>
      <c r="C6530" t="s">
        <v>66</v>
      </c>
      <c r="E6530">
        <v>2022</v>
      </c>
      <c r="F6530" t="s">
        <v>70</v>
      </c>
    </row>
    <row r="6531" spans="1:6" x14ac:dyDescent="0.25">
      <c r="A6531" t="s">
        <v>14</v>
      </c>
      <c r="B6531" t="s">
        <v>15</v>
      </c>
      <c r="C6531" t="s">
        <v>66</v>
      </c>
      <c r="E6531">
        <v>2022</v>
      </c>
      <c r="F6531" t="s">
        <v>70</v>
      </c>
    </row>
    <row r="6532" spans="1:6" x14ac:dyDescent="0.25">
      <c r="A6532" t="s">
        <v>16</v>
      </c>
      <c r="B6532" t="s">
        <v>17</v>
      </c>
      <c r="C6532" t="s">
        <v>66</v>
      </c>
      <c r="E6532">
        <v>2022</v>
      </c>
      <c r="F6532" t="s">
        <v>70</v>
      </c>
    </row>
    <row r="6533" spans="1:6" x14ac:dyDescent="0.25">
      <c r="A6533" t="s">
        <v>18</v>
      </c>
      <c r="B6533" t="s">
        <v>19</v>
      </c>
      <c r="C6533" t="s">
        <v>66</v>
      </c>
      <c r="E6533">
        <v>2022</v>
      </c>
      <c r="F6533" t="s">
        <v>70</v>
      </c>
    </row>
    <row r="6534" spans="1:6" x14ac:dyDescent="0.25">
      <c r="A6534" t="s">
        <v>20</v>
      </c>
      <c r="B6534" t="s">
        <v>21</v>
      </c>
      <c r="C6534" t="s">
        <v>66</v>
      </c>
      <c r="E6534">
        <v>2022</v>
      </c>
      <c r="F6534" t="s">
        <v>70</v>
      </c>
    </row>
    <row r="6535" spans="1:6" x14ac:dyDescent="0.25">
      <c r="A6535" t="s">
        <v>22</v>
      </c>
      <c r="B6535" t="s">
        <v>23</v>
      </c>
      <c r="C6535" t="s">
        <v>66</v>
      </c>
      <c r="E6535">
        <v>2022</v>
      </c>
      <c r="F6535" t="s">
        <v>70</v>
      </c>
    </row>
    <row r="6536" spans="1:6" x14ac:dyDescent="0.25">
      <c r="A6536" t="s">
        <v>24</v>
      </c>
      <c r="B6536" t="s">
        <v>25</v>
      </c>
      <c r="C6536" t="s">
        <v>66</v>
      </c>
      <c r="E6536">
        <v>2022</v>
      </c>
      <c r="F6536" t="s">
        <v>70</v>
      </c>
    </row>
    <row r="6537" spans="1:6" x14ac:dyDescent="0.25">
      <c r="A6537" t="s">
        <v>26</v>
      </c>
      <c r="B6537" t="s">
        <v>27</v>
      </c>
      <c r="C6537" t="s">
        <v>66</v>
      </c>
      <c r="E6537">
        <v>2022</v>
      </c>
      <c r="F6537" t="s">
        <v>70</v>
      </c>
    </row>
    <row r="6538" spans="1:6" x14ac:dyDescent="0.25">
      <c r="A6538" t="s">
        <v>28</v>
      </c>
      <c r="B6538" t="s">
        <v>29</v>
      </c>
      <c r="C6538" t="s">
        <v>66</v>
      </c>
      <c r="E6538">
        <v>2022</v>
      </c>
      <c r="F6538" t="s">
        <v>70</v>
      </c>
    </row>
    <row r="6539" spans="1:6" x14ac:dyDescent="0.25">
      <c r="A6539" t="s">
        <v>30</v>
      </c>
      <c r="B6539" t="s">
        <v>31</v>
      </c>
      <c r="C6539" t="s">
        <v>66</v>
      </c>
      <c r="E6539">
        <v>2022</v>
      </c>
      <c r="F6539" t="s">
        <v>70</v>
      </c>
    </row>
    <row r="6540" spans="1:6" x14ac:dyDescent="0.25">
      <c r="A6540" t="s">
        <v>32</v>
      </c>
      <c r="B6540" t="s">
        <v>33</v>
      </c>
      <c r="C6540" t="s">
        <v>66</v>
      </c>
      <c r="E6540">
        <v>2022</v>
      </c>
      <c r="F6540" t="s">
        <v>70</v>
      </c>
    </row>
    <row r="6541" spans="1:6" x14ac:dyDescent="0.25">
      <c r="A6541" t="s">
        <v>34</v>
      </c>
      <c r="B6541" t="s">
        <v>35</v>
      </c>
      <c r="C6541" t="s">
        <v>66</v>
      </c>
      <c r="E6541">
        <v>2022</v>
      </c>
      <c r="F6541" t="s">
        <v>70</v>
      </c>
    </row>
    <row r="6542" spans="1:6" x14ac:dyDescent="0.25">
      <c r="A6542" t="s">
        <v>36</v>
      </c>
      <c r="B6542" t="s">
        <v>37</v>
      </c>
      <c r="C6542" t="s">
        <v>66</v>
      </c>
      <c r="E6542">
        <v>2022</v>
      </c>
      <c r="F6542" t="s">
        <v>70</v>
      </c>
    </row>
    <row r="6543" spans="1:6" x14ac:dyDescent="0.25">
      <c r="A6543" t="s">
        <v>38</v>
      </c>
      <c r="B6543" t="s">
        <v>39</v>
      </c>
      <c r="C6543" t="s">
        <v>66</v>
      </c>
      <c r="E6543">
        <v>2022</v>
      </c>
      <c r="F6543" t="s">
        <v>70</v>
      </c>
    </row>
    <row r="6544" spans="1:6" x14ac:dyDescent="0.25">
      <c r="A6544" t="s">
        <v>40</v>
      </c>
      <c r="B6544" t="s">
        <v>41</v>
      </c>
      <c r="C6544" t="s">
        <v>66</v>
      </c>
      <c r="E6544">
        <v>2022</v>
      </c>
      <c r="F6544" t="s">
        <v>70</v>
      </c>
    </row>
    <row r="6545" spans="1:6" x14ac:dyDescent="0.25">
      <c r="A6545" t="s">
        <v>42</v>
      </c>
      <c r="B6545" t="s">
        <v>43</v>
      </c>
      <c r="C6545" t="s">
        <v>66</v>
      </c>
      <c r="E6545">
        <v>2022</v>
      </c>
      <c r="F6545" t="s">
        <v>70</v>
      </c>
    </row>
    <row r="6546" spans="1:6" x14ac:dyDescent="0.25">
      <c r="A6546" t="s">
        <v>44</v>
      </c>
      <c r="B6546" t="s">
        <v>45</v>
      </c>
      <c r="C6546" t="s">
        <v>66</v>
      </c>
      <c r="E6546">
        <v>2022</v>
      </c>
      <c r="F6546" t="s">
        <v>70</v>
      </c>
    </row>
    <row r="6547" spans="1:6" x14ac:dyDescent="0.25">
      <c r="A6547" t="s">
        <v>46</v>
      </c>
      <c r="B6547" t="s">
        <v>47</v>
      </c>
      <c r="C6547" t="s">
        <v>66</v>
      </c>
      <c r="E6547">
        <v>2022</v>
      </c>
      <c r="F6547" t="s">
        <v>70</v>
      </c>
    </row>
    <row r="6548" spans="1:6" x14ac:dyDescent="0.25">
      <c r="A6548" t="s">
        <v>48</v>
      </c>
      <c r="B6548" t="s">
        <v>49</v>
      </c>
      <c r="C6548" t="s">
        <v>66</v>
      </c>
      <c r="E6548">
        <v>2022</v>
      </c>
      <c r="F6548" t="s">
        <v>70</v>
      </c>
    </row>
    <row r="6549" spans="1:6" x14ac:dyDescent="0.25">
      <c r="A6549" t="s">
        <v>50</v>
      </c>
      <c r="B6549" t="s">
        <v>51</v>
      </c>
      <c r="C6549" t="s">
        <v>66</v>
      </c>
      <c r="E6549">
        <v>2022</v>
      </c>
      <c r="F6549" t="s">
        <v>70</v>
      </c>
    </row>
    <row r="6550" spans="1:6" x14ac:dyDescent="0.25">
      <c r="A6550" t="s">
        <v>52</v>
      </c>
      <c r="B6550" t="s">
        <v>53</v>
      </c>
      <c r="C6550" t="s">
        <v>66</v>
      </c>
      <c r="E6550">
        <v>2022</v>
      </c>
      <c r="F6550" t="s">
        <v>70</v>
      </c>
    </row>
    <row r="6551" spans="1:6" x14ac:dyDescent="0.25">
      <c r="A6551" t="s">
        <v>54</v>
      </c>
      <c r="B6551" t="s">
        <v>55</v>
      </c>
      <c r="C6551" t="s">
        <v>66</v>
      </c>
      <c r="E6551">
        <v>2022</v>
      </c>
      <c r="F6551" t="s">
        <v>70</v>
      </c>
    </row>
    <row r="6552" spans="1:6" x14ac:dyDescent="0.25">
      <c r="A6552" t="s">
        <v>56</v>
      </c>
      <c r="B6552" t="s">
        <v>57</v>
      </c>
      <c r="C6552" t="s">
        <v>66</v>
      </c>
      <c r="E6552">
        <v>2022</v>
      </c>
      <c r="F6552" t="s">
        <v>70</v>
      </c>
    </row>
    <row r="6553" spans="1:6" x14ac:dyDescent="0.25">
      <c r="A6553" t="s">
        <v>58</v>
      </c>
      <c r="B6553" t="s">
        <v>59</v>
      </c>
      <c r="C6553" t="s">
        <v>66</v>
      </c>
      <c r="E6553">
        <v>2022</v>
      </c>
      <c r="F6553" t="s">
        <v>70</v>
      </c>
    </row>
    <row r="6554" spans="1:6" x14ac:dyDescent="0.25">
      <c r="A6554" t="s">
        <v>6</v>
      </c>
      <c r="B6554" t="s">
        <v>7</v>
      </c>
      <c r="C6554" t="s">
        <v>63</v>
      </c>
      <c r="D6554">
        <v>675061.19</v>
      </c>
      <c r="E6554">
        <v>2016</v>
      </c>
      <c r="F6554" t="s">
        <v>71</v>
      </c>
    </row>
    <row r="6555" spans="1:6" x14ac:dyDescent="0.25">
      <c r="A6555" t="s">
        <v>10</v>
      </c>
      <c r="B6555" t="s">
        <v>11</v>
      </c>
      <c r="C6555" t="s">
        <v>63</v>
      </c>
      <c r="D6555">
        <v>167163.28</v>
      </c>
      <c r="E6555">
        <v>2016</v>
      </c>
      <c r="F6555" t="s">
        <v>71</v>
      </c>
    </row>
    <row r="6556" spans="1:6" x14ac:dyDescent="0.25">
      <c r="A6556" t="s">
        <v>12</v>
      </c>
      <c r="B6556" t="s">
        <v>13</v>
      </c>
      <c r="C6556" t="s">
        <v>63</v>
      </c>
      <c r="D6556">
        <v>22656.2</v>
      </c>
      <c r="E6556">
        <v>2016</v>
      </c>
      <c r="F6556" t="s">
        <v>71</v>
      </c>
    </row>
    <row r="6557" spans="1:6" x14ac:dyDescent="0.25">
      <c r="A6557" t="s">
        <v>14</v>
      </c>
      <c r="B6557" t="s">
        <v>15</v>
      </c>
      <c r="C6557" t="s">
        <v>63</v>
      </c>
      <c r="D6557">
        <v>3587.9</v>
      </c>
      <c r="E6557">
        <v>2016</v>
      </c>
      <c r="F6557" t="s">
        <v>71</v>
      </c>
    </row>
    <row r="6558" spans="1:6" x14ac:dyDescent="0.25">
      <c r="A6558" t="s">
        <v>16</v>
      </c>
      <c r="B6558" t="s">
        <v>17</v>
      </c>
      <c r="C6558" t="s">
        <v>63</v>
      </c>
      <c r="D6558">
        <v>10662.06</v>
      </c>
      <c r="E6558">
        <v>2016</v>
      </c>
      <c r="F6558" t="s">
        <v>71</v>
      </c>
    </row>
    <row r="6559" spans="1:6" x14ac:dyDescent="0.25">
      <c r="A6559" t="s">
        <v>18</v>
      </c>
      <c r="B6559" t="s">
        <v>19</v>
      </c>
      <c r="C6559" t="s">
        <v>63</v>
      </c>
      <c r="D6559">
        <v>10179.209999999999</v>
      </c>
      <c r="E6559">
        <v>2016</v>
      </c>
      <c r="F6559" t="s">
        <v>71</v>
      </c>
    </row>
    <row r="6560" spans="1:6" x14ac:dyDescent="0.25">
      <c r="A6560" t="s">
        <v>20</v>
      </c>
      <c r="B6560" t="s">
        <v>21</v>
      </c>
      <c r="C6560" t="s">
        <v>63</v>
      </c>
      <c r="D6560">
        <v>10075.39</v>
      </c>
      <c r="E6560">
        <v>2016</v>
      </c>
      <c r="F6560" t="s">
        <v>71</v>
      </c>
    </row>
    <row r="6561" spans="1:6" x14ac:dyDescent="0.25">
      <c r="A6561" t="s">
        <v>22</v>
      </c>
      <c r="B6561" t="s">
        <v>23</v>
      </c>
      <c r="C6561" t="s">
        <v>63</v>
      </c>
      <c r="D6561">
        <v>5389.45</v>
      </c>
      <c r="E6561">
        <v>2016</v>
      </c>
      <c r="F6561" t="s">
        <v>71</v>
      </c>
    </row>
    <row r="6562" spans="1:6" x14ac:dyDescent="0.25">
      <c r="A6562" t="s">
        <v>24</v>
      </c>
      <c r="B6562" t="s">
        <v>25</v>
      </c>
      <c r="C6562" t="s">
        <v>63</v>
      </c>
      <c r="D6562">
        <v>24273.26</v>
      </c>
      <c r="E6562">
        <v>2016</v>
      </c>
      <c r="F6562" t="s">
        <v>71</v>
      </c>
    </row>
    <row r="6563" spans="1:6" x14ac:dyDescent="0.25">
      <c r="A6563" t="s">
        <v>26</v>
      </c>
      <c r="B6563" t="s">
        <v>27</v>
      </c>
      <c r="C6563" t="s">
        <v>63</v>
      </c>
      <c r="D6563">
        <v>3316.75</v>
      </c>
      <c r="E6563">
        <v>2016</v>
      </c>
      <c r="F6563" t="s">
        <v>71</v>
      </c>
    </row>
    <row r="6564" spans="1:6" x14ac:dyDescent="0.25">
      <c r="A6564" t="s">
        <v>28</v>
      </c>
      <c r="B6564" t="s">
        <v>29</v>
      </c>
      <c r="C6564" t="s">
        <v>63</v>
      </c>
      <c r="D6564">
        <v>65764.539999999994</v>
      </c>
      <c r="E6564">
        <v>2016</v>
      </c>
      <c r="F6564" t="s">
        <v>71</v>
      </c>
    </row>
    <row r="6565" spans="1:6" x14ac:dyDescent="0.25">
      <c r="A6565" t="s">
        <v>30</v>
      </c>
      <c r="B6565" t="s">
        <v>31</v>
      </c>
      <c r="C6565" t="s">
        <v>63</v>
      </c>
      <c r="D6565">
        <v>78471.86</v>
      </c>
      <c r="E6565">
        <v>2016</v>
      </c>
      <c r="F6565" t="s">
        <v>71</v>
      </c>
    </row>
    <row r="6566" spans="1:6" x14ac:dyDescent="0.25">
      <c r="A6566" t="s">
        <v>32</v>
      </c>
      <c r="B6566" t="s">
        <v>33</v>
      </c>
      <c r="C6566" t="s">
        <v>63</v>
      </c>
      <c r="D6566">
        <v>14636.62</v>
      </c>
      <c r="E6566">
        <v>2016</v>
      </c>
      <c r="F6566" t="s">
        <v>71</v>
      </c>
    </row>
    <row r="6567" spans="1:6" x14ac:dyDescent="0.25">
      <c r="A6567" t="s">
        <v>34</v>
      </c>
      <c r="B6567" t="s">
        <v>35</v>
      </c>
      <c r="C6567" t="s">
        <v>63</v>
      </c>
      <c r="D6567">
        <v>25452.400000000001</v>
      </c>
      <c r="E6567">
        <v>2016</v>
      </c>
      <c r="F6567" t="s">
        <v>71</v>
      </c>
    </row>
    <row r="6568" spans="1:6" x14ac:dyDescent="0.25">
      <c r="A6568" t="s">
        <v>36</v>
      </c>
      <c r="B6568" t="s">
        <v>37</v>
      </c>
      <c r="C6568" t="s">
        <v>63</v>
      </c>
      <c r="D6568">
        <v>19789.759999999998</v>
      </c>
      <c r="E6568">
        <v>2016</v>
      </c>
      <c r="F6568" t="s">
        <v>71</v>
      </c>
    </row>
    <row r="6569" spans="1:6" x14ac:dyDescent="0.25">
      <c r="A6569" t="s">
        <v>38</v>
      </c>
      <c r="B6569" t="s">
        <v>39</v>
      </c>
      <c r="C6569" t="s">
        <v>63</v>
      </c>
      <c r="D6569">
        <v>43511.42</v>
      </c>
      <c r="E6569">
        <v>2016</v>
      </c>
      <c r="F6569" t="s">
        <v>71</v>
      </c>
    </row>
    <row r="6570" spans="1:6" x14ac:dyDescent="0.25">
      <c r="A6570" t="s">
        <v>40</v>
      </c>
      <c r="B6570" t="s">
        <v>41</v>
      </c>
      <c r="C6570" t="s">
        <v>63</v>
      </c>
      <c r="D6570">
        <v>17953.75</v>
      </c>
      <c r="E6570">
        <v>2016</v>
      </c>
      <c r="F6570" t="s">
        <v>71</v>
      </c>
    </row>
    <row r="6571" spans="1:6" x14ac:dyDescent="0.25">
      <c r="A6571" t="s">
        <v>42</v>
      </c>
      <c r="B6571" t="s">
        <v>43</v>
      </c>
      <c r="C6571" t="s">
        <v>63</v>
      </c>
      <c r="D6571">
        <v>20960.099999999999</v>
      </c>
      <c r="E6571">
        <v>2016</v>
      </c>
      <c r="F6571" t="s">
        <v>71</v>
      </c>
    </row>
    <row r="6572" spans="1:6" x14ac:dyDescent="0.25">
      <c r="A6572" t="s">
        <v>44</v>
      </c>
      <c r="B6572" t="s">
        <v>45</v>
      </c>
      <c r="C6572" t="s">
        <v>63</v>
      </c>
      <c r="D6572">
        <v>18662.89</v>
      </c>
      <c r="E6572">
        <v>2016</v>
      </c>
      <c r="F6572" t="s">
        <v>71</v>
      </c>
    </row>
    <row r="6573" spans="1:6" x14ac:dyDescent="0.25">
      <c r="A6573" t="s">
        <v>46</v>
      </c>
      <c r="B6573" t="s">
        <v>47</v>
      </c>
      <c r="C6573" t="s">
        <v>63</v>
      </c>
      <c r="D6573">
        <v>26637.79</v>
      </c>
      <c r="E6573">
        <v>2016</v>
      </c>
      <c r="F6573" t="s">
        <v>71</v>
      </c>
    </row>
    <row r="6574" spans="1:6" x14ac:dyDescent="0.25">
      <c r="A6574" t="s">
        <v>48</v>
      </c>
      <c r="B6574" t="s">
        <v>49</v>
      </c>
      <c r="C6574" t="s">
        <v>63</v>
      </c>
      <c r="D6574">
        <v>59593.91</v>
      </c>
      <c r="E6574">
        <v>2016</v>
      </c>
      <c r="F6574" t="s">
        <v>71</v>
      </c>
    </row>
    <row r="6575" spans="1:6" x14ac:dyDescent="0.25">
      <c r="A6575" t="s">
        <v>50</v>
      </c>
      <c r="B6575" t="s">
        <v>51</v>
      </c>
      <c r="C6575" t="s">
        <v>63</v>
      </c>
      <c r="D6575">
        <v>7662.12</v>
      </c>
      <c r="E6575">
        <v>2016</v>
      </c>
      <c r="F6575" t="s">
        <v>71</v>
      </c>
    </row>
    <row r="6576" spans="1:6" x14ac:dyDescent="0.25">
      <c r="A6576" t="s">
        <v>52</v>
      </c>
      <c r="B6576" t="s">
        <v>53</v>
      </c>
      <c r="C6576" t="s">
        <v>63</v>
      </c>
      <c r="D6576">
        <v>6526.27</v>
      </c>
      <c r="E6576">
        <v>2016</v>
      </c>
      <c r="F6576" t="s">
        <v>71</v>
      </c>
    </row>
    <row r="6577" spans="1:6" x14ac:dyDescent="0.25">
      <c r="A6577" t="s">
        <v>54</v>
      </c>
      <c r="B6577" t="s">
        <v>55</v>
      </c>
      <c r="C6577" t="s">
        <v>63</v>
      </c>
      <c r="D6577">
        <v>5531.8</v>
      </c>
      <c r="E6577">
        <v>2016</v>
      </c>
      <c r="F6577" t="s">
        <v>71</v>
      </c>
    </row>
    <row r="6578" spans="1:6" x14ac:dyDescent="0.25">
      <c r="A6578" t="s">
        <v>56</v>
      </c>
      <c r="B6578" t="s">
        <v>57</v>
      </c>
      <c r="C6578" t="s">
        <v>63</v>
      </c>
      <c r="D6578">
        <v>6602.46</v>
      </c>
      <c r="E6578">
        <v>2016</v>
      </c>
      <c r="F6578" t="s">
        <v>71</v>
      </c>
    </row>
    <row r="6579" spans="1:6" x14ac:dyDescent="0.25">
      <c r="A6579" t="s">
        <v>58</v>
      </c>
      <c r="B6579" t="s">
        <v>59</v>
      </c>
      <c r="C6579" t="s">
        <v>63</v>
      </c>
      <c r="E6579">
        <v>2016</v>
      </c>
      <c r="F6579" t="s">
        <v>71</v>
      </c>
    </row>
    <row r="6580" spans="1:6" x14ac:dyDescent="0.25">
      <c r="A6580" t="s">
        <v>6</v>
      </c>
      <c r="B6580" t="s">
        <v>7</v>
      </c>
      <c r="C6580" t="s">
        <v>8</v>
      </c>
      <c r="D6580">
        <v>59589.59</v>
      </c>
      <c r="E6580">
        <v>2016</v>
      </c>
      <c r="F6580" t="s">
        <v>71</v>
      </c>
    </row>
    <row r="6581" spans="1:6" x14ac:dyDescent="0.25">
      <c r="A6581" t="s">
        <v>10</v>
      </c>
      <c r="B6581" t="s">
        <v>11</v>
      </c>
      <c r="C6581" t="s">
        <v>8</v>
      </c>
      <c r="D6581">
        <v>21043.279999999999</v>
      </c>
      <c r="E6581">
        <v>2016</v>
      </c>
      <c r="F6581" t="s">
        <v>71</v>
      </c>
    </row>
    <row r="6582" spans="1:6" x14ac:dyDescent="0.25">
      <c r="A6582" t="s">
        <v>12</v>
      </c>
      <c r="B6582" t="s">
        <v>13</v>
      </c>
      <c r="C6582" t="s">
        <v>8</v>
      </c>
      <c r="D6582">
        <v>4877.16</v>
      </c>
      <c r="E6582">
        <v>2016</v>
      </c>
      <c r="F6582" t="s">
        <v>71</v>
      </c>
    </row>
    <row r="6583" spans="1:6" x14ac:dyDescent="0.25">
      <c r="A6583" t="s">
        <v>14</v>
      </c>
      <c r="B6583" t="s">
        <v>15</v>
      </c>
      <c r="C6583" t="s">
        <v>8</v>
      </c>
      <c r="E6583">
        <v>2016</v>
      </c>
      <c r="F6583" t="s">
        <v>71</v>
      </c>
    </row>
    <row r="6584" spans="1:6" x14ac:dyDescent="0.25">
      <c r="A6584" t="s">
        <v>16</v>
      </c>
      <c r="B6584" t="s">
        <v>17</v>
      </c>
      <c r="C6584" t="s">
        <v>8</v>
      </c>
      <c r="D6584">
        <v>318.24</v>
      </c>
      <c r="E6584">
        <v>2016</v>
      </c>
      <c r="F6584" t="s">
        <v>71</v>
      </c>
    </row>
    <row r="6585" spans="1:6" x14ac:dyDescent="0.25">
      <c r="A6585" t="s">
        <v>18</v>
      </c>
      <c r="B6585" t="s">
        <v>19</v>
      </c>
      <c r="C6585" t="s">
        <v>8</v>
      </c>
      <c r="D6585">
        <v>349.12</v>
      </c>
      <c r="E6585">
        <v>2016</v>
      </c>
      <c r="F6585" t="s">
        <v>71</v>
      </c>
    </row>
    <row r="6586" spans="1:6" x14ac:dyDescent="0.25">
      <c r="A6586" t="s">
        <v>20</v>
      </c>
      <c r="B6586" t="s">
        <v>21</v>
      </c>
      <c r="C6586" t="s">
        <v>8</v>
      </c>
      <c r="D6586">
        <v>285.58</v>
      </c>
      <c r="E6586">
        <v>2016</v>
      </c>
      <c r="F6586" t="s">
        <v>71</v>
      </c>
    </row>
    <row r="6587" spans="1:6" x14ac:dyDescent="0.25">
      <c r="A6587" t="s">
        <v>22</v>
      </c>
      <c r="B6587" t="s">
        <v>23</v>
      </c>
      <c r="C6587" t="s">
        <v>8</v>
      </c>
      <c r="D6587">
        <v>3312.28</v>
      </c>
      <c r="E6587">
        <v>2016</v>
      </c>
      <c r="F6587" t="s">
        <v>71</v>
      </c>
    </row>
    <row r="6588" spans="1:6" x14ac:dyDescent="0.25">
      <c r="A6588" t="s">
        <v>24</v>
      </c>
      <c r="B6588" t="s">
        <v>25</v>
      </c>
      <c r="C6588" t="s">
        <v>8</v>
      </c>
      <c r="D6588">
        <v>4430.92</v>
      </c>
      <c r="E6588">
        <v>2016</v>
      </c>
      <c r="F6588" t="s">
        <v>71</v>
      </c>
    </row>
    <row r="6589" spans="1:6" x14ac:dyDescent="0.25">
      <c r="A6589" t="s">
        <v>26</v>
      </c>
      <c r="B6589" t="s">
        <v>27</v>
      </c>
      <c r="C6589" t="s">
        <v>8</v>
      </c>
      <c r="D6589">
        <v>523.64</v>
      </c>
      <c r="E6589">
        <v>2016</v>
      </c>
      <c r="F6589" t="s">
        <v>71</v>
      </c>
    </row>
    <row r="6590" spans="1:6" x14ac:dyDescent="0.25">
      <c r="A6590" t="s">
        <v>28</v>
      </c>
      <c r="B6590" t="s">
        <v>29</v>
      </c>
      <c r="C6590" t="s">
        <v>8</v>
      </c>
      <c r="E6590">
        <v>2016</v>
      </c>
      <c r="F6590" t="s">
        <v>71</v>
      </c>
    </row>
    <row r="6591" spans="1:6" x14ac:dyDescent="0.25">
      <c r="A6591" t="s">
        <v>30</v>
      </c>
      <c r="B6591" t="s">
        <v>31</v>
      </c>
      <c r="C6591" t="s">
        <v>8</v>
      </c>
      <c r="D6591">
        <v>9195.84</v>
      </c>
      <c r="E6591">
        <v>2016</v>
      </c>
      <c r="F6591" t="s">
        <v>71</v>
      </c>
    </row>
    <row r="6592" spans="1:6" x14ac:dyDescent="0.25">
      <c r="A6592" t="s">
        <v>32</v>
      </c>
      <c r="B6592" t="s">
        <v>33</v>
      </c>
      <c r="C6592" t="s">
        <v>8</v>
      </c>
      <c r="D6592">
        <v>1064.71</v>
      </c>
      <c r="E6592">
        <v>2016</v>
      </c>
      <c r="F6592" t="s">
        <v>71</v>
      </c>
    </row>
    <row r="6593" spans="1:6" x14ac:dyDescent="0.25">
      <c r="A6593" t="s">
        <v>34</v>
      </c>
      <c r="B6593" t="s">
        <v>35</v>
      </c>
      <c r="C6593" t="s">
        <v>8</v>
      </c>
      <c r="D6593">
        <v>2663.46</v>
      </c>
      <c r="E6593">
        <v>2016</v>
      </c>
      <c r="F6593" t="s">
        <v>71</v>
      </c>
    </row>
    <row r="6594" spans="1:6" x14ac:dyDescent="0.25">
      <c r="A6594" t="s">
        <v>36</v>
      </c>
      <c r="B6594" t="s">
        <v>37</v>
      </c>
      <c r="C6594" t="s">
        <v>8</v>
      </c>
      <c r="D6594">
        <v>2216.63</v>
      </c>
      <c r="E6594">
        <v>2016</v>
      </c>
      <c r="F6594" t="s">
        <v>71</v>
      </c>
    </row>
    <row r="6595" spans="1:6" x14ac:dyDescent="0.25">
      <c r="A6595" t="s">
        <v>38</v>
      </c>
      <c r="B6595" t="s">
        <v>39</v>
      </c>
      <c r="C6595" t="s">
        <v>8</v>
      </c>
      <c r="D6595">
        <v>1407.26</v>
      </c>
      <c r="E6595">
        <v>2016</v>
      </c>
      <c r="F6595" t="s">
        <v>71</v>
      </c>
    </row>
    <row r="6596" spans="1:6" x14ac:dyDescent="0.25">
      <c r="A6596" t="s">
        <v>40</v>
      </c>
      <c r="B6596" t="s">
        <v>41</v>
      </c>
      <c r="C6596" t="s">
        <v>8</v>
      </c>
      <c r="D6596">
        <v>2239.23</v>
      </c>
      <c r="E6596">
        <v>2016</v>
      </c>
      <c r="F6596" t="s">
        <v>71</v>
      </c>
    </row>
    <row r="6597" spans="1:6" x14ac:dyDescent="0.25">
      <c r="A6597" t="s">
        <v>42</v>
      </c>
      <c r="B6597" t="s">
        <v>43</v>
      </c>
      <c r="C6597" t="s">
        <v>8</v>
      </c>
      <c r="D6597">
        <v>53.75</v>
      </c>
      <c r="E6597">
        <v>2016</v>
      </c>
      <c r="F6597" t="s">
        <v>71</v>
      </c>
    </row>
    <row r="6598" spans="1:6" x14ac:dyDescent="0.25">
      <c r="A6598" t="s">
        <v>44</v>
      </c>
      <c r="B6598" t="s">
        <v>45</v>
      </c>
      <c r="C6598" t="s">
        <v>8</v>
      </c>
      <c r="D6598">
        <v>821.4</v>
      </c>
      <c r="E6598">
        <v>2016</v>
      </c>
      <c r="F6598" t="s">
        <v>71</v>
      </c>
    </row>
    <row r="6599" spans="1:6" x14ac:dyDescent="0.25">
      <c r="A6599" t="s">
        <v>46</v>
      </c>
      <c r="B6599" t="s">
        <v>47</v>
      </c>
      <c r="C6599" t="s">
        <v>8</v>
      </c>
      <c r="D6599">
        <v>1208.5999999999999</v>
      </c>
      <c r="E6599">
        <v>2016</v>
      </c>
      <c r="F6599" t="s">
        <v>71</v>
      </c>
    </row>
    <row r="6600" spans="1:6" x14ac:dyDescent="0.25">
      <c r="A6600" t="s">
        <v>48</v>
      </c>
      <c r="B6600" t="s">
        <v>49</v>
      </c>
      <c r="C6600" t="s">
        <v>8</v>
      </c>
      <c r="D6600">
        <v>93.68</v>
      </c>
      <c r="E6600">
        <v>2016</v>
      </c>
      <c r="F6600" t="s">
        <v>71</v>
      </c>
    </row>
    <row r="6601" spans="1:6" x14ac:dyDescent="0.25">
      <c r="A6601" t="s">
        <v>50</v>
      </c>
      <c r="B6601" t="s">
        <v>51</v>
      </c>
      <c r="C6601" t="s">
        <v>8</v>
      </c>
      <c r="D6601">
        <v>77.75</v>
      </c>
      <c r="E6601">
        <v>2016</v>
      </c>
      <c r="F6601" t="s">
        <v>71</v>
      </c>
    </row>
    <row r="6602" spans="1:6" x14ac:dyDescent="0.25">
      <c r="A6602" t="s">
        <v>52</v>
      </c>
      <c r="B6602" t="s">
        <v>53</v>
      </c>
      <c r="C6602" t="s">
        <v>8</v>
      </c>
      <c r="D6602">
        <v>425.71</v>
      </c>
      <c r="E6602">
        <v>2016</v>
      </c>
      <c r="F6602" t="s">
        <v>71</v>
      </c>
    </row>
    <row r="6603" spans="1:6" x14ac:dyDescent="0.25">
      <c r="A6603" t="s">
        <v>54</v>
      </c>
      <c r="B6603" t="s">
        <v>55</v>
      </c>
      <c r="C6603" t="s">
        <v>8</v>
      </c>
      <c r="D6603">
        <v>100.92</v>
      </c>
      <c r="E6603">
        <v>2016</v>
      </c>
      <c r="F6603" t="s">
        <v>71</v>
      </c>
    </row>
    <row r="6604" spans="1:6" x14ac:dyDescent="0.25">
      <c r="A6604" t="s">
        <v>56</v>
      </c>
      <c r="B6604" t="s">
        <v>57</v>
      </c>
      <c r="C6604" t="s">
        <v>8</v>
      </c>
      <c r="D6604">
        <v>1148.71</v>
      </c>
      <c r="E6604">
        <v>2016</v>
      </c>
      <c r="F6604" t="s">
        <v>71</v>
      </c>
    </row>
    <row r="6605" spans="1:6" x14ac:dyDescent="0.25">
      <c r="A6605" t="s">
        <v>58</v>
      </c>
      <c r="B6605" t="s">
        <v>59</v>
      </c>
      <c r="C6605" t="s">
        <v>8</v>
      </c>
      <c r="D6605">
        <v>1731.72</v>
      </c>
      <c r="E6605">
        <v>2016</v>
      </c>
      <c r="F6605" t="s">
        <v>71</v>
      </c>
    </row>
    <row r="6606" spans="1:6" x14ac:dyDescent="0.25">
      <c r="A6606" t="s">
        <v>6</v>
      </c>
      <c r="B6606" t="s">
        <v>7</v>
      </c>
      <c r="C6606" t="s">
        <v>60</v>
      </c>
      <c r="D6606">
        <v>67684.55</v>
      </c>
      <c r="E6606">
        <v>2016</v>
      </c>
      <c r="F6606" t="s">
        <v>71</v>
      </c>
    </row>
    <row r="6607" spans="1:6" x14ac:dyDescent="0.25">
      <c r="A6607" t="s">
        <v>10</v>
      </c>
      <c r="B6607" t="s">
        <v>11</v>
      </c>
      <c r="C6607" t="s">
        <v>60</v>
      </c>
      <c r="D6607">
        <v>17180.560000000001</v>
      </c>
      <c r="E6607">
        <v>2016</v>
      </c>
      <c r="F6607" t="s">
        <v>71</v>
      </c>
    </row>
    <row r="6608" spans="1:6" x14ac:dyDescent="0.25">
      <c r="A6608" t="s">
        <v>12</v>
      </c>
      <c r="B6608" t="s">
        <v>13</v>
      </c>
      <c r="C6608" t="s">
        <v>60</v>
      </c>
      <c r="D6608">
        <v>3638.03</v>
      </c>
      <c r="E6608">
        <v>2016</v>
      </c>
      <c r="F6608" t="s">
        <v>71</v>
      </c>
    </row>
    <row r="6609" spans="1:6" x14ac:dyDescent="0.25">
      <c r="A6609" t="s">
        <v>14</v>
      </c>
      <c r="B6609" t="s">
        <v>15</v>
      </c>
      <c r="C6609" t="s">
        <v>60</v>
      </c>
      <c r="E6609">
        <v>2016</v>
      </c>
      <c r="F6609" t="s">
        <v>71</v>
      </c>
    </row>
    <row r="6610" spans="1:6" x14ac:dyDescent="0.25">
      <c r="A6610" t="s">
        <v>16</v>
      </c>
      <c r="B6610" t="s">
        <v>17</v>
      </c>
      <c r="C6610" t="s">
        <v>60</v>
      </c>
      <c r="D6610">
        <v>1382.9</v>
      </c>
      <c r="E6610">
        <v>2016</v>
      </c>
      <c r="F6610" t="s">
        <v>71</v>
      </c>
    </row>
    <row r="6611" spans="1:6" x14ac:dyDescent="0.25">
      <c r="A6611" t="s">
        <v>18</v>
      </c>
      <c r="B6611" t="s">
        <v>19</v>
      </c>
      <c r="C6611" t="s">
        <v>60</v>
      </c>
      <c r="D6611">
        <v>2577.4299999999998</v>
      </c>
      <c r="E6611">
        <v>2016</v>
      </c>
      <c r="F6611" t="s">
        <v>71</v>
      </c>
    </row>
    <row r="6612" spans="1:6" x14ac:dyDescent="0.25">
      <c r="A6612" t="s">
        <v>20</v>
      </c>
      <c r="B6612" t="s">
        <v>21</v>
      </c>
      <c r="C6612" t="s">
        <v>60</v>
      </c>
      <c r="D6612">
        <v>574.55999999999995</v>
      </c>
      <c r="E6612">
        <v>2016</v>
      </c>
      <c r="F6612" t="s">
        <v>71</v>
      </c>
    </row>
    <row r="6613" spans="1:6" x14ac:dyDescent="0.25">
      <c r="A6613" t="s">
        <v>22</v>
      </c>
      <c r="B6613" t="s">
        <v>23</v>
      </c>
      <c r="C6613" t="s">
        <v>60</v>
      </c>
      <c r="D6613">
        <v>327.8</v>
      </c>
      <c r="E6613">
        <v>2016</v>
      </c>
      <c r="F6613" t="s">
        <v>71</v>
      </c>
    </row>
    <row r="6614" spans="1:6" x14ac:dyDescent="0.25">
      <c r="A6614" t="s">
        <v>24</v>
      </c>
      <c r="B6614" t="s">
        <v>25</v>
      </c>
      <c r="C6614" t="s">
        <v>60</v>
      </c>
      <c r="D6614">
        <v>2412.19</v>
      </c>
      <c r="E6614">
        <v>2016</v>
      </c>
      <c r="F6614" t="s">
        <v>71</v>
      </c>
    </row>
    <row r="6615" spans="1:6" x14ac:dyDescent="0.25">
      <c r="A6615" t="s">
        <v>26</v>
      </c>
      <c r="B6615" t="s">
        <v>27</v>
      </c>
      <c r="C6615" t="s">
        <v>60</v>
      </c>
      <c r="D6615">
        <v>764.94</v>
      </c>
      <c r="E6615">
        <v>2016</v>
      </c>
      <c r="F6615" t="s">
        <v>71</v>
      </c>
    </row>
    <row r="6616" spans="1:6" x14ac:dyDescent="0.25">
      <c r="A6616" t="s">
        <v>28</v>
      </c>
      <c r="B6616" t="s">
        <v>29</v>
      </c>
      <c r="C6616" t="s">
        <v>60</v>
      </c>
      <c r="D6616">
        <v>11352.39</v>
      </c>
      <c r="E6616">
        <v>2016</v>
      </c>
      <c r="F6616" t="s">
        <v>71</v>
      </c>
    </row>
    <row r="6617" spans="1:6" x14ac:dyDescent="0.25">
      <c r="A6617" t="s">
        <v>30</v>
      </c>
      <c r="B6617" t="s">
        <v>31</v>
      </c>
      <c r="C6617" t="s">
        <v>60</v>
      </c>
      <c r="D6617">
        <v>6992.28</v>
      </c>
      <c r="E6617">
        <v>2016</v>
      </c>
      <c r="F6617" t="s">
        <v>71</v>
      </c>
    </row>
    <row r="6618" spans="1:6" x14ac:dyDescent="0.25">
      <c r="A6618" t="s">
        <v>32</v>
      </c>
      <c r="B6618" t="s">
        <v>33</v>
      </c>
      <c r="C6618" t="s">
        <v>60</v>
      </c>
      <c r="D6618">
        <v>1714.24</v>
      </c>
      <c r="E6618">
        <v>2016</v>
      </c>
      <c r="F6618" t="s">
        <v>71</v>
      </c>
    </row>
    <row r="6619" spans="1:6" x14ac:dyDescent="0.25">
      <c r="A6619" t="s">
        <v>34</v>
      </c>
      <c r="B6619" t="s">
        <v>35</v>
      </c>
      <c r="C6619" t="s">
        <v>60</v>
      </c>
      <c r="D6619">
        <v>2692.4</v>
      </c>
      <c r="E6619">
        <v>2016</v>
      </c>
      <c r="F6619" t="s">
        <v>71</v>
      </c>
    </row>
    <row r="6620" spans="1:6" x14ac:dyDescent="0.25">
      <c r="A6620" t="s">
        <v>36</v>
      </c>
      <c r="B6620" t="s">
        <v>37</v>
      </c>
      <c r="C6620" t="s">
        <v>60</v>
      </c>
      <c r="D6620">
        <v>3868.23</v>
      </c>
      <c r="E6620">
        <v>2016</v>
      </c>
      <c r="F6620" t="s">
        <v>71</v>
      </c>
    </row>
    <row r="6621" spans="1:6" x14ac:dyDescent="0.25">
      <c r="A6621" t="s">
        <v>38</v>
      </c>
      <c r="B6621" t="s">
        <v>39</v>
      </c>
      <c r="C6621" t="s">
        <v>60</v>
      </c>
      <c r="D6621">
        <v>3534.93</v>
      </c>
      <c r="E6621">
        <v>2016</v>
      </c>
      <c r="F6621" t="s">
        <v>71</v>
      </c>
    </row>
    <row r="6622" spans="1:6" x14ac:dyDescent="0.25">
      <c r="A6622" t="s">
        <v>40</v>
      </c>
      <c r="B6622" t="s">
        <v>41</v>
      </c>
      <c r="C6622" t="s">
        <v>60</v>
      </c>
      <c r="D6622">
        <v>1525.33</v>
      </c>
      <c r="E6622">
        <v>2016</v>
      </c>
      <c r="F6622" t="s">
        <v>71</v>
      </c>
    </row>
    <row r="6623" spans="1:6" x14ac:dyDescent="0.25">
      <c r="A6623" t="s">
        <v>42</v>
      </c>
      <c r="B6623" t="s">
        <v>43</v>
      </c>
      <c r="C6623" t="s">
        <v>60</v>
      </c>
      <c r="D6623">
        <v>19.559999999999999</v>
      </c>
      <c r="E6623">
        <v>2016</v>
      </c>
      <c r="F6623" t="s">
        <v>71</v>
      </c>
    </row>
    <row r="6624" spans="1:6" x14ac:dyDescent="0.25">
      <c r="A6624" t="s">
        <v>44</v>
      </c>
      <c r="B6624" t="s">
        <v>45</v>
      </c>
      <c r="C6624" t="s">
        <v>60</v>
      </c>
      <c r="D6624">
        <v>1376.81</v>
      </c>
      <c r="E6624">
        <v>2016</v>
      </c>
      <c r="F6624" t="s">
        <v>71</v>
      </c>
    </row>
    <row r="6625" spans="1:6" x14ac:dyDescent="0.25">
      <c r="A6625" t="s">
        <v>46</v>
      </c>
      <c r="B6625" t="s">
        <v>47</v>
      </c>
      <c r="C6625" t="s">
        <v>60</v>
      </c>
      <c r="D6625">
        <v>667.21</v>
      </c>
      <c r="E6625">
        <v>2016</v>
      </c>
      <c r="F6625" t="s">
        <v>71</v>
      </c>
    </row>
    <row r="6626" spans="1:6" x14ac:dyDescent="0.25">
      <c r="A6626" t="s">
        <v>48</v>
      </c>
      <c r="B6626" t="s">
        <v>49</v>
      </c>
      <c r="C6626" t="s">
        <v>60</v>
      </c>
      <c r="D6626">
        <v>1513.16</v>
      </c>
      <c r="E6626">
        <v>2016</v>
      </c>
      <c r="F6626" t="s">
        <v>71</v>
      </c>
    </row>
    <row r="6627" spans="1:6" x14ac:dyDescent="0.25">
      <c r="A6627" t="s">
        <v>50</v>
      </c>
      <c r="B6627" t="s">
        <v>51</v>
      </c>
      <c r="C6627" t="s">
        <v>60</v>
      </c>
      <c r="D6627">
        <v>655.29999999999995</v>
      </c>
      <c r="E6627">
        <v>2016</v>
      </c>
      <c r="F6627" t="s">
        <v>71</v>
      </c>
    </row>
    <row r="6628" spans="1:6" x14ac:dyDescent="0.25">
      <c r="A6628" t="s">
        <v>52</v>
      </c>
      <c r="B6628" t="s">
        <v>53</v>
      </c>
      <c r="C6628" t="s">
        <v>60</v>
      </c>
      <c r="D6628">
        <v>677.14</v>
      </c>
      <c r="E6628">
        <v>2016</v>
      </c>
      <c r="F6628" t="s">
        <v>71</v>
      </c>
    </row>
    <row r="6629" spans="1:6" x14ac:dyDescent="0.25">
      <c r="A6629" t="s">
        <v>54</v>
      </c>
      <c r="B6629" t="s">
        <v>55</v>
      </c>
      <c r="C6629" t="s">
        <v>60</v>
      </c>
      <c r="D6629">
        <v>2237.16</v>
      </c>
      <c r="E6629">
        <v>2016</v>
      </c>
      <c r="F6629" t="s">
        <v>71</v>
      </c>
    </row>
    <row r="6630" spans="1:6" x14ac:dyDescent="0.25">
      <c r="A6630" t="s">
        <v>56</v>
      </c>
      <c r="B6630" t="s">
        <v>57</v>
      </c>
      <c r="C6630" t="s">
        <v>60</v>
      </c>
      <c r="E6630">
        <v>2016</v>
      </c>
      <c r="F6630" t="s">
        <v>71</v>
      </c>
    </row>
    <row r="6631" spans="1:6" x14ac:dyDescent="0.25">
      <c r="A6631" t="s">
        <v>58</v>
      </c>
      <c r="B6631" t="s">
        <v>59</v>
      </c>
      <c r="C6631" t="s">
        <v>60</v>
      </c>
      <c r="E6631">
        <v>2016</v>
      </c>
      <c r="F6631" t="s">
        <v>71</v>
      </c>
    </row>
    <row r="6632" spans="1:6" x14ac:dyDescent="0.25">
      <c r="A6632" t="s">
        <v>6</v>
      </c>
      <c r="B6632" t="s">
        <v>7</v>
      </c>
      <c r="C6632" t="s">
        <v>61</v>
      </c>
      <c r="D6632">
        <v>24463.46</v>
      </c>
      <c r="E6632">
        <v>2016</v>
      </c>
      <c r="F6632" t="s">
        <v>71</v>
      </c>
    </row>
    <row r="6633" spans="1:6" x14ac:dyDescent="0.25">
      <c r="A6633" t="s">
        <v>10</v>
      </c>
      <c r="B6633" t="s">
        <v>11</v>
      </c>
      <c r="C6633" t="s">
        <v>61</v>
      </c>
      <c r="D6633">
        <v>11412.87</v>
      </c>
      <c r="E6633">
        <v>2016</v>
      </c>
      <c r="F6633" t="s">
        <v>71</v>
      </c>
    </row>
    <row r="6634" spans="1:6" x14ac:dyDescent="0.25">
      <c r="A6634" t="s">
        <v>12</v>
      </c>
      <c r="B6634" t="s">
        <v>13</v>
      </c>
      <c r="C6634" t="s">
        <v>61</v>
      </c>
      <c r="D6634">
        <v>1236.67</v>
      </c>
      <c r="E6634">
        <v>2016</v>
      </c>
      <c r="F6634" t="s">
        <v>71</v>
      </c>
    </row>
    <row r="6635" spans="1:6" x14ac:dyDescent="0.25">
      <c r="A6635" t="s">
        <v>14</v>
      </c>
      <c r="B6635" t="s">
        <v>15</v>
      </c>
      <c r="C6635" t="s">
        <v>61</v>
      </c>
      <c r="D6635">
        <v>32.119999999999997</v>
      </c>
      <c r="E6635">
        <v>2016</v>
      </c>
      <c r="F6635" t="s">
        <v>71</v>
      </c>
    </row>
    <row r="6636" spans="1:6" x14ac:dyDescent="0.25">
      <c r="A6636" t="s">
        <v>16</v>
      </c>
      <c r="B6636" t="s">
        <v>17</v>
      </c>
      <c r="C6636" t="s">
        <v>61</v>
      </c>
      <c r="D6636">
        <v>474.64</v>
      </c>
      <c r="E6636">
        <v>2016</v>
      </c>
      <c r="F6636" t="s">
        <v>71</v>
      </c>
    </row>
    <row r="6637" spans="1:6" x14ac:dyDescent="0.25">
      <c r="A6637" t="s">
        <v>18</v>
      </c>
      <c r="B6637" t="s">
        <v>19</v>
      </c>
      <c r="C6637" t="s">
        <v>61</v>
      </c>
      <c r="D6637">
        <v>448.53</v>
      </c>
      <c r="E6637">
        <v>2016</v>
      </c>
      <c r="F6637" t="s">
        <v>71</v>
      </c>
    </row>
    <row r="6638" spans="1:6" x14ac:dyDescent="0.25">
      <c r="A6638" t="s">
        <v>20</v>
      </c>
      <c r="B6638" t="s">
        <v>21</v>
      </c>
      <c r="C6638" t="s">
        <v>61</v>
      </c>
      <c r="D6638">
        <v>132.13</v>
      </c>
      <c r="E6638">
        <v>2016</v>
      </c>
      <c r="F6638" t="s">
        <v>71</v>
      </c>
    </row>
    <row r="6639" spans="1:6" x14ac:dyDescent="0.25">
      <c r="A6639" t="s">
        <v>22</v>
      </c>
      <c r="B6639" t="s">
        <v>23</v>
      </c>
      <c r="C6639" t="s">
        <v>61</v>
      </c>
      <c r="D6639">
        <v>496.31</v>
      </c>
      <c r="E6639">
        <v>2016</v>
      </c>
      <c r="F6639" t="s">
        <v>71</v>
      </c>
    </row>
    <row r="6640" spans="1:6" x14ac:dyDescent="0.25">
      <c r="A6640" t="s">
        <v>24</v>
      </c>
      <c r="B6640" t="s">
        <v>25</v>
      </c>
      <c r="C6640" t="s">
        <v>61</v>
      </c>
      <c r="D6640">
        <v>1293.19</v>
      </c>
      <c r="E6640">
        <v>2016</v>
      </c>
      <c r="F6640" t="s">
        <v>71</v>
      </c>
    </row>
    <row r="6641" spans="1:6" x14ac:dyDescent="0.25">
      <c r="A6641" t="s">
        <v>26</v>
      </c>
      <c r="B6641" t="s">
        <v>27</v>
      </c>
      <c r="C6641" t="s">
        <v>61</v>
      </c>
      <c r="D6641">
        <v>273.22000000000003</v>
      </c>
      <c r="E6641">
        <v>2016</v>
      </c>
      <c r="F6641" t="s">
        <v>71</v>
      </c>
    </row>
    <row r="6642" spans="1:6" x14ac:dyDescent="0.25">
      <c r="A6642" t="s">
        <v>28</v>
      </c>
      <c r="B6642" t="s">
        <v>29</v>
      </c>
      <c r="C6642" t="s">
        <v>61</v>
      </c>
      <c r="D6642">
        <v>136.97999999999999</v>
      </c>
      <c r="E6642">
        <v>2016</v>
      </c>
      <c r="F6642" t="s">
        <v>71</v>
      </c>
    </row>
    <row r="6643" spans="1:6" x14ac:dyDescent="0.25">
      <c r="A6643" t="s">
        <v>30</v>
      </c>
      <c r="B6643" t="s">
        <v>31</v>
      </c>
      <c r="C6643" t="s">
        <v>61</v>
      </c>
      <c r="D6643">
        <v>1281.5899999999999</v>
      </c>
      <c r="E6643">
        <v>2016</v>
      </c>
      <c r="F6643" t="s">
        <v>71</v>
      </c>
    </row>
    <row r="6644" spans="1:6" x14ac:dyDescent="0.25">
      <c r="A6644" t="s">
        <v>32</v>
      </c>
      <c r="B6644" t="s">
        <v>33</v>
      </c>
      <c r="C6644" t="s">
        <v>61</v>
      </c>
      <c r="D6644">
        <v>407.69</v>
      </c>
      <c r="E6644">
        <v>2016</v>
      </c>
      <c r="F6644" t="s">
        <v>71</v>
      </c>
    </row>
    <row r="6645" spans="1:6" x14ac:dyDescent="0.25">
      <c r="A6645" t="s">
        <v>34</v>
      </c>
      <c r="B6645" t="s">
        <v>35</v>
      </c>
      <c r="C6645" t="s">
        <v>61</v>
      </c>
      <c r="D6645">
        <v>1357.83</v>
      </c>
      <c r="E6645">
        <v>2016</v>
      </c>
      <c r="F6645" t="s">
        <v>71</v>
      </c>
    </row>
    <row r="6646" spans="1:6" x14ac:dyDescent="0.25">
      <c r="A6646" t="s">
        <v>36</v>
      </c>
      <c r="B6646" t="s">
        <v>37</v>
      </c>
      <c r="C6646" t="s">
        <v>61</v>
      </c>
      <c r="D6646">
        <v>1424.22</v>
      </c>
      <c r="E6646">
        <v>2016</v>
      </c>
      <c r="F6646" t="s">
        <v>71</v>
      </c>
    </row>
    <row r="6647" spans="1:6" x14ac:dyDescent="0.25">
      <c r="A6647" t="s">
        <v>38</v>
      </c>
      <c r="B6647" t="s">
        <v>39</v>
      </c>
      <c r="C6647" t="s">
        <v>61</v>
      </c>
      <c r="D6647">
        <v>1103.3399999999999</v>
      </c>
      <c r="E6647">
        <v>2016</v>
      </c>
      <c r="F6647" t="s">
        <v>71</v>
      </c>
    </row>
    <row r="6648" spans="1:6" x14ac:dyDescent="0.25">
      <c r="A6648" t="s">
        <v>40</v>
      </c>
      <c r="B6648" t="s">
        <v>41</v>
      </c>
      <c r="C6648" t="s">
        <v>61</v>
      </c>
      <c r="D6648">
        <v>555.24</v>
      </c>
      <c r="E6648">
        <v>2016</v>
      </c>
      <c r="F6648" t="s">
        <v>71</v>
      </c>
    </row>
    <row r="6649" spans="1:6" x14ac:dyDescent="0.25">
      <c r="A6649" t="s">
        <v>42</v>
      </c>
      <c r="B6649" t="s">
        <v>43</v>
      </c>
      <c r="C6649" t="s">
        <v>61</v>
      </c>
      <c r="D6649">
        <v>204.85</v>
      </c>
      <c r="E6649">
        <v>2016</v>
      </c>
      <c r="F6649" t="s">
        <v>71</v>
      </c>
    </row>
    <row r="6650" spans="1:6" x14ac:dyDescent="0.25">
      <c r="A6650" t="s">
        <v>44</v>
      </c>
      <c r="B6650" t="s">
        <v>45</v>
      </c>
      <c r="C6650" t="s">
        <v>61</v>
      </c>
      <c r="D6650">
        <v>531.33000000000004</v>
      </c>
      <c r="E6650">
        <v>2016</v>
      </c>
      <c r="F6650" t="s">
        <v>71</v>
      </c>
    </row>
    <row r="6651" spans="1:6" x14ac:dyDescent="0.25">
      <c r="A6651" t="s">
        <v>46</v>
      </c>
      <c r="B6651" t="s">
        <v>47</v>
      </c>
      <c r="C6651" t="s">
        <v>61</v>
      </c>
      <c r="D6651">
        <v>99.69</v>
      </c>
      <c r="E6651">
        <v>2016</v>
      </c>
      <c r="F6651" t="s">
        <v>71</v>
      </c>
    </row>
    <row r="6652" spans="1:6" x14ac:dyDescent="0.25">
      <c r="A6652" t="s">
        <v>48</v>
      </c>
      <c r="B6652" t="s">
        <v>49</v>
      </c>
      <c r="C6652" t="s">
        <v>61</v>
      </c>
      <c r="D6652">
        <v>670.4</v>
      </c>
      <c r="E6652">
        <v>2016</v>
      </c>
      <c r="F6652" t="s">
        <v>71</v>
      </c>
    </row>
    <row r="6653" spans="1:6" x14ac:dyDescent="0.25">
      <c r="A6653" t="s">
        <v>50</v>
      </c>
      <c r="B6653" t="s">
        <v>51</v>
      </c>
      <c r="C6653" t="s">
        <v>61</v>
      </c>
      <c r="D6653">
        <v>110</v>
      </c>
      <c r="E6653">
        <v>2016</v>
      </c>
      <c r="F6653" t="s">
        <v>71</v>
      </c>
    </row>
    <row r="6654" spans="1:6" x14ac:dyDescent="0.25">
      <c r="A6654" t="s">
        <v>52</v>
      </c>
      <c r="B6654" t="s">
        <v>53</v>
      </c>
      <c r="C6654" t="s">
        <v>61</v>
      </c>
      <c r="D6654">
        <v>272.87</v>
      </c>
      <c r="E6654">
        <v>2016</v>
      </c>
      <c r="F6654" t="s">
        <v>71</v>
      </c>
    </row>
    <row r="6655" spans="1:6" x14ac:dyDescent="0.25">
      <c r="A6655" t="s">
        <v>54</v>
      </c>
      <c r="B6655" t="s">
        <v>55</v>
      </c>
      <c r="C6655" t="s">
        <v>61</v>
      </c>
      <c r="D6655">
        <v>116.63</v>
      </c>
      <c r="E6655">
        <v>2016</v>
      </c>
      <c r="F6655" t="s">
        <v>71</v>
      </c>
    </row>
    <row r="6656" spans="1:6" x14ac:dyDescent="0.25">
      <c r="A6656" t="s">
        <v>56</v>
      </c>
      <c r="B6656" t="s">
        <v>57</v>
      </c>
      <c r="C6656" t="s">
        <v>61</v>
      </c>
      <c r="D6656">
        <v>391.12</v>
      </c>
      <c r="E6656">
        <v>2016</v>
      </c>
      <c r="F6656" t="s">
        <v>71</v>
      </c>
    </row>
    <row r="6657" spans="1:6" x14ac:dyDescent="0.25">
      <c r="A6657" t="s">
        <v>58</v>
      </c>
      <c r="B6657" t="s">
        <v>59</v>
      </c>
      <c r="C6657" t="s">
        <v>61</v>
      </c>
      <c r="E6657">
        <v>2016</v>
      </c>
      <c r="F6657" t="s">
        <v>71</v>
      </c>
    </row>
    <row r="6658" spans="1:6" x14ac:dyDescent="0.25">
      <c r="A6658" t="s">
        <v>6</v>
      </c>
      <c r="B6658" t="s">
        <v>7</v>
      </c>
      <c r="C6658" t="s">
        <v>65</v>
      </c>
      <c r="D6658">
        <v>414727.42</v>
      </c>
      <c r="E6658">
        <v>2016</v>
      </c>
      <c r="F6658" t="s">
        <v>71</v>
      </c>
    </row>
    <row r="6659" spans="1:6" x14ac:dyDescent="0.25">
      <c r="A6659" t="s">
        <v>10</v>
      </c>
      <c r="B6659" t="s">
        <v>11</v>
      </c>
      <c r="C6659" t="s">
        <v>65</v>
      </c>
      <c r="D6659">
        <v>60024.68</v>
      </c>
      <c r="E6659">
        <v>2016</v>
      </c>
      <c r="F6659" t="s">
        <v>71</v>
      </c>
    </row>
    <row r="6660" spans="1:6" x14ac:dyDescent="0.25">
      <c r="A6660" t="s">
        <v>12</v>
      </c>
      <c r="B6660" t="s">
        <v>13</v>
      </c>
      <c r="C6660" t="s">
        <v>65</v>
      </c>
      <c r="D6660">
        <v>20774.22</v>
      </c>
      <c r="E6660">
        <v>2016</v>
      </c>
      <c r="F6660" t="s">
        <v>71</v>
      </c>
    </row>
    <row r="6661" spans="1:6" x14ac:dyDescent="0.25">
      <c r="A6661" t="s">
        <v>14</v>
      </c>
      <c r="B6661" t="s">
        <v>15</v>
      </c>
      <c r="C6661" t="s">
        <v>65</v>
      </c>
      <c r="D6661">
        <v>1098.74</v>
      </c>
      <c r="E6661">
        <v>2016</v>
      </c>
      <c r="F6661" t="s">
        <v>71</v>
      </c>
    </row>
    <row r="6662" spans="1:6" x14ac:dyDescent="0.25">
      <c r="A6662" t="s">
        <v>16</v>
      </c>
      <c r="B6662" t="s">
        <v>17</v>
      </c>
      <c r="C6662" t="s">
        <v>65</v>
      </c>
      <c r="D6662">
        <v>13479.59</v>
      </c>
      <c r="E6662">
        <v>2016</v>
      </c>
      <c r="F6662" t="s">
        <v>71</v>
      </c>
    </row>
    <row r="6663" spans="1:6" x14ac:dyDescent="0.25">
      <c r="A6663" t="s">
        <v>18</v>
      </c>
      <c r="B6663" t="s">
        <v>19</v>
      </c>
      <c r="C6663" t="s">
        <v>65</v>
      </c>
      <c r="D6663">
        <v>3981.45</v>
      </c>
      <c r="E6663">
        <v>2016</v>
      </c>
      <c r="F6663" t="s">
        <v>71</v>
      </c>
    </row>
    <row r="6664" spans="1:6" x14ac:dyDescent="0.25">
      <c r="A6664" t="s">
        <v>20</v>
      </c>
      <c r="B6664" t="s">
        <v>21</v>
      </c>
      <c r="C6664" t="s">
        <v>65</v>
      </c>
      <c r="D6664">
        <v>2776.98</v>
      </c>
      <c r="E6664">
        <v>2016</v>
      </c>
      <c r="F6664" t="s">
        <v>71</v>
      </c>
    </row>
    <row r="6665" spans="1:6" x14ac:dyDescent="0.25">
      <c r="A6665" t="s">
        <v>22</v>
      </c>
      <c r="B6665" t="s">
        <v>23</v>
      </c>
      <c r="C6665" t="s">
        <v>65</v>
      </c>
      <c r="D6665">
        <v>1343.54</v>
      </c>
      <c r="E6665">
        <v>2016</v>
      </c>
      <c r="F6665" t="s">
        <v>71</v>
      </c>
    </row>
    <row r="6666" spans="1:6" x14ac:dyDescent="0.25">
      <c r="A6666" t="s">
        <v>24</v>
      </c>
      <c r="B6666" t="s">
        <v>25</v>
      </c>
      <c r="C6666" t="s">
        <v>65</v>
      </c>
      <c r="D6666">
        <v>10561.86</v>
      </c>
      <c r="E6666">
        <v>2016</v>
      </c>
      <c r="F6666" t="s">
        <v>71</v>
      </c>
    </row>
    <row r="6667" spans="1:6" x14ac:dyDescent="0.25">
      <c r="A6667" t="s">
        <v>26</v>
      </c>
      <c r="B6667" t="s">
        <v>27</v>
      </c>
      <c r="C6667" t="s">
        <v>65</v>
      </c>
      <c r="D6667">
        <v>898.72</v>
      </c>
      <c r="E6667">
        <v>2016</v>
      </c>
      <c r="F6667" t="s">
        <v>71</v>
      </c>
    </row>
    <row r="6668" spans="1:6" x14ac:dyDescent="0.25">
      <c r="A6668" t="s">
        <v>28</v>
      </c>
      <c r="B6668" t="s">
        <v>29</v>
      </c>
      <c r="C6668" t="s">
        <v>65</v>
      </c>
      <c r="D6668">
        <v>31821.18</v>
      </c>
      <c r="E6668">
        <v>2016</v>
      </c>
      <c r="F6668" t="s">
        <v>71</v>
      </c>
    </row>
    <row r="6669" spans="1:6" x14ac:dyDescent="0.25">
      <c r="A6669" t="s">
        <v>30</v>
      </c>
      <c r="B6669" t="s">
        <v>31</v>
      </c>
      <c r="C6669" t="s">
        <v>65</v>
      </c>
      <c r="D6669">
        <v>40286.25</v>
      </c>
      <c r="E6669">
        <v>2016</v>
      </c>
      <c r="F6669" t="s">
        <v>71</v>
      </c>
    </row>
    <row r="6670" spans="1:6" x14ac:dyDescent="0.25">
      <c r="A6670" t="s">
        <v>32</v>
      </c>
      <c r="B6670" t="s">
        <v>33</v>
      </c>
      <c r="C6670" t="s">
        <v>65</v>
      </c>
      <c r="D6670">
        <v>2048.0500000000002</v>
      </c>
      <c r="E6670">
        <v>2016</v>
      </c>
      <c r="F6670" t="s">
        <v>71</v>
      </c>
    </row>
    <row r="6671" spans="1:6" x14ac:dyDescent="0.25">
      <c r="A6671" t="s">
        <v>34</v>
      </c>
      <c r="B6671" t="s">
        <v>35</v>
      </c>
      <c r="C6671" t="s">
        <v>65</v>
      </c>
      <c r="D6671">
        <v>17545.939999999999</v>
      </c>
      <c r="E6671">
        <v>2016</v>
      </c>
      <c r="F6671" t="s">
        <v>71</v>
      </c>
    </row>
    <row r="6672" spans="1:6" x14ac:dyDescent="0.25">
      <c r="A6672" t="s">
        <v>36</v>
      </c>
      <c r="B6672" t="s">
        <v>37</v>
      </c>
      <c r="C6672" t="s">
        <v>65</v>
      </c>
      <c r="D6672">
        <v>21221.360000000001</v>
      </c>
      <c r="E6672">
        <v>2016</v>
      </c>
      <c r="F6672" t="s">
        <v>71</v>
      </c>
    </row>
    <row r="6673" spans="1:6" x14ac:dyDescent="0.25">
      <c r="A6673" t="s">
        <v>38</v>
      </c>
      <c r="B6673" t="s">
        <v>39</v>
      </c>
      <c r="C6673" t="s">
        <v>65</v>
      </c>
      <c r="D6673">
        <v>27878.19</v>
      </c>
      <c r="E6673">
        <v>2016</v>
      </c>
      <c r="F6673" t="s">
        <v>71</v>
      </c>
    </row>
    <row r="6674" spans="1:6" x14ac:dyDescent="0.25">
      <c r="A6674" t="s">
        <v>40</v>
      </c>
      <c r="B6674" t="s">
        <v>41</v>
      </c>
      <c r="C6674" t="s">
        <v>65</v>
      </c>
      <c r="D6674">
        <v>19034.66</v>
      </c>
      <c r="E6674">
        <v>2016</v>
      </c>
      <c r="F6674" t="s">
        <v>71</v>
      </c>
    </row>
    <row r="6675" spans="1:6" x14ac:dyDescent="0.25">
      <c r="A6675" t="s">
        <v>42</v>
      </c>
      <c r="B6675" t="s">
        <v>43</v>
      </c>
      <c r="C6675" t="s">
        <v>65</v>
      </c>
      <c r="D6675">
        <v>9104.9599999999991</v>
      </c>
      <c r="E6675">
        <v>2016</v>
      </c>
      <c r="F6675" t="s">
        <v>71</v>
      </c>
    </row>
    <row r="6676" spans="1:6" x14ac:dyDescent="0.25">
      <c r="A6676" t="s">
        <v>44</v>
      </c>
      <c r="B6676" t="s">
        <v>45</v>
      </c>
      <c r="C6676" t="s">
        <v>65</v>
      </c>
      <c r="D6676">
        <v>27551.23</v>
      </c>
      <c r="E6676">
        <v>2016</v>
      </c>
      <c r="F6676" t="s">
        <v>71</v>
      </c>
    </row>
    <row r="6677" spans="1:6" x14ac:dyDescent="0.25">
      <c r="A6677" t="s">
        <v>46</v>
      </c>
      <c r="B6677" t="s">
        <v>47</v>
      </c>
      <c r="C6677" t="s">
        <v>65</v>
      </c>
      <c r="D6677">
        <v>36071.22</v>
      </c>
      <c r="E6677">
        <v>2016</v>
      </c>
      <c r="F6677" t="s">
        <v>71</v>
      </c>
    </row>
    <row r="6678" spans="1:6" x14ac:dyDescent="0.25">
      <c r="A6678" t="s">
        <v>48</v>
      </c>
      <c r="B6678" t="s">
        <v>49</v>
      </c>
      <c r="C6678" t="s">
        <v>65</v>
      </c>
      <c r="D6678">
        <v>64924.81</v>
      </c>
      <c r="E6678">
        <v>2016</v>
      </c>
      <c r="F6678" t="s">
        <v>71</v>
      </c>
    </row>
    <row r="6679" spans="1:6" x14ac:dyDescent="0.25">
      <c r="A6679" t="s">
        <v>50</v>
      </c>
      <c r="B6679" t="s">
        <v>51</v>
      </c>
      <c r="C6679" t="s">
        <v>65</v>
      </c>
      <c r="D6679">
        <v>962.52</v>
      </c>
      <c r="E6679">
        <v>2016</v>
      </c>
      <c r="F6679" t="s">
        <v>71</v>
      </c>
    </row>
    <row r="6680" spans="1:6" x14ac:dyDescent="0.25">
      <c r="A6680" t="s">
        <v>52</v>
      </c>
      <c r="B6680" t="s">
        <v>53</v>
      </c>
      <c r="C6680" t="s">
        <v>65</v>
      </c>
      <c r="D6680">
        <v>778.92</v>
      </c>
      <c r="E6680">
        <v>2016</v>
      </c>
      <c r="F6680" t="s">
        <v>71</v>
      </c>
    </row>
    <row r="6681" spans="1:6" x14ac:dyDescent="0.25">
      <c r="A6681" t="s">
        <v>54</v>
      </c>
      <c r="B6681" t="s">
        <v>55</v>
      </c>
      <c r="C6681" t="s">
        <v>65</v>
      </c>
      <c r="D6681">
        <v>558.35</v>
      </c>
      <c r="E6681">
        <v>2016</v>
      </c>
      <c r="F6681" t="s">
        <v>71</v>
      </c>
    </row>
    <row r="6682" spans="1:6" x14ac:dyDescent="0.25">
      <c r="A6682" t="s">
        <v>56</v>
      </c>
      <c r="B6682" t="s">
        <v>57</v>
      </c>
      <c r="C6682" t="s">
        <v>65</v>
      </c>
      <c r="E6682">
        <v>2016</v>
      </c>
      <c r="F6682" t="s">
        <v>71</v>
      </c>
    </row>
    <row r="6683" spans="1:6" x14ac:dyDescent="0.25">
      <c r="A6683" t="s">
        <v>58</v>
      </c>
      <c r="B6683" t="s">
        <v>59</v>
      </c>
      <c r="C6683" t="s">
        <v>65</v>
      </c>
      <c r="E6683">
        <v>2016</v>
      </c>
      <c r="F6683" t="s">
        <v>71</v>
      </c>
    </row>
    <row r="6684" spans="1:6" x14ac:dyDescent="0.25">
      <c r="A6684" t="s">
        <v>6</v>
      </c>
      <c r="B6684" t="s">
        <v>7</v>
      </c>
      <c r="C6684" t="s">
        <v>62</v>
      </c>
      <c r="D6684">
        <v>57092.37</v>
      </c>
      <c r="E6684">
        <v>2016</v>
      </c>
      <c r="F6684" t="s">
        <v>71</v>
      </c>
    </row>
    <row r="6685" spans="1:6" x14ac:dyDescent="0.25">
      <c r="A6685" t="s">
        <v>10</v>
      </c>
      <c r="B6685" t="s">
        <v>11</v>
      </c>
      <c r="C6685" t="s">
        <v>62</v>
      </c>
      <c r="D6685">
        <v>20611.060000000001</v>
      </c>
      <c r="E6685">
        <v>2016</v>
      </c>
      <c r="F6685" t="s">
        <v>71</v>
      </c>
    </row>
    <row r="6686" spans="1:6" x14ac:dyDescent="0.25">
      <c r="A6686" t="s">
        <v>12</v>
      </c>
      <c r="B6686" t="s">
        <v>13</v>
      </c>
      <c r="C6686" t="s">
        <v>62</v>
      </c>
      <c r="D6686">
        <v>3649.25</v>
      </c>
      <c r="E6686">
        <v>2016</v>
      </c>
      <c r="F6686" t="s">
        <v>71</v>
      </c>
    </row>
    <row r="6687" spans="1:6" x14ac:dyDescent="0.25">
      <c r="A6687" t="s">
        <v>14</v>
      </c>
      <c r="B6687" t="s">
        <v>15</v>
      </c>
      <c r="C6687" t="s">
        <v>62</v>
      </c>
      <c r="E6687">
        <v>2016</v>
      </c>
      <c r="F6687" t="s">
        <v>71</v>
      </c>
    </row>
    <row r="6688" spans="1:6" x14ac:dyDescent="0.25">
      <c r="A6688" t="s">
        <v>16</v>
      </c>
      <c r="B6688" t="s">
        <v>17</v>
      </c>
      <c r="C6688" t="s">
        <v>62</v>
      </c>
      <c r="D6688">
        <v>1882.77</v>
      </c>
      <c r="E6688">
        <v>2016</v>
      </c>
      <c r="F6688" t="s">
        <v>71</v>
      </c>
    </row>
    <row r="6689" spans="1:6" x14ac:dyDescent="0.25">
      <c r="A6689" t="s">
        <v>18</v>
      </c>
      <c r="B6689" t="s">
        <v>19</v>
      </c>
      <c r="C6689" t="s">
        <v>62</v>
      </c>
      <c r="D6689">
        <v>1891.84</v>
      </c>
      <c r="E6689">
        <v>2016</v>
      </c>
      <c r="F6689" t="s">
        <v>71</v>
      </c>
    </row>
    <row r="6690" spans="1:6" x14ac:dyDescent="0.25">
      <c r="A6690" t="s">
        <v>20</v>
      </c>
      <c r="B6690" t="s">
        <v>21</v>
      </c>
      <c r="C6690" t="s">
        <v>62</v>
      </c>
      <c r="D6690">
        <v>388.61</v>
      </c>
      <c r="E6690">
        <v>2016</v>
      </c>
      <c r="F6690" t="s">
        <v>71</v>
      </c>
    </row>
    <row r="6691" spans="1:6" x14ac:dyDescent="0.25">
      <c r="A6691" t="s">
        <v>22</v>
      </c>
      <c r="B6691" t="s">
        <v>23</v>
      </c>
      <c r="C6691" t="s">
        <v>62</v>
      </c>
      <c r="D6691">
        <v>317.05</v>
      </c>
      <c r="E6691">
        <v>2016</v>
      </c>
      <c r="F6691" t="s">
        <v>71</v>
      </c>
    </row>
    <row r="6692" spans="1:6" x14ac:dyDescent="0.25">
      <c r="A6692" t="s">
        <v>24</v>
      </c>
      <c r="B6692" t="s">
        <v>25</v>
      </c>
      <c r="C6692" t="s">
        <v>62</v>
      </c>
      <c r="D6692">
        <v>2178.4699999999998</v>
      </c>
      <c r="E6692">
        <v>2016</v>
      </c>
      <c r="F6692" t="s">
        <v>71</v>
      </c>
    </row>
    <row r="6693" spans="1:6" x14ac:dyDescent="0.25">
      <c r="A6693" t="s">
        <v>26</v>
      </c>
      <c r="B6693" t="s">
        <v>27</v>
      </c>
      <c r="C6693" t="s">
        <v>62</v>
      </c>
      <c r="D6693">
        <v>817.34</v>
      </c>
      <c r="E6693">
        <v>2016</v>
      </c>
      <c r="F6693" t="s">
        <v>71</v>
      </c>
    </row>
    <row r="6694" spans="1:6" x14ac:dyDescent="0.25">
      <c r="A6694" t="s">
        <v>28</v>
      </c>
      <c r="B6694" t="s">
        <v>29</v>
      </c>
      <c r="C6694" t="s">
        <v>62</v>
      </c>
      <c r="D6694">
        <v>5340.77</v>
      </c>
      <c r="E6694">
        <v>2016</v>
      </c>
      <c r="F6694" t="s">
        <v>71</v>
      </c>
    </row>
    <row r="6695" spans="1:6" x14ac:dyDescent="0.25">
      <c r="A6695" t="s">
        <v>30</v>
      </c>
      <c r="B6695" t="s">
        <v>31</v>
      </c>
      <c r="C6695" t="s">
        <v>62</v>
      </c>
      <c r="D6695">
        <v>3555.48</v>
      </c>
      <c r="E6695">
        <v>2016</v>
      </c>
      <c r="F6695" t="s">
        <v>71</v>
      </c>
    </row>
    <row r="6696" spans="1:6" x14ac:dyDescent="0.25">
      <c r="A6696" t="s">
        <v>32</v>
      </c>
      <c r="B6696" t="s">
        <v>33</v>
      </c>
      <c r="C6696" t="s">
        <v>62</v>
      </c>
      <c r="D6696">
        <v>1111.51</v>
      </c>
      <c r="E6696">
        <v>2016</v>
      </c>
      <c r="F6696" t="s">
        <v>71</v>
      </c>
    </row>
    <row r="6697" spans="1:6" x14ac:dyDescent="0.25">
      <c r="A6697" t="s">
        <v>34</v>
      </c>
      <c r="B6697" t="s">
        <v>35</v>
      </c>
      <c r="C6697" t="s">
        <v>62</v>
      </c>
      <c r="D6697">
        <v>3081.22</v>
      </c>
      <c r="E6697">
        <v>2016</v>
      </c>
      <c r="F6697" t="s">
        <v>71</v>
      </c>
    </row>
    <row r="6698" spans="1:6" x14ac:dyDescent="0.25">
      <c r="A6698" t="s">
        <v>36</v>
      </c>
      <c r="B6698" t="s">
        <v>37</v>
      </c>
      <c r="C6698" t="s">
        <v>62</v>
      </c>
      <c r="D6698">
        <v>3674.43</v>
      </c>
      <c r="E6698">
        <v>2016</v>
      </c>
      <c r="F6698" t="s">
        <v>71</v>
      </c>
    </row>
    <row r="6699" spans="1:6" x14ac:dyDescent="0.25">
      <c r="A6699" t="s">
        <v>38</v>
      </c>
      <c r="B6699" t="s">
        <v>39</v>
      </c>
      <c r="C6699" t="s">
        <v>62</v>
      </c>
      <c r="D6699">
        <v>3146.36</v>
      </c>
      <c r="E6699">
        <v>2016</v>
      </c>
      <c r="F6699" t="s">
        <v>71</v>
      </c>
    </row>
    <row r="6700" spans="1:6" x14ac:dyDescent="0.25">
      <c r="A6700" t="s">
        <v>40</v>
      </c>
      <c r="B6700" t="s">
        <v>41</v>
      </c>
      <c r="C6700" t="s">
        <v>62</v>
      </c>
      <c r="D6700">
        <v>2027.41</v>
      </c>
      <c r="E6700">
        <v>2016</v>
      </c>
      <c r="F6700" t="s">
        <v>71</v>
      </c>
    </row>
    <row r="6701" spans="1:6" x14ac:dyDescent="0.25">
      <c r="A6701" t="s">
        <v>42</v>
      </c>
      <c r="B6701" t="s">
        <v>43</v>
      </c>
      <c r="C6701" t="s">
        <v>62</v>
      </c>
      <c r="D6701">
        <v>59.4</v>
      </c>
      <c r="E6701">
        <v>2016</v>
      </c>
      <c r="F6701" t="s">
        <v>71</v>
      </c>
    </row>
    <row r="6702" spans="1:6" x14ac:dyDescent="0.25">
      <c r="A6702" t="s">
        <v>44</v>
      </c>
      <c r="B6702" t="s">
        <v>45</v>
      </c>
      <c r="C6702" t="s">
        <v>62</v>
      </c>
      <c r="D6702">
        <v>757.55</v>
      </c>
      <c r="E6702">
        <v>2016</v>
      </c>
      <c r="F6702" t="s">
        <v>71</v>
      </c>
    </row>
    <row r="6703" spans="1:6" x14ac:dyDescent="0.25">
      <c r="A6703" t="s">
        <v>46</v>
      </c>
      <c r="B6703" t="s">
        <v>47</v>
      </c>
      <c r="C6703" t="s">
        <v>62</v>
      </c>
      <c r="D6703">
        <v>567.86</v>
      </c>
      <c r="E6703">
        <v>2016</v>
      </c>
      <c r="F6703" t="s">
        <v>71</v>
      </c>
    </row>
    <row r="6704" spans="1:6" x14ac:dyDescent="0.25">
      <c r="A6704" t="s">
        <v>48</v>
      </c>
      <c r="B6704" t="s">
        <v>49</v>
      </c>
      <c r="C6704" t="s">
        <v>62</v>
      </c>
      <c r="D6704">
        <v>465.67</v>
      </c>
      <c r="E6704">
        <v>2016</v>
      </c>
      <c r="F6704" t="s">
        <v>71</v>
      </c>
    </row>
    <row r="6705" spans="1:6" x14ac:dyDescent="0.25">
      <c r="A6705" t="s">
        <v>50</v>
      </c>
      <c r="B6705" t="s">
        <v>51</v>
      </c>
      <c r="C6705" t="s">
        <v>62</v>
      </c>
      <c r="D6705">
        <v>220.04</v>
      </c>
      <c r="E6705">
        <v>2016</v>
      </c>
      <c r="F6705" t="s">
        <v>71</v>
      </c>
    </row>
    <row r="6706" spans="1:6" x14ac:dyDescent="0.25">
      <c r="A6706" t="s">
        <v>52</v>
      </c>
      <c r="B6706" t="s">
        <v>53</v>
      </c>
      <c r="C6706" t="s">
        <v>62</v>
      </c>
      <c r="D6706">
        <v>558.51</v>
      </c>
      <c r="E6706">
        <v>2016</v>
      </c>
      <c r="F6706" t="s">
        <v>71</v>
      </c>
    </row>
    <row r="6707" spans="1:6" x14ac:dyDescent="0.25">
      <c r="A6707" t="s">
        <v>54</v>
      </c>
      <c r="B6707" t="s">
        <v>55</v>
      </c>
      <c r="C6707" t="s">
        <v>62</v>
      </c>
      <c r="D6707">
        <v>268.83</v>
      </c>
      <c r="E6707">
        <v>2016</v>
      </c>
      <c r="F6707" t="s">
        <v>71</v>
      </c>
    </row>
    <row r="6708" spans="1:6" x14ac:dyDescent="0.25">
      <c r="A6708" t="s">
        <v>56</v>
      </c>
      <c r="B6708" t="s">
        <v>57</v>
      </c>
      <c r="C6708" t="s">
        <v>62</v>
      </c>
      <c r="D6708">
        <v>520.94000000000005</v>
      </c>
      <c r="E6708">
        <v>2016</v>
      </c>
      <c r="F6708" t="s">
        <v>71</v>
      </c>
    </row>
    <row r="6709" spans="1:6" x14ac:dyDescent="0.25">
      <c r="A6709" t="s">
        <v>58</v>
      </c>
      <c r="B6709" t="s">
        <v>59</v>
      </c>
      <c r="C6709" t="s">
        <v>62</v>
      </c>
      <c r="E6709">
        <v>2016</v>
      </c>
      <c r="F6709" t="s">
        <v>71</v>
      </c>
    </row>
    <row r="6710" spans="1:6" x14ac:dyDescent="0.25">
      <c r="A6710" t="s">
        <v>6</v>
      </c>
      <c r="B6710" t="s">
        <v>7</v>
      </c>
      <c r="C6710" t="s">
        <v>66</v>
      </c>
      <c r="D6710">
        <v>14702.48</v>
      </c>
      <c r="E6710">
        <v>2016</v>
      </c>
      <c r="F6710" t="s">
        <v>71</v>
      </c>
    </row>
    <row r="6711" spans="1:6" x14ac:dyDescent="0.25">
      <c r="A6711" t="s">
        <v>10</v>
      </c>
      <c r="B6711" t="s">
        <v>11</v>
      </c>
      <c r="C6711" t="s">
        <v>66</v>
      </c>
      <c r="D6711">
        <v>6632.01</v>
      </c>
      <c r="E6711">
        <v>2016</v>
      </c>
      <c r="F6711" t="s">
        <v>71</v>
      </c>
    </row>
    <row r="6712" spans="1:6" x14ac:dyDescent="0.25">
      <c r="A6712" t="s">
        <v>12</v>
      </c>
      <c r="B6712" t="s">
        <v>13</v>
      </c>
      <c r="C6712" t="s">
        <v>66</v>
      </c>
      <c r="D6712">
        <v>768.79</v>
      </c>
      <c r="E6712">
        <v>2016</v>
      </c>
      <c r="F6712" t="s">
        <v>71</v>
      </c>
    </row>
    <row r="6713" spans="1:6" x14ac:dyDescent="0.25">
      <c r="A6713" t="s">
        <v>14</v>
      </c>
      <c r="B6713" t="s">
        <v>15</v>
      </c>
      <c r="C6713" t="s">
        <v>66</v>
      </c>
      <c r="E6713">
        <v>2016</v>
      </c>
      <c r="F6713" t="s">
        <v>71</v>
      </c>
    </row>
    <row r="6714" spans="1:6" x14ac:dyDescent="0.25">
      <c r="A6714" t="s">
        <v>16</v>
      </c>
      <c r="B6714" t="s">
        <v>17</v>
      </c>
      <c r="C6714" t="s">
        <v>66</v>
      </c>
      <c r="D6714">
        <v>305.94</v>
      </c>
      <c r="E6714">
        <v>2016</v>
      </c>
      <c r="F6714" t="s">
        <v>71</v>
      </c>
    </row>
    <row r="6715" spans="1:6" x14ac:dyDescent="0.25">
      <c r="A6715" t="s">
        <v>18</v>
      </c>
      <c r="B6715" t="s">
        <v>19</v>
      </c>
      <c r="C6715" t="s">
        <v>66</v>
      </c>
      <c r="D6715">
        <v>84.62</v>
      </c>
      <c r="E6715">
        <v>2016</v>
      </c>
      <c r="F6715" t="s">
        <v>71</v>
      </c>
    </row>
    <row r="6716" spans="1:6" x14ac:dyDescent="0.25">
      <c r="A6716" t="s">
        <v>20</v>
      </c>
      <c r="B6716" t="s">
        <v>21</v>
      </c>
      <c r="C6716" t="s">
        <v>66</v>
      </c>
      <c r="D6716">
        <v>380.81</v>
      </c>
      <c r="E6716">
        <v>2016</v>
      </c>
      <c r="F6716" t="s">
        <v>71</v>
      </c>
    </row>
    <row r="6717" spans="1:6" x14ac:dyDescent="0.25">
      <c r="A6717" t="s">
        <v>22</v>
      </c>
      <c r="B6717" t="s">
        <v>23</v>
      </c>
      <c r="C6717" t="s">
        <v>66</v>
      </c>
      <c r="D6717">
        <v>180.69</v>
      </c>
      <c r="E6717">
        <v>2016</v>
      </c>
      <c r="F6717" t="s">
        <v>71</v>
      </c>
    </row>
    <row r="6718" spans="1:6" x14ac:dyDescent="0.25">
      <c r="A6718" t="s">
        <v>24</v>
      </c>
      <c r="B6718" t="s">
        <v>25</v>
      </c>
      <c r="C6718" t="s">
        <v>66</v>
      </c>
      <c r="D6718">
        <v>1453.26</v>
      </c>
      <c r="E6718">
        <v>2016</v>
      </c>
      <c r="F6718" t="s">
        <v>71</v>
      </c>
    </row>
    <row r="6719" spans="1:6" x14ac:dyDescent="0.25">
      <c r="A6719" t="s">
        <v>26</v>
      </c>
      <c r="B6719" t="s">
        <v>27</v>
      </c>
      <c r="C6719" t="s">
        <v>66</v>
      </c>
      <c r="D6719">
        <v>152.11000000000001</v>
      </c>
      <c r="E6719">
        <v>2016</v>
      </c>
      <c r="F6719" t="s">
        <v>71</v>
      </c>
    </row>
    <row r="6720" spans="1:6" x14ac:dyDescent="0.25">
      <c r="A6720" t="s">
        <v>28</v>
      </c>
      <c r="B6720" t="s">
        <v>29</v>
      </c>
      <c r="C6720" t="s">
        <v>66</v>
      </c>
      <c r="D6720">
        <v>1455.08</v>
      </c>
      <c r="E6720">
        <v>2016</v>
      </c>
      <c r="F6720" t="s">
        <v>71</v>
      </c>
    </row>
    <row r="6721" spans="1:6" x14ac:dyDescent="0.25">
      <c r="A6721" t="s">
        <v>30</v>
      </c>
      <c r="B6721" t="s">
        <v>31</v>
      </c>
      <c r="C6721" t="s">
        <v>66</v>
      </c>
      <c r="D6721">
        <v>1090.25</v>
      </c>
      <c r="E6721">
        <v>2016</v>
      </c>
      <c r="F6721" t="s">
        <v>71</v>
      </c>
    </row>
    <row r="6722" spans="1:6" x14ac:dyDescent="0.25">
      <c r="A6722" t="s">
        <v>32</v>
      </c>
      <c r="B6722" t="s">
        <v>33</v>
      </c>
      <c r="C6722" t="s">
        <v>66</v>
      </c>
      <c r="D6722">
        <v>574.83000000000004</v>
      </c>
      <c r="E6722">
        <v>2016</v>
      </c>
      <c r="F6722" t="s">
        <v>71</v>
      </c>
    </row>
    <row r="6723" spans="1:6" x14ac:dyDescent="0.25">
      <c r="A6723" t="s">
        <v>34</v>
      </c>
      <c r="B6723" t="s">
        <v>35</v>
      </c>
      <c r="C6723" t="s">
        <v>66</v>
      </c>
      <c r="D6723">
        <v>464.32</v>
      </c>
      <c r="E6723">
        <v>2016</v>
      </c>
      <c r="F6723" t="s">
        <v>71</v>
      </c>
    </row>
    <row r="6724" spans="1:6" x14ac:dyDescent="0.25">
      <c r="A6724" t="s">
        <v>36</v>
      </c>
      <c r="B6724" t="s">
        <v>37</v>
      </c>
      <c r="C6724" t="s">
        <v>66</v>
      </c>
      <c r="D6724">
        <v>256.72000000000003</v>
      </c>
      <c r="E6724">
        <v>2016</v>
      </c>
      <c r="F6724" t="s">
        <v>71</v>
      </c>
    </row>
    <row r="6725" spans="1:6" x14ac:dyDescent="0.25">
      <c r="A6725" t="s">
        <v>38</v>
      </c>
      <c r="B6725" t="s">
        <v>39</v>
      </c>
      <c r="C6725" t="s">
        <v>66</v>
      </c>
      <c r="D6725">
        <v>91.38</v>
      </c>
      <c r="E6725">
        <v>2016</v>
      </c>
      <c r="F6725" t="s">
        <v>71</v>
      </c>
    </row>
    <row r="6726" spans="1:6" x14ac:dyDescent="0.25">
      <c r="A6726" t="s">
        <v>40</v>
      </c>
      <c r="B6726" t="s">
        <v>41</v>
      </c>
      <c r="C6726" t="s">
        <v>66</v>
      </c>
      <c r="D6726">
        <v>268.33999999999997</v>
      </c>
      <c r="E6726">
        <v>2016</v>
      </c>
      <c r="F6726" t="s">
        <v>71</v>
      </c>
    </row>
    <row r="6727" spans="1:6" x14ac:dyDescent="0.25">
      <c r="A6727" t="s">
        <v>42</v>
      </c>
      <c r="B6727" t="s">
        <v>43</v>
      </c>
      <c r="C6727" t="s">
        <v>66</v>
      </c>
      <c r="D6727">
        <v>4.5</v>
      </c>
      <c r="E6727">
        <v>2016</v>
      </c>
      <c r="F6727" t="s">
        <v>71</v>
      </c>
    </row>
    <row r="6728" spans="1:6" x14ac:dyDescent="0.25">
      <c r="A6728" t="s">
        <v>44</v>
      </c>
      <c r="B6728" t="s">
        <v>45</v>
      </c>
      <c r="C6728" t="s">
        <v>66</v>
      </c>
      <c r="D6728">
        <v>132.38999999999999</v>
      </c>
      <c r="E6728">
        <v>2016</v>
      </c>
      <c r="F6728" t="s">
        <v>71</v>
      </c>
    </row>
    <row r="6729" spans="1:6" x14ac:dyDescent="0.25">
      <c r="A6729" t="s">
        <v>46</v>
      </c>
      <c r="B6729" t="s">
        <v>47</v>
      </c>
      <c r="C6729" t="s">
        <v>66</v>
      </c>
      <c r="D6729">
        <v>23.61</v>
      </c>
      <c r="E6729">
        <v>2016</v>
      </c>
      <c r="F6729" t="s">
        <v>71</v>
      </c>
    </row>
    <row r="6730" spans="1:6" x14ac:dyDescent="0.25">
      <c r="A6730" t="s">
        <v>48</v>
      </c>
      <c r="B6730" t="s">
        <v>49</v>
      </c>
      <c r="C6730" t="s">
        <v>66</v>
      </c>
      <c r="D6730">
        <v>110.97</v>
      </c>
      <c r="E6730">
        <v>2016</v>
      </c>
      <c r="F6730" t="s">
        <v>71</v>
      </c>
    </row>
    <row r="6731" spans="1:6" x14ac:dyDescent="0.25">
      <c r="A6731" t="s">
        <v>50</v>
      </c>
      <c r="B6731" t="s">
        <v>51</v>
      </c>
      <c r="C6731" t="s">
        <v>66</v>
      </c>
      <c r="E6731">
        <v>2016</v>
      </c>
      <c r="F6731" t="s">
        <v>71</v>
      </c>
    </row>
    <row r="6732" spans="1:6" x14ac:dyDescent="0.25">
      <c r="A6732" t="s">
        <v>52</v>
      </c>
      <c r="B6732" t="s">
        <v>53</v>
      </c>
      <c r="C6732" t="s">
        <v>66</v>
      </c>
      <c r="D6732">
        <v>106.17</v>
      </c>
      <c r="E6732">
        <v>2016</v>
      </c>
      <c r="F6732" t="s">
        <v>71</v>
      </c>
    </row>
    <row r="6733" spans="1:6" x14ac:dyDescent="0.25">
      <c r="A6733" t="s">
        <v>54</v>
      </c>
      <c r="B6733" t="s">
        <v>55</v>
      </c>
      <c r="C6733" t="s">
        <v>66</v>
      </c>
      <c r="D6733">
        <v>40.65</v>
      </c>
      <c r="E6733">
        <v>2016</v>
      </c>
      <c r="F6733" t="s">
        <v>71</v>
      </c>
    </row>
    <row r="6734" spans="1:6" x14ac:dyDescent="0.25">
      <c r="A6734" t="s">
        <v>56</v>
      </c>
      <c r="B6734" t="s">
        <v>57</v>
      </c>
      <c r="C6734" t="s">
        <v>66</v>
      </c>
      <c r="D6734">
        <v>125.04</v>
      </c>
      <c r="E6734">
        <v>2016</v>
      </c>
      <c r="F6734" t="s">
        <v>71</v>
      </c>
    </row>
    <row r="6735" spans="1:6" x14ac:dyDescent="0.25">
      <c r="A6735" t="s">
        <v>58</v>
      </c>
      <c r="B6735" t="s">
        <v>59</v>
      </c>
      <c r="C6735" t="s">
        <v>66</v>
      </c>
      <c r="E6735">
        <v>2016</v>
      </c>
      <c r="F6735" t="s">
        <v>71</v>
      </c>
    </row>
    <row r="6736" spans="1:6" x14ac:dyDescent="0.25">
      <c r="A6736" t="s">
        <v>6</v>
      </c>
      <c r="B6736" t="s">
        <v>7</v>
      </c>
      <c r="C6736" t="s">
        <v>63</v>
      </c>
      <c r="D6736">
        <v>783751.22</v>
      </c>
      <c r="E6736">
        <v>2017</v>
      </c>
      <c r="F6736" t="s">
        <v>71</v>
      </c>
    </row>
    <row r="6737" spans="1:6" x14ac:dyDescent="0.25">
      <c r="A6737" t="s">
        <v>10</v>
      </c>
      <c r="B6737" t="s">
        <v>11</v>
      </c>
      <c r="C6737" t="s">
        <v>63</v>
      </c>
      <c r="D6737">
        <v>186981.99</v>
      </c>
      <c r="E6737">
        <v>2017</v>
      </c>
      <c r="F6737" t="s">
        <v>71</v>
      </c>
    </row>
    <row r="6738" spans="1:6" x14ac:dyDescent="0.25">
      <c r="A6738" t="s">
        <v>12</v>
      </c>
      <c r="B6738" t="s">
        <v>13</v>
      </c>
      <c r="C6738" t="s">
        <v>63</v>
      </c>
      <c r="D6738">
        <v>24371.4</v>
      </c>
      <c r="E6738">
        <v>2017</v>
      </c>
      <c r="F6738" t="s">
        <v>71</v>
      </c>
    </row>
    <row r="6739" spans="1:6" x14ac:dyDescent="0.25">
      <c r="A6739" t="s">
        <v>14</v>
      </c>
      <c r="B6739" t="s">
        <v>15</v>
      </c>
      <c r="C6739" t="s">
        <v>63</v>
      </c>
      <c r="D6739">
        <v>4000.2</v>
      </c>
      <c r="E6739">
        <v>2017</v>
      </c>
      <c r="F6739" t="s">
        <v>71</v>
      </c>
    </row>
    <row r="6740" spans="1:6" x14ac:dyDescent="0.25">
      <c r="A6740" t="s">
        <v>16</v>
      </c>
      <c r="B6740" t="s">
        <v>17</v>
      </c>
      <c r="C6740" t="s">
        <v>63</v>
      </c>
      <c r="D6740">
        <v>12850.82</v>
      </c>
      <c r="E6740">
        <v>2017</v>
      </c>
      <c r="F6740" t="s">
        <v>71</v>
      </c>
    </row>
    <row r="6741" spans="1:6" x14ac:dyDescent="0.25">
      <c r="A6741" t="s">
        <v>18</v>
      </c>
      <c r="B6741" t="s">
        <v>19</v>
      </c>
      <c r="C6741" t="s">
        <v>63</v>
      </c>
      <c r="D6741">
        <v>11910.46</v>
      </c>
      <c r="E6741">
        <v>2017</v>
      </c>
      <c r="F6741" t="s">
        <v>71</v>
      </c>
    </row>
    <row r="6742" spans="1:6" x14ac:dyDescent="0.25">
      <c r="A6742" t="s">
        <v>20</v>
      </c>
      <c r="B6742" t="s">
        <v>21</v>
      </c>
      <c r="C6742" t="s">
        <v>63</v>
      </c>
      <c r="D6742">
        <v>11193.03</v>
      </c>
      <c r="E6742">
        <v>2017</v>
      </c>
      <c r="F6742" t="s">
        <v>71</v>
      </c>
    </row>
    <row r="6743" spans="1:6" x14ac:dyDescent="0.25">
      <c r="A6743" t="s">
        <v>22</v>
      </c>
      <c r="B6743" t="s">
        <v>23</v>
      </c>
      <c r="C6743" t="s">
        <v>63</v>
      </c>
      <c r="D6743">
        <v>6377.38</v>
      </c>
      <c r="E6743">
        <v>2017</v>
      </c>
      <c r="F6743" t="s">
        <v>71</v>
      </c>
    </row>
    <row r="6744" spans="1:6" x14ac:dyDescent="0.25">
      <c r="A6744" t="s">
        <v>24</v>
      </c>
      <c r="B6744" t="s">
        <v>25</v>
      </c>
      <c r="C6744" t="s">
        <v>63</v>
      </c>
      <c r="D6744">
        <v>27201.35</v>
      </c>
      <c r="E6744">
        <v>2017</v>
      </c>
      <c r="F6744" t="s">
        <v>71</v>
      </c>
    </row>
    <row r="6745" spans="1:6" x14ac:dyDescent="0.25">
      <c r="A6745" t="s">
        <v>26</v>
      </c>
      <c r="B6745" t="s">
        <v>27</v>
      </c>
      <c r="C6745" t="s">
        <v>63</v>
      </c>
      <c r="D6745">
        <v>3163.97</v>
      </c>
      <c r="E6745">
        <v>2017</v>
      </c>
      <c r="F6745" t="s">
        <v>71</v>
      </c>
    </row>
    <row r="6746" spans="1:6" x14ac:dyDescent="0.25">
      <c r="A6746" t="s">
        <v>28</v>
      </c>
      <c r="B6746" t="s">
        <v>29</v>
      </c>
      <c r="C6746" t="s">
        <v>63</v>
      </c>
      <c r="D6746">
        <v>73745.77</v>
      </c>
      <c r="E6746">
        <v>2017</v>
      </c>
      <c r="F6746" t="s">
        <v>71</v>
      </c>
    </row>
    <row r="6747" spans="1:6" x14ac:dyDescent="0.25">
      <c r="A6747" t="s">
        <v>30</v>
      </c>
      <c r="B6747" t="s">
        <v>31</v>
      </c>
      <c r="C6747" t="s">
        <v>63</v>
      </c>
      <c r="D6747">
        <v>89569.18</v>
      </c>
      <c r="E6747">
        <v>2017</v>
      </c>
      <c r="F6747" t="s">
        <v>71</v>
      </c>
    </row>
    <row r="6748" spans="1:6" x14ac:dyDescent="0.25">
      <c r="A6748" t="s">
        <v>32</v>
      </c>
      <c r="B6748" t="s">
        <v>33</v>
      </c>
      <c r="C6748" t="s">
        <v>63</v>
      </c>
      <c r="D6748">
        <v>16763.349999999999</v>
      </c>
      <c r="E6748">
        <v>2017</v>
      </c>
      <c r="F6748" t="s">
        <v>71</v>
      </c>
    </row>
    <row r="6749" spans="1:6" x14ac:dyDescent="0.25">
      <c r="A6749" t="s">
        <v>34</v>
      </c>
      <c r="B6749" t="s">
        <v>35</v>
      </c>
      <c r="C6749" t="s">
        <v>63</v>
      </c>
      <c r="D6749">
        <v>28797.14</v>
      </c>
      <c r="E6749">
        <v>2017</v>
      </c>
      <c r="F6749" t="s">
        <v>71</v>
      </c>
    </row>
    <row r="6750" spans="1:6" x14ac:dyDescent="0.25">
      <c r="A6750" t="s">
        <v>36</v>
      </c>
      <c r="B6750" t="s">
        <v>37</v>
      </c>
      <c r="C6750" t="s">
        <v>63</v>
      </c>
      <c r="D6750">
        <v>20525.740000000002</v>
      </c>
      <c r="E6750">
        <v>2017</v>
      </c>
      <c r="F6750" t="s">
        <v>71</v>
      </c>
    </row>
    <row r="6751" spans="1:6" x14ac:dyDescent="0.25">
      <c r="A6751" t="s">
        <v>38</v>
      </c>
      <c r="B6751" t="s">
        <v>39</v>
      </c>
      <c r="C6751" t="s">
        <v>63</v>
      </c>
      <c r="D6751">
        <v>55476.6</v>
      </c>
      <c r="E6751">
        <v>2017</v>
      </c>
      <c r="F6751" t="s">
        <v>71</v>
      </c>
    </row>
    <row r="6752" spans="1:6" x14ac:dyDescent="0.25">
      <c r="A6752" t="s">
        <v>40</v>
      </c>
      <c r="B6752" t="s">
        <v>41</v>
      </c>
      <c r="C6752" t="s">
        <v>63</v>
      </c>
      <c r="D6752">
        <v>20178.11</v>
      </c>
      <c r="E6752">
        <v>2017</v>
      </c>
      <c r="F6752" t="s">
        <v>71</v>
      </c>
    </row>
    <row r="6753" spans="1:6" x14ac:dyDescent="0.25">
      <c r="A6753" t="s">
        <v>42</v>
      </c>
      <c r="B6753" t="s">
        <v>43</v>
      </c>
      <c r="C6753" t="s">
        <v>63</v>
      </c>
      <c r="D6753">
        <v>27201.02</v>
      </c>
      <c r="E6753">
        <v>2017</v>
      </c>
      <c r="F6753" t="s">
        <v>71</v>
      </c>
    </row>
    <row r="6754" spans="1:6" x14ac:dyDescent="0.25">
      <c r="A6754" t="s">
        <v>44</v>
      </c>
      <c r="B6754" t="s">
        <v>45</v>
      </c>
      <c r="C6754" t="s">
        <v>63</v>
      </c>
      <c r="D6754">
        <v>21167.16</v>
      </c>
      <c r="E6754">
        <v>2017</v>
      </c>
      <c r="F6754" t="s">
        <v>71</v>
      </c>
    </row>
    <row r="6755" spans="1:6" x14ac:dyDescent="0.25">
      <c r="A6755" t="s">
        <v>46</v>
      </c>
      <c r="B6755" t="s">
        <v>47</v>
      </c>
      <c r="C6755" t="s">
        <v>63</v>
      </c>
      <c r="D6755">
        <v>30737.21</v>
      </c>
      <c r="E6755">
        <v>2017</v>
      </c>
      <c r="F6755" t="s">
        <v>71</v>
      </c>
    </row>
    <row r="6756" spans="1:6" x14ac:dyDescent="0.25">
      <c r="A6756" t="s">
        <v>48</v>
      </c>
      <c r="B6756" t="s">
        <v>49</v>
      </c>
      <c r="C6756" t="s">
        <v>63</v>
      </c>
      <c r="D6756">
        <v>77926.28</v>
      </c>
      <c r="E6756">
        <v>2017</v>
      </c>
      <c r="F6756" t="s">
        <v>71</v>
      </c>
    </row>
    <row r="6757" spans="1:6" x14ac:dyDescent="0.25">
      <c r="A6757" t="s">
        <v>50</v>
      </c>
      <c r="B6757" t="s">
        <v>51</v>
      </c>
      <c r="C6757" t="s">
        <v>63</v>
      </c>
      <c r="D6757">
        <v>11886.7</v>
      </c>
      <c r="E6757">
        <v>2017</v>
      </c>
      <c r="F6757" t="s">
        <v>71</v>
      </c>
    </row>
    <row r="6758" spans="1:6" x14ac:dyDescent="0.25">
      <c r="A6758" t="s">
        <v>52</v>
      </c>
      <c r="B6758" t="s">
        <v>53</v>
      </c>
      <c r="C6758" t="s">
        <v>63</v>
      </c>
      <c r="D6758">
        <v>7574.84</v>
      </c>
      <c r="E6758">
        <v>2017</v>
      </c>
      <c r="F6758" t="s">
        <v>71</v>
      </c>
    </row>
    <row r="6759" spans="1:6" x14ac:dyDescent="0.25">
      <c r="A6759" t="s">
        <v>54</v>
      </c>
      <c r="B6759" t="s">
        <v>55</v>
      </c>
      <c r="C6759" t="s">
        <v>63</v>
      </c>
      <c r="D6759">
        <v>6261.34</v>
      </c>
      <c r="E6759">
        <v>2017</v>
      </c>
      <c r="F6759" t="s">
        <v>71</v>
      </c>
    </row>
    <row r="6760" spans="1:6" x14ac:dyDescent="0.25">
      <c r="A6760" t="s">
        <v>56</v>
      </c>
      <c r="B6760" t="s">
        <v>57</v>
      </c>
      <c r="C6760" t="s">
        <v>63</v>
      </c>
      <c r="D6760">
        <v>7890.18</v>
      </c>
      <c r="E6760">
        <v>2017</v>
      </c>
      <c r="F6760" t="s">
        <v>71</v>
      </c>
    </row>
    <row r="6761" spans="1:6" x14ac:dyDescent="0.25">
      <c r="A6761" t="s">
        <v>58</v>
      </c>
      <c r="B6761" t="s">
        <v>59</v>
      </c>
      <c r="C6761" t="s">
        <v>63</v>
      </c>
      <c r="E6761">
        <v>2017</v>
      </c>
      <c r="F6761" t="s">
        <v>71</v>
      </c>
    </row>
    <row r="6762" spans="1:6" x14ac:dyDescent="0.25">
      <c r="A6762" t="s">
        <v>6</v>
      </c>
      <c r="B6762" t="s">
        <v>7</v>
      </c>
      <c r="C6762" t="s">
        <v>8</v>
      </c>
      <c r="D6762">
        <v>75409.67</v>
      </c>
      <c r="E6762">
        <v>2017</v>
      </c>
      <c r="F6762" t="s">
        <v>71</v>
      </c>
    </row>
    <row r="6763" spans="1:6" x14ac:dyDescent="0.25">
      <c r="A6763" t="s">
        <v>10</v>
      </c>
      <c r="B6763" t="s">
        <v>11</v>
      </c>
      <c r="C6763" t="s">
        <v>8</v>
      </c>
      <c r="D6763">
        <v>24350.04</v>
      </c>
      <c r="E6763">
        <v>2017</v>
      </c>
      <c r="F6763" t="s">
        <v>71</v>
      </c>
    </row>
    <row r="6764" spans="1:6" x14ac:dyDescent="0.25">
      <c r="A6764" t="s">
        <v>12</v>
      </c>
      <c r="B6764" t="s">
        <v>13</v>
      </c>
      <c r="C6764" t="s">
        <v>8</v>
      </c>
      <c r="D6764">
        <v>7104.09</v>
      </c>
      <c r="E6764">
        <v>2017</v>
      </c>
      <c r="F6764" t="s">
        <v>71</v>
      </c>
    </row>
    <row r="6765" spans="1:6" x14ac:dyDescent="0.25">
      <c r="A6765" t="s">
        <v>14</v>
      </c>
      <c r="B6765" t="s">
        <v>15</v>
      </c>
      <c r="C6765" t="s">
        <v>8</v>
      </c>
      <c r="E6765">
        <v>2017</v>
      </c>
      <c r="F6765" t="s">
        <v>71</v>
      </c>
    </row>
    <row r="6766" spans="1:6" x14ac:dyDescent="0.25">
      <c r="A6766" t="s">
        <v>16</v>
      </c>
      <c r="B6766" t="s">
        <v>17</v>
      </c>
      <c r="C6766" t="s">
        <v>8</v>
      </c>
      <c r="D6766">
        <v>395.94</v>
      </c>
      <c r="E6766">
        <v>2017</v>
      </c>
      <c r="F6766" t="s">
        <v>71</v>
      </c>
    </row>
    <row r="6767" spans="1:6" x14ac:dyDescent="0.25">
      <c r="A6767" t="s">
        <v>18</v>
      </c>
      <c r="B6767" t="s">
        <v>19</v>
      </c>
      <c r="C6767" t="s">
        <v>8</v>
      </c>
      <c r="D6767">
        <v>374.52</v>
      </c>
      <c r="E6767">
        <v>2017</v>
      </c>
      <c r="F6767" t="s">
        <v>71</v>
      </c>
    </row>
    <row r="6768" spans="1:6" x14ac:dyDescent="0.25">
      <c r="A6768" t="s">
        <v>20</v>
      </c>
      <c r="B6768" t="s">
        <v>21</v>
      </c>
      <c r="C6768" t="s">
        <v>8</v>
      </c>
      <c r="D6768">
        <v>328.16</v>
      </c>
      <c r="E6768">
        <v>2017</v>
      </c>
      <c r="F6768" t="s">
        <v>71</v>
      </c>
    </row>
    <row r="6769" spans="1:6" x14ac:dyDescent="0.25">
      <c r="A6769" t="s">
        <v>22</v>
      </c>
      <c r="B6769" t="s">
        <v>23</v>
      </c>
      <c r="C6769" t="s">
        <v>8</v>
      </c>
      <c r="D6769">
        <v>3637.14</v>
      </c>
      <c r="E6769">
        <v>2017</v>
      </c>
      <c r="F6769" t="s">
        <v>71</v>
      </c>
    </row>
    <row r="6770" spans="1:6" x14ac:dyDescent="0.25">
      <c r="A6770" t="s">
        <v>24</v>
      </c>
      <c r="B6770" t="s">
        <v>25</v>
      </c>
      <c r="C6770" t="s">
        <v>8</v>
      </c>
      <c r="D6770">
        <v>5800.08</v>
      </c>
      <c r="E6770">
        <v>2017</v>
      </c>
      <c r="F6770" t="s">
        <v>71</v>
      </c>
    </row>
    <row r="6771" spans="1:6" x14ac:dyDescent="0.25">
      <c r="A6771" t="s">
        <v>26</v>
      </c>
      <c r="B6771" t="s">
        <v>27</v>
      </c>
      <c r="C6771" t="s">
        <v>8</v>
      </c>
      <c r="D6771">
        <v>504.74</v>
      </c>
      <c r="E6771">
        <v>2017</v>
      </c>
      <c r="F6771" t="s">
        <v>71</v>
      </c>
    </row>
    <row r="6772" spans="1:6" x14ac:dyDescent="0.25">
      <c r="A6772" t="s">
        <v>28</v>
      </c>
      <c r="B6772" t="s">
        <v>29</v>
      </c>
      <c r="C6772" t="s">
        <v>8</v>
      </c>
      <c r="E6772">
        <v>2017</v>
      </c>
      <c r="F6772" t="s">
        <v>71</v>
      </c>
    </row>
    <row r="6773" spans="1:6" x14ac:dyDescent="0.25">
      <c r="A6773" t="s">
        <v>30</v>
      </c>
      <c r="B6773" t="s">
        <v>31</v>
      </c>
      <c r="C6773" t="s">
        <v>8</v>
      </c>
      <c r="D6773">
        <v>12932.61</v>
      </c>
      <c r="E6773">
        <v>2017</v>
      </c>
      <c r="F6773" t="s">
        <v>71</v>
      </c>
    </row>
    <row r="6774" spans="1:6" x14ac:dyDescent="0.25">
      <c r="A6774" t="s">
        <v>32</v>
      </c>
      <c r="B6774" t="s">
        <v>33</v>
      </c>
      <c r="C6774" t="s">
        <v>8</v>
      </c>
      <c r="D6774">
        <v>1358.75</v>
      </c>
      <c r="E6774">
        <v>2017</v>
      </c>
      <c r="F6774" t="s">
        <v>71</v>
      </c>
    </row>
    <row r="6775" spans="1:6" x14ac:dyDescent="0.25">
      <c r="A6775" t="s">
        <v>34</v>
      </c>
      <c r="B6775" t="s">
        <v>35</v>
      </c>
      <c r="C6775" t="s">
        <v>8</v>
      </c>
      <c r="D6775">
        <v>3125.14</v>
      </c>
      <c r="E6775">
        <v>2017</v>
      </c>
      <c r="F6775" t="s">
        <v>71</v>
      </c>
    </row>
    <row r="6776" spans="1:6" x14ac:dyDescent="0.25">
      <c r="A6776" t="s">
        <v>36</v>
      </c>
      <c r="B6776" t="s">
        <v>37</v>
      </c>
      <c r="C6776" t="s">
        <v>8</v>
      </c>
      <c r="D6776">
        <v>2475.0100000000002</v>
      </c>
      <c r="E6776">
        <v>2017</v>
      </c>
      <c r="F6776" t="s">
        <v>71</v>
      </c>
    </row>
    <row r="6777" spans="1:6" x14ac:dyDescent="0.25">
      <c r="A6777" t="s">
        <v>38</v>
      </c>
      <c r="B6777" t="s">
        <v>39</v>
      </c>
      <c r="C6777" t="s">
        <v>8</v>
      </c>
      <c r="D6777">
        <v>1650.39</v>
      </c>
      <c r="E6777">
        <v>2017</v>
      </c>
      <c r="F6777" t="s">
        <v>71</v>
      </c>
    </row>
    <row r="6778" spans="1:6" x14ac:dyDescent="0.25">
      <c r="A6778" t="s">
        <v>40</v>
      </c>
      <c r="B6778" t="s">
        <v>41</v>
      </c>
      <c r="C6778" t="s">
        <v>8</v>
      </c>
      <c r="D6778">
        <v>4139.18</v>
      </c>
      <c r="E6778">
        <v>2017</v>
      </c>
      <c r="F6778" t="s">
        <v>71</v>
      </c>
    </row>
    <row r="6779" spans="1:6" x14ac:dyDescent="0.25">
      <c r="A6779" t="s">
        <v>42</v>
      </c>
      <c r="B6779" t="s">
        <v>43</v>
      </c>
      <c r="C6779" t="s">
        <v>8</v>
      </c>
      <c r="D6779">
        <v>41.58</v>
      </c>
      <c r="E6779">
        <v>2017</v>
      </c>
      <c r="F6779" t="s">
        <v>71</v>
      </c>
    </row>
    <row r="6780" spans="1:6" x14ac:dyDescent="0.25">
      <c r="A6780" t="s">
        <v>44</v>
      </c>
      <c r="B6780" t="s">
        <v>45</v>
      </c>
      <c r="C6780" t="s">
        <v>8</v>
      </c>
      <c r="D6780">
        <v>767.36</v>
      </c>
      <c r="E6780">
        <v>2017</v>
      </c>
      <c r="F6780" t="s">
        <v>71</v>
      </c>
    </row>
    <row r="6781" spans="1:6" x14ac:dyDescent="0.25">
      <c r="A6781" t="s">
        <v>46</v>
      </c>
      <c r="B6781" t="s">
        <v>47</v>
      </c>
      <c r="C6781" t="s">
        <v>8</v>
      </c>
      <c r="D6781">
        <v>935.55</v>
      </c>
      <c r="E6781">
        <v>2017</v>
      </c>
      <c r="F6781" t="s">
        <v>71</v>
      </c>
    </row>
    <row r="6782" spans="1:6" x14ac:dyDescent="0.25">
      <c r="A6782" t="s">
        <v>48</v>
      </c>
      <c r="B6782" t="s">
        <v>49</v>
      </c>
      <c r="C6782" t="s">
        <v>8</v>
      </c>
      <c r="D6782">
        <v>97.19</v>
      </c>
      <c r="E6782">
        <v>2017</v>
      </c>
      <c r="F6782" t="s">
        <v>71</v>
      </c>
    </row>
    <row r="6783" spans="1:6" x14ac:dyDescent="0.25">
      <c r="A6783" t="s">
        <v>50</v>
      </c>
      <c r="B6783" t="s">
        <v>51</v>
      </c>
      <c r="C6783" t="s">
        <v>8</v>
      </c>
      <c r="D6783">
        <v>65.13</v>
      </c>
      <c r="E6783">
        <v>2017</v>
      </c>
      <c r="F6783" t="s">
        <v>71</v>
      </c>
    </row>
    <row r="6784" spans="1:6" x14ac:dyDescent="0.25">
      <c r="A6784" t="s">
        <v>52</v>
      </c>
      <c r="B6784" t="s">
        <v>53</v>
      </c>
      <c r="C6784" t="s">
        <v>8</v>
      </c>
      <c r="D6784">
        <v>591.29</v>
      </c>
      <c r="E6784">
        <v>2017</v>
      </c>
      <c r="F6784" t="s">
        <v>71</v>
      </c>
    </row>
    <row r="6785" spans="1:6" x14ac:dyDescent="0.25">
      <c r="A6785" t="s">
        <v>54</v>
      </c>
      <c r="B6785" t="s">
        <v>55</v>
      </c>
      <c r="C6785" t="s">
        <v>8</v>
      </c>
      <c r="D6785">
        <v>97.14</v>
      </c>
      <c r="E6785">
        <v>2017</v>
      </c>
      <c r="F6785" t="s">
        <v>71</v>
      </c>
    </row>
    <row r="6786" spans="1:6" x14ac:dyDescent="0.25">
      <c r="A6786" t="s">
        <v>56</v>
      </c>
      <c r="B6786" t="s">
        <v>57</v>
      </c>
      <c r="C6786" t="s">
        <v>8</v>
      </c>
      <c r="D6786">
        <v>1801.53</v>
      </c>
      <c r="E6786">
        <v>2017</v>
      </c>
      <c r="F6786" t="s">
        <v>71</v>
      </c>
    </row>
    <row r="6787" spans="1:6" x14ac:dyDescent="0.25">
      <c r="A6787" t="s">
        <v>58</v>
      </c>
      <c r="B6787" t="s">
        <v>59</v>
      </c>
      <c r="C6787" t="s">
        <v>8</v>
      </c>
      <c r="D6787">
        <v>2837.11</v>
      </c>
      <c r="E6787">
        <v>2017</v>
      </c>
      <c r="F6787" t="s">
        <v>71</v>
      </c>
    </row>
    <row r="6788" spans="1:6" x14ac:dyDescent="0.25">
      <c r="A6788" t="s">
        <v>6</v>
      </c>
      <c r="B6788" t="s">
        <v>7</v>
      </c>
      <c r="C6788" t="s">
        <v>60</v>
      </c>
      <c r="D6788">
        <v>69263.25</v>
      </c>
      <c r="E6788">
        <v>2017</v>
      </c>
      <c r="F6788" t="s">
        <v>71</v>
      </c>
    </row>
    <row r="6789" spans="1:6" x14ac:dyDescent="0.25">
      <c r="A6789" t="s">
        <v>10</v>
      </c>
      <c r="B6789" t="s">
        <v>11</v>
      </c>
      <c r="C6789" t="s">
        <v>60</v>
      </c>
      <c r="D6789">
        <v>17776.21</v>
      </c>
      <c r="E6789">
        <v>2017</v>
      </c>
      <c r="F6789" t="s">
        <v>71</v>
      </c>
    </row>
    <row r="6790" spans="1:6" x14ac:dyDescent="0.25">
      <c r="A6790" t="s">
        <v>12</v>
      </c>
      <c r="B6790" t="s">
        <v>13</v>
      </c>
      <c r="C6790" t="s">
        <v>60</v>
      </c>
      <c r="D6790">
        <v>3738.96</v>
      </c>
      <c r="E6790">
        <v>2017</v>
      </c>
      <c r="F6790" t="s">
        <v>71</v>
      </c>
    </row>
    <row r="6791" spans="1:6" x14ac:dyDescent="0.25">
      <c r="A6791" t="s">
        <v>14</v>
      </c>
      <c r="B6791" t="s">
        <v>15</v>
      </c>
      <c r="C6791" t="s">
        <v>60</v>
      </c>
      <c r="E6791">
        <v>2017</v>
      </c>
      <c r="F6791" t="s">
        <v>71</v>
      </c>
    </row>
    <row r="6792" spans="1:6" x14ac:dyDescent="0.25">
      <c r="A6792" t="s">
        <v>16</v>
      </c>
      <c r="B6792" t="s">
        <v>17</v>
      </c>
      <c r="C6792" t="s">
        <v>60</v>
      </c>
      <c r="D6792">
        <v>1206.23</v>
      </c>
      <c r="E6792">
        <v>2017</v>
      </c>
      <c r="F6792" t="s">
        <v>71</v>
      </c>
    </row>
    <row r="6793" spans="1:6" x14ac:dyDescent="0.25">
      <c r="A6793" t="s">
        <v>18</v>
      </c>
      <c r="B6793" t="s">
        <v>19</v>
      </c>
      <c r="C6793" t="s">
        <v>60</v>
      </c>
      <c r="D6793">
        <v>2527.64</v>
      </c>
      <c r="E6793">
        <v>2017</v>
      </c>
      <c r="F6793" t="s">
        <v>71</v>
      </c>
    </row>
    <row r="6794" spans="1:6" x14ac:dyDescent="0.25">
      <c r="A6794" t="s">
        <v>20</v>
      </c>
      <c r="B6794" t="s">
        <v>21</v>
      </c>
      <c r="C6794" t="s">
        <v>60</v>
      </c>
      <c r="D6794">
        <v>588.64</v>
      </c>
      <c r="E6794">
        <v>2017</v>
      </c>
      <c r="F6794" t="s">
        <v>71</v>
      </c>
    </row>
    <row r="6795" spans="1:6" x14ac:dyDescent="0.25">
      <c r="A6795" t="s">
        <v>22</v>
      </c>
      <c r="B6795" t="s">
        <v>23</v>
      </c>
      <c r="C6795" t="s">
        <v>60</v>
      </c>
      <c r="D6795">
        <v>325.36</v>
      </c>
      <c r="E6795">
        <v>2017</v>
      </c>
      <c r="F6795" t="s">
        <v>71</v>
      </c>
    </row>
    <row r="6796" spans="1:6" x14ac:dyDescent="0.25">
      <c r="A6796" t="s">
        <v>24</v>
      </c>
      <c r="B6796" t="s">
        <v>25</v>
      </c>
      <c r="C6796" t="s">
        <v>60</v>
      </c>
      <c r="D6796">
        <v>2618.9699999999998</v>
      </c>
      <c r="E6796">
        <v>2017</v>
      </c>
      <c r="F6796" t="s">
        <v>71</v>
      </c>
    </row>
    <row r="6797" spans="1:6" x14ac:dyDescent="0.25">
      <c r="A6797" t="s">
        <v>26</v>
      </c>
      <c r="B6797" t="s">
        <v>27</v>
      </c>
      <c r="C6797" t="s">
        <v>60</v>
      </c>
      <c r="D6797">
        <v>823.96</v>
      </c>
      <c r="E6797">
        <v>2017</v>
      </c>
      <c r="F6797" t="s">
        <v>71</v>
      </c>
    </row>
    <row r="6798" spans="1:6" x14ac:dyDescent="0.25">
      <c r="A6798" t="s">
        <v>28</v>
      </c>
      <c r="B6798" t="s">
        <v>29</v>
      </c>
      <c r="C6798" t="s">
        <v>60</v>
      </c>
      <c r="D6798">
        <v>12929.17</v>
      </c>
      <c r="E6798">
        <v>2017</v>
      </c>
      <c r="F6798" t="s">
        <v>71</v>
      </c>
    </row>
    <row r="6799" spans="1:6" x14ac:dyDescent="0.25">
      <c r="A6799" t="s">
        <v>30</v>
      </c>
      <c r="B6799" t="s">
        <v>31</v>
      </c>
      <c r="C6799" t="s">
        <v>60</v>
      </c>
      <c r="D6799">
        <v>7342.72</v>
      </c>
      <c r="E6799">
        <v>2017</v>
      </c>
      <c r="F6799" t="s">
        <v>71</v>
      </c>
    </row>
    <row r="6800" spans="1:6" x14ac:dyDescent="0.25">
      <c r="A6800" t="s">
        <v>32</v>
      </c>
      <c r="B6800" t="s">
        <v>33</v>
      </c>
      <c r="C6800" t="s">
        <v>60</v>
      </c>
      <c r="D6800">
        <v>1758.97</v>
      </c>
      <c r="E6800">
        <v>2017</v>
      </c>
      <c r="F6800" t="s">
        <v>71</v>
      </c>
    </row>
    <row r="6801" spans="1:6" x14ac:dyDescent="0.25">
      <c r="A6801" t="s">
        <v>34</v>
      </c>
      <c r="B6801" t="s">
        <v>35</v>
      </c>
      <c r="C6801" t="s">
        <v>60</v>
      </c>
      <c r="D6801">
        <v>2748.01</v>
      </c>
      <c r="E6801">
        <v>2017</v>
      </c>
      <c r="F6801" t="s">
        <v>71</v>
      </c>
    </row>
    <row r="6802" spans="1:6" x14ac:dyDescent="0.25">
      <c r="A6802" t="s">
        <v>36</v>
      </c>
      <c r="B6802" t="s">
        <v>37</v>
      </c>
      <c r="C6802" t="s">
        <v>60</v>
      </c>
      <c r="D6802">
        <v>3526.19</v>
      </c>
      <c r="E6802">
        <v>2017</v>
      </c>
      <c r="F6802" t="s">
        <v>71</v>
      </c>
    </row>
    <row r="6803" spans="1:6" x14ac:dyDescent="0.25">
      <c r="A6803" t="s">
        <v>38</v>
      </c>
      <c r="B6803" t="s">
        <v>39</v>
      </c>
      <c r="C6803" t="s">
        <v>60</v>
      </c>
      <c r="D6803">
        <v>2633.17</v>
      </c>
      <c r="E6803">
        <v>2017</v>
      </c>
      <c r="F6803" t="s">
        <v>71</v>
      </c>
    </row>
    <row r="6804" spans="1:6" x14ac:dyDescent="0.25">
      <c r="A6804" t="s">
        <v>40</v>
      </c>
      <c r="B6804" t="s">
        <v>41</v>
      </c>
      <c r="C6804" t="s">
        <v>60</v>
      </c>
      <c r="D6804">
        <v>1499.67</v>
      </c>
      <c r="E6804">
        <v>2017</v>
      </c>
      <c r="F6804" t="s">
        <v>71</v>
      </c>
    </row>
    <row r="6805" spans="1:6" x14ac:dyDescent="0.25">
      <c r="A6805" t="s">
        <v>42</v>
      </c>
      <c r="B6805" t="s">
        <v>43</v>
      </c>
      <c r="C6805" t="s">
        <v>60</v>
      </c>
      <c r="D6805">
        <v>20.7</v>
      </c>
      <c r="E6805">
        <v>2017</v>
      </c>
      <c r="F6805" t="s">
        <v>71</v>
      </c>
    </row>
    <row r="6806" spans="1:6" x14ac:dyDescent="0.25">
      <c r="A6806" t="s">
        <v>44</v>
      </c>
      <c r="B6806" t="s">
        <v>45</v>
      </c>
      <c r="C6806" t="s">
        <v>60</v>
      </c>
      <c r="D6806">
        <v>1380.73</v>
      </c>
      <c r="E6806">
        <v>2017</v>
      </c>
      <c r="F6806" t="s">
        <v>71</v>
      </c>
    </row>
    <row r="6807" spans="1:6" x14ac:dyDescent="0.25">
      <c r="A6807" t="s">
        <v>46</v>
      </c>
      <c r="B6807" t="s">
        <v>47</v>
      </c>
      <c r="C6807" t="s">
        <v>60</v>
      </c>
      <c r="D6807">
        <v>596.64</v>
      </c>
      <c r="E6807">
        <v>2017</v>
      </c>
      <c r="F6807" t="s">
        <v>71</v>
      </c>
    </row>
    <row r="6808" spans="1:6" x14ac:dyDescent="0.25">
      <c r="A6808" t="s">
        <v>48</v>
      </c>
      <c r="B6808" t="s">
        <v>49</v>
      </c>
      <c r="C6808" t="s">
        <v>60</v>
      </c>
      <c r="D6808">
        <v>1384.67</v>
      </c>
      <c r="E6808">
        <v>2017</v>
      </c>
      <c r="F6808" t="s">
        <v>71</v>
      </c>
    </row>
    <row r="6809" spans="1:6" x14ac:dyDescent="0.25">
      <c r="A6809" t="s">
        <v>50</v>
      </c>
      <c r="B6809" t="s">
        <v>51</v>
      </c>
      <c r="C6809" t="s">
        <v>60</v>
      </c>
      <c r="D6809">
        <v>629.69000000000005</v>
      </c>
      <c r="E6809">
        <v>2017</v>
      </c>
      <c r="F6809" t="s">
        <v>71</v>
      </c>
    </row>
    <row r="6810" spans="1:6" x14ac:dyDescent="0.25">
      <c r="A6810" t="s">
        <v>52</v>
      </c>
      <c r="B6810" t="s">
        <v>53</v>
      </c>
      <c r="C6810" t="s">
        <v>60</v>
      </c>
      <c r="D6810">
        <v>676.08</v>
      </c>
      <c r="E6810">
        <v>2017</v>
      </c>
      <c r="F6810" t="s">
        <v>71</v>
      </c>
    </row>
    <row r="6811" spans="1:6" x14ac:dyDescent="0.25">
      <c r="A6811" t="s">
        <v>54</v>
      </c>
      <c r="B6811" t="s">
        <v>55</v>
      </c>
      <c r="C6811" t="s">
        <v>60</v>
      </c>
      <c r="D6811">
        <v>2530.87</v>
      </c>
      <c r="E6811">
        <v>2017</v>
      </c>
      <c r="F6811" t="s">
        <v>71</v>
      </c>
    </row>
    <row r="6812" spans="1:6" x14ac:dyDescent="0.25">
      <c r="A6812" t="s">
        <v>56</v>
      </c>
      <c r="B6812" t="s">
        <v>57</v>
      </c>
      <c r="C6812" t="s">
        <v>60</v>
      </c>
      <c r="E6812">
        <v>2017</v>
      </c>
      <c r="F6812" t="s">
        <v>71</v>
      </c>
    </row>
    <row r="6813" spans="1:6" x14ac:dyDescent="0.25">
      <c r="A6813" t="s">
        <v>58</v>
      </c>
      <c r="B6813" t="s">
        <v>59</v>
      </c>
      <c r="C6813" t="s">
        <v>60</v>
      </c>
      <c r="E6813">
        <v>2017</v>
      </c>
      <c r="F6813" t="s">
        <v>71</v>
      </c>
    </row>
    <row r="6814" spans="1:6" x14ac:dyDescent="0.25">
      <c r="A6814" t="s">
        <v>6</v>
      </c>
      <c r="B6814" t="s">
        <v>7</v>
      </c>
      <c r="C6814" t="s">
        <v>61</v>
      </c>
      <c r="D6814">
        <v>27059.48</v>
      </c>
      <c r="E6814">
        <v>2017</v>
      </c>
      <c r="F6814" t="s">
        <v>71</v>
      </c>
    </row>
    <row r="6815" spans="1:6" x14ac:dyDescent="0.25">
      <c r="A6815" t="s">
        <v>10</v>
      </c>
      <c r="B6815" t="s">
        <v>11</v>
      </c>
      <c r="C6815" t="s">
        <v>61</v>
      </c>
      <c r="D6815">
        <v>12837.44</v>
      </c>
      <c r="E6815">
        <v>2017</v>
      </c>
      <c r="F6815" t="s">
        <v>71</v>
      </c>
    </row>
    <row r="6816" spans="1:6" x14ac:dyDescent="0.25">
      <c r="A6816" t="s">
        <v>12</v>
      </c>
      <c r="B6816" t="s">
        <v>13</v>
      </c>
      <c r="C6816" t="s">
        <v>61</v>
      </c>
      <c r="D6816">
        <v>1301.8900000000001</v>
      </c>
      <c r="E6816">
        <v>2017</v>
      </c>
      <c r="F6816" t="s">
        <v>71</v>
      </c>
    </row>
    <row r="6817" spans="1:6" x14ac:dyDescent="0.25">
      <c r="A6817" t="s">
        <v>14</v>
      </c>
      <c r="B6817" t="s">
        <v>15</v>
      </c>
      <c r="C6817" t="s">
        <v>61</v>
      </c>
      <c r="D6817">
        <v>31.45</v>
      </c>
      <c r="E6817">
        <v>2017</v>
      </c>
      <c r="F6817" t="s">
        <v>71</v>
      </c>
    </row>
    <row r="6818" spans="1:6" x14ac:dyDescent="0.25">
      <c r="A6818" t="s">
        <v>16</v>
      </c>
      <c r="B6818" t="s">
        <v>17</v>
      </c>
      <c r="C6818" t="s">
        <v>61</v>
      </c>
      <c r="D6818">
        <v>512.58000000000004</v>
      </c>
      <c r="E6818">
        <v>2017</v>
      </c>
      <c r="F6818" t="s">
        <v>71</v>
      </c>
    </row>
    <row r="6819" spans="1:6" x14ac:dyDescent="0.25">
      <c r="A6819" t="s">
        <v>18</v>
      </c>
      <c r="B6819" t="s">
        <v>19</v>
      </c>
      <c r="C6819" t="s">
        <v>61</v>
      </c>
      <c r="D6819">
        <v>236.72</v>
      </c>
      <c r="E6819">
        <v>2017</v>
      </c>
      <c r="F6819" t="s">
        <v>71</v>
      </c>
    </row>
    <row r="6820" spans="1:6" x14ac:dyDescent="0.25">
      <c r="A6820" t="s">
        <v>20</v>
      </c>
      <c r="B6820" t="s">
        <v>21</v>
      </c>
      <c r="C6820" t="s">
        <v>61</v>
      </c>
      <c r="D6820">
        <v>192.57</v>
      </c>
      <c r="E6820">
        <v>2017</v>
      </c>
      <c r="F6820" t="s">
        <v>71</v>
      </c>
    </row>
    <row r="6821" spans="1:6" x14ac:dyDescent="0.25">
      <c r="A6821" t="s">
        <v>22</v>
      </c>
      <c r="B6821" t="s">
        <v>23</v>
      </c>
      <c r="C6821" t="s">
        <v>61</v>
      </c>
      <c r="D6821">
        <v>436.68</v>
      </c>
      <c r="E6821">
        <v>2017</v>
      </c>
      <c r="F6821" t="s">
        <v>71</v>
      </c>
    </row>
    <row r="6822" spans="1:6" x14ac:dyDescent="0.25">
      <c r="A6822" t="s">
        <v>24</v>
      </c>
      <c r="B6822" t="s">
        <v>25</v>
      </c>
      <c r="C6822" t="s">
        <v>61</v>
      </c>
      <c r="D6822">
        <v>1497.89</v>
      </c>
      <c r="E6822">
        <v>2017</v>
      </c>
      <c r="F6822" t="s">
        <v>71</v>
      </c>
    </row>
    <row r="6823" spans="1:6" x14ac:dyDescent="0.25">
      <c r="A6823" t="s">
        <v>26</v>
      </c>
      <c r="B6823" t="s">
        <v>27</v>
      </c>
      <c r="C6823" t="s">
        <v>61</v>
      </c>
      <c r="D6823">
        <v>351.96</v>
      </c>
      <c r="E6823">
        <v>2017</v>
      </c>
      <c r="F6823" t="s">
        <v>71</v>
      </c>
    </row>
    <row r="6824" spans="1:6" x14ac:dyDescent="0.25">
      <c r="A6824" t="s">
        <v>28</v>
      </c>
      <c r="B6824" t="s">
        <v>29</v>
      </c>
      <c r="C6824" t="s">
        <v>61</v>
      </c>
      <c r="D6824">
        <v>162.08000000000001</v>
      </c>
      <c r="E6824">
        <v>2017</v>
      </c>
      <c r="F6824" t="s">
        <v>71</v>
      </c>
    </row>
    <row r="6825" spans="1:6" x14ac:dyDescent="0.25">
      <c r="A6825" t="s">
        <v>30</v>
      </c>
      <c r="B6825" t="s">
        <v>31</v>
      </c>
      <c r="C6825" t="s">
        <v>61</v>
      </c>
      <c r="D6825">
        <v>1402.69</v>
      </c>
      <c r="E6825">
        <v>2017</v>
      </c>
      <c r="F6825" t="s">
        <v>71</v>
      </c>
    </row>
    <row r="6826" spans="1:6" x14ac:dyDescent="0.25">
      <c r="A6826" t="s">
        <v>32</v>
      </c>
      <c r="B6826" t="s">
        <v>33</v>
      </c>
      <c r="C6826" t="s">
        <v>61</v>
      </c>
      <c r="D6826">
        <v>364.25</v>
      </c>
      <c r="E6826">
        <v>2017</v>
      </c>
      <c r="F6826" t="s">
        <v>71</v>
      </c>
    </row>
    <row r="6827" spans="1:6" x14ac:dyDescent="0.25">
      <c r="A6827" t="s">
        <v>34</v>
      </c>
      <c r="B6827" t="s">
        <v>35</v>
      </c>
      <c r="C6827" t="s">
        <v>61</v>
      </c>
      <c r="D6827">
        <v>1299.43</v>
      </c>
      <c r="E6827">
        <v>2017</v>
      </c>
      <c r="F6827" t="s">
        <v>71</v>
      </c>
    </row>
    <row r="6828" spans="1:6" x14ac:dyDescent="0.25">
      <c r="A6828" t="s">
        <v>36</v>
      </c>
      <c r="B6828" t="s">
        <v>37</v>
      </c>
      <c r="C6828" t="s">
        <v>61</v>
      </c>
      <c r="D6828">
        <v>1387.15</v>
      </c>
      <c r="E6828">
        <v>2017</v>
      </c>
      <c r="F6828" t="s">
        <v>71</v>
      </c>
    </row>
    <row r="6829" spans="1:6" x14ac:dyDescent="0.25">
      <c r="A6829" t="s">
        <v>38</v>
      </c>
      <c r="B6829" t="s">
        <v>39</v>
      </c>
      <c r="C6829" t="s">
        <v>61</v>
      </c>
      <c r="D6829">
        <v>1451.68</v>
      </c>
      <c r="E6829">
        <v>2017</v>
      </c>
      <c r="F6829" t="s">
        <v>71</v>
      </c>
    </row>
    <row r="6830" spans="1:6" x14ac:dyDescent="0.25">
      <c r="A6830" t="s">
        <v>40</v>
      </c>
      <c r="B6830" t="s">
        <v>41</v>
      </c>
      <c r="C6830" t="s">
        <v>61</v>
      </c>
      <c r="D6830">
        <v>832.96</v>
      </c>
      <c r="E6830">
        <v>2017</v>
      </c>
      <c r="F6830" t="s">
        <v>71</v>
      </c>
    </row>
    <row r="6831" spans="1:6" x14ac:dyDescent="0.25">
      <c r="A6831" t="s">
        <v>42</v>
      </c>
      <c r="B6831" t="s">
        <v>43</v>
      </c>
      <c r="C6831" t="s">
        <v>61</v>
      </c>
      <c r="D6831">
        <v>239.9</v>
      </c>
      <c r="E6831">
        <v>2017</v>
      </c>
      <c r="F6831" t="s">
        <v>71</v>
      </c>
    </row>
    <row r="6832" spans="1:6" x14ac:dyDescent="0.25">
      <c r="A6832" t="s">
        <v>44</v>
      </c>
      <c r="B6832" t="s">
        <v>45</v>
      </c>
      <c r="C6832" t="s">
        <v>61</v>
      </c>
      <c r="D6832">
        <v>611.96</v>
      </c>
      <c r="E6832">
        <v>2017</v>
      </c>
      <c r="F6832" t="s">
        <v>71</v>
      </c>
    </row>
    <row r="6833" spans="1:6" x14ac:dyDescent="0.25">
      <c r="A6833" t="s">
        <v>46</v>
      </c>
      <c r="B6833" t="s">
        <v>47</v>
      </c>
      <c r="C6833" t="s">
        <v>61</v>
      </c>
      <c r="D6833">
        <v>128.16</v>
      </c>
      <c r="E6833">
        <v>2017</v>
      </c>
      <c r="F6833" t="s">
        <v>71</v>
      </c>
    </row>
    <row r="6834" spans="1:6" x14ac:dyDescent="0.25">
      <c r="A6834" t="s">
        <v>48</v>
      </c>
      <c r="B6834" t="s">
        <v>49</v>
      </c>
      <c r="C6834" t="s">
        <v>61</v>
      </c>
      <c r="D6834">
        <v>805.96</v>
      </c>
      <c r="E6834">
        <v>2017</v>
      </c>
      <c r="F6834" t="s">
        <v>71</v>
      </c>
    </row>
    <row r="6835" spans="1:6" x14ac:dyDescent="0.25">
      <c r="A6835" t="s">
        <v>50</v>
      </c>
      <c r="B6835" t="s">
        <v>51</v>
      </c>
      <c r="C6835" t="s">
        <v>61</v>
      </c>
      <c r="D6835">
        <v>250.84</v>
      </c>
      <c r="E6835">
        <v>2017</v>
      </c>
      <c r="F6835" t="s">
        <v>71</v>
      </c>
    </row>
    <row r="6836" spans="1:6" x14ac:dyDescent="0.25">
      <c r="A6836" t="s">
        <v>52</v>
      </c>
      <c r="B6836" t="s">
        <v>53</v>
      </c>
      <c r="C6836" t="s">
        <v>61</v>
      </c>
      <c r="D6836">
        <v>355.38</v>
      </c>
      <c r="E6836">
        <v>2017</v>
      </c>
      <c r="F6836" t="s">
        <v>71</v>
      </c>
    </row>
    <row r="6837" spans="1:6" x14ac:dyDescent="0.25">
      <c r="A6837" t="s">
        <v>54</v>
      </c>
      <c r="B6837" t="s">
        <v>55</v>
      </c>
      <c r="C6837" t="s">
        <v>61</v>
      </c>
      <c r="D6837">
        <v>139.44</v>
      </c>
      <c r="E6837">
        <v>2017</v>
      </c>
      <c r="F6837" t="s">
        <v>71</v>
      </c>
    </row>
    <row r="6838" spans="1:6" x14ac:dyDescent="0.25">
      <c r="A6838" t="s">
        <v>56</v>
      </c>
      <c r="B6838" t="s">
        <v>57</v>
      </c>
      <c r="C6838" t="s">
        <v>61</v>
      </c>
      <c r="D6838">
        <v>228.42</v>
      </c>
      <c r="E6838">
        <v>2017</v>
      </c>
      <c r="F6838" t="s">
        <v>71</v>
      </c>
    </row>
    <row r="6839" spans="1:6" x14ac:dyDescent="0.25">
      <c r="A6839" t="s">
        <v>58</v>
      </c>
      <c r="B6839" t="s">
        <v>59</v>
      </c>
      <c r="C6839" t="s">
        <v>61</v>
      </c>
      <c r="E6839">
        <v>2017</v>
      </c>
      <c r="F6839" t="s">
        <v>71</v>
      </c>
    </row>
    <row r="6840" spans="1:6" x14ac:dyDescent="0.25">
      <c r="A6840" t="s">
        <v>6</v>
      </c>
      <c r="B6840" t="s">
        <v>7</v>
      </c>
      <c r="C6840" t="s">
        <v>65</v>
      </c>
      <c r="D6840">
        <v>455156.67</v>
      </c>
      <c r="E6840">
        <v>2017</v>
      </c>
      <c r="F6840" t="s">
        <v>71</v>
      </c>
    </row>
    <row r="6841" spans="1:6" x14ac:dyDescent="0.25">
      <c r="A6841" t="s">
        <v>10</v>
      </c>
      <c r="B6841" t="s">
        <v>11</v>
      </c>
      <c r="C6841" t="s">
        <v>65</v>
      </c>
      <c r="D6841">
        <v>63505.85</v>
      </c>
      <c r="E6841">
        <v>2017</v>
      </c>
      <c r="F6841" t="s">
        <v>71</v>
      </c>
    </row>
    <row r="6842" spans="1:6" x14ac:dyDescent="0.25">
      <c r="A6842" t="s">
        <v>12</v>
      </c>
      <c r="B6842" t="s">
        <v>13</v>
      </c>
      <c r="C6842" t="s">
        <v>65</v>
      </c>
      <c r="D6842">
        <v>22661.68</v>
      </c>
      <c r="E6842">
        <v>2017</v>
      </c>
      <c r="F6842" t="s">
        <v>71</v>
      </c>
    </row>
    <row r="6843" spans="1:6" x14ac:dyDescent="0.25">
      <c r="A6843" t="s">
        <v>14</v>
      </c>
      <c r="B6843" t="s">
        <v>15</v>
      </c>
      <c r="C6843" t="s">
        <v>65</v>
      </c>
      <c r="D6843">
        <v>1014.33</v>
      </c>
      <c r="E6843">
        <v>2017</v>
      </c>
      <c r="F6843" t="s">
        <v>71</v>
      </c>
    </row>
    <row r="6844" spans="1:6" x14ac:dyDescent="0.25">
      <c r="A6844" t="s">
        <v>16</v>
      </c>
      <c r="B6844" t="s">
        <v>17</v>
      </c>
      <c r="C6844" t="s">
        <v>65</v>
      </c>
      <c r="D6844">
        <v>13860.99</v>
      </c>
      <c r="E6844">
        <v>2017</v>
      </c>
      <c r="F6844" t="s">
        <v>71</v>
      </c>
    </row>
    <row r="6845" spans="1:6" x14ac:dyDescent="0.25">
      <c r="A6845" t="s">
        <v>18</v>
      </c>
      <c r="B6845" t="s">
        <v>19</v>
      </c>
      <c r="C6845" t="s">
        <v>65</v>
      </c>
      <c r="D6845">
        <v>4096.05</v>
      </c>
      <c r="E6845">
        <v>2017</v>
      </c>
      <c r="F6845" t="s">
        <v>71</v>
      </c>
    </row>
    <row r="6846" spans="1:6" x14ac:dyDescent="0.25">
      <c r="A6846" t="s">
        <v>20</v>
      </c>
      <c r="B6846" t="s">
        <v>21</v>
      </c>
      <c r="C6846" t="s">
        <v>65</v>
      </c>
      <c r="D6846">
        <v>1917.51</v>
      </c>
      <c r="E6846">
        <v>2017</v>
      </c>
      <c r="F6846" t="s">
        <v>71</v>
      </c>
    </row>
    <row r="6847" spans="1:6" x14ac:dyDescent="0.25">
      <c r="A6847" t="s">
        <v>22</v>
      </c>
      <c r="B6847" t="s">
        <v>23</v>
      </c>
      <c r="C6847" t="s">
        <v>65</v>
      </c>
      <c r="D6847">
        <v>1423.92</v>
      </c>
      <c r="E6847">
        <v>2017</v>
      </c>
      <c r="F6847" t="s">
        <v>71</v>
      </c>
    </row>
    <row r="6848" spans="1:6" x14ac:dyDescent="0.25">
      <c r="A6848" t="s">
        <v>24</v>
      </c>
      <c r="B6848" t="s">
        <v>25</v>
      </c>
      <c r="C6848" t="s">
        <v>65</v>
      </c>
      <c r="D6848">
        <v>11537.22</v>
      </c>
      <c r="E6848">
        <v>2017</v>
      </c>
      <c r="F6848" t="s">
        <v>71</v>
      </c>
    </row>
    <row r="6849" spans="1:6" x14ac:dyDescent="0.25">
      <c r="A6849" t="s">
        <v>26</v>
      </c>
      <c r="B6849" t="s">
        <v>27</v>
      </c>
      <c r="C6849" t="s">
        <v>65</v>
      </c>
      <c r="D6849">
        <v>920.3</v>
      </c>
      <c r="E6849">
        <v>2017</v>
      </c>
      <c r="F6849" t="s">
        <v>71</v>
      </c>
    </row>
    <row r="6850" spans="1:6" x14ac:dyDescent="0.25">
      <c r="A6850" t="s">
        <v>28</v>
      </c>
      <c r="B6850" t="s">
        <v>29</v>
      </c>
      <c r="C6850" t="s">
        <v>65</v>
      </c>
      <c r="D6850">
        <v>33125.440000000002</v>
      </c>
      <c r="E6850">
        <v>2017</v>
      </c>
      <c r="F6850" t="s">
        <v>71</v>
      </c>
    </row>
    <row r="6851" spans="1:6" x14ac:dyDescent="0.25">
      <c r="A6851" t="s">
        <v>30</v>
      </c>
      <c r="B6851" t="s">
        <v>31</v>
      </c>
      <c r="C6851" t="s">
        <v>65</v>
      </c>
      <c r="D6851">
        <v>43961.45</v>
      </c>
      <c r="E6851">
        <v>2017</v>
      </c>
      <c r="F6851" t="s">
        <v>71</v>
      </c>
    </row>
    <row r="6852" spans="1:6" x14ac:dyDescent="0.25">
      <c r="A6852" t="s">
        <v>32</v>
      </c>
      <c r="B6852" t="s">
        <v>33</v>
      </c>
      <c r="C6852" t="s">
        <v>65</v>
      </c>
      <c r="D6852">
        <v>2115.83</v>
      </c>
      <c r="E6852">
        <v>2017</v>
      </c>
      <c r="F6852" t="s">
        <v>71</v>
      </c>
    </row>
    <row r="6853" spans="1:6" x14ac:dyDescent="0.25">
      <c r="A6853" t="s">
        <v>34</v>
      </c>
      <c r="B6853" t="s">
        <v>35</v>
      </c>
      <c r="C6853" t="s">
        <v>65</v>
      </c>
      <c r="D6853">
        <v>18546.080000000002</v>
      </c>
      <c r="E6853">
        <v>2017</v>
      </c>
      <c r="F6853" t="s">
        <v>71</v>
      </c>
    </row>
    <row r="6854" spans="1:6" x14ac:dyDescent="0.25">
      <c r="A6854" t="s">
        <v>36</v>
      </c>
      <c r="B6854" t="s">
        <v>37</v>
      </c>
      <c r="C6854" t="s">
        <v>65</v>
      </c>
      <c r="D6854">
        <v>23415.67</v>
      </c>
      <c r="E6854">
        <v>2017</v>
      </c>
      <c r="F6854" t="s">
        <v>71</v>
      </c>
    </row>
    <row r="6855" spans="1:6" x14ac:dyDescent="0.25">
      <c r="A6855" t="s">
        <v>38</v>
      </c>
      <c r="B6855" t="s">
        <v>39</v>
      </c>
      <c r="C6855" t="s">
        <v>65</v>
      </c>
      <c r="D6855">
        <v>31588.47</v>
      </c>
      <c r="E6855">
        <v>2017</v>
      </c>
      <c r="F6855" t="s">
        <v>71</v>
      </c>
    </row>
    <row r="6856" spans="1:6" x14ac:dyDescent="0.25">
      <c r="A6856" t="s">
        <v>40</v>
      </c>
      <c r="B6856" t="s">
        <v>41</v>
      </c>
      <c r="C6856" t="s">
        <v>65</v>
      </c>
      <c r="D6856">
        <v>20109.21</v>
      </c>
      <c r="E6856">
        <v>2017</v>
      </c>
      <c r="F6856" t="s">
        <v>71</v>
      </c>
    </row>
    <row r="6857" spans="1:6" x14ac:dyDescent="0.25">
      <c r="A6857" t="s">
        <v>42</v>
      </c>
      <c r="B6857" t="s">
        <v>43</v>
      </c>
      <c r="C6857" t="s">
        <v>65</v>
      </c>
      <c r="D6857">
        <v>9650.44</v>
      </c>
      <c r="E6857">
        <v>2017</v>
      </c>
      <c r="F6857" t="s">
        <v>71</v>
      </c>
    </row>
    <row r="6858" spans="1:6" x14ac:dyDescent="0.25">
      <c r="A6858" t="s">
        <v>44</v>
      </c>
      <c r="B6858" t="s">
        <v>45</v>
      </c>
      <c r="C6858" t="s">
        <v>65</v>
      </c>
      <c r="D6858">
        <v>30619.48</v>
      </c>
      <c r="E6858">
        <v>2017</v>
      </c>
      <c r="F6858" t="s">
        <v>71</v>
      </c>
    </row>
    <row r="6859" spans="1:6" x14ac:dyDescent="0.25">
      <c r="A6859" t="s">
        <v>46</v>
      </c>
      <c r="B6859" t="s">
        <v>47</v>
      </c>
      <c r="C6859" t="s">
        <v>65</v>
      </c>
      <c r="D6859">
        <v>39868.01</v>
      </c>
      <c r="E6859">
        <v>2017</v>
      </c>
      <c r="F6859" t="s">
        <v>71</v>
      </c>
    </row>
    <row r="6860" spans="1:6" x14ac:dyDescent="0.25">
      <c r="A6860" t="s">
        <v>48</v>
      </c>
      <c r="B6860" t="s">
        <v>49</v>
      </c>
      <c r="C6860" t="s">
        <v>65</v>
      </c>
      <c r="D6860">
        <v>78785.37</v>
      </c>
      <c r="E6860">
        <v>2017</v>
      </c>
      <c r="F6860" t="s">
        <v>71</v>
      </c>
    </row>
    <row r="6861" spans="1:6" x14ac:dyDescent="0.25">
      <c r="A6861" t="s">
        <v>50</v>
      </c>
      <c r="B6861" t="s">
        <v>51</v>
      </c>
      <c r="C6861" t="s">
        <v>65</v>
      </c>
      <c r="D6861">
        <v>1044.6400000000001</v>
      </c>
      <c r="E6861">
        <v>2017</v>
      </c>
      <c r="F6861" t="s">
        <v>71</v>
      </c>
    </row>
    <row r="6862" spans="1:6" x14ac:dyDescent="0.25">
      <c r="A6862" t="s">
        <v>52</v>
      </c>
      <c r="B6862" t="s">
        <v>53</v>
      </c>
      <c r="C6862" t="s">
        <v>65</v>
      </c>
      <c r="D6862">
        <v>819.44</v>
      </c>
      <c r="E6862">
        <v>2017</v>
      </c>
      <c r="F6862" t="s">
        <v>71</v>
      </c>
    </row>
    <row r="6863" spans="1:6" x14ac:dyDescent="0.25">
      <c r="A6863" t="s">
        <v>54</v>
      </c>
      <c r="B6863" t="s">
        <v>55</v>
      </c>
      <c r="C6863" t="s">
        <v>65</v>
      </c>
      <c r="D6863">
        <v>569.29</v>
      </c>
      <c r="E6863">
        <v>2017</v>
      </c>
      <c r="F6863" t="s">
        <v>71</v>
      </c>
    </row>
    <row r="6864" spans="1:6" x14ac:dyDescent="0.25">
      <c r="A6864" t="s">
        <v>56</v>
      </c>
      <c r="B6864" t="s">
        <v>57</v>
      </c>
      <c r="C6864" t="s">
        <v>65</v>
      </c>
      <c r="E6864">
        <v>2017</v>
      </c>
      <c r="F6864" t="s">
        <v>71</v>
      </c>
    </row>
    <row r="6865" spans="1:6" x14ac:dyDescent="0.25">
      <c r="A6865" t="s">
        <v>58</v>
      </c>
      <c r="B6865" t="s">
        <v>59</v>
      </c>
      <c r="C6865" t="s">
        <v>65</v>
      </c>
      <c r="E6865">
        <v>2017</v>
      </c>
      <c r="F6865" t="s">
        <v>71</v>
      </c>
    </row>
    <row r="6866" spans="1:6" x14ac:dyDescent="0.25">
      <c r="A6866" t="s">
        <v>6</v>
      </c>
      <c r="B6866" t="s">
        <v>7</v>
      </c>
      <c r="C6866" t="s">
        <v>62</v>
      </c>
      <c r="D6866">
        <v>73536.350000000006</v>
      </c>
      <c r="E6866">
        <v>2017</v>
      </c>
      <c r="F6866" t="s">
        <v>71</v>
      </c>
    </row>
    <row r="6867" spans="1:6" x14ac:dyDescent="0.25">
      <c r="A6867" t="s">
        <v>10</v>
      </c>
      <c r="B6867" t="s">
        <v>11</v>
      </c>
      <c r="C6867" t="s">
        <v>62</v>
      </c>
      <c r="D6867">
        <v>29326.25</v>
      </c>
      <c r="E6867">
        <v>2017</v>
      </c>
      <c r="F6867" t="s">
        <v>71</v>
      </c>
    </row>
    <row r="6868" spans="1:6" x14ac:dyDescent="0.25">
      <c r="A6868" t="s">
        <v>12</v>
      </c>
      <c r="B6868" t="s">
        <v>13</v>
      </c>
      <c r="C6868" t="s">
        <v>62</v>
      </c>
      <c r="D6868">
        <v>3621.83</v>
      </c>
      <c r="E6868">
        <v>2017</v>
      </c>
      <c r="F6868" t="s">
        <v>71</v>
      </c>
    </row>
    <row r="6869" spans="1:6" x14ac:dyDescent="0.25">
      <c r="A6869" t="s">
        <v>14</v>
      </c>
      <c r="B6869" t="s">
        <v>15</v>
      </c>
      <c r="C6869" t="s">
        <v>62</v>
      </c>
      <c r="E6869">
        <v>2017</v>
      </c>
      <c r="F6869" t="s">
        <v>71</v>
      </c>
    </row>
    <row r="6870" spans="1:6" x14ac:dyDescent="0.25">
      <c r="A6870" t="s">
        <v>16</v>
      </c>
      <c r="B6870" t="s">
        <v>17</v>
      </c>
      <c r="C6870" t="s">
        <v>62</v>
      </c>
      <c r="D6870">
        <v>1942.94</v>
      </c>
      <c r="E6870">
        <v>2017</v>
      </c>
      <c r="F6870" t="s">
        <v>71</v>
      </c>
    </row>
    <row r="6871" spans="1:6" x14ac:dyDescent="0.25">
      <c r="A6871" t="s">
        <v>18</v>
      </c>
      <c r="B6871" t="s">
        <v>19</v>
      </c>
      <c r="C6871" t="s">
        <v>62</v>
      </c>
      <c r="D6871">
        <v>2050.67</v>
      </c>
      <c r="E6871">
        <v>2017</v>
      </c>
      <c r="F6871" t="s">
        <v>71</v>
      </c>
    </row>
    <row r="6872" spans="1:6" x14ac:dyDescent="0.25">
      <c r="A6872" t="s">
        <v>20</v>
      </c>
      <c r="B6872" t="s">
        <v>21</v>
      </c>
      <c r="C6872" t="s">
        <v>62</v>
      </c>
      <c r="D6872">
        <v>360.06</v>
      </c>
      <c r="E6872">
        <v>2017</v>
      </c>
      <c r="F6872" t="s">
        <v>71</v>
      </c>
    </row>
    <row r="6873" spans="1:6" x14ac:dyDescent="0.25">
      <c r="A6873" t="s">
        <v>22</v>
      </c>
      <c r="B6873" t="s">
        <v>23</v>
      </c>
      <c r="C6873" t="s">
        <v>62</v>
      </c>
      <c r="D6873">
        <v>322.20999999999998</v>
      </c>
      <c r="E6873">
        <v>2017</v>
      </c>
      <c r="F6873" t="s">
        <v>71</v>
      </c>
    </row>
    <row r="6874" spans="1:6" x14ac:dyDescent="0.25">
      <c r="A6874" t="s">
        <v>24</v>
      </c>
      <c r="B6874" t="s">
        <v>25</v>
      </c>
      <c r="C6874" t="s">
        <v>62</v>
      </c>
      <c r="D6874">
        <v>1173.57</v>
      </c>
      <c r="E6874">
        <v>2017</v>
      </c>
      <c r="F6874" t="s">
        <v>71</v>
      </c>
    </row>
    <row r="6875" spans="1:6" x14ac:dyDescent="0.25">
      <c r="A6875" t="s">
        <v>26</v>
      </c>
      <c r="B6875" t="s">
        <v>27</v>
      </c>
      <c r="C6875" t="s">
        <v>62</v>
      </c>
      <c r="D6875">
        <v>900.07</v>
      </c>
      <c r="E6875">
        <v>2017</v>
      </c>
      <c r="F6875" t="s">
        <v>71</v>
      </c>
    </row>
    <row r="6876" spans="1:6" x14ac:dyDescent="0.25">
      <c r="A6876" t="s">
        <v>28</v>
      </c>
      <c r="B6876" t="s">
        <v>29</v>
      </c>
      <c r="C6876" t="s">
        <v>62</v>
      </c>
      <c r="D6876">
        <v>5829.41</v>
      </c>
      <c r="E6876">
        <v>2017</v>
      </c>
      <c r="F6876" t="s">
        <v>71</v>
      </c>
    </row>
    <row r="6877" spans="1:6" x14ac:dyDescent="0.25">
      <c r="A6877" t="s">
        <v>30</v>
      </c>
      <c r="B6877" t="s">
        <v>31</v>
      </c>
      <c r="C6877" t="s">
        <v>62</v>
      </c>
      <c r="D6877">
        <v>5196.4799999999996</v>
      </c>
      <c r="E6877">
        <v>2017</v>
      </c>
      <c r="F6877" t="s">
        <v>71</v>
      </c>
    </row>
    <row r="6878" spans="1:6" x14ac:dyDescent="0.25">
      <c r="A6878" t="s">
        <v>32</v>
      </c>
      <c r="B6878" t="s">
        <v>33</v>
      </c>
      <c r="C6878" t="s">
        <v>62</v>
      </c>
      <c r="D6878">
        <v>1211.5899999999999</v>
      </c>
      <c r="E6878">
        <v>2017</v>
      </c>
      <c r="F6878" t="s">
        <v>71</v>
      </c>
    </row>
    <row r="6879" spans="1:6" x14ac:dyDescent="0.25">
      <c r="A6879" t="s">
        <v>34</v>
      </c>
      <c r="B6879" t="s">
        <v>35</v>
      </c>
      <c r="C6879" t="s">
        <v>62</v>
      </c>
      <c r="D6879">
        <v>4101.93</v>
      </c>
      <c r="E6879">
        <v>2017</v>
      </c>
      <c r="F6879" t="s">
        <v>71</v>
      </c>
    </row>
    <row r="6880" spans="1:6" x14ac:dyDescent="0.25">
      <c r="A6880" t="s">
        <v>36</v>
      </c>
      <c r="B6880" t="s">
        <v>37</v>
      </c>
      <c r="C6880" t="s">
        <v>62</v>
      </c>
      <c r="D6880">
        <v>4501.16</v>
      </c>
      <c r="E6880">
        <v>2017</v>
      </c>
      <c r="F6880" t="s">
        <v>71</v>
      </c>
    </row>
    <row r="6881" spans="1:6" x14ac:dyDescent="0.25">
      <c r="A6881" t="s">
        <v>38</v>
      </c>
      <c r="B6881" t="s">
        <v>39</v>
      </c>
      <c r="C6881" t="s">
        <v>62</v>
      </c>
      <c r="D6881">
        <v>5756.78</v>
      </c>
      <c r="E6881">
        <v>2017</v>
      </c>
      <c r="F6881" t="s">
        <v>71</v>
      </c>
    </row>
    <row r="6882" spans="1:6" x14ac:dyDescent="0.25">
      <c r="A6882" t="s">
        <v>40</v>
      </c>
      <c r="B6882" t="s">
        <v>41</v>
      </c>
      <c r="C6882" t="s">
        <v>62</v>
      </c>
      <c r="D6882">
        <v>2153.08</v>
      </c>
      <c r="E6882">
        <v>2017</v>
      </c>
      <c r="F6882" t="s">
        <v>71</v>
      </c>
    </row>
    <row r="6883" spans="1:6" x14ac:dyDescent="0.25">
      <c r="A6883" t="s">
        <v>42</v>
      </c>
      <c r="B6883" t="s">
        <v>43</v>
      </c>
      <c r="C6883" t="s">
        <v>62</v>
      </c>
      <c r="D6883">
        <v>31.73</v>
      </c>
      <c r="E6883">
        <v>2017</v>
      </c>
      <c r="F6883" t="s">
        <v>71</v>
      </c>
    </row>
    <row r="6884" spans="1:6" x14ac:dyDescent="0.25">
      <c r="A6884" t="s">
        <v>44</v>
      </c>
      <c r="B6884" t="s">
        <v>45</v>
      </c>
      <c r="C6884" t="s">
        <v>62</v>
      </c>
      <c r="D6884">
        <v>844.12</v>
      </c>
      <c r="E6884">
        <v>2017</v>
      </c>
      <c r="F6884" t="s">
        <v>71</v>
      </c>
    </row>
    <row r="6885" spans="1:6" x14ac:dyDescent="0.25">
      <c r="A6885" t="s">
        <v>46</v>
      </c>
      <c r="B6885" t="s">
        <v>47</v>
      </c>
      <c r="C6885" t="s">
        <v>62</v>
      </c>
      <c r="D6885">
        <v>1128.0899999999999</v>
      </c>
      <c r="E6885">
        <v>2017</v>
      </c>
      <c r="F6885" t="s">
        <v>71</v>
      </c>
    </row>
    <row r="6886" spans="1:6" x14ac:dyDescent="0.25">
      <c r="A6886" t="s">
        <v>48</v>
      </c>
      <c r="B6886" t="s">
        <v>49</v>
      </c>
      <c r="C6886" t="s">
        <v>62</v>
      </c>
      <c r="D6886">
        <v>481.76</v>
      </c>
      <c r="E6886">
        <v>2017</v>
      </c>
      <c r="F6886" t="s">
        <v>71</v>
      </c>
    </row>
    <row r="6887" spans="1:6" x14ac:dyDescent="0.25">
      <c r="A6887" t="s">
        <v>50</v>
      </c>
      <c r="B6887" t="s">
        <v>51</v>
      </c>
      <c r="C6887" t="s">
        <v>62</v>
      </c>
      <c r="D6887">
        <v>232.44</v>
      </c>
      <c r="E6887">
        <v>2017</v>
      </c>
      <c r="F6887" t="s">
        <v>71</v>
      </c>
    </row>
    <row r="6888" spans="1:6" x14ac:dyDescent="0.25">
      <c r="A6888" t="s">
        <v>52</v>
      </c>
      <c r="B6888" t="s">
        <v>53</v>
      </c>
      <c r="C6888" t="s">
        <v>62</v>
      </c>
      <c r="D6888">
        <v>448.52</v>
      </c>
      <c r="E6888">
        <v>2017</v>
      </c>
      <c r="F6888" t="s">
        <v>71</v>
      </c>
    </row>
    <row r="6889" spans="1:6" x14ac:dyDescent="0.25">
      <c r="A6889" t="s">
        <v>54</v>
      </c>
      <c r="B6889" t="s">
        <v>55</v>
      </c>
      <c r="C6889" t="s">
        <v>62</v>
      </c>
      <c r="D6889">
        <v>1462.32</v>
      </c>
      <c r="E6889">
        <v>2017</v>
      </c>
      <c r="F6889" t="s">
        <v>71</v>
      </c>
    </row>
    <row r="6890" spans="1:6" x14ac:dyDescent="0.25">
      <c r="A6890" t="s">
        <v>56</v>
      </c>
      <c r="B6890" t="s">
        <v>57</v>
      </c>
      <c r="C6890" t="s">
        <v>62</v>
      </c>
      <c r="D6890">
        <v>459.34</v>
      </c>
      <c r="E6890">
        <v>2017</v>
      </c>
      <c r="F6890" t="s">
        <v>71</v>
      </c>
    </row>
    <row r="6891" spans="1:6" x14ac:dyDescent="0.25">
      <c r="A6891" t="s">
        <v>58</v>
      </c>
      <c r="B6891" t="s">
        <v>59</v>
      </c>
      <c r="C6891" t="s">
        <v>62</v>
      </c>
      <c r="E6891">
        <v>2017</v>
      </c>
      <c r="F6891" t="s">
        <v>71</v>
      </c>
    </row>
    <row r="6892" spans="1:6" x14ac:dyDescent="0.25">
      <c r="A6892" t="s">
        <v>6</v>
      </c>
      <c r="B6892" t="s">
        <v>7</v>
      </c>
      <c r="C6892" t="s">
        <v>66</v>
      </c>
      <c r="E6892">
        <v>2017</v>
      </c>
      <c r="F6892" t="s">
        <v>71</v>
      </c>
    </row>
    <row r="6893" spans="1:6" x14ac:dyDescent="0.25">
      <c r="A6893" t="s">
        <v>10</v>
      </c>
      <c r="B6893" t="s">
        <v>11</v>
      </c>
      <c r="C6893" t="s">
        <v>66</v>
      </c>
      <c r="E6893">
        <v>2017</v>
      </c>
      <c r="F6893" t="s">
        <v>71</v>
      </c>
    </row>
    <row r="6894" spans="1:6" x14ac:dyDescent="0.25">
      <c r="A6894" t="s">
        <v>12</v>
      </c>
      <c r="B6894" t="s">
        <v>13</v>
      </c>
      <c r="C6894" t="s">
        <v>66</v>
      </c>
      <c r="E6894">
        <v>2017</v>
      </c>
      <c r="F6894" t="s">
        <v>71</v>
      </c>
    </row>
    <row r="6895" spans="1:6" x14ac:dyDescent="0.25">
      <c r="A6895" t="s">
        <v>14</v>
      </c>
      <c r="B6895" t="s">
        <v>15</v>
      </c>
      <c r="C6895" t="s">
        <v>66</v>
      </c>
      <c r="E6895">
        <v>2017</v>
      </c>
      <c r="F6895" t="s">
        <v>71</v>
      </c>
    </row>
    <row r="6896" spans="1:6" x14ac:dyDescent="0.25">
      <c r="A6896" t="s">
        <v>16</v>
      </c>
      <c r="B6896" t="s">
        <v>17</v>
      </c>
      <c r="C6896" t="s">
        <v>66</v>
      </c>
      <c r="E6896">
        <v>2017</v>
      </c>
      <c r="F6896" t="s">
        <v>71</v>
      </c>
    </row>
    <row r="6897" spans="1:6" x14ac:dyDescent="0.25">
      <c r="A6897" t="s">
        <v>18</v>
      </c>
      <c r="B6897" t="s">
        <v>19</v>
      </c>
      <c r="C6897" t="s">
        <v>66</v>
      </c>
      <c r="E6897">
        <v>2017</v>
      </c>
      <c r="F6897" t="s">
        <v>71</v>
      </c>
    </row>
    <row r="6898" spans="1:6" x14ac:dyDescent="0.25">
      <c r="A6898" t="s">
        <v>20</v>
      </c>
      <c r="B6898" t="s">
        <v>21</v>
      </c>
      <c r="C6898" t="s">
        <v>66</v>
      </c>
      <c r="E6898">
        <v>2017</v>
      </c>
      <c r="F6898" t="s">
        <v>71</v>
      </c>
    </row>
    <row r="6899" spans="1:6" x14ac:dyDescent="0.25">
      <c r="A6899" t="s">
        <v>22</v>
      </c>
      <c r="B6899" t="s">
        <v>23</v>
      </c>
      <c r="C6899" t="s">
        <v>66</v>
      </c>
      <c r="E6899">
        <v>2017</v>
      </c>
      <c r="F6899" t="s">
        <v>71</v>
      </c>
    </row>
    <row r="6900" spans="1:6" x14ac:dyDescent="0.25">
      <c r="A6900" t="s">
        <v>24</v>
      </c>
      <c r="B6900" t="s">
        <v>25</v>
      </c>
      <c r="C6900" t="s">
        <v>66</v>
      </c>
      <c r="E6900">
        <v>2017</v>
      </c>
      <c r="F6900" t="s">
        <v>71</v>
      </c>
    </row>
    <row r="6901" spans="1:6" x14ac:dyDescent="0.25">
      <c r="A6901" t="s">
        <v>26</v>
      </c>
      <c r="B6901" t="s">
        <v>27</v>
      </c>
      <c r="C6901" t="s">
        <v>66</v>
      </c>
      <c r="E6901">
        <v>2017</v>
      </c>
      <c r="F6901" t="s">
        <v>71</v>
      </c>
    </row>
    <row r="6902" spans="1:6" x14ac:dyDescent="0.25">
      <c r="A6902" t="s">
        <v>28</v>
      </c>
      <c r="B6902" t="s">
        <v>29</v>
      </c>
      <c r="C6902" t="s">
        <v>66</v>
      </c>
      <c r="E6902">
        <v>2017</v>
      </c>
      <c r="F6902" t="s">
        <v>71</v>
      </c>
    </row>
    <row r="6903" spans="1:6" x14ac:dyDescent="0.25">
      <c r="A6903" t="s">
        <v>30</v>
      </c>
      <c r="B6903" t="s">
        <v>31</v>
      </c>
      <c r="C6903" t="s">
        <v>66</v>
      </c>
      <c r="E6903">
        <v>2017</v>
      </c>
      <c r="F6903" t="s">
        <v>71</v>
      </c>
    </row>
    <row r="6904" spans="1:6" x14ac:dyDescent="0.25">
      <c r="A6904" t="s">
        <v>32</v>
      </c>
      <c r="B6904" t="s">
        <v>33</v>
      </c>
      <c r="C6904" t="s">
        <v>66</v>
      </c>
      <c r="E6904">
        <v>2017</v>
      </c>
      <c r="F6904" t="s">
        <v>71</v>
      </c>
    </row>
    <row r="6905" spans="1:6" x14ac:dyDescent="0.25">
      <c r="A6905" t="s">
        <v>34</v>
      </c>
      <c r="B6905" t="s">
        <v>35</v>
      </c>
      <c r="C6905" t="s">
        <v>66</v>
      </c>
      <c r="E6905">
        <v>2017</v>
      </c>
      <c r="F6905" t="s">
        <v>71</v>
      </c>
    </row>
    <row r="6906" spans="1:6" x14ac:dyDescent="0.25">
      <c r="A6906" t="s">
        <v>36</v>
      </c>
      <c r="B6906" t="s">
        <v>37</v>
      </c>
      <c r="C6906" t="s">
        <v>66</v>
      </c>
      <c r="E6906">
        <v>2017</v>
      </c>
      <c r="F6906" t="s">
        <v>71</v>
      </c>
    </row>
    <row r="6907" spans="1:6" x14ac:dyDescent="0.25">
      <c r="A6907" t="s">
        <v>38</v>
      </c>
      <c r="B6907" t="s">
        <v>39</v>
      </c>
      <c r="C6907" t="s">
        <v>66</v>
      </c>
      <c r="E6907">
        <v>2017</v>
      </c>
      <c r="F6907" t="s">
        <v>71</v>
      </c>
    </row>
    <row r="6908" spans="1:6" x14ac:dyDescent="0.25">
      <c r="A6908" t="s">
        <v>40</v>
      </c>
      <c r="B6908" t="s">
        <v>41</v>
      </c>
      <c r="C6908" t="s">
        <v>66</v>
      </c>
      <c r="E6908">
        <v>2017</v>
      </c>
      <c r="F6908" t="s">
        <v>71</v>
      </c>
    </row>
    <row r="6909" spans="1:6" x14ac:dyDescent="0.25">
      <c r="A6909" t="s">
        <v>42</v>
      </c>
      <c r="B6909" t="s">
        <v>43</v>
      </c>
      <c r="C6909" t="s">
        <v>66</v>
      </c>
      <c r="E6909">
        <v>2017</v>
      </c>
      <c r="F6909" t="s">
        <v>71</v>
      </c>
    </row>
    <row r="6910" spans="1:6" x14ac:dyDescent="0.25">
      <c r="A6910" t="s">
        <v>44</v>
      </c>
      <c r="B6910" t="s">
        <v>45</v>
      </c>
      <c r="C6910" t="s">
        <v>66</v>
      </c>
      <c r="E6910">
        <v>2017</v>
      </c>
      <c r="F6910" t="s">
        <v>71</v>
      </c>
    </row>
    <row r="6911" spans="1:6" x14ac:dyDescent="0.25">
      <c r="A6911" t="s">
        <v>46</v>
      </c>
      <c r="B6911" t="s">
        <v>47</v>
      </c>
      <c r="C6911" t="s">
        <v>66</v>
      </c>
      <c r="E6911">
        <v>2017</v>
      </c>
      <c r="F6911" t="s">
        <v>71</v>
      </c>
    </row>
    <row r="6912" spans="1:6" x14ac:dyDescent="0.25">
      <c r="A6912" t="s">
        <v>48</v>
      </c>
      <c r="B6912" t="s">
        <v>49</v>
      </c>
      <c r="C6912" t="s">
        <v>66</v>
      </c>
      <c r="E6912">
        <v>2017</v>
      </c>
      <c r="F6912" t="s">
        <v>71</v>
      </c>
    </row>
    <row r="6913" spans="1:6" x14ac:dyDescent="0.25">
      <c r="A6913" t="s">
        <v>50</v>
      </c>
      <c r="B6913" t="s">
        <v>51</v>
      </c>
      <c r="C6913" t="s">
        <v>66</v>
      </c>
      <c r="E6913">
        <v>2017</v>
      </c>
      <c r="F6913" t="s">
        <v>71</v>
      </c>
    </row>
    <row r="6914" spans="1:6" x14ac:dyDescent="0.25">
      <c r="A6914" t="s">
        <v>52</v>
      </c>
      <c r="B6914" t="s">
        <v>53</v>
      </c>
      <c r="C6914" t="s">
        <v>66</v>
      </c>
      <c r="E6914">
        <v>2017</v>
      </c>
      <c r="F6914" t="s">
        <v>71</v>
      </c>
    </row>
    <row r="6915" spans="1:6" x14ac:dyDescent="0.25">
      <c r="A6915" t="s">
        <v>54</v>
      </c>
      <c r="B6915" t="s">
        <v>55</v>
      </c>
      <c r="C6915" t="s">
        <v>66</v>
      </c>
      <c r="E6915">
        <v>2017</v>
      </c>
      <c r="F6915" t="s">
        <v>71</v>
      </c>
    </row>
    <row r="6916" spans="1:6" x14ac:dyDescent="0.25">
      <c r="A6916" t="s">
        <v>56</v>
      </c>
      <c r="B6916" t="s">
        <v>57</v>
      </c>
      <c r="C6916" t="s">
        <v>66</v>
      </c>
      <c r="E6916">
        <v>2017</v>
      </c>
      <c r="F6916" t="s">
        <v>71</v>
      </c>
    </row>
    <row r="6917" spans="1:6" x14ac:dyDescent="0.25">
      <c r="A6917" t="s">
        <v>58</v>
      </c>
      <c r="B6917" t="s">
        <v>59</v>
      </c>
      <c r="C6917" t="s">
        <v>66</v>
      </c>
      <c r="E6917">
        <v>2017</v>
      </c>
      <c r="F6917" t="s">
        <v>71</v>
      </c>
    </row>
    <row r="6918" spans="1:6" x14ac:dyDescent="0.25">
      <c r="A6918" t="s">
        <v>6</v>
      </c>
      <c r="B6918" t="s">
        <v>7</v>
      </c>
      <c r="C6918" t="s">
        <v>63</v>
      </c>
      <c r="D6918">
        <v>777053.04</v>
      </c>
      <c r="E6918">
        <v>2018</v>
      </c>
      <c r="F6918" t="s">
        <v>71</v>
      </c>
    </row>
    <row r="6919" spans="1:6" x14ac:dyDescent="0.25">
      <c r="A6919" t="s">
        <v>10</v>
      </c>
      <c r="B6919" t="s">
        <v>11</v>
      </c>
      <c r="C6919" t="s">
        <v>63</v>
      </c>
      <c r="D6919">
        <v>170834.68</v>
      </c>
      <c r="E6919">
        <v>2018</v>
      </c>
      <c r="F6919" t="s">
        <v>71</v>
      </c>
    </row>
    <row r="6920" spans="1:6" x14ac:dyDescent="0.25">
      <c r="A6920" t="s">
        <v>12</v>
      </c>
      <c r="B6920" t="s">
        <v>13</v>
      </c>
      <c r="C6920" t="s">
        <v>63</v>
      </c>
      <c r="D6920">
        <v>22389.85</v>
      </c>
      <c r="E6920">
        <v>2018</v>
      </c>
      <c r="F6920" t="s">
        <v>71</v>
      </c>
    </row>
    <row r="6921" spans="1:6" x14ac:dyDescent="0.25">
      <c r="A6921" t="s">
        <v>14</v>
      </c>
      <c r="B6921" t="s">
        <v>15</v>
      </c>
      <c r="C6921" t="s">
        <v>63</v>
      </c>
      <c r="D6921">
        <v>3776.61</v>
      </c>
      <c r="E6921">
        <v>2018</v>
      </c>
      <c r="F6921" t="s">
        <v>71</v>
      </c>
    </row>
    <row r="6922" spans="1:6" x14ac:dyDescent="0.25">
      <c r="A6922" t="s">
        <v>16</v>
      </c>
      <c r="B6922" t="s">
        <v>17</v>
      </c>
      <c r="C6922" t="s">
        <v>63</v>
      </c>
      <c r="D6922">
        <v>11641.17</v>
      </c>
      <c r="E6922">
        <v>2018</v>
      </c>
      <c r="F6922" t="s">
        <v>71</v>
      </c>
    </row>
    <row r="6923" spans="1:6" x14ac:dyDescent="0.25">
      <c r="A6923" t="s">
        <v>18</v>
      </c>
      <c r="B6923" t="s">
        <v>19</v>
      </c>
      <c r="C6923" t="s">
        <v>63</v>
      </c>
      <c r="D6923">
        <v>10167.35</v>
      </c>
      <c r="E6923">
        <v>2018</v>
      </c>
      <c r="F6923" t="s">
        <v>71</v>
      </c>
    </row>
    <row r="6924" spans="1:6" x14ac:dyDescent="0.25">
      <c r="A6924" t="s">
        <v>20</v>
      </c>
      <c r="B6924" t="s">
        <v>21</v>
      </c>
      <c r="C6924" t="s">
        <v>63</v>
      </c>
      <c r="D6924">
        <v>9485.23</v>
      </c>
      <c r="E6924">
        <v>2018</v>
      </c>
      <c r="F6924" t="s">
        <v>71</v>
      </c>
    </row>
    <row r="6925" spans="1:6" x14ac:dyDescent="0.25">
      <c r="A6925" t="s">
        <v>22</v>
      </c>
      <c r="B6925" t="s">
        <v>23</v>
      </c>
      <c r="C6925" t="s">
        <v>63</v>
      </c>
      <c r="D6925">
        <v>6855.93</v>
      </c>
      <c r="E6925">
        <v>2018</v>
      </c>
      <c r="F6925" t="s">
        <v>71</v>
      </c>
    </row>
    <row r="6926" spans="1:6" x14ac:dyDescent="0.25">
      <c r="A6926" t="s">
        <v>24</v>
      </c>
      <c r="B6926" t="s">
        <v>25</v>
      </c>
      <c r="C6926" t="s">
        <v>63</v>
      </c>
      <c r="D6926">
        <v>28771.74</v>
      </c>
      <c r="E6926">
        <v>2018</v>
      </c>
      <c r="F6926" t="s">
        <v>71</v>
      </c>
    </row>
    <row r="6927" spans="1:6" x14ac:dyDescent="0.25">
      <c r="A6927" t="s">
        <v>26</v>
      </c>
      <c r="B6927" t="s">
        <v>27</v>
      </c>
      <c r="C6927" t="s">
        <v>63</v>
      </c>
      <c r="D6927">
        <v>2871.31</v>
      </c>
      <c r="E6927">
        <v>2018</v>
      </c>
      <c r="F6927" t="s">
        <v>71</v>
      </c>
    </row>
    <row r="6928" spans="1:6" x14ac:dyDescent="0.25">
      <c r="A6928" t="s">
        <v>28</v>
      </c>
      <c r="B6928" t="s">
        <v>29</v>
      </c>
      <c r="C6928" t="s">
        <v>63</v>
      </c>
      <c r="D6928">
        <v>77383.88</v>
      </c>
      <c r="E6928">
        <v>2018</v>
      </c>
      <c r="F6928" t="s">
        <v>71</v>
      </c>
    </row>
    <row r="6929" spans="1:6" x14ac:dyDescent="0.25">
      <c r="A6929" t="s">
        <v>30</v>
      </c>
      <c r="B6929" t="s">
        <v>31</v>
      </c>
      <c r="C6929" t="s">
        <v>63</v>
      </c>
      <c r="D6929">
        <v>95503.02</v>
      </c>
      <c r="E6929">
        <v>2018</v>
      </c>
      <c r="F6929" t="s">
        <v>71</v>
      </c>
    </row>
    <row r="6930" spans="1:6" x14ac:dyDescent="0.25">
      <c r="A6930" t="s">
        <v>32</v>
      </c>
      <c r="B6930" t="s">
        <v>33</v>
      </c>
      <c r="C6930" t="s">
        <v>63</v>
      </c>
      <c r="D6930">
        <v>16929.87</v>
      </c>
      <c r="E6930">
        <v>2018</v>
      </c>
      <c r="F6930" t="s">
        <v>71</v>
      </c>
    </row>
    <row r="6931" spans="1:6" x14ac:dyDescent="0.25">
      <c r="A6931" t="s">
        <v>34</v>
      </c>
      <c r="B6931" t="s">
        <v>35</v>
      </c>
      <c r="C6931" t="s">
        <v>63</v>
      </c>
      <c r="D6931">
        <v>27128.09</v>
      </c>
      <c r="E6931">
        <v>2018</v>
      </c>
      <c r="F6931" t="s">
        <v>71</v>
      </c>
    </row>
    <row r="6932" spans="1:6" x14ac:dyDescent="0.25">
      <c r="A6932" t="s">
        <v>36</v>
      </c>
      <c r="B6932" t="s">
        <v>37</v>
      </c>
      <c r="C6932" t="s">
        <v>63</v>
      </c>
      <c r="D6932">
        <v>19810.2</v>
      </c>
      <c r="E6932">
        <v>2018</v>
      </c>
      <c r="F6932" t="s">
        <v>71</v>
      </c>
    </row>
    <row r="6933" spans="1:6" x14ac:dyDescent="0.25">
      <c r="A6933" t="s">
        <v>38</v>
      </c>
      <c r="B6933" t="s">
        <v>39</v>
      </c>
      <c r="C6933" t="s">
        <v>63</v>
      </c>
      <c r="D6933">
        <v>64046.78</v>
      </c>
      <c r="E6933">
        <v>2018</v>
      </c>
      <c r="F6933" t="s">
        <v>71</v>
      </c>
    </row>
    <row r="6934" spans="1:6" x14ac:dyDescent="0.25">
      <c r="A6934" t="s">
        <v>40</v>
      </c>
      <c r="B6934" t="s">
        <v>41</v>
      </c>
      <c r="C6934" t="s">
        <v>63</v>
      </c>
      <c r="D6934">
        <v>20420.919999999998</v>
      </c>
      <c r="E6934">
        <v>2018</v>
      </c>
      <c r="F6934" t="s">
        <v>71</v>
      </c>
    </row>
    <row r="6935" spans="1:6" x14ac:dyDescent="0.25">
      <c r="A6935" t="s">
        <v>42</v>
      </c>
      <c r="B6935" t="s">
        <v>43</v>
      </c>
      <c r="C6935" t="s">
        <v>63</v>
      </c>
      <c r="D6935">
        <v>27261.07</v>
      </c>
      <c r="E6935">
        <v>2018</v>
      </c>
      <c r="F6935" t="s">
        <v>71</v>
      </c>
    </row>
    <row r="6936" spans="1:6" x14ac:dyDescent="0.25">
      <c r="A6936" t="s">
        <v>44</v>
      </c>
      <c r="B6936" t="s">
        <v>45</v>
      </c>
      <c r="C6936" t="s">
        <v>63</v>
      </c>
      <c r="D6936">
        <v>20100.86</v>
      </c>
      <c r="E6936">
        <v>2018</v>
      </c>
      <c r="F6936" t="s">
        <v>71</v>
      </c>
    </row>
    <row r="6937" spans="1:6" x14ac:dyDescent="0.25">
      <c r="A6937" t="s">
        <v>46</v>
      </c>
      <c r="B6937" t="s">
        <v>47</v>
      </c>
      <c r="C6937" t="s">
        <v>63</v>
      </c>
      <c r="D6937">
        <v>31537.24</v>
      </c>
      <c r="E6937">
        <v>2018</v>
      </c>
      <c r="F6937" t="s">
        <v>71</v>
      </c>
    </row>
    <row r="6938" spans="1:6" x14ac:dyDescent="0.25">
      <c r="A6938" t="s">
        <v>48</v>
      </c>
      <c r="B6938" t="s">
        <v>49</v>
      </c>
      <c r="C6938" t="s">
        <v>63</v>
      </c>
      <c r="D6938">
        <v>79002.48</v>
      </c>
      <c r="E6938">
        <v>2018</v>
      </c>
      <c r="F6938" t="s">
        <v>71</v>
      </c>
    </row>
    <row r="6939" spans="1:6" x14ac:dyDescent="0.25">
      <c r="A6939" t="s">
        <v>50</v>
      </c>
      <c r="B6939" t="s">
        <v>51</v>
      </c>
      <c r="C6939" t="s">
        <v>63</v>
      </c>
      <c r="D6939">
        <v>10640.97</v>
      </c>
      <c r="E6939">
        <v>2018</v>
      </c>
      <c r="F6939" t="s">
        <v>71</v>
      </c>
    </row>
    <row r="6940" spans="1:6" x14ac:dyDescent="0.25">
      <c r="A6940" t="s">
        <v>52</v>
      </c>
      <c r="B6940" t="s">
        <v>53</v>
      </c>
      <c r="C6940" t="s">
        <v>63</v>
      </c>
      <c r="D6940">
        <v>7412.34</v>
      </c>
      <c r="E6940">
        <v>2018</v>
      </c>
      <c r="F6940" t="s">
        <v>71</v>
      </c>
    </row>
    <row r="6941" spans="1:6" x14ac:dyDescent="0.25">
      <c r="A6941" t="s">
        <v>54</v>
      </c>
      <c r="B6941" t="s">
        <v>55</v>
      </c>
      <c r="C6941" t="s">
        <v>63</v>
      </c>
      <c r="D6941">
        <v>6021.9</v>
      </c>
      <c r="E6941">
        <v>2018</v>
      </c>
      <c r="F6941" t="s">
        <v>71</v>
      </c>
    </row>
    <row r="6942" spans="1:6" x14ac:dyDescent="0.25">
      <c r="A6942" t="s">
        <v>56</v>
      </c>
      <c r="B6942" t="s">
        <v>57</v>
      </c>
      <c r="C6942" t="s">
        <v>63</v>
      </c>
      <c r="D6942">
        <v>7059.55</v>
      </c>
      <c r="E6942">
        <v>2018</v>
      </c>
      <c r="F6942" t="s">
        <v>71</v>
      </c>
    </row>
    <row r="6943" spans="1:6" x14ac:dyDescent="0.25">
      <c r="A6943" t="s">
        <v>58</v>
      </c>
      <c r="B6943" t="s">
        <v>59</v>
      </c>
      <c r="C6943" t="s">
        <v>63</v>
      </c>
      <c r="E6943">
        <v>2018</v>
      </c>
      <c r="F6943" t="s">
        <v>71</v>
      </c>
    </row>
    <row r="6944" spans="1:6" x14ac:dyDescent="0.25">
      <c r="A6944" t="s">
        <v>6</v>
      </c>
      <c r="B6944" t="s">
        <v>7</v>
      </c>
      <c r="C6944" t="s">
        <v>8</v>
      </c>
      <c r="D6944">
        <v>78094.5</v>
      </c>
      <c r="E6944">
        <v>2018</v>
      </c>
      <c r="F6944" t="s">
        <v>71</v>
      </c>
    </row>
    <row r="6945" spans="1:6" x14ac:dyDescent="0.25">
      <c r="A6945" t="s">
        <v>10</v>
      </c>
      <c r="B6945" t="s">
        <v>11</v>
      </c>
      <c r="C6945" t="s">
        <v>8</v>
      </c>
      <c r="D6945">
        <v>26189.16</v>
      </c>
      <c r="E6945">
        <v>2018</v>
      </c>
      <c r="F6945" t="s">
        <v>71</v>
      </c>
    </row>
    <row r="6946" spans="1:6" x14ac:dyDescent="0.25">
      <c r="A6946" t="s">
        <v>12</v>
      </c>
      <c r="B6946" t="s">
        <v>13</v>
      </c>
      <c r="C6946" t="s">
        <v>8</v>
      </c>
      <c r="D6946">
        <v>6861.58</v>
      </c>
      <c r="E6946">
        <v>2018</v>
      </c>
      <c r="F6946" t="s">
        <v>71</v>
      </c>
    </row>
    <row r="6947" spans="1:6" x14ac:dyDescent="0.25">
      <c r="A6947" t="s">
        <v>14</v>
      </c>
      <c r="B6947" t="s">
        <v>15</v>
      </c>
      <c r="C6947" t="s">
        <v>8</v>
      </c>
      <c r="E6947">
        <v>2018</v>
      </c>
      <c r="F6947" t="s">
        <v>71</v>
      </c>
    </row>
    <row r="6948" spans="1:6" x14ac:dyDescent="0.25">
      <c r="A6948" t="s">
        <v>16</v>
      </c>
      <c r="B6948" t="s">
        <v>17</v>
      </c>
      <c r="C6948" t="s">
        <v>8</v>
      </c>
      <c r="D6948">
        <v>385.24</v>
      </c>
      <c r="E6948">
        <v>2018</v>
      </c>
      <c r="F6948" t="s">
        <v>71</v>
      </c>
    </row>
    <row r="6949" spans="1:6" x14ac:dyDescent="0.25">
      <c r="A6949" t="s">
        <v>18</v>
      </c>
      <c r="B6949" t="s">
        <v>19</v>
      </c>
      <c r="C6949" t="s">
        <v>8</v>
      </c>
      <c r="D6949">
        <v>841.42</v>
      </c>
      <c r="E6949">
        <v>2018</v>
      </c>
      <c r="F6949" t="s">
        <v>71</v>
      </c>
    </row>
    <row r="6950" spans="1:6" x14ac:dyDescent="0.25">
      <c r="A6950" t="s">
        <v>20</v>
      </c>
      <c r="B6950" t="s">
        <v>21</v>
      </c>
      <c r="C6950" t="s">
        <v>8</v>
      </c>
      <c r="D6950">
        <v>322.47000000000003</v>
      </c>
      <c r="E6950">
        <v>2018</v>
      </c>
      <c r="F6950" t="s">
        <v>71</v>
      </c>
    </row>
    <row r="6951" spans="1:6" x14ac:dyDescent="0.25">
      <c r="A6951" t="s">
        <v>22</v>
      </c>
      <c r="B6951" t="s">
        <v>23</v>
      </c>
      <c r="C6951" t="s">
        <v>8</v>
      </c>
      <c r="D6951">
        <v>3858.62</v>
      </c>
      <c r="E6951">
        <v>2018</v>
      </c>
      <c r="F6951" t="s">
        <v>71</v>
      </c>
    </row>
    <row r="6952" spans="1:6" x14ac:dyDescent="0.25">
      <c r="A6952" t="s">
        <v>24</v>
      </c>
      <c r="B6952" t="s">
        <v>25</v>
      </c>
      <c r="C6952" t="s">
        <v>8</v>
      </c>
      <c r="D6952">
        <v>7553.67</v>
      </c>
      <c r="E6952">
        <v>2018</v>
      </c>
      <c r="F6952" t="s">
        <v>71</v>
      </c>
    </row>
    <row r="6953" spans="1:6" x14ac:dyDescent="0.25">
      <c r="A6953" t="s">
        <v>26</v>
      </c>
      <c r="B6953" t="s">
        <v>27</v>
      </c>
      <c r="C6953" t="s">
        <v>8</v>
      </c>
      <c r="D6953">
        <v>961.07</v>
      </c>
      <c r="E6953">
        <v>2018</v>
      </c>
      <c r="F6953" t="s">
        <v>71</v>
      </c>
    </row>
    <row r="6954" spans="1:6" x14ac:dyDescent="0.25">
      <c r="A6954" t="s">
        <v>28</v>
      </c>
      <c r="B6954" t="s">
        <v>29</v>
      </c>
      <c r="C6954" t="s">
        <v>8</v>
      </c>
      <c r="D6954">
        <v>24.25</v>
      </c>
      <c r="E6954">
        <v>2018</v>
      </c>
      <c r="F6954" t="s">
        <v>71</v>
      </c>
    </row>
    <row r="6955" spans="1:6" x14ac:dyDescent="0.25">
      <c r="A6955" t="s">
        <v>30</v>
      </c>
      <c r="B6955" t="s">
        <v>31</v>
      </c>
      <c r="C6955" t="s">
        <v>8</v>
      </c>
      <c r="D6955">
        <v>12400.95</v>
      </c>
      <c r="E6955">
        <v>2018</v>
      </c>
      <c r="F6955" t="s">
        <v>71</v>
      </c>
    </row>
    <row r="6956" spans="1:6" x14ac:dyDescent="0.25">
      <c r="A6956" t="s">
        <v>32</v>
      </c>
      <c r="B6956" t="s">
        <v>33</v>
      </c>
      <c r="C6956" t="s">
        <v>8</v>
      </c>
      <c r="D6956">
        <v>1313.15</v>
      </c>
      <c r="E6956">
        <v>2018</v>
      </c>
      <c r="F6956" t="s">
        <v>71</v>
      </c>
    </row>
    <row r="6957" spans="1:6" x14ac:dyDescent="0.25">
      <c r="A6957" t="s">
        <v>34</v>
      </c>
      <c r="B6957" t="s">
        <v>35</v>
      </c>
      <c r="C6957" t="s">
        <v>8</v>
      </c>
      <c r="D6957">
        <v>2946.65</v>
      </c>
      <c r="E6957">
        <v>2018</v>
      </c>
      <c r="F6957" t="s">
        <v>71</v>
      </c>
    </row>
    <row r="6958" spans="1:6" x14ac:dyDescent="0.25">
      <c r="A6958" t="s">
        <v>36</v>
      </c>
      <c r="B6958" t="s">
        <v>37</v>
      </c>
      <c r="C6958" t="s">
        <v>8</v>
      </c>
      <c r="D6958">
        <v>3528.39</v>
      </c>
      <c r="E6958">
        <v>2018</v>
      </c>
      <c r="F6958" t="s">
        <v>71</v>
      </c>
    </row>
    <row r="6959" spans="1:6" x14ac:dyDescent="0.25">
      <c r="A6959" t="s">
        <v>38</v>
      </c>
      <c r="B6959" t="s">
        <v>39</v>
      </c>
      <c r="C6959" t="s">
        <v>8</v>
      </c>
      <c r="D6959">
        <v>2159.69</v>
      </c>
      <c r="E6959">
        <v>2018</v>
      </c>
      <c r="F6959" t="s">
        <v>71</v>
      </c>
    </row>
    <row r="6960" spans="1:6" x14ac:dyDescent="0.25">
      <c r="A6960" t="s">
        <v>40</v>
      </c>
      <c r="B6960" t="s">
        <v>41</v>
      </c>
      <c r="C6960" t="s">
        <v>8</v>
      </c>
      <c r="D6960">
        <v>2815.96</v>
      </c>
      <c r="E6960">
        <v>2018</v>
      </c>
      <c r="F6960" t="s">
        <v>71</v>
      </c>
    </row>
    <row r="6961" spans="1:6" x14ac:dyDescent="0.25">
      <c r="A6961" t="s">
        <v>42</v>
      </c>
      <c r="B6961" t="s">
        <v>43</v>
      </c>
      <c r="C6961" t="s">
        <v>8</v>
      </c>
      <c r="D6961">
        <v>259.37</v>
      </c>
      <c r="E6961">
        <v>2018</v>
      </c>
      <c r="F6961" t="s">
        <v>71</v>
      </c>
    </row>
    <row r="6962" spans="1:6" x14ac:dyDescent="0.25">
      <c r="A6962" t="s">
        <v>44</v>
      </c>
      <c r="B6962" t="s">
        <v>45</v>
      </c>
      <c r="C6962" t="s">
        <v>8</v>
      </c>
      <c r="D6962">
        <v>631.92999999999995</v>
      </c>
      <c r="E6962">
        <v>2018</v>
      </c>
      <c r="F6962" t="s">
        <v>71</v>
      </c>
    </row>
    <row r="6963" spans="1:6" x14ac:dyDescent="0.25">
      <c r="A6963" t="s">
        <v>46</v>
      </c>
      <c r="B6963" t="s">
        <v>47</v>
      </c>
      <c r="C6963" t="s">
        <v>8</v>
      </c>
      <c r="D6963">
        <v>2438.04</v>
      </c>
      <c r="E6963">
        <v>2018</v>
      </c>
      <c r="F6963" t="s">
        <v>71</v>
      </c>
    </row>
    <row r="6964" spans="1:6" x14ac:dyDescent="0.25">
      <c r="A6964" t="s">
        <v>48</v>
      </c>
      <c r="B6964" t="s">
        <v>49</v>
      </c>
      <c r="C6964" t="s">
        <v>8</v>
      </c>
      <c r="D6964">
        <v>342.88</v>
      </c>
      <c r="E6964">
        <v>2018</v>
      </c>
      <c r="F6964" t="s">
        <v>71</v>
      </c>
    </row>
    <row r="6965" spans="1:6" x14ac:dyDescent="0.25">
      <c r="A6965" t="s">
        <v>50</v>
      </c>
      <c r="B6965" t="s">
        <v>51</v>
      </c>
      <c r="C6965" t="s">
        <v>8</v>
      </c>
      <c r="D6965">
        <v>87.91</v>
      </c>
      <c r="E6965">
        <v>2018</v>
      </c>
      <c r="F6965" t="s">
        <v>71</v>
      </c>
    </row>
    <row r="6966" spans="1:6" x14ac:dyDescent="0.25">
      <c r="A6966" t="s">
        <v>52</v>
      </c>
      <c r="B6966" t="s">
        <v>53</v>
      </c>
      <c r="C6966" t="s">
        <v>8</v>
      </c>
      <c r="D6966">
        <v>629.33000000000004</v>
      </c>
      <c r="E6966">
        <v>2018</v>
      </c>
      <c r="F6966" t="s">
        <v>71</v>
      </c>
    </row>
    <row r="6967" spans="1:6" x14ac:dyDescent="0.25">
      <c r="A6967" t="s">
        <v>54</v>
      </c>
      <c r="B6967" t="s">
        <v>55</v>
      </c>
      <c r="C6967" t="s">
        <v>8</v>
      </c>
      <c r="D6967">
        <v>83.29</v>
      </c>
      <c r="E6967">
        <v>2018</v>
      </c>
      <c r="F6967" t="s">
        <v>71</v>
      </c>
    </row>
    <row r="6968" spans="1:6" x14ac:dyDescent="0.25">
      <c r="A6968" t="s">
        <v>56</v>
      </c>
      <c r="B6968" t="s">
        <v>57</v>
      </c>
      <c r="C6968" t="s">
        <v>8</v>
      </c>
      <c r="D6968">
        <v>1425.54</v>
      </c>
      <c r="E6968">
        <v>2018</v>
      </c>
      <c r="F6968" t="s">
        <v>71</v>
      </c>
    </row>
    <row r="6969" spans="1:6" x14ac:dyDescent="0.25">
      <c r="A6969" t="s">
        <v>58</v>
      </c>
      <c r="B6969" t="s">
        <v>59</v>
      </c>
      <c r="C6969" t="s">
        <v>8</v>
      </c>
      <c r="D6969">
        <v>33.94</v>
      </c>
      <c r="E6969">
        <v>2018</v>
      </c>
      <c r="F6969" t="s">
        <v>71</v>
      </c>
    </row>
    <row r="6970" spans="1:6" x14ac:dyDescent="0.25">
      <c r="A6970" t="s">
        <v>6</v>
      </c>
      <c r="B6970" t="s">
        <v>7</v>
      </c>
      <c r="C6970" t="s">
        <v>60</v>
      </c>
      <c r="D6970">
        <v>74494.45</v>
      </c>
      <c r="E6970">
        <v>2018</v>
      </c>
      <c r="F6970" t="s">
        <v>71</v>
      </c>
    </row>
    <row r="6971" spans="1:6" x14ac:dyDescent="0.25">
      <c r="A6971" t="s">
        <v>10</v>
      </c>
      <c r="B6971" t="s">
        <v>11</v>
      </c>
      <c r="C6971" t="s">
        <v>60</v>
      </c>
      <c r="D6971">
        <v>18437.25</v>
      </c>
      <c r="E6971">
        <v>2018</v>
      </c>
      <c r="F6971" t="s">
        <v>71</v>
      </c>
    </row>
    <row r="6972" spans="1:6" x14ac:dyDescent="0.25">
      <c r="A6972" t="s">
        <v>12</v>
      </c>
      <c r="B6972" t="s">
        <v>13</v>
      </c>
      <c r="C6972" t="s">
        <v>60</v>
      </c>
      <c r="D6972">
        <v>2066.13</v>
      </c>
      <c r="E6972">
        <v>2018</v>
      </c>
      <c r="F6972" t="s">
        <v>71</v>
      </c>
    </row>
    <row r="6973" spans="1:6" x14ac:dyDescent="0.25">
      <c r="A6973" t="s">
        <v>14</v>
      </c>
      <c r="B6973" t="s">
        <v>15</v>
      </c>
      <c r="C6973" t="s">
        <v>60</v>
      </c>
      <c r="E6973">
        <v>2018</v>
      </c>
      <c r="F6973" t="s">
        <v>71</v>
      </c>
    </row>
    <row r="6974" spans="1:6" x14ac:dyDescent="0.25">
      <c r="A6974" t="s">
        <v>16</v>
      </c>
      <c r="B6974" t="s">
        <v>17</v>
      </c>
      <c r="C6974" t="s">
        <v>60</v>
      </c>
      <c r="D6974">
        <v>1268.02</v>
      </c>
      <c r="E6974">
        <v>2018</v>
      </c>
      <c r="F6974" t="s">
        <v>71</v>
      </c>
    </row>
    <row r="6975" spans="1:6" x14ac:dyDescent="0.25">
      <c r="A6975" t="s">
        <v>18</v>
      </c>
      <c r="B6975" t="s">
        <v>19</v>
      </c>
      <c r="C6975" t="s">
        <v>60</v>
      </c>
      <c r="D6975">
        <v>2467.17</v>
      </c>
      <c r="E6975">
        <v>2018</v>
      </c>
      <c r="F6975" t="s">
        <v>71</v>
      </c>
    </row>
    <row r="6976" spans="1:6" x14ac:dyDescent="0.25">
      <c r="A6976" t="s">
        <v>20</v>
      </c>
      <c r="B6976" t="s">
        <v>21</v>
      </c>
      <c r="C6976" t="s">
        <v>60</v>
      </c>
      <c r="D6976">
        <v>462.74</v>
      </c>
      <c r="E6976">
        <v>2018</v>
      </c>
      <c r="F6976" t="s">
        <v>71</v>
      </c>
    </row>
    <row r="6977" spans="1:6" x14ac:dyDescent="0.25">
      <c r="A6977" t="s">
        <v>22</v>
      </c>
      <c r="B6977" t="s">
        <v>23</v>
      </c>
      <c r="C6977" t="s">
        <v>60</v>
      </c>
      <c r="D6977">
        <v>311.3</v>
      </c>
      <c r="E6977">
        <v>2018</v>
      </c>
      <c r="F6977" t="s">
        <v>71</v>
      </c>
    </row>
    <row r="6978" spans="1:6" x14ac:dyDescent="0.25">
      <c r="A6978" t="s">
        <v>24</v>
      </c>
      <c r="B6978" t="s">
        <v>25</v>
      </c>
      <c r="C6978" t="s">
        <v>60</v>
      </c>
      <c r="D6978">
        <v>2845.58</v>
      </c>
      <c r="E6978">
        <v>2018</v>
      </c>
      <c r="F6978" t="s">
        <v>71</v>
      </c>
    </row>
    <row r="6979" spans="1:6" x14ac:dyDescent="0.25">
      <c r="A6979" t="s">
        <v>26</v>
      </c>
      <c r="B6979" t="s">
        <v>27</v>
      </c>
      <c r="C6979" t="s">
        <v>60</v>
      </c>
      <c r="D6979">
        <v>844.27</v>
      </c>
      <c r="E6979">
        <v>2018</v>
      </c>
      <c r="F6979" t="s">
        <v>71</v>
      </c>
    </row>
    <row r="6980" spans="1:6" x14ac:dyDescent="0.25">
      <c r="A6980" t="s">
        <v>28</v>
      </c>
      <c r="B6980" t="s">
        <v>29</v>
      </c>
      <c r="C6980" t="s">
        <v>60</v>
      </c>
      <c r="D6980">
        <v>11217.44</v>
      </c>
      <c r="E6980">
        <v>2018</v>
      </c>
      <c r="F6980" t="s">
        <v>71</v>
      </c>
    </row>
    <row r="6981" spans="1:6" x14ac:dyDescent="0.25">
      <c r="A6981" t="s">
        <v>30</v>
      </c>
      <c r="B6981" t="s">
        <v>31</v>
      </c>
      <c r="C6981" t="s">
        <v>60</v>
      </c>
      <c r="D6981">
        <v>7628.16</v>
      </c>
      <c r="E6981">
        <v>2018</v>
      </c>
      <c r="F6981" t="s">
        <v>71</v>
      </c>
    </row>
    <row r="6982" spans="1:6" x14ac:dyDescent="0.25">
      <c r="A6982" t="s">
        <v>32</v>
      </c>
      <c r="B6982" t="s">
        <v>33</v>
      </c>
      <c r="C6982" t="s">
        <v>60</v>
      </c>
      <c r="D6982">
        <v>1900.31</v>
      </c>
      <c r="E6982">
        <v>2018</v>
      </c>
      <c r="F6982" t="s">
        <v>71</v>
      </c>
    </row>
    <row r="6983" spans="1:6" x14ac:dyDescent="0.25">
      <c r="A6983" t="s">
        <v>34</v>
      </c>
      <c r="B6983" t="s">
        <v>35</v>
      </c>
      <c r="C6983" t="s">
        <v>60</v>
      </c>
      <c r="D6983">
        <v>2936.48</v>
      </c>
      <c r="E6983">
        <v>2018</v>
      </c>
      <c r="F6983" t="s">
        <v>71</v>
      </c>
    </row>
    <row r="6984" spans="1:6" x14ac:dyDescent="0.25">
      <c r="A6984" t="s">
        <v>36</v>
      </c>
      <c r="B6984" t="s">
        <v>37</v>
      </c>
      <c r="C6984" t="s">
        <v>60</v>
      </c>
      <c r="D6984">
        <v>3488.32</v>
      </c>
      <c r="E6984">
        <v>2018</v>
      </c>
      <c r="F6984" t="s">
        <v>71</v>
      </c>
    </row>
    <row r="6985" spans="1:6" x14ac:dyDescent="0.25">
      <c r="A6985" t="s">
        <v>38</v>
      </c>
      <c r="B6985" t="s">
        <v>39</v>
      </c>
      <c r="C6985" t="s">
        <v>60</v>
      </c>
      <c r="D6985">
        <v>2831.69</v>
      </c>
      <c r="E6985">
        <v>2018</v>
      </c>
      <c r="F6985" t="s">
        <v>71</v>
      </c>
    </row>
    <row r="6986" spans="1:6" x14ac:dyDescent="0.25">
      <c r="A6986" t="s">
        <v>40</v>
      </c>
      <c r="B6986" t="s">
        <v>41</v>
      </c>
      <c r="C6986" t="s">
        <v>60</v>
      </c>
      <c r="D6986">
        <v>1650.76</v>
      </c>
      <c r="E6986">
        <v>2018</v>
      </c>
      <c r="F6986" t="s">
        <v>71</v>
      </c>
    </row>
    <row r="6987" spans="1:6" x14ac:dyDescent="0.25">
      <c r="A6987" t="s">
        <v>42</v>
      </c>
      <c r="B6987" t="s">
        <v>43</v>
      </c>
      <c r="C6987" t="s">
        <v>60</v>
      </c>
      <c r="E6987">
        <v>2018</v>
      </c>
      <c r="F6987" t="s">
        <v>71</v>
      </c>
    </row>
    <row r="6988" spans="1:6" x14ac:dyDescent="0.25">
      <c r="A6988" t="s">
        <v>44</v>
      </c>
      <c r="B6988" t="s">
        <v>45</v>
      </c>
      <c r="C6988" t="s">
        <v>60</v>
      </c>
      <c r="D6988">
        <v>1514.94</v>
      </c>
      <c r="E6988">
        <v>2018</v>
      </c>
      <c r="F6988" t="s">
        <v>71</v>
      </c>
    </row>
    <row r="6989" spans="1:6" x14ac:dyDescent="0.25">
      <c r="A6989" t="s">
        <v>46</v>
      </c>
      <c r="B6989" t="s">
        <v>47</v>
      </c>
      <c r="C6989" t="s">
        <v>60</v>
      </c>
      <c r="D6989">
        <v>604.1</v>
      </c>
      <c r="E6989">
        <v>2018</v>
      </c>
      <c r="F6989" t="s">
        <v>71</v>
      </c>
    </row>
    <row r="6990" spans="1:6" x14ac:dyDescent="0.25">
      <c r="A6990" t="s">
        <v>48</v>
      </c>
      <c r="B6990" t="s">
        <v>49</v>
      </c>
      <c r="C6990" t="s">
        <v>60</v>
      </c>
      <c r="D6990">
        <v>1038.8</v>
      </c>
      <c r="E6990">
        <v>2018</v>
      </c>
      <c r="F6990" t="s">
        <v>71</v>
      </c>
    </row>
    <row r="6991" spans="1:6" x14ac:dyDescent="0.25">
      <c r="A6991" t="s">
        <v>50</v>
      </c>
      <c r="B6991" t="s">
        <v>51</v>
      </c>
      <c r="C6991" t="s">
        <v>60</v>
      </c>
      <c r="D6991">
        <v>672.35</v>
      </c>
      <c r="E6991">
        <v>2018</v>
      </c>
      <c r="F6991" t="s">
        <v>71</v>
      </c>
    </row>
    <row r="6992" spans="1:6" x14ac:dyDescent="0.25">
      <c r="A6992" t="s">
        <v>52</v>
      </c>
      <c r="B6992" t="s">
        <v>53</v>
      </c>
      <c r="C6992" t="s">
        <v>60</v>
      </c>
      <c r="D6992">
        <v>703.25</v>
      </c>
      <c r="E6992">
        <v>2018</v>
      </c>
      <c r="F6992" t="s">
        <v>71</v>
      </c>
    </row>
    <row r="6993" spans="1:6" x14ac:dyDescent="0.25">
      <c r="A6993" t="s">
        <v>54</v>
      </c>
      <c r="B6993" t="s">
        <v>55</v>
      </c>
      <c r="C6993" t="s">
        <v>60</v>
      </c>
      <c r="D6993">
        <v>9605.39</v>
      </c>
      <c r="E6993">
        <v>2018</v>
      </c>
      <c r="F6993" t="s">
        <v>71</v>
      </c>
    </row>
    <row r="6994" spans="1:6" x14ac:dyDescent="0.25">
      <c r="A6994" t="s">
        <v>56</v>
      </c>
      <c r="B6994" t="s">
        <v>57</v>
      </c>
      <c r="C6994" t="s">
        <v>60</v>
      </c>
      <c r="E6994">
        <v>2018</v>
      </c>
      <c r="F6994" t="s">
        <v>71</v>
      </c>
    </row>
    <row r="6995" spans="1:6" x14ac:dyDescent="0.25">
      <c r="A6995" t="s">
        <v>58</v>
      </c>
      <c r="B6995" t="s">
        <v>59</v>
      </c>
      <c r="C6995" t="s">
        <v>60</v>
      </c>
      <c r="E6995">
        <v>2018</v>
      </c>
      <c r="F6995" t="s">
        <v>71</v>
      </c>
    </row>
    <row r="6996" spans="1:6" x14ac:dyDescent="0.25">
      <c r="A6996" t="s">
        <v>6</v>
      </c>
      <c r="B6996" t="s">
        <v>7</v>
      </c>
      <c r="C6996" t="s">
        <v>61</v>
      </c>
      <c r="D6996">
        <v>28425.919999999998</v>
      </c>
      <c r="E6996">
        <v>2018</v>
      </c>
      <c r="F6996" t="s">
        <v>71</v>
      </c>
    </row>
    <row r="6997" spans="1:6" x14ac:dyDescent="0.25">
      <c r="A6997" t="s">
        <v>10</v>
      </c>
      <c r="B6997" t="s">
        <v>11</v>
      </c>
      <c r="C6997" t="s">
        <v>61</v>
      </c>
      <c r="D6997">
        <v>13320.2</v>
      </c>
      <c r="E6997">
        <v>2018</v>
      </c>
      <c r="F6997" t="s">
        <v>71</v>
      </c>
    </row>
    <row r="6998" spans="1:6" x14ac:dyDescent="0.25">
      <c r="A6998" t="s">
        <v>12</v>
      </c>
      <c r="B6998" t="s">
        <v>13</v>
      </c>
      <c r="C6998" t="s">
        <v>61</v>
      </c>
      <c r="D6998">
        <v>1478.93</v>
      </c>
      <c r="E6998">
        <v>2018</v>
      </c>
      <c r="F6998" t="s">
        <v>71</v>
      </c>
    </row>
    <row r="6999" spans="1:6" x14ac:dyDescent="0.25">
      <c r="A6999" t="s">
        <v>14</v>
      </c>
      <c r="B6999" t="s">
        <v>15</v>
      </c>
      <c r="C6999" t="s">
        <v>61</v>
      </c>
      <c r="D6999">
        <v>28.38</v>
      </c>
      <c r="E6999">
        <v>2018</v>
      </c>
      <c r="F6999" t="s">
        <v>71</v>
      </c>
    </row>
    <row r="7000" spans="1:6" x14ac:dyDescent="0.25">
      <c r="A7000" t="s">
        <v>16</v>
      </c>
      <c r="B7000" t="s">
        <v>17</v>
      </c>
      <c r="C7000" t="s">
        <v>61</v>
      </c>
      <c r="D7000">
        <v>581.02</v>
      </c>
      <c r="E7000">
        <v>2018</v>
      </c>
      <c r="F7000" t="s">
        <v>71</v>
      </c>
    </row>
    <row r="7001" spans="1:6" x14ac:dyDescent="0.25">
      <c r="A7001" t="s">
        <v>18</v>
      </c>
      <c r="B7001" t="s">
        <v>19</v>
      </c>
      <c r="C7001" t="s">
        <v>61</v>
      </c>
      <c r="D7001">
        <v>434.88</v>
      </c>
      <c r="E7001">
        <v>2018</v>
      </c>
      <c r="F7001" t="s">
        <v>71</v>
      </c>
    </row>
    <row r="7002" spans="1:6" x14ac:dyDescent="0.25">
      <c r="A7002" t="s">
        <v>20</v>
      </c>
      <c r="B7002" t="s">
        <v>21</v>
      </c>
      <c r="C7002" t="s">
        <v>61</v>
      </c>
      <c r="D7002">
        <v>130.06</v>
      </c>
      <c r="E7002">
        <v>2018</v>
      </c>
      <c r="F7002" t="s">
        <v>71</v>
      </c>
    </row>
    <row r="7003" spans="1:6" x14ac:dyDescent="0.25">
      <c r="A7003" t="s">
        <v>22</v>
      </c>
      <c r="B7003" t="s">
        <v>23</v>
      </c>
      <c r="C7003" t="s">
        <v>61</v>
      </c>
      <c r="D7003">
        <v>445.98</v>
      </c>
      <c r="E7003">
        <v>2018</v>
      </c>
      <c r="F7003" t="s">
        <v>71</v>
      </c>
    </row>
    <row r="7004" spans="1:6" x14ac:dyDescent="0.25">
      <c r="A7004" t="s">
        <v>24</v>
      </c>
      <c r="B7004" t="s">
        <v>25</v>
      </c>
      <c r="C7004" t="s">
        <v>61</v>
      </c>
      <c r="D7004">
        <v>1629.39</v>
      </c>
      <c r="E7004">
        <v>2018</v>
      </c>
      <c r="F7004" t="s">
        <v>71</v>
      </c>
    </row>
    <row r="7005" spans="1:6" x14ac:dyDescent="0.25">
      <c r="A7005" t="s">
        <v>26</v>
      </c>
      <c r="B7005" t="s">
        <v>27</v>
      </c>
      <c r="C7005" t="s">
        <v>61</v>
      </c>
      <c r="D7005">
        <v>299.02999999999997</v>
      </c>
      <c r="E7005">
        <v>2018</v>
      </c>
      <c r="F7005" t="s">
        <v>71</v>
      </c>
    </row>
    <row r="7006" spans="1:6" x14ac:dyDescent="0.25">
      <c r="A7006" t="s">
        <v>28</v>
      </c>
      <c r="B7006" t="s">
        <v>29</v>
      </c>
      <c r="C7006" t="s">
        <v>61</v>
      </c>
      <c r="D7006">
        <v>159.71</v>
      </c>
      <c r="E7006">
        <v>2018</v>
      </c>
      <c r="F7006" t="s">
        <v>71</v>
      </c>
    </row>
    <row r="7007" spans="1:6" x14ac:dyDescent="0.25">
      <c r="A7007" t="s">
        <v>30</v>
      </c>
      <c r="B7007" t="s">
        <v>31</v>
      </c>
      <c r="C7007" t="s">
        <v>61</v>
      </c>
      <c r="D7007">
        <v>1554.85</v>
      </c>
      <c r="E7007">
        <v>2018</v>
      </c>
      <c r="F7007" t="s">
        <v>71</v>
      </c>
    </row>
    <row r="7008" spans="1:6" x14ac:dyDescent="0.25">
      <c r="A7008" t="s">
        <v>32</v>
      </c>
      <c r="B7008" t="s">
        <v>33</v>
      </c>
      <c r="C7008" t="s">
        <v>61</v>
      </c>
      <c r="D7008">
        <v>527.09</v>
      </c>
      <c r="E7008">
        <v>2018</v>
      </c>
      <c r="F7008" t="s">
        <v>71</v>
      </c>
    </row>
    <row r="7009" spans="1:6" x14ac:dyDescent="0.25">
      <c r="A7009" t="s">
        <v>34</v>
      </c>
      <c r="B7009" t="s">
        <v>35</v>
      </c>
      <c r="C7009" t="s">
        <v>61</v>
      </c>
      <c r="D7009">
        <v>1562.87</v>
      </c>
      <c r="E7009">
        <v>2018</v>
      </c>
      <c r="F7009" t="s">
        <v>71</v>
      </c>
    </row>
    <row r="7010" spans="1:6" x14ac:dyDescent="0.25">
      <c r="A7010" t="s">
        <v>36</v>
      </c>
      <c r="B7010" t="s">
        <v>37</v>
      </c>
      <c r="C7010" t="s">
        <v>61</v>
      </c>
      <c r="D7010">
        <v>1538.44</v>
      </c>
      <c r="E7010">
        <v>2018</v>
      </c>
      <c r="F7010" t="s">
        <v>71</v>
      </c>
    </row>
    <row r="7011" spans="1:6" x14ac:dyDescent="0.25">
      <c r="A7011" t="s">
        <v>38</v>
      </c>
      <c r="B7011" t="s">
        <v>39</v>
      </c>
      <c r="C7011" t="s">
        <v>61</v>
      </c>
      <c r="D7011">
        <v>1356.54</v>
      </c>
      <c r="E7011">
        <v>2018</v>
      </c>
      <c r="F7011" t="s">
        <v>71</v>
      </c>
    </row>
    <row r="7012" spans="1:6" x14ac:dyDescent="0.25">
      <c r="A7012" t="s">
        <v>40</v>
      </c>
      <c r="B7012" t="s">
        <v>41</v>
      </c>
      <c r="C7012" t="s">
        <v>61</v>
      </c>
      <c r="D7012">
        <v>698.8</v>
      </c>
      <c r="E7012">
        <v>2018</v>
      </c>
      <c r="F7012" t="s">
        <v>71</v>
      </c>
    </row>
    <row r="7013" spans="1:6" x14ac:dyDescent="0.25">
      <c r="A7013" t="s">
        <v>42</v>
      </c>
      <c r="B7013" t="s">
        <v>43</v>
      </c>
      <c r="C7013" t="s">
        <v>61</v>
      </c>
      <c r="D7013">
        <v>355.98</v>
      </c>
      <c r="E7013">
        <v>2018</v>
      </c>
      <c r="F7013" t="s">
        <v>71</v>
      </c>
    </row>
    <row r="7014" spans="1:6" x14ac:dyDescent="0.25">
      <c r="A7014" t="s">
        <v>44</v>
      </c>
      <c r="B7014" t="s">
        <v>45</v>
      </c>
      <c r="C7014" t="s">
        <v>61</v>
      </c>
      <c r="D7014">
        <v>577.91999999999996</v>
      </c>
      <c r="E7014">
        <v>2018</v>
      </c>
      <c r="F7014" t="s">
        <v>71</v>
      </c>
    </row>
    <row r="7015" spans="1:6" x14ac:dyDescent="0.25">
      <c r="A7015" t="s">
        <v>46</v>
      </c>
      <c r="B7015" t="s">
        <v>47</v>
      </c>
      <c r="C7015" t="s">
        <v>61</v>
      </c>
      <c r="D7015">
        <v>110.98</v>
      </c>
      <c r="E7015">
        <v>2018</v>
      </c>
      <c r="F7015" t="s">
        <v>71</v>
      </c>
    </row>
    <row r="7016" spans="1:6" x14ac:dyDescent="0.25">
      <c r="A7016" t="s">
        <v>48</v>
      </c>
      <c r="B7016" t="s">
        <v>49</v>
      </c>
      <c r="C7016" t="s">
        <v>61</v>
      </c>
      <c r="D7016">
        <v>722.92</v>
      </c>
      <c r="E7016">
        <v>2018</v>
      </c>
      <c r="F7016" t="s">
        <v>71</v>
      </c>
    </row>
    <row r="7017" spans="1:6" x14ac:dyDescent="0.25">
      <c r="A7017" t="s">
        <v>50</v>
      </c>
      <c r="B7017" t="s">
        <v>51</v>
      </c>
      <c r="C7017" t="s">
        <v>61</v>
      </c>
      <c r="D7017">
        <v>268.22000000000003</v>
      </c>
      <c r="E7017">
        <v>2018</v>
      </c>
      <c r="F7017" t="s">
        <v>71</v>
      </c>
    </row>
    <row r="7018" spans="1:6" x14ac:dyDescent="0.25">
      <c r="A7018" t="s">
        <v>52</v>
      </c>
      <c r="B7018" t="s">
        <v>53</v>
      </c>
      <c r="C7018" t="s">
        <v>61</v>
      </c>
      <c r="D7018">
        <v>320.39</v>
      </c>
      <c r="E7018">
        <v>2018</v>
      </c>
      <c r="F7018" t="s">
        <v>71</v>
      </c>
    </row>
    <row r="7019" spans="1:6" x14ac:dyDescent="0.25">
      <c r="A7019" t="s">
        <v>54</v>
      </c>
      <c r="B7019" t="s">
        <v>55</v>
      </c>
      <c r="C7019" t="s">
        <v>61</v>
      </c>
      <c r="D7019">
        <v>153.08000000000001</v>
      </c>
      <c r="E7019">
        <v>2018</v>
      </c>
      <c r="F7019" t="s">
        <v>71</v>
      </c>
    </row>
    <row r="7020" spans="1:6" x14ac:dyDescent="0.25">
      <c r="A7020" t="s">
        <v>56</v>
      </c>
      <c r="B7020" t="s">
        <v>57</v>
      </c>
      <c r="C7020" t="s">
        <v>61</v>
      </c>
      <c r="D7020">
        <v>170.26</v>
      </c>
      <c r="E7020">
        <v>2018</v>
      </c>
      <c r="F7020" t="s">
        <v>71</v>
      </c>
    </row>
    <row r="7021" spans="1:6" x14ac:dyDescent="0.25">
      <c r="A7021" t="s">
        <v>58</v>
      </c>
      <c r="B7021" t="s">
        <v>59</v>
      </c>
      <c r="C7021" t="s">
        <v>61</v>
      </c>
      <c r="E7021">
        <v>2018</v>
      </c>
      <c r="F7021" t="s">
        <v>71</v>
      </c>
    </row>
    <row r="7022" spans="1:6" x14ac:dyDescent="0.25">
      <c r="A7022" t="s">
        <v>6</v>
      </c>
      <c r="B7022" t="s">
        <v>7</v>
      </c>
      <c r="C7022" t="s">
        <v>65</v>
      </c>
      <c r="D7022">
        <v>479658.58</v>
      </c>
      <c r="E7022">
        <v>2018</v>
      </c>
      <c r="F7022" t="s">
        <v>71</v>
      </c>
    </row>
    <row r="7023" spans="1:6" x14ac:dyDescent="0.25">
      <c r="A7023" t="s">
        <v>10</v>
      </c>
      <c r="B7023" t="s">
        <v>11</v>
      </c>
      <c r="C7023" t="s">
        <v>65</v>
      </c>
      <c r="D7023">
        <v>65436.31</v>
      </c>
      <c r="E7023">
        <v>2018</v>
      </c>
      <c r="F7023" t="s">
        <v>71</v>
      </c>
    </row>
    <row r="7024" spans="1:6" x14ac:dyDescent="0.25">
      <c r="A7024" t="s">
        <v>12</v>
      </c>
      <c r="B7024" t="s">
        <v>13</v>
      </c>
      <c r="C7024" t="s">
        <v>65</v>
      </c>
      <c r="D7024">
        <v>24258.48</v>
      </c>
      <c r="E7024">
        <v>2018</v>
      </c>
      <c r="F7024" t="s">
        <v>71</v>
      </c>
    </row>
    <row r="7025" spans="1:6" x14ac:dyDescent="0.25">
      <c r="A7025" t="s">
        <v>14</v>
      </c>
      <c r="B7025" t="s">
        <v>15</v>
      </c>
      <c r="C7025" t="s">
        <v>65</v>
      </c>
      <c r="D7025">
        <v>982.14</v>
      </c>
      <c r="E7025">
        <v>2018</v>
      </c>
      <c r="F7025" t="s">
        <v>71</v>
      </c>
    </row>
    <row r="7026" spans="1:6" x14ac:dyDescent="0.25">
      <c r="A7026" t="s">
        <v>16</v>
      </c>
      <c r="B7026" t="s">
        <v>17</v>
      </c>
      <c r="C7026" t="s">
        <v>65</v>
      </c>
      <c r="D7026">
        <v>14498.44</v>
      </c>
      <c r="E7026">
        <v>2018</v>
      </c>
      <c r="F7026" t="s">
        <v>71</v>
      </c>
    </row>
    <row r="7027" spans="1:6" x14ac:dyDescent="0.25">
      <c r="A7027" t="s">
        <v>18</v>
      </c>
      <c r="B7027" t="s">
        <v>19</v>
      </c>
      <c r="C7027" t="s">
        <v>65</v>
      </c>
      <c r="D7027">
        <v>4198.42</v>
      </c>
      <c r="E7027">
        <v>2018</v>
      </c>
      <c r="F7027" t="s">
        <v>71</v>
      </c>
    </row>
    <row r="7028" spans="1:6" x14ac:dyDescent="0.25">
      <c r="A7028" t="s">
        <v>20</v>
      </c>
      <c r="B7028" t="s">
        <v>21</v>
      </c>
      <c r="C7028" t="s">
        <v>65</v>
      </c>
      <c r="D7028">
        <v>1957.58</v>
      </c>
      <c r="E7028">
        <v>2018</v>
      </c>
      <c r="F7028" t="s">
        <v>71</v>
      </c>
    </row>
    <row r="7029" spans="1:6" x14ac:dyDescent="0.25">
      <c r="A7029" t="s">
        <v>22</v>
      </c>
      <c r="B7029" t="s">
        <v>23</v>
      </c>
      <c r="C7029" t="s">
        <v>65</v>
      </c>
      <c r="D7029">
        <v>1437.24</v>
      </c>
      <c r="E7029">
        <v>2018</v>
      </c>
      <c r="F7029" t="s">
        <v>71</v>
      </c>
    </row>
    <row r="7030" spans="1:6" x14ac:dyDescent="0.25">
      <c r="A7030" t="s">
        <v>24</v>
      </c>
      <c r="B7030" t="s">
        <v>25</v>
      </c>
      <c r="C7030" t="s">
        <v>65</v>
      </c>
      <c r="D7030">
        <v>12341.35</v>
      </c>
      <c r="E7030">
        <v>2018</v>
      </c>
      <c r="F7030" t="s">
        <v>71</v>
      </c>
    </row>
    <row r="7031" spans="1:6" x14ac:dyDescent="0.25">
      <c r="A7031" t="s">
        <v>26</v>
      </c>
      <c r="B7031" t="s">
        <v>27</v>
      </c>
      <c r="C7031" t="s">
        <v>65</v>
      </c>
      <c r="D7031">
        <v>852.74</v>
      </c>
      <c r="E7031">
        <v>2018</v>
      </c>
      <c r="F7031" t="s">
        <v>71</v>
      </c>
    </row>
    <row r="7032" spans="1:6" x14ac:dyDescent="0.25">
      <c r="A7032" t="s">
        <v>28</v>
      </c>
      <c r="B7032" t="s">
        <v>29</v>
      </c>
      <c r="C7032" t="s">
        <v>65</v>
      </c>
      <c r="D7032">
        <v>34450.15</v>
      </c>
      <c r="E7032">
        <v>2018</v>
      </c>
      <c r="F7032" t="s">
        <v>71</v>
      </c>
    </row>
    <row r="7033" spans="1:6" x14ac:dyDescent="0.25">
      <c r="A7033" t="s">
        <v>30</v>
      </c>
      <c r="B7033" t="s">
        <v>31</v>
      </c>
      <c r="C7033" t="s">
        <v>65</v>
      </c>
      <c r="D7033">
        <v>45117.56</v>
      </c>
      <c r="E7033">
        <v>2018</v>
      </c>
      <c r="F7033" t="s">
        <v>71</v>
      </c>
    </row>
    <row r="7034" spans="1:6" x14ac:dyDescent="0.25">
      <c r="A7034" t="s">
        <v>32</v>
      </c>
      <c r="B7034" t="s">
        <v>33</v>
      </c>
      <c r="C7034" t="s">
        <v>65</v>
      </c>
      <c r="D7034">
        <v>2185.81</v>
      </c>
      <c r="E7034">
        <v>2018</v>
      </c>
      <c r="F7034" t="s">
        <v>71</v>
      </c>
    </row>
    <row r="7035" spans="1:6" x14ac:dyDescent="0.25">
      <c r="A7035" t="s">
        <v>34</v>
      </c>
      <c r="B7035" t="s">
        <v>35</v>
      </c>
      <c r="C7035" t="s">
        <v>65</v>
      </c>
      <c r="D7035">
        <v>19242.16</v>
      </c>
      <c r="E7035">
        <v>2018</v>
      </c>
      <c r="F7035" t="s">
        <v>71</v>
      </c>
    </row>
    <row r="7036" spans="1:6" x14ac:dyDescent="0.25">
      <c r="A7036" t="s">
        <v>36</v>
      </c>
      <c r="B7036" t="s">
        <v>37</v>
      </c>
      <c r="C7036" t="s">
        <v>65</v>
      </c>
      <c r="D7036">
        <v>24872.42</v>
      </c>
      <c r="E7036">
        <v>2018</v>
      </c>
      <c r="F7036" t="s">
        <v>71</v>
      </c>
    </row>
    <row r="7037" spans="1:6" x14ac:dyDescent="0.25">
      <c r="A7037" t="s">
        <v>38</v>
      </c>
      <c r="B7037" t="s">
        <v>39</v>
      </c>
      <c r="C7037" t="s">
        <v>65</v>
      </c>
      <c r="D7037">
        <v>34020.06</v>
      </c>
      <c r="E7037">
        <v>2018</v>
      </c>
      <c r="F7037" t="s">
        <v>71</v>
      </c>
    </row>
    <row r="7038" spans="1:6" x14ac:dyDescent="0.25">
      <c r="A7038" t="s">
        <v>40</v>
      </c>
      <c r="B7038" t="s">
        <v>41</v>
      </c>
      <c r="C7038" t="s">
        <v>65</v>
      </c>
      <c r="D7038">
        <v>21555.61</v>
      </c>
      <c r="E7038">
        <v>2018</v>
      </c>
      <c r="F7038" t="s">
        <v>71</v>
      </c>
    </row>
    <row r="7039" spans="1:6" x14ac:dyDescent="0.25">
      <c r="A7039" t="s">
        <v>42</v>
      </c>
      <c r="B7039" t="s">
        <v>43</v>
      </c>
      <c r="C7039" t="s">
        <v>65</v>
      </c>
      <c r="D7039">
        <v>10155.93</v>
      </c>
      <c r="E7039">
        <v>2018</v>
      </c>
      <c r="F7039" t="s">
        <v>71</v>
      </c>
    </row>
    <row r="7040" spans="1:6" x14ac:dyDescent="0.25">
      <c r="A7040" t="s">
        <v>44</v>
      </c>
      <c r="B7040" t="s">
        <v>45</v>
      </c>
      <c r="C7040" t="s">
        <v>65</v>
      </c>
      <c r="D7040">
        <v>32345.47</v>
      </c>
      <c r="E7040">
        <v>2018</v>
      </c>
      <c r="F7040" t="s">
        <v>71</v>
      </c>
    </row>
    <row r="7041" spans="1:6" x14ac:dyDescent="0.25">
      <c r="A7041" t="s">
        <v>46</v>
      </c>
      <c r="B7041" t="s">
        <v>47</v>
      </c>
      <c r="C7041" t="s">
        <v>65</v>
      </c>
      <c r="D7041">
        <v>42994.92</v>
      </c>
      <c r="E7041">
        <v>2018</v>
      </c>
      <c r="F7041" t="s">
        <v>71</v>
      </c>
    </row>
    <row r="7042" spans="1:6" x14ac:dyDescent="0.25">
      <c r="A7042" t="s">
        <v>48</v>
      </c>
      <c r="B7042" t="s">
        <v>49</v>
      </c>
      <c r="C7042" t="s">
        <v>65</v>
      </c>
      <c r="D7042">
        <v>84047.360000000001</v>
      </c>
      <c r="E7042">
        <v>2018</v>
      </c>
      <c r="F7042" t="s">
        <v>71</v>
      </c>
    </row>
    <row r="7043" spans="1:6" x14ac:dyDescent="0.25">
      <c r="A7043" t="s">
        <v>50</v>
      </c>
      <c r="B7043" t="s">
        <v>51</v>
      </c>
      <c r="C7043" t="s">
        <v>65</v>
      </c>
      <c r="D7043">
        <v>1270.8599999999999</v>
      </c>
      <c r="E7043">
        <v>2018</v>
      </c>
      <c r="F7043" t="s">
        <v>71</v>
      </c>
    </row>
    <row r="7044" spans="1:6" x14ac:dyDescent="0.25">
      <c r="A7044" t="s">
        <v>52</v>
      </c>
      <c r="B7044" t="s">
        <v>53</v>
      </c>
      <c r="C7044" t="s">
        <v>65</v>
      </c>
      <c r="D7044">
        <v>832.47</v>
      </c>
      <c r="E7044">
        <v>2018</v>
      </c>
      <c r="F7044" t="s">
        <v>71</v>
      </c>
    </row>
    <row r="7045" spans="1:6" x14ac:dyDescent="0.25">
      <c r="A7045" t="s">
        <v>54</v>
      </c>
      <c r="B7045" t="s">
        <v>55</v>
      </c>
      <c r="C7045" t="s">
        <v>65</v>
      </c>
      <c r="D7045">
        <v>605.1</v>
      </c>
      <c r="E7045">
        <v>2018</v>
      </c>
      <c r="F7045" t="s">
        <v>71</v>
      </c>
    </row>
    <row r="7046" spans="1:6" x14ac:dyDescent="0.25">
      <c r="A7046" t="s">
        <v>56</v>
      </c>
      <c r="B7046" t="s">
        <v>57</v>
      </c>
      <c r="C7046" t="s">
        <v>65</v>
      </c>
      <c r="E7046">
        <v>2018</v>
      </c>
      <c r="F7046" t="s">
        <v>71</v>
      </c>
    </row>
    <row r="7047" spans="1:6" x14ac:dyDescent="0.25">
      <c r="A7047" t="s">
        <v>58</v>
      </c>
      <c r="B7047" t="s">
        <v>59</v>
      </c>
      <c r="C7047" t="s">
        <v>65</v>
      </c>
      <c r="E7047">
        <v>2018</v>
      </c>
      <c r="F7047" t="s">
        <v>71</v>
      </c>
    </row>
    <row r="7048" spans="1:6" x14ac:dyDescent="0.25">
      <c r="A7048" t="s">
        <v>6</v>
      </c>
      <c r="B7048" t="s">
        <v>7</v>
      </c>
      <c r="C7048" t="s">
        <v>62</v>
      </c>
      <c r="D7048">
        <v>78683.399999999994</v>
      </c>
      <c r="E7048">
        <v>2018</v>
      </c>
      <c r="F7048" t="s">
        <v>71</v>
      </c>
    </row>
    <row r="7049" spans="1:6" x14ac:dyDescent="0.25">
      <c r="A7049" t="s">
        <v>10</v>
      </c>
      <c r="B7049" t="s">
        <v>11</v>
      </c>
      <c r="C7049" t="s">
        <v>62</v>
      </c>
      <c r="D7049">
        <v>29729.65</v>
      </c>
      <c r="E7049">
        <v>2018</v>
      </c>
      <c r="F7049" t="s">
        <v>71</v>
      </c>
    </row>
    <row r="7050" spans="1:6" x14ac:dyDescent="0.25">
      <c r="A7050" t="s">
        <v>12</v>
      </c>
      <c r="B7050" t="s">
        <v>13</v>
      </c>
      <c r="C7050" t="s">
        <v>62</v>
      </c>
      <c r="D7050">
        <v>3920.04</v>
      </c>
      <c r="E7050">
        <v>2018</v>
      </c>
      <c r="F7050" t="s">
        <v>71</v>
      </c>
    </row>
    <row r="7051" spans="1:6" x14ac:dyDescent="0.25">
      <c r="A7051" t="s">
        <v>14</v>
      </c>
      <c r="B7051" t="s">
        <v>15</v>
      </c>
      <c r="C7051" t="s">
        <v>62</v>
      </c>
      <c r="E7051">
        <v>2018</v>
      </c>
      <c r="F7051" t="s">
        <v>71</v>
      </c>
    </row>
    <row r="7052" spans="1:6" x14ac:dyDescent="0.25">
      <c r="A7052" t="s">
        <v>16</v>
      </c>
      <c r="B7052" t="s">
        <v>17</v>
      </c>
      <c r="C7052" t="s">
        <v>62</v>
      </c>
      <c r="D7052">
        <v>2339.58</v>
      </c>
      <c r="E7052">
        <v>2018</v>
      </c>
      <c r="F7052" t="s">
        <v>71</v>
      </c>
    </row>
    <row r="7053" spans="1:6" x14ac:dyDescent="0.25">
      <c r="A7053" t="s">
        <v>18</v>
      </c>
      <c r="B7053" t="s">
        <v>19</v>
      </c>
      <c r="C7053" t="s">
        <v>62</v>
      </c>
      <c r="D7053">
        <v>2237.96</v>
      </c>
      <c r="E7053">
        <v>2018</v>
      </c>
      <c r="F7053" t="s">
        <v>71</v>
      </c>
    </row>
    <row r="7054" spans="1:6" x14ac:dyDescent="0.25">
      <c r="A7054" t="s">
        <v>20</v>
      </c>
      <c r="B7054" t="s">
        <v>21</v>
      </c>
      <c r="C7054" t="s">
        <v>62</v>
      </c>
      <c r="D7054">
        <v>354.73</v>
      </c>
      <c r="E7054">
        <v>2018</v>
      </c>
      <c r="F7054" t="s">
        <v>71</v>
      </c>
    </row>
    <row r="7055" spans="1:6" x14ac:dyDescent="0.25">
      <c r="A7055" t="s">
        <v>22</v>
      </c>
      <c r="B7055" t="s">
        <v>23</v>
      </c>
      <c r="C7055" t="s">
        <v>62</v>
      </c>
      <c r="D7055">
        <v>494.65</v>
      </c>
      <c r="E7055">
        <v>2018</v>
      </c>
      <c r="F7055" t="s">
        <v>71</v>
      </c>
    </row>
    <row r="7056" spans="1:6" x14ac:dyDescent="0.25">
      <c r="A7056" t="s">
        <v>24</v>
      </c>
      <c r="B7056" t="s">
        <v>25</v>
      </c>
      <c r="C7056" t="s">
        <v>62</v>
      </c>
      <c r="D7056">
        <v>2421.77</v>
      </c>
      <c r="E7056">
        <v>2018</v>
      </c>
      <c r="F7056" t="s">
        <v>71</v>
      </c>
    </row>
    <row r="7057" spans="1:6" x14ac:dyDescent="0.25">
      <c r="A7057" t="s">
        <v>26</v>
      </c>
      <c r="B7057" t="s">
        <v>27</v>
      </c>
      <c r="C7057" t="s">
        <v>62</v>
      </c>
      <c r="D7057">
        <v>739.63</v>
      </c>
      <c r="E7057">
        <v>2018</v>
      </c>
      <c r="F7057" t="s">
        <v>71</v>
      </c>
    </row>
    <row r="7058" spans="1:6" x14ac:dyDescent="0.25">
      <c r="A7058" t="s">
        <v>28</v>
      </c>
      <c r="B7058" t="s">
        <v>29</v>
      </c>
      <c r="C7058" t="s">
        <v>62</v>
      </c>
      <c r="D7058">
        <v>8037.68</v>
      </c>
      <c r="E7058">
        <v>2018</v>
      </c>
      <c r="F7058" t="s">
        <v>71</v>
      </c>
    </row>
    <row r="7059" spans="1:6" x14ac:dyDescent="0.25">
      <c r="A7059" t="s">
        <v>30</v>
      </c>
      <c r="B7059" t="s">
        <v>31</v>
      </c>
      <c r="C7059" t="s">
        <v>62</v>
      </c>
      <c r="D7059">
        <v>5238.04</v>
      </c>
      <c r="E7059">
        <v>2018</v>
      </c>
      <c r="F7059" t="s">
        <v>71</v>
      </c>
    </row>
    <row r="7060" spans="1:6" x14ac:dyDescent="0.25">
      <c r="A7060" t="s">
        <v>32</v>
      </c>
      <c r="B7060" t="s">
        <v>33</v>
      </c>
      <c r="C7060" t="s">
        <v>62</v>
      </c>
      <c r="D7060">
        <v>1135.0999999999999</v>
      </c>
      <c r="E7060">
        <v>2018</v>
      </c>
      <c r="F7060" t="s">
        <v>71</v>
      </c>
    </row>
    <row r="7061" spans="1:6" x14ac:dyDescent="0.25">
      <c r="A7061" t="s">
        <v>34</v>
      </c>
      <c r="B7061" t="s">
        <v>35</v>
      </c>
      <c r="C7061" t="s">
        <v>62</v>
      </c>
      <c r="D7061">
        <v>4162.01</v>
      </c>
      <c r="E7061">
        <v>2018</v>
      </c>
      <c r="F7061" t="s">
        <v>71</v>
      </c>
    </row>
    <row r="7062" spans="1:6" x14ac:dyDescent="0.25">
      <c r="A7062" t="s">
        <v>36</v>
      </c>
      <c r="B7062" t="s">
        <v>37</v>
      </c>
      <c r="C7062" t="s">
        <v>62</v>
      </c>
      <c r="D7062">
        <v>5366.83</v>
      </c>
      <c r="E7062">
        <v>2018</v>
      </c>
      <c r="F7062" t="s">
        <v>71</v>
      </c>
    </row>
    <row r="7063" spans="1:6" x14ac:dyDescent="0.25">
      <c r="A7063" t="s">
        <v>38</v>
      </c>
      <c r="B7063" t="s">
        <v>39</v>
      </c>
      <c r="C7063" t="s">
        <v>62</v>
      </c>
      <c r="D7063">
        <v>5844.69</v>
      </c>
      <c r="E7063">
        <v>2018</v>
      </c>
      <c r="F7063" t="s">
        <v>71</v>
      </c>
    </row>
    <row r="7064" spans="1:6" x14ac:dyDescent="0.25">
      <c r="A7064" t="s">
        <v>40</v>
      </c>
      <c r="B7064" t="s">
        <v>41</v>
      </c>
      <c r="C7064" t="s">
        <v>62</v>
      </c>
      <c r="D7064">
        <v>2206.06</v>
      </c>
      <c r="E7064">
        <v>2018</v>
      </c>
      <c r="F7064" t="s">
        <v>71</v>
      </c>
    </row>
    <row r="7065" spans="1:6" x14ac:dyDescent="0.25">
      <c r="A7065" t="s">
        <v>42</v>
      </c>
      <c r="B7065" t="s">
        <v>43</v>
      </c>
      <c r="C7065" t="s">
        <v>62</v>
      </c>
      <c r="D7065">
        <v>42.39</v>
      </c>
      <c r="E7065">
        <v>2018</v>
      </c>
      <c r="F7065" t="s">
        <v>71</v>
      </c>
    </row>
    <row r="7066" spans="1:6" x14ac:dyDescent="0.25">
      <c r="A7066" t="s">
        <v>44</v>
      </c>
      <c r="B7066" t="s">
        <v>45</v>
      </c>
      <c r="C7066" t="s">
        <v>62</v>
      </c>
      <c r="D7066">
        <v>813.95</v>
      </c>
      <c r="E7066">
        <v>2018</v>
      </c>
      <c r="F7066" t="s">
        <v>71</v>
      </c>
    </row>
    <row r="7067" spans="1:6" x14ac:dyDescent="0.25">
      <c r="A7067" t="s">
        <v>46</v>
      </c>
      <c r="B7067" t="s">
        <v>47</v>
      </c>
      <c r="C7067" t="s">
        <v>62</v>
      </c>
      <c r="D7067">
        <v>652.48</v>
      </c>
      <c r="E7067">
        <v>2018</v>
      </c>
      <c r="F7067" t="s">
        <v>71</v>
      </c>
    </row>
    <row r="7068" spans="1:6" x14ac:dyDescent="0.25">
      <c r="A7068" t="s">
        <v>48</v>
      </c>
      <c r="B7068" t="s">
        <v>49</v>
      </c>
      <c r="C7068" t="s">
        <v>62</v>
      </c>
      <c r="D7068">
        <v>977.85</v>
      </c>
      <c r="E7068">
        <v>2018</v>
      </c>
      <c r="F7068" t="s">
        <v>71</v>
      </c>
    </row>
    <row r="7069" spans="1:6" x14ac:dyDescent="0.25">
      <c r="A7069" t="s">
        <v>50</v>
      </c>
      <c r="B7069" t="s">
        <v>51</v>
      </c>
      <c r="C7069" t="s">
        <v>62</v>
      </c>
      <c r="D7069">
        <v>223.94</v>
      </c>
      <c r="E7069">
        <v>2018</v>
      </c>
      <c r="F7069" t="s">
        <v>71</v>
      </c>
    </row>
    <row r="7070" spans="1:6" x14ac:dyDescent="0.25">
      <c r="A7070" t="s">
        <v>52</v>
      </c>
      <c r="B7070" t="s">
        <v>53</v>
      </c>
      <c r="C7070" t="s">
        <v>62</v>
      </c>
      <c r="D7070">
        <v>503.73</v>
      </c>
      <c r="E7070">
        <v>2018</v>
      </c>
      <c r="F7070" t="s">
        <v>71</v>
      </c>
    </row>
    <row r="7071" spans="1:6" x14ac:dyDescent="0.25">
      <c r="A7071" t="s">
        <v>54</v>
      </c>
      <c r="B7071" t="s">
        <v>55</v>
      </c>
      <c r="C7071" t="s">
        <v>62</v>
      </c>
      <c r="D7071">
        <v>668.12</v>
      </c>
      <c r="E7071">
        <v>2018</v>
      </c>
      <c r="F7071" t="s">
        <v>71</v>
      </c>
    </row>
    <row r="7072" spans="1:6" x14ac:dyDescent="0.25">
      <c r="A7072" t="s">
        <v>56</v>
      </c>
      <c r="B7072" t="s">
        <v>57</v>
      </c>
      <c r="C7072" t="s">
        <v>62</v>
      </c>
      <c r="D7072">
        <v>572.52</v>
      </c>
      <c r="E7072">
        <v>2018</v>
      </c>
      <c r="F7072" t="s">
        <v>71</v>
      </c>
    </row>
    <row r="7073" spans="1:6" x14ac:dyDescent="0.25">
      <c r="A7073" t="s">
        <v>58</v>
      </c>
      <c r="B7073" t="s">
        <v>59</v>
      </c>
      <c r="C7073" t="s">
        <v>62</v>
      </c>
      <c r="E7073">
        <v>2018</v>
      </c>
      <c r="F7073" t="s">
        <v>71</v>
      </c>
    </row>
    <row r="7074" spans="1:6" x14ac:dyDescent="0.25">
      <c r="A7074" t="s">
        <v>6</v>
      </c>
      <c r="B7074" t="s">
        <v>7</v>
      </c>
      <c r="C7074" t="s">
        <v>66</v>
      </c>
      <c r="D7074">
        <v>16835.03</v>
      </c>
      <c r="E7074">
        <v>2018</v>
      </c>
      <c r="F7074" t="s">
        <v>71</v>
      </c>
    </row>
    <row r="7075" spans="1:6" x14ac:dyDescent="0.25">
      <c r="A7075" t="s">
        <v>10</v>
      </c>
      <c r="B7075" t="s">
        <v>11</v>
      </c>
      <c r="C7075" t="s">
        <v>66</v>
      </c>
      <c r="D7075">
        <v>7359.08</v>
      </c>
      <c r="E7075">
        <v>2018</v>
      </c>
      <c r="F7075" t="s">
        <v>71</v>
      </c>
    </row>
    <row r="7076" spans="1:6" x14ac:dyDescent="0.25">
      <c r="A7076" t="s">
        <v>12</v>
      </c>
      <c r="B7076" t="s">
        <v>13</v>
      </c>
      <c r="C7076" t="s">
        <v>66</v>
      </c>
      <c r="D7076">
        <v>858.22</v>
      </c>
      <c r="E7076">
        <v>2018</v>
      </c>
      <c r="F7076" t="s">
        <v>71</v>
      </c>
    </row>
    <row r="7077" spans="1:6" x14ac:dyDescent="0.25">
      <c r="A7077" t="s">
        <v>14</v>
      </c>
      <c r="B7077" t="s">
        <v>15</v>
      </c>
      <c r="C7077" t="s">
        <v>66</v>
      </c>
      <c r="E7077">
        <v>2018</v>
      </c>
      <c r="F7077" t="s">
        <v>71</v>
      </c>
    </row>
    <row r="7078" spans="1:6" x14ac:dyDescent="0.25">
      <c r="A7078" t="s">
        <v>16</v>
      </c>
      <c r="B7078" t="s">
        <v>17</v>
      </c>
      <c r="C7078" t="s">
        <v>66</v>
      </c>
      <c r="D7078">
        <v>245.77</v>
      </c>
      <c r="E7078">
        <v>2018</v>
      </c>
      <c r="F7078" t="s">
        <v>71</v>
      </c>
    </row>
    <row r="7079" spans="1:6" x14ac:dyDescent="0.25">
      <c r="A7079" t="s">
        <v>18</v>
      </c>
      <c r="B7079" t="s">
        <v>19</v>
      </c>
      <c r="C7079" t="s">
        <v>66</v>
      </c>
      <c r="D7079">
        <v>74.680000000000007</v>
      </c>
      <c r="E7079">
        <v>2018</v>
      </c>
      <c r="F7079" t="s">
        <v>71</v>
      </c>
    </row>
    <row r="7080" spans="1:6" x14ac:dyDescent="0.25">
      <c r="A7080" t="s">
        <v>20</v>
      </c>
      <c r="B7080" t="s">
        <v>21</v>
      </c>
      <c r="C7080" t="s">
        <v>66</v>
      </c>
      <c r="D7080">
        <v>329.64</v>
      </c>
      <c r="E7080">
        <v>2018</v>
      </c>
      <c r="F7080" t="s">
        <v>71</v>
      </c>
    </row>
    <row r="7081" spans="1:6" x14ac:dyDescent="0.25">
      <c r="A7081" t="s">
        <v>22</v>
      </c>
      <c r="B7081" t="s">
        <v>23</v>
      </c>
      <c r="C7081" t="s">
        <v>66</v>
      </c>
      <c r="D7081">
        <v>382.36</v>
      </c>
      <c r="E7081">
        <v>2018</v>
      </c>
      <c r="F7081" t="s">
        <v>71</v>
      </c>
    </row>
    <row r="7082" spans="1:6" x14ac:dyDescent="0.25">
      <c r="A7082" t="s">
        <v>24</v>
      </c>
      <c r="B7082" t="s">
        <v>25</v>
      </c>
      <c r="C7082" t="s">
        <v>66</v>
      </c>
      <c r="D7082">
        <v>1940.09</v>
      </c>
      <c r="E7082">
        <v>2018</v>
      </c>
      <c r="F7082" t="s">
        <v>71</v>
      </c>
    </row>
    <row r="7083" spans="1:6" x14ac:dyDescent="0.25">
      <c r="A7083" t="s">
        <v>26</v>
      </c>
      <c r="B7083" t="s">
        <v>27</v>
      </c>
      <c r="C7083" t="s">
        <v>66</v>
      </c>
      <c r="D7083">
        <v>137.88</v>
      </c>
      <c r="E7083">
        <v>2018</v>
      </c>
      <c r="F7083" t="s">
        <v>71</v>
      </c>
    </row>
    <row r="7084" spans="1:6" x14ac:dyDescent="0.25">
      <c r="A7084" t="s">
        <v>28</v>
      </c>
      <c r="B7084" t="s">
        <v>29</v>
      </c>
      <c r="C7084" t="s">
        <v>66</v>
      </c>
      <c r="D7084">
        <v>2030.72</v>
      </c>
      <c r="E7084">
        <v>2018</v>
      </c>
      <c r="F7084" t="s">
        <v>71</v>
      </c>
    </row>
    <row r="7085" spans="1:6" x14ac:dyDescent="0.25">
      <c r="A7085" t="s">
        <v>30</v>
      </c>
      <c r="B7085" t="s">
        <v>31</v>
      </c>
      <c r="C7085" t="s">
        <v>66</v>
      </c>
      <c r="D7085">
        <v>999.93</v>
      </c>
      <c r="E7085">
        <v>2018</v>
      </c>
      <c r="F7085" t="s">
        <v>71</v>
      </c>
    </row>
    <row r="7086" spans="1:6" x14ac:dyDescent="0.25">
      <c r="A7086" t="s">
        <v>32</v>
      </c>
      <c r="B7086" t="s">
        <v>33</v>
      </c>
      <c r="C7086" t="s">
        <v>66</v>
      </c>
      <c r="D7086">
        <v>613.22</v>
      </c>
      <c r="E7086">
        <v>2018</v>
      </c>
      <c r="F7086" t="s">
        <v>71</v>
      </c>
    </row>
    <row r="7087" spans="1:6" x14ac:dyDescent="0.25">
      <c r="A7087" t="s">
        <v>34</v>
      </c>
      <c r="B7087" t="s">
        <v>35</v>
      </c>
      <c r="C7087" t="s">
        <v>66</v>
      </c>
      <c r="D7087">
        <v>501.52</v>
      </c>
      <c r="E7087">
        <v>2018</v>
      </c>
      <c r="F7087" t="s">
        <v>71</v>
      </c>
    </row>
    <row r="7088" spans="1:6" x14ac:dyDescent="0.25">
      <c r="A7088" t="s">
        <v>36</v>
      </c>
      <c r="B7088" t="s">
        <v>37</v>
      </c>
      <c r="C7088" t="s">
        <v>66</v>
      </c>
      <c r="D7088">
        <v>312.05</v>
      </c>
      <c r="E7088">
        <v>2018</v>
      </c>
      <c r="F7088" t="s">
        <v>71</v>
      </c>
    </row>
    <row r="7089" spans="1:6" x14ac:dyDescent="0.25">
      <c r="A7089" t="s">
        <v>38</v>
      </c>
      <c r="B7089" t="s">
        <v>39</v>
      </c>
      <c r="C7089" t="s">
        <v>66</v>
      </c>
      <c r="D7089">
        <v>98.31</v>
      </c>
      <c r="E7089">
        <v>2018</v>
      </c>
      <c r="F7089" t="s">
        <v>71</v>
      </c>
    </row>
    <row r="7090" spans="1:6" x14ac:dyDescent="0.25">
      <c r="A7090" t="s">
        <v>40</v>
      </c>
      <c r="B7090" t="s">
        <v>41</v>
      </c>
      <c r="C7090" t="s">
        <v>66</v>
      </c>
      <c r="D7090">
        <v>271.54000000000002</v>
      </c>
      <c r="E7090">
        <v>2018</v>
      </c>
      <c r="F7090" t="s">
        <v>71</v>
      </c>
    </row>
    <row r="7091" spans="1:6" x14ac:dyDescent="0.25">
      <c r="A7091" t="s">
        <v>42</v>
      </c>
      <c r="B7091" t="s">
        <v>43</v>
      </c>
      <c r="C7091" t="s">
        <v>66</v>
      </c>
      <c r="D7091">
        <v>3.93</v>
      </c>
      <c r="E7091">
        <v>2018</v>
      </c>
      <c r="F7091" t="s">
        <v>71</v>
      </c>
    </row>
    <row r="7092" spans="1:6" x14ac:dyDescent="0.25">
      <c r="A7092" t="s">
        <v>44</v>
      </c>
      <c r="B7092" t="s">
        <v>45</v>
      </c>
      <c r="C7092" t="s">
        <v>66</v>
      </c>
      <c r="D7092">
        <v>110.79</v>
      </c>
      <c r="E7092">
        <v>2018</v>
      </c>
      <c r="F7092" t="s">
        <v>71</v>
      </c>
    </row>
    <row r="7093" spans="1:6" x14ac:dyDescent="0.25">
      <c r="A7093" t="s">
        <v>46</v>
      </c>
      <c r="B7093" t="s">
        <v>47</v>
      </c>
      <c r="C7093" t="s">
        <v>66</v>
      </c>
      <c r="D7093">
        <v>11.99</v>
      </c>
      <c r="E7093">
        <v>2018</v>
      </c>
      <c r="F7093" t="s">
        <v>71</v>
      </c>
    </row>
    <row r="7094" spans="1:6" x14ac:dyDescent="0.25">
      <c r="A7094" t="s">
        <v>48</v>
      </c>
      <c r="B7094" t="s">
        <v>49</v>
      </c>
      <c r="C7094" t="s">
        <v>66</v>
      </c>
      <c r="D7094">
        <v>272.16000000000003</v>
      </c>
      <c r="E7094">
        <v>2018</v>
      </c>
      <c r="F7094" t="s">
        <v>71</v>
      </c>
    </row>
    <row r="7095" spans="1:6" x14ac:dyDescent="0.25">
      <c r="A7095" t="s">
        <v>50</v>
      </c>
      <c r="B7095" t="s">
        <v>51</v>
      </c>
      <c r="C7095" t="s">
        <v>66</v>
      </c>
      <c r="E7095">
        <v>2018</v>
      </c>
      <c r="F7095" t="s">
        <v>71</v>
      </c>
    </row>
    <row r="7096" spans="1:6" x14ac:dyDescent="0.25">
      <c r="A7096" t="s">
        <v>52</v>
      </c>
      <c r="B7096" t="s">
        <v>53</v>
      </c>
      <c r="C7096" t="s">
        <v>66</v>
      </c>
      <c r="D7096">
        <v>66.69</v>
      </c>
      <c r="E7096">
        <v>2018</v>
      </c>
      <c r="F7096" t="s">
        <v>71</v>
      </c>
    </row>
    <row r="7097" spans="1:6" x14ac:dyDescent="0.25">
      <c r="A7097" t="s">
        <v>54</v>
      </c>
      <c r="B7097" t="s">
        <v>55</v>
      </c>
      <c r="C7097" t="s">
        <v>66</v>
      </c>
      <c r="D7097">
        <v>36.81</v>
      </c>
      <c r="E7097">
        <v>2018</v>
      </c>
      <c r="F7097" t="s">
        <v>71</v>
      </c>
    </row>
    <row r="7098" spans="1:6" x14ac:dyDescent="0.25">
      <c r="A7098" t="s">
        <v>56</v>
      </c>
      <c r="B7098" t="s">
        <v>57</v>
      </c>
      <c r="C7098" t="s">
        <v>66</v>
      </c>
      <c r="D7098">
        <v>177.65</v>
      </c>
      <c r="E7098">
        <v>2018</v>
      </c>
      <c r="F7098" t="s">
        <v>71</v>
      </c>
    </row>
    <row r="7099" spans="1:6" x14ac:dyDescent="0.25">
      <c r="A7099" t="s">
        <v>58</v>
      </c>
      <c r="B7099" t="s">
        <v>59</v>
      </c>
      <c r="C7099" t="s">
        <v>66</v>
      </c>
      <c r="E7099">
        <v>2018</v>
      </c>
      <c r="F7099" t="s">
        <v>71</v>
      </c>
    </row>
    <row r="7100" spans="1:6" x14ac:dyDescent="0.25">
      <c r="A7100" t="s">
        <v>6</v>
      </c>
      <c r="B7100" t="s">
        <v>7</v>
      </c>
      <c r="C7100" t="s">
        <v>63</v>
      </c>
      <c r="D7100">
        <v>762221.65</v>
      </c>
      <c r="E7100">
        <v>2019</v>
      </c>
      <c r="F7100" t="s">
        <v>71</v>
      </c>
    </row>
    <row r="7101" spans="1:6" x14ac:dyDescent="0.25">
      <c r="A7101" t="s">
        <v>10</v>
      </c>
      <c r="B7101" t="s">
        <v>11</v>
      </c>
      <c r="C7101" t="s">
        <v>63</v>
      </c>
      <c r="D7101">
        <v>161456.76</v>
      </c>
      <c r="E7101">
        <v>2019</v>
      </c>
      <c r="F7101" t="s">
        <v>71</v>
      </c>
    </row>
    <row r="7102" spans="1:6" x14ac:dyDescent="0.25">
      <c r="A7102" t="s">
        <v>12</v>
      </c>
      <c r="B7102" t="s">
        <v>13</v>
      </c>
      <c r="C7102" t="s">
        <v>63</v>
      </c>
      <c r="D7102">
        <v>23320.639999999999</v>
      </c>
      <c r="E7102">
        <v>2019</v>
      </c>
      <c r="F7102" t="s">
        <v>71</v>
      </c>
    </row>
    <row r="7103" spans="1:6" x14ac:dyDescent="0.25">
      <c r="A7103" t="s">
        <v>14</v>
      </c>
      <c r="B7103" t="s">
        <v>15</v>
      </c>
      <c r="C7103" t="s">
        <v>63</v>
      </c>
      <c r="D7103">
        <v>3700.39</v>
      </c>
      <c r="E7103">
        <v>2019</v>
      </c>
      <c r="F7103" t="s">
        <v>71</v>
      </c>
    </row>
    <row r="7104" spans="1:6" x14ac:dyDescent="0.25">
      <c r="A7104" t="s">
        <v>16</v>
      </c>
      <c r="B7104" t="s">
        <v>17</v>
      </c>
      <c r="C7104" t="s">
        <v>63</v>
      </c>
      <c r="D7104">
        <v>11267.55</v>
      </c>
      <c r="E7104">
        <v>2019</v>
      </c>
      <c r="F7104" t="s">
        <v>71</v>
      </c>
    </row>
    <row r="7105" spans="1:6" x14ac:dyDescent="0.25">
      <c r="A7105" t="s">
        <v>18</v>
      </c>
      <c r="B7105" t="s">
        <v>19</v>
      </c>
      <c r="C7105" t="s">
        <v>63</v>
      </c>
      <c r="D7105">
        <v>9695.7999999999993</v>
      </c>
      <c r="E7105">
        <v>2019</v>
      </c>
      <c r="F7105" t="s">
        <v>71</v>
      </c>
    </row>
    <row r="7106" spans="1:6" x14ac:dyDescent="0.25">
      <c r="A7106" t="s">
        <v>20</v>
      </c>
      <c r="B7106" t="s">
        <v>21</v>
      </c>
      <c r="C7106" t="s">
        <v>63</v>
      </c>
      <c r="D7106">
        <v>8687.26</v>
      </c>
      <c r="E7106">
        <v>2019</v>
      </c>
      <c r="F7106" t="s">
        <v>71</v>
      </c>
    </row>
    <row r="7107" spans="1:6" x14ac:dyDescent="0.25">
      <c r="A7107" t="s">
        <v>22</v>
      </c>
      <c r="B7107" t="s">
        <v>23</v>
      </c>
      <c r="C7107" t="s">
        <v>63</v>
      </c>
      <c r="D7107">
        <v>6351.71</v>
      </c>
      <c r="E7107">
        <v>2019</v>
      </c>
      <c r="F7107" t="s">
        <v>71</v>
      </c>
    </row>
    <row r="7108" spans="1:6" x14ac:dyDescent="0.25">
      <c r="A7108" t="s">
        <v>24</v>
      </c>
      <c r="B7108" t="s">
        <v>25</v>
      </c>
      <c r="C7108" t="s">
        <v>63</v>
      </c>
      <c r="D7108">
        <v>26857.41</v>
      </c>
      <c r="E7108">
        <v>2019</v>
      </c>
      <c r="F7108" t="s">
        <v>71</v>
      </c>
    </row>
    <row r="7109" spans="1:6" x14ac:dyDescent="0.25">
      <c r="A7109" t="s">
        <v>26</v>
      </c>
      <c r="B7109" t="s">
        <v>27</v>
      </c>
      <c r="C7109" t="s">
        <v>63</v>
      </c>
      <c r="D7109">
        <v>2921.23</v>
      </c>
      <c r="E7109">
        <v>2019</v>
      </c>
      <c r="F7109" t="s">
        <v>71</v>
      </c>
    </row>
    <row r="7110" spans="1:6" x14ac:dyDescent="0.25">
      <c r="A7110" t="s">
        <v>28</v>
      </c>
      <c r="B7110" t="s">
        <v>29</v>
      </c>
      <c r="C7110" t="s">
        <v>63</v>
      </c>
      <c r="D7110">
        <v>82554.009999999995</v>
      </c>
      <c r="E7110">
        <v>2019</v>
      </c>
      <c r="F7110" t="s">
        <v>71</v>
      </c>
    </row>
    <row r="7111" spans="1:6" x14ac:dyDescent="0.25">
      <c r="A7111" t="s">
        <v>30</v>
      </c>
      <c r="B7111" t="s">
        <v>31</v>
      </c>
      <c r="C7111" t="s">
        <v>63</v>
      </c>
      <c r="D7111">
        <v>99557.49</v>
      </c>
      <c r="E7111">
        <v>2019</v>
      </c>
      <c r="F7111" t="s">
        <v>71</v>
      </c>
    </row>
    <row r="7112" spans="1:6" x14ac:dyDescent="0.25">
      <c r="A7112" t="s">
        <v>32</v>
      </c>
      <c r="B7112" t="s">
        <v>33</v>
      </c>
      <c r="C7112" t="s">
        <v>63</v>
      </c>
      <c r="D7112">
        <v>15670.05</v>
      </c>
      <c r="E7112">
        <v>2019</v>
      </c>
      <c r="F7112" t="s">
        <v>71</v>
      </c>
    </row>
    <row r="7113" spans="1:6" x14ac:dyDescent="0.25">
      <c r="A7113" t="s">
        <v>34</v>
      </c>
      <c r="B7113" t="s">
        <v>35</v>
      </c>
      <c r="C7113" t="s">
        <v>63</v>
      </c>
      <c r="D7113">
        <v>26487.03</v>
      </c>
      <c r="E7113">
        <v>2019</v>
      </c>
      <c r="F7113" t="s">
        <v>71</v>
      </c>
    </row>
    <row r="7114" spans="1:6" x14ac:dyDescent="0.25">
      <c r="A7114" t="s">
        <v>36</v>
      </c>
      <c r="B7114" t="s">
        <v>37</v>
      </c>
      <c r="C7114" t="s">
        <v>63</v>
      </c>
      <c r="D7114">
        <v>19295.650000000001</v>
      </c>
      <c r="E7114">
        <v>2019</v>
      </c>
      <c r="F7114" t="s">
        <v>71</v>
      </c>
    </row>
    <row r="7115" spans="1:6" x14ac:dyDescent="0.25">
      <c r="A7115" t="s">
        <v>38</v>
      </c>
      <c r="B7115" t="s">
        <v>39</v>
      </c>
      <c r="C7115" t="s">
        <v>63</v>
      </c>
      <c r="D7115">
        <v>58110.35</v>
      </c>
      <c r="E7115">
        <v>2019</v>
      </c>
      <c r="F7115" t="s">
        <v>71</v>
      </c>
    </row>
    <row r="7116" spans="1:6" x14ac:dyDescent="0.25">
      <c r="A7116" t="s">
        <v>40</v>
      </c>
      <c r="B7116" t="s">
        <v>41</v>
      </c>
      <c r="C7116" t="s">
        <v>63</v>
      </c>
      <c r="D7116">
        <v>19918.59</v>
      </c>
      <c r="E7116">
        <v>2019</v>
      </c>
      <c r="F7116" t="s">
        <v>71</v>
      </c>
    </row>
    <row r="7117" spans="1:6" x14ac:dyDescent="0.25">
      <c r="A7117" t="s">
        <v>42</v>
      </c>
      <c r="B7117" t="s">
        <v>43</v>
      </c>
      <c r="C7117" t="s">
        <v>63</v>
      </c>
      <c r="D7117">
        <v>25479.77</v>
      </c>
      <c r="E7117">
        <v>2019</v>
      </c>
      <c r="F7117" t="s">
        <v>71</v>
      </c>
    </row>
    <row r="7118" spans="1:6" x14ac:dyDescent="0.25">
      <c r="A7118" t="s">
        <v>44</v>
      </c>
      <c r="B7118" t="s">
        <v>45</v>
      </c>
      <c r="C7118" t="s">
        <v>63</v>
      </c>
      <c r="D7118">
        <v>20995.14</v>
      </c>
      <c r="E7118">
        <v>2019</v>
      </c>
      <c r="F7118" t="s">
        <v>71</v>
      </c>
    </row>
    <row r="7119" spans="1:6" x14ac:dyDescent="0.25">
      <c r="A7119" t="s">
        <v>46</v>
      </c>
      <c r="B7119" t="s">
        <v>47</v>
      </c>
      <c r="C7119" t="s">
        <v>63</v>
      </c>
      <c r="D7119">
        <v>32469.82</v>
      </c>
      <c r="E7119">
        <v>2019</v>
      </c>
      <c r="F7119" t="s">
        <v>71</v>
      </c>
    </row>
    <row r="7120" spans="1:6" x14ac:dyDescent="0.25">
      <c r="A7120" t="s">
        <v>48</v>
      </c>
      <c r="B7120" t="s">
        <v>49</v>
      </c>
      <c r="C7120" t="s">
        <v>63</v>
      </c>
      <c r="D7120">
        <v>78256.56</v>
      </c>
      <c r="E7120">
        <v>2019</v>
      </c>
      <c r="F7120" t="s">
        <v>71</v>
      </c>
    </row>
    <row r="7121" spans="1:6" x14ac:dyDescent="0.25">
      <c r="A7121" t="s">
        <v>50</v>
      </c>
      <c r="B7121" t="s">
        <v>51</v>
      </c>
      <c r="C7121" t="s">
        <v>63</v>
      </c>
      <c r="D7121">
        <v>10097.08</v>
      </c>
      <c r="E7121">
        <v>2019</v>
      </c>
      <c r="F7121" t="s">
        <v>71</v>
      </c>
    </row>
    <row r="7122" spans="1:6" x14ac:dyDescent="0.25">
      <c r="A7122" t="s">
        <v>52</v>
      </c>
      <c r="B7122" t="s">
        <v>53</v>
      </c>
      <c r="C7122" t="s">
        <v>63</v>
      </c>
      <c r="D7122">
        <v>7299.28</v>
      </c>
      <c r="E7122">
        <v>2019</v>
      </c>
      <c r="F7122" t="s">
        <v>71</v>
      </c>
    </row>
    <row r="7123" spans="1:6" x14ac:dyDescent="0.25">
      <c r="A7123" t="s">
        <v>54</v>
      </c>
      <c r="B7123" t="s">
        <v>55</v>
      </c>
      <c r="C7123" t="s">
        <v>63</v>
      </c>
      <c r="D7123">
        <v>5872.91</v>
      </c>
      <c r="E7123">
        <v>2019</v>
      </c>
      <c r="F7123" t="s">
        <v>71</v>
      </c>
    </row>
    <row r="7124" spans="1:6" x14ac:dyDescent="0.25">
      <c r="A7124" t="s">
        <v>56</v>
      </c>
      <c r="B7124" t="s">
        <v>57</v>
      </c>
      <c r="C7124" t="s">
        <v>63</v>
      </c>
      <c r="D7124">
        <v>5899.17</v>
      </c>
      <c r="E7124">
        <v>2019</v>
      </c>
      <c r="F7124" t="s">
        <v>71</v>
      </c>
    </row>
    <row r="7125" spans="1:6" x14ac:dyDescent="0.25">
      <c r="A7125" t="s">
        <v>58</v>
      </c>
      <c r="B7125" t="s">
        <v>59</v>
      </c>
      <c r="C7125" t="s">
        <v>63</v>
      </c>
      <c r="E7125">
        <v>2019</v>
      </c>
      <c r="F7125" t="s">
        <v>71</v>
      </c>
    </row>
    <row r="7126" spans="1:6" x14ac:dyDescent="0.25">
      <c r="A7126" t="s">
        <v>6</v>
      </c>
      <c r="B7126" t="s">
        <v>7</v>
      </c>
      <c r="C7126" t="s">
        <v>8</v>
      </c>
      <c r="D7126">
        <v>69656.34</v>
      </c>
      <c r="E7126">
        <v>2019</v>
      </c>
      <c r="F7126" t="s">
        <v>71</v>
      </c>
    </row>
    <row r="7127" spans="1:6" x14ac:dyDescent="0.25">
      <c r="A7127" t="s">
        <v>10</v>
      </c>
      <c r="B7127" t="s">
        <v>11</v>
      </c>
      <c r="C7127" t="s">
        <v>8</v>
      </c>
      <c r="D7127">
        <v>24241.27</v>
      </c>
      <c r="E7127">
        <v>2019</v>
      </c>
      <c r="F7127" t="s">
        <v>71</v>
      </c>
    </row>
    <row r="7128" spans="1:6" x14ac:dyDescent="0.25">
      <c r="A7128" t="s">
        <v>12</v>
      </c>
      <c r="B7128" t="s">
        <v>13</v>
      </c>
      <c r="C7128" t="s">
        <v>8</v>
      </c>
      <c r="D7128">
        <v>4977.2</v>
      </c>
      <c r="E7128">
        <v>2019</v>
      </c>
      <c r="F7128" t="s">
        <v>71</v>
      </c>
    </row>
    <row r="7129" spans="1:6" x14ac:dyDescent="0.25">
      <c r="A7129" t="s">
        <v>14</v>
      </c>
      <c r="B7129" t="s">
        <v>15</v>
      </c>
      <c r="C7129" t="s">
        <v>8</v>
      </c>
      <c r="E7129">
        <v>2019</v>
      </c>
      <c r="F7129" t="s">
        <v>71</v>
      </c>
    </row>
    <row r="7130" spans="1:6" x14ac:dyDescent="0.25">
      <c r="A7130" t="s">
        <v>16</v>
      </c>
      <c r="B7130" t="s">
        <v>17</v>
      </c>
      <c r="C7130" t="s">
        <v>8</v>
      </c>
      <c r="D7130">
        <v>282.29000000000002</v>
      </c>
      <c r="E7130">
        <v>2019</v>
      </c>
      <c r="F7130" t="s">
        <v>71</v>
      </c>
    </row>
    <row r="7131" spans="1:6" x14ac:dyDescent="0.25">
      <c r="A7131" t="s">
        <v>18</v>
      </c>
      <c r="B7131" t="s">
        <v>19</v>
      </c>
      <c r="C7131" t="s">
        <v>8</v>
      </c>
      <c r="D7131">
        <v>252.38</v>
      </c>
      <c r="E7131">
        <v>2019</v>
      </c>
      <c r="F7131" t="s">
        <v>71</v>
      </c>
    </row>
    <row r="7132" spans="1:6" x14ac:dyDescent="0.25">
      <c r="A7132" t="s">
        <v>20</v>
      </c>
      <c r="B7132" t="s">
        <v>21</v>
      </c>
      <c r="C7132" t="s">
        <v>8</v>
      </c>
      <c r="D7132">
        <v>212.5</v>
      </c>
      <c r="E7132">
        <v>2019</v>
      </c>
      <c r="F7132" t="s">
        <v>71</v>
      </c>
    </row>
    <row r="7133" spans="1:6" x14ac:dyDescent="0.25">
      <c r="A7133" t="s">
        <v>22</v>
      </c>
      <c r="B7133" t="s">
        <v>23</v>
      </c>
      <c r="C7133" t="s">
        <v>8</v>
      </c>
      <c r="D7133">
        <v>3447.06</v>
      </c>
      <c r="E7133">
        <v>2019</v>
      </c>
      <c r="F7133" t="s">
        <v>71</v>
      </c>
    </row>
    <row r="7134" spans="1:6" x14ac:dyDescent="0.25">
      <c r="A7134" t="s">
        <v>24</v>
      </c>
      <c r="B7134" t="s">
        <v>25</v>
      </c>
      <c r="C7134" t="s">
        <v>8</v>
      </c>
      <c r="D7134">
        <v>5015.33</v>
      </c>
      <c r="E7134">
        <v>2019</v>
      </c>
      <c r="F7134" t="s">
        <v>71</v>
      </c>
    </row>
    <row r="7135" spans="1:6" x14ac:dyDescent="0.25">
      <c r="A7135" t="s">
        <v>26</v>
      </c>
      <c r="B7135" t="s">
        <v>27</v>
      </c>
      <c r="C7135" t="s">
        <v>8</v>
      </c>
      <c r="D7135">
        <v>485.32</v>
      </c>
      <c r="E7135">
        <v>2019</v>
      </c>
      <c r="F7135" t="s">
        <v>71</v>
      </c>
    </row>
    <row r="7136" spans="1:6" x14ac:dyDescent="0.25">
      <c r="A7136" t="s">
        <v>28</v>
      </c>
      <c r="B7136" t="s">
        <v>29</v>
      </c>
      <c r="C7136" t="s">
        <v>8</v>
      </c>
      <c r="E7136">
        <v>2019</v>
      </c>
      <c r="F7136" t="s">
        <v>71</v>
      </c>
    </row>
    <row r="7137" spans="1:6" x14ac:dyDescent="0.25">
      <c r="A7137" t="s">
        <v>30</v>
      </c>
      <c r="B7137" t="s">
        <v>31</v>
      </c>
      <c r="C7137" t="s">
        <v>8</v>
      </c>
      <c r="D7137">
        <v>11398.97</v>
      </c>
      <c r="E7137">
        <v>2019</v>
      </c>
      <c r="F7137" t="s">
        <v>71</v>
      </c>
    </row>
    <row r="7138" spans="1:6" x14ac:dyDescent="0.25">
      <c r="A7138" t="s">
        <v>32</v>
      </c>
      <c r="B7138" t="s">
        <v>33</v>
      </c>
      <c r="C7138" t="s">
        <v>8</v>
      </c>
      <c r="D7138">
        <v>1325.18</v>
      </c>
      <c r="E7138">
        <v>2019</v>
      </c>
      <c r="F7138" t="s">
        <v>71</v>
      </c>
    </row>
    <row r="7139" spans="1:6" x14ac:dyDescent="0.25">
      <c r="A7139" t="s">
        <v>34</v>
      </c>
      <c r="B7139" t="s">
        <v>35</v>
      </c>
      <c r="C7139" t="s">
        <v>8</v>
      </c>
      <c r="D7139">
        <v>2770.08</v>
      </c>
      <c r="E7139">
        <v>2019</v>
      </c>
      <c r="F7139" t="s">
        <v>71</v>
      </c>
    </row>
    <row r="7140" spans="1:6" x14ac:dyDescent="0.25">
      <c r="A7140" t="s">
        <v>36</v>
      </c>
      <c r="B7140" t="s">
        <v>37</v>
      </c>
      <c r="C7140" t="s">
        <v>8</v>
      </c>
      <c r="D7140">
        <v>2726.72</v>
      </c>
      <c r="E7140">
        <v>2019</v>
      </c>
      <c r="F7140" t="s">
        <v>71</v>
      </c>
    </row>
    <row r="7141" spans="1:6" x14ac:dyDescent="0.25">
      <c r="A7141" t="s">
        <v>38</v>
      </c>
      <c r="B7141" t="s">
        <v>39</v>
      </c>
      <c r="C7141" t="s">
        <v>8</v>
      </c>
      <c r="D7141">
        <v>1577.93</v>
      </c>
      <c r="E7141">
        <v>2019</v>
      </c>
      <c r="F7141" t="s">
        <v>71</v>
      </c>
    </row>
    <row r="7142" spans="1:6" x14ac:dyDescent="0.25">
      <c r="A7142" t="s">
        <v>40</v>
      </c>
      <c r="B7142" t="s">
        <v>41</v>
      </c>
      <c r="C7142" t="s">
        <v>8</v>
      </c>
      <c r="D7142">
        <v>2652.02</v>
      </c>
      <c r="E7142">
        <v>2019</v>
      </c>
      <c r="F7142" t="s">
        <v>71</v>
      </c>
    </row>
    <row r="7143" spans="1:6" x14ac:dyDescent="0.25">
      <c r="A7143" t="s">
        <v>42</v>
      </c>
      <c r="B7143" t="s">
        <v>43</v>
      </c>
      <c r="C7143" t="s">
        <v>8</v>
      </c>
      <c r="D7143">
        <v>146.77000000000001</v>
      </c>
      <c r="E7143">
        <v>2019</v>
      </c>
      <c r="F7143" t="s">
        <v>71</v>
      </c>
    </row>
    <row r="7144" spans="1:6" x14ac:dyDescent="0.25">
      <c r="A7144" t="s">
        <v>44</v>
      </c>
      <c r="B7144" t="s">
        <v>45</v>
      </c>
      <c r="C7144" t="s">
        <v>8</v>
      </c>
      <c r="D7144">
        <v>671.55</v>
      </c>
      <c r="E7144">
        <v>2019</v>
      </c>
      <c r="F7144" t="s">
        <v>71</v>
      </c>
    </row>
    <row r="7145" spans="1:6" x14ac:dyDescent="0.25">
      <c r="A7145" t="s">
        <v>46</v>
      </c>
      <c r="B7145" t="s">
        <v>47</v>
      </c>
      <c r="C7145" t="s">
        <v>8</v>
      </c>
      <c r="D7145">
        <v>1071.3599999999999</v>
      </c>
      <c r="E7145">
        <v>2019</v>
      </c>
      <c r="F7145" t="s">
        <v>71</v>
      </c>
    </row>
    <row r="7146" spans="1:6" x14ac:dyDescent="0.25">
      <c r="A7146" t="s">
        <v>48</v>
      </c>
      <c r="B7146" t="s">
        <v>49</v>
      </c>
      <c r="C7146" t="s">
        <v>8</v>
      </c>
      <c r="D7146">
        <v>94.22</v>
      </c>
      <c r="E7146">
        <v>2019</v>
      </c>
      <c r="F7146" t="s">
        <v>71</v>
      </c>
    </row>
    <row r="7147" spans="1:6" x14ac:dyDescent="0.25">
      <c r="A7147" t="s">
        <v>50</v>
      </c>
      <c r="B7147" t="s">
        <v>51</v>
      </c>
      <c r="C7147" t="s">
        <v>8</v>
      </c>
      <c r="D7147">
        <v>84.12</v>
      </c>
      <c r="E7147">
        <v>2019</v>
      </c>
      <c r="F7147" t="s">
        <v>71</v>
      </c>
    </row>
    <row r="7148" spans="1:6" x14ac:dyDescent="0.25">
      <c r="A7148" t="s">
        <v>52</v>
      </c>
      <c r="B7148" t="s">
        <v>53</v>
      </c>
      <c r="C7148" t="s">
        <v>8</v>
      </c>
      <c r="D7148">
        <v>600.77</v>
      </c>
      <c r="E7148">
        <v>2019</v>
      </c>
      <c r="F7148" t="s">
        <v>71</v>
      </c>
    </row>
    <row r="7149" spans="1:6" x14ac:dyDescent="0.25">
      <c r="A7149" t="s">
        <v>54</v>
      </c>
      <c r="B7149" t="s">
        <v>55</v>
      </c>
      <c r="C7149" t="s">
        <v>8</v>
      </c>
      <c r="D7149">
        <v>77.430000000000007</v>
      </c>
      <c r="E7149">
        <v>2019</v>
      </c>
      <c r="F7149" t="s">
        <v>71</v>
      </c>
    </row>
    <row r="7150" spans="1:6" x14ac:dyDescent="0.25">
      <c r="A7150" t="s">
        <v>56</v>
      </c>
      <c r="B7150" t="s">
        <v>57</v>
      </c>
      <c r="C7150" t="s">
        <v>8</v>
      </c>
      <c r="D7150">
        <v>1500.97</v>
      </c>
      <c r="E7150">
        <v>2019</v>
      </c>
      <c r="F7150" t="s">
        <v>71</v>
      </c>
    </row>
    <row r="7151" spans="1:6" x14ac:dyDescent="0.25">
      <c r="A7151" t="s">
        <v>58</v>
      </c>
      <c r="B7151" t="s">
        <v>59</v>
      </c>
      <c r="C7151" t="s">
        <v>8</v>
      </c>
      <c r="D7151">
        <v>4044.9</v>
      </c>
      <c r="E7151">
        <v>2019</v>
      </c>
      <c r="F7151" t="s">
        <v>71</v>
      </c>
    </row>
    <row r="7152" spans="1:6" x14ac:dyDescent="0.25">
      <c r="A7152" t="s">
        <v>6</v>
      </c>
      <c r="B7152" t="s">
        <v>7</v>
      </c>
      <c r="C7152" t="s">
        <v>60</v>
      </c>
      <c r="D7152">
        <v>71113.53</v>
      </c>
      <c r="E7152">
        <v>2019</v>
      </c>
      <c r="F7152" t="s">
        <v>71</v>
      </c>
    </row>
    <row r="7153" spans="1:6" x14ac:dyDescent="0.25">
      <c r="A7153" t="s">
        <v>10</v>
      </c>
      <c r="B7153" t="s">
        <v>11</v>
      </c>
      <c r="C7153" t="s">
        <v>60</v>
      </c>
      <c r="D7153">
        <v>17667.68</v>
      </c>
      <c r="E7153">
        <v>2019</v>
      </c>
      <c r="F7153" t="s">
        <v>71</v>
      </c>
    </row>
    <row r="7154" spans="1:6" x14ac:dyDescent="0.25">
      <c r="A7154" t="s">
        <v>12</v>
      </c>
      <c r="B7154" t="s">
        <v>13</v>
      </c>
      <c r="C7154" t="s">
        <v>60</v>
      </c>
      <c r="D7154">
        <v>2466.98</v>
      </c>
      <c r="E7154">
        <v>2019</v>
      </c>
      <c r="F7154" t="s">
        <v>71</v>
      </c>
    </row>
    <row r="7155" spans="1:6" x14ac:dyDescent="0.25">
      <c r="A7155" t="s">
        <v>14</v>
      </c>
      <c r="B7155" t="s">
        <v>15</v>
      </c>
      <c r="C7155" t="s">
        <v>60</v>
      </c>
      <c r="E7155">
        <v>2019</v>
      </c>
      <c r="F7155" t="s">
        <v>71</v>
      </c>
    </row>
    <row r="7156" spans="1:6" x14ac:dyDescent="0.25">
      <c r="A7156" t="s">
        <v>16</v>
      </c>
      <c r="B7156" t="s">
        <v>17</v>
      </c>
      <c r="C7156" t="s">
        <v>60</v>
      </c>
      <c r="D7156">
        <v>1329.47</v>
      </c>
      <c r="E7156">
        <v>2019</v>
      </c>
      <c r="F7156" t="s">
        <v>71</v>
      </c>
    </row>
    <row r="7157" spans="1:6" x14ac:dyDescent="0.25">
      <c r="A7157" t="s">
        <v>18</v>
      </c>
      <c r="B7157" t="s">
        <v>19</v>
      </c>
      <c r="C7157" t="s">
        <v>60</v>
      </c>
      <c r="D7157">
        <v>2209.1799999999998</v>
      </c>
      <c r="E7157">
        <v>2019</v>
      </c>
      <c r="F7157" t="s">
        <v>71</v>
      </c>
    </row>
    <row r="7158" spans="1:6" x14ac:dyDescent="0.25">
      <c r="A7158" t="s">
        <v>20</v>
      </c>
      <c r="B7158" t="s">
        <v>21</v>
      </c>
      <c r="C7158" t="s">
        <v>60</v>
      </c>
      <c r="D7158">
        <v>406.16</v>
      </c>
      <c r="E7158">
        <v>2019</v>
      </c>
      <c r="F7158" t="s">
        <v>71</v>
      </c>
    </row>
    <row r="7159" spans="1:6" x14ac:dyDescent="0.25">
      <c r="A7159" t="s">
        <v>22</v>
      </c>
      <c r="B7159" t="s">
        <v>23</v>
      </c>
      <c r="C7159" t="s">
        <v>60</v>
      </c>
      <c r="D7159">
        <v>277.25</v>
      </c>
      <c r="E7159">
        <v>2019</v>
      </c>
      <c r="F7159" t="s">
        <v>71</v>
      </c>
    </row>
    <row r="7160" spans="1:6" x14ac:dyDescent="0.25">
      <c r="A7160" t="s">
        <v>24</v>
      </c>
      <c r="B7160" t="s">
        <v>25</v>
      </c>
      <c r="C7160" t="s">
        <v>60</v>
      </c>
      <c r="D7160">
        <v>2779.29</v>
      </c>
      <c r="E7160">
        <v>2019</v>
      </c>
      <c r="F7160" t="s">
        <v>71</v>
      </c>
    </row>
    <row r="7161" spans="1:6" x14ac:dyDescent="0.25">
      <c r="A7161" t="s">
        <v>26</v>
      </c>
      <c r="B7161" t="s">
        <v>27</v>
      </c>
      <c r="C7161" t="s">
        <v>60</v>
      </c>
      <c r="D7161">
        <v>824.35</v>
      </c>
      <c r="E7161">
        <v>2019</v>
      </c>
      <c r="F7161" t="s">
        <v>71</v>
      </c>
    </row>
    <row r="7162" spans="1:6" x14ac:dyDescent="0.25">
      <c r="A7162" t="s">
        <v>28</v>
      </c>
      <c r="B7162" t="s">
        <v>29</v>
      </c>
      <c r="C7162" t="s">
        <v>60</v>
      </c>
      <c r="D7162">
        <v>10580.69</v>
      </c>
      <c r="E7162">
        <v>2019</v>
      </c>
      <c r="F7162" t="s">
        <v>71</v>
      </c>
    </row>
    <row r="7163" spans="1:6" x14ac:dyDescent="0.25">
      <c r="A7163" t="s">
        <v>30</v>
      </c>
      <c r="B7163" t="s">
        <v>31</v>
      </c>
      <c r="C7163" t="s">
        <v>60</v>
      </c>
      <c r="D7163">
        <v>7506.02</v>
      </c>
      <c r="E7163">
        <v>2019</v>
      </c>
      <c r="F7163" t="s">
        <v>71</v>
      </c>
    </row>
    <row r="7164" spans="1:6" x14ac:dyDescent="0.25">
      <c r="A7164" t="s">
        <v>32</v>
      </c>
      <c r="B7164" t="s">
        <v>33</v>
      </c>
      <c r="C7164" t="s">
        <v>60</v>
      </c>
      <c r="D7164">
        <v>1816.09</v>
      </c>
      <c r="E7164">
        <v>2019</v>
      </c>
      <c r="F7164" t="s">
        <v>71</v>
      </c>
    </row>
    <row r="7165" spans="1:6" x14ac:dyDescent="0.25">
      <c r="A7165" t="s">
        <v>34</v>
      </c>
      <c r="B7165" t="s">
        <v>35</v>
      </c>
      <c r="C7165" t="s">
        <v>60</v>
      </c>
      <c r="D7165">
        <v>2783.15</v>
      </c>
      <c r="E7165">
        <v>2019</v>
      </c>
      <c r="F7165" t="s">
        <v>71</v>
      </c>
    </row>
    <row r="7166" spans="1:6" x14ac:dyDescent="0.25">
      <c r="A7166" t="s">
        <v>36</v>
      </c>
      <c r="B7166" t="s">
        <v>37</v>
      </c>
      <c r="C7166" t="s">
        <v>60</v>
      </c>
      <c r="D7166">
        <v>3306.24</v>
      </c>
      <c r="E7166">
        <v>2019</v>
      </c>
      <c r="F7166" t="s">
        <v>71</v>
      </c>
    </row>
    <row r="7167" spans="1:6" x14ac:dyDescent="0.25">
      <c r="A7167" t="s">
        <v>38</v>
      </c>
      <c r="B7167" t="s">
        <v>39</v>
      </c>
      <c r="C7167" t="s">
        <v>60</v>
      </c>
      <c r="D7167">
        <v>2523</v>
      </c>
      <c r="E7167">
        <v>2019</v>
      </c>
      <c r="F7167" t="s">
        <v>71</v>
      </c>
    </row>
    <row r="7168" spans="1:6" x14ac:dyDescent="0.25">
      <c r="A7168" t="s">
        <v>40</v>
      </c>
      <c r="B7168" t="s">
        <v>41</v>
      </c>
      <c r="C7168" t="s">
        <v>60</v>
      </c>
      <c r="D7168">
        <v>1513.89</v>
      </c>
      <c r="E7168">
        <v>2019</v>
      </c>
      <c r="F7168" t="s">
        <v>71</v>
      </c>
    </row>
    <row r="7169" spans="1:6" x14ac:dyDescent="0.25">
      <c r="A7169" t="s">
        <v>42</v>
      </c>
      <c r="B7169" t="s">
        <v>43</v>
      </c>
      <c r="C7169" t="s">
        <v>60</v>
      </c>
      <c r="E7169">
        <v>2019</v>
      </c>
      <c r="F7169" t="s">
        <v>71</v>
      </c>
    </row>
    <row r="7170" spans="1:6" x14ac:dyDescent="0.25">
      <c r="A7170" t="s">
        <v>44</v>
      </c>
      <c r="B7170" t="s">
        <v>45</v>
      </c>
      <c r="C7170" t="s">
        <v>60</v>
      </c>
      <c r="D7170">
        <v>1425.73</v>
      </c>
      <c r="E7170">
        <v>2019</v>
      </c>
      <c r="F7170" t="s">
        <v>71</v>
      </c>
    </row>
    <row r="7171" spans="1:6" x14ac:dyDescent="0.25">
      <c r="A7171" t="s">
        <v>46</v>
      </c>
      <c r="B7171" t="s">
        <v>47</v>
      </c>
      <c r="C7171" t="s">
        <v>60</v>
      </c>
      <c r="D7171">
        <v>633.03</v>
      </c>
      <c r="E7171">
        <v>2019</v>
      </c>
      <c r="F7171" t="s">
        <v>71</v>
      </c>
    </row>
    <row r="7172" spans="1:6" x14ac:dyDescent="0.25">
      <c r="A7172" t="s">
        <v>48</v>
      </c>
      <c r="B7172" t="s">
        <v>49</v>
      </c>
      <c r="C7172" t="s">
        <v>60</v>
      </c>
      <c r="D7172">
        <v>1048.45</v>
      </c>
      <c r="E7172">
        <v>2019</v>
      </c>
      <c r="F7172" t="s">
        <v>71</v>
      </c>
    </row>
    <row r="7173" spans="1:6" x14ac:dyDescent="0.25">
      <c r="A7173" t="s">
        <v>50</v>
      </c>
      <c r="B7173" t="s">
        <v>51</v>
      </c>
      <c r="C7173" t="s">
        <v>60</v>
      </c>
      <c r="D7173">
        <v>675.49</v>
      </c>
      <c r="E7173">
        <v>2019</v>
      </c>
      <c r="F7173" t="s">
        <v>71</v>
      </c>
    </row>
    <row r="7174" spans="1:6" x14ac:dyDescent="0.25">
      <c r="A7174" t="s">
        <v>52</v>
      </c>
      <c r="B7174" t="s">
        <v>53</v>
      </c>
      <c r="C7174" t="s">
        <v>60</v>
      </c>
      <c r="D7174">
        <v>641.13</v>
      </c>
      <c r="E7174">
        <v>2019</v>
      </c>
      <c r="F7174" t="s">
        <v>71</v>
      </c>
    </row>
    <row r="7175" spans="1:6" x14ac:dyDescent="0.25">
      <c r="A7175" t="s">
        <v>54</v>
      </c>
      <c r="B7175" t="s">
        <v>55</v>
      </c>
      <c r="C7175" t="s">
        <v>60</v>
      </c>
      <c r="D7175">
        <v>8700.26</v>
      </c>
      <c r="E7175">
        <v>2019</v>
      </c>
      <c r="F7175" t="s">
        <v>71</v>
      </c>
    </row>
    <row r="7176" spans="1:6" x14ac:dyDescent="0.25">
      <c r="A7176" t="s">
        <v>56</v>
      </c>
      <c r="B7176" t="s">
        <v>57</v>
      </c>
      <c r="C7176" t="s">
        <v>60</v>
      </c>
      <c r="E7176">
        <v>2019</v>
      </c>
      <c r="F7176" t="s">
        <v>71</v>
      </c>
    </row>
    <row r="7177" spans="1:6" x14ac:dyDescent="0.25">
      <c r="A7177" t="s">
        <v>58</v>
      </c>
      <c r="B7177" t="s">
        <v>59</v>
      </c>
      <c r="C7177" t="s">
        <v>60</v>
      </c>
      <c r="E7177">
        <v>2019</v>
      </c>
      <c r="F7177" t="s">
        <v>71</v>
      </c>
    </row>
    <row r="7178" spans="1:6" x14ac:dyDescent="0.25">
      <c r="A7178" t="s">
        <v>6</v>
      </c>
      <c r="B7178" t="s">
        <v>7</v>
      </c>
      <c r="C7178" t="s">
        <v>61</v>
      </c>
      <c r="D7178">
        <v>27255.91</v>
      </c>
      <c r="E7178">
        <v>2019</v>
      </c>
      <c r="F7178" t="s">
        <v>71</v>
      </c>
    </row>
    <row r="7179" spans="1:6" x14ac:dyDescent="0.25">
      <c r="A7179" t="s">
        <v>10</v>
      </c>
      <c r="B7179" t="s">
        <v>11</v>
      </c>
      <c r="C7179" t="s">
        <v>61</v>
      </c>
      <c r="D7179">
        <v>13187.35</v>
      </c>
      <c r="E7179">
        <v>2019</v>
      </c>
      <c r="F7179" t="s">
        <v>71</v>
      </c>
    </row>
    <row r="7180" spans="1:6" x14ac:dyDescent="0.25">
      <c r="A7180" t="s">
        <v>12</v>
      </c>
      <c r="B7180" t="s">
        <v>13</v>
      </c>
      <c r="C7180" t="s">
        <v>61</v>
      </c>
      <c r="D7180">
        <v>1174.28</v>
      </c>
      <c r="E7180">
        <v>2019</v>
      </c>
      <c r="F7180" t="s">
        <v>71</v>
      </c>
    </row>
    <row r="7181" spans="1:6" x14ac:dyDescent="0.25">
      <c r="A7181" t="s">
        <v>14</v>
      </c>
      <c r="B7181" t="s">
        <v>15</v>
      </c>
      <c r="C7181" t="s">
        <v>61</v>
      </c>
      <c r="D7181">
        <v>16.690000000000001</v>
      </c>
      <c r="E7181">
        <v>2019</v>
      </c>
      <c r="F7181" t="s">
        <v>71</v>
      </c>
    </row>
    <row r="7182" spans="1:6" x14ac:dyDescent="0.25">
      <c r="A7182" t="s">
        <v>16</v>
      </c>
      <c r="B7182" t="s">
        <v>17</v>
      </c>
      <c r="C7182" t="s">
        <v>61</v>
      </c>
      <c r="D7182">
        <v>448.1</v>
      </c>
      <c r="E7182">
        <v>2019</v>
      </c>
      <c r="F7182" t="s">
        <v>71</v>
      </c>
    </row>
    <row r="7183" spans="1:6" x14ac:dyDescent="0.25">
      <c r="A7183" t="s">
        <v>18</v>
      </c>
      <c r="B7183" t="s">
        <v>19</v>
      </c>
      <c r="C7183" t="s">
        <v>61</v>
      </c>
      <c r="D7183">
        <v>298.02</v>
      </c>
      <c r="E7183">
        <v>2019</v>
      </c>
      <c r="F7183" t="s">
        <v>71</v>
      </c>
    </row>
    <row r="7184" spans="1:6" x14ac:dyDescent="0.25">
      <c r="A7184" t="s">
        <v>20</v>
      </c>
      <c r="B7184" t="s">
        <v>21</v>
      </c>
      <c r="C7184" t="s">
        <v>61</v>
      </c>
      <c r="D7184">
        <v>181.02</v>
      </c>
      <c r="E7184">
        <v>2019</v>
      </c>
      <c r="F7184" t="s">
        <v>71</v>
      </c>
    </row>
    <row r="7185" spans="1:6" x14ac:dyDescent="0.25">
      <c r="A7185" t="s">
        <v>22</v>
      </c>
      <c r="B7185" t="s">
        <v>23</v>
      </c>
      <c r="C7185" t="s">
        <v>61</v>
      </c>
      <c r="D7185">
        <v>533.80999999999995</v>
      </c>
      <c r="E7185">
        <v>2019</v>
      </c>
      <c r="F7185" t="s">
        <v>71</v>
      </c>
    </row>
    <row r="7186" spans="1:6" x14ac:dyDescent="0.25">
      <c r="A7186" t="s">
        <v>24</v>
      </c>
      <c r="B7186" t="s">
        <v>25</v>
      </c>
      <c r="C7186" t="s">
        <v>61</v>
      </c>
      <c r="D7186">
        <v>1574.07</v>
      </c>
      <c r="E7186">
        <v>2019</v>
      </c>
      <c r="F7186" t="s">
        <v>71</v>
      </c>
    </row>
    <row r="7187" spans="1:6" x14ac:dyDescent="0.25">
      <c r="A7187" t="s">
        <v>26</v>
      </c>
      <c r="B7187" t="s">
        <v>27</v>
      </c>
      <c r="C7187" t="s">
        <v>61</v>
      </c>
      <c r="D7187">
        <v>387.59</v>
      </c>
      <c r="E7187">
        <v>2019</v>
      </c>
      <c r="F7187" t="s">
        <v>71</v>
      </c>
    </row>
    <row r="7188" spans="1:6" x14ac:dyDescent="0.25">
      <c r="A7188" t="s">
        <v>28</v>
      </c>
      <c r="B7188" t="s">
        <v>29</v>
      </c>
      <c r="C7188" t="s">
        <v>61</v>
      </c>
      <c r="D7188">
        <v>264.67</v>
      </c>
      <c r="E7188">
        <v>2019</v>
      </c>
      <c r="F7188" t="s">
        <v>71</v>
      </c>
    </row>
    <row r="7189" spans="1:6" x14ac:dyDescent="0.25">
      <c r="A7189" t="s">
        <v>30</v>
      </c>
      <c r="B7189" t="s">
        <v>31</v>
      </c>
      <c r="C7189" t="s">
        <v>61</v>
      </c>
      <c r="D7189">
        <v>1401.7</v>
      </c>
      <c r="E7189">
        <v>2019</v>
      </c>
      <c r="F7189" t="s">
        <v>71</v>
      </c>
    </row>
    <row r="7190" spans="1:6" x14ac:dyDescent="0.25">
      <c r="A7190" t="s">
        <v>32</v>
      </c>
      <c r="B7190" t="s">
        <v>33</v>
      </c>
      <c r="C7190" t="s">
        <v>61</v>
      </c>
      <c r="D7190">
        <v>541.66</v>
      </c>
      <c r="E7190">
        <v>2019</v>
      </c>
      <c r="F7190" t="s">
        <v>71</v>
      </c>
    </row>
    <row r="7191" spans="1:6" x14ac:dyDescent="0.25">
      <c r="A7191" t="s">
        <v>34</v>
      </c>
      <c r="B7191" t="s">
        <v>35</v>
      </c>
      <c r="C7191" t="s">
        <v>61</v>
      </c>
      <c r="D7191">
        <v>1470.85</v>
      </c>
      <c r="E7191">
        <v>2019</v>
      </c>
      <c r="F7191" t="s">
        <v>71</v>
      </c>
    </row>
    <row r="7192" spans="1:6" x14ac:dyDescent="0.25">
      <c r="A7192" t="s">
        <v>36</v>
      </c>
      <c r="B7192" t="s">
        <v>37</v>
      </c>
      <c r="C7192" t="s">
        <v>61</v>
      </c>
      <c r="D7192">
        <v>1320.05</v>
      </c>
      <c r="E7192">
        <v>2019</v>
      </c>
      <c r="F7192" t="s">
        <v>71</v>
      </c>
    </row>
    <row r="7193" spans="1:6" x14ac:dyDescent="0.25">
      <c r="A7193" t="s">
        <v>38</v>
      </c>
      <c r="B7193" t="s">
        <v>39</v>
      </c>
      <c r="C7193" t="s">
        <v>61</v>
      </c>
      <c r="D7193">
        <v>1229.76</v>
      </c>
      <c r="E7193">
        <v>2019</v>
      </c>
      <c r="F7193" t="s">
        <v>71</v>
      </c>
    </row>
    <row r="7194" spans="1:6" x14ac:dyDescent="0.25">
      <c r="A7194" t="s">
        <v>40</v>
      </c>
      <c r="B7194" t="s">
        <v>41</v>
      </c>
      <c r="C7194" t="s">
        <v>61</v>
      </c>
      <c r="D7194">
        <v>844.92</v>
      </c>
      <c r="E7194">
        <v>2019</v>
      </c>
      <c r="F7194" t="s">
        <v>71</v>
      </c>
    </row>
    <row r="7195" spans="1:6" x14ac:dyDescent="0.25">
      <c r="A7195" t="s">
        <v>42</v>
      </c>
      <c r="B7195" t="s">
        <v>43</v>
      </c>
      <c r="C7195" t="s">
        <v>61</v>
      </c>
      <c r="D7195">
        <v>176.88</v>
      </c>
      <c r="E7195">
        <v>2019</v>
      </c>
      <c r="F7195" t="s">
        <v>71</v>
      </c>
    </row>
    <row r="7196" spans="1:6" x14ac:dyDescent="0.25">
      <c r="A7196" t="s">
        <v>44</v>
      </c>
      <c r="B7196" t="s">
        <v>45</v>
      </c>
      <c r="C7196" t="s">
        <v>61</v>
      </c>
      <c r="D7196">
        <v>686.97</v>
      </c>
      <c r="E7196">
        <v>2019</v>
      </c>
      <c r="F7196" t="s">
        <v>71</v>
      </c>
    </row>
    <row r="7197" spans="1:6" x14ac:dyDescent="0.25">
      <c r="A7197" t="s">
        <v>46</v>
      </c>
      <c r="B7197" t="s">
        <v>47</v>
      </c>
      <c r="C7197" t="s">
        <v>61</v>
      </c>
      <c r="D7197">
        <v>90.25</v>
      </c>
      <c r="E7197">
        <v>2019</v>
      </c>
      <c r="F7197" t="s">
        <v>71</v>
      </c>
    </row>
    <row r="7198" spans="1:6" x14ac:dyDescent="0.25">
      <c r="A7198" t="s">
        <v>48</v>
      </c>
      <c r="B7198" t="s">
        <v>49</v>
      </c>
      <c r="C7198" t="s">
        <v>61</v>
      </c>
      <c r="D7198">
        <v>665.29</v>
      </c>
      <c r="E7198">
        <v>2019</v>
      </c>
      <c r="F7198" t="s">
        <v>71</v>
      </c>
    </row>
    <row r="7199" spans="1:6" x14ac:dyDescent="0.25">
      <c r="A7199" t="s">
        <v>50</v>
      </c>
      <c r="B7199" t="s">
        <v>51</v>
      </c>
      <c r="C7199" t="s">
        <v>61</v>
      </c>
      <c r="D7199">
        <v>214.91</v>
      </c>
      <c r="E7199">
        <v>2019</v>
      </c>
      <c r="F7199" t="s">
        <v>71</v>
      </c>
    </row>
    <row r="7200" spans="1:6" x14ac:dyDescent="0.25">
      <c r="A7200" t="s">
        <v>52</v>
      </c>
      <c r="B7200" t="s">
        <v>53</v>
      </c>
      <c r="C7200" t="s">
        <v>61</v>
      </c>
      <c r="D7200">
        <v>344.09</v>
      </c>
      <c r="E7200">
        <v>2019</v>
      </c>
      <c r="F7200" t="s">
        <v>71</v>
      </c>
    </row>
    <row r="7201" spans="1:6" x14ac:dyDescent="0.25">
      <c r="A7201" t="s">
        <v>54</v>
      </c>
      <c r="B7201" t="s">
        <v>55</v>
      </c>
      <c r="C7201" t="s">
        <v>61</v>
      </c>
      <c r="D7201">
        <v>36.65</v>
      </c>
      <c r="E7201">
        <v>2019</v>
      </c>
      <c r="F7201" t="s">
        <v>71</v>
      </c>
    </row>
    <row r="7202" spans="1:6" x14ac:dyDescent="0.25">
      <c r="A7202" t="s">
        <v>56</v>
      </c>
      <c r="B7202" t="s">
        <v>57</v>
      </c>
      <c r="C7202" t="s">
        <v>61</v>
      </c>
      <c r="D7202">
        <v>166.33</v>
      </c>
      <c r="E7202">
        <v>2019</v>
      </c>
      <c r="F7202" t="s">
        <v>71</v>
      </c>
    </row>
    <row r="7203" spans="1:6" x14ac:dyDescent="0.25">
      <c r="A7203" t="s">
        <v>58</v>
      </c>
      <c r="B7203" t="s">
        <v>59</v>
      </c>
      <c r="C7203" t="s">
        <v>61</v>
      </c>
      <c r="E7203">
        <v>2019</v>
      </c>
      <c r="F7203" t="s">
        <v>71</v>
      </c>
    </row>
    <row r="7204" spans="1:6" x14ac:dyDescent="0.25">
      <c r="A7204" t="s">
        <v>6</v>
      </c>
      <c r="B7204" t="s">
        <v>7</v>
      </c>
      <c r="C7204" t="s">
        <v>65</v>
      </c>
      <c r="D7204">
        <v>483903.22</v>
      </c>
      <c r="E7204">
        <v>2019</v>
      </c>
      <c r="F7204" t="s">
        <v>71</v>
      </c>
    </row>
    <row r="7205" spans="1:6" x14ac:dyDescent="0.25">
      <c r="A7205" t="s">
        <v>10</v>
      </c>
      <c r="B7205" t="s">
        <v>11</v>
      </c>
      <c r="C7205" t="s">
        <v>65</v>
      </c>
      <c r="D7205">
        <v>67752.759999999995</v>
      </c>
      <c r="E7205">
        <v>2019</v>
      </c>
      <c r="F7205" t="s">
        <v>71</v>
      </c>
    </row>
    <row r="7206" spans="1:6" x14ac:dyDescent="0.25">
      <c r="A7206" t="s">
        <v>12</v>
      </c>
      <c r="B7206" t="s">
        <v>13</v>
      </c>
      <c r="C7206" t="s">
        <v>65</v>
      </c>
      <c r="D7206">
        <v>26489.360000000001</v>
      </c>
      <c r="E7206">
        <v>2019</v>
      </c>
      <c r="F7206" t="s">
        <v>71</v>
      </c>
    </row>
    <row r="7207" spans="1:6" x14ac:dyDescent="0.25">
      <c r="A7207" t="s">
        <v>14</v>
      </c>
      <c r="B7207" t="s">
        <v>15</v>
      </c>
      <c r="C7207" t="s">
        <v>65</v>
      </c>
      <c r="D7207">
        <v>1038.77</v>
      </c>
      <c r="E7207">
        <v>2019</v>
      </c>
      <c r="F7207" t="s">
        <v>71</v>
      </c>
    </row>
    <row r="7208" spans="1:6" x14ac:dyDescent="0.25">
      <c r="A7208" t="s">
        <v>16</v>
      </c>
      <c r="B7208" t="s">
        <v>17</v>
      </c>
      <c r="C7208" t="s">
        <v>65</v>
      </c>
      <c r="D7208">
        <v>14607.35</v>
      </c>
      <c r="E7208">
        <v>2019</v>
      </c>
      <c r="F7208" t="s">
        <v>71</v>
      </c>
    </row>
    <row r="7209" spans="1:6" x14ac:dyDescent="0.25">
      <c r="A7209" t="s">
        <v>18</v>
      </c>
      <c r="B7209" t="s">
        <v>19</v>
      </c>
      <c r="C7209" t="s">
        <v>65</v>
      </c>
      <c r="D7209">
        <v>4257.5600000000004</v>
      </c>
      <c r="E7209">
        <v>2019</v>
      </c>
      <c r="F7209" t="s">
        <v>71</v>
      </c>
    </row>
    <row r="7210" spans="1:6" x14ac:dyDescent="0.25">
      <c r="A7210" t="s">
        <v>20</v>
      </c>
      <c r="B7210" t="s">
        <v>21</v>
      </c>
      <c r="C7210" t="s">
        <v>65</v>
      </c>
      <c r="D7210">
        <v>2785.55</v>
      </c>
      <c r="E7210">
        <v>2019</v>
      </c>
      <c r="F7210" t="s">
        <v>71</v>
      </c>
    </row>
    <row r="7211" spans="1:6" x14ac:dyDescent="0.25">
      <c r="A7211" t="s">
        <v>22</v>
      </c>
      <c r="B7211" t="s">
        <v>23</v>
      </c>
      <c r="C7211" t="s">
        <v>65</v>
      </c>
      <c r="D7211">
        <v>1431.3</v>
      </c>
      <c r="E7211">
        <v>2019</v>
      </c>
      <c r="F7211" t="s">
        <v>71</v>
      </c>
    </row>
    <row r="7212" spans="1:6" x14ac:dyDescent="0.25">
      <c r="A7212" t="s">
        <v>24</v>
      </c>
      <c r="B7212" t="s">
        <v>25</v>
      </c>
      <c r="C7212" t="s">
        <v>65</v>
      </c>
      <c r="D7212">
        <v>12719.13</v>
      </c>
      <c r="E7212">
        <v>2019</v>
      </c>
      <c r="F7212" t="s">
        <v>71</v>
      </c>
    </row>
    <row r="7213" spans="1:6" x14ac:dyDescent="0.25">
      <c r="A7213" t="s">
        <v>26</v>
      </c>
      <c r="B7213" t="s">
        <v>27</v>
      </c>
      <c r="C7213" t="s">
        <v>65</v>
      </c>
      <c r="D7213">
        <v>809.64</v>
      </c>
      <c r="E7213">
        <v>2019</v>
      </c>
      <c r="F7213" t="s">
        <v>71</v>
      </c>
    </row>
    <row r="7214" spans="1:6" x14ac:dyDescent="0.25">
      <c r="A7214" t="s">
        <v>28</v>
      </c>
      <c r="B7214" t="s">
        <v>29</v>
      </c>
      <c r="C7214" t="s">
        <v>65</v>
      </c>
      <c r="D7214">
        <v>30157.27</v>
      </c>
      <c r="E7214">
        <v>2019</v>
      </c>
      <c r="F7214" t="s">
        <v>71</v>
      </c>
    </row>
    <row r="7215" spans="1:6" x14ac:dyDescent="0.25">
      <c r="A7215" t="s">
        <v>30</v>
      </c>
      <c r="B7215" t="s">
        <v>31</v>
      </c>
      <c r="C7215" t="s">
        <v>65</v>
      </c>
      <c r="D7215">
        <v>42767.83</v>
      </c>
      <c r="E7215">
        <v>2019</v>
      </c>
      <c r="F7215" t="s">
        <v>71</v>
      </c>
    </row>
    <row r="7216" spans="1:6" x14ac:dyDescent="0.25">
      <c r="A7216" t="s">
        <v>32</v>
      </c>
      <c r="B7216" t="s">
        <v>33</v>
      </c>
      <c r="C7216" t="s">
        <v>65</v>
      </c>
      <c r="D7216">
        <v>2292.0100000000002</v>
      </c>
      <c r="E7216">
        <v>2019</v>
      </c>
      <c r="F7216" t="s">
        <v>71</v>
      </c>
    </row>
    <row r="7217" spans="1:6" x14ac:dyDescent="0.25">
      <c r="A7217" t="s">
        <v>34</v>
      </c>
      <c r="B7217" t="s">
        <v>35</v>
      </c>
      <c r="C7217" t="s">
        <v>65</v>
      </c>
      <c r="D7217">
        <v>19711.73</v>
      </c>
      <c r="E7217">
        <v>2019</v>
      </c>
      <c r="F7217" t="s">
        <v>71</v>
      </c>
    </row>
    <row r="7218" spans="1:6" x14ac:dyDescent="0.25">
      <c r="A7218" t="s">
        <v>36</v>
      </c>
      <c r="B7218" t="s">
        <v>37</v>
      </c>
      <c r="C7218" t="s">
        <v>65</v>
      </c>
      <c r="D7218">
        <v>24657.85</v>
      </c>
      <c r="E7218">
        <v>2019</v>
      </c>
      <c r="F7218" t="s">
        <v>71</v>
      </c>
    </row>
    <row r="7219" spans="1:6" x14ac:dyDescent="0.25">
      <c r="A7219" t="s">
        <v>38</v>
      </c>
      <c r="B7219" t="s">
        <v>39</v>
      </c>
      <c r="C7219" t="s">
        <v>65</v>
      </c>
      <c r="D7219">
        <v>32010.18</v>
      </c>
      <c r="E7219">
        <v>2019</v>
      </c>
      <c r="F7219" t="s">
        <v>71</v>
      </c>
    </row>
    <row r="7220" spans="1:6" x14ac:dyDescent="0.25">
      <c r="A7220" t="s">
        <v>40</v>
      </c>
      <c r="B7220" t="s">
        <v>41</v>
      </c>
      <c r="C7220" t="s">
        <v>65</v>
      </c>
      <c r="D7220">
        <v>21632</v>
      </c>
      <c r="E7220">
        <v>2019</v>
      </c>
      <c r="F7220" t="s">
        <v>71</v>
      </c>
    </row>
    <row r="7221" spans="1:6" x14ac:dyDescent="0.25">
      <c r="A7221" t="s">
        <v>42</v>
      </c>
      <c r="B7221" t="s">
        <v>43</v>
      </c>
      <c r="C7221" t="s">
        <v>65</v>
      </c>
      <c r="D7221">
        <v>10942.67</v>
      </c>
      <c r="E7221">
        <v>2019</v>
      </c>
      <c r="F7221" t="s">
        <v>71</v>
      </c>
    </row>
    <row r="7222" spans="1:6" x14ac:dyDescent="0.25">
      <c r="A7222" t="s">
        <v>44</v>
      </c>
      <c r="B7222" t="s">
        <v>45</v>
      </c>
      <c r="C7222" t="s">
        <v>65</v>
      </c>
      <c r="D7222">
        <v>33183.03</v>
      </c>
      <c r="E7222">
        <v>2019</v>
      </c>
      <c r="F7222" t="s">
        <v>71</v>
      </c>
    </row>
    <row r="7223" spans="1:6" x14ac:dyDescent="0.25">
      <c r="A7223" t="s">
        <v>46</v>
      </c>
      <c r="B7223" t="s">
        <v>47</v>
      </c>
      <c r="C7223" t="s">
        <v>65</v>
      </c>
      <c r="D7223">
        <v>44628.09</v>
      </c>
      <c r="E7223">
        <v>2019</v>
      </c>
      <c r="F7223" t="s">
        <v>71</v>
      </c>
    </row>
    <row r="7224" spans="1:6" x14ac:dyDescent="0.25">
      <c r="A7224" t="s">
        <v>48</v>
      </c>
      <c r="B7224" t="s">
        <v>49</v>
      </c>
      <c r="C7224" t="s">
        <v>65</v>
      </c>
      <c r="D7224">
        <v>86643.199999999997</v>
      </c>
      <c r="E7224">
        <v>2019</v>
      </c>
      <c r="F7224" t="s">
        <v>71</v>
      </c>
    </row>
    <row r="7225" spans="1:6" x14ac:dyDescent="0.25">
      <c r="A7225" t="s">
        <v>50</v>
      </c>
      <c r="B7225" t="s">
        <v>51</v>
      </c>
      <c r="C7225" t="s">
        <v>65</v>
      </c>
      <c r="D7225">
        <v>1929.65</v>
      </c>
      <c r="E7225">
        <v>2019</v>
      </c>
      <c r="F7225" t="s">
        <v>71</v>
      </c>
    </row>
    <row r="7226" spans="1:6" x14ac:dyDescent="0.25">
      <c r="A7226" t="s">
        <v>52</v>
      </c>
      <c r="B7226" t="s">
        <v>53</v>
      </c>
      <c r="C7226" t="s">
        <v>65</v>
      </c>
      <c r="D7226">
        <v>808.09</v>
      </c>
      <c r="E7226">
        <v>2019</v>
      </c>
      <c r="F7226" t="s">
        <v>71</v>
      </c>
    </row>
    <row r="7227" spans="1:6" x14ac:dyDescent="0.25">
      <c r="A7227" t="s">
        <v>54</v>
      </c>
      <c r="B7227" t="s">
        <v>55</v>
      </c>
      <c r="C7227" t="s">
        <v>65</v>
      </c>
      <c r="D7227">
        <v>648.20000000000005</v>
      </c>
      <c r="E7227">
        <v>2019</v>
      </c>
      <c r="F7227" t="s">
        <v>71</v>
      </c>
    </row>
    <row r="7228" spans="1:6" x14ac:dyDescent="0.25">
      <c r="A7228" t="s">
        <v>56</v>
      </c>
      <c r="B7228" t="s">
        <v>57</v>
      </c>
      <c r="C7228" t="s">
        <v>65</v>
      </c>
      <c r="E7228">
        <v>2019</v>
      </c>
      <c r="F7228" t="s">
        <v>71</v>
      </c>
    </row>
    <row r="7229" spans="1:6" x14ac:dyDescent="0.25">
      <c r="A7229" t="s">
        <v>58</v>
      </c>
      <c r="B7229" t="s">
        <v>59</v>
      </c>
      <c r="C7229" t="s">
        <v>65</v>
      </c>
      <c r="E7229">
        <v>2019</v>
      </c>
      <c r="F7229" t="s">
        <v>71</v>
      </c>
    </row>
    <row r="7230" spans="1:6" x14ac:dyDescent="0.25">
      <c r="A7230" t="s">
        <v>6</v>
      </c>
      <c r="B7230" t="s">
        <v>7</v>
      </c>
      <c r="C7230" t="s">
        <v>62</v>
      </c>
      <c r="D7230">
        <v>67626.009999999995</v>
      </c>
      <c r="E7230">
        <v>2019</v>
      </c>
      <c r="F7230" t="s">
        <v>71</v>
      </c>
    </row>
    <row r="7231" spans="1:6" x14ac:dyDescent="0.25">
      <c r="A7231" t="s">
        <v>10</v>
      </c>
      <c r="B7231" t="s">
        <v>11</v>
      </c>
      <c r="C7231" t="s">
        <v>62</v>
      </c>
      <c r="D7231">
        <v>25955.65</v>
      </c>
      <c r="E7231">
        <v>2019</v>
      </c>
      <c r="F7231" t="s">
        <v>71</v>
      </c>
    </row>
    <row r="7232" spans="1:6" x14ac:dyDescent="0.25">
      <c r="A7232" t="s">
        <v>12</v>
      </c>
      <c r="B7232" t="s">
        <v>13</v>
      </c>
      <c r="C7232" t="s">
        <v>62</v>
      </c>
      <c r="D7232">
        <v>3637.15</v>
      </c>
      <c r="E7232">
        <v>2019</v>
      </c>
      <c r="F7232" t="s">
        <v>71</v>
      </c>
    </row>
    <row r="7233" spans="1:6" x14ac:dyDescent="0.25">
      <c r="A7233" t="s">
        <v>14</v>
      </c>
      <c r="B7233" t="s">
        <v>15</v>
      </c>
      <c r="C7233" t="s">
        <v>62</v>
      </c>
      <c r="E7233">
        <v>2019</v>
      </c>
      <c r="F7233" t="s">
        <v>71</v>
      </c>
    </row>
    <row r="7234" spans="1:6" x14ac:dyDescent="0.25">
      <c r="A7234" t="s">
        <v>16</v>
      </c>
      <c r="B7234" t="s">
        <v>17</v>
      </c>
      <c r="C7234" t="s">
        <v>62</v>
      </c>
      <c r="D7234">
        <v>1692.97</v>
      </c>
      <c r="E7234">
        <v>2019</v>
      </c>
      <c r="F7234" t="s">
        <v>71</v>
      </c>
    </row>
    <row r="7235" spans="1:6" x14ac:dyDescent="0.25">
      <c r="A7235" t="s">
        <v>18</v>
      </c>
      <c r="B7235" t="s">
        <v>19</v>
      </c>
      <c r="C7235" t="s">
        <v>62</v>
      </c>
      <c r="D7235">
        <v>3057.09</v>
      </c>
      <c r="E7235">
        <v>2019</v>
      </c>
      <c r="F7235" t="s">
        <v>71</v>
      </c>
    </row>
    <row r="7236" spans="1:6" x14ac:dyDescent="0.25">
      <c r="A7236" t="s">
        <v>20</v>
      </c>
      <c r="B7236" t="s">
        <v>21</v>
      </c>
      <c r="C7236" t="s">
        <v>62</v>
      </c>
      <c r="D7236">
        <v>134.49</v>
      </c>
      <c r="E7236">
        <v>2019</v>
      </c>
      <c r="F7236" t="s">
        <v>71</v>
      </c>
    </row>
    <row r="7237" spans="1:6" x14ac:dyDescent="0.25">
      <c r="A7237" t="s">
        <v>22</v>
      </c>
      <c r="B7237" t="s">
        <v>23</v>
      </c>
      <c r="C7237" t="s">
        <v>62</v>
      </c>
      <c r="D7237">
        <v>164</v>
      </c>
      <c r="E7237">
        <v>2019</v>
      </c>
      <c r="F7237" t="s">
        <v>71</v>
      </c>
    </row>
    <row r="7238" spans="1:6" x14ac:dyDescent="0.25">
      <c r="A7238" t="s">
        <v>24</v>
      </c>
      <c r="B7238" t="s">
        <v>25</v>
      </c>
      <c r="C7238" t="s">
        <v>62</v>
      </c>
      <c r="D7238">
        <v>1851.79</v>
      </c>
      <c r="E7238">
        <v>2019</v>
      </c>
      <c r="F7238" t="s">
        <v>71</v>
      </c>
    </row>
    <row r="7239" spans="1:6" x14ac:dyDescent="0.25">
      <c r="A7239" t="s">
        <v>26</v>
      </c>
      <c r="B7239" t="s">
        <v>27</v>
      </c>
      <c r="C7239" t="s">
        <v>62</v>
      </c>
      <c r="D7239">
        <v>883.38</v>
      </c>
      <c r="E7239">
        <v>2019</v>
      </c>
      <c r="F7239" t="s">
        <v>71</v>
      </c>
    </row>
    <row r="7240" spans="1:6" x14ac:dyDescent="0.25">
      <c r="A7240" t="s">
        <v>28</v>
      </c>
      <c r="B7240" t="s">
        <v>29</v>
      </c>
      <c r="C7240" t="s">
        <v>62</v>
      </c>
      <c r="D7240">
        <v>5988.78</v>
      </c>
      <c r="E7240">
        <v>2019</v>
      </c>
      <c r="F7240" t="s">
        <v>71</v>
      </c>
    </row>
    <row r="7241" spans="1:6" x14ac:dyDescent="0.25">
      <c r="A7241" t="s">
        <v>30</v>
      </c>
      <c r="B7241" t="s">
        <v>31</v>
      </c>
      <c r="C7241" t="s">
        <v>62</v>
      </c>
      <c r="D7241">
        <v>4098.8999999999996</v>
      </c>
      <c r="E7241">
        <v>2019</v>
      </c>
      <c r="F7241" t="s">
        <v>71</v>
      </c>
    </row>
    <row r="7242" spans="1:6" x14ac:dyDescent="0.25">
      <c r="A7242" t="s">
        <v>32</v>
      </c>
      <c r="B7242" t="s">
        <v>33</v>
      </c>
      <c r="C7242" t="s">
        <v>62</v>
      </c>
      <c r="D7242">
        <v>977.97</v>
      </c>
      <c r="E7242">
        <v>2019</v>
      </c>
      <c r="F7242" t="s">
        <v>71</v>
      </c>
    </row>
    <row r="7243" spans="1:6" x14ac:dyDescent="0.25">
      <c r="A7243" t="s">
        <v>34</v>
      </c>
      <c r="B7243" t="s">
        <v>35</v>
      </c>
      <c r="C7243" t="s">
        <v>62</v>
      </c>
      <c r="D7243">
        <v>3142.62</v>
      </c>
      <c r="E7243">
        <v>2019</v>
      </c>
      <c r="F7243" t="s">
        <v>71</v>
      </c>
    </row>
    <row r="7244" spans="1:6" x14ac:dyDescent="0.25">
      <c r="A7244" t="s">
        <v>36</v>
      </c>
      <c r="B7244" t="s">
        <v>37</v>
      </c>
      <c r="C7244" t="s">
        <v>62</v>
      </c>
      <c r="D7244">
        <v>4256.3900000000003</v>
      </c>
      <c r="E7244">
        <v>2019</v>
      </c>
      <c r="F7244" t="s">
        <v>71</v>
      </c>
    </row>
    <row r="7245" spans="1:6" x14ac:dyDescent="0.25">
      <c r="A7245" t="s">
        <v>38</v>
      </c>
      <c r="B7245" t="s">
        <v>39</v>
      </c>
      <c r="C7245" t="s">
        <v>62</v>
      </c>
      <c r="D7245">
        <v>5672.19</v>
      </c>
      <c r="E7245">
        <v>2019</v>
      </c>
      <c r="F7245" t="s">
        <v>71</v>
      </c>
    </row>
    <row r="7246" spans="1:6" x14ac:dyDescent="0.25">
      <c r="A7246" t="s">
        <v>40</v>
      </c>
      <c r="B7246" t="s">
        <v>41</v>
      </c>
      <c r="C7246" t="s">
        <v>62</v>
      </c>
      <c r="D7246">
        <v>2322.9</v>
      </c>
      <c r="E7246">
        <v>2019</v>
      </c>
      <c r="F7246" t="s">
        <v>71</v>
      </c>
    </row>
    <row r="7247" spans="1:6" x14ac:dyDescent="0.25">
      <c r="A7247" t="s">
        <v>42</v>
      </c>
      <c r="B7247" t="s">
        <v>43</v>
      </c>
      <c r="C7247" t="s">
        <v>62</v>
      </c>
      <c r="D7247">
        <v>16.149999999999999</v>
      </c>
      <c r="E7247">
        <v>2019</v>
      </c>
      <c r="F7247" t="s">
        <v>71</v>
      </c>
    </row>
    <row r="7248" spans="1:6" x14ac:dyDescent="0.25">
      <c r="A7248" t="s">
        <v>44</v>
      </c>
      <c r="B7248" t="s">
        <v>45</v>
      </c>
      <c r="C7248" t="s">
        <v>62</v>
      </c>
      <c r="D7248">
        <v>875.44</v>
      </c>
      <c r="E7248">
        <v>2019</v>
      </c>
      <c r="F7248" t="s">
        <v>71</v>
      </c>
    </row>
    <row r="7249" spans="1:6" x14ac:dyDescent="0.25">
      <c r="A7249" t="s">
        <v>46</v>
      </c>
      <c r="B7249" t="s">
        <v>47</v>
      </c>
      <c r="C7249" t="s">
        <v>62</v>
      </c>
      <c r="D7249">
        <v>521.03</v>
      </c>
      <c r="E7249">
        <v>2019</v>
      </c>
      <c r="F7249" t="s">
        <v>71</v>
      </c>
    </row>
    <row r="7250" spans="1:6" x14ac:dyDescent="0.25">
      <c r="A7250" t="s">
        <v>48</v>
      </c>
      <c r="B7250" t="s">
        <v>49</v>
      </c>
      <c r="C7250" t="s">
        <v>62</v>
      </c>
      <c r="D7250">
        <v>330.95</v>
      </c>
      <c r="E7250">
        <v>2019</v>
      </c>
      <c r="F7250" t="s">
        <v>71</v>
      </c>
    </row>
    <row r="7251" spans="1:6" x14ac:dyDescent="0.25">
      <c r="A7251" t="s">
        <v>50</v>
      </c>
      <c r="B7251" t="s">
        <v>51</v>
      </c>
      <c r="C7251" t="s">
        <v>62</v>
      </c>
      <c r="D7251">
        <v>235.64</v>
      </c>
      <c r="E7251">
        <v>2019</v>
      </c>
      <c r="F7251" t="s">
        <v>71</v>
      </c>
    </row>
    <row r="7252" spans="1:6" x14ac:dyDescent="0.25">
      <c r="A7252" t="s">
        <v>52</v>
      </c>
      <c r="B7252" t="s">
        <v>53</v>
      </c>
      <c r="C7252" t="s">
        <v>62</v>
      </c>
      <c r="D7252">
        <v>257.33999999999997</v>
      </c>
      <c r="E7252">
        <v>2019</v>
      </c>
      <c r="F7252" t="s">
        <v>71</v>
      </c>
    </row>
    <row r="7253" spans="1:6" x14ac:dyDescent="0.25">
      <c r="A7253" t="s">
        <v>54</v>
      </c>
      <c r="B7253" t="s">
        <v>55</v>
      </c>
      <c r="C7253" t="s">
        <v>62</v>
      </c>
      <c r="D7253">
        <v>749.65</v>
      </c>
      <c r="E7253">
        <v>2019</v>
      </c>
      <c r="F7253" t="s">
        <v>71</v>
      </c>
    </row>
    <row r="7254" spans="1:6" x14ac:dyDescent="0.25">
      <c r="A7254" t="s">
        <v>56</v>
      </c>
      <c r="B7254" t="s">
        <v>57</v>
      </c>
      <c r="C7254" t="s">
        <v>62</v>
      </c>
      <c r="D7254">
        <v>803.54</v>
      </c>
      <c r="E7254">
        <v>2019</v>
      </c>
      <c r="F7254" t="s">
        <v>71</v>
      </c>
    </row>
    <row r="7255" spans="1:6" x14ac:dyDescent="0.25">
      <c r="A7255" t="s">
        <v>58</v>
      </c>
      <c r="B7255" t="s">
        <v>59</v>
      </c>
      <c r="C7255" t="s">
        <v>62</v>
      </c>
      <c r="E7255">
        <v>2019</v>
      </c>
      <c r="F7255" t="s">
        <v>71</v>
      </c>
    </row>
    <row r="7256" spans="1:6" x14ac:dyDescent="0.25">
      <c r="A7256" t="s">
        <v>6</v>
      </c>
      <c r="B7256" t="s">
        <v>7</v>
      </c>
      <c r="C7256" t="s">
        <v>66</v>
      </c>
      <c r="D7256">
        <v>14247.53</v>
      </c>
      <c r="E7256">
        <v>2019</v>
      </c>
      <c r="F7256" t="s">
        <v>71</v>
      </c>
    </row>
    <row r="7257" spans="1:6" x14ac:dyDescent="0.25">
      <c r="A7257" t="s">
        <v>10</v>
      </c>
      <c r="B7257" t="s">
        <v>11</v>
      </c>
      <c r="C7257" t="s">
        <v>66</v>
      </c>
      <c r="D7257">
        <v>6699.67</v>
      </c>
      <c r="E7257">
        <v>2019</v>
      </c>
      <c r="F7257" t="s">
        <v>71</v>
      </c>
    </row>
    <row r="7258" spans="1:6" x14ac:dyDescent="0.25">
      <c r="A7258" t="s">
        <v>12</v>
      </c>
      <c r="B7258" t="s">
        <v>13</v>
      </c>
      <c r="C7258" t="s">
        <v>66</v>
      </c>
      <c r="D7258">
        <v>778.82</v>
      </c>
      <c r="E7258">
        <v>2019</v>
      </c>
      <c r="F7258" t="s">
        <v>71</v>
      </c>
    </row>
    <row r="7259" spans="1:6" x14ac:dyDescent="0.25">
      <c r="A7259" t="s">
        <v>14</v>
      </c>
      <c r="B7259" t="s">
        <v>15</v>
      </c>
      <c r="C7259" t="s">
        <v>66</v>
      </c>
      <c r="E7259">
        <v>2019</v>
      </c>
      <c r="F7259" t="s">
        <v>71</v>
      </c>
    </row>
    <row r="7260" spans="1:6" x14ac:dyDescent="0.25">
      <c r="A7260" t="s">
        <v>16</v>
      </c>
      <c r="B7260" t="s">
        <v>17</v>
      </c>
      <c r="C7260" t="s">
        <v>66</v>
      </c>
      <c r="D7260">
        <v>185.45</v>
      </c>
      <c r="E7260">
        <v>2019</v>
      </c>
      <c r="F7260" t="s">
        <v>71</v>
      </c>
    </row>
    <row r="7261" spans="1:6" x14ac:dyDescent="0.25">
      <c r="A7261" t="s">
        <v>18</v>
      </c>
      <c r="B7261" t="s">
        <v>19</v>
      </c>
      <c r="C7261" t="s">
        <v>66</v>
      </c>
      <c r="D7261">
        <v>56.27</v>
      </c>
      <c r="E7261">
        <v>2019</v>
      </c>
      <c r="F7261" t="s">
        <v>71</v>
      </c>
    </row>
    <row r="7262" spans="1:6" x14ac:dyDescent="0.25">
      <c r="A7262" t="s">
        <v>20</v>
      </c>
      <c r="B7262" t="s">
        <v>21</v>
      </c>
      <c r="C7262" t="s">
        <v>66</v>
      </c>
      <c r="D7262">
        <v>264.23</v>
      </c>
      <c r="E7262">
        <v>2019</v>
      </c>
      <c r="F7262" t="s">
        <v>71</v>
      </c>
    </row>
    <row r="7263" spans="1:6" x14ac:dyDescent="0.25">
      <c r="A7263" t="s">
        <v>22</v>
      </c>
      <c r="B7263" t="s">
        <v>23</v>
      </c>
      <c r="C7263" t="s">
        <v>66</v>
      </c>
      <c r="D7263">
        <v>245.72</v>
      </c>
      <c r="E7263">
        <v>2019</v>
      </c>
      <c r="F7263" t="s">
        <v>71</v>
      </c>
    </row>
    <row r="7264" spans="1:6" x14ac:dyDescent="0.25">
      <c r="A7264" t="s">
        <v>24</v>
      </c>
      <c r="B7264" t="s">
        <v>25</v>
      </c>
      <c r="C7264" t="s">
        <v>66</v>
      </c>
      <c r="D7264">
        <v>1666.29</v>
      </c>
      <c r="E7264">
        <v>2019</v>
      </c>
      <c r="F7264" t="s">
        <v>71</v>
      </c>
    </row>
    <row r="7265" spans="1:6" x14ac:dyDescent="0.25">
      <c r="A7265" t="s">
        <v>26</v>
      </c>
      <c r="B7265" t="s">
        <v>27</v>
      </c>
      <c r="C7265" t="s">
        <v>66</v>
      </c>
      <c r="D7265">
        <v>142.57</v>
      </c>
      <c r="E7265">
        <v>2019</v>
      </c>
      <c r="F7265" t="s">
        <v>71</v>
      </c>
    </row>
    <row r="7266" spans="1:6" x14ac:dyDescent="0.25">
      <c r="A7266" t="s">
        <v>28</v>
      </c>
      <c r="B7266" t="s">
        <v>29</v>
      </c>
      <c r="C7266" t="s">
        <v>66</v>
      </c>
      <c r="D7266">
        <v>947.02</v>
      </c>
      <c r="E7266">
        <v>2019</v>
      </c>
      <c r="F7266" t="s">
        <v>71</v>
      </c>
    </row>
    <row r="7267" spans="1:6" x14ac:dyDescent="0.25">
      <c r="A7267" t="s">
        <v>30</v>
      </c>
      <c r="B7267" t="s">
        <v>31</v>
      </c>
      <c r="C7267" t="s">
        <v>66</v>
      </c>
      <c r="D7267">
        <v>869.43</v>
      </c>
      <c r="E7267">
        <v>2019</v>
      </c>
      <c r="F7267" t="s">
        <v>71</v>
      </c>
    </row>
    <row r="7268" spans="1:6" x14ac:dyDescent="0.25">
      <c r="A7268" t="s">
        <v>32</v>
      </c>
      <c r="B7268" t="s">
        <v>33</v>
      </c>
      <c r="C7268" t="s">
        <v>66</v>
      </c>
      <c r="D7268">
        <v>550.29</v>
      </c>
      <c r="E7268">
        <v>2019</v>
      </c>
      <c r="F7268" t="s">
        <v>71</v>
      </c>
    </row>
    <row r="7269" spans="1:6" x14ac:dyDescent="0.25">
      <c r="A7269" t="s">
        <v>34</v>
      </c>
      <c r="B7269" t="s">
        <v>35</v>
      </c>
      <c r="C7269" t="s">
        <v>66</v>
      </c>
      <c r="D7269">
        <v>437.96</v>
      </c>
      <c r="E7269">
        <v>2019</v>
      </c>
      <c r="F7269" t="s">
        <v>71</v>
      </c>
    </row>
    <row r="7270" spans="1:6" x14ac:dyDescent="0.25">
      <c r="A7270" t="s">
        <v>36</v>
      </c>
      <c r="B7270" t="s">
        <v>37</v>
      </c>
      <c r="C7270" t="s">
        <v>66</v>
      </c>
      <c r="D7270">
        <v>521.03</v>
      </c>
      <c r="E7270">
        <v>2019</v>
      </c>
      <c r="F7270" t="s">
        <v>71</v>
      </c>
    </row>
    <row r="7271" spans="1:6" x14ac:dyDescent="0.25">
      <c r="A7271" t="s">
        <v>38</v>
      </c>
      <c r="B7271" t="s">
        <v>39</v>
      </c>
      <c r="C7271" t="s">
        <v>66</v>
      </c>
      <c r="D7271">
        <v>103.27</v>
      </c>
      <c r="E7271">
        <v>2019</v>
      </c>
      <c r="F7271" t="s">
        <v>71</v>
      </c>
    </row>
    <row r="7272" spans="1:6" x14ac:dyDescent="0.25">
      <c r="A7272" t="s">
        <v>40</v>
      </c>
      <c r="B7272" t="s">
        <v>41</v>
      </c>
      <c r="C7272" t="s">
        <v>66</v>
      </c>
      <c r="D7272">
        <v>238.01</v>
      </c>
      <c r="E7272">
        <v>2019</v>
      </c>
      <c r="F7272" t="s">
        <v>71</v>
      </c>
    </row>
    <row r="7273" spans="1:6" x14ac:dyDescent="0.25">
      <c r="A7273" t="s">
        <v>42</v>
      </c>
      <c r="B7273" t="s">
        <v>43</v>
      </c>
      <c r="C7273" t="s">
        <v>66</v>
      </c>
      <c r="D7273">
        <v>5.23</v>
      </c>
      <c r="E7273">
        <v>2019</v>
      </c>
      <c r="F7273" t="s">
        <v>71</v>
      </c>
    </row>
    <row r="7274" spans="1:6" x14ac:dyDescent="0.25">
      <c r="A7274" t="s">
        <v>44</v>
      </c>
      <c r="B7274" t="s">
        <v>45</v>
      </c>
      <c r="C7274" t="s">
        <v>66</v>
      </c>
      <c r="D7274">
        <v>99.98</v>
      </c>
      <c r="E7274">
        <v>2019</v>
      </c>
      <c r="F7274" t="s">
        <v>71</v>
      </c>
    </row>
    <row r="7275" spans="1:6" x14ac:dyDescent="0.25">
      <c r="A7275" t="s">
        <v>46</v>
      </c>
      <c r="B7275" t="s">
        <v>47</v>
      </c>
      <c r="C7275" t="s">
        <v>66</v>
      </c>
      <c r="D7275">
        <v>8.06</v>
      </c>
      <c r="E7275">
        <v>2019</v>
      </c>
      <c r="F7275" t="s">
        <v>71</v>
      </c>
    </row>
    <row r="7276" spans="1:6" x14ac:dyDescent="0.25">
      <c r="A7276" t="s">
        <v>48</v>
      </c>
      <c r="B7276" t="s">
        <v>49</v>
      </c>
      <c r="C7276" t="s">
        <v>66</v>
      </c>
      <c r="D7276">
        <v>194.89</v>
      </c>
      <c r="E7276">
        <v>2019</v>
      </c>
      <c r="F7276" t="s">
        <v>71</v>
      </c>
    </row>
    <row r="7277" spans="1:6" x14ac:dyDescent="0.25">
      <c r="A7277" t="s">
        <v>50</v>
      </c>
      <c r="B7277" t="s">
        <v>51</v>
      </c>
      <c r="C7277" t="s">
        <v>66</v>
      </c>
      <c r="E7277">
        <v>2019</v>
      </c>
      <c r="F7277" t="s">
        <v>71</v>
      </c>
    </row>
    <row r="7278" spans="1:6" x14ac:dyDescent="0.25">
      <c r="A7278" t="s">
        <v>52</v>
      </c>
      <c r="B7278" t="s">
        <v>53</v>
      </c>
      <c r="C7278" t="s">
        <v>66</v>
      </c>
      <c r="D7278">
        <v>53.05</v>
      </c>
      <c r="E7278">
        <v>2019</v>
      </c>
      <c r="F7278" t="s">
        <v>71</v>
      </c>
    </row>
    <row r="7279" spans="1:6" x14ac:dyDescent="0.25">
      <c r="A7279" t="s">
        <v>54</v>
      </c>
      <c r="B7279" t="s">
        <v>55</v>
      </c>
      <c r="C7279" t="s">
        <v>66</v>
      </c>
      <c r="D7279">
        <v>27.89</v>
      </c>
      <c r="E7279">
        <v>2019</v>
      </c>
      <c r="F7279" t="s">
        <v>71</v>
      </c>
    </row>
    <row r="7280" spans="1:6" x14ac:dyDescent="0.25">
      <c r="A7280" t="s">
        <v>56</v>
      </c>
      <c r="B7280" t="s">
        <v>57</v>
      </c>
      <c r="C7280" t="s">
        <v>66</v>
      </c>
      <c r="D7280">
        <v>152.4</v>
      </c>
      <c r="E7280">
        <v>2019</v>
      </c>
      <c r="F7280" t="s">
        <v>71</v>
      </c>
    </row>
    <row r="7281" spans="1:6" x14ac:dyDescent="0.25">
      <c r="A7281" t="s">
        <v>58</v>
      </c>
      <c r="B7281" t="s">
        <v>59</v>
      </c>
      <c r="C7281" t="s">
        <v>66</v>
      </c>
      <c r="E7281">
        <v>2019</v>
      </c>
      <c r="F7281" t="s">
        <v>71</v>
      </c>
    </row>
    <row r="7282" spans="1:6" x14ac:dyDescent="0.25">
      <c r="A7282" t="s">
        <v>6</v>
      </c>
      <c r="B7282" t="s">
        <v>7</v>
      </c>
      <c r="C7282" t="s">
        <v>63</v>
      </c>
      <c r="D7282">
        <v>642503.64</v>
      </c>
      <c r="E7282">
        <v>2020</v>
      </c>
      <c r="F7282" t="s">
        <v>71</v>
      </c>
    </row>
    <row r="7283" spans="1:6" x14ac:dyDescent="0.25">
      <c r="A7283" t="s">
        <v>10</v>
      </c>
      <c r="B7283" t="s">
        <v>11</v>
      </c>
      <c r="C7283" t="s">
        <v>63</v>
      </c>
      <c r="D7283">
        <v>163889.20000000001</v>
      </c>
      <c r="E7283">
        <v>2020</v>
      </c>
      <c r="F7283" t="s">
        <v>71</v>
      </c>
    </row>
    <row r="7284" spans="1:6" x14ac:dyDescent="0.25">
      <c r="A7284" t="s">
        <v>12</v>
      </c>
      <c r="B7284" t="s">
        <v>13</v>
      </c>
      <c r="C7284" t="s">
        <v>63</v>
      </c>
      <c r="D7284">
        <v>19129.68</v>
      </c>
      <c r="E7284">
        <v>2020</v>
      </c>
      <c r="F7284" t="s">
        <v>71</v>
      </c>
    </row>
    <row r="7285" spans="1:6" x14ac:dyDescent="0.25">
      <c r="A7285" t="s">
        <v>14</v>
      </c>
      <c r="B7285" t="s">
        <v>15</v>
      </c>
      <c r="C7285" t="s">
        <v>63</v>
      </c>
      <c r="D7285">
        <v>3006.74</v>
      </c>
      <c r="E7285">
        <v>2020</v>
      </c>
      <c r="F7285" t="s">
        <v>71</v>
      </c>
    </row>
    <row r="7286" spans="1:6" x14ac:dyDescent="0.25">
      <c r="A7286" t="s">
        <v>16</v>
      </c>
      <c r="B7286" t="s">
        <v>17</v>
      </c>
      <c r="C7286" t="s">
        <v>63</v>
      </c>
      <c r="D7286">
        <v>8756.14</v>
      </c>
      <c r="E7286">
        <v>2020</v>
      </c>
      <c r="F7286" t="s">
        <v>71</v>
      </c>
    </row>
    <row r="7287" spans="1:6" x14ac:dyDescent="0.25">
      <c r="A7287" t="s">
        <v>18</v>
      </c>
      <c r="B7287" t="s">
        <v>19</v>
      </c>
      <c r="C7287" t="s">
        <v>63</v>
      </c>
      <c r="D7287">
        <v>6576.19</v>
      </c>
      <c r="E7287">
        <v>2020</v>
      </c>
      <c r="F7287" t="s">
        <v>71</v>
      </c>
    </row>
    <row r="7288" spans="1:6" x14ac:dyDescent="0.25">
      <c r="A7288" t="s">
        <v>20</v>
      </c>
      <c r="B7288" t="s">
        <v>21</v>
      </c>
      <c r="C7288" t="s">
        <v>63</v>
      </c>
      <c r="D7288">
        <v>5750.33</v>
      </c>
      <c r="E7288">
        <v>2020</v>
      </c>
      <c r="F7288" t="s">
        <v>71</v>
      </c>
    </row>
    <row r="7289" spans="1:6" x14ac:dyDescent="0.25">
      <c r="A7289" t="s">
        <v>22</v>
      </c>
      <c r="B7289" t="s">
        <v>23</v>
      </c>
      <c r="C7289" t="s">
        <v>63</v>
      </c>
      <c r="D7289">
        <v>5974.9</v>
      </c>
      <c r="E7289">
        <v>2020</v>
      </c>
      <c r="F7289" t="s">
        <v>71</v>
      </c>
    </row>
    <row r="7290" spans="1:6" x14ac:dyDescent="0.25">
      <c r="A7290" t="s">
        <v>24</v>
      </c>
      <c r="B7290" t="s">
        <v>25</v>
      </c>
      <c r="C7290" t="s">
        <v>63</v>
      </c>
      <c r="D7290">
        <v>21929.59</v>
      </c>
      <c r="E7290">
        <v>2020</v>
      </c>
      <c r="F7290" t="s">
        <v>71</v>
      </c>
    </row>
    <row r="7291" spans="1:6" x14ac:dyDescent="0.25">
      <c r="A7291" t="s">
        <v>26</v>
      </c>
      <c r="B7291" t="s">
        <v>27</v>
      </c>
      <c r="C7291" t="s">
        <v>63</v>
      </c>
      <c r="D7291">
        <v>2022.76</v>
      </c>
      <c r="E7291">
        <v>2020</v>
      </c>
      <c r="F7291" t="s">
        <v>71</v>
      </c>
    </row>
    <row r="7292" spans="1:6" x14ac:dyDescent="0.25">
      <c r="A7292" t="s">
        <v>28</v>
      </c>
      <c r="B7292" t="s">
        <v>29</v>
      </c>
      <c r="C7292" t="s">
        <v>63</v>
      </c>
      <c r="D7292">
        <v>60977.88</v>
      </c>
      <c r="E7292">
        <v>2020</v>
      </c>
      <c r="F7292" t="s">
        <v>71</v>
      </c>
    </row>
    <row r="7293" spans="1:6" x14ac:dyDescent="0.25">
      <c r="A7293" t="s">
        <v>30</v>
      </c>
      <c r="B7293" t="s">
        <v>31</v>
      </c>
      <c r="C7293" t="s">
        <v>63</v>
      </c>
      <c r="D7293">
        <v>81774.559999999998</v>
      </c>
      <c r="E7293">
        <v>2020</v>
      </c>
      <c r="F7293" t="s">
        <v>71</v>
      </c>
    </row>
    <row r="7294" spans="1:6" x14ac:dyDescent="0.25">
      <c r="A7294" t="s">
        <v>32</v>
      </c>
      <c r="B7294" t="s">
        <v>33</v>
      </c>
      <c r="C7294" t="s">
        <v>63</v>
      </c>
      <c r="D7294">
        <v>13636.21</v>
      </c>
      <c r="E7294">
        <v>2020</v>
      </c>
      <c r="F7294" t="s">
        <v>71</v>
      </c>
    </row>
    <row r="7295" spans="1:6" x14ac:dyDescent="0.25">
      <c r="A7295" t="s">
        <v>34</v>
      </c>
      <c r="B7295" t="s">
        <v>35</v>
      </c>
      <c r="C7295" t="s">
        <v>63</v>
      </c>
      <c r="D7295">
        <v>23281.86</v>
      </c>
      <c r="E7295">
        <v>2020</v>
      </c>
      <c r="F7295" t="s">
        <v>71</v>
      </c>
    </row>
    <row r="7296" spans="1:6" x14ac:dyDescent="0.25">
      <c r="A7296" t="s">
        <v>36</v>
      </c>
      <c r="B7296" t="s">
        <v>37</v>
      </c>
      <c r="C7296" t="s">
        <v>63</v>
      </c>
      <c r="D7296">
        <v>16884.36</v>
      </c>
      <c r="E7296">
        <v>2020</v>
      </c>
      <c r="F7296" t="s">
        <v>71</v>
      </c>
    </row>
    <row r="7297" spans="1:6" x14ac:dyDescent="0.25">
      <c r="A7297" t="s">
        <v>38</v>
      </c>
      <c r="B7297" t="s">
        <v>39</v>
      </c>
      <c r="C7297" t="s">
        <v>63</v>
      </c>
      <c r="D7297">
        <v>48995.82</v>
      </c>
      <c r="E7297">
        <v>2020</v>
      </c>
      <c r="F7297" t="s">
        <v>71</v>
      </c>
    </row>
    <row r="7298" spans="1:6" x14ac:dyDescent="0.25">
      <c r="A7298" t="s">
        <v>40</v>
      </c>
      <c r="B7298" t="s">
        <v>41</v>
      </c>
      <c r="C7298" t="s">
        <v>63</v>
      </c>
      <c r="D7298">
        <v>18093.37</v>
      </c>
      <c r="E7298">
        <v>2020</v>
      </c>
      <c r="F7298" t="s">
        <v>71</v>
      </c>
    </row>
    <row r="7299" spans="1:6" x14ac:dyDescent="0.25">
      <c r="A7299" t="s">
        <v>42</v>
      </c>
      <c r="B7299" t="s">
        <v>43</v>
      </c>
      <c r="C7299" t="s">
        <v>63</v>
      </c>
      <c r="D7299">
        <v>21025.57</v>
      </c>
      <c r="E7299">
        <v>2020</v>
      </c>
      <c r="F7299" t="s">
        <v>71</v>
      </c>
    </row>
    <row r="7300" spans="1:6" x14ac:dyDescent="0.25">
      <c r="A7300" t="s">
        <v>44</v>
      </c>
      <c r="B7300" t="s">
        <v>45</v>
      </c>
      <c r="C7300" t="s">
        <v>63</v>
      </c>
      <c r="D7300">
        <v>18691.97</v>
      </c>
      <c r="E7300">
        <v>2020</v>
      </c>
      <c r="F7300" t="s">
        <v>71</v>
      </c>
    </row>
    <row r="7301" spans="1:6" x14ac:dyDescent="0.25">
      <c r="A7301" t="s">
        <v>46</v>
      </c>
      <c r="B7301" t="s">
        <v>47</v>
      </c>
      <c r="C7301" t="s">
        <v>63</v>
      </c>
      <c r="D7301">
        <v>27513.05</v>
      </c>
      <c r="E7301">
        <v>2020</v>
      </c>
      <c r="F7301" t="s">
        <v>71</v>
      </c>
    </row>
    <row r="7302" spans="1:6" x14ac:dyDescent="0.25">
      <c r="A7302" t="s">
        <v>48</v>
      </c>
      <c r="B7302" t="s">
        <v>49</v>
      </c>
      <c r="C7302" t="s">
        <v>63</v>
      </c>
      <c r="D7302">
        <v>50555.65</v>
      </c>
      <c r="E7302">
        <v>2020</v>
      </c>
      <c r="F7302" t="s">
        <v>71</v>
      </c>
    </row>
    <row r="7303" spans="1:6" x14ac:dyDescent="0.25">
      <c r="A7303" t="s">
        <v>50</v>
      </c>
      <c r="B7303" t="s">
        <v>51</v>
      </c>
      <c r="C7303" t="s">
        <v>63</v>
      </c>
      <c r="D7303">
        <v>7566.96</v>
      </c>
      <c r="E7303">
        <v>2020</v>
      </c>
      <c r="F7303" t="s">
        <v>71</v>
      </c>
    </row>
    <row r="7304" spans="1:6" x14ac:dyDescent="0.25">
      <c r="A7304" t="s">
        <v>52</v>
      </c>
      <c r="B7304" t="s">
        <v>53</v>
      </c>
      <c r="C7304" t="s">
        <v>63</v>
      </c>
      <c r="D7304">
        <v>6245.93</v>
      </c>
      <c r="E7304">
        <v>2020</v>
      </c>
      <c r="F7304" t="s">
        <v>71</v>
      </c>
    </row>
    <row r="7305" spans="1:6" x14ac:dyDescent="0.25">
      <c r="A7305" t="s">
        <v>54</v>
      </c>
      <c r="B7305" t="s">
        <v>55</v>
      </c>
      <c r="C7305" t="s">
        <v>63</v>
      </c>
      <c r="D7305">
        <v>5039.79</v>
      </c>
      <c r="E7305">
        <v>2020</v>
      </c>
      <c r="F7305" t="s">
        <v>71</v>
      </c>
    </row>
    <row r="7306" spans="1:6" x14ac:dyDescent="0.25">
      <c r="A7306" t="s">
        <v>56</v>
      </c>
      <c r="B7306" t="s">
        <v>57</v>
      </c>
      <c r="C7306" t="s">
        <v>63</v>
      </c>
      <c r="D7306">
        <v>5185.13</v>
      </c>
      <c r="E7306">
        <v>2020</v>
      </c>
      <c r="F7306" t="s">
        <v>71</v>
      </c>
    </row>
    <row r="7307" spans="1:6" x14ac:dyDescent="0.25">
      <c r="A7307" t="s">
        <v>58</v>
      </c>
      <c r="B7307" t="s">
        <v>59</v>
      </c>
      <c r="C7307" t="s">
        <v>63</v>
      </c>
      <c r="E7307">
        <v>2020</v>
      </c>
      <c r="F7307" t="s">
        <v>71</v>
      </c>
    </row>
    <row r="7308" spans="1:6" x14ac:dyDescent="0.25">
      <c r="A7308" t="s">
        <v>6</v>
      </c>
      <c r="B7308" t="s">
        <v>7</v>
      </c>
      <c r="C7308" t="s">
        <v>8</v>
      </c>
      <c r="D7308">
        <v>63259.65</v>
      </c>
      <c r="E7308">
        <v>2020</v>
      </c>
      <c r="F7308" t="s">
        <v>71</v>
      </c>
    </row>
    <row r="7309" spans="1:6" x14ac:dyDescent="0.25">
      <c r="A7309" t="s">
        <v>10</v>
      </c>
      <c r="B7309" t="s">
        <v>11</v>
      </c>
      <c r="C7309" t="s">
        <v>8</v>
      </c>
      <c r="D7309">
        <v>23451.73</v>
      </c>
      <c r="E7309">
        <v>2020</v>
      </c>
      <c r="F7309" t="s">
        <v>71</v>
      </c>
    </row>
    <row r="7310" spans="1:6" x14ac:dyDescent="0.25">
      <c r="A7310" t="s">
        <v>12</v>
      </c>
      <c r="B7310" t="s">
        <v>13</v>
      </c>
      <c r="C7310" t="s">
        <v>8</v>
      </c>
      <c r="D7310">
        <v>4959.45</v>
      </c>
      <c r="E7310">
        <v>2020</v>
      </c>
      <c r="F7310" t="s">
        <v>71</v>
      </c>
    </row>
    <row r="7311" spans="1:6" x14ac:dyDescent="0.25">
      <c r="A7311" t="s">
        <v>14</v>
      </c>
      <c r="B7311" t="s">
        <v>15</v>
      </c>
      <c r="C7311" t="s">
        <v>8</v>
      </c>
      <c r="E7311">
        <v>2020</v>
      </c>
      <c r="F7311" t="s">
        <v>71</v>
      </c>
    </row>
    <row r="7312" spans="1:6" x14ac:dyDescent="0.25">
      <c r="A7312" t="s">
        <v>16</v>
      </c>
      <c r="B7312" t="s">
        <v>17</v>
      </c>
      <c r="C7312" t="s">
        <v>8</v>
      </c>
      <c r="D7312">
        <v>268.95</v>
      </c>
      <c r="E7312">
        <v>2020</v>
      </c>
      <c r="F7312" t="s">
        <v>71</v>
      </c>
    </row>
    <row r="7313" spans="1:6" x14ac:dyDescent="0.25">
      <c r="A7313" t="s">
        <v>18</v>
      </c>
      <c r="B7313" t="s">
        <v>19</v>
      </c>
      <c r="C7313" t="s">
        <v>8</v>
      </c>
      <c r="D7313">
        <v>154.71</v>
      </c>
      <c r="E7313">
        <v>2020</v>
      </c>
      <c r="F7313" t="s">
        <v>71</v>
      </c>
    </row>
    <row r="7314" spans="1:6" x14ac:dyDescent="0.25">
      <c r="A7314" t="s">
        <v>20</v>
      </c>
      <c r="B7314" t="s">
        <v>21</v>
      </c>
      <c r="C7314" t="s">
        <v>8</v>
      </c>
      <c r="D7314">
        <v>81.92</v>
      </c>
      <c r="E7314">
        <v>2020</v>
      </c>
      <c r="F7314" t="s">
        <v>71</v>
      </c>
    </row>
    <row r="7315" spans="1:6" x14ac:dyDescent="0.25">
      <c r="A7315" t="s">
        <v>22</v>
      </c>
      <c r="B7315" t="s">
        <v>23</v>
      </c>
      <c r="C7315" t="s">
        <v>8</v>
      </c>
      <c r="D7315">
        <v>3258.91</v>
      </c>
      <c r="E7315">
        <v>2020</v>
      </c>
      <c r="F7315" t="s">
        <v>71</v>
      </c>
    </row>
    <row r="7316" spans="1:6" x14ac:dyDescent="0.25">
      <c r="A7316" t="s">
        <v>24</v>
      </c>
      <c r="B7316" t="s">
        <v>25</v>
      </c>
      <c r="C7316" t="s">
        <v>8</v>
      </c>
      <c r="D7316">
        <v>4327.0200000000004</v>
      </c>
      <c r="E7316">
        <v>2020</v>
      </c>
      <c r="F7316" t="s">
        <v>71</v>
      </c>
    </row>
    <row r="7317" spans="1:6" x14ac:dyDescent="0.25">
      <c r="A7317" t="s">
        <v>26</v>
      </c>
      <c r="B7317" t="s">
        <v>27</v>
      </c>
      <c r="C7317" t="s">
        <v>8</v>
      </c>
      <c r="D7317">
        <v>280.79000000000002</v>
      </c>
      <c r="E7317">
        <v>2020</v>
      </c>
      <c r="F7317" t="s">
        <v>71</v>
      </c>
    </row>
    <row r="7318" spans="1:6" x14ac:dyDescent="0.25">
      <c r="A7318" t="s">
        <v>28</v>
      </c>
      <c r="B7318" t="s">
        <v>29</v>
      </c>
      <c r="C7318" t="s">
        <v>8</v>
      </c>
      <c r="E7318">
        <v>2020</v>
      </c>
      <c r="F7318" t="s">
        <v>71</v>
      </c>
    </row>
    <row r="7319" spans="1:6" x14ac:dyDescent="0.25">
      <c r="A7319" t="s">
        <v>30</v>
      </c>
      <c r="B7319" t="s">
        <v>31</v>
      </c>
      <c r="C7319" t="s">
        <v>8</v>
      </c>
      <c r="D7319">
        <v>9308.2000000000007</v>
      </c>
      <c r="E7319">
        <v>2020</v>
      </c>
      <c r="F7319" t="s">
        <v>71</v>
      </c>
    </row>
    <row r="7320" spans="1:6" x14ac:dyDescent="0.25">
      <c r="A7320" t="s">
        <v>32</v>
      </c>
      <c r="B7320" t="s">
        <v>33</v>
      </c>
      <c r="C7320" t="s">
        <v>8</v>
      </c>
      <c r="D7320">
        <v>1285.8599999999999</v>
      </c>
      <c r="E7320">
        <v>2020</v>
      </c>
      <c r="F7320" t="s">
        <v>71</v>
      </c>
    </row>
    <row r="7321" spans="1:6" x14ac:dyDescent="0.25">
      <c r="A7321" t="s">
        <v>34</v>
      </c>
      <c r="B7321" t="s">
        <v>35</v>
      </c>
      <c r="C7321" t="s">
        <v>8</v>
      </c>
      <c r="D7321">
        <v>2443.23</v>
      </c>
      <c r="E7321">
        <v>2020</v>
      </c>
      <c r="F7321" t="s">
        <v>71</v>
      </c>
    </row>
    <row r="7322" spans="1:6" x14ac:dyDescent="0.25">
      <c r="A7322" t="s">
        <v>36</v>
      </c>
      <c r="B7322" t="s">
        <v>37</v>
      </c>
      <c r="C7322" t="s">
        <v>8</v>
      </c>
      <c r="D7322">
        <v>2683.73</v>
      </c>
      <c r="E7322">
        <v>2020</v>
      </c>
      <c r="F7322" t="s">
        <v>71</v>
      </c>
    </row>
    <row r="7323" spans="1:6" x14ac:dyDescent="0.25">
      <c r="A7323" t="s">
        <v>38</v>
      </c>
      <c r="B7323" t="s">
        <v>39</v>
      </c>
      <c r="C7323" t="s">
        <v>8</v>
      </c>
      <c r="D7323">
        <v>1733.82</v>
      </c>
      <c r="E7323">
        <v>2020</v>
      </c>
      <c r="F7323" t="s">
        <v>71</v>
      </c>
    </row>
    <row r="7324" spans="1:6" x14ac:dyDescent="0.25">
      <c r="A7324" t="s">
        <v>40</v>
      </c>
      <c r="B7324" t="s">
        <v>41</v>
      </c>
      <c r="C7324" t="s">
        <v>8</v>
      </c>
      <c r="D7324">
        <v>2211.0100000000002</v>
      </c>
      <c r="E7324">
        <v>2020</v>
      </c>
      <c r="F7324" t="s">
        <v>71</v>
      </c>
    </row>
    <row r="7325" spans="1:6" x14ac:dyDescent="0.25">
      <c r="A7325" t="s">
        <v>42</v>
      </c>
      <c r="B7325" t="s">
        <v>43</v>
      </c>
      <c r="C7325" t="s">
        <v>8</v>
      </c>
      <c r="D7325">
        <v>15.41</v>
      </c>
      <c r="E7325">
        <v>2020</v>
      </c>
      <c r="F7325" t="s">
        <v>71</v>
      </c>
    </row>
    <row r="7326" spans="1:6" x14ac:dyDescent="0.25">
      <c r="A7326" t="s">
        <v>44</v>
      </c>
      <c r="B7326" t="s">
        <v>45</v>
      </c>
      <c r="C7326" t="s">
        <v>8</v>
      </c>
      <c r="D7326">
        <v>838.99</v>
      </c>
      <c r="E7326">
        <v>2020</v>
      </c>
      <c r="F7326" t="s">
        <v>71</v>
      </c>
    </row>
    <row r="7327" spans="1:6" x14ac:dyDescent="0.25">
      <c r="A7327" t="s">
        <v>46</v>
      </c>
      <c r="B7327" t="s">
        <v>47</v>
      </c>
      <c r="C7327" t="s">
        <v>8</v>
      </c>
      <c r="D7327">
        <v>929.69</v>
      </c>
      <c r="E7327">
        <v>2020</v>
      </c>
      <c r="F7327" t="s">
        <v>71</v>
      </c>
    </row>
    <row r="7328" spans="1:6" x14ac:dyDescent="0.25">
      <c r="A7328" t="s">
        <v>48</v>
      </c>
      <c r="B7328" t="s">
        <v>49</v>
      </c>
      <c r="C7328" t="s">
        <v>8</v>
      </c>
      <c r="D7328">
        <v>68.459999999999994</v>
      </c>
      <c r="E7328">
        <v>2020</v>
      </c>
      <c r="F7328" t="s">
        <v>71</v>
      </c>
    </row>
    <row r="7329" spans="1:6" x14ac:dyDescent="0.25">
      <c r="A7329" t="s">
        <v>50</v>
      </c>
      <c r="B7329" t="s">
        <v>51</v>
      </c>
      <c r="C7329" t="s">
        <v>8</v>
      </c>
      <c r="D7329">
        <v>96.82</v>
      </c>
      <c r="E7329">
        <v>2020</v>
      </c>
      <c r="F7329" t="s">
        <v>71</v>
      </c>
    </row>
    <row r="7330" spans="1:6" x14ac:dyDescent="0.25">
      <c r="A7330" t="s">
        <v>52</v>
      </c>
      <c r="B7330" t="s">
        <v>53</v>
      </c>
      <c r="C7330" t="s">
        <v>8</v>
      </c>
      <c r="D7330">
        <v>477.65</v>
      </c>
      <c r="E7330">
        <v>2020</v>
      </c>
      <c r="F7330" t="s">
        <v>71</v>
      </c>
    </row>
    <row r="7331" spans="1:6" x14ac:dyDescent="0.25">
      <c r="A7331" t="s">
        <v>54</v>
      </c>
      <c r="B7331" t="s">
        <v>55</v>
      </c>
      <c r="C7331" t="s">
        <v>8</v>
      </c>
      <c r="D7331">
        <v>67.930000000000007</v>
      </c>
      <c r="E7331">
        <v>2020</v>
      </c>
      <c r="F7331" t="s">
        <v>71</v>
      </c>
    </row>
    <row r="7332" spans="1:6" x14ac:dyDescent="0.25">
      <c r="A7332" t="s">
        <v>56</v>
      </c>
      <c r="B7332" t="s">
        <v>57</v>
      </c>
      <c r="C7332" t="s">
        <v>8</v>
      </c>
      <c r="D7332">
        <v>1398.84</v>
      </c>
      <c r="E7332">
        <v>2020</v>
      </c>
      <c r="F7332" t="s">
        <v>71</v>
      </c>
    </row>
    <row r="7333" spans="1:6" x14ac:dyDescent="0.25">
      <c r="A7333" t="s">
        <v>58</v>
      </c>
      <c r="B7333" t="s">
        <v>59</v>
      </c>
      <c r="C7333" t="s">
        <v>8</v>
      </c>
      <c r="D7333">
        <v>2916.53</v>
      </c>
      <c r="E7333">
        <v>2020</v>
      </c>
      <c r="F7333" t="s">
        <v>71</v>
      </c>
    </row>
    <row r="7334" spans="1:6" x14ac:dyDescent="0.25">
      <c r="A7334" t="s">
        <v>6</v>
      </c>
      <c r="B7334" t="s">
        <v>7</v>
      </c>
      <c r="C7334" t="s">
        <v>60</v>
      </c>
      <c r="D7334">
        <v>58902.29</v>
      </c>
      <c r="E7334">
        <v>2020</v>
      </c>
      <c r="F7334" t="s">
        <v>71</v>
      </c>
    </row>
    <row r="7335" spans="1:6" x14ac:dyDescent="0.25">
      <c r="A7335" t="s">
        <v>10</v>
      </c>
      <c r="B7335" t="s">
        <v>11</v>
      </c>
      <c r="C7335" t="s">
        <v>60</v>
      </c>
      <c r="D7335">
        <v>17183.259999999998</v>
      </c>
      <c r="E7335">
        <v>2020</v>
      </c>
      <c r="F7335" t="s">
        <v>71</v>
      </c>
    </row>
    <row r="7336" spans="1:6" x14ac:dyDescent="0.25">
      <c r="A7336" t="s">
        <v>12</v>
      </c>
      <c r="B7336" t="s">
        <v>13</v>
      </c>
      <c r="C7336" t="s">
        <v>60</v>
      </c>
      <c r="D7336">
        <v>1866.67</v>
      </c>
      <c r="E7336">
        <v>2020</v>
      </c>
      <c r="F7336" t="s">
        <v>71</v>
      </c>
    </row>
    <row r="7337" spans="1:6" x14ac:dyDescent="0.25">
      <c r="A7337" t="s">
        <v>14</v>
      </c>
      <c r="B7337" t="s">
        <v>15</v>
      </c>
      <c r="C7337" t="s">
        <v>60</v>
      </c>
      <c r="E7337">
        <v>2020</v>
      </c>
      <c r="F7337" t="s">
        <v>71</v>
      </c>
    </row>
    <row r="7338" spans="1:6" x14ac:dyDescent="0.25">
      <c r="A7338" t="s">
        <v>16</v>
      </c>
      <c r="B7338" t="s">
        <v>17</v>
      </c>
      <c r="C7338" t="s">
        <v>60</v>
      </c>
      <c r="D7338">
        <v>1081.19</v>
      </c>
      <c r="E7338">
        <v>2020</v>
      </c>
      <c r="F7338" t="s">
        <v>71</v>
      </c>
    </row>
    <row r="7339" spans="1:6" x14ac:dyDescent="0.25">
      <c r="A7339" t="s">
        <v>18</v>
      </c>
      <c r="B7339" t="s">
        <v>19</v>
      </c>
      <c r="C7339" t="s">
        <v>60</v>
      </c>
      <c r="D7339">
        <v>1578.69</v>
      </c>
      <c r="E7339">
        <v>2020</v>
      </c>
      <c r="F7339" t="s">
        <v>71</v>
      </c>
    </row>
    <row r="7340" spans="1:6" x14ac:dyDescent="0.25">
      <c r="A7340" t="s">
        <v>20</v>
      </c>
      <c r="B7340" t="s">
        <v>21</v>
      </c>
      <c r="C7340" t="s">
        <v>60</v>
      </c>
      <c r="D7340">
        <v>251.09</v>
      </c>
      <c r="E7340">
        <v>2020</v>
      </c>
      <c r="F7340" t="s">
        <v>71</v>
      </c>
    </row>
    <row r="7341" spans="1:6" x14ac:dyDescent="0.25">
      <c r="A7341" t="s">
        <v>22</v>
      </c>
      <c r="B7341" t="s">
        <v>23</v>
      </c>
      <c r="C7341" t="s">
        <v>60</v>
      </c>
      <c r="D7341">
        <v>235.81</v>
      </c>
      <c r="E7341">
        <v>2020</v>
      </c>
      <c r="F7341" t="s">
        <v>71</v>
      </c>
    </row>
    <row r="7342" spans="1:6" x14ac:dyDescent="0.25">
      <c r="A7342" t="s">
        <v>24</v>
      </c>
      <c r="B7342" t="s">
        <v>25</v>
      </c>
      <c r="C7342" t="s">
        <v>60</v>
      </c>
      <c r="D7342">
        <v>2361.08</v>
      </c>
      <c r="E7342">
        <v>2020</v>
      </c>
      <c r="F7342" t="s">
        <v>71</v>
      </c>
    </row>
    <row r="7343" spans="1:6" x14ac:dyDescent="0.25">
      <c r="A7343" t="s">
        <v>26</v>
      </c>
      <c r="B7343" t="s">
        <v>27</v>
      </c>
      <c r="C7343" t="s">
        <v>60</v>
      </c>
      <c r="D7343">
        <v>654.15</v>
      </c>
      <c r="E7343">
        <v>2020</v>
      </c>
      <c r="F7343" t="s">
        <v>71</v>
      </c>
    </row>
    <row r="7344" spans="1:6" x14ac:dyDescent="0.25">
      <c r="A7344" t="s">
        <v>28</v>
      </c>
      <c r="B7344" t="s">
        <v>29</v>
      </c>
      <c r="C7344" t="s">
        <v>60</v>
      </c>
      <c r="D7344">
        <v>6931.62</v>
      </c>
      <c r="E7344">
        <v>2020</v>
      </c>
      <c r="F7344" t="s">
        <v>71</v>
      </c>
    </row>
    <row r="7345" spans="1:6" x14ac:dyDescent="0.25">
      <c r="A7345" t="s">
        <v>30</v>
      </c>
      <c r="B7345" t="s">
        <v>31</v>
      </c>
      <c r="C7345" t="s">
        <v>60</v>
      </c>
      <c r="D7345">
        <v>6725.16</v>
      </c>
      <c r="E7345">
        <v>2020</v>
      </c>
      <c r="F7345" t="s">
        <v>71</v>
      </c>
    </row>
    <row r="7346" spans="1:6" x14ac:dyDescent="0.25">
      <c r="A7346" t="s">
        <v>32</v>
      </c>
      <c r="B7346" t="s">
        <v>33</v>
      </c>
      <c r="C7346" t="s">
        <v>60</v>
      </c>
      <c r="D7346">
        <v>1765.22</v>
      </c>
      <c r="E7346">
        <v>2020</v>
      </c>
      <c r="F7346" t="s">
        <v>71</v>
      </c>
    </row>
    <row r="7347" spans="1:6" x14ac:dyDescent="0.25">
      <c r="A7347" t="s">
        <v>34</v>
      </c>
      <c r="B7347" t="s">
        <v>35</v>
      </c>
      <c r="C7347" t="s">
        <v>60</v>
      </c>
      <c r="D7347">
        <v>2540.0100000000002</v>
      </c>
      <c r="E7347">
        <v>2020</v>
      </c>
      <c r="F7347" t="s">
        <v>71</v>
      </c>
    </row>
    <row r="7348" spans="1:6" x14ac:dyDescent="0.25">
      <c r="A7348" t="s">
        <v>36</v>
      </c>
      <c r="B7348" t="s">
        <v>37</v>
      </c>
      <c r="C7348" t="s">
        <v>60</v>
      </c>
      <c r="D7348">
        <v>2740.5</v>
      </c>
      <c r="E7348">
        <v>2020</v>
      </c>
      <c r="F7348" t="s">
        <v>71</v>
      </c>
    </row>
    <row r="7349" spans="1:6" x14ac:dyDescent="0.25">
      <c r="A7349" t="s">
        <v>38</v>
      </c>
      <c r="B7349" t="s">
        <v>39</v>
      </c>
      <c r="C7349" t="s">
        <v>60</v>
      </c>
      <c r="D7349">
        <v>2113.08</v>
      </c>
      <c r="E7349">
        <v>2020</v>
      </c>
      <c r="F7349" t="s">
        <v>71</v>
      </c>
    </row>
    <row r="7350" spans="1:6" x14ac:dyDescent="0.25">
      <c r="A7350" t="s">
        <v>40</v>
      </c>
      <c r="B7350" t="s">
        <v>41</v>
      </c>
      <c r="C7350" t="s">
        <v>60</v>
      </c>
      <c r="D7350">
        <v>1276.43</v>
      </c>
      <c r="E7350">
        <v>2020</v>
      </c>
      <c r="F7350" t="s">
        <v>71</v>
      </c>
    </row>
    <row r="7351" spans="1:6" x14ac:dyDescent="0.25">
      <c r="A7351" t="s">
        <v>42</v>
      </c>
      <c r="B7351" t="s">
        <v>43</v>
      </c>
      <c r="C7351" t="s">
        <v>60</v>
      </c>
      <c r="E7351">
        <v>2020</v>
      </c>
      <c r="F7351" t="s">
        <v>71</v>
      </c>
    </row>
    <row r="7352" spans="1:6" x14ac:dyDescent="0.25">
      <c r="A7352" t="s">
        <v>44</v>
      </c>
      <c r="B7352" t="s">
        <v>45</v>
      </c>
      <c r="C7352" t="s">
        <v>60</v>
      </c>
      <c r="D7352">
        <v>1291.6500000000001</v>
      </c>
      <c r="E7352">
        <v>2020</v>
      </c>
      <c r="F7352" t="s">
        <v>71</v>
      </c>
    </row>
    <row r="7353" spans="1:6" x14ac:dyDescent="0.25">
      <c r="A7353" t="s">
        <v>46</v>
      </c>
      <c r="B7353" t="s">
        <v>47</v>
      </c>
      <c r="C7353" t="s">
        <v>60</v>
      </c>
      <c r="D7353">
        <v>464.57</v>
      </c>
      <c r="E7353">
        <v>2020</v>
      </c>
      <c r="F7353" t="s">
        <v>71</v>
      </c>
    </row>
    <row r="7354" spans="1:6" x14ac:dyDescent="0.25">
      <c r="A7354" t="s">
        <v>48</v>
      </c>
      <c r="B7354" t="s">
        <v>49</v>
      </c>
      <c r="C7354" t="s">
        <v>60</v>
      </c>
      <c r="D7354">
        <v>530.48</v>
      </c>
      <c r="E7354">
        <v>2020</v>
      </c>
      <c r="F7354" t="s">
        <v>71</v>
      </c>
    </row>
    <row r="7355" spans="1:6" x14ac:dyDescent="0.25">
      <c r="A7355" t="s">
        <v>50</v>
      </c>
      <c r="B7355" t="s">
        <v>51</v>
      </c>
      <c r="C7355" t="s">
        <v>60</v>
      </c>
      <c r="D7355">
        <v>586.74</v>
      </c>
      <c r="E7355">
        <v>2020</v>
      </c>
      <c r="F7355" t="s">
        <v>71</v>
      </c>
    </row>
    <row r="7356" spans="1:6" x14ac:dyDescent="0.25">
      <c r="A7356" t="s">
        <v>52</v>
      </c>
      <c r="B7356" t="s">
        <v>53</v>
      </c>
      <c r="C7356" t="s">
        <v>60</v>
      </c>
      <c r="D7356">
        <v>490.4</v>
      </c>
      <c r="E7356">
        <v>2020</v>
      </c>
      <c r="F7356" t="s">
        <v>71</v>
      </c>
    </row>
    <row r="7357" spans="1:6" x14ac:dyDescent="0.25">
      <c r="A7357" t="s">
        <v>54</v>
      </c>
      <c r="B7357" t="s">
        <v>55</v>
      </c>
      <c r="C7357" t="s">
        <v>60</v>
      </c>
      <c r="D7357">
        <v>6234.49</v>
      </c>
      <c r="E7357">
        <v>2020</v>
      </c>
      <c r="F7357" t="s">
        <v>71</v>
      </c>
    </row>
    <row r="7358" spans="1:6" x14ac:dyDescent="0.25">
      <c r="A7358" t="s">
        <v>56</v>
      </c>
      <c r="B7358" t="s">
        <v>57</v>
      </c>
      <c r="C7358" t="s">
        <v>60</v>
      </c>
      <c r="E7358">
        <v>2020</v>
      </c>
      <c r="F7358" t="s">
        <v>71</v>
      </c>
    </row>
    <row r="7359" spans="1:6" x14ac:dyDescent="0.25">
      <c r="A7359" t="s">
        <v>58</v>
      </c>
      <c r="B7359" t="s">
        <v>59</v>
      </c>
      <c r="C7359" t="s">
        <v>60</v>
      </c>
      <c r="E7359">
        <v>2020</v>
      </c>
      <c r="F7359" t="s">
        <v>71</v>
      </c>
    </row>
    <row r="7360" spans="1:6" x14ac:dyDescent="0.25">
      <c r="A7360" t="s">
        <v>6</v>
      </c>
      <c r="B7360" t="s">
        <v>7</v>
      </c>
      <c r="C7360" t="s">
        <v>61</v>
      </c>
      <c r="D7360">
        <v>25169.200000000001</v>
      </c>
      <c r="E7360">
        <v>2020</v>
      </c>
      <c r="F7360" t="s">
        <v>71</v>
      </c>
    </row>
    <row r="7361" spans="1:6" x14ac:dyDescent="0.25">
      <c r="A7361" t="s">
        <v>10</v>
      </c>
      <c r="B7361" t="s">
        <v>11</v>
      </c>
      <c r="C7361" t="s">
        <v>61</v>
      </c>
      <c r="D7361">
        <v>13893.08</v>
      </c>
      <c r="E7361">
        <v>2020</v>
      </c>
      <c r="F7361" t="s">
        <v>71</v>
      </c>
    </row>
    <row r="7362" spans="1:6" x14ac:dyDescent="0.25">
      <c r="A7362" t="s">
        <v>12</v>
      </c>
      <c r="B7362" t="s">
        <v>13</v>
      </c>
      <c r="C7362" t="s">
        <v>61</v>
      </c>
      <c r="D7362">
        <v>956.76</v>
      </c>
      <c r="E7362">
        <v>2020</v>
      </c>
      <c r="F7362" t="s">
        <v>71</v>
      </c>
    </row>
    <row r="7363" spans="1:6" x14ac:dyDescent="0.25">
      <c r="A7363" t="s">
        <v>14</v>
      </c>
      <c r="B7363" t="s">
        <v>15</v>
      </c>
      <c r="C7363" t="s">
        <v>61</v>
      </c>
      <c r="D7363">
        <v>11.9</v>
      </c>
      <c r="E7363">
        <v>2020</v>
      </c>
      <c r="F7363" t="s">
        <v>71</v>
      </c>
    </row>
    <row r="7364" spans="1:6" x14ac:dyDescent="0.25">
      <c r="A7364" t="s">
        <v>16</v>
      </c>
      <c r="B7364" t="s">
        <v>17</v>
      </c>
      <c r="C7364" t="s">
        <v>61</v>
      </c>
      <c r="D7364">
        <v>220.57</v>
      </c>
      <c r="E7364">
        <v>2020</v>
      </c>
      <c r="F7364" t="s">
        <v>71</v>
      </c>
    </row>
    <row r="7365" spans="1:6" x14ac:dyDescent="0.25">
      <c r="A7365" t="s">
        <v>18</v>
      </c>
      <c r="B7365" t="s">
        <v>19</v>
      </c>
      <c r="C7365" t="s">
        <v>61</v>
      </c>
      <c r="D7365">
        <v>84.87</v>
      </c>
      <c r="E7365">
        <v>2020</v>
      </c>
      <c r="F7365" t="s">
        <v>71</v>
      </c>
    </row>
    <row r="7366" spans="1:6" x14ac:dyDescent="0.25">
      <c r="A7366" t="s">
        <v>20</v>
      </c>
      <c r="B7366" t="s">
        <v>21</v>
      </c>
      <c r="C7366" t="s">
        <v>61</v>
      </c>
      <c r="D7366">
        <v>126.62</v>
      </c>
      <c r="E7366">
        <v>2020</v>
      </c>
      <c r="F7366" t="s">
        <v>71</v>
      </c>
    </row>
    <row r="7367" spans="1:6" x14ac:dyDescent="0.25">
      <c r="A7367" t="s">
        <v>22</v>
      </c>
      <c r="B7367" t="s">
        <v>23</v>
      </c>
      <c r="C7367" t="s">
        <v>61</v>
      </c>
      <c r="D7367">
        <v>588.05999999999995</v>
      </c>
      <c r="E7367">
        <v>2020</v>
      </c>
      <c r="F7367" t="s">
        <v>71</v>
      </c>
    </row>
    <row r="7368" spans="1:6" x14ac:dyDescent="0.25">
      <c r="A7368" t="s">
        <v>24</v>
      </c>
      <c r="B7368" t="s">
        <v>25</v>
      </c>
      <c r="C7368" t="s">
        <v>61</v>
      </c>
      <c r="D7368">
        <v>1472.19</v>
      </c>
      <c r="E7368">
        <v>2020</v>
      </c>
      <c r="F7368" t="s">
        <v>71</v>
      </c>
    </row>
    <row r="7369" spans="1:6" x14ac:dyDescent="0.25">
      <c r="A7369" t="s">
        <v>26</v>
      </c>
      <c r="B7369" t="s">
        <v>27</v>
      </c>
      <c r="C7369" t="s">
        <v>61</v>
      </c>
      <c r="D7369">
        <v>254.97</v>
      </c>
      <c r="E7369">
        <v>2020</v>
      </c>
      <c r="F7369" t="s">
        <v>71</v>
      </c>
    </row>
    <row r="7370" spans="1:6" x14ac:dyDescent="0.25">
      <c r="A7370" t="s">
        <v>28</v>
      </c>
      <c r="B7370" t="s">
        <v>29</v>
      </c>
      <c r="C7370" t="s">
        <v>61</v>
      </c>
      <c r="D7370">
        <v>141.35</v>
      </c>
      <c r="E7370">
        <v>2020</v>
      </c>
      <c r="F7370" t="s">
        <v>71</v>
      </c>
    </row>
    <row r="7371" spans="1:6" x14ac:dyDescent="0.25">
      <c r="A7371" t="s">
        <v>30</v>
      </c>
      <c r="B7371" t="s">
        <v>31</v>
      </c>
      <c r="C7371" t="s">
        <v>61</v>
      </c>
      <c r="D7371">
        <v>1350.05</v>
      </c>
      <c r="E7371">
        <v>2020</v>
      </c>
      <c r="F7371" t="s">
        <v>71</v>
      </c>
    </row>
    <row r="7372" spans="1:6" x14ac:dyDescent="0.25">
      <c r="A7372" t="s">
        <v>32</v>
      </c>
      <c r="B7372" t="s">
        <v>33</v>
      </c>
      <c r="C7372" t="s">
        <v>61</v>
      </c>
      <c r="D7372">
        <v>488.24</v>
      </c>
      <c r="E7372">
        <v>2020</v>
      </c>
      <c r="F7372" t="s">
        <v>71</v>
      </c>
    </row>
    <row r="7373" spans="1:6" x14ac:dyDescent="0.25">
      <c r="A7373" t="s">
        <v>34</v>
      </c>
      <c r="B7373" t="s">
        <v>35</v>
      </c>
      <c r="C7373" t="s">
        <v>61</v>
      </c>
      <c r="D7373">
        <v>1577.58</v>
      </c>
      <c r="E7373">
        <v>2020</v>
      </c>
      <c r="F7373" t="s">
        <v>71</v>
      </c>
    </row>
    <row r="7374" spans="1:6" x14ac:dyDescent="0.25">
      <c r="A7374" t="s">
        <v>36</v>
      </c>
      <c r="B7374" t="s">
        <v>37</v>
      </c>
      <c r="C7374" t="s">
        <v>61</v>
      </c>
      <c r="D7374">
        <v>818.52</v>
      </c>
      <c r="E7374">
        <v>2020</v>
      </c>
      <c r="F7374" t="s">
        <v>71</v>
      </c>
    </row>
    <row r="7375" spans="1:6" x14ac:dyDescent="0.25">
      <c r="A7375" t="s">
        <v>38</v>
      </c>
      <c r="B7375" t="s">
        <v>39</v>
      </c>
      <c r="C7375" t="s">
        <v>61</v>
      </c>
      <c r="D7375">
        <v>1027.1300000000001</v>
      </c>
      <c r="E7375">
        <v>2020</v>
      </c>
      <c r="F7375" t="s">
        <v>71</v>
      </c>
    </row>
    <row r="7376" spans="1:6" x14ac:dyDescent="0.25">
      <c r="A7376" t="s">
        <v>40</v>
      </c>
      <c r="B7376" t="s">
        <v>41</v>
      </c>
      <c r="C7376" t="s">
        <v>61</v>
      </c>
      <c r="D7376">
        <v>470.07</v>
      </c>
      <c r="E7376">
        <v>2020</v>
      </c>
      <c r="F7376" t="s">
        <v>71</v>
      </c>
    </row>
    <row r="7377" spans="1:6" x14ac:dyDescent="0.25">
      <c r="A7377" t="s">
        <v>42</v>
      </c>
      <c r="B7377" t="s">
        <v>43</v>
      </c>
      <c r="C7377" t="s">
        <v>61</v>
      </c>
      <c r="D7377">
        <v>151.05000000000001</v>
      </c>
      <c r="E7377">
        <v>2020</v>
      </c>
      <c r="F7377" t="s">
        <v>71</v>
      </c>
    </row>
    <row r="7378" spans="1:6" x14ac:dyDescent="0.25">
      <c r="A7378" t="s">
        <v>44</v>
      </c>
      <c r="B7378" t="s">
        <v>45</v>
      </c>
      <c r="C7378" t="s">
        <v>61</v>
      </c>
      <c r="D7378">
        <v>653.85</v>
      </c>
      <c r="E7378">
        <v>2020</v>
      </c>
      <c r="F7378" t="s">
        <v>71</v>
      </c>
    </row>
    <row r="7379" spans="1:6" x14ac:dyDescent="0.25">
      <c r="A7379" t="s">
        <v>46</v>
      </c>
      <c r="B7379" t="s">
        <v>47</v>
      </c>
      <c r="C7379" t="s">
        <v>61</v>
      </c>
      <c r="D7379">
        <v>143.21</v>
      </c>
      <c r="E7379">
        <v>2020</v>
      </c>
      <c r="F7379" t="s">
        <v>71</v>
      </c>
    </row>
    <row r="7380" spans="1:6" x14ac:dyDescent="0.25">
      <c r="A7380" t="s">
        <v>48</v>
      </c>
      <c r="B7380" t="s">
        <v>49</v>
      </c>
      <c r="C7380" t="s">
        <v>61</v>
      </c>
      <c r="D7380">
        <v>202.9</v>
      </c>
      <c r="E7380">
        <v>2020</v>
      </c>
      <c r="F7380" t="s">
        <v>71</v>
      </c>
    </row>
    <row r="7381" spans="1:6" x14ac:dyDescent="0.25">
      <c r="A7381" t="s">
        <v>50</v>
      </c>
      <c r="B7381" t="s">
        <v>51</v>
      </c>
      <c r="C7381" t="s">
        <v>61</v>
      </c>
      <c r="D7381">
        <v>155.5</v>
      </c>
      <c r="E7381">
        <v>2020</v>
      </c>
      <c r="F7381" t="s">
        <v>71</v>
      </c>
    </row>
    <row r="7382" spans="1:6" x14ac:dyDescent="0.25">
      <c r="A7382" t="s">
        <v>52</v>
      </c>
      <c r="B7382" t="s">
        <v>53</v>
      </c>
      <c r="C7382" t="s">
        <v>61</v>
      </c>
      <c r="D7382">
        <v>225.38</v>
      </c>
      <c r="E7382">
        <v>2020</v>
      </c>
      <c r="F7382" t="s">
        <v>71</v>
      </c>
    </row>
    <row r="7383" spans="1:6" x14ac:dyDescent="0.25">
      <c r="A7383" t="s">
        <v>54</v>
      </c>
      <c r="B7383" t="s">
        <v>55</v>
      </c>
      <c r="C7383" t="s">
        <v>61</v>
      </c>
      <c r="D7383">
        <v>17.38</v>
      </c>
      <c r="E7383">
        <v>2020</v>
      </c>
      <c r="F7383" t="s">
        <v>71</v>
      </c>
    </row>
    <row r="7384" spans="1:6" x14ac:dyDescent="0.25">
      <c r="A7384" t="s">
        <v>56</v>
      </c>
      <c r="B7384" t="s">
        <v>57</v>
      </c>
      <c r="C7384" t="s">
        <v>61</v>
      </c>
      <c r="D7384">
        <v>137.97</v>
      </c>
      <c r="E7384">
        <v>2020</v>
      </c>
      <c r="F7384" t="s">
        <v>71</v>
      </c>
    </row>
    <row r="7385" spans="1:6" x14ac:dyDescent="0.25">
      <c r="A7385" t="s">
        <v>58</v>
      </c>
      <c r="B7385" t="s">
        <v>59</v>
      </c>
      <c r="C7385" t="s">
        <v>61</v>
      </c>
      <c r="E7385">
        <v>2020</v>
      </c>
      <c r="F7385" t="s">
        <v>71</v>
      </c>
    </row>
    <row r="7386" spans="1:6" x14ac:dyDescent="0.25">
      <c r="A7386" t="s">
        <v>6</v>
      </c>
      <c r="B7386" t="s">
        <v>7</v>
      </c>
      <c r="C7386" t="s">
        <v>65</v>
      </c>
      <c r="D7386">
        <v>412911.2</v>
      </c>
      <c r="E7386">
        <v>2020</v>
      </c>
      <c r="F7386" t="s">
        <v>71</v>
      </c>
    </row>
    <row r="7387" spans="1:6" x14ac:dyDescent="0.25">
      <c r="A7387" t="s">
        <v>10</v>
      </c>
      <c r="B7387" t="s">
        <v>11</v>
      </c>
      <c r="C7387" t="s">
        <v>65</v>
      </c>
      <c r="D7387">
        <v>63817.9</v>
      </c>
      <c r="E7387">
        <v>2020</v>
      </c>
      <c r="F7387" t="s">
        <v>71</v>
      </c>
    </row>
    <row r="7388" spans="1:6" x14ac:dyDescent="0.25">
      <c r="A7388" t="s">
        <v>12</v>
      </c>
      <c r="B7388" t="s">
        <v>13</v>
      </c>
      <c r="C7388" t="s">
        <v>65</v>
      </c>
      <c r="D7388">
        <v>23596.91</v>
      </c>
      <c r="E7388">
        <v>2020</v>
      </c>
      <c r="F7388" t="s">
        <v>71</v>
      </c>
    </row>
    <row r="7389" spans="1:6" x14ac:dyDescent="0.25">
      <c r="A7389" t="s">
        <v>14</v>
      </c>
      <c r="B7389" t="s">
        <v>15</v>
      </c>
      <c r="C7389" t="s">
        <v>65</v>
      </c>
      <c r="D7389">
        <v>651.79999999999995</v>
      </c>
      <c r="E7389">
        <v>2020</v>
      </c>
      <c r="F7389" t="s">
        <v>71</v>
      </c>
    </row>
    <row r="7390" spans="1:6" x14ac:dyDescent="0.25">
      <c r="A7390" t="s">
        <v>16</v>
      </c>
      <c r="B7390" t="s">
        <v>17</v>
      </c>
      <c r="C7390" t="s">
        <v>65</v>
      </c>
      <c r="D7390">
        <v>11364.89</v>
      </c>
      <c r="E7390">
        <v>2020</v>
      </c>
      <c r="F7390" t="s">
        <v>71</v>
      </c>
    </row>
    <row r="7391" spans="1:6" x14ac:dyDescent="0.25">
      <c r="A7391" t="s">
        <v>18</v>
      </c>
      <c r="B7391" t="s">
        <v>19</v>
      </c>
      <c r="C7391" t="s">
        <v>65</v>
      </c>
      <c r="D7391">
        <v>2733.15</v>
      </c>
      <c r="E7391">
        <v>2020</v>
      </c>
      <c r="F7391" t="s">
        <v>71</v>
      </c>
    </row>
    <row r="7392" spans="1:6" x14ac:dyDescent="0.25">
      <c r="A7392" t="s">
        <v>20</v>
      </c>
      <c r="B7392" t="s">
        <v>21</v>
      </c>
      <c r="C7392" t="s">
        <v>65</v>
      </c>
      <c r="D7392">
        <v>1931.17</v>
      </c>
      <c r="E7392">
        <v>2020</v>
      </c>
      <c r="F7392" t="s">
        <v>71</v>
      </c>
    </row>
    <row r="7393" spans="1:6" x14ac:dyDescent="0.25">
      <c r="A7393" t="s">
        <v>22</v>
      </c>
      <c r="B7393" t="s">
        <v>23</v>
      </c>
      <c r="C7393" t="s">
        <v>65</v>
      </c>
      <c r="D7393">
        <v>1210.1099999999999</v>
      </c>
      <c r="E7393">
        <v>2020</v>
      </c>
      <c r="F7393" t="s">
        <v>71</v>
      </c>
    </row>
    <row r="7394" spans="1:6" x14ac:dyDescent="0.25">
      <c r="A7394" t="s">
        <v>24</v>
      </c>
      <c r="B7394" t="s">
        <v>25</v>
      </c>
      <c r="C7394" t="s">
        <v>65</v>
      </c>
      <c r="D7394">
        <v>11074.22</v>
      </c>
      <c r="E7394">
        <v>2020</v>
      </c>
      <c r="F7394" t="s">
        <v>71</v>
      </c>
    </row>
    <row r="7395" spans="1:6" x14ac:dyDescent="0.25">
      <c r="A7395" t="s">
        <v>26</v>
      </c>
      <c r="B7395" t="s">
        <v>27</v>
      </c>
      <c r="C7395" t="s">
        <v>65</v>
      </c>
      <c r="D7395">
        <v>558.99</v>
      </c>
      <c r="E7395">
        <v>2020</v>
      </c>
      <c r="F7395" t="s">
        <v>71</v>
      </c>
    </row>
    <row r="7396" spans="1:6" x14ac:dyDescent="0.25">
      <c r="A7396" t="s">
        <v>28</v>
      </c>
      <c r="B7396" t="s">
        <v>29</v>
      </c>
      <c r="C7396" t="s">
        <v>65</v>
      </c>
      <c r="D7396">
        <v>21029.81</v>
      </c>
      <c r="E7396">
        <v>2020</v>
      </c>
      <c r="F7396" t="s">
        <v>71</v>
      </c>
    </row>
    <row r="7397" spans="1:6" x14ac:dyDescent="0.25">
      <c r="A7397" t="s">
        <v>30</v>
      </c>
      <c r="B7397" t="s">
        <v>31</v>
      </c>
      <c r="C7397" t="s">
        <v>65</v>
      </c>
      <c r="D7397">
        <v>36177.019999999997</v>
      </c>
      <c r="E7397">
        <v>2020</v>
      </c>
      <c r="F7397" t="s">
        <v>71</v>
      </c>
    </row>
    <row r="7398" spans="1:6" x14ac:dyDescent="0.25">
      <c r="A7398" t="s">
        <v>32</v>
      </c>
      <c r="B7398" t="s">
        <v>33</v>
      </c>
      <c r="C7398" t="s">
        <v>65</v>
      </c>
      <c r="D7398">
        <v>2357.4499999999998</v>
      </c>
      <c r="E7398">
        <v>2020</v>
      </c>
      <c r="F7398" t="s">
        <v>71</v>
      </c>
    </row>
    <row r="7399" spans="1:6" x14ac:dyDescent="0.25">
      <c r="A7399" t="s">
        <v>34</v>
      </c>
      <c r="B7399" t="s">
        <v>35</v>
      </c>
      <c r="C7399" t="s">
        <v>65</v>
      </c>
      <c r="D7399">
        <v>16418.04</v>
      </c>
      <c r="E7399">
        <v>2020</v>
      </c>
      <c r="F7399" t="s">
        <v>71</v>
      </c>
    </row>
    <row r="7400" spans="1:6" x14ac:dyDescent="0.25">
      <c r="A7400" t="s">
        <v>36</v>
      </c>
      <c r="B7400" t="s">
        <v>37</v>
      </c>
      <c r="C7400" t="s">
        <v>65</v>
      </c>
      <c r="D7400">
        <v>20683.46</v>
      </c>
      <c r="E7400">
        <v>2020</v>
      </c>
      <c r="F7400" t="s">
        <v>71</v>
      </c>
    </row>
    <row r="7401" spans="1:6" x14ac:dyDescent="0.25">
      <c r="A7401" t="s">
        <v>38</v>
      </c>
      <c r="B7401" t="s">
        <v>39</v>
      </c>
      <c r="C7401" t="s">
        <v>65</v>
      </c>
      <c r="D7401">
        <v>28321.96</v>
      </c>
      <c r="E7401">
        <v>2020</v>
      </c>
      <c r="F7401" t="s">
        <v>71</v>
      </c>
    </row>
    <row r="7402" spans="1:6" x14ac:dyDescent="0.25">
      <c r="A7402" t="s">
        <v>40</v>
      </c>
      <c r="B7402" t="s">
        <v>41</v>
      </c>
      <c r="C7402" t="s">
        <v>65</v>
      </c>
      <c r="D7402">
        <v>18868.080000000002</v>
      </c>
      <c r="E7402">
        <v>2020</v>
      </c>
      <c r="F7402" t="s">
        <v>71</v>
      </c>
    </row>
    <row r="7403" spans="1:6" x14ac:dyDescent="0.25">
      <c r="A7403" t="s">
        <v>42</v>
      </c>
      <c r="B7403" t="s">
        <v>43</v>
      </c>
      <c r="C7403" t="s">
        <v>65</v>
      </c>
      <c r="D7403">
        <v>9869.4</v>
      </c>
      <c r="E7403">
        <v>2020</v>
      </c>
      <c r="F7403" t="s">
        <v>71</v>
      </c>
    </row>
    <row r="7404" spans="1:6" x14ac:dyDescent="0.25">
      <c r="A7404" t="s">
        <v>44</v>
      </c>
      <c r="B7404" t="s">
        <v>45</v>
      </c>
      <c r="C7404" t="s">
        <v>65</v>
      </c>
      <c r="D7404">
        <v>29395.71</v>
      </c>
      <c r="E7404">
        <v>2020</v>
      </c>
      <c r="F7404" t="s">
        <v>71</v>
      </c>
    </row>
    <row r="7405" spans="1:6" x14ac:dyDescent="0.25">
      <c r="A7405" t="s">
        <v>46</v>
      </c>
      <c r="B7405" t="s">
        <v>47</v>
      </c>
      <c r="C7405" t="s">
        <v>65</v>
      </c>
      <c r="D7405">
        <v>38202.620000000003</v>
      </c>
      <c r="E7405">
        <v>2020</v>
      </c>
      <c r="F7405" t="s">
        <v>71</v>
      </c>
    </row>
    <row r="7406" spans="1:6" x14ac:dyDescent="0.25">
      <c r="A7406" t="s">
        <v>48</v>
      </c>
      <c r="B7406" t="s">
        <v>49</v>
      </c>
      <c r="C7406" t="s">
        <v>65</v>
      </c>
      <c r="D7406">
        <v>71950.59</v>
      </c>
      <c r="E7406">
        <v>2020</v>
      </c>
      <c r="F7406" t="s">
        <v>71</v>
      </c>
    </row>
    <row r="7407" spans="1:6" x14ac:dyDescent="0.25">
      <c r="A7407" t="s">
        <v>50</v>
      </c>
      <c r="B7407" t="s">
        <v>51</v>
      </c>
      <c r="C7407" t="s">
        <v>65</v>
      </c>
      <c r="D7407">
        <v>1445.99</v>
      </c>
      <c r="E7407">
        <v>2020</v>
      </c>
      <c r="F7407" t="s">
        <v>71</v>
      </c>
    </row>
    <row r="7408" spans="1:6" x14ac:dyDescent="0.25">
      <c r="A7408" t="s">
        <v>52</v>
      </c>
      <c r="B7408" t="s">
        <v>53</v>
      </c>
      <c r="C7408" t="s">
        <v>65</v>
      </c>
      <c r="D7408">
        <v>662.8</v>
      </c>
      <c r="E7408">
        <v>2020</v>
      </c>
      <c r="F7408" t="s">
        <v>71</v>
      </c>
    </row>
    <row r="7409" spans="1:6" x14ac:dyDescent="0.25">
      <c r="A7409" t="s">
        <v>54</v>
      </c>
      <c r="B7409" t="s">
        <v>55</v>
      </c>
      <c r="C7409" t="s">
        <v>65</v>
      </c>
      <c r="D7409">
        <v>589.13</v>
      </c>
      <c r="E7409">
        <v>2020</v>
      </c>
      <c r="F7409" t="s">
        <v>71</v>
      </c>
    </row>
    <row r="7410" spans="1:6" x14ac:dyDescent="0.25">
      <c r="A7410" t="s">
        <v>56</v>
      </c>
      <c r="B7410" t="s">
        <v>57</v>
      </c>
      <c r="C7410" t="s">
        <v>65</v>
      </c>
      <c r="E7410">
        <v>2020</v>
      </c>
      <c r="F7410" t="s">
        <v>71</v>
      </c>
    </row>
    <row r="7411" spans="1:6" x14ac:dyDescent="0.25">
      <c r="A7411" t="s">
        <v>58</v>
      </c>
      <c r="B7411" t="s">
        <v>59</v>
      </c>
      <c r="C7411" t="s">
        <v>65</v>
      </c>
      <c r="E7411">
        <v>2020</v>
      </c>
      <c r="F7411" t="s">
        <v>71</v>
      </c>
    </row>
    <row r="7412" spans="1:6" x14ac:dyDescent="0.25">
      <c r="A7412" t="s">
        <v>6</v>
      </c>
      <c r="B7412" t="s">
        <v>7</v>
      </c>
      <c r="C7412" t="s">
        <v>62</v>
      </c>
      <c r="D7412">
        <v>35025.79</v>
      </c>
      <c r="E7412">
        <v>2020</v>
      </c>
      <c r="F7412" t="s">
        <v>71</v>
      </c>
    </row>
    <row r="7413" spans="1:6" x14ac:dyDescent="0.25">
      <c r="A7413" t="s">
        <v>10</v>
      </c>
      <c r="B7413" t="s">
        <v>11</v>
      </c>
      <c r="C7413" t="s">
        <v>62</v>
      </c>
      <c r="D7413">
        <v>14888.05</v>
      </c>
      <c r="E7413">
        <v>2020</v>
      </c>
      <c r="F7413" t="s">
        <v>71</v>
      </c>
    </row>
    <row r="7414" spans="1:6" x14ac:dyDescent="0.25">
      <c r="A7414" t="s">
        <v>12</v>
      </c>
      <c r="B7414" t="s">
        <v>13</v>
      </c>
      <c r="C7414" t="s">
        <v>62</v>
      </c>
      <c r="D7414">
        <v>2401.27</v>
      </c>
      <c r="E7414">
        <v>2020</v>
      </c>
      <c r="F7414" t="s">
        <v>71</v>
      </c>
    </row>
    <row r="7415" spans="1:6" x14ac:dyDescent="0.25">
      <c r="A7415" t="s">
        <v>14</v>
      </c>
      <c r="B7415" t="s">
        <v>15</v>
      </c>
      <c r="C7415" t="s">
        <v>62</v>
      </c>
      <c r="E7415">
        <v>2020</v>
      </c>
      <c r="F7415" t="s">
        <v>71</v>
      </c>
    </row>
    <row r="7416" spans="1:6" x14ac:dyDescent="0.25">
      <c r="A7416" t="s">
        <v>16</v>
      </c>
      <c r="B7416" t="s">
        <v>17</v>
      </c>
      <c r="C7416" t="s">
        <v>62</v>
      </c>
      <c r="D7416">
        <v>889.73</v>
      </c>
      <c r="E7416">
        <v>2020</v>
      </c>
      <c r="F7416" t="s">
        <v>71</v>
      </c>
    </row>
    <row r="7417" spans="1:6" x14ac:dyDescent="0.25">
      <c r="A7417" t="s">
        <v>18</v>
      </c>
      <c r="B7417" t="s">
        <v>19</v>
      </c>
      <c r="C7417" t="s">
        <v>62</v>
      </c>
      <c r="D7417">
        <v>741.71</v>
      </c>
      <c r="E7417">
        <v>2020</v>
      </c>
      <c r="F7417" t="s">
        <v>71</v>
      </c>
    </row>
    <row r="7418" spans="1:6" x14ac:dyDescent="0.25">
      <c r="A7418" t="s">
        <v>20</v>
      </c>
      <c r="B7418" t="s">
        <v>21</v>
      </c>
      <c r="C7418" t="s">
        <v>62</v>
      </c>
      <c r="D7418">
        <v>58.15</v>
      </c>
      <c r="E7418">
        <v>2020</v>
      </c>
      <c r="F7418" t="s">
        <v>71</v>
      </c>
    </row>
    <row r="7419" spans="1:6" x14ac:dyDescent="0.25">
      <c r="A7419" t="s">
        <v>22</v>
      </c>
      <c r="B7419" t="s">
        <v>23</v>
      </c>
      <c r="C7419" t="s">
        <v>62</v>
      </c>
      <c r="D7419">
        <v>155.57</v>
      </c>
      <c r="E7419">
        <v>2020</v>
      </c>
      <c r="F7419" t="s">
        <v>71</v>
      </c>
    </row>
    <row r="7420" spans="1:6" x14ac:dyDescent="0.25">
      <c r="A7420" t="s">
        <v>24</v>
      </c>
      <c r="B7420" t="s">
        <v>25</v>
      </c>
      <c r="C7420" t="s">
        <v>62</v>
      </c>
      <c r="D7420">
        <v>1228.25</v>
      </c>
      <c r="E7420">
        <v>2020</v>
      </c>
      <c r="F7420" t="s">
        <v>71</v>
      </c>
    </row>
    <row r="7421" spans="1:6" x14ac:dyDescent="0.25">
      <c r="A7421" t="s">
        <v>26</v>
      </c>
      <c r="B7421" t="s">
        <v>27</v>
      </c>
      <c r="C7421" t="s">
        <v>62</v>
      </c>
      <c r="D7421">
        <v>199.85</v>
      </c>
      <c r="E7421">
        <v>2020</v>
      </c>
      <c r="F7421" t="s">
        <v>71</v>
      </c>
    </row>
    <row r="7422" spans="1:6" x14ac:dyDescent="0.25">
      <c r="A7422" t="s">
        <v>28</v>
      </c>
      <c r="B7422" t="s">
        <v>29</v>
      </c>
      <c r="C7422" t="s">
        <v>62</v>
      </c>
      <c r="E7422">
        <v>2020</v>
      </c>
      <c r="F7422" t="s">
        <v>71</v>
      </c>
    </row>
    <row r="7423" spans="1:6" x14ac:dyDescent="0.25">
      <c r="A7423" t="s">
        <v>30</v>
      </c>
      <c r="B7423" t="s">
        <v>31</v>
      </c>
      <c r="C7423" t="s">
        <v>62</v>
      </c>
      <c r="D7423">
        <v>3017.84</v>
      </c>
      <c r="E7423">
        <v>2020</v>
      </c>
      <c r="F7423" t="s">
        <v>71</v>
      </c>
    </row>
    <row r="7424" spans="1:6" x14ac:dyDescent="0.25">
      <c r="A7424" t="s">
        <v>32</v>
      </c>
      <c r="B7424" t="s">
        <v>33</v>
      </c>
      <c r="C7424" t="s">
        <v>62</v>
      </c>
      <c r="D7424">
        <v>953.31</v>
      </c>
      <c r="E7424">
        <v>2020</v>
      </c>
      <c r="F7424" t="s">
        <v>71</v>
      </c>
    </row>
    <row r="7425" spans="1:6" x14ac:dyDescent="0.25">
      <c r="A7425" t="s">
        <v>34</v>
      </c>
      <c r="B7425" t="s">
        <v>35</v>
      </c>
      <c r="C7425" t="s">
        <v>62</v>
      </c>
      <c r="D7425">
        <v>2334.66</v>
      </c>
      <c r="E7425">
        <v>2020</v>
      </c>
      <c r="F7425" t="s">
        <v>71</v>
      </c>
    </row>
    <row r="7426" spans="1:6" x14ac:dyDescent="0.25">
      <c r="A7426" t="s">
        <v>36</v>
      </c>
      <c r="B7426" t="s">
        <v>37</v>
      </c>
      <c r="C7426" t="s">
        <v>62</v>
      </c>
      <c r="D7426">
        <v>2251.21</v>
      </c>
      <c r="E7426">
        <v>2020</v>
      </c>
      <c r="F7426" t="s">
        <v>71</v>
      </c>
    </row>
    <row r="7427" spans="1:6" x14ac:dyDescent="0.25">
      <c r="A7427" t="s">
        <v>38</v>
      </c>
      <c r="B7427" t="s">
        <v>39</v>
      </c>
      <c r="C7427" t="s">
        <v>62</v>
      </c>
      <c r="D7427">
        <v>2874.65</v>
      </c>
      <c r="E7427">
        <v>2020</v>
      </c>
      <c r="F7427" t="s">
        <v>71</v>
      </c>
    </row>
    <row r="7428" spans="1:6" x14ac:dyDescent="0.25">
      <c r="A7428" t="s">
        <v>40</v>
      </c>
      <c r="B7428" t="s">
        <v>41</v>
      </c>
      <c r="C7428" t="s">
        <v>62</v>
      </c>
      <c r="D7428">
        <v>1062.42</v>
      </c>
      <c r="E7428">
        <v>2020</v>
      </c>
      <c r="F7428" t="s">
        <v>71</v>
      </c>
    </row>
    <row r="7429" spans="1:6" x14ac:dyDescent="0.25">
      <c r="A7429" t="s">
        <v>42</v>
      </c>
      <c r="B7429" t="s">
        <v>43</v>
      </c>
      <c r="C7429" t="s">
        <v>62</v>
      </c>
      <c r="D7429">
        <v>10.56</v>
      </c>
      <c r="E7429">
        <v>2020</v>
      </c>
      <c r="F7429" t="s">
        <v>71</v>
      </c>
    </row>
    <row r="7430" spans="1:6" x14ac:dyDescent="0.25">
      <c r="A7430" t="s">
        <v>44</v>
      </c>
      <c r="B7430" t="s">
        <v>45</v>
      </c>
      <c r="C7430" t="s">
        <v>62</v>
      </c>
      <c r="D7430">
        <v>487.42</v>
      </c>
      <c r="E7430">
        <v>2020</v>
      </c>
      <c r="F7430" t="s">
        <v>71</v>
      </c>
    </row>
    <row r="7431" spans="1:6" x14ac:dyDescent="0.25">
      <c r="A7431" t="s">
        <v>46</v>
      </c>
      <c r="B7431" t="s">
        <v>47</v>
      </c>
      <c r="C7431" t="s">
        <v>62</v>
      </c>
      <c r="D7431">
        <v>306.81</v>
      </c>
      <c r="E7431">
        <v>2020</v>
      </c>
      <c r="F7431" t="s">
        <v>71</v>
      </c>
    </row>
    <row r="7432" spans="1:6" x14ac:dyDescent="0.25">
      <c r="A7432" t="s">
        <v>48</v>
      </c>
      <c r="B7432" t="s">
        <v>49</v>
      </c>
      <c r="C7432" t="s">
        <v>62</v>
      </c>
      <c r="D7432">
        <v>137.31</v>
      </c>
      <c r="E7432">
        <v>2020</v>
      </c>
      <c r="F7432" t="s">
        <v>71</v>
      </c>
    </row>
    <row r="7433" spans="1:6" x14ac:dyDescent="0.25">
      <c r="A7433" t="s">
        <v>50</v>
      </c>
      <c r="B7433" t="s">
        <v>51</v>
      </c>
      <c r="C7433" t="s">
        <v>62</v>
      </c>
      <c r="D7433">
        <v>125.47</v>
      </c>
      <c r="E7433">
        <v>2020</v>
      </c>
      <c r="F7433" t="s">
        <v>71</v>
      </c>
    </row>
    <row r="7434" spans="1:6" x14ac:dyDescent="0.25">
      <c r="A7434" t="s">
        <v>52</v>
      </c>
      <c r="B7434" t="s">
        <v>53</v>
      </c>
      <c r="C7434" t="s">
        <v>62</v>
      </c>
      <c r="D7434">
        <v>222.54</v>
      </c>
      <c r="E7434">
        <v>2020</v>
      </c>
      <c r="F7434" t="s">
        <v>71</v>
      </c>
    </row>
    <row r="7435" spans="1:6" x14ac:dyDescent="0.25">
      <c r="A7435" t="s">
        <v>54</v>
      </c>
      <c r="B7435" t="s">
        <v>55</v>
      </c>
      <c r="C7435" t="s">
        <v>62</v>
      </c>
      <c r="D7435">
        <v>358.52</v>
      </c>
      <c r="E7435">
        <v>2020</v>
      </c>
      <c r="F7435" t="s">
        <v>71</v>
      </c>
    </row>
    <row r="7436" spans="1:6" x14ac:dyDescent="0.25">
      <c r="A7436" t="s">
        <v>56</v>
      </c>
      <c r="B7436" t="s">
        <v>57</v>
      </c>
      <c r="C7436" t="s">
        <v>62</v>
      </c>
      <c r="D7436">
        <v>320.49</v>
      </c>
      <c r="E7436">
        <v>2020</v>
      </c>
      <c r="F7436" t="s">
        <v>71</v>
      </c>
    </row>
    <row r="7437" spans="1:6" x14ac:dyDescent="0.25">
      <c r="A7437" t="s">
        <v>58</v>
      </c>
      <c r="B7437" t="s">
        <v>59</v>
      </c>
      <c r="C7437" t="s">
        <v>62</v>
      </c>
      <c r="E7437">
        <v>2020</v>
      </c>
      <c r="F7437" t="s">
        <v>71</v>
      </c>
    </row>
    <row r="7438" spans="1:6" x14ac:dyDescent="0.25">
      <c r="A7438" t="s">
        <v>6</v>
      </c>
      <c r="B7438" t="s">
        <v>7</v>
      </c>
      <c r="C7438" t="s">
        <v>66</v>
      </c>
      <c r="E7438">
        <v>2020</v>
      </c>
      <c r="F7438" t="s">
        <v>71</v>
      </c>
    </row>
    <row r="7439" spans="1:6" x14ac:dyDescent="0.25">
      <c r="A7439" t="s">
        <v>10</v>
      </c>
      <c r="B7439" t="s">
        <v>11</v>
      </c>
      <c r="C7439" t="s">
        <v>66</v>
      </c>
      <c r="E7439">
        <v>2020</v>
      </c>
      <c r="F7439" t="s">
        <v>71</v>
      </c>
    </row>
    <row r="7440" spans="1:6" x14ac:dyDescent="0.25">
      <c r="A7440" t="s">
        <v>12</v>
      </c>
      <c r="B7440" t="s">
        <v>13</v>
      </c>
      <c r="C7440" t="s">
        <v>66</v>
      </c>
      <c r="E7440">
        <v>2020</v>
      </c>
      <c r="F7440" t="s">
        <v>71</v>
      </c>
    </row>
    <row r="7441" spans="1:6" x14ac:dyDescent="0.25">
      <c r="A7441" t="s">
        <v>14</v>
      </c>
      <c r="B7441" t="s">
        <v>15</v>
      </c>
      <c r="C7441" t="s">
        <v>66</v>
      </c>
      <c r="E7441">
        <v>2020</v>
      </c>
      <c r="F7441" t="s">
        <v>71</v>
      </c>
    </row>
    <row r="7442" spans="1:6" x14ac:dyDescent="0.25">
      <c r="A7442" t="s">
        <v>16</v>
      </c>
      <c r="B7442" t="s">
        <v>17</v>
      </c>
      <c r="C7442" t="s">
        <v>66</v>
      </c>
      <c r="E7442">
        <v>2020</v>
      </c>
      <c r="F7442" t="s">
        <v>71</v>
      </c>
    </row>
    <row r="7443" spans="1:6" x14ac:dyDescent="0.25">
      <c r="A7443" t="s">
        <v>18</v>
      </c>
      <c r="B7443" t="s">
        <v>19</v>
      </c>
      <c r="C7443" t="s">
        <v>66</v>
      </c>
      <c r="E7443">
        <v>2020</v>
      </c>
      <c r="F7443" t="s">
        <v>71</v>
      </c>
    </row>
    <row r="7444" spans="1:6" x14ac:dyDescent="0.25">
      <c r="A7444" t="s">
        <v>20</v>
      </c>
      <c r="B7444" t="s">
        <v>21</v>
      </c>
      <c r="C7444" t="s">
        <v>66</v>
      </c>
      <c r="E7444">
        <v>2020</v>
      </c>
      <c r="F7444" t="s">
        <v>71</v>
      </c>
    </row>
    <row r="7445" spans="1:6" x14ac:dyDescent="0.25">
      <c r="A7445" t="s">
        <v>22</v>
      </c>
      <c r="B7445" t="s">
        <v>23</v>
      </c>
      <c r="C7445" t="s">
        <v>66</v>
      </c>
      <c r="E7445">
        <v>2020</v>
      </c>
      <c r="F7445" t="s">
        <v>71</v>
      </c>
    </row>
    <row r="7446" spans="1:6" x14ac:dyDescent="0.25">
      <c r="A7446" t="s">
        <v>24</v>
      </c>
      <c r="B7446" t="s">
        <v>25</v>
      </c>
      <c r="C7446" t="s">
        <v>66</v>
      </c>
      <c r="E7446">
        <v>2020</v>
      </c>
      <c r="F7446" t="s">
        <v>71</v>
      </c>
    </row>
    <row r="7447" spans="1:6" x14ac:dyDescent="0.25">
      <c r="A7447" t="s">
        <v>26</v>
      </c>
      <c r="B7447" t="s">
        <v>27</v>
      </c>
      <c r="C7447" t="s">
        <v>66</v>
      </c>
      <c r="E7447">
        <v>2020</v>
      </c>
      <c r="F7447" t="s">
        <v>71</v>
      </c>
    </row>
    <row r="7448" spans="1:6" x14ac:dyDescent="0.25">
      <c r="A7448" t="s">
        <v>28</v>
      </c>
      <c r="B7448" t="s">
        <v>29</v>
      </c>
      <c r="C7448" t="s">
        <v>66</v>
      </c>
      <c r="E7448">
        <v>2020</v>
      </c>
      <c r="F7448" t="s">
        <v>71</v>
      </c>
    </row>
    <row r="7449" spans="1:6" x14ac:dyDescent="0.25">
      <c r="A7449" t="s">
        <v>30</v>
      </c>
      <c r="B7449" t="s">
        <v>31</v>
      </c>
      <c r="C7449" t="s">
        <v>66</v>
      </c>
      <c r="E7449">
        <v>2020</v>
      </c>
      <c r="F7449" t="s">
        <v>71</v>
      </c>
    </row>
    <row r="7450" spans="1:6" x14ac:dyDescent="0.25">
      <c r="A7450" t="s">
        <v>32</v>
      </c>
      <c r="B7450" t="s">
        <v>33</v>
      </c>
      <c r="C7450" t="s">
        <v>66</v>
      </c>
      <c r="E7450">
        <v>2020</v>
      </c>
      <c r="F7450" t="s">
        <v>71</v>
      </c>
    </row>
    <row r="7451" spans="1:6" x14ac:dyDescent="0.25">
      <c r="A7451" t="s">
        <v>34</v>
      </c>
      <c r="B7451" t="s">
        <v>35</v>
      </c>
      <c r="C7451" t="s">
        <v>66</v>
      </c>
      <c r="E7451">
        <v>2020</v>
      </c>
      <c r="F7451" t="s">
        <v>71</v>
      </c>
    </row>
    <row r="7452" spans="1:6" x14ac:dyDescent="0.25">
      <c r="A7452" t="s">
        <v>36</v>
      </c>
      <c r="B7452" t="s">
        <v>37</v>
      </c>
      <c r="C7452" t="s">
        <v>66</v>
      </c>
      <c r="E7452">
        <v>2020</v>
      </c>
      <c r="F7452" t="s">
        <v>71</v>
      </c>
    </row>
    <row r="7453" spans="1:6" x14ac:dyDescent="0.25">
      <c r="A7453" t="s">
        <v>38</v>
      </c>
      <c r="B7453" t="s">
        <v>39</v>
      </c>
      <c r="C7453" t="s">
        <v>66</v>
      </c>
      <c r="E7453">
        <v>2020</v>
      </c>
      <c r="F7453" t="s">
        <v>71</v>
      </c>
    </row>
    <row r="7454" spans="1:6" x14ac:dyDescent="0.25">
      <c r="A7454" t="s">
        <v>40</v>
      </c>
      <c r="B7454" t="s">
        <v>41</v>
      </c>
      <c r="C7454" t="s">
        <v>66</v>
      </c>
      <c r="E7454">
        <v>2020</v>
      </c>
      <c r="F7454" t="s">
        <v>71</v>
      </c>
    </row>
    <row r="7455" spans="1:6" x14ac:dyDescent="0.25">
      <c r="A7455" t="s">
        <v>42</v>
      </c>
      <c r="B7455" t="s">
        <v>43</v>
      </c>
      <c r="C7455" t="s">
        <v>66</v>
      </c>
      <c r="E7455">
        <v>2020</v>
      </c>
      <c r="F7455" t="s">
        <v>71</v>
      </c>
    </row>
    <row r="7456" spans="1:6" x14ac:dyDescent="0.25">
      <c r="A7456" t="s">
        <v>44</v>
      </c>
      <c r="B7456" t="s">
        <v>45</v>
      </c>
      <c r="C7456" t="s">
        <v>66</v>
      </c>
      <c r="E7456">
        <v>2020</v>
      </c>
      <c r="F7456" t="s">
        <v>71</v>
      </c>
    </row>
    <row r="7457" spans="1:6" x14ac:dyDescent="0.25">
      <c r="A7457" t="s">
        <v>46</v>
      </c>
      <c r="B7457" t="s">
        <v>47</v>
      </c>
      <c r="C7457" t="s">
        <v>66</v>
      </c>
      <c r="E7457">
        <v>2020</v>
      </c>
      <c r="F7457" t="s">
        <v>71</v>
      </c>
    </row>
    <row r="7458" spans="1:6" x14ac:dyDescent="0.25">
      <c r="A7458" t="s">
        <v>48</v>
      </c>
      <c r="B7458" t="s">
        <v>49</v>
      </c>
      <c r="C7458" t="s">
        <v>66</v>
      </c>
      <c r="E7458">
        <v>2020</v>
      </c>
      <c r="F7458" t="s">
        <v>71</v>
      </c>
    </row>
    <row r="7459" spans="1:6" x14ac:dyDescent="0.25">
      <c r="A7459" t="s">
        <v>50</v>
      </c>
      <c r="B7459" t="s">
        <v>51</v>
      </c>
      <c r="C7459" t="s">
        <v>66</v>
      </c>
      <c r="E7459">
        <v>2020</v>
      </c>
      <c r="F7459" t="s">
        <v>71</v>
      </c>
    </row>
    <row r="7460" spans="1:6" x14ac:dyDescent="0.25">
      <c r="A7460" t="s">
        <v>52</v>
      </c>
      <c r="B7460" t="s">
        <v>53</v>
      </c>
      <c r="C7460" t="s">
        <v>66</v>
      </c>
      <c r="E7460">
        <v>2020</v>
      </c>
      <c r="F7460" t="s">
        <v>71</v>
      </c>
    </row>
    <row r="7461" spans="1:6" x14ac:dyDescent="0.25">
      <c r="A7461" t="s">
        <v>54</v>
      </c>
      <c r="B7461" t="s">
        <v>55</v>
      </c>
      <c r="C7461" t="s">
        <v>66</v>
      </c>
      <c r="E7461">
        <v>2020</v>
      </c>
      <c r="F7461" t="s">
        <v>71</v>
      </c>
    </row>
    <row r="7462" spans="1:6" x14ac:dyDescent="0.25">
      <c r="A7462" t="s">
        <v>56</v>
      </c>
      <c r="B7462" t="s">
        <v>57</v>
      </c>
      <c r="C7462" t="s">
        <v>66</v>
      </c>
      <c r="E7462">
        <v>2020</v>
      </c>
      <c r="F7462" t="s">
        <v>71</v>
      </c>
    </row>
    <row r="7463" spans="1:6" x14ac:dyDescent="0.25">
      <c r="A7463" t="s">
        <v>58</v>
      </c>
      <c r="B7463" t="s">
        <v>59</v>
      </c>
      <c r="C7463" t="s">
        <v>66</v>
      </c>
      <c r="E7463">
        <v>2020</v>
      </c>
      <c r="F7463" t="s">
        <v>71</v>
      </c>
    </row>
    <row r="7464" spans="1:6" x14ac:dyDescent="0.25">
      <c r="A7464" t="s">
        <v>6</v>
      </c>
      <c r="B7464" t="s">
        <v>7</v>
      </c>
      <c r="C7464" t="s">
        <v>63</v>
      </c>
      <c r="D7464">
        <v>864048.18</v>
      </c>
      <c r="E7464">
        <v>2021</v>
      </c>
      <c r="F7464" t="s">
        <v>71</v>
      </c>
    </row>
    <row r="7465" spans="1:6" x14ac:dyDescent="0.25">
      <c r="A7465" t="s">
        <v>10</v>
      </c>
      <c r="B7465" t="s">
        <v>11</v>
      </c>
      <c r="C7465" t="s">
        <v>63</v>
      </c>
      <c r="D7465">
        <v>191972.94</v>
      </c>
      <c r="E7465">
        <v>2021</v>
      </c>
      <c r="F7465" t="s">
        <v>71</v>
      </c>
    </row>
    <row r="7466" spans="1:6" x14ac:dyDescent="0.25">
      <c r="A7466" t="s">
        <v>12</v>
      </c>
      <c r="B7466" t="s">
        <v>13</v>
      </c>
      <c r="C7466" t="s">
        <v>63</v>
      </c>
      <c r="D7466">
        <v>20532.509999999998</v>
      </c>
      <c r="E7466">
        <v>2021</v>
      </c>
      <c r="F7466" t="s">
        <v>71</v>
      </c>
    </row>
    <row r="7467" spans="1:6" x14ac:dyDescent="0.25">
      <c r="A7467" t="s">
        <v>14</v>
      </c>
      <c r="B7467" t="s">
        <v>15</v>
      </c>
      <c r="C7467" t="s">
        <v>63</v>
      </c>
      <c r="D7467">
        <v>3112.49</v>
      </c>
      <c r="E7467">
        <v>2021</v>
      </c>
      <c r="F7467" t="s">
        <v>71</v>
      </c>
    </row>
    <row r="7468" spans="1:6" x14ac:dyDescent="0.25">
      <c r="A7468" t="s">
        <v>16</v>
      </c>
      <c r="B7468" t="s">
        <v>17</v>
      </c>
      <c r="C7468" t="s">
        <v>63</v>
      </c>
      <c r="D7468">
        <v>12374.29</v>
      </c>
      <c r="E7468">
        <v>2021</v>
      </c>
      <c r="F7468" t="s">
        <v>71</v>
      </c>
    </row>
    <row r="7469" spans="1:6" x14ac:dyDescent="0.25">
      <c r="A7469" t="s">
        <v>18</v>
      </c>
      <c r="B7469" t="s">
        <v>19</v>
      </c>
      <c r="C7469" t="s">
        <v>63</v>
      </c>
      <c r="D7469">
        <v>8632.93</v>
      </c>
      <c r="E7469">
        <v>2021</v>
      </c>
      <c r="F7469" t="s">
        <v>71</v>
      </c>
    </row>
    <row r="7470" spans="1:6" x14ac:dyDescent="0.25">
      <c r="A7470" t="s">
        <v>20</v>
      </c>
      <c r="B7470" t="s">
        <v>21</v>
      </c>
      <c r="C7470" t="s">
        <v>63</v>
      </c>
      <c r="D7470">
        <v>7666.86</v>
      </c>
      <c r="E7470">
        <v>2021</v>
      </c>
      <c r="F7470" t="s">
        <v>71</v>
      </c>
    </row>
    <row r="7471" spans="1:6" x14ac:dyDescent="0.25">
      <c r="A7471" t="s">
        <v>22</v>
      </c>
      <c r="B7471" t="s">
        <v>23</v>
      </c>
      <c r="C7471" t="s">
        <v>63</v>
      </c>
      <c r="D7471">
        <v>8941.4599999999991</v>
      </c>
      <c r="E7471">
        <v>2021</v>
      </c>
      <c r="F7471" t="s">
        <v>71</v>
      </c>
    </row>
    <row r="7472" spans="1:6" x14ac:dyDescent="0.25">
      <c r="A7472" t="s">
        <v>24</v>
      </c>
      <c r="B7472" t="s">
        <v>25</v>
      </c>
      <c r="C7472" t="s">
        <v>63</v>
      </c>
      <c r="D7472">
        <v>27772.62</v>
      </c>
      <c r="E7472">
        <v>2021</v>
      </c>
      <c r="F7472" t="s">
        <v>71</v>
      </c>
    </row>
    <row r="7473" spans="1:6" x14ac:dyDescent="0.25">
      <c r="A7473" t="s">
        <v>26</v>
      </c>
      <c r="B7473" t="s">
        <v>27</v>
      </c>
      <c r="C7473" t="s">
        <v>63</v>
      </c>
      <c r="D7473">
        <v>2260.1</v>
      </c>
      <c r="E7473">
        <v>2021</v>
      </c>
      <c r="F7473" t="s">
        <v>71</v>
      </c>
    </row>
    <row r="7474" spans="1:6" x14ac:dyDescent="0.25">
      <c r="A7474" t="s">
        <v>28</v>
      </c>
      <c r="B7474" t="s">
        <v>29</v>
      </c>
      <c r="C7474" t="s">
        <v>63</v>
      </c>
      <c r="D7474">
        <v>94398.64</v>
      </c>
      <c r="E7474">
        <v>2021</v>
      </c>
      <c r="F7474" t="s">
        <v>71</v>
      </c>
    </row>
    <row r="7475" spans="1:6" x14ac:dyDescent="0.25">
      <c r="A7475" t="s">
        <v>30</v>
      </c>
      <c r="B7475" t="s">
        <v>31</v>
      </c>
      <c r="C7475" t="s">
        <v>63</v>
      </c>
      <c r="D7475">
        <v>116626.37</v>
      </c>
      <c r="E7475">
        <v>2021</v>
      </c>
      <c r="F7475" t="s">
        <v>71</v>
      </c>
    </row>
    <row r="7476" spans="1:6" x14ac:dyDescent="0.25">
      <c r="A7476" t="s">
        <v>32</v>
      </c>
      <c r="B7476" t="s">
        <v>33</v>
      </c>
      <c r="C7476" t="s">
        <v>63</v>
      </c>
      <c r="D7476">
        <v>15100.04</v>
      </c>
      <c r="E7476">
        <v>2021</v>
      </c>
      <c r="F7476" t="s">
        <v>71</v>
      </c>
    </row>
    <row r="7477" spans="1:6" x14ac:dyDescent="0.25">
      <c r="A7477" t="s">
        <v>34</v>
      </c>
      <c r="B7477" t="s">
        <v>35</v>
      </c>
      <c r="C7477" t="s">
        <v>63</v>
      </c>
      <c r="D7477">
        <v>31921.95</v>
      </c>
      <c r="E7477">
        <v>2021</v>
      </c>
      <c r="F7477" t="s">
        <v>71</v>
      </c>
    </row>
    <row r="7478" spans="1:6" x14ac:dyDescent="0.25">
      <c r="A7478" t="s">
        <v>36</v>
      </c>
      <c r="B7478" t="s">
        <v>37</v>
      </c>
      <c r="C7478" t="s">
        <v>63</v>
      </c>
      <c r="D7478">
        <v>22942.71</v>
      </c>
      <c r="E7478">
        <v>2021</v>
      </c>
      <c r="F7478" t="s">
        <v>71</v>
      </c>
    </row>
    <row r="7479" spans="1:6" x14ac:dyDescent="0.25">
      <c r="A7479" t="s">
        <v>38</v>
      </c>
      <c r="B7479" t="s">
        <v>39</v>
      </c>
      <c r="C7479" t="s">
        <v>63</v>
      </c>
      <c r="D7479">
        <v>82220.95</v>
      </c>
      <c r="E7479">
        <v>2021</v>
      </c>
      <c r="F7479" t="s">
        <v>71</v>
      </c>
    </row>
    <row r="7480" spans="1:6" x14ac:dyDescent="0.25">
      <c r="A7480" t="s">
        <v>40</v>
      </c>
      <c r="B7480" t="s">
        <v>41</v>
      </c>
      <c r="C7480" t="s">
        <v>63</v>
      </c>
      <c r="D7480">
        <v>26208.54</v>
      </c>
      <c r="E7480">
        <v>2021</v>
      </c>
      <c r="F7480" t="s">
        <v>71</v>
      </c>
    </row>
    <row r="7481" spans="1:6" x14ac:dyDescent="0.25">
      <c r="A7481" t="s">
        <v>42</v>
      </c>
      <c r="B7481" t="s">
        <v>43</v>
      </c>
      <c r="C7481" t="s">
        <v>63</v>
      </c>
      <c r="D7481">
        <v>26003.47</v>
      </c>
      <c r="E7481">
        <v>2021</v>
      </c>
      <c r="F7481" t="s">
        <v>71</v>
      </c>
    </row>
    <row r="7482" spans="1:6" x14ac:dyDescent="0.25">
      <c r="A7482" t="s">
        <v>44</v>
      </c>
      <c r="B7482" t="s">
        <v>45</v>
      </c>
      <c r="C7482" t="s">
        <v>63</v>
      </c>
      <c r="D7482">
        <v>24644.18</v>
      </c>
      <c r="E7482">
        <v>2021</v>
      </c>
      <c r="F7482" t="s">
        <v>71</v>
      </c>
    </row>
    <row r="7483" spans="1:6" x14ac:dyDescent="0.25">
      <c r="A7483" t="s">
        <v>46</v>
      </c>
      <c r="B7483" t="s">
        <v>47</v>
      </c>
      <c r="C7483" t="s">
        <v>63</v>
      </c>
      <c r="D7483">
        <v>41711.89</v>
      </c>
      <c r="E7483">
        <v>2021</v>
      </c>
      <c r="F7483" t="s">
        <v>71</v>
      </c>
    </row>
    <row r="7484" spans="1:6" x14ac:dyDescent="0.25">
      <c r="A7484" t="s">
        <v>48</v>
      </c>
      <c r="B7484" t="s">
        <v>49</v>
      </c>
      <c r="C7484" t="s">
        <v>63</v>
      </c>
      <c r="D7484">
        <v>70863.929999999993</v>
      </c>
      <c r="E7484">
        <v>2021</v>
      </c>
      <c r="F7484" t="s">
        <v>71</v>
      </c>
    </row>
    <row r="7485" spans="1:6" x14ac:dyDescent="0.25">
      <c r="A7485" t="s">
        <v>50</v>
      </c>
      <c r="B7485" t="s">
        <v>51</v>
      </c>
      <c r="C7485" t="s">
        <v>63</v>
      </c>
      <c r="D7485">
        <v>8922.7800000000007</v>
      </c>
      <c r="E7485">
        <v>2021</v>
      </c>
      <c r="F7485" t="s">
        <v>71</v>
      </c>
    </row>
    <row r="7486" spans="1:6" x14ac:dyDescent="0.25">
      <c r="A7486" t="s">
        <v>52</v>
      </c>
      <c r="B7486" t="s">
        <v>53</v>
      </c>
      <c r="C7486" t="s">
        <v>63</v>
      </c>
      <c r="D7486">
        <v>7599.6</v>
      </c>
      <c r="E7486">
        <v>2021</v>
      </c>
      <c r="F7486" t="s">
        <v>71</v>
      </c>
    </row>
    <row r="7487" spans="1:6" x14ac:dyDescent="0.25">
      <c r="A7487" t="s">
        <v>54</v>
      </c>
      <c r="B7487" t="s">
        <v>55</v>
      </c>
      <c r="C7487" t="s">
        <v>63</v>
      </c>
      <c r="D7487">
        <v>6140.08</v>
      </c>
      <c r="E7487">
        <v>2021</v>
      </c>
      <c r="F7487" t="s">
        <v>71</v>
      </c>
    </row>
    <row r="7488" spans="1:6" x14ac:dyDescent="0.25">
      <c r="A7488" t="s">
        <v>56</v>
      </c>
      <c r="B7488" t="s">
        <v>57</v>
      </c>
      <c r="C7488" t="s">
        <v>63</v>
      </c>
      <c r="D7488">
        <v>5476.85</v>
      </c>
      <c r="E7488">
        <v>2021</v>
      </c>
      <c r="F7488" t="s">
        <v>71</v>
      </c>
    </row>
    <row r="7489" spans="1:6" x14ac:dyDescent="0.25">
      <c r="A7489" t="s">
        <v>58</v>
      </c>
      <c r="B7489" t="s">
        <v>59</v>
      </c>
      <c r="C7489" t="s">
        <v>63</v>
      </c>
      <c r="E7489">
        <v>2021</v>
      </c>
      <c r="F7489" t="s">
        <v>71</v>
      </c>
    </row>
    <row r="7490" spans="1:6" x14ac:dyDescent="0.25">
      <c r="A7490" t="s">
        <v>6</v>
      </c>
      <c r="B7490" t="s">
        <v>7</v>
      </c>
      <c r="C7490" t="s">
        <v>8</v>
      </c>
      <c r="D7490">
        <v>77040.100000000006</v>
      </c>
      <c r="E7490">
        <v>2021</v>
      </c>
      <c r="F7490" t="s">
        <v>71</v>
      </c>
    </row>
    <row r="7491" spans="1:6" x14ac:dyDescent="0.25">
      <c r="A7491" t="s">
        <v>10</v>
      </c>
      <c r="B7491" t="s">
        <v>11</v>
      </c>
      <c r="C7491" t="s">
        <v>8</v>
      </c>
      <c r="D7491">
        <v>26221.18</v>
      </c>
      <c r="E7491">
        <v>2021</v>
      </c>
      <c r="F7491" t="s">
        <v>71</v>
      </c>
    </row>
    <row r="7492" spans="1:6" x14ac:dyDescent="0.25">
      <c r="A7492" t="s">
        <v>12</v>
      </c>
      <c r="B7492" t="s">
        <v>13</v>
      </c>
      <c r="C7492" t="s">
        <v>8</v>
      </c>
      <c r="D7492">
        <v>5785.61</v>
      </c>
      <c r="E7492">
        <v>2021</v>
      </c>
      <c r="F7492" t="s">
        <v>71</v>
      </c>
    </row>
    <row r="7493" spans="1:6" x14ac:dyDescent="0.25">
      <c r="A7493" t="s">
        <v>14</v>
      </c>
      <c r="B7493" t="s">
        <v>15</v>
      </c>
      <c r="C7493" t="s">
        <v>8</v>
      </c>
      <c r="E7493">
        <v>2021</v>
      </c>
      <c r="F7493" t="s">
        <v>71</v>
      </c>
    </row>
    <row r="7494" spans="1:6" x14ac:dyDescent="0.25">
      <c r="A7494" t="s">
        <v>16</v>
      </c>
      <c r="B7494" t="s">
        <v>17</v>
      </c>
      <c r="C7494" t="s">
        <v>8</v>
      </c>
      <c r="D7494">
        <v>323.91000000000003</v>
      </c>
      <c r="E7494">
        <v>2021</v>
      </c>
      <c r="F7494" t="s">
        <v>71</v>
      </c>
    </row>
    <row r="7495" spans="1:6" x14ac:dyDescent="0.25">
      <c r="A7495" t="s">
        <v>18</v>
      </c>
      <c r="B7495" t="s">
        <v>19</v>
      </c>
      <c r="C7495" t="s">
        <v>8</v>
      </c>
      <c r="D7495">
        <v>133.12</v>
      </c>
      <c r="E7495">
        <v>2021</v>
      </c>
      <c r="F7495" t="s">
        <v>71</v>
      </c>
    </row>
    <row r="7496" spans="1:6" x14ac:dyDescent="0.25">
      <c r="A7496" t="s">
        <v>20</v>
      </c>
      <c r="B7496" t="s">
        <v>21</v>
      </c>
      <c r="C7496" t="s">
        <v>8</v>
      </c>
      <c r="D7496">
        <v>59.18</v>
      </c>
      <c r="E7496">
        <v>2021</v>
      </c>
      <c r="F7496" t="s">
        <v>71</v>
      </c>
    </row>
    <row r="7497" spans="1:6" x14ac:dyDescent="0.25">
      <c r="A7497" t="s">
        <v>22</v>
      </c>
      <c r="B7497" t="s">
        <v>23</v>
      </c>
      <c r="C7497" t="s">
        <v>8</v>
      </c>
      <c r="D7497">
        <v>4444.3500000000004</v>
      </c>
      <c r="E7497">
        <v>2021</v>
      </c>
      <c r="F7497" t="s">
        <v>71</v>
      </c>
    </row>
    <row r="7498" spans="1:6" x14ac:dyDescent="0.25">
      <c r="A7498" t="s">
        <v>24</v>
      </c>
      <c r="B7498" t="s">
        <v>25</v>
      </c>
      <c r="C7498" t="s">
        <v>8</v>
      </c>
      <c r="D7498">
        <v>5104.3</v>
      </c>
      <c r="E7498">
        <v>2021</v>
      </c>
      <c r="F7498" t="s">
        <v>71</v>
      </c>
    </row>
    <row r="7499" spans="1:6" x14ac:dyDescent="0.25">
      <c r="A7499" t="s">
        <v>26</v>
      </c>
      <c r="B7499" t="s">
        <v>27</v>
      </c>
      <c r="C7499" t="s">
        <v>8</v>
      </c>
      <c r="D7499">
        <v>348.62</v>
      </c>
      <c r="E7499">
        <v>2021</v>
      </c>
      <c r="F7499" t="s">
        <v>71</v>
      </c>
    </row>
    <row r="7500" spans="1:6" x14ac:dyDescent="0.25">
      <c r="A7500" t="s">
        <v>28</v>
      </c>
      <c r="B7500" t="s">
        <v>29</v>
      </c>
      <c r="C7500" t="s">
        <v>8</v>
      </c>
      <c r="E7500">
        <v>2021</v>
      </c>
      <c r="F7500" t="s">
        <v>71</v>
      </c>
    </row>
    <row r="7501" spans="1:6" x14ac:dyDescent="0.25">
      <c r="A7501" t="s">
        <v>30</v>
      </c>
      <c r="B7501" t="s">
        <v>31</v>
      </c>
      <c r="C7501" t="s">
        <v>8</v>
      </c>
      <c r="D7501">
        <v>12970.17</v>
      </c>
      <c r="E7501">
        <v>2021</v>
      </c>
      <c r="F7501" t="s">
        <v>71</v>
      </c>
    </row>
    <row r="7502" spans="1:6" x14ac:dyDescent="0.25">
      <c r="A7502" t="s">
        <v>32</v>
      </c>
      <c r="B7502" t="s">
        <v>33</v>
      </c>
      <c r="C7502" t="s">
        <v>8</v>
      </c>
      <c r="D7502">
        <v>1592</v>
      </c>
      <c r="E7502">
        <v>2021</v>
      </c>
      <c r="F7502" t="s">
        <v>71</v>
      </c>
    </row>
    <row r="7503" spans="1:6" x14ac:dyDescent="0.25">
      <c r="A7503" t="s">
        <v>34</v>
      </c>
      <c r="B7503" t="s">
        <v>35</v>
      </c>
      <c r="C7503" t="s">
        <v>8</v>
      </c>
      <c r="D7503">
        <v>3068.06</v>
      </c>
      <c r="E7503">
        <v>2021</v>
      </c>
      <c r="F7503" t="s">
        <v>71</v>
      </c>
    </row>
    <row r="7504" spans="1:6" x14ac:dyDescent="0.25">
      <c r="A7504" t="s">
        <v>36</v>
      </c>
      <c r="B7504" t="s">
        <v>37</v>
      </c>
      <c r="C7504" t="s">
        <v>8</v>
      </c>
      <c r="D7504">
        <v>2987.35</v>
      </c>
      <c r="E7504">
        <v>2021</v>
      </c>
      <c r="F7504" t="s">
        <v>71</v>
      </c>
    </row>
    <row r="7505" spans="1:6" x14ac:dyDescent="0.25">
      <c r="A7505" t="s">
        <v>38</v>
      </c>
      <c r="B7505" t="s">
        <v>39</v>
      </c>
      <c r="C7505" t="s">
        <v>8</v>
      </c>
      <c r="D7505">
        <v>2742.57</v>
      </c>
      <c r="E7505">
        <v>2021</v>
      </c>
      <c r="F7505" t="s">
        <v>71</v>
      </c>
    </row>
    <row r="7506" spans="1:6" x14ac:dyDescent="0.25">
      <c r="A7506" t="s">
        <v>40</v>
      </c>
      <c r="B7506" t="s">
        <v>41</v>
      </c>
      <c r="C7506" t="s">
        <v>8</v>
      </c>
      <c r="D7506">
        <v>2632.7</v>
      </c>
      <c r="E7506">
        <v>2021</v>
      </c>
      <c r="F7506" t="s">
        <v>71</v>
      </c>
    </row>
    <row r="7507" spans="1:6" x14ac:dyDescent="0.25">
      <c r="A7507" t="s">
        <v>42</v>
      </c>
      <c r="B7507" t="s">
        <v>43</v>
      </c>
      <c r="C7507" t="s">
        <v>8</v>
      </c>
      <c r="D7507">
        <v>10.08</v>
      </c>
      <c r="E7507">
        <v>2021</v>
      </c>
      <c r="F7507" t="s">
        <v>71</v>
      </c>
    </row>
    <row r="7508" spans="1:6" x14ac:dyDescent="0.25">
      <c r="A7508" t="s">
        <v>44</v>
      </c>
      <c r="B7508" t="s">
        <v>45</v>
      </c>
      <c r="C7508" t="s">
        <v>8</v>
      </c>
      <c r="D7508">
        <v>1222.2</v>
      </c>
      <c r="E7508">
        <v>2021</v>
      </c>
      <c r="F7508" t="s">
        <v>71</v>
      </c>
    </row>
    <row r="7509" spans="1:6" x14ac:dyDescent="0.25">
      <c r="A7509" t="s">
        <v>46</v>
      </c>
      <c r="B7509" t="s">
        <v>47</v>
      </c>
      <c r="C7509" t="s">
        <v>8</v>
      </c>
      <c r="D7509">
        <v>1034.3699999999999</v>
      </c>
      <c r="E7509">
        <v>2021</v>
      </c>
      <c r="F7509" t="s">
        <v>71</v>
      </c>
    </row>
    <row r="7510" spans="1:6" x14ac:dyDescent="0.25">
      <c r="A7510" t="s">
        <v>48</v>
      </c>
      <c r="B7510" t="s">
        <v>49</v>
      </c>
      <c r="C7510" t="s">
        <v>8</v>
      </c>
      <c r="D7510">
        <v>67.069999999999993</v>
      </c>
      <c r="E7510">
        <v>2021</v>
      </c>
      <c r="F7510" t="s">
        <v>71</v>
      </c>
    </row>
    <row r="7511" spans="1:6" x14ac:dyDescent="0.25">
      <c r="A7511" t="s">
        <v>50</v>
      </c>
      <c r="B7511" t="s">
        <v>51</v>
      </c>
      <c r="C7511" t="s">
        <v>8</v>
      </c>
      <c r="D7511">
        <v>41.2</v>
      </c>
      <c r="E7511">
        <v>2021</v>
      </c>
      <c r="F7511" t="s">
        <v>71</v>
      </c>
    </row>
    <row r="7512" spans="1:6" x14ac:dyDescent="0.25">
      <c r="A7512" t="s">
        <v>52</v>
      </c>
      <c r="B7512" t="s">
        <v>53</v>
      </c>
      <c r="C7512" t="s">
        <v>8</v>
      </c>
      <c r="D7512">
        <v>695.58</v>
      </c>
      <c r="E7512">
        <v>2021</v>
      </c>
      <c r="F7512" t="s">
        <v>71</v>
      </c>
    </row>
    <row r="7513" spans="1:6" x14ac:dyDescent="0.25">
      <c r="A7513" t="s">
        <v>54</v>
      </c>
      <c r="B7513" t="s">
        <v>55</v>
      </c>
      <c r="C7513" t="s">
        <v>8</v>
      </c>
      <c r="D7513">
        <v>132.56</v>
      </c>
      <c r="E7513">
        <v>2021</v>
      </c>
      <c r="F7513" t="s">
        <v>71</v>
      </c>
    </row>
    <row r="7514" spans="1:6" x14ac:dyDescent="0.25">
      <c r="A7514" t="s">
        <v>56</v>
      </c>
      <c r="B7514" t="s">
        <v>57</v>
      </c>
      <c r="C7514" t="s">
        <v>8</v>
      </c>
      <c r="D7514">
        <v>1463.97</v>
      </c>
      <c r="E7514">
        <v>2021</v>
      </c>
      <c r="F7514" t="s">
        <v>71</v>
      </c>
    </row>
    <row r="7515" spans="1:6" x14ac:dyDescent="0.25">
      <c r="A7515" t="s">
        <v>58</v>
      </c>
      <c r="B7515" t="s">
        <v>59</v>
      </c>
      <c r="C7515" t="s">
        <v>8</v>
      </c>
      <c r="D7515">
        <v>3959.95</v>
      </c>
      <c r="E7515">
        <v>2021</v>
      </c>
      <c r="F7515" t="s">
        <v>71</v>
      </c>
    </row>
    <row r="7516" spans="1:6" x14ac:dyDescent="0.25">
      <c r="A7516" t="s">
        <v>6</v>
      </c>
      <c r="B7516" t="s">
        <v>7</v>
      </c>
      <c r="C7516" t="s">
        <v>60</v>
      </c>
      <c r="D7516">
        <v>87382.65</v>
      </c>
      <c r="E7516">
        <v>2021</v>
      </c>
      <c r="F7516" t="s">
        <v>71</v>
      </c>
    </row>
    <row r="7517" spans="1:6" x14ac:dyDescent="0.25">
      <c r="A7517" t="s">
        <v>10</v>
      </c>
      <c r="B7517" t="s">
        <v>11</v>
      </c>
      <c r="C7517" t="s">
        <v>60</v>
      </c>
      <c r="D7517">
        <v>23992.29</v>
      </c>
      <c r="E7517">
        <v>2021</v>
      </c>
      <c r="F7517" t="s">
        <v>71</v>
      </c>
    </row>
    <row r="7518" spans="1:6" x14ac:dyDescent="0.25">
      <c r="A7518" t="s">
        <v>12</v>
      </c>
      <c r="B7518" t="s">
        <v>13</v>
      </c>
      <c r="C7518" t="s">
        <v>60</v>
      </c>
      <c r="D7518">
        <v>2809.54</v>
      </c>
      <c r="E7518">
        <v>2021</v>
      </c>
      <c r="F7518" t="s">
        <v>71</v>
      </c>
    </row>
    <row r="7519" spans="1:6" x14ac:dyDescent="0.25">
      <c r="A7519" t="s">
        <v>14</v>
      </c>
      <c r="B7519" t="s">
        <v>15</v>
      </c>
      <c r="C7519" t="s">
        <v>60</v>
      </c>
      <c r="E7519">
        <v>2021</v>
      </c>
      <c r="F7519" t="s">
        <v>71</v>
      </c>
    </row>
    <row r="7520" spans="1:6" x14ac:dyDescent="0.25">
      <c r="A7520" t="s">
        <v>16</v>
      </c>
      <c r="B7520" t="s">
        <v>17</v>
      </c>
      <c r="C7520" t="s">
        <v>60</v>
      </c>
      <c r="D7520">
        <v>1623.39</v>
      </c>
      <c r="E7520">
        <v>2021</v>
      </c>
      <c r="F7520" t="s">
        <v>71</v>
      </c>
    </row>
    <row r="7521" spans="1:6" x14ac:dyDescent="0.25">
      <c r="A7521" t="s">
        <v>18</v>
      </c>
      <c r="B7521" t="s">
        <v>19</v>
      </c>
      <c r="C7521" t="s">
        <v>60</v>
      </c>
      <c r="D7521">
        <v>2448.09</v>
      </c>
      <c r="E7521">
        <v>2021</v>
      </c>
      <c r="F7521" t="s">
        <v>71</v>
      </c>
    </row>
    <row r="7522" spans="1:6" x14ac:dyDescent="0.25">
      <c r="A7522" t="s">
        <v>20</v>
      </c>
      <c r="B7522" t="s">
        <v>21</v>
      </c>
      <c r="C7522" t="s">
        <v>60</v>
      </c>
      <c r="D7522">
        <v>390.45</v>
      </c>
      <c r="E7522">
        <v>2021</v>
      </c>
      <c r="F7522" t="s">
        <v>71</v>
      </c>
    </row>
    <row r="7523" spans="1:6" x14ac:dyDescent="0.25">
      <c r="A7523" t="s">
        <v>22</v>
      </c>
      <c r="B7523" t="s">
        <v>23</v>
      </c>
      <c r="C7523" t="s">
        <v>60</v>
      </c>
      <c r="D7523">
        <v>332.13</v>
      </c>
      <c r="E7523">
        <v>2021</v>
      </c>
      <c r="F7523" t="s">
        <v>71</v>
      </c>
    </row>
    <row r="7524" spans="1:6" x14ac:dyDescent="0.25">
      <c r="A7524" t="s">
        <v>24</v>
      </c>
      <c r="B7524" t="s">
        <v>25</v>
      </c>
      <c r="C7524" t="s">
        <v>60</v>
      </c>
      <c r="D7524">
        <v>2993.2</v>
      </c>
      <c r="E7524">
        <v>2021</v>
      </c>
      <c r="F7524" t="s">
        <v>71</v>
      </c>
    </row>
    <row r="7525" spans="1:6" x14ac:dyDescent="0.25">
      <c r="A7525" t="s">
        <v>26</v>
      </c>
      <c r="B7525" t="s">
        <v>27</v>
      </c>
      <c r="C7525" t="s">
        <v>60</v>
      </c>
      <c r="D7525">
        <v>901.94</v>
      </c>
      <c r="E7525">
        <v>2021</v>
      </c>
      <c r="F7525" t="s">
        <v>71</v>
      </c>
    </row>
    <row r="7526" spans="1:6" x14ac:dyDescent="0.25">
      <c r="A7526" t="s">
        <v>28</v>
      </c>
      <c r="B7526" t="s">
        <v>29</v>
      </c>
      <c r="C7526" t="s">
        <v>60</v>
      </c>
      <c r="D7526">
        <v>10527.83</v>
      </c>
      <c r="E7526">
        <v>2021</v>
      </c>
      <c r="F7526" t="s">
        <v>71</v>
      </c>
    </row>
    <row r="7527" spans="1:6" x14ac:dyDescent="0.25">
      <c r="A7527" t="s">
        <v>30</v>
      </c>
      <c r="B7527" t="s">
        <v>31</v>
      </c>
      <c r="C7527" t="s">
        <v>60</v>
      </c>
      <c r="D7527">
        <v>10649.38</v>
      </c>
      <c r="E7527">
        <v>2021</v>
      </c>
      <c r="F7527" t="s">
        <v>71</v>
      </c>
    </row>
    <row r="7528" spans="1:6" x14ac:dyDescent="0.25">
      <c r="A7528" t="s">
        <v>32</v>
      </c>
      <c r="B7528" t="s">
        <v>33</v>
      </c>
      <c r="C7528" t="s">
        <v>60</v>
      </c>
      <c r="D7528">
        <v>2342.86</v>
      </c>
      <c r="E7528">
        <v>2021</v>
      </c>
      <c r="F7528" t="s">
        <v>71</v>
      </c>
    </row>
    <row r="7529" spans="1:6" x14ac:dyDescent="0.25">
      <c r="A7529" t="s">
        <v>34</v>
      </c>
      <c r="B7529" t="s">
        <v>35</v>
      </c>
      <c r="C7529" t="s">
        <v>60</v>
      </c>
      <c r="D7529">
        <v>4195.1400000000003</v>
      </c>
      <c r="E7529">
        <v>2021</v>
      </c>
      <c r="F7529" t="s">
        <v>71</v>
      </c>
    </row>
    <row r="7530" spans="1:6" x14ac:dyDescent="0.25">
      <c r="A7530" t="s">
        <v>36</v>
      </c>
      <c r="B7530" t="s">
        <v>37</v>
      </c>
      <c r="C7530" t="s">
        <v>60</v>
      </c>
      <c r="D7530">
        <v>3767.19</v>
      </c>
      <c r="E7530">
        <v>2021</v>
      </c>
      <c r="F7530" t="s">
        <v>71</v>
      </c>
    </row>
    <row r="7531" spans="1:6" x14ac:dyDescent="0.25">
      <c r="A7531" t="s">
        <v>38</v>
      </c>
      <c r="B7531" t="s">
        <v>39</v>
      </c>
      <c r="C7531" t="s">
        <v>60</v>
      </c>
      <c r="D7531">
        <v>3253.45</v>
      </c>
      <c r="E7531">
        <v>2021</v>
      </c>
      <c r="F7531" t="s">
        <v>71</v>
      </c>
    </row>
    <row r="7532" spans="1:6" x14ac:dyDescent="0.25">
      <c r="A7532" t="s">
        <v>40</v>
      </c>
      <c r="B7532" t="s">
        <v>41</v>
      </c>
      <c r="C7532" t="s">
        <v>60</v>
      </c>
      <c r="D7532">
        <v>2018.79</v>
      </c>
      <c r="E7532">
        <v>2021</v>
      </c>
      <c r="F7532" t="s">
        <v>71</v>
      </c>
    </row>
    <row r="7533" spans="1:6" x14ac:dyDescent="0.25">
      <c r="A7533" t="s">
        <v>42</v>
      </c>
      <c r="B7533" t="s">
        <v>43</v>
      </c>
      <c r="C7533" t="s">
        <v>60</v>
      </c>
      <c r="E7533">
        <v>2021</v>
      </c>
      <c r="F7533" t="s">
        <v>71</v>
      </c>
    </row>
    <row r="7534" spans="1:6" x14ac:dyDescent="0.25">
      <c r="A7534" t="s">
        <v>44</v>
      </c>
      <c r="B7534" t="s">
        <v>45</v>
      </c>
      <c r="C7534" t="s">
        <v>60</v>
      </c>
      <c r="D7534">
        <v>1862.44</v>
      </c>
      <c r="E7534">
        <v>2021</v>
      </c>
      <c r="F7534" t="s">
        <v>71</v>
      </c>
    </row>
    <row r="7535" spans="1:6" x14ac:dyDescent="0.25">
      <c r="A7535" t="s">
        <v>46</v>
      </c>
      <c r="B7535" t="s">
        <v>47</v>
      </c>
      <c r="C7535" t="s">
        <v>60</v>
      </c>
      <c r="D7535">
        <v>635.04</v>
      </c>
      <c r="E7535">
        <v>2021</v>
      </c>
      <c r="F7535" t="s">
        <v>71</v>
      </c>
    </row>
    <row r="7536" spans="1:6" x14ac:dyDescent="0.25">
      <c r="A7536" t="s">
        <v>48</v>
      </c>
      <c r="B7536" t="s">
        <v>49</v>
      </c>
      <c r="C7536" t="s">
        <v>60</v>
      </c>
      <c r="D7536">
        <v>751.34</v>
      </c>
      <c r="E7536">
        <v>2021</v>
      </c>
      <c r="F7536" t="s">
        <v>71</v>
      </c>
    </row>
    <row r="7537" spans="1:6" x14ac:dyDescent="0.25">
      <c r="A7537" t="s">
        <v>50</v>
      </c>
      <c r="B7537" t="s">
        <v>51</v>
      </c>
      <c r="C7537" t="s">
        <v>60</v>
      </c>
      <c r="D7537">
        <v>820.97</v>
      </c>
      <c r="E7537">
        <v>2021</v>
      </c>
      <c r="F7537" t="s">
        <v>71</v>
      </c>
    </row>
    <row r="7538" spans="1:6" x14ac:dyDescent="0.25">
      <c r="A7538" t="s">
        <v>52</v>
      </c>
      <c r="B7538" t="s">
        <v>53</v>
      </c>
      <c r="C7538" t="s">
        <v>60</v>
      </c>
      <c r="D7538">
        <v>779.52</v>
      </c>
      <c r="E7538">
        <v>2021</v>
      </c>
      <c r="F7538" t="s">
        <v>71</v>
      </c>
    </row>
    <row r="7539" spans="1:6" x14ac:dyDescent="0.25">
      <c r="A7539" t="s">
        <v>54</v>
      </c>
      <c r="B7539" t="s">
        <v>55</v>
      </c>
      <c r="C7539" t="s">
        <v>60</v>
      </c>
      <c r="D7539">
        <v>10287.67</v>
      </c>
      <c r="E7539">
        <v>2021</v>
      </c>
      <c r="F7539" t="s">
        <v>71</v>
      </c>
    </row>
    <row r="7540" spans="1:6" x14ac:dyDescent="0.25">
      <c r="A7540" t="s">
        <v>56</v>
      </c>
      <c r="B7540" t="s">
        <v>57</v>
      </c>
      <c r="C7540" t="s">
        <v>60</v>
      </c>
      <c r="E7540">
        <v>2021</v>
      </c>
      <c r="F7540" t="s">
        <v>71</v>
      </c>
    </row>
    <row r="7541" spans="1:6" x14ac:dyDescent="0.25">
      <c r="A7541" t="s">
        <v>58</v>
      </c>
      <c r="B7541" t="s">
        <v>59</v>
      </c>
      <c r="C7541" t="s">
        <v>60</v>
      </c>
      <c r="E7541">
        <v>2021</v>
      </c>
      <c r="F7541" t="s">
        <v>71</v>
      </c>
    </row>
    <row r="7542" spans="1:6" x14ac:dyDescent="0.25">
      <c r="A7542" t="s">
        <v>6</v>
      </c>
      <c r="B7542" t="s">
        <v>7</v>
      </c>
      <c r="C7542" t="s">
        <v>61</v>
      </c>
      <c r="D7542">
        <v>31141.83</v>
      </c>
      <c r="E7542">
        <v>2021</v>
      </c>
      <c r="F7542" t="s">
        <v>71</v>
      </c>
    </row>
    <row r="7543" spans="1:6" x14ac:dyDescent="0.25">
      <c r="A7543" t="s">
        <v>10</v>
      </c>
      <c r="B7543" t="s">
        <v>11</v>
      </c>
      <c r="C7543" t="s">
        <v>61</v>
      </c>
      <c r="D7543">
        <v>16198.69</v>
      </c>
      <c r="E7543">
        <v>2021</v>
      </c>
      <c r="F7543" t="s">
        <v>71</v>
      </c>
    </row>
    <row r="7544" spans="1:6" x14ac:dyDescent="0.25">
      <c r="A7544" t="s">
        <v>12</v>
      </c>
      <c r="B7544" t="s">
        <v>13</v>
      </c>
      <c r="C7544" t="s">
        <v>61</v>
      </c>
      <c r="D7544">
        <v>1127.4000000000001</v>
      </c>
      <c r="E7544">
        <v>2021</v>
      </c>
      <c r="F7544" t="s">
        <v>71</v>
      </c>
    </row>
    <row r="7545" spans="1:6" x14ac:dyDescent="0.25">
      <c r="A7545" t="s">
        <v>14</v>
      </c>
      <c r="B7545" t="s">
        <v>15</v>
      </c>
      <c r="C7545" t="s">
        <v>61</v>
      </c>
      <c r="D7545">
        <v>4.3600000000000003</v>
      </c>
      <c r="E7545">
        <v>2021</v>
      </c>
      <c r="F7545" t="s">
        <v>71</v>
      </c>
    </row>
    <row r="7546" spans="1:6" x14ac:dyDescent="0.25">
      <c r="A7546" t="s">
        <v>16</v>
      </c>
      <c r="B7546" t="s">
        <v>17</v>
      </c>
      <c r="C7546" t="s">
        <v>61</v>
      </c>
      <c r="D7546">
        <v>433.91</v>
      </c>
      <c r="E7546">
        <v>2021</v>
      </c>
      <c r="F7546" t="s">
        <v>71</v>
      </c>
    </row>
    <row r="7547" spans="1:6" x14ac:dyDescent="0.25">
      <c r="A7547" t="s">
        <v>18</v>
      </c>
      <c r="B7547" t="s">
        <v>19</v>
      </c>
      <c r="C7547" t="s">
        <v>61</v>
      </c>
      <c r="D7547">
        <v>170.53</v>
      </c>
      <c r="E7547">
        <v>2021</v>
      </c>
      <c r="F7547" t="s">
        <v>71</v>
      </c>
    </row>
    <row r="7548" spans="1:6" x14ac:dyDescent="0.25">
      <c r="A7548" t="s">
        <v>20</v>
      </c>
      <c r="B7548" t="s">
        <v>21</v>
      </c>
      <c r="C7548" t="s">
        <v>61</v>
      </c>
      <c r="D7548">
        <v>104.65</v>
      </c>
      <c r="E7548">
        <v>2021</v>
      </c>
      <c r="F7548" t="s">
        <v>71</v>
      </c>
    </row>
    <row r="7549" spans="1:6" x14ac:dyDescent="0.25">
      <c r="A7549" t="s">
        <v>22</v>
      </c>
      <c r="B7549" t="s">
        <v>23</v>
      </c>
      <c r="C7549" t="s">
        <v>61</v>
      </c>
      <c r="D7549">
        <v>521.17999999999995</v>
      </c>
      <c r="E7549">
        <v>2021</v>
      </c>
      <c r="F7549" t="s">
        <v>71</v>
      </c>
    </row>
    <row r="7550" spans="1:6" x14ac:dyDescent="0.25">
      <c r="A7550" t="s">
        <v>24</v>
      </c>
      <c r="B7550" t="s">
        <v>25</v>
      </c>
      <c r="C7550" t="s">
        <v>61</v>
      </c>
      <c r="D7550">
        <v>1798.98</v>
      </c>
      <c r="E7550">
        <v>2021</v>
      </c>
      <c r="F7550" t="s">
        <v>71</v>
      </c>
    </row>
    <row r="7551" spans="1:6" x14ac:dyDescent="0.25">
      <c r="A7551" t="s">
        <v>26</v>
      </c>
      <c r="B7551" t="s">
        <v>27</v>
      </c>
      <c r="C7551" t="s">
        <v>61</v>
      </c>
      <c r="D7551">
        <v>193.79</v>
      </c>
      <c r="E7551">
        <v>2021</v>
      </c>
      <c r="F7551" t="s">
        <v>71</v>
      </c>
    </row>
    <row r="7552" spans="1:6" x14ac:dyDescent="0.25">
      <c r="A7552" t="s">
        <v>28</v>
      </c>
      <c r="B7552" t="s">
        <v>29</v>
      </c>
      <c r="C7552" t="s">
        <v>61</v>
      </c>
      <c r="D7552">
        <v>178.3</v>
      </c>
      <c r="E7552">
        <v>2021</v>
      </c>
      <c r="F7552" t="s">
        <v>71</v>
      </c>
    </row>
    <row r="7553" spans="1:6" x14ac:dyDescent="0.25">
      <c r="A7553" t="s">
        <v>30</v>
      </c>
      <c r="B7553" t="s">
        <v>31</v>
      </c>
      <c r="C7553" t="s">
        <v>61</v>
      </c>
      <c r="D7553">
        <v>2041.33</v>
      </c>
      <c r="E7553">
        <v>2021</v>
      </c>
      <c r="F7553" t="s">
        <v>71</v>
      </c>
    </row>
    <row r="7554" spans="1:6" x14ac:dyDescent="0.25">
      <c r="A7554" t="s">
        <v>32</v>
      </c>
      <c r="B7554" t="s">
        <v>33</v>
      </c>
      <c r="C7554" t="s">
        <v>61</v>
      </c>
      <c r="D7554">
        <v>491.73</v>
      </c>
      <c r="E7554">
        <v>2021</v>
      </c>
      <c r="F7554" t="s">
        <v>71</v>
      </c>
    </row>
    <row r="7555" spans="1:6" x14ac:dyDescent="0.25">
      <c r="A7555" t="s">
        <v>34</v>
      </c>
      <c r="B7555" t="s">
        <v>35</v>
      </c>
      <c r="C7555" t="s">
        <v>61</v>
      </c>
      <c r="D7555">
        <v>1773.21</v>
      </c>
      <c r="E7555">
        <v>2021</v>
      </c>
      <c r="F7555" t="s">
        <v>71</v>
      </c>
    </row>
    <row r="7556" spans="1:6" x14ac:dyDescent="0.25">
      <c r="A7556" t="s">
        <v>36</v>
      </c>
      <c r="B7556" t="s">
        <v>37</v>
      </c>
      <c r="C7556" t="s">
        <v>61</v>
      </c>
      <c r="D7556">
        <v>1269.3699999999999</v>
      </c>
      <c r="E7556">
        <v>2021</v>
      </c>
      <c r="F7556" t="s">
        <v>71</v>
      </c>
    </row>
    <row r="7557" spans="1:6" x14ac:dyDescent="0.25">
      <c r="A7557" t="s">
        <v>38</v>
      </c>
      <c r="B7557" t="s">
        <v>39</v>
      </c>
      <c r="C7557" t="s">
        <v>61</v>
      </c>
      <c r="D7557">
        <v>1703.77</v>
      </c>
      <c r="E7557">
        <v>2021</v>
      </c>
      <c r="F7557" t="s">
        <v>71</v>
      </c>
    </row>
    <row r="7558" spans="1:6" x14ac:dyDescent="0.25">
      <c r="A7558" t="s">
        <v>40</v>
      </c>
      <c r="B7558" t="s">
        <v>41</v>
      </c>
      <c r="C7558" t="s">
        <v>61</v>
      </c>
      <c r="D7558">
        <v>672.54</v>
      </c>
      <c r="E7558">
        <v>2021</v>
      </c>
      <c r="F7558" t="s">
        <v>71</v>
      </c>
    </row>
    <row r="7559" spans="1:6" x14ac:dyDescent="0.25">
      <c r="A7559" t="s">
        <v>42</v>
      </c>
      <c r="B7559" t="s">
        <v>43</v>
      </c>
      <c r="C7559" t="s">
        <v>61</v>
      </c>
      <c r="D7559">
        <v>198.07</v>
      </c>
      <c r="E7559">
        <v>2021</v>
      </c>
      <c r="F7559" t="s">
        <v>71</v>
      </c>
    </row>
    <row r="7560" spans="1:6" x14ac:dyDescent="0.25">
      <c r="A7560" t="s">
        <v>44</v>
      </c>
      <c r="B7560" t="s">
        <v>45</v>
      </c>
      <c r="C7560" t="s">
        <v>61</v>
      </c>
      <c r="D7560">
        <v>791.47</v>
      </c>
      <c r="E7560">
        <v>2021</v>
      </c>
      <c r="F7560" t="s">
        <v>71</v>
      </c>
    </row>
    <row r="7561" spans="1:6" x14ac:dyDescent="0.25">
      <c r="A7561" t="s">
        <v>46</v>
      </c>
      <c r="B7561" t="s">
        <v>47</v>
      </c>
      <c r="C7561" t="s">
        <v>61</v>
      </c>
      <c r="D7561">
        <v>263.13</v>
      </c>
      <c r="E7561">
        <v>2021</v>
      </c>
      <c r="F7561" t="s">
        <v>71</v>
      </c>
    </row>
    <row r="7562" spans="1:6" x14ac:dyDescent="0.25">
      <c r="A7562" t="s">
        <v>48</v>
      </c>
      <c r="B7562" t="s">
        <v>49</v>
      </c>
      <c r="C7562" t="s">
        <v>61</v>
      </c>
      <c r="D7562">
        <v>354.86</v>
      </c>
      <c r="E7562">
        <v>2021</v>
      </c>
      <c r="F7562" t="s">
        <v>71</v>
      </c>
    </row>
    <row r="7563" spans="1:6" x14ac:dyDescent="0.25">
      <c r="A7563" t="s">
        <v>50</v>
      </c>
      <c r="B7563" t="s">
        <v>51</v>
      </c>
      <c r="C7563" t="s">
        <v>61</v>
      </c>
      <c r="D7563">
        <v>186.88</v>
      </c>
      <c r="E7563">
        <v>2021</v>
      </c>
      <c r="F7563" t="s">
        <v>71</v>
      </c>
    </row>
    <row r="7564" spans="1:6" x14ac:dyDescent="0.25">
      <c r="A7564" t="s">
        <v>52</v>
      </c>
      <c r="B7564" t="s">
        <v>53</v>
      </c>
      <c r="C7564" t="s">
        <v>61</v>
      </c>
      <c r="D7564">
        <v>296.27999999999997</v>
      </c>
      <c r="E7564">
        <v>2021</v>
      </c>
      <c r="F7564" t="s">
        <v>71</v>
      </c>
    </row>
    <row r="7565" spans="1:6" x14ac:dyDescent="0.25">
      <c r="A7565" t="s">
        <v>54</v>
      </c>
      <c r="B7565" t="s">
        <v>55</v>
      </c>
      <c r="C7565" t="s">
        <v>61</v>
      </c>
      <c r="D7565">
        <v>16.21</v>
      </c>
      <c r="E7565">
        <v>2021</v>
      </c>
      <c r="F7565" t="s">
        <v>71</v>
      </c>
    </row>
    <row r="7566" spans="1:6" x14ac:dyDescent="0.25">
      <c r="A7566" t="s">
        <v>56</v>
      </c>
      <c r="B7566" t="s">
        <v>57</v>
      </c>
      <c r="C7566" t="s">
        <v>61</v>
      </c>
      <c r="D7566">
        <v>351.19</v>
      </c>
      <c r="E7566">
        <v>2021</v>
      </c>
      <c r="F7566" t="s">
        <v>71</v>
      </c>
    </row>
    <row r="7567" spans="1:6" x14ac:dyDescent="0.25">
      <c r="A7567" t="s">
        <v>58</v>
      </c>
      <c r="B7567" t="s">
        <v>59</v>
      </c>
      <c r="C7567" t="s">
        <v>61</v>
      </c>
      <c r="E7567">
        <v>2021</v>
      </c>
      <c r="F7567" t="s">
        <v>71</v>
      </c>
    </row>
    <row r="7568" spans="1:6" x14ac:dyDescent="0.25">
      <c r="A7568" t="s">
        <v>6</v>
      </c>
      <c r="B7568" t="s">
        <v>7</v>
      </c>
      <c r="C7568" t="s">
        <v>65</v>
      </c>
      <c r="D7568">
        <v>522265.41</v>
      </c>
      <c r="E7568">
        <v>2021</v>
      </c>
      <c r="F7568" t="s">
        <v>71</v>
      </c>
    </row>
    <row r="7569" spans="1:6" x14ac:dyDescent="0.25">
      <c r="A7569" t="s">
        <v>10</v>
      </c>
      <c r="B7569" t="s">
        <v>11</v>
      </c>
      <c r="C7569" t="s">
        <v>65</v>
      </c>
      <c r="D7569">
        <v>77772.289999999994</v>
      </c>
      <c r="E7569">
        <v>2021</v>
      </c>
      <c r="F7569" t="s">
        <v>71</v>
      </c>
    </row>
    <row r="7570" spans="1:6" x14ac:dyDescent="0.25">
      <c r="A7570" t="s">
        <v>12</v>
      </c>
      <c r="B7570" t="s">
        <v>13</v>
      </c>
      <c r="C7570" t="s">
        <v>65</v>
      </c>
      <c r="D7570">
        <v>27315.49</v>
      </c>
      <c r="E7570">
        <v>2021</v>
      </c>
      <c r="F7570" t="s">
        <v>71</v>
      </c>
    </row>
    <row r="7571" spans="1:6" x14ac:dyDescent="0.25">
      <c r="A7571" t="s">
        <v>14</v>
      </c>
      <c r="B7571" t="s">
        <v>15</v>
      </c>
      <c r="C7571" t="s">
        <v>65</v>
      </c>
      <c r="D7571">
        <v>788.68</v>
      </c>
      <c r="E7571">
        <v>2021</v>
      </c>
      <c r="F7571" t="s">
        <v>71</v>
      </c>
    </row>
    <row r="7572" spans="1:6" x14ac:dyDescent="0.25">
      <c r="A7572" t="s">
        <v>16</v>
      </c>
      <c r="B7572" t="s">
        <v>17</v>
      </c>
      <c r="C7572" t="s">
        <v>65</v>
      </c>
      <c r="D7572">
        <v>19010.57</v>
      </c>
      <c r="E7572">
        <v>2021</v>
      </c>
      <c r="F7572" t="s">
        <v>71</v>
      </c>
    </row>
    <row r="7573" spans="1:6" x14ac:dyDescent="0.25">
      <c r="A7573" t="s">
        <v>18</v>
      </c>
      <c r="B7573" t="s">
        <v>19</v>
      </c>
      <c r="C7573" t="s">
        <v>65</v>
      </c>
      <c r="D7573">
        <v>4960.96</v>
      </c>
      <c r="E7573">
        <v>2021</v>
      </c>
      <c r="F7573" t="s">
        <v>71</v>
      </c>
    </row>
    <row r="7574" spans="1:6" x14ac:dyDescent="0.25">
      <c r="A7574" t="s">
        <v>20</v>
      </c>
      <c r="B7574" t="s">
        <v>21</v>
      </c>
      <c r="C7574" t="s">
        <v>65</v>
      </c>
      <c r="D7574">
        <v>3247.2</v>
      </c>
      <c r="E7574">
        <v>2021</v>
      </c>
      <c r="F7574" t="s">
        <v>71</v>
      </c>
    </row>
    <row r="7575" spans="1:6" x14ac:dyDescent="0.25">
      <c r="A7575" t="s">
        <v>22</v>
      </c>
      <c r="B7575" t="s">
        <v>23</v>
      </c>
      <c r="C7575" t="s">
        <v>65</v>
      </c>
      <c r="D7575">
        <v>3718.79</v>
      </c>
      <c r="E7575">
        <v>2021</v>
      </c>
      <c r="F7575" t="s">
        <v>71</v>
      </c>
    </row>
    <row r="7576" spans="1:6" x14ac:dyDescent="0.25">
      <c r="A7576" t="s">
        <v>24</v>
      </c>
      <c r="B7576" t="s">
        <v>25</v>
      </c>
      <c r="C7576" t="s">
        <v>65</v>
      </c>
      <c r="D7576">
        <v>15242.41</v>
      </c>
      <c r="E7576">
        <v>2021</v>
      </c>
      <c r="F7576" t="s">
        <v>71</v>
      </c>
    </row>
    <row r="7577" spans="1:6" x14ac:dyDescent="0.25">
      <c r="A7577" t="s">
        <v>26</v>
      </c>
      <c r="B7577" t="s">
        <v>27</v>
      </c>
      <c r="C7577" t="s">
        <v>65</v>
      </c>
      <c r="D7577">
        <v>726.55</v>
      </c>
      <c r="E7577">
        <v>2021</v>
      </c>
      <c r="F7577" t="s">
        <v>71</v>
      </c>
    </row>
    <row r="7578" spans="1:6" x14ac:dyDescent="0.25">
      <c r="A7578" t="s">
        <v>28</v>
      </c>
      <c r="B7578" t="s">
        <v>29</v>
      </c>
      <c r="C7578" t="s">
        <v>65</v>
      </c>
      <c r="D7578">
        <v>22145.919999999998</v>
      </c>
      <c r="E7578">
        <v>2021</v>
      </c>
      <c r="F7578" t="s">
        <v>71</v>
      </c>
    </row>
    <row r="7579" spans="1:6" x14ac:dyDescent="0.25">
      <c r="A7579" t="s">
        <v>30</v>
      </c>
      <c r="B7579" t="s">
        <v>31</v>
      </c>
      <c r="C7579" t="s">
        <v>65</v>
      </c>
      <c r="D7579">
        <v>43478.97</v>
      </c>
      <c r="E7579">
        <v>2021</v>
      </c>
      <c r="F7579" t="s">
        <v>71</v>
      </c>
    </row>
    <row r="7580" spans="1:6" x14ac:dyDescent="0.25">
      <c r="A7580" t="s">
        <v>32</v>
      </c>
      <c r="B7580" t="s">
        <v>33</v>
      </c>
      <c r="C7580" t="s">
        <v>65</v>
      </c>
      <c r="D7580">
        <v>2868.17</v>
      </c>
      <c r="E7580">
        <v>2021</v>
      </c>
      <c r="F7580" t="s">
        <v>71</v>
      </c>
    </row>
    <row r="7581" spans="1:6" x14ac:dyDescent="0.25">
      <c r="A7581" t="s">
        <v>34</v>
      </c>
      <c r="B7581" t="s">
        <v>35</v>
      </c>
      <c r="C7581" t="s">
        <v>65</v>
      </c>
      <c r="D7581">
        <v>25394.02</v>
      </c>
      <c r="E7581">
        <v>2021</v>
      </c>
      <c r="F7581" t="s">
        <v>71</v>
      </c>
    </row>
    <row r="7582" spans="1:6" x14ac:dyDescent="0.25">
      <c r="A7582" t="s">
        <v>36</v>
      </c>
      <c r="B7582" t="s">
        <v>37</v>
      </c>
      <c r="C7582" t="s">
        <v>65</v>
      </c>
      <c r="D7582">
        <v>26205.88</v>
      </c>
      <c r="E7582">
        <v>2021</v>
      </c>
      <c r="F7582" t="s">
        <v>71</v>
      </c>
    </row>
    <row r="7583" spans="1:6" x14ac:dyDescent="0.25">
      <c r="A7583" t="s">
        <v>38</v>
      </c>
      <c r="B7583" t="s">
        <v>39</v>
      </c>
      <c r="C7583" t="s">
        <v>65</v>
      </c>
      <c r="D7583">
        <v>48332.92</v>
      </c>
      <c r="E7583">
        <v>2021</v>
      </c>
      <c r="F7583" t="s">
        <v>71</v>
      </c>
    </row>
    <row r="7584" spans="1:6" x14ac:dyDescent="0.25">
      <c r="A7584" t="s">
        <v>40</v>
      </c>
      <c r="B7584" t="s">
        <v>41</v>
      </c>
      <c r="C7584" t="s">
        <v>65</v>
      </c>
      <c r="D7584">
        <v>28977.9</v>
      </c>
      <c r="E7584">
        <v>2021</v>
      </c>
      <c r="F7584" t="s">
        <v>71</v>
      </c>
    </row>
    <row r="7585" spans="1:6" x14ac:dyDescent="0.25">
      <c r="A7585" t="s">
        <v>42</v>
      </c>
      <c r="B7585" t="s">
        <v>43</v>
      </c>
      <c r="C7585" t="s">
        <v>65</v>
      </c>
      <c r="D7585">
        <v>11016.37</v>
      </c>
      <c r="E7585">
        <v>2021</v>
      </c>
      <c r="F7585" t="s">
        <v>71</v>
      </c>
    </row>
    <row r="7586" spans="1:6" x14ac:dyDescent="0.25">
      <c r="A7586" t="s">
        <v>44</v>
      </c>
      <c r="B7586" t="s">
        <v>45</v>
      </c>
      <c r="C7586" t="s">
        <v>65</v>
      </c>
      <c r="D7586">
        <v>34038.35</v>
      </c>
      <c r="E7586">
        <v>2021</v>
      </c>
      <c r="F7586" t="s">
        <v>71</v>
      </c>
    </row>
    <row r="7587" spans="1:6" x14ac:dyDescent="0.25">
      <c r="A7587" t="s">
        <v>46</v>
      </c>
      <c r="B7587" t="s">
        <v>47</v>
      </c>
      <c r="C7587" t="s">
        <v>65</v>
      </c>
      <c r="D7587">
        <v>43375.31</v>
      </c>
      <c r="E7587">
        <v>2021</v>
      </c>
      <c r="F7587" t="s">
        <v>71</v>
      </c>
    </row>
    <row r="7588" spans="1:6" x14ac:dyDescent="0.25">
      <c r="A7588" t="s">
        <v>48</v>
      </c>
      <c r="B7588" t="s">
        <v>49</v>
      </c>
      <c r="C7588" t="s">
        <v>65</v>
      </c>
      <c r="D7588">
        <v>79331.899999999994</v>
      </c>
      <c r="E7588">
        <v>2021</v>
      </c>
      <c r="F7588" t="s">
        <v>71</v>
      </c>
    </row>
    <row r="7589" spans="1:6" x14ac:dyDescent="0.25">
      <c r="A7589" t="s">
        <v>50</v>
      </c>
      <c r="B7589" t="s">
        <v>51</v>
      </c>
      <c r="C7589" t="s">
        <v>65</v>
      </c>
      <c r="D7589">
        <v>1481.48</v>
      </c>
      <c r="E7589">
        <v>2021</v>
      </c>
      <c r="F7589" t="s">
        <v>71</v>
      </c>
    </row>
    <row r="7590" spans="1:6" x14ac:dyDescent="0.25">
      <c r="A7590" t="s">
        <v>52</v>
      </c>
      <c r="B7590" t="s">
        <v>53</v>
      </c>
      <c r="C7590" t="s">
        <v>65</v>
      </c>
      <c r="D7590">
        <v>2182.2600000000002</v>
      </c>
      <c r="E7590">
        <v>2021</v>
      </c>
      <c r="F7590" t="s">
        <v>71</v>
      </c>
    </row>
    <row r="7591" spans="1:6" x14ac:dyDescent="0.25">
      <c r="A7591" t="s">
        <v>54</v>
      </c>
      <c r="B7591" t="s">
        <v>55</v>
      </c>
      <c r="C7591" t="s">
        <v>65</v>
      </c>
      <c r="D7591">
        <v>653.02</v>
      </c>
      <c r="E7591">
        <v>2021</v>
      </c>
      <c r="F7591" t="s">
        <v>71</v>
      </c>
    </row>
    <row r="7592" spans="1:6" x14ac:dyDescent="0.25">
      <c r="A7592" t="s">
        <v>56</v>
      </c>
      <c r="B7592" t="s">
        <v>57</v>
      </c>
      <c r="C7592" t="s">
        <v>65</v>
      </c>
      <c r="E7592">
        <v>2021</v>
      </c>
      <c r="F7592" t="s">
        <v>71</v>
      </c>
    </row>
    <row r="7593" spans="1:6" x14ac:dyDescent="0.25">
      <c r="A7593" t="s">
        <v>58</v>
      </c>
      <c r="B7593" t="s">
        <v>59</v>
      </c>
      <c r="C7593" t="s">
        <v>65</v>
      </c>
      <c r="E7593">
        <v>2021</v>
      </c>
      <c r="F7593" t="s">
        <v>71</v>
      </c>
    </row>
    <row r="7594" spans="1:6" x14ac:dyDescent="0.25">
      <c r="A7594" t="s">
        <v>6</v>
      </c>
      <c r="B7594" t="s">
        <v>7</v>
      </c>
      <c r="C7594" t="s">
        <v>62</v>
      </c>
      <c r="E7594">
        <v>2021</v>
      </c>
      <c r="F7594" t="s">
        <v>71</v>
      </c>
    </row>
    <row r="7595" spans="1:6" x14ac:dyDescent="0.25">
      <c r="A7595" t="s">
        <v>10</v>
      </c>
      <c r="B7595" t="s">
        <v>11</v>
      </c>
      <c r="C7595" t="s">
        <v>62</v>
      </c>
      <c r="E7595">
        <v>2021</v>
      </c>
      <c r="F7595" t="s">
        <v>71</v>
      </c>
    </row>
    <row r="7596" spans="1:6" x14ac:dyDescent="0.25">
      <c r="A7596" t="s">
        <v>12</v>
      </c>
      <c r="B7596" t="s">
        <v>13</v>
      </c>
      <c r="C7596" t="s">
        <v>62</v>
      </c>
      <c r="E7596">
        <v>2021</v>
      </c>
      <c r="F7596" t="s">
        <v>71</v>
      </c>
    </row>
    <row r="7597" spans="1:6" x14ac:dyDescent="0.25">
      <c r="A7597" t="s">
        <v>14</v>
      </c>
      <c r="B7597" t="s">
        <v>15</v>
      </c>
      <c r="C7597" t="s">
        <v>62</v>
      </c>
      <c r="E7597">
        <v>2021</v>
      </c>
      <c r="F7597" t="s">
        <v>71</v>
      </c>
    </row>
    <row r="7598" spans="1:6" x14ac:dyDescent="0.25">
      <c r="A7598" t="s">
        <v>16</v>
      </c>
      <c r="B7598" t="s">
        <v>17</v>
      </c>
      <c r="C7598" t="s">
        <v>62</v>
      </c>
      <c r="E7598">
        <v>2021</v>
      </c>
      <c r="F7598" t="s">
        <v>71</v>
      </c>
    </row>
    <row r="7599" spans="1:6" x14ac:dyDescent="0.25">
      <c r="A7599" t="s">
        <v>18</v>
      </c>
      <c r="B7599" t="s">
        <v>19</v>
      </c>
      <c r="C7599" t="s">
        <v>62</v>
      </c>
      <c r="E7599">
        <v>2021</v>
      </c>
      <c r="F7599" t="s">
        <v>71</v>
      </c>
    </row>
    <row r="7600" spans="1:6" x14ac:dyDescent="0.25">
      <c r="A7600" t="s">
        <v>20</v>
      </c>
      <c r="B7600" t="s">
        <v>21</v>
      </c>
      <c r="C7600" t="s">
        <v>62</v>
      </c>
      <c r="E7600">
        <v>2021</v>
      </c>
      <c r="F7600" t="s">
        <v>71</v>
      </c>
    </row>
    <row r="7601" spans="1:6" x14ac:dyDescent="0.25">
      <c r="A7601" t="s">
        <v>22</v>
      </c>
      <c r="B7601" t="s">
        <v>23</v>
      </c>
      <c r="C7601" t="s">
        <v>62</v>
      </c>
      <c r="E7601">
        <v>2021</v>
      </c>
      <c r="F7601" t="s">
        <v>71</v>
      </c>
    </row>
    <row r="7602" spans="1:6" x14ac:dyDescent="0.25">
      <c r="A7602" t="s">
        <v>24</v>
      </c>
      <c r="B7602" t="s">
        <v>25</v>
      </c>
      <c r="C7602" t="s">
        <v>62</v>
      </c>
      <c r="E7602">
        <v>2021</v>
      </c>
      <c r="F7602" t="s">
        <v>71</v>
      </c>
    </row>
    <row r="7603" spans="1:6" x14ac:dyDescent="0.25">
      <c r="A7603" t="s">
        <v>26</v>
      </c>
      <c r="B7603" t="s">
        <v>27</v>
      </c>
      <c r="C7603" t="s">
        <v>62</v>
      </c>
      <c r="E7603">
        <v>2021</v>
      </c>
      <c r="F7603" t="s">
        <v>71</v>
      </c>
    </row>
    <row r="7604" spans="1:6" x14ac:dyDescent="0.25">
      <c r="A7604" t="s">
        <v>28</v>
      </c>
      <c r="B7604" t="s">
        <v>29</v>
      </c>
      <c r="C7604" t="s">
        <v>62</v>
      </c>
      <c r="E7604">
        <v>2021</v>
      </c>
      <c r="F7604" t="s">
        <v>71</v>
      </c>
    </row>
    <row r="7605" spans="1:6" x14ac:dyDescent="0.25">
      <c r="A7605" t="s">
        <v>30</v>
      </c>
      <c r="B7605" t="s">
        <v>31</v>
      </c>
      <c r="C7605" t="s">
        <v>62</v>
      </c>
      <c r="E7605">
        <v>2021</v>
      </c>
      <c r="F7605" t="s">
        <v>71</v>
      </c>
    </row>
    <row r="7606" spans="1:6" x14ac:dyDescent="0.25">
      <c r="A7606" t="s">
        <v>32</v>
      </c>
      <c r="B7606" t="s">
        <v>33</v>
      </c>
      <c r="C7606" t="s">
        <v>62</v>
      </c>
      <c r="E7606">
        <v>2021</v>
      </c>
      <c r="F7606" t="s">
        <v>71</v>
      </c>
    </row>
    <row r="7607" spans="1:6" x14ac:dyDescent="0.25">
      <c r="A7607" t="s">
        <v>34</v>
      </c>
      <c r="B7607" t="s">
        <v>35</v>
      </c>
      <c r="C7607" t="s">
        <v>62</v>
      </c>
      <c r="E7607">
        <v>2021</v>
      </c>
      <c r="F7607" t="s">
        <v>71</v>
      </c>
    </row>
    <row r="7608" spans="1:6" x14ac:dyDescent="0.25">
      <c r="A7608" t="s">
        <v>36</v>
      </c>
      <c r="B7608" t="s">
        <v>37</v>
      </c>
      <c r="C7608" t="s">
        <v>62</v>
      </c>
      <c r="E7608">
        <v>2021</v>
      </c>
      <c r="F7608" t="s">
        <v>71</v>
      </c>
    </row>
    <row r="7609" spans="1:6" x14ac:dyDescent="0.25">
      <c r="A7609" t="s">
        <v>38</v>
      </c>
      <c r="B7609" t="s">
        <v>39</v>
      </c>
      <c r="C7609" t="s">
        <v>62</v>
      </c>
      <c r="E7609">
        <v>2021</v>
      </c>
      <c r="F7609" t="s">
        <v>71</v>
      </c>
    </row>
    <row r="7610" spans="1:6" x14ac:dyDescent="0.25">
      <c r="A7610" t="s">
        <v>40</v>
      </c>
      <c r="B7610" t="s">
        <v>41</v>
      </c>
      <c r="C7610" t="s">
        <v>62</v>
      </c>
      <c r="E7610">
        <v>2021</v>
      </c>
      <c r="F7610" t="s">
        <v>71</v>
      </c>
    </row>
    <row r="7611" spans="1:6" x14ac:dyDescent="0.25">
      <c r="A7611" t="s">
        <v>42</v>
      </c>
      <c r="B7611" t="s">
        <v>43</v>
      </c>
      <c r="C7611" t="s">
        <v>62</v>
      </c>
      <c r="E7611">
        <v>2021</v>
      </c>
      <c r="F7611" t="s">
        <v>71</v>
      </c>
    </row>
    <row r="7612" spans="1:6" x14ac:dyDescent="0.25">
      <c r="A7612" t="s">
        <v>44</v>
      </c>
      <c r="B7612" t="s">
        <v>45</v>
      </c>
      <c r="C7612" t="s">
        <v>62</v>
      </c>
      <c r="E7612">
        <v>2021</v>
      </c>
      <c r="F7612" t="s">
        <v>71</v>
      </c>
    </row>
    <row r="7613" spans="1:6" x14ac:dyDescent="0.25">
      <c r="A7613" t="s">
        <v>46</v>
      </c>
      <c r="B7613" t="s">
        <v>47</v>
      </c>
      <c r="C7613" t="s">
        <v>62</v>
      </c>
      <c r="E7613">
        <v>2021</v>
      </c>
      <c r="F7613" t="s">
        <v>71</v>
      </c>
    </row>
    <row r="7614" spans="1:6" x14ac:dyDescent="0.25">
      <c r="A7614" t="s">
        <v>48</v>
      </c>
      <c r="B7614" t="s">
        <v>49</v>
      </c>
      <c r="C7614" t="s">
        <v>62</v>
      </c>
      <c r="E7614">
        <v>2021</v>
      </c>
      <c r="F7614" t="s">
        <v>71</v>
      </c>
    </row>
    <row r="7615" spans="1:6" x14ac:dyDescent="0.25">
      <c r="A7615" t="s">
        <v>50</v>
      </c>
      <c r="B7615" t="s">
        <v>51</v>
      </c>
      <c r="C7615" t="s">
        <v>62</v>
      </c>
      <c r="E7615">
        <v>2021</v>
      </c>
      <c r="F7615" t="s">
        <v>71</v>
      </c>
    </row>
    <row r="7616" spans="1:6" x14ac:dyDescent="0.25">
      <c r="A7616" t="s">
        <v>52</v>
      </c>
      <c r="B7616" t="s">
        <v>53</v>
      </c>
      <c r="C7616" t="s">
        <v>62</v>
      </c>
      <c r="E7616">
        <v>2021</v>
      </c>
      <c r="F7616" t="s">
        <v>71</v>
      </c>
    </row>
    <row r="7617" spans="1:6" x14ac:dyDescent="0.25">
      <c r="A7617" t="s">
        <v>54</v>
      </c>
      <c r="B7617" t="s">
        <v>55</v>
      </c>
      <c r="C7617" t="s">
        <v>62</v>
      </c>
      <c r="E7617">
        <v>2021</v>
      </c>
      <c r="F7617" t="s">
        <v>71</v>
      </c>
    </row>
    <row r="7618" spans="1:6" x14ac:dyDescent="0.25">
      <c r="A7618" t="s">
        <v>56</v>
      </c>
      <c r="B7618" t="s">
        <v>57</v>
      </c>
      <c r="C7618" t="s">
        <v>62</v>
      </c>
      <c r="E7618">
        <v>2021</v>
      </c>
      <c r="F7618" t="s">
        <v>71</v>
      </c>
    </row>
    <row r="7619" spans="1:6" x14ac:dyDescent="0.25">
      <c r="A7619" t="s">
        <v>58</v>
      </c>
      <c r="B7619" t="s">
        <v>59</v>
      </c>
      <c r="C7619" t="s">
        <v>62</v>
      </c>
      <c r="E7619">
        <v>2021</v>
      </c>
      <c r="F7619" t="s">
        <v>71</v>
      </c>
    </row>
    <row r="7620" spans="1:6" x14ac:dyDescent="0.25">
      <c r="A7620" t="s">
        <v>6</v>
      </c>
      <c r="B7620" t="s">
        <v>7</v>
      </c>
      <c r="C7620" t="s">
        <v>66</v>
      </c>
      <c r="E7620">
        <v>2021</v>
      </c>
      <c r="F7620" t="s">
        <v>71</v>
      </c>
    </row>
    <row r="7621" spans="1:6" x14ac:dyDescent="0.25">
      <c r="A7621" t="s">
        <v>10</v>
      </c>
      <c r="B7621" t="s">
        <v>11</v>
      </c>
      <c r="C7621" t="s">
        <v>66</v>
      </c>
      <c r="E7621">
        <v>2021</v>
      </c>
      <c r="F7621" t="s">
        <v>71</v>
      </c>
    </row>
    <row r="7622" spans="1:6" x14ac:dyDescent="0.25">
      <c r="A7622" t="s">
        <v>12</v>
      </c>
      <c r="B7622" t="s">
        <v>13</v>
      </c>
      <c r="C7622" t="s">
        <v>66</v>
      </c>
      <c r="E7622">
        <v>2021</v>
      </c>
      <c r="F7622" t="s">
        <v>71</v>
      </c>
    </row>
    <row r="7623" spans="1:6" x14ac:dyDescent="0.25">
      <c r="A7623" t="s">
        <v>14</v>
      </c>
      <c r="B7623" t="s">
        <v>15</v>
      </c>
      <c r="C7623" t="s">
        <v>66</v>
      </c>
      <c r="E7623">
        <v>2021</v>
      </c>
      <c r="F7623" t="s">
        <v>71</v>
      </c>
    </row>
    <row r="7624" spans="1:6" x14ac:dyDescent="0.25">
      <c r="A7624" t="s">
        <v>16</v>
      </c>
      <c r="B7624" t="s">
        <v>17</v>
      </c>
      <c r="C7624" t="s">
        <v>66</v>
      </c>
      <c r="E7624">
        <v>2021</v>
      </c>
      <c r="F7624" t="s">
        <v>71</v>
      </c>
    </row>
    <row r="7625" spans="1:6" x14ac:dyDescent="0.25">
      <c r="A7625" t="s">
        <v>18</v>
      </c>
      <c r="B7625" t="s">
        <v>19</v>
      </c>
      <c r="C7625" t="s">
        <v>66</v>
      </c>
      <c r="E7625">
        <v>2021</v>
      </c>
      <c r="F7625" t="s">
        <v>71</v>
      </c>
    </row>
    <row r="7626" spans="1:6" x14ac:dyDescent="0.25">
      <c r="A7626" t="s">
        <v>20</v>
      </c>
      <c r="B7626" t="s">
        <v>21</v>
      </c>
      <c r="C7626" t="s">
        <v>66</v>
      </c>
      <c r="E7626">
        <v>2021</v>
      </c>
      <c r="F7626" t="s">
        <v>71</v>
      </c>
    </row>
    <row r="7627" spans="1:6" x14ac:dyDescent="0.25">
      <c r="A7627" t="s">
        <v>22</v>
      </c>
      <c r="B7627" t="s">
        <v>23</v>
      </c>
      <c r="C7627" t="s">
        <v>66</v>
      </c>
      <c r="E7627">
        <v>2021</v>
      </c>
      <c r="F7627" t="s">
        <v>71</v>
      </c>
    </row>
    <row r="7628" spans="1:6" x14ac:dyDescent="0.25">
      <c r="A7628" t="s">
        <v>24</v>
      </c>
      <c r="B7628" t="s">
        <v>25</v>
      </c>
      <c r="C7628" t="s">
        <v>66</v>
      </c>
      <c r="E7628">
        <v>2021</v>
      </c>
      <c r="F7628" t="s">
        <v>71</v>
      </c>
    </row>
    <row r="7629" spans="1:6" x14ac:dyDescent="0.25">
      <c r="A7629" t="s">
        <v>26</v>
      </c>
      <c r="B7629" t="s">
        <v>27</v>
      </c>
      <c r="C7629" t="s">
        <v>66</v>
      </c>
      <c r="E7629">
        <v>2021</v>
      </c>
      <c r="F7629" t="s">
        <v>71</v>
      </c>
    </row>
    <row r="7630" spans="1:6" x14ac:dyDescent="0.25">
      <c r="A7630" t="s">
        <v>28</v>
      </c>
      <c r="B7630" t="s">
        <v>29</v>
      </c>
      <c r="C7630" t="s">
        <v>66</v>
      </c>
      <c r="E7630">
        <v>2021</v>
      </c>
      <c r="F7630" t="s">
        <v>71</v>
      </c>
    </row>
    <row r="7631" spans="1:6" x14ac:dyDescent="0.25">
      <c r="A7631" t="s">
        <v>30</v>
      </c>
      <c r="B7631" t="s">
        <v>31</v>
      </c>
      <c r="C7631" t="s">
        <v>66</v>
      </c>
      <c r="E7631">
        <v>2021</v>
      </c>
      <c r="F7631" t="s">
        <v>71</v>
      </c>
    </row>
    <row r="7632" spans="1:6" x14ac:dyDescent="0.25">
      <c r="A7632" t="s">
        <v>32</v>
      </c>
      <c r="B7632" t="s">
        <v>33</v>
      </c>
      <c r="C7632" t="s">
        <v>66</v>
      </c>
      <c r="E7632">
        <v>2021</v>
      </c>
      <c r="F7632" t="s">
        <v>71</v>
      </c>
    </row>
    <row r="7633" spans="1:6" x14ac:dyDescent="0.25">
      <c r="A7633" t="s">
        <v>34</v>
      </c>
      <c r="B7633" t="s">
        <v>35</v>
      </c>
      <c r="C7633" t="s">
        <v>66</v>
      </c>
      <c r="E7633">
        <v>2021</v>
      </c>
      <c r="F7633" t="s">
        <v>71</v>
      </c>
    </row>
    <row r="7634" spans="1:6" x14ac:dyDescent="0.25">
      <c r="A7634" t="s">
        <v>36</v>
      </c>
      <c r="B7634" t="s">
        <v>37</v>
      </c>
      <c r="C7634" t="s">
        <v>66</v>
      </c>
      <c r="E7634">
        <v>2021</v>
      </c>
      <c r="F7634" t="s">
        <v>71</v>
      </c>
    </row>
    <row r="7635" spans="1:6" x14ac:dyDescent="0.25">
      <c r="A7635" t="s">
        <v>38</v>
      </c>
      <c r="B7635" t="s">
        <v>39</v>
      </c>
      <c r="C7635" t="s">
        <v>66</v>
      </c>
      <c r="E7635">
        <v>2021</v>
      </c>
      <c r="F7635" t="s">
        <v>71</v>
      </c>
    </row>
    <row r="7636" spans="1:6" x14ac:dyDescent="0.25">
      <c r="A7636" t="s">
        <v>40</v>
      </c>
      <c r="B7636" t="s">
        <v>41</v>
      </c>
      <c r="C7636" t="s">
        <v>66</v>
      </c>
      <c r="E7636">
        <v>2021</v>
      </c>
      <c r="F7636" t="s">
        <v>71</v>
      </c>
    </row>
    <row r="7637" spans="1:6" x14ac:dyDescent="0.25">
      <c r="A7637" t="s">
        <v>42</v>
      </c>
      <c r="B7637" t="s">
        <v>43</v>
      </c>
      <c r="C7637" t="s">
        <v>66</v>
      </c>
      <c r="E7637">
        <v>2021</v>
      </c>
      <c r="F7637" t="s">
        <v>71</v>
      </c>
    </row>
    <row r="7638" spans="1:6" x14ac:dyDescent="0.25">
      <c r="A7638" t="s">
        <v>44</v>
      </c>
      <c r="B7638" t="s">
        <v>45</v>
      </c>
      <c r="C7638" t="s">
        <v>66</v>
      </c>
      <c r="E7638">
        <v>2021</v>
      </c>
      <c r="F7638" t="s">
        <v>71</v>
      </c>
    </row>
    <row r="7639" spans="1:6" x14ac:dyDescent="0.25">
      <c r="A7639" t="s">
        <v>46</v>
      </c>
      <c r="B7639" t="s">
        <v>47</v>
      </c>
      <c r="C7639" t="s">
        <v>66</v>
      </c>
      <c r="E7639">
        <v>2021</v>
      </c>
      <c r="F7639" t="s">
        <v>71</v>
      </c>
    </row>
    <row r="7640" spans="1:6" x14ac:dyDescent="0.25">
      <c r="A7640" t="s">
        <v>48</v>
      </c>
      <c r="B7640" t="s">
        <v>49</v>
      </c>
      <c r="C7640" t="s">
        <v>66</v>
      </c>
      <c r="E7640">
        <v>2021</v>
      </c>
      <c r="F7640" t="s">
        <v>71</v>
      </c>
    </row>
    <row r="7641" spans="1:6" x14ac:dyDescent="0.25">
      <c r="A7641" t="s">
        <v>50</v>
      </c>
      <c r="B7641" t="s">
        <v>51</v>
      </c>
      <c r="C7641" t="s">
        <v>66</v>
      </c>
      <c r="E7641">
        <v>2021</v>
      </c>
      <c r="F7641" t="s">
        <v>71</v>
      </c>
    </row>
    <row r="7642" spans="1:6" x14ac:dyDescent="0.25">
      <c r="A7642" t="s">
        <v>52</v>
      </c>
      <c r="B7642" t="s">
        <v>53</v>
      </c>
      <c r="C7642" t="s">
        <v>66</v>
      </c>
      <c r="E7642">
        <v>2021</v>
      </c>
      <c r="F7642" t="s">
        <v>71</v>
      </c>
    </row>
    <row r="7643" spans="1:6" x14ac:dyDescent="0.25">
      <c r="A7643" t="s">
        <v>54</v>
      </c>
      <c r="B7643" t="s">
        <v>55</v>
      </c>
      <c r="C7643" t="s">
        <v>66</v>
      </c>
      <c r="E7643">
        <v>2021</v>
      </c>
      <c r="F7643" t="s">
        <v>71</v>
      </c>
    </row>
    <row r="7644" spans="1:6" x14ac:dyDescent="0.25">
      <c r="A7644" t="s">
        <v>56</v>
      </c>
      <c r="B7644" t="s">
        <v>57</v>
      </c>
      <c r="C7644" t="s">
        <v>66</v>
      </c>
      <c r="E7644">
        <v>2021</v>
      </c>
      <c r="F7644" t="s">
        <v>71</v>
      </c>
    </row>
    <row r="7645" spans="1:6" x14ac:dyDescent="0.25">
      <c r="A7645" t="s">
        <v>58</v>
      </c>
      <c r="B7645" t="s">
        <v>59</v>
      </c>
      <c r="C7645" t="s">
        <v>66</v>
      </c>
      <c r="E7645">
        <v>2021</v>
      </c>
      <c r="F7645" t="s">
        <v>71</v>
      </c>
    </row>
    <row r="7646" spans="1:6" x14ac:dyDescent="0.25">
      <c r="A7646" t="s">
        <v>6</v>
      </c>
      <c r="B7646" t="s">
        <v>7</v>
      </c>
      <c r="C7646" t="s">
        <v>63</v>
      </c>
      <c r="D7646">
        <v>1078051.71</v>
      </c>
      <c r="E7646">
        <v>2022</v>
      </c>
      <c r="F7646" t="s">
        <v>71</v>
      </c>
    </row>
    <row r="7647" spans="1:6" x14ac:dyDescent="0.25">
      <c r="A7647" t="s">
        <v>10</v>
      </c>
      <c r="B7647" t="s">
        <v>11</v>
      </c>
      <c r="C7647" t="s">
        <v>63</v>
      </c>
      <c r="D7647">
        <v>242995.97</v>
      </c>
      <c r="E7647">
        <v>2022</v>
      </c>
      <c r="F7647" t="s">
        <v>71</v>
      </c>
    </row>
    <row r="7648" spans="1:6" x14ac:dyDescent="0.25">
      <c r="A7648" t="s">
        <v>12</v>
      </c>
      <c r="B7648" t="s">
        <v>13</v>
      </c>
      <c r="C7648" t="s">
        <v>63</v>
      </c>
      <c r="D7648">
        <v>26163.759999999998</v>
      </c>
      <c r="E7648">
        <v>2022</v>
      </c>
      <c r="F7648" t="s">
        <v>71</v>
      </c>
    </row>
    <row r="7649" spans="1:6" x14ac:dyDescent="0.25">
      <c r="A7649" t="s">
        <v>14</v>
      </c>
      <c r="B7649" t="s">
        <v>15</v>
      </c>
      <c r="C7649" t="s">
        <v>63</v>
      </c>
      <c r="D7649">
        <v>4093.18</v>
      </c>
      <c r="E7649">
        <v>2022</v>
      </c>
      <c r="F7649" t="s">
        <v>71</v>
      </c>
    </row>
    <row r="7650" spans="1:6" x14ac:dyDescent="0.25">
      <c r="A7650" t="s">
        <v>16</v>
      </c>
      <c r="B7650" t="s">
        <v>17</v>
      </c>
      <c r="C7650" t="s">
        <v>63</v>
      </c>
      <c r="D7650">
        <v>13615.09</v>
      </c>
      <c r="E7650">
        <v>2022</v>
      </c>
      <c r="F7650" t="s">
        <v>71</v>
      </c>
    </row>
    <row r="7651" spans="1:6" x14ac:dyDescent="0.25">
      <c r="A7651" t="s">
        <v>18</v>
      </c>
      <c r="B7651" t="s">
        <v>19</v>
      </c>
      <c r="C7651" t="s">
        <v>63</v>
      </c>
      <c r="D7651">
        <v>10415.16</v>
      </c>
      <c r="E7651">
        <v>2022</v>
      </c>
      <c r="F7651" t="s">
        <v>71</v>
      </c>
    </row>
    <row r="7652" spans="1:6" x14ac:dyDescent="0.25">
      <c r="A7652" t="s">
        <v>20</v>
      </c>
      <c r="B7652" t="s">
        <v>21</v>
      </c>
      <c r="C7652" t="s">
        <v>63</v>
      </c>
      <c r="D7652">
        <v>9854.02</v>
      </c>
      <c r="E7652">
        <v>2022</v>
      </c>
      <c r="F7652" t="s">
        <v>71</v>
      </c>
    </row>
    <row r="7653" spans="1:6" x14ac:dyDescent="0.25">
      <c r="A7653" t="s">
        <v>22</v>
      </c>
      <c r="B7653" t="s">
        <v>23</v>
      </c>
      <c r="C7653" t="s">
        <v>63</v>
      </c>
      <c r="D7653">
        <v>9371.1</v>
      </c>
      <c r="E7653">
        <v>2022</v>
      </c>
      <c r="F7653" t="s">
        <v>71</v>
      </c>
    </row>
    <row r="7654" spans="1:6" x14ac:dyDescent="0.25">
      <c r="A7654" t="s">
        <v>24</v>
      </c>
      <c r="B7654" t="s">
        <v>25</v>
      </c>
      <c r="C7654" t="s">
        <v>63</v>
      </c>
      <c r="D7654">
        <v>33110.67</v>
      </c>
      <c r="E7654">
        <v>2022</v>
      </c>
      <c r="F7654" t="s">
        <v>71</v>
      </c>
    </row>
    <row r="7655" spans="1:6" x14ac:dyDescent="0.25">
      <c r="A7655" t="s">
        <v>26</v>
      </c>
      <c r="B7655" t="s">
        <v>27</v>
      </c>
      <c r="C7655" t="s">
        <v>63</v>
      </c>
      <c r="D7655">
        <v>2759.15</v>
      </c>
      <c r="E7655">
        <v>2022</v>
      </c>
      <c r="F7655" t="s">
        <v>71</v>
      </c>
    </row>
    <row r="7656" spans="1:6" x14ac:dyDescent="0.25">
      <c r="A7656" t="s">
        <v>28</v>
      </c>
      <c r="B7656" t="s">
        <v>29</v>
      </c>
      <c r="C7656" t="s">
        <v>63</v>
      </c>
      <c r="D7656">
        <v>144994.18</v>
      </c>
      <c r="E7656">
        <v>2022</v>
      </c>
      <c r="F7656" t="s">
        <v>71</v>
      </c>
    </row>
    <row r="7657" spans="1:6" x14ac:dyDescent="0.25">
      <c r="A7657" t="s">
        <v>30</v>
      </c>
      <c r="B7657" t="s">
        <v>31</v>
      </c>
      <c r="C7657" t="s">
        <v>63</v>
      </c>
      <c r="D7657">
        <v>142731.48000000001</v>
      </c>
      <c r="E7657">
        <v>2022</v>
      </c>
      <c r="F7657" t="s">
        <v>71</v>
      </c>
    </row>
    <row r="7658" spans="1:6" x14ac:dyDescent="0.25">
      <c r="A7658" t="s">
        <v>32</v>
      </c>
      <c r="B7658" t="s">
        <v>33</v>
      </c>
      <c r="C7658" t="s">
        <v>63</v>
      </c>
      <c r="D7658">
        <v>17519.96</v>
      </c>
      <c r="E7658">
        <v>2022</v>
      </c>
      <c r="F7658" t="s">
        <v>71</v>
      </c>
    </row>
    <row r="7659" spans="1:6" x14ac:dyDescent="0.25">
      <c r="A7659" t="s">
        <v>34</v>
      </c>
      <c r="B7659" t="s">
        <v>35</v>
      </c>
      <c r="C7659" t="s">
        <v>63</v>
      </c>
      <c r="D7659">
        <v>36056.25</v>
      </c>
      <c r="E7659">
        <v>2022</v>
      </c>
      <c r="F7659" t="s">
        <v>71</v>
      </c>
    </row>
    <row r="7660" spans="1:6" x14ac:dyDescent="0.25">
      <c r="A7660" t="s">
        <v>36</v>
      </c>
      <c r="B7660" t="s">
        <v>37</v>
      </c>
      <c r="C7660" t="s">
        <v>63</v>
      </c>
      <c r="D7660">
        <v>28203.48</v>
      </c>
      <c r="E7660">
        <v>2022</v>
      </c>
      <c r="F7660" t="s">
        <v>71</v>
      </c>
    </row>
    <row r="7661" spans="1:6" x14ac:dyDescent="0.25">
      <c r="A7661" t="s">
        <v>38</v>
      </c>
      <c r="B7661" t="s">
        <v>39</v>
      </c>
      <c r="C7661" t="s">
        <v>63</v>
      </c>
      <c r="D7661">
        <v>86246.62</v>
      </c>
      <c r="E7661">
        <v>2022</v>
      </c>
      <c r="F7661" t="s">
        <v>71</v>
      </c>
    </row>
    <row r="7662" spans="1:6" x14ac:dyDescent="0.25">
      <c r="A7662" t="s">
        <v>40</v>
      </c>
      <c r="B7662" t="s">
        <v>41</v>
      </c>
      <c r="C7662" t="s">
        <v>63</v>
      </c>
      <c r="D7662">
        <v>28379.01</v>
      </c>
      <c r="E7662">
        <v>2022</v>
      </c>
      <c r="F7662" t="s">
        <v>71</v>
      </c>
    </row>
    <row r="7663" spans="1:6" x14ac:dyDescent="0.25">
      <c r="A7663" t="s">
        <v>42</v>
      </c>
      <c r="B7663" t="s">
        <v>43</v>
      </c>
      <c r="C7663" t="s">
        <v>63</v>
      </c>
      <c r="D7663">
        <v>30377</v>
      </c>
      <c r="E7663">
        <v>2022</v>
      </c>
      <c r="F7663" t="s">
        <v>71</v>
      </c>
    </row>
    <row r="7664" spans="1:6" x14ac:dyDescent="0.25">
      <c r="A7664" t="s">
        <v>44</v>
      </c>
      <c r="B7664" t="s">
        <v>45</v>
      </c>
      <c r="C7664" t="s">
        <v>63</v>
      </c>
      <c r="D7664">
        <v>28886.240000000002</v>
      </c>
      <c r="E7664">
        <v>2022</v>
      </c>
      <c r="F7664" t="s">
        <v>71</v>
      </c>
    </row>
    <row r="7665" spans="1:6" x14ac:dyDescent="0.25">
      <c r="A7665" t="s">
        <v>46</v>
      </c>
      <c r="B7665" t="s">
        <v>47</v>
      </c>
      <c r="C7665" t="s">
        <v>63</v>
      </c>
      <c r="D7665">
        <v>53978.47</v>
      </c>
      <c r="E7665">
        <v>2022</v>
      </c>
      <c r="F7665" t="s">
        <v>71</v>
      </c>
    </row>
    <row r="7666" spans="1:6" x14ac:dyDescent="0.25">
      <c r="A7666" t="s">
        <v>48</v>
      </c>
      <c r="B7666" t="s">
        <v>49</v>
      </c>
      <c r="C7666" t="s">
        <v>63</v>
      </c>
      <c r="D7666">
        <v>93953.34</v>
      </c>
      <c r="E7666">
        <v>2022</v>
      </c>
      <c r="F7666" t="s">
        <v>71</v>
      </c>
    </row>
    <row r="7667" spans="1:6" x14ac:dyDescent="0.25">
      <c r="A7667" t="s">
        <v>50</v>
      </c>
      <c r="B7667" t="s">
        <v>51</v>
      </c>
      <c r="C7667" t="s">
        <v>63</v>
      </c>
      <c r="D7667">
        <v>11540.55</v>
      </c>
      <c r="E7667">
        <v>2022</v>
      </c>
      <c r="F7667" t="s">
        <v>71</v>
      </c>
    </row>
    <row r="7668" spans="1:6" x14ac:dyDescent="0.25">
      <c r="A7668" t="s">
        <v>52</v>
      </c>
      <c r="B7668" t="s">
        <v>53</v>
      </c>
      <c r="C7668" t="s">
        <v>63</v>
      </c>
      <c r="D7668">
        <v>8070.11</v>
      </c>
      <c r="E7668">
        <v>2022</v>
      </c>
      <c r="F7668" t="s">
        <v>71</v>
      </c>
    </row>
    <row r="7669" spans="1:6" x14ac:dyDescent="0.25">
      <c r="A7669" t="s">
        <v>54</v>
      </c>
      <c r="B7669" t="s">
        <v>55</v>
      </c>
      <c r="C7669" t="s">
        <v>63</v>
      </c>
      <c r="D7669">
        <v>7012.32</v>
      </c>
      <c r="E7669">
        <v>2022</v>
      </c>
      <c r="F7669" t="s">
        <v>71</v>
      </c>
    </row>
    <row r="7670" spans="1:6" x14ac:dyDescent="0.25">
      <c r="A7670" t="s">
        <v>56</v>
      </c>
      <c r="B7670" t="s">
        <v>57</v>
      </c>
      <c r="C7670" t="s">
        <v>63</v>
      </c>
      <c r="D7670">
        <v>7724.6</v>
      </c>
      <c r="E7670">
        <v>2022</v>
      </c>
      <c r="F7670" t="s">
        <v>71</v>
      </c>
    </row>
    <row r="7671" spans="1:6" x14ac:dyDescent="0.25">
      <c r="A7671" t="s">
        <v>58</v>
      </c>
      <c r="B7671" t="s">
        <v>59</v>
      </c>
      <c r="C7671" t="s">
        <v>63</v>
      </c>
      <c r="E7671">
        <v>2022</v>
      </c>
      <c r="F7671" t="s">
        <v>71</v>
      </c>
    </row>
    <row r="7672" spans="1:6" x14ac:dyDescent="0.25">
      <c r="A7672" t="s">
        <v>6</v>
      </c>
      <c r="B7672" t="s">
        <v>7</v>
      </c>
      <c r="C7672" t="s">
        <v>8</v>
      </c>
      <c r="D7672">
        <v>86289.11</v>
      </c>
      <c r="E7672">
        <v>2022</v>
      </c>
      <c r="F7672" t="s">
        <v>71</v>
      </c>
    </row>
    <row r="7673" spans="1:6" x14ac:dyDescent="0.25">
      <c r="A7673" t="s">
        <v>10</v>
      </c>
      <c r="B7673" t="s">
        <v>11</v>
      </c>
      <c r="C7673" t="s">
        <v>8</v>
      </c>
      <c r="D7673">
        <v>29070.05</v>
      </c>
      <c r="E7673">
        <v>2022</v>
      </c>
      <c r="F7673" t="s">
        <v>71</v>
      </c>
    </row>
    <row r="7674" spans="1:6" x14ac:dyDescent="0.25">
      <c r="A7674" t="s">
        <v>12</v>
      </c>
      <c r="B7674" t="s">
        <v>13</v>
      </c>
      <c r="C7674" t="s">
        <v>8</v>
      </c>
      <c r="D7674">
        <v>6836.9</v>
      </c>
      <c r="E7674">
        <v>2022</v>
      </c>
      <c r="F7674" t="s">
        <v>71</v>
      </c>
    </row>
    <row r="7675" spans="1:6" x14ac:dyDescent="0.25">
      <c r="A7675" t="s">
        <v>14</v>
      </c>
      <c r="B7675" t="s">
        <v>15</v>
      </c>
      <c r="C7675" t="s">
        <v>8</v>
      </c>
      <c r="E7675">
        <v>2022</v>
      </c>
      <c r="F7675" t="s">
        <v>71</v>
      </c>
    </row>
    <row r="7676" spans="1:6" x14ac:dyDescent="0.25">
      <c r="A7676" t="s">
        <v>16</v>
      </c>
      <c r="B7676" t="s">
        <v>17</v>
      </c>
      <c r="C7676" t="s">
        <v>8</v>
      </c>
      <c r="D7676">
        <v>322.79000000000002</v>
      </c>
      <c r="E7676">
        <v>2022</v>
      </c>
      <c r="F7676" t="s">
        <v>71</v>
      </c>
    </row>
    <row r="7677" spans="1:6" x14ac:dyDescent="0.25">
      <c r="A7677" t="s">
        <v>18</v>
      </c>
      <c r="B7677" t="s">
        <v>19</v>
      </c>
      <c r="C7677" t="s">
        <v>8</v>
      </c>
      <c r="D7677">
        <v>131.99</v>
      </c>
      <c r="E7677">
        <v>2022</v>
      </c>
      <c r="F7677" t="s">
        <v>71</v>
      </c>
    </row>
    <row r="7678" spans="1:6" x14ac:dyDescent="0.25">
      <c r="A7678" t="s">
        <v>20</v>
      </c>
      <c r="B7678" t="s">
        <v>21</v>
      </c>
      <c r="C7678" t="s">
        <v>8</v>
      </c>
      <c r="D7678">
        <v>51.87</v>
      </c>
      <c r="E7678">
        <v>2022</v>
      </c>
      <c r="F7678" t="s">
        <v>71</v>
      </c>
    </row>
    <row r="7679" spans="1:6" x14ac:dyDescent="0.25">
      <c r="A7679" t="s">
        <v>22</v>
      </c>
      <c r="B7679" t="s">
        <v>23</v>
      </c>
      <c r="C7679" t="s">
        <v>8</v>
      </c>
      <c r="D7679">
        <v>4856.04</v>
      </c>
      <c r="E7679">
        <v>2022</v>
      </c>
      <c r="F7679" t="s">
        <v>71</v>
      </c>
    </row>
    <row r="7680" spans="1:6" x14ac:dyDescent="0.25">
      <c r="A7680" t="s">
        <v>24</v>
      </c>
      <c r="B7680" t="s">
        <v>25</v>
      </c>
      <c r="C7680" t="s">
        <v>8</v>
      </c>
      <c r="D7680">
        <v>5253.99</v>
      </c>
      <c r="E7680">
        <v>2022</v>
      </c>
      <c r="F7680" t="s">
        <v>71</v>
      </c>
    </row>
    <row r="7681" spans="1:6" x14ac:dyDescent="0.25">
      <c r="A7681" t="s">
        <v>26</v>
      </c>
      <c r="B7681" t="s">
        <v>27</v>
      </c>
      <c r="C7681" t="s">
        <v>8</v>
      </c>
      <c r="D7681">
        <v>281.79000000000002</v>
      </c>
      <c r="E7681">
        <v>2022</v>
      </c>
      <c r="F7681" t="s">
        <v>71</v>
      </c>
    </row>
    <row r="7682" spans="1:6" x14ac:dyDescent="0.25">
      <c r="A7682" t="s">
        <v>28</v>
      </c>
      <c r="B7682" t="s">
        <v>29</v>
      </c>
      <c r="C7682" t="s">
        <v>8</v>
      </c>
      <c r="E7682">
        <v>2022</v>
      </c>
      <c r="F7682" t="s">
        <v>71</v>
      </c>
    </row>
    <row r="7683" spans="1:6" x14ac:dyDescent="0.25">
      <c r="A7683" t="s">
        <v>30</v>
      </c>
      <c r="B7683" t="s">
        <v>31</v>
      </c>
      <c r="C7683" t="s">
        <v>8</v>
      </c>
      <c r="D7683">
        <v>15992.47</v>
      </c>
      <c r="E7683">
        <v>2022</v>
      </c>
      <c r="F7683" t="s">
        <v>71</v>
      </c>
    </row>
    <row r="7684" spans="1:6" x14ac:dyDescent="0.25">
      <c r="A7684" t="s">
        <v>32</v>
      </c>
      <c r="B7684" t="s">
        <v>33</v>
      </c>
      <c r="C7684" t="s">
        <v>8</v>
      </c>
      <c r="D7684">
        <v>1497.83</v>
      </c>
      <c r="E7684">
        <v>2022</v>
      </c>
      <c r="F7684" t="s">
        <v>71</v>
      </c>
    </row>
    <row r="7685" spans="1:6" x14ac:dyDescent="0.25">
      <c r="A7685" t="s">
        <v>34</v>
      </c>
      <c r="B7685" t="s">
        <v>35</v>
      </c>
      <c r="C7685" t="s">
        <v>8</v>
      </c>
      <c r="D7685">
        <v>3148.82</v>
      </c>
      <c r="E7685">
        <v>2022</v>
      </c>
      <c r="F7685" t="s">
        <v>71</v>
      </c>
    </row>
    <row r="7686" spans="1:6" x14ac:dyDescent="0.25">
      <c r="A7686" t="s">
        <v>36</v>
      </c>
      <c r="B7686" t="s">
        <v>37</v>
      </c>
      <c r="C7686" t="s">
        <v>8</v>
      </c>
      <c r="D7686">
        <v>2976.11</v>
      </c>
      <c r="E7686">
        <v>2022</v>
      </c>
      <c r="F7686" t="s">
        <v>71</v>
      </c>
    </row>
    <row r="7687" spans="1:6" x14ac:dyDescent="0.25">
      <c r="A7687" t="s">
        <v>38</v>
      </c>
      <c r="B7687" t="s">
        <v>39</v>
      </c>
      <c r="C7687" t="s">
        <v>8</v>
      </c>
      <c r="D7687">
        <v>2629.33</v>
      </c>
      <c r="E7687">
        <v>2022</v>
      </c>
      <c r="F7687" t="s">
        <v>71</v>
      </c>
    </row>
    <row r="7688" spans="1:6" x14ac:dyDescent="0.25">
      <c r="A7688" t="s">
        <v>40</v>
      </c>
      <c r="B7688" t="s">
        <v>41</v>
      </c>
      <c r="C7688" t="s">
        <v>8</v>
      </c>
      <c r="D7688">
        <v>2900.19</v>
      </c>
      <c r="E7688">
        <v>2022</v>
      </c>
      <c r="F7688" t="s">
        <v>71</v>
      </c>
    </row>
    <row r="7689" spans="1:6" x14ac:dyDescent="0.25">
      <c r="A7689" t="s">
        <v>42</v>
      </c>
      <c r="B7689" t="s">
        <v>43</v>
      </c>
      <c r="C7689" t="s">
        <v>8</v>
      </c>
      <c r="D7689">
        <v>19.39</v>
      </c>
      <c r="E7689">
        <v>2022</v>
      </c>
      <c r="F7689" t="s">
        <v>71</v>
      </c>
    </row>
    <row r="7690" spans="1:6" x14ac:dyDescent="0.25">
      <c r="A7690" t="s">
        <v>44</v>
      </c>
      <c r="B7690" t="s">
        <v>45</v>
      </c>
      <c r="C7690" t="s">
        <v>8</v>
      </c>
      <c r="D7690">
        <v>1002.66</v>
      </c>
      <c r="E7690">
        <v>2022</v>
      </c>
      <c r="F7690" t="s">
        <v>71</v>
      </c>
    </row>
    <row r="7691" spans="1:6" x14ac:dyDescent="0.25">
      <c r="A7691" t="s">
        <v>46</v>
      </c>
      <c r="B7691" t="s">
        <v>47</v>
      </c>
      <c r="C7691" t="s">
        <v>8</v>
      </c>
      <c r="D7691">
        <v>990.4</v>
      </c>
      <c r="E7691">
        <v>2022</v>
      </c>
      <c r="F7691" t="s">
        <v>71</v>
      </c>
    </row>
    <row r="7692" spans="1:6" x14ac:dyDescent="0.25">
      <c r="A7692" t="s">
        <v>48</v>
      </c>
      <c r="B7692" t="s">
        <v>49</v>
      </c>
      <c r="C7692" t="s">
        <v>8</v>
      </c>
      <c r="D7692">
        <v>69.069999999999993</v>
      </c>
      <c r="E7692">
        <v>2022</v>
      </c>
      <c r="F7692" t="s">
        <v>71</v>
      </c>
    </row>
    <row r="7693" spans="1:6" x14ac:dyDescent="0.25">
      <c r="A7693" t="s">
        <v>50</v>
      </c>
      <c r="B7693" t="s">
        <v>51</v>
      </c>
      <c r="C7693" t="s">
        <v>8</v>
      </c>
      <c r="D7693">
        <v>53.78</v>
      </c>
      <c r="E7693">
        <v>2022</v>
      </c>
      <c r="F7693" t="s">
        <v>71</v>
      </c>
    </row>
    <row r="7694" spans="1:6" x14ac:dyDescent="0.25">
      <c r="A7694" t="s">
        <v>52</v>
      </c>
      <c r="B7694" t="s">
        <v>53</v>
      </c>
      <c r="C7694" t="s">
        <v>8</v>
      </c>
      <c r="D7694">
        <v>1661.83</v>
      </c>
      <c r="E7694">
        <v>2022</v>
      </c>
      <c r="F7694" t="s">
        <v>71</v>
      </c>
    </row>
    <row r="7695" spans="1:6" x14ac:dyDescent="0.25">
      <c r="A7695" t="s">
        <v>54</v>
      </c>
      <c r="B7695" t="s">
        <v>55</v>
      </c>
      <c r="C7695" t="s">
        <v>8</v>
      </c>
      <c r="D7695">
        <v>156.31</v>
      </c>
      <c r="E7695">
        <v>2022</v>
      </c>
      <c r="F7695" t="s">
        <v>71</v>
      </c>
    </row>
    <row r="7696" spans="1:6" x14ac:dyDescent="0.25">
      <c r="A7696" t="s">
        <v>56</v>
      </c>
      <c r="B7696" t="s">
        <v>57</v>
      </c>
      <c r="C7696" t="s">
        <v>8</v>
      </c>
      <c r="D7696">
        <v>1251.83</v>
      </c>
      <c r="E7696">
        <v>2022</v>
      </c>
      <c r="F7696" t="s">
        <v>71</v>
      </c>
    </row>
    <row r="7697" spans="1:6" x14ac:dyDescent="0.25">
      <c r="A7697" t="s">
        <v>58</v>
      </c>
      <c r="B7697" t="s">
        <v>59</v>
      </c>
      <c r="C7697" t="s">
        <v>8</v>
      </c>
      <c r="D7697">
        <v>5133.67</v>
      </c>
      <c r="E7697">
        <v>2022</v>
      </c>
      <c r="F7697" t="s">
        <v>71</v>
      </c>
    </row>
    <row r="7698" spans="1:6" x14ac:dyDescent="0.25">
      <c r="A7698" t="s">
        <v>6</v>
      </c>
      <c r="B7698" t="s">
        <v>7</v>
      </c>
      <c r="C7698" t="s">
        <v>60</v>
      </c>
      <c r="D7698">
        <v>99588.47</v>
      </c>
      <c r="E7698">
        <v>2022</v>
      </c>
      <c r="F7698" t="s">
        <v>71</v>
      </c>
    </row>
    <row r="7699" spans="1:6" x14ac:dyDescent="0.25">
      <c r="A7699" t="s">
        <v>10</v>
      </c>
      <c r="B7699" t="s">
        <v>11</v>
      </c>
      <c r="C7699" t="s">
        <v>60</v>
      </c>
      <c r="D7699">
        <v>28018.5</v>
      </c>
      <c r="E7699">
        <v>2022</v>
      </c>
      <c r="F7699" t="s">
        <v>71</v>
      </c>
    </row>
    <row r="7700" spans="1:6" x14ac:dyDescent="0.25">
      <c r="A7700" t="s">
        <v>12</v>
      </c>
      <c r="B7700" t="s">
        <v>13</v>
      </c>
      <c r="C7700" t="s">
        <v>60</v>
      </c>
      <c r="D7700">
        <v>3102.84</v>
      </c>
      <c r="E7700">
        <v>2022</v>
      </c>
      <c r="F7700" t="s">
        <v>71</v>
      </c>
    </row>
    <row r="7701" spans="1:6" x14ac:dyDescent="0.25">
      <c r="A7701" t="s">
        <v>14</v>
      </c>
      <c r="B7701" t="s">
        <v>15</v>
      </c>
      <c r="C7701" t="s">
        <v>60</v>
      </c>
      <c r="E7701">
        <v>2022</v>
      </c>
      <c r="F7701" t="s">
        <v>71</v>
      </c>
    </row>
    <row r="7702" spans="1:6" x14ac:dyDescent="0.25">
      <c r="A7702" t="s">
        <v>16</v>
      </c>
      <c r="B7702" t="s">
        <v>17</v>
      </c>
      <c r="C7702" t="s">
        <v>60</v>
      </c>
      <c r="D7702">
        <v>1764.55</v>
      </c>
      <c r="E7702">
        <v>2022</v>
      </c>
      <c r="F7702" t="s">
        <v>71</v>
      </c>
    </row>
    <row r="7703" spans="1:6" x14ac:dyDescent="0.25">
      <c r="A7703" t="s">
        <v>18</v>
      </c>
      <c r="B7703" t="s">
        <v>19</v>
      </c>
      <c r="C7703" t="s">
        <v>60</v>
      </c>
      <c r="D7703">
        <v>2734.7</v>
      </c>
      <c r="E7703">
        <v>2022</v>
      </c>
      <c r="F7703" t="s">
        <v>71</v>
      </c>
    </row>
    <row r="7704" spans="1:6" x14ac:dyDescent="0.25">
      <c r="A7704" t="s">
        <v>20</v>
      </c>
      <c r="B7704" t="s">
        <v>21</v>
      </c>
      <c r="C7704" t="s">
        <v>60</v>
      </c>
      <c r="D7704">
        <v>434.75</v>
      </c>
      <c r="E7704">
        <v>2022</v>
      </c>
      <c r="F7704" t="s">
        <v>71</v>
      </c>
    </row>
    <row r="7705" spans="1:6" x14ac:dyDescent="0.25">
      <c r="A7705" t="s">
        <v>22</v>
      </c>
      <c r="B7705" t="s">
        <v>23</v>
      </c>
      <c r="C7705" t="s">
        <v>60</v>
      </c>
      <c r="D7705">
        <v>384.76</v>
      </c>
      <c r="E7705">
        <v>2022</v>
      </c>
      <c r="F7705" t="s">
        <v>71</v>
      </c>
    </row>
    <row r="7706" spans="1:6" x14ac:dyDescent="0.25">
      <c r="A7706" t="s">
        <v>24</v>
      </c>
      <c r="B7706" t="s">
        <v>25</v>
      </c>
      <c r="C7706" t="s">
        <v>60</v>
      </c>
      <c r="D7706">
        <v>3581.48</v>
      </c>
      <c r="E7706">
        <v>2022</v>
      </c>
      <c r="F7706" t="s">
        <v>71</v>
      </c>
    </row>
    <row r="7707" spans="1:6" x14ac:dyDescent="0.25">
      <c r="A7707" t="s">
        <v>26</v>
      </c>
      <c r="B7707" t="s">
        <v>27</v>
      </c>
      <c r="C7707" t="s">
        <v>60</v>
      </c>
      <c r="D7707">
        <v>1112.8699999999999</v>
      </c>
      <c r="E7707">
        <v>2022</v>
      </c>
      <c r="F7707" t="s">
        <v>71</v>
      </c>
    </row>
    <row r="7708" spans="1:6" x14ac:dyDescent="0.25">
      <c r="A7708" t="s">
        <v>28</v>
      </c>
      <c r="B7708" t="s">
        <v>29</v>
      </c>
      <c r="C7708" t="s">
        <v>60</v>
      </c>
      <c r="D7708">
        <v>12144.8</v>
      </c>
      <c r="E7708">
        <v>2022</v>
      </c>
      <c r="F7708" t="s">
        <v>71</v>
      </c>
    </row>
    <row r="7709" spans="1:6" x14ac:dyDescent="0.25">
      <c r="A7709" t="s">
        <v>30</v>
      </c>
      <c r="B7709" t="s">
        <v>31</v>
      </c>
      <c r="C7709" t="s">
        <v>60</v>
      </c>
      <c r="D7709">
        <v>11517.78</v>
      </c>
      <c r="E7709">
        <v>2022</v>
      </c>
      <c r="F7709" t="s">
        <v>71</v>
      </c>
    </row>
    <row r="7710" spans="1:6" x14ac:dyDescent="0.25">
      <c r="A7710" t="s">
        <v>32</v>
      </c>
      <c r="B7710" t="s">
        <v>33</v>
      </c>
      <c r="C7710" t="s">
        <v>60</v>
      </c>
      <c r="D7710">
        <v>2502.9899999999998</v>
      </c>
      <c r="E7710">
        <v>2022</v>
      </c>
      <c r="F7710" t="s">
        <v>71</v>
      </c>
    </row>
    <row r="7711" spans="1:6" x14ac:dyDescent="0.25">
      <c r="A7711" t="s">
        <v>34</v>
      </c>
      <c r="B7711" t="s">
        <v>35</v>
      </c>
      <c r="C7711" t="s">
        <v>60</v>
      </c>
      <c r="D7711">
        <v>4518.7299999999996</v>
      </c>
      <c r="E7711">
        <v>2022</v>
      </c>
      <c r="F7711" t="s">
        <v>71</v>
      </c>
    </row>
    <row r="7712" spans="1:6" x14ac:dyDescent="0.25">
      <c r="A7712" t="s">
        <v>36</v>
      </c>
      <c r="B7712" t="s">
        <v>37</v>
      </c>
      <c r="C7712" t="s">
        <v>60</v>
      </c>
      <c r="D7712">
        <v>4258.6000000000004</v>
      </c>
      <c r="E7712">
        <v>2022</v>
      </c>
      <c r="F7712" t="s">
        <v>71</v>
      </c>
    </row>
    <row r="7713" spans="1:6" x14ac:dyDescent="0.25">
      <c r="A7713" t="s">
        <v>38</v>
      </c>
      <c r="B7713" t="s">
        <v>39</v>
      </c>
      <c r="C7713" t="s">
        <v>60</v>
      </c>
      <c r="D7713">
        <v>3373.49</v>
      </c>
      <c r="E7713">
        <v>2022</v>
      </c>
      <c r="F7713" t="s">
        <v>71</v>
      </c>
    </row>
    <row r="7714" spans="1:6" x14ac:dyDescent="0.25">
      <c r="A7714" t="s">
        <v>40</v>
      </c>
      <c r="B7714" t="s">
        <v>41</v>
      </c>
      <c r="C7714" t="s">
        <v>60</v>
      </c>
      <c r="D7714">
        <v>2347.38</v>
      </c>
      <c r="E7714">
        <v>2022</v>
      </c>
      <c r="F7714" t="s">
        <v>71</v>
      </c>
    </row>
    <row r="7715" spans="1:6" x14ac:dyDescent="0.25">
      <c r="A7715" t="s">
        <v>42</v>
      </c>
      <c r="B7715" t="s">
        <v>43</v>
      </c>
      <c r="C7715" t="s">
        <v>60</v>
      </c>
      <c r="E7715">
        <v>2022</v>
      </c>
      <c r="F7715" t="s">
        <v>71</v>
      </c>
    </row>
    <row r="7716" spans="1:6" x14ac:dyDescent="0.25">
      <c r="A7716" t="s">
        <v>44</v>
      </c>
      <c r="B7716" t="s">
        <v>45</v>
      </c>
      <c r="C7716" t="s">
        <v>60</v>
      </c>
      <c r="D7716">
        <v>1982.19</v>
      </c>
      <c r="E7716">
        <v>2022</v>
      </c>
      <c r="F7716" t="s">
        <v>71</v>
      </c>
    </row>
    <row r="7717" spans="1:6" x14ac:dyDescent="0.25">
      <c r="A7717" t="s">
        <v>46</v>
      </c>
      <c r="B7717" t="s">
        <v>47</v>
      </c>
      <c r="C7717" t="s">
        <v>60</v>
      </c>
      <c r="D7717">
        <v>691.69</v>
      </c>
      <c r="E7717">
        <v>2022</v>
      </c>
      <c r="F7717" t="s">
        <v>71</v>
      </c>
    </row>
    <row r="7718" spans="1:6" x14ac:dyDescent="0.25">
      <c r="A7718" t="s">
        <v>48</v>
      </c>
      <c r="B7718" t="s">
        <v>49</v>
      </c>
      <c r="C7718" t="s">
        <v>60</v>
      </c>
      <c r="D7718">
        <v>932.89</v>
      </c>
      <c r="E7718">
        <v>2022</v>
      </c>
      <c r="F7718" t="s">
        <v>71</v>
      </c>
    </row>
    <row r="7719" spans="1:6" x14ac:dyDescent="0.25">
      <c r="A7719" t="s">
        <v>50</v>
      </c>
      <c r="B7719" t="s">
        <v>51</v>
      </c>
      <c r="C7719" t="s">
        <v>60</v>
      </c>
      <c r="D7719">
        <v>941.59</v>
      </c>
      <c r="E7719">
        <v>2022</v>
      </c>
      <c r="F7719" t="s">
        <v>71</v>
      </c>
    </row>
    <row r="7720" spans="1:6" x14ac:dyDescent="0.25">
      <c r="A7720" t="s">
        <v>52</v>
      </c>
      <c r="B7720" t="s">
        <v>53</v>
      </c>
      <c r="C7720" t="s">
        <v>60</v>
      </c>
      <c r="D7720">
        <v>762.07</v>
      </c>
      <c r="E7720">
        <v>2022</v>
      </c>
      <c r="F7720" t="s">
        <v>71</v>
      </c>
    </row>
    <row r="7721" spans="1:6" x14ac:dyDescent="0.25">
      <c r="A7721" t="s">
        <v>54</v>
      </c>
      <c r="B7721" t="s">
        <v>55</v>
      </c>
      <c r="C7721" t="s">
        <v>60</v>
      </c>
      <c r="D7721">
        <v>12479.82</v>
      </c>
      <c r="E7721">
        <v>2022</v>
      </c>
      <c r="F7721" t="s">
        <v>71</v>
      </c>
    </row>
    <row r="7722" spans="1:6" x14ac:dyDescent="0.25">
      <c r="A7722" t="s">
        <v>56</v>
      </c>
      <c r="B7722" t="s">
        <v>57</v>
      </c>
      <c r="C7722" t="s">
        <v>60</v>
      </c>
      <c r="E7722">
        <v>2022</v>
      </c>
      <c r="F7722" t="s">
        <v>71</v>
      </c>
    </row>
    <row r="7723" spans="1:6" x14ac:dyDescent="0.25">
      <c r="A7723" t="s">
        <v>58</v>
      </c>
      <c r="B7723" t="s">
        <v>59</v>
      </c>
      <c r="C7723" t="s">
        <v>60</v>
      </c>
      <c r="E7723">
        <v>2022</v>
      </c>
      <c r="F7723" t="s">
        <v>71</v>
      </c>
    </row>
    <row r="7724" spans="1:6" x14ac:dyDescent="0.25">
      <c r="A7724" t="s">
        <v>6</v>
      </c>
      <c r="B7724" t="s">
        <v>7</v>
      </c>
      <c r="C7724" t="s">
        <v>61</v>
      </c>
      <c r="D7724">
        <v>43859.39</v>
      </c>
      <c r="E7724">
        <v>2022</v>
      </c>
      <c r="F7724" t="s">
        <v>71</v>
      </c>
    </row>
    <row r="7725" spans="1:6" x14ac:dyDescent="0.25">
      <c r="A7725" t="s">
        <v>10</v>
      </c>
      <c r="B7725" t="s">
        <v>11</v>
      </c>
      <c r="C7725" t="s">
        <v>61</v>
      </c>
      <c r="D7725">
        <v>18788.919999999998</v>
      </c>
      <c r="E7725">
        <v>2022</v>
      </c>
      <c r="F7725" t="s">
        <v>71</v>
      </c>
    </row>
    <row r="7726" spans="1:6" x14ac:dyDescent="0.25">
      <c r="A7726" t="s">
        <v>12</v>
      </c>
      <c r="B7726" t="s">
        <v>13</v>
      </c>
      <c r="C7726" t="s">
        <v>61</v>
      </c>
      <c r="D7726">
        <v>1235.21</v>
      </c>
      <c r="E7726">
        <v>2022</v>
      </c>
      <c r="F7726" t="s">
        <v>71</v>
      </c>
    </row>
    <row r="7727" spans="1:6" x14ac:dyDescent="0.25">
      <c r="A7727" t="s">
        <v>14</v>
      </c>
      <c r="B7727" t="s">
        <v>15</v>
      </c>
      <c r="C7727" t="s">
        <v>61</v>
      </c>
      <c r="E7727">
        <v>2022</v>
      </c>
      <c r="F7727" t="s">
        <v>71</v>
      </c>
    </row>
    <row r="7728" spans="1:6" x14ac:dyDescent="0.25">
      <c r="A7728" t="s">
        <v>16</v>
      </c>
      <c r="B7728" t="s">
        <v>17</v>
      </c>
      <c r="C7728" t="s">
        <v>61</v>
      </c>
      <c r="D7728">
        <v>789</v>
      </c>
      <c r="E7728">
        <v>2022</v>
      </c>
      <c r="F7728" t="s">
        <v>71</v>
      </c>
    </row>
    <row r="7729" spans="1:6" x14ac:dyDescent="0.25">
      <c r="A7729" t="s">
        <v>18</v>
      </c>
      <c r="B7729" t="s">
        <v>19</v>
      </c>
      <c r="C7729" t="s">
        <v>61</v>
      </c>
      <c r="D7729">
        <v>175.43</v>
      </c>
      <c r="E7729">
        <v>2022</v>
      </c>
      <c r="F7729" t="s">
        <v>71</v>
      </c>
    </row>
    <row r="7730" spans="1:6" x14ac:dyDescent="0.25">
      <c r="A7730" t="s">
        <v>20</v>
      </c>
      <c r="B7730" t="s">
        <v>21</v>
      </c>
      <c r="C7730" t="s">
        <v>61</v>
      </c>
      <c r="D7730">
        <v>134.51</v>
      </c>
      <c r="E7730">
        <v>2022</v>
      </c>
      <c r="F7730" t="s">
        <v>71</v>
      </c>
    </row>
    <row r="7731" spans="1:6" x14ac:dyDescent="0.25">
      <c r="A7731" t="s">
        <v>22</v>
      </c>
      <c r="B7731" t="s">
        <v>23</v>
      </c>
      <c r="C7731" t="s">
        <v>61</v>
      </c>
      <c r="D7731">
        <v>521.62</v>
      </c>
      <c r="E7731">
        <v>2022</v>
      </c>
      <c r="F7731" t="s">
        <v>71</v>
      </c>
    </row>
    <row r="7732" spans="1:6" x14ac:dyDescent="0.25">
      <c r="A7732" t="s">
        <v>24</v>
      </c>
      <c r="B7732" t="s">
        <v>25</v>
      </c>
      <c r="C7732" t="s">
        <v>61</v>
      </c>
      <c r="D7732">
        <v>2241.0300000000002</v>
      </c>
      <c r="E7732">
        <v>2022</v>
      </c>
      <c r="F7732" t="s">
        <v>71</v>
      </c>
    </row>
    <row r="7733" spans="1:6" x14ac:dyDescent="0.25">
      <c r="A7733" t="s">
        <v>26</v>
      </c>
      <c r="B7733" t="s">
        <v>27</v>
      </c>
      <c r="C7733" t="s">
        <v>61</v>
      </c>
      <c r="D7733">
        <v>279.75</v>
      </c>
      <c r="E7733">
        <v>2022</v>
      </c>
      <c r="F7733" t="s">
        <v>71</v>
      </c>
    </row>
    <row r="7734" spans="1:6" x14ac:dyDescent="0.25">
      <c r="A7734" t="s">
        <v>28</v>
      </c>
      <c r="B7734" t="s">
        <v>29</v>
      </c>
      <c r="C7734" t="s">
        <v>61</v>
      </c>
      <c r="D7734">
        <v>8401.7099999999991</v>
      </c>
      <c r="E7734">
        <v>2022</v>
      </c>
      <c r="F7734" t="s">
        <v>71</v>
      </c>
    </row>
    <row r="7735" spans="1:6" x14ac:dyDescent="0.25">
      <c r="A7735" t="s">
        <v>30</v>
      </c>
      <c r="B7735" t="s">
        <v>31</v>
      </c>
      <c r="C7735" t="s">
        <v>61</v>
      </c>
      <c r="D7735">
        <v>2026.84</v>
      </c>
      <c r="E7735">
        <v>2022</v>
      </c>
      <c r="F7735" t="s">
        <v>71</v>
      </c>
    </row>
    <row r="7736" spans="1:6" x14ac:dyDescent="0.25">
      <c r="A7736" t="s">
        <v>32</v>
      </c>
      <c r="B7736" t="s">
        <v>33</v>
      </c>
      <c r="C7736" t="s">
        <v>61</v>
      </c>
      <c r="D7736">
        <v>438.55</v>
      </c>
      <c r="E7736">
        <v>2022</v>
      </c>
      <c r="F7736" t="s">
        <v>71</v>
      </c>
    </row>
    <row r="7737" spans="1:6" x14ac:dyDescent="0.25">
      <c r="A7737" t="s">
        <v>34</v>
      </c>
      <c r="B7737" t="s">
        <v>35</v>
      </c>
      <c r="C7737" t="s">
        <v>61</v>
      </c>
      <c r="D7737">
        <v>1996.85</v>
      </c>
      <c r="E7737">
        <v>2022</v>
      </c>
      <c r="F7737" t="s">
        <v>71</v>
      </c>
    </row>
    <row r="7738" spans="1:6" x14ac:dyDescent="0.25">
      <c r="A7738" t="s">
        <v>36</v>
      </c>
      <c r="B7738" t="s">
        <v>37</v>
      </c>
      <c r="C7738" t="s">
        <v>61</v>
      </c>
      <c r="D7738">
        <v>1409.37</v>
      </c>
      <c r="E7738">
        <v>2022</v>
      </c>
      <c r="F7738" t="s">
        <v>71</v>
      </c>
    </row>
    <row r="7739" spans="1:6" x14ac:dyDescent="0.25">
      <c r="A7739" t="s">
        <v>38</v>
      </c>
      <c r="B7739" t="s">
        <v>39</v>
      </c>
      <c r="C7739" t="s">
        <v>61</v>
      </c>
      <c r="D7739">
        <v>1775.08</v>
      </c>
      <c r="E7739">
        <v>2022</v>
      </c>
      <c r="F7739" t="s">
        <v>71</v>
      </c>
    </row>
    <row r="7740" spans="1:6" x14ac:dyDescent="0.25">
      <c r="A7740" t="s">
        <v>40</v>
      </c>
      <c r="B7740" t="s">
        <v>41</v>
      </c>
      <c r="C7740" t="s">
        <v>61</v>
      </c>
      <c r="D7740">
        <v>966.56</v>
      </c>
      <c r="E7740">
        <v>2022</v>
      </c>
      <c r="F7740" t="s">
        <v>71</v>
      </c>
    </row>
    <row r="7741" spans="1:6" x14ac:dyDescent="0.25">
      <c r="A7741" t="s">
        <v>42</v>
      </c>
      <c r="B7741" t="s">
        <v>43</v>
      </c>
      <c r="C7741" t="s">
        <v>61</v>
      </c>
      <c r="D7741">
        <v>315.98</v>
      </c>
      <c r="E7741">
        <v>2022</v>
      </c>
      <c r="F7741" t="s">
        <v>71</v>
      </c>
    </row>
    <row r="7742" spans="1:6" x14ac:dyDescent="0.25">
      <c r="A7742" t="s">
        <v>44</v>
      </c>
      <c r="B7742" t="s">
        <v>45</v>
      </c>
      <c r="C7742" t="s">
        <v>61</v>
      </c>
      <c r="D7742">
        <v>669.72</v>
      </c>
      <c r="E7742">
        <v>2022</v>
      </c>
      <c r="F7742" t="s">
        <v>71</v>
      </c>
    </row>
    <row r="7743" spans="1:6" x14ac:dyDescent="0.25">
      <c r="A7743" t="s">
        <v>46</v>
      </c>
      <c r="B7743" t="s">
        <v>47</v>
      </c>
      <c r="C7743" t="s">
        <v>61</v>
      </c>
      <c r="D7743">
        <v>130.55000000000001</v>
      </c>
      <c r="E7743">
        <v>2022</v>
      </c>
      <c r="F7743" t="s">
        <v>71</v>
      </c>
    </row>
    <row r="7744" spans="1:6" x14ac:dyDescent="0.25">
      <c r="A7744" t="s">
        <v>48</v>
      </c>
      <c r="B7744" t="s">
        <v>49</v>
      </c>
      <c r="C7744" t="s">
        <v>61</v>
      </c>
      <c r="D7744">
        <v>378.08</v>
      </c>
      <c r="E7744">
        <v>2022</v>
      </c>
      <c r="F7744" t="s">
        <v>71</v>
      </c>
    </row>
    <row r="7745" spans="1:6" x14ac:dyDescent="0.25">
      <c r="A7745" t="s">
        <v>50</v>
      </c>
      <c r="B7745" t="s">
        <v>51</v>
      </c>
      <c r="C7745" t="s">
        <v>61</v>
      </c>
      <c r="D7745">
        <v>202.75</v>
      </c>
      <c r="E7745">
        <v>2022</v>
      </c>
      <c r="F7745" t="s">
        <v>71</v>
      </c>
    </row>
    <row r="7746" spans="1:6" x14ac:dyDescent="0.25">
      <c r="A7746" t="s">
        <v>52</v>
      </c>
      <c r="B7746" t="s">
        <v>53</v>
      </c>
      <c r="C7746" t="s">
        <v>61</v>
      </c>
      <c r="D7746">
        <v>457.01</v>
      </c>
      <c r="E7746">
        <v>2022</v>
      </c>
      <c r="F7746" t="s">
        <v>71</v>
      </c>
    </row>
    <row r="7747" spans="1:6" x14ac:dyDescent="0.25">
      <c r="A7747" t="s">
        <v>54</v>
      </c>
      <c r="B7747" t="s">
        <v>55</v>
      </c>
      <c r="C7747" t="s">
        <v>61</v>
      </c>
      <c r="D7747">
        <v>11.83</v>
      </c>
      <c r="E7747">
        <v>2022</v>
      </c>
      <c r="F7747" t="s">
        <v>71</v>
      </c>
    </row>
    <row r="7748" spans="1:6" x14ac:dyDescent="0.25">
      <c r="A7748" t="s">
        <v>56</v>
      </c>
      <c r="B7748" t="s">
        <v>57</v>
      </c>
      <c r="C7748" t="s">
        <v>61</v>
      </c>
      <c r="D7748">
        <v>513.04</v>
      </c>
      <c r="E7748">
        <v>2022</v>
      </c>
      <c r="F7748" t="s">
        <v>71</v>
      </c>
    </row>
    <row r="7749" spans="1:6" x14ac:dyDescent="0.25">
      <c r="A7749" t="s">
        <v>58</v>
      </c>
      <c r="B7749" t="s">
        <v>59</v>
      </c>
      <c r="C7749" t="s">
        <v>61</v>
      </c>
      <c r="E7749">
        <v>2022</v>
      </c>
      <c r="F7749" t="s">
        <v>71</v>
      </c>
    </row>
    <row r="7750" spans="1:6" x14ac:dyDescent="0.25">
      <c r="A7750" t="s">
        <v>6</v>
      </c>
      <c r="B7750" t="s">
        <v>7</v>
      </c>
      <c r="C7750" t="s">
        <v>65</v>
      </c>
      <c r="D7750">
        <v>604491.41</v>
      </c>
      <c r="E7750">
        <v>2022</v>
      </c>
      <c r="F7750" t="s">
        <v>71</v>
      </c>
    </row>
    <row r="7751" spans="1:6" x14ac:dyDescent="0.25">
      <c r="A7751" t="s">
        <v>10</v>
      </c>
      <c r="B7751" t="s">
        <v>11</v>
      </c>
      <c r="C7751" t="s">
        <v>65</v>
      </c>
      <c r="D7751">
        <v>88921.38</v>
      </c>
      <c r="E7751">
        <v>2022</v>
      </c>
      <c r="F7751" t="s">
        <v>71</v>
      </c>
    </row>
    <row r="7752" spans="1:6" x14ac:dyDescent="0.25">
      <c r="A7752" t="s">
        <v>12</v>
      </c>
      <c r="B7752" t="s">
        <v>13</v>
      </c>
      <c r="C7752" t="s">
        <v>65</v>
      </c>
      <c r="D7752">
        <v>31439.3</v>
      </c>
      <c r="E7752">
        <v>2022</v>
      </c>
      <c r="F7752" t="s">
        <v>71</v>
      </c>
    </row>
    <row r="7753" spans="1:6" x14ac:dyDescent="0.25">
      <c r="A7753" t="s">
        <v>14</v>
      </c>
      <c r="B7753" t="s">
        <v>15</v>
      </c>
      <c r="C7753" t="s">
        <v>65</v>
      </c>
      <c r="D7753">
        <v>900.44</v>
      </c>
      <c r="E7753">
        <v>2022</v>
      </c>
      <c r="F7753" t="s">
        <v>71</v>
      </c>
    </row>
    <row r="7754" spans="1:6" x14ac:dyDescent="0.25">
      <c r="A7754" t="s">
        <v>16</v>
      </c>
      <c r="B7754" t="s">
        <v>17</v>
      </c>
      <c r="C7754" t="s">
        <v>65</v>
      </c>
      <c r="D7754">
        <v>21068.23</v>
      </c>
      <c r="E7754">
        <v>2022</v>
      </c>
      <c r="F7754" t="s">
        <v>71</v>
      </c>
    </row>
    <row r="7755" spans="1:6" x14ac:dyDescent="0.25">
      <c r="A7755" t="s">
        <v>18</v>
      </c>
      <c r="B7755" t="s">
        <v>19</v>
      </c>
      <c r="C7755" t="s">
        <v>65</v>
      </c>
      <c r="D7755">
        <v>5594.65</v>
      </c>
      <c r="E7755">
        <v>2022</v>
      </c>
      <c r="F7755" t="s">
        <v>71</v>
      </c>
    </row>
    <row r="7756" spans="1:6" x14ac:dyDescent="0.25">
      <c r="A7756" t="s">
        <v>20</v>
      </c>
      <c r="B7756" t="s">
        <v>21</v>
      </c>
      <c r="C7756" t="s">
        <v>65</v>
      </c>
      <c r="D7756">
        <v>3889.44</v>
      </c>
      <c r="E7756">
        <v>2022</v>
      </c>
      <c r="F7756" t="s">
        <v>71</v>
      </c>
    </row>
    <row r="7757" spans="1:6" x14ac:dyDescent="0.25">
      <c r="A7757" t="s">
        <v>22</v>
      </c>
      <c r="B7757" t="s">
        <v>23</v>
      </c>
      <c r="C7757" t="s">
        <v>65</v>
      </c>
      <c r="D7757">
        <v>4424.43</v>
      </c>
      <c r="E7757">
        <v>2022</v>
      </c>
      <c r="F7757" t="s">
        <v>71</v>
      </c>
    </row>
    <row r="7758" spans="1:6" x14ac:dyDescent="0.25">
      <c r="A7758" t="s">
        <v>24</v>
      </c>
      <c r="B7758" t="s">
        <v>25</v>
      </c>
      <c r="C7758" t="s">
        <v>65</v>
      </c>
      <c r="D7758">
        <v>17849.099999999999</v>
      </c>
      <c r="E7758">
        <v>2022</v>
      </c>
      <c r="F7758" t="s">
        <v>71</v>
      </c>
    </row>
    <row r="7759" spans="1:6" x14ac:dyDescent="0.25">
      <c r="A7759" t="s">
        <v>26</v>
      </c>
      <c r="B7759" t="s">
        <v>27</v>
      </c>
      <c r="C7759" t="s">
        <v>65</v>
      </c>
      <c r="D7759">
        <v>845.62</v>
      </c>
      <c r="E7759">
        <v>2022</v>
      </c>
      <c r="F7759" t="s">
        <v>71</v>
      </c>
    </row>
    <row r="7760" spans="1:6" x14ac:dyDescent="0.25">
      <c r="A7760" t="s">
        <v>28</v>
      </c>
      <c r="B7760" t="s">
        <v>29</v>
      </c>
      <c r="C7760" t="s">
        <v>65</v>
      </c>
      <c r="D7760">
        <v>35526.800000000003</v>
      </c>
      <c r="E7760">
        <v>2022</v>
      </c>
      <c r="F7760" t="s">
        <v>71</v>
      </c>
    </row>
    <row r="7761" spans="1:6" x14ac:dyDescent="0.25">
      <c r="A7761" t="s">
        <v>30</v>
      </c>
      <c r="B7761" t="s">
        <v>31</v>
      </c>
      <c r="C7761" t="s">
        <v>65</v>
      </c>
      <c r="D7761">
        <v>51735.55</v>
      </c>
      <c r="E7761">
        <v>2022</v>
      </c>
      <c r="F7761" t="s">
        <v>71</v>
      </c>
    </row>
    <row r="7762" spans="1:6" x14ac:dyDescent="0.25">
      <c r="A7762" t="s">
        <v>32</v>
      </c>
      <c r="B7762" t="s">
        <v>33</v>
      </c>
      <c r="C7762" t="s">
        <v>65</v>
      </c>
      <c r="D7762">
        <v>3136.25</v>
      </c>
      <c r="E7762">
        <v>2022</v>
      </c>
      <c r="F7762" t="s">
        <v>71</v>
      </c>
    </row>
    <row r="7763" spans="1:6" x14ac:dyDescent="0.25">
      <c r="A7763" t="s">
        <v>34</v>
      </c>
      <c r="B7763" t="s">
        <v>35</v>
      </c>
      <c r="C7763" t="s">
        <v>65</v>
      </c>
      <c r="D7763">
        <v>28223.61</v>
      </c>
      <c r="E7763">
        <v>2022</v>
      </c>
      <c r="F7763" t="s">
        <v>71</v>
      </c>
    </row>
    <row r="7764" spans="1:6" x14ac:dyDescent="0.25">
      <c r="A7764" t="s">
        <v>36</v>
      </c>
      <c r="B7764" t="s">
        <v>37</v>
      </c>
      <c r="C7764" t="s">
        <v>65</v>
      </c>
      <c r="D7764">
        <v>28967.55</v>
      </c>
      <c r="E7764">
        <v>2022</v>
      </c>
      <c r="F7764" t="s">
        <v>71</v>
      </c>
    </row>
    <row r="7765" spans="1:6" x14ac:dyDescent="0.25">
      <c r="A7765" t="s">
        <v>38</v>
      </c>
      <c r="B7765" t="s">
        <v>39</v>
      </c>
      <c r="C7765" t="s">
        <v>65</v>
      </c>
      <c r="D7765">
        <v>51688.12</v>
      </c>
      <c r="E7765">
        <v>2022</v>
      </c>
      <c r="F7765" t="s">
        <v>71</v>
      </c>
    </row>
    <row r="7766" spans="1:6" x14ac:dyDescent="0.25">
      <c r="A7766" t="s">
        <v>40</v>
      </c>
      <c r="B7766" t="s">
        <v>41</v>
      </c>
      <c r="C7766" t="s">
        <v>65</v>
      </c>
      <c r="D7766">
        <v>31352.42</v>
      </c>
      <c r="E7766">
        <v>2022</v>
      </c>
      <c r="F7766" t="s">
        <v>71</v>
      </c>
    </row>
    <row r="7767" spans="1:6" x14ac:dyDescent="0.25">
      <c r="A7767" t="s">
        <v>42</v>
      </c>
      <c r="B7767" t="s">
        <v>43</v>
      </c>
      <c r="C7767" t="s">
        <v>65</v>
      </c>
      <c r="D7767">
        <v>12725.49</v>
      </c>
      <c r="E7767">
        <v>2022</v>
      </c>
      <c r="F7767" t="s">
        <v>71</v>
      </c>
    </row>
    <row r="7768" spans="1:6" x14ac:dyDescent="0.25">
      <c r="A7768" t="s">
        <v>44</v>
      </c>
      <c r="B7768" t="s">
        <v>45</v>
      </c>
      <c r="C7768" t="s">
        <v>65</v>
      </c>
      <c r="D7768">
        <v>37502.339999999997</v>
      </c>
      <c r="E7768">
        <v>2022</v>
      </c>
      <c r="F7768" t="s">
        <v>71</v>
      </c>
    </row>
    <row r="7769" spans="1:6" x14ac:dyDescent="0.25">
      <c r="A7769" t="s">
        <v>46</v>
      </c>
      <c r="B7769" t="s">
        <v>47</v>
      </c>
      <c r="C7769" t="s">
        <v>65</v>
      </c>
      <c r="D7769">
        <v>49257.4</v>
      </c>
      <c r="E7769">
        <v>2022</v>
      </c>
      <c r="F7769" t="s">
        <v>71</v>
      </c>
    </row>
    <row r="7770" spans="1:6" x14ac:dyDescent="0.25">
      <c r="A7770" t="s">
        <v>48</v>
      </c>
      <c r="B7770" t="s">
        <v>49</v>
      </c>
      <c r="C7770" t="s">
        <v>65</v>
      </c>
      <c r="D7770">
        <v>94750.58</v>
      </c>
      <c r="E7770">
        <v>2022</v>
      </c>
      <c r="F7770" t="s">
        <v>71</v>
      </c>
    </row>
    <row r="7771" spans="1:6" x14ac:dyDescent="0.25">
      <c r="A7771" t="s">
        <v>50</v>
      </c>
      <c r="B7771" t="s">
        <v>51</v>
      </c>
      <c r="C7771" t="s">
        <v>65</v>
      </c>
      <c r="D7771">
        <v>1620.53</v>
      </c>
      <c r="E7771">
        <v>2022</v>
      </c>
      <c r="F7771" t="s">
        <v>71</v>
      </c>
    </row>
    <row r="7772" spans="1:6" x14ac:dyDescent="0.25">
      <c r="A7772" t="s">
        <v>52</v>
      </c>
      <c r="B7772" t="s">
        <v>53</v>
      </c>
      <c r="C7772" t="s">
        <v>65</v>
      </c>
      <c r="D7772">
        <v>2325.35</v>
      </c>
      <c r="E7772">
        <v>2022</v>
      </c>
      <c r="F7772" t="s">
        <v>71</v>
      </c>
    </row>
    <row r="7773" spans="1:6" x14ac:dyDescent="0.25">
      <c r="A7773" t="s">
        <v>54</v>
      </c>
      <c r="B7773" t="s">
        <v>55</v>
      </c>
      <c r="C7773" t="s">
        <v>65</v>
      </c>
      <c r="D7773">
        <v>746.83</v>
      </c>
      <c r="E7773">
        <v>2022</v>
      </c>
      <c r="F7773" t="s">
        <v>71</v>
      </c>
    </row>
    <row r="7774" spans="1:6" x14ac:dyDescent="0.25">
      <c r="A7774" t="s">
        <v>56</v>
      </c>
      <c r="B7774" t="s">
        <v>57</v>
      </c>
      <c r="C7774" t="s">
        <v>65</v>
      </c>
      <c r="E7774">
        <v>2022</v>
      </c>
      <c r="F7774" t="s">
        <v>71</v>
      </c>
    </row>
    <row r="7775" spans="1:6" x14ac:dyDescent="0.25">
      <c r="A7775" t="s">
        <v>58</v>
      </c>
      <c r="B7775" t="s">
        <v>59</v>
      </c>
      <c r="C7775" t="s">
        <v>65</v>
      </c>
      <c r="E7775">
        <v>2022</v>
      </c>
      <c r="F7775" t="s">
        <v>71</v>
      </c>
    </row>
    <row r="7776" spans="1:6" x14ac:dyDescent="0.25">
      <c r="A7776" t="s">
        <v>6</v>
      </c>
      <c r="B7776" t="s">
        <v>7</v>
      </c>
      <c r="C7776" t="s">
        <v>62</v>
      </c>
      <c r="E7776">
        <v>2022</v>
      </c>
      <c r="F7776" t="s">
        <v>71</v>
      </c>
    </row>
    <row r="7777" spans="1:6" x14ac:dyDescent="0.25">
      <c r="A7777" t="s">
        <v>10</v>
      </c>
      <c r="B7777" t="s">
        <v>11</v>
      </c>
      <c r="C7777" t="s">
        <v>62</v>
      </c>
      <c r="E7777">
        <v>2022</v>
      </c>
      <c r="F7777" t="s">
        <v>71</v>
      </c>
    </row>
    <row r="7778" spans="1:6" x14ac:dyDescent="0.25">
      <c r="A7778" t="s">
        <v>12</v>
      </c>
      <c r="B7778" t="s">
        <v>13</v>
      </c>
      <c r="C7778" t="s">
        <v>62</v>
      </c>
      <c r="E7778">
        <v>2022</v>
      </c>
      <c r="F7778" t="s">
        <v>71</v>
      </c>
    </row>
    <row r="7779" spans="1:6" x14ac:dyDescent="0.25">
      <c r="A7779" t="s">
        <v>14</v>
      </c>
      <c r="B7779" t="s">
        <v>15</v>
      </c>
      <c r="C7779" t="s">
        <v>62</v>
      </c>
      <c r="E7779">
        <v>2022</v>
      </c>
      <c r="F7779" t="s">
        <v>71</v>
      </c>
    </row>
    <row r="7780" spans="1:6" x14ac:dyDescent="0.25">
      <c r="A7780" t="s">
        <v>16</v>
      </c>
      <c r="B7780" t="s">
        <v>17</v>
      </c>
      <c r="C7780" t="s">
        <v>62</v>
      </c>
      <c r="E7780">
        <v>2022</v>
      </c>
      <c r="F7780" t="s">
        <v>71</v>
      </c>
    </row>
    <row r="7781" spans="1:6" x14ac:dyDescent="0.25">
      <c r="A7781" t="s">
        <v>18</v>
      </c>
      <c r="B7781" t="s">
        <v>19</v>
      </c>
      <c r="C7781" t="s">
        <v>62</v>
      </c>
      <c r="E7781">
        <v>2022</v>
      </c>
      <c r="F7781" t="s">
        <v>71</v>
      </c>
    </row>
    <row r="7782" spans="1:6" x14ac:dyDescent="0.25">
      <c r="A7782" t="s">
        <v>20</v>
      </c>
      <c r="B7782" t="s">
        <v>21</v>
      </c>
      <c r="C7782" t="s">
        <v>62</v>
      </c>
      <c r="E7782">
        <v>2022</v>
      </c>
      <c r="F7782" t="s">
        <v>71</v>
      </c>
    </row>
    <row r="7783" spans="1:6" x14ac:dyDescent="0.25">
      <c r="A7783" t="s">
        <v>22</v>
      </c>
      <c r="B7783" t="s">
        <v>23</v>
      </c>
      <c r="C7783" t="s">
        <v>62</v>
      </c>
      <c r="E7783">
        <v>2022</v>
      </c>
      <c r="F7783" t="s">
        <v>71</v>
      </c>
    </row>
    <row r="7784" spans="1:6" x14ac:dyDescent="0.25">
      <c r="A7784" t="s">
        <v>24</v>
      </c>
      <c r="B7784" t="s">
        <v>25</v>
      </c>
      <c r="C7784" t="s">
        <v>62</v>
      </c>
      <c r="E7784">
        <v>2022</v>
      </c>
      <c r="F7784" t="s">
        <v>71</v>
      </c>
    </row>
    <row r="7785" spans="1:6" x14ac:dyDescent="0.25">
      <c r="A7785" t="s">
        <v>26</v>
      </c>
      <c r="B7785" t="s">
        <v>27</v>
      </c>
      <c r="C7785" t="s">
        <v>62</v>
      </c>
      <c r="E7785">
        <v>2022</v>
      </c>
      <c r="F7785" t="s">
        <v>71</v>
      </c>
    </row>
    <row r="7786" spans="1:6" x14ac:dyDescent="0.25">
      <c r="A7786" t="s">
        <v>28</v>
      </c>
      <c r="B7786" t="s">
        <v>29</v>
      </c>
      <c r="C7786" t="s">
        <v>62</v>
      </c>
      <c r="E7786">
        <v>2022</v>
      </c>
      <c r="F7786" t="s">
        <v>71</v>
      </c>
    </row>
    <row r="7787" spans="1:6" x14ac:dyDescent="0.25">
      <c r="A7787" t="s">
        <v>30</v>
      </c>
      <c r="B7787" t="s">
        <v>31</v>
      </c>
      <c r="C7787" t="s">
        <v>62</v>
      </c>
      <c r="E7787">
        <v>2022</v>
      </c>
      <c r="F7787" t="s">
        <v>71</v>
      </c>
    </row>
    <row r="7788" spans="1:6" x14ac:dyDescent="0.25">
      <c r="A7788" t="s">
        <v>32</v>
      </c>
      <c r="B7788" t="s">
        <v>33</v>
      </c>
      <c r="C7788" t="s">
        <v>62</v>
      </c>
      <c r="E7788">
        <v>2022</v>
      </c>
      <c r="F7788" t="s">
        <v>71</v>
      </c>
    </row>
    <row r="7789" spans="1:6" x14ac:dyDescent="0.25">
      <c r="A7789" t="s">
        <v>34</v>
      </c>
      <c r="B7789" t="s">
        <v>35</v>
      </c>
      <c r="C7789" t="s">
        <v>62</v>
      </c>
      <c r="E7789">
        <v>2022</v>
      </c>
      <c r="F7789" t="s">
        <v>71</v>
      </c>
    </row>
    <row r="7790" spans="1:6" x14ac:dyDescent="0.25">
      <c r="A7790" t="s">
        <v>36</v>
      </c>
      <c r="B7790" t="s">
        <v>37</v>
      </c>
      <c r="C7790" t="s">
        <v>62</v>
      </c>
      <c r="E7790">
        <v>2022</v>
      </c>
      <c r="F7790" t="s">
        <v>71</v>
      </c>
    </row>
    <row r="7791" spans="1:6" x14ac:dyDescent="0.25">
      <c r="A7791" t="s">
        <v>38</v>
      </c>
      <c r="B7791" t="s">
        <v>39</v>
      </c>
      <c r="C7791" t="s">
        <v>62</v>
      </c>
      <c r="E7791">
        <v>2022</v>
      </c>
      <c r="F7791" t="s">
        <v>71</v>
      </c>
    </row>
    <row r="7792" spans="1:6" x14ac:dyDescent="0.25">
      <c r="A7792" t="s">
        <v>40</v>
      </c>
      <c r="B7792" t="s">
        <v>41</v>
      </c>
      <c r="C7792" t="s">
        <v>62</v>
      </c>
      <c r="E7792">
        <v>2022</v>
      </c>
      <c r="F7792" t="s">
        <v>71</v>
      </c>
    </row>
    <row r="7793" spans="1:6" x14ac:dyDescent="0.25">
      <c r="A7793" t="s">
        <v>42</v>
      </c>
      <c r="B7793" t="s">
        <v>43</v>
      </c>
      <c r="C7793" t="s">
        <v>62</v>
      </c>
      <c r="E7793">
        <v>2022</v>
      </c>
      <c r="F7793" t="s">
        <v>71</v>
      </c>
    </row>
    <row r="7794" spans="1:6" x14ac:dyDescent="0.25">
      <c r="A7794" t="s">
        <v>44</v>
      </c>
      <c r="B7794" t="s">
        <v>45</v>
      </c>
      <c r="C7794" t="s">
        <v>62</v>
      </c>
      <c r="E7794">
        <v>2022</v>
      </c>
      <c r="F7794" t="s">
        <v>71</v>
      </c>
    </row>
    <row r="7795" spans="1:6" x14ac:dyDescent="0.25">
      <c r="A7795" t="s">
        <v>46</v>
      </c>
      <c r="B7795" t="s">
        <v>47</v>
      </c>
      <c r="C7795" t="s">
        <v>62</v>
      </c>
      <c r="E7795">
        <v>2022</v>
      </c>
      <c r="F7795" t="s">
        <v>71</v>
      </c>
    </row>
    <row r="7796" spans="1:6" x14ac:dyDescent="0.25">
      <c r="A7796" t="s">
        <v>48</v>
      </c>
      <c r="B7796" t="s">
        <v>49</v>
      </c>
      <c r="C7796" t="s">
        <v>62</v>
      </c>
      <c r="E7796">
        <v>2022</v>
      </c>
      <c r="F7796" t="s">
        <v>71</v>
      </c>
    </row>
    <row r="7797" spans="1:6" x14ac:dyDescent="0.25">
      <c r="A7797" t="s">
        <v>50</v>
      </c>
      <c r="B7797" t="s">
        <v>51</v>
      </c>
      <c r="C7797" t="s">
        <v>62</v>
      </c>
      <c r="E7797">
        <v>2022</v>
      </c>
      <c r="F7797" t="s">
        <v>71</v>
      </c>
    </row>
    <row r="7798" spans="1:6" x14ac:dyDescent="0.25">
      <c r="A7798" t="s">
        <v>52</v>
      </c>
      <c r="B7798" t="s">
        <v>53</v>
      </c>
      <c r="C7798" t="s">
        <v>62</v>
      </c>
      <c r="E7798">
        <v>2022</v>
      </c>
      <c r="F7798" t="s">
        <v>71</v>
      </c>
    </row>
    <row r="7799" spans="1:6" x14ac:dyDescent="0.25">
      <c r="A7799" t="s">
        <v>54</v>
      </c>
      <c r="B7799" t="s">
        <v>55</v>
      </c>
      <c r="C7799" t="s">
        <v>62</v>
      </c>
      <c r="E7799">
        <v>2022</v>
      </c>
      <c r="F7799" t="s">
        <v>71</v>
      </c>
    </row>
    <row r="7800" spans="1:6" x14ac:dyDescent="0.25">
      <c r="A7800" t="s">
        <v>56</v>
      </c>
      <c r="B7800" t="s">
        <v>57</v>
      </c>
      <c r="C7800" t="s">
        <v>62</v>
      </c>
      <c r="E7800">
        <v>2022</v>
      </c>
      <c r="F7800" t="s">
        <v>71</v>
      </c>
    </row>
    <row r="7801" spans="1:6" x14ac:dyDescent="0.25">
      <c r="A7801" t="s">
        <v>58</v>
      </c>
      <c r="B7801" t="s">
        <v>59</v>
      </c>
      <c r="C7801" t="s">
        <v>62</v>
      </c>
      <c r="E7801">
        <v>2022</v>
      </c>
      <c r="F7801" t="s">
        <v>71</v>
      </c>
    </row>
    <row r="7802" spans="1:6" x14ac:dyDescent="0.25">
      <c r="A7802" t="s">
        <v>6</v>
      </c>
      <c r="B7802" t="s">
        <v>7</v>
      </c>
      <c r="C7802" t="s">
        <v>66</v>
      </c>
      <c r="E7802">
        <v>2022</v>
      </c>
      <c r="F7802" t="s">
        <v>71</v>
      </c>
    </row>
    <row r="7803" spans="1:6" x14ac:dyDescent="0.25">
      <c r="A7803" t="s">
        <v>10</v>
      </c>
      <c r="B7803" t="s">
        <v>11</v>
      </c>
      <c r="C7803" t="s">
        <v>66</v>
      </c>
      <c r="E7803">
        <v>2022</v>
      </c>
      <c r="F7803" t="s">
        <v>71</v>
      </c>
    </row>
    <row r="7804" spans="1:6" x14ac:dyDescent="0.25">
      <c r="A7804" t="s">
        <v>12</v>
      </c>
      <c r="B7804" t="s">
        <v>13</v>
      </c>
      <c r="C7804" t="s">
        <v>66</v>
      </c>
      <c r="E7804">
        <v>2022</v>
      </c>
      <c r="F7804" t="s">
        <v>71</v>
      </c>
    </row>
    <row r="7805" spans="1:6" x14ac:dyDescent="0.25">
      <c r="A7805" t="s">
        <v>14</v>
      </c>
      <c r="B7805" t="s">
        <v>15</v>
      </c>
      <c r="C7805" t="s">
        <v>66</v>
      </c>
      <c r="E7805">
        <v>2022</v>
      </c>
      <c r="F7805" t="s">
        <v>71</v>
      </c>
    </row>
    <row r="7806" spans="1:6" x14ac:dyDescent="0.25">
      <c r="A7806" t="s">
        <v>16</v>
      </c>
      <c r="B7806" t="s">
        <v>17</v>
      </c>
      <c r="C7806" t="s">
        <v>66</v>
      </c>
      <c r="E7806">
        <v>2022</v>
      </c>
      <c r="F7806" t="s">
        <v>71</v>
      </c>
    </row>
    <row r="7807" spans="1:6" x14ac:dyDescent="0.25">
      <c r="A7807" t="s">
        <v>18</v>
      </c>
      <c r="B7807" t="s">
        <v>19</v>
      </c>
      <c r="C7807" t="s">
        <v>66</v>
      </c>
      <c r="E7807">
        <v>2022</v>
      </c>
      <c r="F7807" t="s">
        <v>71</v>
      </c>
    </row>
    <row r="7808" spans="1:6" x14ac:dyDescent="0.25">
      <c r="A7808" t="s">
        <v>20</v>
      </c>
      <c r="B7808" t="s">
        <v>21</v>
      </c>
      <c r="C7808" t="s">
        <v>66</v>
      </c>
      <c r="E7808">
        <v>2022</v>
      </c>
      <c r="F7808" t="s">
        <v>71</v>
      </c>
    </row>
    <row r="7809" spans="1:6" x14ac:dyDescent="0.25">
      <c r="A7809" t="s">
        <v>22</v>
      </c>
      <c r="B7809" t="s">
        <v>23</v>
      </c>
      <c r="C7809" t="s">
        <v>66</v>
      </c>
      <c r="E7809">
        <v>2022</v>
      </c>
      <c r="F7809" t="s">
        <v>71</v>
      </c>
    </row>
    <row r="7810" spans="1:6" x14ac:dyDescent="0.25">
      <c r="A7810" t="s">
        <v>24</v>
      </c>
      <c r="B7810" t="s">
        <v>25</v>
      </c>
      <c r="C7810" t="s">
        <v>66</v>
      </c>
      <c r="E7810">
        <v>2022</v>
      </c>
      <c r="F7810" t="s">
        <v>71</v>
      </c>
    </row>
    <row r="7811" spans="1:6" x14ac:dyDescent="0.25">
      <c r="A7811" t="s">
        <v>26</v>
      </c>
      <c r="B7811" t="s">
        <v>27</v>
      </c>
      <c r="C7811" t="s">
        <v>66</v>
      </c>
      <c r="E7811">
        <v>2022</v>
      </c>
      <c r="F7811" t="s">
        <v>71</v>
      </c>
    </row>
    <row r="7812" spans="1:6" x14ac:dyDescent="0.25">
      <c r="A7812" t="s">
        <v>28</v>
      </c>
      <c r="B7812" t="s">
        <v>29</v>
      </c>
      <c r="C7812" t="s">
        <v>66</v>
      </c>
      <c r="E7812">
        <v>2022</v>
      </c>
      <c r="F7812" t="s">
        <v>71</v>
      </c>
    </row>
    <row r="7813" spans="1:6" x14ac:dyDescent="0.25">
      <c r="A7813" t="s">
        <v>30</v>
      </c>
      <c r="B7813" t="s">
        <v>31</v>
      </c>
      <c r="C7813" t="s">
        <v>66</v>
      </c>
      <c r="E7813">
        <v>2022</v>
      </c>
      <c r="F7813" t="s">
        <v>71</v>
      </c>
    </row>
    <row r="7814" spans="1:6" x14ac:dyDescent="0.25">
      <c r="A7814" t="s">
        <v>32</v>
      </c>
      <c r="B7814" t="s">
        <v>33</v>
      </c>
      <c r="C7814" t="s">
        <v>66</v>
      </c>
      <c r="E7814">
        <v>2022</v>
      </c>
      <c r="F7814" t="s">
        <v>71</v>
      </c>
    </row>
    <row r="7815" spans="1:6" x14ac:dyDescent="0.25">
      <c r="A7815" t="s">
        <v>34</v>
      </c>
      <c r="B7815" t="s">
        <v>35</v>
      </c>
      <c r="C7815" t="s">
        <v>66</v>
      </c>
      <c r="E7815">
        <v>2022</v>
      </c>
      <c r="F7815" t="s">
        <v>71</v>
      </c>
    </row>
    <row r="7816" spans="1:6" x14ac:dyDescent="0.25">
      <c r="A7816" t="s">
        <v>36</v>
      </c>
      <c r="B7816" t="s">
        <v>37</v>
      </c>
      <c r="C7816" t="s">
        <v>66</v>
      </c>
      <c r="E7816">
        <v>2022</v>
      </c>
      <c r="F7816" t="s">
        <v>71</v>
      </c>
    </row>
    <row r="7817" spans="1:6" x14ac:dyDescent="0.25">
      <c r="A7817" t="s">
        <v>38</v>
      </c>
      <c r="B7817" t="s">
        <v>39</v>
      </c>
      <c r="C7817" t="s">
        <v>66</v>
      </c>
      <c r="E7817">
        <v>2022</v>
      </c>
      <c r="F7817" t="s">
        <v>71</v>
      </c>
    </row>
    <row r="7818" spans="1:6" x14ac:dyDescent="0.25">
      <c r="A7818" t="s">
        <v>40</v>
      </c>
      <c r="B7818" t="s">
        <v>41</v>
      </c>
      <c r="C7818" t="s">
        <v>66</v>
      </c>
      <c r="E7818">
        <v>2022</v>
      </c>
      <c r="F7818" t="s">
        <v>71</v>
      </c>
    </row>
    <row r="7819" spans="1:6" x14ac:dyDescent="0.25">
      <c r="A7819" t="s">
        <v>42</v>
      </c>
      <c r="B7819" t="s">
        <v>43</v>
      </c>
      <c r="C7819" t="s">
        <v>66</v>
      </c>
      <c r="E7819">
        <v>2022</v>
      </c>
      <c r="F7819" t="s">
        <v>71</v>
      </c>
    </row>
    <row r="7820" spans="1:6" x14ac:dyDescent="0.25">
      <c r="A7820" t="s">
        <v>44</v>
      </c>
      <c r="B7820" t="s">
        <v>45</v>
      </c>
      <c r="C7820" t="s">
        <v>66</v>
      </c>
      <c r="E7820">
        <v>2022</v>
      </c>
      <c r="F7820" t="s">
        <v>71</v>
      </c>
    </row>
    <row r="7821" spans="1:6" x14ac:dyDescent="0.25">
      <c r="A7821" t="s">
        <v>46</v>
      </c>
      <c r="B7821" t="s">
        <v>47</v>
      </c>
      <c r="C7821" t="s">
        <v>66</v>
      </c>
      <c r="E7821">
        <v>2022</v>
      </c>
      <c r="F7821" t="s">
        <v>71</v>
      </c>
    </row>
    <row r="7822" spans="1:6" x14ac:dyDescent="0.25">
      <c r="A7822" t="s">
        <v>48</v>
      </c>
      <c r="B7822" t="s">
        <v>49</v>
      </c>
      <c r="C7822" t="s">
        <v>66</v>
      </c>
      <c r="E7822">
        <v>2022</v>
      </c>
      <c r="F7822" t="s">
        <v>71</v>
      </c>
    </row>
    <row r="7823" spans="1:6" x14ac:dyDescent="0.25">
      <c r="A7823" t="s">
        <v>50</v>
      </c>
      <c r="B7823" t="s">
        <v>51</v>
      </c>
      <c r="C7823" t="s">
        <v>66</v>
      </c>
      <c r="E7823">
        <v>2022</v>
      </c>
      <c r="F7823" t="s">
        <v>71</v>
      </c>
    </row>
    <row r="7824" spans="1:6" x14ac:dyDescent="0.25">
      <c r="A7824" t="s">
        <v>52</v>
      </c>
      <c r="B7824" t="s">
        <v>53</v>
      </c>
      <c r="C7824" t="s">
        <v>66</v>
      </c>
      <c r="E7824">
        <v>2022</v>
      </c>
      <c r="F7824" t="s">
        <v>71</v>
      </c>
    </row>
    <row r="7825" spans="1:6" x14ac:dyDescent="0.25">
      <c r="A7825" t="s">
        <v>54</v>
      </c>
      <c r="B7825" t="s">
        <v>55</v>
      </c>
      <c r="C7825" t="s">
        <v>66</v>
      </c>
      <c r="E7825">
        <v>2022</v>
      </c>
      <c r="F7825" t="s">
        <v>71</v>
      </c>
    </row>
    <row r="7826" spans="1:6" x14ac:dyDescent="0.25">
      <c r="A7826" t="s">
        <v>56</v>
      </c>
      <c r="B7826" t="s">
        <v>57</v>
      </c>
      <c r="C7826" t="s">
        <v>66</v>
      </c>
      <c r="E7826">
        <v>2022</v>
      </c>
      <c r="F7826" t="s">
        <v>71</v>
      </c>
    </row>
    <row r="7827" spans="1:6" x14ac:dyDescent="0.25">
      <c r="A7827" t="s">
        <v>58</v>
      </c>
      <c r="B7827" t="s">
        <v>59</v>
      </c>
      <c r="C7827" t="s">
        <v>66</v>
      </c>
      <c r="E7827">
        <v>2022</v>
      </c>
      <c r="F7827" t="s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0D5C-4820-4CE5-9CBE-07ED1F4D9E87}">
  <dimension ref="A1:K24"/>
  <sheetViews>
    <sheetView workbookViewId="0">
      <selection activeCell="C25" sqref="C25"/>
    </sheetView>
  </sheetViews>
  <sheetFormatPr baseColWidth="10" defaultColWidth="9.140625" defaultRowHeight="15" x14ac:dyDescent="0.25"/>
  <cols>
    <col min="1" max="1" width="36.42578125" customWidth="1"/>
    <col min="3" max="3" width="6.85546875" bestFit="1" customWidth="1"/>
  </cols>
  <sheetData>
    <row r="1" spans="1:11" x14ac:dyDescent="0.25">
      <c r="A1" t="s">
        <v>1</v>
      </c>
      <c r="B1" t="s">
        <v>73</v>
      </c>
      <c r="C1" t="s">
        <v>0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25">
      <c r="A2" t="s">
        <v>13</v>
      </c>
      <c r="B2" t="s">
        <v>12</v>
      </c>
      <c r="C2" t="s">
        <v>12</v>
      </c>
      <c r="D2">
        <v>100</v>
      </c>
      <c r="E2">
        <v>109.48621184080174</v>
      </c>
      <c r="F2" cm="1">
        <f t="array" ref="F2:K2">_xlfn.XLOOKUP(B2,[3]Deflactores!$F$2:$F$49,[3]Deflactores!$I$2:$N$49)</f>
        <v>130.97125300252478</v>
      </c>
      <c r="G2">
        <v>141.89860678189606</v>
      </c>
      <c r="H2">
        <v>145.81518651846599</v>
      </c>
      <c r="I2">
        <v>163.84090965502955</v>
      </c>
      <c r="J2">
        <v>175.34251880378167</v>
      </c>
      <c r="K2">
        <v>180.58226895246165</v>
      </c>
    </row>
    <row r="3" spans="1:11" x14ac:dyDescent="0.25">
      <c r="A3" t="s">
        <v>15</v>
      </c>
      <c r="B3" t="s">
        <v>12</v>
      </c>
      <c r="C3" t="s">
        <v>14</v>
      </c>
      <c r="D3">
        <v>100</v>
      </c>
      <c r="E3">
        <v>109.48621184080174</v>
      </c>
      <c r="F3" cm="1">
        <f t="array" ref="F3:K3">_xlfn.XLOOKUP(B3,[3]Deflactores!$F$2:$F$49,[3]Deflactores!$I$2:$N$49)</f>
        <v>130.97125300252478</v>
      </c>
      <c r="G3">
        <v>141.89860678189606</v>
      </c>
      <c r="H3">
        <v>145.81518651846599</v>
      </c>
      <c r="I3">
        <v>163.84090965502955</v>
      </c>
      <c r="J3">
        <v>175.34251880378167</v>
      </c>
      <c r="K3">
        <v>180.58226895246165</v>
      </c>
    </row>
    <row r="4" spans="1:11" x14ac:dyDescent="0.25">
      <c r="A4" t="s">
        <v>29</v>
      </c>
      <c r="B4" t="s">
        <v>28</v>
      </c>
      <c r="C4" t="s">
        <v>28</v>
      </c>
      <c r="D4">
        <v>100</v>
      </c>
      <c r="E4">
        <v>91.443228245884725</v>
      </c>
      <c r="F4" cm="1">
        <f t="array" ref="F4:K4">_xlfn.XLOOKUP(B4,[3]Deflactores!$F$2:$F$49,[3]Deflactores!$I$2:$N$49)</f>
        <v>81.536083216377264</v>
      </c>
      <c r="G4">
        <v>80.392794310026233</v>
      </c>
      <c r="H4">
        <v>78.715495341808591</v>
      </c>
      <c r="I4">
        <v>65.796738477016305</v>
      </c>
      <c r="J4">
        <v>93.470336231191354</v>
      </c>
      <c r="K4">
        <v>89.876754111521677</v>
      </c>
    </row>
    <row r="5" spans="1:11" x14ac:dyDescent="0.25">
      <c r="A5" t="s">
        <v>45</v>
      </c>
      <c r="B5" t="s">
        <v>44</v>
      </c>
      <c r="C5" t="s">
        <v>44</v>
      </c>
      <c r="D5">
        <v>100</v>
      </c>
      <c r="E5">
        <v>100.67339555211183</v>
      </c>
      <c r="F5" cm="1">
        <f t="array" ref="F5:K5">_xlfn.XLOOKUP(B5,[3]Deflactores!$F$2:$F$49,[3]Deflactores!$I$2:$N$49)</f>
        <v>104.31392088468201</v>
      </c>
      <c r="G5">
        <v>128.1728847839708</v>
      </c>
      <c r="H5">
        <v>155.80430099762572</v>
      </c>
      <c r="I5">
        <v>155.4000885622205</v>
      </c>
      <c r="J5">
        <v>167.48785477801945</v>
      </c>
      <c r="K5">
        <v>176.36272977561012</v>
      </c>
    </row>
    <row r="6" spans="1:11" x14ac:dyDescent="0.25">
      <c r="A6" t="s">
        <v>47</v>
      </c>
      <c r="B6" t="s">
        <v>44</v>
      </c>
      <c r="C6" t="s">
        <v>46</v>
      </c>
      <c r="D6">
        <v>100</v>
      </c>
      <c r="E6">
        <v>100.67339555211183</v>
      </c>
      <c r="F6" cm="1">
        <f t="array" ref="F6:K6">_xlfn.XLOOKUP(B6,[3]Deflactores!$F$2:$F$49,[3]Deflactores!$I$2:$N$49)</f>
        <v>104.31392088468201</v>
      </c>
      <c r="G6">
        <v>128.1728847839708</v>
      </c>
      <c r="H6">
        <v>155.80430099762572</v>
      </c>
      <c r="I6">
        <v>155.4000885622205</v>
      </c>
      <c r="J6">
        <v>167.48785477801945</v>
      </c>
      <c r="K6">
        <v>176.36272977561012</v>
      </c>
    </row>
    <row r="7" spans="1:11" x14ac:dyDescent="0.25">
      <c r="A7" t="s">
        <v>53</v>
      </c>
      <c r="B7" t="s">
        <v>52</v>
      </c>
      <c r="C7" t="s">
        <v>52</v>
      </c>
      <c r="D7">
        <v>100</v>
      </c>
      <c r="E7">
        <v>100.87256118571648</v>
      </c>
      <c r="F7" cm="1">
        <f t="array" ref="F7:K7">_xlfn.XLOOKUP(B7,[3]Deflactores!$F$2:$F$49,[3]Deflactores!$I$2:$N$49)</f>
        <v>110.88170991457437</v>
      </c>
      <c r="G7">
        <v>131.20190868680365</v>
      </c>
      <c r="H7">
        <v>154.38505752371162</v>
      </c>
      <c r="I7">
        <v>191.09957537871821</v>
      </c>
      <c r="J7">
        <v>188.87000220483969</v>
      </c>
      <c r="K7">
        <v>154.94376517332131</v>
      </c>
    </row>
    <row r="8" spans="1:11" x14ac:dyDescent="0.25">
      <c r="A8" t="s">
        <v>51</v>
      </c>
      <c r="B8" t="s">
        <v>50</v>
      </c>
      <c r="C8" t="s">
        <v>50</v>
      </c>
      <c r="D8">
        <v>100</v>
      </c>
      <c r="E8">
        <v>108.67081241696934</v>
      </c>
      <c r="F8" cm="1">
        <f t="array" ref="F8:K8">_xlfn.XLOOKUP(B8,[3]Deflactores!$F$2:$F$49,[3]Deflactores!$I$2:$N$49)</f>
        <v>75.124698800518345</v>
      </c>
      <c r="G8">
        <v>78.734894592048647</v>
      </c>
      <c r="H8">
        <v>76.860996936781049</v>
      </c>
      <c r="I8">
        <v>110.13745075062667</v>
      </c>
      <c r="J8">
        <v>101.01109989433877</v>
      </c>
      <c r="K8">
        <v>183.47647453863905</v>
      </c>
    </row>
    <row r="9" spans="1:11" x14ac:dyDescent="0.25">
      <c r="A9" t="s">
        <v>37</v>
      </c>
      <c r="B9" t="s">
        <v>36</v>
      </c>
      <c r="C9" t="s">
        <v>36</v>
      </c>
      <c r="D9">
        <v>100</v>
      </c>
      <c r="E9">
        <v>125.40875386447171</v>
      </c>
      <c r="F9" cm="1">
        <f t="array" ref="F9:K9">_xlfn.XLOOKUP(B9,[3]Deflactores!$F$2:$F$49,[3]Deflactores!$I$2:$N$49)</f>
        <v>119.25777877094224</v>
      </c>
      <c r="G9">
        <v>137.31168454384311</v>
      </c>
      <c r="H9">
        <v>140.73372605044176</v>
      </c>
      <c r="I9">
        <v>147.54159094176487</v>
      </c>
      <c r="J9">
        <v>194.73360266342979</v>
      </c>
      <c r="K9">
        <v>278.4141036411624</v>
      </c>
    </row>
    <row r="10" spans="1:11" x14ac:dyDescent="0.25">
      <c r="A10" t="s">
        <v>25</v>
      </c>
      <c r="B10" t="s">
        <v>24</v>
      </c>
      <c r="C10" t="s">
        <v>24</v>
      </c>
      <c r="D10">
        <v>100</v>
      </c>
      <c r="E10">
        <v>99.818380422259693</v>
      </c>
      <c r="F10" cm="1">
        <f t="array" ref="F10:K10">_xlfn.XLOOKUP(B10,[3]Deflactores!$F$2:$F$49,[3]Deflactores!$I$2:$N$49)</f>
        <v>175.6063441527281</v>
      </c>
      <c r="G10">
        <v>159.40255872367479</v>
      </c>
      <c r="H10">
        <v>77.560790260425833</v>
      </c>
      <c r="I10">
        <v>207.67555180123202</v>
      </c>
      <c r="J10">
        <v>269.9908225187778</v>
      </c>
      <c r="K10">
        <v>144.11100252357943</v>
      </c>
    </row>
    <row r="11" spans="1:11" x14ac:dyDescent="0.25">
      <c r="A11" t="s">
        <v>19</v>
      </c>
      <c r="B11" t="s">
        <v>18</v>
      </c>
      <c r="C11" t="s">
        <v>18</v>
      </c>
      <c r="D11">
        <v>100</v>
      </c>
      <c r="E11">
        <v>100.46887469810673</v>
      </c>
      <c r="F11" cm="1">
        <f t="array" ref="F11:K11">_xlfn.XLOOKUP(B11,[3]Deflactores!$F$2:$F$49,[3]Deflactores!$I$2:$N$49)</f>
        <v>120.63816491449468</v>
      </c>
      <c r="G11">
        <v>131.41852838129915</v>
      </c>
      <c r="H11">
        <v>146.36159768364692</v>
      </c>
      <c r="I11">
        <v>158.71642300351033</v>
      </c>
      <c r="J11">
        <v>182.52083265542095</v>
      </c>
      <c r="K11">
        <v>169.56435147113802</v>
      </c>
    </row>
    <row r="12" spans="1:11" x14ac:dyDescent="0.25">
      <c r="A12" t="s">
        <v>35</v>
      </c>
      <c r="B12" t="s">
        <v>34</v>
      </c>
      <c r="C12" t="s">
        <v>34</v>
      </c>
      <c r="D12">
        <v>100</v>
      </c>
      <c r="E12">
        <v>93.436103262719072</v>
      </c>
      <c r="F12" cm="1">
        <f t="array" ref="F12:K12">_xlfn.XLOOKUP(B12,[3]Deflactores!$F$2:$F$49,[3]Deflactores!$I$2:$N$49)</f>
        <v>103.65526681263162</v>
      </c>
      <c r="G12">
        <v>129.0227325520672</v>
      </c>
      <c r="H12">
        <v>136.35417917656471</v>
      </c>
      <c r="I12">
        <v>156.39818458638533</v>
      </c>
      <c r="J12">
        <v>163.72064313588254</v>
      </c>
      <c r="K12">
        <v>183.49621140040651</v>
      </c>
    </row>
    <row r="13" spans="1:11" x14ac:dyDescent="0.25">
      <c r="A13" t="s">
        <v>21</v>
      </c>
      <c r="B13" t="s">
        <v>20</v>
      </c>
      <c r="C13" t="s">
        <v>20</v>
      </c>
      <c r="D13">
        <v>100</v>
      </c>
      <c r="E13">
        <v>114.26550878270749</v>
      </c>
      <c r="F13" cm="1">
        <f t="array" ref="F13:K13">_xlfn.XLOOKUP(B13,[3]Deflactores!$F$2:$F$49,[3]Deflactores!$I$2:$N$49)</f>
        <v>75.692239784023585</v>
      </c>
      <c r="G13">
        <v>186.44936572179611</v>
      </c>
      <c r="H13">
        <v>256.78232830542271</v>
      </c>
      <c r="I13">
        <v>175.42214295485664</v>
      </c>
      <c r="J13">
        <v>172.38163776877892</v>
      </c>
      <c r="K13">
        <v>163.11028694595549</v>
      </c>
    </row>
    <row r="14" spans="1:11" x14ac:dyDescent="0.25">
      <c r="A14" t="s">
        <v>43</v>
      </c>
      <c r="B14" t="s">
        <v>44</v>
      </c>
      <c r="C14" t="s">
        <v>42</v>
      </c>
      <c r="D14">
        <v>100</v>
      </c>
      <c r="E14">
        <v>100.67339555211183</v>
      </c>
      <c r="F14" cm="1">
        <f t="array" ref="F14:K14">_xlfn.XLOOKUP(B14,[3]Deflactores!$F$2:$F$49,[3]Deflactores!$I$2:$N$49)</f>
        <v>104.31392088468201</v>
      </c>
      <c r="G14">
        <v>128.1728847839708</v>
      </c>
      <c r="H14">
        <v>155.80430099762572</v>
      </c>
      <c r="I14">
        <v>155.4000885622205</v>
      </c>
      <c r="J14">
        <v>167.48785477801945</v>
      </c>
      <c r="K14">
        <v>176.36272977561012</v>
      </c>
    </row>
    <row r="15" spans="1:11" x14ac:dyDescent="0.25">
      <c r="A15" t="s">
        <v>41</v>
      </c>
      <c r="B15" t="s">
        <v>52</v>
      </c>
      <c r="C15" t="s">
        <v>40</v>
      </c>
      <c r="D15">
        <v>100</v>
      </c>
      <c r="E15">
        <v>100.87256118571648</v>
      </c>
      <c r="F15" cm="1">
        <f t="array" ref="F15:K15">_xlfn.XLOOKUP(B15,[3]Deflactores!$F$2:$F$49,[3]Deflactores!$I$2:$N$49)</f>
        <v>110.88170991457437</v>
      </c>
      <c r="G15">
        <v>131.20190868680365</v>
      </c>
      <c r="H15">
        <v>154.38505752371162</v>
      </c>
      <c r="I15">
        <v>191.09957537871821</v>
      </c>
      <c r="J15">
        <v>188.87000220483969</v>
      </c>
      <c r="K15">
        <v>154.94376517332131</v>
      </c>
    </row>
    <row r="16" spans="1:11" x14ac:dyDescent="0.25">
      <c r="A16" t="s">
        <v>33</v>
      </c>
      <c r="B16" t="s">
        <v>32</v>
      </c>
      <c r="C16" t="s">
        <v>32</v>
      </c>
      <c r="D16">
        <v>100</v>
      </c>
      <c r="E16">
        <v>98.716161777824638</v>
      </c>
      <c r="F16" cm="1">
        <f t="array" ref="F16:K16">_xlfn.XLOOKUP(B16,[3]Deflactores!$F$2:$F$49,[3]Deflactores!$I$2:$N$49)</f>
        <v>107.5647085530625</v>
      </c>
      <c r="G16">
        <v>121.12555315540388</v>
      </c>
      <c r="H16">
        <v>139.02776228438475</v>
      </c>
      <c r="I16">
        <v>148.51596985444041</v>
      </c>
      <c r="J16">
        <v>130.15609389789557</v>
      </c>
      <c r="K16">
        <v>113.38879291954478</v>
      </c>
    </row>
    <row r="17" spans="1:11" x14ac:dyDescent="0.25">
      <c r="A17" t="s">
        <v>17</v>
      </c>
      <c r="B17" t="s">
        <v>16</v>
      </c>
      <c r="C17" t="s">
        <v>16</v>
      </c>
      <c r="D17">
        <v>100</v>
      </c>
      <c r="E17">
        <v>104.57566119969744</v>
      </c>
      <c r="F17" cm="1">
        <f t="array" ref="F17:K17">_xlfn.XLOOKUP(B17,[3]Deflactores!$F$2:$F$49,[3]Deflactores!$I$2:$N$49)</f>
        <v>123.31797760156698</v>
      </c>
      <c r="G17">
        <v>117.45975585671036</v>
      </c>
      <c r="H17">
        <v>118.61048518281791</v>
      </c>
      <c r="I17">
        <v>136.00529048561015</v>
      </c>
      <c r="J17">
        <v>145.4341015773399</v>
      </c>
      <c r="K17">
        <v>133.65277148716373</v>
      </c>
    </row>
    <row r="18" spans="1:11" x14ac:dyDescent="0.25">
      <c r="A18" t="s">
        <v>31</v>
      </c>
      <c r="B18" t="s">
        <v>30</v>
      </c>
      <c r="C18" t="s">
        <v>30</v>
      </c>
      <c r="D18">
        <v>100</v>
      </c>
      <c r="E18">
        <v>100.08518189256823</v>
      </c>
      <c r="F18" cm="1">
        <f t="array" ref="F18:K18">_xlfn.XLOOKUP(B18,[3]Deflactores!$F$2:$F$49,[3]Deflactores!$I$2:$N$49)</f>
        <v>100.7028778178495</v>
      </c>
      <c r="G18">
        <v>117.89802233631104</v>
      </c>
      <c r="H18">
        <v>144.32836287658915</v>
      </c>
      <c r="I18">
        <v>138.92075104860297</v>
      </c>
      <c r="J18">
        <v>161.91838891271419</v>
      </c>
      <c r="K18">
        <v>173.02240742772145</v>
      </c>
    </row>
    <row r="19" spans="1:11" x14ac:dyDescent="0.25">
      <c r="A19" t="s">
        <v>49</v>
      </c>
      <c r="B19" t="s">
        <v>50</v>
      </c>
      <c r="C19" t="s">
        <v>48</v>
      </c>
      <c r="D19">
        <v>100</v>
      </c>
      <c r="E19">
        <v>108.67081241696934</v>
      </c>
      <c r="F19" cm="1">
        <f t="array" ref="F19:K19">_xlfn.XLOOKUP(B19,[3]Deflactores!$F$2:$F$49,[3]Deflactores!$I$2:$N$49)</f>
        <v>75.124698800518345</v>
      </c>
      <c r="G19">
        <v>78.734894592048647</v>
      </c>
      <c r="H19">
        <v>76.860996936781049</v>
      </c>
      <c r="I19">
        <v>110.13745075062667</v>
      </c>
      <c r="J19">
        <v>101.01109989433877</v>
      </c>
      <c r="K19">
        <v>183.47647453863905</v>
      </c>
    </row>
    <row r="20" spans="1:11" x14ac:dyDescent="0.25">
      <c r="A20" t="s">
        <v>27</v>
      </c>
      <c r="B20" t="s">
        <v>26</v>
      </c>
      <c r="C20" t="s">
        <v>26</v>
      </c>
      <c r="D20">
        <v>100</v>
      </c>
      <c r="E20">
        <v>107.61748803921579</v>
      </c>
      <c r="F20" cm="1">
        <f t="array" ref="F20:K20">_xlfn.XLOOKUP(B20,[3]Deflactores!$F$2:$F$49,[3]Deflactores!$I$2:$N$49)</f>
        <v>109.52470993888438</v>
      </c>
      <c r="G20">
        <v>112.3970063446726</v>
      </c>
      <c r="H20">
        <v>116.93525227479375</v>
      </c>
      <c r="I20">
        <v>121.08206126762818</v>
      </c>
      <c r="J20">
        <v>127.70266873356928</v>
      </c>
      <c r="K20">
        <v>138.62657070074013</v>
      </c>
    </row>
    <row r="21" spans="1:11" x14ac:dyDescent="0.25">
      <c r="A21" t="s">
        <v>55</v>
      </c>
      <c r="B21" t="s">
        <v>54</v>
      </c>
      <c r="C21" t="s">
        <v>54</v>
      </c>
      <c r="D21">
        <v>100</v>
      </c>
      <c r="E21">
        <v>109.76692027466717</v>
      </c>
      <c r="F21" cm="1">
        <f t="array" ref="F21:K21">_xlfn.XLOOKUP(B21,[3]Deflactores!$F$2:$F$49,[3]Deflactores!$I$2:$N$49)</f>
        <v>117.16063901235793</v>
      </c>
      <c r="G21">
        <v>123.31769148359872</v>
      </c>
      <c r="H21">
        <v>141.57609326380475</v>
      </c>
      <c r="I21">
        <v>153.10190611988989</v>
      </c>
      <c r="J21">
        <v>161.83114305519621</v>
      </c>
      <c r="K21">
        <v>145.24620620826528</v>
      </c>
    </row>
    <row r="22" spans="1:11" x14ac:dyDescent="0.25">
      <c r="A22" t="s">
        <v>23</v>
      </c>
      <c r="B22" t="s">
        <v>22</v>
      </c>
      <c r="C22" t="s">
        <v>22</v>
      </c>
      <c r="D22">
        <v>100</v>
      </c>
      <c r="E22">
        <v>91.71636267911083</v>
      </c>
      <c r="F22" cm="1">
        <f t="array" ref="F22:K22">_xlfn.XLOOKUP(B22,[3]Deflactores!$F$2:$F$49,[3]Deflactores!$I$2:$N$49)</f>
        <v>104.20861387935605</v>
      </c>
      <c r="G22">
        <v>118.46038965900665</v>
      </c>
      <c r="H22">
        <v>137.70776153398867</v>
      </c>
      <c r="I22">
        <v>197.38919346898831</v>
      </c>
      <c r="J22">
        <v>170.17161943768386</v>
      </c>
      <c r="K22">
        <v>124.187739395791</v>
      </c>
    </row>
    <row r="23" spans="1:11" x14ac:dyDescent="0.25">
      <c r="A23" t="s">
        <v>57</v>
      </c>
      <c r="B23" t="s">
        <v>54</v>
      </c>
      <c r="C23" t="s">
        <v>56</v>
      </c>
      <c r="D23">
        <v>100</v>
      </c>
      <c r="E23">
        <v>109.76692027466717</v>
      </c>
      <c r="F23" cm="1">
        <f t="array" ref="F23:K23">_xlfn.XLOOKUP(B23,[3]Deflactores!$F$2:$F$49,[3]Deflactores!$I$2:$N$49)</f>
        <v>117.16063901235793</v>
      </c>
      <c r="G23">
        <v>123.31769148359872</v>
      </c>
      <c r="H23">
        <v>141.57609326380475</v>
      </c>
      <c r="I23">
        <v>153.10190611988989</v>
      </c>
      <c r="J23">
        <v>161.83114305519621</v>
      </c>
      <c r="K23">
        <v>145.24620620826528</v>
      </c>
    </row>
    <row r="24" spans="1:11" x14ac:dyDescent="0.25">
      <c r="A24" t="s">
        <v>72</v>
      </c>
      <c r="B24" t="s">
        <v>6</v>
      </c>
      <c r="C24" t="s">
        <v>6</v>
      </c>
      <c r="D24">
        <v>100</v>
      </c>
      <c r="E24">
        <f>AVERAGE([3]Deflactores!H$7:H$31)</f>
        <v>106.14384384577728</v>
      </c>
      <c r="F24">
        <f>AVERAGE([3]Deflactores!I$7:I$31)</f>
        <v>112.17514508211615</v>
      </c>
      <c r="G24">
        <f>AVERAGE([3]Deflactores!J$7:J$31)</f>
        <v>126.15915201858832</v>
      </c>
      <c r="H24">
        <f>AVERAGE([3]Deflactores!K$7:K$31)</f>
        <v>137.87853492998215</v>
      </c>
      <c r="I24">
        <f>AVERAGE([3]Deflactores!L$7:L$31)</f>
        <v>173.93591187968886</v>
      </c>
      <c r="J24">
        <f>AVERAGE([3]Deflactores!M$7:M$31)</f>
        <v>189.01265395021395</v>
      </c>
      <c r="K24">
        <f>AVERAGE([3]Deflactores!N$7:N$31)</f>
        <v>190.4663174722678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Sheet3</vt:lpstr>
      <vt:lpstr>Perú</vt:lpstr>
      <vt:lpstr>Ecuador</vt:lpstr>
      <vt:lpstr>Colombia</vt:lpstr>
      <vt:lpstr>Brasil</vt:lpstr>
      <vt:lpstr>Sheet1</vt:lpstr>
      <vt:lpstr>Uruguay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Daymler Del Jesus O´Farrill Rolando</cp:lastModifiedBy>
  <dcterms:created xsi:type="dcterms:W3CDTF">2025-12-08T11:14:35Z</dcterms:created>
  <dcterms:modified xsi:type="dcterms:W3CDTF">2025-12-10T12:31:09Z</dcterms:modified>
</cp:coreProperties>
</file>