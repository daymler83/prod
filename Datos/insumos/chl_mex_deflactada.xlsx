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5206A78B-89FF-40BF-ABAE-95B8BB05861B}" xr6:coauthVersionLast="47" xr6:coauthVersionMax="47" xr10:uidLastSave="{00000000-0000-0000-0000-000000000000}"/>
  <bookViews>
    <workbookView xWindow="-120" yWindow="-120" windowWidth="29040" windowHeight="15840" firstSheet="1" activeTab="6" xr2:uid="{00000000-000D-0000-FFFF-FFFF00000000}"/>
  </bookViews>
  <sheets>
    <sheet name="PL_T" sheetId="8" r:id="rId1"/>
    <sheet name="Prod" sheetId="3" r:id="rId2"/>
    <sheet name="Hoja6" sheetId="10" r:id="rId3"/>
    <sheet name="CL" sheetId="11" r:id="rId4"/>
    <sheet name="Ocupados" sheetId="13" r:id="rId5"/>
    <sheet name="Costo_laboral" sheetId="9" r:id="rId6"/>
    <sheet name="Sheet1" sheetId="1" r:id="rId7"/>
    <sheet name="Hoja1" sheetId="2" r:id="rId8"/>
  </sheets>
  <definedNames>
    <definedName name="_xlnm._FilterDatabase" localSheetId="6" hidden="1">Sheet1!$A$1:$L$2331</definedName>
  </definedNames>
  <calcPr calcId="191029"/>
  <pivotCaches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9" l="1"/>
  <c r="E23" i="9"/>
  <c r="F23" i="9"/>
  <c r="G23" i="9"/>
  <c r="H23" i="9"/>
  <c r="I23" i="9"/>
  <c r="J23" i="9"/>
  <c r="K23" i="9"/>
  <c r="C23" i="9"/>
  <c r="D22" i="9"/>
  <c r="E22" i="9"/>
  <c r="F22" i="9"/>
  <c r="G22" i="9"/>
  <c r="H22" i="9"/>
  <c r="I22" i="9"/>
  <c r="J22" i="9"/>
  <c r="C22" i="9"/>
  <c r="K11" i="9"/>
  <c r="J11" i="9"/>
  <c r="I11" i="9"/>
  <c r="H11" i="9"/>
  <c r="G11" i="9"/>
  <c r="F11" i="9"/>
  <c r="F14" i="9" s="1"/>
  <c r="E11" i="9"/>
  <c r="E14" i="9" s="1"/>
  <c r="D11" i="9"/>
  <c r="D14" i="9" s="1"/>
  <c r="C11" i="9"/>
  <c r="J10" i="9"/>
  <c r="I10" i="9"/>
  <c r="H10" i="9"/>
  <c r="G10" i="9"/>
  <c r="F10" i="9"/>
  <c r="G16" i="9" s="1"/>
  <c r="E10" i="9"/>
  <c r="E16" i="9" s="1"/>
  <c r="D10" i="9"/>
  <c r="C10" i="9"/>
  <c r="D12" i="3"/>
  <c r="E12" i="3"/>
  <c r="F12" i="3"/>
  <c r="G12" i="3"/>
  <c r="H12" i="3"/>
  <c r="H18" i="3" s="1"/>
  <c r="I12" i="3"/>
  <c r="J12" i="3"/>
  <c r="K12" i="3"/>
  <c r="C12" i="3"/>
  <c r="D11" i="3"/>
  <c r="E11" i="3"/>
  <c r="F11" i="3"/>
  <c r="F14" i="3" s="1"/>
  <c r="G11" i="3"/>
  <c r="G14" i="3" s="1"/>
  <c r="H11" i="3"/>
  <c r="H14" i="3" s="1"/>
  <c r="I11" i="3"/>
  <c r="I14" i="3" s="1"/>
  <c r="J11" i="3"/>
  <c r="C11" i="3"/>
  <c r="C15" i="3" l="1"/>
  <c r="J15" i="3"/>
  <c r="K15" i="3"/>
  <c r="I15" i="3"/>
  <c r="E18" i="3"/>
  <c r="C13" i="9"/>
  <c r="G18" i="3"/>
  <c r="D13" i="9"/>
  <c r="D18" i="3"/>
  <c r="E13" i="9"/>
  <c r="F13" i="9"/>
  <c r="J16" i="9"/>
  <c r="G17" i="9"/>
  <c r="D16" i="9"/>
  <c r="J13" i="9"/>
  <c r="G13" i="9"/>
  <c r="H13" i="9"/>
  <c r="H17" i="9"/>
  <c r="I17" i="9"/>
  <c r="J17" i="9"/>
  <c r="K17" i="9"/>
  <c r="G14" i="9"/>
  <c r="H14" i="9"/>
  <c r="I13" i="9"/>
  <c r="F16" i="9"/>
  <c r="H16" i="9"/>
  <c r="I16" i="9"/>
  <c r="I14" i="9"/>
  <c r="D17" i="9"/>
  <c r="E17" i="9"/>
  <c r="J14" i="9"/>
  <c r="F17" i="9"/>
  <c r="C14" i="9"/>
  <c r="K14" i="9"/>
  <c r="F18" i="3"/>
  <c r="H15" i="3"/>
  <c r="G15" i="3"/>
  <c r="F15" i="3"/>
  <c r="E15" i="3"/>
  <c r="J18" i="3"/>
  <c r="E14" i="3"/>
  <c r="D15" i="3"/>
  <c r="D14" i="3"/>
  <c r="D17" i="3"/>
  <c r="J17" i="3"/>
  <c r="I17" i="3"/>
  <c r="H17" i="3"/>
  <c r="G17" i="3"/>
  <c r="F17" i="3"/>
  <c r="E17" i="3"/>
  <c r="K18" i="3"/>
  <c r="I18" i="3"/>
  <c r="J14" i="3"/>
  <c r="C14" i="3"/>
  <c r="L17" i="3" l="1"/>
  <c r="L18" i="3"/>
  <c r="L17" i="9"/>
  <c r="L16" i="9"/>
</calcChain>
</file>

<file path=xl/sharedStrings.xml><?xml version="1.0" encoding="utf-8"?>
<sst xmlns="http://schemas.openxmlformats.org/spreadsheetml/2006/main" count="13647" uniqueCount="84">
  <si>
    <t>anio</t>
  </si>
  <si>
    <t>pais</t>
  </si>
  <si>
    <t>value</t>
  </si>
  <si>
    <t>unit</t>
  </si>
  <si>
    <t>fuente</t>
  </si>
  <si>
    <t>variable</t>
  </si>
  <si>
    <t>codigo</t>
  </si>
  <si>
    <t>glosa</t>
  </si>
  <si>
    <t>deflactores2d</t>
  </si>
  <si>
    <t>deflactoresletra</t>
  </si>
  <si>
    <t>deflactores2dfinal</t>
  </si>
  <si>
    <t>valuedefla</t>
  </si>
  <si>
    <t>Chile</t>
  </si>
  <si>
    <t>Terajulios</t>
  </si>
  <si>
    <t>BADECON</t>
  </si>
  <si>
    <t>Consumo de energía eléctrica por actividad económica</t>
  </si>
  <si>
    <t>CXX</t>
  </si>
  <si>
    <t>Otras industrias sin categorizar</t>
  </si>
  <si>
    <t>C10</t>
  </si>
  <si>
    <t>Elaboración de productos alimenticios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</si>
  <si>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</si>
  <si>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</si>
  <si>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</si>
  <si>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</si>
  <si>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</si>
  <si>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</si>
  <si>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</si>
  <si>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</si>
  <si>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</si>
  <si>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</si>
  <si>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</si>
  <si>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</si>
  <si>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</si>
  <si>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</si>
  <si>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</si>
  <si>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</si>
  <si>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</si>
  <si>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</si>
  <si>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</si>
  <si>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</si>
  <si>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</si>
  <si>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</si>
  <si>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</si>
  <si>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</si>
  <si>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</si>
  <si>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</si>
  <si>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</si>
  <si>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</si>
  <si>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</si>
  <si>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</si>
  <si>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</si>
  <si>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</si>
  <si>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</si>
  <si>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</si>
  <si>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</si>
  <si>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</si>
  <si>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</si>
  <si>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</si>
  <si>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</si>
  <si>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</si>
  <si>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</si>
  <si>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</si>
  <si>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</si>
  <si>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</si>
  <si>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Millones de dólares</t>
  </si>
  <si>
    <t>Consumo intermedio por actividad económica</t>
  </si>
  <si>
    <t>México</t>
  </si>
  <si>
    <t>C12</t>
  </si>
  <si>
    <t>Elaboración de productos de tabaco</t>
  </si>
  <si>
    <t>Unidades</t>
  </si>
  <si>
    <t>Horas trabajadas por actividad económica</t>
  </si>
  <si>
    <t>Número de ocupados total de la industria manufacturera por país y actividad económica</t>
  </si>
  <si>
    <t>Remuneración por actividad económica</t>
  </si>
  <si>
    <t>C29_30</t>
  </si>
  <si>
    <t>Fabricación de vehículos automotores, remolques y semirremolques, y otro equipo de transporte</t>
  </si>
  <si>
    <t>Valor agregado por actividad económica</t>
  </si>
  <si>
    <t>Valor bruto de la producción por actividad económica</t>
  </si>
  <si>
    <t>Dólares</t>
  </si>
  <si>
    <t>Suma de valuedefla</t>
  </si>
  <si>
    <t>Nivel</t>
  </si>
  <si>
    <t>Índice (2018=100)</t>
  </si>
  <si>
    <t>Tasa de crec. Del nivel</t>
  </si>
  <si>
    <t>(Todas)</t>
  </si>
  <si>
    <t>Ocupados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</si>
</sst>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styles" Target="styles.xml"/><Relationship Id="rId5" Type="http://schemas.openxmlformats.org/officeDocument/2006/relationships/chartsheet" Target="chartsheets/sheet3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Prod!$B$14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Prod!$C$14:$K$14</c:f>
              <c:numCache>
                <c:formatCode>General</c:formatCode>
                <c:ptCount val="9"/>
                <c:pt idx="0">
                  <c:v>0.75712752877891121</c:v>
                </c:pt>
                <c:pt idx="1">
                  <c:v>0.71107262866589682</c:v>
                </c:pt>
                <c:pt idx="2">
                  <c:v>0.9591510727600191</c:v>
                </c:pt>
                <c:pt idx="3">
                  <c:v>1</c:v>
                </c:pt>
                <c:pt idx="4">
                  <c:v>0.80061177241140324</c:v>
                </c:pt>
                <c:pt idx="5">
                  <c:v>0.72538839119176834</c:v>
                </c:pt>
                <c:pt idx="6">
                  <c:v>0.8622215547614156</c:v>
                </c:pt>
                <c:pt idx="7">
                  <c:v>0.52983043391934204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EB-43A0-91D6-75514814295A}"/>
            </c:ext>
          </c:extLst>
        </c:ser>
        <c:ser>
          <c:idx val="1"/>
          <c:order val="1"/>
          <c:tx>
            <c:strRef>
              <c:f>Prod!$B$15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Prod!$C$5:$K$5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Prod!$C$15:$K$15</c:f>
              <c:numCache>
                <c:formatCode>General</c:formatCode>
                <c:ptCount val="9"/>
                <c:pt idx="0">
                  <c:v>1.3675560613004007</c:v>
                </c:pt>
                <c:pt idx="1">
                  <c:v>1.4528280962490034</c:v>
                </c:pt>
                <c:pt idx="2">
                  <c:v>1.0684388246747247</c:v>
                </c:pt>
                <c:pt idx="3">
                  <c:v>1</c:v>
                </c:pt>
                <c:pt idx="4">
                  <c:v>0.98077826622875863</c:v>
                </c:pt>
                <c:pt idx="5">
                  <c:v>0.80987411748281968</c:v>
                </c:pt>
                <c:pt idx="6">
                  <c:v>0.87837202798904634</c:v>
                </c:pt>
                <c:pt idx="7">
                  <c:v>0.96712989036513697</c:v>
                </c:pt>
                <c:pt idx="8">
                  <c:v>1.0852957603641904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EB-43A0-91D6-755148142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26936"/>
        <c:axId val="1211019016"/>
      </c:lineChart>
      <c:catAx>
        <c:axId val="121102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19016"/>
        <c:crosses val="autoZero"/>
        <c:auto val="1"/>
        <c:lblAlgn val="ctr"/>
        <c:lblOffset val="100"/>
        <c:noMultiLvlLbl val="0"/>
      </c:catAx>
      <c:valAx>
        <c:axId val="12110190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2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Costo_laboral!$B$13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Costo_laboral!$C$13:$K$13</c:f>
              <c:numCache>
                <c:formatCode>General</c:formatCode>
                <c:ptCount val="9"/>
                <c:pt idx="0">
                  <c:v>1.9888167851317156</c:v>
                </c:pt>
                <c:pt idx="1">
                  <c:v>0.86357140293603774</c:v>
                </c:pt>
                <c:pt idx="2">
                  <c:v>0.80846527742052987</c:v>
                </c:pt>
                <c:pt idx="3">
                  <c:v>1</c:v>
                </c:pt>
                <c:pt idx="4">
                  <c:v>0.83926048235304185</c:v>
                </c:pt>
                <c:pt idx="5">
                  <c:v>0.86611530369578349</c:v>
                </c:pt>
                <c:pt idx="6">
                  <c:v>1.3039079665199942</c:v>
                </c:pt>
                <c:pt idx="7">
                  <c:v>0.86129420345703434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A8-4A32-849F-F8EE85408B06}"/>
            </c:ext>
          </c:extLst>
        </c:ser>
        <c:ser>
          <c:idx val="1"/>
          <c:order val="1"/>
          <c:tx>
            <c:strRef>
              <c:f>Costo_laboral!$B$14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Costo_laboral!$C$14:$K$14</c:f>
              <c:numCache>
                <c:formatCode>General</c:formatCode>
                <c:ptCount val="9"/>
                <c:pt idx="0">
                  <c:v>1.2375197846697759</c:v>
                </c:pt>
                <c:pt idx="1">
                  <c:v>1.1178986643986826</c:v>
                </c:pt>
                <c:pt idx="2">
                  <c:v>1.0130883362068017</c:v>
                </c:pt>
                <c:pt idx="3">
                  <c:v>1</c:v>
                </c:pt>
                <c:pt idx="4">
                  <c:v>1.0313664385071362</c:v>
                </c:pt>
                <c:pt idx="5">
                  <c:v>0.91964480724432995</c:v>
                </c:pt>
                <c:pt idx="6">
                  <c:v>1.0489925681300758</c:v>
                </c:pt>
                <c:pt idx="7">
                  <c:v>1.2079296749426165</c:v>
                </c:pt>
                <c:pt idx="8">
                  <c:v>1.4914469991250499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A8-4A32-849F-F8EE85408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418287"/>
        <c:axId val="520419007"/>
      </c:lineChart>
      <c:catAx>
        <c:axId val="52041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0419007"/>
        <c:crosses val="autoZero"/>
        <c:auto val="1"/>
        <c:lblAlgn val="ctr"/>
        <c:lblOffset val="100"/>
        <c:noMultiLvlLbl val="0"/>
      </c:catAx>
      <c:valAx>
        <c:axId val="5204190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0418287"/>
        <c:crosses val="autoZero"/>
        <c:crossBetween val="between"/>
      </c:valAx>
      <c:spPr>
        <a:noFill/>
        <a:ln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Costo_laboral!$B$22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Costo_laboral!$C$22:$K$22</c:f>
              <c:numCache>
                <c:formatCode>General</c:formatCode>
                <c:ptCount val="9"/>
                <c:pt idx="0">
                  <c:v>0.84870764931889631</c:v>
                </c:pt>
                <c:pt idx="1">
                  <c:v>0.8450091201924943</c:v>
                </c:pt>
                <c:pt idx="2">
                  <c:v>0.96455349866107809</c:v>
                </c:pt>
                <c:pt idx="3">
                  <c:v>1</c:v>
                </c:pt>
                <c:pt idx="4">
                  <c:v>0.94357705592424423</c:v>
                </c:pt>
                <c:pt idx="5">
                  <c:v>0.86841308650599602</c:v>
                </c:pt>
                <c:pt idx="6">
                  <c:v>0.87273450537509212</c:v>
                </c:pt>
                <c:pt idx="7">
                  <c:v>1.0127042340978771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F3-4F05-B096-AF0A46053243}"/>
            </c:ext>
          </c:extLst>
        </c:ser>
        <c:ser>
          <c:idx val="1"/>
          <c:order val="1"/>
          <c:tx>
            <c:strRef>
              <c:f>Costo_laboral!$B$23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Costo_laboral!$C$4:$K$4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Costo_laboral!$C$23:$K$23</c:f>
              <c:numCache>
                <c:formatCode>General</c:formatCode>
                <c:ptCount val="9"/>
                <c:pt idx="0">
                  <c:v>0.91103378541077973</c:v>
                </c:pt>
                <c:pt idx="1">
                  <c:v>0.94429871484189243</c:v>
                </c:pt>
                <c:pt idx="2">
                  <c:v>0.97485388097441561</c:v>
                </c:pt>
                <c:pt idx="3">
                  <c:v>1</c:v>
                </c:pt>
                <c:pt idx="4">
                  <c:v>1.0114615349146341</c:v>
                </c:pt>
                <c:pt idx="5">
                  <c:v>0.98757435198325516</c:v>
                </c:pt>
                <c:pt idx="6">
                  <c:v>1.1285733315137834</c:v>
                </c:pt>
                <c:pt idx="7">
                  <c:v>1.1469718232123969</c:v>
                </c:pt>
                <c:pt idx="8">
                  <c:v>1.1402889358473554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F3-4F05-B096-AF0A46053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070800"/>
        <c:axId val="833075480"/>
      </c:lineChart>
      <c:catAx>
        <c:axId val="8330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075480"/>
        <c:crosses val="autoZero"/>
        <c:auto val="1"/>
        <c:lblAlgn val="ctr"/>
        <c:lblOffset val="100"/>
        <c:noMultiLvlLbl val="0"/>
      </c:catAx>
      <c:valAx>
        <c:axId val="8330754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307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95DBE2-5A36-43A9-83AF-FA86D81B4831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838F4F-21D5-42DC-8D97-989B6029B104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B5981E-391A-4313-89C4-2F16FB025A48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8765B2-8CD3-82B7-48C9-E09047F48E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4CC520-FA0C-7B61-FC7E-88972F8077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EC9A1E-7D3F-355D-2CA2-89B5BB5D64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645446875002" createdVersion="8" refreshedVersion="8" minRefreshableVersion="3" recordCount="2330" xr:uid="{AC0DD868-4252-424A-9487-DD75818D4C33}">
  <cacheSource type="worksheet">
    <worksheetSource ref="A1:L2331" sheet="Sheet1"/>
  </cacheSource>
  <cacheFields count="12">
    <cacheField name="anio" numFmtId="0">
      <sharedItems containsSemiMixedTypes="0" containsString="0" containsNumber="1" containsInteger="1" minValue="2015" maxValue="2023" count="9">
        <n v="2018"/>
        <n v="2017"/>
        <n v="2016"/>
        <n v="2015"/>
        <n v="2020"/>
        <n v="2019"/>
        <n v="2021"/>
        <n v="2022"/>
        <n v="2023"/>
      </sharedItems>
    </cacheField>
    <cacheField name="pais" numFmtId="0">
      <sharedItems count="2">
        <s v="Chile"/>
        <s v="México"/>
      </sharedItems>
    </cacheField>
    <cacheField name="value" numFmtId="0">
      <sharedItems containsSemiMixedTypes="0" containsString="0" containsNumber="1" minValue="-135.49" maxValue="117594672768.3616"/>
    </cacheField>
    <cacheField name="unit" numFmtId="0">
      <sharedItems/>
    </cacheField>
    <cacheField name="fuente" numFmtId="0">
      <sharedItems/>
    </cacheField>
    <cacheField name="variable" numFmtId="0">
      <sharedItems count="7">
        <s v="Consumo de energía eléctrica por actividad económica"/>
        <s v="Consumo intermedio por actividad económica"/>
        <s v="Horas trabajadas por actividad económica"/>
        <s v="Número de ocupados total de la industria manufacturera por país y actividad económica"/>
        <s v="Remuneración por actividad económica"/>
        <s v="Valor agregado por actividad económica"/>
        <s v="Valor bruto de la producción por actividad económica"/>
      </sharedItems>
    </cacheField>
    <cacheField name="codigo" numFmtId="0">
      <sharedItems containsBlank="1"/>
    </cacheField>
    <cacheField name="glosa" numFmtId="0">
      <sharedItems count="26">
        <s v="Otras industrias sin categorizar"/>
        <s v="Elaboración de productos alimenticios"/>
        <s v="Elaboración de bebidas"/>
        <s v="Fabricación de productos textiles"/>
        <s v="Fabricación de prendas de vestir"/>
        <s v="Fabricación de productos de cuero y productos conexos"/>
        <s v="Producción de madera y fabricación de productos de madera y corcho, excepto muebles; fabricación de artículos de paja y de materiales trenzables"/>
        <s v="Fabricación de papel y de productos de papel"/>
        <s v="Impresión y reproducción de grabaciones"/>
        <s v="Fabricación de coque y productos de la refinación del petróleo"/>
        <s v="Fabricación de sustancias y productos químicos"/>
        <s v="Fabricación de productos farmacéuticos, sustancias químicas medicinales y productos botánicos de uso farmacéutico"/>
        <s v="Fabricación de productos de caucho y de plástico"/>
        <s v="Fabricación de otros productos minerales no metálicos"/>
        <s v="Fabricación de metales comunes"/>
        <s v="Fabricación de productos elaborados de metal, excepto maquinaria y equipo"/>
        <s v="Fabricación de productos de informática, de electrónica y de óptica"/>
        <s v="Fabricación de equipo eléctrico"/>
        <s v="Fabricación de maquinaria y equipo n.c.p."/>
        <s v="Fabricación de vehículos automotores, remolques y semirremolques"/>
        <s v="Fabricación de otro equipo de transporte"/>
        <s v="Fabricación de muebles"/>
        <s v="Otras industrias manufactureras"/>
        <s v="Reparación e instalación de maquinaria y equipo"/>
        <s v="Elaboración de productos de tabaco"/>
        <s v="Fabricación de vehículos automotores, remolques y semirremolques, y otro equipo de transporte"/>
      </sharedItems>
    </cacheField>
    <cacheField name="deflactores2d" numFmtId="0">
      <sharedItems containsString="0" containsBlank="1" containsNumber="1" minValue="17.7" maxValue="123.69234493793"/>
    </cacheField>
    <cacheField name="deflactoresletra" numFmtId="0">
      <sharedItems containsString="0" containsBlank="1" containsNumber="1" minValue="81.900000000000006" maxValue="108.6"/>
    </cacheField>
    <cacheField name="deflactores2dfinal" numFmtId="0">
      <sharedItems containsSemiMixedTypes="0" containsString="0" containsNumber="1" minValue="17.7" maxValue="182.56944637426"/>
    </cacheField>
    <cacheField name="valuedefla" numFmtId="0">
      <sharedItems containsSemiMixedTypes="0" containsString="0" containsNumber="1" minValue="-135.49" maxValue="220800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0">
  <r>
    <x v="0"/>
    <x v="0"/>
    <n v="810.91"/>
    <s v="Terajulios"/>
    <s v="BADECON"/>
    <x v="0"/>
    <s v="CXX"/>
    <x v="0"/>
    <m/>
    <n v="99.999999999999005"/>
    <n v="99.999999999999005"/>
    <n v="810.91"/>
  </r>
  <r>
    <x v="0"/>
    <x v="0"/>
    <n v="8734.4699999999993"/>
    <s v="Terajulios"/>
    <s v="BADECON"/>
    <x v="0"/>
    <s v="C10"/>
    <x v="1"/>
    <n v="99.999999999999005"/>
    <n v="99.999999999999005"/>
    <n v="99.999999999999005"/>
    <n v="8734.4699999999993"/>
  </r>
  <r>
    <x v="0"/>
    <x v="0"/>
    <n v="1176.1300000000001"/>
    <s v="Terajulios"/>
    <s v="BADECON"/>
    <x v="0"/>
    <s v="C11"/>
    <x v="2"/>
    <n v="100"/>
    <n v="99.999999999999005"/>
    <n v="100"/>
    <n v="1176.1300000000001"/>
  </r>
  <r>
    <x v="0"/>
    <x v="0"/>
    <n v="466.93"/>
    <s v="Terajulios"/>
    <s v="BADECON"/>
    <x v="0"/>
    <s v="C13"/>
    <x v="3"/>
    <n v="99.999999999999005"/>
    <n v="99.999999999999005"/>
    <n v="99.999999999999005"/>
    <n v="466.93"/>
  </r>
  <r>
    <x v="0"/>
    <x v="0"/>
    <n v="132.88999999999999"/>
    <s v="Terajulios"/>
    <s v="BADECON"/>
    <x v="0"/>
    <s v="C14"/>
    <x v="4"/>
    <n v="99.999999999999005"/>
    <n v="99.999999999999005"/>
    <n v="99.999999999999005"/>
    <n v="132.88999999999999"/>
  </r>
  <r>
    <x v="0"/>
    <x v="0"/>
    <n v="25.96"/>
    <s v="Terajulios"/>
    <s v="BADECON"/>
    <x v="0"/>
    <s v="C15"/>
    <x v="5"/>
    <n v="99.999999999999005"/>
    <n v="99.999999999999005"/>
    <n v="99.999999999999005"/>
    <n v="25.96"/>
  </r>
  <r>
    <x v="0"/>
    <x v="0"/>
    <n v="4002.45"/>
    <s v="Terajulios"/>
    <s v="BADECON"/>
    <x v="0"/>
    <s v="C16"/>
    <x v="6"/>
    <n v="100"/>
    <n v="99.999999999999005"/>
    <n v="100"/>
    <n v="4002.45"/>
  </r>
  <r>
    <x v="0"/>
    <x v="0"/>
    <n v="2170.19"/>
    <s v="Terajulios"/>
    <s v="BADECON"/>
    <x v="0"/>
    <s v="C17"/>
    <x v="7"/>
    <n v="99.999999999999005"/>
    <n v="99.999999999999005"/>
    <n v="99.999999999999005"/>
    <n v="2170.19"/>
  </r>
  <r>
    <x v="0"/>
    <x v="0"/>
    <n v="349.77"/>
    <s v="Terajulios"/>
    <s v="BADECON"/>
    <x v="0"/>
    <s v="C18"/>
    <x v="8"/>
    <n v="99.999999999999005"/>
    <n v="99.999999999999005"/>
    <n v="99.999999999999005"/>
    <n v="349.77"/>
  </r>
  <r>
    <x v="0"/>
    <x v="0"/>
    <n v="0.27"/>
    <s v="Terajulios"/>
    <s v="BADECON"/>
    <x v="0"/>
    <s v="C19"/>
    <x v="9"/>
    <n v="99.999999999999005"/>
    <n v="99.999999999999005"/>
    <n v="99.999999999999005"/>
    <n v="0.27"/>
  </r>
  <r>
    <x v="0"/>
    <x v="0"/>
    <n v="2844.48"/>
    <s v="Terajulios"/>
    <s v="BADECON"/>
    <x v="0"/>
    <s v="C20"/>
    <x v="10"/>
    <n v="99.999999999999005"/>
    <n v="99.999999999999005"/>
    <n v="99.999999999999005"/>
    <n v="2844.48"/>
  </r>
  <r>
    <x v="0"/>
    <x v="0"/>
    <n v="265.24"/>
    <s v="Terajulios"/>
    <s v="BADECON"/>
    <x v="0"/>
    <s v="C21"/>
    <x v="11"/>
    <n v="99.999999999999005"/>
    <n v="99.999999999999005"/>
    <n v="99.999999999999005"/>
    <n v="265.24"/>
  </r>
  <r>
    <x v="0"/>
    <x v="0"/>
    <n v="1761.07"/>
    <s v="Terajulios"/>
    <s v="BADECON"/>
    <x v="0"/>
    <s v="C22"/>
    <x v="12"/>
    <n v="99.999999999999005"/>
    <n v="99.999999999999005"/>
    <n v="99.999999999999005"/>
    <n v="1761.07"/>
  </r>
  <r>
    <x v="0"/>
    <x v="0"/>
    <n v="3602.45"/>
    <s v="Terajulios"/>
    <s v="BADECON"/>
    <x v="0"/>
    <s v="C23"/>
    <x v="13"/>
    <n v="99.999999999999005"/>
    <n v="99.999999999999005"/>
    <n v="99.999999999999005"/>
    <n v="3602.45"/>
  </r>
  <r>
    <x v="0"/>
    <x v="0"/>
    <n v="1878.49"/>
    <s v="Terajulios"/>
    <s v="BADECON"/>
    <x v="0"/>
    <s v="C24"/>
    <x v="14"/>
    <n v="99.999999999999005"/>
    <n v="99.999999999999005"/>
    <n v="99.999999999999005"/>
    <n v="1878.49"/>
  </r>
  <r>
    <x v="0"/>
    <x v="0"/>
    <n v="918.79"/>
    <s v="Terajulios"/>
    <s v="BADECON"/>
    <x v="0"/>
    <s v="C25"/>
    <x v="15"/>
    <n v="100"/>
    <n v="99.999999999999005"/>
    <n v="100"/>
    <n v="918.79"/>
  </r>
  <r>
    <x v="0"/>
    <x v="0"/>
    <n v="7.53"/>
    <s v="Terajulios"/>
    <s v="BADECON"/>
    <x v="0"/>
    <s v="C26"/>
    <x v="16"/>
    <n v="100"/>
    <n v="99.999999999999005"/>
    <n v="100"/>
    <n v="7.53"/>
  </r>
  <r>
    <x v="0"/>
    <x v="0"/>
    <n v="155.51"/>
    <s v="Terajulios"/>
    <s v="BADECON"/>
    <x v="0"/>
    <s v="C27"/>
    <x v="17"/>
    <n v="100"/>
    <n v="99.999999999999005"/>
    <n v="100"/>
    <n v="155.51"/>
  </r>
  <r>
    <x v="0"/>
    <x v="0"/>
    <n v="898.42"/>
    <s v="Terajulios"/>
    <s v="BADECON"/>
    <x v="0"/>
    <s v="C28"/>
    <x v="18"/>
    <n v="100"/>
    <n v="99.999999999999005"/>
    <n v="100"/>
    <n v="898.42"/>
  </r>
  <r>
    <x v="0"/>
    <x v="0"/>
    <n v="86.76"/>
    <s v="Terajulios"/>
    <s v="BADECON"/>
    <x v="0"/>
    <s v="C29"/>
    <x v="19"/>
    <n v="100"/>
    <n v="99.999999999999005"/>
    <n v="100"/>
    <n v="86.76"/>
  </r>
  <r>
    <x v="0"/>
    <x v="0"/>
    <n v="14.32"/>
    <s v="Terajulios"/>
    <s v="BADECON"/>
    <x v="0"/>
    <s v="C30"/>
    <x v="20"/>
    <n v="100"/>
    <n v="99.999999999999005"/>
    <n v="100"/>
    <n v="14.32"/>
  </r>
  <r>
    <x v="0"/>
    <x v="0"/>
    <n v="135.02000000000001"/>
    <s v="Terajulios"/>
    <s v="BADECON"/>
    <x v="0"/>
    <s v="C31"/>
    <x v="21"/>
    <n v="100"/>
    <n v="99.999999999999005"/>
    <n v="100"/>
    <n v="135.02000000000001"/>
  </r>
  <r>
    <x v="0"/>
    <x v="0"/>
    <n v="12.57"/>
    <s v="Terajulios"/>
    <s v="BADECON"/>
    <x v="0"/>
    <s v="C32"/>
    <x v="22"/>
    <m/>
    <n v="99.999999999999005"/>
    <n v="99.999999999999005"/>
    <n v="12.57"/>
  </r>
  <r>
    <x v="0"/>
    <x v="0"/>
    <n v="362.38"/>
    <s v="Terajulios"/>
    <s v="BADECON"/>
    <x v="0"/>
    <s v="C33"/>
    <x v="23"/>
    <n v="100"/>
    <n v="99.999999999999005"/>
    <n v="100"/>
    <n v="362.38"/>
  </r>
  <r>
    <x v="1"/>
    <x v="0"/>
    <n v="286.88"/>
    <s v="Terajulios"/>
    <s v="BADECON"/>
    <x v="0"/>
    <s v="CXX"/>
    <x v="0"/>
    <m/>
    <n v="95.003435419368998"/>
    <n v="95.003435419368998"/>
    <n v="286.88"/>
  </r>
  <r>
    <x v="1"/>
    <x v="0"/>
    <n v="10558.15"/>
    <s v="Terajulios"/>
    <s v="BADECON"/>
    <x v="0"/>
    <s v="C10"/>
    <x v="1"/>
    <n v="98.723825004638996"/>
    <n v="95.003435419368998"/>
    <n v="98.723825004638996"/>
    <n v="10558.15"/>
  </r>
  <r>
    <x v="1"/>
    <x v="0"/>
    <n v="1175.82"/>
    <s v="Terajulios"/>
    <s v="BADECON"/>
    <x v="0"/>
    <s v="C11"/>
    <x v="2"/>
    <n v="90.846967636214998"/>
    <n v="95.003435419368998"/>
    <n v="90.846967636214998"/>
    <n v="1175.82"/>
  </r>
  <r>
    <x v="1"/>
    <x v="0"/>
    <n v="259.7"/>
    <s v="Terajulios"/>
    <s v="BADECON"/>
    <x v="0"/>
    <s v="C13"/>
    <x v="3"/>
    <n v="111.61986215915999"/>
    <n v="95.003435419368998"/>
    <n v="111.61986215915999"/>
    <n v="259.7"/>
  </r>
  <r>
    <x v="1"/>
    <x v="0"/>
    <n v="361.03"/>
    <s v="Terajulios"/>
    <s v="BADECON"/>
    <x v="0"/>
    <s v="C14"/>
    <x v="4"/>
    <n v="111.61986215915999"/>
    <n v="95.003435419368998"/>
    <n v="111.61986215915999"/>
    <n v="361.03"/>
  </r>
  <r>
    <x v="1"/>
    <x v="0"/>
    <n v="24.82"/>
    <s v="Terajulios"/>
    <s v="BADECON"/>
    <x v="0"/>
    <s v="C15"/>
    <x v="5"/>
    <n v="111.61986215915999"/>
    <n v="95.003435419368998"/>
    <n v="111.61986215915999"/>
    <n v="24.82"/>
  </r>
  <r>
    <x v="1"/>
    <x v="0"/>
    <n v="6756.54"/>
    <s v="Terajulios"/>
    <s v="BADECON"/>
    <x v="0"/>
    <s v="C16"/>
    <x v="6"/>
    <n v="102.38170475517001"/>
    <n v="95.003435419368998"/>
    <n v="102.38170475517001"/>
    <n v="6756.54"/>
  </r>
  <r>
    <x v="1"/>
    <x v="0"/>
    <n v="4285.8100000000004"/>
    <s v="Terajulios"/>
    <s v="BADECON"/>
    <x v="0"/>
    <s v="C17"/>
    <x v="7"/>
    <n v="76.712843517501994"/>
    <n v="95.003435419368998"/>
    <n v="76.712843517501994"/>
    <n v="4285.8100000000004"/>
  </r>
  <r>
    <x v="1"/>
    <x v="0"/>
    <n v="887.98"/>
    <s v="Terajulios"/>
    <s v="BADECON"/>
    <x v="0"/>
    <s v="C18"/>
    <x v="8"/>
    <n v="76.712843517501994"/>
    <n v="95.003435419368998"/>
    <n v="76.712843517501994"/>
    <n v="887.98"/>
  </r>
  <r>
    <x v="1"/>
    <x v="0"/>
    <n v="5038.3599999999997"/>
    <s v="Terajulios"/>
    <s v="BADECON"/>
    <x v="0"/>
    <s v="C20"/>
    <x v="10"/>
    <n v="96.253026824776995"/>
    <n v="95.003435419368998"/>
    <n v="96.253026824776995"/>
    <n v="5038.3599999999997"/>
  </r>
  <r>
    <x v="1"/>
    <x v="0"/>
    <n v="2460.3000000000002"/>
    <s v="Terajulios"/>
    <s v="BADECON"/>
    <x v="0"/>
    <s v="C21"/>
    <x v="11"/>
    <n v="96.253026824776995"/>
    <n v="95.003435419368998"/>
    <n v="96.253026824776995"/>
    <n v="2460.3000000000002"/>
  </r>
  <r>
    <x v="1"/>
    <x v="0"/>
    <n v="2357.7399999999998"/>
    <s v="Terajulios"/>
    <s v="BADECON"/>
    <x v="0"/>
    <s v="C22"/>
    <x v="12"/>
    <n v="96.253026824776995"/>
    <n v="95.003435419368998"/>
    <n v="96.253026824776995"/>
    <n v="2357.7399999999998"/>
  </r>
  <r>
    <x v="1"/>
    <x v="0"/>
    <n v="2940.21"/>
    <s v="Terajulios"/>
    <s v="BADECON"/>
    <x v="0"/>
    <s v="C23"/>
    <x v="13"/>
    <n v="89.385379074143003"/>
    <n v="95.003435419368998"/>
    <n v="89.385379074143003"/>
    <n v="2940.21"/>
  </r>
  <r>
    <x v="1"/>
    <x v="0"/>
    <n v="2603.9899999999998"/>
    <s v="Terajulios"/>
    <s v="BADECON"/>
    <x v="0"/>
    <s v="C24"/>
    <x v="14"/>
    <n v="89.385379074143003"/>
    <n v="95.003435419368998"/>
    <n v="89.385379074143003"/>
    <n v="2603.9899999999998"/>
  </r>
  <r>
    <x v="1"/>
    <x v="0"/>
    <n v="928.29"/>
    <s v="Terajulios"/>
    <s v="BADECON"/>
    <x v="0"/>
    <s v="C25"/>
    <x v="15"/>
    <n v="98.189528995325006"/>
    <n v="95.003435419368998"/>
    <n v="98.189528995325006"/>
    <n v="928.29"/>
  </r>
  <r>
    <x v="1"/>
    <x v="0"/>
    <n v="11.61"/>
    <s v="Terajulios"/>
    <s v="BADECON"/>
    <x v="0"/>
    <s v="C26"/>
    <x v="16"/>
    <n v="98.189528995325006"/>
    <n v="95.003435419368998"/>
    <n v="98.189528995325006"/>
    <n v="11.61"/>
  </r>
  <r>
    <x v="1"/>
    <x v="0"/>
    <n v="877.38"/>
    <s v="Terajulios"/>
    <s v="BADECON"/>
    <x v="0"/>
    <s v="C27"/>
    <x v="17"/>
    <n v="98.189528995325006"/>
    <n v="95.003435419368998"/>
    <n v="98.189528995325006"/>
    <n v="877.38"/>
  </r>
  <r>
    <x v="1"/>
    <x v="0"/>
    <n v="818.57"/>
    <s v="Terajulios"/>
    <s v="BADECON"/>
    <x v="0"/>
    <s v="C28"/>
    <x v="18"/>
    <n v="98.189528995325006"/>
    <n v="95.003435419368998"/>
    <n v="98.189528995325006"/>
    <n v="818.57"/>
  </r>
  <r>
    <x v="1"/>
    <x v="0"/>
    <n v="411.64"/>
    <s v="Terajulios"/>
    <s v="BADECON"/>
    <x v="0"/>
    <s v="C29"/>
    <x v="19"/>
    <n v="98.189528995325006"/>
    <n v="95.003435419368998"/>
    <n v="98.189528995325006"/>
    <n v="411.64"/>
  </r>
  <r>
    <x v="1"/>
    <x v="0"/>
    <n v="10.23"/>
    <s v="Terajulios"/>
    <s v="BADECON"/>
    <x v="0"/>
    <s v="C30"/>
    <x v="20"/>
    <n v="98.189528995325006"/>
    <n v="95.003435419368998"/>
    <n v="98.189528995325006"/>
    <n v="10.23"/>
  </r>
  <r>
    <x v="1"/>
    <x v="0"/>
    <n v="113.54"/>
    <s v="Terajulios"/>
    <s v="BADECON"/>
    <x v="0"/>
    <s v="C31"/>
    <x v="21"/>
    <n v="102.38170475517001"/>
    <n v="95.003435419368998"/>
    <n v="102.38170475517001"/>
    <n v="113.54"/>
  </r>
  <r>
    <x v="1"/>
    <x v="0"/>
    <n v="10.97"/>
    <s v="Terajulios"/>
    <s v="BADECON"/>
    <x v="0"/>
    <s v="C32"/>
    <x v="22"/>
    <m/>
    <n v="95.003435419368998"/>
    <n v="95.003435419368998"/>
    <n v="10.97"/>
  </r>
  <r>
    <x v="1"/>
    <x v="0"/>
    <n v="161.69999999999999"/>
    <s v="Terajulios"/>
    <s v="BADECON"/>
    <x v="0"/>
    <s v="C33"/>
    <x v="23"/>
    <n v="98.189528995325006"/>
    <n v="95.003435419368998"/>
    <n v="98.189528995325006"/>
    <n v="161.69999999999999"/>
  </r>
  <r>
    <x v="2"/>
    <x v="0"/>
    <n v="1226.1400000000001"/>
    <s v="Terajulios"/>
    <s v="BADECON"/>
    <x v="0"/>
    <s v="CXX"/>
    <x v="0"/>
    <m/>
    <n v="95.629262636448004"/>
    <n v="95.629262636448004"/>
    <n v="1226.1400000000001"/>
  </r>
  <r>
    <x v="2"/>
    <x v="0"/>
    <n v="9954.5"/>
    <s v="Terajulios"/>
    <s v="BADECON"/>
    <x v="0"/>
    <s v="C10"/>
    <x v="1"/>
    <n v="96.618124512281994"/>
    <n v="95.629262636448004"/>
    <n v="96.618124512281994"/>
    <n v="9954.5"/>
  </r>
  <r>
    <x v="2"/>
    <x v="0"/>
    <n v="1044.02"/>
    <s v="Terajulios"/>
    <s v="BADECON"/>
    <x v="0"/>
    <s v="C11"/>
    <x v="2"/>
    <n v="96.059679698527006"/>
    <n v="95.629262636448004"/>
    <n v="96.059679698527006"/>
    <n v="1044.02"/>
  </r>
  <r>
    <x v="2"/>
    <x v="0"/>
    <n v="258.92"/>
    <s v="Terajulios"/>
    <s v="BADECON"/>
    <x v="0"/>
    <s v="C13"/>
    <x v="3"/>
    <n v="117.9376128321"/>
    <n v="95.629262636448004"/>
    <n v="117.9376128321"/>
    <n v="258.92"/>
  </r>
  <r>
    <x v="2"/>
    <x v="0"/>
    <n v="75.52"/>
    <s v="Terajulios"/>
    <s v="BADECON"/>
    <x v="0"/>
    <s v="C14"/>
    <x v="4"/>
    <n v="117.9376128321"/>
    <n v="95.629262636448004"/>
    <n v="117.9376128321"/>
    <n v="75.52"/>
  </r>
  <r>
    <x v="2"/>
    <x v="0"/>
    <n v="22.71"/>
    <s v="Terajulios"/>
    <s v="BADECON"/>
    <x v="0"/>
    <s v="C15"/>
    <x v="5"/>
    <n v="117.9376128321"/>
    <n v="95.629262636448004"/>
    <n v="117.9376128321"/>
    <n v="22.71"/>
  </r>
  <r>
    <x v="2"/>
    <x v="0"/>
    <n v="4673.22"/>
    <s v="Terajulios"/>
    <s v="BADECON"/>
    <x v="0"/>
    <s v="C16"/>
    <x v="6"/>
    <n v="106.15763962638999"/>
    <n v="95.629262636448004"/>
    <n v="106.15763962638999"/>
    <n v="4673.22"/>
  </r>
  <r>
    <x v="2"/>
    <x v="0"/>
    <n v="4331.1899999999996"/>
    <s v="Terajulios"/>
    <s v="BADECON"/>
    <x v="0"/>
    <s v="C17"/>
    <x v="7"/>
    <n v="66.424574274145002"/>
    <n v="95.629262636448004"/>
    <n v="66.424574274145002"/>
    <n v="4331.1899999999996"/>
  </r>
  <r>
    <x v="2"/>
    <x v="0"/>
    <n v="300.8"/>
    <s v="Terajulios"/>
    <s v="BADECON"/>
    <x v="0"/>
    <s v="C18"/>
    <x v="8"/>
    <n v="66.424574274145002"/>
    <n v="95.629262636448004"/>
    <n v="66.424574274145002"/>
    <n v="300.8"/>
  </r>
  <r>
    <x v="2"/>
    <x v="0"/>
    <n v="2551.0100000000002"/>
    <s v="Terajulios"/>
    <s v="BADECON"/>
    <x v="0"/>
    <s v="C20"/>
    <x v="10"/>
    <n v="101.63829571143999"/>
    <n v="95.629262636448004"/>
    <n v="101.63829571143999"/>
    <n v="2551.0100000000002"/>
  </r>
  <r>
    <x v="2"/>
    <x v="0"/>
    <n v="205.3"/>
    <s v="Terajulios"/>
    <s v="BADECON"/>
    <x v="0"/>
    <s v="C21"/>
    <x v="11"/>
    <n v="101.63829571143999"/>
    <n v="95.629262636448004"/>
    <n v="101.63829571143999"/>
    <n v="205.3"/>
  </r>
  <r>
    <x v="2"/>
    <x v="0"/>
    <n v="1814.16"/>
    <s v="Terajulios"/>
    <s v="BADECON"/>
    <x v="0"/>
    <s v="C22"/>
    <x v="12"/>
    <n v="101.63829571143999"/>
    <n v="95.629262636448004"/>
    <n v="101.63829571143999"/>
    <n v="1814.16"/>
  </r>
  <r>
    <x v="2"/>
    <x v="0"/>
    <n v="2507.21"/>
    <s v="Terajulios"/>
    <s v="BADECON"/>
    <x v="0"/>
    <s v="C23"/>
    <x v="13"/>
    <n v="89.680336785110001"/>
    <n v="95.629262636448004"/>
    <n v="89.680336785110001"/>
    <n v="2507.21"/>
  </r>
  <r>
    <x v="2"/>
    <x v="0"/>
    <n v="285.55"/>
    <s v="Terajulios"/>
    <s v="BADECON"/>
    <x v="0"/>
    <s v="C24"/>
    <x v="14"/>
    <n v="89.680336785110001"/>
    <n v="95.629262636448004"/>
    <n v="89.680336785110001"/>
    <n v="285.55"/>
  </r>
  <r>
    <x v="2"/>
    <x v="0"/>
    <n v="2287.7199999999998"/>
    <s v="Terajulios"/>
    <s v="BADECON"/>
    <x v="0"/>
    <s v="C25"/>
    <x v="15"/>
    <n v="101.10423088160999"/>
    <n v="95.629262636448004"/>
    <n v="101.10423088160999"/>
    <n v="2287.7199999999998"/>
  </r>
  <r>
    <x v="2"/>
    <x v="0"/>
    <n v="14.21"/>
    <s v="Terajulios"/>
    <s v="BADECON"/>
    <x v="0"/>
    <s v="C26"/>
    <x v="16"/>
    <n v="101.10423088160999"/>
    <n v="95.629262636448004"/>
    <n v="101.10423088160999"/>
    <n v="14.21"/>
  </r>
  <r>
    <x v="2"/>
    <x v="0"/>
    <n v="220.57"/>
    <s v="Terajulios"/>
    <s v="BADECON"/>
    <x v="0"/>
    <s v="C27"/>
    <x v="17"/>
    <n v="101.10423088160999"/>
    <n v="95.629262636448004"/>
    <n v="101.10423088160999"/>
    <n v="220.57"/>
  </r>
  <r>
    <x v="2"/>
    <x v="0"/>
    <n v="1289.53"/>
    <s v="Terajulios"/>
    <s v="BADECON"/>
    <x v="0"/>
    <s v="C28"/>
    <x v="18"/>
    <n v="101.10423088160999"/>
    <n v="95.629262636448004"/>
    <n v="101.10423088160999"/>
    <n v="1289.53"/>
  </r>
  <r>
    <x v="2"/>
    <x v="0"/>
    <n v="14.88"/>
    <s v="Terajulios"/>
    <s v="BADECON"/>
    <x v="0"/>
    <s v="C29"/>
    <x v="19"/>
    <n v="101.10423088160999"/>
    <n v="95.629262636448004"/>
    <n v="101.10423088160999"/>
    <n v="14.88"/>
  </r>
  <r>
    <x v="2"/>
    <x v="0"/>
    <n v="11.78"/>
    <s v="Terajulios"/>
    <s v="BADECON"/>
    <x v="0"/>
    <s v="C30"/>
    <x v="20"/>
    <n v="101.10423088160999"/>
    <n v="95.629262636448004"/>
    <n v="101.10423088160999"/>
    <n v="11.78"/>
  </r>
  <r>
    <x v="2"/>
    <x v="0"/>
    <n v="96.15"/>
    <s v="Terajulios"/>
    <s v="BADECON"/>
    <x v="0"/>
    <s v="C31"/>
    <x v="21"/>
    <n v="106.15763962638999"/>
    <n v="95.629262636448004"/>
    <n v="106.15763962638999"/>
    <n v="96.15"/>
  </r>
  <r>
    <x v="2"/>
    <x v="0"/>
    <n v="87.53"/>
    <s v="Terajulios"/>
    <s v="BADECON"/>
    <x v="0"/>
    <s v="C32"/>
    <x v="22"/>
    <m/>
    <n v="95.629262636448004"/>
    <n v="95.629262636448004"/>
    <n v="87.53"/>
  </r>
  <r>
    <x v="2"/>
    <x v="0"/>
    <n v="152.44"/>
    <s v="Terajulios"/>
    <s v="BADECON"/>
    <x v="0"/>
    <s v="C33"/>
    <x v="23"/>
    <n v="101.10423088160999"/>
    <n v="95.629262636448004"/>
    <n v="101.10423088160999"/>
    <n v="152.44"/>
  </r>
  <r>
    <x v="3"/>
    <x v="0"/>
    <n v="-135.49"/>
    <s v="Terajulios"/>
    <s v="BADECON"/>
    <x v="0"/>
    <s v="CXX"/>
    <x v="0"/>
    <m/>
    <n v="96.211353938038002"/>
    <n v="96.211353938038002"/>
    <n v="-135.49"/>
  </r>
  <r>
    <x v="3"/>
    <x v="0"/>
    <n v="17532.580000000002"/>
    <s v="Terajulios"/>
    <s v="BADECON"/>
    <x v="0"/>
    <s v="C10"/>
    <x v="1"/>
    <n v="92.136318280468004"/>
    <n v="96.211353938038002"/>
    <n v="92.136318280468004"/>
    <n v="17532.580000000002"/>
  </r>
  <r>
    <x v="3"/>
    <x v="0"/>
    <n v="881.62"/>
    <s v="Terajulios"/>
    <s v="BADECON"/>
    <x v="0"/>
    <s v="C11"/>
    <x v="2"/>
    <n v="100.22588687651999"/>
    <n v="96.211353938038002"/>
    <n v="100.22588687651999"/>
    <n v="881.62"/>
  </r>
  <r>
    <x v="3"/>
    <x v="0"/>
    <n v="180.43"/>
    <s v="Terajulios"/>
    <s v="BADECON"/>
    <x v="0"/>
    <s v="C13"/>
    <x v="3"/>
    <n v="107.52442116425"/>
    <n v="96.211353938038002"/>
    <n v="107.52442116425"/>
    <n v="180.43"/>
  </r>
  <r>
    <x v="3"/>
    <x v="0"/>
    <n v="99.43"/>
    <s v="Terajulios"/>
    <s v="BADECON"/>
    <x v="0"/>
    <s v="C14"/>
    <x v="4"/>
    <n v="107.52442116425"/>
    <n v="96.211353938038002"/>
    <n v="107.52442116425"/>
    <n v="99.43"/>
  </r>
  <r>
    <x v="3"/>
    <x v="0"/>
    <n v="127.9"/>
    <s v="Terajulios"/>
    <s v="BADECON"/>
    <x v="0"/>
    <s v="C15"/>
    <x v="5"/>
    <n v="107.52442116425"/>
    <n v="96.211353938038002"/>
    <n v="107.52442116425"/>
    <n v="127.9"/>
  </r>
  <r>
    <x v="3"/>
    <x v="0"/>
    <n v="12511.49"/>
    <s v="Terajulios"/>
    <s v="BADECON"/>
    <x v="0"/>
    <s v="C16"/>
    <x v="6"/>
    <n v="107.1615082093"/>
    <n v="96.211353938038002"/>
    <n v="107.1615082093"/>
    <n v="12511.49"/>
  </r>
  <r>
    <x v="3"/>
    <x v="0"/>
    <n v="3382.26"/>
    <s v="Terajulios"/>
    <s v="BADECON"/>
    <x v="0"/>
    <s v="C17"/>
    <x v="7"/>
    <n v="72.105553335238"/>
    <n v="96.211353938038002"/>
    <n v="72.105553335238"/>
    <n v="3382.26"/>
  </r>
  <r>
    <x v="3"/>
    <x v="0"/>
    <n v="335.56"/>
    <s v="Terajulios"/>
    <s v="BADECON"/>
    <x v="0"/>
    <s v="C18"/>
    <x v="8"/>
    <n v="72.105553335238"/>
    <n v="96.211353938038002"/>
    <n v="72.105553335238"/>
    <n v="335.56"/>
  </r>
  <r>
    <x v="3"/>
    <x v="0"/>
    <n v="4405.05"/>
    <s v="Terajulios"/>
    <s v="BADECON"/>
    <x v="0"/>
    <s v="C20"/>
    <x v="10"/>
    <n v="109.79561218418"/>
    <n v="96.211353938038002"/>
    <n v="109.79561218418"/>
    <n v="4405.05"/>
  </r>
  <r>
    <x v="3"/>
    <x v="0"/>
    <n v="218.08"/>
    <s v="Terajulios"/>
    <s v="BADECON"/>
    <x v="0"/>
    <s v="C21"/>
    <x v="11"/>
    <n v="109.79561218418"/>
    <n v="96.211353938038002"/>
    <n v="109.79561218418"/>
    <n v="218.08"/>
  </r>
  <r>
    <x v="3"/>
    <x v="0"/>
    <n v="2316.0500000000002"/>
    <s v="Terajulios"/>
    <s v="BADECON"/>
    <x v="0"/>
    <s v="C22"/>
    <x v="12"/>
    <n v="109.79561218418"/>
    <n v="96.211353938038002"/>
    <n v="109.79561218418"/>
    <n v="2316.0500000000002"/>
  </r>
  <r>
    <x v="3"/>
    <x v="0"/>
    <n v="3245.56"/>
    <s v="Terajulios"/>
    <s v="BADECON"/>
    <x v="0"/>
    <s v="C23"/>
    <x v="13"/>
    <n v="93.364041500221006"/>
    <n v="96.211353938038002"/>
    <n v="93.364041500221006"/>
    <n v="3245.56"/>
  </r>
  <r>
    <x v="3"/>
    <x v="0"/>
    <n v="1705.73"/>
    <s v="Terajulios"/>
    <s v="BADECON"/>
    <x v="0"/>
    <s v="C24"/>
    <x v="14"/>
    <n v="93.364041500221006"/>
    <n v="96.211353938038002"/>
    <n v="93.364041500221006"/>
    <n v="1705.73"/>
  </r>
  <r>
    <x v="3"/>
    <x v="0"/>
    <n v="2122.04"/>
    <s v="Terajulios"/>
    <s v="BADECON"/>
    <x v="0"/>
    <s v="C25"/>
    <x v="15"/>
    <n v="95.958177771508005"/>
    <n v="96.211353938038002"/>
    <n v="95.958177771508005"/>
    <n v="2122.04"/>
  </r>
  <r>
    <x v="3"/>
    <x v="0"/>
    <n v="13.11"/>
    <s v="Terajulios"/>
    <s v="BADECON"/>
    <x v="0"/>
    <s v="C26"/>
    <x v="16"/>
    <n v="95.958177771508005"/>
    <n v="96.211353938038002"/>
    <n v="95.958177771508005"/>
    <n v="13.11"/>
  </r>
  <r>
    <x v="3"/>
    <x v="0"/>
    <n v="179.86"/>
    <s v="Terajulios"/>
    <s v="BADECON"/>
    <x v="0"/>
    <s v="C27"/>
    <x v="17"/>
    <n v="95.958177771508005"/>
    <n v="96.211353938038002"/>
    <n v="95.958177771508005"/>
    <n v="179.86"/>
  </r>
  <r>
    <x v="3"/>
    <x v="0"/>
    <n v="1255.96"/>
    <s v="Terajulios"/>
    <s v="BADECON"/>
    <x v="0"/>
    <s v="C28"/>
    <x v="18"/>
    <n v="95.958177771508005"/>
    <n v="96.211353938038002"/>
    <n v="95.958177771508005"/>
    <n v="1255.96"/>
  </r>
  <r>
    <x v="3"/>
    <x v="0"/>
    <n v="17.739999999999998"/>
    <s v="Terajulios"/>
    <s v="BADECON"/>
    <x v="0"/>
    <s v="C29"/>
    <x v="19"/>
    <n v="95.958177771508005"/>
    <n v="96.211353938038002"/>
    <n v="95.958177771508005"/>
    <n v="17.739999999999998"/>
  </r>
  <r>
    <x v="3"/>
    <x v="0"/>
    <n v="1.8"/>
    <s v="Terajulios"/>
    <s v="BADECON"/>
    <x v="0"/>
    <s v="C30"/>
    <x v="20"/>
    <n v="95.958177771508005"/>
    <n v="96.211353938038002"/>
    <n v="95.958177771508005"/>
    <n v="1.8"/>
  </r>
  <r>
    <x v="3"/>
    <x v="0"/>
    <n v="770.99"/>
    <s v="Terajulios"/>
    <s v="BADECON"/>
    <x v="0"/>
    <s v="C31"/>
    <x v="21"/>
    <n v="107.1615082093"/>
    <n v="96.211353938038002"/>
    <n v="107.1615082093"/>
    <n v="770.99"/>
  </r>
  <r>
    <x v="3"/>
    <x v="0"/>
    <n v="16.23"/>
    <s v="Terajulios"/>
    <s v="BADECON"/>
    <x v="0"/>
    <s v="C32"/>
    <x v="22"/>
    <m/>
    <n v="96.211353938038002"/>
    <n v="96.211353938038002"/>
    <n v="16.23"/>
  </r>
  <r>
    <x v="3"/>
    <x v="0"/>
    <n v="500.58"/>
    <s v="Terajulios"/>
    <s v="BADECON"/>
    <x v="0"/>
    <s v="C33"/>
    <x v="23"/>
    <n v="95.958177771508005"/>
    <n v="96.211353938038002"/>
    <n v="95.958177771508005"/>
    <n v="500.58"/>
  </r>
  <r>
    <x v="4"/>
    <x v="0"/>
    <n v="1670"/>
    <s v="Millones de dólares"/>
    <s v="BADECON"/>
    <x v="1"/>
    <s v="C23"/>
    <x v="13"/>
    <n v="104.48191541983"/>
    <n v="103.59652904204"/>
    <n v="104.48191541983"/>
    <n v="1598.3627341531731"/>
  </r>
  <r>
    <x v="4"/>
    <x v="1"/>
    <n v="12326"/>
    <s v="Millones de dólares"/>
    <s v="BADECON"/>
    <x v="1"/>
    <s v="C23"/>
    <x v="13"/>
    <n v="108.2"/>
    <n v="108.6"/>
    <n v="108.2"/>
    <n v="11391.86691312384"/>
  </r>
  <r>
    <x v="4"/>
    <x v="0"/>
    <n v="17287"/>
    <s v="Millones de dólares"/>
    <s v="BADECON"/>
    <x v="1"/>
    <s v="C10"/>
    <x v="1"/>
    <n v="107.43342807145"/>
    <n v="103.59652904204"/>
    <n v="107.43342807145"/>
    <n v="16090.89490144823"/>
  </r>
  <r>
    <x v="4"/>
    <x v="1"/>
    <n v="41828"/>
    <s v="Millones de dólares"/>
    <s v="BADECON"/>
    <x v="1"/>
    <s v="C10"/>
    <x v="1"/>
    <n v="107.1"/>
    <n v="108.6"/>
    <n v="107.1"/>
    <n v="39055.088702147528"/>
  </r>
  <r>
    <x v="4"/>
    <x v="0"/>
    <n v="1316"/>
    <s v="Millones de dólares"/>
    <s v="BADECON"/>
    <x v="1"/>
    <s v="C25"/>
    <x v="15"/>
    <n v="113.44450268036999"/>
    <n v="103.59652904204"/>
    <n v="113.44450268036999"/>
    <n v="1160.038581779349"/>
  </r>
  <r>
    <x v="4"/>
    <x v="1"/>
    <n v="12462"/>
    <s v="Millones de dólares"/>
    <s v="BADECON"/>
    <x v="1"/>
    <s v="C25"/>
    <x v="15"/>
    <n v="109.5"/>
    <n v="108.6"/>
    <n v="109.5"/>
    <n v="11380.82191780822"/>
  </r>
  <r>
    <x v="4"/>
    <x v="0"/>
    <n v="702"/>
    <s v="Millones de dólares"/>
    <s v="BADECON"/>
    <x v="1"/>
    <s v="C33"/>
    <x v="23"/>
    <n v="113.44450268036999"/>
    <n v="103.59652904204"/>
    <n v="113.44450268036999"/>
    <n v="618.80477538685659"/>
  </r>
  <r>
    <x v="4"/>
    <x v="0"/>
    <n v="6636"/>
    <s v="Millones de dólares"/>
    <s v="BADECON"/>
    <x v="1"/>
    <s v="C20"/>
    <x v="10"/>
    <n v="100.20302658438"/>
    <n v="103.59652904204"/>
    <n v="100.20302658438"/>
    <n v="6622.5544538935555"/>
  </r>
  <r>
    <x v="4"/>
    <x v="1"/>
    <n v="24894"/>
    <s v="Millones de dólares"/>
    <s v="BADECON"/>
    <x v="1"/>
    <s v="C20"/>
    <x v="10"/>
    <n v="103.9"/>
    <n v="108.6"/>
    <n v="103.9"/>
    <n v="23959.57651588065"/>
  </r>
  <r>
    <x v="4"/>
    <x v="0"/>
    <n v="1602"/>
    <s v="Millones de dólares"/>
    <s v="BADECON"/>
    <x v="1"/>
    <s v="C22"/>
    <x v="12"/>
    <n v="100.20302658438"/>
    <n v="103.59652904204"/>
    <n v="100.20302658438"/>
    <n v="1598.75410414971"/>
  </r>
  <r>
    <x v="4"/>
    <x v="1"/>
    <n v="10959"/>
    <s v="Millones de dólares"/>
    <s v="BADECON"/>
    <x v="1"/>
    <s v="C22"/>
    <x v="12"/>
    <n v="105.6"/>
    <n v="108.6"/>
    <n v="105.6"/>
    <n v="10377.84090909091"/>
  </r>
  <r>
    <x v="4"/>
    <x v="0"/>
    <n v="1496"/>
    <s v="Millones de dólares"/>
    <s v="BADECON"/>
    <x v="1"/>
    <s v="C24"/>
    <x v="14"/>
    <n v="104.48191541983"/>
    <n v="103.59652904204"/>
    <n v="104.48191541983"/>
    <n v="1431.826736702483"/>
  </r>
  <r>
    <x v="4"/>
    <x v="1"/>
    <n v="20188"/>
    <s v="Millones de dólares"/>
    <s v="BADECON"/>
    <x v="1"/>
    <s v="C24"/>
    <x v="14"/>
    <n v="111.8"/>
    <n v="108.6"/>
    <n v="111.8"/>
    <n v="18057.245080500899"/>
  </r>
  <r>
    <x v="4"/>
    <x v="0"/>
    <n v="550"/>
    <s v="Millones de dólares"/>
    <s v="BADECON"/>
    <x v="1"/>
    <s v="C28"/>
    <x v="18"/>
    <n v="113.44450268036999"/>
    <n v="103.59652904204"/>
    <n v="113.44450268036999"/>
    <n v="484.81855621477371"/>
  </r>
  <r>
    <x v="4"/>
    <x v="1"/>
    <n v="24882"/>
    <s v="Millones de dólares"/>
    <s v="BADECON"/>
    <x v="1"/>
    <s v="C28"/>
    <x v="18"/>
    <n v="110.3"/>
    <n v="108.6"/>
    <n v="110.3"/>
    <n v="22558.476881233"/>
  </r>
  <r>
    <x v="4"/>
    <x v="0"/>
    <n v="2992"/>
    <s v="Millones de dólares"/>
    <s v="BADECON"/>
    <x v="1"/>
    <s v="C11"/>
    <x v="2"/>
    <n v="123.69234493793"/>
    <n v="103.59652904204"/>
    <n v="123.69234493793"/>
    <n v="2418.904744268058"/>
  </r>
  <r>
    <x v="4"/>
    <x v="1"/>
    <n v="12988"/>
    <s v="Millones de dólares"/>
    <s v="BADECON"/>
    <x v="1"/>
    <s v="C11"/>
    <x v="2"/>
    <n v="109.5"/>
    <n v="108.6"/>
    <n v="109.5"/>
    <n v="11861.187214611869"/>
  </r>
  <r>
    <x v="4"/>
    <x v="0"/>
    <n v="305"/>
    <s v="Millones de dólares"/>
    <s v="BADECON"/>
    <x v="1"/>
    <s v="C31"/>
    <x v="21"/>
    <n v="110.87139466242"/>
    <n v="103.59652904204"/>
    <n v="110.87139466242"/>
    <n v="275.09349993175482"/>
  </r>
  <r>
    <x v="4"/>
    <x v="1"/>
    <n v="337"/>
    <s v="Millones de dólares"/>
    <s v="BADECON"/>
    <x v="1"/>
    <s v="C31"/>
    <x v="21"/>
    <n v="108.5"/>
    <n v="108.6"/>
    <n v="108.5"/>
    <n v="310.59907834101381"/>
  </r>
  <r>
    <x v="4"/>
    <x v="0"/>
    <n v="167"/>
    <s v="Millones de dólares"/>
    <s v="BADECON"/>
    <x v="1"/>
    <s v="C13"/>
    <x v="3"/>
    <n v="71.728747032472995"/>
    <n v="103.59652904204"/>
    <n v="71.728747032472995"/>
    <n v="232.82157699533761"/>
  </r>
  <r>
    <x v="4"/>
    <x v="1"/>
    <n v="6910"/>
    <s v="Millones de dólares"/>
    <s v="BADECON"/>
    <x v="1"/>
    <s v="C13"/>
    <x v="3"/>
    <n v="105.5"/>
    <n v="108.6"/>
    <n v="105.5"/>
    <n v="6549.7630331753553"/>
  </r>
  <r>
    <x v="4"/>
    <x v="0"/>
    <n v="72"/>
    <s v="Millones de dólares"/>
    <s v="BADECON"/>
    <x v="1"/>
    <s v="C14"/>
    <x v="4"/>
    <n v="71.728747032472995"/>
    <n v="103.59652904204"/>
    <n v="71.728747032472995"/>
    <n v="100.37816493212161"/>
  </r>
  <r>
    <x v="4"/>
    <x v="1"/>
    <n v="1553"/>
    <s v="Millones de dólares"/>
    <s v="BADECON"/>
    <x v="1"/>
    <s v="C14"/>
    <x v="4"/>
    <n v="110.2"/>
    <n v="108.6"/>
    <n v="110.2"/>
    <n v="1409.2558983666061"/>
  </r>
  <r>
    <x v="4"/>
    <x v="0"/>
    <n v="2987"/>
    <s v="Millones de dólares"/>
    <s v="BADECON"/>
    <x v="1"/>
    <s v="C17"/>
    <x v="7"/>
    <n v="65.215368011810995"/>
    <n v="103.59652904204"/>
    <n v="65.215368011810995"/>
    <n v="4580.2087622338213"/>
  </r>
  <r>
    <x v="4"/>
    <x v="1"/>
    <n v="7962"/>
    <s v="Millones de dólares"/>
    <s v="BADECON"/>
    <x v="1"/>
    <s v="C17"/>
    <x v="7"/>
    <n v="107.4"/>
    <n v="108.6"/>
    <n v="107.4"/>
    <n v="7413.4078212290506"/>
  </r>
  <r>
    <x v="4"/>
    <x v="0"/>
    <n v="2285"/>
    <s v="Millones de dólares"/>
    <s v="BADECON"/>
    <x v="1"/>
    <s v="C16"/>
    <x v="6"/>
    <n v="110.87139466242"/>
    <n v="103.59652904204"/>
    <n v="110.87139466242"/>
    <n v="2060.9463847346219"/>
  </r>
  <r>
    <x v="4"/>
    <x v="1"/>
    <n v="810"/>
    <s v="Millones de dólares"/>
    <s v="BADECON"/>
    <x v="1"/>
    <s v="C16"/>
    <x v="6"/>
    <n v="108.1"/>
    <n v="108.6"/>
    <n v="108.1"/>
    <n v="749.30619796484746"/>
  </r>
  <r>
    <x v="4"/>
    <x v="0"/>
    <n v="188"/>
    <s v="Millones de dólares"/>
    <s v="BADECON"/>
    <x v="1"/>
    <s v="C18"/>
    <x v="8"/>
    <n v="65.215368011810995"/>
    <n v="103.59652904204"/>
    <n v="65.215368011810995"/>
    <n v="288.27561007698642"/>
  </r>
  <r>
    <x v="4"/>
    <x v="1"/>
    <n v="306"/>
    <s v="Millones de dólares"/>
    <s v="BADECON"/>
    <x v="1"/>
    <s v="C18"/>
    <x v="8"/>
    <n v="109.7"/>
    <n v="108.6"/>
    <n v="109.7"/>
    <n v="278.94257064721972"/>
  </r>
  <r>
    <x v="4"/>
    <x v="0"/>
    <n v="495"/>
    <s v="Millones de dólares"/>
    <s v="BADECON"/>
    <x v="1"/>
    <s v="C27"/>
    <x v="17"/>
    <n v="113.44450268036999"/>
    <n v="103.59652904204"/>
    <n v="113.44450268036999"/>
    <n v="436.33670059329631"/>
  </r>
  <r>
    <x v="4"/>
    <x v="1"/>
    <n v="17999"/>
    <s v="Millones de dólares"/>
    <s v="BADECON"/>
    <x v="1"/>
    <s v="C27"/>
    <x v="17"/>
    <n v="107.4"/>
    <n v="108.6"/>
    <n v="107.4"/>
    <n v="16758.84543761639"/>
  </r>
  <r>
    <x v="4"/>
    <x v="0"/>
    <n v="56"/>
    <s v="Millones de dólares"/>
    <s v="BADECON"/>
    <x v="1"/>
    <s v="C30"/>
    <x v="20"/>
    <n v="113.44450268036999"/>
    <n v="103.59652904204"/>
    <n v="113.44450268036999"/>
    <n v="49.363343905504223"/>
  </r>
  <r>
    <x v="4"/>
    <x v="1"/>
    <n v="821"/>
    <s v="Millones de dólares"/>
    <s v="BADECON"/>
    <x v="1"/>
    <s v="C30"/>
    <x v="20"/>
    <n v="111.5"/>
    <n v="108.6"/>
    <n v="111.5"/>
    <n v="736.32286995515699"/>
  </r>
  <r>
    <x v="4"/>
    <x v="0"/>
    <n v="45"/>
    <s v="Millones de dólares"/>
    <s v="BADECON"/>
    <x v="1"/>
    <s v="C15"/>
    <x v="5"/>
    <n v="71.728747032472995"/>
    <n v="103.59652904204"/>
    <n v="71.728747032472995"/>
    <n v="62.736353082575981"/>
  </r>
  <r>
    <x v="4"/>
    <x v="1"/>
    <n v="1235"/>
    <s v="Millones de dólares"/>
    <s v="BADECON"/>
    <x v="1"/>
    <s v="C15"/>
    <x v="5"/>
    <n v="105.1"/>
    <n v="108.6"/>
    <n v="105.1"/>
    <n v="1175.0713606089439"/>
  </r>
  <r>
    <x v="4"/>
    <x v="0"/>
    <n v="648"/>
    <s v="Millones de dólares"/>
    <s v="BADECON"/>
    <x v="1"/>
    <s v="C21"/>
    <x v="11"/>
    <n v="100.20302658438"/>
    <n v="103.59652904204"/>
    <n v="100.20302658438"/>
    <n v="646.68705336392759"/>
  </r>
  <r>
    <x v="4"/>
    <x v="1"/>
    <n v="880"/>
    <s v="Millones de dólares"/>
    <s v="BADECON"/>
    <x v="1"/>
    <s v="C21"/>
    <x v="11"/>
    <n v="103.9"/>
    <n v="108.6"/>
    <n v="103.9"/>
    <n v="846.96823869104901"/>
  </r>
  <r>
    <x v="4"/>
    <x v="0"/>
    <n v="49"/>
    <s v="Millones de dólares"/>
    <s v="BADECON"/>
    <x v="1"/>
    <s v="C32"/>
    <x v="22"/>
    <m/>
    <n v="103.59652904204"/>
    <n v="103.59652904204"/>
    <n v="47.298881973271087"/>
  </r>
  <r>
    <x v="4"/>
    <x v="1"/>
    <n v="347"/>
    <s v="Millones de dólares"/>
    <s v="BADECON"/>
    <x v="1"/>
    <s v="C32"/>
    <x v="22"/>
    <n v="112.5"/>
    <n v="108.6"/>
    <n v="112.5"/>
    <n v="308.44444444444451"/>
  </r>
  <r>
    <x v="4"/>
    <x v="0"/>
    <n v="14"/>
    <s v="Millones de dólares"/>
    <s v="BADECON"/>
    <x v="1"/>
    <s v="C26"/>
    <x v="16"/>
    <n v="113.44450268036999"/>
    <n v="103.59652904204"/>
    <n v="113.44450268036999"/>
    <n v="12.340835976376059"/>
  </r>
  <r>
    <x v="4"/>
    <x v="1"/>
    <n v="3990"/>
    <s v="Millones de dólares"/>
    <s v="BADECON"/>
    <x v="1"/>
    <s v="C26"/>
    <x v="16"/>
    <n v="109.4"/>
    <n v="108.6"/>
    <n v="109.4"/>
    <n v="3647.1663619744058"/>
  </r>
  <r>
    <x v="4"/>
    <x v="0"/>
    <n v="45"/>
    <s v="Millones de dólares"/>
    <s v="BADECON"/>
    <x v="1"/>
    <s v="C29"/>
    <x v="19"/>
    <n v="113.44450268036999"/>
    <n v="103.59652904204"/>
    <n v="113.44450268036999"/>
    <n v="39.666972781208763"/>
  </r>
  <r>
    <x v="4"/>
    <x v="1"/>
    <n v="55388"/>
    <s v="Millones de dólares"/>
    <s v="BADECON"/>
    <x v="1"/>
    <s v="C29"/>
    <x v="19"/>
    <n v="111.5"/>
    <n v="108.6"/>
    <n v="111.5"/>
    <n v="49675.336322869953"/>
  </r>
  <r>
    <x v="4"/>
    <x v="1"/>
    <n v="11306"/>
    <s v="Millones de dólares"/>
    <s v="BADECON"/>
    <x v="1"/>
    <s v="C19"/>
    <x v="9"/>
    <n v="100.6"/>
    <n v="108.6"/>
    <n v="100.6"/>
    <n v="11238.568588469179"/>
  </r>
  <r>
    <x v="4"/>
    <x v="1"/>
    <n v="319"/>
    <s v="Millones de dólares"/>
    <s v="BADECON"/>
    <x v="1"/>
    <s v="C12"/>
    <x v="24"/>
    <n v="109.5"/>
    <n v="108.6"/>
    <n v="109.5"/>
    <n v="291.32420091324201"/>
  </r>
  <r>
    <x v="4"/>
    <x v="0"/>
    <n v="2208"/>
    <s v="Millones de dólares"/>
    <s v="BADECON"/>
    <x v="1"/>
    <s v="CXX"/>
    <x v="0"/>
    <m/>
    <n v="103.59652904204"/>
    <n v="103.59652904204"/>
    <n v="2131.3455387139302"/>
  </r>
  <r>
    <x v="5"/>
    <x v="0"/>
    <n v="16556"/>
    <s v="Millones de dólares"/>
    <s v="BADECON"/>
    <x v="1"/>
    <s v="C10"/>
    <x v="1"/>
    <n v="101.52099705321"/>
    <n v="98.151526954033002"/>
    <n v="101.52099705321"/>
    <n v="16307.95646276261"/>
  </r>
  <r>
    <x v="5"/>
    <x v="1"/>
    <n v="44150"/>
    <s v="Millones de dólares"/>
    <s v="BADECON"/>
    <x v="1"/>
    <s v="C10"/>
    <x v="1"/>
    <n v="102.3"/>
    <n v="102.4"/>
    <n v="102.3"/>
    <n v="43157.38025415445"/>
  </r>
  <r>
    <x v="5"/>
    <x v="0"/>
    <n v="151"/>
    <s v="Millones de dólares"/>
    <s v="BADECON"/>
    <x v="1"/>
    <s v="C14"/>
    <x v="4"/>
    <n v="84.562992854463005"/>
    <n v="98.151526954033002"/>
    <n v="84.562992854463005"/>
    <n v="178.56510856927491"/>
  </r>
  <r>
    <x v="5"/>
    <x v="1"/>
    <n v="2513"/>
    <s v="Millones de dólares"/>
    <s v="BADECON"/>
    <x v="1"/>
    <s v="C14"/>
    <x v="4"/>
    <n v="105.3"/>
    <n v="102.4"/>
    <n v="105.3"/>
    <n v="2386.5147198480531"/>
  </r>
  <r>
    <x v="5"/>
    <x v="0"/>
    <n v="1880"/>
    <s v="Millones de dólares"/>
    <s v="BADECON"/>
    <x v="1"/>
    <s v="C22"/>
    <x v="12"/>
    <n v="94.527911873682996"/>
    <n v="98.151526954033002"/>
    <n v="94.527911873682996"/>
    <n v="1988.8305609799479"/>
  </r>
  <r>
    <x v="5"/>
    <x v="1"/>
    <n v="13161"/>
    <s v="Millones de dólares"/>
    <s v="BADECON"/>
    <x v="1"/>
    <s v="C22"/>
    <x v="12"/>
    <n v="103.4"/>
    <n v="102.4"/>
    <n v="103.4"/>
    <n v="12728.23984526112"/>
  </r>
  <r>
    <x v="5"/>
    <x v="0"/>
    <n v="1813"/>
    <s v="Millones de dólares"/>
    <s v="BADECON"/>
    <x v="1"/>
    <s v="C23"/>
    <x v="13"/>
    <n v="96.894683830418003"/>
    <n v="98.151526954033002"/>
    <n v="96.894683830418003"/>
    <n v="1871.103685288921"/>
  </r>
  <r>
    <x v="5"/>
    <x v="1"/>
    <n v="14967"/>
    <s v="Millones de dólares"/>
    <s v="BADECON"/>
    <x v="1"/>
    <s v="C23"/>
    <x v="13"/>
    <n v="104.4"/>
    <n v="102.4"/>
    <n v="104.4"/>
    <n v="14336.206896551719"/>
  </r>
  <r>
    <x v="5"/>
    <x v="0"/>
    <n v="1722"/>
    <s v="Millones de dólares"/>
    <s v="BADECON"/>
    <x v="1"/>
    <s v="C25"/>
    <x v="15"/>
    <n v="106.59709315790001"/>
    <n v="98.151526954033002"/>
    <n v="106.59709315790001"/>
    <n v="1615.428666004276"/>
  </r>
  <r>
    <x v="5"/>
    <x v="1"/>
    <n v="14340"/>
    <s v="Millones de dólares"/>
    <s v="BADECON"/>
    <x v="1"/>
    <s v="C25"/>
    <x v="15"/>
    <n v="104.2"/>
    <n v="102.4"/>
    <n v="104.2"/>
    <n v="13761.99616122841"/>
  </r>
  <r>
    <x v="5"/>
    <x v="0"/>
    <n v="705"/>
    <s v="Millones de dólares"/>
    <s v="BADECON"/>
    <x v="1"/>
    <s v="C33"/>
    <x v="23"/>
    <n v="106.59709315790001"/>
    <n v="98.151526954033002"/>
    <n v="106.59709315790001"/>
    <n v="661.36887893903304"/>
  </r>
  <r>
    <x v="5"/>
    <x v="0"/>
    <n v="8522"/>
    <s v="Millones de dólares"/>
    <s v="BADECON"/>
    <x v="1"/>
    <s v="C20"/>
    <x v="10"/>
    <n v="94.527911873682996"/>
    <n v="98.151526954033002"/>
    <n v="94.527911873682996"/>
    <n v="9015.3266173782504"/>
  </r>
  <r>
    <x v="5"/>
    <x v="1"/>
    <n v="29743"/>
    <s v="Millones de dólares"/>
    <s v="BADECON"/>
    <x v="1"/>
    <s v="C20"/>
    <x v="10"/>
    <n v="101.6"/>
    <n v="102.4"/>
    <n v="101.6"/>
    <n v="29274.606299212599"/>
  </r>
  <r>
    <x v="5"/>
    <x v="0"/>
    <n v="1407"/>
    <s v="Millones de dólares"/>
    <s v="BADECON"/>
    <x v="1"/>
    <s v="C24"/>
    <x v="14"/>
    <n v="96.894683830418003"/>
    <n v="98.151526954033002"/>
    <n v="96.894683830418003"/>
    <n v="1452.092049201055"/>
  </r>
  <r>
    <x v="5"/>
    <x v="1"/>
    <n v="22505"/>
    <s v="Millones de dólares"/>
    <s v="BADECON"/>
    <x v="1"/>
    <s v="C24"/>
    <x v="14"/>
    <n v="99"/>
    <n v="102.4"/>
    <n v="99"/>
    <n v="22732.32323232323"/>
  </r>
  <r>
    <x v="5"/>
    <x v="0"/>
    <n v="655"/>
    <s v="Millones de dólares"/>
    <s v="BADECON"/>
    <x v="1"/>
    <s v="C28"/>
    <x v="18"/>
    <n v="106.59709315790001"/>
    <n v="98.151526954033002"/>
    <n v="106.59709315790001"/>
    <n v="614.46328468803779"/>
  </r>
  <r>
    <x v="5"/>
    <x v="1"/>
    <n v="28999"/>
    <s v="Millones de dólares"/>
    <s v="BADECON"/>
    <x v="1"/>
    <s v="C28"/>
    <x v="18"/>
    <n v="102.7"/>
    <n v="102.4"/>
    <n v="102.7"/>
    <n v="28236.611489776049"/>
  </r>
  <r>
    <x v="5"/>
    <x v="0"/>
    <n v="3135"/>
    <s v="Millones de dólares"/>
    <s v="BADECON"/>
    <x v="1"/>
    <s v="C11"/>
    <x v="2"/>
    <n v="111.60809989866"/>
    <n v="98.151526954033002"/>
    <n v="111.60809989866"/>
    <n v="2808.9359131161409"/>
  </r>
  <r>
    <x v="5"/>
    <x v="1"/>
    <n v="14580"/>
    <s v="Millones de dólares"/>
    <s v="BADECON"/>
    <x v="1"/>
    <s v="C11"/>
    <x v="2"/>
    <n v="104.9"/>
    <n v="102.4"/>
    <n v="104.9"/>
    <n v="13898.95138226883"/>
  </r>
  <r>
    <x v="5"/>
    <x v="0"/>
    <n v="355"/>
    <s v="Millones de dólares"/>
    <s v="BADECON"/>
    <x v="1"/>
    <s v="C31"/>
    <x v="21"/>
    <n v="97.634045562563003"/>
    <n v="98.151526954033002"/>
    <n v="97.634045562563003"/>
    <n v="363.60267359045292"/>
  </r>
  <r>
    <x v="5"/>
    <x v="1"/>
    <n v="427"/>
    <s v="Millones de dólares"/>
    <s v="BADECON"/>
    <x v="1"/>
    <s v="C31"/>
    <x v="21"/>
    <n v="104.2"/>
    <n v="102.4"/>
    <n v="104.2"/>
    <n v="409.78886756238012"/>
  </r>
  <r>
    <x v="5"/>
    <x v="0"/>
    <n v="2297"/>
    <s v="Millones de dólares"/>
    <s v="BADECON"/>
    <x v="1"/>
    <s v="C16"/>
    <x v="6"/>
    <n v="97.634045562563003"/>
    <n v="98.151526954033002"/>
    <n v="97.634045562563003"/>
    <n v="2352.6629330627329"/>
  </r>
  <r>
    <x v="5"/>
    <x v="1"/>
    <n v="959"/>
    <s v="Millones de dólares"/>
    <s v="BADECON"/>
    <x v="1"/>
    <s v="C16"/>
    <x v="6"/>
    <n v="105.5"/>
    <n v="102.4"/>
    <n v="105.5"/>
    <n v="909.00473933649289"/>
  </r>
  <r>
    <x v="5"/>
    <x v="0"/>
    <n v="3394"/>
    <s v="Millones de dólares"/>
    <s v="BADECON"/>
    <x v="1"/>
    <s v="C17"/>
    <x v="7"/>
    <n v="72.666250473058"/>
    <n v="98.151526954033002"/>
    <n v="72.666250473058"/>
    <n v="4670.6689527876097"/>
  </r>
  <r>
    <x v="5"/>
    <x v="1"/>
    <n v="9172"/>
    <s v="Millones de dólares"/>
    <s v="BADECON"/>
    <x v="1"/>
    <s v="C17"/>
    <x v="7"/>
    <n v="104.5"/>
    <n v="102.4"/>
    <n v="104.5"/>
    <n v="8777.0334928229659"/>
  </r>
  <r>
    <x v="5"/>
    <x v="0"/>
    <n v="98"/>
    <s v="Millones de dólares"/>
    <s v="BADECON"/>
    <x v="1"/>
    <s v="C15"/>
    <x v="5"/>
    <n v="84.562992854463005"/>
    <n v="98.151526954033002"/>
    <n v="84.562992854463005"/>
    <n v="115.88993801184731"/>
  </r>
  <r>
    <x v="5"/>
    <x v="1"/>
    <n v="1803"/>
    <s v="Millones de dólares"/>
    <s v="BADECON"/>
    <x v="1"/>
    <s v="C15"/>
    <x v="5"/>
    <n v="102.3"/>
    <n v="102.4"/>
    <n v="102.3"/>
    <n v="1762.463343108504"/>
  </r>
  <r>
    <x v="5"/>
    <x v="0"/>
    <n v="300"/>
    <s v="Millones de dólares"/>
    <s v="BADECON"/>
    <x v="1"/>
    <s v="C18"/>
    <x v="8"/>
    <n v="72.666250473058"/>
    <n v="98.151526954033002"/>
    <n v="72.666250473058"/>
    <n v="412.84640124816832"/>
  </r>
  <r>
    <x v="5"/>
    <x v="1"/>
    <n v="502"/>
    <s v="Millones de dólares"/>
    <s v="BADECON"/>
    <x v="1"/>
    <s v="C18"/>
    <x v="8"/>
    <n v="106"/>
    <n v="102.4"/>
    <n v="106"/>
    <n v="473.58490566037727"/>
  </r>
  <r>
    <x v="5"/>
    <x v="0"/>
    <n v="484"/>
    <s v="Millones de dólares"/>
    <s v="BADECON"/>
    <x v="1"/>
    <s v="C27"/>
    <x v="17"/>
    <n v="106.59709315790001"/>
    <n v="98.151526954033002"/>
    <n v="106.59709315790001"/>
    <n v="454.0461523496341"/>
  </r>
  <r>
    <x v="5"/>
    <x v="1"/>
    <n v="20357"/>
    <s v="Millones de dólares"/>
    <s v="BADECON"/>
    <x v="1"/>
    <s v="C27"/>
    <x v="17"/>
    <n v="102.3"/>
    <n v="102.4"/>
    <n v="102.3"/>
    <n v="19899.31573802542"/>
  </r>
  <r>
    <x v="5"/>
    <x v="0"/>
    <n v="686"/>
    <s v="Millones de dólares"/>
    <s v="BADECON"/>
    <x v="1"/>
    <s v="C21"/>
    <x v="11"/>
    <n v="94.527911873682996"/>
    <n v="98.151526954033002"/>
    <n v="94.527911873682996"/>
    <n v="725.71157703842766"/>
  </r>
  <r>
    <x v="5"/>
    <x v="1"/>
    <n v="907"/>
    <s v="Millones de dólares"/>
    <s v="BADECON"/>
    <x v="1"/>
    <s v="C21"/>
    <x v="11"/>
    <n v="101.6"/>
    <n v="102.4"/>
    <n v="101.6"/>
    <n v="892.71653543307093"/>
  </r>
  <r>
    <x v="5"/>
    <x v="0"/>
    <n v="50"/>
    <s v="Millones de dólares"/>
    <s v="BADECON"/>
    <x v="1"/>
    <s v="C26"/>
    <x v="16"/>
    <n v="106.59709315790001"/>
    <n v="98.151526954033002"/>
    <n v="106.59709315790001"/>
    <n v="46.90559425099525"/>
  </r>
  <r>
    <x v="5"/>
    <x v="1"/>
    <n v="4634"/>
    <s v="Millones de dólares"/>
    <s v="BADECON"/>
    <x v="1"/>
    <s v="C26"/>
    <x v="16"/>
    <n v="103.9"/>
    <n v="102.4"/>
    <n v="103.9"/>
    <n v="4460.0577478344558"/>
  </r>
  <r>
    <x v="5"/>
    <x v="0"/>
    <n v="64"/>
    <s v="Millones de dólares"/>
    <s v="BADECON"/>
    <x v="1"/>
    <s v="C29"/>
    <x v="19"/>
    <n v="106.59709315790001"/>
    <n v="98.151526954033002"/>
    <n v="106.59709315790001"/>
    <n v="60.039160641273916"/>
  </r>
  <r>
    <x v="5"/>
    <x v="1"/>
    <n v="67084"/>
    <s v="Millones de dólares"/>
    <s v="BADECON"/>
    <x v="1"/>
    <s v="C29"/>
    <x v="19"/>
    <n v="102.2"/>
    <n v="102.4"/>
    <n v="102.2"/>
    <n v="65639.921722113504"/>
  </r>
  <r>
    <x v="5"/>
    <x v="0"/>
    <n v="41"/>
    <s v="Millones de dólares"/>
    <s v="BADECON"/>
    <x v="1"/>
    <s v="C30"/>
    <x v="20"/>
    <n v="106.59709315790001"/>
    <n v="98.151526954033002"/>
    <n v="106.59709315790001"/>
    <n v="38.462587285816113"/>
  </r>
  <r>
    <x v="5"/>
    <x v="1"/>
    <n v="1091"/>
    <s v="Millones de dólares"/>
    <s v="BADECON"/>
    <x v="1"/>
    <s v="C30"/>
    <x v="20"/>
    <n v="102.2"/>
    <n v="102.4"/>
    <n v="102.2"/>
    <n v="1067.514677103718"/>
  </r>
  <r>
    <x v="5"/>
    <x v="0"/>
    <n v="48"/>
    <s v="Millones de dólares"/>
    <s v="BADECON"/>
    <x v="1"/>
    <s v="C32"/>
    <x v="22"/>
    <m/>
    <n v="98.151526954033002"/>
    <n v="98.151526954033002"/>
    <n v="48.903976830110537"/>
  </r>
  <r>
    <x v="5"/>
    <x v="1"/>
    <n v="380"/>
    <s v="Millones de dólares"/>
    <s v="BADECON"/>
    <x v="1"/>
    <s v="C32"/>
    <x v="22"/>
    <n v="105.5"/>
    <n v="102.4"/>
    <n v="105.5"/>
    <n v="360.18957345971558"/>
  </r>
  <r>
    <x v="5"/>
    <x v="0"/>
    <n v="189"/>
    <s v="Millones de dólares"/>
    <s v="BADECON"/>
    <x v="1"/>
    <s v="C13"/>
    <x v="3"/>
    <n v="84.562992854463005"/>
    <n v="98.151526954033002"/>
    <n v="84.562992854463005"/>
    <n v="223.50202330856251"/>
  </r>
  <r>
    <x v="5"/>
    <x v="1"/>
    <n v="8904"/>
    <s v="Millones de dólares"/>
    <s v="BADECON"/>
    <x v="1"/>
    <s v="C13"/>
    <x v="3"/>
    <n v="102.4"/>
    <n v="102.4"/>
    <n v="102.4"/>
    <n v="8695.3125"/>
  </r>
  <r>
    <x v="5"/>
    <x v="1"/>
    <n v="15817"/>
    <s v="Millones de dólares"/>
    <s v="BADECON"/>
    <x v="1"/>
    <s v="C19"/>
    <x v="9"/>
    <n v="92.1"/>
    <n v="102.4"/>
    <n v="92.1"/>
    <n v="17173.724212812162"/>
  </r>
  <r>
    <x v="5"/>
    <x v="1"/>
    <n v="492"/>
    <s v="Millones de dólares"/>
    <s v="BADECON"/>
    <x v="1"/>
    <s v="C12"/>
    <x v="24"/>
    <n v="104.9"/>
    <n v="102.4"/>
    <n v="104.9"/>
    <n v="469.01811248808389"/>
  </r>
  <r>
    <x v="5"/>
    <x v="0"/>
    <n v="2930"/>
    <s v="Millones de dólares"/>
    <s v="BADECON"/>
    <x v="1"/>
    <s v="CXX"/>
    <x v="0"/>
    <m/>
    <n v="98.151526954033002"/>
    <n v="98.151526954033002"/>
    <n v="2985.180252337997"/>
  </r>
  <r>
    <x v="0"/>
    <x v="0"/>
    <n v="16899"/>
    <s v="Millones de dólares"/>
    <s v="BADECON"/>
    <x v="1"/>
    <s v="C10"/>
    <x v="1"/>
    <n v="99.999999999999005"/>
    <n v="99.999999999999005"/>
    <n v="99.999999999999005"/>
    <n v="16899.000000000171"/>
  </r>
  <r>
    <x v="0"/>
    <x v="1"/>
    <n v="42764"/>
    <s v="Millones de dólares"/>
    <s v="BADECON"/>
    <x v="1"/>
    <s v="C10"/>
    <x v="1"/>
    <n v="100"/>
    <n v="100"/>
    <n v="100"/>
    <n v="42764"/>
  </r>
  <r>
    <x v="0"/>
    <x v="0"/>
    <n v="383"/>
    <s v="Millones de dólares"/>
    <s v="BADECON"/>
    <x v="1"/>
    <s v="C31"/>
    <x v="21"/>
    <n v="100"/>
    <n v="99.999999999999005"/>
    <n v="100"/>
    <n v="383"/>
  </r>
  <r>
    <x v="0"/>
    <x v="1"/>
    <n v="438"/>
    <s v="Millones de dólares"/>
    <s v="BADECON"/>
    <x v="1"/>
    <s v="C31"/>
    <x v="21"/>
    <n v="100"/>
    <n v="100"/>
    <n v="100"/>
    <n v="438"/>
  </r>
  <r>
    <x v="0"/>
    <x v="0"/>
    <n v="2060"/>
    <s v="Millones de dólares"/>
    <s v="BADECON"/>
    <x v="1"/>
    <s v="C23"/>
    <x v="13"/>
    <n v="99.999999999999005"/>
    <n v="99.999999999999005"/>
    <n v="99.999999999999005"/>
    <n v="2060.00000000002"/>
  </r>
  <r>
    <x v="0"/>
    <x v="1"/>
    <n v="15074"/>
    <s v="Millones de dólares"/>
    <s v="BADECON"/>
    <x v="1"/>
    <s v="C23"/>
    <x v="13"/>
    <n v="100"/>
    <n v="100"/>
    <n v="100"/>
    <n v="15074"/>
  </r>
  <r>
    <x v="0"/>
    <x v="0"/>
    <n v="1998"/>
    <s v="Millones de dólares"/>
    <s v="BADECON"/>
    <x v="1"/>
    <s v="C22"/>
    <x v="12"/>
    <n v="99.999999999999005"/>
    <n v="99.999999999999005"/>
    <n v="99.999999999999005"/>
    <n v="1998.00000000002"/>
  </r>
  <r>
    <x v="0"/>
    <x v="1"/>
    <n v="12694"/>
    <s v="Millones de dólares"/>
    <s v="BADECON"/>
    <x v="1"/>
    <s v="C22"/>
    <x v="12"/>
    <n v="100"/>
    <n v="100"/>
    <n v="100"/>
    <n v="12694"/>
  </r>
  <r>
    <x v="0"/>
    <x v="0"/>
    <n v="1660"/>
    <s v="Millones de dólares"/>
    <s v="BADECON"/>
    <x v="1"/>
    <s v="C25"/>
    <x v="15"/>
    <n v="100"/>
    <n v="99.999999999999005"/>
    <n v="100"/>
    <n v="1660"/>
  </r>
  <r>
    <x v="0"/>
    <x v="1"/>
    <n v="14319"/>
    <s v="Millones de dólares"/>
    <s v="BADECON"/>
    <x v="1"/>
    <s v="C25"/>
    <x v="15"/>
    <n v="100"/>
    <n v="100"/>
    <n v="100"/>
    <n v="14319"/>
  </r>
  <r>
    <x v="0"/>
    <x v="0"/>
    <n v="168"/>
    <s v="Millones de dólares"/>
    <s v="BADECON"/>
    <x v="1"/>
    <s v="C14"/>
    <x v="4"/>
    <n v="99.999999999999005"/>
    <n v="99.999999999999005"/>
    <n v="99.999999999999005"/>
    <n v="168.00000000000171"/>
  </r>
  <r>
    <x v="0"/>
    <x v="1"/>
    <n v="2516"/>
    <s v="Millones de dólares"/>
    <s v="BADECON"/>
    <x v="1"/>
    <s v="C14"/>
    <x v="4"/>
    <n v="100"/>
    <n v="100"/>
    <n v="100"/>
    <n v="2516"/>
  </r>
  <r>
    <x v="0"/>
    <x v="0"/>
    <n v="453"/>
    <s v="Millones de dólares"/>
    <s v="BADECON"/>
    <x v="1"/>
    <s v="C18"/>
    <x v="8"/>
    <n v="99.999999999999005"/>
    <n v="99.999999999999005"/>
    <n v="99.999999999999005"/>
    <n v="453.00000000000449"/>
  </r>
  <r>
    <x v="0"/>
    <x v="1"/>
    <n v="575"/>
    <s v="Millones de dólares"/>
    <s v="BADECON"/>
    <x v="1"/>
    <s v="C18"/>
    <x v="8"/>
    <n v="100"/>
    <n v="100"/>
    <n v="100"/>
    <n v="575"/>
  </r>
  <r>
    <x v="0"/>
    <x v="0"/>
    <n v="4471"/>
    <s v="Millones de dólares"/>
    <s v="BADECON"/>
    <x v="1"/>
    <s v="C17"/>
    <x v="7"/>
    <n v="99.999999999999005"/>
    <n v="99.999999999999005"/>
    <n v="99.999999999999005"/>
    <n v="4471.0000000000446"/>
  </r>
  <r>
    <x v="0"/>
    <x v="1"/>
    <n v="8939"/>
    <s v="Millones de dólares"/>
    <s v="BADECON"/>
    <x v="1"/>
    <s v="C17"/>
    <x v="7"/>
    <n v="100"/>
    <n v="100"/>
    <n v="100"/>
    <n v="8939"/>
  </r>
  <r>
    <x v="0"/>
    <x v="0"/>
    <n v="706"/>
    <s v="Millones de dólares"/>
    <s v="BADECON"/>
    <x v="1"/>
    <s v="C33"/>
    <x v="23"/>
    <n v="100"/>
    <n v="99.999999999999005"/>
    <n v="100"/>
    <n v="706"/>
  </r>
  <r>
    <x v="0"/>
    <x v="0"/>
    <n v="243"/>
    <s v="Millones de dólares"/>
    <s v="BADECON"/>
    <x v="1"/>
    <s v="C13"/>
    <x v="3"/>
    <n v="99.999999999999005"/>
    <n v="99.999999999999005"/>
    <n v="99.999999999999005"/>
    <n v="243.00000000000239"/>
  </r>
  <r>
    <x v="0"/>
    <x v="1"/>
    <n v="8763"/>
    <s v="Millones de dólares"/>
    <s v="BADECON"/>
    <x v="1"/>
    <s v="C13"/>
    <x v="3"/>
    <n v="100"/>
    <n v="100"/>
    <n v="100"/>
    <n v="8763"/>
  </r>
  <r>
    <x v="0"/>
    <x v="0"/>
    <n v="1364"/>
    <s v="Millones de dólares"/>
    <s v="BADECON"/>
    <x v="1"/>
    <s v="C24"/>
    <x v="14"/>
    <n v="99.999999999999005"/>
    <n v="99.999999999999005"/>
    <n v="99.999999999999005"/>
    <n v="1364.0000000000141"/>
  </r>
  <r>
    <x v="0"/>
    <x v="1"/>
    <n v="23764"/>
    <s v="Millones de dólares"/>
    <s v="BADECON"/>
    <x v="1"/>
    <s v="C24"/>
    <x v="14"/>
    <n v="100"/>
    <n v="100"/>
    <n v="100"/>
    <n v="23764"/>
  </r>
  <r>
    <x v="0"/>
    <x v="0"/>
    <n v="1640"/>
    <s v="Millones de dólares"/>
    <s v="BADECON"/>
    <x v="1"/>
    <s v="C28"/>
    <x v="18"/>
    <n v="100"/>
    <n v="99.999999999999005"/>
    <n v="100"/>
    <n v="1640"/>
  </r>
  <r>
    <x v="0"/>
    <x v="1"/>
    <n v="28034"/>
    <s v="Millones de dólares"/>
    <s v="BADECON"/>
    <x v="1"/>
    <s v="C28"/>
    <x v="18"/>
    <n v="100"/>
    <n v="100"/>
    <n v="100"/>
    <n v="28034"/>
  </r>
  <r>
    <x v="0"/>
    <x v="0"/>
    <n v="8849"/>
    <s v="Millones de dólares"/>
    <s v="BADECON"/>
    <x v="1"/>
    <s v="C20"/>
    <x v="10"/>
    <n v="99.999999999999005"/>
    <n v="99.999999999999005"/>
    <n v="99.999999999999005"/>
    <n v="8849.0000000000873"/>
  </r>
  <r>
    <x v="0"/>
    <x v="1"/>
    <n v="31824"/>
    <s v="Millones de dólares"/>
    <s v="BADECON"/>
    <x v="1"/>
    <s v="C20"/>
    <x v="10"/>
    <n v="100"/>
    <n v="100"/>
    <n v="100"/>
    <n v="31824"/>
  </r>
  <r>
    <x v="0"/>
    <x v="0"/>
    <n v="422"/>
    <s v="Millones de dólares"/>
    <s v="BADECON"/>
    <x v="1"/>
    <s v="C27"/>
    <x v="17"/>
    <n v="100"/>
    <n v="99.999999999999005"/>
    <n v="100"/>
    <n v="422"/>
  </r>
  <r>
    <x v="0"/>
    <x v="1"/>
    <n v="19988"/>
    <s v="Millones de dólares"/>
    <s v="BADECON"/>
    <x v="1"/>
    <s v="C27"/>
    <x v="17"/>
    <n v="100"/>
    <n v="100"/>
    <n v="100"/>
    <n v="19988"/>
  </r>
  <r>
    <x v="0"/>
    <x v="0"/>
    <n v="2146"/>
    <s v="Millones de dólares"/>
    <s v="BADECON"/>
    <x v="1"/>
    <s v="C16"/>
    <x v="6"/>
    <n v="100"/>
    <n v="99.999999999999005"/>
    <n v="100"/>
    <n v="2146"/>
  </r>
  <r>
    <x v="0"/>
    <x v="1"/>
    <n v="976"/>
    <s v="Millones de dólares"/>
    <s v="BADECON"/>
    <x v="1"/>
    <s v="C16"/>
    <x v="6"/>
    <n v="100"/>
    <n v="100"/>
    <n v="100"/>
    <n v="976"/>
  </r>
  <r>
    <x v="1"/>
    <x v="1"/>
    <n v="8348"/>
    <s v="Millones de dólares"/>
    <s v="BADECON"/>
    <x v="1"/>
    <s v="C17"/>
    <x v="7"/>
    <n v="93.7"/>
    <n v="94.3"/>
    <n v="93.7"/>
    <n v="8909.2849519743868"/>
  </r>
  <r>
    <x v="1"/>
    <x v="0"/>
    <n v="569"/>
    <s v="Millones de dólares"/>
    <s v="BADECON"/>
    <x v="1"/>
    <s v="C27"/>
    <x v="17"/>
    <n v="98.189528995325006"/>
    <n v="95.003435419368998"/>
    <n v="98.189528995325006"/>
    <n v="579.49152605375184"/>
  </r>
  <r>
    <x v="1"/>
    <x v="1"/>
    <n v="19049"/>
    <s v="Millones de dólares"/>
    <s v="BADECON"/>
    <x v="1"/>
    <s v="C27"/>
    <x v="17"/>
    <n v="94.3"/>
    <n v="94.3"/>
    <n v="94.3"/>
    <n v="20200.42417815483"/>
  </r>
  <r>
    <x v="1"/>
    <x v="0"/>
    <n v="2505"/>
    <s v="Millones de dólares"/>
    <s v="BADECON"/>
    <x v="1"/>
    <s v="C16"/>
    <x v="6"/>
    <n v="102.38170475517001"/>
    <n v="95.003435419368998"/>
    <n v="102.38170475517001"/>
    <n v="2446.7262056148802"/>
  </r>
  <r>
    <x v="1"/>
    <x v="1"/>
    <n v="963"/>
    <s v="Millones de dólares"/>
    <s v="BADECON"/>
    <x v="1"/>
    <s v="C16"/>
    <x v="6"/>
    <n v="98.6"/>
    <n v="94.3"/>
    <n v="98.6"/>
    <n v="976.67342799188646"/>
  </r>
  <r>
    <x v="1"/>
    <x v="0"/>
    <n v="1572"/>
    <s v="Millones de dólares"/>
    <s v="BADECON"/>
    <x v="1"/>
    <s v="C25"/>
    <x v="15"/>
    <n v="98.189528995325006"/>
    <n v="95.003435419368998"/>
    <n v="98.189528995325006"/>
    <n v="1600.9853760219651"/>
  </r>
  <r>
    <x v="1"/>
    <x v="1"/>
    <n v="13376"/>
    <s v="Millones de dólares"/>
    <s v="BADECON"/>
    <x v="1"/>
    <s v="C25"/>
    <x v="15"/>
    <n v="90.2"/>
    <n v="94.3"/>
    <n v="90.2"/>
    <n v="14829.268292682929"/>
  </r>
  <r>
    <x v="1"/>
    <x v="0"/>
    <n v="1412"/>
    <s v="Millones de dólares"/>
    <s v="BADECON"/>
    <x v="1"/>
    <s v="C24"/>
    <x v="14"/>
    <n v="89.385379074143003"/>
    <n v="95.003435419368998"/>
    <n v="89.385379074143003"/>
    <n v="1579.676692794221"/>
  </r>
  <r>
    <x v="1"/>
    <x v="1"/>
    <n v="22198"/>
    <s v="Millones de dólares"/>
    <s v="BADECON"/>
    <x v="1"/>
    <s v="C24"/>
    <x v="14"/>
    <n v="89.3"/>
    <n v="94.3"/>
    <n v="89.3"/>
    <n v="24857.782754759239"/>
  </r>
  <r>
    <x v="1"/>
    <x v="0"/>
    <n v="9758"/>
    <s v="Millones de dólares"/>
    <s v="BADECON"/>
    <x v="1"/>
    <s v="C20"/>
    <x v="10"/>
    <n v="96.253026824776995"/>
    <n v="95.003435419368998"/>
    <n v="96.253026824776995"/>
    <n v="10137.86300742923"/>
  </r>
  <r>
    <x v="1"/>
    <x v="1"/>
    <n v="30995"/>
    <s v="Millones de dólares"/>
    <s v="BADECON"/>
    <x v="1"/>
    <s v="C20"/>
    <x v="10"/>
    <n v="96.1"/>
    <n v="94.3"/>
    <n v="96.1"/>
    <n v="32252.8616024974"/>
  </r>
  <r>
    <x v="1"/>
    <x v="0"/>
    <n v="932"/>
    <s v="Millones de dólares"/>
    <s v="BADECON"/>
    <x v="1"/>
    <s v="C33"/>
    <x v="23"/>
    <n v="98.189528995325006"/>
    <n v="95.003435419368998"/>
    <n v="98.189528995325006"/>
    <n v="949.18471402828948"/>
  </r>
  <r>
    <x v="1"/>
    <x v="0"/>
    <n v="356"/>
    <s v="Millones de dólares"/>
    <s v="BADECON"/>
    <x v="1"/>
    <s v="C31"/>
    <x v="21"/>
    <n v="102.38170475517001"/>
    <n v="95.003435419368998"/>
    <n v="102.38170475517001"/>
    <n v="347.71837492969951"/>
  </r>
  <r>
    <x v="1"/>
    <x v="1"/>
    <n v="442"/>
    <s v="Millones de dólares"/>
    <s v="BADECON"/>
    <x v="1"/>
    <s v="C31"/>
    <x v="21"/>
    <n v="96.7"/>
    <n v="94.3"/>
    <n v="96.7"/>
    <n v="457.08376421923481"/>
  </r>
  <r>
    <x v="1"/>
    <x v="0"/>
    <n v="496"/>
    <s v="Millones de dólares"/>
    <s v="BADECON"/>
    <x v="1"/>
    <s v="C28"/>
    <x v="18"/>
    <n v="98.189528995325006"/>
    <n v="95.003435419368998"/>
    <n v="98.189528995325006"/>
    <n v="505.14551304509831"/>
  </r>
  <r>
    <x v="1"/>
    <x v="1"/>
    <n v="26147"/>
    <s v="Millones de dólares"/>
    <s v="BADECON"/>
    <x v="1"/>
    <s v="C28"/>
    <x v="18"/>
    <n v="96.3"/>
    <n v="94.3"/>
    <n v="96.3"/>
    <n v="27151.60955347872"/>
  </r>
  <r>
    <x v="1"/>
    <x v="0"/>
    <n v="177"/>
    <s v="Millones de dólares"/>
    <s v="BADECON"/>
    <x v="1"/>
    <s v="C13"/>
    <x v="3"/>
    <n v="111.61986215915999"/>
    <n v="95.003435419368998"/>
    <n v="111.61986215915999"/>
    <n v="158.57392813083189"/>
  </r>
  <r>
    <x v="1"/>
    <x v="1"/>
    <n v="8365"/>
    <s v="Millones de dólares"/>
    <s v="BADECON"/>
    <x v="1"/>
    <s v="C13"/>
    <x v="3"/>
    <n v="97.5"/>
    <n v="94.3"/>
    <n v="97.5"/>
    <n v="8579.4871794871797"/>
  </r>
  <r>
    <x v="1"/>
    <x v="0"/>
    <n v="68"/>
    <s v="Millones de dólares"/>
    <s v="BADECON"/>
    <x v="1"/>
    <s v="C29"/>
    <x v="19"/>
    <n v="98.189528995325006"/>
    <n v="95.003435419368998"/>
    <n v="98.189528995325006"/>
    <n v="69.253820336827985"/>
  </r>
  <r>
    <x v="1"/>
    <x v="1"/>
    <n v="60638"/>
    <s v="Millones de dólares"/>
    <s v="BADECON"/>
    <x v="1"/>
    <s v="C29"/>
    <x v="19"/>
    <n v="97"/>
    <n v="94.3"/>
    <n v="97"/>
    <n v="62513.402061855682"/>
  </r>
  <r>
    <x v="1"/>
    <x v="0"/>
    <n v="775"/>
    <s v="Millones de dólares"/>
    <s v="BADECON"/>
    <x v="1"/>
    <s v="C21"/>
    <x v="11"/>
    <n v="96.253026824776995"/>
    <n v="95.003435419368998"/>
    <n v="96.253026824776995"/>
    <n v="805.16948460316178"/>
  </r>
  <r>
    <x v="1"/>
    <x v="1"/>
    <n v="885"/>
    <s v="Millones de dólares"/>
    <s v="BADECON"/>
    <x v="1"/>
    <s v="C21"/>
    <x v="11"/>
    <n v="96.1"/>
    <n v="94.3"/>
    <n v="96.1"/>
    <n v="920.91571279916752"/>
  </r>
  <r>
    <x v="1"/>
    <x v="0"/>
    <n v="167"/>
    <s v="Millones de dólares"/>
    <s v="BADECON"/>
    <x v="1"/>
    <s v="C15"/>
    <x v="5"/>
    <n v="111.61986215915999"/>
    <n v="95.003435419368998"/>
    <n v="111.61986215915999"/>
    <n v="149.6149491403894"/>
  </r>
  <r>
    <x v="1"/>
    <x v="1"/>
    <n v="1849"/>
    <s v="Millones de dólares"/>
    <s v="BADECON"/>
    <x v="1"/>
    <s v="C15"/>
    <x v="5"/>
    <n v="97.8"/>
    <n v="94.3"/>
    <n v="97.8"/>
    <n v="1890.593047034765"/>
  </r>
  <r>
    <x v="1"/>
    <x v="0"/>
    <n v="65"/>
    <s v="Millones de dólares"/>
    <s v="BADECON"/>
    <x v="1"/>
    <s v="C32"/>
    <x v="22"/>
    <m/>
    <n v="95.003435419368998"/>
    <n v="95.003435419368998"/>
    <n v="68.41857845779333"/>
  </r>
  <r>
    <x v="1"/>
    <x v="1"/>
    <n v="331"/>
    <s v="Millones de dólares"/>
    <s v="BADECON"/>
    <x v="1"/>
    <s v="C32"/>
    <x v="22"/>
    <n v="95.9"/>
    <n v="94.3"/>
    <n v="95.9"/>
    <n v="345.15119916579772"/>
  </r>
  <r>
    <x v="1"/>
    <x v="0"/>
    <n v="42"/>
    <s v="Millones de dólares"/>
    <s v="BADECON"/>
    <x v="1"/>
    <s v="C26"/>
    <x v="16"/>
    <n v="98.189528995325006"/>
    <n v="95.003435419368998"/>
    <n v="98.189528995325006"/>
    <n v="42.77441844333493"/>
  </r>
  <r>
    <x v="1"/>
    <x v="1"/>
    <n v="4429"/>
    <s v="Millones de dólares"/>
    <s v="BADECON"/>
    <x v="1"/>
    <s v="C26"/>
    <x v="16"/>
    <n v="95.5"/>
    <n v="94.3"/>
    <n v="95.5"/>
    <n v="4637.6963350785336"/>
  </r>
  <r>
    <x v="0"/>
    <x v="0"/>
    <n v="757"/>
    <s v="Millones de dólares"/>
    <s v="BADECON"/>
    <x v="1"/>
    <s v="C21"/>
    <x v="11"/>
    <n v="99.999999999999005"/>
    <n v="99.999999999999005"/>
    <n v="99.999999999999005"/>
    <n v="757.0000000000075"/>
  </r>
  <r>
    <x v="0"/>
    <x v="1"/>
    <n v="914"/>
    <s v="Millones de dólares"/>
    <s v="BADECON"/>
    <x v="1"/>
    <s v="C21"/>
    <x v="11"/>
    <n v="100"/>
    <n v="100"/>
    <n v="100"/>
    <n v="914"/>
  </r>
  <r>
    <x v="0"/>
    <x v="0"/>
    <n v="48"/>
    <s v="Millones de dólares"/>
    <s v="BADECON"/>
    <x v="1"/>
    <s v="C32"/>
    <x v="22"/>
    <m/>
    <n v="99.999999999999005"/>
    <n v="99.999999999999005"/>
    <n v="48.000000000000483"/>
  </r>
  <r>
    <x v="0"/>
    <x v="1"/>
    <n v="351"/>
    <s v="Millones de dólares"/>
    <s v="BADECON"/>
    <x v="1"/>
    <s v="C32"/>
    <x v="22"/>
    <n v="100"/>
    <n v="100"/>
    <n v="100"/>
    <n v="351"/>
  </r>
  <r>
    <x v="0"/>
    <x v="0"/>
    <n v="3084"/>
    <s v="Millones de dólares"/>
    <s v="BADECON"/>
    <x v="1"/>
    <s v="C11"/>
    <x v="2"/>
    <n v="100"/>
    <n v="99.999999999999005"/>
    <n v="100"/>
    <n v="3084"/>
  </r>
  <r>
    <x v="0"/>
    <x v="1"/>
    <n v="13588"/>
    <s v="Millones de dólares"/>
    <s v="BADECON"/>
    <x v="1"/>
    <s v="C11"/>
    <x v="2"/>
    <n v="100"/>
    <n v="100"/>
    <n v="100"/>
    <n v="13588"/>
  </r>
  <r>
    <x v="0"/>
    <x v="0"/>
    <n v="162"/>
    <s v="Millones de dólares"/>
    <s v="BADECON"/>
    <x v="1"/>
    <s v="C15"/>
    <x v="5"/>
    <n v="99.999999999999005"/>
    <n v="99.999999999999005"/>
    <n v="99.999999999999005"/>
    <n v="162.00000000000159"/>
  </r>
  <r>
    <x v="0"/>
    <x v="1"/>
    <n v="1844"/>
    <s v="Millones de dólares"/>
    <s v="BADECON"/>
    <x v="1"/>
    <s v="C15"/>
    <x v="5"/>
    <n v="100"/>
    <n v="100"/>
    <n v="100"/>
    <n v="1844"/>
  </r>
  <r>
    <x v="0"/>
    <x v="0"/>
    <n v="257"/>
    <s v="Millones de dólares"/>
    <s v="BADECON"/>
    <x v="1"/>
    <s v="C29"/>
    <x v="19"/>
    <n v="100"/>
    <n v="99.999999999999005"/>
    <n v="100"/>
    <n v="257"/>
  </r>
  <r>
    <x v="0"/>
    <x v="1"/>
    <n v="64543"/>
    <s v="Millones de dólares"/>
    <s v="BADECON"/>
    <x v="1"/>
    <s v="C29"/>
    <x v="19"/>
    <n v="100"/>
    <n v="100"/>
    <n v="100"/>
    <n v="64542.999999999993"/>
  </r>
  <r>
    <x v="0"/>
    <x v="0"/>
    <n v="60"/>
    <s v="Millones de dólares"/>
    <s v="BADECON"/>
    <x v="1"/>
    <s v="C26"/>
    <x v="16"/>
    <n v="100"/>
    <n v="99.999999999999005"/>
    <n v="100"/>
    <n v="60"/>
  </r>
  <r>
    <x v="0"/>
    <x v="1"/>
    <n v="4529"/>
    <s v="Millones de dólares"/>
    <s v="BADECON"/>
    <x v="1"/>
    <s v="C26"/>
    <x v="16"/>
    <n v="100"/>
    <n v="100"/>
    <n v="100"/>
    <n v="4529"/>
  </r>
  <r>
    <x v="0"/>
    <x v="0"/>
    <n v="56"/>
    <s v="Millones de dólares"/>
    <s v="BADECON"/>
    <x v="1"/>
    <s v="C30"/>
    <x v="20"/>
    <n v="100"/>
    <n v="99.999999999999005"/>
    <n v="100"/>
    <n v="56.000000000000007"/>
  </r>
  <r>
    <x v="0"/>
    <x v="1"/>
    <n v="725"/>
    <s v="Millones de dólares"/>
    <s v="BADECON"/>
    <x v="1"/>
    <s v="C30"/>
    <x v="20"/>
    <n v="100"/>
    <n v="100"/>
    <n v="100"/>
    <n v="725"/>
  </r>
  <r>
    <x v="0"/>
    <x v="0"/>
    <n v="20"/>
    <s v="Millones de dólares"/>
    <s v="BADECON"/>
    <x v="1"/>
    <s v="C19"/>
    <x v="9"/>
    <n v="99.999999999999005"/>
    <n v="99.999999999999005"/>
    <n v="99.999999999999005"/>
    <n v="20.000000000000199"/>
  </r>
  <r>
    <x v="0"/>
    <x v="1"/>
    <n v="17983"/>
    <s v="Millones de dólares"/>
    <s v="BADECON"/>
    <x v="1"/>
    <s v="C19"/>
    <x v="9"/>
    <n v="100"/>
    <n v="100"/>
    <n v="100"/>
    <n v="17983"/>
  </r>
  <r>
    <x v="0"/>
    <x v="1"/>
    <n v="464"/>
    <s v="Millones de dólares"/>
    <s v="BADECON"/>
    <x v="1"/>
    <s v="C12"/>
    <x v="24"/>
    <n v="100"/>
    <n v="100"/>
    <n v="100"/>
    <n v="463.99999999999989"/>
  </r>
  <r>
    <x v="0"/>
    <x v="0"/>
    <n v="22"/>
    <s v="Millones de dólares"/>
    <s v="BADECON"/>
    <x v="1"/>
    <s v="CXX"/>
    <x v="0"/>
    <m/>
    <n v="99.999999999999005"/>
    <n v="99.999999999999005"/>
    <n v="22.00000000000022"/>
  </r>
  <r>
    <x v="1"/>
    <x v="0"/>
    <n v="308"/>
    <s v="Millones de dólares"/>
    <s v="BADECON"/>
    <x v="1"/>
    <s v="C18"/>
    <x v="8"/>
    <n v="76.712843517501994"/>
    <n v="95.003435419368998"/>
    <n v="76.712843517501994"/>
    <n v="401.49730589732337"/>
  </r>
  <r>
    <x v="1"/>
    <x v="1"/>
    <n v="608"/>
    <s v="Millones de dólares"/>
    <s v="BADECON"/>
    <x v="1"/>
    <s v="C18"/>
    <x v="8"/>
    <n v="96.5"/>
    <n v="94.3"/>
    <n v="96.5"/>
    <n v="630.05181347150256"/>
  </r>
  <r>
    <x v="1"/>
    <x v="0"/>
    <n v="16496"/>
    <s v="Millones de dólares"/>
    <s v="BADECON"/>
    <x v="1"/>
    <s v="C10"/>
    <x v="1"/>
    <n v="98.723825004638996"/>
    <n v="95.003435419368998"/>
    <n v="98.723825004638996"/>
    <n v="16709.23913171401"/>
  </r>
  <r>
    <x v="1"/>
    <x v="1"/>
    <n v="41336"/>
    <s v="Millones de dólares"/>
    <s v="BADECON"/>
    <x v="1"/>
    <s v="C10"/>
    <x v="1"/>
    <n v="96.7"/>
    <n v="94.3"/>
    <n v="96.7"/>
    <n v="42746.63908996898"/>
  </r>
  <r>
    <x v="1"/>
    <x v="0"/>
    <n v="4061"/>
    <s v="Millones de dólares"/>
    <s v="BADECON"/>
    <x v="1"/>
    <s v="C11"/>
    <x v="2"/>
    <n v="90.846967636214998"/>
    <n v="95.003435419368998"/>
    <n v="90.846967636214998"/>
    <n v="4470.154707047298"/>
  </r>
  <r>
    <x v="1"/>
    <x v="1"/>
    <n v="12770"/>
    <s v="Millones de dólares"/>
    <s v="BADECON"/>
    <x v="1"/>
    <s v="C11"/>
    <x v="2"/>
    <n v="96.4"/>
    <n v="94.3"/>
    <n v="96.4"/>
    <n v="13246.887966804979"/>
  </r>
  <r>
    <x v="1"/>
    <x v="0"/>
    <n v="1685"/>
    <s v="Millones de dólares"/>
    <s v="BADECON"/>
    <x v="1"/>
    <s v="C23"/>
    <x v="13"/>
    <n v="89.385379074143003"/>
    <n v="95.003435419368998"/>
    <n v="89.385379074143003"/>
    <n v="1885.095770083755"/>
  </r>
  <r>
    <x v="1"/>
    <x v="1"/>
    <n v="14063"/>
    <s v="Millones de dólares"/>
    <s v="BADECON"/>
    <x v="1"/>
    <s v="C23"/>
    <x v="13"/>
    <n v="95.9"/>
    <n v="94.3"/>
    <n v="95.9"/>
    <n v="14664.233576642329"/>
  </r>
  <r>
    <x v="1"/>
    <x v="0"/>
    <n v="196"/>
    <s v="Millones de dólares"/>
    <s v="BADECON"/>
    <x v="1"/>
    <s v="C14"/>
    <x v="4"/>
    <n v="111.61986215915999"/>
    <n v="95.003435419368998"/>
    <n v="111.61986215915999"/>
    <n v="175.59598821267261"/>
  </r>
  <r>
    <x v="1"/>
    <x v="1"/>
    <n v="2463"/>
    <s v="Millones de dólares"/>
    <s v="BADECON"/>
    <x v="1"/>
    <s v="C14"/>
    <x v="4"/>
    <n v="96.6"/>
    <n v="94.3"/>
    <n v="96.6"/>
    <n v="2549.689440993789"/>
  </r>
  <r>
    <x v="1"/>
    <x v="0"/>
    <n v="1818"/>
    <s v="Millones de dólares"/>
    <s v="BADECON"/>
    <x v="1"/>
    <s v="C22"/>
    <x v="12"/>
    <n v="96.253026824776995"/>
    <n v="95.003435419368998"/>
    <n v="96.253026824776995"/>
    <n v="1888.7717716239331"/>
  </r>
  <r>
    <x v="1"/>
    <x v="1"/>
    <n v="12296"/>
    <s v="Millones de dólares"/>
    <s v="BADECON"/>
    <x v="1"/>
    <s v="C22"/>
    <x v="12"/>
    <n v="95.4"/>
    <n v="94.3"/>
    <n v="95.4"/>
    <n v="12888.888888888891"/>
  </r>
  <r>
    <x v="1"/>
    <x v="0"/>
    <n v="3628"/>
    <s v="Millones de dólares"/>
    <s v="BADECON"/>
    <x v="1"/>
    <s v="C17"/>
    <x v="7"/>
    <n v="76.712843517501994"/>
    <n v="95.003435419368998"/>
    <n v="76.712843517501994"/>
    <n v="4729.3254084269129"/>
  </r>
  <r>
    <x v="1"/>
    <x v="0"/>
    <n v="44"/>
    <s v="Millones de dólares"/>
    <s v="BADECON"/>
    <x v="1"/>
    <s v="C30"/>
    <x v="20"/>
    <n v="98.189528995325006"/>
    <n v="95.003435419368998"/>
    <n v="98.189528995325006"/>
    <n v="44.811295512065172"/>
  </r>
  <r>
    <x v="1"/>
    <x v="1"/>
    <n v="590"/>
    <s v="Millones de dólares"/>
    <s v="BADECON"/>
    <x v="1"/>
    <s v="C30"/>
    <x v="20"/>
    <n v="97"/>
    <n v="94.3"/>
    <n v="97"/>
    <n v="608.24742268041234"/>
  </r>
  <r>
    <x v="1"/>
    <x v="1"/>
    <n v="17311"/>
    <s v="Millones de dólares"/>
    <s v="BADECON"/>
    <x v="1"/>
    <s v="C19"/>
    <x v="9"/>
    <n v="64.099999999999994"/>
    <n v="94.3"/>
    <n v="64.099999999999994"/>
    <n v="27006.240249609989"/>
  </r>
  <r>
    <x v="1"/>
    <x v="1"/>
    <n v="468"/>
    <s v="Millones de dólares"/>
    <s v="BADECON"/>
    <x v="1"/>
    <s v="C12"/>
    <x v="24"/>
    <n v="96.4"/>
    <n v="94.3"/>
    <n v="96.4"/>
    <n v="485.47717842323652"/>
  </r>
  <r>
    <x v="1"/>
    <x v="0"/>
    <n v="1858"/>
    <s v="Millones de dólares"/>
    <s v="BADECON"/>
    <x v="1"/>
    <s v="CXX"/>
    <x v="0"/>
    <m/>
    <n v="95.003435419368998"/>
    <n v="95.003435419368998"/>
    <n v="1955.718750378154"/>
  </r>
  <r>
    <x v="2"/>
    <x v="0"/>
    <n v="15325"/>
    <s v="Millones de dólares"/>
    <s v="BADECON"/>
    <x v="1"/>
    <s v="C10"/>
    <x v="1"/>
    <n v="96.618124512281994"/>
    <n v="95.629262636448004"/>
    <n v="96.618124512281994"/>
    <n v="15861.413246592159"/>
  </r>
  <r>
    <x v="2"/>
    <x v="1"/>
    <n v="39244"/>
    <s v="Millones de dólares"/>
    <s v="BADECON"/>
    <x v="1"/>
    <s v="C10"/>
    <x v="1"/>
    <n v="92.1"/>
    <n v="87.8"/>
    <n v="92.1"/>
    <n v="42610.206297502722"/>
  </r>
  <r>
    <x v="2"/>
    <x v="0"/>
    <n v="325"/>
    <s v="Millones de dólares"/>
    <s v="BADECON"/>
    <x v="1"/>
    <s v="C18"/>
    <x v="8"/>
    <n v="66.424574274145002"/>
    <n v="95.629262636448004"/>
    <n v="66.424574274145002"/>
    <n v="489.27675269497729"/>
  </r>
  <r>
    <x v="2"/>
    <x v="1"/>
    <n v="585"/>
    <s v="Millones de dólares"/>
    <s v="BADECON"/>
    <x v="1"/>
    <s v="C18"/>
    <x v="8"/>
    <n v="93.1"/>
    <n v="87.8"/>
    <n v="93.1"/>
    <n v="628.35660580021488"/>
  </r>
  <r>
    <x v="2"/>
    <x v="0"/>
    <n v="3162"/>
    <s v="Millones de dólares"/>
    <s v="BADECON"/>
    <x v="1"/>
    <s v="C17"/>
    <x v="7"/>
    <n v="66.424574274145002"/>
    <n v="95.629262636448004"/>
    <n v="66.424574274145002"/>
    <n v="4760.2864369892877"/>
  </r>
  <r>
    <x v="2"/>
    <x v="1"/>
    <n v="7663"/>
    <s v="Millones de dólares"/>
    <s v="BADECON"/>
    <x v="1"/>
    <s v="C17"/>
    <x v="7"/>
    <n v="87.6"/>
    <n v="87.8"/>
    <n v="87.6"/>
    <n v="8747.7168949771694"/>
  </r>
  <r>
    <x v="2"/>
    <x v="0"/>
    <n v="614"/>
    <s v="Millones de dólares"/>
    <s v="BADECON"/>
    <x v="1"/>
    <s v="C33"/>
    <x v="23"/>
    <n v="101.10423088160999"/>
    <n v="95.629262636448004"/>
    <n v="101.10423088160999"/>
    <n v="607.29407132227288"/>
  </r>
  <r>
    <x v="2"/>
    <x v="0"/>
    <n v="1920"/>
    <s v="Millones de dólares"/>
    <s v="BADECON"/>
    <x v="1"/>
    <s v="C22"/>
    <x v="12"/>
    <n v="101.63829571143999"/>
    <n v="95.629262636448004"/>
    <n v="101.63829571143999"/>
    <n v="1889.051746254235"/>
  </r>
  <r>
    <x v="2"/>
    <x v="1"/>
    <n v="11674"/>
    <s v="Millones de dólares"/>
    <s v="BADECON"/>
    <x v="1"/>
    <s v="C22"/>
    <x v="12"/>
    <n v="89.1"/>
    <n v="87.8"/>
    <n v="89.1"/>
    <n v="13102.13243546577"/>
  </r>
  <r>
    <x v="2"/>
    <x v="0"/>
    <n v="225"/>
    <s v="Millones de dólares"/>
    <s v="BADECON"/>
    <x v="1"/>
    <s v="C14"/>
    <x v="4"/>
    <n v="117.9376128321"/>
    <n v="95.629262636448004"/>
    <n v="117.9376128321"/>
    <n v="190.77883178822489"/>
  </r>
  <r>
    <x v="2"/>
    <x v="1"/>
    <n v="2392"/>
    <s v="Millones de dólares"/>
    <s v="BADECON"/>
    <x v="1"/>
    <s v="C14"/>
    <x v="4"/>
    <n v="95.2"/>
    <n v="87.8"/>
    <n v="95.2"/>
    <n v="2512.6050420168071"/>
  </r>
  <r>
    <x v="2"/>
    <x v="0"/>
    <n v="192"/>
    <s v="Millones de dólares"/>
    <s v="BADECON"/>
    <x v="1"/>
    <s v="C13"/>
    <x v="3"/>
    <n v="117.9376128321"/>
    <n v="95.629262636448004"/>
    <n v="117.9376128321"/>
    <n v="162.79793645928521"/>
  </r>
  <r>
    <x v="2"/>
    <x v="1"/>
    <n v="8051"/>
    <s v="Millones de dólares"/>
    <s v="BADECON"/>
    <x v="1"/>
    <s v="C13"/>
    <x v="3"/>
    <n v="88.8"/>
    <n v="87.8"/>
    <n v="88.8"/>
    <n v="9066.4414414414423"/>
  </r>
  <r>
    <x v="2"/>
    <x v="0"/>
    <n v="583"/>
    <s v="Millones de dólares"/>
    <s v="BADECON"/>
    <x v="1"/>
    <s v="C27"/>
    <x v="17"/>
    <n v="101.10423088160999"/>
    <n v="95.629262636448004"/>
    <n v="101.10423088160999"/>
    <n v="576.63264426854244"/>
  </r>
  <r>
    <x v="2"/>
    <x v="1"/>
    <n v="17210"/>
    <s v="Millones de dólares"/>
    <s v="BADECON"/>
    <x v="1"/>
    <s v="C27"/>
    <x v="17"/>
    <n v="90.7"/>
    <n v="87.8"/>
    <n v="90.7"/>
    <n v="18974.641675854469"/>
  </r>
  <r>
    <x v="2"/>
    <x v="0"/>
    <n v="837"/>
    <s v="Millones de dólares"/>
    <s v="BADECON"/>
    <x v="1"/>
    <s v="C28"/>
    <x v="18"/>
    <n v="101.10423088160999"/>
    <n v="95.629262636448004"/>
    <n v="101.10423088160999"/>
    <n v="827.85853045072054"/>
  </r>
  <r>
    <x v="2"/>
    <x v="1"/>
    <n v="23948"/>
    <s v="Millones de dólares"/>
    <s v="BADECON"/>
    <x v="1"/>
    <s v="C28"/>
    <x v="18"/>
    <n v="91.6"/>
    <n v="87.8"/>
    <n v="91.6"/>
    <n v="26144.10480349345"/>
  </r>
  <r>
    <x v="2"/>
    <x v="0"/>
    <n v="6160"/>
    <s v="Millones de dólares"/>
    <s v="BADECON"/>
    <x v="1"/>
    <s v="C20"/>
    <x v="10"/>
    <n v="101.63829571143999"/>
    <n v="95.629262636448004"/>
    <n v="101.63829571143999"/>
    <n v="6060.7076858990031"/>
  </r>
  <r>
    <x v="2"/>
    <x v="1"/>
    <n v="28131"/>
    <s v="Millones de dólares"/>
    <s v="BADECON"/>
    <x v="1"/>
    <s v="C20"/>
    <x v="10"/>
    <n v="103.7"/>
    <n v="87.8"/>
    <n v="103.7"/>
    <n v="27127.290260366441"/>
  </r>
  <r>
    <x v="2"/>
    <x v="0"/>
    <n v="2404"/>
    <s v="Millones de dólares"/>
    <s v="BADECON"/>
    <x v="1"/>
    <s v="C16"/>
    <x v="6"/>
    <n v="106.15763962638999"/>
    <n v="95.629262636448004"/>
    <n v="106.15763962638999"/>
    <n v="2264.5567558402872"/>
  </r>
  <r>
    <x v="2"/>
    <x v="1"/>
    <n v="904"/>
    <s v="Millones de dólares"/>
    <s v="BADECON"/>
    <x v="1"/>
    <s v="C16"/>
    <x v="6"/>
    <n v="91.8"/>
    <n v="87.8"/>
    <n v="91.8"/>
    <n v="984.74945533769062"/>
  </r>
  <r>
    <x v="2"/>
    <x v="0"/>
    <n v="60"/>
    <s v="Millones de dólares"/>
    <s v="BADECON"/>
    <x v="1"/>
    <s v="C32"/>
    <x v="22"/>
    <m/>
    <n v="95.629262636448004"/>
    <n v="95.629262636448004"/>
    <n v="62.742301201360178"/>
  </r>
  <r>
    <x v="2"/>
    <x v="1"/>
    <n v="324"/>
    <s v="Millones de dólares"/>
    <s v="BADECON"/>
    <x v="1"/>
    <s v="C32"/>
    <x v="22"/>
    <n v="91.1"/>
    <n v="87.8"/>
    <n v="91.1"/>
    <n v="355.65312843029642"/>
  </r>
  <r>
    <x v="2"/>
    <x v="0"/>
    <n v="1140"/>
    <s v="Millones de dólares"/>
    <s v="BADECON"/>
    <x v="1"/>
    <s v="C24"/>
    <x v="14"/>
    <n v="89.680336785110001"/>
    <n v="95.629262636448004"/>
    <n v="89.680336785110001"/>
    <n v="1271.181666870456"/>
  </r>
  <r>
    <x v="2"/>
    <x v="1"/>
    <n v="19622"/>
    <s v="Millones de dólares"/>
    <s v="BADECON"/>
    <x v="1"/>
    <s v="C24"/>
    <x v="14"/>
    <n v="80.900000000000006"/>
    <n v="87.8"/>
    <n v="80.900000000000006"/>
    <n v="24254.635352286768"/>
  </r>
  <r>
    <x v="2"/>
    <x v="0"/>
    <n v="3828"/>
    <s v="Millones de dólares"/>
    <s v="BADECON"/>
    <x v="1"/>
    <s v="C11"/>
    <x v="2"/>
    <n v="96.059679698527006"/>
    <n v="95.629262636448004"/>
    <n v="96.059679698527006"/>
    <n v="3985.0226567627201"/>
  </r>
  <r>
    <x v="2"/>
    <x v="1"/>
    <n v="11600"/>
    <s v="Millones de dólares"/>
    <s v="BADECON"/>
    <x v="1"/>
    <s v="C11"/>
    <x v="2"/>
    <n v="89.6"/>
    <n v="87.8"/>
    <n v="89.6"/>
    <n v="12946.428571428571"/>
  </r>
  <r>
    <x v="2"/>
    <x v="0"/>
    <n v="1565"/>
    <s v="Millones de dólares"/>
    <s v="BADECON"/>
    <x v="1"/>
    <s v="C25"/>
    <x v="15"/>
    <n v="101.10423088160999"/>
    <n v="95.629262636448004"/>
    <n v="101.10423088160999"/>
    <n v="1547.907527067357"/>
  </r>
  <r>
    <x v="2"/>
    <x v="1"/>
    <n v="12649"/>
    <s v="Millones de dólares"/>
    <s v="BADECON"/>
    <x v="1"/>
    <s v="C25"/>
    <x v="15"/>
    <n v="84.2"/>
    <n v="87.8"/>
    <n v="84.2"/>
    <n v="15022.56532066508"/>
  </r>
  <r>
    <x v="2"/>
    <x v="0"/>
    <n v="1485"/>
    <s v="Millones de dólares"/>
    <s v="BADECON"/>
    <x v="1"/>
    <s v="C23"/>
    <x v="13"/>
    <n v="89.680336785110001"/>
    <n v="95.629262636448004"/>
    <n v="89.680336785110001"/>
    <n v="1655.88138184441"/>
  </r>
  <r>
    <x v="2"/>
    <x v="1"/>
    <n v="12845"/>
    <s v="Millones de dólares"/>
    <s v="BADECON"/>
    <x v="1"/>
    <s v="C23"/>
    <x v="13"/>
    <n v="87.6"/>
    <n v="87.8"/>
    <n v="87.6"/>
    <n v="14663.24200913242"/>
  </r>
  <r>
    <x v="2"/>
    <x v="0"/>
    <n v="257"/>
    <s v="Millones de dólares"/>
    <s v="BADECON"/>
    <x v="1"/>
    <s v="C31"/>
    <x v="21"/>
    <n v="106.15763962638999"/>
    <n v="95.629262636448004"/>
    <n v="106.15763962638999"/>
    <n v="242.09279794132851"/>
  </r>
  <r>
    <x v="2"/>
    <x v="1"/>
    <n v="428"/>
    <s v="Millones de dólares"/>
    <s v="BADECON"/>
    <x v="1"/>
    <s v="C31"/>
    <x v="21"/>
    <n v="91.8"/>
    <n v="87.8"/>
    <n v="91.8"/>
    <n v="466.23093681917209"/>
  </r>
  <r>
    <x v="2"/>
    <x v="0"/>
    <n v="76"/>
    <s v="Millones de dólares"/>
    <s v="BADECON"/>
    <x v="1"/>
    <s v="C29"/>
    <x v="19"/>
    <n v="101.10423088160999"/>
    <n v="95.629262636448004"/>
    <n v="101.10423088160999"/>
    <n v="75.16995019624224"/>
  </r>
  <r>
    <x v="2"/>
    <x v="1"/>
    <n v="50037"/>
    <s v="Millones de dólares"/>
    <s v="BADECON"/>
    <x v="1"/>
    <s v="C29"/>
    <x v="19"/>
    <n v="93.3"/>
    <n v="87.8"/>
    <n v="93.3"/>
    <n v="53630.225080385862"/>
  </r>
  <r>
    <x v="2"/>
    <x v="0"/>
    <n v="663"/>
    <s v="Millones de dólares"/>
    <s v="BADECON"/>
    <x v="1"/>
    <s v="C21"/>
    <x v="11"/>
    <n v="101.63829571143999"/>
    <n v="95.629262636448004"/>
    <n v="101.63829571143999"/>
    <n v="652.31318112841541"/>
  </r>
  <r>
    <x v="2"/>
    <x v="1"/>
    <n v="888"/>
    <s v="Millones de dólares"/>
    <s v="BADECON"/>
    <x v="1"/>
    <s v="C21"/>
    <x v="11"/>
    <n v="103.7"/>
    <n v="87.8"/>
    <n v="103.7"/>
    <n v="856.31629701060751"/>
  </r>
  <r>
    <x v="2"/>
    <x v="0"/>
    <n v="139"/>
    <s v="Millones de dólares"/>
    <s v="BADECON"/>
    <x v="1"/>
    <s v="C15"/>
    <x v="5"/>
    <n v="117.9376128321"/>
    <n v="95.629262636448004"/>
    <n v="117.9376128321"/>
    <n v="117.85892274917001"/>
  </r>
  <r>
    <x v="2"/>
    <x v="1"/>
    <n v="1827"/>
    <s v="Millones de dólares"/>
    <s v="BADECON"/>
    <x v="1"/>
    <s v="C15"/>
    <x v="5"/>
    <n v="93.8"/>
    <n v="87.8"/>
    <n v="93.8"/>
    <n v="1947.7611940298509"/>
  </r>
  <r>
    <x v="2"/>
    <x v="0"/>
    <n v="31"/>
    <s v="Millones de dólares"/>
    <s v="BADECON"/>
    <x v="1"/>
    <s v="C26"/>
    <x v="16"/>
    <n v="101.10423088160999"/>
    <n v="95.629262636448004"/>
    <n v="101.10423088160999"/>
    <n v="30.661427053730389"/>
  </r>
  <r>
    <x v="2"/>
    <x v="1"/>
    <n v="4298"/>
    <s v="Millones de dólares"/>
    <s v="BADECON"/>
    <x v="1"/>
    <s v="C26"/>
    <x v="16"/>
    <n v="91.8"/>
    <n v="87.8"/>
    <n v="91.8"/>
    <n v="4681.917211328976"/>
  </r>
  <r>
    <x v="2"/>
    <x v="0"/>
    <n v="37"/>
    <s v="Millones de dólares"/>
    <s v="BADECON"/>
    <x v="1"/>
    <s v="C30"/>
    <x v="20"/>
    <n v="101.10423088160999"/>
    <n v="95.629262636448004"/>
    <n v="101.10423088160999"/>
    <n v="36.595896806065298"/>
  </r>
  <r>
    <x v="2"/>
    <x v="1"/>
    <n v="529"/>
    <s v="Millones de dólares"/>
    <s v="BADECON"/>
    <x v="1"/>
    <s v="C30"/>
    <x v="20"/>
    <n v="93.3"/>
    <n v="87.8"/>
    <n v="93.3"/>
    <n v="566.98821007502681"/>
  </r>
  <r>
    <x v="2"/>
    <x v="1"/>
    <n v="16568"/>
    <s v="Millones de dólares"/>
    <s v="BADECON"/>
    <x v="1"/>
    <s v="C19"/>
    <x v="9"/>
    <n v="17.7"/>
    <n v="87.8"/>
    <n v="17.7"/>
    <n v="93604.519774011307"/>
  </r>
  <r>
    <x v="2"/>
    <x v="1"/>
    <n v="488"/>
    <s v="Millones de dólares"/>
    <s v="BADECON"/>
    <x v="1"/>
    <s v="C12"/>
    <x v="24"/>
    <n v="89.6"/>
    <n v="87.8"/>
    <n v="89.6"/>
    <n v="544.64285714285722"/>
  </r>
  <r>
    <x v="2"/>
    <x v="0"/>
    <n v="1338"/>
    <s v="Millones de dólares"/>
    <s v="BADECON"/>
    <x v="1"/>
    <s v="CXX"/>
    <x v="0"/>
    <m/>
    <n v="95.629262636448004"/>
    <n v="95.629262636448004"/>
    <n v="1399.1533167903319"/>
  </r>
  <r>
    <x v="3"/>
    <x v="0"/>
    <n v="13354"/>
    <s v="Millones de dólares"/>
    <s v="BADECON"/>
    <x v="1"/>
    <s v="C10"/>
    <x v="1"/>
    <n v="92.136318280468004"/>
    <n v="96.211353938038002"/>
    <n v="92.136318280468004"/>
    <n v="14493.74171795067"/>
  </r>
  <r>
    <x v="3"/>
    <x v="1"/>
    <n v="41768"/>
    <s v="Millones de dólares"/>
    <s v="BADECON"/>
    <x v="1"/>
    <s v="C10"/>
    <x v="1"/>
    <n v="87.2"/>
    <n v="81.900000000000006"/>
    <n v="87.2"/>
    <n v="47899.082568807338"/>
  </r>
  <r>
    <x v="3"/>
    <x v="0"/>
    <n v="772"/>
    <s v="Millones de dólares"/>
    <s v="BADECON"/>
    <x v="1"/>
    <s v="C28"/>
    <x v="18"/>
    <n v="95.958177771508005"/>
    <n v="96.211353938038002"/>
    <n v="95.958177771508005"/>
    <n v="804.51715312712292"/>
  </r>
  <r>
    <x v="3"/>
    <x v="1"/>
    <n v="24508"/>
    <s v="Millones de dólares"/>
    <s v="BADECON"/>
    <x v="1"/>
    <s v="C28"/>
    <x v="18"/>
    <n v="82.9"/>
    <n v="81.900000000000006"/>
    <n v="82.9"/>
    <n v="29563.329312424601"/>
  </r>
  <r>
    <x v="3"/>
    <x v="0"/>
    <n v="161"/>
    <s v="Millones de dólares"/>
    <s v="BADECON"/>
    <x v="1"/>
    <s v="C14"/>
    <x v="4"/>
    <n v="107.52442116425"/>
    <n v="96.211353938038002"/>
    <n v="107.52442116425"/>
    <n v="149.73342637582101"/>
  </r>
  <r>
    <x v="3"/>
    <x v="1"/>
    <n v="2688"/>
    <s v="Millones de dólares"/>
    <s v="BADECON"/>
    <x v="1"/>
    <s v="C14"/>
    <x v="4"/>
    <n v="90.7"/>
    <n v="81.900000000000006"/>
    <n v="90.7"/>
    <n v="2963.61631753032"/>
  </r>
  <r>
    <x v="3"/>
    <x v="0"/>
    <n v="395"/>
    <s v="Millones de dólares"/>
    <s v="BADECON"/>
    <x v="1"/>
    <s v="C18"/>
    <x v="8"/>
    <n v="72.105553335238"/>
    <n v="96.211353938038002"/>
    <n v="72.105553335238"/>
    <n v="547.80801440291202"/>
  </r>
  <r>
    <x v="3"/>
    <x v="1"/>
    <n v="666"/>
    <s v="Millones de dólares"/>
    <s v="BADECON"/>
    <x v="1"/>
    <s v="C18"/>
    <x v="8"/>
    <n v="88.6"/>
    <n v="81.900000000000006"/>
    <n v="88.6"/>
    <n v="751.69300225733639"/>
  </r>
  <r>
    <x v="3"/>
    <x v="0"/>
    <n v="975"/>
    <s v="Millones de dólares"/>
    <s v="BADECON"/>
    <x v="1"/>
    <s v="C24"/>
    <x v="14"/>
    <n v="93.364041500221006"/>
    <n v="96.211353938038002"/>
    <n v="93.364041500221006"/>
    <n v="1044.2992658985229"/>
  </r>
  <r>
    <x v="3"/>
    <x v="1"/>
    <n v="20863"/>
    <s v="Millones de dólares"/>
    <s v="BADECON"/>
    <x v="1"/>
    <s v="C24"/>
    <x v="14"/>
    <n v="73.2"/>
    <n v="81.900000000000006"/>
    <n v="73.2"/>
    <n v="28501.366120218579"/>
  </r>
  <r>
    <x v="3"/>
    <x v="0"/>
    <n v="621"/>
    <s v="Millones de dólares"/>
    <s v="BADECON"/>
    <x v="1"/>
    <s v="C21"/>
    <x v="11"/>
    <n v="109.79561218418"/>
    <n v="96.211353938038002"/>
    <n v="109.79561218418"/>
    <n v="565.59637279337232"/>
  </r>
  <r>
    <x v="3"/>
    <x v="1"/>
    <n v="884"/>
    <s v="Millones de dólares"/>
    <s v="BADECON"/>
    <x v="1"/>
    <s v="C21"/>
    <x v="11"/>
    <n v="95.7"/>
    <n v="81.900000000000006"/>
    <n v="95.7"/>
    <n v="923.71995820271684"/>
  </r>
  <r>
    <x v="3"/>
    <x v="0"/>
    <n v="83"/>
    <s v="Millones de dólares"/>
    <s v="BADECON"/>
    <x v="1"/>
    <s v="C29"/>
    <x v="19"/>
    <n v="95.958177771508005"/>
    <n v="96.211353938038002"/>
    <n v="95.958177771508005"/>
    <n v="86.496015167812445"/>
  </r>
  <r>
    <x v="3"/>
    <x v="1"/>
    <n v="53028"/>
    <s v="Millones de dólares"/>
    <s v="BADECON"/>
    <x v="1"/>
    <s v="C29"/>
    <x v="19"/>
    <n v="82.9"/>
    <n v="81.900000000000006"/>
    <n v="82.9"/>
    <n v="63966.224366706883"/>
  </r>
  <r>
    <x v="3"/>
    <x v="0"/>
    <n v="2003"/>
    <s v="Millones de dólares"/>
    <s v="BADECON"/>
    <x v="1"/>
    <s v="C22"/>
    <x v="12"/>
    <n v="109.79561218418"/>
    <n v="96.211353938038002"/>
    <n v="109.79561218418"/>
    <n v="1824.298767641103"/>
  </r>
  <r>
    <x v="3"/>
    <x v="1"/>
    <n v="12126"/>
    <s v="Millones de dólares"/>
    <s v="BADECON"/>
    <x v="1"/>
    <s v="C22"/>
    <x v="12"/>
    <n v="81.900000000000006"/>
    <n v="81.900000000000006"/>
    <n v="81.900000000000006"/>
    <n v="14805.86080586081"/>
  </r>
  <r>
    <x v="3"/>
    <x v="0"/>
    <n v="1613"/>
    <s v="Millones de dólares"/>
    <s v="BADECON"/>
    <x v="1"/>
    <s v="C25"/>
    <x v="15"/>
    <n v="95.958177771508005"/>
    <n v="96.211353938038002"/>
    <n v="95.958177771508005"/>
    <n v="1680.940632116645"/>
  </r>
  <r>
    <x v="3"/>
    <x v="1"/>
    <n v="13454"/>
    <s v="Millones de dólares"/>
    <s v="BADECON"/>
    <x v="1"/>
    <s v="C25"/>
    <x v="15"/>
    <n v="76"/>
    <n v="81.900000000000006"/>
    <n v="76"/>
    <n v="17702.63157894737"/>
  </r>
  <r>
    <x v="3"/>
    <x v="0"/>
    <n v="1207"/>
    <s v="Millones de dólares"/>
    <s v="BADECON"/>
    <x v="1"/>
    <s v="C33"/>
    <x v="23"/>
    <n v="95.958177771508005"/>
    <n v="96.211353938038002"/>
    <n v="95.958177771508005"/>
    <n v="1257.839642259634"/>
  </r>
  <r>
    <x v="3"/>
    <x v="0"/>
    <n v="8200"/>
    <s v="Millones de dólares"/>
    <s v="BADECON"/>
    <x v="1"/>
    <s v="C20"/>
    <x v="10"/>
    <n v="109.79561218418"/>
    <n v="96.211353938038002"/>
    <n v="109.79561218418"/>
    <n v="7468.4223138577336"/>
  </r>
  <r>
    <x v="3"/>
    <x v="1"/>
    <n v="31590"/>
    <s v="Millones de dólares"/>
    <s v="BADECON"/>
    <x v="1"/>
    <s v="C20"/>
    <x v="10"/>
    <n v="95.7"/>
    <n v="81.900000000000006"/>
    <n v="95.7"/>
    <n v="33009.404388714727"/>
  </r>
  <r>
    <x v="3"/>
    <x v="0"/>
    <n v="261"/>
    <s v="Millones de dólares"/>
    <s v="BADECON"/>
    <x v="1"/>
    <s v="C31"/>
    <x v="21"/>
    <n v="107.1615082093"/>
    <n v="96.211353938038002"/>
    <n v="107.1615082093"/>
    <n v="243.55760231578111"/>
  </r>
  <r>
    <x v="3"/>
    <x v="1"/>
    <n v="503"/>
    <s v="Millones de dólares"/>
    <s v="BADECON"/>
    <x v="1"/>
    <s v="C31"/>
    <x v="21"/>
    <n v="85.5"/>
    <n v="81.900000000000006"/>
    <n v="85.5"/>
    <n v="588.30409356725147"/>
  </r>
  <r>
    <x v="3"/>
    <x v="0"/>
    <n v="3190"/>
    <s v="Millones de dólares"/>
    <s v="BADECON"/>
    <x v="1"/>
    <s v="C16"/>
    <x v="6"/>
    <n v="107.1615082093"/>
    <n v="96.211353938038002"/>
    <n v="107.1615082093"/>
    <n v="2976.8151394151018"/>
  </r>
  <r>
    <x v="3"/>
    <x v="1"/>
    <n v="960"/>
    <s v="Millones de dólares"/>
    <s v="BADECON"/>
    <x v="1"/>
    <s v="C16"/>
    <x v="6"/>
    <n v="85.2"/>
    <n v="81.900000000000006"/>
    <n v="85.2"/>
    <n v="1126.7605633802821"/>
  </r>
  <r>
    <x v="3"/>
    <x v="0"/>
    <n v="3688"/>
    <s v="Millones de dólares"/>
    <s v="BADECON"/>
    <x v="1"/>
    <s v="C17"/>
    <x v="7"/>
    <n v="72.105553335238"/>
    <n v="96.211353938038002"/>
    <n v="72.105553335238"/>
    <n v="5114.7239420707328"/>
  </r>
  <r>
    <x v="3"/>
    <x v="1"/>
    <n v="8239"/>
    <s v="Millones de dólares"/>
    <s v="BADECON"/>
    <x v="1"/>
    <s v="C17"/>
    <x v="7"/>
    <n v="82"/>
    <n v="81.900000000000006"/>
    <n v="82"/>
    <n v="10047.560975609749"/>
  </r>
  <r>
    <x v="3"/>
    <x v="0"/>
    <n v="1884"/>
    <s v="Millones de dólares"/>
    <s v="BADECON"/>
    <x v="1"/>
    <s v="C23"/>
    <x v="13"/>
    <n v="93.364041500221006"/>
    <n v="96.211353938038002"/>
    <n v="93.364041500221006"/>
    <n v="2017.907504566992"/>
  </r>
  <r>
    <x v="3"/>
    <x v="1"/>
    <n v="13009"/>
    <s v="Millones de dólares"/>
    <s v="BADECON"/>
    <x v="1"/>
    <s v="C23"/>
    <x v="13"/>
    <n v="80.2"/>
    <n v="81.900000000000006"/>
    <n v="80.2"/>
    <n v="16220.69825436409"/>
  </r>
  <r>
    <x v="3"/>
    <x v="0"/>
    <n v="508"/>
    <s v="Millones de dólares"/>
    <s v="BADECON"/>
    <x v="1"/>
    <s v="C27"/>
    <x v="17"/>
    <n v="95.958177771508005"/>
    <n v="96.211353938038002"/>
    <n v="95.958177771508005"/>
    <n v="529.39729765359914"/>
  </r>
  <r>
    <x v="3"/>
    <x v="1"/>
    <n v="17327"/>
    <s v="Millones de dólares"/>
    <s v="BADECON"/>
    <x v="1"/>
    <s v="C27"/>
    <x v="17"/>
    <n v="84.9"/>
    <n v="81.900000000000006"/>
    <n v="84.9"/>
    <n v="20408.71613663133"/>
  </r>
  <r>
    <x v="3"/>
    <x v="0"/>
    <n v="224"/>
    <s v="Millones de dólares"/>
    <s v="BADECON"/>
    <x v="1"/>
    <s v="C13"/>
    <x v="3"/>
    <n v="107.52442116425"/>
    <n v="96.211353938038002"/>
    <n v="107.52442116425"/>
    <n v="208.32476713157709"/>
  </r>
  <r>
    <x v="3"/>
    <x v="1"/>
    <n v="8755"/>
    <s v="Millones de dólares"/>
    <s v="BADECON"/>
    <x v="1"/>
    <s v="C13"/>
    <x v="3"/>
    <n v="84.5"/>
    <n v="81.900000000000006"/>
    <n v="84.5"/>
    <n v="10360.946745562131"/>
  </r>
  <r>
    <x v="3"/>
    <x v="0"/>
    <n v="75"/>
    <s v="Millones de dólares"/>
    <s v="BADECON"/>
    <x v="1"/>
    <s v="C32"/>
    <x v="22"/>
    <m/>
    <n v="96.211353938038002"/>
    <n v="96.211353938038002"/>
    <n v="77.953377569451391"/>
  </r>
  <r>
    <x v="3"/>
    <x v="1"/>
    <n v="376"/>
    <s v="Millones de dólares"/>
    <s v="BADECON"/>
    <x v="1"/>
    <s v="C32"/>
    <x v="22"/>
    <n v="86.4"/>
    <n v="81.900000000000006"/>
    <n v="86.4"/>
    <n v="435.18518518518511"/>
  </r>
  <r>
    <x v="3"/>
    <x v="0"/>
    <n v="158"/>
    <s v="Millones de dólares"/>
    <s v="BADECON"/>
    <x v="1"/>
    <s v="C15"/>
    <x v="5"/>
    <n v="107.52442116425"/>
    <n v="96.211353938038002"/>
    <n v="107.52442116425"/>
    <n v="146.9433625303088"/>
  </r>
  <r>
    <x v="3"/>
    <x v="1"/>
    <n v="2123"/>
    <s v="Millones de dólares"/>
    <s v="BADECON"/>
    <x v="1"/>
    <s v="C15"/>
    <x v="5"/>
    <n v="90.8"/>
    <n v="81.900000000000006"/>
    <n v="90.8"/>
    <n v="2338.105726872247"/>
  </r>
  <r>
    <x v="3"/>
    <x v="0"/>
    <n v="3278"/>
    <s v="Millones de dólares"/>
    <s v="BADECON"/>
    <x v="1"/>
    <s v="C11"/>
    <x v="2"/>
    <n v="100.22588687651999"/>
    <n v="96.211353938038002"/>
    <n v="100.22588687651999"/>
    <n v="3270.6121164470728"/>
  </r>
  <r>
    <x v="3"/>
    <x v="1"/>
    <n v="11659"/>
    <s v="Millones de dólares"/>
    <s v="BADECON"/>
    <x v="1"/>
    <s v="C11"/>
    <x v="2"/>
    <n v="80"/>
    <n v="81.900000000000006"/>
    <n v="80"/>
    <n v="14573.75"/>
  </r>
  <r>
    <x v="3"/>
    <x v="0"/>
    <n v="54"/>
    <s v="Millones de dólares"/>
    <s v="BADECON"/>
    <x v="1"/>
    <s v="C26"/>
    <x v="16"/>
    <n v="95.958177771508005"/>
    <n v="96.211353938038002"/>
    <n v="95.958177771508005"/>
    <n v="56.274515892311719"/>
  </r>
  <r>
    <x v="3"/>
    <x v="1"/>
    <n v="4513"/>
    <s v="Millones de dólares"/>
    <s v="BADECON"/>
    <x v="1"/>
    <s v="C26"/>
    <x v="16"/>
    <n v="83.4"/>
    <n v="81.900000000000006"/>
    <n v="83.4"/>
    <n v="5411.2709832134287"/>
  </r>
  <r>
    <x v="3"/>
    <x v="0"/>
    <n v="3"/>
    <s v="Millones de dólares"/>
    <s v="BADECON"/>
    <x v="1"/>
    <s v="C30"/>
    <x v="20"/>
    <n v="95.958177771508005"/>
    <n v="96.211353938038002"/>
    <n v="95.958177771508005"/>
    <n v="3.126361994017318"/>
  </r>
  <r>
    <x v="3"/>
    <x v="1"/>
    <n v="691"/>
    <s v="Millones de dólares"/>
    <s v="BADECON"/>
    <x v="1"/>
    <s v="C30"/>
    <x v="20"/>
    <n v="82.9"/>
    <n v="81.900000000000006"/>
    <n v="82.9"/>
    <n v="833.53437876960186"/>
  </r>
  <r>
    <x v="3"/>
    <x v="1"/>
    <n v="23873"/>
    <s v="Millones de dólares"/>
    <s v="BADECON"/>
    <x v="1"/>
    <s v="C19"/>
    <x v="9"/>
    <n v="47.6"/>
    <n v="81.900000000000006"/>
    <n v="47.6"/>
    <n v="50153.361344537807"/>
  </r>
  <r>
    <x v="3"/>
    <x v="1"/>
    <n v="505"/>
    <s v="Millones de dólares"/>
    <s v="BADECON"/>
    <x v="1"/>
    <s v="C12"/>
    <x v="24"/>
    <n v="80"/>
    <n v="81.900000000000006"/>
    <n v="80"/>
    <n v="631.25"/>
  </r>
  <r>
    <x v="3"/>
    <x v="0"/>
    <n v="2423"/>
    <s v="Millones de dólares"/>
    <s v="BADECON"/>
    <x v="1"/>
    <s v="CXX"/>
    <x v="0"/>
    <m/>
    <n v="96.211353938038002"/>
    <n v="96.211353938038002"/>
    <n v="2518.4137846770759"/>
  </r>
  <r>
    <x v="4"/>
    <x v="0"/>
    <n v="312780233"/>
    <s v="Unidades"/>
    <s v="BADECON"/>
    <x v="2"/>
    <s v="C10"/>
    <x v="1"/>
    <n v="107.43342807145"/>
    <n v="103.59652904204"/>
    <n v="107.43342807145"/>
    <n v="312780233"/>
  </r>
  <r>
    <x v="4"/>
    <x v="1"/>
    <n v="2120935000"/>
    <s v="Unidades"/>
    <s v="BADECON"/>
    <x v="2"/>
    <s v="C10"/>
    <x v="1"/>
    <n v="107.1"/>
    <n v="108.6"/>
    <n v="107.1"/>
    <n v="2120935000"/>
  </r>
  <r>
    <x v="4"/>
    <x v="0"/>
    <n v="33749079"/>
    <s v="Unidades"/>
    <s v="BADECON"/>
    <x v="2"/>
    <s v="C23"/>
    <x v="13"/>
    <n v="104.48191541983"/>
    <n v="103.59652904204"/>
    <n v="104.48191541983"/>
    <n v="33749079"/>
  </r>
  <r>
    <x v="4"/>
    <x v="1"/>
    <n v="382690000"/>
    <s v="Unidades"/>
    <s v="BADECON"/>
    <x v="2"/>
    <s v="C23"/>
    <x v="13"/>
    <n v="108.2"/>
    <n v="108.6"/>
    <n v="108.2"/>
    <n v="382690000"/>
  </r>
  <r>
    <x v="4"/>
    <x v="0"/>
    <n v="37076193"/>
    <s v="Unidades"/>
    <s v="BADECON"/>
    <x v="2"/>
    <s v="C25"/>
    <x v="15"/>
    <n v="113.44450268036999"/>
    <n v="103.59652904204"/>
    <n v="113.44450268036999"/>
    <n v="37076193"/>
  </r>
  <r>
    <x v="4"/>
    <x v="1"/>
    <n v="662988000"/>
    <s v="Unidades"/>
    <s v="BADECON"/>
    <x v="2"/>
    <s v="C25"/>
    <x v="15"/>
    <n v="109.5"/>
    <n v="108.6"/>
    <n v="109.5"/>
    <n v="662988000"/>
  </r>
  <r>
    <x v="4"/>
    <x v="0"/>
    <n v="46048468"/>
    <s v="Unidades"/>
    <s v="BADECON"/>
    <x v="2"/>
    <s v="C33"/>
    <x v="23"/>
    <n v="113.44450268036999"/>
    <n v="103.59652904204"/>
    <n v="113.44450268036999"/>
    <n v="46048468"/>
  </r>
  <r>
    <x v="4"/>
    <x v="0"/>
    <n v="44139071"/>
    <s v="Unidades"/>
    <s v="BADECON"/>
    <x v="2"/>
    <s v="C20"/>
    <x v="10"/>
    <n v="100.20302658438"/>
    <n v="103.59652904204"/>
    <n v="100.20302658438"/>
    <n v="44139071"/>
  </r>
  <r>
    <x v="4"/>
    <x v="1"/>
    <n v="428844000"/>
    <s v="Unidades"/>
    <s v="BADECON"/>
    <x v="2"/>
    <s v="C20"/>
    <x v="10"/>
    <n v="103.9"/>
    <n v="108.6"/>
    <n v="103.9"/>
    <n v="428844000"/>
  </r>
  <r>
    <x v="4"/>
    <x v="0"/>
    <n v="16573945"/>
    <s v="Unidades"/>
    <s v="BADECON"/>
    <x v="2"/>
    <s v="C24"/>
    <x v="14"/>
    <n v="104.48191541983"/>
    <n v="103.59652904204"/>
    <n v="104.48191541983"/>
    <n v="16573945"/>
  </r>
  <r>
    <x v="4"/>
    <x v="1"/>
    <n v="275145000"/>
    <s v="Unidades"/>
    <s v="BADECON"/>
    <x v="2"/>
    <s v="C24"/>
    <x v="14"/>
    <n v="111.8"/>
    <n v="108.6"/>
    <n v="111.8"/>
    <n v="275145000"/>
  </r>
  <r>
    <x v="4"/>
    <x v="0"/>
    <n v="17326700"/>
    <s v="Unidades"/>
    <s v="BADECON"/>
    <x v="2"/>
    <s v="C28"/>
    <x v="18"/>
    <n v="113.44450268036999"/>
    <n v="103.59652904204"/>
    <n v="113.44450268036999"/>
    <n v="17326700"/>
  </r>
  <r>
    <x v="4"/>
    <x v="1"/>
    <n v="927673000"/>
    <s v="Unidades"/>
    <s v="BADECON"/>
    <x v="2"/>
    <s v="C28"/>
    <x v="18"/>
    <n v="110.3"/>
    <n v="108.6"/>
    <n v="110.3"/>
    <n v="927673000"/>
  </r>
  <r>
    <x v="4"/>
    <x v="0"/>
    <n v="42710251"/>
    <s v="Unidades"/>
    <s v="BADECON"/>
    <x v="2"/>
    <s v="C22"/>
    <x v="12"/>
    <n v="100.20302658438"/>
    <n v="103.59652904204"/>
    <n v="100.20302658438"/>
    <n v="42710251"/>
  </r>
  <r>
    <x v="4"/>
    <x v="1"/>
    <n v="563090000"/>
    <s v="Unidades"/>
    <s v="BADECON"/>
    <x v="2"/>
    <s v="C22"/>
    <x v="12"/>
    <n v="105.6"/>
    <n v="108.6"/>
    <n v="105.6"/>
    <n v="563090000"/>
  </r>
  <r>
    <x v="4"/>
    <x v="0"/>
    <n v="40577468"/>
    <s v="Unidades"/>
    <s v="BADECON"/>
    <x v="2"/>
    <s v="C11"/>
    <x v="2"/>
    <n v="123.69234493793"/>
    <n v="103.59652904204"/>
    <n v="123.69234493793"/>
    <n v="40577468"/>
  </r>
  <r>
    <x v="4"/>
    <x v="1"/>
    <n v="373884000"/>
    <s v="Unidades"/>
    <s v="BADECON"/>
    <x v="2"/>
    <s v="C11"/>
    <x v="2"/>
    <n v="109.5"/>
    <n v="108.6"/>
    <n v="109.5"/>
    <n v="373884000"/>
  </r>
  <r>
    <x v="4"/>
    <x v="0"/>
    <n v="17583905"/>
    <s v="Unidades"/>
    <s v="BADECON"/>
    <x v="2"/>
    <s v="C31"/>
    <x v="21"/>
    <n v="110.87139466242"/>
    <n v="103.59652904204"/>
    <n v="110.87139466242"/>
    <n v="17583905"/>
  </r>
  <r>
    <x v="4"/>
    <x v="1"/>
    <n v="59728000"/>
    <s v="Unidades"/>
    <s v="BADECON"/>
    <x v="2"/>
    <s v="C31"/>
    <x v="21"/>
    <n v="108.5"/>
    <n v="108.6"/>
    <n v="108.5"/>
    <n v="59728000"/>
  </r>
  <r>
    <x v="4"/>
    <x v="0"/>
    <n v="6522588"/>
    <s v="Unidades"/>
    <s v="BADECON"/>
    <x v="2"/>
    <s v="C13"/>
    <x v="3"/>
    <n v="71.728747032472995"/>
    <n v="103.59652904204"/>
    <n v="71.728747032472995"/>
    <n v="6522588"/>
  </r>
  <r>
    <x v="4"/>
    <x v="1"/>
    <n v="587930000"/>
    <s v="Unidades"/>
    <s v="BADECON"/>
    <x v="2"/>
    <s v="C13"/>
    <x v="3"/>
    <n v="105.5"/>
    <n v="108.6"/>
    <n v="105.5"/>
    <n v="587930000"/>
  </r>
  <r>
    <x v="4"/>
    <x v="0"/>
    <n v="6017653"/>
    <s v="Unidades"/>
    <s v="BADECON"/>
    <x v="2"/>
    <s v="C14"/>
    <x v="4"/>
    <n v="71.728747032472995"/>
    <n v="103.59652904204"/>
    <n v="71.728747032472995"/>
    <n v="6017653"/>
  </r>
  <r>
    <x v="4"/>
    <x v="1"/>
    <n v="263012000"/>
    <s v="Unidades"/>
    <s v="BADECON"/>
    <x v="2"/>
    <s v="C14"/>
    <x v="4"/>
    <n v="110.2"/>
    <n v="108.6"/>
    <n v="110.2"/>
    <n v="263012000"/>
  </r>
  <r>
    <x v="4"/>
    <x v="0"/>
    <n v="45088667"/>
    <s v="Unidades"/>
    <s v="BADECON"/>
    <x v="2"/>
    <s v="C17"/>
    <x v="7"/>
    <n v="65.215368011810995"/>
    <n v="103.59652904204"/>
    <n v="65.215368011810995"/>
    <n v="45088667"/>
  </r>
  <r>
    <x v="4"/>
    <x v="1"/>
    <n v="196574000"/>
    <s v="Unidades"/>
    <s v="BADECON"/>
    <x v="2"/>
    <s v="C17"/>
    <x v="7"/>
    <n v="107.4"/>
    <n v="108.6"/>
    <n v="107.4"/>
    <n v="196574000"/>
  </r>
  <r>
    <x v="4"/>
    <x v="0"/>
    <n v="11640782"/>
    <s v="Unidades"/>
    <s v="BADECON"/>
    <x v="2"/>
    <s v="C27"/>
    <x v="17"/>
    <n v="113.44450268036999"/>
    <n v="103.59652904204"/>
    <n v="113.44450268036999"/>
    <n v="11640782"/>
  </r>
  <r>
    <x v="4"/>
    <x v="1"/>
    <n v="1191671000"/>
    <s v="Unidades"/>
    <s v="BADECON"/>
    <x v="2"/>
    <s v="C27"/>
    <x v="17"/>
    <n v="107.4"/>
    <n v="108.6"/>
    <n v="107.4"/>
    <n v="1191671000"/>
  </r>
  <r>
    <x v="4"/>
    <x v="0"/>
    <n v="2011099"/>
    <s v="Unidades"/>
    <s v="BADECON"/>
    <x v="2"/>
    <s v="C32"/>
    <x v="22"/>
    <m/>
    <n v="103.59652904204"/>
    <n v="103.59652904204"/>
    <n v="2011099"/>
  </r>
  <r>
    <x v="4"/>
    <x v="1"/>
    <n v="29643000"/>
    <s v="Unidades"/>
    <s v="BADECON"/>
    <x v="2"/>
    <s v="C32"/>
    <x v="22"/>
    <n v="112.5"/>
    <n v="108.6"/>
    <n v="112.5"/>
    <n v="29643000"/>
  </r>
  <r>
    <x v="4"/>
    <x v="0"/>
    <n v="51180556"/>
    <s v="Unidades"/>
    <s v="BADECON"/>
    <x v="2"/>
    <s v="C16"/>
    <x v="6"/>
    <n v="110.87139466242"/>
    <n v="103.59652904204"/>
    <n v="110.87139466242"/>
    <n v="51180556"/>
  </r>
  <r>
    <x v="4"/>
    <x v="1"/>
    <n v="58917000"/>
    <s v="Unidades"/>
    <s v="BADECON"/>
    <x v="2"/>
    <s v="C16"/>
    <x v="6"/>
    <n v="108.1"/>
    <n v="108.6"/>
    <n v="108.1"/>
    <n v="58917000"/>
  </r>
  <r>
    <x v="4"/>
    <x v="0"/>
    <n v="8279001"/>
    <s v="Unidades"/>
    <s v="BADECON"/>
    <x v="2"/>
    <s v="C18"/>
    <x v="8"/>
    <n v="65.215368011810995"/>
    <n v="103.59652904204"/>
    <n v="65.215368011810995"/>
    <n v="8279001"/>
  </r>
  <r>
    <x v="4"/>
    <x v="1"/>
    <n v="30968000"/>
    <s v="Unidades"/>
    <s v="BADECON"/>
    <x v="2"/>
    <s v="C18"/>
    <x v="8"/>
    <n v="109.7"/>
    <n v="108.6"/>
    <n v="109.7"/>
    <n v="30968000"/>
  </r>
  <r>
    <x v="4"/>
    <x v="0"/>
    <n v="1719113"/>
    <s v="Unidades"/>
    <s v="BADECON"/>
    <x v="2"/>
    <s v="C30"/>
    <x v="20"/>
    <n v="113.44450268036999"/>
    <n v="103.59652904204"/>
    <n v="113.44450268036999"/>
    <n v="1719113"/>
  </r>
  <r>
    <x v="4"/>
    <x v="1"/>
    <n v="53613000"/>
    <s v="Unidades"/>
    <s v="BADECON"/>
    <x v="2"/>
    <s v="C30"/>
    <x v="20"/>
    <n v="111.5"/>
    <n v="108.6"/>
    <n v="111.5"/>
    <n v="53613000"/>
  </r>
  <r>
    <x v="4"/>
    <x v="0"/>
    <n v="1840763"/>
    <s v="Unidades"/>
    <s v="BADECON"/>
    <x v="2"/>
    <s v="C15"/>
    <x v="5"/>
    <n v="71.728747032472995"/>
    <n v="103.59652904204"/>
    <n v="71.728747032472995"/>
    <n v="1840763"/>
  </r>
  <r>
    <x v="4"/>
    <x v="1"/>
    <n v="113294000"/>
    <s v="Unidades"/>
    <s v="BADECON"/>
    <x v="2"/>
    <s v="C15"/>
    <x v="5"/>
    <n v="105.1"/>
    <n v="108.6"/>
    <n v="105.1"/>
    <n v="113294000"/>
  </r>
  <r>
    <x v="4"/>
    <x v="0"/>
    <n v="23038067"/>
    <s v="Unidades"/>
    <s v="BADECON"/>
    <x v="2"/>
    <s v="C21"/>
    <x v="11"/>
    <n v="100.20302658438"/>
    <n v="103.59652904204"/>
    <n v="100.20302658438"/>
    <n v="23038067"/>
  </r>
  <r>
    <x v="4"/>
    <x v="1"/>
    <n v="184820000"/>
    <s v="Unidades"/>
    <s v="BADECON"/>
    <x v="2"/>
    <s v="C21"/>
    <x v="11"/>
    <n v="103.9"/>
    <n v="108.6"/>
    <n v="103.9"/>
    <n v="184820000"/>
  </r>
  <r>
    <x v="4"/>
    <x v="0"/>
    <n v="386240"/>
    <s v="Unidades"/>
    <s v="BADECON"/>
    <x v="2"/>
    <s v="C26"/>
    <x v="16"/>
    <n v="113.44450268036999"/>
    <n v="103.59652904204"/>
    <n v="113.44450268036999"/>
    <n v="386240"/>
  </r>
  <r>
    <x v="4"/>
    <x v="1"/>
    <n v="798527000"/>
    <s v="Unidades"/>
    <s v="BADECON"/>
    <x v="2"/>
    <s v="C26"/>
    <x v="16"/>
    <n v="109.4"/>
    <n v="108.6"/>
    <n v="109.4"/>
    <n v="798527000"/>
  </r>
  <r>
    <x v="4"/>
    <x v="0"/>
    <n v="1588204"/>
    <s v="Unidades"/>
    <s v="BADECON"/>
    <x v="2"/>
    <s v="C29"/>
    <x v="19"/>
    <n v="113.44450268036999"/>
    <n v="103.59652904204"/>
    <n v="113.44450268036999"/>
    <n v="1588204"/>
  </r>
  <r>
    <x v="4"/>
    <x v="1"/>
    <n v="212619000"/>
    <s v="Unidades"/>
    <s v="BADECON"/>
    <x v="2"/>
    <s v="C29"/>
    <x v="19"/>
    <n v="111.5"/>
    <n v="108.6"/>
    <n v="111.5"/>
    <n v="212619000"/>
  </r>
  <r>
    <x v="4"/>
    <x v="1"/>
    <n v="59921000"/>
    <s v="Unidades"/>
    <s v="BADECON"/>
    <x v="2"/>
    <s v="C19"/>
    <x v="9"/>
    <n v="100.6"/>
    <n v="108.6"/>
    <n v="100.6"/>
    <n v="59921000"/>
  </r>
  <r>
    <x v="4"/>
    <x v="1"/>
    <n v="5522000"/>
    <s v="Unidades"/>
    <s v="BADECON"/>
    <x v="2"/>
    <s v="C12"/>
    <x v="24"/>
    <n v="109.5"/>
    <n v="108.6"/>
    <n v="109.5"/>
    <n v="5522000"/>
  </r>
  <r>
    <x v="4"/>
    <x v="0"/>
    <n v="29344097"/>
    <s v="Unidades"/>
    <s v="BADECON"/>
    <x v="2"/>
    <s v="CXX"/>
    <x v="0"/>
    <m/>
    <n v="103.59652904204"/>
    <n v="103.59652904204"/>
    <n v="29344097"/>
  </r>
  <r>
    <x v="5"/>
    <x v="0"/>
    <n v="323394091"/>
    <s v="Unidades"/>
    <s v="BADECON"/>
    <x v="2"/>
    <s v="C10"/>
    <x v="1"/>
    <n v="101.52099705321"/>
    <n v="98.151526954033002"/>
    <n v="101.52099705321"/>
    <n v="323394091"/>
  </r>
  <r>
    <x v="5"/>
    <x v="1"/>
    <n v="2171751000"/>
    <s v="Unidades"/>
    <s v="BADECON"/>
    <x v="2"/>
    <s v="C10"/>
    <x v="1"/>
    <n v="102.3"/>
    <n v="102.4"/>
    <n v="102.3"/>
    <n v="2171751000"/>
  </r>
  <r>
    <x v="5"/>
    <x v="0"/>
    <n v="9511259"/>
    <s v="Unidades"/>
    <s v="BADECON"/>
    <x v="2"/>
    <s v="C14"/>
    <x v="4"/>
    <n v="84.562992854463005"/>
    <n v="98.151526954033002"/>
    <n v="84.562992854463005"/>
    <n v="9511259"/>
  </r>
  <r>
    <x v="5"/>
    <x v="1"/>
    <n v="348384000"/>
    <s v="Unidades"/>
    <s v="BADECON"/>
    <x v="2"/>
    <s v="C14"/>
    <x v="4"/>
    <n v="105.3"/>
    <n v="102.4"/>
    <n v="105.3"/>
    <n v="348384000"/>
  </r>
  <r>
    <x v="5"/>
    <x v="0"/>
    <n v="44399108"/>
    <s v="Unidades"/>
    <s v="BADECON"/>
    <x v="2"/>
    <s v="C22"/>
    <x v="12"/>
    <n v="94.527911873682996"/>
    <n v="98.151526954033002"/>
    <n v="94.527911873682996"/>
    <n v="44399108"/>
  </r>
  <r>
    <x v="5"/>
    <x v="1"/>
    <n v="606235000"/>
    <s v="Unidades"/>
    <s v="BADECON"/>
    <x v="2"/>
    <s v="C22"/>
    <x v="12"/>
    <n v="103.4"/>
    <n v="102.4"/>
    <n v="103.4"/>
    <n v="606235000"/>
  </r>
  <r>
    <x v="5"/>
    <x v="0"/>
    <n v="39787815"/>
    <s v="Unidades"/>
    <s v="BADECON"/>
    <x v="2"/>
    <s v="C23"/>
    <x v="13"/>
    <n v="96.894683830418003"/>
    <n v="98.151526954033002"/>
    <n v="96.894683830418003"/>
    <n v="39787815"/>
  </r>
  <r>
    <x v="5"/>
    <x v="1"/>
    <n v="428326000"/>
    <s v="Unidades"/>
    <s v="BADECON"/>
    <x v="2"/>
    <s v="C23"/>
    <x v="13"/>
    <n v="104.4"/>
    <n v="102.4"/>
    <n v="104.4"/>
    <n v="428326000"/>
  </r>
  <r>
    <x v="5"/>
    <x v="0"/>
    <n v="49346305"/>
    <s v="Unidades"/>
    <s v="BADECON"/>
    <x v="2"/>
    <s v="C25"/>
    <x v="15"/>
    <n v="106.59709315790001"/>
    <n v="98.151526954033002"/>
    <n v="106.59709315790001"/>
    <n v="49346305"/>
  </r>
  <r>
    <x v="5"/>
    <x v="1"/>
    <n v="735504000"/>
    <s v="Unidades"/>
    <s v="BADECON"/>
    <x v="2"/>
    <s v="C25"/>
    <x v="15"/>
    <n v="104.2"/>
    <n v="102.4"/>
    <n v="104.2"/>
    <n v="735504000"/>
  </r>
  <r>
    <x v="5"/>
    <x v="0"/>
    <n v="42530733"/>
    <s v="Unidades"/>
    <s v="BADECON"/>
    <x v="2"/>
    <s v="C33"/>
    <x v="23"/>
    <n v="106.59709315790001"/>
    <n v="98.151526954033002"/>
    <n v="106.59709315790001"/>
    <n v="42530733"/>
  </r>
  <r>
    <x v="5"/>
    <x v="0"/>
    <n v="48238728"/>
    <s v="Unidades"/>
    <s v="BADECON"/>
    <x v="2"/>
    <s v="C20"/>
    <x v="10"/>
    <n v="94.527911873682996"/>
    <n v="98.151526954033002"/>
    <n v="94.527911873682996"/>
    <n v="48238728"/>
  </r>
  <r>
    <x v="5"/>
    <x v="1"/>
    <n v="436515000"/>
    <s v="Unidades"/>
    <s v="BADECON"/>
    <x v="2"/>
    <s v="C20"/>
    <x v="10"/>
    <n v="101.6"/>
    <n v="102.4"/>
    <n v="101.6"/>
    <n v="436515000"/>
  </r>
  <r>
    <x v="5"/>
    <x v="0"/>
    <n v="14956365"/>
    <s v="Unidades"/>
    <s v="BADECON"/>
    <x v="2"/>
    <s v="C24"/>
    <x v="14"/>
    <n v="96.894683830418003"/>
    <n v="98.151526954033002"/>
    <n v="96.894683830418003"/>
    <n v="14956365"/>
  </r>
  <r>
    <x v="5"/>
    <x v="1"/>
    <n v="293900000"/>
    <s v="Unidades"/>
    <s v="BADECON"/>
    <x v="2"/>
    <s v="C24"/>
    <x v="14"/>
    <n v="99"/>
    <n v="102.4"/>
    <n v="99"/>
    <n v="293900000"/>
  </r>
  <r>
    <x v="5"/>
    <x v="0"/>
    <n v="18957745"/>
    <s v="Unidades"/>
    <s v="BADECON"/>
    <x v="2"/>
    <s v="C28"/>
    <x v="18"/>
    <n v="106.59709315790001"/>
    <n v="98.151526954033002"/>
    <n v="106.59709315790001"/>
    <n v="18957745"/>
  </r>
  <r>
    <x v="5"/>
    <x v="1"/>
    <n v="1034377000"/>
    <s v="Unidades"/>
    <s v="BADECON"/>
    <x v="2"/>
    <s v="C28"/>
    <x v="18"/>
    <n v="102.7"/>
    <n v="102.4"/>
    <n v="102.7"/>
    <n v="1034377000"/>
  </r>
  <r>
    <x v="5"/>
    <x v="0"/>
    <n v="40205704"/>
    <s v="Unidades"/>
    <s v="BADECON"/>
    <x v="2"/>
    <s v="C11"/>
    <x v="2"/>
    <n v="111.60809989866"/>
    <n v="98.151526954033002"/>
    <n v="111.60809989866"/>
    <n v="40205704"/>
  </r>
  <r>
    <x v="5"/>
    <x v="1"/>
    <n v="369621000"/>
    <s v="Unidades"/>
    <s v="BADECON"/>
    <x v="2"/>
    <s v="C11"/>
    <x v="2"/>
    <n v="104.9"/>
    <n v="102.4"/>
    <n v="104.9"/>
    <n v="369621000"/>
  </r>
  <r>
    <x v="5"/>
    <x v="0"/>
    <n v="19795470"/>
    <s v="Unidades"/>
    <s v="BADECON"/>
    <x v="2"/>
    <s v="C31"/>
    <x v="21"/>
    <n v="97.634045562563003"/>
    <n v="98.151526954033002"/>
    <n v="97.634045562563003"/>
    <n v="19795470"/>
  </r>
  <r>
    <x v="5"/>
    <x v="1"/>
    <n v="63980000"/>
    <s v="Unidades"/>
    <s v="BADECON"/>
    <x v="2"/>
    <s v="C31"/>
    <x v="21"/>
    <n v="104.2"/>
    <n v="102.4"/>
    <n v="104.2"/>
    <n v="63980000"/>
  </r>
  <r>
    <x v="5"/>
    <x v="0"/>
    <n v="7905251"/>
    <s v="Unidades"/>
    <s v="BADECON"/>
    <x v="2"/>
    <s v="C13"/>
    <x v="3"/>
    <n v="84.562992854463005"/>
    <n v="98.151526954033002"/>
    <n v="84.562992854463005"/>
    <n v="7905251"/>
  </r>
  <r>
    <x v="5"/>
    <x v="1"/>
    <n v="678635000"/>
    <s v="Unidades"/>
    <s v="BADECON"/>
    <x v="2"/>
    <s v="C13"/>
    <x v="3"/>
    <n v="102.4"/>
    <n v="102.4"/>
    <n v="102.4"/>
    <n v="678635000"/>
  </r>
  <r>
    <x v="5"/>
    <x v="0"/>
    <n v="53748548"/>
    <s v="Unidades"/>
    <s v="BADECON"/>
    <x v="2"/>
    <s v="C16"/>
    <x v="6"/>
    <n v="97.634045562563003"/>
    <n v="98.151526954033002"/>
    <n v="97.634045562563003"/>
    <n v="53748548"/>
  </r>
  <r>
    <x v="5"/>
    <x v="1"/>
    <n v="69731000"/>
    <s v="Unidades"/>
    <s v="BADECON"/>
    <x v="2"/>
    <s v="C16"/>
    <x v="6"/>
    <n v="105.5"/>
    <n v="102.4"/>
    <n v="105.5"/>
    <n v="69731000"/>
  </r>
  <r>
    <x v="5"/>
    <x v="0"/>
    <n v="55432947"/>
    <s v="Unidades"/>
    <s v="BADECON"/>
    <x v="2"/>
    <s v="C17"/>
    <x v="7"/>
    <n v="72.666250473058"/>
    <n v="98.151526954033002"/>
    <n v="72.666250473058"/>
    <n v="55432947"/>
  </r>
  <r>
    <x v="5"/>
    <x v="1"/>
    <n v="204237000"/>
    <s v="Unidades"/>
    <s v="BADECON"/>
    <x v="2"/>
    <s v="C17"/>
    <x v="7"/>
    <n v="104.5"/>
    <n v="102.4"/>
    <n v="104.5"/>
    <n v="204237000"/>
  </r>
  <r>
    <x v="5"/>
    <x v="0"/>
    <n v="13551030"/>
    <s v="Unidades"/>
    <s v="BADECON"/>
    <x v="2"/>
    <s v="C18"/>
    <x v="8"/>
    <n v="72.666250473058"/>
    <n v="98.151526954033002"/>
    <n v="72.666250473058"/>
    <n v="13551030"/>
  </r>
  <r>
    <x v="5"/>
    <x v="1"/>
    <n v="35708000"/>
    <s v="Unidades"/>
    <s v="BADECON"/>
    <x v="2"/>
    <s v="C18"/>
    <x v="8"/>
    <n v="106"/>
    <n v="102.4"/>
    <n v="106"/>
    <n v="35708000"/>
  </r>
  <r>
    <x v="5"/>
    <x v="0"/>
    <n v="15826763"/>
    <s v="Unidades"/>
    <s v="BADECON"/>
    <x v="2"/>
    <s v="C27"/>
    <x v="17"/>
    <n v="106.59709315790001"/>
    <n v="98.151526954033002"/>
    <n v="106.59709315790001"/>
    <n v="15826763"/>
  </r>
  <r>
    <x v="5"/>
    <x v="1"/>
    <n v="1298249000"/>
    <s v="Unidades"/>
    <s v="BADECON"/>
    <x v="2"/>
    <s v="C27"/>
    <x v="17"/>
    <n v="102.3"/>
    <n v="102.4"/>
    <n v="102.3"/>
    <n v="1298249000"/>
  </r>
  <r>
    <x v="5"/>
    <x v="0"/>
    <n v="5365094"/>
    <s v="Unidades"/>
    <s v="BADECON"/>
    <x v="2"/>
    <s v="C15"/>
    <x v="5"/>
    <n v="84.562992854463005"/>
    <n v="98.151526954033002"/>
    <n v="84.562992854463005"/>
    <n v="5365094"/>
  </r>
  <r>
    <x v="5"/>
    <x v="1"/>
    <n v="161930000"/>
    <s v="Unidades"/>
    <s v="BADECON"/>
    <x v="2"/>
    <s v="C15"/>
    <x v="5"/>
    <n v="102.3"/>
    <n v="102.4"/>
    <n v="102.3"/>
    <n v="161930000"/>
  </r>
  <r>
    <x v="5"/>
    <x v="0"/>
    <n v="1535531"/>
    <s v="Unidades"/>
    <s v="BADECON"/>
    <x v="2"/>
    <s v="C30"/>
    <x v="20"/>
    <n v="106.59709315790001"/>
    <n v="98.151526954033002"/>
    <n v="106.59709315790001"/>
    <n v="1535531"/>
  </r>
  <r>
    <x v="5"/>
    <x v="1"/>
    <n v="56274000"/>
    <s v="Unidades"/>
    <s v="BADECON"/>
    <x v="2"/>
    <s v="C30"/>
    <x v="20"/>
    <n v="102.2"/>
    <n v="102.4"/>
    <n v="102.2"/>
    <n v="56274000"/>
  </r>
  <r>
    <x v="5"/>
    <x v="0"/>
    <n v="28734657"/>
    <s v="Unidades"/>
    <s v="BADECON"/>
    <x v="2"/>
    <s v="C21"/>
    <x v="11"/>
    <n v="94.527911873682996"/>
    <n v="98.151526954033002"/>
    <n v="94.527911873682996"/>
    <n v="28734657"/>
  </r>
  <r>
    <x v="5"/>
    <x v="1"/>
    <n v="168915000"/>
    <s v="Unidades"/>
    <s v="BADECON"/>
    <x v="2"/>
    <s v="C21"/>
    <x v="11"/>
    <n v="101.6"/>
    <n v="102.4"/>
    <n v="101.6"/>
    <n v="168915000"/>
  </r>
  <r>
    <x v="5"/>
    <x v="0"/>
    <n v="1376462"/>
    <s v="Unidades"/>
    <s v="BADECON"/>
    <x v="2"/>
    <s v="C26"/>
    <x v="16"/>
    <n v="106.59709315790001"/>
    <n v="98.151526954033002"/>
    <n v="106.59709315790001"/>
    <n v="1376462"/>
  </r>
  <r>
    <x v="5"/>
    <x v="1"/>
    <n v="823339000"/>
    <s v="Unidades"/>
    <s v="BADECON"/>
    <x v="2"/>
    <s v="C26"/>
    <x v="16"/>
    <n v="103.9"/>
    <n v="102.4"/>
    <n v="103.9"/>
    <n v="823339000"/>
  </r>
  <r>
    <x v="5"/>
    <x v="0"/>
    <n v="2604851"/>
    <s v="Unidades"/>
    <s v="BADECON"/>
    <x v="2"/>
    <s v="C29"/>
    <x v="19"/>
    <n v="106.59709315790001"/>
    <n v="98.151526954033002"/>
    <n v="106.59709315790001"/>
    <n v="2604851"/>
  </r>
  <r>
    <x v="5"/>
    <x v="1"/>
    <n v="268818000"/>
    <s v="Unidades"/>
    <s v="BADECON"/>
    <x v="2"/>
    <s v="C29"/>
    <x v="19"/>
    <n v="102.2"/>
    <n v="102.4"/>
    <n v="102.2"/>
    <n v="268818000"/>
  </r>
  <r>
    <x v="5"/>
    <x v="0"/>
    <n v="2139316"/>
    <s v="Unidades"/>
    <s v="BADECON"/>
    <x v="2"/>
    <s v="C32"/>
    <x v="22"/>
    <m/>
    <n v="98.151526954033002"/>
    <n v="98.151526954033002"/>
    <n v="2139316"/>
  </r>
  <r>
    <x v="5"/>
    <x v="1"/>
    <n v="31651000"/>
    <s v="Unidades"/>
    <s v="BADECON"/>
    <x v="2"/>
    <s v="C32"/>
    <x v="22"/>
    <n v="105.5"/>
    <n v="102.4"/>
    <n v="105.5"/>
    <n v="31651000"/>
  </r>
  <r>
    <x v="5"/>
    <x v="1"/>
    <n v="5786000"/>
    <s v="Unidades"/>
    <s v="BADECON"/>
    <x v="2"/>
    <s v="C12"/>
    <x v="24"/>
    <n v="104.9"/>
    <n v="102.4"/>
    <n v="104.9"/>
    <n v="5786000"/>
  </r>
  <r>
    <x v="5"/>
    <x v="1"/>
    <n v="61297000"/>
    <s v="Unidades"/>
    <s v="BADECON"/>
    <x v="2"/>
    <s v="C19"/>
    <x v="9"/>
    <n v="92.1"/>
    <n v="102.4"/>
    <n v="92.1"/>
    <n v="61297000"/>
  </r>
  <r>
    <x v="5"/>
    <x v="0"/>
    <n v="30390358"/>
    <s v="Unidades"/>
    <s v="BADECON"/>
    <x v="2"/>
    <s v="CXX"/>
    <x v="0"/>
    <m/>
    <n v="98.151526954033002"/>
    <n v="98.151526954033002"/>
    <n v="30390358"/>
  </r>
  <r>
    <x v="0"/>
    <x v="0"/>
    <n v="393932463"/>
    <s v="Unidades"/>
    <s v="BADECON"/>
    <x v="2"/>
    <s v="C10"/>
    <x v="1"/>
    <n v="99.999999999999005"/>
    <n v="99.999999999999005"/>
    <n v="99.999999999999005"/>
    <n v="393932463"/>
  </r>
  <r>
    <x v="0"/>
    <x v="1"/>
    <n v="2190335000"/>
    <s v="Unidades"/>
    <s v="BADECON"/>
    <x v="2"/>
    <s v="C10"/>
    <x v="1"/>
    <n v="100"/>
    <n v="100"/>
    <n v="100"/>
    <n v="2190335000"/>
  </r>
  <r>
    <x v="0"/>
    <x v="0"/>
    <n v="55325776"/>
    <s v="Unidades"/>
    <s v="BADECON"/>
    <x v="2"/>
    <s v="C33"/>
    <x v="23"/>
    <n v="100"/>
    <n v="99.999999999999005"/>
    <n v="100"/>
    <n v="55325776"/>
  </r>
  <r>
    <x v="0"/>
    <x v="0"/>
    <n v="43762448"/>
    <s v="Unidades"/>
    <s v="BADECON"/>
    <x v="2"/>
    <s v="C23"/>
    <x v="13"/>
    <n v="99.999999999999005"/>
    <n v="99.999999999999005"/>
    <n v="99.999999999999005"/>
    <n v="43762448"/>
  </r>
  <r>
    <x v="0"/>
    <x v="1"/>
    <n v="432982000"/>
    <s v="Unidades"/>
    <s v="BADECON"/>
    <x v="2"/>
    <s v="C23"/>
    <x v="13"/>
    <n v="100"/>
    <n v="100"/>
    <n v="100"/>
    <n v="432982000"/>
  </r>
  <r>
    <x v="0"/>
    <x v="0"/>
    <n v="14707986"/>
    <s v="Unidades"/>
    <s v="BADECON"/>
    <x v="2"/>
    <s v="C14"/>
    <x v="4"/>
    <n v="99.999999999999005"/>
    <n v="99.999999999999005"/>
    <n v="99.999999999999005"/>
    <n v="14707986"/>
  </r>
  <r>
    <x v="0"/>
    <x v="1"/>
    <n v="354434000"/>
    <s v="Unidades"/>
    <s v="BADECON"/>
    <x v="2"/>
    <s v="C14"/>
    <x v="4"/>
    <n v="100"/>
    <n v="100"/>
    <n v="100"/>
    <n v="354434000"/>
  </r>
  <r>
    <x v="0"/>
    <x v="0"/>
    <n v="58803191"/>
    <s v="Unidades"/>
    <s v="BADECON"/>
    <x v="2"/>
    <s v="C22"/>
    <x v="12"/>
    <n v="99.999999999999005"/>
    <n v="99.999999999999005"/>
    <n v="99.999999999999005"/>
    <n v="58803191"/>
  </r>
  <r>
    <x v="0"/>
    <x v="1"/>
    <n v="597604000"/>
    <s v="Unidades"/>
    <s v="BADECON"/>
    <x v="2"/>
    <s v="C22"/>
    <x v="12"/>
    <n v="100"/>
    <n v="100"/>
    <n v="100"/>
    <n v="597604000"/>
  </r>
  <r>
    <x v="0"/>
    <x v="0"/>
    <n v="71039445"/>
    <s v="Unidades"/>
    <s v="BADECON"/>
    <x v="2"/>
    <s v="C13"/>
    <x v="3"/>
    <n v="99.999999999999005"/>
    <n v="99.999999999999005"/>
    <n v="99.999999999999005"/>
    <n v="71039445"/>
  </r>
  <r>
    <x v="0"/>
    <x v="1"/>
    <n v="670848000"/>
    <s v="Unidades"/>
    <s v="BADECON"/>
    <x v="2"/>
    <s v="C13"/>
    <x v="3"/>
    <n v="100"/>
    <n v="100"/>
    <n v="100"/>
    <n v="670848000"/>
  </r>
  <r>
    <x v="0"/>
    <x v="0"/>
    <n v="75402185"/>
    <s v="Unidades"/>
    <s v="BADECON"/>
    <x v="2"/>
    <s v="C25"/>
    <x v="15"/>
    <n v="100"/>
    <n v="99.999999999999005"/>
    <n v="100"/>
    <n v="75402185"/>
  </r>
  <r>
    <x v="0"/>
    <x v="1"/>
    <n v="716437000"/>
    <s v="Unidades"/>
    <s v="BADECON"/>
    <x v="2"/>
    <s v="C25"/>
    <x v="15"/>
    <n v="100"/>
    <n v="100"/>
    <n v="100"/>
    <n v="716437000"/>
  </r>
  <r>
    <x v="0"/>
    <x v="0"/>
    <n v="20341359"/>
    <s v="Unidades"/>
    <s v="BADECON"/>
    <x v="2"/>
    <s v="C18"/>
    <x v="8"/>
    <n v="99.999999999999005"/>
    <n v="99.999999999999005"/>
    <n v="99.999999999999005"/>
    <n v="20341359"/>
  </r>
  <r>
    <x v="0"/>
    <x v="1"/>
    <n v="34366000"/>
    <s v="Unidades"/>
    <s v="BADECON"/>
    <x v="2"/>
    <s v="C18"/>
    <x v="8"/>
    <n v="100"/>
    <n v="100"/>
    <n v="100"/>
    <n v="34366000"/>
  </r>
  <r>
    <x v="0"/>
    <x v="0"/>
    <n v="22340542"/>
    <s v="Unidades"/>
    <s v="BADECON"/>
    <x v="2"/>
    <s v="C28"/>
    <x v="18"/>
    <n v="100"/>
    <n v="99.999999999999005"/>
    <n v="100"/>
    <n v="22340542"/>
  </r>
  <r>
    <x v="0"/>
    <x v="1"/>
    <n v="1029599000"/>
    <s v="Unidades"/>
    <s v="BADECON"/>
    <x v="2"/>
    <s v="C28"/>
    <x v="18"/>
    <n v="100"/>
    <n v="100"/>
    <n v="100"/>
    <n v="1029599000"/>
  </r>
  <r>
    <x v="0"/>
    <x v="0"/>
    <n v="25213233"/>
    <s v="Unidades"/>
    <s v="BADECON"/>
    <x v="2"/>
    <s v="C31"/>
    <x v="21"/>
    <n v="100"/>
    <n v="99.999999999999005"/>
    <n v="100"/>
    <n v="25213233"/>
  </r>
  <r>
    <x v="0"/>
    <x v="1"/>
    <n v="67571000"/>
    <s v="Unidades"/>
    <s v="BADECON"/>
    <x v="2"/>
    <s v="C31"/>
    <x v="21"/>
    <n v="100"/>
    <n v="100"/>
    <n v="100"/>
    <n v="67571000"/>
  </r>
  <r>
    <x v="0"/>
    <x v="0"/>
    <n v="14102289"/>
    <s v="Unidades"/>
    <s v="BADECON"/>
    <x v="2"/>
    <s v="C15"/>
    <x v="5"/>
    <n v="99.999999999999005"/>
    <n v="99.999999999999005"/>
    <n v="99.999999999999005"/>
    <n v="14102289"/>
  </r>
  <r>
    <x v="0"/>
    <x v="1"/>
    <n v="167631000"/>
    <s v="Unidades"/>
    <s v="BADECON"/>
    <x v="2"/>
    <s v="C15"/>
    <x v="5"/>
    <n v="100"/>
    <n v="100"/>
    <n v="100"/>
    <n v="167631000"/>
  </r>
  <r>
    <x v="0"/>
    <x v="0"/>
    <n v="38657080"/>
    <s v="Unidades"/>
    <s v="BADECON"/>
    <x v="2"/>
    <s v="C11"/>
    <x v="2"/>
    <n v="100"/>
    <n v="99.999999999999005"/>
    <n v="100"/>
    <n v="38657080"/>
  </r>
  <r>
    <x v="0"/>
    <x v="1"/>
    <n v="366036000"/>
    <s v="Unidades"/>
    <s v="BADECON"/>
    <x v="2"/>
    <s v="C11"/>
    <x v="2"/>
    <n v="100"/>
    <n v="100"/>
    <n v="100"/>
    <n v="366036000"/>
  </r>
  <r>
    <x v="0"/>
    <x v="0"/>
    <n v="4818157"/>
    <s v="Unidades"/>
    <s v="BADECON"/>
    <x v="2"/>
    <s v="C29"/>
    <x v="19"/>
    <n v="100"/>
    <n v="99.999999999999005"/>
    <n v="100"/>
    <n v="4818157"/>
  </r>
  <r>
    <x v="0"/>
    <x v="1"/>
    <n v="254737000"/>
    <s v="Unidades"/>
    <s v="BADECON"/>
    <x v="2"/>
    <s v="C29"/>
    <x v="19"/>
    <n v="100"/>
    <n v="100"/>
    <n v="100"/>
    <n v="254737000"/>
  </r>
  <r>
    <x v="0"/>
    <x v="0"/>
    <n v="44900714"/>
    <s v="Unidades"/>
    <s v="BADECON"/>
    <x v="2"/>
    <s v="C17"/>
    <x v="7"/>
    <n v="99.999999999999005"/>
    <n v="99.999999999999005"/>
    <n v="99.999999999999005"/>
    <n v="44900714"/>
  </r>
  <r>
    <x v="0"/>
    <x v="1"/>
    <n v="203056000"/>
    <s v="Unidades"/>
    <s v="BADECON"/>
    <x v="2"/>
    <s v="C17"/>
    <x v="7"/>
    <n v="100"/>
    <n v="100"/>
    <n v="100"/>
    <n v="203056000"/>
  </r>
  <r>
    <x v="0"/>
    <x v="0"/>
    <n v="16268945"/>
    <s v="Unidades"/>
    <s v="BADECON"/>
    <x v="2"/>
    <s v="C24"/>
    <x v="14"/>
    <n v="99.999999999999005"/>
    <n v="99.999999999999005"/>
    <n v="99.999999999999005"/>
    <n v="16268945"/>
  </r>
  <r>
    <x v="0"/>
    <x v="1"/>
    <n v="294383000"/>
    <s v="Unidades"/>
    <s v="BADECON"/>
    <x v="2"/>
    <s v="C24"/>
    <x v="14"/>
    <n v="100"/>
    <n v="100"/>
    <n v="100"/>
    <n v="294383000"/>
  </r>
  <r>
    <x v="0"/>
    <x v="0"/>
    <n v="53656246"/>
    <s v="Unidades"/>
    <s v="BADECON"/>
    <x v="2"/>
    <s v="C20"/>
    <x v="10"/>
    <n v="99.999999999999005"/>
    <n v="99.999999999999005"/>
    <n v="99.999999999999005"/>
    <n v="53656246"/>
  </r>
  <r>
    <x v="0"/>
    <x v="1"/>
    <n v="432357000"/>
    <s v="Unidades"/>
    <s v="BADECON"/>
    <x v="2"/>
    <s v="C20"/>
    <x v="10"/>
    <n v="100"/>
    <n v="100"/>
    <n v="100"/>
    <n v="432357000"/>
  </r>
  <r>
    <x v="0"/>
    <x v="0"/>
    <n v="25675544"/>
    <s v="Unidades"/>
    <s v="BADECON"/>
    <x v="2"/>
    <s v="C21"/>
    <x v="11"/>
    <n v="99.999999999999005"/>
    <n v="99.999999999999005"/>
    <n v="99.999999999999005"/>
    <n v="25675544"/>
  </r>
  <r>
    <x v="0"/>
    <x v="1"/>
    <n v="165262000"/>
    <s v="Unidades"/>
    <s v="BADECON"/>
    <x v="2"/>
    <s v="C21"/>
    <x v="11"/>
    <n v="100"/>
    <n v="100"/>
    <n v="100"/>
    <n v="165262000"/>
  </r>
  <r>
    <x v="0"/>
    <x v="0"/>
    <n v="2784591"/>
    <s v="Unidades"/>
    <s v="BADECON"/>
    <x v="2"/>
    <s v="C32"/>
    <x v="22"/>
    <m/>
    <n v="99.999999999999005"/>
    <n v="99.999999999999005"/>
    <n v="2784591"/>
  </r>
  <r>
    <x v="0"/>
    <x v="1"/>
    <n v="30111000"/>
    <s v="Unidades"/>
    <s v="BADECON"/>
    <x v="2"/>
    <s v="C32"/>
    <x v="22"/>
    <n v="100"/>
    <n v="100"/>
    <n v="100"/>
    <n v="30111000"/>
  </r>
  <r>
    <x v="0"/>
    <x v="0"/>
    <n v="16263165"/>
    <s v="Unidades"/>
    <s v="BADECON"/>
    <x v="2"/>
    <s v="C27"/>
    <x v="17"/>
    <n v="100"/>
    <n v="99.999999999999005"/>
    <n v="100"/>
    <n v="16263165"/>
  </r>
  <r>
    <x v="0"/>
    <x v="1"/>
    <n v="1285224000"/>
    <s v="Unidades"/>
    <s v="BADECON"/>
    <x v="2"/>
    <s v="C27"/>
    <x v="17"/>
    <n v="100"/>
    <n v="100"/>
    <n v="100"/>
    <n v="1285224000"/>
  </r>
  <r>
    <x v="0"/>
    <x v="0"/>
    <n v="68380094"/>
    <s v="Unidades"/>
    <s v="BADECON"/>
    <x v="2"/>
    <s v="C16"/>
    <x v="6"/>
    <n v="100"/>
    <n v="99.999999999999005"/>
    <n v="100"/>
    <n v="68380094"/>
  </r>
  <r>
    <x v="0"/>
    <x v="1"/>
    <n v="72312000"/>
    <s v="Unidades"/>
    <s v="BADECON"/>
    <x v="2"/>
    <s v="C16"/>
    <x v="6"/>
    <n v="100"/>
    <n v="100"/>
    <n v="100"/>
    <n v="72312000"/>
  </r>
  <r>
    <x v="0"/>
    <x v="0"/>
    <n v="5507306"/>
    <s v="Unidades"/>
    <s v="BADECON"/>
    <x v="2"/>
    <s v="C26"/>
    <x v="16"/>
    <n v="100"/>
    <n v="99.999999999999005"/>
    <n v="100"/>
    <n v="5507306"/>
  </r>
  <r>
    <x v="0"/>
    <x v="1"/>
    <n v="794353000"/>
    <s v="Unidades"/>
    <s v="BADECON"/>
    <x v="2"/>
    <s v="C26"/>
    <x v="16"/>
    <n v="100"/>
    <n v="100"/>
    <n v="100"/>
    <n v="794353000"/>
  </r>
  <r>
    <x v="0"/>
    <x v="0"/>
    <n v="1727951"/>
    <s v="Unidades"/>
    <s v="BADECON"/>
    <x v="2"/>
    <s v="C30"/>
    <x v="20"/>
    <n v="100"/>
    <n v="99.999999999999005"/>
    <n v="100"/>
    <n v="1727951"/>
  </r>
  <r>
    <x v="0"/>
    <x v="1"/>
    <n v="44729000"/>
    <s v="Unidades"/>
    <s v="BADECON"/>
    <x v="2"/>
    <s v="C30"/>
    <x v="20"/>
    <n v="100"/>
    <n v="100"/>
    <n v="100"/>
    <n v="44729000"/>
  </r>
  <r>
    <x v="0"/>
    <x v="0"/>
    <n v="152518"/>
    <s v="Unidades"/>
    <s v="BADECON"/>
    <x v="2"/>
    <s v="C19"/>
    <x v="9"/>
    <n v="99.999999999999005"/>
    <n v="99.999999999999005"/>
    <n v="99.999999999999005"/>
    <n v="152518"/>
  </r>
  <r>
    <x v="0"/>
    <x v="1"/>
    <n v="64138000"/>
    <s v="Unidades"/>
    <s v="BADECON"/>
    <x v="2"/>
    <s v="C19"/>
    <x v="9"/>
    <n v="100"/>
    <n v="100"/>
    <n v="100"/>
    <n v="64138000"/>
  </r>
  <r>
    <x v="0"/>
    <x v="1"/>
    <n v="5246000"/>
    <s v="Unidades"/>
    <s v="BADECON"/>
    <x v="2"/>
    <s v="C12"/>
    <x v="24"/>
    <n v="100"/>
    <n v="100"/>
    <n v="100"/>
    <n v="5246000"/>
  </r>
  <r>
    <x v="0"/>
    <x v="0"/>
    <n v="1941807"/>
    <s v="Unidades"/>
    <s v="BADECON"/>
    <x v="2"/>
    <s v="CXX"/>
    <x v="0"/>
    <m/>
    <n v="99.999999999999005"/>
    <n v="99.999999999999005"/>
    <n v="1941807"/>
  </r>
  <r>
    <x v="2"/>
    <x v="1"/>
    <n v="70157000"/>
    <s v="Unidades"/>
    <s v="BADECON"/>
    <x v="2"/>
    <s v="C16"/>
    <x v="6"/>
    <n v="91.8"/>
    <n v="87.8"/>
    <n v="91.8"/>
    <n v="70157000"/>
  </r>
  <r>
    <x v="2"/>
    <x v="0"/>
    <n v="3933024"/>
    <s v="Unidades"/>
    <s v="BADECON"/>
    <x v="2"/>
    <s v="C25"/>
    <x v="15"/>
    <n v="101.10423088160999"/>
    <n v="95.629262636448004"/>
    <n v="101.10423088160999"/>
    <n v="3933024"/>
  </r>
  <r>
    <x v="2"/>
    <x v="1"/>
    <n v="678895000"/>
    <s v="Unidades"/>
    <s v="BADECON"/>
    <x v="2"/>
    <s v="C25"/>
    <x v="15"/>
    <n v="84.2"/>
    <n v="87.8"/>
    <n v="84.2"/>
    <n v="678895000"/>
  </r>
  <r>
    <x v="2"/>
    <x v="0"/>
    <n v="12290612"/>
    <s v="Unidades"/>
    <s v="BADECON"/>
    <x v="2"/>
    <s v="C17"/>
    <x v="7"/>
    <n v="66.424574274145002"/>
    <n v="95.629262636448004"/>
    <n v="66.424574274145002"/>
    <n v="12290612"/>
  </r>
  <r>
    <x v="2"/>
    <x v="1"/>
    <n v="189251000"/>
    <s v="Unidades"/>
    <s v="BADECON"/>
    <x v="2"/>
    <s v="C17"/>
    <x v="7"/>
    <n v="87.6"/>
    <n v="87.8"/>
    <n v="87.6"/>
    <n v="189251000"/>
  </r>
  <r>
    <x v="2"/>
    <x v="0"/>
    <n v="4951722"/>
    <s v="Unidades"/>
    <s v="BADECON"/>
    <x v="2"/>
    <s v="C20"/>
    <x v="10"/>
    <n v="101.63829571143999"/>
    <n v="95.629262636448004"/>
    <n v="101.63829571143999"/>
    <n v="4951722"/>
  </r>
  <r>
    <x v="2"/>
    <x v="1"/>
    <n v="428028000"/>
    <s v="Unidades"/>
    <s v="BADECON"/>
    <x v="2"/>
    <s v="C20"/>
    <x v="10"/>
    <n v="103.7"/>
    <n v="87.8"/>
    <n v="103.7"/>
    <n v="428028000"/>
  </r>
  <r>
    <x v="2"/>
    <x v="0"/>
    <n v="1367467"/>
    <s v="Unidades"/>
    <s v="BADECON"/>
    <x v="2"/>
    <s v="C28"/>
    <x v="18"/>
    <n v="101.10423088160999"/>
    <n v="95.629262636448004"/>
    <n v="101.10423088160999"/>
    <n v="1367467"/>
  </r>
  <r>
    <x v="2"/>
    <x v="1"/>
    <n v="920965000"/>
    <s v="Unidades"/>
    <s v="BADECON"/>
    <x v="2"/>
    <s v="C28"/>
    <x v="18"/>
    <n v="91.6"/>
    <n v="87.8"/>
    <n v="91.6"/>
    <n v="920965000"/>
  </r>
  <r>
    <x v="2"/>
    <x v="0"/>
    <n v="5032232"/>
    <s v="Unidades"/>
    <s v="BADECON"/>
    <x v="2"/>
    <s v="C22"/>
    <x v="12"/>
    <n v="101.63829571143999"/>
    <n v="95.629262636448004"/>
    <n v="101.63829571143999"/>
    <n v="5032232"/>
  </r>
  <r>
    <x v="2"/>
    <x v="1"/>
    <n v="554825000"/>
    <s v="Unidades"/>
    <s v="BADECON"/>
    <x v="2"/>
    <s v="C22"/>
    <x v="12"/>
    <n v="89.1"/>
    <n v="87.8"/>
    <n v="89.1"/>
    <n v="554825000"/>
  </r>
  <r>
    <x v="2"/>
    <x v="0"/>
    <n v="1020551"/>
    <s v="Unidades"/>
    <s v="BADECON"/>
    <x v="2"/>
    <s v="C24"/>
    <x v="14"/>
    <n v="89.680336785110001"/>
    <n v="95.629262636448004"/>
    <n v="89.680336785110001"/>
    <n v="1020551"/>
  </r>
  <r>
    <x v="2"/>
    <x v="1"/>
    <n v="274358000"/>
    <s v="Unidades"/>
    <s v="BADECON"/>
    <x v="2"/>
    <s v="C24"/>
    <x v="14"/>
    <n v="80.900000000000006"/>
    <n v="87.8"/>
    <n v="80.900000000000006"/>
    <n v="274358000"/>
  </r>
  <r>
    <x v="2"/>
    <x v="0"/>
    <n v="4006104"/>
    <s v="Unidades"/>
    <s v="BADECON"/>
    <x v="2"/>
    <s v="C23"/>
    <x v="13"/>
    <n v="89.680336785110001"/>
    <n v="95.629262636448004"/>
    <n v="89.680336785110001"/>
    <n v="4006104"/>
  </r>
  <r>
    <x v="2"/>
    <x v="1"/>
    <n v="408741000"/>
    <s v="Unidades"/>
    <s v="BADECON"/>
    <x v="2"/>
    <s v="C23"/>
    <x v="13"/>
    <n v="87.6"/>
    <n v="87.8"/>
    <n v="87.6"/>
    <n v="408741000"/>
  </r>
  <r>
    <x v="2"/>
    <x v="0"/>
    <n v="2538829"/>
    <s v="Unidades"/>
    <s v="BADECON"/>
    <x v="2"/>
    <s v="C14"/>
    <x v="4"/>
    <n v="117.9376128321"/>
    <n v="95.629262636448004"/>
    <n v="117.9376128321"/>
    <n v="2538829"/>
  </r>
  <r>
    <x v="2"/>
    <x v="1"/>
    <n v="373941000"/>
    <s v="Unidades"/>
    <s v="BADECON"/>
    <x v="2"/>
    <s v="C14"/>
    <x v="4"/>
    <n v="95.2"/>
    <n v="87.8"/>
    <n v="95.2"/>
    <n v="373941000"/>
  </r>
  <r>
    <x v="2"/>
    <x v="0"/>
    <n v="1169120"/>
    <s v="Unidades"/>
    <s v="BADECON"/>
    <x v="2"/>
    <s v="C31"/>
    <x v="21"/>
    <n v="106.15763962638999"/>
    <n v="95.629262636448004"/>
    <n v="106.15763962638999"/>
    <n v="1169120"/>
  </r>
  <r>
    <x v="2"/>
    <x v="1"/>
    <n v="69559000"/>
    <s v="Unidades"/>
    <s v="BADECON"/>
    <x v="2"/>
    <s v="C31"/>
    <x v="21"/>
    <n v="91.8"/>
    <n v="87.8"/>
    <n v="91.8"/>
    <n v="69559000"/>
  </r>
  <r>
    <x v="2"/>
    <x v="0"/>
    <n v="2499647"/>
    <s v="Unidades"/>
    <s v="BADECON"/>
    <x v="2"/>
    <s v="C33"/>
    <x v="23"/>
    <n v="101.10423088160999"/>
    <n v="95.629262636448004"/>
    <n v="101.10423088160999"/>
    <n v="2499647"/>
  </r>
  <r>
    <x v="2"/>
    <x v="0"/>
    <n v="1195228"/>
    <s v="Unidades"/>
    <s v="BADECON"/>
    <x v="2"/>
    <s v="C15"/>
    <x v="5"/>
    <n v="117.9376128321"/>
    <n v="95.629262636448004"/>
    <n v="117.9376128321"/>
    <n v="1195228"/>
  </r>
  <r>
    <x v="2"/>
    <x v="1"/>
    <n v="176470000"/>
    <s v="Unidades"/>
    <s v="BADECON"/>
    <x v="2"/>
    <s v="C15"/>
    <x v="5"/>
    <n v="93.8"/>
    <n v="87.8"/>
    <n v="93.8"/>
    <n v="176470000"/>
  </r>
  <r>
    <x v="2"/>
    <x v="0"/>
    <n v="1703095"/>
    <s v="Unidades"/>
    <s v="BADECON"/>
    <x v="2"/>
    <s v="C27"/>
    <x v="17"/>
    <n v="101.10423088160999"/>
    <n v="95.629262636448004"/>
    <n v="101.10423088160999"/>
    <n v="1703095"/>
  </r>
  <r>
    <x v="2"/>
    <x v="1"/>
    <n v="1152982000"/>
    <s v="Unidades"/>
    <s v="BADECON"/>
    <x v="2"/>
    <s v="C27"/>
    <x v="17"/>
    <n v="90.7"/>
    <n v="87.8"/>
    <n v="90.7"/>
    <n v="1152982000"/>
  </r>
  <r>
    <x v="2"/>
    <x v="0"/>
    <n v="2754327"/>
    <s v="Unidades"/>
    <s v="BADECON"/>
    <x v="2"/>
    <s v="C21"/>
    <x v="11"/>
    <n v="101.63829571143999"/>
    <n v="95.629262636448004"/>
    <n v="101.63829571143999"/>
    <n v="2754327"/>
  </r>
  <r>
    <x v="2"/>
    <x v="1"/>
    <n v="158981000"/>
    <s v="Unidades"/>
    <s v="BADECON"/>
    <x v="2"/>
    <s v="C21"/>
    <x v="11"/>
    <n v="103.7"/>
    <n v="87.8"/>
    <n v="103.7"/>
    <n v="158981000"/>
  </r>
  <r>
    <x v="2"/>
    <x v="0"/>
    <n v="2278349"/>
    <s v="Unidades"/>
    <s v="BADECON"/>
    <x v="2"/>
    <s v="C13"/>
    <x v="3"/>
    <n v="117.9376128321"/>
    <n v="95.629262636448004"/>
    <n v="117.9376128321"/>
    <n v="2278349"/>
  </r>
  <r>
    <x v="2"/>
    <x v="1"/>
    <n v="612933000"/>
    <s v="Unidades"/>
    <s v="BADECON"/>
    <x v="2"/>
    <s v="C13"/>
    <x v="3"/>
    <n v="88.8"/>
    <n v="87.8"/>
    <n v="88.8"/>
    <n v="612933000"/>
  </r>
  <r>
    <x v="2"/>
    <x v="0"/>
    <n v="320721"/>
    <s v="Unidades"/>
    <s v="BADECON"/>
    <x v="2"/>
    <s v="C26"/>
    <x v="16"/>
    <n v="101.10423088160999"/>
    <n v="95.629262636448004"/>
    <n v="101.10423088160999"/>
    <n v="320721"/>
  </r>
  <r>
    <x v="2"/>
    <x v="1"/>
    <n v="720198000"/>
    <s v="Unidades"/>
    <s v="BADECON"/>
    <x v="2"/>
    <s v="C26"/>
    <x v="16"/>
    <n v="91.8"/>
    <n v="87.8"/>
    <n v="91.8"/>
    <n v="720198000"/>
  </r>
  <r>
    <x v="2"/>
    <x v="0"/>
    <n v="4488877"/>
    <s v="Unidades"/>
    <s v="BADECON"/>
    <x v="2"/>
    <s v="C11"/>
    <x v="2"/>
    <n v="96.059679698527006"/>
    <n v="95.629262636448004"/>
    <n v="96.059679698527006"/>
    <n v="4488877"/>
  </r>
  <r>
    <x v="2"/>
    <x v="1"/>
    <n v="362524000"/>
    <s v="Unidades"/>
    <s v="BADECON"/>
    <x v="2"/>
    <s v="C11"/>
    <x v="2"/>
    <n v="89.6"/>
    <n v="87.8"/>
    <n v="89.6"/>
    <n v="362524000"/>
  </r>
  <r>
    <x v="2"/>
    <x v="0"/>
    <n v="232095"/>
    <s v="Unidades"/>
    <s v="BADECON"/>
    <x v="2"/>
    <s v="C32"/>
    <x v="22"/>
    <m/>
    <n v="95.629262636448004"/>
    <n v="95.629262636448004"/>
    <n v="232095"/>
  </r>
  <r>
    <x v="2"/>
    <x v="1"/>
    <n v="31101000"/>
    <s v="Unidades"/>
    <s v="BADECON"/>
    <x v="2"/>
    <s v="C32"/>
    <x v="22"/>
    <n v="91.1"/>
    <n v="87.8"/>
    <n v="91.1"/>
    <n v="31101000"/>
  </r>
  <r>
    <x v="2"/>
    <x v="0"/>
    <n v="148983"/>
    <s v="Unidades"/>
    <s v="BADECON"/>
    <x v="2"/>
    <s v="C29"/>
    <x v="19"/>
    <n v="101.10423088160999"/>
    <n v="95.629262636448004"/>
    <n v="101.10423088160999"/>
    <n v="148983"/>
  </r>
  <r>
    <x v="2"/>
    <x v="1"/>
    <n v="206303000"/>
    <s v="Unidades"/>
    <s v="BADECON"/>
    <x v="2"/>
    <s v="C29"/>
    <x v="19"/>
    <n v="93.3"/>
    <n v="87.8"/>
    <n v="93.3"/>
    <n v="206303000"/>
  </r>
  <r>
    <x v="2"/>
    <x v="0"/>
    <n v="140001"/>
    <s v="Unidades"/>
    <s v="BADECON"/>
    <x v="2"/>
    <s v="C30"/>
    <x v="20"/>
    <n v="101.10423088160999"/>
    <n v="95.629262636448004"/>
    <n v="101.10423088160999"/>
    <n v="140001"/>
  </r>
  <r>
    <x v="2"/>
    <x v="1"/>
    <n v="32890000"/>
    <s v="Unidades"/>
    <s v="BADECON"/>
    <x v="2"/>
    <s v="C30"/>
    <x v="20"/>
    <n v="93.3"/>
    <n v="87.8"/>
    <n v="93.3"/>
    <n v="32890000"/>
  </r>
  <r>
    <x v="2"/>
    <x v="1"/>
    <n v="67953000"/>
    <s v="Unidades"/>
    <s v="BADECON"/>
    <x v="2"/>
    <s v="C19"/>
    <x v="9"/>
    <n v="17.7"/>
    <n v="87.8"/>
    <n v="17.7"/>
    <n v="67953000"/>
  </r>
  <r>
    <x v="2"/>
    <x v="1"/>
    <n v="5289000"/>
    <s v="Unidades"/>
    <s v="BADECON"/>
    <x v="2"/>
    <s v="C12"/>
    <x v="24"/>
    <n v="89.6"/>
    <n v="87.8"/>
    <n v="89.6"/>
    <n v="5289000"/>
  </r>
  <r>
    <x v="1"/>
    <x v="0"/>
    <n v="346744812"/>
    <s v="Unidades"/>
    <s v="BADECON"/>
    <x v="2"/>
    <s v="C10"/>
    <x v="1"/>
    <n v="98.723825004638996"/>
    <n v="95.003435419368998"/>
    <n v="98.723825004638996"/>
    <n v="346744812"/>
  </r>
  <r>
    <x v="1"/>
    <x v="1"/>
    <n v="2208004000"/>
    <s v="Unidades"/>
    <s v="BADECON"/>
    <x v="2"/>
    <s v="C10"/>
    <x v="1"/>
    <n v="96.7"/>
    <n v="94.3"/>
    <n v="96.7"/>
    <n v="2208004000"/>
  </r>
  <r>
    <x v="1"/>
    <x v="0"/>
    <n v="46563560"/>
    <s v="Unidades"/>
    <s v="BADECON"/>
    <x v="2"/>
    <s v="C11"/>
    <x v="2"/>
    <n v="90.846967636214998"/>
    <n v="95.003435419368998"/>
    <n v="90.846967636214998"/>
    <n v="46563560"/>
  </r>
  <r>
    <x v="1"/>
    <x v="1"/>
    <n v="363259000"/>
    <s v="Unidades"/>
    <s v="BADECON"/>
    <x v="2"/>
    <s v="C11"/>
    <x v="2"/>
    <n v="96.4"/>
    <n v="94.3"/>
    <n v="96.4"/>
    <n v="363259000"/>
  </r>
  <r>
    <x v="1"/>
    <x v="0"/>
    <n v="40405262"/>
    <s v="Unidades"/>
    <s v="BADECON"/>
    <x v="2"/>
    <s v="C23"/>
    <x v="13"/>
    <n v="89.385379074143003"/>
    <n v="95.003435419368998"/>
    <n v="89.385379074143003"/>
    <n v="40405262"/>
  </r>
  <r>
    <x v="1"/>
    <x v="1"/>
    <n v="419068000"/>
    <s v="Unidades"/>
    <s v="BADECON"/>
    <x v="2"/>
    <s v="C23"/>
    <x v="13"/>
    <n v="95.9"/>
    <n v="94.3"/>
    <n v="95.9"/>
    <n v="419068000"/>
  </r>
  <r>
    <x v="1"/>
    <x v="0"/>
    <n v="56501310"/>
    <s v="Unidades"/>
    <s v="BADECON"/>
    <x v="2"/>
    <s v="C14"/>
    <x v="4"/>
    <n v="111.61986215915999"/>
    <n v="95.003435419368998"/>
    <n v="111.61986215915999"/>
    <n v="56501310"/>
  </r>
  <r>
    <x v="1"/>
    <x v="1"/>
    <n v="361977000"/>
    <s v="Unidades"/>
    <s v="BADECON"/>
    <x v="2"/>
    <s v="C14"/>
    <x v="4"/>
    <n v="96.6"/>
    <n v="94.3"/>
    <n v="96.6"/>
    <n v="361977000"/>
  </r>
  <r>
    <x v="1"/>
    <x v="0"/>
    <n v="60559880"/>
    <s v="Unidades"/>
    <s v="BADECON"/>
    <x v="2"/>
    <s v="C22"/>
    <x v="12"/>
    <n v="96.253026824776995"/>
    <n v="95.003435419368998"/>
    <n v="96.253026824776995"/>
    <n v="60559880"/>
  </r>
  <r>
    <x v="1"/>
    <x v="1"/>
    <n v="577525000"/>
    <s v="Unidades"/>
    <s v="BADECON"/>
    <x v="2"/>
    <s v="C22"/>
    <x v="12"/>
    <n v="95.4"/>
    <n v="94.3"/>
    <n v="95.4"/>
    <n v="577525000"/>
  </r>
  <r>
    <x v="1"/>
    <x v="0"/>
    <n v="59183448"/>
    <s v="Unidades"/>
    <s v="BADECON"/>
    <x v="2"/>
    <s v="C17"/>
    <x v="7"/>
    <n v="76.712843517501994"/>
    <n v="95.003435419368998"/>
    <n v="76.712843517501994"/>
    <n v="59183448"/>
  </r>
  <r>
    <x v="1"/>
    <x v="1"/>
    <n v="197634000"/>
    <s v="Unidades"/>
    <s v="BADECON"/>
    <x v="2"/>
    <s v="C17"/>
    <x v="7"/>
    <n v="93.7"/>
    <n v="94.3"/>
    <n v="93.7"/>
    <n v="197634000"/>
  </r>
  <r>
    <x v="1"/>
    <x v="0"/>
    <n v="18657544"/>
    <s v="Unidades"/>
    <s v="BADECON"/>
    <x v="2"/>
    <s v="C27"/>
    <x v="17"/>
    <n v="98.189528995325006"/>
    <n v="95.003435419368998"/>
    <n v="98.189528995325006"/>
    <n v="18657544"/>
  </r>
  <r>
    <x v="1"/>
    <x v="1"/>
    <n v="1212415000"/>
    <s v="Unidades"/>
    <s v="BADECON"/>
    <x v="2"/>
    <s v="C27"/>
    <x v="17"/>
    <n v="94.3"/>
    <n v="94.3"/>
    <n v="94.3"/>
    <n v="1212415000"/>
  </r>
  <r>
    <x v="1"/>
    <x v="0"/>
    <n v="69582191"/>
    <s v="Unidades"/>
    <s v="BADECON"/>
    <x v="2"/>
    <s v="C16"/>
    <x v="6"/>
    <n v="102.38170475517001"/>
    <n v="95.003435419368998"/>
    <n v="102.38170475517001"/>
    <n v="69582191"/>
  </r>
  <r>
    <x v="1"/>
    <x v="1"/>
    <n v="72850000"/>
    <s v="Unidades"/>
    <s v="BADECON"/>
    <x v="2"/>
    <s v="C16"/>
    <x v="6"/>
    <n v="98.6"/>
    <n v="94.3"/>
    <n v="98.6"/>
    <n v="72850000"/>
  </r>
  <r>
    <x v="1"/>
    <x v="0"/>
    <n v="18989792"/>
    <s v="Unidades"/>
    <s v="BADECON"/>
    <x v="2"/>
    <s v="C18"/>
    <x v="8"/>
    <n v="76.712843517501994"/>
    <n v="95.003435419368998"/>
    <n v="76.712843517501994"/>
    <n v="18989792"/>
  </r>
  <r>
    <x v="1"/>
    <x v="1"/>
    <n v="36226000"/>
    <s v="Unidades"/>
    <s v="BADECON"/>
    <x v="2"/>
    <s v="C18"/>
    <x v="8"/>
    <n v="96.5"/>
    <n v="94.3"/>
    <n v="96.5"/>
    <n v="36226000"/>
  </r>
  <r>
    <x v="1"/>
    <x v="0"/>
    <n v="73851787"/>
    <s v="Unidades"/>
    <s v="BADECON"/>
    <x v="2"/>
    <s v="C25"/>
    <x v="15"/>
    <n v="98.189528995325006"/>
    <n v="95.003435419368998"/>
    <n v="98.189528995325006"/>
    <n v="73851787"/>
  </r>
  <r>
    <x v="1"/>
    <x v="1"/>
    <n v="707744000"/>
    <s v="Unidades"/>
    <s v="BADECON"/>
    <x v="2"/>
    <s v="C25"/>
    <x v="15"/>
    <n v="90.2"/>
    <n v="94.3"/>
    <n v="90.2"/>
    <n v="707744000"/>
  </r>
  <r>
    <x v="1"/>
    <x v="0"/>
    <n v="12162764"/>
    <s v="Unidades"/>
    <s v="BADECON"/>
    <x v="2"/>
    <s v="C24"/>
    <x v="14"/>
    <n v="89.385379074143003"/>
    <n v="95.003435419368998"/>
    <n v="89.385379074143003"/>
    <n v="12162764"/>
  </r>
  <r>
    <x v="1"/>
    <x v="1"/>
    <n v="285176000"/>
    <s v="Unidades"/>
    <s v="BADECON"/>
    <x v="2"/>
    <s v="C24"/>
    <x v="14"/>
    <n v="89.3"/>
    <n v="94.3"/>
    <n v="89.3"/>
    <n v="285176000"/>
  </r>
  <r>
    <x v="1"/>
    <x v="0"/>
    <n v="62985395"/>
    <s v="Unidades"/>
    <s v="BADECON"/>
    <x v="2"/>
    <s v="C20"/>
    <x v="10"/>
    <n v="96.253026824776995"/>
    <n v="95.003435419368998"/>
    <n v="96.253026824776995"/>
    <n v="62985395"/>
  </r>
  <r>
    <x v="1"/>
    <x v="1"/>
    <n v="428835000"/>
    <s v="Unidades"/>
    <s v="BADECON"/>
    <x v="2"/>
    <s v="C20"/>
    <x v="10"/>
    <n v="96.1"/>
    <n v="94.3"/>
    <n v="96.1"/>
    <n v="428835000"/>
  </r>
  <r>
    <x v="1"/>
    <x v="0"/>
    <n v="66349936"/>
    <s v="Unidades"/>
    <s v="BADECON"/>
    <x v="2"/>
    <s v="C33"/>
    <x v="23"/>
    <n v="98.189528995325006"/>
    <n v="95.003435419368998"/>
    <n v="98.189528995325006"/>
    <n v="66349936"/>
  </r>
  <r>
    <x v="1"/>
    <x v="0"/>
    <n v="24734598"/>
    <s v="Unidades"/>
    <s v="BADECON"/>
    <x v="2"/>
    <s v="C31"/>
    <x v="21"/>
    <n v="102.38170475517001"/>
    <n v="95.003435419368998"/>
    <n v="102.38170475517001"/>
    <n v="24734598"/>
  </r>
  <r>
    <x v="1"/>
    <x v="1"/>
    <n v="70637000"/>
    <s v="Unidades"/>
    <s v="BADECON"/>
    <x v="2"/>
    <s v="C31"/>
    <x v="21"/>
    <n v="96.7"/>
    <n v="94.3"/>
    <n v="96.7"/>
    <n v="70637000"/>
  </r>
  <r>
    <x v="1"/>
    <x v="0"/>
    <n v="23781319"/>
    <s v="Unidades"/>
    <s v="BADECON"/>
    <x v="2"/>
    <s v="C28"/>
    <x v="18"/>
    <n v="98.189528995325006"/>
    <n v="95.003435419368998"/>
    <n v="98.189528995325006"/>
    <n v="23781319"/>
  </r>
  <r>
    <x v="1"/>
    <x v="1"/>
    <n v="982627000"/>
    <s v="Unidades"/>
    <s v="BADECON"/>
    <x v="2"/>
    <s v="C28"/>
    <x v="18"/>
    <n v="96.3"/>
    <n v="94.3"/>
    <n v="96.3"/>
    <n v="982627000"/>
  </r>
  <r>
    <x v="1"/>
    <x v="0"/>
    <n v="11421573"/>
    <s v="Unidades"/>
    <s v="BADECON"/>
    <x v="2"/>
    <s v="C13"/>
    <x v="3"/>
    <n v="111.61986215915999"/>
    <n v="95.003435419368998"/>
    <n v="111.61986215915999"/>
    <n v="11421573"/>
  </r>
  <r>
    <x v="1"/>
    <x v="1"/>
    <n v="640524000"/>
    <s v="Unidades"/>
    <s v="BADECON"/>
    <x v="2"/>
    <s v="C13"/>
    <x v="3"/>
    <n v="97.5"/>
    <n v="94.3"/>
    <n v="97.5"/>
    <n v="640524000"/>
  </r>
  <r>
    <x v="1"/>
    <x v="0"/>
    <n v="2672490"/>
    <s v="Unidades"/>
    <s v="BADECON"/>
    <x v="2"/>
    <s v="C29"/>
    <x v="19"/>
    <n v="98.189528995325006"/>
    <n v="95.003435419368998"/>
    <n v="98.189528995325006"/>
    <n v="2672490"/>
  </r>
  <r>
    <x v="1"/>
    <x v="1"/>
    <n v="227577000"/>
    <s v="Unidades"/>
    <s v="BADECON"/>
    <x v="2"/>
    <s v="C29"/>
    <x v="19"/>
    <n v="97"/>
    <n v="94.3"/>
    <n v="97"/>
    <n v="227577000"/>
  </r>
  <r>
    <x v="1"/>
    <x v="0"/>
    <n v="24095339"/>
    <s v="Unidades"/>
    <s v="BADECON"/>
    <x v="2"/>
    <s v="C21"/>
    <x v="11"/>
    <n v="96.253026824776995"/>
    <n v="95.003435419368998"/>
    <n v="96.253026824776995"/>
    <n v="24095339"/>
  </r>
  <r>
    <x v="1"/>
    <x v="1"/>
    <n v="170484000"/>
    <s v="Unidades"/>
    <s v="BADECON"/>
    <x v="2"/>
    <s v="C21"/>
    <x v="11"/>
    <n v="96.1"/>
    <n v="94.3"/>
    <n v="96.1"/>
    <n v="170484000"/>
  </r>
  <r>
    <x v="1"/>
    <x v="0"/>
    <n v="14269415"/>
    <s v="Unidades"/>
    <s v="BADECON"/>
    <x v="2"/>
    <s v="C15"/>
    <x v="5"/>
    <n v="111.61986215915999"/>
    <n v="95.003435419368998"/>
    <n v="111.61986215915999"/>
    <n v="14269415"/>
  </r>
  <r>
    <x v="1"/>
    <x v="1"/>
    <n v="172736000"/>
    <s v="Unidades"/>
    <s v="BADECON"/>
    <x v="2"/>
    <s v="C15"/>
    <x v="5"/>
    <n v="97.8"/>
    <n v="94.3"/>
    <n v="97.8"/>
    <n v="172736000"/>
  </r>
  <r>
    <x v="1"/>
    <x v="0"/>
    <n v="3027847"/>
    <s v="Unidades"/>
    <s v="BADECON"/>
    <x v="2"/>
    <s v="C32"/>
    <x v="22"/>
    <m/>
    <n v="95.003435419368998"/>
    <n v="95.003435419368998"/>
    <n v="3027847"/>
  </r>
  <r>
    <x v="1"/>
    <x v="1"/>
    <n v="30974000"/>
    <s v="Unidades"/>
    <s v="BADECON"/>
    <x v="2"/>
    <s v="C32"/>
    <x v="22"/>
    <n v="95.9"/>
    <n v="94.3"/>
    <n v="95.9"/>
    <n v="30974000"/>
  </r>
  <r>
    <x v="1"/>
    <x v="0"/>
    <n v="3021821"/>
    <s v="Unidades"/>
    <s v="BADECON"/>
    <x v="2"/>
    <s v="C26"/>
    <x v="16"/>
    <n v="98.189528995325006"/>
    <n v="95.003435419368998"/>
    <n v="98.189528995325006"/>
    <n v="3021821"/>
  </r>
  <r>
    <x v="1"/>
    <x v="1"/>
    <n v="759586000"/>
    <s v="Unidades"/>
    <s v="BADECON"/>
    <x v="2"/>
    <s v="C26"/>
    <x v="16"/>
    <n v="95.5"/>
    <n v="94.3"/>
    <n v="95.5"/>
    <n v="759586000"/>
  </r>
  <r>
    <x v="1"/>
    <x v="0"/>
    <n v="1389074"/>
    <s v="Unidades"/>
    <s v="BADECON"/>
    <x v="2"/>
    <s v="C30"/>
    <x v="20"/>
    <n v="98.189528995325006"/>
    <n v="95.003435419368998"/>
    <n v="98.189528995325006"/>
    <n v="1389074"/>
  </r>
  <r>
    <x v="1"/>
    <x v="1"/>
    <n v="36701000"/>
    <s v="Unidades"/>
    <s v="BADECON"/>
    <x v="2"/>
    <s v="C30"/>
    <x v="20"/>
    <n v="97"/>
    <n v="94.3"/>
    <n v="97"/>
    <n v="36701000"/>
  </r>
  <r>
    <x v="1"/>
    <x v="1"/>
    <n v="66390000"/>
    <s v="Unidades"/>
    <s v="BADECON"/>
    <x v="2"/>
    <s v="C19"/>
    <x v="9"/>
    <n v="64.099999999999994"/>
    <n v="94.3"/>
    <n v="64.099999999999994"/>
    <n v="66390000"/>
  </r>
  <r>
    <x v="1"/>
    <x v="1"/>
    <n v="5468000"/>
    <s v="Unidades"/>
    <s v="BADECON"/>
    <x v="2"/>
    <s v="C12"/>
    <x v="24"/>
    <n v="96.4"/>
    <n v="94.3"/>
    <n v="96.4"/>
    <n v="5468000"/>
  </r>
  <r>
    <x v="1"/>
    <x v="0"/>
    <n v="32761268"/>
    <s v="Unidades"/>
    <s v="BADECON"/>
    <x v="2"/>
    <s v="CXX"/>
    <x v="0"/>
    <m/>
    <n v="95.003435419368998"/>
    <n v="95.003435419368998"/>
    <n v="32761268"/>
  </r>
  <r>
    <x v="2"/>
    <x v="0"/>
    <n v="1135090"/>
    <s v="Unidades"/>
    <s v="BADECON"/>
    <x v="2"/>
    <s v="C18"/>
    <x v="8"/>
    <n v="66.424574274145002"/>
    <n v="95.629262636448004"/>
    <n v="66.424574274145002"/>
    <n v="1135090"/>
  </r>
  <r>
    <x v="2"/>
    <x v="1"/>
    <n v="36498000"/>
    <s v="Unidades"/>
    <s v="BADECON"/>
    <x v="2"/>
    <s v="C18"/>
    <x v="8"/>
    <n v="93.1"/>
    <n v="87.8"/>
    <n v="93.1"/>
    <n v="36498000"/>
  </r>
  <r>
    <x v="2"/>
    <x v="0"/>
    <n v="31016877"/>
    <s v="Unidades"/>
    <s v="BADECON"/>
    <x v="2"/>
    <s v="C10"/>
    <x v="1"/>
    <n v="96.618124512281994"/>
    <n v="95.629262636448004"/>
    <n v="96.618124512281994"/>
    <n v="31016877"/>
  </r>
  <r>
    <x v="2"/>
    <x v="1"/>
    <n v="2196004000"/>
    <s v="Unidades"/>
    <s v="BADECON"/>
    <x v="2"/>
    <s v="C10"/>
    <x v="1"/>
    <n v="92.1"/>
    <n v="87.8"/>
    <n v="92.1"/>
    <n v="2196004000"/>
  </r>
  <r>
    <x v="2"/>
    <x v="0"/>
    <n v="13803356"/>
    <s v="Unidades"/>
    <s v="BADECON"/>
    <x v="2"/>
    <s v="C16"/>
    <x v="6"/>
    <n v="106.15763962638999"/>
    <n v="95.629262636448004"/>
    <n v="106.15763962638999"/>
    <n v="13803356"/>
  </r>
  <r>
    <x v="2"/>
    <x v="0"/>
    <n v="3030562"/>
    <s v="Unidades"/>
    <s v="BADECON"/>
    <x v="2"/>
    <s v="CXX"/>
    <x v="0"/>
    <m/>
    <n v="95.629262636448004"/>
    <n v="95.629262636448004"/>
    <n v="3030562"/>
  </r>
  <r>
    <x v="3"/>
    <x v="0"/>
    <n v="338909555"/>
    <s v="Unidades"/>
    <s v="BADECON"/>
    <x v="2"/>
    <s v="C10"/>
    <x v="1"/>
    <n v="92.136318280468004"/>
    <n v="96.211353938038002"/>
    <n v="92.136318280468004"/>
    <n v="338909555"/>
  </r>
  <r>
    <x v="3"/>
    <x v="1"/>
    <n v="2156014000"/>
    <s v="Unidades"/>
    <s v="BADECON"/>
    <x v="2"/>
    <s v="C10"/>
    <x v="1"/>
    <n v="87.2"/>
    <n v="81.900000000000006"/>
    <n v="87.2"/>
    <n v="2156014000"/>
  </r>
  <r>
    <x v="3"/>
    <x v="0"/>
    <n v="43131150"/>
    <s v="Unidades"/>
    <s v="BADECON"/>
    <x v="2"/>
    <s v="C23"/>
    <x v="13"/>
    <n v="93.364041500221006"/>
    <n v="96.211353938038002"/>
    <n v="93.364041500221006"/>
    <n v="43131150"/>
  </r>
  <r>
    <x v="3"/>
    <x v="1"/>
    <n v="403939000"/>
    <s v="Unidades"/>
    <s v="BADECON"/>
    <x v="2"/>
    <s v="C23"/>
    <x v="13"/>
    <n v="80.2"/>
    <n v="81.900000000000006"/>
    <n v="80.2"/>
    <n v="403939000"/>
  </r>
  <r>
    <x v="3"/>
    <x v="0"/>
    <n v="15737741"/>
    <s v="Unidades"/>
    <s v="BADECON"/>
    <x v="2"/>
    <s v="C14"/>
    <x v="4"/>
    <n v="107.52442116425"/>
    <n v="96.211353938038002"/>
    <n v="107.52442116425"/>
    <n v="15737741"/>
  </r>
  <r>
    <x v="3"/>
    <x v="1"/>
    <n v="373225000"/>
    <s v="Unidades"/>
    <s v="BADECON"/>
    <x v="2"/>
    <s v="C14"/>
    <x v="4"/>
    <n v="90.7"/>
    <n v="81.900000000000006"/>
    <n v="90.7"/>
    <n v="373225000"/>
  </r>
  <r>
    <x v="3"/>
    <x v="0"/>
    <n v="53799797"/>
    <s v="Unidades"/>
    <s v="BADECON"/>
    <x v="2"/>
    <s v="C33"/>
    <x v="23"/>
    <n v="95.958177771508005"/>
    <n v="96.211353938038002"/>
    <n v="95.958177771508005"/>
    <n v="53799797"/>
  </r>
  <r>
    <x v="3"/>
    <x v="0"/>
    <n v="13594464"/>
    <s v="Unidades"/>
    <s v="BADECON"/>
    <x v="2"/>
    <s v="C13"/>
    <x v="3"/>
    <n v="107.52442116425"/>
    <n v="96.211353938038002"/>
    <n v="107.52442116425"/>
    <n v="13594464"/>
  </r>
  <r>
    <x v="3"/>
    <x v="1"/>
    <n v="577439000"/>
    <s v="Unidades"/>
    <s v="BADECON"/>
    <x v="2"/>
    <s v="C13"/>
    <x v="3"/>
    <n v="84.5"/>
    <n v="81.900000000000006"/>
    <n v="84.5"/>
    <n v="577439000"/>
  </r>
  <r>
    <x v="3"/>
    <x v="0"/>
    <n v="65355238"/>
    <s v="Unidades"/>
    <s v="BADECON"/>
    <x v="2"/>
    <s v="C25"/>
    <x v="15"/>
    <n v="95.958177771508005"/>
    <n v="96.211353938038002"/>
    <n v="95.958177771508005"/>
    <n v="65355238"/>
  </r>
  <r>
    <x v="3"/>
    <x v="1"/>
    <n v="657681000"/>
    <s v="Unidades"/>
    <s v="BADECON"/>
    <x v="2"/>
    <s v="C25"/>
    <x v="15"/>
    <n v="76"/>
    <n v="81.900000000000006"/>
    <n v="76"/>
    <n v="657681000"/>
  </r>
  <r>
    <x v="3"/>
    <x v="0"/>
    <n v="23263007"/>
    <s v="Unidades"/>
    <s v="BADECON"/>
    <x v="2"/>
    <s v="C18"/>
    <x v="8"/>
    <n v="72.105553335238"/>
    <n v="96.211353938038002"/>
    <n v="72.105553335238"/>
    <n v="23263007"/>
  </r>
  <r>
    <x v="3"/>
    <x v="1"/>
    <n v="37405000"/>
    <s v="Unidades"/>
    <s v="BADECON"/>
    <x v="2"/>
    <s v="C18"/>
    <x v="8"/>
    <n v="88.6"/>
    <n v="81.900000000000006"/>
    <n v="88.6"/>
    <n v="37405000"/>
  </r>
  <r>
    <x v="3"/>
    <x v="0"/>
    <n v="25867031"/>
    <s v="Unidades"/>
    <s v="BADECON"/>
    <x v="2"/>
    <s v="C28"/>
    <x v="18"/>
    <n v="95.958177771508005"/>
    <n v="96.211353938038002"/>
    <n v="95.958177771508005"/>
    <n v="25867031"/>
  </r>
  <r>
    <x v="3"/>
    <x v="1"/>
    <n v="846912000"/>
    <s v="Unidades"/>
    <s v="BADECON"/>
    <x v="2"/>
    <s v="C28"/>
    <x v="18"/>
    <n v="82.9"/>
    <n v="81.900000000000006"/>
    <n v="82.9"/>
    <n v="846912000"/>
  </r>
  <r>
    <x v="3"/>
    <x v="0"/>
    <n v="23285688"/>
    <s v="Unidades"/>
    <s v="BADECON"/>
    <x v="2"/>
    <s v="C31"/>
    <x v="21"/>
    <n v="107.1615082093"/>
    <n v="96.211353938038002"/>
    <n v="107.1615082093"/>
    <n v="23285688"/>
  </r>
  <r>
    <x v="3"/>
    <x v="1"/>
    <n v="66201000"/>
    <s v="Unidades"/>
    <s v="BADECON"/>
    <x v="2"/>
    <s v="C31"/>
    <x v="21"/>
    <n v="85.5"/>
    <n v="81.900000000000006"/>
    <n v="85.5"/>
    <n v="66201000"/>
  </r>
  <r>
    <x v="3"/>
    <x v="0"/>
    <n v="35511098"/>
    <s v="Unidades"/>
    <s v="BADECON"/>
    <x v="2"/>
    <s v="C11"/>
    <x v="2"/>
    <n v="100.22588687651999"/>
    <n v="96.211353938038002"/>
    <n v="100.22588687651999"/>
    <n v="35511098"/>
  </r>
  <r>
    <x v="3"/>
    <x v="1"/>
    <n v="355384000"/>
    <s v="Unidades"/>
    <s v="BADECON"/>
    <x v="2"/>
    <s v="C11"/>
    <x v="2"/>
    <n v="80"/>
    <n v="81.900000000000006"/>
    <n v="80"/>
    <n v="355384000"/>
  </r>
  <r>
    <x v="3"/>
    <x v="0"/>
    <n v="60593620"/>
    <s v="Unidades"/>
    <s v="BADECON"/>
    <x v="2"/>
    <s v="C22"/>
    <x v="12"/>
    <n v="109.79561218418"/>
    <n v="96.211353938038002"/>
    <n v="109.79561218418"/>
    <n v="60593620"/>
  </r>
  <r>
    <x v="3"/>
    <x v="1"/>
    <n v="527797000"/>
    <s v="Unidades"/>
    <s v="BADECON"/>
    <x v="2"/>
    <s v="C22"/>
    <x v="12"/>
    <n v="81.900000000000006"/>
    <n v="81.900000000000006"/>
    <n v="81.900000000000006"/>
    <n v="527797000"/>
  </r>
  <r>
    <x v="3"/>
    <x v="0"/>
    <n v="64569549"/>
    <s v="Unidades"/>
    <s v="BADECON"/>
    <x v="2"/>
    <s v="C17"/>
    <x v="7"/>
    <n v="72.105553335238"/>
    <n v="96.211353938038002"/>
    <n v="72.105553335238"/>
    <n v="64569549"/>
  </r>
  <r>
    <x v="3"/>
    <x v="1"/>
    <n v="186639000"/>
    <s v="Unidades"/>
    <s v="BADECON"/>
    <x v="2"/>
    <s v="C17"/>
    <x v="7"/>
    <n v="82"/>
    <n v="81.900000000000006"/>
    <n v="82"/>
    <n v="186639000"/>
  </r>
  <r>
    <x v="3"/>
    <x v="0"/>
    <n v="20191950"/>
    <s v="Unidades"/>
    <s v="BADECON"/>
    <x v="2"/>
    <s v="C27"/>
    <x v="17"/>
    <n v="95.958177771508005"/>
    <n v="96.211353938038002"/>
    <n v="95.958177771508005"/>
    <n v="20191950"/>
  </r>
  <r>
    <x v="3"/>
    <x v="1"/>
    <n v="1049052000"/>
    <s v="Unidades"/>
    <s v="BADECON"/>
    <x v="2"/>
    <s v="C27"/>
    <x v="17"/>
    <n v="84.9"/>
    <n v="81.900000000000006"/>
    <n v="84.9"/>
    <n v="1049052000"/>
  </r>
  <r>
    <x v="3"/>
    <x v="0"/>
    <n v="56771769"/>
    <s v="Unidades"/>
    <s v="BADECON"/>
    <x v="2"/>
    <s v="C20"/>
    <x v="10"/>
    <n v="109.79561218418"/>
    <n v="96.211353938038002"/>
    <n v="109.79561218418"/>
    <n v="56771769"/>
  </r>
  <r>
    <x v="3"/>
    <x v="1"/>
    <n v="421788000"/>
    <s v="Unidades"/>
    <s v="BADECON"/>
    <x v="2"/>
    <s v="C20"/>
    <x v="10"/>
    <n v="95.7"/>
    <n v="81.900000000000006"/>
    <n v="95.7"/>
    <n v="421788000"/>
  </r>
  <r>
    <x v="3"/>
    <x v="0"/>
    <n v="68648425"/>
    <s v="Unidades"/>
    <s v="BADECON"/>
    <x v="2"/>
    <s v="C16"/>
    <x v="6"/>
    <n v="107.1615082093"/>
    <n v="96.211353938038002"/>
    <n v="107.1615082093"/>
    <n v="68648425"/>
  </r>
  <r>
    <x v="3"/>
    <x v="1"/>
    <n v="69459000"/>
    <s v="Unidades"/>
    <s v="BADECON"/>
    <x v="2"/>
    <s v="C16"/>
    <x v="6"/>
    <n v="85.2"/>
    <n v="81.900000000000006"/>
    <n v="85.2"/>
    <n v="69459000"/>
  </r>
  <r>
    <x v="3"/>
    <x v="0"/>
    <n v="4222646"/>
    <s v="Unidades"/>
    <s v="BADECON"/>
    <x v="2"/>
    <s v="C32"/>
    <x v="22"/>
    <m/>
    <n v="96.211353938038002"/>
    <n v="96.211353938038002"/>
    <n v="4222646"/>
  </r>
  <r>
    <x v="3"/>
    <x v="1"/>
    <n v="30607000"/>
    <s v="Unidades"/>
    <s v="BADECON"/>
    <x v="2"/>
    <s v="C32"/>
    <x v="22"/>
    <n v="86.4"/>
    <n v="81.900000000000006"/>
    <n v="86.4"/>
    <n v="30607000"/>
  </r>
  <r>
    <x v="3"/>
    <x v="0"/>
    <n v="2978456"/>
    <s v="Unidades"/>
    <s v="BADECON"/>
    <x v="2"/>
    <s v="C29"/>
    <x v="19"/>
    <n v="95.958177771508005"/>
    <n v="96.211353938038002"/>
    <n v="95.958177771508005"/>
    <n v="2978456"/>
  </r>
  <r>
    <x v="3"/>
    <x v="1"/>
    <n v="199583000"/>
    <s v="Unidades"/>
    <s v="BADECON"/>
    <x v="2"/>
    <s v="C29"/>
    <x v="19"/>
    <n v="82.9"/>
    <n v="81.900000000000006"/>
    <n v="82.9"/>
    <n v="199583000"/>
  </r>
  <r>
    <x v="3"/>
    <x v="0"/>
    <n v="23568781"/>
    <s v="Unidades"/>
    <s v="BADECON"/>
    <x v="2"/>
    <s v="C21"/>
    <x v="11"/>
    <n v="109.79561218418"/>
    <n v="96.211353938038002"/>
    <n v="109.79561218418"/>
    <n v="23568781"/>
  </r>
  <r>
    <x v="3"/>
    <x v="1"/>
    <n v="145586000"/>
    <s v="Unidades"/>
    <s v="BADECON"/>
    <x v="2"/>
    <s v="C21"/>
    <x v="11"/>
    <n v="95.7"/>
    <n v="81.900000000000006"/>
    <n v="95.7"/>
    <n v="145586000"/>
  </r>
  <r>
    <x v="3"/>
    <x v="0"/>
    <n v="17410492"/>
    <s v="Unidades"/>
    <s v="BADECON"/>
    <x v="2"/>
    <s v="C24"/>
    <x v="14"/>
    <n v="93.364041500221006"/>
    <n v="96.211353938038002"/>
    <n v="93.364041500221006"/>
    <n v="17410492"/>
  </r>
  <r>
    <x v="3"/>
    <x v="1"/>
    <n v="273817000"/>
    <s v="Unidades"/>
    <s v="BADECON"/>
    <x v="2"/>
    <s v="C24"/>
    <x v="14"/>
    <n v="73.2"/>
    <n v="81.900000000000006"/>
    <n v="73.2"/>
    <n v="273817000"/>
  </r>
  <r>
    <x v="3"/>
    <x v="0"/>
    <n v="14530361"/>
    <s v="Unidades"/>
    <s v="BADECON"/>
    <x v="2"/>
    <s v="C15"/>
    <x v="5"/>
    <n v="107.52442116425"/>
    <n v="96.211353938038002"/>
    <n v="107.52442116425"/>
    <n v="14530361"/>
  </r>
  <r>
    <x v="3"/>
    <x v="1"/>
    <n v="177329000"/>
    <s v="Unidades"/>
    <s v="BADECON"/>
    <x v="2"/>
    <s v="C15"/>
    <x v="5"/>
    <n v="90.8"/>
    <n v="81.900000000000006"/>
    <n v="90.8"/>
    <n v="177329000"/>
  </r>
  <r>
    <x v="3"/>
    <x v="0"/>
    <n v="14478815"/>
    <s v="Unidades"/>
    <s v="BADECON"/>
    <x v="2"/>
    <s v="C26"/>
    <x v="16"/>
    <n v="95.958177771508005"/>
    <n v="96.211353938038002"/>
    <n v="95.958177771508005"/>
    <n v="14478815"/>
  </r>
  <r>
    <x v="3"/>
    <x v="1"/>
    <n v="675205000"/>
    <s v="Unidades"/>
    <s v="BADECON"/>
    <x v="2"/>
    <s v="C26"/>
    <x v="16"/>
    <n v="83.4"/>
    <n v="81.900000000000006"/>
    <n v="83.4"/>
    <n v="675205000"/>
  </r>
  <r>
    <x v="3"/>
    <x v="0"/>
    <n v="868107"/>
    <s v="Unidades"/>
    <s v="BADECON"/>
    <x v="2"/>
    <s v="C30"/>
    <x v="20"/>
    <n v="95.958177771508005"/>
    <n v="96.211353938038002"/>
    <n v="95.958177771508005"/>
    <n v="868107"/>
  </r>
  <r>
    <x v="3"/>
    <x v="1"/>
    <n v="38829000"/>
    <s v="Unidades"/>
    <s v="BADECON"/>
    <x v="2"/>
    <s v="C30"/>
    <x v="20"/>
    <n v="82.9"/>
    <n v="81.900000000000006"/>
    <n v="82.9"/>
    <n v="38829000"/>
  </r>
  <r>
    <x v="3"/>
    <x v="1"/>
    <n v="5122000"/>
    <s v="Unidades"/>
    <s v="BADECON"/>
    <x v="2"/>
    <s v="C12"/>
    <x v="24"/>
    <n v="80"/>
    <n v="81.900000000000006"/>
    <n v="80"/>
    <n v="5122000"/>
  </r>
  <r>
    <x v="3"/>
    <x v="1"/>
    <n v="73271000"/>
    <s v="Unidades"/>
    <s v="BADECON"/>
    <x v="2"/>
    <s v="C19"/>
    <x v="9"/>
    <n v="47.6"/>
    <n v="81.900000000000006"/>
    <n v="47.6"/>
    <n v="73271000"/>
  </r>
  <r>
    <x v="3"/>
    <x v="0"/>
    <n v="22667312"/>
    <s v="Unidades"/>
    <s v="BADECON"/>
    <x v="2"/>
    <s v="CXX"/>
    <x v="0"/>
    <m/>
    <n v="96.211353938038002"/>
    <n v="96.211353938038002"/>
    <n v="22667312"/>
  </r>
  <r>
    <x v="4"/>
    <x v="0"/>
    <n v="162764"/>
    <s v="Unidades"/>
    <s v="BADECON"/>
    <x v="3"/>
    <s v="C10"/>
    <x v="1"/>
    <n v="107.43342807145"/>
    <n v="103.59652904204"/>
    <n v="107.43342807145"/>
    <n v="162764"/>
  </r>
  <r>
    <x v="4"/>
    <x v="1"/>
    <n v="838625"/>
    <s v="Unidades"/>
    <s v="BADECON"/>
    <x v="3"/>
    <s v="C10"/>
    <x v="1"/>
    <n v="107.1"/>
    <n v="108.6"/>
    <n v="107.1"/>
    <n v="838625"/>
  </r>
  <r>
    <x v="4"/>
    <x v="0"/>
    <n v="25976"/>
    <s v="Unidades"/>
    <s v="BADECON"/>
    <x v="3"/>
    <s v="C11"/>
    <x v="2"/>
    <n v="123.69234493793"/>
    <n v="103.59652904204"/>
    <n v="123.69234493793"/>
    <n v="25976"/>
  </r>
  <r>
    <x v="4"/>
    <x v="1"/>
    <n v="148950"/>
    <s v="Unidades"/>
    <s v="BADECON"/>
    <x v="3"/>
    <s v="C11"/>
    <x v="2"/>
    <n v="109.5"/>
    <n v="108.6"/>
    <n v="109.5"/>
    <n v="148950"/>
  </r>
  <r>
    <x v="4"/>
    <x v="1"/>
    <n v="2359"/>
    <s v="Unidades"/>
    <s v="BADECON"/>
    <x v="3"/>
    <s v="C12"/>
    <x v="24"/>
    <n v="109.5"/>
    <n v="108.6"/>
    <n v="109.5"/>
    <n v="2359"/>
  </r>
  <r>
    <x v="4"/>
    <x v="0"/>
    <n v="4192"/>
    <s v="Unidades"/>
    <s v="BADECON"/>
    <x v="3"/>
    <s v="C13"/>
    <x v="3"/>
    <n v="71.728747032472995"/>
    <n v="103.59652904204"/>
    <n v="71.728747032472995"/>
    <n v="4192"/>
  </r>
  <r>
    <x v="4"/>
    <x v="1"/>
    <n v="278997"/>
    <s v="Unidades"/>
    <s v="BADECON"/>
    <x v="3"/>
    <s v="C13"/>
    <x v="3"/>
    <n v="105.5"/>
    <n v="108.6"/>
    <n v="105.5"/>
    <n v="278997"/>
  </r>
  <r>
    <x v="4"/>
    <x v="0"/>
    <n v="4408"/>
    <s v="Unidades"/>
    <s v="BADECON"/>
    <x v="3"/>
    <s v="C14"/>
    <x v="4"/>
    <n v="71.728747032472995"/>
    <n v="103.59652904204"/>
    <n v="71.728747032472995"/>
    <n v="4408"/>
  </r>
  <r>
    <x v="4"/>
    <x v="1"/>
    <n v="132083"/>
    <s v="Unidades"/>
    <s v="BADECON"/>
    <x v="3"/>
    <s v="C14"/>
    <x v="4"/>
    <n v="110.2"/>
    <n v="108.6"/>
    <n v="110.2"/>
    <n v="132083"/>
  </r>
  <r>
    <x v="4"/>
    <x v="0"/>
    <n v="1373"/>
    <s v="Unidades"/>
    <s v="BADECON"/>
    <x v="3"/>
    <s v="C15"/>
    <x v="5"/>
    <n v="71.728747032472995"/>
    <n v="103.59652904204"/>
    <n v="71.728747032472995"/>
    <n v="1373"/>
  </r>
  <r>
    <x v="4"/>
    <x v="1"/>
    <n v="62627"/>
    <s v="Unidades"/>
    <s v="BADECON"/>
    <x v="3"/>
    <s v="C15"/>
    <x v="5"/>
    <n v="105.1"/>
    <n v="108.6"/>
    <n v="105.1"/>
    <n v="62627"/>
  </r>
  <r>
    <x v="4"/>
    <x v="0"/>
    <n v="26149"/>
    <s v="Unidades"/>
    <s v="BADECON"/>
    <x v="3"/>
    <s v="C16"/>
    <x v="6"/>
    <n v="110.87139466242"/>
    <n v="103.59652904204"/>
    <n v="110.87139466242"/>
    <n v="26149"/>
  </r>
  <r>
    <x v="4"/>
    <x v="1"/>
    <n v="27647"/>
    <s v="Unidades"/>
    <s v="BADECON"/>
    <x v="3"/>
    <s v="C16"/>
    <x v="6"/>
    <n v="108.1"/>
    <n v="108.6"/>
    <n v="108.1"/>
    <n v="27647"/>
  </r>
  <r>
    <x v="4"/>
    <x v="0"/>
    <n v="24193"/>
    <s v="Unidades"/>
    <s v="BADECON"/>
    <x v="3"/>
    <s v="C17"/>
    <x v="7"/>
    <n v="65.215368011810995"/>
    <n v="103.59652904204"/>
    <n v="65.215368011810995"/>
    <n v="24193"/>
  </r>
  <r>
    <x v="4"/>
    <x v="1"/>
    <n v="76896"/>
    <s v="Unidades"/>
    <s v="BADECON"/>
    <x v="3"/>
    <s v="C17"/>
    <x v="7"/>
    <n v="107.4"/>
    <n v="108.6"/>
    <n v="107.4"/>
    <n v="76896"/>
  </r>
  <r>
    <x v="4"/>
    <x v="0"/>
    <n v="5445"/>
    <s v="Unidades"/>
    <s v="BADECON"/>
    <x v="3"/>
    <s v="C18"/>
    <x v="8"/>
    <n v="65.215368011810995"/>
    <n v="103.59652904204"/>
    <n v="65.215368011810995"/>
    <n v="5445"/>
  </r>
  <r>
    <x v="4"/>
    <x v="1"/>
    <n v="13594"/>
    <s v="Unidades"/>
    <s v="BADECON"/>
    <x v="3"/>
    <s v="C18"/>
    <x v="8"/>
    <n v="109.7"/>
    <n v="108.6"/>
    <n v="109.7"/>
    <n v="13594"/>
  </r>
  <r>
    <x v="4"/>
    <x v="1"/>
    <n v="26784"/>
    <s v="Unidades"/>
    <s v="BADECON"/>
    <x v="3"/>
    <s v="C19"/>
    <x v="9"/>
    <n v="100.6"/>
    <n v="108.6"/>
    <n v="100.6"/>
    <n v="26784"/>
  </r>
  <r>
    <x v="4"/>
    <x v="0"/>
    <n v="26833"/>
    <s v="Unidades"/>
    <s v="BADECON"/>
    <x v="3"/>
    <s v="C20"/>
    <x v="10"/>
    <n v="100.20302658438"/>
    <n v="103.59652904204"/>
    <n v="100.20302658438"/>
    <n v="26833"/>
  </r>
  <r>
    <x v="4"/>
    <x v="1"/>
    <n v="183534"/>
    <s v="Unidades"/>
    <s v="BADECON"/>
    <x v="3"/>
    <s v="C20"/>
    <x v="10"/>
    <n v="103.9"/>
    <n v="108.6"/>
    <n v="103.9"/>
    <n v="183534"/>
  </r>
  <r>
    <x v="4"/>
    <x v="0"/>
    <n v="10723"/>
    <s v="Unidades"/>
    <s v="BADECON"/>
    <x v="3"/>
    <s v="C21"/>
    <x v="11"/>
    <n v="100.20302658438"/>
    <n v="103.59652904204"/>
    <n v="100.20302658438"/>
    <n v="10723"/>
  </r>
  <r>
    <x v="4"/>
    <x v="1"/>
    <n v="79365"/>
    <s v="Unidades"/>
    <s v="BADECON"/>
    <x v="3"/>
    <s v="C21"/>
    <x v="11"/>
    <n v="103.9"/>
    <n v="108.6"/>
    <n v="103.9"/>
    <n v="79365"/>
  </r>
  <r>
    <x v="4"/>
    <x v="0"/>
    <n v="24196"/>
    <s v="Unidades"/>
    <s v="BADECON"/>
    <x v="3"/>
    <s v="C22"/>
    <x v="12"/>
    <n v="100.20302658438"/>
    <n v="103.59652904204"/>
    <n v="100.20302658438"/>
    <n v="24196"/>
  </r>
  <r>
    <x v="4"/>
    <x v="1"/>
    <n v="248879"/>
    <s v="Unidades"/>
    <s v="BADECON"/>
    <x v="3"/>
    <s v="C22"/>
    <x v="12"/>
    <n v="105.6"/>
    <n v="108.6"/>
    <n v="105.6"/>
    <n v="248879"/>
  </r>
  <r>
    <x v="4"/>
    <x v="0"/>
    <n v="17218"/>
    <s v="Unidades"/>
    <s v="BADECON"/>
    <x v="3"/>
    <s v="C23"/>
    <x v="13"/>
    <n v="104.48191541983"/>
    <n v="103.59652904204"/>
    <n v="104.48191541983"/>
    <n v="17218"/>
  </r>
  <r>
    <x v="4"/>
    <x v="1"/>
    <n v="163668"/>
    <s v="Unidades"/>
    <s v="BADECON"/>
    <x v="3"/>
    <s v="C23"/>
    <x v="13"/>
    <n v="108.2"/>
    <n v="108.6"/>
    <n v="108.2"/>
    <n v="163668"/>
  </r>
  <r>
    <x v="4"/>
    <x v="0"/>
    <n v="8832"/>
    <s v="Unidades"/>
    <s v="BADECON"/>
    <x v="3"/>
    <s v="C24"/>
    <x v="14"/>
    <n v="104.48191541983"/>
    <n v="103.59652904204"/>
    <n v="104.48191541983"/>
    <n v="8832"/>
  </r>
  <r>
    <x v="4"/>
    <x v="1"/>
    <n v="115048"/>
    <s v="Unidades"/>
    <s v="BADECON"/>
    <x v="3"/>
    <s v="C24"/>
    <x v="14"/>
    <n v="111.8"/>
    <n v="108.6"/>
    <n v="111.8"/>
    <n v="115048"/>
  </r>
  <r>
    <x v="4"/>
    <x v="0"/>
    <n v="27332"/>
    <s v="Unidades"/>
    <s v="BADECON"/>
    <x v="3"/>
    <s v="C25"/>
    <x v="15"/>
    <n v="113.44450268036999"/>
    <n v="103.59652904204"/>
    <n v="113.44450268036999"/>
    <n v="27332"/>
  </r>
  <r>
    <x v="4"/>
    <x v="1"/>
    <n v="303739"/>
    <s v="Unidades"/>
    <s v="BADECON"/>
    <x v="3"/>
    <s v="C25"/>
    <x v="15"/>
    <n v="109.5"/>
    <n v="108.6"/>
    <n v="109.5"/>
    <n v="303739"/>
  </r>
  <r>
    <x v="4"/>
    <x v="0"/>
    <n v="171"/>
    <s v="Unidades"/>
    <s v="BADECON"/>
    <x v="3"/>
    <s v="C26"/>
    <x v="16"/>
    <n v="113.44450268036999"/>
    <n v="103.59652904204"/>
    <n v="113.44450268036999"/>
    <n v="171"/>
  </r>
  <r>
    <x v="4"/>
    <x v="1"/>
    <n v="348538"/>
    <s v="Unidades"/>
    <s v="BADECON"/>
    <x v="3"/>
    <s v="C26"/>
    <x v="16"/>
    <n v="109.4"/>
    <n v="108.6"/>
    <n v="109.4"/>
    <n v="348538"/>
  </r>
  <r>
    <x v="4"/>
    <x v="0"/>
    <n v="7693"/>
    <s v="Unidades"/>
    <s v="BADECON"/>
    <x v="3"/>
    <s v="C27"/>
    <x v="17"/>
    <n v="113.44450268036999"/>
    <n v="103.59652904204"/>
    <n v="113.44450268036999"/>
    <n v="7693"/>
  </r>
  <r>
    <x v="4"/>
    <x v="1"/>
    <n v="581401"/>
    <s v="Unidades"/>
    <s v="BADECON"/>
    <x v="3"/>
    <s v="C27"/>
    <x v="17"/>
    <n v="107.4"/>
    <n v="108.6"/>
    <n v="107.4"/>
    <n v="581401"/>
  </r>
  <r>
    <x v="4"/>
    <x v="0"/>
    <n v="11119"/>
    <s v="Unidades"/>
    <s v="BADECON"/>
    <x v="3"/>
    <s v="C28"/>
    <x v="18"/>
    <n v="113.44450268036999"/>
    <n v="103.59652904204"/>
    <n v="113.44450268036999"/>
    <n v="11119"/>
  </r>
  <r>
    <x v="4"/>
    <x v="1"/>
    <n v="429334"/>
    <s v="Unidades"/>
    <s v="BADECON"/>
    <x v="3"/>
    <s v="C28"/>
    <x v="18"/>
    <n v="110.3"/>
    <n v="108.6"/>
    <n v="110.3"/>
    <n v="429334"/>
  </r>
  <r>
    <x v="4"/>
    <x v="0"/>
    <n v="1391"/>
    <s v="Unidades"/>
    <s v="BADECON"/>
    <x v="3"/>
    <s v="C29"/>
    <x v="19"/>
    <n v="113.44450268036999"/>
    <n v="103.59652904204"/>
    <n v="113.44450268036999"/>
    <n v="1391"/>
  </r>
  <r>
    <x v="4"/>
    <x v="1"/>
    <n v="111281"/>
    <s v="Unidades"/>
    <s v="BADECON"/>
    <x v="3"/>
    <s v="C29"/>
    <x v="19"/>
    <n v="111.5"/>
    <n v="108.6"/>
    <n v="111.5"/>
    <n v="111281"/>
  </r>
  <r>
    <x v="4"/>
    <x v="0"/>
    <n v="970"/>
    <s v="Unidades"/>
    <s v="BADECON"/>
    <x v="3"/>
    <s v="C30"/>
    <x v="20"/>
    <n v="113.44450268036999"/>
    <n v="103.59652904204"/>
    <n v="113.44450268036999"/>
    <n v="970"/>
  </r>
  <r>
    <x v="4"/>
    <x v="1"/>
    <n v="24166"/>
    <s v="Unidades"/>
    <s v="BADECON"/>
    <x v="3"/>
    <s v="C30"/>
    <x v="20"/>
    <n v="111.5"/>
    <n v="108.6"/>
    <n v="111.5"/>
    <n v="24166"/>
  </r>
  <r>
    <x v="4"/>
    <x v="0"/>
    <n v="10391"/>
    <s v="Unidades"/>
    <s v="BADECON"/>
    <x v="3"/>
    <s v="C31"/>
    <x v="21"/>
    <n v="110.87139466242"/>
    <n v="103.59652904204"/>
    <n v="110.87139466242"/>
    <n v="10391"/>
  </r>
  <r>
    <x v="4"/>
    <x v="1"/>
    <n v="28184"/>
    <s v="Unidades"/>
    <s v="BADECON"/>
    <x v="3"/>
    <s v="C31"/>
    <x v="21"/>
    <n v="108.5"/>
    <n v="108.6"/>
    <n v="108.5"/>
    <n v="28184"/>
  </r>
  <r>
    <x v="4"/>
    <x v="0"/>
    <n v="1224"/>
    <s v="Unidades"/>
    <s v="BADECON"/>
    <x v="3"/>
    <s v="C32"/>
    <x v="22"/>
    <m/>
    <n v="103.59652904204"/>
    <n v="103.59652904204"/>
    <n v="1224"/>
  </r>
  <r>
    <x v="4"/>
    <x v="1"/>
    <n v="15046"/>
    <s v="Unidades"/>
    <s v="BADECON"/>
    <x v="3"/>
    <s v="C32"/>
    <x v="22"/>
    <n v="112.5"/>
    <n v="108.6"/>
    <n v="112.5"/>
    <n v="15046"/>
  </r>
  <r>
    <x v="4"/>
    <x v="0"/>
    <n v="28539"/>
    <s v="Unidades"/>
    <s v="BADECON"/>
    <x v="3"/>
    <s v="C33"/>
    <x v="23"/>
    <n v="113.44450268036999"/>
    <n v="103.59652904204"/>
    <n v="113.44450268036999"/>
    <n v="28539"/>
  </r>
  <r>
    <x v="4"/>
    <x v="0"/>
    <n v="16396"/>
    <s v="Unidades"/>
    <s v="BADECON"/>
    <x v="3"/>
    <s v="CXX"/>
    <x v="0"/>
    <m/>
    <n v="103.59652904204"/>
    <n v="103.59652904204"/>
    <n v="16396"/>
  </r>
  <r>
    <x v="5"/>
    <x v="0"/>
    <n v="167758"/>
    <s v="Unidades"/>
    <s v="BADECON"/>
    <x v="3"/>
    <s v="C10"/>
    <x v="1"/>
    <n v="101.52099705321"/>
    <n v="98.151526954033002"/>
    <n v="101.52099705321"/>
    <n v="167758"/>
  </r>
  <r>
    <x v="5"/>
    <x v="1"/>
    <n v="832902"/>
    <s v="Unidades"/>
    <s v="BADECON"/>
    <x v="3"/>
    <s v="C10"/>
    <x v="1"/>
    <n v="102.3"/>
    <n v="102.4"/>
    <n v="102.3"/>
    <n v="832902"/>
  </r>
  <r>
    <x v="5"/>
    <x v="0"/>
    <n v="22664"/>
    <s v="Unidades"/>
    <s v="BADECON"/>
    <x v="3"/>
    <s v="C11"/>
    <x v="2"/>
    <n v="111.60809989866"/>
    <n v="98.151526954033002"/>
    <n v="111.60809989866"/>
    <n v="22664"/>
  </r>
  <r>
    <x v="5"/>
    <x v="1"/>
    <n v="146372"/>
    <s v="Unidades"/>
    <s v="BADECON"/>
    <x v="3"/>
    <s v="C11"/>
    <x v="2"/>
    <n v="104.9"/>
    <n v="102.4"/>
    <n v="104.9"/>
    <n v="146372"/>
  </r>
  <r>
    <x v="5"/>
    <x v="1"/>
    <n v="2313"/>
    <s v="Unidades"/>
    <s v="BADECON"/>
    <x v="3"/>
    <s v="C12"/>
    <x v="24"/>
    <n v="104.9"/>
    <n v="102.4"/>
    <n v="104.9"/>
    <n v="2313"/>
  </r>
  <r>
    <x v="5"/>
    <x v="0"/>
    <n v="4548"/>
    <s v="Unidades"/>
    <s v="BADECON"/>
    <x v="3"/>
    <s v="C13"/>
    <x v="3"/>
    <n v="84.562992854463005"/>
    <n v="98.151526954033002"/>
    <n v="84.562992854463005"/>
    <n v="4548"/>
  </r>
  <r>
    <x v="5"/>
    <x v="1"/>
    <n v="295986"/>
    <s v="Unidades"/>
    <s v="BADECON"/>
    <x v="3"/>
    <s v="C13"/>
    <x v="3"/>
    <n v="102.4"/>
    <n v="102.4"/>
    <n v="102.4"/>
    <n v="295986"/>
  </r>
  <r>
    <x v="5"/>
    <x v="0"/>
    <n v="6673"/>
    <s v="Unidades"/>
    <s v="BADECON"/>
    <x v="3"/>
    <s v="C14"/>
    <x v="4"/>
    <n v="84.562992854463005"/>
    <n v="98.151526954033002"/>
    <n v="84.562992854463005"/>
    <n v="6673"/>
  </r>
  <r>
    <x v="5"/>
    <x v="1"/>
    <n v="152060"/>
    <s v="Unidades"/>
    <s v="BADECON"/>
    <x v="3"/>
    <s v="C14"/>
    <x v="4"/>
    <n v="105.3"/>
    <n v="102.4"/>
    <n v="105.3"/>
    <n v="152060"/>
  </r>
  <r>
    <x v="5"/>
    <x v="0"/>
    <n v="29003"/>
    <s v="Unidades"/>
    <s v="BADECON"/>
    <x v="3"/>
    <s v="C33"/>
    <x v="23"/>
    <n v="106.59709315790001"/>
    <n v="98.151526954033002"/>
    <n v="106.59709315790001"/>
    <n v="29003"/>
  </r>
  <r>
    <x v="5"/>
    <x v="0"/>
    <n v="17925"/>
    <s v="Unidades"/>
    <s v="BADECON"/>
    <x v="3"/>
    <s v="CXX"/>
    <x v="0"/>
    <m/>
    <n v="98.151526954033002"/>
    <n v="98.151526954033002"/>
    <n v="17925"/>
  </r>
  <r>
    <x v="0"/>
    <x v="0"/>
    <n v="199351"/>
    <s v="Unidades"/>
    <s v="BADECON"/>
    <x v="3"/>
    <s v="C10"/>
    <x v="1"/>
    <n v="99.999999999999005"/>
    <n v="99.999999999999005"/>
    <n v="99.999999999999005"/>
    <n v="199351"/>
  </r>
  <r>
    <x v="0"/>
    <x v="1"/>
    <n v="830544"/>
    <s v="Unidades"/>
    <s v="BADECON"/>
    <x v="3"/>
    <s v="C10"/>
    <x v="1"/>
    <n v="100"/>
    <n v="100"/>
    <n v="100"/>
    <n v="830544"/>
  </r>
  <r>
    <x v="0"/>
    <x v="0"/>
    <n v="19077"/>
    <s v="Unidades"/>
    <s v="BADECON"/>
    <x v="3"/>
    <s v="C11"/>
    <x v="2"/>
    <n v="100"/>
    <n v="99.999999999999005"/>
    <n v="100"/>
    <n v="19077"/>
  </r>
  <r>
    <x v="0"/>
    <x v="1"/>
    <n v="144859"/>
    <s v="Unidades"/>
    <s v="BADECON"/>
    <x v="3"/>
    <s v="C11"/>
    <x v="2"/>
    <n v="100"/>
    <n v="100"/>
    <n v="100"/>
    <n v="144859"/>
  </r>
  <r>
    <x v="0"/>
    <x v="1"/>
    <n v="2131"/>
    <s v="Unidades"/>
    <s v="BADECON"/>
    <x v="3"/>
    <s v="C12"/>
    <x v="24"/>
    <n v="100"/>
    <n v="100"/>
    <n v="100"/>
    <n v="2131"/>
  </r>
  <r>
    <x v="0"/>
    <x v="0"/>
    <n v="32254"/>
    <s v="Unidades"/>
    <s v="BADECON"/>
    <x v="3"/>
    <s v="C13"/>
    <x v="3"/>
    <n v="99.999999999999005"/>
    <n v="99.999999999999005"/>
    <n v="99.999999999999005"/>
    <n v="32254"/>
  </r>
  <r>
    <x v="0"/>
    <x v="1"/>
    <n v="293092"/>
    <s v="Unidades"/>
    <s v="BADECON"/>
    <x v="3"/>
    <s v="C13"/>
    <x v="3"/>
    <n v="100"/>
    <n v="100"/>
    <n v="100"/>
    <n v="293092"/>
  </r>
  <r>
    <x v="0"/>
    <x v="0"/>
    <n v="7589"/>
    <s v="Unidades"/>
    <s v="BADECON"/>
    <x v="3"/>
    <s v="C14"/>
    <x v="4"/>
    <n v="99.999999999999005"/>
    <n v="99.999999999999005"/>
    <n v="99.999999999999005"/>
    <n v="7589"/>
  </r>
  <r>
    <x v="0"/>
    <x v="1"/>
    <n v="155105"/>
    <s v="Unidades"/>
    <s v="BADECON"/>
    <x v="3"/>
    <s v="C14"/>
    <x v="4"/>
    <n v="100"/>
    <n v="100"/>
    <n v="100"/>
    <n v="155105"/>
  </r>
  <r>
    <x v="0"/>
    <x v="0"/>
    <n v="6350"/>
    <s v="Unidades"/>
    <s v="BADECON"/>
    <x v="3"/>
    <s v="C15"/>
    <x v="5"/>
    <n v="99.999999999999005"/>
    <n v="99.999999999999005"/>
    <n v="99.999999999999005"/>
    <n v="6350"/>
  </r>
  <r>
    <x v="0"/>
    <x v="1"/>
    <n v="74061"/>
    <s v="Unidades"/>
    <s v="BADECON"/>
    <x v="3"/>
    <s v="C15"/>
    <x v="5"/>
    <n v="100"/>
    <n v="100"/>
    <n v="100"/>
    <n v="74061"/>
  </r>
  <r>
    <x v="0"/>
    <x v="0"/>
    <n v="29899"/>
    <s v="Unidades"/>
    <s v="BADECON"/>
    <x v="3"/>
    <s v="C16"/>
    <x v="6"/>
    <n v="100"/>
    <n v="99.999999999999005"/>
    <n v="100"/>
    <n v="29899"/>
  </r>
  <r>
    <x v="0"/>
    <x v="1"/>
    <n v="31103"/>
    <s v="Unidades"/>
    <s v="BADECON"/>
    <x v="3"/>
    <s v="C16"/>
    <x v="6"/>
    <n v="100"/>
    <n v="100"/>
    <n v="100"/>
    <n v="31103"/>
  </r>
  <r>
    <x v="0"/>
    <x v="0"/>
    <n v="22421"/>
    <s v="Unidades"/>
    <s v="BADECON"/>
    <x v="3"/>
    <s v="C17"/>
    <x v="7"/>
    <n v="99.999999999999005"/>
    <n v="99.999999999999005"/>
    <n v="99.999999999999005"/>
    <n v="22421"/>
  </r>
  <r>
    <x v="0"/>
    <x v="1"/>
    <n v="77185"/>
    <s v="Unidades"/>
    <s v="BADECON"/>
    <x v="3"/>
    <s v="C17"/>
    <x v="7"/>
    <n v="100"/>
    <n v="100"/>
    <n v="100"/>
    <n v="77185"/>
  </r>
  <r>
    <x v="5"/>
    <x v="0"/>
    <n v="5140"/>
    <s v="Unidades"/>
    <s v="BADECON"/>
    <x v="3"/>
    <s v="C15"/>
    <x v="5"/>
    <n v="84.562992854463005"/>
    <n v="98.151526954033002"/>
    <n v="84.562992854463005"/>
    <n v="5140"/>
  </r>
  <r>
    <x v="5"/>
    <x v="1"/>
    <n v="72175"/>
    <s v="Unidades"/>
    <s v="BADECON"/>
    <x v="3"/>
    <s v="C15"/>
    <x v="5"/>
    <n v="102.3"/>
    <n v="102.4"/>
    <n v="102.3"/>
    <n v="72175"/>
  </r>
  <r>
    <x v="5"/>
    <x v="0"/>
    <n v="29459"/>
    <s v="Unidades"/>
    <s v="BADECON"/>
    <x v="3"/>
    <s v="C16"/>
    <x v="6"/>
    <n v="97.634045562563003"/>
    <n v="98.151526954033002"/>
    <n v="97.634045562563003"/>
    <n v="29459"/>
  </r>
  <r>
    <x v="5"/>
    <x v="1"/>
    <n v="30191"/>
    <s v="Unidades"/>
    <s v="BADECON"/>
    <x v="3"/>
    <s v="C16"/>
    <x v="6"/>
    <n v="105.5"/>
    <n v="102.4"/>
    <n v="105.5"/>
    <n v="30191"/>
  </r>
  <r>
    <x v="5"/>
    <x v="0"/>
    <n v="25948"/>
    <s v="Unidades"/>
    <s v="BADECON"/>
    <x v="3"/>
    <s v="C17"/>
    <x v="7"/>
    <n v="72.666250473058"/>
    <n v="98.151526954033002"/>
    <n v="72.666250473058"/>
    <n v="25948"/>
  </r>
  <r>
    <x v="5"/>
    <x v="1"/>
    <n v="78204"/>
    <s v="Unidades"/>
    <s v="BADECON"/>
    <x v="3"/>
    <s v="C17"/>
    <x v="7"/>
    <n v="104.5"/>
    <n v="102.4"/>
    <n v="104.5"/>
    <n v="78204"/>
  </r>
  <r>
    <x v="5"/>
    <x v="0"/>
    <n v="8049"/>
    <s v="Unidades"/>
    <s v="BADECON"/>
    <x v="3"/>
    <s v="C18"/>
    <x v="8"/>
    <n v="72.666250473058"/>
    <n v="98.151526954033002"/>
    <n v="72.666250473058"/>
    <n v="8049"/>
  </r>
  <r>
    <x v="5"/>
    <x v="1"/>
    <n v="14521"/>
    <s v="Unidades"/>
    <s v="BADECON"/>
    <x v="3"/>
    <s v="C18"/>
    <x v="8"/>
    <n v="106"/>
    <n v="102.4"/>
    <n v="106"/>
    <n v="14521"/>
  </r>
  <r>
    <x v="5"/>
    <x v="1"/>
    <n v="27306"/>
    <s v="Unidades"/>
    <s v="BADECON"/>
    <x v="3"/>
    <s v="C19"/>
    <x v="9"/>
    <n v="92.1"/>
    <n v="102.4"/>
    <n v="92.1"/>
    <n v="27306"/>
  </r>
  <r>
    <x v="5"/>
    <x v="0"/>
    <n v="28315"/>
    <s v="Unidades"/>
    <s v="BADECON"/>
    <x v="3"/>
    <s v="C20"/>
    <x v="10"/>
    <n v="94.527911873682996"/>
    <n v="98.151526954033002"/>
    <n v="94.527911873682996"/>
    <n v="28315"/>
  </r>
  <r>
    <x v="5"/>
    <x v="1"/>
    <n v="184074"/>
    <s v="Unidades"/>
    <s v="BADECON"/>
    <x v="3"/>
    <s v="C20"/>
    <x v="10"/>
    <n v="101.6"/>
    <n v="102.4"/>
    <n v="101.6"/>
    <n v="184074"/>
  </r>
  <r>
    <x v="5"/>
    <x v="0"/>
    <n v="13914"/>
    <s v="Unidades"/>
    <s v="BADECON"/>
    <x v="3"/>
    <s v="C21"/>
    <x v="11"/>
    <n v="94.527911873682996"/>
    <n v="98.151526954033002"/>
    <n v="94.527911873682996"/>
    <n v="13914"/>
  </r>
  <r>
    <x v="5"/>
    <x v="1"/>
    <n v="71986"/>
    <s v="Unidades"/>
    <s v="BADECON"/>
    <x v="3"/>
    <s v="C21"/>
    <x v="11"/>
    <n v="101.6"/>
    <n v="102.4"/>
    <n v="101.6"/>
    <n v="71986"/>
  </r>
  <r>
    <x v="5"/>
    <x v="0"/>
    <n v="28173"/>
    <s v="Unidades"/>
    <s v="BADECON"/>
    <x v="3"/>
    <s v="C22"/>
    <x v="12"/>
    <n v="94.527911873682996"/>
    <n v="98.151526954033002"/>
    <n v="94.527911873682996"/>
    <n v="28173"/>
  </r>
  <r>
    <x v="5"/>
    <x v="1"/>
    <n v="256784"/>
    <s v="Unidades"/>
    <s v="BADECON"/>
    <x v="3"/>
    <s v="C22"/>
    <x v="12"/>
    <n v="103.4"/>
    <n v="102.4"/>
    <n v="103.4"/>
    <n v="256784"/>
  </r>
  <r>
    <x v="5"/>
    <x v="0"/>
    <n v="20455"/>
    <s v="Unidades"/>
    <s v="BADECON"/>
    <x v="3"/>
    <s v="C23"/>
    <x v="13"/>
    <n v="96.894683830418003"/>
    <n v="98.151526954033002"/>
    <n v="96.894683830418003"/>
    <n v="20455"/>
  </r>
  <r>
    <x v="5"/>
    <x v="1"/>
    <n v="171479"/>
    <s v="Unidades"/>
    <s v="BADECON"/>
    <x v="3"/>
    <s v="C23"/>
    <x v="13"/>
    <n v="104.4"/>
    <n v="102.4"/>
    <n v="104.4"/>
    <n v="171479"/>
  </r>
  <r>
    <x v="5"/>
    <x v="0"/>
    <n v="7855"/>
    <s v="Unidades"/>
    <s v="BADECON"/>
    <x v="3"/>
    <s v="C24"/>
    <x v="14"/>
    <n v="96.894683830418003"/>
    <n v="98.151526954033002"/>
    <n v="96.894683830418003"/>
    <n v="7855"/>
  </r>
  <r>
    <x v="5"/>
    <x v="1"/>
    <n v="119262"/>
    <s v="Unidades"/>
    <s v="BADECON"/>
    <x v="3"/>
    <s v="C24"/>
    <x v="14"/>
    <n v="99"/>
    <n v="102.4"/>
    <n v="99"/>
    <n v="119262"/>
  </r>
  <r>
    <x v="5"/>
    <x v="0"/>
    <n v="33199"/>
    <s v="Unidades"/>
    <s v="BADECON"/>
    <x v="3"/>
    <s v="C25"/>
    <x v="15"/>
    <n v="106.59709315790001"/>
    <n v="98.151526954033002"/>
    <n v="106.59709315790001"/>
    <n v="33199"/>
  </r>
  <r>
    <x v="5"/>
    <x v="1"/>
    <n v="319739"/>
    <s v="Unidades"/>
    <s v="BADECON"/>
    <x v="3"/>
    <s v="C25"/>
    <x v="15"/>
    <n v="104.2"/>
    <n v="102.4"/>
    <n v="104.2"/>
    <n v="319739"/>
  </r>
  <r>
    <x v="5"/>
    <x v="0"/>
    <n v="1777"/>
    <s v="Unidades"/>
    <s v="BADECON"/>
    <x v="3"/>
    <s v="C26"/>
    <x v="16"/>
    <n v="106.59709315790001"/>
    <n v="98.151526954033002"/>
    <n v="106.59709315790001"/>
    <n v="1777"/>
  </r>
  <r>
    <x v="5"/>
    <x v="1"/>
    <n v="353822"/>
    <s v="Unidades"/>
    <s v="BADECON"/>
    <x v="3"/>
    <s v="C26"/>
    <x v="16"/>
    <n v="103.9"/>
    <n v="102.4"/>
    <n v="103.9"/>
    <n v="353822"/>
  </r>
  <r>
    <x v="5"/>
    <x v="0"/>
    <n v="9217"/>
    <s v="Unidades"/>
    <s v="BADECON"/>
    <x v="3"/>
    <s v="C27"/>
    <x v="17"/>
    <n v="106.59709315790001"/>
    <n v="98.151526954033002"/>
    <n v="106.59709315790001"/>
    <n v="9217"/>
  </r>
  <r>
    <x v="5"/>
    <x v="1"/>
    <n v="582995"/>
    <s v="Unidades"/>
    <s v="BADECON"/>
    <x v="3"/>
    <s v="C27"/>
    <x v="17"/>
    <n v="102.3"/>
    <n v="102.4"/>
    <n v="102.3"/>
    <n v="582995"/>
  </r>
  <r>
    <x v="5"/>
    <x v="0"/>
    <n v="11341"/>
    <s v="Unidades"/>
    <s v="BADECON"/>
    <x v="3"/>
    <s v="C28"/>
    <x v="18"/>
    <n v="106.59709315790001"/>
    <n v="98.151526954033002"/>
    <n v="106.59709315790001"/>
    <n v="11341"/>
  </r>
  <r>
    <x v="5"/>
    <x v="1"/>
    <n v="444514"/>
    <s v="Unidades"/>
    <s v="BADECON"/>
    <x v="3"/>
    <s v="C28"/>
    <x v="18"/>
    <n v="102.7"/>
    <n v="102.4"/>
    <n v="102.7"/>
    <n v="444514"/>
  </r>
  <r>
    <x v="5"/>
    <x v="0"/>
    <n v="1538"/>
    <s v="Unidades"/>
    <s v="BADECON"/>
    <x v="3"/>
    <s v="C29"/>
    <x v="19"/>
    <n v="106.59709315790001"/>
    <n v="98.151526954033002"/>
    <n v="106.59709315790001"/>
    <n v="1538"/>
  </r>
  <r>
    <x v="5"/>
    <x v="1"/>
    <n v="119758"/>
    <s v="Unidades"/>
    <s v="BADECON"/>
    <x v="3"/>
    <s v="C29"/>
    <x v="19"/>
    <n v="102.2"/>
    <n v="102.4"/>
    <n v="102.2"/>
    <n v="119758"/>
  </r>
  <r>
    <x v="5"/>
    <x v="0"/>
    <n v="929"/>
    <s v="Unidades"/>
    <s v="BADECON"/>
    <x v="3"/>
    <s v="C30"/>
    <x v="20"/>
    <n v="106.59709315790001"/>
    <n v="98.151526954033002"/>
    <n v="106.59709315790001"/>
    <n v="929"/>
  </r>
  <r>
    <x v="5"/>
    <x v="1"/>
    <n v="23541"/>
    <s v="Unidades"/>
    <s v="BADECON"/>
    <x v="3"/>
    <s v="C30"/>
    <x v="20"/>
    <n v="102.2"/>
    <n v="102.4"/>
    <n v="102.2"/>
    <n v="23541"/>
  </r>
  <r>
    <x v="5"/>
    <x v="0"/>
    <n v="11033"/>
    <s v="Unidades"/>
    <s v="BADECON"/>
    <x v="3"/>
    <s v="C31"/>
    <x v="21"/>
    <n v="97.634045562563003"/>
    <n v="98.151526954033002"/>
    <n v="97.634045562563003"/>
    <n v="11033"/>
  </r>
  <r>
    <x v="5"/>
    <x v="1"/>
    <n v="28996"/>
    <s v="Unidades"/>
    <s v="BADECON"/>
    <x v="3"/>
    <s v="C31"/>
    <x v="21"/>
    <n v="104.2"/>
    <n v="102.4"/>
    <n v="104.2"/>
    <n v="28996"/>
  </r>
  <r>
    <x v="5"/>
    <x v="0"/>
    <n v="1350"/>
    <s v="Unidades"/>
    <s v="BADECON"/>
    <x v="3"/>
    <s v="C32"/>
    <x v="22"/>
    <m/>
    <n v="98.151526954033002"/>
    <n v="98.151526954033002"/>
    <n v="1350"/>
  </r>
  <r>
    <x v="5"/>
    <x v="1"/>
    <n v="14339"/>
    <s v="Unidades"/>
    <s v="BADECON"/>
    <x v="3"/>
    <s v="C32"/>
    <x v="22"/>
    <n v="105.5"/>
    <n v="102.4"/>
    <n v="105.5"/>
    <n v="14339"/>
  </r>
  <r>
    <x v="0"/>
    <x v="0"/>
    <n v="8941"/>
    <s v="Unidades"/>
    <s v="BADECON"/>
    <x v="3"/>
    <s v="C18"/>
    <x v="8"/>
    <n v="99.999999999999005"/>
    <n v="99.999999999999005"/>
    <n v="99.999999999999005"/>
    <n v="8941"/>
  </r>
  <r>
    <x v="0"/>
    <x v="1"/>
    <n v="14041"/>
    <s v="Unidades"/>
    <s v="BADECON"/>
    <x v="3"/>
    <s v="C18"/>
    <x v="8"/>
    <n v="100"/>
    <n v="100"/>
    <n v="100"/>
    <n v="14041"/>
  </r>
  <r>
    <x v="0"/>
    <x v="0"/>
    <n v="92"/>
    <s v="Unidades"/>
    <s v="BADECON"/>
    <x v="3"/>
    <s v="C19"/>
    <x v="9"/>
    <n v="99.999999999999005"/>
    <n v="99.999999999999005"/>
    <n v="99.999999999999005"/>
    <n v="92"/>
  </r>
  <r>
    <x v="0"/>
    <x v="1"/>
    <n v="28578"/>
    <s v="Unidades"/>
    <s v="BADECON"/>
    <x v="3"/>
    <s v="C19"/>
    <x v="9"/>
    <n v="100"/>
    <n v="100"/>
    <n v="100"/>
    <n v="28578"/>
  </r>
  <r>
    <x v="0"/>
    <x v="0"/>
    <n v="24583"/>
    <s v="Unidades"/>
    <s v="BADECON"/>
    <x v="3"/>
    <s v="C20"/>
    <x v="10"/>
    <n v="99.999999999999005"/>
    <n v="99.999999999999005"/>
    <n v="99.999999999999005"/>
    <n v="24583"/>
  </r>
  <r>
    <x v="0"/>
    <x v="1"/>
    <n v="181139"/>
    <s v="Unidades"/>
    <s v="BADECON"/>
    <x v="3"/>
    <s v="C20"/>
    <x v="10"/>
    <n v="100"/>
    <n v="100"/>
    <n v="100"/>
    <n v="181139"/>
  </r>
  <r>
    <x v="0"/>
    <x v="0"/>
    <n v="11275"/>
    <s v="Unidades"/>
    <s v="BADECON"/>
    <x v="3"/>
    <s v="C21"/>
    <x v="11"/>
    <n v="99.999999999999005"/>
    <n v="99.999999999999005"/>
    <n v="99.999999999999005"/>
    <n v="11275"/>
  </r>
  <r>
    <x v="0"/>
    <x v="1"/>
    <n v="70730"/>
    <s v="Unidades"/>
    <s v="BADECON"/>
    <x v="3"/>
    <s v="C21"/>
    <x v="11"/>
    <n v="100"/>
    <n v="100"/>
    <n v="100"/>
    <n v="70730"/>
  </r>
  <r>
    <x v="0"/>
    <x v="0"/>
    <n v="26628"/>
    <s v="Unidades"/>
    <s v="BADECON"/>
    <x v="3"/>
    <s v="C22"/>
    <x v="12"/>
    <n v="99.999999999999005"/>
    <n v="99.999999999999005"/>
    <n v="99.999999999999005"/>
    <n v="26628"/>
  </r>
  <r>
    <x v="0"/>
    <x v="1"/>
    <n v="250318"/>
    <s v="Unidades"/>
    <s v="BADECON"/>
    <x v="3"/>
    <s v="C22"/>
    <x v="12"/>
    <n v="100"/>
    <n v="100"/>
    <n v="100"/>
    <n v="250318"/>
  </r>
  <r>
    <x v="0"/>
    <x v="0"/>
    <n v="19637"/>
    <s v="Unidades"/>
    <s v="BADECON"/>
    <x v="3"/>
    <s v="C23"/>
    <x v="13"/>
    <n v="99.999999999999005"/>
    <n v="99.999999999999005"/>
    <n v="99.999999999999005"/>
    <n v="19637"/>
  </r>
  <r>
    <x v="0"/>
    <x v="1"/>
    <n v="173191"/>
    <s v="Unidades"/>
    <s v="BADECON"/>
    <x v="3"/>
    <s v="C23"/>
    <x v="13"/>
    <n v="100"/>
    <n v="100"/>
    <n v="100"/>
    <n v="173191"/>
  </r>
  <r>
    <x v="0"/>
    <x v="0"/>
    <n v="9299"/>
    <s v="Unidades"/>
    <s v="BADECON"/>
    <x v="3"/>
    <s v="C24"/>
    <x v="14"/>
    <n v="99.999999999999005"/>
    <n v="99.999999999999005"/>
    <n v="99.999999999999005"/>
    <n v="9299"/>
  </r>
  <r>
    <x v="0"/>
    <x v="1"/>
    <n v="118038"/>
    <s v="Unidades"/>
    <s v="BADECON"/>
    <x v="3"/>
    <s v="C24"/>
    <x v="14"/>
    <n v="100"/>
    <n v="100"/>
    <n v="100"/>
    <n v="118038"/>
  </r>
  <r>
    <x v="0"/>
    <x v="0"/>
    <n v="35276"/>
    <s v="Unidades"/>
    <s v="BADECON"/>
    <x v="3"/>
    <s v="C25"/>
    <x v="15"/>
    <n v="100"/>
    <n v="99.999999999999005"/>
    <n v="100"/>
    <n v="35276"/>
  </r>
  <r>
    <x v="0"/>
    <x v="1"/>
    <n v="317843"/>
    <s v="Unidades"/>
    <s v="BADECON"/>
    <x v="3"/>
    <s v="C25"/>
    <x v="15"/>
    <n v="100"/>
    <n v="100"/>
    <n v="100"/>
    <n v="317843"/>
  </r>
  <r>
    <x v="0"/>
    <x v="0"/>
    <n v="2705"/>
    <s v="Unidades"/>
    <s v="BADECON"/>
    <x v="3"/>
    <s v="C26"/>
    <x v="16"/>
    <n v="100"/>
    <n v="99.999999999999005"/>
    <n v="100"/>
    <n v="2705"/>
  </r>
  <r>
    <x v="0"/>
    <x v="1"/>
    <n v="340483"/>
    <s v="Unidades"/>
    <s v="BADECON"/>
    <x v="3"/>
    <s v="C26"/>
    <x v="16"/>
    <n v="100"/>
    <n v="100"/>
    <n v="100"/>
    <n v="340483"/>
  </r>
  <r>
    <x v="0"/>
    <x v="0"/>
    <n v="7469"/>
    <s v="Unidades"/>
    <s v="BADECON"/>
    <x v="3"/>
    <s v="C27"/>
    <x v="17"/>
    <n v="100"/>
    <n v="99.999999999999005"/>
    <n v="100"/>
    <n v="7469"/>
  </r>
  <r>
    <x v="0"/>
    <x v="1"/>
    <n v="578569"/>
    <s v="Unidades"/>
    <s v="BADECON"/>
    <x v="3"/>
    <s v="C27"/>
    <x v="17"/>
    <n v="100"/>
    <n v="100"/>
    <n v="100"/>
    <n v="578569"/>
  </r>
  <r>
    <x v="0"/>
    <x v="0"/>
    <n v="10034"/>
    <s v="Unidades"/>
    <s v="BADECON"/>
    <x v="3"/>
    <s v="C28"/>
    <x v="18"/>
    <n v="100"/>
    <n v="99.999999999999005"/>
    <n v="100"/>
    <n v="10034"/>
  </r>
  <r>
    <x v="0"/>
    <x v="1"/>
    <n v="437243"/>
    <s v="Unidades"/>
    <s v="BADECON"/>
    <x v="3"/>
    <s v="C28"/>
    <x v="18"/>
    <n v="100"/>
    <n v="100"/>
    <n v="100"/>
    <n v="437243"/>
  </r>
  <r>
    <x v="0"/>
    <x v="0"/>
    <n v="2143"/>
    <s v="Unidades"/>
    <s v="BADECON"/>
    <x v="3"/>
    <s v="C29"/>
    <x v="19"/>
    <n v="100"/>
    <n v="99.999999999999005"/>
    <n v="100"/>
    <n v="2143"/>
  </r>
  <r>
    <x v="0"/>
    <x v="1"/>
    <n v="113533"/>
    <s v="Unidades"/>
    <s v="BADECON"/>
    <x v="3"/>
    <s v="C29"/>
    <x v="19"/>
    <n v="100"/>
    <n v="100"/>
    <n v="100"/>
    <n v="113533"/>
  </r>
  <r>
    <x v="0"/>
    <x v="0"/>
    <n v="853"/>
    <s v="Unidades"/>
    <s v="BADECON"/>
    <x v="3"/>
    <s v="C30"/>
    <x v="20"/>
    <n v="100"/>
    <n v="99.999999999999005"/>
    <n v="100"/>
    <n v="853"/>
  </r>
  <r>
    <x v="0"/>
    <x v="1"/>
    <n v="19226"/>
    <s v="Unidades"/>
    <s v="BADECON"/>
    <x v="3"/>
    <s v="C30"/>
    <x v="20"/>
    <n v="100"/>
    <n v="100"/>
    <n v="100"/>
    <n v="19226"/>
  </r>
  <r>
    <x v="0"/>
    <x v="0"/>
    <n v="11435"/>
    <s v="Unidades"/>
    <s v="BADECON"/>
    <x v="3"/>
    <s v="C31"/>
    <x v="21"/>
    <n v="100"/>
    <n v="99.999999999999005"/>
    <n v="100"/>
    <n v="11435"/>
  </r>
  <r>
    <x v="0"/>
    <x v="1"/>
    <n v="29565"/>
    <s v="Unidades"/>
    <s v="BADECON"/>
    <x v="3"/>
    <s v="C31"/>
    <x v="21"/>
    <n v="100"/>
    <n v="100"/>
    <n v="100"/>
    <n v="29565"/>
  </r>
  <r>
    <x v="0"/>
    <x v="0"/>
    <n v="1339"/>
    <s v="Unidades"/>
    <s v="BADECON"/>
    <x v="3"/>
    <s v="C32"/>
    <x v="22"/>
    <m/>
    <n v="99.999999999999005"/>
    <n v="99.999999999999005"/>
    <n v="1339"/>
  </r>
  <r>
    <x v="0"/>
    <x v="1"/>
    <n v="13525"/>
    <s v="Unidades"/>
    <s v="BADECON"/>
    <x v="3"/>
    <s v="C32"/>
    <x v="22"/>
    <n v="100"/>
    <n v="100"/>
    <n v="100"/>
    <n v="13525"/>
  </r>
  <r>
    <x v="0"/>
    <x v="0"/>
    <n v="25787"/>
    <s v="Unidades"/>
    <s v="BADECON"/>
    <x v="3"/>
    <s v="C33"/>
    <x v="23"/>
    <n v="100"/>
    <n v="99.999999999999005"/>
    <n v="100"/>
    <n v="25787"/>
  </r>
  <r>
    <x v="0"/>
    <x v="0"/>
    <n v="903"/>
    <s v="Unidades"/>
    <s v="BADECON"/>
    <x v="3"/>
    <s v="CXX"/>
    <x v="0"/>
    <m/>
    <n v="99.999999999999005"/>
    <n v="99.999999999999005"/>
    <n v="903"/>
  </r>
  <r>
    <x v="1"/>
    <x v="0"/>
    <n v="155407"/>
    <s v="Unidades"/>
    <s v="BADECON"/>
    <x v="3"/>
    <s v="C10"/>
    <x v="1"/>
    <n v="98.723825004638996"/>
    <n v="95.003435419368998"/>
    <n v="98.723825004638996"/>
    <n v="155407"/>
  </r>
  <r>
    <x v="1"/>
    <x v="1"/>
    <n v="831352"/>
    <s v="Unidades"/>
    <s v="BADECON"/>
    <x v="3"/>
    <s v="C10"/>
    <x v="1"/>
    <n v="96.7"/>
    <n v="94.3"/>
    <n v="96.7"/>
    <n v="831352"/>
  </r>
  <r>
    <x v="1"/>
    <x v="0"/>
    <n v="21228"/>
    <s v="Unidades"/>
    <s v="BADECON"/>
    <x v="3"/>
    <s v="C11"/>
    <x v="2"/>
    <n v="90.846967636214998"/>
    <n v="95.003435419368998"/>
    <n v="90.846967636214998"/>
    <n v="21228"/>
  </r>
  <r>
    <x v="1"/>
    <x v="1"/>
    <n v="144420"/>
    <s v="Unidades"/>
    <s v="BADECON"/>
    <x v="3"/>
    <s v="C11"/>
    <x v="2"/>
    <n v="96.4"/>
    <n v="94.3"/>
    <n v="96.4"/>
    <n v="144420"/>
  </r>
  <r>
    <x v="1"/>
    <x v="1"/>
    <n v="2256"/>
    <s v="Unidades"/>
    <s v="BADECON"/>
    <x v="3"/>
    <s v="C12"/>
    <x v="24"/>
    <n v="96.4"/>
    <n v="94.3"/>
    <n v="96.4"/>
    <n v="2256"/>
  </r>
  <r>
    <x v="1"/>
    <x v="0"/>
    <n v="5063"/>
    <s v="Unidades"/>
    <s v="BADECON"/>
    <x v="3"/>
    <s v="C13"/>
    <x v="3"/>
    <n v="111.61986215915999"/>
    <n v="95.003435419368998"/>
    <n v="111.61986215915999"/>
    <n v="5063"/>
  </r>
  <r>
    <x v="1"/>
    <x v="1"/>
    <n v="279075"/>
    <s v="Unidades"/>
    <s v="BADECON"/>
    <x v="3"/>
    <s v="C13"/>
    <x v="3"/>
    <n v="97.5"/>
    <n v="94.3"/>
    <n v="97.5"/>
    <n v="279075"/>
  </r>
  <r>
    <x v="1"/>
    <x v="0"/>
    <n v="26102"/>
    <s v="Unidades"/>
    <s v="BADECON"/>
    <x v="3"/>
    <s v="C14"/>
    <x v="4"/>
    <n v="111.61986215915999"/>
    <n v="95.003435419368998"/>
    <n v="111.61986215915999"/>
    <n v="26102"/>
  </r>
  <r>
    <x v="1"/>
    <x v="1"/>
    <n v="158490"/>
    <s v="Unidades"/>
    <s v="BADECON"/>
    <x v="3"/>
    <s v="C14"/>
    <x v="4"/>
    <n v="96.6"/>
    <n v="94.3"/>
    <n v="96.6"/>
    <n v="158490"/>
  </r>
  <r>
    <x v="1"/>
    <x v="0"/>
    <n v="6236"/>
    <s v="Unidades"/>
    <s v="BADECON"/>
    <x v="3"/>
    <s v="C15"/>
    <x v="5"/>
    <n v="111.61986215915999"/>
    <n v="95.003435419368998"/>
    <n v="111.61986215915999"/>
    <n v="6236"/>
  </r>
  <r>
    <x v="1"/>
    <x v="1"/>
    <n v="76302"/>
    <s v="Unidades"/>
    <s v="BADECON"/>
    <x v="3"/>
    <s v="C15"/>
    <x v="5"/>
    <n v="97.8"/>
    <n v="94.3"/>
    <n v="97.8"/>
    <n v="76302"/>
  </r>
  <r>
    <x v="1"/>
    <x v="0"/>
    <n v="30167"/>
    <s v="Unidades"/>
    <s v="BADECON"/>
    <x v="3"/>
    <s v="C16"/>
    <x v="6"/>
    <n v="102.38170475517001"/>
    <n v="95.003435419368998"/>
    <n v="102.38170475517001"/>
    <n v="30167"/>
  </r>
  <r>
    <x v="1"/>
    <x v="1"/>
    <n v="31428"/>
    <s v="Unidades"/>
    <s v="BADECON"/>
    <x v="3"/>
    <s v="C16"/>
    <x v="6"/>
    <n v="98.6"/>
    <n v="94.3"/>
    <n v="98.6"/>
    <n v="31428"/>
  </r>
  <r>
    <x v="1"/>
    <x v="0"/>
    <n v="21879"/>
    <s v="Unidades"/>
    <s v="BADECON"/>
    <x v="3"/>
    <s v="C17"/>
    <x v="7"/>
    <n v="76.712843517501994"/>
    <n v="95.003435419368998"/>
    <n v="76.712843517501994"/>
    <n v="21879"/>
  </r>
  <r>
    <x v="1"/>
    <x v="1"/>
    <n v="76183"/>
    <s v="Unidades"/>
    <s v="BADECON"/>
    <x v="3"/>
    <s v="C17"/>
    <x v="7"/>
    <n v="93.7"/>
    <n v="94.3"/>
    <n v="93.7"/>
    <n v="76183"/>
  </r>
  <r>
    <x v="1"/>
    <x v="0"/>
    <n v="8578"/>
    <s v="Unidades"/>
    <s v="BADECON"/>
    <x v="3"/>
    <s v="C18"/>
    <x v="8"/>
    <n v="76.712843517501994"/>
    <n v="95.003435419368998"/>
    <n v="76.712843517501994"/>
    <n v="8578"/>
  </r>
  <r>
    <x v="1"/>
    <x v="1"/>
    <n v="14285"/>
    <s v="Unidades"/>
    <s v="BADECON"/>
    <x v="3"/>
    <s v="C18"/>
    <x v="8"/>
    <n v="96.5"/>
    <n v="94.3"/>
    <n v="96.5"/>
    <n v="14285"/>
  </r>
  <r>
    <x v="1"/>
    <x v="1"/>
    <n v="29704"/>
    <s v="Unidades"/>
    <s v="BADECON"/>
    <x v="3"/>
    <s v="C19"/>
    <x v="9"/>
    <n v="64.099999999999994"/>
    <n v="94.3"/>
    <n v="64.099999999999994"/>
    <n v="29704"/>
  </r>
  <r>
    <x v="1"/>
    <x v="0"/>
    <n v="30781"/>
    <s v="Unidades"/>
    <s v="BADECON"/>
    <x v="3"/>
    <s v="C20"/>
    <x v="10"/>
    <n v="96.253026824776995"/>
    <n v="95.003435419368998"/>
    <n v="96.253026824776995"/>
    <n v="30781"/>
  </r>
  <r>
    <x v="1"/>
    <x v="1"/>
    <n v="181711"/>
    <s v="Unidades"/>
    <s v="BADECON"/>
    <x v="3"/>
    <s v="C20"/>
    <x v="10"/>
    <n v="96.1"/>
    <n v="94.3"/>
    <n v="96.1"/>
    <n v="181711"/>
  </r>
  <r>
    <x v="1"/>
    <x v="0"/>
    <n v="10933"/>
    <s v="Unidades"/>
    <s v="BADECON"/>
    <x v="3"/>
    <s v="C21"/>
    <x v="11"/>
    <n v="96.253026824776995"/>
    <n v="95.003435419368998"/>
    <n v="96.253026824776995"/>
    <n v="10933"/>
  </r>
  <r>
    <x v="1"/>
    <x v="1"/>
    <n v="71485"/>
    <s v="Unidades"/>
    <s v="BADECON"/>
    <x v="3"/>
    <s v="C21"/>
    <x v="11"/>
    <n v="96.1"/>
    <n v="94.3"/>
    <n v="96.1"/>
    <n v="71485"/>
  </r>
  <r>
    <x v="1"/>
    <x v="0"/>
    <n v="25792"/>
    <s v="Unidades"/>
    <s v="BADECON"/>
    <x v="3"/>
    <s v="C22"/>
    <x v="12"/>
    <n v="96.253026824776995"/>
    <n v="95.003435419368998"/>
    <n v="96.253026824776995"/>
    <n v="25792"/>
  </r>
  <r>
    <x v="1"/>
    <x v="1"/>
    <n v="242195"/>
    <s v="Unidades"/>
    <s v="BADECON"/>
    <x v="3"/>
    <s v="C22"/>
    <x v="12"/>
    <n v="95.4"/>
    <n v="94.3"/>
    <n v="95.4"/>
    <n v="242195"/>
  </r>
  <r>
    <x v="1"/>
    <x v="0"/>
    <n v="18012"/>
    <s v="Unidades"/>
    <s v="BADECON"/>
    <x v="3"/>
    <s v="C23"/>
    <x v="13"/>
    <n v="89.385379074143003"/>
    <n v="95.003435419368998"/>
    <n v="89.385379074143003"/>
    <n v="18012"/>
  </r>
  <r>
    <x v="1"/>
    <x v="1"/>
    <n v="168350"/>
    <s v="Unidades"/>
    <s v="BADECON"/>
    <x v="3"/>
    <s v="C23"/>
    <x v="13"/>
    <n v="95.9"/>
    <n v="94.3"/>
    <n v="95.9"/>
    <n v="168350"/>
  </r>
  <r>
    <x v="1"/>
    <x v="0"/>
    <n v="6679"/>
    <s v="Unidades"/>
    <s v="BADECON"/>
    <x v="3"/>
    <s v="C24"/>
    <x v="14"/>
    <n v="89.385379074143003"/>
    <n v="95.003435419368998"/>
    <n v="89.385379074143003"/>
    <n v="6679"/>
  </r>
  <r>
    <x v="1"/>
    <x v="1"/>
    <n v="115918"/>
    <s v="Unidades"/>
    <s v="BADECON"/>
    <x v="3"/>
    <s v="C24"/>
    <x v="14"/>
    <n v="89.3"/>
    <n v="94.3"/>
    <n v="89.3"/>
    <n v="115918"/>
  </r>
  <r>
    <x v="1"/>
    <x v="0"/>
    <n v="37396"/>
    <s v="Unidades"/>
    <s v="BADECON"/>
    <x v="3"/>
    <s v="C25"/>
    <x v="15"/>
    <n v="98.189528995325006"/>
    <n v="95.003435419368998"/>
    <n v="98.189528995325006"/>
    <n v="37396"/>
  </r>
  <r>
    <x v="1"/>
    <x v="1"/>
    <n v="310393"/>
    <s v="Unidades"/>
    <s v="BADECON"/>
    <x v="3"/>
    <s v="C25"/>
    <x v="15"/>
    <n v="90.2"/>
    <n v="94.3"/>
    <n v="90.2"/>
    <n v="310393"/>
  </r>
  <r>
    <x v="1"/>
    <x v="0"/>
    <n v="1335"/>
    <s v="Unidades"/>
    <s v="BADECON"/>
    <x v="3"/>
    <s v="C26"/>
    <x v="16"/>
    <n v="98.189528995325006"/>
    <n v="95.003435419368998"/>
    <n v="98.189528995325006"/>
    <n v="1335"/>
  </r>
  <r>
    <x v="1"/>
    <x v="1"/>
    <n v="323971"/>
    <s v="Unidades"/>
    <s v="BADECON"/>
    <x v="3"/>
    <s v="C26"/>
    <x v="16"/>
    <n v="95.5"/>
    <n v="94.3"/>
    <n v="95.5"/>
    <n v="323971"/>
  </r>
  <r>
    <x v="1"/>
    <x v="0"/>
    <n v="8249"/>
    <s v="Unidades"/>
    <s v="BADECON"/>
    <x v="3"/>
    <s v="C27"/>
    <x v="17"/>
    <n v="98.189528995325006"/>
    <n v="95.003435419368998"/>
    <n v="98.189528995325006"/>
    <n v="8249"/>
  </r>
  <r>
    <x v="1"/>
    <x v="1"/>
    <n v="543889"/>
    <s v="Unidades"/>
    <s v="BADECON"/>
    <x v="3"/>
    <s v="C27"/>
    <x v="17"/>
    <n v="94.3"/>
    <n v="94.3"/>
    <n v="94.3"/>
    <n v="543889"/>
  </r>
  <r>
    <x v="1"/>
    <x v="0"/>
    <n v="10188"/>
    <s v="Unidades"/>
    <s v="BADECON"/>
    <x v="3"/>
    <s v="C28"/>
    <x v="18"/>
    <n v="98.189528995325006"/>
    <n v="95.003435419368998"/>
    <n v="98.189528995325006"/>
    <n v="10188"/>
  </r>
  <r>
    <x v="1"/>
    <x v="1"/>
    <n v="418417"/>
    <s v="Unidades"/>
    <s v="BADECON"/>
    <x v="3"/>
    <s v="C28"/>
    <x v="18"/>
    <n v="96.3"/>
    <n v="94.3"/>
    <n v="96.3"/>
    <n v="418417"/>
  </r>
  <r>
    <x v="1"/>
    <x v="0"/>
    <n v="1155"/>
    <s v="Unidades"/>
    <s v="BADECON"/>
    <x v="3"/>
    <s v="C29"/>
    <x v="19"/>
    <n v="98.189528995325006"/>
    <n v="95.003435419368998"/>
    <n v="98.189528995325006"/>
    <n v="1155"/>
  </r>
  <r>
    <x v="1"/>
    <x v="1"/>
    <n v="106024"/>
    <s v="Unidades"/>
    <s v="BADECON"/>
    <x v="3"/>
    <s v="C29"/>
    <x v="19"/>
    <n v="97"/>
    <n v="94.3"/>
    <n v="97"/>
    <n v="106024"/>
  </r>
  <r>
    <x v="1"/>
    <x v="0"/>
    <n v="613"/>
    <s v="Unidades"/>
    <s v="BADECON"/>
    <x v="3"/>
    <s v="C30"/>
    <x v="20"/>
    <n v="98.189528995325006"/>
    <n v="95.003435419368998"/>
    <n v="98.189528995325006"/>
    <n v="613"/>
  </r>
  <r>
    <x v="1"/>
    <x v="1"/>
    <n v="16225"/>
    <s v="Unidades"/>
    <s v="BADECON"/>
    <x v="3"/>
    <s v="C30"/>
    <x v="20"/>
    <n v="97"/>
    <n v="94.3"/>
    <n v="97"/>
    <n v="16225"/>
  </r>
  <r>
    <x v="1"/>
    <x v="0"/>
    <n v="11169"/>
    <s v="Unidades"/>
    <s v="BADECON"/>
    <x v="3"/>
    <s v="C31"/>
    <x v="21"/>
    <n v="102.38170475517001"/>
    <n v="95.003435419368998"/>
    <n v="102.38170475517001"/>
    <n v="11169"/>
  </r>
  <r>
    <x v="1"/>
    <x v="1"/>
    <n v="30635"/>
    <s v="Unidades"/>
    <s v="BADECON"/>
    <x v="3"/>
    <s v="C31"/>
    <x v="21"/>
    <n v="96.7"/>
    <n v="94.3"/>
    <n v="96.7"/>
    <n v="30635"/>
  </r>
  <r>
    <x v="1"/>
    <x v="0"/>
    <n v="1368"/>
    <s v="Unidades"/>
    <s v="BADECON"/>
    <x v="3"/>
    <s v="C32"/>
    <x v="22"/>
    <m/>
    <n v="95.003435419368998"/>
    <n v="95.003435419368998"/>
    <n v="1368"/>
  </r>
  <r>
    <x v="1"/>
    <x v="1"/>
    <n v="13414"/>
    <s v="Unidades"/>
    <s v="BADECON"/>
    <x v="3"/>
    <s v="C32"/>
    <x v="22"/>
    <n v="95.9"/>
    <n v="94.3"/>
    <n v="95.9"/>
    <n v="13414"/>
  </r>
  <r>
    <x v="1"/>
    <x v="0"/>
    <n v="44332"/>
    <s v="Unidades"/>
    <s v="BADECON"/>
    <x v="3"/>
    <s v="C33"/>
    <x v="23"/>
    <n v="98.189528995325006"/>
    <n v="95.003435419368998"/>
    <n v="98.189528995325006"/>
    <n v="44332"/>
  </r>
  <r>
    <x v="1"/>
    <x v="0"/>
    <n v="14411"/>
    <s v="Unidades"/>
    <s v="BADECON"/>
    <x v="3"/>
    <s v="CXX"/>
    <x v="0"/>
    <m/>
    <n v="95.003435419368998"/>
    <n v="95.003435419368998"/>
    <n v="14411"/>
  </r>
  <r>
    <x v="2"/>
    <x v="0"/>
    <n v="27652"/>
    <s v="Unidades"/>
    <s v="BADECON"/>
    <x v="3"/>
    <s v="C20"/>
    <x v="10"/>
    <n v="101.63829571143999"/>
    <n v="95.629262636448004"/>
    <n v="101.63829571143999"/>
    <n v="27652"/>
  </r>
  <r>
    <x v="2"/>
    <x v="1"/>
    <n v="180664"/>
    <s v="Unidades"/>
    <s v="BADECON"/>
    <x v="3"/>
    <s v="C20"/>
    <x v="10"/>
    <n v="103.7"/>
    <n v="87.8"/>
    <n v="103.7"/>
    <n v="180664"/>
  </r>
  <r>
    <x v="2"/>
    <x v="1"/>
    <n v="29891"/>
    <s v="Unidades"/>
    <s v="BADECON"/>
    <x v="3"/>
    <s v="C19"/>
    <x v="9"/>
    <n v="17.7"/>
    <n v="87.8"/>
    <n v="17.7"/>
    <n v="29891"/>
  </r>
  <r>
    <x v="2"/>
    <x v="0"/>
    <n v="10167"/>
    <s v="Unidades"/>
    <s v="BADECON"/>
    <x v="3"/>
    <s v="C21"/>
    <x v="11"/>
    <n v="101.63829571143999"/>
    <n v="95.629262636448004"/>
    <n v="101.63829571143999"/>
    <n v="10167"/>
  </r>
  <r>
    <x v="2"/>
    <x v="1"/>
    <n v="66946"/>
    <s v="Unidades"/>
    <s v="BADECON"/>
    <x v="3"/>
    <s v="C21"/>
    <x v="11"/>
    <n v="103.7"/>
    <n v="87.8"/>
    <n v="103.7"/>
    <n v="66946"/>
  </r>
  <r>
    <x v="2"/>
    <x v="0"/>
    <n v="28144"/>
    <s v="Unidades"/>
    <s v="BADECON"/>
    <x v="3"/>
    <s v="C22"/>
    <x v="12"/>
    <n v="101.63829571143999"/>
    <n v="95.629262636448004"/>
    <n v="101.63829571143999"/>
    <n v="28144"/>
  </r>
  <r>
    <x v="2"/>
    <x v="1"/>
    <n v="232773"/>
    <s v="Unidades"/>
    <s v="BADECON"/>
    <x v="3"/>
    <s v="C22"/>
    <x v="12"/>
    <n v="89.1"/>
    <n v="87.8"/>
    <n v="89.1"/>
    <n v="232773"/>
  </r>
  <r>
    <x v="2"/>
    <x v="0"/>
    <n v="15908"/>
    <s v="Unidades"/>
    <s v="BADECON"/>
    <x v="3"/>
    <s v="C23"/>
    <x v="13"/>
    <n v="89.680336785110001"/>
    <n v="95.629262636448004"/>
    <n v="89.680336785110001"/>
    <n v="15908"/>
  </r>
  <r>
    <x v="2"/>
    <x v="1"/>
    <n v="163864"/>
    <s v="Unidades"/>
    <s v="BADECON"/>
    <x v="3"/>
    <s v="C23"/>
    <x v="13"/>
    <n v="87.6"/>
    <n v="87.8"/>
    <n v="87.6"/>
    <n v="163864"/>
  </r>
  <r>
    <x v="2"/>
    <x v="0"/>
    <n v="7512"/>
    <s v="Unidades"/>
    <s v="BADECON"/>
    <x v="3"/>
    <s v="C24"/>
    <x v="14"/>
    <n v="89.680336785110001"/>
    <n v="95.629262636448004"/>
    <n v="89.680336785110001"/>
    <n v="7512"/>
  </r>
  <r>
    <x v="2"/>
    <x v="1"/>
    <n v="112225"/>
    <s v="Unidades"/>
    <s v="BADECON"/>
    <x v="3"/>
    <s v="C24"/>
    <x v="14"/>
    <n v="80.900000000000006"/>
    <n v="87.8"/>
    <n v="80.900000000000006"/>
    <n v="112225"/>
  </r>
  <r>
    <x v="2"/>
    <x v="0"/>
    <n v="26559"/>
    <s v="Unidades"/>
    <s v="BADECON"/>
    <x v="3"/>
    <s v="C25"/>
    <x v="15"/>
    <n v="101.10423088160999"/>
    <n v="95.629262636448004"/>
    <n v="101.10423088160999"/>
    <n v="26559"/>
  </r>
  <r>
    <x v="2"/>
    <x v="1"/>
    <n v="298576"/>
    <s v="Unidades"/>
    <s v="BADECON"/>
    <x v="3"/>
    <s v="C25"/>
    <x v="15"/>
    <n v="84.2"/>
    <n v="87.8"/>
    <n v="84.2"/>
    <n v="298576"/>
  </r>
  <r>
    <x v="2"/>
    <x v="0"/>
    <n v="2601"/>
    <s v="Unidades"/>
    <s v="BADECON"/>
    <x v="3"/>
    <s v="C26"/>
    <x v="16"/>
    <n v="101.10423088160999"/>
    <n v="95.629262636448004"/>
    <n v="101.10423088160999"/>
    <n v="2601"/>
  </r>
  <r>
    <x v="2"/>
    <x v="1"/>
    <n v="305617"/>
    <s v="Unidades"/>
    <s v="BADECON"/>
    <x v="3"/>
    <s v="C26"/>
    <x v="16"/>
    <n v="91.8"/>
    <n v="87.8"/>
    <n v="91.8"/>
    <n v="305617"/>
  </r>
  <r>
    <x v="2"/>
    <x v="0"/>
    <n v="8630"/>
    <s v="Unidades"/>
    <s v="BADECON"/>
    <x v="3"/>
    <s v="C27"/>
    <x v="17"/>
    <n v="101.10423088160999"/>
    <n v="95.629262636448004"/>
    <n v="101.10423088160999"/>
    <n v="8630"/>
  </r>
  <r>
    <x v="2"/>
    <x v="1"/>
    <n v="521154"/>
    <s v="Unidades"/>
    <s v="BADECON"/>
    <x v="3"/>
    <s v="C27"/>
    <x v="17"/>
    <n v="90.7"/>
    <n v="87.8"/>
    <n v="90.7"/>
    <n v="521154"/>
  </r>
  <r>
    <x v="2"/>
    <x v="0"/>
    <n v="10803"/>
    <s v="Unidades"/>
    <s v="BADECON"/>
    <x v="3"/>
    <s v="C28"/>
    <x v="18"/>
    <n v="101.10423088160999"/>
    <n v="95.629262636448004"/>
    <n v="101.10423088160999"/>
    <n v="10803"/>
  </r>
  <r>
    <x v="2"/>
    <x v="1"/>
    <n v="394320"/>
    <s v="Unidades"/>
    <s v="BADECON"/>
    <x v="3"/>
    <s v="C28"/>
    <x v="18"/>
    <n v="91.6"/>
    <n v="87.8"/>
    <n v="91.6"/>
    <n v="394320"/>
  </r>
  <r>
    <x v="2"/>
    <x v="0"/>
    <n v="1132"/>
    <s v="Unidades"/>
    <s v="BADECON"/>
    <x v="3"/>
    <s v="C29"/>
    <x v="19"/>
    <n v="101.10423088160999"/>
    <n v="95.629262636448004"/>
    <n v="101.10423088160999"/>
    <n v="1132"/>
  </r>
  <r>
    <x v="2"/>
    <x v="1"/>
    <n v="97006"/>
    <s v="Unidades"/>
    <s v="BADECON"/>
    <x v="3"/>
    <s v="C29"/>
    <x v="19"/>
    <n v="93.3"/>
    <n v="87.8"/>
    <n v="93.3"/>
    <n v="97006"/>
  </r>
  <r>
    <x v="2"/>
    <x v="0"/>
    <n v="846"/>
    <s v="Unidades"/>
    <s v="BADECON"/>
    <x v="3"/>
    <s v="C30"/>
    <x v="20"/>
    <n v="101.10423088160999"/>
    <n v="95.629262636448004"/>
    <n v="101.10423088160999"/>
    <n v="846"/>
  </r>
  <r>
    <x v="2"/>
    <x v="1"/>
    <n v="14172"/>
    <s v="Unidades"/>
    <s v="BADECON"/>
    <x v="3"/>
    <s v="C30"/>
    <x v="20"/>
    <n v="93.3"/>
    <n v="87.8"/>
    <n v="93.3"/>
    <n v="14172"/>
  </r>
  <r>
    <x v="2"/>
    <x v="0"/>
    <n v="10906"/>
    <s v="Unidades"/>
    <s v="BADECON"/>
    <x v="3"/>
    <s v="C31"/>
    <x v="21"/>
    <n v="106.15763962638999"/>
    <n v="95.629262636448004"/>
    <n v="106.15763962638999"/>
    <n v="10906"/>
  </r>
  <r>
    <x v="2"/>
    <x v="1"/>
    <n v="29903"/>
    <s v="Unidades"/>
    <s v="BADECON"/>
    <x v="3"/>
    <s v="C31"/>
    <x v="21"/>
    <n v="91.8"/>
    <n v="87.8"/>
    <n v="91.8"/>
    <n v="29903"/>
  </r>
  <r>
    <x v="2"/>
    <x v="0"/>
    <n v="1703"/>
    <s v="Unidades"/>
    <s v="BADECON"/>
    <x v="3"/>
    <s v="C32"/>
    <x v="22"/>
    <m/>
    <n v="95.629262636448004"/>
    <n v="95.629262636448004"/>
    <n v="1703"/>
  </r>
  <r>
    <x v="2"/>
    <x v="1"/>
    <n v="13431"/>
    <s v="Unidades"/>
    <s v="BADECON"/>
    <x v="3"/>
    <s v="C32"/>
    <x v="22"/>
    <n v="91.1"/>
    <n v="87.8"/>
    <n v="91.1"/>
    <n v="13431"/>
  </r>
  <r>
    <x v="2"/>
    <x v="0"/>
    <n v="23802"/>
    <s v="Unidades"/>
    <s v="BADECON"/>
    <x v="3"/>
    <s v="C33"/>
    <x v="23"/>
    <n v="101.10423088160999"/>
    <n v="95.629262636448004"/>
    <n v="101.10423088160999"/>
    <n v="23802"/>
  </r>
  <r>
    <x v="2"/>
    <x v="0"/>
    <n v="150226"/>
    <s v="Unidades"/>
    <s v="BADECON"/>
    <x v="3"/>
    <s v="C10"/>
    <x v="1"/>
    <n v="96.618124512281994"/>
    <n v="95.629262636448004"/>
    <n v="96.618124512281994"/>
    <n v="150226"/>
  </r>
  <r>
    <x v="2"/>
    <x v="1"/>
    <n v="822478"/>
    <s v="Unidades"/>
    <s v="BADECON"/>
    <x v="3"/>
    <s v="C10"/>
    <x v="1"/>
    <n v="92.1"/>
    <n v="87.8"/>
    <n v="92.1"/>
    <n v="822478"/>
  </r>
  <r>
    <x v="2"/>
    <x v="0"/>
    <n v="20797"/>
    <s v="Unidades"/>
    <s v="BADECON"/>
    <x v="3"/>
    <s v="C11"/>
    <x v="2"/>
    <n v="96.059679698527006"/>
    <n v="95.629262636448004"/>
    <n v="96.059679698527006"/>
    <n v="20797"/>
  </r>
  <r>
    <x v="2"/>
    <x v="1"/>
    <n v="143540"/>
    <s v="Unidades"/>
    <s v="BADECON"/>
    <x v="3"/>
    <s v="C11"/>
    <x v="2"/>
    <n v="89.6"/>
    <n v="87.8"/>
    <n v="89.6"/>
    <n v="143540"/>
  </r>
  <r>
    <x v="2"/>
    <x v="1"/>
    <n v="2255"/>
    <s v="Unidades"/>
    <s v="BADECON"/>
    <x v="3"/>
    <s v="C12"/>
    <x v="24"/>
    <n v="89.6"/>
    <n v="87.8"/>
    <n v="89.6"/>
    <n v="2255"/>
  </r>
  <r>
    <x v="2"/>
    <x v="0"/>
    <n v="6025"/>
    <s v="Unidades"/>
    <s v="BADECON"/>
    <x v="3"/>
    <s v="C13"/>
    <x v="3"/>
    <n v="117.9376128321"/>
    <n v="95.629262636448004"/>
    <n v="117.9376128321"/>
    <n v="6025"/>
  </r>
  <r>
    <x v="2"/>
    <x v="1"/>
    <n v="267263"/>
    <s v="Unidades"/>
    <s v="BADECON"/>
    <x v="3"/>
    <s v="C13"/>
    <x v="3"/>
    <n v="88.8"/>
    <n v="87.8"/>
    <n v="88.8"/>
    <n v="267263"/>
  </r>
  <r>
    <x v="2"/>
    <x v="0"/>
    <n v="8550"/>
    <s v="Unidades"/>
    <s v="BADECON"/>
    <x v="3"/>
    <s v="C14"/>
    <x v="4"/>
    <n v="117.9376128321"/>
    <n v="95.629262636448004"/>
    <n v="117.9376128321"/>
    <n v="8550"/>
  </r>
  <r>
    <x v="2"/>
    <x v="1"/>
    <n v="163230"/>
    <s v="Unidades"/>
    <s v="BADECON"/>
    <x v="3"/>
    <s v="C14"/>
    <x v="4"/>
    <n v="95.2"/>
    <n v="87.8"/>
    <n v="95.2"/>
    <n v="163230"/>
  </r>
  <r>
    <x v="2"/>
    <x v="0"/>
    <n v="5885"/>
    <s v="Unidades"/>
    <s v="BADECON"/>
    <x v="3"/>
    <s v="C15"/>
    <x v="5"/>
    <n v="117.9376128321"/>
    <n v="95.629262636448004"/>
    <n v="117.9376128321"/>
    <n v="5885"/>
  </r>
  <r>
    <x v="2"/>
    <x v="1"/>
    <n v="77648"/>
    <s v="Unidades"/>
    <s v="BADECON"/>
    <x v="3"/>
    <s v="C15"/>
    <x v="5"/>
    <n v="93.8"/>
    <n v="87.8"/>
    <n v="93.8"/>
    <n v="77648"/>
  </r>
  <r>
    <x v="2"/>
    <x v="0"/>
    <n v="27734"/>
    <s v="Unidades"/>
    <s v="BADECON"/>
    <x v="3"/>
    <s v="C16"/>
    <x v="6"/>
    <n v="106.15763962638999"/>
    <n v="95.629262636448004"/>
    <n v="106.15763962638999"/>
    <n v="27734"/>
  </r>
  <r>
    <x v="2"/>
    <x v="1"/>
    <n v="30096"/>
    <s v="Unidades"/>
    <s v="BADECON"/>
    <x v="3"/>
    <s v="C16"/>
    <x v="6"/>
    <n v="91.8"/>
    <n v="87.8"/>
    <n v="91.8"/>
    <n v="30096"/>
  </r>
  <r>
    <x v="2"/>
    <x v="0"/>
    <n v="21365"/>
    <s v="Unidades"/>
    <s v="BADECON"/>
    <x v="3"/>
    <s v="C17"/>
    <x v="7"/>
    <n v="66.424574274145002"/>
    <n v="95.629262636448004"/>
    <n v="66.424574274145002"/>
    <n v="21365"/>
  </r>
  <r>
    <x v="2"/>
    <x v="1"/>
    <n v="73176"/>
    <s v="Unidades"/>
    <s v="BADECON"/>
    <x v="3"/>
    <s v="C17"/>
    <x v="7"/>
    <n v="87.6"/>
    <n v="87.8"/>
    <n v="87.6"/>
    <n v="73176"/>
  </r>
  <r>
    <x v="2"/>
    <x v="0"/>
    <n v="9267"/>
    <s v="Unidades"/>
    <s v="BADECON"/>
    <x v="3"/>
    <s v="C18"/>
    <x v="8"/>
    <n v="66.424574274145002"/>
    <n v="95.629262636448004"/>
    <n v="66.424574274145002"/>
    <n v="9267"/>
  </r>
  <r>
    <x v="2"/>
    <x v="1"/>
    <n v="14687"/>
    <s v="Unidades"/>
    <s v="BADECON"/>
    <x v="3"/>
    <s v="C18"/>
    <x v="8"/>
    <n v="93.1"/>
    <n v="87.8"/>
    <n v="93.1"/>
    <n v="14687"/>
  </r>
  <r>
    <x v="2"/>
    <x v="0"/>
    <n v="9253"/>
    <s v="Unidades"/>
    <s v="BADECON"/>
    <x v="3"/>
    <s v="CXX"/>
    <x v="0"/>
    <m/>
    <n v="95.629262636448004"/>
    <n v="95.629262636448004"/>
    <n v="9253"/>
  </r>
  <r>
    <x v="3"/>
    <x v="0"/>
    <n v="141605"/>
    <s v="Unidades"/>
    <s v="BADECON"/>
    <x v="3"/>
    <s v="C10"/>
    <x v="1"/>
    <n v="92.136318280468004"/>
    <n v="96.211353938038002"/>
    <n v="92.136318280468004"/>
    <n v="141605"/>
  </r>
  <r>
    <x v="3"/>
    <x v="1"/>
    <n v="811330"/>
    <s v="Unidades"/>
    <s v="BADECON"/>
    <x v="3"/>
    <s v="C10"/>
    <x v="1"/>
    <n v="87.2"/>
    <n v="81.900000000000006"/>
    <n v="87.2"/>
    <n v="811330"/>
  </r>
  <r>
    <x v="3"/>
    <x v="0"/>
    <n v="15969"/>
    <s v="Unidades"/>
    <s v="BADECON"/>
    <x v="3"/>
    <s v="C11"/>
    <x v="2"/>
    <n v="100.22588687651999"/>
    <n v="96.211353938038002"/>
    <n v="100.22588687651999"/>
    <n v="15969"/>
  </r>
  <r>
    <x v="3"/>
    <x v="1"/>
    <n v="141598"/>
    <s v="Unidades"/>
    <s v="BADECON"/>
    <x v="3"/>
    <s v="C11"/>
    <x v="2"/>
    <n v="80"/>
    <n v="81.900000000000006"/>
    <n v="80"/>
    <n v="141598"/>
  </r>
  <r>
    <x v="3"/>
    <x v="1"/>
    <n v="2248"/>
    <s v="Unidades"/>
    <s v="BADECON"/>
    <x v="3"/>
    <s v="C12"/>
    <x v="24"/>
    <n v="80"/>
    <n v="81.900000000000006"/>
    <n v="80"/>
    <n v="2248"/>
  </r>
  <r>
    <x v="3"/>
    <x v="0"/>
    <n v="6111"/>
    <s v="Unidades"/>
    <s v="BADECON"/>
    <x v="3"/>
    <s v="C13"/>
    <x v="3"/>
    <n v="107.52442116425"/>
    <n v="96.211353938038002"/>
    <n v="107.52442116425"/>
    <n v="6111"/>
  </r>
  <r>
    <x v="3"/>
    <x v="1"/>
    <n v="253197"/>
    <s v="Unidades"/>
    <s v="BADECON"/>
    <x v="3"/>
    <s v="C13"/>
    <x v="3"/>
    <n v="84.5"/>
    <n v="81.900000000000006"/>
    <n v="84.5"/>
    <n v="253197"/>
  </r>
  <r>
    <x v="3"/>
    <x v="0"/>
    <n v="7747"/>
    <s v="Unidades"/>
    <s v="BADECON"/>
    <x v="3"/>
    <s v="C14"/>
    <x v="4"/>
    <n v="107.52442116425"/>
    <n v="96.211353938038002"/>
    <n v="107.52442116425"/>
    <n v="7747"/>
  </r>
  <r>
    <x v="3"/>
    <x v="1"/>
    <n v="165284"/>
    <s v="Unidades"/>
    <s v="BADECON"/>
    <x v="3"/>
    <s v="C14"/>
    <x v="4"/>
    <n v="90.7"/>
    <n v="81.900000000000006"/>
    <n v="90.7"/>
    <n v="165284"/>
  </r>
  <r>
    <x v="3"/>
    <x v="0"/>
    <n v="6554"/>
    <s v="Unidades"/>
    <s v="BADECON"/>
    <x v="3"/>
    <s v="C15"/>
    <x v="5"/>
    <n v="107.52442116425"/>
    <n v="96.211353938038002"/>
    <n v="107.52442116425"/>
    <n v="6554"/>
  </r>
  <r>
    <x v="3"/>
    <x v="1"/>
    <n v="77906"/>
    <s v="Unidades"/>
    <s v="BADECON"/>
    <x v="3"/>
    <s v="C15"/>
    <x v="5"/>
    <n v="90.8"/>
    <n v="81.900000000000006"/>
    <n v="90.8"/>
    <n v="77906"/>
  </r>
  <r>
    <x v="3"/>
    <x v="0"/>
    <n v="10919"/>
    <s v="Unidades"/>
    <s v="BADECON"/>
    <x v="3"/>
    <s v="CXX"/>
    <x v="0"/>
    <m/>
    <n v="96.211353938038002"/>
    <n v="96.211353938038002"/>
    <n v="10919"/>
  </r>
  <r>
    <x v="3"/>
    <x v="0"/>
    <n v="29657"/>
    <s v="Unidades"/>
    <s v="BADECON"/>
    <x v="3"/>
    <s v="C16"/>
    <x v="6"/>
    <n v="107.1615082093"/>
    <n v="96.211353938038002"/>
    <n v="107.1615082093"/>
    <n v="29657"/>
  </r>
  <r>
    <x v="3"/>
    <x v="1"/>
    <n v="29986"/>
    <s v="Unidades"/>
    <s v="BADECON"/>
    <x v="3"/>
    <s v="C16"/>
    <x v="6"/>
    <n v="85.2"/>
    <n v="81.900000000000006"/>
    <n v="85.2"/>
    <n v="29986"/>
  </r>
  <r>
    <x v="3"/>
    <x v="0"/>
    <n v="23731"/>
    <s v="Unidades"/>
    <s v="BADECON"/>
    <x v="3"/>
    <s v="C17"/>
    <x v="7"/>
    <n v="72.105553335238"/>
    <n v="96.211353938038002"/>
    <n v="72.105553335238"/>
    <n v="23731"/>
  </r>
  <r>
    <x v="3"/>
    <x v="1"/>
    <n v="72697"/>
    <s v="Unidades"/>
    <s v="BADECON"/>
    <x v="3"/>
    <s v="C17"/>
    <x v="7"/>
    <n v="82"/>
    <n v="81.900000000000006"/>
    <n v="82"/>
    <n v="72697"/>
  </r>
  <r>
    <x v="3"/>
    <x v="0"/>
    <n v="11039"/>
    <s v="Unidades"/>
    <s v="BADECON"/>
    <x v="3"/>
    <s v="C18"/>
    <x v="8"/>
    <n v="72.105553335238"/>
    <n v="96.211353938038002"/>
    <n v="72.105553335238"/>
    <n v="11039"/>
  </r>
  <r>
    <x v="3"/>
    <x v="1"/>
    <n v="15391"/>
    <s v="Unidades"/>
    <s v="BADECON"/>
    <x v="3"/>
    <s v="C18"/>
    <x v="8"/>
    <n v="88.6"/>
    <n v="81.900000000000006"/>
    <n v="88.6"/>
    <n v="15391"/>
  </r>
  <r>
    <x v="3"/>
    <x v="1"/>
    <n v="31946"/>
    <s v="Unidades"/>
    <s v="BADECON"/>
    <x v="3"/>
    <s v="C19"/>
    <x v="9"/>
    <n v="47.6"/>
    <n v="81.900000000000006"/>
    <n v="47.6"/>
    <n v="31946"/>
  </r>
  <r>
    <x v="3"/>
    <x v="0"/>
    <n v="25542"/>
    <s v="Unidades"/>
    <s v="BADECON"/>
    <x v="3"/>
    <s v="C20"/>
    <x v="10"/>
    <n v="109.79561218418"/>
    <n v="96.211353938038002"/>
    <n v="109.79561218418"/>
    <n v="25542"/>
  </r>
  <r>
    <x v="3"/>
    <x v="1"/>
    <n v="178238"/>
    <s v="Unidades"/>
    <s v="BADECON"/>
    <x v="3"/>
    <s v="C20"/>
    <x v="10"/>
    <n v="95.7"/>
    <n v="81.900000000000006"/>
    <n v="95.7"/>
    <n v="178238"/>
  </r>
  <r>
    <x v="3"/>
    <x v="0"/>
    <n v="10521"/>
    <s v="Unidades"/>
    <s v="BADECON"/>
    <x v="3"/>
    <s v="C21"/>
    <x v="11"/>
    <n v="109.79561218418"/>
    <n v="96.211353938038002"/>
    <n v="109.79561218418"/>
    <n v="10521"/>
  </r>
  <r>
    <x v="3"/>
    <x v="1"/>
    <n v="61324"/>
    <s v="Unidades"/>
    <s v="BADECON"/>
    <x v="3"/>
    <s v="C21"/>
    <x v="11"/>
    <n v="95.7"/>
    <n v="81.900000000000006"/>
    <n v="95.7"/>
    <n v="61324"/>
  </r>
  <r>
    <x v="3"/>
    <x v="0"/>
    <n v="26549"/>
    <s v="Unidades"/>
    <s v="BADECON"/>
    <x v="3"/>
    <s v="C22"/>
    <x v="12"/>
    <n v="109.79561218418"/>
    <n v="96.211353938038002"/>
    <n v="109.79561218418"/>
    <n v="26549"/>
  </r>
  <r>
    <x v="3"/>
    <x v="1"/>
    <n v="222827"/>
    <s v="Unidades"/>
    <s v="BADECON"/>
    <x v="3"/>
    <s v="C22"/>
    <x v="12"/>
    <n v="81.900000000000006"/>
    <n v="81.900000000000006"/>
    <n v="81.900000000000006"/>
    <n v="222827"/>
  </r>
  <r>
    <x v="3"/>
    <x v="0"/>
    <n v="19566"/>
    <s v="Unidades"/>
    <s v="BADECON"/>
    <x v="3"/>
    <s v="C23"/>
    <x v="13"/>
    <n v="93.364041500221006"/>
    <n v="96.211353938038002"/>
    <n v="93.364041500221006"/>
    <n v="19566"/>
  </r>
  <r>
    <x v="3"/>
    <x v="1"/>
    <n v="160824"/>
    <s v="Unidades"/>
    <s v="BADECON"/>
    <x v="3"/>
    <s v="C23"/>
    <x v="13"/>
    <n v="80.2"/>
    <n v="81.900000000000006"/>
    <n v="80.2"/>
    <n v="160824"/>
  </r>
  <r>
    <x v="3"/>
    <x v="0"/>
    <n v="7516"/>
    <s v="Unidades"/>
    <s v="BADECON"/>
    <x v="3"/>
    <s v="C24"/>
    <x v="14"/>
    <n v="93.364041500221006"/>
    <n v="96.211353938038002"/>
    <n v="93.364041500221006"/>
    <n v="7516"/>
  </r>
  <r>
    <x v="3"/>
    <x v="1"/>
    <n v="112883"/>
    <s v="Unidades"/>
    <s v="BADECON"/>
    <x v="3"/>
    <s v="C24"/>
    <x v="14"/>
    <n v="73.2"/>
    <n v="81.900000000000006"/>
    <n v="73.2"/>
    <n v="112883"/>
  </r>
  <r>
    <x v="3"/>
    <x v="0"/>
    <n v="30628"/>
    <s v="Unidades"/>
    <s v="BADECON"/>
    <x v="3"/>
    <s v="C25"/>
    <x v="15"/>
    <n v="95.958177771508005"/>
    <n v="96.211353938038002"/>
    <n v="95.958177771508005"/>
    <n v="30628"/>
  </r>
  <r>
    <x v="3"/>
    <x v="1"/>
    <n v="293046"/>
    <s v="Unidades"/>
    <s v="BADECON"/>
    <x v="3"/>
    <s v="C25"/>
    <x v="15"/>
    <n v="76"/>
    <n v="81.900000000000006"/>
    <n v="76"/>
    <n v="293046"/>
  </r>
  <r>
    <x v="3"/>
    <x v="0"/>
    <n v="6250"/>
    <s v="Unidades"/>
    <s v="BADECON"/>
    <x v="3"/>
    <s v="C26"/>
    <x v="16"/>
    <n v="95.958177771508005"/>
    <n v="96.211353938038002"/>
    <n v="95.958177771508005"/>
    <n v="6250"/>
  </r>
  <r>
    <x v="3"/>
    <x v="1"/>
    <n v="286403"/>
    <s v="Unidades"/>
    <s v="BADECON"/>
    <x v="3"/>
    <s v="C26"/>
    <x v="16"/>
    <n v="83.4"/>
    <n v="81.900000000000006"/>
    <n v="83.4"/>
    <n v="286403"/>
  </r>
  <r>
    <x v="3"/>
    <x v="0"/>
    <n v="8794"/>
    <s v="Unidades"/>
    <s v="BADECON"/>
    <x v="3"/>
    <s v="C27"/>
    <x v="17"/>
    <n v="95.958177771508005"/>
    <n v="96.211353938038002"/>
    <n v="95.958177771508005"/>
    <n v="8794"/>
  </r>
  <r>
    <x v="3"/>
    <x v="1"/>
    <n v="475893"/>
    <s v="Unidades"/>
    <s v="BADECON"/>
    <x v="3"/>
    <s v="C27"/>
    <x v="17"/>
    <n v="84.9"/>
    <n v="81.900000000000006"/>
    <n v="84.9"/>
    <n v="475893"/>
  </r>
  <r>
    <x v="3"/>
    <x v="0"/>
    <n v="11105"/>
    <s v="Unidades"/>
    <s v="BADECON"/>
    <x v="3"/>
    <s v="C28"/>
    <x v="18"/>
    <n v="95.958177771508005"/>
    <n v="96.211353938038002"/>
    <n v="95.958177771508005"/>
    <n v="11105"/>
  </r>
  <r>
    <x v="3"/>
    <x v="1"/>
    <n v="366410"/>
    <s v="Unidades"/>
    <s v="BADECON"/>
    <x v="3"/>
    <s v="C28"/>
    <x v="18"/>
    <n v="82.9"/>
    <n v="81.900000000000006"/>
    <n v="82.9"/>
    <n v="366410"/>
  </r>
  <r>
    <x v="3"/>
    <x v="0"/>
    <n v="1319"/>
    <s v="Unidades"/>
    <s v="BADECON"/>
    <x v="3"/>
    <s v="C29"/>
    <x v="19"/>
    <n v="95.958177771508005"/>
    <n v="96.211353938038002"/>
    <n v="95.958177771508005"/>
    <n v="1319"/>
  </r>
  <r>
    <x v="3"/>
    <x v="1"/>
    <n v="94380"/>
    <s v="Unidades"/>
    <s v="BADECON"/>
    <x v="3"/>
    <s v="C29"/>
    <x v="19"/>
    <n v="82.9"/>
    <n v="81.900000000000006"/>
    <n v="82.9"/>
    <n v="94380"/>
  </r>
  <r>
    <x v="3"/>
    <x v="0"/>
    <n v="551"/>
    <s v="Unidades"/>
    <s v="BADECON"/>
    <x v="3"/>
    <s v="C30"/>
    <x v="20"/>
    <n v="95.958177771508005"/>
    <n v="96.211353938038002"/>
    <n v="95.958177771508005"/>
    <n v="551"/>
  </r>
  <r>
    <x v="3"/>
    <x v="1"/>
    <n v="16079"/>
    <s v="Unidades"/>
    <s v="BADECON"/>
    <x v="3"/>
    <s v="C30"/>
    <x v="20"/>
    <n v="82.9"/>
    <n v="81.900000000000006"/>
    <n v="82.9"/>
    <n v="16079"/>
  </r>
  <r>
    <x v="3"/>
    <x v="0"/>
    <n v="10498"/>
    <s v="Unidades"/>
    <s v="BADECON"/>
    <x v="3"/>
    <s v="C31"/>
    <x v="21"/>
    <n v="107.1615082093"/>
    <n v="96.211353938038002"/>
    <n v="107.1615082093"/>
    <n v="10498"/>
  </r>
  <r>
    <x v="3"/>
    <x v="1"/>
    <n v="28825"/>
    <s v="Unidades"/>
    <s v="BADECON"/>
    <x v="3"/>
    <s v="C31"/>
    <x v="21"/>
    <n v="85.5"/>
    <n v="81.900000000000006"/>
    <n v="85.5"/>
    <n v="28825"/>
  </r>
  <r>
    <x v="3"/>
    <x v="0"/>
    <n v="1868"/>
    <s v="Unidades"/>
    <s v="BADECON"/>
    <x v="3"/>
    <s v="C32"/>
    <x v="22"/>
    <m/>
    <n v="96.211353938038002"/>
    <n v="96.211353938038002"/>
    <n v="1868"/>
  </r>
  <r>
    <x v="3"/>
    <x v="1"/>
    <n v="13357"/>
    <s v="Unidades"/>
    <s v="BADECON"/>
    <x v="3"/>
    <s v="C32"/>
    <x v="22"/>
    <n v="86.4"/>
    <n v="81.900000000000006"/>
    <n v="86.4"/>
    <n v="13357"/>
  </r>
  <r>
    <x v="3"/>
    <x v="0"/>
    <n v="23334"/>
    <s v="Unidades"/>
    <s v="BADECON"/>
    <x v="3"/>
    <s v="C33"/>
    <x v="23"/>
    <n v="95.958177771508005"/>
    <n v="96.211353938038002"/>
    <n v="95.958177771508005"/>
    <n v="23334"/>
  </r>
  <r>
    <x v="4"/>
    <x v="0"/>
    <n v="1623.62"/>
    <s v="Millones de dólares"/>
    <s v="BADECON"/>
    <x v="4"/>
    <s v="C10"/>
    <x v="1"/>
    <n v="107.43342807145"/>
    <n v="103.59652904204"/>
    <n v="107.43342807145"/>
    <n v="1511.2800821362509"/>
  </r>
  <r>
    <x v="4"/>
    <x v="1"/>
    <n v="3495.98"/>
    <s v="Millones de dólares"/>
    <s v="BADECON"/>
    <x v="4"/>
    <s v="C10"/>
    <x v="1"/>
    <n v="107.1"/>
    <n v="108.6"/>
    <n v="107.1"/>
    <n v="3264.2203548085899"/>
  </r>
  <r>
    <x v="4"/>
    <x v="0"/>
    <n v="384.41"/>
    <s v="Millones de dólares"/>
    <s v="BADECON"/>
    <x v="4"/>
    <s v="C23"/>
    <x v="13"/>
    <n v="104.48191541983"/>
    <n v="103.59652904204"/>
    <n v="104.48191541983"/>
    <n v="367.92013091965339"/>
  </r>
  <r>
    <x v="4"/>
    <x v="1"/>
    <n v="1471.29"/>
    <s v="Millones de dólares"/>
    <s v="BADECON"/>
    <x v="4"/>
    <s v="C23"/>
    <x v="13"/>
    <n v="108.2"/>
    <n v="108.6"/>
    <n v="108.2"/>
    <n v="1359.787430683919"/>
  </r>
  <r>
    <x v="4"/>
    <x v="0"/>
    <n v="280.83999999999997"/>
    <s v="Millones de dólares"/>
    <s v="BADECON"/>
    <x v="4"/>
    <s v="C25"/>
    <x v="15"/>
    <n v="113.44450268036999"/>
    <n v="103.59652904204"/>
    <n v="113.44450268036999"/>
    <n v="247.55716968610369"/>
  </r>
  <r>
    <x v="4"/>
    <x v="1"/>
    <n v="1652.75"/>
    <s v="Millones de dólares"/>
    <s v="BADECON"/>
    <x v="4"/>
    <s v="C25"/>
    <x v="15"/>
    <n v="109.5"/>
    <n v="108.6"/>
    <n v="109.5"/>
    <n v="1509.3607305936071"/>
  </r>
  <r>
    <x v="4"/>
    <x v="0"/>
    <n v="755.15"/>
    <s v="Millones de dólares"/>
    <s v="BADECON"/>
    <x v="4"/>
    <s v="C20"/>
    <x v="10"/>
    <n v="100.20302658438"/>
    <n v="103.59652904204"/>
    <n v="100.20302658438"/>
    <n v="753.61995115396587"/>
  </r>
  <r>
    <x v="4"/>
    <x v="1"/>
    <n v="2086.2600000000002"/>
    <s v="Millones de dólares"/>
    <s v="BADECON"/>
    <x v="4"/>
    <s v="C20"/>
    <x v="10"/>
    <n v="103.9"/>
    <n v="108.6"/>
    <n v="103.9"/>
    <n v="2007.949951876805"/>
  </r>
  <r>
    <x v="4"/>
    <x v="0"/>
    <n v="417.83"/>
    <s v="Millones de dólares"/>
    <s v="BADECON"/>
    <x v="4"/>
    <s v="C21"/>
    <x v="11"/>
    <n v="100.20302658438"/>
    <n v="103.59652904204"/>
    <n v="100.20302658438"/>
    <n v="416.98341281952128"/>
  </r>
  <r>
    <x v="4"/>
    <x v="1"/>
    <n v="832.27"/>
    <s v="Millones de dólares"/>
    <s v="BADECON"/>
    <x v="4"/>
    <s v="C21"/>
    <x v="11"/>
    <n v="103.9"/>
    <n v="108.6"/>
    <n v="103.9"/>
    <n v="801.02983638113562"/>
  </r>
  <r>
    <x v="4"/>
    <x v="0"/>
    <n v="528.86"/>
    <s v="Millones de dólares"/>
    <s v="BADECON"/>
    <x v="4"/>
    <s v="C22"/>
    <x v="12"/>
    <n v="100.20302658438"/>
    <n v="103.59652904204"/>
    <n v="100.20302658438"/>
    <n v="527.78844913896103"/>
  </r>
  <r>
    <x v="4"/>
    <x v="1"/>
    <n v="1771.28"/>
    <s v="Millones de dólares"/>
    <s v="BADECON"/>
    <x v="4"/>
    <s v="C22"/>
    <x v="12"/>
    <n v="105.6"/>
    <n v="108.6"/>
    <n v="105.6"/>
    <n v="1677.348484848485"/>
  </r>
  <r>
    <x v="4"/>
    <x v="0"/>
    <n v="156.22"/>
    <s v="Millones de dólares"/>
    <s v="BADECON"/>
    <x v="4"/>
    <s v="C24"/>
    <x v="14"/>
    <n v="104.48191541983"/>
    <n v="103.59652904204"/>
    <n v="104.48191541983"/>
    <n v="149.5186984008435"/>
  </r>
  <r>
    <x v="4"/>
    <x v="1"/>
    <n v="1322.18"/>
    <s v="Millones de dólares"/>
    <s v="BADECON"/>
    <x v="4"/>
    <s v="C24"/>
    <x v="14"/>
    <n v="111.8"/>
    <n v="108.6"/>
    <n v="111.8"/>
    <n v="1182.62969588551"/>
  </r>
  <r>
    <x v="4"/>
    <x v="1"/>
    <n v="3285.99"/>
    <s v="Millones de dólares"/>
    <s v="BADECON"/>
    <x v="4"/>
    <s v="C26"/>
    <x v="16"/>
    <n v="109.4"/>
    <n v="108.6"/>
    <n v="109.4"/>
    <n v="3003.6471663619741"/>
  </r>
  <r>
    <x v="4"/>
    <x v="0"/>
    <n v="237.36"/>
    <s v="Millones de dólares"/>
    <s v="BADECON"/>
    <x v="4"/>
    <s v="C27"/>
    <x v="17"/>
    <n v="113.44450268036999"/>
    <n v="103.59652904204"/>
    <n v="113.44450268036999"/>
    <n v="209.2300590966158"/>
  </r>
  <r>
    <x v="4"/>
    <x v="1"/>
    <n v="4347.0200000000004"/>
    <s v="Millones de dólares"/>
    <s v="BADECON"/>
    <x v="4"/>
    <s v="C27"/>
    <x v="17"/>
    <n v="107.4"/>
    <n v="108.6"/>
    <n v="107.4"/>
    <n v="4047.5046554934829"/>
  </r>
  <r>
    <x v="4"/>
    <x v="0"/>
    <n v="161.65"/>
    <s v="Millones de dólares"/>
    <s v="BADECON"/>
    <x v="4"/>
    <s v="C28"/>
    <x v="18"/>
    <n v="113.44450268036999"/>
    <n v="103.59652904204"/>
    <n v="113.44450268036999"/>
    <n v="142.4925811129421"/>
  </r>
  <r>
    <x v="4"/>
    <x v="1"/>
    <n v="3646.51"/>
    <s v="Millones de dólares"/>
    <s v="BADECON"/>
    <x v="4"/>
    <s v="C28"/>
    <x v="18"/>
    <n v="110.3"/>
    <n v="108.6"/>
    <n v="110.3"/>
    <n v="3305.9927470534908"/>
  </r>
  <r>
    <x v="4"/>
    <x v="0"/>
    <n v="9"/>
    <s v="Millones de dólares"/>
    <s v="BADECON"/>
    <x v="4"/>
    <s v="C29"/>
    <x v="19"/>
    <n v="113.44450268036999"/>
    <n v="103.59652904204"/>
    <n v="113.44450268036999"/>
    <n v="7.9333945562417503"/>
  </r>
  <r>
    <x v="4"/>
    <x v="1"/>
    <n v="7"/>
    <s v="Millones de dólares"/>
    <s v="BADECON"/>
    <x v="4"/>
    <s v="C29"/>
    <x v="19"/>
    <n v="111.5"/>
    <n v="108.6"/>
    <n v="111.5"/>
    <n v="6.2780269058295968"/>
  </r>
  <r>
    <x v="4"/>
    <x v="0"/>
    <n v="55.15"/>
    <s v="Millones de dólares"/>
    <s v="BADECON"/>
    <x v="4"/>
    <s v="C30"/>
    <x v="20"/>
    <n v="113.44450268036999"/>
    <n v="103.59652904204"/>
    <n v="113.44450268036999"/>
    <n v="48.614078864081392"/>
  </r>
  <r>
    <x v="4"/>
    <x v="1"/>
    <n v="167.06"/>
    <s v="Millones de dólares"/>
    <s v="BADECON"/>
    <x v="4"/>
    <s v="C30"/>
    <x v="20"/>
    <n v="111.5"/>
    <n v="108.6"/>
    <n v="111.5"/>
    <n v="149.8295964125561"/>
  </r>
  <r>
    <x v="4"/>
    <x v="0"/>
    <n v="142.15"/>
    <s v="Millones de dólares"/>
    <s v="BADECON"/>
    <x v="4"/>
    <s v="C31"/>
    <x v="21"/>
    <n v="110.87139466242"/>
    <n v="103.59652904204"/>
    <n v="110.87139466242"/>
    <n v="128.21160988622611"/>
  </r>
  <r>
    <x v="4"/>
    <x v="1"/>
    <n v="160.6"/>
    <s v="Millones de dólares"/>
    <s v="BADECON"/>
    <x v="4"/>
    <s v="C31"/>
    <x v="21"/>
    <n v="108.5"/>
    <n v="108.6"/>
    <n v="108.5"/>
    <n v="148.0184331797235"/>
  </r>
  <r>
    <x v="4"/>
    <x v="0"/>
    <n v="527.71"/>
    <s v="Millones de dólares"/>
    <s v="BADECON"/>
    <x v="4"/>
    <s v="C32"/>
    <x v="22"/>
    <m/>
    <n v="103.59652904204"/>
    <n v="103.59652904204"/>
    <n v="509.38965318601811"/>
  </r>
  <r>
    <x v="4"/>
    <x v="1"/>
    <n v="121.99"/>
    <s v="Millones de dólares"/>
    <s v="BADECON"/>
    <x v="4"/>
    <s v="C32"/>
    <x v="22"/>
    <n v="112.5"/>
    <n v="108.6"/>
    <n v="112.5"/>
    <n v="108.4355555555556"/>
  </r>
  <r>
    <x v="4"/>
    <x v="0"/>
    <n v="34.270000000000003"/>
    <s v="Millones de dólares"/>
    <s v="BADECON"/>
    <x v="4"/>
    <s v="C16"/>
    <x v="6"/>
    <n v="110.87139466242"/>
    <n v="103.59652904204"/>
    <n v="110.87139466242"/>
    <n v="30.909686041512259"/>
  </r>
  <r>
    <x v="4"/>
    <x v="1"/>
    <n v="166.84"/>
    <s v="Millones de dólares"/>
    <s v="BADECON"/>
    <x v="4"/>
    <s v="C16"/>
    <x v="6"/>
    <n v="108.1"/>
    <n v="108.6"/>
    <n v="108.1"/>
    <n v="154.33857539315451"/>
  </r>
  <r>
    <x v="4"/>
    <x v="0"/>
    <n v="176.86"/>
    <s v="Millones de dólares"/>
    <s v="BADECON"/>
    <x v="4"/>
    <s v="C11"/>
    <x v="2"/>
    <n v="123.69234493793"/>
    <n v="103.59652904204"/>
    <n v="123.69234493793"/>
    <n v="142.98378779119281"/>
  </r>
  <r>
    <x v="4"/>
    <x v="1"/>
    <n v="896.87"/>
    <s v="Millones de dólares"/>
    <s v="BADECON"/>
    <x v="4"/>
    <s v="C11"/>
    <x v="2"/>
    <n v="109.5"/>
    <n v="108.6"/>
    <n v="109.5"/>
    <n v="819.05936073059365"/>
  </r>
  <r>
    <x v="4"/>
    <x v="0"/>
    <n v="244.53"/>
    <s v="Millones de dólares"/>
    <s v="BADECON"/>
    <x v="4"/>
    <s v="C13"/>
    <x v="3"/>
    <n v="71.728747032472995"/>
    <n v="103.59652904204"/>
    <n v="71.728747032472995"/>
    <n v="340.90934265071792"/>
  </r>
  <r>
    <x v="4"/>
    <x v="1"/>
    <n v="1778.66"/>
    <s v="Millones de dólares"/>
    <s v="BADECON"/>
    <x v="4"/>
    <s v="C13"/>
    <x v="3"/>
    <n v="105.5"/>
    <n v="108.6"/>
    <n v="105.5"/>
    <n v="1685.9336492891"/>
  </r>
  <r>
    <x v="4"/>
    <x v="0"/>
    <n v="411.89"/>
    <s v="Millones de dólares"/>
    <s v="BADECON"/>
    <x v="4"/>
    <s v="C14"/>
    <x v="4"/>
    <n v="71.728747032472995"/>
    <n v="103.59652904204"/>
    <n v="71.728747032472995"/>
    <n v="574.232810470716"/>
  </r>
  <r>
    <x v="4"/>
    <x v="1"/>
    <n v="584.33000000000004"/>
    <s v="Millones de dólares"/>
    <s v="BADECON"/>
    <x v="4"/>
    <s v="C14"/>
    <x v="4"/>
    <n v="110.2"/>
    <n v="108.6"/>
    <n v="110.2"/>
    <n v="530.24500907441018"/>
  </r>
  <r>
    <x v="4"/>
    <x v="0"/>
    <n v="261.82"/>
    <s v="Millones de dólares"/>
    <s v="BADECON"/>
    <x v="4"/>
    <s v="C17"/>
    <x v="7"/>
    <n v="65.215368011810995"/>
    <n v="103.59652904204"/>
    <n v="65.215368011810995"/>
    <n v="401.46978845934359"/>
  </r>
  <r>
    <x v="4"/>
    <x v="1"/>
    <n v="673.3"/>
    <s v="Millones de dólares"/>
    <s v="BADECON"/>
    <x v="4"/>
    <s v="C17"/>
    <x v="7"/>
    <n v="107.4"/>
    <n v="108.6"/>
    <n v="107.4"/>
    <n v="626.9087523277467"/>
  </r>
  <r>
    <x v="4"/>
    <x v="0"/>
    <n v="169.95"/>
    <s v="Millones de dólares"/>
    <s v="BADECON"/>
    <x v="4"/>
    <s v="C18"/>
    <x v="8"/>
    <n v="65.215368011810995"/>
    <n v="103.59652904204"/>
    <n v="65.215368011810995"/>
    <n v="260.5980847477864"/>
  </r>
  <r>
    <x v="4"/>
    <x v="1"/>
    <n v="119.87"/>
    <s v="Millones de dólares"/>
    <s v="BADECON"/>
    <x v="4"/>
    <s v="C18"/>
    <x v="8"/>
    <n v="109.7"/>
    <n v="108.6"/>
    <n v="109.7"/>
    <n v="109.2707383773929"/>
  </r>
  <r>
    <x v="4"/>
    <x v="0"/>
    <n v="69.150000000000006"/>
    <s v="Millones de dólares"/>
    <s v="BADECON"/>
    <x v="4"/>
    <s v="C15"/>
    <x v="5"/>
    <n v="71.728747032472995"/>
    <n v="103.59652904204"/>
    <n v="71.728747032472995"/>
    <n v="96.404862570225106"/>
  </r>
  <r>
    <x v="4"/>
    <x v="1"/>
    <n v="325.52"/>
    <s v="Millones de dólares"/>
    <s v="BADECON"/>
    <x v="4"/>
    <s v="C15"/>
    <x v="5"/>
    <n v="105.1"/>
    <n v="108.6"/>
    <n v="105.1"/>
    <n v="309.72407231208371"/>
  </r>
  <r>
    <x v="4"/>
    <x v="1"/>
    <n v="536.6"/>
    <s v="Millones de dólares"/>
    <s v="BADECON"/>
    <x v="4"/>
    <s v="C19"/>
    <x v="9"/>
    <n v="100.6"/>
    <n v="108.6"/>
    <n v="100.6"/>
    <n v="533.39960238568597"/>
  </r>
  <r>
    <x v="4"/>
    <x v="1"/>
    <n v="20.77"/>
    <s v="Millones de dólares"/>
    <s v="BADECON"/>
    <x v="4"/>
    <s v="C12"/>
    <x v="24"/>
    <n v="109.5"/>
    <n v="108.6"/>
    <n v="109.5"/>
    <n v="18.968036529680369"/>
  </r>
  <r>
    <x v="5"/>
    <x v="0"/>
    <n v="2046.9"/>
    <s v="Millones de dólares"/>
    <s v="BADECON"/>
    <x v="4"/>
    <s v="C10"/>
    <x v="1"/>
    <n v="101.52099705321"/>
    <n v="98.151526954033002"/>
    <n v="101.52099705321"/>
    <n v="2016.233153154674"/>
  </r>
  <r>
    <x v="5"/>
    <x v="1"/>
    <n v="3724.73"/>
    <s v="Millones de dólares"/>
    <s v="BADECON"/>
    <x v="4"/>
    <s v="C10"/>
    <x v="1"/>
    <n v="102.3"/>
    <n v="102.4"/>
    <n v="102.3"/>
    <n v="3640.9872922776149"/>
  </r>
  <r>
    <x v="5"/>
    <x v="0"/>
    <n v="360.31"/>
    <s v="Millones de dólares"/>
    <s v="BADECON"/>
    <x v="4"/>
    <s v="C11"/>
    <x v="2"/>
    <n v="111.60809989866"/>
    <n v="98.151526954033002"/>
    <n v="111.60809989866"/>
    <n v="322.83499166024768"/>
  </r>
  <r>
    <x v="5"/>
    <x v="1"/>
    <n v="944.28"/>
    <s v="Millones de dólares"/>
    <s v="BADECON"/>
    <x v="4"/>
    <s v="C11"/>
    <x v="2"/>
    <n v="104.9"/>
    <n v="102.4"/>
    <n v="104.9"/>
    <n v="900.17159199237358"/>
  </r>
  <r>
    <x v="5"/>
    <x v="1"/>
    <n v="21.33"/>
    <s v="Millones de dólares"/>
    <s v="BADECON"/>
    <x v="4"/>
    <s v="C12"/>
    <x v="24"/>
    <n v="104.9"/>
    <n v="102.4"/>
    <n v="104.9"/>
    <n v="20.333651096282171"/>
  </r>
  <r>
    <x v="5"/>
    <x v="0"/>
    <n v="55.82"/>
    <s v="Millones de dólares"/>
    <s v="BADECON"/>
    <x v="4"/>
    <s v="C13"/>
    <x v="3"/>
    <n v="84.562992854463005"/>
    <n v="98.151526954033002"/>
    <n v="84.562992854463005"/>
    <n v="66.009962651237899"/>
  </r>
  <r>
    <x v="5"/>
    <x v="1"/>
    <n v="2010.8"/>
    <s v="Millones de dólares"/>
    <s v="BADECON"/>
    <x v="4"/>
    <s v="C13"/>
    <x v="3"/>
    <n v="102.4"/>
    <n v="102.4"/>
    <n v="102.4"/>
    <n v="1963.671875"/>
  </r>
  <r>
    <x v="5"/>
    <x v="0"/>
    <n v="62.8"/>
    <s v="Millones de dólares"/>
    <s v="BADECON"/>
    <x v="4"/>
    <s v="C14"/>
    <x v="4"/>
    <n v="84.562992854463005"/>
    <n v="98.151526954033002"/>
    <n v="84.562992854463005"/>
    <n v="74.264164358612319"/>
  </r>
  <r>
    <x v="5"/>
    <x v="1"/>
    <n v="743.42"/>
    <s v="Millones de dólares"/>
    <s v="BADECON"/>
    <x v="4"/>
    <s v="C14"/>
    <x v="4"/>
    <n v="105.3"/>
    <n v="102.4"/>
    <n v="105.3"/>
    <n v="706.00189933523257"/>
  </r>
  <r>
    <x v="5"/>
    <x v="0"/>
    <n v="66.94"/>
    <s v="Millones de dólares"/>
    <s v="BADECON"/>
    <x v="4"/>
    <s v="C15"/>
    <x v="5"/>
    <n v="84.562992854463005"/>
    <n v="98.151526954033002"/>
    <n v="84.562992854463005"/>
    <n v="79.159922964418925"/>
  </r>
  <r>
    <x v="5"/>
    <x v="1"/>
    <n v="411.2"/>
    <s v="Millones de dólares"/>
    <s v="BADECON"/>
    <x v="4"/>
    <s v="C15"/>
    <x v="5"/>
    <n v="102.3"/>
    <n v="102.4"/>
    <n v="102.3"/>
    <n v="401.95503421309871"/>
  </r>
  <r>
    <x v="5"/>
    <x v="0"/>
    <n v="381.55"/>
    <s v="Millones de dólares"/>
    <s v="BADECON"/>
    <x v="4"/>
    <s v="C16"/>
    <x v="6"/>
    <n v="97.634045562563003"/>
    <n v="98.151526954033002"/>
    <n v="97.634045562563003"/>
    <n v="390.79605664348531"/>
  </r>
  <r>
    <x v="5"/>
    <x v="1"/>
    <n v="188.99"/>
    <s v="Millones de dólares"/>
    <s v="BADECON"/>
    <x v="4"/>
    <s v="C16"/>
    <x v="6"/>
    <n v="105.5"/>
    <n v="102.4"/>
    <n v="105.5"/>
    <n v="179.13744075829379"/>
  </r>
  <r>
    <x v="5"/>
    <x v="0"/>
    <n v="411.83"/>
    <s v="Millones de dólares"/>
    <s v="BADECON"/>
    <x v="4"/>
    <s v="C17"/>
    <x v="7"/>
    <n v="72.666250473058"/>
    <n v="98.151526954033002"/>
    <n v="72.666250473058"/>
    <n v="566.74177808677712"/>
  </r>
  <r>
    <x v="5"/>
    <x v="1"/>
    <n v="730.47"/>
    <s v="Millones de dólares"/>
    <s v="BADECON"/>
    <x v="4"/>
    <s v="C17"/>
    <x v="7"/>
    <n v="104.5"/>
    <n v="102.4"/>
    <n v="104.5"/>
    <n v="699.01435406698567"/>
  </r>
  <r>
    <x v="5"/>
    <x v="0"/>
    <n v="146.08000000000001"/>
    <s v="Millones de dólares"/>
    <s v="BADECON"/>
    <x v="4"/>
    <s v="C18"/>
    <x v="8"/>
    <n v="72.666250473058"/>
    <n v="98.151526954033002"/>
    <n v="72.666250473058"/>
    <n v="201.02867431444139"/>
  </r>
  <r>
    <x v="5"/>
    <x v="1"/>
    <n v="126.73"/>
    <s v="Millones de dólares"/>
    <s v="BADECON"/>
    <x v="4"/>
    <s v="C18"/>
    <x v="8"/>
    <n v="106"/>
    <n v="102.4"/>
    <n v="106"/>
    <n v="119.5566037735849"/>
  </r>
  <r>
    <x v="5"/>
    <x v="1"/>
    <n v="614.89"/>
    <s v="Millones de dólares"/>
    <s v="BADECON"/>
    <x v="4"/>
    <s v="C19"/>
    <x v="9"/>
    <n v="92.1"/>
    <n v="102.4"/>
    <n v="92.1"/>
    <n v="667.63300760043433"/>
  </r>
  <r>
    <x v="5"/>
    <x v="0"/>
    <n v="678.59"/>
    <s v="Millones de dólares"/>
    <s v="BADECON"/>
    <x v="4"/>
    <s v="C20"/>
    <x v="10"/>
    <n v="94.527911873682996"/>
    <n v="98.151526954033002"/>
    <n v="94.527911873682996"/>
    <n v="717.87262254009715"/>
  </r>
  <r>
    <x v="5"/>
    <x v="1"/>
    <n v="2282.86"/>
    <s v="Millones de dólares"/>
    <s v="BADECON"/>
    <x v="4"/>
    <s v="C20"/>
    <x v="10"/>
    <n v="101.6"/>
    <n v="102.4"/>
    <n v="101.6"/>
    <n v="2246.909448818898"/>
  </r>
  <r>
    <x v="5"/>
    <x v="0"/>
    <n v="254.03"/>
    <s v="Millones de dólares"/>
    <s v="BADECON"/>
    <x v="4"/>
    <s v="C21"/>
    <x v="11"/>
    <n v="94.527911873682996"/>
    <n v="98.151526954033002"/>
    <n v="94.527911873682996"/>
    <n v="268.73544010943408"/>
  </r>
  <r>
    <x v="5"/>
    <x v="1"/>
    <n v="775.58"/>
    <s v="Millones de dólares"/>
    <s v="BADECON"/>
    <x v="4"/>
    <s v="C21"/>
    <x v="11"/>
    <n v="101.6"/>
    <n v="102.4"/>
    <n v="101.6"/>
    <n v="763.36614173228361"/>
  </r>
  <r>
    <x v="5"/>
    <x v="0"/>
    <n v="447.25"/>
    <s v="Millones de dólares"/>
    <s v="BADECON"/>
    <x v="4"/>
    <s v="C22"/>
    <x v="12"/>
    <n v="94.527911873682996"/>
    <n v="98.151526954033002"/>
    <n v="94.527911873682996"/>
    <n v="473.14067467993698"/>
  </r>
  <r>
    <x v="5"/>
    <x v="1"/>
    <n v="1931.67"/>
    <s v="Millones de dólares"/>
    <s v="BADECON"/>
    <x v="4"/>
    <s v="C22"/>
    <x v="12"/>
    <n v="103.4"/>
    <n v="102.4"/>
    <n v="103.4"/>
    <n v="1868.152804642167"/>
  </r>
  <r>
    <x v="5"/>
    <x v="0"/>
    <n v="344.75"/>
    <s v="Millones de dólares"/>
    <s v="BADECON"/>
    <x v="4"/>
    <s v="C23"/>
    <x v="13"/>
    <n v="96.894683830418003"/>
    <n v="98.151526954033002"/>
    <n v="96.894683830418003"/>
    <n v="355.79867374702462"/>
  </r>
  <r>
    <x v="5"/>
    <x v="1"/>
    <n v="1668.93"/>
    <s v="Millones de dólares"/>
    <s v="BADECON"/>
    <x v="4"/>
    <s v="C23"/>
    <x v="13"/>
    <n v="104.4"/>
    <n v="102.4"/>
    <n v="104.4"/>
    <n v="1598.5919540229879"/>
  </r>
  <r>
    <x v="5"/>
    <x v="0"/>
    <n v="143.33000000000001"/>
    <s v="Millones de dólares"/>
    <s v="BADECON"/>
    <x v="4"/>
    <s v="C24"/>
    <x v="14"/>
    <n v="96.894683830418003"/>
    <n v="98.151526954033002"/>
    <n v="96.894683830418003"/>
    <n v="147.9234921193939"/>
  </r>
  <r>
    <x v="5"/>
    <x v="1"/>
    <n v="1440.71"/>
    <s v="Millones de dólares"/>
    <s v="BADECON"/>
    <x v="4"/>
    <s v="C24"/>
    <x v="14"/>
    <n v="99"/>
    <n v="102.4"/>
    <n v="99"/>
    <n v="1455.2626262626261"/>
  </r>
  <r>
    <x v="5"/>
    <x v="0"/>
    <n v="491.81"/>
    <s v="Millones de dólares"/>
    <s v="BADECON"/>
    <x v="4"/>
    <s v="C25"/>
    <x v="15"/>
    <n v="106.59709315790001"/>
    <n v="98.151526954033002"/>
    <n v="106.59709315790001"/>
    <n v="461.37280617163958"/>
  </r>
  <r>
    <x v="5"/>
    <x v="1"/>
    <n v="1832.27"/>
    <s v="Millones de dólares"/>
    <s v="BADECON"/>
    <x v="4"/>
    <s v="C25"/>
    <x v="15"/>
    <n v="104.2"/>
    <n v="102.4"/>
    <n v="104.2"/>
    <n v="1758.4165067178501"/>
  </r>
  <r>
    <x v="5"/>
    <x v="0"/>
    <n v="35.08"/>
    <s v="Millones de dólares"/>
    <s v="BADECON"/>
    <x v="4"/>
    <s v="C26"/>
    <x v="16"/>
    <n v="106.59709315790001"/>
    <n v="98.151526954033002"/>
    <n v="106.59709315790001"/>
    <n v="32.908964926498271"/>
  </r>
  <r>
    <x v="5"/>
    <x v="1"/>
    <n v="3574.1"/>
    <s v="Millones de dólares"/>
    <s v="BADECON"/>
    <x v="4"/>
    <s v="C26"/>
    <x v="16"/>
    <n v="103.9"/>
    <n v="102.4"/>
    <n v="103.9"/>
    <n v="3439.9422521655438"/>
  </r>
  <r>
    <x v="5"/>
    <x v="0"/>
    <n v="146.54"/>
    <s v="Millones de dólares"/>
    <s v="BADECON"/>
    <x v="4"/>
    <s v="C27"/>
    <x v="17"/>
    <n v="106.59709315790001"/>
    <n v="98.151526954033002"/>
    <n v="106.59709315790001"/>
    <n v="137.4709156308169"/>
  </r>
  <r>
    <x v="5"/>
    <x v="1"/>
    <n v="4621.92"/>
    <s v="Millones de dólares"/>
    <s v="BADECON"/>
    <x v="4"/>
    <s v="C27"/>
    <x v="17"/>
    <n v="102.3"/>
    <n v="102.4"/>
    <n v="102.3"/>
    <n v="4518.0058651026393"/>
  </r>
  <r>
    <x v="5"/>
    <x v="0"/>
    <n v="235.56"/>
    <s v="Millones de dólares"/>
    <s v="BADECON"/>
    <x v="4"/>
    <s v="C28"/>
    <x v="18"/>
    <n v="106.59709315790001"/>
    <n v="98.151526954033002"/>
    <n v="106.59709315790001"/>
    <n v="220.98163563528891"/>
  </r>
  <r>
    <x v="5"/>
    <x v="1"/>
    <n v="3998.2"/>
    <s v="Millones de dólares"/>
    <s v="BADECON"/>
    <x v="4"/>
    <s v="C28"/>
    <x v="18"/>
    <n v="102.7"/>
    <n v="102.4"/>
    <n v="102.7"/>
    <n v="3893.0866601752682"/>
  </r>
  <r>
    <x v="5"/>
    <x v="0"/>
    <n v="7"/>
    <s v="Millones de dólares"/>
    <s v="BADECON"/>
    <x v="4"/>
    <s v="C29"/>
    <x v="19"/>
    <n v="106.59709315790001"/>
    <n v="98.151526954033002"/>
    <n v="106.59709315790001"/>
    <n v="6.5667831951393349"/>
  </r>
  <r>
    <x v="5"/>
    <x v="1"/>
    <n v="6"/>
    <s v="Millones de dólares"/>
    <s v="BADECON"/>
    <x v="4"/>
    <s v="C29"/>
    <x v="19"/>
    <n v="102.2"/>
    <n v="102.4"/>
    <n v="102.2"/>
    <n v="5.8708414872798436"/>
  </r>
  <r>
    <x v="5"/>
    <x v="0"/>
    <n v="19.89"/>
    <s v="Millones de dólares"/>
    <s v="BADECON"/>
    <x v="4"/>
    <s v="C30"/>
    <x v="20"/>
    <n v="106.59709315790001"/>
    <n v="98.151526954033002"/>
    <n v="106.59709315790001"/>
    <n v="18.659045393045911"/>
  </r>
  <r>
    <x v="5"/>
    <x v="1"/>
    <n v="156.32"/>
    <s v="Millones de dólares"/>
    <s v="BADECON"/>
    <x v="4"/>
    <s v="C30"/>
    <x v="20"/>
    <n v="102.2"/>
    <n v="102.4"/>
    <n v="102.2"/>
    <n v="152.95499021526419"/>
  </r>
  <r>
    <x v="5"/>
    <x v="0"/>
    <n v="135.04"/>
    <s v="Millones de dólares"/>
    <s v="BADECON"/>
    <x v="4"/>
    <s v="C31"/>
    <x v="21"/>
    <n v="97.634045562563003"/>
    <n v="98.151526954033002"/>
    <n v="97.634045562563003"/>
    <n v="138.3124085680416"/>
  </r>
  <r>
    <x v="5"/>
    <x v="1"/>
    <n v="186.03"/>
    <s v="Millones de dólares"/>
    <s v="BADECON"/>
    <x v="4"/>
    <s v="C31"/>
    <x v="21"/>
    <n v="104.2"/>
    <n v="102.4"/>
    <n v="104.2"/>
    <n v="178.53166986564301"/>
  </r>
  <r>
    <x v="5"/>
    <x v="0"/>
    <n v="17.899999999999999"/>
    <s v="Millones de dólares"/>
    <s v="BADECON"/>
    <x v="4"/>
    <s v="C32"/>
    <x v="22"/>
    <m/>
    <n v="98.151526954033002"/>
    <n v="98.151526954033002"/>
    <n v="18.237108026228722"/>
  </r>
  <r>
    <x v="5"/>
    <x v="1"/>
    <n v="128.27000000000001"/>
    <s v="Millones de dólares"/>
    <s v="BADECON"/>
    <x v="4"/>
    <s v="C32"/>
    <x v="22"/>
    <n v="105.5"/>
    <n v="102.4"/>
    <n v="105.5"/>
    <n v="121.58293838862561"/>
  </r>
  <r>
    <x v="5"/>
    <x v="0"/>
    <n v="471.22"/>
    <s v="Millones de dólares"/>
    <s v="BADECON"/>
    <x v="4"/>
    <s v="C33"/>
    <x v="23"/>
    <n v="106.59709315790001"/>
    <n v="98.151526954033002"/>
    <n v="106.59709315790001"/>
    <n v="442.05708245907971"/>
  </r>
  <r>
    <x v="5"/>
    <x v="0"/>
    <n v="266.85000000000002"/>
    <s v="Millones de dólares"/>
    <s v="BADECON"/>
    <x v="4"/>
    <s v="CXX"/>
    <x v="0"/>
    <m/>
    <n v="98.151526954033002"/>
    <n v="98.151526954033002"/>
    <n v="271.87554618989577"/>
  </r>
  <r>
    <x v="0"/>
    <x v="0"/>
    <n v="2110"/>
    <s v="Millones de dólares"/>
    <s v="BADECON"/>
    <x v="4"/>
    <s v="C10"/>
    <x v="1"/>
    <n v="99.999999999999005"/>
    <n v="99.999999999999005"/>
    <n v="99.999999999999005"/>
    <n v="2110.0000000000209"/>
  </r>
  <r>
    <x v="0"/>
    <x v="1"/>
    <n v="3469.26"/>
    <s v="Millones de dólares"/>
    <s v="BADECON"/>
    <x v="4"/>
    <s v="C10"/>
    <x v="1"/>
    <n v="100"/>
    <n v="100"/>
    <n v="100"/>
    <n v="3469.26"/>
  </r>
  <r>
    <x v="0"/>
    <x v="0"/>
    <n v="349.82"/>
    <s v="Millones de dólares"/>
    <s v="BADECON"/>
    <x v="4"/>
    <s v="C11"/>
    <x v="2"/>
    <n v="100"/>
    <n v="99.999999999999005"/>
    <n v="100"/>
    <n v="349.82"/>
  </r>
  <r>
    <x v="0"/>
    <x v="1"/>
    <n v="897.55"/>
    <s v="Millones de dólares"/>
    <s v="BADECON"/>
    <x v="4"/>
    <s v="C11"/>
    <x v="2"/>
    <n v="100"/>
    <n v="100"/>
    <n v="100"/>
    <n v="897.55000000000007"/>
  </r>
  <r>
    <x v="0"/>
    <x v="1"/>
    <n v="18.829999999999998"/>
    <s v="Millones de dólares"/>
    <s v="BADECON"/>
    <x v="4"/>
    <s v="C12"/>
    <x v="24"/>
    <n v="100"/>
    <n v="100"/>
    <n v="100"/>
    <n v="18.829999999999998"/>
  </r>
  <r>
    <x v="0"/>
    <x v="0"/>
    <n v="72.89"/>
    <s v="Millones de dólares"/>
    <s v="BADECON"/>
    <x v="4"/>
    <s v="C13"/>
    <x v="3"/>
    <n v="99.999999999999005"/>
    <n v="99.999999999999005"/>
    <n v="99.999999999999005"/>
    <n v="72.890000000000725"/>
  </r>
  <r>
    <x v="0"/>
    <x v="1"/>
    <n v="1905.09"/>
    <s v="Millones de dólares"/>
    <s v="BADECON"/>
    <x v="4"/>
    <s v="C13"/>
    <x v="3"/>
    <n v="100"/>
    <n v="100"/>
    <n v="100"/>
    <n v="1905.09"/>
  </r>
  <r>
    <x v="0"/>
    <x v="0"/>
    <n v="74.069999999999993"/>
    <s v="Millones de dólares"/>
    <s v="BADECON"/>
    <x v="4"/>
    <s v="C14"/>
    <x v="4"/>
    <n v="99.999999999999005"/>
    <n v="99.999999999999005"/>
    <n v="99.999999999999005"/>
    <n v="74.070000000000732"/>
  </r>
  <r>
    <x v="0"/>
    <x v="1"/>
    <n v="725.57"/>
    <s v="Millones de dólares"/>
    <s v="BADECON"/>
    <x v="4"/>
    <s v="C14"/>
    <x v="4"/>
    <n v="100"/>
    <n v="100"/>
    <n v="100"/>
    <n v="725.57"/>
  </r>
  <r>
    <x v="0"/>
    <x v="0"/>
    <n v="84.01"/>
    <s v="Millones de dólares"/>
    <s v="BADECON"/>
    <x v="4"/>
    <s v="C15"/>
    <x v="5"/>
    <n v="99.999999999999005"/>
    <n v="99.999999999999005"/>
    <n v="99.999999999999005"/>
    <n v="84.010000000000844"/>
  </r>
  <r>
    <x v="0"/>
    <x v="1"/>
    <n v="398.27"/>
    <s v="Millones de dólares"/>
    <s v="BADECON"/>
    <x v="4"/>
    <s v="C15"/>
    <x v="5"/>
    <n v="100"/>
    <n v="100"/>
    <n v="100"/>
    <n v="398.27"/>
  </r>
  <r>
    <x v="0"/>
    <x v="0"/>
    <n v="422"/>
    <s v="Millones de dólares"/>
    <s v="BADECON"/>
    <x v="4"/>
    <s v="C16"/>
    <x v="6"/>
    <n v="100"/>
    <n v="99.999999999999005"/>
    <n v="100"/>
    <n v="422"/>
  </r>
  <r>
    <x v="0"/>
    <x v="1"/>
    <n v="179.68"/>
    <s v="Millones de dólares"/>
    <s v="BADECON"/>
    <x v="4"/>
    <s v="C16"/>
    <x v="6"/>
    <n v="100"/>
    <n v="100"/>
    <n v="100"/>
    <n v="179.68"/>
  </r>
  <r>
    <x v="0"/>
    <x v="0"/>
    <n v="439.34"/>
    <s v="Millones de dólares"/>
    <s v="BADECON"/>
    <x v="4"/>
    <s v="C17"/>
    <x v="7"/>
    <n v="99.999999999999005"/>
    <n v="99.999999999999005"/>
    <n v="99.999999999999005"/>
    <n v="439.34000000000441"/>
  </r>
  <r>
    <x v="0"/>
    <x v="1"/>
    <n v="687.78"/>
    <s v="Millones de dólares"/>
    <s v="BADECON"/>
    <x v="4"/>
    <s v="C17"/>
    <x v="7"/>
    <n v="100"/>
    <n v="100"/>
    <n v="100"/>
    <n v="687.78"/>
  </r>
  <r>
    <x v="0"/>
    <x v="0"/>
    <n v="212.82"/>
    <s v="Millones de dólares"/>
    <s v="BADECON"/>
    <x v="4"/>
    <s v="C18"/>
    <x v="8"/>
    <n v="99.999999999999005"/>
    <n v="99.999999999999005"/>
    <n v="99.999999999999005"/>
    <n v="212.8200000000021"/>
  </r>
  <r>
    <x v="0"/>
    <x v="1"/>
    <n v="119.62"/>
    <s v="Millones de dólares"/>
    <s v="BADECON"/>
    <x v="4"/>
    <s v="C18"/>
    <x v="8"/>
    <n v="100"/>
    <n v="100"/>
    <n v="100"/>
    <n v="119.62"/>
  </r>
  <r>
    <x v="0"/>
    <x v="0"/>
    <n v="1.1399999999999999"/>
    <s v="Millones de dólares"/>
    <s v="BADECON"/>
    <x v="4"/>
    <s v="C19"/>
    <x v="9"/>
    <n v="99.999999999999005"/>
    <n v="99.999999999999005"/>
    <n v="99.999999999999005"/>
    <n v="1.140000000000011"/>
  </r>
  <r>
    <x v="0"/>
    <x v="1"/>
    <n v="670.44"/>
    <s v="Millones de dólares"/>
    <s v="BADECON"/>
    <x v="4"/>
    <s v="C19"/>
    <x v="9"/>
    <n v="100"/>
    <n v="100"/>
    <n v="100"/>
    <n v="670.44"/>
  </r>
  <r>
    <x v="0"/>
    <x v="0"/>
    <n v="2188.2600000000002"/>
    <s v="Millones de dólares"/>
    <s v="BADECON"/>
    <x v="4"/>
    <s v="C20"/>
    <x v="10"/>
    <n v="99.999999999999005"/>
    <n v="99.999999999999005"/>
    <n v="99.999999999999005"/>
    <n v="2188.260000000022"/>
  </r>
  <r>
    <x v="0"/>
    <x v="1"/>
    <n v="2208.13"/>
    <s v="Millones de dólares"/>
    <s v="BADECON"/>
    <x v="4"/>
    <s v="C20"/>
    <x v="10"/>
    <n v="100"/>
    <n v="100"/>
    <n v="100"/>
    <n v="2208.13"/>
  </r>
  <r>
    <x v="0"/>
    <x v="0"/>
    <n v="265.83"/>
    <s v="Millones de dólares"/>
    <s v="BADECON"/>
    <x v="4"/>
    <s v="C21"/>
    <x v="11"/>
    <n v="99.999999999999005"/>
    <n v="99.999999999999005"/>
    <n v="99.999999999999005"/>
    <n v="265.83000000000271"/>
  </r>
  <r>
    <x v="0"/>
    <x v="1"/>
    <n v="708.4"/>
    <s v="Millones de dólares"/>
    <s v="BADECON"/>
    <x v="4"/>
    <s v="C21"/>
    <x v="11"/>
    <n v="100"/>
    <n v="100"/>
    <n v="100"/>
    <n v="708.4"/>
  </r>
  <r>
    <x v="0"/>
    <x v="0"/>
    <n v="420.66"/>
    <s v="Millones de dólares"/>
    <s v="BADECON"/>
    <x v="4"/>
    <s v="C22"/>
    <x v="12"/>
    <n v="99.999999999999005"/>
    <n v="99.999999999999005"/>
    <n v="99.999999999999005"/>
    <n v="420.66000000000417"/>
  </r>
  <r>
    <x v="0"/>
    <x v="1"/>
    <n v="1773.62"/>
    <s v="Millones de dólares"/>
    <s v="BADECON"/>
    <x v="4"/>
    <s v="C22"/>
    <x v="12"/>
    <n v="100"/>
    <n v="100"/>
    <n v="100"/>
    <n v="1773.62"/>
  </r>
  <r>
    <x v="0"/>
    <x v="0"/>
    <n v="358.05"/>
    <s v="Millones de dólares"/>
    <s v="BADECON"/>
    <x v="4"/>
    <s v="C23"/>
    <x v="13"/>
    <n v="99.999999999999005"/>
    <n v="99.999999999999005"/>
    <n v="99.999999999999005"/>
    <n v="358.05000000000359"/>
  </r>
  <r>
    <x v="0"/>
    <x v="1"/>
    <n v="1612.87"/>
    <s v="Millones de dólares"/>
    <s v="BADECON"/>
    <x v="4"/>
    <s v="C23"/>
    <x v="13"/>
    <n v="100"/>
    <n v="100"/>
    <n v="100"/>
    <n v="1612.87"/>
  </r>
  <r>
    <x v="0"/>
    <x v="0"/>
    <n v="146.72999999999999"/>
    <s v="Millones de dólares"/>
    <s v="BADECON"/>
    <x v="4"/>
    <s v="C24"/>
    <x v="14"/>
    <n v="99.999999999999005"/>
    <n v="99.999999999999005"/>
    <n v="99.999999999999005"/>
    <n v="146.73000000000141"/>
  </r>
  <r>
    <x v="0"/>
    <x v="1"/>
    <n v="1302.51"/>
    <s v="Millones de dólares"/>
    <s v="BADECON"/>
    <x v="4"/>
    <s v="C24"/>
    <x v="14"/>
    <n v="100"/>
    <n v="100"/>
    <n v="100"/>
    <n v="1302.51"/>
  </r>
  <r>
    <x v="0"/>
    <x v="0"/>
    <n v="1006.27"/>
    <s v="Millones de dólares"/>
    <s v="BADECON"/>
    <x v="4"/>
    <s v="C25"/>
    <x v="15"/>
    <n v="100"/>
    <n v="99.999999999999005"/>
    <n v="100"/>
    <n v="1006.27"/>
  </r>
  <r>
    <x v="0"/>
    <x v="1"/>
    <n v="1727.79"/>
    <s v="Millones de dólares"/>
    <s v="BADECON"/>
    <x v="4"/>
    <s v="C25"/>
    <x v="15"/>
    <n v="100"/>
    <n v="100"/>
    <n v="100"/>
    <n v="1727.79"/>
  </r>
  <r>
    <x v="0"/>
    <x v="0"/>
    <n v="55.69"/>
    <s v="Millones de dólares"/>
    <s v="BADECON"/>
    <x v="4"/>
    <s v="C26"/>
    <x v="16"/>
    <n v="100"/>
    <n v="99.999999999999005"/>
    <n v="100"/>
    <n v="55.69"/>
  </r>
  <r>
    <x v="0"/>
    <x v="1"/>
    <n v="3193.1"/>
    <s v="Millones de dólares"/>
    <s v="BADECON"/>
    <x v="4"/>
    <s v="C26"/>
    <x v="16"/>
    <n v="100"/>
    <n v="100"/>
    <n v="100"/>
    <n v="3193.1"/>
  </r>
  <r>
    <x v="0"/>
    <x v="0"/>
    <n v="178.64"/>
    <s v="Millones de dólares"/>
    <s v="BADECON"/>
    <x v="4"/>
    <s v="C27"/>
    <x v="17"/>
    <n v="100"/>
    <n v="99.999999999999005"/>
    <n v="100"/>
    <n v="178.64"/>
  </r>
  <r>
    <x v="0"/>
    <x v="1"/>
    <n v="4264.76"/>
    <s v="Millones de dólares"/>
    <s v="BADECON"/>
    <x v="4"/>
    <s v="C27"/>
    <x v="17"/>
    <n v="100"/>
    <n v="100"/>
    <n v="100"/>
    <n v="4264.76"/>
  </r>
  <r>
    <x v="0"/>
    <x v="0"/>
    <n v="299.83"/>
    <s v="Millones de dólares"/>
    <s v="BADECON"/>
    <x v="4"/>
    <s v="C28"/>
    <x v="18"/>
    <n v="100"/>
    <n v="99.999999999999005"/>
    <n v="100"/>
    <n v="299.83"/>
  </r>
  <r>
    <x v="0"/>
    <x v="1"/>
    <n v="3742.68"/>
    <s v="Millones de dólares"/>
    <s v="BADECON"/>
    <x v="4"/>
    <s v="C28"/>
    <x v="18"/>
    <n v="100"/>
    <n v="100"/>
    <n v="100"/>
    <n v="3742.68"/>
  </r>
  <r>
    <x v="0"/>
    <x v="0"/>
    <n v="7"/>
    <s v="Millones de dólares"/>
    <s v="BADECON"/>
    <x v="4"/>
    <s v="C29"/>
    <x v="19"/>
    <n v="100"/>
    <n v="99.999999999999005"/>
    <n v="100"/>
    <n v="7.0000000000000009"/>
  </r>
  <r>
    <x v="0"/>
    <x v="1"/>
    <n v="6"/>
    <s v="Millones de dólares"/>
    <s v="BADECON"/>
    <x v="4"/>
    <s v="C29"/>
    <x v="19"/>
    <n v="100"/>
    <n v="100"/>
    <n v="100"/>
    <n v="6"/>
  </r>
  <r>
    <x v="0"/>
    <x v="0"/>
    <n v="12.22"/>
    <s v="Millones de dólares"/>
    <s v="BADECON"/>
    <x v="4"/>
    <s v="C30"/>
    <x v="20"/>
    <n v="100"/>
    <n v="99.999999999999005"/>
    <n v="100"/>
    <n v="12.22"/>
  </r>
  <r>
    <x v="0"/>
    <x v="1"/>
    <n v="129.53"/>
    <s v="Millones de dólares"/>
    <s v="BADECON"/>
    <x v="4"/>
    <s v="C30"/>
    <x v="20"/>
    <n v="100"/>
    <n v="100"/>
    <n v="100"/>
    <n v="129.53"/>
  </r>
  <r>
    <x v="0"/>
    <x v="0"/>
    <n v="152.96"/>
    <s v="Millones de dólares"/>
    <s v="BADECON"/>
    <x v="4"/>
    <s v="C31"/>
    <x v="21"/>
    <n v="100"/>
    <n v="99.999999999999005"/>
    <n v="100"/>
    <n v="152.96"/>
  </r>
  <r>
    <x v="0"/>
    <x v="1"/>
    <n v="180"/>
    <s v="Millones de dólares"/>
    <s v="BADECON"/>
    <x v="4"/>
    <s v="C31"/>
    <x v="21"/>
    <n v="100"/>
    <n v="100"/>
    <n v="100"/>
    <n v="180"/>
  </r>
  <r>
    <x v="0"/>
    <x v="0"/>
    <n v="17.07"/>
    <s v="Millones de dólares"/>
    <s v="BADECON"/>
    <x v="4"/>
    <s v="C32"/>
    <x v="22"/>
    <m/>
    <n v="99.999999999999005"/>
    <n v="99.999999999999005"/>
    <n v="17.070000000000171"/>
  </r>
  <r>
    <x v="0"/>
    <x v="1"/>
    <n v="113.97"/>
    <s v="Millones de dólares"/>
    <s v="BADECON"/>
    <x v="4"/>
    <s v="C32"/>
    <x v="22"/>
    <n v="100"/>
    <n v="100"/>
    <n v="100"/>
    <n v="113.97"/>
  </r>
  <r>
    <x v="0"/>
    <x v="0"/>
    <n v="483.94"/>
    <s v="Millones de dólares"/>
    <s v="BADECON"/>
    <x v="4"/>
    <s v="C33"/>
    <x v="23"/>
    <n v="100"/>
    <n v="99.999999999999005"/>
    <n v="100"/>
    <n v="483.94000000000011"/>
  </r>
  <r>
    <x v="0"/>
    <x v="0"/>
    <n v="6.02"/>
    <s v="Millones de dólares"/>
    <s v="BADECON"/>
    <x v="4"/>
    <s v="CXX"/>
    <x v="0"/>
    <m/>
    <n v="99.999999999999005"/>
    <n v="99.999999999999005"/>
    <n v="6.0200000000000591"/>
  </r>
  <r>
    <x v="1"/>
    <x v="0"/>
    <n v="1855.75"/>
    <s v="Millones de dólares"/>
    <s v="BADECON"/>
    <x v="4"/>
    <s v="C10"/>
    <x v="1"/>
    <n v="98.723825004638996"/>
    <n v="95.003435419368998"/>
    <n v="98.723825004638996"/>
    <n v="1879.738755981951"/>
  </r>
  <r>
    <x v="1"/>
    <x v="1"/>
    <n v="3321.28"/>
    <s v="Millones de dólares"/>
    <s v="BADECON"/>
    <x v="4"/>
    <s v="C10"/>
    <x v="1"/>
    <n v="96.7"/>
    <n v="94.3"/>
    <n v="96.7"/>
    <n v="3434.6225439503619"/>
  </r>
  <r>
    <x v="1"/>
    <x v="0"/>
    <n v="278.14"/>
    <s v="Millones de dólares"/>
    <s v="BADECON"/>
    <x v="4"/>
    <s v="C11"/>
    <x v="2"/>
    <n v="90.846967636214998"/>
    <n v="95.003435419368998"/>
    <n v="90.846967636214998"/>
    <n v="306.16321847282319"/>
  </r>
  <r>
    <x v="1"/>
    <x v="1"/>
    <n v="818.51"/>
    <s v="Millones de dólares"/>
    <s v="BADECON"/>
    <x v="4"/>
    <s v="C11"/>
    <x v="2"/>
    <n v="96.4"/>
    <n v="94.3"/>
    <n v="96.4"/>
    <n v="849.07676348547716"/>
  </r>
  <r>
    <x v="1"/>
    <x v="1"/>
    <n v="20.84"/>
    <s v="Millones de dólares"/>
    <s v="BADECON"/>
    <x v="4"/>
    <s v="C12"/>
    <x v="24"/>
    <n v="96.4"/>
    <n v="94.3"/>
    <n v="96.4"/>
    <n v="21.61825726141079"/>
  </r>
  <r>
    <x v="1"/>
    <x v="0"/>
    <n v="63.12"/>
    <s v="Millones de dólares"/>
    <s v="BADECON"/>
    <x v="4"/>
    <s v="C13"/>
    <x v="3"/>
    <n v="111.61986215915999"/>
    <n v="95.003435419368998"/>
    <n v="111.61986215915999"/>
    <n v="56.549075387672929"/>
  </r>
  <r>
    <x v="1"/>
    <x v="1"/>
    <n v="1768.42"/>
    <s v="Millones de dólares"/>
    <s v="BADECON"/>
    <x v="4"/>
    <s v="C13"/>
    <x v="3"/>
    <n v="97.5"/>
    <n v="94.3"/>
    <n v="97.5"/>
    <n v="1813.764102564103"/>
  </r>
  <r>
    <x v="1"/>
    <x v="0"/>
    <n v="79.89"/>
    <s v="Millones de dólares"/>
    <s v="BADECON"/>
    <x v="4"/>
    <s v="C14"/>
    <x v="4"/>
    <n v="111.61986215915999"/>
    <n v="95.003435419368998"/>
    <n v="111.61986215915999"/>
    <n v="71.573283154644969"/>
  </r>
  <r>
    <x v="1"/>
    <x v="1"/>
    <n v="714.15"/>
    <s v="Millones de dólares"/>
    <s v="BADECON"/>
    <x v="4"/>
    <s v="C14"/>
    <x v="4"/>
    <n v="96.6"/>
    <n v="94.3"/>
    <n v="96.6"/>
    <n v="739.28571428571433"/>
  </r>
  <r>
    <x v="1"/>
    <x v="0"/>
    <n v="78.84"/>
    <s v="Millones de dólares"/>
    <s v="BADECON"/>
    <x v="4"/>
    <s v="C15"/>
    <x v="5"/>
    <n v="111.61986215915999"/>
    <n v="95.003435419368998"/>
    <n v="111.61986215915999"/>
    <n v="70.632590360648521"/>
  </r>
  <r>
    <x v="1"/>
    <x v="1"/>
    <n v="387.8"/>
    <s v="Millones de dólares"/>
    <s v="BADECON"/>
    <x v="4"/>
    <s v="C15"/>
    <x v="5"/>
    <n v="97.8"/>
    <n v="94.3"/>
    <n v="97.8"/>
    <n v="396.5235173824131"/>
  </r>
  <r>
    <x v="1"/>
    <x v="0"/>
    <n v="399.62"/>
    <s v="Millones de dólares"/>
    <s v="BADECON"/>
    <x v="4"/>
    <s v="C16"/>
    <x v="6"/>
    <n v="102.38170475517001"/>
    <n v="95.003435419368998"/>
    <n v="102.38170475517001"/>
    <n v="390.32364322866988"/>
  </r>
  <r>
    <x v="1"/>
    <x v="1"/>
    <n v="172.21"/>
    <s v="Millones de dólares"/>
    <s v="BADECON"/>
    <x v="4"/>
    <s v="C16"/>
    <x v="6"/>
    <n v="98.6"/>
    <n v="94.3"/>
    <n v="98.6"/>
    <n v="174.65517241379311"/>
  </r>
  <r>
    <x v="1"/>
    <x v="0"/>
    <n v="411.6"/>
    <s v="Millones de dólares"/>
    <s v="BADECON"/>
    <x v="4"/>
    <s v="C17"/>
    <x v="7"/>
    <n v="76.712843517501994"/>
    <n v="95.003435419368998"/>
    <n v="76.712843517501994"/>
    <n v="536.54639969915036"/>
  </r>
  <r>
    <x v="1"/>
    <x v="1"/>
    <n v="661.18"/>
    <s v="Millones de dólares"/>
    <s v="BADECON"/>
    <x v="4"/>
    <s v="C17"/>
    <x v="7"/>
    <n v="93.7"/>
    <n v="94.3"/>
    <n v="93.7"/>
    <n v="705.63500533617923"/>
  </r>
  <r>
    <x v="1"/>
    <x v="0"/>
    <n v="171.28"/>
    <s v="Millones de dólares"/>
    <s v="BADECON"/>
    <x v="4"/>
    <s v="C18"/>
    <x v="8"/>
    <n v="76.712843517501994"/>
    <n v="95.003435419368998"/>
    <n v="76.712843517501994"/>
    <n v="223.27421608471931"/>
  </r>
  <r>
    <x v="1"/>
    <x v="1"/>
    <n v="121.11"/>
    <s v="Millones de dólares"/>
    <s v="BADECON"/>
    <x v="4"/>
    <s v="C18"/>
    <x v="8"/>
    <n v="96.5"/>
    <n v="94.3"/>
    <n v="96.5"/>
    <n v="125.5025906735751"/>
  </r>
  <r>
    <x v="1"/>
    <x v="1"/>
    <n v="733.94"/>
    <s v="Millones de dólares"/>
    <s v="BADECON"/>
    <x v="4"/>
    <s v="C19"/>
    <x v="9"/>
    <n v="64.099999999999994"/>
    <n v="94.3"/>
    <n v="64.099999999999994"/>
    <n v="1144.992199687988"/>
  </r>
  <r>
    <x v="1"/>
    <x v="0"/>
    <n v="710.89"/>
    <s v="Millones de dólares"/>
    <s v="BADECON"/>
    <x v="4"/>
    <s v="C20"/>
    <x v="10"/>
    <n v="96.253026824776995"/>
    <n v="95.003435419368998"/>
    <n v="96.253026824776995"/>
    <n v="738.56378698005369"/>
  </r>
  <r>
    <x v="1"/>
    <x v="1"/>
    <n v="2188.56"/>
    <s v="Millones de dólares"/>
    <s v="BADECON"/>
    <x v="4"/>
    <s v="C20"/>
    <x v="10"/>
    <n v="96.1"/>
    <n v="94.3"/>
    <n v="96.1"/>
    <n v="2277.377731529657"/>
  </r>
  <r>
    <x v="1"/>
    <x v="0"/>
    <n v="276.82"/>
    <s v="Millones de dólares"/>
    <s v="BADECON"/>
    <x v="4"/>
    <s v="C21"/>
    <x v="11"/>
    <n v="96.253026824776995"/>
    <n v="95.003435419368998"/>
    <n v="96.253026824776995"/>
    <n v="287.59615061657712"/>
  </r>
  <r>
    <x v="1"/>
    <x v="1"/>
    <n v="671.5"/>
    <s v="Millones de dólares"/>
    <s v="BADECON"/>
    <x v="4"/>
    <s v="C21"/>
    <x v="11"/>
    <n v="96.1"/>
    <n v="94.3"/>
    <n v="96.1"/>
    <n v="698.75130072840795"/>
  </r>
  <r>
    <x v="1"/>
    <x v="0"/>
    <n v="394.49"/>
    <s v="Millones de dólares"/>
    <s v="BADECON"/>
    <x v="4"/>
    <s v="C22"/>
    <x v="12"/>
    <n v="96.253026824776995"/>
    <n v="95.003435419368998"/>
    <n v="96.253026824776995"/>
    <n v="409.84685158851778"/>
  </r>
  <r>
    <x v="1"/>
    <x v="1"/>
    <n v="1602.86"/>
    <s v="Millones de dólares"/>
    <s v="BADECON"/>
    <x v="4"/>
    <s v="C22"/>
    <x v="12"/>
    <n v="95.4"/>
    <n v="94.3"/>
    <n v="95.4"/>
    <n v="1680.1467505241089"/>
  </r>
  <r>
    <x v="1"/>
    <x v="0"/>
    <n v="298.91000000000003"/>
    <s v="Millones de dólares"/>
    <s v="BADECON"/>
    <x v="4"/>
    <s v="C23"/>
    <x v="13"/>
    <n v="89.385379074143003"/>
    <n v="95.003435419368998"/>
    <n v="89.385379074143003"/>
    <n v="334.4059208520685"/>
  </r>
  <r>
    <x v="1"/>
    <x v="1"/>
    <n v="1491.5"/>
    <s v="Millones de dólares"/>
    <s v="BADECON"/>
    <x v="4"/>
    <s v="C23"/>
    <x v="13"/>
    <n v="95.9"/>
    <n v="94.3"/>
    <n v="95.9"/>
    <n v="1555.2659019812299"/>
  </r>
  <r>
    <x v="1"/>
    <x v="0"/>
    <n v="252.99"/>
    <s v="Millones de dólares"/>
    <s v="BADECON"/>
    <x v="4"/>
    <s v="C24"/>
    <x v="14"/>
    <n v="89.385379074143003"/>
    <n v="95.003435419368998"/>
    <n v="89.385379074143003"/>
    <n v="283.03286580029038"/>
  </r>
  <r>
    <x v="1"/>
    <x v="1"/>
    <n v="1219.1300000000001"/>
    <s v="Millones de dólares"/>
    <s v="BADECON"/>
    <x v="4"/>
    <s v="C24"/>
    <x v="14"/>
    <n v="89.3"/>
    <n v="94.3"/>
    <n v="89.3"/>
    <n v="1365.207166853304"/>
  </r>
  <r>
    <x v="1"/>
    <x v="0"/>
    <n v="384.97"/>
    <s v="Millones de dólares"/>
    <s v="BADECON"/>
    <x v="4"/>
    <s v="C25"/>
    <x v="15"/>
    <n v="98.189528995325006"/>
    <n v="95.003435419368998"/>
    <n v="98.189528995325006"/>
    <n v="392.0682825745393"/>
  </r>
  <r>
    <x v="1"/>
    <x v="1"/>
    <n v="1621.38"/>
    <s v="Millones de dólares"/>
    <s v="BADECON"/>
    <x v="4"/>
    <s v="C25"/>
    <x v="15"/>
    <n v="90.2"/>
    <n v="94.3"/>
    <n v="90.2"/>
    <n v="1797.5388026607541"/>
  </r>
  <r>
    <x v="1"/>
    <x v="0"/>
    <n v="19.43"/>
    <s v="Millones de dólares"/>
    <s v="BADECON"/>
    <x v="4"/>
    <s v="C26"/>
    <x v="16"/>
    <n v="98.189528995325006"/>
    <n v="95.003435419368998"/>
    <n v="98.189528995325006"/>
    <n v="19.788260722714231"/>
  </r>
  <r>
    <x v="1"/>
    <x v="1"/>
    <n v="2876.37"/>
    <s v="Millones de dólares"/>
    <s v="BADECON"/>
    <x v="4"/>
    <s v="C26"/>
    <x v="16"/>
    <n v="95.5"/>
    <n v="94.3"/>
    <n v="95.5"/>
    <n v="3011.9057591623041"/>
  </r>
  <r>
    <x v="1"/>
    <x v="0"/>
    <n v="149.66"/>
    <s v="Millones de dólares"/>
    <s v="BADECON"/>
    <x v="4"/>
    <s v="C27"/>
    <x v="17"/>
    <n v="98.189528995325006"/>
    <n v="95.003435419368998"/>
    <n v="98.189528995325006"/>
    <n v="152.41951105308351"/>
  </r>
  <r>
    <x v="1"/>
    <x v="1"/>
    <n v="3789.89"/>
    <s v="Millones de dólares"/>
    <s v="BADECON"/>
    <x v="4"/>
    <s v="C27"/>
    <x v="17"/>
    <n v="94.3"/>
    <n v="94.3"/>
    <n v="94.3"/>
    <n v="4018.97136797455"/>
  </r>
  <r>
    <x v="1"/>
    <x v="0"/>
    <n v="203.87"/>
    <s v="Millones de dólares"/>
    <s v="BADECON"/>
    <x v="4"/>
    <s v="C28"/>
    <x v="18"/>
    <n v="98.189528995325006"/>
    <n v="95.003435419368998"/>
    <n v="98.189528995325006"/>
    <n v="207.6290640010165"/>
  </r>
  <r>
    <x v="1"/>
    <x v="1"/>
    <n v="3451.56"/>
    <s v="Millones de dólares"/>
    <s v="BADECON"/>
    <x v="4"/>
    <s v="C28"/>
    <x v="18"/>
    <n v="96.3"/>
    <n v="94.3"/>
    <n v="96.3"/>
    <n v="3584.1744548286611"/>
  </r>
  <r>
    <x v="1"/>
    <x v="0"/>
    <n v="6"/>
    <s v="Millones de dólares"/>
    <s v="BADECON"/>
    <x v="4"/>
    <s v="C29"/>
    <x v="19"/>
    <n v="98.189528995325006"/>
    <n v="95.003435419368998"/>
    <n v="98.189528995325006"/>
    <n v="6.1106312061907042"/>
  </r>
  <r>
    <x v="1"/>
    <x v="1"/>
    <n v="6"/>
    <s v="Millones de dólares"/>
    <s v="BADECON"/>
    <x v="4"/>
    <s v="C29"/>
    <x v="19"/>
    <n v="97"/>
    <n v="94.3"/>
    <n v="97"/>
    <n v="6.1855670103092786"/>
  </r>
  <r>
    <x v="1"/>
    <x v="0"/>
    <n v="11.58"/>
    <s v="Millones de dólares"/>
    <s v="BADECON"/>
    <x v="4"/>
    <s v="C30"/>
    <x v="20"/>
    <n v="98.189528995325006"/>
    <n v="95.003435419368998"/>
    <n v="98.189528995325006"/>
    <n v="11.793518227948059"/>
  </r>
  <r>
    <x v="1"/>
    <x v="1"/>
    <n v="107.25"/>
    <s v="Millones de dólares"/>
    <s v="BADECON"/>
    <x v="4"/>
    <s v="C30"/>
    <x v="20"/>
    <n v="97"/>
    <n v="94.3"/>
    <n v="97"/>
    <n v="110.5670103092784"/>
  </r>
  <r>
    <x v="1"/>
    <x v="0"/>
    <n v="127.65"/>
    <s v="Millones de dólares"/>
    <s v="BADECON"/>
    <x v="4"/>
    <s v="C31"/>
    <x v="21"/>
    <n v="102.38170475517001"/>
    <n v="95.003435419368998"/>
    <n v="102.38170475517001"/>
    <n v="124.68047910049479"/>
  </r>
  <r>
    <x v="1"/>
    <x v="1"/>
    <n v="171.55"/>
    <s v="Millones de dólares"/>
    <s v="BADECON"/>
    <x v="4"/>
    <s v="C31"/>
    <x v="21"/>
    <n v="96.7"/>
    <n v="94.3"/>
    <n v="96.7"/>
    <n v="177.4043433298863"/>
  </r>
  <r>
    <x v="1"/>
    <x v="0"/>
    <n v="15.76"/>
    <s v="Millones de dólares"/>
    <s v="BADECON"/>
    <x v="4"/>
    <s v="C32"/>
    <x v="22"/>
    <m/>
    <n v="95.003435419368998"/>
    <n v="95.003435419368998"/>
    <n v="16.58887379222805"/>
  </r>
  <r>
    <x v="1"/>
    <x v="1"/>
    <n v="103.33"/>
    <s v="Millones de dólares"/>
    <s v="BADECON"/>
    <x v="4"/>
    <s v="C32"/>
    <x v="22"/>
    <n v="95.9"/>
    <n v="94.3"/>
    <n v="95.9"/>
    <n v="107.74765380604801"/>
  </r>
  <r>
    <x v="1"/>
    <x v="0"/>
    <n v="467.74"/>
    <s v="Millones de dólares"/>
    <s v="BADECON"/>
    <x v="4"/>
    <s v="C33"/>
    <x v="23"/>
    <n v="98.189528995325006"/>
    <n v="95.003435419368998"/>
    <n v="98.189528995325006"/>
    <n v="476.36444006393998"/>
  </r>
  <r>
    <x v="1"/>
    <x v="0"/>
    <n v="302.18"/>
    <s v="Millones de dólares"/>
    <s v="BADECON"/>
    <x v="4"/>
    <s v="CXX"/>
    <x v="0"/>
    <m/>
    <n v="95.003435419368998"/>
    <n v="95.003435419368998"/>
    <n v="318.07270828270748"/>
  </r>
  <r>
    <x v="2"/>
    <x v="0"/>
    <n v="1842.43"/>
    <s v="Millones de dólares"/>
    <s v="BADECON"/>
    <x v="4"/>
    <s v="C10"/>
    <x v="1"/>
    <n v="96.618124512281994"/>
    <n v="95.629262636448004"/>
    <n v="96.618124512281994"/>
    <n v="1906.919648151307"/>
  </r>
  <r>
    <x v="2"/>
    <x v="1"/>
    <n v="3182.83"/>
    <s v="Millones de dólares"/>
    <s v="BADECON"/>
    <x v="4"/>
    <s v="C10"/>
    <x v="1"/>
    <n v="92.1"/>
    <n v="87.8"/>
    <n v="92.1"/>
    <n v="3455.8414766558089"/>
  </r>
  <r>
    <x v="2"/>
    <x v="0"/>
    <n v="299.16000000000003"/>
    <s v="Millones de dólares"/>
    <s v="BADECON"/>
    <x v="4"/>
    <s v="C11"/>
    <x v="2"/>
    <n v="96.059679698527006"/>
    <n v="95.629262636448004"/>
    <n v="96.059679698527006"/>
    <n v="311.43139446111172"/>
  </r>
  <r>
    <x v="2"/>
    <x v="1"/>
    <n v="779.35"/>
    <s v="Millones de dólares"/>
    <s v="BADECON"/>
    <x v="4"/>
    <s v="C11"/>
    <x v="2"/>
    <n v="89.6"/>
    <n v="87.8"/>
    <n v="89.6"/>
    <n v="869.81026785714289"/>
  </r>
  <r>
    <x v="2"/>
    <x v="1"/>
    <n v="19.420000000000002"/>
    <s v="Millones de dólares"/>
    <s v="BADECON"/>
    <x v="4"/>
    <s v="C12"/>
    <x v="24"/>
    <n v="89.6"/>
    <n v="87.8"/>
    <n v="89.6"/>
    <n v="21.674107142857149"/>
  </r>
  <r>
    <x v="2"/>
    <x v="0"/>
    <n v="65.010000000000005"/>
    <s v="Millones de dólares"/>
    <s v="BADECON"/>
    <x v="4"/>
    <s v="C13"/>
    <x v="3"/>
    <n v="117.9376128321"/>
    <n v="95.629262636448004"/>
    <n v="117.9376128321"/>
    <n v="55.122363798011122"/>
  </r>
  <r>
    <x v="2"/>
    <x v="1"/>
    <n v="1629.44"/>
    <s v="Millones de dólares"/>
    <s v="BADECON"/>
    <x v="4"/>
    <s v="C13"/>
    <x v="3"/>
    <n v="88.8"/>
    <n v="87.8"/>
    <n v="88.8"/>
    <n v="1834.9549549549549"/>
  </r>
  <r>
    <x v="2"/>
    <x v="0"/>
    <n v="90.28"/>
    <s v="Millones de dólares"/>
    <s v="BADECON"/>
    <x v="4"/>
    <s v="C14"/>
    <x v="4"/>
    <n v="117.9376128321"/>
    <n v="95.629262636448004"/>
    <n v="117.9376128321"/>
    <n v="76.548946372626418"/>
  </r>
  <r>
    <x v="2"/>
    <x v="1"/>
    <n v="695.63"/>
    <s v="Millones de dólares"/>
    <s v="BADECON"/>
    <x v="4"/>
    <s v="C14"/>
    <x v="4"/>
    <n v="95.2"/>
    <n v="87.8"/>
    <n v="95.2"/>
    <n v="730.70378151260502"/>
  </r>
  <r>
    <x v="2"/>
    <x v="0"/>
    <n v="67.650000000000006"/>
    <s v="Millones de dólares"/>
    <s v="BADECON"/>
    <x v="4"/>
    <s v="C15"/>
    <x v="5"/>
    <n v="117.9376128321"/>
    <n v="95.629262636448004"/>
    <n v="117.9376128321"/>
    <n v="57.360835424326297"/>
  </r>
  <r>
    <x v="2"/>
    <x v="1"/>
    <n v="383.65"/>
    <s v="Millones de dólares"/>
    <s v="BADECON"/>
    <x v="4"/>
    <s v="C15"/>
    <x v="5"/>
    <n v="93.8"/>
    <n v="87.8"/>
    <n v="93.8"/>
    <n v="409.00852878464821"/>
  </r>
  <r>
    <x v="2"/>
    <x v="0"/>
    <n v="363.92"/>
    <s v="Millones de dólares"/>
    <s v="BADECON"/>
    <x v="4"/>
    <s v="C16"/>
    <x v="6"/>
    <n v="106.15763962638999"/>
    <n v="95.629262636448004"/>
    <n v="106.15763962638999"/>
    <n v="342.810937847503"/>
  </r>
  <r>
    <x v="2"/>
    <x v="1"/>
    <n v="157.38"/>
    <s v="Millones de dólares"/>
    <s v="BADECON"/>
    <x v="4"/>
    <s v="C16"/>
    <x v="6"/>
    <n v="91.8"/>
    <n v="87.8"/>
    <n v="91.8"/>
    <n v="171.43790849673201"/>
  </r>
  <r>
    <x v="2"/>
    <x v="0"/>
    <n v="358.46"/>
    <s v="Millones de dólares"/>
    <s v="BADECON"/>
    <x v="4"/>
    <s v="C17"/>
    <x v="7"/>
    <n v="66.424574274145002"/>
    <n v="95.629262636448004"/>
    <n v="66.424574274145002"/>
    <n v="539.64967621858943"/>
  </r>
  <r>
    <x v="2"/>
    <x v="1"/>
    <n v="623.30999999999995"/>
    <s v="Millones de dólares"/>
    <s v="BADECON"/>
    <x v="4"/>
    <s v="C17"/>
    <x v="7"/>
    <n v="87.6"/>
    <n v="87.8"/>
    <n v="87.6"/>
    <n v="711.54109589041093"/>
  </r>
  <r>
    <x v="2"/>
    <x v="0"/>
    <n v="142.04"/>
    <s v="Millones de dólares"/>
    <s v="BADECON"/>
    <x v="4"/>
    <s v="C18"/>
    <x v="8"/>
    <n v="66.424574274145002"/>
    <n v="95.629262636448004"/>
    <n v="66.424574274145002"/>
    <n v="213.83652293167569"/>
  </r>
  <r>
    <x v="2"/>
    <x v="1"/>
    <n v="122.35"/>
    <s v="Millones de dólares"/>
    <s v="BADECON"/>
    <x v="4"/>
    <s v="C18"/>
    <x v="8"/>
    <n v="93.1"/>
    <n v="87.8"/>
    <n v="93.1"/>
    <n v="131.41783029001081"/>
  </r>
  <r>
    <x v="2"/>
    <x v="1"/>
    <n v="772.73"/>
    <s v="Millones de dólares"/>
    <s v="BADECON"/>
    <x v="4"/>
    <s v="C19"/>
    <x v="9"/>
    <n v="17.7"/>
    <n v="87.8"/>
    <n v="17.7"/>
    <n v="4365.7062146892658"/>
  </r>
  <r>
    <x v="2"/>
    <x v="0"/>
    <n v="718.38"/>
    <s v="Millones de dólares"/>
    <s v="BADECON"/>
    <x v="4"/>
    <s v="C20"/>
    <x v="10"/>
    <n v="101.63829571143999"/>
    <n v="95.629262636448004"/>
    <n v="101.63829571143999"/>
    <n v="706.80051743443596"/>
  </r>
  <r>
    <x v="2"/>
    <x v="1"/>
    <n v="2096.59"/>
    <s v="Millones de dólares"/>
    <s v="BADECON"/>
    <x v="4"/>
    <s v="C20"/>
    <x v="10"/>
    <n v="103.7"/>
    <n v="87.8"/>
    <n v="103.7"/>
    <n v="2021.7839922854389"/>
  </r>
  <r>
    <x v="2"/>
    <x v="0"/>
    <n v="234.95"/>
    <s v="Millones de dólares"/>
    <s v="BADECON"/>
    <x v="4"/>
    <s v="C21"/>
    <x v="11"/>
    <n v="101.63829571143999"/>
    <n v="95.629262636448004"/>
    <n v="101.63829571143999"/>
    <n v="231.1628686366835"/>
  </r>
  <r>
    <x v="2"/>
    <x v="1"/>
    <n v="608.03"/>
    <s v="Millones de dólares"/>
    <s v="BADECON"/>
    <x v="4"/>
    <s v="C21"/>
    <x v="11"/>
    <n v="103.7"/>
    <n v="87.8"/>
    <n v="103.7"/>
    <n v="586.33558341369337"/>
  </r>
  <r>
    <x v="2"/>
    <x v="0"/>
    <n v="398.72"/>
    <s v="Millones de dólares"/>
    <s v="BADECON"/>
    <x v="4"/>
    <s v="C22"/>
    <x v="12"/>
    <n v="101.63829571143999"/>
    <n v="95.629262636448004"/>
    <n v="101.63829571143999"/>
    <n v="392.29307930546281"/>
  </r>
  <r>
    <x v="2"/>
    <x v="1"/>
    <n v="1441.69"/>
    <s v="Millones de dólares"/>
    <s v="BADECON"/>
    <x v="4"/>
    <s v="C22"/>
    <x v="12"/>
    <n v="89.1"/>
    <n v="87.8"/>
    <n v="89.1"/>
    <n v="1618.0583613916949"/>
  </r>
  <r>
    <x v="2"/>
    <x v="0"/>
    <n v="269.99"/>
    <s v="Millones de dólares"/>
    <s v="BADECON"/>
    <x v="4"/>
    <s v="C23"/>
    <x v="13"/>
    <n v="89.680336785110001"/>
    <n v="95.629262636448004"/>
    <n v="89.680336785110001"/>
    <n v="301.05819143715303"/>
  </r>
  <r>
    <x v="2"/>
    <x v="1"/>
    <n v="1367.01"/>
    <s v="Millones de dólares"/>
    <s v="BADECON"/>
    <x v="4"/>
    <s v="C23"/>
    <x v="13"/>
    <n v="87.6"/>
    <n v="87.8"/>
    <n v="87.6"/>
    <n v="1560.513698630137"/>
  </r>
  <r>
    <x v="2"/>
    <x v="0"/>
    <n v="127.25"/>
    <s v="Millones de dólares"/>
    <s v="BADECON"/>
    <x v="4"/>
    <s v="C24"/>
    <x v="14"/>
    <n v="89.680336785110001"/>
    <n v="95.629262636448004"/>
    <n v="89.680336785110001"/>
    <n v="141.89286588532059"/>
  </r>
  <r>
    <x v="2"/>
    <x v="1"/>
    <n v="1149.72"/>
    <s v="Millones de dólares"/>
    <s v="BADECON"/>
    <x v="4"/>
    <s v="C24"/>
    <x v="14"/>
    <n v="80.900000000000006"/>
    <n v="87.8"/>
    <n v="80.900000000000006"/>
    <n v="1421.1619283065511"/>
  </r>
  <r>
    <x v="2"/>
    <x v="0"/>
    <n v="394.1"/>
    <s v="Millones de dólares"/>
    <s v="BADECON"/>
    <x v="4"/>
    <s v="C25"/>
    <x v="15"/>
    <n v="101.10423088160999"/>
    <n v="95.629262636448004"/>
    <n v="101.10423088160999"/>
    <n v="389.7957548991983"/>
  </r>
  <r>
    <x v="2"/>
    <x v="1"/>
    <n v="1494.08"/>
    <s v="Millones de dólares"/>
    <s v="BADECON"/>
    <x v="4"/>
    <s v="C25"/>
    <x v="15"/>
    <n v="84.2"/>
    <n v="87.8"/>
    <n v="84.2"/>
    <n v="1774.4418052256531"/>
  </r>
  <r>
    <x v="2"/>
    <x v="0"/>
    <n v="33.85"/>
    <s v="Millones de dólares"/>
    <s v="BADECON"/>
    <x v="4"/>
    <s v="C26"/>
    <x v="16"/>
    <n v="101.10423088160999"/>
    <n v="95.629262636448004"/>
    <n v="101.10423088160999"/>
    <n v="33.480300186089472"/>
  </r>
  <r>
    <x v="2"/>
    <x v="1"/>
    <n v="2541.04"/>
    <s v="Millones de dólares"/>
    <s v="BADECON"/>
    <x v="4"/>
    <s v="C26"/>
    <x v="16"/>
    <n v="91.8"/>
    <n v="87.8"/>
    <n v="91.8"/>
    <n v="2768.0174291939002"/>
  </r>
  <r>
    <x v="2"/>
    <x v="0"/>
    <n v="154.01"/>
    <s v="Millones de dólares"/>
    <s v="BADECON"/>
    <x v="4"/>
    <s v="C27"/>
    <x v="17"/>
    <n v="101.10423088160999"/>
    <n v="95.629262636448004"/>
    <n v="101.10423088160999"/>
    <n v="152.32794775951669"/>
  </r>
  <r>
    <x v="2"/>
    <x v="1"/>
    <n v="3471.33"/>
    <s v="Millones de dólares"/>
    <s v="BADECON"/>
    <x v="4"/>
    <s v="C27"/>
    <x v="17"/>
    <n v="90.7"/>
    <n v="87.8"/>
    <n v="90.7"/>
    <n v="3827.265711135612"/>
  </r>
  <r>
    <x v="2"/>
    <x v="0"/>
    <n v="209.35"/>
    <s v="Millones de dólares"/>
    <s v="BADECON"/>
    <x v="4"/>
    <s v="C28"/>
    <x v="18"/>
    <n v="101.10423088160999"/>
    <n v="95.629262636448004"/>
    <n v="101.10423088160999"/>
    <n v="207.06354044188569"/>
  </r>
  <r>
    <x v="2"/>
    <x v="1"/>
    <n v="3140.11"/>
    <s v="Millones de dólares"/>
    <s v="BADECON"/>
    <x v="4"/>
    <s v="C28"/>
    <x v="18"/>
    <n v="91.6"/>
    <n v="87.8"/>
    <n v="91.6"/>
    <n v="3428.0676855895199"/>
  </r>
  <r>
    <x v="2"/>
    <x v="0"/>
    <n v="119"/>
    <s v="Millones de dólares"/>
    <s v="BADECON"/>
    <x v="4"/>
    <s v="C29"/>
    <x v="19"/>
    <n v="101.10423088160999"/>
    <n v="95.629262636448004"/>
    <n v="101.10423088160999"/>
    <n v="117.7003167546425"/>
  </r>
  <r>
    <x v="2"/>
    <x v="1"/>
    <n v="6"/>
    <s v="Millones de dólares"/>
    <s v="BADECON"/>
    <x v="4"/>
    <s v="C29"/>
    <x v="19"/>
    <n v="93.3"/>
    <n v="87.8"/>
    <n v="93.3"/>
    <n v="6.430868167202572"/>
  </r>
  <r>
    <x v="2"/>
    <x v="0"/>
    <n v="14.23"/>
    <s v="Millones de dólares"/>
    <s v="BADECON"/>
    <x v="4"/>
    <s v="C30"/>
    <x v="20"/>
    <n v="101.10423088160999"/>
    <n v="95.629262636448004"/>
    <n v="101.10423088160999"/>
    <n v="14.0745840959543"/>
  </r>
  <r>
    <x v="2"/>
    <x v="1"/>
    <n v="95.12"/>
    <s v="Millones de dólares"/>
    <s v="BADECON"/>
    <x v="4"/>
    <s v="C30"/>
    <x v="20"/>
    <n v="93.3"/>
    <n v="87.8"/>
    <n v="93.3"/>
    <n v="101.9506966773848"/>
  </r>
  <r>
    <x v="2"/>
    <x v="0"/>
    <n v="101.86"/>
    <s v="Millones de dólares"/>
    <s v="BADECON"/>
    <x v="4"/>
    <s v="C31"/>
    <x v="21"/>
    <n v="106.15763962638999"/>
    <n v="95.629262636448004"/>
    <n v="106.15763962638999"/>
    <n v="95.951643573166223"/>
  </r>
  <r>
    <x v="2"/>
    <x v="1"/>
    <n v="161.31"/>
    <s v="Millones de dólares"/>
    <s v="BADECON"/>
    <x v="4"/>
    <s v="C31"/>
    <x v="21"/>
    <n v="91.8"/>
    <n v="87.8"/>
    <n v="91.8"/>
    <n v="175.718954248366"/>
  </r>
  <r>
    <x v="2"/>
    <x v="0"/>
    <n v="18.63"/>
    <s v="Millones de dólares"/>
    <s v="BADECON"/>
    <x v="4"/>
    <s v="C32"/>
    <x v="22"/>
    <m/>
    <n v="95.629262636448004"/>
    <n v="95.629262636448004"/>
    <n v="19.481484523022331"/>
  </r>
  <r>
    <x v="2"/>
    <x v="1"/>
    <n v="99.74"/>
    <s v="Millones de dólares"/>
    <s v="BADECON"/>
    <x v="4"/>
    <s v="C32"/>
    <x v="22"/>
    <n v="91.1"/>
    <n v="87.8"/>
    <n v="91.1"/>
    <n v="109.48408342480791"/>
  </r>
  <r>
    <x v="2"/>
    <x v="0"/>
    <n v="389.1"/>
    <s v="Millones de dólares"/>
    <s v="BADECON"/>
    <x v="4"/>
    <s v="C33"/>
    <x v="23"/>
    <n v="101.10423088160999"/>
    <n v="95.629262636448004"/>
    <n v="101.10423088160999"/>
    <n v="384.8503634389192"/>
  </r>
  <r>
    <x v="2"/>
    <x v="0"/>
    <n v="145.69999999999999"/>
    <s v="Millones de dólares"/>
    <s v="BADECON"/>
    <x v="4"/>
    <s v="CXX"/>
    <x v="0"/>
    <m/>
    <n v="95.629262636448004"/>
    <n v="95.629262636448004"/>
    <n v="152.35922141730299"/>
  </r>
  <r>
    <x v="3"/>
    <x v="0"/>
    <n v="3213.71"/>
    <s v="Millones de dólares"/>
    <s v="BADECON"/>
    <x v="4"/>
    <s v="C10"/>
    <x v="1"/>
    <n v="92.136318280468004"/>
    <n v="96.211353938038002"/>
    <n v="92.136318280468004"/>
    <n v="3487.9948102737189"/>
  </r>
  <r>
    <x v="3"/>
    <x v="1"/>
    <n v="3478.2"/>
    <s v="Millones de dólares"/>
    <s v="BADECON"/>
    <x v="4"/>
    <s v="C10"/>
    <x v="1"/>
    <n v="87.2"/>
    <n v="81.900000000000006"/>
    <n v="87.2"/>
    <n v="3988.7614678899081"/>
  </r>
  <r>
    <x v="3"/>
    <x v="0"/>
    <n v="228"/>
    <s v="Millones de dólares"/>
    <s v="BADECON"/>
    <x v="4"/>
    <s v="C11"/>
    <x v="2"/>
    <n v="100.22588687651999"/>
    <n v="96.211353938038002"/>
    <n v="100.22588687651999"/>
    <n v="227.48613866684951"/>
  </r>
  <r>
    <x v="3"/>
    <x v="1"/>
    <n v="853.23"/>
    <s v="Millones de dólares"/>
    <s v="BADECON"/>
    <x v="4"/>
    <s v="C11"/>
    <x v="2"/>
    <n v="80"/>
    <n v="81.900000000000006"/>
    <n v="80"/>
    <n v="1066.5374999999999"/>
  </r>
  <r>
    <x v="3"/>
    <x v="1"/>
    <n v="23.57"/>
    <s v="Millones de dólares"/>
    <s v="BADECON"/>
    <x v="4"/>
    <s v="C12"/>
    <x v="24"/>
    <n v="80"/>
    <n v="81.900000000000006"/>
    <n v="80"/>
    <n v="29.462499999999999"/>
  </r>
  <r>
    <x v="3"/>
    <x v="0"/>
    <n v="71.31"/>
    <s v="Millones de dólares"/>
    <s v="BADECON"/>
    <x v="4"/>
    <s v="C13"/>
    <x v="3"/>
    <n v="107.52442116425"/>
    <n v="96.211353938038002"/>
    <n v="107.52442116425"/>
    <n v="66.319817607824831"/>
  </r>
  <r>
    <x v="3"/>
    <x v="1"/>
    <n v="1707.21"/>
    <s v="Millones de dólares"/>
    <s v="BADECON"/>
    <x v="4"/>
    <s v="C13"/>
    <x v="3"/>
    <n v="84.5"/>
    <n v="81.900000000000006"/>
    <n v="84.5"/>
    <n v="2020.366863905326"/>
  </r>
  <r>
    <x v="3"/>
    <x v="0"/>
    <n v="79.06"/>
    <s v="Millones de dólares"/>
    <s v="BADECON"/>
    <x v="4"/>
    <s v="C14"/>
    <x v="4"/>
    <n v="107.52442116425"/>
    <n v="96.211353938038002"/>
    <n v="107.52442116425"/>
    <n v="73.527482542064661"/>
  </r>
  <r>
    <x v="3"/>
    <x v="1"/>
    <n v="773.7"/>
    <s v="Millones de dólares"/>
    <s v="BADECON"/>
    <x v="4"/>
    <s v="C14"/>
    <x v="4"/>
    <n v="90.7"/>
    <n v="81.900000000000006"/>
    <n v="90.7"/>
    <n v="853.03197353913993"/>
  </r>
  <r>
    <x v="3"/>
    <x v="0"/>
    <n v="74.14"/>
    <s v="Millones de dólares"/>
    <s v="BADECON"/>
    <x v="4"/>
    <s v="C15"/>
    <x v="5"/>
    <n v="107.52442116425"/>
    <n v="96.211353938038002"/>
    <n v="107.52442116425"/>
    <n v="68.951777835424664"/>
  </r>
  <r>
    <x v="3"/>
    <x v="1"/>
    <n v="436.17"/>
    <s v="Millones de dólares"/>
    <s v="BADECON"/>
    <x v="4"/>
    <s v="C15"/>
    <x v="5"/>
    <n v="90.8"/>
    <n v="81.900000000000006"/>
    <n v="90.8"/>
    <n v="480.36343612334798"/>
  </r>
  <r>
    <x v="3"/>
    <x v="0"/>
    <n v="755.29"/>
    <s v="Millones de dólares"/>
    <s v="BADECON"/>
    <x v="4"/>
    <s v="C16"/>
    <x v="6"/>
    <n v="107.1615082093"/>
    <n v="96.211353938038002"/>
    <n v="107.1615082093"/>
    <n v="704.81464158270603"/>
  </r>
  <r>
    <x v="3"/>
    <x v="1"/>
    <n v="175.03"/>
    <s v="Millones de dólares"/>
    <s v="BADECON"/>
    <x v="4"/>
    <s v="C16"/>
    <x v="6"/>
    <n v="85.2"/>
    <n v="81.900000000000006"/>
    <n v="85.2"/>
    <n v="205.4342723004695"/>
  </r>
  <r>
    <x v="3"/>
    <x v="0"/>
    <n v="377.54"/>
    <s v="Millones de dólares"/>
    <s v="BADECON"/>
    <x v="4"/>
    <s v="C17"/>
    <x v="7"/>
    <n v="72.105553335238"/>
    <n v="96.211353938038002"/>
    <n v="72.105553335238"/>
    <n v="523.59351331057064"/>
  </r>
  <r>
    <x v="3"/>
    <x v="1"/>
    <n v="714.67"/>
    <s v="Millones de dólares"/>
    <s v="BADECON"/>
    <x v="4"/>
    <s v="C17"/>
    <x v="7"/>
    <n v="82"/>
    <n v="81.900000000000006"/>
    <n v="82"/>
    <n v="871.54878048780483"/>
  </r>
  <r>
    <x v="3"/>
    <x v="0"/>
    <n v="2948.45"/>
    <s v="Millones de dólares"/>
    <s v="BADECON"/>
    <x v="4"/>
    <s v="C18"/>
    <x v="8"/>
    <n v="72.105553335238"/>
    <n v="96.211353938038002"/>
    <n v="72.105553335238"/>
    <n v="4089.0747849778882"/>
  </r>
  <r>
    <x v="3"/>
    <x v="1"/>
    <n v="138.4"/>
    <s v="Millones de dólares"/>
    <s v="BADECON"/>
    <x v="4"/>
    <s v="C18"/>
    <x v="8"/>
    <n v="88.6"/>
    <n v="81.900000000000006"/>
    <n v="88.6"/>
    <n v="156.20767494356659"/>
  </r>
  <r>
    <x v="3"/>
    <x v="1"/>
    <n v="938.15"/>
    <s v="Millones de dólares"/>
    <s v="BADECON"/>
    <x v="4"/>
    <s v="C19"/>
    <x v="9"/>
    <n v="47.6"/>
    <n v="81.900000000000006"/>
    <n v="47.6"/>
    <n v="1970.9033613445381"/>
  </r>
  <r>
    <x v="3"/>
    <x v="0"/>
    <n v="620.89"/>
    <s v="Millones de dólares"/>
    <s v="BADECON"/>
    <x v="4"/>
    <s v="C20"/>
    <x v="10"/>
    <n v="109.79561218418"/>
    <n v="96.211353938038002"/>
    <n v="109.79561218418"/>
    <n v="565.49618664038144"/>
  </r>
  <r>
    <x v="3"/>
    <x v="1"/>
    <n v="2356.61"/>
    <s v="Millones de dólares"/>
    <s v="BADECON"/>
    <x v="4"/>
    <s v="C20"/>
    <x v="10"/>
    <n v="95.7"/>
    <n v="81.900000000000006"/>
    <n v="95.7"/>
    <n v="2462.4973876698009"/>
  </r>
  <r>
    <x v="3"/>
    <x v="0"/>
    <n v="230.74"/>
    <s v="Millones de dólares"/>
    <s v="BADECON"/>
    <x v="4"/>
    <s v="C21"/>
    <x v="11"/>
    <n v="109.79561218418"/>
    <n v="96.211353938038002"/>
    <n v="109.79561218418"/>
    <n v="210.15411764628459"/>
  </r>
  <r>
    <x v="3"/>
    <x v="1"/>
    <n v="609.67999999999995"/>
    <s v="Millones de dólares"/>
    <s v="BADECON"/>
    <x v="4"/>
    <s v="C21"/>
    <x v="11"/>
    <n v="95.7"/>
    <n v="81.900000000000006"/>
    <n v="95.7"/>
    <n v="637.07419017763846"/>
  </r>
  <r>
    <x v="3"/>
    <x v="0"/>
    <n v="480.93"/>
    <s v="Millones de dólares"/>
    <s v="BADECON"/>
    <x v="4"/>
    <s v="C22"/>
    <x v="12"/>
    <n v="109.79561218418"/>
    <n v="96.211353938038002"/>
    <n v="109.79561218418"/>
    <n v="438.02296870775609"/>
  </r>
  <r>
    <x v="3"/>
    <x v="1"/>
    <n v="1501.97"/>
    <s v="Millones de dólares"/>
    <s v="BADECON"/>
    <x v="4"/>
    <s v="C22"/>
    <x v="12"/>
    <n v="81.900000000000006"/>
    <n v="81.900000000000006"/>
    <n v="81.900000000000006"/>
    <n v="1833.9072039072039"/>
  </r>
  <r>
    <x v="3"/>
    <x v="0"/>
    <n v="300.94"/>
    <s v="Millones de dólares"/>
    <s v="BADECON"/>
    <x v="4"/>
    <s v="C23"/>
    <x v="13"/>
    <n v="93.364041500221006"/>
    <n v="96.211353938038002"/>
    <n v="93.364041500221006"/>
    <n v="322.32966264564237"/>
  </r>
  <r>
    <x v="3"/>
    <x v="1"/>
    <n v="1413.23"/>
    <s v="Millones de dólares"/>
    <s v="BADECON"/>
    <x v="4"/>
    <s v="C23"/>
    <x v="13"/>
    <n v="80.2"/>
    <n v="81.900000000000006"/>
    <n v="80.2"/>
    <n v="1762.1321695760601"/>
  </r>
  <r>
    <x v="3"/>
    <x v="0"/>
    <n v="108.23"/>
    <s v="Millones de dólares"/>
    <s v="BADECON"/>
    <x v="4"/>
    <s v="C24"/>
    <x v="14"/>
    <n v="93.364041500221006"/>
    <n v="96.211353938038002"/>
    <n v="93.364041500221006"/>
    <n v="115.92257389558679"/>
  </r>
  <r>
    <x v="3"/>
    <x v="1"/>
    <n v="1314.14"/>
    <s v="Millones de dólares"/>
    <s v="BADECON"/>
    <x v="4"/>
    <s v="C24"/>
    <x v="14"/>
    <n v="73.2"/>
    <n v="81.900000000000006"/>
    <n v="73.2"/>
    <n v="1795.273224043716"/>
  </r>
  <r>
    <x v="3"/>
    <x v="0"/>
    <n v="1756.04"/>
    <s v="Millones de dólares"/>
    <s v="BADECON"/>
    <x v="4"/>
    <s v="C25"/>
    <x v="15"/>
    <n v="95.958177771508005"/>
    <n v="96.211353938038002"/>
    <n v="95.958177771508005"/>
    <n v="1830.0055719913901"/>
  </r>
  <r>
    <x v="3"/>
    <x v="1"/>
    <n v="1658.75"/>
    <s v="Millones de dólares"/>
    <s v="BADECON"/>
    <x v="4"/>
    <s v="C25"/>
    <x v="15"/>
    <n v="76"/>
    <n v="81.900000000000006"/>
    <n v="76"/>
    <n v="2182.5657894736842"/>
  </r>
  <r>
    <x v="3"/>
    <x v="0"/>
    <n v="41.18"/>
    <s v="Millones de dólares"/>
    <s v="BADECON"/>
    <x v="4"/>
    <s v="C26"/>
    <x v="16"/>
    <n v="95.958177771508005"/>
    <n v="96.211353938038002"/>
    <n v="95.958177771508005"/>
    <n v="42.914528971211048"/>
  </r>
  <r>
    <x v="3"/>
    <x v="1"/>
    <n v="2642.18"/>
    <s v="Millones de dólares"/>
    <s v="BADECON"/>
    <x v="4"/>
    <s v="C26"/>
    <x v="16"/>
    <n v="83.4"/>
    <n v="81.900000000000006"/>
    <n v="83.4"/>
    <n v="3168.0815347721818"/>
  </r>
  <r>
    <x v="3"/>
    <x v="0"/>
    <n v="146.49"/>
    <s v="Millones de dólares"/>
    <s v="BADECON"/>
    <x v="4"/>
    <s v="C27"/>
    <x v="17"/>
    <n v="95.958177771508005"/>
    <n v="96.211353938038002"/>
    <n v="95.958177771508005"/>
    <n v="152.66025616786561"/>
  </r>
  <r>
    <x v="3"/>
    <x v="1"/>
    <n v="3540.65"/>
    <s v="Millones de dólares"/>
    <s v="BADECON"/>
    <x v="4"/>
    <s v="C27"/>
    <x v="17"/>
    <n v="84.9"/>
    <n v="81.900000000000006"/>
    <n v="84.9"/>
    <n v="4170.3769140164904"/>
  </r>
  <r>
    <x v="3"/>
    <x v="0"/>
    <n v="1000.23"/>
    <s v="Millones de dólares"/>
    <s v="BADECON"/>
    <x v="4"/>
    <s v="C28"/>
    <x v="18"/>
    <n v="95.958177771508005"/>
    <n v="96.211353938038002"/>
    <n v="95.958177771508005"/>
    <n v="1042.360352425314"/>
  </r>
  <r>
    <x v="3"/>
    <x v="1"/>
    <n v="3224.5"/>
    <s v="Millones de dólares"/>
    <s v="BADECON"/>
    <x v="4"/>
    <s v="C28"/>
    <x v="18"/>
    <n v="82.9"/>
    <n v="81.900000000000006"/>
    <n v="82.9"/>
    <n v="3889.6260554885398"/>
  </r>
  <r>
    <x v="3"/>
    <x v="0"/>
    <n v="6"/>
    <s v="Millones de dólares"/>
    <s v="BADECON"/>
    <x v="4"/>
    <s v="C29"/>
    <x v="19"/>
    <n v="95.958177771508005"/>
    <n v="96.211353938038002"/>
    <n v="95.958177771508005"/>
    <n v="6.252723988034635"/>
  </r>
  <r>
    <x v="3"/>
    <x v="1"/>
    <n v="7"/>
    <s v="Millones de dólares"/>
    <s v="BADECON"/>
    <x v="4"/>
    <s v="C29"/>
    <x v="19"/>
    <n v="82.9"/>
    <n v="81.900000000000006"/>
    <n v="82.9"/>
    <n v="8.443908323281061"/>
  </r>
  <r>
    <x v="3"/>
    <x v="0"/>
    <n v="2.31"/>
    <s v="Millones de dólares"/>
    <s v="BADECON"/>
    <x v="4"/>
    <s v="C30"/>
    <x v="20"/>
    <n v="95.958177771508005"/>
    <n v="96.211353938038002"/>
    <n v="95.958177771508005"/>
    <n v="2.4072987353933351"/>
  </r>
  <r>
    <x v="3"/>
    <x v="1"/>
    <n v="124.49"/>
    <s v="Millones de dólares"/>
    <s v="BADECON"/>
    <x v="4"/>
    <s v="C30"/>
    <x v="20"/>
    <n v="82.9"/>
    <n v="81.900000000000006"/>
    <n v="82.9"/>
    <n v="150.16887816646559"/>
  </r>
  <r>
    <x v="3"/>
    <x v="0"/>
    <n v="280.43"/>
    <s v="Millones de dólares"/>
    <s v="BADECON"/>
    <x v="4"/>
    <s v="C31"/>
    <x v="21"/>
    <n v="107.1615082093"/>
    <n v="96.211353938038002"/>
    <n v="107.1615082093"/>
    <n v="261.68911271040042"/>
  </r>
  <r>
    <x v="3"/>
    <x v="1"/>
    <n v="173.95"/>
    <s v="Millones de dólares"/>
    <s v="BADECON"/>
    <x v="4"/>
    <s v="C31"/>
    <x v="21"/>
    <n v="85.5"/>
    <n v="81.900000000000006"/>
    <n v="85.5"/>
    <n v="203.4502923976608"/>
  </r>
  <r>
    <x v="3"/>
    <x v="0"/>
    <n v="20.82"/>
    <s v="Millones de dólares"/>
    <s v="BADECON"/>
    <x v="4"/>
    <s v="C32"/>
    <x v="22"/>
    <m/>
    <n v="96.211353938038002"/>
    <n v="96.211353938038002"/>
    <n v="21.639857613279709"/>
  </r>
  <r>
    <x v="3"/>
    <x v="1"/>
    <n v="110.82"/>
    <s v="Millones de dólares"/>
    <s v="BADECON"/>
    <x v="4"/>
    <s v="C32"/>
    <x v="22"/>
    <n v="86.4"/>
    <n v="81.900000000000006"/>
    <n v="86.4"/>
    <n v="128.26388888888891"/>
  </r>
  <r>
    <x v="3"/>
    <x v="0"/>
    <n v="681.62"/>
    <s v="Millones de dólares"/>
    <s v="BADECON"/>
    <x v="4"/>
    <s v="C33"/>
    <x v="23"/>
    <n v="95.958177771508005"/>
    <n v="96.211353938038002"/>
    <n v="95.958177771508005"/>
    <n v="710.33028745402794"/>
  </r>
  <r>
    <x v="3"/>
    <x v="0"/>
    <n v="853.65"/>
    <s v="Millones de dólares"/>
    <s v="BADECON"/>
    <x v="4"/>
    <s v="CXX"/>
    <x v="0"/>
    <m/>
    <n v="96.211353938038002"/>
    <n v="96.211353938038002"/>
    <n v="887.2653434954957"/>
  </r>
  <r>
    <x v="3"/>
    <x v="0"/>
    <n v="19.53"/>
    <s v="Millones de dólares"/>
    <s v="BADECON"/>
    <x v="4"/>
    <s v="C29_30"/>
    <x v="25"/>
    <n v="95.958177771508005"/>
    <n v="96.211353938038002"/>
    <n v="95.958177771508005"/>
    <n v="20.35261658105274"/>
  </r>
  <r>
    <x v="3"/>
    <x v="1"/>
    <n v="1473.86"/>
    <s v="Millones de dólares"/>
    <s v="BADECON"/>
    <x v="4"/>
    <s v="C29_30"/>
    <x v="25"/>
    <n v="82.9"/>
    <n v="81.900000000000006"/>
    <n v="82.9"/>
    <n v="1777.876960193003"/>
  </r>
  <r>
    <x v="2"/>
    <x v="0"/>
    <n v="17.84"/>
    <s v="Millones de dólares"/>
    <s v="BADECON"/>
    <x v="4"/>
    <s v="C29_30"/>
    <x v="25"/>
    <n v="101.10423088160999"/>
    <n v="95.629262636448004"/>
    <n v="101.10423088160999"/>
    <n v="17.645156730275811"/>
  </r>
  <r>
    <x v="2"/>
    <x v="1"/>
    <n v="1334.72"/>
    <s v="Millones de dólares"/>
    <s v="BADECON"/>
    <x v="4"/>
    <s v="C29_30"/>
    <x v="25"/>
    <n v="93.3"/>
    <n v="87.8"/>
    <n v="93.3"/>
    <n v="1430.5680600214359"/>
  </r>
  <r>
    <x v="1"/>
    <x v="0"/>
    <n v="18.440000000000001"/>
    <s v="Millones de dólares"/>
    <s v="BADECON"/>
    <x v="4"/>
    <s v="C29_30"/>
    <x v="25"/>
    <n v="98.189528995325006"/>
    <n v="95.003435419368998"/>
    <n v="98.189528995325006"/>
    <n v="18.78000657369277"/>
  </r>
  <r>
    <x v="1"/>
    <x v="1"/>
    <n v="1527.19"/>
    <s v="Millones de dólares"/>
    <s v="BADECON"/>
    <x v="4"/>
    <s v="C29_30"/>
    <x v="25"/>
    <n v="97"/>
    <n v="94.3"/>
    <n v="97"/>
    <n v="1574.4226804123709"/>
  </r>
  <r>
    <x v="0"/>
    <x v="0"/>
    <n v="37.75"/>
    <s v="Millones de dólares"/>
    <s v="BADECON"/>
    <x v="4"/>
    <s v="C29_30"/>
    <x v="25"/>
    <n v="100"/>
    <n v="99.999999999999005"/>
    <n v="100"/>
    <n v="37.75"/>
  </r>
  <r>
    <x v="0"/>
    <x v="1"/>
    <n v="1729.36"/>
    <s v="Millones de dólares"/>
    <s v="BADECON"/>
    <x v="4"/>
    <s v="C29_30"/>
    <x v="25"/>
    <n v="100"/>
    <n v="100"/>
    <n v="100"/>
    <n v="1729.36"/>
  </r>
  <r>
    <x v="5"/>
    <x v="0"/>
    <n v="18.47"/>
    <s v="Millones de dólares"/>
    <s v="BADECON"/>
    <x v="4"/>
    <s v="C29_30"/>
    <x v="25"/>
    <n v="106.59709315790001"/>
    <n v="98.151526954033002"/>
    <n v="106.59709315790001"/>
    <n v="17.326926516317641"/>
  </r>
  <r>
    <x v="5"/>
    <x v="1"/>
    <n v="1877.94"/>
    <s v="Millones de dólares"/>
    <s v="BADECON"/>
    <x v="4"/>
    <s v="C29_30"/>
    <x v="25"/>
    <n v="102.2"/>
    <n v="102.4"/>
    <n v="102.2"/>
    <n v="1837.514677103718"/>
  </r>
  <r>
    <x v="4"/>
    <x v="0"/>
    <n v="99.71"/>
    <s v="Millones de dólares"/>
    <s v="BADECON"/>
    <x v="4"/>
    <s v="C19"/>
    <x v="9"/>
    <n v="100.20302658438"/>
    <n v="103.59652904204"/>
    <n v="100.20302658438"/>
    <n v="99.507972362526559"/>
  </r>
  <r>
    <x v="4"/>
    <x v="0"/>
    <n v="118.98"/>
    <s v="Millones de dólares"/>
    <s v="BADECON"/>
    <x v="4"/>
    <s v="C29_30"/>
    <x v="25"/>
    <n v="113.44450268036999"/>
    <n v="103.59652904204"/>
    <n v="113.44450268036999"/>
    <n v="104.879476033516"/>
  </r>
  <r>
    <x v="4"/>
    <x v="1"/>
    <n v="1660.77"/>
    <s v="Millones de dólares"/>
    <s v="BADECON"/>
    <x v="4"/>
    <s v="C29_30"/>
    <x v="25"/>
    <n v="111.5"/>
    <n v="108.6"/>
    <n v="111.5"/>
    <n v="1489.4798206278031"/>
  </r>
  <r>
    <x v="4"/>
    <x v="0"/>
    <n v="6164"/>
    <s v="Millones de dólares"/>
    <s v="BADECON"/>
    <x v="5"/>
    <s v="C10"/>
    <x v="1"/>
    <n v="107.43342807145"/>
    <n v="103.59652904204"/>
    <n v="107.43342807145"/>
    <n v="5737.5065756075028"/>
  </r>
  <r>
    <x v="4"/>
    <x v="1"/>
    <n v="21989"/>
    <s v="Millones de dólares"/>
    <s v="BADECON"/>
    <x v="5"/>
    <s v="C10"/>
    <x v="1"/>
    <n v="107.1"/>
    <n v="108.6"/>
    <n v="107.1"/>
    <n v="20531.279178338002"/>
  </r>
  <r>
    <x v="4"/>
    <x v="0"/>
    <n v="1012"/>
    <s v="Millones de dólares"/>
    <s v="BADECON"/>
    <x v="5"/>
    <s v="C23"/>
    <x v="13"/>
    <n v="104.48191541983"/>
    <n v="103.59652904204"/>
    <n v="104.48191541983"/>
    <n v="968.58867482815003"/>
  </r>
  <r>
    <x v="4"/>
    <x v="1"/>
    <n v="8357"/>
    <s v="Millones de dólares"/>
    <s v="BADECON"/>
    <x v="5"/>
    <s v="C23"/>
    <x v="13"/>
    <n v="108.2"/>
    <n v="108.6"/>
    <n v="108.2"/>
    <n v="7723.6598890942714"/>
  </r>
  <r>
    <x v="4"/>
    <x v="0"/>
    <n v="894"/>
    <s v="Millones de dólares"/>
    <s v="BADECON"/>
    <x v="5"/>
    <s v="C25"/>
    <x v="15"/>
    <n v="113.44450268036999"/>
    <n v="103.59652904204"/>
    <n v="113.44450268036999"/>
    <n v="788.05052592001391"/>
  </r>
  <r>
    <x v="4"/>
    <x v="1"/>
    <n v="6405"/>
    <s v="Millones de dólares"/>
    <s v="BADECON"/>
    <x v="5"/>
    <s v="C25"/>
    <x v="15"/>
    <n v="109.5"/>
    <n v="108.6"/>
    <n v="109.5"/>
    <n v="5849.3150684931506"/>
  </r>
  <r>
    <x v="4"/>
    <x v="0"/>
    <n v="696"/>
    <s v="Millones de dólares"/>
    <s v="BADECON"/>
    <x v="5"/>
    <s v="C33"/>
    <x v="23"/>
    <n v="113.44450268036999"/>
    <n v="103.59652904204"/>
    <n v="113.44450268036999"/>
    <n v="613.51584568269539"/>
  </r>
  <r>
    <x v="4"/>
    <x v="0"/>
    <n v="1966"/>
    <s v="Millones de dólares"/>
    <s v="BADECON"/>
    <x v="5"/>
    <s v="C11"/>
    <x v="2"/>
    <n v="123.69234493793"/>
    <n v="103.59652904204"/>
    <n v="123.69234493793"/>
    <n v="1589.4273820959229"/>
  </r>
  <r>
    <x v="4"/>
    <x v="1"/>
    <n v="10607"/>
    <s v="Millones de dólares"/>
    <s v="BADECON"/>
    <x v="5"/>
    <s v="C11"/>
    <x v="2"/>
    <n v="109.5"/>
    <n v="108.6"/>
    <n v="109.5"/>
    <n v="9686.7579908675798"/>
  </r>
  <r>
    <x v="4"/>
    <x v="0"/>
    <n v="973"/>
    <s v="Millones de dólares"/>
    <s v="BADECON"/>
    <x v="5"/>
    <s v="C16"/>
    <x v="6"/>
    <n v="110.87139466242"/>
    <n v="103.59652904204"/>
    <n v="110.87139466242"/>
    <n v="877.59336207736874"/>
  </r>
  <r>
    <x v="4"/>
    <x v="1"/>
    <n v="399"/>
    <s v="Millones de dólares"/>
    <s v="BADECON"/>
    <x v="5"/>
    <s v="C16"/>
    <x v="6"/>
    <n v="108.1"/>
    <n v="108.6"/>
    <n v="108.1"/>
    <n v="369.10268270120258"/>
  </r>
  <r>
    <x v="4"/>
    <x v="0"/>
    <n v="1339"/>
    <s v="Millones de dólares"/>
    <s v="BADECON"/>
    <x v="5"/>
    <s v="C17"/>
    <x v="7"/>
    <n v="65.215368011810995"/>
    <n v="103.59652904204"/>
    <n v="65.215368011810995"/>
    <n v="2053.1970313461961"/>
  </r>
  <r>
    <x v="4"/>
    <x v="1"/>
    <n v="3111"/>
    <s v="Millones de dólares"/>
    <s v="BADECON"/>
    <x v="5"/>
    <s v="C17"/>
    <x v="7"/>
    <n v="107.4"/>
    <n v="108.6"/>
    <n v="107.4"/>
    <n v="2896.648044692738"/>
  </r>
  <r>
    <x v="4"/>
    <x v="0"/>
    <n v="2671"/>
    <s v="Millones de dólares"/>
    <s v="BADECON"/>
    <x v="5"/>
    <s v="C20"/>
    <x v="10"/>
    <n v="100.20302658438"/>
    <n v="103.59652904204"/>
    <n v="100.20302658438"/>
    <n v="2665.5881474306329"/>
  </r>
  <r>
    <x v="4"/>
    <x v="1"/>
    <n v="11282"/>
    <s v="Millones de dólares"/>
    <s v="BADECON"/>
    <x v="5"/>
    <s v="C20"/>
    <x v="10"/>
    <n v="103.9"/>
    <n v="108.6"/>
    <n v="103.9"/>
    <n v="10858.517805582291"/>
  </r>
  <r>
    <x v="4"/>
    <x v="0"/>
    <n v="379"/>
    <s v="Millones de dólares"/>
    <s v="BADECON"/>
    <x v="5"/>
    <s v="C28"/>
    <x v="18"/>
    <n v="113.44450268036999"/>
    <n v="103.59652904204"/>
    <n v="113.44450268036999"/>
    <n v="334.08405964618038"/>
  </r>
  <r>
    <x v="4"/>
    <x v="1"/>
    <n v="13320"/>
    <s v="Millones de dólares"/>
    <s v="BADECON"/>
    <x v="5"/>
    <s v="C28"/>
    <x v="18"/>
    <n v="110.3"/>
    <n v="108.6"/>
    <n v="110.3"/>
    <n v="12076.155938349961"/>
  </r>
  <r>
    <x v="4"/>
    <x v="0"/>
    <n v="172"/>
    <s v="Millones de dólares"/>
    <s v="BADECON"/>
    <x v="5"/>
    <s v="C31"/>
    <x v="21"/>
    <n v="110.87139466242"/>
    <n v="103.59652904204"/>
    <n v="110.87139466242"/>
    <n v="155.1346950434814"/>
  </r>
  <r>
    <x v="4"/>
    <x v="1"/>
    <n v="325"/>
    <s v="Millones de dólares"/>
    <s v="BADECON"/>
    <x v="5"/>
    <s v="C31"/>
    <x v="21"/>
    <n v="108.5"/>
    <n v="108.6"/>
    <n v="108.5"/>
    <n v="299.53917050691251"/>
  </r>
  <r>
    <x v="4"/>
    <x v="0"/>
    <n v="101"/>
    <s v="Millones de dólares"/>
    <s v="BADECON"/>
    <x v="5"/>
    <s v="C13"/>
    <x v="3"/>
    <n v="71.728747032472995"/>
    <n v="103.59652904204"/>
    <n v="71.728747032472995"/>
    <n v="140.8082591408928"/>
  </r>
  <r>
    <x v="4"/>
    <x v="1"/>
    <n v="4454"/>
    <s v="Millones de dólares"/>
    <s v="BADECON"/>
    <x v="5"/>
    <s v="C13"/>
    <x v="3"/>
    <n v="105.5"/>
    <n v="108.6"/>
    <n v="105.5"/>
    <n v="4221.8009478672984"/>
  </r>
  <r>
    <x v="4"/>
    <x v="0"/>
    <n v="82"/>
    <s v="Millones de dólares"/>
    <s v="BADECON"/>
    <x v="5"/>
    <s v="C14"/>
    <x v="4"/>
    <n v="71.728747032472995"/>
    <n v="103.59652904204"/>
    <n v="71.728747032472995"/>
    <n v="114.3195767282496"/>
  </r>
  <r>
    <x v="4"/>
    <x v="1"/>
    <n v="1179"/>
    <s v="Millones de dólares"/>
    <s v="BADECON"/>
    <x v="5"/>
    <s v="C14"/>
    <x v="4"/>
    <n v="110.2"/>
    <n v="108.6"/>
    <n v="110.2"/>
    <n v="1069.872958257713"/>
  </r>
  <r>
    <x v="4"/>
    <x v="0"/>
    <n v="92"/>
    <s v="Millones de dólares"/>
    <s v="BADECON"/>
    <x v="5"/>
    <s v="C18"/>
    <x v="8"/>
    <n v="65.215368011810995"/>
    <n v="103.59652904204"/>
    <n v="65.215368011810995"/>
    <n v="141.07104322916359"/>
  </r>
  <r>
    <x v="4"/>
    <x v="1"/>
    <n v="252"/>
    <s v="Millones de dólares"/>
    <s v="BADECON"/>
    <x v="5"/>
    <s v="C18"/>
    <x v="8"/>
    <n v="109.7"/>
    <n v="108.6"/>
    <n v="109.7"/>
    <n v="229.71741112123979"/>
  </r>
  <r>
    <x v="4"/>
    <x v="0"/>
    <n v="840"/>
    <s v="Millones de dólares"/>
    <s v="BADECON"/>
    <x v="5"/>
    <s v="C22"/>
    <x v="12"/>
    <n v="100.20302658438"/>
    <n v="103.59652904204"/>
    <n v="100.20302658438"/>
    <n v="838.29803213842456"/>
  </r>
  <r>
    <x v="4"/>
    <x v="1"/>
    <n v="5458"/>
    <s v="Millones de dólares"/>
    <s v="BADECON"/>
    <x v="5"/>
    <s v="C22"/>
    <x v="12"/>
    <n v="105.6"/>
    <n v="108.6"/>
    <n v="105.6"/>
    <n v="5168.560606060606"/>
  </r>
  <r>
    <x v="4"/>
    <x v="0"/>
    <n v="236"/>
    <s v="Millones de dólares"/>
    <s v="BADECON"/>
    <x v="5"/>
    <s v="C24"/>
    <x v="14"/>
    <n v="104.48191541983"/>
    <n v="103.59652904204"/>
    <n v="104.48191541983"/>
    <n v="225.8764103354184"/>
  </r>
  <r>
    <x v="4"/>
    <x v="1"/>
    <n v="8133"/>
    <s v="Millones de dólares"/>
    <s v="BADECON"/>
    <x v="5"/>
    <s v="C24"/>
    <x v="14"/>
    <n v="111.8"/>
    <n v="108.6"/>
    <n v="111.8"/>
    <n v="7274.5974955277279"/>
  </r>
  <r>
    <x v="4"/>
    <x v="0"/>
    <n v="343"/>
    <s v="Millones de dólares"/>
    <s v="BADECON"/>
    <x v="5"/>
    <s v="C27"/>
    <x v="17"/>
    <n v="113.44450268036999"/>
    <n v="103.59652904204"/>
    <n v="113.44450268036999"/>
    <n v="302.35048142121337"/>
  </r>
  <r>
    <x v="4"/>
    <x v="1"/>
    <n v="11396"/>
    <s v="Millones de dólares"/>
    <s v="BADECON"/>
    <x v="5"/>
    <s v="C27"/>
    <x v="17"/>
    <n v="107.4"/>
    <n v="108.6"/>
    <n v="107.4"/>
    <n v="10610.800744878959"/>
  </r>
  <r>
    <x v="4"/>
    <x v="0"/>
    <n v="40"/>
    <s v="Millones de dólares"/>
    <s v="BADECON"/>
    <x v="5"/>
    <s v="C30"/>
    <x v="20"/>
    <n v="113.44450268036999"/>
    <n v="103.59652904204"/>
    <n v="113.44450268036999"/>
    <n v="35.259531361074451"/>
  </r>
  <r>
    <x v="4"/>
    <x v="1"/>
    <n v="624"/>
    <s v="Millones de dólares"/>
    <s v="BADECON"/>
    <x v="5"/>
    <s v="C30"/>
    <x v="20"/>
    <n v="111.5"/>
    <n v="108.6"/>
    <n v="111.5"/>
    <n v="559.64125560538116"/>
  </r>
  <r>
    <x v="4"/>
    <x v="0"/>
    <n v="36"/>
    <s v="Millones de dólares"/>
    <s v="BADECON"/>
    <x v="5"/>
    <s v="C15"/>
    <x v="5"/>
    <n v="71.728747032472995"/>
    <n v="103.59652904204"/>
    <n v="71.728747032472995"/>
    <n v="50.189082466060789"/>
  </r>
  <r>
    <x v="4"/>
    <x v="1"/>
    <n v="695"/>
    <s v="Millones de dólares"/>
    <s v="BADECON"/>
    <x v="5"/>
    <s v="C15"/>
    <x v="5"/>
    <n v="105.1"/>
    <n v="108.6"/>
    <n v="105.1"/>
    <n v="661.27497621313034"/>
  </r>
  <r>
    <x v="4"/>
    <x v="0"/>
    <n v="637"/>
    <s v="Millones de dólares"/>
    <s v="BADECON"/>
    <x v="5"/>
    <s v="C21"/>
    <x v="11"/>
    <n v="100.20302658438"/>
    <n v="103.59652904204"/>
    <n v="100.20302658438"/>
    <n v="635.70934103830541"/>
  </r>
  <r>
    <x v="4"/>
    <x v="1"/>
    <n v="1476"/>
    <s v="Millones de dólares"/>
    <s v="BADECON"/>
    <x v="5"/>
    <s v="C21"/>
    <x v="11"/>
    <n v="103.9"/>
    <n v="108.6"/>
    <n v="103.9"/>
    <n v="1420.5967276227141"/>
  </r>
  <r>
    <x v="4"/>
    <x v="0"/>
    <n v="1"/>
    <s v="Millones de dólares"/>
    <s v="BADECON"/>
    <x v="5"/>
    <s v="C26"/>
    <x v="16"/>
    <n v="113.44450268036999"/>
    <n v="103.59652904204"/>
    <n v="113.44450268036999"/>
    <n v="0.88148828402686108"/>
  </r>
  <r>
    <x v="4"/>
    <x v="1"/>
    <n v="5878"/>
    <s v="Millones de dólares"/>
    <s v="BADECON"/>
    <x v="5"/>
    <s v="C26"/>
    <x v="16"/>
    <n v="109.4"/>
    <n v="108.6"/>
    <n v="109.4"/>
    <n v="5372.9433272394881"/>
  </r>
  <r>
    <x v="4"/>
    <x v="0"/>
    <n v="23"/>
    <s v="Millones de dólares"/>
    <s v="BADECON"/>
    <x v="5"/>
    <s v="C29"/>
    <x v="19"/>
    <n v="113.44450268036999"/>
    <n v="103.59652904204"/>
    <n v="113.44450268036999"/>
    <n v="20.27423053261781"/>
  </r>
  <r>
    <x v="4"/>
    <x v="1"/>
    <n v="16561"/>
    <s v="Millones de dólares"/>
    <s v="BADECON"/>
    <x v="5"/>
    <s v="C29"/>
    <x v="19"/>
    <n v="111.5"/>
    <n v="108.6"/>
    <n v="111.5"/>
    <n v="14852.91479820628"/>
  </r>
  <r>
    <x v="4"/>
    <x v="0"/>
    <n v="18"/>
    <s v="Millones de dólares"/>
    <s v="BADECON"/>
    <x v="5"/>
    <s v="C32"/>
    <x v="22"/>
    <m/>
    <n v="103.59652904204"/>
    <n v="103.59652904204"/>
    <n v="17.3750995003853"/>
  </r>
  <r>
    <x v="4"/>
    <x v="1"/>
    <n v="241"/>
    <s v="Millones de dólares"/>
    <s v="BADECON"/>
    <x v="5"/>
    <s v="C32"/>
    <x v="22"/>
    <n v="112.5"/>
    <n v="108.6"/>
    <n v="112.5"/>
    <n v="214.2222222222222"/>
  </r>
  <r>
    <x v="4"/>
    <x v="1"/>
    <n v="9723"/>
    <s v="Millones de dólares"/>
    <s v="BADECON"/>
    <x v="5"/>
    <s v="C19"/>
    <x v="9"/>
    <n v="100.6"/>
    <n v="108.6"/>
    <n v="100.6"/>
    <n v="9665.0099403578533"/>
  </r>
  <r>
    <x v="4"/>
    <x v="1"/>
    <n v="331"/>
    <s v="Millones de dólares"/>
    <s v="BADECON"/>
    <x v="5"/>
    <s v="C12"/>
    <x v="24"/>
    <n v="109.5"/>
    <n v="108.6"/>
    <n v="109.5"/>
    <n v="302.28310502283102"/>
  </r>
  <r>
    <x v="4"/>
    <x v="0"/>
    <n v="707"/>
    <s v="Millones de dólares"/>
    <s v="BADECON"/>
    <x v="5"/>
    <s v="CXX"/>
    <x v="0"/>
    <m/>
    <n v="103.59652904204"/>
    <n v="103.59652904204"/>
    <n v="682.4552970429113"/>
  </r>
  <r>
    <x v="5"/>
    <x v="0"/>
    <n v="889"/>
    <s v="Millones de dólares"/>
    <s v="BADECON"/>
    <x v="5"/>
    <s v="C22"/>
    <x v="12"/>
    <n v="94.527911873682996"/>
    <n v="98.151526954033002"/>
    <n v="94.527911873682996"/>
    <n v="940.46296208041133"/>
  </r>
  <r>
    <x v="5"/>
    <x v="1"/>
    <n v="6550"/>
    <s v="Millones de dólares"/>
    <s v="BADECON"/>
    <x v="5"/>
    <s v="C22"/>
    <x v="12"/>
    <n v="103.4"/>
    <n v="102.4"/>
    <n v="103.4"/>
    <n v="6334.6228239845259"/>
  </r>
  <r>
    <x v="5"/>
    <x v="0"/>
    <n v="913"/>
    <s v="Millones de dólares"/>
    <s v="BADECON"/>
    <x v="5"/>
    <s v="C23"/>
    <x v="13"/>
    <n v="96.894683830418003"/>
    <n v="98.151526954033002"/>
    <n v="96.894683830418003"/>
    <n v="942.2601570153256"/>
  </r>
  <r>
    <x v="5"/>
    <x v="1"/>
    <n v="9690"/>
    <s v="Millones de dólares"/>
    <s v="BADECON"/>
    <x v="5"/>
    <s v="C23"/>
    <x v="13"/>
    <n v="104.4"/>
    <n v="102.4"/>
    <n v="104.4"/>
    <n v="9281.6091954022977"/>
  </r>
  <r>
    <x v="5"/>
    <x v="0"/>
    <n v="929"/>
    <s v="Millones de dólares"/>
    <s v="BADECON"/>
    <x v="5"/>
    <s v="C25"/>
    <x v="15"/>
    <n v="106.59709315790001"/>
    <n v="98.151526954033002"/>
    <n v="106.59709315790001"/>
    <n v="871.50594118349181"/>
  </r>
  <r>
    <x v="5"/>
    <x v="1"/>
    <n v="7291"/>
    <s v="Millones de dólares"/>
    <s v="BADECON"/>
    <x v="5"/>
    <s v="C25"/>
    <x v="15"/>
    <n v="104.2"/>
    <n v="102.4"/>
    <n v="104.2"/>
    <n v="6997.1209213051816"/>
  </r>
  <r>
    <x v="5"/>
    <x v="0"/>
    <n v="7685"/>
    <s v="Millones de dólares"/>
    <s v="BADECON"/>
    <x v="5"/>
    <s v="C10"/>
    <x v="1"/>
    <n v="101.52099705321"/>
    <n v="98.151526954033002"/>
    <n v="101.52099705321"/>
    <n v="7569.862612728356"/>
  </r>
  <r>
    <x v="5"/>
    <x v="1"/>
    <n v="23602"/>
    <s v="Millones de dólares"/>
    <s v="BADECON"/>
    <x v="5"/>
    <s v="C10"/>
    <x v="1"/>
    <n v="102.3"/>
    <n v="102.4"/>
    <n v="102.3"/>
    <n v="23071.358748778101"/>
  </r>
  <r>
    <x v="5"/>
    <x v="0"/>
    <n v="101"/>
    <s v="Millones de dólares"/>
    <s v="BADECON"/>
    <x v="5"/>
    <s v="C14"/>
    <x v="4"/>
    <n v="84.562992854463005"/>
    <n v="98.151526954033002"/>
    <n v="84.562992854463005"/>
    <n v="119.4375891754752"/>
  </r>
  <r>
    <x v="5"/>
    <x v="1"/>
    <n v="1743"/>
    <s v="Millones de dólares"/>
    <s v="BADECON"/>
    <x v="5"/>
    <s v="C14"/>
    <x v="4"/>
    <n v="105.3"/>
    <n v="102.4"/>
    <n v="105.3"/>
    <n v="1655.270655270655"/>
  </r>
  <r>
    <x v="5"/>
    <x v="0"/>
    <n v="795"/>
    <s v="Millones de dólares"/>
    <s v="BADECON"/>
    <x v="5"/>
    <s v="C33"/>
    <x v="23"/>
    <n v="106.59709315790001"/>
    <n v="98.151526954033002"/>
    <n v="106.59709315790001"/>
    <n v="745.79894859082458"/>
  </r>
  <r>
    <x v="5"/>
    <x v="0"/>
    <n v="1841"/>
    <s v="Millones de dólares"/>
    <s v="BADECON"/>
    <x v="5"/>
    <s v="C11"/>
    <x v="2"/>
    <n v="111.60809989866"/>
    <n v="98.151526954033002"/>
    <n v="111.60809989866"/>
    <n v="1649.521855198346"/>
  </r>
  <r>
    <x v="5"/>
    <x v="1"/>
    <n v="11908"/>
    <s v="Millones de dólares"/>
    <s v="BADECON"/>
    <x v="5"/>
    <s v="C11"/>
    <x v="2"/>
    <n v="104.9"/>
    <n v="102.4"/>
    <n v="104.9"/>
    <n v="11351.763584366059"/>
  </r>
  <r>
    <x v="5"/>
    <x v="0"/>
    <n v="1149"/>
    <s v="Millones de dólares"/>
    <s v="BADECON"/>
    <x v="5"/>
    <s v="C16"/>
    <x v="6"/>
    <n v="97.634045562563003"/>
    <n v="98.151526954033002"/>
    <n v="97.634045562563003"/>
    <n v="1176.8435829730431"/>
  </r>
  <r>
    <x v="5"/>
    <x v="1"/>
    <n v="471"/>
    <s v="Millones de dólares"/>
    <s v="BADECON"/>
    <x v="5"/>
    <s v="C16"/>
    <x v="6"/>
    <n v="105.5"/>
    <n v="102.4"/>
    <n v="105.5"/>
    <n v="446.44549763033172"/>
  </r>
  <r>
    <x v="5"/>
    <x v="0"/>
    <n v="1620"/>
    <s v="Millones de dólares"/>
    <s v="BADECON"/>
    <x v="5"/>
    <s v="C17"/>
    <x v="7"/>
    <n v="72.666250473058"/>
    <n v="98.151526954033002"/>
    <n v="72.666250473058"/>
    <n v="2229.3705667401091"/>
  </r>
  <r>
    <x v="5"/>
    <x v="1"/>
    <n v="3546"/>
    <s v="Millones de dólares"/>
    <s v="BADECON"/>
    <x v="5"/>
    <s v="C17"/>
    <x v="7"/>
    <n v="104.5"/>
    <n v="102.4"/>
    <n v="104.5"/>
    <n v="3393.3014354066981"/>
  </r>
  <r>
    <x v="5"/>
    <x v="0"/>
    <n v="2876"/>
    <s v="Millones de dólares"/>
    <s v="BADECON"/>
    <x v="5"/>
    <s v="C20"/>
    <x v="10"/>
    <n v="94.527911873682996"/>
    <n v="98.151526954033002"/>
    <n v="94.527911873682996"/>
    <n v="3042.4876028608141"/>
  </r>
  <r>
    <x v="5"/>
    <x v="1"/>
    <n v="13024"/>
    <s v="Millones de dólares"/>
    <s v="BADECON"/>
    <x v="5"/>
    <s v="C20"/>
    <x v="10"/>
    <n v="101.6"/>
    <n v="102.4"/>
    <n v="101.6"/>
    <n v="12818.89763779528"/>
  </r>
  <r>
    <x v="5"/>
    <x v="0"/>
    <n v="415"/>
    <s v="Millones de dólares"/>
    <s v="BADECON"/>
    <x v="5"/>
    <s v="C28"/>
    <x v="18"/>
    <n v="106.59709315790001"/>
    <n v="98.151526954033002"/>
    <n v="106.59709315790001"/>
    <n v="389.31643228326061"/>
  </r>
  <r>
    <x v="5"/>
    <x v="1"/>
    <n v="15628"/>
    <s v="Millones de dólares"/>
    <s v="BADECON"/>
    <x v="5"/>
    <s v="C28"/>
    <x v="18"/>
    <n v="102.7"/>
    <n v="102.4"/>
    <n v="102.7"/>
    <n v="15217.13729308666"/>
  </r>
  <r>
    <x v="5"/>
    <x v="0"/>
    <n v="113"/>
    <s v="Millones de dólares"/>
    <s v="BADECON"/>
    <x v="5"/>
    <s v="C15"/>
    <x v="5"/>
    <n v="84.562992854463005"/>
    <n v="98.151526954033002"/>
    <n v="84.562992854463005"/>
    <n v="133.62819382998711"/>
  </r>
  <r>
    <x v="5"/>
    <x v="1"/>
    <n v="981"/>
    <s v="Millones de dólares"/>
    <s v="BADECON"/>
    <x v="5"/>
    <s v="C15"/>
    <x v="5"/>
    <n v="102.3"/>
    <n v="102.4"/>
    <n v="102.3"/>
    <n v="958.94428152492674"/>
  </r>
  <r>
    <x v="5"/>
    <x v="0"/>
    <n v="184"/>
    <s v="Millones de dólares"/>
    <s v="BADECON"/>
    <x v="5"/>
    <s v="C18"/>
    <x v="8"/>
    <n v="72.666250473058"/>
    <n v="98.151526954033002"/>
    <n v="72.666250473058"/>
    <n v="253.2124594322099"/>
  </r>
  <r>
    <x v="5"/>
    <x v="1"/>
    <n v="307"/>
    <s v="Millones de dólares"/>
    <s v="BADECON"/>
    <x v="5"/>
    <s v="C18"/>
    <x v="8"/>
    <n v="106"/>
    <n v="102.4"/>
    <n v="106"/>
    <n v="289.62264150943389"/>
  </r>
  <r>
    <x v="5"/>
    <x v="0"/>
    <n v="170"/>
    <s v="Millones de dólares"/>
    <s v="BADECON"/>
    <x v="5"/>
    <s v="C24"/>
    <x v="14"/>
    <n v="96.894683830418003"/>
    <n v="98.151526954033002"/>
    <n v="96.894683830418003"/>
    <n v="175.44822200723479"/>
  </r>
  <r>
    <x v="5"/>
    <x v="1"/>
    <n v="9504"/>
    <s v="Millones de dólares"/>
    <s v="BADECON"/>
    <x v="5"/>
    <s v="C24"/>
    <x v="14"/>
    <n v="99"/>
    <n v="102.4"/>
    <n v="99"/>
    <n v="9600"/>
  </r>
  <r>
    <x v="5"/>
    <x v="0"/>
    <n v="245"/>
    <s v="Millones de dólares"/>
    <s v="BADECON"/>
    <x v="5"/>
    <s v="C31"/>
    <x v="21"/>
    <n v="97.634045562563003"/>
    <n v="98.151526954033002"/>
    <n v="97.634045562563003"/>
    <n v="250.93705642158019"/>
  </r>
  <r>
    <x v="5"/>
    <x v="1"/>
    <n v="380"/>
    <s v="Millones de dólares"/>
    <s v="BADECON"/>
    <x v="5"/>
    <s v="C31"/>
    <x v="21"/>
    <n v="104.2"/>
    <n v="102.4"/>
    <n v="104.2"/>
    <n v="364.68330134357012"/>
  </r>
  <r>
    <x v="5"/>
    <x v="0"/>
    <n v="187"/>
    <s v="Millones de dólares"/>
    <s v="BADECON"/>
    <x v="5"/>
    <s v="C27"/>
    <x v="17"/>
    <n v="106.59709315790001"/>
    <n v="98.151526954033002"/>
    <n v="106.59709315790001"/>
    <n v="175.42692249872229"/>
  </r>
  <r>
    <x v="5"/>
    <x v="1"/>
    <n v="12825"/>
    <s v="Millones de dólares"/>
    <s v="BADECON"/>
    <x v="5"/>
    <s v="C27"/>
    <x v="17"/>
    <n v="102.3"/>
    <n v="102.4"/>
    <n v="102.3"/>
    <n v="12536.656891495601"/>
  </r>
  <r>
    <x v="5"/>
    <x v="0"/>
    <n v="42"/>
    <s v="Millones de dólares"/>
    <s v="BADECON"/>
    <x v="5"/>
    <s v="C30"/>
    <x v="20"/>
    <n v="106.59709315790001"/>
    <n v="98.151526954033002"/>
    <n v="106.59709315790001"/>
    <n v="39.400699170836013"/>
  </r>
  <r>
    <x v="5"/>
    <x v="1"/>
    <n v="837"/>
    <s v="Millones de dólares"/>
    <s v="BADECON"/>
    <x v="5"/>
    <s v="C30"/>
    <x v="20"/>
    <n v="102.2"/>
    <n v="102.4"/>
    <n v="102.2"/>
    <n v="818.98238747553819"/>
  </r>
  <r>
    <x v="5"/>
    <x v="0"/>
    <n v="638"/>
    <s v="Millones de dólares"/>
    <s v="BADECON"/>
    <x v="5"/>
    <s v="C21"/>
    <x v="11"/>
    <n v="94.527911873682996"/>
    <n v="98.151526954033002"/>
    <n v="94.527911873682996"/>
    <n v="674.932924417663"/>
  </r>
  <r>
    <x v="5"/>
    <x v="1"/>
    <n v="1384"/>
    <s v="Millones de dólares"/>
    <s v="BADECON"/>
    <x v="5"/>
    <s v="C21"/>
    <x v="11"/>
    <n v="101.6"/>
    <n v="102.4"/>
    <n v="101.6"/>
    <n v="1362.204724409449"/>
  </r>
  <r>
    <x v="5"/>
    <x v="0"/>
    <n v="96"/>
    <s v="Millones de dólares"/>
    <s v="BADECON"/>
    <x v="5"/>
    <s v="C26"/>
    <x v="16"/>
    <n v="106.59709315790001"/>
    <n v="98.151526954033002"/>
    <n v="106.59709315790001"/>
    <n v="90.058740961910885"/>
  </r>
  <r>
    <x v="5"/>
    <x v="1"/>
    <n v="6307"/>
    <s v="Millones de dólares"/>
    <s v="BADECON"/>
    <x v="5"/>
    <s v="C26"/>
    <x v="16"/>
    <n v="103.9"/>
    <n v="102.4"/>
    <n v="103.9"/>
    <n v="6070.2598652550523"/>
  </r>
  <r>
    <x v="5"/>
    <x v="0"/>
    <n v="29"/>
    <s v="Millones de dólares"/>
    <s v="BADECON"/>
    <x v="5"/>
    <s v="C29"/>
    <x v="19"/>
    <n v="106.59709315790001"/>
    <n v="98.151526954033002"/>
    <n v="106.59709315790001"/>
    <n v="27.205244665577251"/>
  </r>
  <r>
    <x v="5"/>
    <x v="1"/>
    <n v="19558"/>
    <s v="Millones de dólares"/>
    <s v="BADECON"/>
    <x v="5"/>
    <s v="C29"/>
    <x v="19"/>
    <n v="102.2"/>
    <n v="102.4"/>
    <n v="102.2"/>
    <n v="19136.98630136986"/>
  </r>
  <r>
    <x v="5"/>
    <x v="0"/>
    <n v="29"/>
    <s v="Millones de dólares"/>
    <s v="BADECON"/>
    <x v="5"/>
    <s v="C32"/>
    <x v="22"/>
    <m/>
    <n v="98.151526954033002"/>
    <n v="98.151526954033002"/>
    <n v="29.54615266819178"/>
  </r>
  <r>
    <x v="5"/>
    <x v="1"/>
    <n v="267"/>
    <s v="Millones de dólares"/>
    <s v="BADECON"/>
    <x v="5"/>
    <s v="C32"/>
    <x v="22"/>
    <n v="105.5"/>
    <n v="102.4"/>
    <n v="105.5"/>
    <n v="253.0805687203792"/>
  </r>
  <r>
    <x v="5"/>
    <x v="0"/>
    <n v="92"/>
    <s v="Millones de dólares"/>
    <s v="BADECON"/>
    <x v="5"/>
    <s v="C13"/>
    <x v="3"/>
    <n v="84.562992854463005"/>
    <n v="98.151526954033002"/>
    <n v="84.562992854463005"/>
    <n v="108.7946356845913"/>
  </r>
  <r>
    <x v="5"/>
    <x v="1"/>
    <n v="5702"/>
    <s v="Millones de dólares"/>
    <s v="BADECON"/>
    <x v="5"/>
    <s v="C13"/>
    <x v="3"/>
    <n v="102.4"/>
    <n v="102.4"/>
    <n v="102.4"/>
    <n v="5568.359375"/>
  </r>
  <r>
    <x v="5"/>
    <x v="1"/>
    <n v="14339"/>
    <s v="Millones de dólares"/>
    <s v="BADECON"/>
    <x v="5"/>
    <s v="C19"/>
    <x v="9"/>
    <n v="92.1"/>
    <n v="102.4"/>
    <n v="92.1"/>
    <n v="15568.94679695983"/>
  </r>
  <r>
    <x v="5"/>
    <x v="1"/>
    <n v="546"/>
    <s v="Millones de dólares"/>
    <s v="BADECON"/>
    <x v="5"/>
    <s v="C12"/>
    <x v="24"/>
    <n v="104.9"/>
    <n v="102.4"/>
    <n v="104.9"/>
    <n v="520.49571020019062"/>
  </r>
  <r>
    <x v="5"/>
    <x v="0"/>
    <n v="1114"/>
    <s v="Millones de dólares"/>
    <s v="BADECON"/>
    <x v="5"/>
    <s v="CXX"/>
    <x v="0"/>
    <m/>
    <n v="98.151526954033002"/>
    <n v="98.151526954033002"/>
    <n v="1134.9797955988161"/>
  </r>
  <r>
    <x v="0"/>
    <x v="0"/>
    <n v="9289"/>
    <s v="Millones de dólares"/>
    <s v="BADECON"/>
    <x v="5"/>
    <s v="C10"/>
    <x v="1"/>
    <n v="99.999999999999005"/>
    <n v="99.999999999999005"/>
    <n v="99.999999999999005"/>
    <n v="9289.0000000000928"/>
  </r>
  <r>
    <x v="0"/>
    <x v="1"/>
    <n v="22672"/>
    <s v="Millones de dólares"/>
    <s v="BADECON"/>
    <x v="5"/>
    <s v="C10"/>
    <x v="1"/>
    <n v="100"/>
    <n v="100"/>
    <n v="100"/>
    <n v="22672"/>
  </r>
  <r>
    <x v="0"/>
    <x v="0"/>
    <n v="719"/>
    <s v="Millones de dólares"/>
    <s v="BADECON"/>
    <x v="5"/>
    <s v="C33"/>
    <x v="23"/>
    <n v="100"/>
    <n v="99.999999999999005"/>
    <n v="100"/>
    <n v="719"/>
  </r>
  <r>
    <x v="0"/>
    <x v="0"/>
    <n v="1467"/>
    <s v="Millones de dólares"/>
    <s v="BADECON"/>
    <x v="5"/>
    <s v="C23"/>
    <x v="13"/>
    <n v="99.999999999999005"/>
    <n v="99.999999999999005"/>
    <n v="99.999999999999005"/>
    <n v="1467.000000000015"/>
  </r>
  <r>
    <x v="0"/>
    <x v="1"/>
    <n v="9797"/>
    <s v="Millones de dólares"/>
    <s v="BADECON"/>
    <x v="5"/>
    <s v="C23"/>
    <x v="13"/>
    <n v="100"/>
    <n v="100"/>
    <n v="100"/>
    <n v="9797"/>
  </r>
  <r>
    <x v="0"/>
    <x v="0"/>
    <n v="673"/>
    <s v="Millones de dólares"/>
    <s v="BADECON"/>
    <x v="5"/>
    <s v="C14"/>
    <x v="4"/>
    <n v="99.999999999999005"/>
    <n v="99.999999999999005"/>
    <n v="99.999999999999005"/>
    <n v="673.00000000000671"/>
  </r>
  <r>
    <x v="0"/>
    <x v="1"/>
    <n v="1681"/>
    <s v="Millones de dólares"/>
    <s v="BADECON"/>
    <x v="5"/>
    <s v="C14"/>
    <x v="4"/>
    <n v="100"/>
    <n v="100"/>
    <n v="100"/>
    <n v="1681"/>
  </r>
  <r>
    <x v="0"/>
    <x v="0"/>
    <n v="948"/>
    <s v="Millones de dólares"/>
    <s v="BADECON"/>
    <x v="5"/>
    <s v="C22"/>
    <x v="12"/>
    <n v="99.999999999999005"/>
    <n v="99.999999999999005"/>
    <n v="99.999999999999005"/>
    <n v="948.00000000000944"/>
  </r>
  <r>
    <x v="0"/>
    <x v="1"/>
    <n v="6547"/>
    <s v="Millones de dólares"/>
    <s v="BADECON"/>
    <x v="5"/>
    <s v="C22"/>
    <x v="12"/>
    <n v="100"/>
    <n v="100"/>
    <n v="100"/>
    <n v="6547"/>
  </r>
  <r>
    <x v="0"/>
    <x v="0"/>
    <n v="141"/>
    <s v="Millones de dólares"/>
    <s v="BADECON"/>
    <x v="5"/>
    <s v="C13"/>
    <x v="3"/>
    <n v="99.999999999999005"/>
    <n v="99.999999999999005"/>
    <n v="99.999999999999005"/>
    <n v="141.00000000000139"/>
  </r>
  <r>
    <x v="0"/>
    <x v="1"/>
    <n v="5735"/>
    <s v="Millones de dólares"/>
    <s v="BADECON"/>
    <x v="5"/>
    <s v="C13"/>
    <x v="3"/>
    <n v="100"/>
    <n v="100"/>
    <n v="100"/>
    <n v="5735"/>
  </r>
  <r>
    <x v="0"/>
    <x v="0"/>
    <n v="1155"/>
    <s v="Millones de dólares"/>
    <s v="BADECON"/>
    <x v="5"/>
    <s v="C25"/>
    <x v="15"/>
    <n v="100"/>
    <n v="99.999999999999005"/>
    <n v="100"/>
    <n v="1155"/>
  </r>
  <r>
    <x v="0"/>
    <x v="1"/>
    <n v="7235"/>
    <s v="Millones de dólares"/>
    <s v="BADECON"/>
    <x v="5"/>
    <s v="C25"/>
    <x v="15"/>
    <n v="100"/>
    <n v="100"/>
    <n v="100"/>
    <n v="7234.9999999999991"/>
  </r>
  <r>
    <x v="0"/>
    <x v="0"/>
    <n v="507"/>
    <s v="Millones de dólares"/>
    <s v="BADECON"/>
    <x v="5"/>
    <s v="C18"/>
    <x v="8"/>
    <n v="99.999999999999005"/>
    <n v="99.999999999999005"/>
    <n v="99.999999999999005"/>
    <n v="507.000000000005"/>
  </r>
  <r>
    <x v="0"/>
    <x v="1"/>
    <n v="277"/>
    <s v="Millones de dólares"/>
    <s v="BADECON"/>
    <x v="5"/>
    <s v="C18"/>
    <x v="8"/>
    <n v="100"/>
    <n v="100"/>
    <n v="100"/>
    <n v="277"/>
  </r>
  <r>
    <x v="0"/>
    <x v="0"/>
    <n v="797"/>
    <s v="Millones de dólares"/>
    <s v="BADECON"/>
    <x v="5"/>
    <s v="C28"/>
    <x v="18"/>
    <n v="100"/>
    <n v="99.999999999999005"/>
    <n v="100"/>
    <n v="797"/>
  </r>
  <r>
    <x v="0"/>
    <x v="1"/>
    <n v="14960"/>
    <s v="Millones de dólares"/>
    <s v="BADECON"/>
    <x v="5"/>
    <s v="C28"/>
    <x v="18"/>
    <n v="100"/>
    <n v="100"/>
    <n v="100"/>
    <n v="14960"/>
  </r>
  <r>
    <x v="0"/>
    <x v="0"/>
    <n v="245"/>
    <s v="Millones de dólares"/>
    <s v="BADECON"/>
    <x v="5"/>
    <s v="C31"/>
    <x v="21"/>
    <n v="100"/>
    <n v="99.999999999999005"/>
    <n v="100"/>
    <n v="245"/>
  </r>
  <r>
    <x v="0"/>
    <x v="1"/>
    <n v="394"/>
    <s v="Millones de dólares"/>
    <s v="BADECON"/>
    <x v="5"/>
    <s v="C31"/>
    <x v="21"/>
    <n v="100"/>
    <n v="100"/>
    <n v="100"/>
    <n v="394"/>
  </r>
  <r>
    <x v="0"/>
    <x v="0"/>
    <n v="159"/>
    <s v="Millones de dólares"/>
    <s v="BADECON"/>
    <x v="5"/>
    <s v="C15"/>
    <x v="5"/>
    <n v="99.999999999999005"/>
    <n v="99.999999999999005"/>
    <n v="99.999999999999005"/>
    <n v="159.00000000000159"/>
  </r>
  <r>
    <x v="0"/>
    <x v="1"/>
    <n v="1015"/>
    <s v="Millones de dólares"/>
    <s v="BADECON"/>
    <x v="5"/>
    <s v="C15"/>
    <x v="5"/>
    <n v="100"/>
    <n v="100"/>
    <n v="100"/>
    <n v="1015"/>
  </r>
  <r>
    <x v="0"/>
    <x v="0"/>
    <n v="3776"/>
    <s v="Millones de dólares"/>
    <s v="BADECON"/>
    <x v="5"/>
    <s v="C11"/>
    <x v="2"/>
    <n v="100"/>
    <n v="99.999999999999005"/>
    <n v="100"/>
    <n v="3776"/>
  </r>
  <r>
    <x v="0"/>
    <x v="1"/>
    <n v="10670"/>
    <s v="Millones de dólares"/>
    <s v="BADECON"/>
    <x v="5"/>
    <s v="C11"/>
    <x v="2"/>
    <n v="100"/>
    <n v="100"/>
    <n v="100"/>
    <n v="10670"/>
  </r>
  <r>
    <x v="0"/>
    <x v="0"/>
    <n v="85"/>
    <s v="Millones de dólares"/>
    <s v="BADECON"/>
    <x v="5"/>
    <s v="C29"/>
    <x v="19"/>
    <n v="100"/>
    <n v="99.999999999999005"/>
    <n v="100"/>
    <n v="85"/>
  </r>
  <r>
    <x v="0"/>
    <x v="1"/>
    <n v="19504"/>
    <s v="Millones de dólares"/>
    <s v="BADECON"/>
    <x v="5"/>
    <s v="C29"/>
    <x v="19"/>
    <n v="100"/>
    <n v="100"/>
    <n v="100"/>
    <n v="19504"/>
  </r>
  <r>
    <x v="0"/>
    <x v="0"/>
    <n v="795"/>
    <s v="Millones de dólares"/>
    <s v="BADECON"/>
    <x v="5"/>
    <s v="C24"/>
    <x v="14"/>
    <n v="99.999999999999005"/>
    <n v="99.999999999999005"/>
    <n v="99.999999999999005"/>
    <n v="795.00000000000796"/>
  </r>
  <r>
    <x v="0"/>
    <x v="1"/>
    <n v="10255"/>
    <s v="Millones de dólares"/>
    <s v="BADECON"/>
    <x v="5"/>
    <s v="C24"/>
    <x v="14"/>
    <n v="100"/>
    <n v="100"/>
    <n v="100"/>
    <n v="10255"/>
  </r>
  <r>
    <x v="0"/>
    <x v="0"/>
    <n v="3551"/>
    <s v="Millones de dólares"/>
    <s v="BADECON"/>
    <x v="5"/>
    <s v="C20"/>
    <x v="10"/>
    <n v="99.999999999999005"/>
    <n v="99.999999999999005"/>
    <n v="99.999999999999005"/>
    <n v="3551.000000000035"/>
  </r>
  <r>
    <x v="0"/>
    <x v="1"/>
    <n v="13293"/>
    <s v="Millones de dólares"/>
    <s v="BADECON"/>
    <x v="5"/>
    <s v="C20"/>
    <x v="10"/>
    <n v="100"/>
    <n v="100"/>
    <n v="100"/>
    <n v="13293"/>
  </r>
  <r>
    <x v="0"/>
    <x v="0"/>
    <n v="1712"/>
    <s v="Millones de dólares"/>
    <s v="BADECON"/>
    <x v="5"/>
    <s v="C16"/>
    <x v="6"/>
    <n v="100"/>
    <n v="99.999999999999005"/>
    <n v="100"/>
    <n v="1712"/>
  </r>
  <r>
    <x v="0"/>
    <x v="1"/>
    <n v="460"/>
    <s v="Millones de dólares"/>
    <s v="BADECON"/>
    <x v="5"/>
    <s v="C16"/>
    <x v="6"/>
    <n v="100"/>
    <n v="100"/>
    <n v="100"/>
    <n v="459.99999999999989"/>
  </r>
  <r>
    <x v="0"/>
    <x v="0"/>
    <n v="3081"/>
    <s v="Millones de dólares"/>
    <s v="BADECON"/>
    <x v="5"/>
    <s v="C17"/>
    <x v="7"/>
    <n v="99.999999999999005"/>
    <n v="99.999999999999005"/>
    <n v="99.999999999999005"/>
    <n v="3081.0000000000309"/>
  </r>
  <r>
    <x v="0"/>
    <x v="1"/>
    <n v="3402"/>
    <s v="Millones de dólares"/>
    <s v="BADECON"/>
    <x v="5"/>
    <s v="C17"/>
    <x v="7"/>
    <n v="100"/>
    <n v="100"/>
    <n v="100"/>
    <n v="3402"/>
  </r>
  <r>
    <x v="0"/>
    <x v="0"/>
    <n v="209"/>
    <s v="Millones de dólares"/>
    <s v="BADECON"/>
    <x v="5"/>
    <s v="C27"/>
    <x v="17"/>
    <n v="100"/>
    <n v="99.999999999999005"/>
    <n v="100"/>
    <n v="209"/>
  </r>
  <r>
    <x v="0"/>
    <x v="1"/>
    <n v="12357"/>
    <s v="Millones de dólares"/>
    <s v="BADECON"/>
    <x v="5"/>
    <s v="C27"/>
    <x v="17"/>
    <n v="100"/>
    <n v="100"/>
    <n v="100"/>
    <n v="12357"/>
  </r>
  <r>
    <x v="0"/>
    <x v="0"/>
    <n v="555"/>
    <s v="Millones de dólares"/>
    <s v="BADECON"/>
    <x v="5"/>
    <s v="C21"/>
    <x v="11"/>
    <n v="99.999999999999005"/>
    <n v="99.999999999999005"/>
    <n v="99.999999999999005"/>
    <n v="555.00000000000546"/>
  </r>
  <r>
    <x v="0"/>
    <x v="1"/>
    <n v="1271"/>
    <s v="Millones de dólares"/>
    <s v="BADECON"/>
    <x v="5"/>
    <s v="C21"/>
    <x v="11"/>
    <n v="100"/>
    <n v="100"/>
    <n v="100"/>
    <n v="1271"/>
  </r>
  <r>
    <x v="0"/>
    <x v="0"/>
    <n v="35"/>
    <s v="Millones de dólares"/>
    <s v="BADECON"/>
    <x v="5"/>
    <s v="C32"/>
    <x v="22"/>
    <m/>
    <n v="99.999999999999005"/>
    <n v="99.999999999999005"/>
    <n v="35.000000000000348"/>
  </r>
  <r>
    <x v="0"/>
    <x v="1"/>
    <n v="254"/>
    <s v="Millones de dólares"/>
    <s v="BADECON"/>
    <x v="5"/>
    <s v="C32"/>
    <x v="22"/>
    <n v="100"/>
    <n v="100"/>
    <n v="100"/>
    <n v="254"/>
  </r>
  <r>
    <x v="0"/>
    <x v="0"/>
    <n v="31"/>
    <s v="Millones de dólares"/>
    <s v="BADECON"/>
    <x v="5"/>
    <s v="C30"/>
    <x v="20"/>
    <n v="100"/>
    <n v="99.999999999999005"/>
    <n v="100"/>
    <n v="31"/>
  </r>
  <r>
    <x v="0"/>
    <x v="1"/>
    <n v="545"/>
    <s v="Millones de dólares"/>
    <s v="BADECON"/>
    <x v="5"/>
    <s v="C30"/>
    <x v="20"/>
    <n v="100"/>
    <n v="100"/>
    <n v="100"/>
    <n v="545"/>
  </r>
  <r>
    <x v="0"/>
    <x v="0"/>
    <n v="198"/>
    <s v="Millones de dólares"/>
    <s v="BADECON"/>
    <x v="5"/>
    <s v="C26"/>
    <x v="16"/>
    <n v="100"/>
    <n v="99.999999999999005"/>
    <n v="100"/>
    <n v="198"/>
  </r>
  <r>
    <x v="0"/>
    <x v="1"/>
    <n v="5626"/>
    <s v="Millones de dólares"/>
    <s v="BADECON"/>
    <x v="5"/>
    <s v="C26"/>
    <x v="16"/>
    <n v="100"/>
    <n v="100"/>
    <n v="100"/>
    <n v="5626"/>
  </r>
  <r>
    <x v="0"/>
    <x v="0"/>
    <n v="3"/>
    <s v="Millones de dólares"/>
    <s v="BADECON"/>
    <x v="5"/>
    <s v="C19"/>
    <x v="9"/>
    <n v="99.999999999999005"/>
    <n v="99.999999999999005"/>
    <n v="99.999999999999005"/>
    <n v="3.0000000000000302"/>
  </r>
  <r>
    <x v="0"/>
    <x v="1"/>
    <n v="16466"/>
    <s v="Millones de dólares"/>
    <s v="BADECON"/>
    <x v="5"/>
    <s v="C19"/>
    <x v="9"/>
    <n v="100"/>
    <n v="100"/>
    <n v="100"/>
    <n v="16466"/>
  </r>
  <r>
    <x v="0"/>
    <x v="1"/>
    <n v="517"/>
    <s v="Millones de dólares"/>
    <s v="BADECON"/>
    <x v="5"/>
    <s v="C12"/>
    <x v="24"/>
    <n v="100"/>
    <n v="100"/>
    <n v="100"/>
    <n v="517"/>
  </r>
  <r>
    <x v="0"/>
    <x v="0"/>
    <n v="11"/>
    <s v="Millones de dólares"/>
    <s v="BADECON"/>
    <x v="5"/>
    <s v="CXX"/>
    <x v="0"/>
    <m/>
    <n v="99.999999999999005"/>
    <n v="99.999999999999005"/>
    <n v="11.00000000000011"/>
  </r>
  <r>
    <x v="1"/>
    <x v="0"/>
    <n v="7853"/>
    <s v="Millones de dólares"/>
    <s v="BADECON"/>
    <x v="5"/>
    <s v="C10"/>
    <x v="1"/>
    <n v="98.723825004638996"/>
    <n v="95.003435419368998"/>
    <n v="98.723825004638996"/>
    <n v="7954.5135124484796"/>
  </r>
  <r>
    <x v="1"/>
    <x v="1"/>
    <n v="22168"/>
    <s v="Millones de dólares"/>
    <s v="BADECON"/>
    <x v="5"/>
    <s v="C10"/>
    <x v="1"/>
    <n v="96.7"/>
    <n v="94.3"/>
    <n v="96.7"/>
    <n v="22924.508790072388"/>
  </r>
  <r>
    <x v="1"/>
    <x v="0"/>
    <n v="3042"/>
    <s v="Millones de dólares"/>
    <s v="BADECON"/>
    <x v="5"/>
    <s v="C11"/>
    <x v="2"/>
    <n v="90.846967636214998"/>
    <n v="95.003435419368998"/>
    <n v="90.846967636214998"/>
    <n v="3348.4882095143762"/>
  </r>
  <r>
    <x v="1"/>
    <x v="1"/>
    <n v="9890"/>
    <s v="Millones de dólares"/>
    <s v="BADECON"/>
    <x v="5"/>
    <s v="C11"/>
    <x v="2"/>
    <n v="96.4"/>
    <n v="94.3"/>
    <n v="96.4"/>
    <n v="10259.33609958506"/>
  </r>
  <r>
    <x v="1"/>
    <x v="0"/>
    <n v="789"/>
    <s v="Millones de dólares"/>
    <s v="BADECON"/>
    <x v="5"/>
    <s v="C23"/>
    <x v="13"/>
    <n v="89.385379074143003"/>
    <n v="95.003435419368998"/>
    <n v="89.385379074143003"/>
    <n v="882.6946959027199"/>
  </r>
  <r>
    <x v="1"/>
    <x v="1"/>
    <n v="9351"/>
    <s v="Millones de dólares"/>
    <s v="BADECON"/>
    <x v="5"/>
    <s v="C23"/>
    <x v="13"/>
    <n v="95.9"/>
    <n v="94.3"/>
    <n v="95.9"/>
    <n v="9750.7820646506771"/>
  </r>
  <r>
    <x v="1"/>
    <x v="0"/>
    <n v="177"/>
    <s v="Millones de dólares"/>
    <s v="BADECON"/>
    <x v="5"/>
    <s v="C14"/>
    <x v="4"/>
    <n v="111.61986215915999"/>
    <n v="95.003435419368998"/>
    <n v="111.61986215915999"/>
    <n v="158.57392813083189"/>
  </r>
  <r>
    <x v="1"/>
    <x v="1"/>
    <n v="1632"/>
    <s v="Millones de dólares"/>
    <s v="BADECON"/>
    <x v="5"/>
    <s v="C14"/>
    <x v="4"/>
    <n v="96.6"/>
    <n v="94.3"/>
    <n v="96.6"/>
    <n v="1689.4409937888199"/>
  </r>
  <r>
    <x v="1"/>
    <x v="0"/>
    <n v="1306"/>
    <s v="Millones de dólares"/>
    <s v="BADECON"/>
    <x v="5"/>
    <s v="C22"/>
    <x v="12"/>
    <n v="96.253026824776995"/>
    <n v="95.003435419368998"/>
    <n v="96.253026824776995"/>
    <n v="1356.840447602232"/>
  </r>
  <r>
    <x v="1"/>
    <x v="1"/>
    <n v="6249"/>
    <s v="Millones de dólares"/>
    <s v="BADECON"/>
    <x v="5"/>
    <s v="C22"/>
    <x v="12"/>
    <n v="95.4"/>
    <n v="94.3"/>
    <n v="95.4"/>
    <n v="6550.3144654088046"/>
  </r>
  <r>
    <x v="1"/>
    <x v="0"/>
    <n v="2171"/>
    <s v="Millones de dólares"/>
    <s v="BADECON"/>
    <x v="5"/>
    <s v="C17"/>
    <x v="7"/>
    <n v="76.712843517501994"/>
    <n v="95.003435419368998"/>
    <n v="76.712843517501994"/>
    <n v="2830.0345815035362"/>
  </r>
  <r>
    <x v="1"/>
    <x v="1"/>
    <n v="3188"/>
    <s v="Millones de dólares"/>
    <s v="BADECON"/>
    <x v="5"/>
    <s v="C17"/>
    <x v="7"/>
    <n v="93.7"/>
    <n v="94.3"/>
    <n v="93.7"/>
    <n v="3402.3479188900742"/>
  </r>
  <r>
    <x v="1"/>
    <x v="0"/>
    <n v="197"/>
    <s v="Millones de dólares"/>
    <s v="BADECON"/>
    <x v="5"/>
    <s v="C27"/>
    <x v="17"/>
    <n v="98.189528995325006"/>
    <n v="95.003435419368998"/>
    <n v="98.189528995325006"/>
    <n v="200.63239126992809"/>
  </r>
  <r>
    <x v="1"/>
    <x v="1"/>
    <n v="11570"/>
    <s v="Millones de dólares"/>
    <s v="BADECON"/>
    <x v="5"/>
    <s v="C27"/>
    <x v="17"/>
    <n v="94.3"/>
    <n v="94.3"/>
    <n v="94.3"/>
    <n v="12269.353128313889"/>
  </r>
  <r>
    <x v="1"/>
    <x v="0"/>
    <n v="439"/>
    <s v="Millones de dólares"/>
    <s v="BADECON"/>
    <x v="5"/>
    <s v="C28"/>
    <x v="18"/>
    <n v="98.189528995325006"/>
    <n v="95.003435419368998"/>
    <n v="98.189528995325006"/>
    <n v="447.09451658628649"/>
  </r>
  <r>
    <x v="1"/>
    <x v="1"/>
    <n v="13720"/>
    <s v="Millones de dólares"/>
    <s v="BADECON"/>
    <x v="5"/>
    <s v="C28"/>
    <x v="18"/>
    <n v="96.3"/>
    <n v="94.3"/>
    <n v="96.3"/>
    <n v="14247.144340602281"/>
  </r>
  <r>
    <x v="1"/>
    <x v="0"/>
    <n v="196"/>
    <s v="Millones de dólares"/>
    <s v="BADECON"/>
    <x v="5"/>
    <s v="C18"/>
    <x v="8"/>
    <n v="76.712843517501994"/>
    <n v="95.003435419368998"/>
    <n v="76.712843517501994"/>
    <n v="255.49828557102401"/>
  </r>
  <r>
    <x v="1"/>
    <x v="1"/>
    <n v="312"/>
    <s v="Millones de dólares"/>
    <s v="BADECON"/>
    <x v="5"/>
    <s v="C18"/>
    <x v="8"/>
    <n v="96.5"/>
    <n v="94.3"/>
    <n v="96.5"/>
    <n v="323.31606217616581"/>
  </r>
  <r>
    <x v="1"/>
    <x v="0"/>
    <n v="2567"/>
    <s v="Millones de dólares"/>
    <s v="BADECON"/>
    <x v="5"/>
    <s v="C25"/>
    <x v="15"/>
    <n v="98.189528995325006"/>
    <n v="95.003435419368998"/>
    <n v="98.189528995325006"/>
    <n v="2614.3317177152562"/>
  </r>
  <r>
    <x v="1"/>
    <x v="1"/>
    <n v="6732"/>
    <s v="Millones de dólares"/>
    <s v="BADECON"/>
    <x v="5"/>
    <s v="C25"/>
    <x v="15"/>
    <n v="90.2"/>
    <n v="94.3"/>
    <n v="90.2"/>
    <n v="7463.4146341463402"/>
  </r>
  <r>
    <x v="1"/>
    <x v="0"/>
    <n v="235"/>
    <s v="Millones de dólares"/>
    <s v="BADECON"/>
    <x v="5"/>
    <s v="C31"/>
    <x v="21"/>
    <n v="102.38170475517001"/>
    <n v="95.003435419368998"/>
    <n v="102.38170475517001"/>
    <n v="229.53319693393081"/>
  </r>
  <r>
    <x v="1"/>
    <x v="1"/>
    <n v="377"/>
    <s v="Millones de dólares"/>
    <s v="BADECON"/>
    <x v="5"/>
    <s v="C31"/>
    <x v="21"/>
    <n v="96.7"/>
    <n v="94.3"/>
    <n v="96.7"/>
    <n v="389.86556359875902"/>
  </r>
  <r>
    <x v="1"/>
    <x v="0"/>
    <n v="160"/>
    <s v="Millones de dólares"/>
    <s v="BADECON"/>
    <x v="5"/>
    <s v="C15"/>
    <x v="5"/>
    <n v="111.61986215915999"/>
    <n v="95.003435419368998"/>
    <n v="111.61986215915999"/>
    <n v="143.34366384707971"/>
  </r>
  <r>
    <x v="1"/>
    <x v="1"/>
    <n v="986"/>
    <s v="Millones de dólares"/>
    <s v="BADECON"/>
    <x v="5"/>
    <s v="C15"/>
    <x v="5"/>
    <n v="97.8"/>
    <n v="94.3"/>
    <n v="97.8"/>
    <n v="1008.179959100205"/>
  </r>
  <r>
    <x v="1"/>
    <x v="0"/>
    <n v="1131"/>
    <s v="Millones de dólares"/>
    <s v="BADECON"/>
    <x v="5"/>
    <s v="C16"/>
    <x v="6"/>
    <n v="102.38170475517001"/>
    <n v="95.003435419368998"/>
    <n v="102.38170475517001"/>
    <n v="1104.6895563075559"/>
  </r>
  <r>
    <x v="1"/>
    <x v="1"/>
    <n v="459"/>
    <s v="Millones de dólares"/>
    <s v="BADECON"/>
    <x v="5"/>
    <s v="C16"/>
    <x v="6"/>
    <n v="98.6"/>
    <n v="94.3"/>
    <n v="98.6"/>
    <n v="465.51724137931041"/>
  </r>
  <r>
    <x v="1"/>
    <x v="0"/>
    <n v="3174"/>
    <s v="Millones de dólares"/>
    <s v="BADECON"/>
    <x v="5"/>
    <s v="C20"/>
    <x v="10"/>
    <n v="96.253026824776995"/>
    <n v="95.003435419368998"/>
    <n v="96.253026824776995"/>
    <n v="3297.5586375876592"/>
  </r>
  <r>
    <x v="1"/>
    <x v="1"/>
    <n v="12965"/>
    <s v="Millones de dólares"/>
    <s v="BADECON"/>
    <x v="5"/>
    <s v="C20"/>
    <x v="10"/>
    <n v="96.1"/>
    <n v="94.3"/>
    <n v="96.1"/>
    <n v="13491.155046826219"/>
  </r>
  <r>
    <x v="1"/>
    <x v="0"/>
    <n v="869"/>
    <s v="Millones de dólares"/>
    <s v="BADECON"/>
    <x v="5"/>
    <s v="C33"/>
    <x v="23"/>
    <n v="98.189528995325006"/>
    <n v="95.003435419368998"/>
    <n v="98.189528995325006"/>
    <n v="885.02308636328701"/>
  </r>
  <r>
    <x v="1"/>
    <x v="0"/>
    <n v="218"/>
    <s v="Millones de dólares"/>
    <s v="BADECON"/>
    <x v="5"/>
    <s v="C13"/>
    <x v="3"/>
    <n v="111.61986215915999"/>
    <n v="95.003435419368998"/>
    <n v="111.61986215915999"/>
    <n v="195.3057419916461"/>
  </r>
  <r>
    <x v="1"/>
    <x v="1"/>
    <n v="5495"/>
    <s v="Millones de dólares"/>
    <s v="BADECON"/>
    <x v="5"/>
    <s v="C13"/>
    <x v="3"/>
    <n v="97.5"/>
    <n v="94.3"/>
    <n v="97.5"/>
    <n v="5635.8974358974356"/>
  </r>
  <r>
    <x v="1"/>
    <x v="0"/>
    <n v="237"/>
    <s v="Millones de dólares"/>
    <s v="BADECON"/>
    <x v="5"/>
    <s v="C24"/>
    <x v="14"/>
    <n v="89.385379074143003"/>
    <n v="95.003435419368998"/>
    <n v="89.385379074143003"/>
    <n v="265.14403413047478"/>
  </r>
  <r>
    <x v="1"/>
    <x v="1"/>
    <n v="9389"/>
    <s v="Millones de dólares"/>
    <s v="BADECON"/>
    <x v="5"/>
    <s v="C24"/>
    <x v="14"/>
    <n v="89.3"/>
    <n v="94.3"/>
    <n v="89.3"/>
    <n v="10513.997760358339"/>
  </r>
  <r>
    <x v="1"/>
    <x v="0"/>
    <n v="28"/>
    <s v="Millones de dólares"/>
    <s v="BADECON"/>
    <x v="5"/>
    <s v="C29"/>
    <x v="19"/>
    <n v="98.189528995325006"/>
    <n v="95.003435419368998"/>
    <n v="98.189528995325006"/>
    <n v="28.516278962223289"/>
  </r>
  <r>
    <x v="1"/>
    <x v="1"/>
    <n v="18146"/>
    <s v="Millones de dólares"/>
    <s v="BADECON"/>
    <x v="5"/>
    <s v="C29"/>
    <x v="19"/>
    <n v="97"/>
    <n v="94.3"/>
    <n v="97"/>
    <n v="18707.216494845361"/>
  </r>
  <r>
    <x v="1"/>
    <x v="0"/>
    <n v="583"/>
    <s v="Millones de dólares"/>
    <s v="BADECON"/>
    <x v="5"/>
    <s v="C21"/>
    <x v="11"/>
    <n v="96.253026824776995"/>
    <n v="95.003435419368998"/>
    <n v="96.253026824776995"/>
    <n v="605.69523809502368"/>
  </r>
  <r>
    <x v="1"/>
    <x v="1"/>
    <n v="1230"/>
    <s v="Millones de dólares"/>
    <s v="BADECON"/>
    <x v="5"/>
    <s v="C21"/>
    <x v="11"/>
    <n v="96.1"/>
    <n v="94.3"/>
    <n v="96.1"/>
    <n v="1279.9167533818941"/>
  </r>
  <r>
    <x v="1"/>
    <x v="0"/>
    <n v="31"/>
    <s v="Millones de dólares"/>
    <s v="BADECON"/>
    <x v="5"/>
    <s v="C32"/>
    <x v="22"/>
    <m/>
    <n v="95.003435419368998"/>
    <n v="95.003435419368998"/>
    <n v="32.630398956793741"/>
  </r>
  <r>
    <x v="1"/>
    <x v="1"/>
    <n v="237"/>
    <s v="Millones de dólares"/>
    <s v="BADECON"/>
    <x v="5"/>
    <s v="C32"/>
    <x v="22"/>
    <n v="95.9"/>
    <n v="94.3"/>
    <n v="95.9"/>
    <n v="247.1324296141814"/>
  </r>
  <r>
    <x v="1"/>
    <x v="0"/>
    <n v="21"/>
    <s v="Millones de dólares"/>
    <s v="BADECON"/>
    <x v="5"/>
    <s v="C30"/>
    <x v="20"/>
    <n v="98.189528995325006"/>
    <n v="95.003435419368998"/>
    <n v="98.189528995325006"/>
    <n v="21.387209221667469"/>
  </r>
  <r>
    <x v="1"/>
    <x v="1"/>
    <n v="454"/>
    <s v="Millones de dólares"/>
    <s v="BADECON"/>
    <x v="5"/>
    <s v="C30"/>
    <x v="20"/>
    <n v="97"/>
    <n v="94.3"/>
    <n v="97"/>
    <n v="468.04123711340208"/>
  </r>
  <r>
    <x v="1"/>
    <x v="0"/>
    <n v="-1"/>
    <s v="Millones de dólares"/>
    <s v="BADECON"/>
    <x v="5"/>
    <s v="C26"/>
    <x v="16"/>
    <n v="98.189528995325006"/>
    <n v="95.003435419368998"/>
    <n v="98.189528995325006"/>
    <n v="-1.018438534365117"/>
  </r>
  <r>
    <x v="1"/>
    <x v="1"/>
    <n v="5221"/>
    <s v="Millones de dólares"/>
    <s v="BADECON"/>
    <x v="5"/>
    <s v="C26"/>
    <x v="16"/>
    <n v="95.5"/>
    <n v="94.3"/>
    <n v="95.5"/>
    <n v="5467.0157068062827"/>
  </r>
  <r>
    <x v="1"/>
    <x v="1"/>
    <n v="15813"/>
    <s v="Millones de dólares"/>
    <s v="BADECON"/>
    <x v="5"/>
    <s v="C19"/>
    <x v="9"/>
    <n v="64.099999999999994"/>
    <n v="94.3"/>
    <n v="64.099999999999994"/>
    <n v="24669.266770670831"/>
  </r>
  <r>
    <x v="1"/>
    <x v="1"/>
    <n v="546"/>
    <s v="Millones de dólares"/>
    <s v="BADECON"/>
    <x v="5"/>
    <s v="C12"/>
    <x v="24"/>
    <n v="96.4"/>
    <n v="94.3"/>
    <n v="96.4"/>
    <n v="566.39004149377593"/>
  </r>
  <r>
    <x v="1"/>
    <x v="0"/>
    <n v="978"/>
    <s v="Millones de dólares"/>
    <s v="BADECON"/>
    <x v="5"/>
    <s v="CXX"/>
    <x v="0"/>
    <m/>
    <n v="95.003435419368998"/>
    <n v="95.003435419368998"/>
    <n v="1029.4364574111059"/>
  </r>
  <r>
    <x v="2"/>
    <x v="0"/>
    <n v="5717"/>
    <s v="Millones de dólares"/>
    <s v="BADECON"/>
    <x v="5"/>
    <s v="C10"/>
    <x v="1"/>
    <n v="96.618124512281994"/>
    <n v="95.629262636448004"/>
    <n v="96.618124512281994"/>
    <n v="5917.1092679130415"/>
  </r>
  <r>
    <x v="2"/>
    <x v="1"/>
    <n v="20779"/>
    <s v="Millones de dólares"/>
    <s v="BADECON"/>
    <x v="5"/>
    <s v="C10"/>
    <x v="1"/>
    <n v="92.1"/>
    <n v="87.8"/>
    <n v="92.1"/>
    <n v="22561.346362649299"/>
  </r>
  <r>
    <x v="2"/>
    <x v="0"/>
    <n v="731"/>
    <s v="Millones de dólares"/>
    <s v="BADECON"/>
    <x v="5"/>
    <s v="C23"/>
    <x v="13"/>
    <n v="89.680336785110001"/>
    <n v="95.629262636448004"/>
    <n v="89.680336785110001"/>
    <n v="815.11736708973979"/>
  </r>
  <r>
    <x v="2"/>
    <x v="1"/>
    <n v="8376"/>
    <s v="Millones de dólares"/>
    <s v="BADECON"/>
    <x v="5"/>
    <s v="C23"/>
    <x v="13"/>
    <n v="87.6"/>
    <n v="87.8"/>
    <n v="87.6"/>
    <n v="9561.6438356164399"/>
  </r>
  <r>
    <x v="2"/>
    <x v="0"/>
    <n v="123"/>
    <s v="Millones de dólares"/>
    <s v="BADECON"/>
    <x v="5"/>
    <s v="C14"/>
    <x v="4"/>
    <n v="117.9376128321"/>
    <n v="95.629262636448004"/>
    <n v="117.9376128321"/>
    <n v="104.2924280442296"/>
  </r>
  <r>
    <x v="2"/>
    <x v="1"/>
    <n v="1588"/>
    <s v="Millones de dólares"/>
    <s v="BADECON"/>
    <x v="5"/>
    <s v="C14"/>
    <x v="4"/>
    <n v="95.2"/>
    <n v="87.8"/>
    <n v="95.2"/>
    <n v="1668.067226890757"/>
  </r>
  <r>
    <x v="2"/>
    <x v="0"/>
    <n v="534"/>
    <s v="Millones de dólares"/>
    <s v="BADECON"/>
    <x v="5"/>
    <s v="C33"/>
    <x v="23"/>
    <n v="101.10423088160999"/>
    <n v="95.629262636448004"/>
    <n v="101.10423088160999"/>
    <n v="528.16780795780733"/>
  </r>
  <r>
    <x v="2"/>
    <x v="0"/>
    <n v="126"/>
    <s v="Millones de dólares"/>
    <s v="BADECON"/>
    <x v="5"/>
    <s v="C13"/>
    <x v="3"/>
    <n v="117.9376128321"/>
    <n v="95.629262636448004"/>
    <n v="117.9376128321"/>
    <n v="106.83614580140591"/>
  </r>
  <r>
    <x v="2"/>
    <x v="1"/>
    <n v="5428"/>
    <s v="Millones de dólares"/>
    <s v="BADECON"/>
    <x v="5"/>
    <s v="C13"/>
    <x v="3"/>
    <n v="88.8"/>
    <n v="87.8"/>
    <n v="88.8"/>
    <n v="6112.6126126126128"/>
  </r>
  <r>
    <x v="2"/>
    <x v="0"/>
    <n v="673"/>
    <s v="Millones de dólares"/>
    <s v="BADECON"/>
    <x v="5"/>
    <s v="C25"/>
    <x v="15"/>
    <n v="101.10423088160999"/>
    <n v="95.629262636448004"/>
    <n v="101.10423088160999"/>
    <n v="665.64969055356619"/>
  </r>
  <r>
    <x v="2"/>
    <x v="1"/>
    <n v="6385"/>
    <s v="Millones de dólares"/>
    <s v="BADECON"/>
    <x v="5"/>
    <s v="C25"/>
    <x v="15"/>
    <n v="84.2"/>
    <n v="87.8"/>
    <n v="84.2"/>
    <n v="7583.13539192399"/>
  </r>
  <r>
    <x v="2"/>
    <x v="0"/>
    <n v="371"/>
    <s v="Millones de dólares"/>
    <s v="BADECON"/>
    <x v="5"/>
    <s v="C28"/>
    <x v="18"/>
    <n v="101.10423088160999"/>
    <n v="95.629262636448004"/>
    <n v="101.10423088160999"/>
    <n v="366.94804635270879"/>
  </r>
  <r>
    <x v="2"/>
    <x v="1"/>
    <n v="12122"/>
    <s v="Millones de dólares"/>
    <s v="BADECON"/>
    <x v="5"/>
    <s v="C28"/>
    <x v="18"/>
    <n v="91.6"/>
    <n v="87.8"/>
    <n v="91.6"/>
    <n v="13233.62445414847"/>
  </r>
  <r>
    <x v="2"/>
    <x v="0"/>
    <n v="167"/>
    <s v="Millones de dólares"/>
    <s v="BADECON"/>
    <x v="5"/>
    <s v="C31"/>
    <x v="21"/>
    <n v="106.15763962638999"/>
    <n v="95.629262636448004"/>
    <n v="106.15763962638999"/>
    <n v="157.31321889572709"/>
  </r>
  <r>
    <x v="2"/>
    <x v="1"/>
    <n v="350"/>
    <s v="Millones de dólares"/>
    <s v="BADECON"/>
    <x v="5"/>
    <s v="C31"/>
    <x v="21"/>
    <n v="91.8"/>
    <n v="87.8"/>
    <n v="91.8"/>
    <n v="381.26361655773422"/>
  </r>
  <r>
    <x v="2"/>
    <x v="0"/>
    <n v="1048"/>
    <s v="Millones de dólares"/>
    <s v="BADECON"/>
    <x v="5"/>
    <s v="C11"/>
    <x v="2"/>
    <n v="96.059679698527006"/>
    <n v="95.629262636448004"/>
    <n v="96.059679698527006"/>
    <n v="1090.988438946534"/>
  </r>
  <r>
    <x v="2"/>
    <x v="1"/>
    <n v="9173"/>
    <s v="Millones de dólares"/>
    <s v="BADECON"/>
    <x v="5"/>
    <s v="C11"/>
    <x v="2"/>
    <n v="89.6"/>
    <n v="87.8"/>
    <n v="89.6"/>
    <n v="10237.723214285719"/>
  </r>
  <r>
    <x v="2"/>
    <x v="0"/>
    <n v="743"/>
    <s v="Millones de dólares"/>
    <s v="BADECON"/>
    <x v="5"/>
    <s v="C22"/>
    <x v="12"/>
    <n v="101.63829571143999"/>
    <n v="95.629262636448004"/>
    <n v="101.63829571143999"/>
    <n v="731.02367055567515"/>
  </r>
  <r>
    <x v="2"/>
    <x v="1"/>
    <n v="5871"/>
    <s v="Millones de dólares"/>
    <s v="BADECON"/>
    <x v="5"/>
    <s v="C22"/>
    <x v="12"/>
    <n v="89.1"/>
    <n v="87.8"/>
    <n v="89.1"/>
    <n v="6589.2255892255907"/>
  </r>
  <r>
    <x v="2"/>
    <x v="0"/>
    <n v="17"/>
    <s v="Millones de dólares"/>
    <s v="BADECON"/>
    <x v="5"/>
    <s v="C29"/>
    <x v="19"/>
    <n v="101.10423088160999"/>
    <n v="95.629262636448004"/>
    <n v="101.10423088160999"/>
    <n v="16.814330964948919"/>
  </r>
  <r>
    <x v="2"/>
    <x v="1"/>
    <n v="14887"/>
    <s v="Millones de dólares"/>
    <s v="BADECON"/>
    <x v="5"/>
    <s v="C29"/>
    <x v="19"/>
    <n v="93.3"/>
    <n v="87.8"/>
    <n v="93.3"/>
    <n v="15956.055734190781"/>
  </r>
  <r>
    <x v="2"/>
    <x v="0"/>
    <n v="237"/>
    <s v="Millones de dólares"/>
    <s v="BADECON"/>
    <x v="5"/>
    <s v="C27"/>
    <x v="17"/>
    <n v="101.10423088160999"/>
    <n v="95.629262636448004"/>
    <n v="101.10423088160999"/>
    <n v="234.41155521722911"/>
  </r>
  <r>
    <x v="2"/>
    <x v="1"/>
    <n v="10340"/>
    <s v="Millones de dólares"/>
    <s v="BADECON"/>
    <x v="5"/>
    <s v="C27"/>
    <x v="17"/>
    <n v="90.7"/>
    <n v="87.8"/>
    <n v="90.7"/>
    <n v="11400.220507166479"/>
  </r>
  <r>
    <x v="2"/>
    <x v="0"/>
    <n v="3035"/>
    <s v="Millones de dólares"/>
    <s v="BADECON"/>
    <x v="5"/>
    <s v="C20"/>
    <x v="10"/>
    <n v="101.63829571143999"/>
    <n v="95.629262636448004"/>
    <n v="101.63829571143999"/>
    <n v="2986.0791926466668"/>
  </r>
  <r>
    <x v="2"/>
    <x v="1"/>
    <n v="12155"/>
    <s v="Millones de dólares"/>
    <s v="BADECON"/>
    <x v="5"/>
    <s v="C20"/>
    <x v="10"/>
    <n v="103.7"/>
    <n v="87.8"/>
    <n v="103.7"/>
    <n v="11721.311475409841"/>
  </r>
  <r>
    <x v="2"/>
    <x v="0"/>
    <n v="146"/>
    <s v="Millones de dólares"/>
    <s v="BADECON"/>
    <x v="5"/>
    <s v="C15"/>
    <x v="5"/>
    <n v="117.9376128321"/>
    <n v="95.629262636448004"/>
    <n v="117.9376128321"/>
    <n v="123.7942641825815"/>
  </r>
  <r>
    <x v="2"/>
    <x v="1"/>
    <n v="949"/>
    <s v="Millones de dólares"/>
    <s v="BADECON"/>
    <x v="5"/>
    <s v="C15"/>
    <x v="5"/>
    <n v="93.8"/>
    <n v="87.8"/>
    <n v="93.8"/>
    <n v="1011.727078891258"/>
  </r>
  <r>
    <x v="2"/>
    <x v="0"/>
    <n v="1268"/>
    <s v="Millones de dólares"/>
    <s v="BADECON"/>
    <x v="5"/>
    <s v="C17"/>
    <x v="7"/>
    <n v="66.424574274145002"/>
    <n v="95.629262636448004"/>
    <n v="66.424574274145002"/>
    <n v="1908.9320689760959"/>
  </r>
  <r>
    <x v="2"/>
    <x v="1"/>
    <n v="2898"/>
    <s v="Millones de dólares"/>
    <s v="BADECON"/>
    <x v="5"/>
    <s v="C17"/>
    <x v="7"/>
    <n v="87.6"/>
    <n v="87.8"/>
    <n v="87.6"/>
    <n v="3308.2191780821918"/>
  </r>
  <r>
    <x v="2"/>
    <x v="0"/>
    <n v="198"/>
    <s v="Millones de dólares"/>
    <s v="BADECON"/>
    <x v="5"/>
    <s v="C18"/>
    <x v="8"/>
    <n v="66.424574274145002"/>
    <n v="95.629262636448004"/>
    <n v="66.424574274145002"/>
    <n v="298.08245241109393"/>
  </r>
  <r>
    <x v="2"/>
    <x v="1"/>
    <n v="312"/>
    <s v="Millones de dólares"/>
    <s v="BADECON"/>
    <x v="5"/>
    <s v="C18"/>
    <x v="8"/>
    <n v="93.1"/>
    <n v="87.8"/>
    <n v="93.1"/>
    <n v="335.12352309344789"/>
  </r>
  <r>
    <x v="2"/>
    <x v="0"/>
    <n v="401"/>
    <s v="Millones de dólares"/>
    <s v="BADECON"/>
    <x v="5"/>
    <s v="C21"/>
    <x v="11"/>
    <n v="101.63829571143999"/>
    <n v="95.629262636448004"/>
    <n v="101.63829571143999"/>
    <n v="394.53632825413962"/>
  </r>
  <r>
    <x v="2"/>
    <x v="1"/>
    <n v="1159"/>
    <s v="Millones de dólares"/>
    <s v="BADECON"/>
    <x v="5"/>
    <s v="C21"/>
    <x v="11"/>
    <n v="103.7"/>
    <n v="87.8"/>
    <n v="103.7"/>
    <n v="1117.6470588235291"/>
  </r>
  <r>
    <x v="2"/>
    <x v="0"/>
    <n v="22"/>
    <s v="Millones de dólares"/>
    <s v="BADECON"/>
    <x v="5"/>
    <s v="C26"/>
    <x v="16"/>
    <n v="101.10423088160999"/>
    <n v="95.629262636448004"/>
    <n v="101.10423088160999"/>
    <n v="21.75972242522802"/>
  </r>
  <r>
    <x v="2"/>
    <x v="1"/>
    <n v="4806"/>
    <s v="Millones de dólares"/>
    <s v="BADECON"/>
    <x v="5"/>
    <s v="C26"/>
    <x v="16"/>
    <n v="91.8"/>
    <n v="87.8"/>
    <n v="91.8"/>
    <n v="5235.2941176470586"/>
  </r>
  <r>
    <x v="2"/>
    <x v="0"/>
    <n v="40"/>
    <s v="Millones de dólares"/>
    <s v="BADECON"/>
    <x v="5"/>
    <s v="C32"/>
    <x v="22"/>
    <m/>
    <n v="95.629262636448004"/>
    <n v="95.629262636448004"/>
    <n v="41.828200800906792"/>
  </r>
  <r>
    <x v="2"/>
    <x v="1"/>
    <n v="234"/>
    <s v="Millones de dólares"/>
    <s v="BADECON"/>
    <x v="5"/>
    <s v="C32"/>
    <x v="22"/>
    <n v="91.1"/>
    <n v="87.8"/>
    <n v="91.1"/>
    <n v="256.86059275521399"/>
  </r>
  <r>
    <x v="2"/>
    <x v="0"/>
    <n v="907"/>
    <s v="Millones de dólares"/>
    <s v="BADECON"/>
    <x v="5"/>
    <s v="C16"/>
    <x v="6"/>
    <n v="106.15763962638999"/>
    <n v="95.629262636448004"/>
    <n v="106.15763962638999"/>
    <n v="854.3897577151165"/>
  </r>
  <r>
    <x v="2"/>
    <x v="1"/>
    <n v="439"/>
    <s v="Millones de dólares"/>
    <s v="BADECON"/>
    <x v="5"/>
    <s v="C16"/>
    <x v="6"/>
    <n v="91.8"/>
    <n v="87.8"/>
    <n v="91.8"/>
    <n v="478.21350762527243"/>
  </r>
  <r>
    <x v="2"/>
    <x v="0"/>
    <n v="266"/>
    <s v="Millones de dólares"/>
    <s v="BADECON"/>
    <x v="5"/>
    <s v="C24"/>
    <x v="14"/>
    <n v="89.680336785110001"/>
    <n v="95.629262636448004"/>
    <n v="89.680336785110001"/>
    <n v="296.60905560310641"/>
  </r>
  <r>
    <x v="2"/>
    <x v="1"/>
    <n v="8255"/>
    <s v="Millones de dólares"/>
    <s v="BADECON"/>
    <x v="5"/>
    <s v="C24"/>
    <x v="14"/>
    <n v="80.900000000000006"/>
    <n v="87.8"/>
    <n v="80.900000000000006"/>
    <n v="10203.955500618051"/>
  </r>
  <r>
    <x v="2"/>
    <x v="0"/>
    <n v="40"/>
    <s v="Millones de dólares"/>
    <s v="BADECON"/>
    <x v="5"/>
    <s v="C30"/>
    <x v="20"/>
    <n v="101.10423088160999"/>
    <n v="95.629262636448004"/>
    <n v="101.10423088160999"/>
    <n v="39.563131682232758"/>
  </r>
  <r>
    <x v="2"/>
    <x v="1"/>
    <n v="433"/>
    <s v="Millones de dólares"/>
    <s v="BADECON"/>
    <x v="5"/>
    <s v="C30"/>
    <x v="20"/>
    <n v="93.3"/>
    <n v="87.8"/>
    <n v="93.3"/>
    <n v="464.09431939978572"/>
  </r>
  <r>
    <x v="2"/>
    <x v="1"/>
    <n v="15253"/>
    <s v="Millones de dólares"/>
    <s v="BADECON"/>
    <x v="5"/>
    <s v="C19"/>
    <x v="9"/>
    <n v="17.7"/>
    <n v="87.8"/>
    <n v="17.7"/>
    <n v="86175.141242937854"/>
  </r>
  <r>
    <x v="2"/>
    <x v="1"/>
    <n v="609"/>
    <s v="Millones de dólares"/>
    <s v="BADECON"/>
    <x v="5"/>
    <s v="C12"/>
    <x v="24"/>
    <n v="89.6"/>
    <n v="87.8"/>
    <n v="89.6"/>
    <n v="679.6875"/>
  </r>
  <r>
    <x v="2"/>
    <x v="0"/>
    <n v="393"/>
    <s v="Millones de dólares"/>
    <s v="BADECON"/>
    <x v="5"/>
    <s v="CXX"/>
    <x v="0"/>
    <m/>
    <n v="95.629262636448004"/>
    <n v="95.629262636448004"/>
    <n v="410.96207286890922"/>
  </r>
  <r>
    <x v="3"/>
    <x v="0"/>
    <n v="138"/>
    <s v="Millones de dólares"/>
    <s v="BADECON"/>
    <x v="5"/>
    <s v="C14"/>
    <x v="4"/>
    <n v="107.52442116425"/>
    <n v="96.211353938038002"/>
    <n v="107.52442116425"/>
    <n v="128.3429368935609"/>
  </r>
  <r>
    <x v="3"/>
    <x v="1"/>
    <n v="1808"/>
    <s v="Millones de dólares"/>
    <s v="BADECON"/>
    <x v="5"/>
    <s v="C14"/>
    <x v="4"/>
    <n v="90.7"/>
    <n v="81.900000000000006"/>
    <n v="90.7"/>
    <n v="1993.3847850055131"/>
  </r>
  <r>
    <x v="3"/>
    <x v="0"/>
    <n v="6146"/>
    <s v="Millones de dólares"/>
    <s v="BADECON"/>
    <x v="5"/>
    <s v="C10"/>
    <x v="1"/>
    <n v="92.136318280468004"/>
    <n v="96.211353938038002"/>
    <n v="92.136318280468004"/>
    <n v="6670.5508910082981"/>
  </r>
  <r>
    <x v="3"/>
    <x v="1"/>
    <n v="22258"/>
    <s v="Millones de dólares"/>
    <s v="BADECON"/>
    <x v="5"/>
    <s v="C10"/>
    <x v="1"/>
    <n v="87.2"/>
    <n v="81.900000000000006"/>
    <n v="87.2"/>
    <n v="25525.229357798169"/>
  </r>
  <r>
    <x v="3"/>
    <x v="1"/>
    <n v="5014"/>
    <s v="Millones de dólares"/>
    <s v="BADECON"/>
    <x v="5"/>
    <s v="C26"/>
    <x v="16"/>
    <n v="83.4"/>
    <n v="81.900000000000006"/>
    <n v="83.4"/>
    <n v="6011.9904076738603"/>
  </r>
  <r>
    <x v="3"/>
    <x v="0"/>
    <n v="4"/>
    <s v="Millones de dólares"/>
    <s v="BADECON"/>
    <x v="5"/>
    <s v="C30"/>
    <x v="20"/>
    <n v="95.958177771508005"/>
    <n v="96.211353938038002"/>
    <n v="95.958177771508005"/>
    <n v="4.168482658689757"/>
  </r>
  <r>
    <x v="3"/>
    <x v="1"/>
    <n v="512"/>
    <s v="Millones de dólares"/>
    <s v="BADECON"/>
    <x v="5"/>
    <s v="C30"/>
    <x v="20"/>
    <n v="82.9"/>
    <n v="81.900000000000006"/>
    <n v="82.9"/>
    <n v="617.61158021712902"/>
  </r>
  <r>
    <x v="3"/>
    <x v="1"/>
    <n v="21767"/>
    <s v="Millones de dólares"/>
    <s v="BADECON"/>
    <x v="5"/>
    <s v="C19"/>
    <x v="9"/>
    <n v="47.6"/>
    <n v="81.900000000000006"/>
    <n v="47.6"/>
    <n v="45728.991596638647"/>
  </r>
  <r>
    <x v="3"/>
    <x v="1"/>
    <n v="624"/>
    <s v="Millones de dólares"/>
    <s v="BADECON"/>
    <x v="5"/>
    <s v="C12"/>
    <x v="24"/>
    <n v="80"/>
    <n v="81.900000000000006"/>
    <n v="80"/>
    <n v="780"/>
  </r>
  <r>
    <x v="3"/>
    <x v="0"/>
    <n v="194"/>
    <s v="Millones de dólares"/>
    <s v="BADECON"/>
    <x v="5"/>
    <s v="CXX"/>
    <x v="0"/>
    <m/>
    <n v="96.211353938038002"/>
    <n v="96.211353938038002"/>
    <n v="201.6394033129809"/>
  </r>
  <r>
    <x v="3"/>
    <x v="0"/>
    <n v="684"/>
    <s v="Millones de dólares"/>
    <s v="BADECON"/>
    <x v="5"/>
    <s v="C23"/>
    <x v="13"/>
    <n v="93.364041500221006"/>
    <n v="96.211353938038002"/>
    <n v="93.364041500221006"/>
    <n v="732.6161003841944"/>
  </r>
  <r>
    <x v="3"/>
    <x v="1"/>
    <n v="8548"/>
    <s v="Millones de dólares"/>
    <s v="BADECON"/>
    <x v="5"/>
    <s v="C23"/>
    <x v="13"/>
    <n v="80.2"/>
    <n v="81.900000000000006"/>
    <n v="80.2"/>
    <n v="10658.35411471322"/>
  </r>
  <r>
    <x v="3"/>
    <x v="0"/>
    <n v="1156"/>
    <s v="Millones de dólares"/>
    <s v="BADECON"/>
    <x v="5"/>
    <s v="C33"/>
    <x v="23"/>
    <n v="95.958177771508005"/>
    <n v="96.211353938038002"/>
    <n v="95.958177771508005"/>
    <n v="1204.6914883613399"/>
  </r>
  <r>
    <x v="3"/>
    <x v="0"/>
    <n v="135"/>
    <s v="Millones de dólares"/>
    <s v="BADECON"/>
    <x v="5"/>
    <s v="C13"/>
    <x v="3"/>
    <n v="107.52442116425"/>
    <n v="96.211353938038002"/>
    <n v="107.52442116425"/>
    <n v="125.5528730480487"/>
  </r>
  <r>
    <x v="3"/>
    <x v="1"/>
    <n v="5724"/>
    <s v="Millones de dólares"/>
    <s v="BADECON"/>
    <x v="5"/>
    <s v="C13"/>
    <x v="3"/>
    <n v="84.5"/>
    <n v="81.900000000000006"/>
    <n v="84.5"/>
    <n v="6773.9644970414201"/>
  </r>
  <r>
    <x v="3"/>
    <x v="0"/>
    <n v="923"/>
    <s v="Millones de dólares"/>
    <s v="BADECON"/>
    <x v="5"/>
    <s v="C25"/>
    <x v="15"/>
    <n v="95.958177771508005"/>
    <n v="96.211353938038002"/>
    <n v="95.958177771508005"/>
    <n v="961.87737349266126"/>
  </r>
  <r>
    <x v="3"/>
    <x v="1"/>
    <n v="6676"/>
    <s v="Millones de dólares"/>
    <s v="BADECON"/>
    <x v="5"/>
    <s v="C25"/>
    <x v="15"/>
    <n v="76"/>
    <n v="81.900000000000006"/>
    <n v="76"/>
    <n v="8784.2105263157882"/>
  </r>
  <r>
    <x v="3"/>
    <x v="0"/>
    <n v="207"/>
    <s v="Millones de dólares"/>
    <s v="BADECON"/>
    <x v="5"/>
    <s v="C18"/>
    <x v="8"/>
    <n v="72.105553335238"/>
    <n v="96.211353938038002"/>
    <n v="72.105553335238"/>
    <n v="287.07913666177922"/>
  </r>
  <r>
    <x v="3"/>
    <x v="1"/>
    <n v="390"/>
    <s v="Millones de dólares"/>
    <s v="BADECON"/>
    <x v="5"/>
    <s v="C18"/>
    <x v="8"/>
    <n v="88.6"/>
    <n v="81.900000000000006"/>
    <n v="88.6"/>
    <n v="440.18058690744931"/>
  </r>
  <r>
    <x v="3"/>
    <x v="0"/>
    <n v="816"/>
    <s v="Millones de dólares"/>
    <s v="BADECON"/>
    <x v="5"/>
    <s v="C28"/>
    <x v="18"/>
    <n v="95.958177771508005"/>
    <n v="96.211353938038002"/>
    <n v="95.958177771508005"/>
    <n v="850.37046237271034"/>
  </r>
  <r>
    <x v="3"/>
    <x v="1"/>
    <n v="11997"/>
    <s v="Millones de dólares"/>
    <s v="BADECON"/>
    <x v="5"/>
    <s v="C28"/>
    <x v="18"/>
    <n v="82.9"/>
    <n v="81.900000000000006"/>
    <n v="82.9"/>
    <n v="14471.652593486129"/>
  </r>
  <r>
    <x v="3"/>
    <x v="0"/>
    <n v="192"/>
    <s v="Millones de dólares"/>
    <s v="BADECON"/>
    <x v="5"/>
    <s v="C31"/>
    <x v="21"/>
    <n v="107.1615082093"/>
    <n v="96.211353938038002"/>
    <n v="107.1615082093"/>
    <n v="179.1688108989654"/>
  </r>
  <r>
    <x v="3"/>
    <x v="1"/>
    <n v="405"/>
    <s v="Millones de dólares"/>
    <s v="BADECON"/>
    <x v="5"/>
    <s v="C31"/>
    <x v="21"/>
    <n v="85.5"/>
    <n v="81.900000000000006"/>
    <n v="85.5"/>
    <n v="473.68421052631572"/>
  </r>
  <r>
    <x v="3"/>
    <x v="0"/>
    <n v="616"/>
    <s v="Millones de dólares"/>
    <s v="BADECON"/>
    <x v="5"/>
    <s v="C11"/>
    <x v="2"/>
    <n v="100.22588687651999"/>
    <n v="96.211353938038002"/>
    <n v="100.22588687651999"/>
    <n v="614.61167288938293"/>
  </r>
  <r>
    <x v="3"/>
    <x v="1"/>
    <n v="9743"/>
    <s v="Millones de dólares"/>
    <s v="BADECON"/>
    <x v="5"/>
    <s v="C11"/>
    <x v="2"/>
    <n v="80"/>
    <n v="81.900000000000006"/>
    <n v="80"/>
    <n v="12178.75"/>
  </r>
  <r>
    <x v="3"/>
    <x v="0"/>
    <n v="713"/>
    <s v="Millones de dólares"/>
    <s v="BADECON"/>
    <x v="5"/>
    <s v="C22"/>
    <x v="12"/>
    <n v="109.79561218418"/>
    <n v="96.211353938038002"/>
    <n v="109.79561218418"/>
    <n v="649.38842802201998"/>
  </r>
  <r>
    <x v="3"/>
    <x v="1"/>
    <n v="5960"/>
    <s v="Millones de dólares"/>
    <s v="BADECON"/>
    <x v="5"/>
    <s v="C22"/>
    <x v="12"/>
    <n v="81.900000000000006"/>
    <n v="81.900000000000006"/>
    <n v="81.900000000000006"/>
    <n v="7277.1672771672766"/>
  </r>
  <r>
    <x v="3"/>
    <x v="0"/>
    <n v="1700"/>
    <s v="Millones de dólares"/>
    <s v="BADECON"/>
    <x v="5"/>
    <s v="C17"/>
    <x v="7"/>
    <n v="72.105553335238"/>
    <n v="96.211353938038002"/>
    <n v="72.105553335238"/>
    <n v="2357.6547455315199"/>
  </r>
  <r>
    <x v="3"/>
    <x v="1"/>
    <n v="3157"/>
    <s v="Millones de dólares"/>
    <s v="BADECON"/>
    <x v="5"/>
    <s v="C17"/>
    <x v="7"/>
    <n v="82"/>
    <n v="81.900000000000006"/>
    <n v="82"/>
    <n v="3850"/>
  </r>
  <r>
    <x v="3"/>
    <x v="0"/>
    <n v="209"/>
    <s v="Millones de dólares"/>
    <s v="BADECON"/>
    <x v="5"/>
    <s v="C27"/>
    <x v="17"/>
    <n v="95.958177771508005"/>
    <n v="96.211353938038002"/>
    <n v="95.958177771508005"/>
    <n v="217.80321891653981"/>
  </r>
  <r>
    <x v="3"/>
    <x v="1"/>
    <n v="10575"/>
    <s v="Millones de dólares"/>
    <s v="BADECON"/>
    <x v="5"/>
    <s v="C27"/>
    <x v="17"/>
    <n v="84.9"/>
    <n v="81.900000000000006"/>
    <n v="84.9"/>
    <n v="12455.830388692581"/>
  </r>
  <r>
    <x v="3"/>
    <x v="0"/>
    <n v="2401"/>
    <s v="Millones de dólares"/>
    <s v="BADECON"/>
    <x v="5"/>
    <s v="C20"/>
    <x v="10"/>
    <n v="109.79561218418"/>
    <n v="96.211353938038002"/>
    <n v="109.79561218418"/>
    <n v="2186.790484825905"/>
  </r>
  <r>
    <x v="3"/>
    <x v="1"/>
    <n v="12796"/>
    <s v="Millones de dólares"/>
    <s v="BADECON"/>
    <x v="5"/>
    <s v="C20"/>
    <x v="10"/>
    <n v="95.7"/>
    <n v="81.900000000000006"/>
    <n v="95.7"/>
    <n v="13370.95088819227"/>
  </r>
  <r>
    <x v="3"/>
    <x v="0"/>
    <n v="1160"/>
    <s v="Millones de dólares"/>
    <s v="BADECON"/>
    <x v="5"/>
    <s v="C16"/>
    <x v="6"/>
    <n v="107.1615082093"/>
    <n v="96.211353938038002"/>
    <n v="107.1615082093"/>
    <n v="1082.4782325145829"/>
  </r>
  <r>
    <x v="3"/>
    <x v="1"/>
    <n v="457"/>
    <s v="Millones de dólares"/>
    <s v="BADECON"/>
    <x v="5"/>
    <s v="C16"/>
    <x v="6"/>
    <n v="85.2"/>
    <n v="81.900000000000006"/>
    <n v="85.2"/>
    <n v="536.38497652582157"/>
  </r>
  <r>
    <x v="3"/>
    <x v="0"/>
    <n v="20"/>
    <s v="Millones de dólares"/>
    <s v="BADECON"/>
    <x v="5"/>
    <s v="C32"/>
    <x v="22"/>
    <m/>
    <n v="96.211353938038002"/>
    <n v="96.211353938038002"/>
    <n v="20.787567351853699"/>
  </r>
  <r>
    <x v="3"/>
    <x v="1"/>
    <n v="266"/>
    <s v="Millones de dólares"/>
    <s v="BADECON"/>
    <x v="5"/>
    <s v="C32"/>
    <x v="22"/>
    <n v="86.4"/>
    <n v="81.900000000000006"/>
    <n v="86.4"/>
    <n v="307.87037037037038"/>
  </r>
  <r>
    <x v="3"/>
    <x v="0"/>
    <n v="22"/>
    <s v="Millones de dólares"/>
    <s v="BADECON"/>
    <x v="5"/>
    <s v="C29"/>
    <x v="19"/>
    <n v="95.958177771508005"/>
    <n v="96.211353938038002"/>
    <n v="95.958177771508005"/>
    <n v="22.926654622793659"/>
  </r>
  <r>
    <x v="3"/>
    <x v="1"/>
    <n v="15698"/>
    <s v="Millones de dólares"/>
    <s v="BADECON"/>
    <x v="5"/>
    <s v="C29"/>
    <x v="19"/>
    <n v="82.9"/>
    <n v="81.900000000000006"/>
    <n v="82.9"/>
    <n v="18936.06755126658"/>
  </r>
  <r>
    <x v="3"/>
    <x v="0"/>
    <n v="452"/>
    <s v="Millones de dólares"/>
    <s v="BADECON"/>
    <x v="5"/>
    <s v="C21"/>
    <x v="11"/>
    <n v="109.79561218418"/>
    <n v="96.211353938038002"/>
    <n v="109.79561218418"/>
    <n v="411.67401047118238"/>
  </r>
  <r>
    <x v="3"/>
    <x v="1"/>
    <n v="1124"/>
    <s v="Millones de dólares"/>
    <s v="BADECON"/>
    <x v="5"/>
    <s v="C21"/>
    <x v="11"/>
    <n v="95.7"/>
    <n v="81.900000000000006"/>
    <n v="95.7"/>
    <n v="1174.503657262278"/>
  </r>
  <r>
    <x v="3"/>
    <x v="0"/>
    <n v="269"/>
    <s v="Millones de dólares"/>
    <s v="BADECON"/>
    <x v="5"/>
    <s v="C24"/>
    <x v="14"/>
    <n v="93.364041500221006"/>
    <n v="96.211353938038002"/>
    <n v="93.364041500221006"/>
    <n v="288.11948977097711"/>
  </r>
  <r>
    <x v="3"/>
    <x v="1"/>
    <n v="8728"/>
    <s v="Millones de dólares"/>
    <s v="BADECON"/>
    <x v="5"/>
    <s v="C24"/>
    <x v="14"/>
    <n v="73.2"/>
    <n v="81.900000000000006"/>
    <n v="73.2"/>
    <n v="11923.49726775956"/>
  </r>
  <r>
    <x v="3"/>
    <x v="0"/>
    <n v="163"/>
    <s v="Millones de dólares"/>
    <s v="BADECON"/>
    <x v="5"/>
    <s v="C15"/>
    <x v="5"/>
    <n v="107.52442116425"/>
    <n v="96.211353938038002"/>
    <n v="107.52442116425"/>
    <n v="151.59346893949581"/>
  </r>
  <r>
    <x v="3"/>
    <x v="1"/>
    <n v="1106"/>
    <s v="Millones de dólares"/>
    <s v="BADECON"/>
    <x v="5"/>
    <s v="C15"/>
    <x v="5"/>
    <n v="90.8"/>
    <n v="81.900000000000006"/>
    <n v="90.8"/>
    <n v="1218.061674008811"/>
  </r>
  <r>
    <x v="3"/>
    <x v="0"/>
    <n v="18"/>
    <s v="Millones de dólares"/>
    <s v="BADECON"/>
    <x v="5"/>
    <s v="C26"/>
    <x v="16"/>
    <n v="95.958177771508005"/>
    <n v="96.211353938038002"/>
    <n v="95.958177771508005"/>
    <n v="18.758171964103909"/>
  </r>
  <r>
    <x v="4"/>
    <x v="1"/>
    <n v="29395"/>
    <s v="Millones de dólares"/>
    <s v="BADECON"/>
    <x v="6"/>
    <s v="C27"/>
    <x v="17"/>
    <n v="107.4"/>
    <n v="108.6"/>
    <n v="107.4"/>
    <n v="27369.64618249534"/>
  </r>
  <r>
    <x v="4"/>
    <x v="0"/>
    <n v="96"/>
    <s v="Millones de dólares"/>
    <s v="BADECON"/>
    <x v="6"/>
    <s v="C30"/>
    <x v="20"/>
    <n v="113.44450268036999"/>
    <n v="103.59652904204"/>
    <n v="113.44450268036999"/>
    <n v="84.622875266578674"/>
  </r>
  <r>
    <x v="4"/>
    <x v="1"/>
    <n v="1445"/>
    <s v="Millones de dólares"/>
    <s v="BADECON"/>
    <x v="6"/>
    <s v="C30"/>
    <x v="20"/>
    <n v="111.5"/>
    <n v="108.6"/>
    <n v="111.5"/>
    <n v="1295.9641255605379"/>
  </r>
  <r>
    <x v="4"/>
    <x v="0"/>
    <n v="15"/>
    <s v="Millones de dólares"/>
    <s v="BADECON"/>
    <x v="6"/>
    <s v="C26"/>
    <x v="16"/>
    <n v="113.44450268036999"/>
    <n v="103.59652904204"/>
    <n v="113.44450268036999"/>
    <n v="13.222324260402919"/>
  </r>
  <r>
    <x v="4"/>
    <x v="1"/>
    <n v="9869"/>
    <s v="Millones de dólares"/>
    <s v="BADECON"/>
    <x v="6"/>
    <s v="C26"/>
    <x v="16"/>
    <n v="109.4"/>
    <n v="108.6"/>
    <n v="109.4"/>
    <n v="9021.0237659963423"/>
  </r>
  <r>
    <x v="4"/>
    <x v="0"/>
    <n v="68"/>
    <s v="Millones de dólares"/>
    <s v="BADECON"/>
    <x v="6"/>
    <s v="C29"/>
    <x v="19"/>
    <n v="113.44450268036999"/>
    <n v="103.59652904204"/>
    <n v="113.44450268036999"/>
    <n v="59.941203313826563"/>
  </r>
  <r>
    <x v="4"/>
    <x v="1"/>
    <n v="71950"/>
    <s v="Millones de dólares"/>
    <s v="BADECON"/>
    <x v="6"/>
    <s v="C29"/>
    <x v="19"/>
    <n v="111.5"/>
    <n v="108.6"/>
    <n v="111.5"/>
    <n v="64529.147982062786"/>
  </r>
  <r>
    <x v="4"/>
    <x v="0"/>
    <n v="67"/>
    <s v="Millones de dólares"/>
    <s v="BADECON"/>
    <x v="6"/>
    <s v="C32"/>
    <x v="22"/>
    <m/>
    <n v="103.59652904204"/>
    <n v="103.59652904204"/>
    <n v="64.673981473656369"/>
  </r>
  <r>
    <x v="4"/>
    <x v="1"/>
    <n v="589"/>
    <s v="Millones de dólares"/>
    <s v="BADECON"/>
    <x v="6"/>
    <s v="C32"/>
    <x v="22"/>
    <n v="112.5"/>
    <n v="108.6"/>
    <n v="112.5"/>
    <n v="523.55555555555554"/>
  </r>
  <r>
    <x v="4"/>
    <x v="0"/>
    <n v="81"/>
    <s v="Millones de dólares"/>
    <s v="BADECON"/>
    <x v="6"/>
    <s v="C15"/>
    <x v="5"/>
    <n v="71.728747032472995"/>
    <n v="103.59652904204"/>
    <n v="71.728747032472995"/>
    <n v="112.9254355486368"/>
  </r>
  <r>
    <x v="4"/>
    <x v="1"/>
    <n v="1931"/>
    <s v="Millones de dólares"/>
    <s v="BADECON"/>
    <x v="6"/>
    <s v="C15"/>
    <x v="5"/>
    <n v="105.1"/>
    <n v="108.6"/>
    <n v="105.1"/>
    <n v="1837.2978116079919"/>
  </r>
  <r>
    <x v="4"/>
    <x v="0"/>
    <n v="1285"/>
    <s v="Millones de dólares"/>
    <s v="BADECON"/>
    <x v="6"/>
    <s v="C21"/>
    <x v="11"/>
    <n v="100.20302658438"/>
    <n v="103.59652904204"/>
    <n v="100.20302658438"/>
    <n v="1282.396394402233"/>
  </r>
  <r>
    <x v="4"/>
    <x v="1"/>
    <n v="2357"/>
    <s v="Millones de dólares"/>
    <s v="BADECON"/>
    <x v="6"/>
    <s v="C21"/>
    <x v="11"/>
    <n v="103.9"/>
    <n v="108.6"/>
    <n v="103.9"/>
    <n v="2268.527430221367"/>
  </r>
  <r>
    <x v="4"/>
    <x v="1"/>
    <n v="21029"/>
    <s v="Millones de dólares"/>
    <s v="BADECON"/>
    <x v="6"/>
    <s v="C19"/>
    <x v="9"/>
    <n v="100.6"/>
    <n v="108.6"/>
    <n v="100.6"/>
    <n v="20903.578528827042"/>
  </r>
  <r>
    <x v="4"/>
    <x v="1"/>
    <n v="651"/>
    <s v="Millones de dólares"/>
    <s v="BADECON"/>
    <x v="6"/>
    <s v="C12"/>
    <x v="24"/>
    <n v="109.5"/>
    <n v="108.6"/>
    <n v="109.5"/>
    <n v="594.52054794520541"/>
  </r>
  <r>
    <x v="4"/>
    <x v="0"/>
    <n v="2916"/>
    <s v="Millones de dólares"/>
    <s v="BADECON"/>
    <x v="6"/>
    <s v="CXX"/>
    <x v="0"/>
    <m/>
    <n v="103.59652904204"/>
    <n v="103.59652904204"/>
    <n v="2814.7661190624181"/>
  </r>
  <r>
    <x v="5"/>
    <x v="0"/>
    <n v="24241"/>
    <s v="Millones de dólares"/>
    <s v="BADECON"/>
    <x v="6"/>
    <s v="C10"/>
    <x v="1"/>
    <n v="101.52099705321"/>
    <n v="98.151526954033002"/>
    <n v="101.52099705321"/>
    <n v="23877.81907549097"/>
  </r>
  <r>
    <x v="5"/>
    <x v="1"/>
    <n v="67752"/>
    <s v="Millones de dólares"/>
    <s v="BADECON"/>
    <x v="6"/>
    <s v="C10"/>
    <x v="1"/>
    <n v="102.3"/>
    <n v="102.4"/>
    <n v="102.3"/>
    <n v="66228.739002932547"/>
  </r>
  <r>
    <x v="5"/>
    <x v="0"/>
    <n v="1500"/>
    <s v="Millones de dólares"/>
    <s v="BADECON"/>
    <x v="6"/>
    <s v="C33"/>
    <x v="23"/>
    <n v="106.59709315790001"/>
    <n v="98.151526954033002"/>
    <n v="106.59709315790001"/>
    <n v="1407.167827529858"/>
  </r>
  <r>
    <x v="5"/>
    <x v="0"/>
    <n v="2652"/>
    <s v="Millones de dólares"/>
    <s v="BADECON"/>
    <x v="6"/>
    <s v="C25"/>
    <x v="15"/>
    <n v="106.59709315790001"/>
    <n v="98.151526954033002"/>
    <n v="106.59709315790001"/>
    <n v="2487.8727190727882"/>
  </r>
  <r>
    <x v="5"/>
    <x v="1"/>
    <n v="21632"/>
    <s v="Millones de dólares"/>
    <s v="BADECON"/>
    <x v="6"/>
    <s v="C25"/>
    <x v="15"/>
    <n v="104.2"/>
    <n v="102.4"/>
    <n v="104.2"/>
    <n v="20760.076775431859"/>
  </r>
  <r>
    <x v="5"/>
    <x v="0"/>
    <n v="1071"/>
    <s v="Millones de dólares"/>
    <s v="BADECON"/>
    <x v="6"/>
    <s v="C28"/>
    <x v="18"/>
    <n v="106.59709315790001"/>
    <n v="98.151526954033002"/>
    <n v="106.59709315790001"/>
    <n v="1004.717828856318"/>
  </r>
  <r>
    <x v="5"/>
    <x v="1"/>
    <n v="44628"/>
    <s v="Millones de dólares"/>
    <s v="BADECON"/>
    <x v="6"/>
    <s v="C28"/>
    <x v="18"/>
    <n v="102.7"/>
    <n v="102.4"/>
    <n v="102.7"/>
    <n v="43454.722492697183"/>
  </r>
  <r>
    <x v="5"/>
    <x v="0"/>
    <n v="2726"/>
    <s v="Millones de dólares"/>
    <s v="BADECON"/>
    <x v="6"/>
    <s v="C23"/>
    <x v="13"/>
    <n v="96.894683830418003"/>
    <n v="98.151526954033002"/>
    <n v="96.894683830418003"/>
    <n v="2813.3638423042471"/>
  </r>
  <r>
    <x v="5"/>
    <x v="1"/>
    <n v="24657"/>
    <s v="Millones de dólares"/>
    <s v="BADECON"/>
    <x v="6"/>
    <s v="C23"/>
    <x v="13"/>
    <n v="104.4"/>
    <n v="102.4"/>
    <n v="104.4"/>
    <n v="23617.816091954021"/>
  </r>
  <r>
    <x v="5"/>
    <x v="0"/>
    <n v="4977"/>
    <s v="Millones de dólares"/>
    <s v="BADECON"/>
    <x v="6"/>
    <s v="C11"/>
    <x v="2"/>
    <n v="111.60809989866"/>
    <n v="98.151526954033002"/>
    <n v="111.60809989866"/>
    <n v="4459.3537606312711"/>
  </r>
  <r>
    <x v="5"/>
    <x v="1"/>
    <n v="26489"/>
    <s v="Millones de dólares"/>
    <s v="BADECON"/>
    <x v="6"/>
    <s v="C11"/>
    <x v="2"/>
    <n v="104.9"/>
    <n v="102.4"/>
    <n v="104.9"/>
    <n v="25251.668255481411"/>
  </r>
  <r>
    <x v="5"/>
    <x v="0"/>
    <n v="600"/>
    <s v="Millones de dólares"/>
    <s v="BADECON"/>
    <x v="6"/>
    <s v="C31"/>
    <x v="21"/>
    <n v="97.634045562563003"/>
    <n v="98.151526954033002"/>
    <n v="97.634045562563003"/>
    <n v="614.53973001203303"/>
  </r>
  <r>
    <x v="4"/>
    <x v="0"/>
    <n v="9308"/>
    <s v="Millones de dólares"/>
    <s v="BADECON"/>
    <x v="6"/>
    <s v="C20"/>
    <x v="10"/>
    <n v="100.20302658438"/>
    <n v="103.59652904204"/>
    <n v="100.20302658438"/>
    <n v="9289.1405751719722"/>
  </r>
  <r>
    <x v="4"/>
    <x v="1"/>
    <n v="36177"/>
    <s v="Millones de dólares"/>
    <s v="BADECON"/>
    <x v="6"/>
    <s v="C20"/>
    <x v="10"/>
    <n v="103.9"/>
    <n v="108.6"/>
    <n v="103.9"/>
    <n v="34819.056785370551"/>
  </r>
  <r>
    <x v="4"/>
    <x v="0"/>
    <n v="23451"/>
    <s v="Millones de dólares"/>
    <s v="BADECON"/>
    <x v="6"/>
    <s v="C10"/>
    <x v="1"/>
    <n v="107.43342807145"/>
    <n v="103.59652904204"/>
    <n v="107.43342807145"/>
    <n v="21828.40147705573"/>
  </r>
  <r>
    <x v="4"/>
    <x v="1"/>
    <n v="63817"/>
    <s v="Millones de dólares"/>
    <s v="BADECON"/>
    <x v="6"/>
    <s v="C10"/>
    <x v="1"/>
    <n v="107.1"/>
    <n v="108.6"/>
    <n v="107.1"/>
    <n v="59586.367880485537"/>
  </r>
  <r>
    <x v="4"/>
    <x v="0"/>
    <n v="2683"/>
    <s v="Millones de dólares"/>
    <s v="BADECON"/>
    <x v="6"/>
    <s v="C23"/>
    <x v="13"/>
    <n v="104.48191541983"/>
    <n v="103.59652904204"/>
    <n v="104.48191541983"/>
    <n v="2567.9085124149469"/>
  </r>
  <r>
    <x v="4"/>
    <x v="1"/>
    <n v="20683"/>
    <s v="Millones de dólares"/>
    <s v="BADECON"/>
    <x v="6"/>
    <s v="C23"/>
    <x v="13"/>
    <n v="108.2"/>
    <n v="108.6"/>
    <n v="108.2"/>
    <n v="19115.526802218112"/>
  </r>
  <r>
    <x v="4"/>
    <x v="0"/>
    <n v="2211"/>
    <s v="Millones de dólares"/>
    <s v="BADECON"/>
    <x v="6"/>
    <s v="C25"/>
    <x v="15"/>
    <n v="113.44450268036999"/>
    <n v="103.59652904204"/>
    <n v="113.44450268036999"/>
    <n v="1948.97059598339"/>
  </r>
  <r>
    <x v="4"/>
    <x v="1"/>
    <n v="18868"/>
    <s v="Millones de dólares"/>
    <s v="BADECON"/>
    <x v="6"/>
    <s v="C25"/>
    <x v="15"/>
    <n v="109.5"/>
    <n v="108.6"/>
    <n v="109.5"/>
    <n v="17231.050228310502"/>
  </r>
  <r>
    <x v="4"/>
    <x v="0"/>
    <n v="1398"/>
    <s v="Millones de dólares"/>
    <s v="BADECON"/>
    <x v="6"/>
    <s v="C33"/>
    <x v="23"/>
    <n v="113.44450268036999"/>
    <n v="103.59652904204"/>
    <n v="113.44450268036999"/>
    <n v="1232.3206210695521"/>
  </r>
  <r>
    <x v="4"/>
    <x v="0"/>
    <n v="2443"/>
    <s v="Millones de dólares"/>
    <s v="BADECON"/>
    <x v="6"/>
    <s v="C22"/>
    <x v="12"/>
    <n v="100.20302658438"/>
    <n v="103.59652904204"/>
    <n v="100.20302658438"/>
    <n v="2438.0501101359182"/>
  </r>
  <r>
    <x v="4"/>
    <x v="1"/>
    <n v="16418"/>
    <s v="Millones de dólares"/>
    <s v="BADECON"/>
    <x v="6"/>
    <s v="C22"/>
    <x v="12"/>
    <n v="105.6"/>
    <n v="108.6"/>
    <n v="105.6"/>
    <n v="15547.34848484848"/>
  </r>
  <r>
    <x v="4"/>
    <x v="0"/>
    <n v="1733"/>
    <s v="Millones de dólares"/>
    <s v="BADECON"/>
    <x v="6"/>
    <s v="C24"/>
    <x v="14"/>
    <n v="104.48191541983"/>
    <n v="103.59652904204"/>
    <n v="104.48191541983"/>
    <n v="1658.6602504715261"/>
  </r>
  <r>
    <x v="4"/>
    <x v="1"/>
    <n v="28321"/>
    <s v="Millones de dólares"/>
    <s v="BADECON"/>
    <x v="6"/>
    <s v="C24"/>
    <x v="14"/>
    <n v="111.8"/>
    <n v="108.6"/>
    <n v="111.8"/>
    <n v="25331.842576028619"/>
  </r>
  <r>
    <x v="4"/>
    <x v="0"/>
    <n v="929"/>
    <s v="Millones de dólares"/>
    <s v="BADECON"/>
    <x v="6"/>
    <s v="C28"/>
    <x v="18"/>
    <n v="113.44450268036999"/>
    <n v="103.59652904204"/>
    <n v="113.44450268036999"/>
    <n v="818.90261586095403"/>
  </r>
  <r>
    <x v="4"/>
    <x v="1"/>
    <n v="38202"/>
    <s v="Millones de dólares"/>
    <s v="BADECON"/>
    <x v="6"/>
    <s v="C28"/>
    <x v="18"/>
    <n v="110.3"/>
    <n v="108.6"/>
    <n v="110.3"/>
    <n v="34634.632819582963"/>
  </r>
  <r>
    <x v="4"/>
    <x v="0"/>
    <n v="4959"/>
    <s v="Millones de dólares"/>
    <s v="BADECON"/>
    <x v="6"/>
    <s v="C11"/>
    <x v="2"/>
    <n v="123.69234493793"/>
    <n v="103.59652904204"/>
    <n v="123.69234493793"/>
    <n v="4009.1405838319852"/>
  </r>
  <r>
    <x v="4"/>
    <x v="1"/>
    <n v="23596"/>
    <s v="Millones de dólares"/>
    <s v="BADECON"/>
    <x v="6"/>
    <s v="C11"/>
    <x v="2"/>
    <n v="109.5"/>
    <n v="108.6"/>
    <n v="109.5"/>
    <n v="21548.858447488579"/>
  </r>
  <r>
    <x v="4"/>
    <x v="0"/>
    <n v="477"/>
    <s v="Millones de dólares"/>
    <s v="BADECON"/>
    <x v="6"/>
    <s v="C31"/>
    <x v="21"/>
    <n v="110.87139466242"/>
    <n v="103.59652904204"/>
    <n v="110.87139466242"/>
    <n v="430.22819497523631"/>
  </r>
  <r>
    <x v="4"/>
    <x v="1"/>
    <n v="662"/>
    <s v="Millones de dólares"/>
    <s v="BADECON"/>
    <x v="6"/>
    <s v="C31"/>
    <x v="21"/>
    <n v="108.5"/>
    <n v="108.6"/>
    <n v="108.5"/>
    <n v="610.13824884792621"/>
  </r>
  <r>
    <x v="4"/>
    <x v="0"/>
    <n v="268"/>
    <s v="Millones de dólares"/>
    <s v="BADECON"/>
    <x v="6"/>
    <s v="C13"/>
    <x v="3"/>
    <n v="71.728747032472995"/>
    <n v="103.59652904204"/>
    <n v="71.728747032472995"/>
    <n v="373.62983613623032"/>
  </r>
  <r>
    <x v="4"/>
    <x v="1"/>
    <n v="11364"/>
    <s v="Millones de dólares"/>
    <s v="BADECON"/>
    <x v="6"/>
    <s v="C13"/>
    <x v="3"/>
    <n v="105.5"/>
    <n v="108.6"/>
    <n v="105.5"/>
    <n v="10771.563981042649"/>
  </r>
  <r>
    <x v="4"/>
    <x v="0"/>
    <n v="154"/>
    <s v="Millones de dólares"/>
    <s v="BADECON"/>
    <x v="6"/>
    <s v="C14"/>
    <x v="4"/>
    <n v="71.728747032472995"/>
    <n v="103.59652904204"/>
    <n v="71.728747032472995"/>
    <n v="214.69774166037109"/>
  </r>
  <r>
    <x v="4"/>
    <x v="1"/>
    <n v="2733"/>
    <s v="Millones de dólares"/>
    <s v="BADECON"/>
    <x v="6"/>
    <s v="C14"/>
    <x v="4"/>
    <n v="110.2"/>
    <n v="108.6"/>
    <n v="110.2"/>
    <n v="2480.0362976406532"/>
  </r>
  <r>
    <x v="4"/>
    <x v="0"/>
    <n v="4327"/>
    <s v="Millones de dólares"/>
    <s v="BADECON"/>
    <x v="6"/>
    <s v="C17"/>
    <x v="7"/>
    <n v="65.215368011810995"/>
    <n v="103.59652904204"/>
    <n v="65.215368011810995"/>
    <n v="6634.9391744846826"/>
  </r>
  <r>
    <x v="4"/>
    <x v="1"/>
    <n v="11074"/>
    <s v="Millones de dólares"/>
    <s v="BADECON"/>
    <x v="6"/>
    <s v="C17"/>
    <x v="7"/>
    <n v="107.4"/>
    <n v="108.6"/>
    <n v="107.4"/>
    <n v="10310.986964618251"/>
  </r>
  <r>
    <x v="4"/>
    <x v="0"/>
    <n v="3258"/>
    <s v="Millones de dólares"/>
    <s v="BADECON"/>
    <x v="6"/>
    <s v="C16"/>
    <x v="6"/>
    <n v="110.87139466242"/>
    <n v="103.59652904204"/>
    <n v="110.87139466242"/>
    <n v="2938.5397468119909"/>
  </r>
  <r>
    <x v="4"/>
    <x v="1"/>
    <n v="1210"/>
    <s v="Millones de dólares"/>
    <s v="BADECON"/>
    <x v="6"/>
    <s v="C16"/>
    <x v="6"/>
    <n v="108.1"/>
    <n v="108.6"/>
    <n v="108.1"/>
    <n v="1119.333950046253"/>
  </r>
  <r>
    <x v="4"/>
    <x v="0"/>
    <n v="280"/>
    <s v="Millones de dólares"/>
    <s v="BADECON"/>
    <x v="6"/>
    <s v="C18"/>
    <x v="8"/>
    <n v="65.215368011810995"/>
    <n v="103.59652904204"/>
    <n v="65.215368011810995"/>
    <n v="429.34665330615002"/>
  </r>
  <r>
    <x v="4"/>
    <x v="1"/>
    <n v="558"/>
    <s v="Millones de dólares"/>
    <s v="BADECON"/>
    <x v="6"/>
    <s v="C18"/>
    <x v="8"/>
    <n v="109.7"/>
    <n v="108.6"/>
    <n v="109.7"/>
    <n v="508.65998176845937"/>
  </r>
  <r>
    <x v="4"/>
    <x v="0"/>
    <n v="838"/>
    <s v="Millones de dólares"/>
    <s v="BADECON"/>
    <x v="6"/>
    <s v="C27"/>
    <x v="17"/>
    <n v="113.44450268036999"/>
    <n v="103.59652904204"/>
    <n v="113.44450268036999"/>
    <n v="738.68718201450974"/>
  </r>
  <r>
    <x v="5"/>
    <x v="1"/>
    <n v="808"/>
    <s v="Millones de dólares"/>
    <s v="BADECON"/>
    <x v="6"/>
    <s v="C31"/>
    <x v="21"/>
    <n v="104.2"/>
    <n v="102.4"/>
    <n v="104.2"/>
    <n v="775.43186180422254"/>
  </r>
  <r>
    <x v="5"/>
    <x v="0"/>
    <n v="282"/>
    <s v="Millones de dólares"/>
    <s v="BADECON"/>
    <x v="6"/>
    <s v="C13"/>
    <x v="3"/>
    <n v="84.562992854463005"/>
    <n v="98.151526954033002"/>
    <n v="84.562992854463005"/>
    <n v="333.47920938102982"/>
  </r>
  <r>
    <x v="5"/>
    <x v="1"/>
    <n v="14607"/>
    <s v="Millones de dólares"/>
    <s v="BADECON"/>
    <x v="6"/>
    <s v="C13"/>
    <x v="3"/>
    <n v="102.4"/>
    <n v="102.4"/>
    <n v="102.4"/>
    <n v="14264.6484375"/>
  </r>
  <r>
    <x v="5"/>
    <x v="0"/>
    <n v="252"/>
    <s v="Millones de dólares"/>
    <s v="BADECON"/>
    <x v="6"/>
    <s v="C14"/>
    <x v="4"/>
    <n v="84.562992854463005"/>
    <n v="98.151526954033002"/>
    <n v="84.562992854463005"/>
    <n v="298.00269774475009"/>
  </r>
  <r>
    <x v="5"/>
    <x v="1"/>
    <n v="4257"/>
    <s v="Millones de dólares"/>
    <s v="BADECON"/>
    <x v="6"/>
    <s v="C14"/>
    <x v="4"/>
    <n v="105.3"/>
    <n v="102.4"/>
    <n v="105.3"/>
    <n v="4042.735042735042"/>
  </r>
  <r>
    <x v="5"/>
    <x v="0"/>
    <n v="3447"/>
    <s v="Millones de dólares"/>
    <s v="BADECON"/>
    <x v="6"/>
    <s v="C16"/>
    <x v="6"/>
    <n v="97.634045562563003"/>
    <n v="98.151526954033002"/>
    <n v="97.634045562563003"/>
    <n v="3530.53074891913"/>
  </r>
  <r>
    <x v="5"/>
    <x v="1"/>
    <n v="1431"/>
    <s v="Millones de dólares"/>
    <s v="BADECON"/>
    <x v="6"/>
    <s v="C16"/>
    <x v="6"/>
    <n v="105.5"/>
    <n v="102.4"/>
    <n v="105.5"/>
    <n v="1356.3981042654029"/>
  </r>
  <r>
    <x v="5"/>
    <x v="0"/>
    <n v="5015"/>
    <s v="Millones de dólares"/>
    <s v="BADECON"/>
    <x v="6"/>
    <s v="C17"/>
    <x v="7"/>
    <n v="72.666250473058"/>
    <n v="98.151526954033002"/>
    <n v="72.666250473058"/>
    <n v="6901.4156741985462"/>
  </r>
  <r>
    <x v="5"/>
    <x v="1"/>
    <n v="12719"/>
    <s v="Millones de dólares"/>
    <s v="BADECON"/>
    <x v="6"/>
    <s v="C17"/>
    <x v="7"/>
    <n v="104.5"/>
    <n v="102.4"/>
    <n v="104.5"/>
    <n v="12171.291866028711"/>
  </r>
  <r>
    <x v="5"/>
    <x v="0"/>
    <n v="485"/>
    <s v="Millones de dólares"/>
    <s v="BADECON"/>
    <x v="6"/>
    <s v="C18"/>
    <x v="8"/>
    <n v="72.666250473058"/>
    <n v="98.151526954033002"/>
    <n v="72.666250473058"/>
    <n v="667.43501535120538"/>
  </r>
  <r>
    <x v="5"/>
    <x v="1"/>
    <n v="809"/>
    <s v="Millones de dólares"/>
    <s v="BADECON"/>
    <x v="6"/>
    <s v="C18"/>
    <x v="8"/>
    <n v="106"/>
    <n v="102.4"/>
    <n v="106"/>
    <n v="763.20754716981128"/>
  </r>
  <r>
    <x v="5"/>
    <x v="0"/>
    <n v="11398"/>
    <s v="Millones de dólares"/>
    <s v="BADECON"/>
    <x v="6"/>
    <s v="C20"/>
    <x v="10"/>
    <n v="94.527911873682996"/>
    <n v="98.151526954033002"/>
    <n v="94.527911873682996"/>
    <n v="12057.814220239061"/>
  </r>
  <r>
    <x v="5"/>
    <x v="1"/>
    <n v="42767"/>
    <s v="Millones de dólares"/>
    <s v="BADECON"/>
    <x v="6"/>
    <s v="C20"/>
    <x v="10"/>
    <n v="101.6"/>
    <n v="102.4"/>
    <n v="101.6"/>
    <n v="42093.503937007867"/>
  </r>
  <r>
    <x v="5"/>
    <x v="0"/>
    <n v="2770"/>
    <s v="Millones de dólares"/>
    <s v="BADECON"/>
    <x v="6"/>
    <s v="C22"/>
    <x v="12"/>
    <n v="94.527911873682996"/>
    <n v="98.151526954033002"/>
    <n v="94.527911873682996"/>
    <n v="2930.3514116566248"/>
  </r>
  <r>
    <x v="5"/>
    <x v="1"/>
    <n v="19711"/>
    <s v="Millones de dólares"/>
    <s v="BADECON"/>
    <x v="6"/>
    <s v="C22"/>
    <x v="12"/>
    <n v="103.4"/>
    <n v="102.4"/>
    <n v="103.4"/>
    <n v="19062.862669245649"/>
  </r>
  <r>
    <x v="5"/>
    <x v="0"/>
    <n v="671"/>
    <s v="Millones de dólares"/>
    <s v="BADECON"/>
    <x v="6"/>
    <s v="C27"/>
    <x v="17"/>
    <n v="106.59709315790001"/>
    <n v="98.151526954033002"/>
    <n v="106.59709315790001"/>
    <n v="629.4730748483563"/>
  </r>
  <r>
    <x v="5"/>
    <x v="1"/>
    <n v="33183"/>
    <s v="Millones de dólares"/>
    <s v="BADECON"/>
    <x v="6"/>
    <s v="C27"/>
    <x v="17"/>
    <n v="102.3"/>
    <n v="102.4"/>
    <n v="102.3"/>
    <n v="32436.950146627569"/>
  </r>
  <r>
    <x v="5"/>
    <x v="0"/>
    <n v="84"/>
    <s v="Millones de dólares"/>
    <s v="BADECON"/>
    <x v="6"/>
    <s v="C30"/>
    <x v="20"/>
    <n v="106.59709315790001"/>
    <n v="98.151526954033002"/>
    <n v="106.59709315790001"/>
    <n v="78.801398341672027"/>
  </r>
  <r>
    <x v="5"/>
    <x v="1"/>
    <n v="1929"/>
    <s v="Millones de dólares"/>
    <s v="BADECON"/>
    <x v="6"/>
    <s v="C30"/>
    <x v="20"/>
    <n v="102.2"/>
    <n v="102.4"/>
    <n v="102.2"/>
    <n v="1887.47553816047"/>
  </r>
  <r>
    <x v="5"/>
    <x v="0"/>
    <n v="212"/>
    <s v="Millones de dólares"/>
    <s v="BADECON"/>
    <x v="6"/>
    <s v="C15"/>
    <x v="5"/>
    <n v="84.562992854463005"/>
    <n v="98.151526954033002"/>
    <n v="84.562992854463005"/>
    <n v="250.7006822297104"/>
  </r>
  <r>
    <x v="5"/>
    <x v="1"/>
    <n v="2785"/>
    <s v="Millones de dólares"/>
    <s v="BADECON"/>
    <x v="6"/>
    <s v="C15"/>
    <x v="5"/>
    <n v="102.3"/>
    <n v="102.4"/>
    <n v="102.3"/>
    <n v="2722.385141739981"/>
  </r>
  <r>
    <x v="5"/>
    <x v="0"/>
    <n v="1325"/>
    <s v="Millones de dólares"/>
    <s v="BADECON"/>
    <x v="6"/>
    <s v="C21"/>
    <x v="11"/>
    <n v="94.527911873682996"/>
    <n v="98.151526954033002"/>
    <n v="94.527911873682996"/>
    <n v="1401.702390052357"/>
  </r>
  <r>
    <x v="5"/>
    <x v="1"/>
    <n v="2292"/>
    <s v="Millones de dólares"/>
    <s v="BADECON"/>
    <x v="6"/>
    <s v="C21"/>
    <x v="11"/>
    <n v="101.6"/>
    <n v="102.4"/>
    <n v="101.6"/>
    <n v="2255.9055118110241"/>
  </r>
  <r>
    <x v="5"/>
    <x v="0"/>
    <n v="1577"/>
    <s v="Millones de dólares"/>
    <s v="BADECON"/>
    <x v="6"/>
    <s v="C24"/>
    <x v="14"/>
    <n v="96.894683830418003"/>
    <n v="98.151526954033002"/>
    <n v="96.894683830418003"/>
    <n v="1627.5402712082901"/>
  </r>
  <r>
    <x v="5"/>
    <x v="1"/>
    <n v="32010"/>
    <s v="Millones de dólares"/>
    <s v="BADECON"/>
    <x v="6"/>
    <s v="C24"/>
    <x v="14"/>
    <n v="99"/>
    <n v="102.4"/>
    <n v="99"/>
    <n v="32333.333333333328"/>
  </r>
  <r>
    <x v="5"/>
    <x v="0"/>
    <n v="146"/>
    <s v="Millones de dólares"/>
    <s v="BADECON"/>
    <x v="6"/>
    <s v="C26"/>
    <x v="16"/>
    <n v="106.59709315790001"/>
    <n v="98.151526954033002"/>
    <n v="106.59709315790001"/>
    <n v="136.96433521290609"/>
  </r>
  <r>
    <x v="5"/>
    <x v="1"/>
    <n v="10942"/>
    <s v="Millones de dólares"/>
    <s v="BADECON"/>
    <x v="6"/>
    <s v="C26"/>
    <x v="16"/>
    <n v="103.9"/>
    <n v="102.4"/>
    <n v="103.9"/>
    <n v="10531.280076997111"/>
  </r>
  <r>
    <x v="5"/>
    <x v="0"/>
    <n v="94"/>
    <s v="Millones de dólares"/>
    <s v="BADECON"/>
    <x v="6"/>
    <s v="C29"/>
    <x v="19"/>
    <n v="106.59709315790001"/>
    <n v="98.151526954033002"/>
    <n v="106.59709315790001"/>
    <n v="88.182517191871085"/>
  </r>
  <r>
    <x v="5"/>
    <x v="1"/>
    <n v="86643"/>
    <s v="Millones de dólares"/>
    <s v="BADECON"/>
    <x v="6"/>
    <s v="C29"/>
    <x v="19"/>
    <n v="102.2"/>
    <n v="102.4"/>
    <n v="102.2"/>
    <n v="84777.886497064566"/>
  </r>
  <r>
    <x v="5"/>
    <x v="0"/>
    <n v="77"/>
    <s v="Millones de dólares"/>
    <s v="BADECON"/>
    <x v="6"/>
    <s v="C32"/>
    <x v="22"/>
    <m/>
    <n v="98.151526954033002"/>
    <n v="98.151526954033002"/>
    <n v="78.450129498302317"/>
  </r>
  <r>
    <x v="5"/>
    <x v="1"/>
    <n v="648"/>
    <s v="Millones de dólares"/>
    <s v="BADECON"/>
    <x v="6"/>
    <s v="C32"/>
    <x v="22"/>
    <n v="105.5"/>
    <n v="102.4"/>
    <n v="105.5"/>
    <n v="614.21800947867303"/>
  </r>
  <r>
    <x v="5"/>
    <x v="1"/>
    <n v="30157"/>
    <s v="Millones de dólares"/>
    <s v="BADECON"/>
    <x v="6"/>
    <s v="C19"/>
    <x v="9"/>
    <n v="92.1"/>
    <n v="102.4"/>
    <n v="92.1"/>
    <n v="32743.756786102062"/>
  </r>
  <r>
    <x v="5"/>
    <x v="1"/>
    <n v="1038"/>
    <s v="Millones de dólares"/>
    <s v="BADECON"/>
    <x v="6"/>
    <s v="C12"/>
    <x v="24"/>
    <n v="104.9"/>
    <n v="102.4"/>
    <n v="104.9"/>
    <n v="989.51382268827444"/>
  </r>
  <r>
    <x v="5"/>
    <x v="0"/>
    <n v="4044"/>
    <s v="Millones de dólares"/>
    <s v="BADECON"/>
    <x v="6"/>
    <s v="CXX"/>
    <x v="0"/>
    <m/>
    <n v="98.151526954033002"/>
    <n v="98.151526954033002"/>
    <n v="4120.1600479368126"/>
  </r>
  <r>
    <x v="0"/>
    <x v="0"/>
    <n v="2815"/>
    <s v="Millones de dólares"/>
    <s v="BADECON"/>
    <x v="6"/>
    <s v="C25"/>
    <x v="15"/>
    <n v="100"/>
    <n v="99.999999999999005"/>
    <n v="100"/>
    <n v="2815"/>
  </r>
  <r>
    <x v="0"/>
    <x v="1"/>
    <n v="21555"/>
    <s v="Millones de dólares"/>
    <s v="BADECON"/>
    <x v="6"/>
    <s v="C25"/>
    <x v="15"/>
    <n v="100"/>
    <n v="100"/>
    <n v="100"/>
    <n v="21555"/>
  </r>
  <r>
    <x v="0"/>
    <x v="0"/>
    <n v="26189"/>
    <s v="Millones de dólares"/>
    <s v="BADECON"/>
    <x v="6"/>
    <s v="C10"/>
    <x v="1"/>
    <n v="99.999999999999005"/>
    <n v="99.999999999999005"/>
    <n v="99.999999999999005"/>
    <n v="26189.000000000258"/>
  </r>
  <r>
    <x v="0"/>
    <x v="1"/>
    <n v="65436"/>
    <s v="Millones de dólares"/>
    <s v="BADECON"/>
    <x v="6"/>
    <s v="C10"/>
    <x v="1"/>
    <n v="100"/>
    <n v="100"/>
    <n v="100"/>
    <n v="65436"/>
  </r>
  <r>
    <x v="0"/>
    <x v="0"/>
    <n v="2438"/>
    <s v="Millones de dólares"/>
    <s v="BADECON"/>
    <x v="6"/>
    <s v="C28"/>
    <x v="18"/>
    <n v="100"/>
    <n v="99.999999999999005"/>
    <n v="100"/>
    <n v="2438"/>
  </r>
  <r>
    <x v="0"/>
    <x v="1"/>
    <n v="42994"/>
    <s v="Millones de dólares"/>
    <s v="BADECON"/>
    <x v="6"/>
    <s v="C28"/>
    <x v="18"/>
    <n v="100"/>
    <n v="100"/>
    <n v="100"/>
    <n v="42994"/>
  </r>
  <r>
    <x v="0"/>
    <x v="0"/>
    <n v="629"/>
    <s v="Millones de dólares"/>
    <s v="BADECON"/>
    <x v="6"/>
    <s v="C31"/>
    <x v="21"/>
    <n v="100"/>
    <n v="99.999999999999005"/>
    <n v="100"/>
    <n v="629"/>
  </r>
  <r>
    <x v="0"/>
    <x v="1"/>
    <n v="832"/>
    <s v="Millones de dólares"/>
    <s v="BADECON"/>
    <x v="6"/>
    <s v="C31"/>
    <x v="21"/>
    <n v="100"/>
    <n v="100"/>
    <n v="100"/>
    <n v="832"/>
  </r>
  <r>
    <x v="0"/>
    <x v="0"/>
    <n v="322"/>
    <s v="Millones de dólares"/>
    <s v="BADECON"/>
    <x v="6"/>
    <s v="C15"/>
    <x v="5"/>
    <n v="99.999999999999005"/>
    <n v="99.999999999999005"/>
    <n v="99.999999999999005"/>
    <n v="322.00000000000318"/>
  </r>
  <r>
    <x v="0"/>
    <x v="1"/>
    <n v="2860"/>
    <s v="Millones de dólares"/>
    <s v="BADECON"/>
    <x v="6"/>
    <s v="C15"/>
    <x v="5"/>
    <n v="100"/>
    <n v="100"/>
    <n v="100"/>
    <n v="2860"/>
  </r>
  <r>
    <x v="0"/>
    <x v="0"/>
    <n v="6861"/>
    <s v="Millones de dólares"/>
    <s v="BADECON"/>
    <x v="6"/>
    <s v="C11"/>
    <x v="2"/>
    <n v="100"/>
    <n v="99.999999999999005"/>
    <n v="100"/>
    <n v="6861"/>
  </r>
  <r>
    <x v="0"/>
    <x v="1"/>
    <n v="24258"/>
    <s v="Millones de dólares"/>
    <s v="BADECON"/>
    <x v="6"/>
    <s v="C11"/>
    <x v="2"/>
    <n v="100"/>
    <n v="100"/>
    <n v="100"/>
    <n v="24258"/>
  </r>
  <r>
    <x v="0"/>
    <x v="0"/>
    <n v="2946"/>
    <s v="Millones de dólares"/>
    <s v="BADECON"/>
    <x v="6"/>
    <s v="C22"/>
    <x v="12"/>
    <n v="99.999999999999005"/>
    <n v="99.999999999999005"/>
    <n v="99.999999999999005"/>
    <n v="2946.0000000000291"/>
  </r>
  <r>
    <x v="0"/>
    <x v="1"/>
    <n v="19242"/>
    <s v="Millones de dólares"/>
    <s v="BADECON"/>
    <x v="6"/>
    <s v="C22"/>
    <x v="12"/>
    <n v="100"/>
    <n v="100"/>
    <n v="100"/>
    <n v="19242"/>
  </r>
  <r>
    <x v="0"/>
    <x v="0"/>
    <n v="841"/>
    <s v="Millones de dólares"/>
    <s v="BADECON"/>
    <x v="6"/>
    <s v="C14"/>
    <x v="4"/>
    <n v="99.999999999999005"/>
    <n v="99.999999999999005"/>
    <n v="99.999999999999005"/>
    <n v="841.00000000000841"/>
  </r>
  <r>
    <x v="0"/>
    <x v="1"/>
    <n v="4198"/>
    <s v="Millones de dólares"/>
    <s v="BADECON"/>
    <x v="6"/>
    <s v="C14"/>
    <x v="4"/>
    <n v="100"/>
    <n v="100"/>
    <n v="100"/>
    <n v="4198"/>
  </r>
  <r>
    <x v="0"/>
    <x v="0"/>
    <n v="342"/>
    <s v="Millones de dólares"/>
    <s v="BADECON"/>
    <x v="6"/>
    <s v="C29"/>
    <x v="19"/>
    <n v="100"/>
    <n v="99.999999999999005"/>
    <n v="100"/>
    <n v="342"/>
  </r>
  <r>
    <x v="0"/>
    <x v="1"/>
    <n v="84047"/>
    <s v="Millones de dólares"/>
    <s v="BADECON"/>
    <x v="6"/>
    <s v="C29"/>
    <x v="19"/>
    <n v="100"/>
    <n v="100"/>
    <n v="100"/>
    <n v="84047"/>
  </r>
  <r>
    <x v="0"/>
    <x v="0"/>
    <n v="1425"/>
    <s v="Millones de dólares"/>
    <s v="BADECON"/>
    <x v="6"/>
    <s v="C33"/>
    <x v="23"/>
    <n v="100"/>
    <n v="99.999999999999005"/>
    <n v="100"/>
    <n v="1425"/>
  </r>
  <r>
    <x v="0"/>
    <x v="0"/>
    <n v="3528"/>
    <s v="Millones de dólares"/>
    <s v="BADECON"/>
    <x v="6"/>
    <s v="C23"/>
    <x v="13"/>
    <n v="99.999999999999005"/>
    <n v="99.999999999999005"/>
    <n v="99.999999999999005"/>
    <n v="3528.000000000035"/>
  </r>
  <r>
    <x v="0"/>
    <x v="1"/>
    <n v="24872"/>
    <s v="Millones de dólares"/>
    <s v="BADECON"/>
    <x v="6"/>
    <s v="C23"/>
    <x v="13"/>
    <n v="100"/>
    <n v="100"/>
    <n v="100"/>
    <n v="24872"/>
  </r>
  <r>
    <x v="0"/>
    <x v="0"/>
    <n v="385"/>
    <s v="Millones de dólares"/>
    <s v="BADECON"/>
    <x v="6"/>
    <s v="C13"/>
    <x v="3"/>
    <n v="99.999999999999005"/>
    <n v="99.999999999999005"/>
    <n v="99.999999999999005"/>
    <n v="385.00000000000381"/>
  </r>
  <r>
    <x v="0"/>
    <x v="1"/>
    <n v="14498"/>
    <s v="Millones de dólares"/>
    <s v="BADECON"/>
    <x v="6"/>
    <s v="C13"/>
    <x v="3"/>
    <n v="100"/>
    <n v="100"/>
    <n v="100"/>
    <n v="14498"/>
  </r>
  <r>
    <x v="0"/>
    <x v="0"/>
    <n v="961"/>
    <s v="Millones de dólares"/>
    <s v="BADECON"/>
    <x v="6"/>
    <s v="C18"/>
    <x v="8"/>
    <n v="99.999999999999005"/>
    <n v="99.999999999999005"/>
    <n v="99.999999999999005"/>
    <n v="961.00000000000955"/>
  </r>
  <r>
    <x v="0"/>
    <x v="1"/>
    <n v="852"/>
    <s v="Millones de dólares"/>
    <s v="BADECON"/>
    <x v="6"/>
    <s v="C18"/>
    <x v="8"/>
    <n v="100"/>
    <n v="100"/>
    <n v="100"/>
    <n v="852"/>
  </r>
  <r>
    <x v="0"/>
    <x v="0"/>
    <n v="1313"/>
    <s v="Millones de dólares"/>
    <s v="BADECON"/>
    <x v="6"/>
    <s v="C21"/>
    <x v="11"/>
    <n v="99.999999999999005"/>
    <n v="99.999999999999005"/>
    <n v="99.999999999999005"/>
    <n v="1313.000000000013"/>
  </r>
  <r>
    <x v="0"/>
    <x v="1"/>
    <n v="2185"/>
    <s v="Millones de dólares"/>
    <s v="BADECON"/>
    <x v="6"/>
    <s v="C21"/>
    <x v="11"/>
    <n v="100"/>
    <n v="100"/>
    <n v="100"/>
    <n v="2185"/>
  </r>
  <r>
    <x v="0"/>
    <x v="0"/>
    <n v="631"/>
    <s v="Millones de dólares"/>
    <s v="BADECON"/>
    <x v="6"/>
    <s v="C27"/>
    <x v="17"/>
    <n v="100"/>
    <n v="99.999999999999005"/>
    <n v="100"/>
    <n v="631"/>
  </r>
  <r>
    <x v="0"/>
    <x v="1"/>
    <n v="32345"/>
    <s v="Millones de dólares"/>
    <s v="BADECON"/>
    <x v="6"/>
    <s v="C27"/>
    <x v="17"/>
    <n v="100"/>
    <n v="100"/>
    <n v="100"/>
    <n v="32345"/>
  </r>
  <r>
    <x v="0"/>
    <x v="0"/>
    <n v="2159"/>
    <s v="Millones de dólares"/>
    <s v="BADECON"/>
    <x v="6"/>
    <s v="C24"/>
    <x v="14"/>
    <n v="99.999999999999005"/>
    <n v="99.999999999999005"/>
    <n v="99.999999999999005"/>
    <n v="2159.0000000000209"/>
  </r>
  <r>
    <x v="0"/>
    <x v="1"/>
    <n v="34020"/>
    <s v="Millones de dólares"/>
    <s v="BADECON"/>
    <x v="6"/>
    <s v="C24"/>
    <x v="14"/>
    <n v="100"/>
    <n v="100"/>
    <n v="100"/>
    <n v="34020"/>
  </r>
  <r>
    <x v="0"/>
    <x v="0"/>
    <n v="3858"/>
    <s v="Millones de dólares"/>
    <s v="BADECON"/>
    <x v="6"/>
    <s v="C16"/>
    <x v="6"/>
    <n v="100"/>
    <n v="99.999999999999005"/>
    <n v="100"/>
    <n v="3858"/>
  </r>
  <r>
    <x v="0"/>
    <x v="1"/>
    <n v="1437"/>
    <s v="Millones de dólares"/>
    <s v="BADECON"/>
    <x v="6"/>
    <s v="C16"/>
    <x v="6"/>
    <n v="100"/>
    <n v="100"/>
    <n v="100"/>
    <n v="1437"/>
  </r>
  <r>
    <x v="0"/>
    <x v="0"/>
    <n v="12400"/>
    <s v="Millones de dólares"/>
    <s v="BADECON"/>
    <x v="6"/>
    <s v="C20"/>
    <x v="10"/>
    <n v="99.999999999999005"/>
    <n v="99.999999999999005"/>
    <n v="99.999999999999005"/>
    <n v="12400.00000000012"/>
  </r>
  <r>
    <x v="0"/>
    <x v="1"/>
    <n v="45117"/>
    <s v="Millones de dólares"/>
    <s v="BADECON"/>
    <x v="6"/>
    <s v="C20"/>
    <x v="10"/>
    <n v="100"/>
    <n v="100"/>
    <n v="100"/>
    <n v="45117"/>
  </r>
  <r>
    <x v="0"/>
    <x v="0"/>
    <n v="7553"/>
    <s v="Millones de dólares"/>
    <s v="BADECON"/>
    <x v="6"/>
    <s v="C17"/>
    <x v="7"/>
    <n v="99.999999999999005"/>
    <n v="99.999999999999005"/>
    <n v="99.999999999999005"/>
    <n v="7553.0000000000746"/>
  </r>
  <r>
    <x v="0"/>
    <x v="1"/>
    <n v="12341"/>
    <s v="Millones de dólares"/>
    <s v="BADECON"/>
    <x v="6"/>
    <s v="C17"/>
    <x v="7"/>
    <n v="100"/>
    <n v="100"/>
    <n v="100"/>
    <n v="12341"/>
  </r>
  <r>
    <x v="0"/>
    <x v="0"/>
    <n v="83"/>
    <s v="Millones de dólares"/>
    <s v="BADECON"/>
    <x v="6"/>
    <s v="C32"/>
    <x v="22"/>
    <m/>
    <n v="99.999999999999005"/>
    <n v="99.999999999999005"/>
    <n v="83.000000000000824"/>
  </r>
  <r>
    <x v="0"/>
    <x v="1"/>
    <n v="605"/>
    <s v="Millones de dólares"/>
    <s v="BADECON"/>
    <x v="6"/>
    <s v="C32"/>
    <x v="22"/>
    <n v="100"/>
    <n v="100"/>
    <n v="100"/>
    <n v="605"/>
  </r>
  <r>
    <x v="0"/>
    <x v="0"/>
    <n v="259"/>
    <s v="Millones de dólares"/>
    <s v="BADECON"/>
    <x v="6"/>
    <s v="C26"/>
    <x v="16"/>
    <n v="100"/>
    <n v="99.999999999999005"/>
    <n v="100"/>
    <n v="259"/>
  </r>
  <r>
    <x v="0"/>
    <x v="1"/>
    <n v="10155"/>
    <s v="Millones de dólares"/>
    <s v="BADECON"/>
    <x v="6"/>
    <s v="C26"/>
    <x v="16"/>
    <n v="100"/>
    <n v="100"/>
    <n v="100"/>
    <n v="10155"/>
  </r>
  <r>
    <x v="0"/>
    <x v="0"/>
    <n v="87"/>
    <s v="Millones de dólares"/>
    <s v="BADECON"/>
    <x v="6"/>
    <s v="C30"/>
    <x v="20"/>
    <n v="100"/>
    <n v="99.999999999999005"/>
    <n v="100"/>
    <n v="87"/>
  </r>
  <r>
    <x v="0"/>
    <x v="1"/>
    <n v="1270"/>
    <s v="Millones de dólares"/>
    <s v="BADECON"/>
    <x v="6"/>
    <s v="C30"/>
    <x v="20"/>
    <n v="100"/>
    <n v="100"/>
    <n v="100"/>
    <n v="1270"/>
  </r>
  <r>
    <x v="0"/>
    <x v="0"/>
    <n v="24"/>
    <s v="Millones de dólares"/>
    <s v="BADECON"/>
    <x v="6"/>
    <s v="C19"/>
    <x v="9"/>
    <n v="99.999999999999005"/>
    <n v="99.999999999999005"/>
    <n v="99.999999999999005"/>
    <n v="24.000000000000242"/>
  </r>
  <r>
    <x v="0"/>
    <x v="1"/>
    <n v="34450"/>
    <s v="Millones de dólares"/>
    <s v="BADECON"/>
    <x v="6"/>
    <s v="C19"/>
    <x v="9"/>
    <n v="100"/>
    <n v="100"/>
    <n v="100"/>
    <n v="34450"/>
  </r>
  <r>
    <x v="0"/>
    <x v="1"/>
    <n v="982"/>
    <s v="Millones de dólares"/>
    <s v="BADECON"/>
    <x v="6"/>
    <s v="C12"/>
    <x v="24"/>
    <n v="100"/>
    <n v="100"/>
    <n v="100"/>
    <n v="982"/>
  </r>
  <r>
    <x v="0"/>
    <x v="0"/>
    <n v="33"/>
    <s v="Millones de dólares"/>
    <s v="BADECON"/>
    <x v="6"/>
    <s v="CXX"/>
    <x v="0"/>
    <m/>
    <n v="99.999999999999005"/>
    <n v="99.999999999999005"/>
    <n v="33.000000000000327"/>
  </r>
  <r>
    <x v="1"/>
    <x v="0"/>
    <n v="24350"/>
    <s v="Millones de dólares"/>
    <s v="BADECON"/>
    <x v="6"/>
    <s v="C10"/>
    <x v="1"/>
    <n v="98.723825004638996"/>
    <n v="95.003435419368998"/>
    <n v="98.723825004638996"/>
    <n v="24664.765570879979"/>
  </r>
  <r>
    <x v="1"/>
    <x v="1"/>
    <n v="63505"/>
    <s v="Millones de dólares"/>
    <s v="BADECON"/>
    <x v="6"/>
    <s v="C10"/>
    <x v="1"/>
    <n v="96.7"/>
    <n v="94.3"/>
    <n v="96.7"/>
    <n v="65672.182006204748"/>
  </r>
  <r>
    <x v="1"/>
    <x v="0"/>
    <n v="41"/>
    <s v="Millones de dólares"/>
    <s v="BADECON"/>
    <x v="6"/>
    <s v="C26"/>
    <x v="16"/>
    <n v="98.189528995325006"/>
    <n v="95.003435419368998"/>
    <n v="98.189528995325006"/>
    <n v="41.755979908969813"/>
  </r>
  <r>
    <x v="1"/>
    <x v="1"/>
    <n v="9650"/>
    <s v="Millones de dólares"/>
    <s v="BADECON"/>
    <x v="6"/>
    <s v="C26"/>
    <x v="16"/>
    <n v="95.5"/>
    <n v="94.3"/>
    <n v="95.5"/>
    <n v="10104.712041884821"/>
  </r>
  <r>
    <x v="1"/>
    <x v="0"/>
    <n v="12932"/>
    <s v="Millones de dólares"/>
    <s v="BADECON"/>
    <x v="6"/>
    <s v="C20"/>
    <x v="10"/>
    <n v="96.253026824776995"/>
    <n v="95.003435419368998"/>
    <n v="96.253026824776995"/>
    <n v="13435.42164501689"/>
  </r>
  <r>
    <x v="1"/>
    <x v="1"/>
    <n v="43961"/>
    <s v="Millones de dólares"/>
    <s v="BADECON"/>
    <x v="6"/>
    <s v="C20"/>
    <x v="10"/>
    <n v="96.1"/>
    <n v="94.3"/>
    <n v="96.1"/>
    <n v="45745.057232049963"/>
  </r>
  <r>
    <x v="1"/>
    <x v="0"/>
    <n v="1358"/>
    <s v="Millones de dólares"/>
    <s v="BADECON"/>
    <x v="6"/>
    <s v="C21"/>
    <x v="11"/>
    <n v="96.253026824776995"/>
    <n v="95.003435419368998"/>
    <n v="96.253026824776995"/>
    <n v="1410.864722698185"/>
  </r>
  <r>
    <x v="1"/>
    <x v="1"/>
    <n v="2115"/>
    <s v="Millones de dólares"/>
    <s v="BADECON"/>
    <x v="6"/>
    <s v="C21"/>
    <x v="11"/>
    <n v="96.1"/>
    <n v="94.3"/>
    <n v="96.1"/>
    <n v="2200.832466181062"/>
  </r>
  <r>
    <x v="1"/>
    <x v="0"/>
    <n v="374"/>
    <s v="Millones de dólares"/>
    <s v="BADECON"/>
    <x v="6"/>
    <s v="C14"/>
    <x v="4"/>
    <n v="111.61986215915999"/>
    <n v="95.003435419368998"/>
    <n v="111.61986215915999"/>
    <n v="335.06581424254881"/>
  </r>
  <r>
    <x v="1"/>
    <x v="1"/>
    <n v="4096"/>
    <s v="Millones de dólares"/>
    <s v="BADECON"/>
    <x v="6"/>
    <s v="C14"/>
    <x v="4"/>
    <n v="96.6"/>
    <n v="94.3"/>
    <n v="96.6"/>
    <n v="4240.1656314699794"/>
  </r>
  <r>
    <x v="1"/>
    <x v="0"/>
    <n v="7104"/>
    <s v="Millones de dólares"/>
    <s v="BADECON"/>
    <x v="6"/>
    <s v="C11"/>
    <x v="2"/>
    <n v="90.846967636214998"/>
    <n v="95.003435419368998"/>
    <n v="90.846967636214998"/>
    <n v="7819.7436687672989"/>
  </r>
  <r>
    <x v="1"/>
    <x v="1"/>
    <n v="22661"/>
    <s v="Millones de dólares"/>
    <s v="BADECON"/>
    <x v="6"/>
    <s v="C11"/>
    <x v="2"/>
    <n v="96.4"/>
    <n v="94.3"/>
    <n v="96.4"/>
    <n v="23507.261410788378"/>
  </r>
  <r>
    <x v="1"/>
    <x v="0"/>
    <n v="3125"/>
    <s v="Millones de dólares"/>
    <s v="BADECON"/>
    <x v="6"/>
    <s v="C22"/>
    <x v="12"/>
    <n v="96.253026824776995"/>
    <n v="95.003435419368998"/>
    <n v="96.253026824776995"/>
    <n v="3246.6511475933939"/>
  </r>
  <r>
    <x v="1"/>
    <x v="1"/>
    <n v="18546"/>
    <s v="Millones de dólares"/>
    <s v="BADECON"/>
    <x v="6"/>
    <s v="C22"/>
    <x v="12"/>
    <n v="95.4"/>
    <n v="94.3"/>
    <n v="95.4"/>
    <n v="19440.251572327041"/>
  </r>
  <r>
    <x v="1"/>
    <x v="0"/>
    <n v="395"/>
    <s v="Millones de dólares"/>
    <s v="BADECON"/>
    <x v="6"/>
    <s v="C13"/>
    <x v="3"/>
    <n v="111.61986215915999"/>
    <n v="95.003435419368998"/>
    <n v="111.61986215915999"/>
    <n v="353.87967012247799"/>
  </r>
  <r>
    <x v="1"/>
    <x v="1"/>
    <n v="13860"/>
    <s v="Millones de dólares"/>
    <s v="BADECON"/>
    <x v="6"/>
    <s v="C13"/>
    <x v="3"/>
    <n v="97.5"/>
    <n v="94.3"/>
    <n v="97.5"/>
    <n v="14215.384615384621"/>
  </r>
  <r>
    <x v="1"/>
    <x v="0"/>
    <n v="767"/>
    <s v="Millones de dólares"/>
    <s v="BADECON"/>
    <x v="6"/>
    <s v="C27"/>
    <x v="17"/>
    <n v="98.189528995325006"/>
    <n v="95.003435419368998"/>
    <n v="98.189528995325006"/>
    <n v="781.14235585804511"/>
  </r>
  <r>
    <x v="1"/>
    <x v="1"/>
    <n v="30619"/>
    <s v="Millones de dólares"/>
    <s v="BADECON"/>
    <x v="6"/>
    <s v="C27"/>
    <x v="17"/>
    <n v="94.3"/>
    <n v="94.3"/>
    <n v="94.3"/>
    <n v="32469.777306468721"/>
  </r>
  <r>
    <x v="1"/>
    <x v="0"/>
    <n v="5800"/>
    <s v="Millones de dólares"/>
    <s v="BADECON"/>
    <x v="6"/>
    <s v="C17"/>
    <x v="7"/>
    <n v="76.712843517501994"/>
    <n v="95.003435419368998"/>
    <n v="76.712843517501994"/>
    <n v="7560.6635526119326"/>
  </r>
  <r>
    <x v="1"/>
    <x v="1"/>
    <n v="11537"/>
    <s v="Millones de dólares"/>
    <s v="BADECON"/>
    <x v="6"/>
    <s v="C17"/>
    <x v="7"/>
    <n v="93.7"/>
    <n v="94.3"/>
    <n v="93.7"/>
    <n v="12312.700106723591"/>
  </r>
  <r>
    <x v="1"/>
    <x v="0"/>
    <n v="4139"/>
    <s v="Millones de dólares"/>
    <s v="BADECON"/>
    <x v="6"/>
    <s v="C25"/>
    <x v="15"/>
    <n v="98.189528995325006"/>
    <n v="95.003435419368998"/>
    <n v="98.189528995325006"/>
    <n v="4215.3170937372206"/>
  </r>
  <r>
    <x v="1"/>
    <x v="1"/>
    <n v="20109"/>
    <s v="Millones de dólares"/>
    <s v="BADECON"/>
    <x v="6"/>
    <s v="C25"/>
    <x v="15"/>
    <n v="90.2"/>
    <n v="94.3"/>
    <n v="90.2"/>
    <n v="22293.791574279381"/>
  </r>
  <r>
    <x v="1"/>
    <x v="0"/>
    <n v="328"/>
    <s v="Millones de dólares"/>
    <s v="BADECON"/>
    <x v="6"/>
    <s v="C15"/>
    <x v="5"/>
    <n v="111.61986215915999"/>
    <n v="95.003435419368998"/>
    <n v="111.61986215915999"/>
    <n v="293.85451088651331"/>
  </r>
  <r>
    <x v="1"/>
    <x v="1"/>
    <n v="2836"/>
    <s v="Millones de dólares"/>
    <s v="BADECON"/>
    <x v="6"/>
    <s v="C15"/>
    <x v="5"/>
    <n v="97.8"/>
    <n v="94.3"/>
    <n v="97.8"/>
    <n v="2899.795501022495"/>
  </r>
  <r>
    <x v="1"/>
    <x v="0"/>
    <n v="2475"/>
    <s v="Millones de dólares"/>
    <s v="BADECON"/>
    <x v="6"/>
    <s v="C23"/>
    <x v="13"/>
    <n v="89.385379074143003"/>
    <n v="95.003435419368998"/>
    <n v="89.385379074143003"/>
    <n v="2768.9092171853381"/>
  </r>
  <r>
    <x v="1"/>
    <x v="1"/>
    <n v="23415"/>
    <s v="Millones de dólares"/>
    <s v="BADECON"/>
    <x v="6"/>
    <s v="C23"/>
    <x v="13"/>
    <n v="95.9"/>
    <n v="94.3"/>
    <n v="95.9"/>
    <n v="24416.05839416058"/>
  </r>
  <r>
    <x v="1"/>
    <x v="0"/>
    <n v="3637"/>
    <s v="Millones de dólares"/>
    <s v="BADECON"/>
    <x v="6"/>
    <s v="C16"/>
    <x v="6"/>
    <n v="102.38170475517001"/>
    <n v="95.003435419368998"/>
    <n v="102.38170475517001"/>
    <n v="3552.3924989306661"/>
  </r>
  <r>
    <x v="1"/>
    <x v="1"/>
    <n v="1423"/>
    <s v="Millones de dólares"/>
    <s v="BADECON"/>
    <x v="6"/>
    <s v="C16"/>
    <x v="6"/>
    <n v="98.6"/>
    <n v="94.3"/>
    <n v="98.6"/>
    <n v="1443.204868154158"/>
  </r>
  <r>
    <x v="1"/>
    <x v="0"/>
    <n v="97"/>
    <s v="Millones de dólares"/>
    <s v="BADECON"/>
    <x v="6"/>
    <s v="C29"/>
    <x v="19"/>
    <n v="98.189528995325006"/>
    <n v="95.003435419368998"/>
    <n v="98.189528995325006"/>
    <n v="98.788537833416385"/>
  </r>
  <r>
    <x v="1"/>
    <x v="1"/>
    <n v="78785"/>
    <s v="Millones de dólares"/>
    <s v="BADECON"/>
    <x v="6"/>
    <s v="C29"/>
    <x v="19"/>
    <n v="97"/>
    <n v="94.3"/>
    <n v="97"/>
    <n v="81221.649484536072"/>
  </r>
  <r>
    <x v="1"/>
    <x v="0"/>
    <n v="1650"/>
    <s v="Millones de dólares"/>
    <s v="BADECON"/>
    <x v="6"/>
    <s v="C24"/>
    <x v="14"/>
    <n v="89.385379074143003"/>
    <n v="95.003435419368998"/>
    <n v="89.385379074143003"/>
    <n v="1845.939478123559"/>
  </r>
  <r>
    <x v="1"/>
    <x v="1"/>
    <n v="31588"/>
    <s v="Millones de dólares"/>
    <s v="BADECON"/>
    <x v="6"/>
    <s v="C24"/>
    <x v="14"/>
    <n v="89.3"/>
    <n v="94.3"/>
    <n v="89.3"/>
    <n v="35372.900335946251"/>
  </r>
  <r>
    <x v="1"/>
    <x v="0"/>
    <n v="935"/>
    <s v="Millones de dólares"/>
    <s v="BADECON"/>
    <x v="6"/>
    <s v="C28"/>
    <x v="18"/>
    <n v="98.189528995325006"/>
    <n v="95.003435419368998"/>
    <n v="98.189528995325006"/>
    <n v="952.24002963138469"/>
  </r>
  <r>
    <x v="1"/>
    <x v="1"/>
    <n v="39868"/>
    <s v="Millones de dólares"/>
    <s v="BADECON"/>
    <x v="6"/>
    <s v="C28"/>
    <x v="18"/>
    <n v="96.3"/>
    <n v="94.3"/>
    <n v="96.3"/>
    <n v="41399.79231568017"/>
  </r>
  <r>
    <x v="1"/>
    <x v="0"/>
    <n v="1801"/>
    <s v="Millones de dólares"/>
    <s v="BADECON"/>
    <x v="6"/>
    <s v="C33"/>
    <x v="23"/>
    <n v="98.189528995325006"/>
    <n v="95.003435419368998"/>
    <n v="98.189528995325006"/>
    <n v="1834.2078003915769"/>
  </r>
  <r>
    <x v="1"/>
    <x v="0"/>
    <n v="591"/>
    <s v="Millones de dólares"/>
    <s v="BADECON"/>
    <x v="6"/>
    <s v="C31"/>
    <x v="21"/>
    <n v="102.38170475517001"/>
    <n v="95.003435419368998"/>
    <n v="102.38170475517001"/>
    <n v="577.25157186363026"/>
  </r>
  <r>
    <x v="1"/>
    <x v="1"/>
    <n v="819"/>
    <s v="Millones de dólares"/>
    <s v="BADECON"/>
    <x v="6"/>
    <s v="C31"/>
    <x v="21"/>
    <n v="96.7"/>
    <n v="94.3"/>
    <n v="96.7"/>
    <n v="846.94932781799378"/>
  </r>
  <r>
    <x v="1"/>
    <x v="0"/>
    <n v="504"/>
    <s v="Millones de dólares"/>
    <s v="BADECON"/>
    <x v="6"/>
    <s v="C18"/>
    <x v="8"/>
    <n v="76.712843517501994"/>
    <n v="95.003435419368998"/>
    <n v="76.712843517501994"/>
    <n v="656.99559146834736"/>
  </r>
  <r>
    <x v="1"/>
    <x v="1"/>
    <n v="920"/>
    <s v="Millones de dólares"/>
    <s v="BADECON"/>
    <x v="6"/>
    <s v="C18"/>
    <x v="8"/>
    <n v="96.5"/>
    <n v="94.3"/>
    <n v="96.5"/>
    <n v="953.36787564766837"/>
  </r>
  <r>
    <x v="1"/>
    <x v="0"/>
    <n v="97"/>
    <s v="Millones de dólares"/>
    <s v="BADECON"/>
    <x v="6"/>
    <s v="C32"/>
    <x v="22"/>
    <m/>
    <n v="95.003435419368998"/>
    <n v="95.003435419368998"/>
    <n v="102.10157092932241"/>
  </r>
  <r>
    <x v="1"/>
    <x v="1"/>
    <n v="569"/>
    <s v="Millones de dólares"/>
    <s v="BADECON"/>
    <x v="6"/>
    <s v="C32"/>
    <x v="22"/>
    <n v="95.9"/>
    <n v="94.3"/>
    <n v="95.9"/>
    <n v="593.32638164754951"/>
  </r>
  <r>
    <x v="1"/>
    <x v="0"/>
    <n v="65"/>
    <s v="Millones de dólares"/>
    <s v="BADECON"/>
    <x v="6"/>
    <s v="C30"/>
    <x v="20"/>
    <n v="98.189528995325006"/>
    <n v="95.003435419368998"/>
    <n v="98.189528995325006"/>
    <n v="66.198504733732634"/>
  </r>
  <r>
    <x v="1"/>
    <x v="1"/>
    <n v="1044"/>
    <s v="Millones de dólares"/>
    <s v="BADECON"/>
    <x v="6"/>
    <s v="C30"/>
    <x v="20"/>
    <n v="97"/>
    <n v="94.3"/>
    <n v="97"/>
    <n v="1076.288659793815"/>
  </r>
  <r>
    <x v="1"/>
    <x v="1"/>
    <n v="33125"/>
    <s v="Millones de dólares"/>
    <s v="BADECON"/>
    <x v="6"/>
    <s v="C19"/>
    <x v="9"/>
    <n v="64.099999999999994"/>
    <n v="94.3"/>
    <n v="64.099999999999994"/>
    <n v="51677.067082683308"/>
  </r>
  <r>
    <x v="1"/>
    <x v="1"/>
    <n v="1014"/>
    <s v="Millones de dólares"/>
    <s v="BADECON"/>
    <x v="6"/>
    <s v="C12"/>
    <x v="24"/>
    <n v="96.4"/>
    <n v="94.3"/>
    <n v="96.4"/>
    <n v="1051.8672199170121"/>
  </r>
  <r>
    <x v="1"/>
    <x v="0"/>
    <n v="2837"/>
    <s v="Millones de dólares"/>
    <s v="BADECON"/>
    <x v="6"/>
    <s v="CXX"/>
    <x v="0"/>
    <m/>
    <n v="95.003435419368998"/>
    <n v="95.003435419368998"/>
    <n v="2986.207801303995"/>
  </r>
  <r>
    <x v="2"/>
    <x v="0"/>
    <n v="21043"/>
    <s v="Millones de dólares"/>
    <s v="BADECON"/>
    <x v="6"/>
    <s v="C10"/>
    <x v="1"/>
    <n v="96.618124512281994"/>
    <n v="95.629262636448004"/>
    <n v="96.618124512281994"/>
    <n v="21779.5575170009"/>
  </r>
  <r>
    <x v="2"/>
    <x v="1"/>
    <n v="60024"/>
    <s v="Millones de dólares"/>
    <s v="BADECON"/>
    <x v="6"/>
    <s v="C10"/>
    <x v="1"/>
    <n v="92.1"/>
    <n v="87.8"/>
    <n v="92.1"/>
    <n v="65172.638436482091"/>
  </r>
  <r>
    <x v="2"/>
    <x v="0"/>
    <n v="1148"/>
    <s v="Millones de dólares"/>
    <s v="BADECON"/>
    <x v="6"/>
    <s v="C33"/>
    <x v="23"/>
    <n v="101.10423088160999"/>
    <n v="95.629262636448004"/>
    <n v="101.10423088160999"/>
    <n v="1135.46187928008"/>
  </r>
  <r>
    <x v="2"/>
    <x v="0"/>
    <n v="425"/>
    <s v="Millones de dólares"/>
    <s v="BADECON"/>
    <x v="6"/>
    <s v="C31"/>
    <x v="21"/>
    <n v="106.15763962638999"/>
    <n v="95.629262636448004"/>
    <n v="106.15763962638999"/>
    <n v="400.34801215978439"/>
  </r>
  <r>
    <x v="2"/>
    <x v="1"/>
    <n v="778"/>
    <s v="Millones de dólares"/>
    <s v="BADECON"/>
    <x v="6"/>
    <s v="C31"/>
    <x v="21"/>
    <n v="91.8"/>
    <n v="87.8"/>
    <n v="91.8"/>
    <n v="847.49455337690631"/>
  </r>
  <r>
    <x v="2"/>
    <x v="0"/>
    <n v="3312"/>
    <s v="Millones de dólares"/>
    <s v="BADECON"/>
    <x v="6"/>
    <s v="C16"/>
    <x v="6"/>
    <n v="106.15763962638999"/>
    <n v="95.629262636448004"/>
    <n v="106.15763962638999"/>
    <n v="3119.8885088781321"/>
  </r>
  <r>
    <x v="2"/>
    <x v="1"/>
    <n v="1343"/>
    <s v="Millones de dólares"/>
    <s v="BADECON"/>
    <x v="6"/>
    <s v="C16"/>
    <x v="6"/>
    <n v="91.8"/>
    <n v="87.8"/>
    <n v="91.8"/>
    <n v="1462.962962962963"/>
  </r>
  <r>
    <x v="2"/>
    <x v="0"/>
    <n v="2216"/>
    <s v="Millones de dólares"/>
    <s v="BADECON"/>
    <x v="6"/>
    <s v="C23"/>
    <x v="13"/>
    <n v="89.680336785110001"/>
    <n v="95.629262636448004"/>
    <n v="89.680336785110001"/>
    <n v="2470.9987489341488"/>
  </r>
  <r>
    <x v="2"/>
    <x v="1"/>
    <n v="21221"/>
    <s v="Millones de dólares"/>
    <s v="BADECON"/>
    <x v="6"/>
    <s v="C23"/>
    <x v="13"/>
    <n v="87.6"/>
    <n v="87.8"/>
    <n v="87.6"/>
    <n v="24224.88584474886"/>
  </r>
  <r>
    <x v="2"/>
    <x v="0"/>
    <n v="821"/>
    <s v="Millones de dólares"/>
    <s v="BADECON"/>
    <x v="6"/>
    <s v="C27"/>
    <x v="17"/>
    <n v="101.10423088160999"/>
    <n v="95.629262636448004"/>
    <n v="101.10423088160999"/>
    <n v="812.03327777782738"/>
  </r>
  <r>
    <x v="2"/>
    <x v="1"/>
    <n v="27551"/>
    <s v="Millones de dólares"/>
    <s v="BADECON"/>
    <x v="6"/>
    <s v="C27"/>
    <x v="17"/>
    <n v="90.7"/>
    <n v="87.8"/>
    <n v="90.7"/>
    <n v="30375.96471885336"/>
  </r>
  <r>
    <x v="2"/>
    <x v="0"/>
    <n v="2239"/>
    <s v="Millones de dólares"/>
    <s v="BADECON"/>
    <x v="6"/>
    <s v="C25"/>
    <x v="15"/>
    <n v="101.10423088160999"/>
    <n v="95.629262636448004"/>
    <n v="101.10423088160999"/>
    <n v="2214.5462959129791"/>
  </r>
  <r>
    <x v="2"/>
    <x v="1"/>
    <n v="19034"/>
    <s v="Millones de dólares"/>
    <s v="BADECON"/>
    <x v="6"/>
    <s v="C25"/>
    <x v="15"/>
    <n v="84.2"/>
    <n v="87.8"/>
    <n v="84.2"/>
    <n v="22605.70071258907"/>
  </r>
  <r>
    <x v="2"/>
    <x v="0"/>
    <n v="4430"/>
    <s v="Millones de dólares"/>
    <s v="BADECON"/>
    <x v="6"/>
    <s v="C17"/>
    <x v="7"/>
    <n v="66.424574274145002"/>
    <n v="95.629262636448004"/>
    <n v="66.424574274145002"/>
    <n v="6669.2185059653839"/>
  </r>
  <r>
    <x v="2"/>
    <x v="1"/>
    <n v="10561"/>
    <s v="Millones de dólares"/>
    <s v="BADECON"/>
    <x v="6"/>
    <s v="C17"/>
    <x v="7"/>
    <n v="87.6"/>
    <n v="87.8"/>
    <n v="87.6"/>
    <n v="12055.93607305936"/>
  </r>
  <r>
    <x v="2"/>
    <x v="0"/>
    <n v="349"/>
    <s v="Millones de dólares"/>
    <s v="BADECON"/>
    <x v="6"/>
    <s v="C14"/>
    <x v="4"/>
    <n v="117.9376128321"/>
    <n v="95.629262636448004"/>
    <n v="117.9376128321"/>
    <n v="295.91916575151328"/>
  </r>
  <r>
    <x v="2"/>
    <x v="1"/>
    <n v="3981"/>
    <s v="Millones de dólares"/>
    <s v="BADECON"/>
    <x v="6"/>
    <s v="C14"/>
    <x v="4"/>
    <n v="95.2"/>
    <n v="87.8"/>
    <n v="95.2"/>
    <n v="4181.7226890756301"/>
  </r>
  <r>
    <x v="2"/>
    <x v="0"/>
    <n v="1208"/>
    <s v="Millones de dólares"/>
    <s v="BADECON"/>
    <x v="6"/>
    <s v="C28"/>
    <x v="18"/>
    <n v="101.10423088160999"/>
    <n v="95.629262636448004"/>
    <n v="101.10423088160999"/>
    <n v="1194.8065768034289"/>
  </r>
  <r>
    <x v="2"/>
    <x v="1"/>
    <n v="36071"/>
    <s v="Millones de dólares"/>
    <s v="BADECON"/>
    <x v="6"/>
    <s v="C28"/>
    <x v="18"/>
    <n v="91.6"/>
    <n v="87.8"/>
    <n v="91.6"/>
    <n v="39378.820960698693"/>
  </r>
  <r>
    <x v="2"/>
    <x v="0"/>
    <n v="2663"/>
    <s v="Millones de dólares"/>
    <s v="BADECON"/>
    <x v="6"/>
    <s v="C22"/>
    <x v="12"/>
    <n v="101.63829571143999"/>
    <n v="95.629262636448004"/>
    <n v="101.63829571143999"/>
    <n v="2620.0754168099102"/>
  </r>
  <r>
    <x v="2"/>
    <x v="1"/>
    <n v="17545"/>
    <s v="Millones de dólares"/>
    <s v="BADECON"/>
    <x v="6"/>
    <s v="C22"/>
    <x v="12"/>
    <n v="89.1"/>
    <n v="87.8"/>
    <n v="89.1"/>
    <n v="19691.358024691359"/>
  </r>
  <r>
    <x v="2"/>
    <x v="0"/>
    <n v="523"/>
    <s v="Millones de dólares"/>
    <s v="BADECON"/>
    <x v="6"/>
    <s v="C18"/>
    <x v="8"/>
    <n v="66.424574274145002"/>
    <n v="95.629262636448004"/>
    <n v="66.424574274145002"/>
    <n v="787.35920510607127"/>
  </r>
  <r>
    <x v="2"/>
    <x v="1"/>
    <n v="898"/>
    <s v="Millones de dólares"/>
    <s v="BADECON"/>
    <x v="6"/>
    <s v="C18"/>
    <x v="8"/>
    <n v="93.1"/>
    <n v="87.8"/>
    <n v="93.1"/>
    <n v="964.55424274973143"/>
  </r>
  <r>
    <x v="2"/>
    <x v="0"/>
    <n v="318"/>
    <s v="Millones de dólares"/>
    <s v="BADECON"/>
    <x v="6"/>
    <s v="C13"/>
    <x v="3"/>
    <n v="117.9376128321"/>
    <n v="95.629262636448004"/>
    <n v="117.9376128321"/>
    <n v="269.63408226069117"/>
  </r>
  <r>
    <x v="2"/>
    <x v="1"/>
    <n v="13479"/>
    <s v="Millones de dólares"/>
    <s v="BADECON"/>
    <x v="6"/>
    <s v="C13"/>
    <x v="3"/>
    <n v="88.8"/>
    <n v="87.8"/>
    <n v="88.8"/>
    <n v="15179.054054054061"/>
  </r>
  <r>
    <x v="2"/>
    <x v="0"/>
    <n v="1407"/>
    <s v="Millones de dólares"/>
    <s v="BADECON"/>
    <x v="6"/>
    <s v="C24"/>
    <x v="14"/>
    <n v="89.680336785110001"/>
    <n v="95.629262636448004"/>
    <n v="89.680336785110001"/>
    <n v="1568.905794111168"/>
  </r>
  <r>
    <x v="2"/>
    <x v="1"/>
    <n v="27878"/>
    <s v="Millones de dólares"/>
    <s v="BADECON"/>
    <x v="6"/>
    <s v="C24"/>
    <x v="14"/>
    <n v="80.900000000000006"/>
    <n v="87.8"/>
    <n v="80.900000000000006"/>
    <n v="34459.826946847963"/>
  </r>
  <r>
    <x v="2"/>
    <x v="0"/>
    <n v="93"/>
    <s v="Millones de dólares"/>
    <s v="BADECON"/>
    <x v="6"/>
    <s v="C29"/>
    <x v="19"/>
    <n v="101.10423088160999"/>
    <n v="95.629262636448004"/>
    <n v="101.10423088160999"/>
    <n v="91.984281161191163"/>
  </r>
  <r>
    <x v="2"/>
    <x v="1"/>
    <n v="64924"/>
    <s v="Millones de dólares"/>
    <s v="BADECON"/>
    <x v="6"/>
    <s v="C29"/>
    <x v="19"/>
    <n v="93.3"/>
    <n v="87.8"/>
    <n v="93.3"/>
    <n v="69586.280814576632"/>
  </r>
  <r>
    <x v="2"/>
    <x v="0"/>
    <n v="9195"/>
    <s v="Millones de dólares"/>
    <s v="BADECON"/>
    <x v="6"/>
    <s v="C20"/>
    <x v="10"/>
    <n v="101.63829571143999"/>
    <n v="95.629262636448004"/>
    <n v="101.63829571143999"/>
    <n v="9046.7868785456703"/>
  </r>
  <r>
    <x v="2"/>
    <x v="1"/>
    <n v="40286"/>
    <s v="Millones de dólares"/>
    <s v="BADECON"/>
    <x v="6"/>
    <s v="C20"/>
    <x v="10"/>
    <n v="103.7"/>
    <n v="87.8"/>
    <n v="103.7"/>
    <n v="38848.601735776283"/>
  </r>
  <r>
    <x v="2"/>
    <x v="0"/>
    <n v="100"/>
    <s v="Millones de dólares"/>
    <s v="BADECON"/>
    <x v="6"/>
    <s v="C32"/>
    <x v="22"/>
    <m/>
    <n v="95.629262636448004"/>
    <n v="95.629262636448004"/>
    <n v="104.57050200226701"/>
  </r>
  <r>
    <x v="2"/>
    <x v="1"/>
    <n v="558"/>
    <s v="Millones de dólares"/>
    <s v="BADECON"/>
    <x v="6"/>
    <s v="C32"/>
    <x v="22"/>
    <n v="91.1"/>
    <n v="87.8"/>
    <n v="91.1"/>
    <n v="612.51372118551046"/>
  </r>
  <r>
    <x v="2"/>
    <x v="0"/>
    <n v="1064"/>
    <s v="Millones de dólares"/>
    <s v="BADECON"/>
    <x v="6"/>
    <s v="C21"/>
    <x v="11"/>
    <n v="101.63829571143999"/>
    <n v="95.629262636448004"/>
    <n v="101.63829571143999"/>
    <n v="1046.849509382555"/>
  </r>
  <r>
    <x v="2"/>
    <x v="1"/>
    <n v="2048"/>
    <s v="Millones de dólares"/>
    <s v="BADECON"/>
    <x v="6"/>
    <s v="C21"/>
    <x v="11"/>
    <n v="103.7"/>
    <n v="87.8"/>
    <n v="103.7"/>
    <n v="1974.9276759884281"/>
  </r>
  <r>
    <x v="2"/>
    <x v="0"/>
    <n v="285"/>
    <s v="Millones de dólares"/>
    <s v="BADECON"/>
    <x v="6"/>
    <s v="C15"/>
    <x v="5"/>
    <n v="117.9376128321"/>
    <n v="95.629262636448004"/>
    <n v="117.9376128321"/>
    <n v="241.65318693175149"/>
  </r>
  <r>
    <x v="2"/>
    <x v="1"/>
    <n v="2776"/>
    <s v="Millones de dólares"/>
    <s v="BADECON"/>
    <x v="6"/>
    <s v="C15"/>
    <x v="5"/>
    <n v="93.8"/>
    <n v="87.8"/>
    <n v="93.8"/>
    <n v="2959.488272921109"/>
  </r>
  <r>
    <x v="2"/>
    <x v="0"/>
    <n v="53"/>
    <s v="Millones de dólares"/>
    <s v="BADECON"/>
    <x v="6"/>
    <s v="C26"/>
    <x v="16"/>
    <n v="101.10423088160999"/>
    <n v="95.629262636448004"/>
    <n v="101.10423088160999"/>
    <n v="52.421149478958412"/>
  </r>
  <r>
    <x v="2"/>
    <x v="1"/>
    <n v="9104"/>
    <s v="Millones de dólares"/>
    <s v="BADECON"/>
    <x v="6"/>
    <s v="C26"/>
    <x v="16"/>
    <n v="91.8"/>
    <n v="87.8"/>
    <n v="91.8"/>
    <n v="9917.2113289760346"/>
  </r>
  <r>
    <x v="2"/>
    <x v="0"/>
    <n v="4877"/>
    <s v="Millones de dólares"/>
    <s v="BADECON"/>
    <x v="6"/>
    <s v="C11"/>
    <x v="2"/>
    <n v="96.059679698527006"/>
    <n v="95.629262636448004"/>
    <n v="96.059679698527006"/>
    <n v="5077.0521152120646"/>
  </r>
  <r>
    <x v="2"/>
    <x v="1"/>
    <n v="20774"/>
    <s v="Millones de dólares"/>
    <s v="BADECON"/>
    <x v="6"/>
    <s v="C11"/>
    <x v="2"/>
    <n v="89.6"/>
    <n v="87.8"/>
    <n v="89.6"/>
    <n v="23185.267857142859"/>
  </r>
  <r>
    <x v="2"/>
    <x v="0"/>
    <n v="77"/>
    <s v="Millones de dólares"/>
    <s v="BADECON"/>
    <x v="6"/>
    <s v="C30"/>
    <x v="20"/>
    <n v="101.10423088160999"/>
    <n v="95.629262636448004"/>
    <n v="101.10423088160999"/>
    <n v="76.159028488298063"/>
  </r>
  <r>
    <x v="2"/>
    <x v="1"/>
    <n v="962"/>
    <s v="Millones de dólares"/>
    <s v="BADECON"/>
    <x v="6"/>
    <s v="C30"/>
    <x v="20"/>
    <n v="93.3"/>
    <n v="87.8"/>
    <n v="93.3"/>
    <n v="1031.082529474812"/>
  </r>
  <r>
    <x v="2"/>
    <x v="1"/>
    <n v="31821"/>
    <s v="Millones de dólares"/>
    <s v="BADECON"/>
    <x v="6"/>
    <s v="C19"/>
    <x v="9"/>
    <n v="17.7"/>
    <n v="87.8"/>
    <n v="17.7"/>
    <n v="179779.66101694919"/>
  </r>
  <r>
    <x v="2"/>
    <x v="1"/>
    <n v="1098"/>
    <s v="Millones de dólares"/>
    <s v="BADECON"/>
    <x v="6"/>
    <s v="C12"/>
    <x v="24"/>
    <n v="89.6"/>
    <n v="87.8"/>
    <n v="89.6"/>
    <n v="1225.4464285714289"/>
  </r>
  <r>
    <x v="2"/>
    <x v="0"/>
    <n v="1731"/>
    <s v="Millones de dólares"/>
    <s v="BADECON"/>
    <x v="6"/>
    <s v="CXX"/>
    <x v="0"/>
    <m/>
    <n v="95.629262636448004"/>
    <n v="95.629262636448004"/>
    <n v="1810.1153896592409"/>
  </r>
  <r>
    <x v="3"/>
    <x v="0"/>
    <n v="603"/>
    <s v="Millones de dólares"/>
    <s v="BADECON"/>
    <x v="6"/>
    <s v="C18"/>
    <x v="8"/>
    <n v="72.105553335238"/>
    <n v="96.211353938038002"/>
    <n v="72.105553335238"/>
    <n v="836.27400679735683"/>
  </r>
  <r>
    <x v="3"/>
    <x v="1"/>
    <n v="1056"/>
    <s v="Millones de dólares"/>
    <s v="BADECON"/>
    <x v="6"/>
    <s v="C18"/>
    <x v="8"/>
    <n v="88.6"/>
    <n v="81.900000000000006"/>
    <n v="88.6"/>
    <n v="1191.8735891647859"/>
  </r>
  <r>
    <x v="3"/>
    <x v="0"/>
    <n v="19500"/>
    <s v="Millones de dólares"/>
    <s v="BADECON"/>
    <x v="6"/>
    <s v="C10"/>
    <x v="1"/>
    <n v="92.136318280468004"/>
    <n v="96.211353938038002"/>
    <n v="92.136318280468004"/>
    <n v="21164.292608958971"/>
  </r>
  <r>
    <x v="3"/>
    <x v="1"/>
    <n v="64026"/>
    <s v="Millones de dólares"/>
    <s v="BADECON"/>
    <x v="6"/>
    <s v="C10"/>
    <x v="1"/>
    <n v="87.2"/>
    <n v="81.900000000000006"/>
    <n v="87.2"/>
    <n v="73424.3119266055"/>
  </r>
  <r>
    <x v="3"/>
    <x v="0"/>
    <n v="2569"/>
    <s v="Millones de dólares"/>
    <s v="BADECON"/>
    <x v="6"/>
    <s v="C23"/>
    <x v="13"/>
    <n v="93.364041500221006"/>
    <n v="96.211353938038002"/>
    <n v="93.364041500221006"/>
    <n v="2751.594681121338"/>
  </r>
  <r>
    <x v="3"/>
    <x v="1"/>
    <n v="21557"/>
    <s v="Millones de dólares"/>
    <s v="BADECON"/>
    <x v="6"/>
    <s v="C23"/>
    <x v="13"/>
    <n v="80.2"/>
    <n v="81.900000000000006"/>
    <n v="80.2"/>
    <n v="26879.052369077301"/>
  </r>
  <r>
    <x v="3"/>
    <x v="0"/>
    <n v="300"/>
    <s v="Millones de dólares"/>
    <s v="BADECON"/>
    <x v="6"/>
    <s v="C14"/>
    <x v="4"/>
    <n v="107.52442116425"/>
    <n v="96.211353938038002"/>
    <n v="107.52442116425"/>
    <n v="279.0063845512193"/>
  </r>
  <r>
    <x v="3"/>
    <x v="1"/>
    <n v="4497"/>
    <s v="Millones de dólares"/>
    <s v="BADECON"/>
    <x v="6"/>
    <s v="C14"/>
    <x v="4"/>
    <n v="90.7"/>
    <n v="81.900000000000006"/>
    <n v="90.7"/>
    <n v="4958.1036383682467"/>
  </r>
  <r>
    <x v="3"/>
    <x v="0"/>
    <n v="2363"/>
    <s v="Millones de dólares"/>
    <s v="BADECON"/>
    <x v="6"/>
    <s v="C33"/>
    <x v="23"/>
    <n v="95.958177771508005"/>
    <n v="96.211353938038002"/>
    <n v="95.958177771508005"/>
    <n v="2462.5311306209742"/>
  </r>
  <r>
    <x v="3"/>
    <x v="0"/>
    <n v="359"/>
    <s v="Millones de dólares"/>
    <s v="BADECON"/>
    <x v="6"/>
    <s v="C13"/>
    <x v="3"/>
    <n v="107.52442116425"/>
    <n v="96.211353938038002"/>
    <n v="107.52442116425"/>
    <n v="333.87764017962581"/>
  </r>
  <r>
    <x v="3"/>
    <x v="1"/>
    <n v="14480"/>
    <s v="Millones de dólares"/>
    <s v="BADECON"/>
    <x v="6"/>
    <s v="C13"/>
    <x v="3"/>
    <n v="84.5"/>
    <n v="81.900000000000006"/>
    <n v="84.5"/>
    <n v="17136.094674556211"/>
  </r>
  <r>
    <x v="3"/>
    <x v="0"/>
    <n v="2536"/>
    <s v="Millones de dólares"/>
    <s v="BADECON"/>
    <x v="6"/>
    <s v="C25"/>
    <x v="15"/>
    <n v="95.958177771508005"/>
    <n v="96.211353938038002"/>
    <n v="95.958177771508005"/>
    <n v="2642.8180056093061"/>
  </r>
  <r>
    <x v="3"/>
    <x v="1"/>
    <n v="20130"/>
    <s v="Millones de dólares"/>
    <s v="BADECON"/>
    <x v="6"/>
    <s v="C25"/>
    <x v="15"/>
    <n v="76"/>
    <n v="81.900000000000006"/>
    <n v="76"/>
    <n v="26486.84210526316"/>
  </r>
  <r>
    <x v="3"/>
    <x v="0"/>
    <n v="1589"/>
    <s v="Millones de dólares"/>
    <s v="BADECON"/>
    <x v="6"/>
    <s v="C28"/>
    <x v="18"/>
    <n v="95.958177771508005"/>
    <n v="96.211353938038002"/>
    <n v="95.958177771508005"/>
    <n v="1655.929736164506"/>
  </r>
  <r>
    <x v="3"/>
    <x v="1"/>
    <n v="36505"/>
    <s v="Millones de dólares"/>
    <s v="BADECON"/>
    <x v="6"/>
    <s v="C28"/>
    <x v="18"/>
    <n v="82.9"/>
    <n v="81.900000000000006"/>
    <n v="82.9"/>
    <n v="44034.981905910732"/>
  </r>
  <r>
    <x v="3"/>
    <x v="0"/>
    <n v="453"/>
    <s v="Millones de dólares"/>
    <s v="BADECON"/>
    <x v="6"/>
    <s v="C31"/>
    <x v="21"/>
    <n v="107.1615082093"/>
    <n v="96.211353938038002"/>
    <n v="107.1615082093"/>
    <n v="422.72641321474651"/>
  </r>
  <r>
    <x v="3"/>
    <x v="1"/>
    <n v="908"/>
    <s v="Millones de dólares"/>
    <s v="BADECON"/>
    <x v="6"/>
    <s v="C31"/>
    <x v="21"/>
    <n v="85.5"/>
    <n v="81.900000000000006"/>
    <n v="85.5"/>
    <n v="1061.988304093567"/>
  </r>
  <r>
    <x v="3"/>
    <x v="0"/>
    <n v="3894"/>
    <s v="Millones de dólares"/>
    <s v="BADECON"/>
    <x v="6"/>
    <s v="C11"/>
    <x v="2"/>
    <n v="100.22588687651999"/>
    <n v="96.211353938038002"/>
    <n v="100.22588687651999"/>
    <n v="3885.2237893364559"/>
  </r>
  <r>
    <x v="3"/>
    <x v="1"/>
    <n v="21403"/>
    <s v="Millones de dólares"/>
    <s v="BADECON"/>
    <x v="6"/>
    <s v="C11"/>
    <x v="2"/>
    <n v="80"/>
    <n v="81.900000000000006"/>
    <n v="80"/>
    <n v="26753.75"/>
  </r>
  <r>
    <x v="3"/>
    <x v="0"/>
    <n v="2716"/>
    <s v="Millones de dólares"/>
    <s v="BADECON"/>
    <x v="6"/>
    <s v="C22"/>
    <x v="12"/>
    <n v="109.79561218418"/>
    <n v="96.211353938038002"/>
    <n v="109.79561218418"/>
    <n v="2473.687195663123"/>
  </r>
  <r>
    <x v="3"/>
    <x v="1"/>
    <n v="18087"/>
    <s v="Millones de dólares"/>
    <s v="BADECON"/>
    <x v="6"/>
    <s v="C22"/>
    <x v="12"/>
    <n v="81.900000000000006"/>
    <n v="81.900000000000006"/>
    <n v="81.900000000000006"/>
    <n v="22084.249084249081"/>
  </r>
  <r>
    <x v="3"/>
    <x v="0"/>
    <n v="5389"/>
    <s v="Millones de dólares"/>
    <s v="BADECON"/>
    <x v="6"/>
    <s v="C17"/>
    <x v="7"/>
    <n v="72.105553335238"/>
    <n v="96.211353938038002"/>
    <n v="72.105553335238"/>
    <n v="7473.7655433349191"/>
  </r>
  <r>
    <x v="3"/>
    <x v="1"/>
    <n v="11396"/>
    <s v="Millones de dólares"/>
    <s v="BADECON"/>
    <x v="6"/>
    <s v="C17"/>
    <x v="7"/>
    <n v="82"/>
    <n v="81.900000000000006"/>
    <n v="82"/>
    <n v="13897.560975609749"/>
  </r>
  <r>
    <x v="3"/>
    <x v="0"/>
    <n v="718"/>
    <s v="Millones de dólares"/>
    <s v="BADECON"/>
    <x v="6"/>
    <s v="C27"/>
    <x v="17"/>
    <n v="95.958177771508005"/>
    <n v="96.211353938038002"/>
    <n v="95.958177771508005"/>
    <n v="748.24263723481135"/>
  </r>
  <r>
    <x v="3"/>
    <x v="1"/>
    <n v="27902"/>
    <s v="Millones de dólares"/>
    <s v="BADECON"/>
    <x v="6"/>
    <s v="C27"/>
    <x v="17"/>
    <n v="84.9"/>
    <n v="81.900000000000006"/>
    <n v="84.9"/>
    <n v="32864.546525323909"/>
  </r>
  <r>
    <x v="3"/>
    <x v="0"/>
    <n v="10601"/>
    <s v="Millones de dólares"/>
    <s v="BADECON"/>
    <x v="6"/>
    <s v="C20"/>
    <x v="10"/>
    <n v="109.79561218418"/>
    <n v="96.211353938038002"/>
    <n v="109.79561218418"/>
    <n v="9655.2127986836385"/>
  </r>
  <r>
    <x v="3"/>
    <x v="1"/>
    <n v="44386"/>
    <s v="Millones de dólares"/>
    <s v="BADECON"/>
    <x v="6"/>
    <s v="C20"/>
    <x v="10"/>
    <n v="95.7"/>
    <n v="81.900000000000006"/>
    <n v="95.7"/>
    <n v="46380.355276907001"/>
  </r>
  <r>
    <x v="3"/>
    <x v="0"/>
    <n v="4351"/>
    <s v="Millones de dólares"/>
    <s v="BADECON"/>
    <x v="6"/>
    <s v="C16"/>
    <x v="6"/>
    <n v="107.1615082093"/>
    <n v="96.211353938038002"/>
    <n v="107.1615082093"/>
    <n v="4060.2265428197838"/>
  </r>
  <r>
    <x v="3"/>
    <x v="1"/>
    <n v="1417"/>
    <s v="Millones de dólares"/>
    <s v="BADECON"/>
    <x v="6"/>
    <s v="C16"/>
    <x v="6"/>
    <n v="85.2"/>
    <n v="81.900000000000006"/>
    <n v="85.2"/>
    <n v="1663.1455399061031"/>
  </r>
  <r>
    <x v="3"/>
    <x v="0"/>
    <n v="95"/>
    <s v="Millones de dólares"/>
    <s v="BADECON"/>
    <x v="6"/>
    <s v="C32"/>
    <x v="22"/>
    <m/>
    <n v="96.211353938038002"/>
    <n v="96.211353938038002"/>
    <n v="98.7409449213051"/>
  </r>
  <r>
    <x v="3"/>
    <x v="1"/>
    <n v="642"/>
    <s v="Millones de dólares"/>
    <s v="BADECON"/>
    <x v="6"/>
    <s v="C32"/>
    <x v="22"/>
    <n v="86.4"/>
    <n v="81.900000000000006"/>
    <n v="86.4"/>
    <n v="743.05555555555554"/>
  </r>
  <r>
    <x v="3"/>
    <x v="0"/>
    <n v="105"/>
    <s v="Millones de dólares"/>
    <s v="BADECON"/>
    <x v="6"/>
    <s v="C29"/>
    <x v="19"/>
    <n v="95.958177771508005"/>
    <n v="96.211353938038002"/>
    <n v="95.958177771508005"/>
    <n v="109.42266979060609"/>
  </r>
  <r>
    <x v="3"/>
    <x v="1"/>
    <n v="68726"/>
    <s v="Millones de dólares"/>
    <s v="BADECON"/>
    <x v="6"/>
    <s v="C29"/>
    <x v="19"/>
    <n v="82.9"/>
    <n v="81.900000000000006"/>
    <n v="82.9"/>
    <n v="82902.29191797346"/>
  </r>
  <r>
    <x v="3"/>
    <x v="0"/>
    <n v="1074"/>
    <s v="Millones de dólares"/>
    <s v="BADECON"/>
    <x v="6"/>
    <s v="C21"/>
    <x v="11"/>
    <n v="109.79561218418"/>
    <n v="96.211353938038002"/>
    <n v="109.79561218418"/>
    <n v="978.18116647356169"/>
  </r>
  <r>
    <x v="3"/>
    <x v="1"/>
    <n v="2008"/>
    <s v="Millones de dólares"/>
    <s v="BADECON"/>
    <x v="6"/>
    <s v="C21"/>
    <x v="11"/>
    <n v="95.7"/>
    <n v="81.900000000000006"/>
    <n v="95.7"/>
    <n v="2098.223615464995"/>
  </r>
  <r>
    <x v="3"/>
    <x v="0"/>
    <n v="1245"/>
    <s v="Millones de dólares"/>
    <s v="BADECON"/>
    <x v="6"/>
    <s v="C24"/>
    <x v="14"/>
    <n v="93.364041500221006"/>
    <n v="96.211353938038002"/>
    <n v="93.364041500221006"/>
    <n v="1333.489831839652"/>
  </r>
  <r>
    <x v="3"/>
    <x v="1"/>
    <n v="29591"/>
    <s v="Millones de dólares"/>
    <s v="BADECON"/>
    <x v="6"/>
    <s v="C24"/>
    <x v="14"/>
    <n v="73.2"/>
    <n v="81.900000000000006"/>
    <n v="73.2"/>
    <n v="40424.863387978141"/>
  </r>
  <r>
    <x v="3"/>
    <x v="0"/>
    <n v="321"/>
    <s v="Millones de dólares"/>
    <s v="BADECON"/>
    <x v="6"/>
    <s v="C15"/>
    <x v="5"/>
    <n v="107.52442116425"/>
    <n v="96.211353938038002"/>
    <n v="107.52442116425"/>
    <n v="298.53683146980472"/>
  </r>
  <r>
    <x v="3"/>
    <x v="1"/>
    <n v="3230"/>
    <s v="Millones de dólares"/>
    <s v="BADECON"/>
    <x v="6"/>
    <s v="C15"/>
    <x v="5"/>
    <n v="90.8"/>
    <n v="81.900000000000006"/>
    <n v="90.8"/>
    <n v="3557.2687224669612"/>
  </r>
  <r>
    <x v="3"/>
    <x v="0"/>
    <n v="72"/>
    <s v="Millones de dólares"/>
    <s v="BADECON"/>
    <x v="6"/>
    <s v="C26"/>
    <x v="16"/>
    <n v="95.958177771508005"/>
    <n v="96.211353938038002"/>
    <n v="95.958177771508005"/>
    <n v="75.03268785641562"/>
  </r>
  <r>
    <x v="3"/>
    <x v="1"/>
    <n v="9527"/>
    <s v="Millones de dólares"/>
    <s v="BADECON"/>
    <x v="6"/>
    <s v="C26"/>
    <x v="16"/>
    <n v="83.4"/>
    <n v="81.900000000000006"/>
    <n v="83.4"/>
    <n v="11423.26139088729"/>
  </r>
  <r>
    <x v="3"/>
    <x v="0"/>
    <n v="7"/>
    <s v="Millones de dólares"/>
    <s v="BADECON"/>
    <x v="6"/>
    <s v="C30"/>
    <x v="20"/>
    <n v="95.958177771508005"/>
    <n v="96.211353938038002"/>
    <n v="95.958177771508005"/>
    <n v="7.2948446527070736"/>
  </r>
  <r>
    <x v="3"/>
    <x v="1"/>
    <n v="1203"/>
    <s v="Millones de dólares"/>
    <s v="BADECON"/>
    <x v="6"/>
    <s v="C30"/>
    <x v="20"/>
    <n v="82.9"/>
    <n v="81.900000000000006"/>
    <n v="82.9"/>
    <n v="1451.1459589867311"/>
  </r>
  <r>
    <x v="3"/>
    <x v="1"/>
    <n v="45641"/>
    <s v="Millones de dólares"/>
    <s v="BADECON"/>
    <x v="6"/>
    <s v="C19"/>
    <x v="9"/>
    <n v="47.6"/>
    <n v="81.900000000000006"/>
    <n v="47.6"/>
    <n v="95884.45378151261"/>
  </r>
  <r>
    <x v="3"/>
    <x v="1"/>
    <n v="1129"/>
    <s v="Millones de dólares"/>
    <s v="BADECON"/>
    <x v="6"/>
    <s v="C12"/>
    <x v="24"/>
    <n v="80"/>
    <n v="81.900000000000006"/>
    <n v="80"/>
    <n v="1411.25"/>
  </r>
  <r>
    <x v="3"/>
    <x v="0"/>
    <n v="2617"/>
    <s v="Millones de dólares"/>
    <s v="BADECON"/>
    <x v="6"/>
    <s v="CXX"/>
    <x v="0"/>
    <m/>
    <n v="96.211353938038002"/>
    <n v="96.211353938038002"/>
    <n v="2720.0531879900568"/>
  </r>
  <r>
    <x v="6"/>
    <x v="0"/>
    <n v="3396060500.3950481"/>
    <s v="Dólares"/>
    <s v="BADECON"/>
    <x v="1"/>
    <m/>
    <x v="2"/>
    <m/>
    <m/>
    <n v="112.85003295356999"/>
    <n v="3009.357118922856"/>
  </r>
  <r>
    <x v="6"/>
    <x v="0"/>
    <n v="17894554288.385571"/>
    <s v="Dólares"/>
    <s v="BADECON"/>
    <x v="1"/>
    <m/>
    <x v="1"/>
    <m/>
    <m/>
    <n v="108.85802305479"/>
    <n v="16438.434013613271"/>
  </r>
  <r>
    <x v="6"/>
    <x v="0"/>
    <n v="859717888.06952858"/>
    <s v="Dólares"/>
    <s v="BADECON"/>
    <x v="1"/>
    <m/>
    <x v="17"/>
    <m/>
    <m/>
    <n v="106.47234528849"/>
    <n v="807.45651440296285"/>
  </r>
  <r>
    <x v="6"/>
    <x v="0"/>
    <n v="558315031.34053206"/>
    <s v="Dólares"/>
    <s v="BADECON"/>
    <x v="1"/>
    <m/>
    <x v="18"/>
    <m/>
    <m/>
    <n v="106.47234528849"/>
    <n v="524.375629960776"/>
  </r>
  <r>
    <x v="6"/>
    <x v="0"/>
    <n v="2163804559.1256261"/>
    <s v="Dólares"/>
    <s v="BADECON"/>
    <x v="1"/>
    <m/>
    <x v="14"/>
    <m/>
    <m/>
    <n v="124.66113428208"/>
    <n v="1735.749134312724"/>
  </r>
  <r>
    <x v="6"/>
    <x v="0"/>
    <n v="461569810.3766132"/>
    <s v="Dólares"/>
    <s v="BADECON"/>
    <x v="1"/>
    <m/>
    <x v="21"/>
    <m/>
    <m/>
    <n v="143.65737313291001"/>
    <n v="321.29907453449988"/>
  </r>
  <r>
    <x v="6"/>
    <x v="0"/>
    <n v="24485140.900711089"/>
    <s v="Dólares"/>
    <s v="BADECON"/>
    <x v="1"/>
    <m/>
    <x v="20"/>
    <m/>
    <m/>
    <n v="106.47234528849"/>
    <n v="22.996714155556418"/>
  </r>
  <r>
    <x v="6"/>
    <x v="0"/>
    <n v="1840074823.5449049"/>
    <s v="Dólares"/>
    <s v="BADECON"/>
    <x v="1"/>
    <m/>
    <x v="13"/>
    <m/>
    <m/>
    <n v="124.66113428208"/>
    <n v="1476.061351552627"/>
  </r>
  <r>
    <x v="6"/>
    <x v="0"/>
    <n v="3030675288.9122992"/>
    <s v="Dólares"/>
    <s v="BADECON"/>
    <x v="1"/>
    <m/>
    <x v="7"/>
    <m/>
    <m/>
    <n v="94.206586225303994"/>
    <n v="3217.0524486092199"/>
  </r>
  <r>
    <x v="6"/>
    <x v="0"/>
    <n v="71658479.062417686"/>
    <s v="Dólares"/>
    <s v="BADECON"/>
    <x v="1"/>
    <m/>
    <x v="4"/>
    <m/>
    <m/>
    <n v="69.374466842382006"/>
    <n v="103.2922951685163"/>
  </r>
  <r>
    <x v="6"/>
    <x v="0"/>
    <n v="2120839880.1685541"/>
    <s v="Dólares"/>
    <s v="BADECON"/>
    <x v="1"/>
    <m/>
    <x v="12"/>
    <m/>
    <m/>
    <n v="115.300264502"/>
    <n v="1839.4059105838089"/>
  </r>
  <r>
    <x v="6"/>
    <x v="0"/>
    <n v="24271424.80905978"/>
    <s v="Dólares"/>
    <s v="BADECON"/>
    <x v="1"/>
    <m/>
    <x v="5"/>
    <m/>
    <m/>
    <n v="69.374466842382006"/>
    <n v="34.986106436254403"/>
  </r>
  <r>
    <x v="6"/>
    <x v="0"/>
    <n v="8236614.4324466698"/>
    <s v="Dólares"/>
    <s v="BADECON"/>
    <x v="1"/>
    <m/>
    <x v="16"/>
    <m/>
    <m/>
    <n v="106.47234528849"/>
    <n v="7.7359190408826981"/>
  </r>
  <r>
    <x v="6"/>
    <x v="0"/>
    <n v="1561600859.099288"/>
    <s v="Dólares"/>
    <s v="BADECON"/>
    <x v="1"/>
    <m/>
    <x v="15"/>
    <m/>
    <m/>
    <n v="106.47234528849"/>
    <n v="1466.6727354113259"/>
  </r>
  <r>
    <x v="6"/>
    <x v="0"/>
    <n v="780952042.40189636"/>
    <s v="Dólares"/>
    <s v="BADECON"/>
    <x v="1"/>
    <m/>
    <x v="11"/>
    <m/>
    <m/>
    <n v="115.300264502"/>
    <n v="677.32025227778195"/>
  </r>
  <r>
    <x v="6"/>
    <x v="0"/>
    <n v="170070000"/>
    <s v="Dólares"/>
    <s v="BADECON"/>
    <x v="1"/>
    <m/>
    <x v="3"/>
    <m/>
    <m/>
    <n v="69.374466842382006"/>
    <n v="245.1478299449812"/>
  </r>
  <r>
    <x v="6"/>
    <x v="0"/>
    <n v="9308317644.1927814"/>
    <s v="Dólares"/>
    <s v="BADECON"/>
    <x v="1"/>
    <m/>
    <x v="10"/>
    <m/>
    <m/>
    <n v="115.300264502"/>
    <n v="8073.1103995267231"/>
  </r>
  <r>
    <x v="6"/>
    <x v="0"/>
    <n v="43093828.022122733"/>
    <s v="Dólares"/>
    <s v="BADECON"/>
    <x v="1"/>
    <m/>
    <x v="19"/>
    <m/>
    <m/>
    <n v="106.47234528849"/>
    <n v="40.474198164188742"/>
  </r>
  <r>
    <x v="6"/>
    <x v="0"/>
    <n v="238311327.36370829"/>
    <s v="Dólares"/>
    <s v="BADECON"/>
    <x v="1"/>
    <m/>
    <x v="8"/>
    <m/>
    <m/>
    <n v="94.206586225303994"/>
    <n v="252.96673715971849"/>
  </r>
  <r>
    <x v="6"/>
    <x v="0"/>
    <n v="79294133.263102472"/>
    <s v="Dólares"/>
    <s v="BADECON"/>
    <x v="1"/>
    <m/>
    <x v="22"/>
    <m/>
    <m/>
    <n v="110.55212475787999"/>
    <n v="71.725562431987981"/>
  </r>
  <r>
    <x v="6"/>
    <x v="0"/>
    <n v="2357751305.7677121"/>
    <s v="Dólares"/>
    <s v="BADECON"/>
    <x v="1"/>
    <m/>
    <x v="6"/>
    <m/>
    <m/>
    <n v="143.65737313291001"/>
    <n v="1641.2323672286209"/>
  </r>
  <r>
    <x v="6"/>
    <x v="0"/>
    <n v="768042139.32051623"/>
    <s v="Dólares"/>
    <s v="BADECON"/>
    <x v="1"/>
    <m/>
    <x v="23"/>
    <m/>
    <m/>
    <n v="106.47234528849"/>
    <n v="721.35364092852751"/>
  </r>
  <r>
    <x v="6"/>
    <x v="1"/>
    <n v="14717974679.80295"/>
    <s v="Dólares"/>
    <s v="BADECON"/>
    <x v="1"/>
    <m/>
    <x v="2"/>
    <m/>
    <m/>
    <n v="114.588591483131"/>
    <n v="12844.18849146046"/>
  </r>
  <r>
    <x v="6"/>
    <x v="1"/>
    <n v="49771474482.758636"/>
    <s v="Dólares"/>
    <s v="BADECON"/>
    <x v="1"/>
    <m/>
    <x v="1"/>
    <m/>
    <m/>
    <n v="116.18765921948599"/>
    <n v="42837.14364942762"/>
  </r>
  <r>
    <x v="6"/>
    <x v="1"/>
    <n v="356992955.66502458"/>
    <s v="Dólares"/>
    <s v="BADECON"/>
    <x v="1"/>
    <m/>
    <x v="24"/>
    <m/>
    <m/>
    <n v="114.588591483131"/>
    <n v="311.54319207909879"/>
  </r>
  <r>
    <x v="6"/>
    <x v="1"/>
    <n v="12221464433.49754"/>
    <s v="Dólares"/>
    <s v="BADECON"/>
    <x v="1"/>
    <m/>
    <x v="9"/>
    <m/>
    <m/>
    <n v="101.249897488305"/>
    <n v="12070.59437754907"/>
  </r>
  <r>
    <x v="6"/>
    <x v="1"/>
    <n v="20531946847.290649"/>
    <s v="Dólares"/>
    <s v="BADECON"/>
    <x v="1"/>
    <m/>
    <x v="17"/>
    <m/>
    <m/>
    <n v="110.091234626415"/>
    <n v="18649.937860143011"/>
  </r>
  <r>
    <x v="6"/>
    <x v="1"/>
    <n v="26854091379.310341"/>
    <s v="Dólares"/>
    <s v="BADECON"/>
    <x v="1"/>
    <m/>
    <x v="18"/>
    <m/>
    <m/>
    <n v="111.424704413977"/>
    <n v="24100.66198563933"/>
  </r>
  <r>
    <x v="6"/>
    <x v="1"/>
    <n v="35070808029.556641"/>
    <s v="Dólares"/>
    <s v="BADECON"/>
    <x v="1"/>
    <m/>
    <x v="14"/>
    <m/>
    <m/>
    <n v="141.21332900058599"/>
    <n v="24835.338333685981"/>
  </r>
  <r>
    <x v="6"/>
    <x v="1"/>
    <n v="1226834187.1921179"/>
    <s v="Dólares"/>
    <s v="BADECON"/>
    <x v="1"/>
    <m/>
    <x v="21"/>
    <m/>
    <m/>
    <n v="113.656804391549"/>
    <n v="1079.419920135763"/>
  </r>
  <r>
    <x v="6"/>
    <x v="1"/>
    <n v="580395418.71921194"/>
    <s v="Dólares"/>
    <s v="BADECON"/>
    <x v="1"/>
    <m/>
    <x v="20"/>
    <m/>
    <m/>
    <n v="112.92894634856199"/>
    <n v="513.94743109334127"/>
  </r>
  <r>
    <x v="6"/>
    <x v="1"/>
    <n v="15133452019.70443"/>
    <s v="Dólares"/>
    <s v="BADECON"/>
    <x v="1"/>
    <m/>
    <x v="13"/>
    <m/>
    <m/>
    <n v="112.951814443289"/>
    <n v="13398.148665688461"/>
  </r>
  <r>
    <x v="6"/>
    <x v="1"/>
    <n v="10834771477.83251"/>
    <s v="Dólares"/>
    <s v="BADECON"/>
    <x v="1"/>
    <m/>
    <x v="7"/>
    <m/>
    <m/>
    <n v="112.392064602288"/>
    <n v="9640.1569952225473"/>
  </r>
  <r>
    <x v="6"/>
    <x v="1"/>
    <n v="2715126502.4630542"/>
    <s v="Dólares"/>
    <s v="BADECON"/>
    <x v="1"/>
    <m/>
    <x v="4"/>
    <m/>
    <m/>
    <n v="118.49318137442501"/>
    <n v="2291.377842142294"/>
  </r>
  <r>
    <x v="6"/>
    <x v="1"/>
    <n v="16243195763.546801"/>
    <s v="Dólares"/>
    <s v="BADECON"/>
    <x v="1"/>
    <m/>
    <x v="12"/>
    <m/>
    <m/>
    <n v="110.98105301320901"/>
    <n v="14636.007969408551"/>
  </r>
  <r>
    <x v="6"/>
    <x v="1"/>
    <n v="1928083201.970443"/>
    <s v="Dólares"/>
    <s v="BADECON"/>
    <x v="1"/>
    <m/>
    <x v="5"/>
    <m/>
    <m/>
    <n v="107.07734755600499"/>
    <n v="1800.64527743554"/>
  </r>
  <r>
    <x v="6"/>
    <x v="1"/>
    <n v="4038962857.142858"/>
    <s v="Dólares"/>
    <s v="BADECON"/>
    <x v="1"/>
    <m/>
    <x v="16"/>
    <m/>
    <m/>
    <n v="106.928543554746"/>
    <n v="3777.2541576561939"/>
  </r>
  <r>
    <x v="6"/>
    <x v="1"/>
    <n v="18326248177.33989"/>
    <s v="Dólares"/>
    <s v="BADECON"/>
    <x v="1"/>
    <m/>
    <x v="15"/>
    <m/>
    <m/>
    <n v="121.868271296408"/>
    <n v="15037.75181381443"/>
  </r>
  <r>
    <x v="6"/>
    <x v="1"/>
    <n v="1006631625.6157629"/>
    <s v="Dólares"/>
    <s v="BADECON"/>
    <x v="1"/>
    <m/>
    <x v="11"/>
    <m/>
    <m/>
    <n v="108.877296090838"/>
    <n v="924.55604773277548"/>
  </r>
  <r>
    <x v="6"/>
    <x v="1"/>
    <n v="11287315763.546801"/>
    <s v="Dólares"/>
    <s v="BADECON"/>
    <x v="1"/>
    <m/>
    <x v="3"/>
    <m/>
    <m/>
    <n v="113.699368348429"/>
    <n v="9927.3337464435954"/>
  </r>
  <r>
    <x v="6"/>
    <x v="1"/>
    <n v="28928144778.325119"/>
    <s v="Dólares"/>
    <s v="BADECON"/>
    <x v="1"/>
    <m/>
    <x v="10"/>
    <m/>
    <m/>
    <n v="108.877296090838"/>
    <n v="26569.49227889525"/>
  </r>
  <r>
    <x v="6"/>
    <x v="1"/>
    <n v="60970673743.842346"/>
    <s v="Dólares"/>
    <s v="BADECON"/>
    <x v="1"/>
    <m/>
    <x v="19"/>
    <m/>
    <m/>
    <n v="112.92894634856199"/>
    <n v="53990.29718709382"/>
  </r>
  <r>
    <x v="6"/>
    <x v="1"/>
    <n v="430809999.99999988"/>
    <s v="Dólares"/>
    <s v="BADECON"/>
    <x v="1"/>
    <m/>
    <x v="8"/>
    <m/>
    <m/>
    <n v="114.043225455295"/>
    <n v="377.76027315965177"/>
  </r>
  <r>
    <x v="6"/>
    <x v="1"/>
    <n v="448294778.32512319"/>
    <s v="Dólares"/>
    <s v="BADECON"/>
    <x v="1"/>
    <m/>
    <x v="22"/>
    <m/>
    <m/>
    <n v="117.451425181814"/>
    <n v="381.68526063533579"/>
  </r>
  <r>
    <x v="6"/>
    <x v="1"/>
    <n v="2339218669.9507389"/>
    <s v="Dólares"/>
    <s v="BADECON"/>
    <x v="1"/>
    <m/>
    <x v="6"/>
    <m/>
    <m/>
    <n v="114.696642834729"/>
    <n v="2039.483120113126"/>
  </r>
  <r>
    <x v="7"/>
    <x v="0"/>
    <n v="3562658846.3302741"/>
    <s v="Dólares"/>
    <s v="BADECON"/>
    <x v="1"/>
    <m/>
    <x v="2"/>
    <m/>
    <m/>
    <n v="109.88589645717001"/>
    <n v="3242.143861217789"/>
  </r>
  <r>
    <x v="7"/>
    <x v="0"/>
    <n v="23480552831.42202"/>
    <s v="Dólares"/>
    <s v="BADECON"/>
    <x v="1"/>
    <m/>
    <x v="1"/>
    <m/>
    <m/>
    <n v="138.22614999915999"/>
    <n v="16987.055511250739"/>
  </r>
  <r>
    <x v="7"/>
    <x v="0"/>
    <n v="767524941.51376164"/>
    <s v="Dólares"/>
    <s v="BADECON"/>
    <x v="1"/>
    <m/>
    <x v="17"/>
    <m/>
    <m/>
    <n v="123.96393010113999"/>
    <n v="619.15182980045199"/>
  </r>
  <r>
    <x v="7"/>
    <x v="0"/>
    <n v="571873441.51376128"/>
    <s v="Dólares"/>
    <s v="BADECON"/>
    <x v="1"/>
    <m/>
    <x v="18"/>
    <m/>
    <m/>
    <n v="123.96393010113999"/>
    <n v="461.32245165765528"/>
  </r>
  <r>
    <x v="7"/>
    <x v="0"/>
    <n v="2347393701.8348622"/>
    <s v="Dólares"/>
    <s v="BADECON"/>
    <x v="1"/>
    <m/>
    <x v="14"/>
    <m/>
    <m/>
    <n v="134.03865367133"/>
    <n v="1751.2811696772169"/>
  </r>
  <r>
    <x v="7"/>
    <x v="0"/>
    <n v="1364209077.981652"/>
    <s v="Dólares"/>
    <s v="BADECON"/>
    <x v="1"/>
    <m/>
    <x v="21"/>
    <m/>
    <m/>
    <n v="182.56944637426"/>
    <n v="747.22748251373787"/>
  </r>
  <r>
    <x v="7"/>
    <x v="0"/>
    <n v="34249388.761467889"/>
    <s v="Dólares"/>
    <s v="BADECON"/>
    <x v="1"/>
    <m/>
    <x v="20"/>
    <m/>
    <m/>
    <n v="123.96393010113999"/>
    <n v="27.628511562616978"/>
  </r>
  <r>
    <x v="7"/>
    <x v="0"/>
    <n v="2118037995.4128449"/>
    <s v="Dólares"/>
    <s v="BADECON"/>
    <x v="1"/>
    <m/>
    <x v="13"/>
    <m/>
    <m/>
    <n v="134.03865367133"/>
    <n v="1580.169553632184"/>
  </r>
  <r>
    <x v="7"/>
    <x v="0"/>
    <n v="3622147000"/>
    <s v="Dólares"/>
    <s v="BADECON"/>
    <x v="1"/>
    <m/>
    <x v="7"/>
    <m/>
    <m/>
    <n v="120.87292541591999"/>
    <n v="2996.657016065677"/>
  </r>
  <r>
    <x v="7"/>
    <x v="0"/>
    <n v="79241821.100917444"/>
    <s v="Dólares"/>
    <s v="BADECON"/>
    <x v="1"/>
    <m/>
    <x v="4"/>
    <m/>
    <m/>
    <n v="56.539869603999001"/>
    <n v="140.1521115204566"/>
  </r>
  <r>
    <x v="7"/>
    <x v="0"/>
    <n v="2224473475.9174309"/>
    <s v="Dólares"/>
    <s v="BADECON"/>
    <x v="1"/>
    <m/>
    <x v="12"/>
    <m/>
    <m/>
    <n v="175.63081008859999"/>
    <n v="1266.562213540584"/>
  </r>
  <r>
    <x v="7"/>
    <x v="0"/>
    <n v="26143204.128440369"/>
    <s v="Dólares"/>
    <s v="BADECON"/>
    <x v="1"/>
    <m/>
    <x v="5"/>
    <m/>
    <m/>
    <n v="56.539869603999001"/>
    <n v="46.238529221141476"/>
  </r>
  <r>
    <x v="7"/>
    <x v="0"/>
    <n v="10530798.165137621"/>
    <s v="Dólares"/>
    <s v="BADECON"/>
    <x v="1"/>
    <m/>
    <x v="16"/>
    <m/>
    <m/>
    <n v="123.96393010113999"/>
    <n v="8.4950502590114088"/>
  </r>
  <r>
    <x v="7"/>
    <x v="0"/>
    <n v="1729364959.862385"/>
    <s v="Dólares"/>
    <s v="BADECON"/>
    <x v="1"/>
    <m/>
    <x v="15"/>
    <m/>
    <m/>
    <n v="123.96393010113999"/>
    <n v="1395.054963529655"/>
  </r>
  <r>
    <x v="7"/>
    <x v="0"/>
    <n v="868484345.18348598"/>
    <s v="Dólares"/>
    <s v="BADECON"/>
    <x v="1"/>
    <m/>
    <x v="11"/>
    <m/>
    <m/>
    <n v="175.63081008859999"/>
    <n v="494.49430014321752"/>
  </r>
  <r>
    <x v="7"/>
    <x v="0"/>
    <n v="194848431.1926606"/>
    <s v="Dólares"/>
    <s v="BADECON"/>
    <x v="1"/>
    <m/>
    <x v="3"/>
    <m/>
    <m/>
    <n v="56.539869603999001"/>
    <n v="344.62129565802741"/>
  </r>
  <r>
    <x v="7"/>
    <x v="0"/>
    <n v="11966678553.89909"/>
    <s v="Dólares"/>
    <s v="BADECON"/>
    <x v="1"/>
    <m/>
    <x v="10"/>
    <m/>
    <m/>
    <n v="175.63081008859999"/>
    <n v="6813.5417401208188"/>
  </r>
  <r>
    <x v="7"/>
    <x v="0"/>
    <n v="47770466.743119262"/>
    <s v="Dólares"/>
    <s v="BADECON"/>
    <x v="1"/>
    <m/>
    <x v="19"/>
    <m/>
    <m/>
    <n v="123.96393010113999"/>
    <n v="38.535779483712872"/>
  </r>
  <r>
    <x v="7"/>
    <x v="0"/>
    <n v="179704366.97247711"/>
    <s v="Dólares"/>
    <s v="BADECON"/>
    <x v="1"/>
    <m/>
    <x v="8"/>
    <m/>
    <m/>
    <n v="120.87292541591999"/>
    <n v="148.6721417175269"/>
  </r>
  <r>
    <x v="7"/>
    <x v="0"/>
    <n v="90302387.614678845"/>
    <s v="Dólares"/>
    <s v="BADECON"/>
    <x v="1"/>
    <m/>
    <x v="22"/>
    <m/>
    <m/>
    <n v="138.33137560220001"/>
    <n v="65.27975827722679"/>
  </r>
  <r>
    <x v="7"/>
    <x v="0"/>
    <n v="2898764103.21101"/>
    <s v="Dólares"/>
    <s v="BADECON"/>
    <x v="1"/>
    <m/>
    <x v="6"/>
    <m/>
    <m/>
    <n v="182.56944637426"/>
    <n v="1587.759705021321"/>
  </r>
  <r>
    <x v="7"/>
    <x v="0"/>
    <n v="597261420.87155914"/>
    <s v="Dólares"/>
    <s v="BADECON"/>
    <x v="1"/>
    <m/>
    <x v="23"/>
    <m/>
    <m/>
    <n v="123.96393010113999"/>
    <n v="481.80258594920628"/>
  </r>
  <r>
    <x v="7"/>
    <x v="1"/>
    <n v="16734104577.114429"/>
    <s v="Dólares"/>
    <s v="BADECON"/>
    <x v="1"/>
    <m/>
    <x v="2"/>
    <m/>
    <m/>
    <n v="124.885983267714"/>
    <n v="13399.505804620259"/>
  </r>
  <r>
    <x v="7"/>
    <x v="1"/>
    <n v="56143503482.587097"/>
    <s v="Dólares"/>
    <s v="BADECON"/>
    <x v="1"/>
    <m/>
    <x v="1"/>
    <m/>
    <m/>
    <n v="129.32654788623401"/>
    <n v="43412.202985558251"/>
  </r>
  <r>
    <x v="7"/>
    <x v="1"/>
    <n v="334998855.72139299"/>
    <s v="Dólares"/>
    <s v="BADECON"/>
    <x v="1"/>
    <m/>
    <x v="24"/>
    <m/>
    <m/>
    <n v="124.885983267714"/>
    <n v="268.24375879178291"/>
  </r>
  <r>
    <x v="7"/>
    <x v="1"/>
    <n v="19304148805.97015"/>
    <s v="Dólares"/>
    <s v="BADECON"/>
    <x v="1"/>
    <m/>
    <x v="9"/>
    <m/>
    <m/>
    <n v="93.717494351913203"/>
    <n v="20598.23402179559"/>
  </r>
  <r>
    <x v="7"/>
    <x v="1"/>
    <n v="21646398159.203979"/>
    <s v="Dólares"/>
    <s v="BADECON"/>
    <x v="1"/>
    <m/>
    <x v="17"/>
    <m/>
    <m/>
    <n v="118.400520723024"/>
    <n v="18282.35047195587"/>
  </r>
  <r>
    <x v="7"/>
    <x v="1"/>
    <n v="29324105174.129341"/>
    <s v="Dólares"/>
    <s v="BADECON"/>
    <x v="1"/>
    <m/>
    <x v="18"/>
    <m/>
    <m/>
    <n v="123.731212299186"/>
    <n v="23699.84471114914"/>
  </r>
  <r>
    <x v="7"/>
    <x v="1"/>
    <n v="36587091990.049744"/>
    <s v="Dólares"/>
    <s v="BADECON"/>
    <x v="1"/>
    <m/>
    <x v="14"/>
    <m/>
    <m/>
    <n v="141.87141028890099"/>
    <n v="25788.911180586219"/>
  </r>
  <r>
    <x v="7"/>
    <x v="1"/>
    <n v="1238567114.427861"/>
    <s v="Dólares"/>
    <s v="BADECON"/>
    <x v="1"/>
    <m/>
    <x v="21"/>
    <m/>
    <m/>
    <n v="124.760255125349"/>
    <n v="992.75776022055175"/>
  </r>
  <r>
    <x v="7"/>
    <x v="1"/>
    <n v="592284825.87064672"/>
    <s v="Dólares"/>
    <s v="BADECON"/>
    <x v="1"/>
    <m/>
    <x v="20"/>
    <m/>
    <m/>
    <n v="118.92956316086899"/>
    <n v="498.01311812564052"/>
  </r>
  <r>
    <x v="7"/>
    <x v="1"/>
    <n v="16307038805.97015"/>
    <s v="Dólares"/>
    <s v="BADECON"/>
    <x v="1"/>
    <m/>
    <x v="13"/>
    <m/>
    <m/>
    <n v="129.18720398146201"/>
    <n v="12622.79723021961"/>
  </r>
  <r>
    <x v="7"/>
    <x v="1"/>
    <n v="12555880149.253731"/>
    <s v="Dólares"/>
    <s v="BADECON"/>
    <x v="1"/>
    <m/>
    <x v="7"/>
    <m/>
    <m/>
    <n v="124.992774454829"/>
    <n v="10045.28478067449"/>
  </r>
  <r>
    <x v="7"/>
    <x v="1"/>
    <n v="2954734626.8656721"/>
    <s v="Dólares"/>
    <s v="BADECON"/>
    <x v="1"/>
    <m/>
    <x v="4"/>
    <m/>
    <m/>
    <n v="130.309937712893"/>
    <n v="2267.4668400008959"/>
  </r>
  <r>
    <x v="7"/>
    <x v="1"/>
    <n v="17555618358.208961"/>
    <s v="Dólares"/>
    <s v="BADECON"/>
    <x v="1"/>
    <m/>
    <x v="12"/>
    <m/>
    <m/>
    <n v="124.20030413134501"/>
    <n v="14134.92380795094"/>
  </r>
  <r>
    <x v="7"/>
    <x v="1"/>
    <n v="2327141741.2935319"/>
    <s v="Dólares"/>
    <s v="BADECON"/>
    <x v="1"/>
    <m/>
    <x v="5"/>
    <m/>
    <m/>
    <n v="114.765372402341"/>
    <n v="2027.738587502778"/>
  </r>
  <r>
    <x v="7"/>
    <x v="1"/>
    <n v="4277058656.7164192"/>
    <s v="Dólares"/>
    <s v="BADECON"/>
    <x v="1"/>
    <m/>
    <x v="16"/>
    <m/>
    <m/>
    <n v="113.459970516059"/>
    <n v="3769.6631131338499"/>
  </r>
  <r>
    <x v="7"/>
    <x v="1"/>
    <n v="18977797761.194031"/>
    <s v="Dólares"/>
    <s v="BADECON"/>
    <x v="1"/>
    <m/>
    <x v="15"/>
    <m/>
    <m/>
    <n v="134.38056482799499"/>
    <n v="14122.4274399243"/>
  </r>
  <r>
    <x v="7"/>
    <x v="1"/>
    <n v="1032543482.587065"/>
    <s v="Dólares"/>
    <s v="BADECON"/>
    <x v="1"/>
    <m/>
    <x v="11"/>
    <m/>
    <m/>
    <n v="125.100295460086"/>
    <n v="825.37253712282723"/>
  </r>
  <r>
    <x v="7"/>
    <x v="1"/>
    <n v="12012926915.42288"/>
    <s v="Dólares"/>
    <s v="BADECON"/>
    <x v="1"/>
    <m/>
    <x v="3"/>
    <m/>
    <m/>
    <n v="119.934366622322"/>
    <n v="10016.25076593105"/>
  </r>
  <r>
    <x v="7"/>
    <x v="1"/>
    <n v="34634461293.532341"/>
    <s v="Dólares"/>
    <s v="BADECON"/>
    <x v="1"/>
    <m/>
    <x v="10"/>
    <m/>
    <m/>
    <n v="125.100295460086"/>
    <n v="27685.355311237188"/>
  </r>
  <r>
    <x v="7"/>
    <x v="1"/>
    <n v="72295427164.179092"/>
    <s v="Dólares"/>
    <s v="BADECON"/>
    <x v="1"/>
    <m/>
    <x v="19"/>
    <m/>
    <m/>
    <n v="118.92956316086899"/>
    <n v="60788.440857542992"/>
  </r>
  <r>
    <x v="7"/>
    <x v="1"/>
    <n v="483317910.44776118"/>
    <s v="Dólares"/>
    <s v="BADECON"/>
    <x v="1"/>
    <m/>
    <x v="8"/>
    <m/>
    <m/>
    <n v="126.864077629889"/>
    <n v="380.97302205418958"/>
  </r>
  <r>
    <x v="7"/>
    <x v="1"/>
    <n v="520994776.11940289"/>
    <s v="Dólares"/>
    <s v="BADECON"/>
    <x v="1"/>
    <m/>
    <x v="22"/>
    <m/>
    <m/>
    <n v="130.09451278639801"/>
    <n v="400.47405917482729"/>
  </r>
  <r>
    <x v="7"/>
    <x v="1"/>
    <n v="2723944726.3681588"/>
    <s v="Dólares"/>
    <s v="BADECON"/>
    <x v="1"/>
    <m/>
    <x v="6"/>
    <m/>
    <m/>
    <n v="135.89610378926099"/>
    <n v="2004.431805191618"/>
  </r>
  <r>
    <x v="8"/>
    <x v="1"/>
    <n v="19090211807.909599"/>
    <s v="Dólares"/>
    <s v="BADECON"/>
    <x v="1"/>
    <m/>
    <x v="2"/>
    <m/>
    <m/>
    <n v="131.88825158196701"/>
    <n v="14474.53550936283"/>
  </r>
  <r>
    <x v="8"/>
    <x v="1"/>
    <n v="65680787288.135551"/>
    <s v="Dólares"/>
    <s v="BADECON"/>
    <x v="1"/>
    <m/>
    <x v="1"/>
    <m/>
    <m/>
    <n v="137.78728757684999"/>
    <n v="47668.248967817519"/>
  </r>
  <r>
    <x v="8"/>
    <x v="1"/>
    <n v="395674858.7570622"/>
    <s v="Dólares"/>
    <s v="BADECON"/>
    <x v="1"/>
    <m/>
    <x v="24"/>
    <m/>
    <m/>
    <n v="131.88825158196701"/>
    <n v="300.00766103958472"/>
  </r>
  <r>
    <x v="8"/>
    <x v="1"/>
    <n v="16071070677.966101"/>
    <s v="Dólares"/>
    <s v="BADECON"/>
    <x v="1"/>
    <m/>
    <x v="9"/>
    <m/>
    <m/>
    <n v="75.235547730506298"/>
    <n v="21361.00708076543"/>
  </r>
  <r>
    <x v="8"/>
    <x v="1"/>
    <n v="24814614237.288132"/>
    <s v="Dólares"/>
    <s v="BADECON"/>
    <x v="1"/>
    <m/>
    <x v="17"/>
    <m/>
    <m/>
    <n v="122.488835983729"/>
    <n v="20258.67421957085"/>
  </r>
  <r>
    <x v="8"/>
    <x v="1"/>
    <n v="33700135028.248589"/>
    <s v="Dólares"/>
    <s v="BADECON"/>
    <x v="1"/>
    <m/>
    <x v="18"/>
    <m/>
    <m/>
    <n v="130.65664198069601"/>
    <n v="25792.89848366657"/>
  </r>
  <r>
    <x v="8"/>
    <x v="1"/>
    <n v="35559292372.881348"/>
    <s v="Dólares"/>
    <s v="BADECON"/>
    <x v="1"/>
    <m/>
    <x v="14"/>
    <m/>
    <m/>
    <n v="126.475336095899"/>
    <n v="28115.594289402619"/>
  </r>
  <r>
    <x v="8"/>
    <x v="1"/>
    <n v="1322423107.3446331"/>
    <s v="Dólares"/>
    <s v="BADECON"/>
    <x v="1"/>
    <m/>
    <x v="21"/>
    <m/>
    <m/>
    <n v="137.57038856002899"/>
    <n v="961.2701695376777"/>
  </r>
  <r>
    <x v="8"/>
    <x v="1"/>
    <n v="636019548.0225991"/>
    <s v="Dólares"/>
    <s v="BADECON"/>
    <x v="1"/>
    <m/>
    <x v="20"/>
    <m/>
    <m/>
    <n v="117.406234416616"/>
    <n v="541.72553202386496"/>
  </r>
  <r>
    <x v="8"/>
    <x v="1"/>
    <n v="18901682372.881359"/>
    <s v="Dólares"/>
    <s v="BADECON"/>
    <x v="1"/>
    <m/>
    <x v="13"/>
    <m/>
    <m/>
    <n v="136.67401133375901"/>
    <n v="13829.75606585754"/>
  </r>
  <r>
    <x v="8"/>
    <x v="1"/>
    <n v="13746567005.649719"/>
    <s v="Dólares"/>
    <s v="BADECON"/>
    <x v="1"/>
    <m/>
    <x v="7"/>
    <m/>
    <m/>
    <n v="126.43481259036101"/>
    <n v="10872.45413190711"/>
  </r>
  <r>
    <x v="8"/>
    <x v="1"/>
    <n v="3318570677.9661012"/>
    <s v="Dólares"/>
    <s v="BADECON"/>
    <x v="1"/>
    <m/>
    <x v="4"/>
    <m/>
    <m/>
    <n v="126.827473515305"/>
    <n v="2616.602370121037"/>
  </r>
  <r>
    <x v="8"/>
    <x v="1"/>
    <n v="18600198870.056511"/>
    <s v="Dólares"/>
    <s v="BADECON"/>
    <x v="1"/>
    <m/>
    <x v="12"/>
    <m/>
    <m/>
    <n v="122.42725052420499"/>
    <n v="15192.8584448436"/>
  </r>
  <r>
    <x v="8"/>
    <x v="1"/>
    <n v="2643397005.6497178"/>
    <s v="Dólares"/>
    <s v="BADECON"/>
    <x v="1"/>
    <m/>
    <x v="5"/>
    <m/>
    <m/>
    <n v="121.146784451534"/>
    <n v="2181.9786778634939"/>
  </r>
  <r>
    <x v="8"/>
    <x v="1"/>
    <n v="5073224124.293786"/>
    <s v="Dólares"/>
    <s v="BADECON"/>
    <x v="1"/>
    <m/>
    <x v="16"/>
    <m/>
    <m/>
    <n v="115.498414548615"/>
    <n v="4392.4621338922279"/>
  </r>
  <r>
    <x v="8"/>
    <x v="1"/>
    <n v="21431708361.581921"/>
    <s v="Dólares"/>
    <s v="BADECON"/>
    <x v="1"/>
    <m/>
    <x v="15"/>
    <m/>
    <m/>
    <n v="134.05703540769301"/>
    <n v="15987.007542277821"/>
  </r>
  <r>
    <x v="8"/>
    <x v="1"/>
    <n v="1202325141.242938"/>
    <s v="Dólares"/>
    <s v="BADECON"/>
    <x v="1"/>
    <m/>
    <x v="11"/>
    <m/>
    <m/>
    <n v="131.56240089822001"/>
    <n v="913.88203091024991"/>
  </r>
  <r>
    <x v="8"/>
    <x v="1"/>
    <n v="13615051864.40678"/>
    <s v="Dólares"/>
    <s v="BADECON"/>
    <x v="1"/>
    <m/>
    <x v="3"/>
    <m/>
    <m/>
    <n v="122.71316266715"/>
    <n v="11095.02156776495"/>
  </r>
  <r>
    <x v="8"/>
    <x v="1"/>
    <n v="34964898305.084763"/>
    <s v="Dólares"/>
    <s v="BADECON"/>
    <x v="1"/>
    <m/>
    <x v="10"/>
    <m/>
    <m/>
    <n v="131.56240089822001"/>
    <n v="26576.664811806291"/>
  </r>
  <r>
    <x v="8"/>
    <x v="1"/>
    <n v="89013997570.62146"/>
    <s v="Dólares"/>
    <s v="BADECON"/>
    <x v="1"/>
    <m/>
    <x v="19"/>
    <m/>
    <m/>
    <n v="117.406234416616"/>
    <n v="75817.096096239053"/>
  </r>
  <r>
    <x v="8"/>
    <x v="1"/>
    <n v="485603559.32203388"/>
    <s v="Dólares"/>
    <s v="BADECON"/>
    <x v="1"/>
    <m/>
    <x v="8"/>
    <m/>
    <m/>
    <n v="133.89448111026101"/>
    <n v="362.67630696603788"/>
  </r>
  <r>
    <x v="8"/>
    <x v="1"/>
    <n v="607482768.36158204"/>
    <s v="Dólares"/>
    <s v="BADECON"/>
    <x v="1"/>
    <m/>
    <x v="22"/>
    <m/>
    <m/>
    <n v="141.34852687948501"/>
    <n v="429.77651184120742"/>
  </r>
  <r>
    <x v="8"/>
    <x v="1"/>
    <n v="2876979435.0282488"/>
    <s v="Dólares"/>
    <s v="BADECON"/>
    <x v="1"/>
    <m/>
    <x v="6"/>
    <m/>
    <m/>
    <n v="138.02464258179401"/>
    <n v="2084.3954972195188"/>
  </r>
  <r>
    <x v="6"/>
    <x v="0"/>
    <n v="21831"/>
    <s v="Dólares"/>
    <s v="BADECON"/>
    <x v="3"/>
    <m/>
    <x v="2"/>
    <m/>
    <m/>
    <n v="112.85003295356999"/>
    <n v="21831"/>
  </r>
  <r>
    <x v="6"/>
    <x v="0"/>
    <n v="184026"/>
    <s v="Dólares"/>
    <s v="BADECON"/>
    <x v="3"/>
    <m/>
    <x v="1"/>
    <m/>
    <m/>
    <n v="108.85802305479"/>
    <n v="184026"/>
  </r>
  <r>
    <x v="6"/>
    <x v="0"/>
    <n v="7017"/>
    <s v="Dólares"/>
    <s v="BADECON"/>
    <x v="3"/>
    <m/>
    <x v="17"/>
    <m/>
    <m/>
    <n v="106.47234528849"/>
    <n v="7017"/>
  </r>
  <r>
    <x v="6"/>
    <x v="0"/>
    <n v="14401"/>
    <s v="Dólares"/>
    <s v="BADECON"/>
    <x v="3"/>
    <m/>
    <x v="18"/>
    <m/>
    <m/>
    <n v="106.47234528849"/>
    <n v="14401"/>
  </r>
  <r>
    <x v="6"/>
    <x v="0"/>
    <n v="9370"/>
    <s v="Dólares"/>
    <s v="BADECON"/>
    <x v="3"/>
    <m/>
    <x v="14"/>
    <m/>
    <m/>
    <n v="124.66113428208"/>
    <n v="9370"/>
  </r>
  <r>
    <x v="6"/>
    <x v="0"/>
    <n v="10418"/>
    <s v="Dólares"/>
    <s v="BADECON"/>
    <x v="3"/>
    <m/>
    <x v="21"/>
    <m/>
    <m/>
    <n v="143.65737313291001"/>
    <n v="10418"/>
  </r>
  <r>
    <x v="6"/>
    <x v="0"/>
    <n v="516"/>
    <s v="Dólares"/>
    <s v="BADECON"/>
    <x v="3"/>
    <m/>
    <x v="20"/>
    <m/>
    <m/>
    <n v="106.47234528849"/>
    <n v="516"/>
  </r>
  <r>
    <x v="6"/>
    <x v="0"/>
    <n v="16921"/>
    <s v="Dólares"/>
    <s v="BADECON"/>
    <x v="3"/>
    <m/>
    <x v="13"/>
    <m/>
    <m/>
    <n v="124.66113428208"/>
    <n v="16921"/>
  </r>
  <r>
    <x v="6"/>
    <x v="0"/>
    <n v="22562"/>
    <s v="Dólares"/>
    <s v="BADECON"/>
    <x v="3"/>
    <m/>
    <x v="7"/>
    <m/>
    <m/>
    <n v="94.206586225303994"/>
    <n v="22562"/>
  </r>
  <r>
    <x v="6"/>
    <x v="0"/>
    <n v="3398"/>
    <s v="Dólares"/>
    <s v="BADECON"/>
    <x v="3"/>
    <m/>
    <x v="4"/>
    <m/>
    <m/>
    <n v="69.374466842382006"/>
    <n v="3398"/>
  </r>
  <r>
    <x v="6"/>
    <x v="0"/>
    <n v="25690"/>
    <s v="Dólares"/>
    <s v="BADECON"/>
    <x v="3"/>
    <m/>
    <x v="12"/>
    <m/>
    <m/>
    <n v="115.300264502"/>
    <n v="25690"/>
  </r>
  <r>
    <x v="6"/>
    <x v="0"/>
    <n v="1111"/>
    <s v="Dólares"/>
    <s v="BADECON"/>
    <x v="3"/>
    <m/>
    <x v="5"/>
    <m/>
    <m/>
    <n v="69.374466842382006"/>
    <n v="1111"/>
  </r>
  <r>
    <x v="6"/>
    <x v="0"/>
    <n v="388"/>
    <s v="Dólares"/>
    <s v="BADECON"/>
    <x v="3"/>
    <m/>
    <x v="16"/>
    <m/>
    <m/>
    <n v="106.47234528849"/>
    <n v="388"/>
  </r>
  <r>
    <x v="6"/>
    <x v="0"/>
    <n v="23501"/>
    <s v="Dólares"/>
    <s v="BADECON"/>
    <x v="3"/>
    <m/>
    <x v="15"/>
    <m/>
    <m/>
    <n v="106.47234528849"/>
    <n v="23501"/>
  </r>
  <r>
    <x v="6"/>
    <x v="0"/>
    <n v="12552"/>
    <s v="Dólares"/>
    <s v="BADECON"/>
    <x v="3"/>
    <m/>
    <x v="11"/>
    <m/>
    <m/>
    <n v="115.300264502"/>
    <n v="12552"/>
  </r>
  <r>
    <x v="6"/>
    <x v="0"/>
    <n v="3838"/>
    <s v="Dólares"/>
    <s v="BADECON"/>
    <x v="3"/>
    <m/>
    <x v="3"/>
    <m/>
    <m/>
    <n v="69.374466842382006"/>
    <n v="3838"/>
  </r>
  <r>
    <x v="6"/>
    <x v="0"/>
    <n v="27730"/>
    <s v="Dólares"/>
    <s v="BADECON"/>
    <x v="3"/>
    <m/>
    <x v="10"/>
    <m/>
    <m/>
    <n v="115.300264502"/>
    <n v="27730"/>
  </r>
  <r>
    <x v="6"/>
    <x v="0"/>
    <n v="1079"/>
    <s v="Dólares"/>
    <s v="BADECON"/>
    <x v="3"/>
    <m/>
    <x v="19"/>
    <m/>
    <m/>
    <n v="106.47234528849"/>
    <n v="1079"/>
  </r>
  <r>
    <x v="6"/>
    <x v="0"/>
    <n v="5067"/>
    <s v="Dólares"/>
    <s v="BADECON"/>
    <x v="3"/>
    <m/>
    <x v="8"/>
    <m/>
    <m/>
    <n v="94.206586225303994"/>
    <n v="5067"/>
  </r>
  <r>
    <x v="6"/>
    <x v="0"/>
    <n v="1707"/>
    <s v="Dólares"/>
    <s v="BADECON"/>
    <x v="3"/>
    <m/>
    <x v="22"/>
    <m/>
    <m/>
    <n v="110.55212475787999"/>
    <n v="1707"/>
  </r>
  <r>
    <x v="6"/>
    <x v="0"/>
    <n v="28476"/>
    <s v="Dólares"/>
    <s v="BADECON"/>
    <x v="3"/>
    <m/>
    <x v="6"/>
    <m/>
    <m/>
    <n v="143.65737313291001"/>
    <n v="28476"/>
  </r>
  <r>
    <x v="6"/>
    <x v="0"/>
    <n v="28156"/>
    <s v="Dólares"/>
    <s v="BADECON"/>
    <x v="3"/>
    <m/>
    <x v="23"/>
    <m/>
    <m/>
    <n v="106.47234528849"/>
    <n v="28156"/>
  </r>
  <r>
    <x v="6"/>
    <x v="1"/>
    <n v="152757"/>
    <s v="Dólares"/>
    <s v="BADECON"/>
    <x v="3"/>
    <m/>
    <x v="2"/>
    <m/>
    <m/>
    <n v="114.588591483131"/>
    <n v="152757"/>
  </r>
  <r>
    <x v="6"/>
    <x v="1"/>
    <n v="876477"/>
    <s v="Dólares"/>
    <s v="BADECON"/>
    <x v="3"/>
    <m/>
    <x v="1"/>
    <m/>
    <m/>
    <n v="116.18765921948599"/>
    <n v="876477"/>
  </r>
  <r>
    <x v="6"/>
    <x v="1"/>
    <n v="2075"/>
    <s v="Dólares"/>
    <s v="BADECON"/>
    <x v="3"/>
    <m/>
    <x v="24"/>
    <m/>
    <m/>
    <n v="114.588591483131"/>
    <n v="2075"/>
  </r>
  <r>
    <x v="6"/>
    <x v="1"/>
    <n v="26228"/>
    <s v="Dólares"/>
    <s v="BADECON"/>
    <x v="3"/>
    <m/>
    <x v="9"/>
    <m/>
    <m/>
    <n v="101.249897488305"/>
    <n v="26228"/>
  </r>
  <r>
    <x v="6"/>
    <x v="1"/>
    <n v="468822"/>
    <s v="Dólares"/>
    <s v="BADECON"/>
    <x v="3"/>
    <m/>
    <x v="17"/>
    <m/>
    <m/>
    <n v="110.091234626415"/>
    <n v="468822"/>
  </r>
  <r>
    <x v="6"/>
    <x v="1"/>
    <n v="424175"/>
    <s v="Dólares"/>
    <s v="BADECON"/>
    <x v="3"/>
    <m/>
    <x v="18"/>
    <m/>
    <m/>
    <n v="111.424704413977"/>
    <n v="424175"/>
  </r>
  <r>
    <x v="6"/>
    <x v="1"/>
    <n v="112656"/>
    <s v="Dólares"/>
    <s v="BADECON"/>
    <x v="3"/>
    <m/>
    <x v="14"/>
    <m/>
    <m/>
    <n v="141.21332900058599"/>
    <n v="112656"/>
  </r>
  <r>
    <x v="6"/>
    <x v="1"/>
    <n v="122394"/>
    <s v="Dólares"/>
    <s v="BADECON"/>
    <x v="3"/>
    <m/>
    <x v="21"/>
    <m/>
    <m/>
    <n v="113.656804391549"/>
    <n v="122394"/>
  </r>
  <r>
    <x v="6"/>
    <x v="1"/>
    <n v="21131"/>
    <s v="Dólares"/>
    <s v="BADECON"/>
    <x v="3"/>
    <m/>
    <x v="20"/>
    <m/>
    <m/>
    <n v="112.92894634856199"/>
    <n v="21131"/>
  </r>
  <r>
    <x v="6"/>
    <x v="1"/>
    <n v="205128"/>
    <s v="Dólares"/>
    <s v="BADECON"/>
    <x v="3"/>
    <m/>
    <x v="13"/>
    <m/>
    <m/>
    <n v="112.951814443289"/>
    <n v="205128"/>
  </r>
  <r>
    <x v="6"/>
    <x v="1"/>
    <n v="108262"/>
    <s v="Dólares"/>
    <s v="BADECON"/>
    <x v="3"/>
    <m/>
    <x v="7"/>
    <m/>
    <m/>
    <n v="112.392064602288"/>
    <n v="108262"/>
  </r>
  <r>
    <x v="6"/>
    <x v="1"/>
    <n v="253183"/>
    <s v="Dólares"/>
    <s v="BADECON"/>
    <x v="3"/>
    <m/>
    <x v="4"/>
    <m/>
    <m/>
    <n v="118.49318137442501"/>
    <n v="253183"/>
  </r>
  <r>
    <x v="6"/>
    <x v="1"/>
    <n v="276695"/>
    <s v="Dólares"/>
    <s v="BADECON"/>
    <x v="3"/>
    <m/>
    <x v="12"/>
    <m/>
    <m/>
    <n v="110.98105301320901"/>
    <n v="276695"/>
  </r>
  <r>
    <x v="6"/>
    <x v="1"/>
    <n v="133376"/>
    <s v="Dólares"/>
    <s v="BADECON"/>
    <x v="3"/>
    <m/>
    <x v="5"/>
    <m/>
    <m/>
    <n v="107.07734755600499"/>
    <n v="133376"/>
  </r>
  <r>
    <x v="6"/>
    <x v="1"/>
    <n v="336543"/>
    <s v="Dólares"/>
    <s v="BADECON"/>
    <x v="3"/>
    <m/>
    <x v="16"/>
    <m/>
    <m/>
    <n v="106.928543554746"/>
    <n v="336543"/>
  </r>
  <r>
    <x v="6"/>
    <x v="1"/>
    <n v="397332"/>
    <s v="Dólares"/>
    <s v="BADECON"/>
    <x v="3"/>
    <m/>
    <x v="15"/>
    <m/>
    <m/>
    <n v="121.868271296408"/>
    <n v="397332"/>
  </r>
  <r>
    <x v="6"/>
    <x v="1"/>
    <n v="81250"/>
    <s v="Dólares"/>
    <s v="BADECON"/>
    <x v="3"/>
    <m/>
    <x v="11"/>
    <m/>
    <m/>
    <n v="108.877296090838"/>
    <n v="81250"/>
  </r>
  <r>
    <x v="6"/>
    <x v="1"/>
    <n v="418243"/>
    <s v="Dólares"/>
    <s v="BADECON"/>
    <x v="3"/>
    <m/>
    <x v="3"/>
    <m/>
    <m/>
    <n v="113.699368348429"/>
    <n v="418243"/>
  </r>
  <r>
    <x v="6"/>
    <x v="1"/>
    <n v="177496"/>
    <s v="Dólares"/>
    <s v="BADECON"/>
    <x v="3"/>
    <m/>
    <x v="10"/>
    <m/>
    <m/>
    <n v="108.877296090838"/>
    <n v="177496"/>
  </r>
  <r>
    <x v="6"/>
    <x v="1"/>
    <n v="111679"/>
    <s v="Dólares"/>
    <s v="BADECON"/>
    <x v="3"/>
    <m/>
    <x v="19"/>
    <m/>
    <m/>
    <n v="112.92894634856199"/>
    <n v="111679"/>
  </r>
  <r>
    <x v="6"/>
    <x v="1"/>
    <n v="13067"/>
    <s v="Dólares"/>
    <s v="BADECON"/>
    <x v="3"/>
    <m/>
    <x v="8"/>
    <m/>
    <m/>
    <n v="114.043225455295"/>
    <n v="13067"/>
  </r>
  <r>
    <x v="6"/>
    <x v="1"/>
    <n v="8479"/>
    <s v="Dólares"/>
    <s v="BADECON"/>
    <x v="3"/>
    <m/>
    <x v="22"/>
    <m/>
    <m/>
    <n v="117.451425181814"/>
    <n v="8479"/>
  </r>
  <r>
    <x v="6"/>
    <x v="1"/>
    <n v="118761"/>
    <s v="Dólares"/>
    <s v="BADECON"/>
    <x v="3"/>
    <m/>
    <x v="6"/>
    <m/>
    <m/>
    <n v="114.696642834729"/>
    <n v="118761"/>
  </r>
  <r>
    <x v="7"/>
    <x v="0"/>
    <n v="22736"/>
    <s v="Dólares"/>
    <s v="BADECON"/>
    <x v="3"/>
    <m/>
    <x v="2"/>
    <m/>
    <m/>
    <n v="109.88589645717001"/>
    <n v="22736"/>
  </r>
  <r>
    <x v="7"/>
    <x v="0"/>
    <n v="169707"/>
    <s v="Dólares"/>
    <s v="BADECON"/>
    <x v="3"/>
    <m/>
    <x v="1"/>
    <m/>
    <m/>
    <n v="138.22614999915999"/>
    <n v="169707"/>
  </r>
  <r>
    <x v="7"/>
    <x v="0"/>
    <n v="82894"/>
    <s v="Dólares"/>
    <s v="BADECON"/>
    <x v="3"/>
    <m/>
    <x v="17"/>
    <m/>
    <m/>
    <n v="123.96393010113999"/>
    <n v="82894"/>
  </r>
  <r>
    <x v="7"/>
    <x v="0"/>
    <n v="9137"/>
    <s v="Dólares"/>
    <s v="BADECON"/>
    <x v="3"/>
    <m/>
    <x v="18"/>
    <m/>
    <m/>
    <n v="123.96393010113999"/>
    <n v="9137"/>
  </r>
  <r>
    <x v="7"/>
    <x v="0"/>
    <n v="8199"/>
    <s v="Dólares"/>
    <s v="BADECON"/>
    <x v="3"/>
    <m/>
    <x v="14"/>
    <m/>
    <m/>
    <n v="134.03865367133"/>
    <n v="8199"/>
  </r>
  <r>
    <x v="7"/>
    <x v="0"/>
    <n v="9248"/>
    <s v="Dólares"/>
    <s v="BADECON"/>
    <x v="3"/>
    <m/>
    <x v="21"/>
    <m/>
    <m/>
    <n v="182.56944637426"/>
    <n v="9248"/>
  </r>
  <r>
    <x v="7"/>
    <x v="0"/>
    <n v="704"/>
    <s v="Dólares"/>
    <s v="BADECON"/>
    <x v="3"/>
    <m/>
    <x v="20"/>
    <m/>
    <m/>
    <n v="123.96393010113999"/>
    <n v="704"/>
  </r>
  <r>
    <x v="7"/>
    <x v="0"/>
    <n v="18519"/>
    <s v="Dólares"/>
    <s v="BADECON"/>
    <x v="3"/>
    <m/>
    <x v="13"/>
    <m/>
    <m/>
    <n v="134.03865367133"/>
    <n v="18519"/>
  </r>
  <r>
    <x v="7"/>
    <x v="0"/>
    <n v="18439"/>
    <s v="Dólares"/>
    <s v="BADECON"/>
    <x v="3"/>
    <m/>
    <x v="7"/>
    <m/>
    <m/>
    <n v="120.87292541591999"/>
    <n v="18439"/>
  </r>
  <r>
    <x v="7"/>
    <x v="0"/>
    <n v="2743"/>
    <s v="Dólares"/>
    <s v="BADECON"/>
    <x v="3"/>
    <m/>
    <x v="4"/>
    <m/>
    <m/>
    <n v="56.539869603999001"/>
    <n v="2743"/>
  </r>
  <r>
    <x v="7"/>
    <x v="0"/>
    <n v="22901"/>
    <s v="Dólares"/>
    <s v="BADECON"/>
    <x v="3"/>
    <m/>
    <x v="12"/>
    <m/>
    <m/>
    <n v="175.63081008859999"/>
    <n v="22901"/>
  </r>
  <r>
    <x v="7"/>
    <x v="0"/>
    <n v="1044"/>
    <s v="Dólares"/>
    <s v="BADECON"/>
    <x v="3"/>
    <m/>
    <x v="5"/>
    <m/>
    <m/>
    <n v="56.539869603999001"/>
    <n v="1044"/>
  </r>
  <r>
    <x v="7"/>
    <x v="0"/>
    <n v="375"/>
    <s v="Dólares"/>
    <s v="BADECON"/>
    <x v="3"/>
    <m/>
    <x v="16"/>
    <m/>
    <m/>
    <n v="123.96393010113999"/>
    <n v="375"/>
  </r>
  <r>
    <x v="7"/>
    <x v="0"/>
    <n v="48915"/>
    <s v="Dólares"/>
    <s v="BADECON"/>
    <x v="3"/>
    <m/>
    <x v="15"/>
    <m/>
    <m/>
    <n v="123.96393010113999"/>
    <n v="48915"/>
  </r>
  <r>
    <x v="7"/>
    <x v="0"/>
    <n v="11481"/>
    <s v="Dólares"/>
    <s v="BADECON"/>
    <x v="3"/>
    <m/>
    <x v="11"/>
    <m/>
    <m/>
    <n v="175.63081008859999"/>
    <n v="11481"/>
  </r>
  <r>
    <x v="7"/>
    <x v="0"/>
    <n v="3378"/>
    <s v="Dólares"/>
    <s v="BADECON"/>
    <x v="3"/>
    <m/>
    <x v="3"/>
    <m/>
    <m/>
    <n v="56.539869603999001"/>
    <n v="3378"/>
  </r>
  <r>
    <x v="7"/>
    <x v="0"/>
    <n v="31148"/>
    <s v="Dólares"/>
    <s v="BADECON"/>
    <x v="3"/>
    <m/>
    <x v="10"/>
    <m/>
    <m/>
    <n v="175.63081008859999"/>
    <n v="31148"/>
  </r>
  <r>
    <x v="7"/>
    <x v="0"/>
    <n v="792"/>
    <s v="Dólares"/>
    <s v="BADECON"/>
    <x v="3"/>
    <m/>
    <x v="19"/>
    <m/>
    <m/>
    <n v="123.96393010113999"/>
    <n v="792"/>
  </r>
  <r>
    <x v="7"/>
    <x v="0"/>
    <n v="3954"/>
    <s v="Dólares"/>
    <s v="BADECON"/>
    <x v="3"/>
    <m/>
    <x v="8"/>
    <m/>
    <m/>
    <n v="120.87292541591999"/>
    <n v="3954"/>
  </r>
  <r>
    <x v="7"/>
    <x v="0"/>
    <n v="1635"/>
    <s v="Dólares"/>
    <s v="BADECON"/>
    <x v="3"/>
    <m/>
    <x v="22"/>
    <m/>
    <m/>
    <n v="138.33137560220001"/>
    <n v="1635"/>
  </r>
  <r>
    <x v="7"/>
    <x v="0"/>
    <n v="28977"/>
    <s v="Dólares"/>
    <s v="BADECON"/>
    <x v="3"/>
    <m/>
    <x v="6"/>
    <m/>
    <m/>
    <n v="182.56944637426"/>
    <n v="28977"/>
  </r>
  <r>
    <x v="7"/>
    <x v="0"/>
    <n v="24961"/>
    <s v="Dólares"/>
    <s v="BADECON"/>
    <x v="3"/>
    <m/>
    <x v="23"/>
    <m/>
    <m/>
    <n v="123.96393010113999"/>
    <n v="24961"/>
  </r>
  <r>
    <x v="7"/>
    <x v="1"/>
    <n v="154826"/>
    <s v="Dólares"/>
    <s v="BADECON"/>
    <x v="3"/>
    <m/>
    <x v="2"/>
    <m/>
    <m/>
    <n v="124.885983267714"/>
    <n v="154826"/>
  </r>
  <r>
    <x v="7"/>
    <x v="1"/>
    <n v="884308"/>
    <s v="Dólares"/>
    <s v="BADECON"/>
    <x v="3"/>
    <m/>
    <x v="1"/>
    <m/>
    <m/>
    <n v="129.32654788623401"/>
    <n v="884308"/>
  </r>
  <r>
    <x v="7"/>
    <x v="1"/>
    <n v="2151"/>
    <s v="Dólares"/>
    <s v="BADECON"/>
    <x v="3"/>
    <m/>
    <x v="24"/>
    <m/>
    <m/>
    <n v="124.885983267714"/>
    <n v="2151"/>
  </r>
  <r>
    <x v="7"/>
    <x v="1"/>
    <n v="25620"/>
    <s v="Dólares"/>
    <s v="BADECON"/>
    <x v="3"/>
    <m/>
    <x v="9"/>
    <m/>
    <m/>
    <n v="93.717494351913203"/>
    <n v="25620"/>
  </r>
  <r>
    <x v="7"/>
    <x v="1"/>
    <n v="479459"/>
    <s v="Dólares"/>
    <s v="BADECON"/>
    <x v="3"/>
    <m/>
    <x v="17"/>
    <m/>
    <m/>
    <n v="118.400520723024"/>
    <n v="479459"/>
  </r>
  <r>
    <x v="7"/>
    <x v="1"/>
    <n v="439031"/>
    <s v="Dólares"/>
    <s v="BADECON"/>
    <x v="3"/>
    <m/>
    <x v="18"/>
    <m/>
    <m/>
    <n v="123.731212299186"/>
    <n v="439031"/>
  </r>
  <r>
    <x v="7"/>
    <x v="1"/>
    <n v="118608"/>
    <s v="Dólares"/>
    <s v="BADECON"/>
    <x v="3"/>
    <m/>
    <x v="14"/>
    <m/>
    <m/>
    <n v="141.87141028890099"/>
    <n v="118608"/>
  </r>
  <r>
    <x v="7"/>
    <x v="1"/>
    <n v="115104"/>
    <s v="Dólares"/>
    <s v="BADECON"/>
    <x v="3"/>
    <m/>
    <x v="21"/>
    <m/>
    <m/>
    <n v="124.760255125349"/>
    <n v="115104"/>
  </r>
  <r>
    <x v="7"/>
    <x v="1"/>
    <n v="25213"/>
    <s v="Dólares"/>
    <s v="BADECON"/>
    <x v="3"/>
    <m/>
    <x v="20"/>
    <m/>
    <m/>
    <n v="118.92956316086899"/>
    <n v="25213"/>
  </r>
  <r>
    <x v="7"/>
    <x v="1"/>
    <n v="208128"/>
    <s v="Dólares"/>
    <s v="BADECON"/>
    <x v="3"/>
    <m/>
    <x v="13"/>
    <m/>
    <m/>
    <n v="129.18720398146201"/>
    <n v="208128"/>
  </r>
  <r>
    <x v="7"/>
    <x v="1"/>
    <n v="108197"/>
    <s v="Dólares"/>
    <s v="BADECON"/>
    <x v="3"/>
    <m/>
    <x v="7"/>
    <m/>
    <m/>
    <n v="124.992774454829"/>
    <n v="108197"/>
  </r>
  <r>
    <x v="7"/>
    <x v="1"/>
    <n v="252998"/>
    <s v="Dólares"/>
    <s v="BADECON"/>
    <x v="3"/>
    <m/>
    <x v="4"/>
    <m/>
    <m/>
    <n v="130.309937712893"/>
    <n v="252998"/>
  </r>
  <r>
    <x v="7"/>
    <x v="1"/>
    <n v="283346"/>
    <s v="Dólares"/>
    <s v="BADECON"/>
    <x v="3"/>
    <m/>
    <x v="12"/>
    <m/>
    <m/>
    <n v="124.20030413134501"/>
    <n v="283346"/>
  </r>
  <r>
    <x v="7"/>
    <x v="1"/>
    <n v="133500"/>
    <s v="Dólares"/>
    <s v="BADECON"/>
    <x v="3"/>
    <m/>
    <x v="5"/>
    <m/>
    <m/>
    <n v="114.765372402341"/>
    <n v="133500"/>
  </r>
  <r>
    <x v="7"/>
    <x v="1"/>
    <n v="363020"/>
    <s v="Dólares"/>
    <s v="BADECON"/>
    <x v="3"/>
    <m/>
    <x v="16"/>
    <m/>
    <m/>
    <n v="113.459970516059"/>
    <n v="363020"/>
  </r>
  <r>
    <x v="7"/>
    <x v="1"/>
    <n v="401294"/>
    <s v="Dólares"/>
    <s v="BADECON"/>
    <x v="3"/>
    <m/>
    <x v="15"/>
    <m/>
    <m/>
    <n v="134.38056482799499"/>
    <n v="401294"/>
  </r>
  <r>
    <x v="7"/>
    <x v="1"/>
    <n v="82717"/>
    <s v="Dólares"/>
    <s v="BADECON"/>
    <x v="3"/>
    <m/>
    <x v="11"/>
    <m/>
    <m/>
    <n v="125.100295460086"/>
    <n v="82717"/>
  </r>
  <r>
    <x v="7"/>
    <x v="1"/>
    <n v="413844"/>
    <s v="Dólares"/>
    <s v="BADECON"/>
    <x v="3"/>
    <m/>
    <x v="3"/>
    <m/>
    <m/>
    <n v="119.934366622322"/>
    <n v="413844"/>
  </r>
  <r>
    <x v="7"/>
    <x v="1"/>
    <n v="180118"/>
    <s v="Dólares"/>
    <s v="BADECON"/>
    <x v="3"/>
    <m/>
    <x v="10"/>
    <m/>
    <m/>
    <n v="125.100295460086"/>
    <n v="180118"/>
  </r>
  <r>
    <x v="7"/>
    <x v="1"/>
    <n v="118014"/>
    <s v="Dólares"/>
    <s v="BADECON"/>
    <x v="3"/>
    <m/>
    <x v="19"/>
    <m/>
    <m/>
    <n v="118.92956316086899"/>
    <n v="118014"/>
  </r>
  <r>
    <x v="7"/>
    <x v="1"/>
    <n v="12648"/>
    <s v="Dólares"/>
    <s v="BADECON"/>
    <x v="3"/>
    <m/>
    <x v="8"/>
    <m/>
    <m/>
    <n v="126.864077629889"/>
    <n v="12648"/>
  </r>
  <r>
    <x v="7"/>
    <x v="1"/>
    <n v="8655"/>
    <s v="Dólares"/>
    <s v="BADECON"/>
    <x v="3"/>
    <m/>
    <x v="22"/>
    <m/>
    <m/>
    <n v="130.09451278639801"/>
    <n v="8655"/>
  </r>
  <r>
    <x v="7"/>
    <x v="1"/>
    <n v="114415"/>
    <s v="Dólares"/>
    <s v="BADECON"/>
    <x v="3"/>
    <m/>
    <x v="6"/>
    <m/>
    <m/>
    <n v="135.89610378926099"/>
    <n v="114415"/>
  </r>
  <r>
    <x v="8"/>
    <x v="1"/>
    <n v="157052"/>
    <s v="Dólares"/>
    <s v="BADECON"/>
    <x v="3"/>
    <m/>
    <x v="2"/>
    <m/>
    <m/>
    <n v="131.88825158196701"/>
    <n v="157052"/>
  </r>
  <r>
    <x v="8"/>
    <x v="1"/>
    <n v="885261"/>
    <s v="Dólares"/>
    <s v="BADECON"/>
    <x v="3"/>
    <m/>
    <x v="1"/>
    <m/>
    <m/>
    <n v="137.78728757684999"/>
    <n v="885261"/>
  </r>
  <r>
    <x v="8"/>
    <x v="1"/>
    <n v="2152"/>
    <s v="Dólares"/>
    <s v="BADECON"/>
    <x v="3"/>
    <m/>
    <x v="24"/>
    <m/>
    <m/>
    <n v="131.88825158196701"/>
    <n v="2152"/>
  </r>
  <r>
    <x v="8"/>
    <x v="1"/>
    <n v="25211"/>
    <s v="Dólares"/>
    <s v="BADECON"/>
    <x v="3"/>
    <m/>
    <x v="9"/>
    <m/>
    <m/>
    <n v="75.235547730506298"/>
    <n v="25211"/>
  </r>
  <r>
    <x v="8"/>
    <x v="1"/>
    <n v="479349"/>
    <s v="Dólares"/>
    <s v="BADECON"/>
    <x v="3"/>
    <m/>
    <x v="17"/>
    <m/>
    <m/>
    <n v="122.488835983729"/>
    <n v="479349"/>
  </r>
  <r>
    <x v="8"/>
    <x v="1"/>
    <n v="454801"/>
    <s v="Dólares"/>
    <s v="BADECON"/>
    <x v="3"/>
    <m/>
    <x v="18"/>
    <m/>
    <m/>
    <n v="130.65664198069601"/>
    <n v="454801"/>
  </r>
  <r>
    <x v="8"/>
    <x v="1"/>
    <n v="118483"/>
    <s v="Dólares"/>
    <s v="BADECON"/>
    <x v="3"/>
    <m/>
    <x v="14"/>
    <m/>
    <m/>
    <n v="126.475336095899"/>
    <n v="118483"/>
  </r>
  <r>
    <x v="8"/>
    <x v="1"/>
    <n v="96787"/>
    <s v="Dólares"/>
    <s v="BADECON"/>
    <x v="3"/>
    <m/>
    <x v="21"/>
    <m/>
    <m/>
    <n v="137.57038856002899"/>
    <n v="96787"/>
  </r>
  <r>
    <x v="8"/>
    <x v="1"/>
    <n v="25465"/>
    <s v="Dólares"/>
    <s v="BADECON"/>
    <x v="3"/>
    <m/>
    <x v="20"/>
    <m/>
    <m/>
    <n v="117.406234416616"/>
    <n v="25465"/>
  </r>
  <r>
    <x v="8"/>
    <x v="1"/>
    <n v="208348"/>
    <s v="Dólares"/>
    <s v="BADECON"/>
    <x v="3"/>
    <m/>
    <x v="13"/>
    <m/>
    <m/>
    <n v="136.67401133375901"/>
    <n v="208348"/>
  </r>
  <r>
    <x v="8"/>
    <x v="1"/>
    <n v="106948"/>
    <s v="Dólares"/>
    <s v="BADECON"/>
    <x v="3"/>
    <m/>
    <x v="7"/>
    <m/>
    <m/>
    <n v="126.43481259036101"/>
    <n v="106948"/>
  </r>
  <r>
    <x v="8"/>
    <x v="1"/>
    <n v="255179"/>
    <s v="Dólares"/>
    <s v="BADECON"/>
    <x v="3"/>
    <m/>
    <x v="4"/>
    <m/>
    <m/>
    <n v="126.827473515305"/>
    <n v="255179"/>
  </r>
  <r>
    <x v="8"/>
    <x v="1"/>
    <n v="282546"/>
    <s v="Dólares"/>
    <s v="BADECON"/>
    <x v="3"/>
    <m/>
    <x v="12"/>
    <m/>
    <m/>
    <n v="122.42725052420499"/>
    <n v="282546"/>
  </r>
  <r>
    <x v="8"/>
    <x v="1"/>
    <n v="134530"/>
    <s v="Dólares"/>
    <s v="BADECON"/>
    <x v="3"/>
    <m/>
    <x v="5"/>
    <m/>
    <m/>
    <n v="121.146784451534"/>
    <n v="134530"/>
  </r>
  <r>
    <x v="8"/>
    <x v="1"/>
    <n v="348746"/>
    <s v="Dólares"/>
    <s v="BADECON"/>
    <x v="3"/>
    <m/>
    <x v="16"/>
    <m/>
    <m/>
    <n v="115.498414548615"/>
    <n v="348746"/>
  </r>
  <r>
    <x v="8"/>
    <x v="1"/>
    <n v="408499"/>
    <s v="Dólares"/>
    <s v="BADECON"/>
    <x v="3"/>
    <m/>
    <x v="15"/>
    <m/>
    <m/>
    <n v="134.05703540769301"/>
    <n v="408499"/>
  </r>
  <r>
    <x v="8"/>
    <x v="1"/>
    <n v="81139"/>
    <s v="Dólares"/>
    <s v="BADECON"/>
    <x v="3"/>
    <m/>
    <x v="11"/>
    <m/>
    <m/>
    <n v="131.56240089822001"/>
    <n v="81139"/>
  </r>
  <r>
    <x v="8"/>
    <x v="1"/>
    <n v="392703"/>
    <s v="Dólares"/>
    <s v="BADECON"/>
    <x v="3"/>
    <m/>
    <x v="3"/>
    <m/>
    <m/>
    <n v="122.71316266715"/>
    <n v="392703"/>
  </r>
  <r>
    <x v="8"/>
    <x v="1"/>
    <n v="178701"/>
    <s v="Dólares"/>
    <s v="BADECON"/>
    <x v="3"/>
    <m/>
    <x v="10"/>
    <m/>
    <m/>
    <n v="131.56240089822001"/>
    <n v="178701"/>
  </r>
  <r>
    <x v="8"/>
    <x v="1"/>
    <n v="125355"/>
    <s v="Dólares"/>
    <s v="BADECON"/>
    <x v="3"/>
    <m/>
    <x v="19"/>
    <m/>
    <m/>
    <n v="117.406234416616"/>
    <n v="125355"/>
  </r>
  <r>
    <x v="8"/>
    <x v="1"/>
    <n v="11410"/>
    <s v="Dólares"/>
    <s v="BADECON"/>
    <x v="3"/>
    <m/>
    <x v="8"/>
    <m/>
    <m/>
    <n v="133.89448111026101"/>
    <n v="11410"/>
  </r>
  <r>
    <x v="8"/>
    <x v="1"/>
    <n v="8732"/>
    <s v="Dólares"/>
    <s v="BADECON"/>
    <x v="3"/>
    <m/>
    <x v="22"/>
    <m/>
    <m/>
    <n v="141.34852687948501"/>
    <n v="8732"/>
  </r>
  <r>
    <x v="8"/>
    <x v="1"/>
    <n v="109120"/>
    <s v="Dólares"/>
    <s v="BADECON"/>
    <x v="3"/>
    <m/>
    <x v="6"/>
    <m/>
    <m/>
    <n v="138.02464258179401"/>
    <n v="109120"/>
  </r>
  <r>
    <x v="6"/>
    <x v="0"/>
    <n v="364176849.09138799"/>
    <s v="Dólares"/>
    <s v="BADECON"/>
    <x v="4"/>
    <m/>
    <x v="2"/>
    <m/>
    <m/>
    <n v="112.85003295356999"/>
    <n v="322.70867766713161"/>
  </r>
  <r>
    <x v="6"/>
    <x v="0"/>
    <n v="10798142470.63472"/>
    <s v="Dólares"/>
    <s v="BADECON"/>
    <x v="4"/>
    <m/>
    <x v="1"/>
    <m/>
    <m/>
    <n v="108.85802305479"/>
    <n v="1742.1868731213829"/>
  </r>
  <r>
    <x v="6"/>
    <x v="0"/>
    <n v="141290608.1116671"/>
    <s v="Dólares"/>
    <s v="BADECON"/>
    <x v="4"/>
    <m/>
    <x v="17"/>
    <m/>
    <m/>
    <n v="106.47234528849"/>
    <n v="132.7016961341802"/>
  </r>
  <r>
    <x v="6"/>
    <x v="0"/>
    <n v="2272033342.638926"/>
    <s v="Dólares"/>
    <s v="BADECON"/>
    <x v="4"/>
    <m/>
    <x v="18"/>
    <m/>
    <m/>
    <n v="106.47234528849"/>
    <n v="2133.9187527829731"/>
  </r>
  <r>
    <x v="6"/>
    <x v="0"/>
    <n v="173748658.41453779"/>
    <s v="Dólares"/>
    <s v="BADECON"/>
    <x v="4"/>
    <m/>
    <x v="14"/>
    <m/>
    <m/>
    <n v="124.66113428208"/>
    <n v="139.37676679676591"/>
  </r>
  <r>
    <x v="6"/>
    <x v="0"/>
    <n v="130590013.16829079"/>
    <s v="Dólares"/>
    <s v="BADECON"/>
    <x v="4"/>
    <m/>
    <x v="21"/>
    <m/>
    <m/>
    <n v="143.65737313291001"/>
    <n v="90.903801399368831"/>
  </r>
  <r>
    <x v="6"/>
    <x v="0"/>
    <n v="10049811.69344219"/>
    <s v="Dólares"/>
    <s v="BADECON"/>
    <x v="4"/>
    <m/>
    <x v="20"/>
    <m/>
    <m/>
    <n v="106.47234528849"/>
    <n v="9.4388938894995942"/>
  </r>
  <r>
    <x v="6"/>
    <x v="0"/>
    <n v="351189482.48617339"/>
    <s v="Dólares"/>
    <s v="BADECON"/>
    <x v="4"/>
    <m/>
    <x v="13"/>
    <m/>
    <m/>
    <n v="124.66113428208"/>
    <n v="281.7152952350898"/>
  </r>
  <r>
    <x v="6"/>
    <x v="0"/>
    <n v="415553644.19278359"/>
    <s v="Dólares"/>
    <s v="BADECON"/>
    <x v="4"/>
    <m/>
    <x v="7"/>
    <m/>
    <m/>
    <n v="94.206586225303994"/>
    <n v="441.10890845672691"/>
  </r>
  <r>
    <x v="6"/>
    <x v="0"/>
    <n v="31451189.09665525"/>
    <s v="Dólares"/>
    <s v="BADECON"/>
    <x v="4"/>
    <m/>
    <x v="4"/>
    <m/>
    <m/>
    <n v="69.374466842382006"/>
    <n v="45.335395756066838"/>
  </r>
  <r>
    <x v="6"/>
    <x v="0"/>
    <n v="555750259.15196192"/>
    <s v="Dólares"/>
    <s v="BADECON"/>
    <x v="4"/>
    <m/>
    <x v="12"/>
    <m/>
    <m/>
    <n v="115.300264502"/>
    <n v="482.00258824412492"/>
  </r>
  <r>
    <x v="6"/>
    <x v="0"/>
    <n v="14658754.279694499"/>
    <s v="Dólares"/>
    <s v="BADECON"/>
    <x v="4"/>
    <m/>
    <x v="5"/>
    <m/>
    <m/>
    <n v="69.374466842382006"/>
    <n v="21.129898285199101"/>
  </r>
  <r>
    <x v="6"/>
    <x v="0"/>
    <n v="4748497.4980247561"/>
    <s v="Dólares"/>
    <s v="BADECON"/>
    <x v="4"/>
    <m/>
    <x v="16"/>
    <m/>
    <m/>
    <n v="106.47234528849"/>
    <n v="4.4598411776866183"/>
  </r>
  <r>
    <x v="6"/>
    <x v="0"/>
    <n v="491156298.39346838"/>
    <s v="Dólares"/>
    <s v="BADECON"/>
    <x v="4"/>
    <m/>
    <x v="15"/>
    <m/>
    <m/>
    <n v="106.47234528849"/>
    <n v="461.29940790039501"/>
  </r>
  <r>
    <x v="6"/>
    <x v="0"/>
    <n v="258013609.42849621"/>
    <s v="Dólares"/>
    <s v="BADECON"/>
    <x v="4"/>
    <m/>
    <x v="11"/>
    <m/>
    <m/>
    <n v="115.300264502"/>
    <n v="223.77538381451041"/>
  </r>
  <r>
    <x v="6"/>
    <x v="0"/>
    <n v="52164762.97076641"/>
    <s v="Dólares"/>
    <s v="BADECON"/>
    <x v="4"/>
    <m/>
    <x v="3"/>
    <m/>
    <m/>
    <n v="69.374466842382006"/>
    <n v="75.193028999104456"/>
  </r>
  <r>
    <x v="6"/>
    <x v="0"/>
    <n v="739581930.47142518"/>
    <s v="Dólares"/>
    <s v="BADECON"/>
    <x v="4"/>
    <m/>
    <x v="10"/>
    <m/>
    <m/>
    <n v="115.300264502"/>
    <n v="641.43992528186811"/>
  </r>
  <r>
    <x v="6"/>
    <x v="0"/>
    <n v="13159500.92178035"/>
    <s v="Dólares"/>
    <s v="BADECON"/>
    <x v="4"/>
    <m/>
    <x v="19"/>
    <m/>
    <m/>
    <n v="106.47234528849"/>
    <n v="12.35954828094027"/>
  </r>
  <r>
    <x v="6"/>
    <x v="0"/>
    <n v="100549311.2983935"/>
    <s v="Dólares"/>
    <s v="BADECON"/>
    <x v="4"/>
    <m/>
    <x v="8"/>
    <m/>
    <m/>
    <n v="94.206586225303994"/>
    <n v="106.7327830539578"/>
  </r>
  <r>
    <x v="6"/>
    <x v="0"/>
    <n v="22742153.278904401"/>
    <s v="Dólares"/>
    <s v="BADECON"/>
    <x v="4"/>
    <m/>
    <x v="22"/>
    <m/>
    <m/>
    <n v="110.55212475787999"/>
    <n v="20.57143029020197"/>
  </r>
  <r>
    <x v="6"/>
    <x v="0"/>
    <n v="4192626350.0131698"/>
    <s v="Dólares"/>
    <s v="BADECON"/>
    <x v="4"/>
    <m/>
    <x v="6"/>
    <m/>
    <m/>
    <n v="143.65737313291001"/>
    <n v="2918.4901955113751"/>
  </r>
  <r>
    <x v="6"/>
    <x v="0"/>
    <n v="418917190.41348422"/>
    <s v="Dólares"/>
    <s v="BADECON"/>
    <x v="4"/>
    <m/>
    <x v="23"/>
    <m/>
    <m/>
    <n v="106.47234528849"/>
    <n v="393.45164162432559"/>
  </r>
  <r>
    <x v="6"/>
    <x v="1"/>
    <n v="1027705369.458128"/>
    <s v="Dólares"/>
    <s v="BADECON"/>
    <x v="4"/>
    <m/>
    <x v="2"/>
    <m/>
    <m/>
    <n v="114.588591483131"/>
    <n v="896.86534772479536"/>
  </r>
  <r>
    <x v="6"/>
    <x v="1"/>
    <n v="4701960000"/>
    <s v="Dólares"/>
    <s v="BADECON"/>
    <x v="4"/>
    <m/>
    <x v="1"/>
    <m/>
    <m/>
    <n v="116.18765921948599"/>
    <n v="4046.8669664113759"/>
  </r>
  <r>
    <x v="6"/>
    <x v="1"/>
    <n v="34107783.251231529"/>
    <s v="Dólares"/>
    <s v="BADECON"/>
    <x v="4"/>
    <m/>
    <x v="24"/>
    <m/>
    <m/>
    <n v="114.588591483131"/>
    <n v="29.76542674080487"/>
  </r>
  <r>
    <x v="6"/>
    <x v="1"/>
    <n v="596429507.38916254"/>
    <s v="Dólares"/>
    <s v="BADECON"/>
    <x v="4"/>
    <m/>
    <x v="9"/>
    <m/>
    <m/>
    <n v="101.249897488305"/>
    <n v="589.06677654469115"/>
  </r>
  <r>
    <x v="6"/>
    <x v="1"/>
    <n v="4937659901.4778309"/>
    <s v="Dólares"/>
    <s v="BADECON"/>
    <x v="4"/>
    <m/>
    <x v="17"/>
    <m/>
    <m/>
    <n v="110.091234626415"/>
    <n v="4485.0617928242418"/>
  </r>
  <r>
    <x v="6"/>
    <x v="1"/>
    <n v="5071438817.7339897"/>
    <s v="Dólares"/>
    <s v="BADECON"/>
    <x v="4"/>
    <m/>
    <x v="18"/>
    <m/>
    <m/>
    <n v="111.424704413977"/>
    <n v="4551.4492000732944"/>
  </r>
  <r>
    <x v="6"/>
    <x v="1"/>
    <n v="1985086551.724138"/>
    <s v="Dólares"/>
    <s v="BADECON"/>
    <x v="4"/>
    <m/>
    <x v="14"/>
    <m/>
    <m/>
    <n v="141.21332900058599"/>
    <n v="1405.735964000891"/>
  </r>
  <r>
    <x v="6"/>
    <x v="1"/>
    <n v="480205911.33004922"/>
    <s v="Dólares"/>
    <s v="BADECON"/>
    <x v="4"/>
    <m/>
    <x v="21"/>
    <m/>
    <m/>
    <n v="113.656804391549"/>
    <n v="422.50520230688022"/>
  </r>
  <r>
    <x v="6"/>
    <x v="1"/>
    <n v="207713990.14778331"/>
    <s v="Dólares"/>
    <s v="BADECON"/>
    <x v="4"/>
    <m/>
    <x v="20"/>
    <m/>
    <m/>
    <n v="112.92894634856199"/>
    <n v="183.93334646607039"/>
  </r>
  <r>
    <x v="6"/>
    <x v="1"/>
    <n v="2194654039.4088669"/>
    <s v="Dólares"/>
    <s v="BADECON"/>
    <x v="4"/>
    <m/>
    <x v="13"/>
    <m/>
    <m/>
    <n v="112.951814443289"/>
    <n v="1943.0002521214581"/>
  </r>
  <r>
    <x v="6"/>
    <x v="1"/>
    <n v="1137518177.339901"/>
    <s v="Dólares"/>
    <s v="BADECON"/>
    <x v="4"/>
    <m/>
    <x v="7"/>
    <m/>
    <m/>
    <n v="112.392064602288"/>
    <n v="1012.098301926508"/>
  </r>
  <r>
    <x v="6"/>
    <x v="1"/>
    <n v="1010310788.17734"/>
    <s v="Dólares"/>
    <s v="BADECON"/>
    <x v="4"/>
    <m/>
    <x v="4"/>
    <m/>
    <m/>
    <n v="118.49318137442501"/>
    <n v="852.63200503062899"/>
  </r>
  <r>
    <x v="6"/>
    <x v="1"/>
    <n v="2609642610.8374391"/>
    <s v="Dólares"/>
    <s v="BADECON"/>
    <x v="4"/>
    <m/>
    <x v="12"/>
    <m/>
    <m/>
    <n v="110.98105301320901"/>
    <n v="2351.430753253745"/>
  </r>
  <r>
    <x v="6"/>
    <x v="1"/>
    <n v="663047339.90147781"/>
    <s v="Dólares"/>
    <s v="BADECON"/>
    <x v="4"/>
    <m/>
    <x v="5"/>
    <m/>
    <m/>
    <n v="107.07734755600499"/>
    <n v="619.22279084722584"/>
  </r>
  <r>
    <x v="6"/>
    <x v="1"/>
    <n v="3881571083.7438431"/>
    <s v="Dólares"/>
    <s v="BADECON"/>
    <x v="4"/>
    <m/>
    <x v="16"/>
    <m/>
    <m/>
    <n v="106.928543554746"/>
    <n v="3630.0607440299882"/>
  </r>
  <r>
    <x v="6"/>
    <x v="1"/>
    <n v="2679909064.0394092"/>
    <s v="Dólares"/>
    <s v="BADECON"/>
    <x v="4"/>
    <m/>
    <x v="15"/>
    <m/>
    <m/>
    <n v="121.868271296408"/>
    <n v="2199.0211525371801"/>
  </r>
  <r>
    <x v="6"/>
    <x v="1"/>
    <n v="977006748.76847291"/>
    <s v="Dólares"/>
    <s v="BADECON"/>
    <x v="4"/>
    <m/>
    <x v="11"/>
    <m/>
    <m/>
    <n v="108.877296090838"/>
    <n v="897.34663134299478"/>
  </r>
  <r>
    <x v="6"/>
    <x v="1"/>
    <n v="3018454236.4532018"/>
    <s v="Dólares"/>
    <s v="BADECON"/>
    <x v="4"/>
    <m/>
    <x v="3"/>
    <m/>
    <m/>
    <n v="113.699368348429"/>
    <n v="2654.7678147192701"/>
  </r>
  <r>
    <x v="6"/>
    <x v="1"/>
    <n v="2662602660.0985222"/>
    <s v="Dólares"/>
    <s v="BADECON"/>
    <x v="4"/>
    <m/>
    <x v="10"/>
    <m/>
    <m/>
    <n v="108.877296090838"/>
    <n v="2445.507700592666"/>
  </r>
  <r>
    <x v="6"/>
    <x v="1"/>
    <n v="1974042512.3152709"/>
    <s v="Dólares"/>
    <s v="BADECON"/>
    <x v="4"/>
    <m/>
    <x v="19"/>
    <m/>
    <m/>
    <n v="112.92894634856199"/>
    <n v="1748.0394320002511"/>
  </r>
  <r>
    <x v="6"/>
    <x v="1"/>
    <n v="133072019.7044335"/>
    <s v="Dólares"/>
    <s v="BADECON"/>
    <x v="4"/>
    <m/>
    <x v="8"/>
    <m/>
    <m/>
    <n v="114.043225455295"/>
    <n v="116.6855980906975"/>
  </r>
  <r>
    <x v="6"/>
    <x v="1"/>
    <n v="74776847.290640384"/>
    <s v="Dólares"/>
    <s v="BADECON"/>
    <x v="4"/>
    <m/>
    <x v="22"/>
    <m/>
    <m/>
    <n v="117.451425181814"/>
    <n v="63.666189809860832"/>
  </r>
  <r>
    <x v="6"/>
    <x v="1"/>
    <n v="528199359.60591131"/>
    <s v="Dólares"/>
    <s v="BADECON"/>
    <x v="4"/>
    <m/>
    <x v="6"/>
    <m/>
    <m/>
    <n v="114.696642834729"/>
    <n v="460.5185875989543"/>
  </r>
  <r>
    <x v="7"/>
    <x v="0"/>
    <n v="366203358.9449541"/>
    <s v="Dólares"/>
    <s v="BADECON"/>
    <x v="4"/>
    <m/>
    <x v="2"/>
    <m/>
    <m/>
    <n v="109.88589645717001"/>
    <n v="333.25783449169779"/>
  </r>
  <r>
    <x v="7"/>
    <x v="0"/>
    <n v="5507456262.6146793"/>
    <s v="Dólares"/>
    <s v="BADECON"/>
    <x v="4"/>
    <m/>
    <x v="1"/>
    <m/>
    <m/>
    <n v="138.22614999915999"/>
    <n v="3984.3808589388832"/>
  </r>
  <r>
    <x v="7"/>
    <x v="0"/>
    <n v="200066204.12844041"/>
    <s v="Dólares"/>
    <s v="BADECON"/>
    <x v="4"/>
    <m/>
    <x v="17"/>
    <m/>
    <m/>
    <n v="123.96393010113999"/>
    <n v="161.39065933550981"/>
  </r>
  <r>
    <x v="7"/>
    <x v="0"/>
    <n v="959968240.82568789"/>
    <s v="Dólares"/>
    <s v="BADECON"/>
    <x v="4"/>
    <m/>
    <x v="18"/>
    <m/>
    <m/>
    <n v="123.96393010113999"/>
    <n v="774.39319650681182"/>
  </r>
  <r>
    <x v="7"/>
    <x v="0"/>
    <n v="134628525.22935781"/>
    <s v="Dólares"/>
    <s v="BADECON"/>
    <x v="4"/>
    <m/>
    <x v="14"/>
    <m/>
    <m/>
    <n v="134.03865367133"/>
    <n v="100.44007571090209"/>
  </r>
  <r>
    <x v="7"/>
    <x v="0"/>
    <n v="121348271.7889908"/>
    <s v="Dólares"/>
    <s v="BADECON"/>
    <x v="4"/>
    <m/>
    <x v="21"/>
    <m/>
    <m/>
    <n v="182.56944637426"/>
    <n v="66.466911194018607"/>
  </r>
  <r>
    <x v="7"/>
    <x v="0"/>
    <n v="11066830.275229361"/>
    <s v="Dólares"/>
    <s v="BADECON"/>
    <x v="4"/>
    <m/>
    <x v="20"/>
    <m/>
    <m/>
    <n v="123.96393010113999"/>
    <n v="8.9274600008245351"/>
  </r>
  <r>
    <x v="7"/>
    <x v="0"/>
    <n v="320507259.17431217"/>
    <s v="Dólares"/>
    <s v="BADECON"/>
    <x v="4"/>
    <m/>
    <x v="13"/>
    <m/>
    <m/>
    <n v="134.03865367133"/>
    <n v="239.1155464454404"/>
  </r>
  <r>
    <x v="7"/>
    <x v="0"/>
    <n v="441508293.57798171"/>
    <s v="Dólares"/>
    <s v="BADECON"/>
    <x v="4"/>
    <m/>
    <x v="7"/>
    <m/>
    <m/>
    <n v="120.87292541591999"/>
    <n v="365.26649128311021"/>
  </r>
  <r>
    <x v="7"/>
    <x v="0"/>
    <n v="38681842.889908247"/>
    <s v="Dólares"/>
    <s v="BADECON"/>
    <x v="4"/>
    <m/>
    <x v="4"/>
    <m/>
    <m/>
    <n v="56.539869603999001"/>
    <n v="68.415161125826742"/>
  </r>
  <r>
    <x v="7"/>
    <x v="0"/>
    <n v="389377174.31192672"/>
    <s v="Dólares"/>
    <s v="BADECON"/>
    <x v="4"/>
    <m/>
    <x v="12"/>
    <m/>
    <m/>
    <n v="175.63081008859999"/>
    <n v="221.70208866855339"/>
  </r>
  <r>
    <x v="7"/>
    <x v="0"/>
    <n v="15117169.724770639"/>
    <s v="Dólares"/>
    <s v="BADECON"/>
    <x v="4"/>
    <m/>
    <x v="5"/>
    <m/>
    <m/>
    <n v="56.539869603999001"/>
    <n v="26.73718533602954"/>
  </r>
  <r>
    <x v="7"/>
    <x v="0"/>
    <n v="5408912.8440366974"/>
    <s v="Dólares"/>
    <s v="BADECON"/>
    <x v="4"/>
    <m/>
    <x v="16"/>
    <m/>
    <m/>
    <n v="123.96393010113999"/>
    <n v="4.3632957099889147"/>
  </r>
  <r>
    <x v="7"/>
    <x v="0"/>
    <n v="375725433.4862386"/>
    <s v="Dólares"/>
    <s v="BADECON"/>
    <x v="4"/>
    <m/>
    <x v="15"/>
    <m/>
    <m/>
    <n v="123.96393010113999"/>
    <n v="303.09254730766509"/>
  </r>
  <r>
    <x v="7"/>
    <x v="0"/>
    <n v="251437816.51376149"/>
    <s v="Dólares"/>
    <s v="BADECON"/>
    <x v="4"/>
    <m/>
    <x v="11"/>
    <m/>
    <m/>
    <n v="175.63081008859999"/>
    <n v="143.16270384844171"/>
  </r>
  <r>
    <x v="7"/>
    <x v="0"/>
    <n v="243176010.32110089"/>
    <s v="Dólares"/>
    <s v="BADECON"/>
    <x v="4"/>
    <m/>
    <x v="3"/>
    <m/>
    <m/>
    <n v="56.539869603999001"/>
    <n v="430.09651777460289"/>
  </r>
  <r>
    <x v="7"/>
    <x v="0"/>
    <n v="694270344.03669703"/>
    <s v="Dólares"/>
    <s v="BADECON"/>
    <x v="4"/>
    <m/>
    <x v="10"/>
    <m/>
    <m/>
    <n v="175.63081008859999"/>
    <n v="395.30099740840478"/>
  </r>
  <r>
    <x v="7"/>
    <x v="0"/>
    <n v="11261675.458715601"/>
    <s v="Dólares"/>
    <s v="BADECON"/>
    <x v="4"/>
    <m/>
    <x v="19"/>
    <m/>
    <m/>
    <n v="123.96393010113999"/>
    <n v="9.0846389345089271"/>
  </r>
  <r>
    <x v="7"/>
    <x v="0"/>
    <n v="81895135.32110092"/>
    <s v="Dólares"/>
    <s v="BADECON"/>
    <x v="4"/>
    <m/>
    <x v="8"/>
    <m/>
    <m/>
    <n v="120.87292541591999"/>
    <n v="67.753084521866498"/>
  </r>
  <r>
    <x v="7"/>
    <x v="0"/>
    <n v="29670861.238532111"/>
    <s v="Dólares"/>
    <s v="BADECON"/>
    <x v="4"/>
    <m/>
    <x v="22"/>
    <m/>
    <m/>
    <n v="138.33137560220001"/>
    <n v="21.44911890694755"/>
  </r>
  <r>
    <x v="7"/>
    <x v="0"/>
    <n v="374636061.92660582"/>
    <s v="Dólares"/>
    <s v="BADECON"/>
    <x v="4"/>
    <m/>
    <x v="6"/>
    <m/>
    <m/>
    <n v="182.56944637426"/>
    <n v="205.2019488291688"/>
  </r>
  <r>
    <x v="7"/>
    <x v="0"/>
    <n v="336745788.99082571"/>
    <s v="Dólares"/>
    <s v="BADECON"/>
    <x v="4"/>
    <m/>
    <x v="23"/>
    <m/>
    <m/>
    <n v="123.96393010113999"/>
    <n v="271.6482034056848"/>
  </r>
  <r>
    <x v="7"/>
    <x v="1"/>
    <n v="1368218905.4726369"/>
    <s v="Dólares"/>
    <s v="BADECON"/>
    <x v="4"/>
    <m/>
    <x v="2"/>
    <m/>
    <m/>
    <n v="124.885983267714"/>
    <n v="1095.57443491447"/>
  </r>
  <r>
    <x v="7"/>
    <x v="1"/>
    <n v="6101304776.1194029"/>
    <s v="Dólares"/>
    <s v="BADECON"/>
    <x v="4"/>
    <m/>
    <x v="1"/>
    <m/>
    <m/>
    <n v="129.32654788623401"/>
    <n v="4717.7512087360428"/>
  </r>
  <r>
    <x v="7"/>
    <x v="1"/>
    <n v="105400746.2686567"/>
    <s v="Dólares"/>
    <s v="BADECON"/>
    <x v="4"/>
    <m/>
    <x v="24"/>
    <m/>
    <m/>
    <n v="124.885983267714"/>
    <n v="84.397578904201438"/>
  </r>
  <r>
    <x v="7"/>
    <x v="1"/>
    <n v="629172736.31840789"/>
    <s v="Dólares"/>
    <s v="BADECON"/>
    <x v="4"/>
    <m/>
    <x v="9"/>
    <m/>
    <m/>
    <n v="93.717494351913203"/>
    <n v="671.35036064433962"/>
  </r>
  <r>
    <x v="7"/>
    <x v="1"/>
    <n v="6116769900.4975109"/>
    <s v="Dólares"/>
    <s v="BADECON"/>
    <x v="4"/>
    <m/>
    <x v="17"/>
    <m/>
    <m/>
    <n v="118.400520723024"/>
    <n v="5166.1680735396058"/>
  </r>
  <r>
    <x v="7"/>
    <x v="1"/>
    <n v="6702487263.681592"/>
    <s v="Dólares"/>
    <s v="BADECON"/>
    <x v="4"/>
    <m/>
    <x v="18"/>
    <m/>
    <m/>
    <n v="123.731212299186"/>
    <n v="5416.9737280798363"/>
  </r>
  <r>
    <x v="7"/>
    <x v="1"/>
    <n v="2571433084.5771141"/>
    <s v="Dólares"/>
    <s v="BADECON"/>
    <x v="4"/>
    <m/>
    <x v="14"/>
    <m/>
    <m/>
    <n v="141.87141028890099"/>
    <n v="1812.509708151033"/>
  </r>
  <r>
    <x v="7"/>
    <x v="1"/>
    <n v="535840199.00497502"/>
    <s v="Dólares"/>
    <s v="BADECON"/>
    <x v="4"/>
    <m/>
    <x v="21"/>
    <m/>
    <m/>
    <n v="124.760255125349"/>
    <n v="429.4959147579541"/>
  </r>
  <r>
    <x v="7"/>
    <x v="1"/>
    <n v="297644676.6169154"/>
    <s v="Dólares"/>
    <s v="BADECON"/>
    <x v="4"/>
    <m/>
    <x v="20"/>
    <m/>
    <m/>
    <n v="118.92956316086899"/>
    <n v="250.26971318671119"/>
  </r>
  <r>
    <x v="7"/>
    <x v="1"/>
    <n v="2971779900.4975119"/>
    <s v="Dólares"/>
    <s v="BADECON"/>
    <x v="4"/>
    <m/>
    <x v="13"/>
    <m/>
    <m/>
    <n v="129.18720398146201"/>
    <n v="2300.3670711256768"/>
  </r>
  <r>
    <x v="7"/>
    <x v="1"/>
    <n v="1356351940.2985079"/>
    <s v="Dólares"/>
    <s v="BADECON"/>
    <x v="4"/>
    <m/>
    <x v="7"/>
    <m/>
    <m/>
    <n v="124.992774454829"/>
    <n v="1085.1442783108059"/>
  </r>
  <r>
    <x v="7"/>
    <x v="1"/>
    <n v="1222573432.8358209"/>
    <s v="Dólares"/>
    <s v="BADECON"/>
    <x v="4"/>
    <m/>
    <x v="4"/>
    <m/>
    <m/>
    <n v="130.309937712893"/>
    <n v="938.20429530821423"/>
  </r>
  <r>
    <x v="7"/>
    <x v="1"/>
    <n v="3530891691.5422878"/>
    <s v="Dólares"/>
    <s v="BADECON"/>
    <x v="4"/>
    <m/>
    <x v="12"/>
    <m/>
    <m/>
    <n v="124.20030413134501"/>
    <n v="2842.90100272885"/>
  </r>
  <r>
    <x v="7"/>
    <x v="1"/>
    <n v="804674626.86567152"/>
    <s v="Dólares"/>
    <s v="BADECON"/>
    <x v="4"/>
    <m/>
    <x v="5"/>
    <m/>
    <m/>
    <n v="114.765372402341"/>
    <n v="701.14757615621829"/>
  </r>
  <r>
    <x v="7"/>
    <x v="1"/>
    <n v="4842388457.711442"/>
    <s v="Dólares"/>
    <s v="BADECON"/>
    <x v="4"/>
    <m/>
    <x v="16"/>
    <m/>
    <m/>
    <n v="113.459970516059"/>
    <n v="4267.926772487619"/>
  </r>
  <r>
    <x v="7"/>
    <x v="1"/>
    <n v="3647445273.6318412"/>
    <s v="Dólares"/>
    <s v="BADECON"/>
    <x v="4"/>
    <m/>
    <x v="15"/>
    <m/>
    <m/>
    <n v="134.38056482799499"/>
    <n v="2714.265473061907"/>
  </r>
  <r>
    <x v="7"/>
    <x v="1"/>
    <n v="1168473084.5771141"/>
    <s v="Dólares"/>
    <s v="BADECON"/>
    <x v="4"/>
    <m/>
    <x v="11"/>
    <m/>
    <m/>
    <n v="125.100295460086"/>
    <n v="934.02903668594661"/>
  </r>
  <r>
    <x v="7"/>
    <x v="1"/>
    <n v="3719606417.9104481"/>
    <s v="Dólares"/>
    <s v="BADECON"/>
    <x v="4"/>
    <m/>
    <x v="3"/>
    <m/>
    <m/>
    <n v="119.934366622322"/>
    <n v="3101.36829222906"/>
  </r>
  <r>
    <x v="7"/>
    <x v="1"/>
    <n v="3367018159.20398"/>
    <s v="Dólares"/>
    <s v="BADECON"/>
    <x v="4"/>
    <m/>
    <x v="10"/>
    <m/>
    <m/>
    <n v="125.100295460086"/>
    <n v="2691.4550016216772"/>
  </r>
  <r>
    <x v="7"/>
    <x v="1"/>
    <n v="2579074527.363184"/>
    <s v="Dólares"/>
    <s v="BADECON"/>
    <x v="4"/>
    <m/>
    <x v="19"/>
    <m/>
    <m/>
    <n v="118.92956316086899"/>
    <n v="2168.5731106862149"/>
  </r>
  <r>
    <x v="7"/>
    <x v="1"/>
    <n v="150473283.58208951"/>
    <s v="Dólares"/>
    <s v="BADECON"/>
    <x v="4"/>
    <m/>
    <x v="8"/>
    <m/>
    <m/>
    <n v="126.864077629889"/>
    <n v="118.60984322219061"/>
  </r>
  <r>
    <x v="7"/>
    <x v="1"/>
    <n v="81848606.965174124"/>
    <s v="Dólares"/>
    <s v="BADECON"/>
    <x v="4"/>
    <m/>
    <x v="22"/>
    <m/>
    <m/>
    <n v="130.09451278639801"/>
    <n v="62.914726541588443"/>
  </r>
  <r>
    <x v="7"/>
    <x v="1"/>
    <n v="594569651.74129343"/>
    <s v="Dólares"/>
    <s v="BADECON"/>
    <x v="4"/>
    <m/>
    <x v="6"/>
    <m/>
    <m/>
    <n v="135.89610378926099"/>
    <n v="437.51780600223412"/>
  </r>
  <r>
    <x v="8"/>
    <x v="1"/>
    <n v="1729135028.2485881"/>
    <s v="Dólares"/>
    <s v="BADECON"/>
    <x v="4"/>
    <m/>
    <x v="2"/>
    <m/>
    <m/>
    <n v="131.88825158196701"/>
    <n v="1311.060695329599"/>
  </r>
  <r>
    <x v="8"/>
    <x v="1"/>
    <n v="7484435649.717515"/>
    <s v="Dólares"/>
    <s v="BADECON"/>
    <x v="4"/>
    <m/>
    <x v="1"/>
    <m/>
    <m/>
    <n v="137.78728757684999"/>
    <n v="5431.876758255451"/>
  </r>
  <r>
    <x v="8"/>
    <x v="1"/>
    <n v="122197231.63841809"/>
    <s v="Dólares"/>
    <s v="BADECON"/>
    <x v="4"/>
    <m/>
    <x v="24"/>
    <m/>
    <m/>
    <n v="131.88825158196701"/>
    <n v="92.652097645311443"/>
  </r>
  <r>
    <x v="8"/>
    <x v="1"/>
    <n v="766996836.15819216"/>
    <s v="Dólares"/>
    <s v="BADECON"/>
    <x v="4"/>
    <m/>
    <x v="9"/>
    <m/>
    <m/>
    <n v="75.235547730506298"/>
    <n v="1019.460692843727"/>
  </r>
  <r>
    <x v="8"/>
    <x v="1"/>
    <n v="7784201525.4237299"/>
    <s v="Dólares"/>
    <s v="BADECON"/>
    <x v="4"/>
    <m/>
    <x v="17"/>
    <m/>
    <m/>
    <n v="122.488835983729"/>
    <n v="6355.0293893377811"/>
  </r>
  <r>
    <x v="8"/>
    <x v="1"/>
    <n v="8817673163.8418083"/>
    <s v="Dólares"/>
    <s v="BADECON"/>
    <x v="4"/>
    <m/>
    <x v="18"/>
    <m/>
    <m/>
    <n v="130.65664198069601"/>
    <n v="6748.7370180113639"/>
  </r>
  <r>
    <x v="8"/>
    <x v="1"/>
    <n v="2865883728.81356"/>
    <s v="Dólares"/>
    <s v="BADECON"/>
    <x v="4"/>
    <m/>
    <x v="14"/>
    <m/>
    <m/>
    <n v="126.475336095899"/>
    <n v="2265.9625325213801"/>
  </r>
  <r>
    <x v="8"/>
    <x v="1"/>
    <n v="610696101.69491529"/>
    <s v="Dólares"/>
    <s v="BADECON"/>
    <x v="4"/>
    <m/>
    <x v="21"/>
    <m/>
    <m/>
    <n v="137.57038856002899"/>
    <n v="443.91537167785009"/>
  </r>
  <r>
    <x v="8"/>
    <x v="1"/>
    <n v="431656892.6553672"/>
    <s v="Dólares"/>
    <s v="BADECON"/>
    <x v="4"/>
    <m/>
    <x v="20"/>
    <m/>
    <m/>
    <n v="117.406234416616"/>
    <n v="367.66096349162592"/>
  </r>
  <r>
    <x v="8"/>
    <x v="1"/>
    <n v="3719632994.3502831"/>
    <s v="Dólares"/>
    <s v="BADECON"/>
    <x v="4"/>
    <m/>
    <x v="13"/>
    <m/>
    <m/>
    <n v="136.67401133375901"/>
    <n v="2721.536419434497"/>
  </r>
  <r>
    <x v="8"/>
    <x v="1"/>
    <n v="1713957683.615819"/>
    <s v="Dólares"/>
    <s v="BADECON"/>
    <x v="4"/>
    <m/>
    <x v="7"/>
    <m/>
    <m/>
    <n v="126.43481259036101"/>
    <n v="1355.605824456678"/>
  </r>
  <r>
    <x v="8"/>
    <x v="1"/>
    <n v="1423187627.118644"/>
    <s v="Dólares"/>
    <s v="BADECON"/>
    <x v="4"/>
    <m/>
    <x v="4"/>
    <m/>
    <m/>
    <n v="126.827473515305"/>
    <n v="1122.1445856105461"/>
  </r>
  <r>
    <x v="8"/>
    <x v="1"/>
    <n v="4419845706.2146902"/>
    <s v="Dólares"/>
    <s v="BADECON"/>
    <x v="4"/>
    <m/>
    <x v="12"/>
    <m/>
    <m/>
    <n v="122.42725052420499"/>
    <n v="3610.181301376891"/>
  </r>
  <r>
    <x v="8"/>
    <x v="1"/>
    <n v="996483785.31073439"/>
    <s v="Dólares"/>
    <s v="BADECON"/>
    <x v="4"/>
    <m/>
    <x v="5"/>
    <m/>
    <m/>
    <n v="121.146784451534"/>
    <n v="822.54249654425439"/>
  </r>
  <r>
    <x v="8"/>
    <x v="1"/>
    <n v="6079228418.0790958"/>
    <s v="Dólares"/>
    <s v="BADECON"/>
    <x v="4"/>
    <m/>
    <x v="16"/>
    <m/>
    <m/>
    <n v="115.498414548615"/>
    <n v="5263.4734786946001"/>
  </r>
  <r>
    <x v="8"/>
    <x v="1"/>
    <n v="4640144576.2711859"/>
    <s v="Dólares"/>
    <s v="BADECON"/>
    <x v="4"/>
    <m/>
    <x v="15"/>
    <m/>
    <m/>
    <n v="134.05703540769301"/>
    <n v="3461.3211922519549"/>
  </r>
  <r>
    <x v="8"/>
    <x v="1"/>
    <n v="1467440056.497175"/>
    <s v="Dólares"/>
    <s v="BADECON"/>
    <x v="4"/>
    <m/>
    <x v="11"/>
    <m/>
    <m/>
    <n v="131.56240089822001"/>
    <n v="1115.39470736204"/>
  </r>
  <r>
    <x v="8"/>
    <x v="1"/>
    <n v="4536020508.474577"/>
    <s v="Dólares"/>
    <s v="BADECON"/>
    <x v="4"/>
    <m/>
    <x v="3"/>
    <m/>
    <m/>
    <n v="122.71316266715"/>
    <n v="3696.4416936903372"/>
  </r>
  <r>
    <x v="8"/>
    <x v="1"/>
    <n v="4050948700.5649719"/>
    <s v="Dólares"/>
    <s v="BADECON"/>
    <x v="4"/>
    <m/>
    <x v="10"/>
    <m/>
    <m/>
    <n v="131.56240089822001"/>
    <n v="3079.108220059687"/>
  </r>
  <r>
    <x v="8"/>
    <x v="1"/>
    <n v="3521800451.9774008"/>
    <s v="Dólares"/>
    <s v="BADECON"/>
    <x v="4"/>
    <m/>
    <x v="19"/>
    <m/>
    <m/>
    <n v="117.406234416616"/>
    <n v="2999.6707325441448"/>
  </r>
  <r>
    <x v="8"/>
    <x v="1"/>
    <n v="174335423.72881359"/>
    <s v="Dólares"/>
    <s v="BADECON"/>
    <x v="4"/>
    <m/>
    <x v="8"/>
    <m/>
    <m/>
    <n v="133.89448111026101"/>
    <n v="130.20359187564259"/>
  </r>
  <r>
    <x v="8"/>
    <x v="1"/>
    <n v="98468361.581920907"/>
    <s v="Dólares"/>
    <s v="BADECON"/>
    <x v="4"/>
    <m/>
    <x v="22"/>
    <m/>
    <m/>
    <n v="141.34852687948501"/>
    <n v="69.663521619773149"/>
  </r>
  <r>
    <x v="8"/>
    <x v="1"/>
    <n v="742779661.01694918"/>
    <s v="Dólares"/>
    <s v="BADECON"/>
    <x v="4"/>
    <m/>
    <x v="6"/>
    <m/>
    <m/>
    <n v="138.02464258179401"/>
    <n v="538.15003402510138"/>
  </r>
  <r>
    <x v="6"/>
    <x v="0"/>
    <n v="2389544873.0576768"/>
    <s v="Dólares"/>
    <s v="BADECON"/>
    <x v="5"/>
    <m/>
    <x v="2"/>
    <m/>
    <m/>
    <n v="112.85003295356999"/>
    <n v="2117.4516395939472"/>
  </r>
  <r>
    <x v="6"/>
    <x v="0"/>
    <n v="8326624483.5396042"/>
    <s v="Dólares"/>
    <s v="BADECON"/>
    <x v="5"/>
    <m/>
    <x v="1"/>
    <m/>
    <m/>
    <n v="108.85802305479"/>
    <n v="7649.0682541135993"/>
  </r>
  <r>
    <x v="6"/>
    <x v="0"/>
    <n v="362486055.83355278"/>
    <s v="Dólares"/>
    <s v="BADECON"/>
    <x v="5"/>
    <m/>
    <x v="17"/>
    <m/>
    <m/>
    <n v="106.47234528849"/>
    <n v="340.45089816645441"/>
  </r>
  <r>
    <x v="6"/>
    <x v="0"/>
    <n v="476058182.77587593"/>
    <s v="Dólares"/>
    <s v="BADECON"/>
    <x v="5"/>
    <m/>
    <x v="18"/>
    <m/>
    <m/>
    <n v="106.47234528849"/>
    <n v="447.11909133398171"/>
  </r>
  <r>
    <x v="6"/>
    <x v="0"/>
    <n v="578765421.12193775"/>
    <s v="Dólares"/>
    <s v="BADECON"/>
    <x v="5"/>
    <m/>
    <x v="14"/>
    <m/>
    <m/>
    <n v="124.66113428208"/>
    <n v="464.27094094324718"/>
  </r>
  <r>
    <x v="6"/>
    <x v="0"/>
    <n v="234008211.74611539"/>
    <s v="Dólares"/>
    <s v="BADECON"/>
    <x v="5"/>
    <m/>
    <x v="21"/>
    <m/>
    <m/>
    <n v="143.65737313291001"/>
    <n v="162.89328326337551"/>
  </r>
  <r>
    <x v="6"/>
    <x v="0"/>
    <n v="16716264.155912559"/>
    <s v="Dólares"/>
    <s v="BADECON"/>
    <x v="5"/>
    <m/>
    <x v="20"/>
    <m/>
    <m/>
    <n v="106.47234528849"/>
    <n v="15.70009950529346"/>
  </r>
  <r>
    <x v="6"/>
    <x v="0"/>
    <n v="1147276876.4814341"/>
    <s v="Dólares"/>
    <s v="BADECON"/>
    <x v="5"/>
    <m/>
    <x v="13"/>
    <m/>
    <m/>
    <n v="124.66113428208"/>
    <n v="920.316410634774"/>
  </r>
  <r>
    <x v="6"/>
    <x v="0"/>
    <n v="2073621078.219646"/>
    <s v="Dólares"/>
    <s v="BADECON"/>
    <x v="5"/>
    <m/>
    <x v="7"/>
    <m/>
    <m/>
    <n v="94.206586225303994"/>
    <n v="2201.142363083176"/>
  </r>
  <r>
    <x v="6"/>
    <x v="0"/>
    <n v="61466485.383197322"/>
    <s v="Dólares"/>
    <s v="BADECON"/>
    <x v="5"/>
    <m/>
    <x v="4"/>
    <m/>
    <m/>
    <n v="69.374466842382006"/>
    <n v="88.601020203655722"/>
  </r>
  <r>
    <x v="6"/>
    <x v="0"/>
    <n v="947218054.51672292"/>
    <s v="Dólares"/>
    <s v="BADECON"/>
    <x v="5"/>
    <m/>
    <x v="12"/>
    <m/>
    <m/>
    <n v="115.300264502"/>
    <n v="821.5228808085626"/>
  </r>
  <r>
    <x v="6"/>
    <x v="0"/>
    <n v="34907166.183829337"/>
    <s v="Dólares"/>
    <s v="BADECON"/>
    <x v="5"/>
    <m/>
    <x v="5"/>
    <m/>
    <m/>
    <n v="69.374466842382006"/>
    <n v="50.317022634765642"/>
  </r>
  <r>
    <x v="6"/>
    <x v="0"/>
    <n v="1839331.0508296019"/>
    <s v="Dólares"/>
    <s v="BADECON"/>
    <x v="5"/>
    <m/>
    <x v="16"/>
    <m/>
    <m/>
    <n v="106.47234528849"/>
    <n v="1.7275199920184721"/>
  </r>
  <r>
    <x v="6"/>
    <x v="0"/>
    <n v="1071104044.508823"/>
    <s v="Dólares"/>
    <s v="BADECON"/>
    <x v="5"/>
    <m/>
    <x v="15"/>
    <m/>
    <m/>
    <n v="106.47234528849"/>
    <n v="1005.992721966098"/>
  </r>
  <r>
    <x v="6"/>
    <x v="0"/>
    <n v="811044004.47721851"/>
    <s v="Dólares"/>
    <s v="BADECON"/>
    <x v="5"/>
    <m/>
    <x v="11"/>
    <m/>
    <m/>
    <n v="115.300264502"/>
    <n v="703.41903202065089"/>
  </r>
  <r>
    <x v="6"/>
    <x v="0"/>
    <n v="153838542.27021331"/>
    <s v="Dólares"/>
    <s v="BADECON"/>
    <x v="5"/>
    <m/>
    <x v="3"/>
    <m/>
    <m/>
    <n v="69.374466842382006"/>
    <n v="221.7509543096493"/>
  </r>
  <r>
    <x v="6"/>
    <x v="0"/>
    <n v="3661857221.2272911"/>
    <s v="Dólares"/>
    <s v="BADECON"/>
    <x v="5"/>
    <m/>
    <x v="10"/>
    <m/>
    <m/>
    <n v="115.300264502"/>
    <n v="3175.9313276889939"/>
  </r>
  <r>
    <x v="6"/>
    <x v="0"/>
    <n v="23975136.950223871"/>
    <s v="Dólares"/>
    <s v="BADECON"/>
    <x v="5"/>
    <m/>
    <x v="19"/>
    <m/>
    <m/>
    <n v="106.47234528849"/>
    <n v="22.517712825112021"/>
  </r>
  <r>
    <x v="6"/>
    <x v="0"/>
    <n v="110310259.67869361"/>
    <s v="Dólares"/>
    <s v="BADECON"/>
    <x v="5"/>
    <m/>
    <x v="8"/>
    <m/>
    <m/>
    <n v="94.206586225303994"/>
    <n v="117.0939995796856"/>
  </r>
  <r>
    <x v="6"/>
    <x v="0"/>
    <n v="53265762.444034763"/>
    <s v="Dólares"/>
    <s v="BADECON"/>
    <x v="5"/>
    <m/>
    <x v="22"/>
    <m/>
    <m/>
    <n v="110.55212475787999"/>
    <n v="48.181581820061808"/>
  </r>
  <r>
    <x v="6"/>
    <x v="0"/>
    <n v="2086596531.998946"/>
    <s v="Dólares"/>
    <s v="BADECON"/>
    <x v="5"/>
    <m/>
    <x v="6"/>
    <m/>
    <m/>
    <n v="143.65737313291001"/>
    <n v="1452.481335621007"/>
  </r>
  <r>
    <x v="6"/>
    <x v="0"/>
    <n v="695923079.00974381"/>
    <s v="Dólares"/>
    <s v="BADECON"/>
    <x v="5"/>
    <m/>
    <x v="23"/>
    <m/>
    <m/>
    <n v="106.47234528849"/>
    <n v="653.61862474628447"/>
  </r>
  <r>
    <x v="6"/>
    <x v="1"/>
    <n v="12593393152.709351"/>
    <s v="Dólares"/>
    <s v="BADECON"/>
    <x v="5"/>
    <m/>
    <x v="2"/>
    <m/>
    <m/>
    <n v="114.588591483131"/>
    <n v="10990.09333277587"/>
  </r>
  <r>
    <x v="6"/>
    <x v="1"/>
    <n v="27998783152.709339"/>
    <s v="Dólares"/>
    <s v="BADECON"/>
    <x v="5"/>
    <m/>
    <x v="1"/>
    <m/>
    <m/>
    <n v="116.18765921948599"/>
    <n v="24097.897608745028"/>
  </r>
  <r>
    <x v="6"/>
    <x v="1"/>
    <n v="431662364.53201962"/>
    <s v="Dólares"/>
    <s v="BADECON"/>
    <x v="5"/>
    <m/>
    <x v="24"/>
    <m/>
    <m/>
    <n v="114.588591483131"/>
    <n v="376.70623134901359"/>
  </r>
  <r>
    <x v="6"/>
    <x v="1"/>
    <n v="9923889014.778326"/>
    <s v="Dólares"/>
    <s v="BADECON"/>
    <x v="5"/>
    <m/>
    <x v="9"/>
    <m/>
    <m/>
    <n v="101.249897488305"/>
    <n v="9801.3817899663536"/>
  </r>
  <r>
    <x v="6"/>
    <x v="1"/>
    <n v="13505348374.38422"/>
    <s v="Dólares"/>
    <s v="BADECON"/>
    <x v="5"/>
    <m/>
    <x v="17"/>
    <m/>
    <m/>
    <n v="110.091234626415"/>
    <n v="12267.414767591121"/>
  </r>
  <r>
    <x v="6"/>
    <x v="1"/>
    <n v="16521017586.20689"/>
    <s v="Dólares"/>
    <s v="BADECON"/>
    <x v="5"/>
    <m/>
    <x v="18"/>
    <m/>
    <m/>
    <n v="111.424704413977"/>
    <n v="14827.068802288441"/>
  </r>
  <r>
    <x v="6"/>
    <x v="1"/>
    <n v="13251019359.605909"/>
    <s v="Dólares"/>
    <s v="BADECON"/>
    <x v="5"/>
    <m/>
    <x v="14"/>
    <m/>
    <m/>
    <n v="141.21332900058599"/>
    <n v="9383.6888156293826"/>
  </r>
  <r>
    <x v="6"/>
    <x v="1"/>
    <n v="954472216.74876809"/>
    <s v="Dólares"/>
    <s v="BADECON"/>
    <x v="5"/>
    <m/>
    <x v="21"/>
    <m/>
    <m/>
    <n v="113.656804391549"/>
    <n v="839.78449144197327"/>
  </r>
  <r>
    <x v="6"/>
    <x v="1"/>
    <n v="901059261.08374369"/>
    <s v="Dólares"/>
    <s v="BADECON"/>
    <x v="5"/>
    <m/>
    <x v="20"/>
    <m/>
    <m/>
    <n v="112.92894634856199"/>
    <n v="797.89928996819833"/>
  </r>
  <r>
    <x v="6"/>
    <x v="1"/>
    <n v="11072676551.72414"/>
    <s v="Dólares"/>
    <s v="BADECON"/>
    <x v="5"/>
    <m/>
    <x v="13"/>
    <m/>
    <m/>
    <n v="112.951814443289"/>
    <n v="9803.0090143293146"/>
  </r>
  <r>
    <x v="6"/>
    <x v="1"/>
    <n v="4404324876.84729"/>
    <s v="Dólares"/>
    <s v="BADECON"/>
    <x v="5"/>
    <m/>
    <x v="7"/>
    <m/>
    <m/>
    <n v="112.392064602288"/>
    <n v="3918.7151623493091"/>
  </r>
  <r>
    <x v="6"/>
    <x v="1"/>
    <n v="2245818078.8177352"/>
    <s v="Dólares"/>
    <s v="BADECON"/>
    <x v="5"/>
    <m/>
    <x v="4"/>
    <m/>
    <m/>
    <n v="118.49318137442501"/>
    <n v="1895.314188350809"/>
  </r>
  <r>
    <x v="6"/>
    <x v="1"/>
    <n v="9147394187.192112"/>
    <s v="Dólares"/>
    <s v="BADECON"/>
    <x v="5"/>
    <m/>
    <x v="12"/>
    <m/>
    <m/>
    <n v="110.98105301320901"/>
    <n v="8242.3025722267976"/>
  </r>
  <r>
    <x v="6"/>
    <x v="1"/>
    <n v="1319679753.694582"/>
    <s v="Dólares"/>
    <s v="BADECON"/>
    <x v="5"/>
    <m/>
    <x v="5"/>
    <m/>
    <m/>
    <n v="107.07734755600499"/>
    <n v="1232.4546543369929"/>
  </r>
  <r>
    <x v="6"/>
    <x v="1"/>
    <n v="6976852463.0541868"/>
    <s v="Dólares"/>
    <s v="BADECON"/>
    <x v="5"/>
    <m/>
    <x v="16"/>
    <m/>
    <m/>
    <n v="106.928543554746"/>
    <n v="6524.7802234228793"/>
  </r>
  <r>
    <x v="6"/>
    <x v="1"/>
    <n v="10648110295.566521"/>
    <s v="Dólares"/>
    <s v="BADECON"/>
    <x v="5"/>
    <m/>
    <x v="15"/>
    <m/>
    <m/>
    <n v="121.868271296408"/>
    <n v="8737.393402149919"/>
  </r>
  <r>
    <x v="6"/>
    <x v="1"/>
    <n v="1861006108.3743839"/>
    <s v="Dólares"/>
    <s v="BADECON"/>
    <x v="5"/>
    <m/>
    <x v="11"/>
    <m/>
    <m/>
    <n v="108.877296090838"/>
    <n v="1709.269218829349"/>
  </r>
  <r>
    <x v="6"/>
    <x v="1"/>
    <n v="7725911133.0049171"/>
    <s v="Dólares"/>
    <s v="BADECON"/>
    <x v="5"/>
    <m/>
    <x v="3"/>
    <m/>
    <m/>
    <n v="113.699368348429"/>
    <n v="6795.0343482375783"/>
  </r>
  <r>
    <x v="6"/>
    <x v="1"/>
    <n v="14550055517.24139"/>
    <s v="Dólares"/>
    <s v="BADECON"/>
    <x v="5"/>
    <m/>
    <x v="10"/>
    <m/>
    <m/>
    <n v="108.877296090838"/>
    <n v="13363.718644428909"/>
  </r>
  <r>
    <x v="6"/>
    <x v="1"/>
    <n v="18361438965.517269"/>
    <s v="Dólares"/>
    <s v="BADECON"/>
    <x v="5"/>
    <m/>
    <x v="19"/>
    <m/>
    <m/>
    <n v="112.92894634856199"/>
    <n v="16259.284761980851"/>
  </r>
  <r>
    <x v="6"/>
    <x v="1"/>
    <n v="295722709.35960579"/>
    <s v="Dólares"/>
    <s v="BADECON"/>
    <x v="5"/>
    <m/>
    <x v="8"/>
    <m/>
    <m/>
    <n v="114.043225455295"/>
    <n v="259.30756358301107"/>
  </r>
  <r>
    <x v="6"/>
    <x v="1"/>
    <n v="204621822.6600984"/>
    <s v="Dólares"/>
    <s v="BADECON"/>
    <x v="5"/>
    <m/>
    <x v="22"/>
    <m/>
    <m/>
    <n v="117.451425181814"/>
    <n v="174.21825434927271"/>
  </r>
  <r>
    <x v="6"/>
    <x v="1"/>
    <n v="1379273990.147783"/>
    <s v="Dólares"/>
    <s v="BADECON"/>
    <x v="5"/>
    <m/>
    <x v="6"/>
    <m/>
    <m/>
    <n v="114.696642834729"/>
    <n v="1202.5408556510531"/>
  </r>
  <r>
    <x v="7"/>
    <x v="0"/>
    <n v="3274237723.6238499"/>
    <s v="Dólares"/>
    <s v="BADECON"/>
    <x v="5"/>
    <m/>
    <x v="2"/>
    <m/>
    <m/>
    <n v="109.88589645717001"/>
    <n v="2979.6705757413042"/>
  </r>
  <r>
    <x v="7"/>
    <x v="0"/>
    <n v="5589502152.5229187"/>
    <s v="Dólares"/>
    <s v="BADECON"/>
    <x v="5"/>
    <m/>
    <x v="1"/>
    <m/>
    <m/>
    <n v="138.22614999915999"/>
    <n v="4043.7371311845741"/>
  </r>
  <r>
    <x v="7"/>
    <x v="0"/>
    <n v="235139001.14678901"/>
    <s v="Dólares"/>
    <s v="BADECON"/>
    <x v="5"/>
    <m/>
    <x v="17"/>
    <m/>
    <m/>
    <n v="123.96393010113999"/>
    <n v="189.683403030981"/>
  </r>
  <r>
    <x v="7"/>
    <x v="0"/>
    <n v="418522439.22018337"/>
    <s v="Dólares"/>
    <s v="BADECON"/>
    <x v="5"/>
    <m/>
    <x v="18"/>
    <m/>
    <m/>
    <n v="123.96393010113999"/>
    <n v="337.61630409645642"/>
  </r>
  <r>
    <x v="7"/>
    <x v="0"/>
    <n v="281936785.55045938"/>
    <s v="Dólares"/>
    <s v="BADECON"/>
    <x v="5"/>
    <m/>
    <x v="14"/>
    <m/>
    <m/>
    <n v="134.03865367133"/>
    <n v="210.339911531627"/>
  </r>
  <r>
    <x v="7"/>
    <x v="0"/>
    <n v="297619533.25688028"/>
    <s v="Dólares"/>
    <s v="BADECON"/>
    <x v="5"/>
    <m/>
    <x v="21"/>
    <m/>
    <m/>
    <n v="182.56944637426"/>
    <n v="163.01716369713489"/>
  </r>
  <r>
    <x v="7"/>
    <x v="0"/>
    <n v="19531500"/>
    <s v="Dólares"/>
    <s v="BADECON"/>
    <x v="5"/>
    <m/>
    <x v="20"/>
    <m/>
    <m/>
    <n v="123.96393010113999"/>
    <n v="15.75579282139941"/>
  </r>
  <r>
    <x v="7"/>
    <x v="0"/>
    <n v="858067969.0366981"/>
    <s v="Dólares"/>
    <s v="BADECON"/>
    <x v="5"/>
    <m/>
    <x v="13"/>
    <m/>
    <m/>
    <n v="134.03865367133"/>
    <n v="640.16456860326798"/>
  </r>
  <r>
    <x v="7"/>
    <x v="0"/>
    <n v="1631842401.3761499"/>
    <s v="Dólares"/>
    <s v="BADECON"/>
    <x v="5"/>
    <m/>
    <x v="7"/>
    <m/>
    <m/>
    <n v="120.87292541591999"/>
    <n v="1350.0479083806661"/>
  </r>
  <r>
    <x v="7"/>
    <x v="0"/>
    <n v="52745493.119266063"/>
    <s v="Dólares"/>
    <s v="BADECON"/>
    <x v="5"/>
    <m/>
    <x v="4"/>
    <m/>
    <m/>
    <n v="56.539869603999001"/>
    <n v="93.289025052041211"/>
  </r>
  <r>
    <x v="7"/>
    <x v="0"/>
    <n v="924350638.76146698"/>
    <s v="Dólares"/>
    <s v="BADECON"/>
    <x v="5"/>
    <m/>
    <x v="12"/>
    <m/>
    <m/>
    <n v="175.63081008859999"/>
    <n v="526.30323705457056"/>
  </r>
  <r>
    <x v="7"/>
    <x v="0"/>
    <n v="25730459.862385321"/>
    <s v="Dólares"/>
    <s v="BADECON"/>
    <x v="5"/>
    <m/>
    <x v="5"/>
    <m/>
    <m/>
    <n v="56.539869603999001"/>
    <n v="45.5085235296783"/>
  </r>
  <r>
    <x v="7"/>
    <x v="0"/>
    <n v="8862966.7431192659"/>
    <s v="Dólares"/>
    <s v="BADECON"/>
    <x v="5"/>
    <m/>
    <x v="16"/>
    <m/>
    <m/>
    <n v="123.96393010113999"/>
    <n v="7.1496335554125512"/>
  </r>
  <r>
    <x v="7"/>
    <x v="0"/>
    <n v="1170828389.9082561"/>
    <s v="Dólares"/>
    <s v="BADECON"/>
    <x v="5"/>
    <m/>
    <x v="15"/>
    <m/>
    <m/>
    <n v="123.96393010113999"/>
    <n v="944.4911830021822"/>
  </r>
  <r>
    <x v="7"/>
    <x v="0"/>
    <n v="629341009.17431283"/>
    <s v="Dólares"/>
    <s v="BADECON"/>
    <x v="5"/>
    <m/>
    <x v="11"/>
    <m/>
    <m/>
    <n v="175.63081008859999"/>
    <n v="358.33178065786461"/>
  </r>
  <r>
    <x v="7"/>
    <x v="0"/>
    <n v="127937905.9633029"/>
    <s v="Dólares"/>
    <s v="BADECON"/>
    <x v="5"/>
    <m/>
    <x v="3"/>
    <m/>
    <m/>
    <n v="56.539869603999001"/>
    <n v="226.2790962543252"/>
  </r>
  <r>
    <x v="7"/>
    <x v="0"/>
    <n v="4025791047.0183492"/>
    <s v="Dólares"/>
    <s v="BADECON"/>
    <x v="5"/>
    <m/>
    <x v="10"/>
    <m/>
    <m/>
    <n v="175.63081008859999"/>
    <n v="2292.189533822379"/>
  </r>
  <r>
    <x v="7"/>
    <x v="0"/>
    <n v="21303950.6880734"/>
    <s v="Dólares"/>
    <s v="BADECON"/>
    <x v="5"/>
    <m/>
    <x v="19"/>
    <m/>
    <m/>
    <n v="123.96393010113999"/>
    <n v="17.185604450175049"/>
  </r>
  <r>
    <x v="7"/>
    <x v="0"/>
    <n v="102086694.9541283"/>
    <s v="Dólares"/>
    <s v="BADECON"/>
    <x v="5"/>
    <m/>
    <x v="8"/>
    <m/>
    <m/>
    <n v="120.87292541591999"/>
    <n v="84.457867303907065"/>
  </r>
  <r>
    <x v="7"/>
    <x v="0"/>
    <n v="66010680.04587163"/>
    <s v="Dólares"/>
    <s v="BADECON"/>
    <x v="5"/>
    <m/>
    <x v="22"/>
    <m/>
    <m/>
    <n v="138.33137560220001"/>
    <n v="47.719239224294817"/>
  </r>
  <r>
    <x v="7"/>
    <x v="0"/>
    <n v="1957272225.9174299"/>
    <s v="Dólares"/>
    <s v="BADECON"/>
    <x v="5"/>
    <m/>
    <x v="6"/>
    <m/>
    <m/>
    <n v="182.56944637426"/>
    <n v="1072.069979280707"/>
  </r>
  <r>
    <x v="7"/>
    <x v="0"/>
    <n v="654566724.77064228"/>
    <s v="Dólares"/>
    <s v="BADECON"/>
    <x v="5"/>
    <m/>
    <x v="23"/>
    <m/>
    <m/>
    <n v="123.96393010113999"/>
    <n v="528.0299876234908"/>
  </r>
  <r>
    <x v="7"/>
    <x v="1"/>
    <n v="14744085820.895519"/>
    <s v="Dólares"/>
    <s v="BADECON"/>
    <x v="5"/>
    <m/>
    <x v="2"/>
    <m/>
    <m/>
    <n v="124.885983267714"/>
    <n v="11806.037343109279"/>
  </r>
  <r>
    <x v="7"/>
    <x v="1"/>
    <n v="32771114029.850689"/>
    <s v="Dólares"/>
    <s v="BADECON"/>
    <x v="5"/>
    <m/>
    <x v="1"/>
    <m/>
    <m/>
    <n v="129.32654788623401"/>
    <n v="25339.819677765448"/>
  </r>
  <r>
    <x v="7"/>
    <x v="1"/>
    <n v="565448507.46268666"/>
    <s v="Dólares"/>
    <s v="BADECON"/>
    <x v="5"/>
    <m/>
    <x v="24"/>
    <m/>
    <m/>
    <n v="124.885983267714"/>
    <n v="452.77179445394859"/>
  </r>
  <r>
    <x v="7"/>
    <x v="1"/>
    <n v="16222505174.129351"/>
    <s v="Dólares"/>
    <s v="BADECON"/>
    <x v="5"/>
    <m/>
    <x v="9"/>
    <m/>
    <m/>
    <n v="93.717494351913203"/>
    <n v="17310.007364487519"/>
  </r>
  <r>
    <x v="7"/>
    <x v="1"/>
    <n v="15852950597.014919"/>
    <s v="Dólares"/>
    <s v="BADECON"/>
    <x v="5"/>
    <m/>
    <x v="17"/>
    <m/>
    <m/>
    <n v="118.400520723024"/>
    <n v="13389.25749667938"/>
  </r>
  <r>
    <x v="7"/>
    <x v="1"/>
    <n v="19952288208.955231"/>
    <s v="Dólares"/>
    <s v="BADECON"/>
    <x v="5"/>
    <m/>
    <x v="18"/>
    <m/>
    <m/>
    <n v="123.731212299186"/>
    <n v="16125.509350631721"/>
  </r>
  <r>
    <x v="7"/>
    <x v="1"/>
    <n v="15091987462.686581"/>
    <s v="Dólares"/>
    <s v="BADECON"/>
    <x v="5"/>
    <m/>
    <x v="14"/>
    <m/>
    <m/>
    <n v="141.87141028890099"/>
    <n v="10637.79335946114"/>
  </r>
  <r>
    <x v="7"/>
    <x v="1"/>
    <n v="1085853383.0845771"/>
    <s v="Dólares"/>
    <s v="BADECON"/>
    <x v="5"/>
    <m/>
    <x v="21"/>
    <m/>
    <m/>
    <n v="124.760255125349"/>
    <n v="870.35200592816921"/>
  </r>
  <r>
    <x v="7"/>
    <x v="1"/>
    <n v="1028160149.253731"/>
    <s v="Dólares"/>
    <s v="BADECON"/>
    <x v="5"/>
    <m/>
    <x v="20"/>
    <m/>
    <m/>
    <n v="118.92956316086899"/>
    <n v="864.5118353482892"/>
  </r>
  <r>
    <x v="7"/>
    <x v="1"/>
    <n v="12658974676.616911"/>
    <s v="Dólares"/>
    <s v="BADECON"/>
    <x v="5"/>
    <m/>
    <x v="13"/>
    <m/>
    <m/>
    <n v="129.18720398146201"/>
    <n v="9798.9385066600225"/>
  </r>
  <r>
    <x v="7"/>
    <x v="1"/>
    <n v="5290490348.258707"/>
    <s v="Dólares"/>
    <s v="BADECON"/>
    <x v="5"/>
    <m/>
    <x v="7"/>
    <m/>
    <m/>
    <n v="124.992774454829"/>
    <n v="4232.6369434823864"/>
  </r>
  <r>
    <x v="7"/>
    <x v="1"/>
    <n v="2642478756.2189059"/>
    <s v="Dólares"/>
    <s v="BADECON"/>
    <x v="5"/>
    <m/>
    <x v="4"/>
    <m/>
    <m/>
    <n v="130.309937712893"/>
    <n v="2027.841316324608"/>
  </r>
  <r>
    <x v="7"/>
    <x v="1"/>
    <n v="10662369950.248739"/>
    <s v="Dólares"/>
    <s v="BADECON"/>
    <x v="5"/>
    <m/>
    <x v="12"/>
    <m/>
    <m/>
    <n v="124.20030413134501"/>
    <n v="8584.8179075093212"/>
  </r>
  <r>
    <x v="7"/>
    <x v="1"/>
    <n v="1561767064.6766169"/>
    <s v="Dólares"/>
    <s v="BADECON"/>
    <x v="5"/>
    <m/>
    <x v="5"/>
    <m/>
    <m/>
    <n v="114.765372402341"/>
    <n v="1360.834746565733"/>
  </r>
  <r>
    <x v="7"/>
    <x v="1"/>
    <n v="8447863034.8258724"/>
    <s v="Dólares"/>
    <s v="BADECON"/>
    <x v="5"/>
    <m/>
    <x v="16"/>
    <m/>
    <m/>
    <n v="113.459970516059"/>
    <n v="7445.677093341189"/>
  </r>
  <r>
    <x v="7"/>
    <x v="1"/>
    <n v="12385732487.56218"/>
    <s v="Dólares"/>
    <s v="BADECON"/>
    <x v="5"/>
    <m/>
    <x v="15"/>
    <m/>
    <m/>
    <n v="134.38056482799499"/>
    <n v="9216.9075962850184"/>
  </r>
  <r>
    <x v="7"/>
    <x v="1"/>
    <n v="2105483184.079602"/>
    <s v="Dólares"/>
    <s v="BADECON"/>
    <x v="5"/>
    <m/>
    <x v="11"/>
    <m/>
    <m/>
    <n v="125.100295460086"/>
    <n v="1683.0361401915061"/>
  </r>
  <r>
    <x v="7"/>
    <x v="1"/>
    <n v="9053465323.3830853"/>
    <s v="Dólares"/>
    <s v="BADECON"/>
    <x v="5"/>
    <m/>
    <x v="3"/>
    <m/>
    <m/>
    <n v="119.934366622322"/>
    <n v="7548.6831492534584"/>
  </r>
  <r>
    <x v="7"/>
    <x v="1"/>
    <n v="17102035572.139311"/>
    <s v="Dólares"/>
    <s v="BADECON"/>
    <x v="5"/>
    <m/>
    <x v="10"/>
    <m/>
    <m/>
    <n v="125.100295460086"/>
    <n v="13670.65961694376"/>
  </r>
  <r>
    <x v="7"/>
    <x v="1"/>
    <n v="22452845124.378109"/>
    <s v="Dólares"/>
    <s v="BADECON"/>
    <x v="5"/>
    <m/>
    <x v="19"/>
    <m/>
    <m/>
    <n v="118.92956316086899"/>
    <n v="18879.111742811561"/>
  </r>
  <r>
    <x v="7"/>
    <x v="1"/>
    <n v="362360099.50248748"/>
    <s v="Dólares"/>
    <s v="BADECON"/>
    <x v="5"/>
    <m/>
    <x v="8"/>
    <m/>
    <m/>
    <n v="126.864077629889"/>
    <n v="285.62860840688921"/>
  </r>
  <r>
    <x v="7"/>
    <x v="1"/>
    <n v="225805273.6318408"/>
    <s v="Dólares"/>
    <s v="BADECON"/>
    <x v="5"/>
    <m/>
    <x v="22"/>
    <m/>
    <m/>
    <n v="130.09451278639801"/>
    <n v="173.5701750946177"/>
  </r>
  <r>
    <x v="7"/>
    <x v="1"/>
    <n v="1699987064.676616"/>
    <s v="Dólares"/>
    <s v="BADECON"/>
    <x v="5"/>
    <m/>
    <x v="6"/>
    <m/>
    <m/>
    <n v="135.89610378926099"/>
    <n v="1250.9461399370559"/>
  </r>
  <r>
    <x v="8"/>
    <x v="1"/>
    <n v="17039333502.82486"/>
    <s v="Dólares"/>
    <s v="BADECON"/>
    <x v="5"/>
    <m/>
    <x v="2"/>
    <m/>
    <m/>
    <n v="131.88825158196701"/>
    <n v="12919.52338319923"/>
  </r>
  <r>
    <x v="8"/>
    <x v="1"/>
    <n v="38221209661.016991"/>
    <s v="Dólares"/>
    <s v="BADECON"/>
    <x v="5"/>
    <m/>
    <x v="1"/>
    <m/>
    <m/>
    <n v="137.78728757684999"/>
    <n v="27739.285919028891"/>
  </r>
  <r>
    <x v="8"/>
    <x v="1"/>
    <n v="671852372.88135576"/>
    <s v="Dólares"/>
    <s v="BADECON"/>
    <x v="5"/>
    <m/>
    <x v="24"/>
    <m/>
    <m/>
    <n v="131.88825158196701"/>
    <n v="509.4103264109217"/>
  </r>
  <r>
    <x v="8"/>
    <x v="1"/>
    <n v="13549690508.474581"/>
    <s v="Dólares"/>
    <s v="BADECON"/>
    <x v="5"/>
    <m/>
    <x v="9"/>
    <m/>
    <m/>
    <n v="75.235547730506298"/>
    <n v="18009.69211656378"/>
  </r>
  <r>
    <x v="8"/>
    <x v="1"/>
    <n v="18831961977.401138"/>
    <s v="Dólares"/>
    <s v="BADECON"/>
    <x v="5"/>
    <m/>
    <x v="17"/>
    <m/>
    <m/>
    <n v="122.488835983729"/>
    <n v="15374.431331768639"/>
  </r>
  <r>
    <x v="8"/>
    <x v="1"/>
    <n v="23587238757.062141"/>
    <s v="Dólares"/>
    <s v="BADECON"/>
    <x v="5"/>
    <m/>
    <x v="18"/>
    <m/>
    <m/>
    <n v="130.65664198069601"/>
    <n v="18052.843238193011"/>
  </r>
  <r>
    <x v="8"/>
    <x v="1"/>
    <n v="14226467005.649731"/>
    <s v="Dólares"/>
    <s v="BADECON"/>
    <x v="5"/>
    <m/>
    <x v="14"/>
    <m/>
    <m/>
    <n v="126.475336095899"/>
    <n v="11248.412097408949"/>
  </r>
  <r>
    <x v="8"/>
    <x v="1"/>
    <n v="1277136553.672317"/>
    <s v="Dólares"/>
    <s v="BADECON"/>
    <x v="5"/>
    <m/>
    <x v="21"/>
    <m/>
    <m/>
    <n v="137.57038856002899"/>
    <n v="928.35134583852437"/>
  </r>
  <r>
    <x v="8"/>
    <x v="1"/>
    <n v="1122131299.4350281"/>
    <s v="Dólares"/>
    <s v="BADECON"/>
    <x v="5"/>
    <m/>
    <x v="20"/>
    <m/>
    <m/>
    <n v="117.406234416616"/>
    <n v="955.76806888563112"/>
  </r>
  <r>
    <x v="8"/>
    <x v="1"/>
    <n v="14820401864.406771"/>
    <s v="Dólares"/>
    <s v="BADECON"/>
    <x v="5"/>
    <m/>
    <x v="13"/>
    <m/>
    <m/>
    <n v="136.67401133375901"/>
    <n v="10843.61373444673"/>
  </r>
  <r>
    <x v="8"/>
    <x v="1"/>
    <n v="5787136610.1694908"/>
    <s v="Dólares"/>
    <s v="BADECON"/>
    <x v="5"/>
    <m/>
    <x v="7"/>
    <m/>
    <m/>
    <n v="126.43481259036101"/>
    <n v="4577.1702362697888"/>
  </r>
  <r>
    <x v="8"/>
    <x v="1"/>
    <n v="2820073389.8305092"/>
    <s v="Dólares"/>
    <s v="BADECON"/>
    <x v="5"/>
    <m/>
    <x v="4"/>
    <m/>
    <m/>
    <n v="126.827473515305"/>
    <n v="2223.5508692761232"/>
  </r>
  <r>
    <x v="8"/>
    <x v="1"/>
    <n v="11694598870.05649"/>
    <s v="Dólares"/>
    <s v="BADECON"/>
    <x v="5"/>
    <m/>
    <x v="12"/>
    <m/>
    <m/>
    <n v="122.42725052420499"/>
    <n v="9552.2841687475138"/>
  </r>
  <r>
    <x v="8"/>
    <x v="1"/>
    <n v="1866013050.8474569"/>
    <s v="Dólares"/>
    <s v="BADECON"/>
    <x v="5"/>
    <m/>
    <x v="5"/>
    <m/>
    <m/>
    <n v="121.146784451534"/>
    <n v="1540.2910273643911"/>
  </r>
  <r>
    <x v="8"/>
    <x v="1"/>
    <n v="10222794463.276831"/>
    <s v="Dólares"/>
    <s v="BADECON"/>
    <x v="5"/>
    <m/>
    <x v="16"/>
    <m/>
    <m/>
    <n v="115.498414548615"/>
    <n v="8851.0257939288913"/>
  </r>
  <r>
    <x v="8"/>
    <x v="1"/>
    <n v="13988685310.734461"/>
    <s v="Dólares"/>
    <s v="BADECON"/>
    <x v="5"/>
    <m/>
    <x v="15"/>
    <m/>
    <m/>
    <n v="134.05703540769301"/>
    <n v="10434.875922917579"/>
  </r>
  <r>
    <x v="8"/>
    <x v="1"/>
    <n v="2462492824.858757"/>
    <s v="Dólares"/>
    <s v="BADECON"/>
    <x v="5"/>
    <m/>
    <x v="11"/>
    <m/>
    <m/>
    <n v="131.56240089822001"/>
    <n v="1871.729922870443"/>
  </r>
  <r>
    <x v="8"/>
    <x v="1"/>
    <n v="10079455310.734461"/>
    <s v="Dólares"/>
    <s v="BADECON"/>
    <x v="5"/>
    <m/>
    <x v="3"/>
    <m/>
    <m/>
    <n v="122.71316266715"/>
    <n v="8213.8338639956673"/>
  </r>
  <r>
    <x v="8"/>
    <x v="1"/>
    <n v="18671657231.638401"/>
    <s v="Dólares"/>
    <s v="BADECON"/>
    <x v="5"/>
    <m/>
    <x v="10"/>
    <m/>
    <m/>
    <n v="131.56240089822001"/>
    <n v="14192.24421579481"/>
  </r>
  <r>
    <x v="8"/>
    <x v="1"/>
    <n v="28580675197.740131"/>
    <s v="Dólares"/>
    <s v="BADECON"/>
    <x v="5"/>
    <m/>
    <x v="19"/>
    <m/>
    <m/>
    <n v="117.406234416616"/>
    <n v="24343.40504978774"/>
  </r>
  <r>
    <x v="8"/>
    <x v="1"/>
    <n v="346322824.85875708"/>
    <s v="Dólares"/>
    <s v="BADECON"/>
    <x v="5"/>
    <m/>
    <x v="8"/>
    <m/>
    <m/>
    <n v="133.89448111026101"/>
    <n v="258.65354717164411"/>
  </r>
  <r>
    <x v="8"/>
    <x v="1"/>
    <n v="245800225.98870051"/>
    <s v="Dólares"/>
    <s v="BADECON"/>
    <x v="5"/>
    <m/>
    <x v="22"/>
    <m/>
    <m/>
    <n v="141.34852687948501"/>
    <n v="173.89656009522611"/>
  </r>
  <r>
    <x v="8"/>
    <x v="1"/>
    <n v="1792477344.6327691"/>
    <s v="Dólares"/>
    <s v="BADECON"/>
    <x v="5"/>
    <m/>
    <x v="6"/>
    <m/>
    <m/>
    <n v="138.02464258179401"/>
    <n v="1298.6647247215569"/>
  </r>
  <r>
    <x v="6"/>
    <x v="0"/>
    <n v="5785605373.4527254"/>
    <s v="Dólares"/>
    <s v="BADECON"/>
    <x v="6"/>
    <m/>
    <x v="2"/>
    <m/>
    <m/>
    <n v="112.85003295356999"/>
    <n v="5126.8087585168041"/>
  </r>
  <r>
    <x v="6"/>
    <x v="0"/>
    <n v="26221178771.925171"/>
    <s v="Dólares"/>
    <s v="BADECON"/>
    <x v="6"/>
    <m/>
    <x v="1"/>
    <m/>
    <m/>
    <n v="108.85802305479"/>
    <n v="24087.502267726861"/>
  </r>
  <r>
    <x v="6"/>
    <x v="0"/>
    <n v="1222203943.9030809"/>
    <s v="Dólares"/>
    <s v="BADECON"/>
    <x v="6"/>
    <m/>
    <x v="17"/>
    <m/>
    <m/>
    <n v="106.47234528849"/>
    <n v="1147.9074125694169"/>
  </r>
  <r>
    <x v="6"/>
    <x v="0"/>
    <n v="1034373214.116408"/>
    <s v="Dólares"/>
    <s v="BADECON"/>
    <x v="6"/>
    <m/>
    <x v="18"/>
    <m/>
    <m/>
    <n v="106.47234528849"/>
    <n v="971.49472129475771"/>
  </r>
  <r>
    <x v="6"/>
    <x v="0"/>
    <n v="2742569980.2475638"/>
    <s v="Dólares"/>
    <s v="BADECON"/>
    <x v="6"/>
    <m/>
    <x v="14"/>
    <m/>
    <m/>
    <n v="124.66113428208"/>
    <n v="2200.0200752559708"/>
  </r>
  <r>
    <x v="6"/>
    <x v="0"/>
    <n v="695578022.12272859"/>
    <s v="Dólares"/>
    <s v="BADECON"/>
    <x v="6"/>
    <m/>
    <x v="21"/>
    <m/>
    <m/>
    <n v="143.65737313291001"/>
    <n v="484.19235779787539"/>
  </r>
  <r>
    <x v="6"/>
    <x v="0"/>
    <n v="41201405.056623653"/>
    <s v="Dólares"/>
    <s v="BADECON"/>
    <x v="6"/>
    <m/>
    <x v="20"/>
    <m/>
    <m/>
    <n v="106.47234528849"/>
    <n v="38.696813660849877"/>
  </r>
  <r>
    <x v="6"/>
    <x v="0"/>
    <n v="2987351700.0263391"/>
    <s v="Dólares"/>
    <s v="BADECON"/>
    <x v="6"/>
    <m/>
    <x v="13"/>
    <m/>
    <m/>
    <n v="124.66113428208"/>
    <n v="2396.377762187401"/>
  </r>
  <r>
    <x v="6"/>
    <x v="0"/>
    <n v="5104296367.1319447"/>
    <s v="Dólares"/>
    <s v="BADECON"/>
    <x v="6"/>
    <m/>
    <x v="7"/>
    <m/>
    <m/>
    <n v="94.206586225303994"/>
    <n v="5418.1948116923959"/>
  </r>
  <r>
    <x v="6"/>
    <x v="0"/>
    <n v="133124964.44561499"/>
    <s v="Dólares"/>
    <s v="BADECON"/>
    <x v="6"/>
    <m/>
    <x v="4"/>
    <m/>
    <m/>
    <n v="69.374466842382006"/>
    <n v="191.893315372172"/>
  </r>
  <r>
    <x v="6"/>
    <x v="0"/>
    <n v="3068057934.685277"/>
    <s v="Dólares"/>
    <s v="BADECON"/>
    <x v="6"/>
    <m/>
    <x v="12"/>
    <m/>
    <m/>
    <n v="115.300264502"/>
    <n v="2660.9287913923722"/>
  </r>
  <r>
    <x v="6"/>
    <x v="0"/>
    <n v="59178590.992889121"/>
    <s v="Dólares"/>
    <s v="BADECON"/>
    <x v="6"/>
    <m/>
    <x v="5"/>
    <m/>
    <m/>
    <n v="69.374466842382006"/>
    <n v="85.303129071020038"/>
  </r>
  <r>
    <x v="6"/>
    <x v="0"/>
    <n v="10075945.48327627"/>
    <s v="Dólares"/>
    <s v="BADECON"/>
    <x v="6"/>
    <m/>
    <x v="16"/>
    <m/>
    <m/>
    <n v="106.47234528849"/>
    <n v="9.4634390329011673"/>
  </r>
  <r>
    <x v="6"/>
    <x v="0"/>
    <n v="2632704903.6081109"/>
    <s v="Dólares"/>
    <s v="BADECON"/>
    <x v="6"/>
    <m/>
    <x v="15"/>
    <m/>
    <m/>
    <n v="106.47234528849"/>
    <n v="2472.665457377424"/>
  </r>
  <r>
    <x v="6"/>
    <x v="0"/>
    <n v="1591996046.8791151"/>
    <s v="Dólares"/>
    <s v="BADECON"/>
    <x v="6"/>
    <m/>
    <x v="11"/>
    <m/>
    <m/>
    <n v="115.300264502"/>
    <n v="1380.7392842984329"/>
  </r>
  <r>
    <x v="6"/>
    <x v="0"/>
    <n v="323908542.27021343"/>
    <s v="Dólares"/>
    <s v="BADECON"/>
    <x v="6"/>
    <m/>
    <x v="3"/>
    <m/>
    <m/>
    <n v="69.374466842382006"/>
    <n v="466.89878425463058"/>
  </r>
  <r>
    <x v="6"/>
    <x v="0"/>
    <n v="12970174865.420071"/>
    <s v="Dólares"/>
    <s v="BADECON"/>
    <x v="6"/>
    <m/>
    <x v="10"/>
    <m/>
    <m/>
    <n v="115.300264502"/>
    <n v="11249.041727215719"/>
  </r>
  <r>
    <x v="6"/>
    <x v="0"/>
    <n v="67068964.972346596"/>
    <s v="Dólares"/>
    <s v="BADECON"/>
    <x v="6"/>
    <m/>
    <x v="19"/>
    <m/>
    <m/>
    <n v="106.47234528849"/>
    <n v="62.991910989300763"/>
  </r>
  <r>
    <x v="6"/>
    <x v="0"/>
    <n v="348621587.04240191"/>
    <s v="Dólares"/>
    <s v="BADECON"/>
    <x v="6"/>
    <m/>
    <x v="8"/>
    <m/>
    <m/>
    <n v="94.206586225303994"/>
    <n v="370.06073673940398"/>
  </r>
  <r>
    <x v="6"/>
    <x v="0"/>
    <n v="132559895.7071372"/>
    <s v="Dólares"/>
    <s v="BADECON"/>
    <x v="6"/>
    <m/>
    <x v="22"/>
    <m/>
    <m/>
    <n v="110.55212475787999"/>
    <n v="119.9071442520498"/>
  </r>
  <r>
    <x v="6"/>
    <x v="0"/>
    <n v="4444347837.7666578"/>
    <s v="Dólares"/>
    <s v="BADECON"/>
    <x v="6"/>
    <m/>
    <x v="6"/>
    <m/>
    <m/>
    <n v="143.65737313291001"/>
    <n v="3093.713702849629"/>
  </r>
  <r>
    <x v="6"/>
    <x v="0"/>
    <n v="1463965218.33026"/>
    <s v="Dólares"/>
    <s v="BADECON"/>
    <x v="6"/>
    <m/>
    <x v="23"/>
    <m/>
    <m/>
    <n v="106.47234528849"/>
    <n v="1374.972265674812"/>
  </r>
  <r>
    <x v="6"/>
    <x v="1"/>
    <n v="27311367832.51231"/>
    <s v="Dólares"/>
    <s v="BADECON"/>
    <x v="6"/>
    <m/>
    <x v="2"/>
    <m/>
    <m/>
    <n v="114.588591483131"/>
    <n v="23834.281824236328"/>
  </r>
  <r>
    <x v="6"/>
    <x v="1"/>
    <n v="77770257635.467987"/>
    <s v="Dólares"/>
    <s v="BADECON"/>
    <x v="6"/>
    <m/>
    <x v="1"/>
    <m/>
    <m/>
    <n v="116.18765921948599"/>
    <n v="66935.041258172641"/>
  </r>
  <r>
    <x v="6"/>
    <x v="1"/>
    <n v="788655320.19704425"/>
    <s v="Dólares"/>
    <s v="BADECON"/>
    <x v="6"/>
    <m/>
    <x v="24"/>
    <m/>
    <m/>
    <n v="114.588591483131"/>
    <n v="688.24942342811255"/>
  </r>
  <r>
    <x v="6"/>
    <x v="1"/>
    <n v="22145353448.27586"/>
    <s v="Dólares"/>
    <s v="BADECON"/>
    <x v="6"/>
    <m/>
    <x v="9"/>
    <m/>
    <m/>
    <n v="101.249897488305"/>
    <n v="21871.976167515419"/>
  </r>
  <r>
    <x v="6"/>
    <x v="1"/>
    <n v="34037295221.67487"/>
    <s v="Dólares"/>
    <s v="BADECON"/>
    <x v="6"/>
    <m/>
    <x v="17"/>
    <m/>
    <m/>
    <n v="110.091234626415"/>
    <n v="30917.35262773413"/>
  </r>
  <r>
    <x v="6"/>
    <x v="1"/>
    <n v="43375108965.517227"/>
    <s v="Dólares"/>
    <s v="BADECON"/>
    <x v="6"/>
    <m/>
    <x v="18"/>
    <m/>
    <m/>
    <n v="111.424704413977"/>
    <n v="38927.730787927772"/>
  </r>
  <r>
    <x v="6"/>
    <x v="1"/>
    <n v="48321827389.162552"/>
    <s v="Dólares"/>
    <s v="BADECON"/>
    <x v="6"/>
    <m/>
    <x v="14"/>
    <m/>
    <m/>
    <n v="141.21332900058599"/>
    <n v="34219.02714931537"/>
  </r>
  <r>
    <x v="6"/>
    <x v="1"/>
    <n v="2181306403.940886"/>
    <s v="Dólares"/>
    <s v="BADECON"/>
    <x v="6"/>
    <m/>
    <x v="21"/>
    <m/>
    <m/>
    <n v="113.656804391549"/>
    <n v="1919.204411577736"/>
  </r>
  <r>
    <x v="6"/>
    <x v="1"/>
    <n v="1481454679.8029561"/>
    <s v="Dólares"/>
    <s v="BADECON"/>
    <x v="6"/>
    <m/>
    <x v="20"/>
    <m/>
    <m/>
    <n v="112.92894634856199"/>
    <n v="1311.846721061539"/>
  </r>
  <r>
    <x v="6"/>
    <x v="1"/>
    <n v="26206128571.42857"/>
    <s v="Dólares"/>
    <s v="BADECON"/>
    <x v="6"/>
    <m/>
    <x v="13"/>
    <m/>
    <m/>
    <n v="112.951814443289"/>
    <n v="23201.157680017779"/>
  </r>
  <r>
    <x v="6"/>
    <x v="1"/>
    <n v="15239096354.6798"/>
    <s v="Dólares"/>
    <s v="BADECON"/>
    <x v="6"/>
    <m/>
    <x v="7"/>
    <m/>
    <m/>
    <n v="112.392064602288"/>
    <n v="13558.872157571859"/>
  </r>
  <r>
    <x v="6"/>
    <x v="1"/>
    <n v="4960944581.2807884"/>
    <s v="Dólares"/>
    <s v="BADECON"/>
    <x v="6"/>
    <m/>
    <x v="4"/>
    <m/>
    <m/>
    <n v="118.49318137442501"/>
    <n v="4186.6920304931018"/>
  </r>
  <r>
    <x v="6"/>
    <x v="1"/>
    <n v="25390589950.738911"/>
    <s v="Dólares"/>
    <s v="BADECON"/>
    <x v="6"/>
    <m/>
    <x v="12"/>
    <m/>
    <m/>
    <n v="110.98105301320901"/>
    <n v="22878.31054163535"/>
  </r>
  <r>
    <x v="6"/>
    <x v="1"/>
    <n v="3247762955.6650252"/>
    <s v="Dólares"/>
    <s v="BADECON"/>
    <x v="6"/>
    <m/>
    <x v="5"/>
    <m/>
    <m/>
    <n v="107.07734755600499"/>
    <n v="3033.0999317725318"/>
  </r>
  <r>
    <x v="6"/>
    <x v="1"/>
    <n v="11015815320.197041"/>
    <s v="Dólares"/>
    <s v="BADECON"/>
    <x v="6"/>
    <m/>
    <x v="16"/>
    <m/>
    <m/>
    <n v="106.928543554746"/>
    <n v="10302.034381079069"/>
  </r>
  <r>
    <x v="6"/>
    <x v="1"/>
    <n v="28974358472.906399"/>
    <s v="Dólares"/>
    <s v="BADECON"/>
    <x v="6"/>
    <m/>
    <x v="15"/>
    <m/>
    <m/>
    <n v="121.868271296408"/>
    <n v="23775.145215964349"/>
  </r>
  <r>
    <x v="6"/>
    <x v="1"/>
    <n v="2867637733.9901481"/>
    <s v="Dólares"/>
    <s v="BADECON"/>
    <x v="6"/>
    <m/>
    <x v="11"/>
    <m/>
    <m/>
    <n v="108.877296090838"/>
    <n v="2633.8252665621249"/>
  </r>
  <r>
    <x v="6"/>
    <x v="1"/>
    <n v="19013226896.55172"/>
    <s v="Dólares"/>
    <s v="BADECON"/>
    <x v="6"/>
    <m/>
    <x v="3"/>
    <m/>
    <m/>
    <n v="113.699368348429"/>
    <n v="16722.36809468118"/>
  </r>
  <r>
    <x v="6"/>
    <x v="1"/>
    <n v="43478200295.566513"/>
    <s v="Dólares"/>
    <s v="BADECON"/>
    <x v="6"/>
    <m/>
    <x v="10"/>
    <m/>
    <m/>
    <n v="108.877296090838"/>
    <n v="39933.210923324157"/>
  </r>
  <r>
    <x v="6"/>
    <x v="1"/>
    <n v="79332112709.359619"/>
    <s v="Dólares"/>
    <s v="BADECON"/>
    <x v="6"/>
    <m/>
    <x v="19"/>
    <m/>
    <m/>
    <n v="112.92894634856199"/>
    <n v="70249.581949074665"/>
  </r>
  <r>
    <x v="6"/>
    <x v="1"/>
    <n v="726532709.35960579"/>
    <s v="Dólares"/>
    <s v="BADECON"/>
    <x v="6"/>
    <m/>
    <x v="8"/>
    <m/>
    <m/>
    <n v="114.043225455295"/>
    <n v="637.06783674266296"/>
  </r>
  <r>
    <x v="6"/>
    <x v="1"/>
    <n v="652916600.98522162"/>
    <s v="Dólares"/>
    <s v="BADECON"/>
    <x v="6"/>
    <m/>
    <x v="22"/>
    <m/>
    <m/>
    <n v="117.451425181814"/>
    <n v="555.90351498460836"/>
  </r>
  <r>
    <x v="6"/>
    <x v="1"/>
    <n v="3718492660.0985222"/>
    <s v="Dólares"/>
    <s v="BADECON"/>
    <x v="6"/>
    <m/>
    <x v="6"/>
    <m/>
    <m/>
    <n v="114.696642834729"/>
    <n v="3242.0239757641798"/>
  </r>
  <r>
    <x v="7"/>
    <x v="0"/>
    <n v="6836896569.9541245"/>
    <s v="Dólares"/>
    <s v="BADECON"/>
    <x v="6"/>
    <m/>
    <x v="2"/>
    <m/>
    <m/>
    <n v="109.88589645717001"/>
    <n v="6221.8144369590937"/>
  </r>
  <r>
    <x v="7"/>
    <x v="0"/>
    <n v="29070054983.944931"/>
    <s v="Dólares"/>
    <s v="BADECON"/>
    <x v="6"/>
    <m/>
    <x v="1"/>
    <m/>
    <m/>
    <n v="138.22614999915999"/>
    <n v="21030.79264243531"/>
  </r>
  <r>
    <x v="7"/>
    <x v="0"/>
    <n v="1002663942.660551"/>
    <s v="Dólares"/>
    <s v="BADECON"/>
    <x v="6"/>
    <m/>
    <x v="17"/>
    <m/>
    <m/>
    <n v="123.96393010113999"/>
    <n v="808.83523283143302"/>
  </r>
  <r>
    <x v="7"/>
    <x v="0"/>
    <n v="990395880.73394465"/>
    <s v="Dólares"/>
    <s v="BADECON"/>
    <x v="6"/>
    <m/>
    <x v="18"/>
    <m/>
    <m/>
    <n v="123.96393010113999"/>
    <n v="798.93875575411175"/>
  </r>
  <r>
    <x v="7"/>
    <x v="0"/>
    <n v="2629330487.3853211"/>
    <s v="Dólares"/>
    <s v="BADECON"/>
    <x v="6"/>
    <m/>
    <x v="14"/>
    <m/>
    <m/>
    <n v="134.03865367133"/>
    <n v="1961.6210812088441"/>
  </r>
  <r>
    <x v="7"/>
    <x v="0"/>
    <n v="1661828611.2385321"/>
    <s v="Dólares"/>
    <s v="BADECON"/>
    <x v="6"/>
    <m/>
    <x v="21"/>
    <m/>
    <m/>
    <n v="182.56944637426"/>
    <n v="910.24464621087282"/>
  </r>
  <r>
    <x v="7"/>
    <x v="0"/>
    <n v="53780888.761467889"/>
    <s v="Dólares"/>
    <s v="BADECON"/>
    <x v="6"/>
    <m/>
    <x v="20"/>
    <m/>
    <m/>
    <n v="123.96393010113999"/>
    <n v="43.384304384016389"/>
  </r>
  <r>
    <x v="7"/>
    <x v="0"/>
    <n v="2976105964.449543"/>
    <s v="Dólares"/>
    <s v="BADECON"/>
    <x v="6"/>
    <m/>
    <x v="13"/>
    <m/>
    <m/>
    <n v="134.03865367133"/>
    <n v="2220.334122235452"/>
  </r>
  <r>
    <x v="7"/>
    <x v="0"/>
    <n v="5253989401.3761492"/>
    <s v="Dólares"/>
    <s v="BADECON"/>
    <x v="6"/>
    <m/>
    <x v="7"/>
    <m/>
    <m/>
    <n v="120.87292541591999"/>
    <n v="4346.7049244463424"/>
  </r>
  <r>
    <x v="7"/>
    <x v="0"/>
    <n v="131987314.22018351"/>
    <s v="Dólares"/>
    <s v="BADECON"/>
    <x v="6"/>
    <m/>
    <x v="4"/>
    <m/>
    <m/>
    <n v="56.539869603999001"/>
    <n v="233.44113657249781"/>
  </r>
  <r>
    <x v="7"/>
    <x v="0"/>
    <n v="3148824114.6788979"/>
    <s v="Dólares"/>
    <s v="BADECON"/>
    <x v="6"/>
    <m/>
    <x v="12"/>
    <m/>
    <m/>
    <n v="175.63081008859999"/>
    <n v="1792.865450595154"/>
  </r>
  <r>
    <x v="7"/>
    <x v="0"/>
    <n v="51873663.990825683"/>
    <s v="Dólares"/>
    <s v="BADECON"/>
    <x v="6"/>
    <m/>
    <x v="5"/>
    <m/>
    <m/>
    <n v="56.539869603999001"/>
    <n v="91.74705275081979"/>
  </r>
  <r>
    <x v="7"/>
    <x v="0"/>
    <n v="19393764.908256881"/>
    <s v="Dólares"/>
    <s v="BADECON"/>
    <x v="6"/>
    <m/>
    <x v="16"/>
    <m/>
    <m/>
    <n v="123.96393010113999"/>
    <n v="15.64468381442396"/>
  </r>
  <r>
    <x v="7"/>
    <x v="0"/>
    <n v="2900193349.7706399"/>
    <s v="Dólares"/>
    <s v="BADECON"/>
    <x v="6"/>
    <m/>
    <x v="15"/>
    <m/>
    <m/>
    <n v="123.96393010113999"/>
    <n v="2339.5461465318372"/>
  </r>
  <r>
    <x v="7"/>
    <x v="0"/>
    <n v="1497825354.3577991"/>
    <s v="Dólares"/>
    <s v="BADECON"/>
    <x v="6"/>
    <m/>
    <x v="11"/>
    <m/>
    <m/>
    <n v="175.63081008859999"/>
    <n v="852.8260808010823"/>
  </r>
  <r>
    <x v="7"/>
    <x v="0"/>
    <n v="322786337.15596342"/>
    <s v="Dólares"/>
    <s v="BADECON"/>
    <x v="6"/>
    <m/>
    <x v="3"/>
    <m/>
    <m/>
    <n v="56.539869603999001"/>
    <n v="570.90039191235257"/>
  </r>
  <r>
    <x v="7"/>
    <x v="0"/>
    <n v="15992469600.917431"/>
    <s v="Dólares"/>
    <s v="BADECON"/>
    <x v="6"/>
    <m/>
    <x v="10"/>
    <m/>
    <m/>
    <n v="175.63081008859999"/>
    <n v="9105.7312739431964"/>
  </r>
  <r>
    <x v="7"/>
    <x v="0"/>
    <n v="69074417.431192666"/>
    <s v="Dólares"/>
    <s v="BADECON"/>
    <x v="6"/>
    <m/>
    <x v="19"/>
    <m/>
    <m/>
    <n v="123.96393010113999"/>
    <n v="55.721383933887907"/>
  </r>
  <r>
    <x v="7"/>
    <x v="0"/>
    <n v="281791061.9266054"/>
    <s v="Dólares"/>
    <s v="BADECON"/>
    <x v="6"/>
    <m/>
    <x v="8"/>
    <m/>
    <m/>
    <n v="120.87292541591999"/>
    <n v="233.13000902143389"/>
  </r>
  <r>
    <x v="7"/>
    <x v="0"/>
    <n v="156313067.6605505"/>
    <s v="Dólares"/>
    <s v="BADECON"/>
    <x v="6"/>
    <m/>
    <x v="22"/>
    <m/>
    <m/>
    <n v="138.33137560220001"/>
    <n v="112.9989975015216"/>
  </r>
  <r>
    <x v="7"/>
    <x v="0"/>
    <n v="4856036329.1284399"/>
    <s v="Dólares"/>
    <s v="BADECON"/>
    <x v="6"/>
    <m/>
    <x v="6"/>
    <m/>
    <m/>
    <n v="182.56944637426"/>
    <n v="2659.829684302028"/>
  </r>
  <r>
    <x v="7"/>
    <x v="0"/>
    <n v="1251828145.6422009"/>
    <s v="Dólares"/>
    <s v="BADECON"/>
    <x v="6"/>
    <m/>
    <x v="23"/>
    <m/>
    <m/>
    <n v="123.96393010113999"/>
    <n v="1009.832573572697"/>
  </r>
  <r>
    <x v="7"/>
    <x v="1"/>
    <n v="31478190398.009949"/>
    <s v="Dólares"/>
    <s v="BADECON"/>
    <x v="6"/>
    <m/>
    <x v="2"/>
    <m/>
    <m/>
    <n v="124.885983267714"/>
    <n v="25205.543147729539"/>
  </r>
  <r>
    <x v="7"/>
    <x v="1"/>
    <n v="88914617512.43779"/>
    <s v="Dólares"/>
    <s v="BADECON"/>
    <x v="6"/>
    <m/>
    <x v="1"/>
    <m/>
    <m/>
    <n v="129.32654788623401"/>
    <n v="68752.022663323703"/>
  </r>
  <r>
    <x v="7"/>
    <x v="1"/>
    <n v="900447363.18407965"/>
    <s v="Dólares"/>
    <s v="BADECON"/>
    <x v="6"/>
    <m/>
    <x v="24"/>
    <m/>
    <m/>
    <n v="124.885983267714"/>
    <n v="721.01555324573144"/>
  </r>
  <r>
    <x v="7"/>
    <x v="1"/>
    <n v="35526653980.099487"/>
    <s v="Dólares"/>
    <s v="BADECON"/>
    <x v="6"/>
    <m/>
    <x v="9"/>
    <m/>
    <m/>
    <n v="93.717494351913203"/>
    <n v="37908.241386283102"/>
  </r>
  <r>
    <x v="7"/>
    <x v="1"/>
    <n v="37499348756.218903"/>
    <s v="Dólares"/>
    <s v="BADECON"/>
    <x v="6"/>
    <m/>
    <x v="17"/>
    <m/>
    <m/>
    <n v="118.400520723024"/>
    <n v="31671.60796863525"/>
  </r>
  <r>
    <x v="7"/>
    <x v="1"/>
    <n v="49276393383.084572"/>
    <s v="Dólares"/>
    <s v="BADECON"/>
    <x v="6"/>
    <m/>
    <x v="18"/>
    <m/>
    <m/>
    <n v="123.731212299186"/>
    <n v="39825.354061780861"/>
  </r>
  <r>
    <x v="7"/>
    <x v="1"/>
    <n v="51679079452.736313"/>
    <s v="Dólares"/>
    <s v="BADECON"/>
    <x v="6"/>
    <m/>
    <x v="14"/>
    <m/>
    <m/>
    <n v="141.87141028890099"/>
    <n v="36426.704540047373"/>
  </r>
  <r>
    <x v="7"/>
    <x v="1"/>
    <n v="2324420497.5124369"/>
    <s v="Dólares"/>
    <s v="BADECON"/>
    <x v="6"/>
    <m/>
    <x v="21"/>
    <m/>
    <m/>
    <n v="124.760255125349"/>
    <n v="1863.1097661487211"/>
  </r>
  <r>
    <x v="7"/>
    <x v="1"/>
    <n v="1620444975.124378"/>
    <s v="Dólares"/>
    <s v="BADECON"/>
    <x v="6"/>
    <m/>
    <x v="20"/>
    <m/>
    <m/>
    <n v="118.92956316086899"/>
    <n v="1362.5249534739301"/>
  </r>
  <r>
    <x v="7"/>
    <x v="1"/>
    <n v="28966013482.587059"/>
    <s v="Dólares"/>
    <s v="BADECON"/>
    <x v="6"/>
    <m/>
    <x v="13"/>
    <m/>
    <m/>
    <n v="129.18720398146201"/>
    <n v="22421.73573687964"/>
  </r>
  <r>
    <x v="7"/>
    <x v="1"/>
    <n v="17846370497.51244"/>
    <s v="Dólares"/>
    <s v="BADECON"/>
    <x v="6"/>
    <m/>
    <x v="7"/>
    <m/>
    <m/>
    <n v="124.992774454829"/>
    <n v="14277.921724156869"/>
  </r>
  <r>
    <x v="7"/>
    <x v="1"/>
    <n v="5597213383.0845776"/>
    <s v="Dólares"/>
    <s v="BADECON"/>
    <x v="6"/>
    <m/>
    <x v="4"/>
    <m/>
    <m/>
    <n v="130.309937712893"/>
    <n v="4295.3081563255046"/>
  </r>
  <r>
    <x v="7"/>
    <x v="1"/>
    <n v="28217988308.457699"/>
    <s v="Dólares"/>
    <s v="BADECON"/>
    <x v="6"/>
    <m/>
    <x v="12"/>
    <m/>
    <m/>
    <n v="124.20030413134501"/>
    <n v="22719.741715460259"/>
  </r>
  <r>
    <x v="7"/>
    <x v="1"/>
    <n v="3888908805.970149"/>
    <s v="Dólares"/>
    <s v="BADECON"/>
    <x v="6"/>
    <m/>
    <x v="5"/>
    <m/>
    <m/>
    <n v="114.765372402341"/>
    <n v="3388.573334068511"/>
  </r>
  <r>
    <x v="7"/>
    <x v="1"/>
    <n v="12724921691.54229"/>
    <s v="Dólares"/>
    <s v="BADECON"/>
    <x v="6"/>
    <m/>
    <x v="16"/>
    <m/>
    <m/>
    <n v="113.459970516059"/>
    <n v="11215.340206475041"/>
  </r>
  <r>
    <x v="7"/>
    <x v="1"/>
    <n v="31363530248.75621"/>
    <s v="Dólares"/>
    <s v="BADECON"/>
    <x v="6"/>
    <m/>
    <x v="15"/>
    <m/>
    <m/>
    <n v="134.38056482799499"/>
    <n v="23339.335036209319"/>
  </r>
  <r>
    <x v="7"/>
    <x v="1"/>
    <n v="3138026666.666667"/>
    <s v="Dólares"/>
    <s v="BADECON"/>
    <x v="6"/>
    <m/>
    <x v="11"/>
    <m/>
    <m/>
    <n v="125.100295460086"/>
    <n v="2508.408677314334"/>
  </r>
  <r>
    <x v="7"/>
    <x v="1"/>
    <n v="21066392238.805969"/>
    <s v="Dólares"/>
    <s v="BADECON"/>
    <x v="6"/>
    <m/>
    <x v="3"/>
    <m/>
    <m/>
    <n v="119.934366622322"/>
    <n v="17564.933915184509"/>
  </r>
  <r>
    <x v="7"/>
    <x v="1"/>
    <n v="51736496865.671654"/>
    <s v="Dólares"/>
    <s v="BADECON"/>
    <x v="6"/>
    <m/>
    <x v="10"/>
    <m/>
    <m/>
    <n v="125.100295460086"/>
    <n v="41356.014928180957"/>
  </r>
  <r>
    <x v="7"/>
    <x v="1"/>
    <n v="94748272288.557205"/>
    <s v="Dólares"/>
    <s v="BADECON"/>
    <x v="6"/>
    <m/>
    <x v="19"/>
    <m/>
    <m/>
    <n v="118.92956316086899"/>
    <n v="79667.552600354567"/>
  </r>
  <r>
    <x v="7"/>
    <x v="1"/>
    <n v="845678009.95024872"/>
    <s v="Dólares"/>
    <s v="BADECON"/>
    <x v="6"/>
    <m/>
    <x v="8"/>
    <m/>
    <m/>
    <n v="126.864077629889"/>
    <n v="666.6016304610788"/>
  </r>
  <r>
    <x v="7"/>
    <x v="1"/>
    <n v="746800049.75124371"/>
    <s v="Dólares"/>
    <s v="BADECON"/>
    <x v="6"/>
    <m/>
    <x v="22"/>
    <m/>
    <m/>
    <n v="130.09451278639801"/>
    <n v="574.04423426944504"/>
  </r>
  <r>
    <x v="7"/>
    <x v="1"/>
    <n v="4423931791.044775"/>
    <s v="Dólares"/>
    <s v="BADECON"/>
    <x v="6"/>
    <m/>
    <x v="6"/>
    <m/>
    <m/>
    <n v="135.89610378926099"/>
    <n v="3255.377945128675"/>
  </r>
  <r>
    <x v="8"/>
    <x v="1"/>
    <n v="36129545310.734459"/>
    <s v="Dólares"/>
    <s v="BADECON"/>
    <x v="6"/>
    <m/>
    <x v="2"/>
    <m/>
    <m/>
    <n v="131.88825158196701"/>
    <n v="27394.058892562061"/>
  </r>
  <r>
    <x v="8"/>
    <x v="1"/>
    <n v="103901996949.1525"/>
    <s v="Dólares"/>
    <s v="BADECON"/>
    <x v="6"/>
    <m/>
    <x v="1"/>
    <m/>
    <m/>
    <n v="137.78728757684999"/>
    <n v="75407.534886846406"/>
  </r>
  <r>
    <x v="8"/>
    <x v="1"/>
    <n v="1067527231.638418"/>
    <s v="Dólares"/>
    <s v="BADECON"/>
    <x v="6"/>
    <m/>
    <x v="24"/>
    <m/>
    <m/>
    <n v="131.88825158196701"/>
    <n v="809.4179874505063"/>
  </r>
  <r>
    <x v="8"/>
    <x v="1"/>
    <n v="29620761186.440681"/>
    <s v="Dólares"/>
    <s v="BADECON"/>
    <x v="6"/>
    <m/>
    <x v="9"/>
    <m/>
    <m/>
    <n v="75.235547730506298"/>
    <n v="39370.69919732921"/>
  </r>
  <r>
    <x v="8"/>
    <x v="1"/>
    <n v="43646576214.68927"/>
    <s v="Dólares"/>
    <s v="BADECON"/>
    <x v="6"/>
    <m/>
    <x v="17"/>
    <m/>
    <m/>
    <n v="122.488835983729"/>
    <n v="35633.105551339489"/>
  </r>
  <r>
    <x v="8"/>
    <x v="1"/>
    <n v="57287373785.31073"/>
    <s v="Dólares"/>
    <s v="BADECON"/>
    <x v="6"/>
    <m/>
    <x v="18"/>
    <m/>
    <m/>
    <n v="130.65664198069601"/>
    <n v="43845.74172185958"/>
  </r>
  <r>
    <x v="8"/>
    <x v="1"/>
    <n v="49785759378.531067"/>
    <s v="Dólares"/>
    <s v="BADECON"/>
    <x v="6"/>
    <m/>
    <x v="14"/>
    <m/>
    <m/>
    <n v="126.475336095899"/>
    <n v="39364.006386811569"/>
  </r>
  <r>
    <x v="8"/>
    <x v="1"/>
    <n v="2599559661.0169492"/>
    <s v="Dólares"/>
    <s v="BADECON"/>
    <x v="6"/>
    <m/>
    <x v="21"/>
    <m/>
    <m/>
    <n v="137.57038856002899"/>
    <n v="1889.6215153762021"/>
  </r>
  <r>
    <x v="8"/>
    <x v="1"/>
    <n v="1758150847.4576271"/>
    <s v="Dólares"/>
    <s v="BADECON"/>
    <x v="6"/>
    <m/>
    <x v="20"/>
    <m/>
    <m/>
    <n v="117.406234416616"/>
    <n v="1497.4936009094961"/>
  </r>
  <r>
    <x v="8"/>
    <x v="1"/>
    <n v="33722084237.288139"/>
    <s v="Dólares"/>
    <s v="BADECON"/>
    <x v="6"/>
    <m/>
    <x v="13"/>
    <m/>
    <m/>
    <n v="136.67401133375901"/>
    <n v="24673.36980030427"/>
  </r>
  <r>
    <x v="8"/>
    <x v="1"/>
    <n v="19533703615.81921"/>
    <s v="Dólares"/>
    <s v="BADECON"/>
    <x v="6"/>
    <m/>
    <x v="7"/>
    <m/>
    <m/>
    <n v="126.43481259036101"/>
    <n v="15449.624368176899"/>
  </r>
  <r>
    <x v="8"/>
    <x v="1"/>
    <n v="6138644067.7966099"/>
    <s v="Dólares"/>
    <s v="BADECON"/>
    <x v="6"/>
    <m/>
    <x v="4"/>
    <m/>
    <m/>
    <n v="126.827473515305"/>
    <n v="4840.1532393971593"/>
  </r>
  <r>
    <x v="8"/>
    <x v="1"/>
    <n v="30294797740.112999"/>
    <s v="Dólares"/>
    <s v="BADECON"/>
    <x v="6"/>
    <m/>
    <x v="12"/>
    <m/>
    <m/>
    <n v="122.42725052420499"/>
    <n v="24745.14261359111"/>
  </r>
  <r>
    <x v="8"/>
    <x v="1"/>
    <n v="4509410056.4971752"/>
    <s v="Dólares"/>
    <s v="BADECON"/>
    <x v="6"/>
    <m/>
    <x v="5"/>
    <m/>
    <m/>
    <n v="121.146784451534"/>
    <n v="3722.269705227885"/>
  </r>
  <r>
    <x v="8"/>
    <x v="1"/>
    <n v="15296018587.57062"/>
    <s v="Dólares"/>
    <s v="BADECON"/>
    <x v="6"/>
    <m/>
    <x v="16"/>
    <m/>
    <m/>
    <n v="115.498414548615"/>
    <n v="13243.487927821119"/>
  </r>
  <r>
    <x v="8"/>
    <x v="1"/>
    <n v="35420393672.316383"/>
    <s v="Dólares"/>
    <s v="BADECON"/>
    <x v="6"/>
    <m/>
    <x v="15"/>
    <m/>
    <m/>
    <n v="134.05703540769301"/>
    <n v="26421.883465195409"/>
  </r>
  <r>
    <x v="8"/>
    <x v="1"/>
    <n v="3664817966.1016951"/>
    <s v="Dólares"/>
    <s v="BADECON"/>
    <x v="6"/>
    <m/>
    <x v="11"/>
    <m/>
    <m/>
    <n v="131.56240089822001"/>
    <n v="2785.611953780694"/>
  </r>
  <r>
    <x v="8"/>
    <x v="1"/>
    <n v="23694507175.141232"/>
    <s v="Dólares"/>
    <s v="BADECON"/>
    <x v="6"/>
    <m/>
    <x v="3"/>
    <m/>
    <m/>
    <n v="122.71316266715"/>
    <n v="19308.855431760621"/>
  </r>
  <r>
    <x v="8"/>
    <x v="1"/>
    <n v="53636555536.723167"/>
    <s v="Dólares"/>
    <s v="BADECON"/>
    <x v="6"/>
    <m/>
    <x v="10"/>
    <m/>
    <m/>
    <n v="131.56240089822001"/>
    <n v="40768.909027601097"/>
  </r>
  <r>
    <x v="8"/>
    <x v="1"/>
    <n v="117594672768.3616"/>
    <s v="Dólares"/>
    <s v="BADECON"/>
    <x v="6"/>
    <m/>
    <x v="19"/>
    <m/>
    <m/>
    <n v="117.406234416616"/>
    <n v="100160.5011460268"/>
  </r>
  <r>
    <x v="8"/>
    <x v="1"/>
    <n v="831926384.18079102"/>
    <s v="Dólares"/>
    <s v="BADECON"/>
    <x v="6"/>
    <m/>
    <x v="8"/>
    <m/>
    <m/>
    <n v="133.89448111026101"/>
    <n v="621.3298541376821"/>
  </r>
  <r>
    <x v="8"/>
    <x v="1"/>
    <n v="853282994.35028255"/>
    <s v="Dólares"/>
    <s v="BADECON"/>
    <x v="6"/>
    <m/>
    <x v="22"/>
    <m/>
    <m/>
    <n v="141.34852687948501"/>
    <n v="603.67307193643342"/>
  </r>
  <r>
    <x v="8"/>
    <x v="1"/>
    <n v="4669456779.6610174"/>
    <s v="Dólares"/>
    <s v="BADECON"/>
    <x v="6"/>
    <m/>
    <x v="6"/>
    <m/>
    <m/>
    <n v="138.02464258179401"/>
    <n v="3383.06022194107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10543-E618-4ECA-91FA-0BF88AD616EF}" name="TablaDinámica26" cacheId="1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K9" firstHeaderRow="1" firstDataRow="2" firstDataCol="2" rowPageCount="1" colPageCount="1"/>
  <pivotFields count="12">
    <pivotField axis="axisCol" compact="0" outline="0" showAll="0" defaultSubtotal="0">
      <items count="9">
        <item x="3"/>
        <item x="2"/>
        <item x="1"/>
        <item x="0"/>
        <item x="5"/>
        <item x="4"/>
        <item x="6"/>
        <item x="7"/>
        <item x="8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h="1" x="0"/>
        <item h="1" x="1"/>
        <item h="1" x="2"/>
        <item x="3"/>
        <item h="1" x="4"/>
        <item x="5"/>
        <item h="1" x="6"/>
      </items>
    </pivotField>
    <pivotField compact="0" outline="0" showAll="0" defaultSubtotal="0"/>
    <pivotField axis="axisPage" compact="0" outline="0" multipleItemSelectionAllowed="1" showAll="0" defaultSubtotal="0">
      <items count="26">
        <item x="2"/>
        <item x="1"/>
        <item x="24"/>
        <item x="9"/>
        <item x="17"/>
        <item x="18"/>
        <item x="14"/>
        <item x="21"/>
        <item x="20"/>
        <item x="13"/>
        <item x="7"/>
        <item x="4"/>
        <item x="12"/>
        <item x="5"/>
        <item x="16"/>
        <item x="15"/>
        <item x="11"/>
        <item x="3"/>
        <item x="10"/>
        <item x="19"/>
        <item x="25"/>
        <item x="8"/>
        <item x="22"/>
        <item x="0"/>
        <item x="6"/>
        <item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5"/>
  </rowFields>
  <rowItems count="4">
    <i>
      <x/>
      <x v="3"/>
    </i>
    <i r="1">
      <x v="5"/>
    </i>
    <i>
      <x v="1"/>
      <x v="3"/>
    </i>
    <i r="1">
      <x v="5"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7" hier="-1"/>
  </pageFields>
  <dataFields count="1">
    <dataField name="Suma de valuedefl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C5A58-8DA7-46AB-B1BC-547F7B6E526B}" name="TablaDinámica28" cacheId="1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K8" firstHeaderRow="1" firstDataRow="2" firstDataCol="2" rowPageCount="1" colPageCount="1"/>
  <pivotFields count="12">
    <pivotField axis="axisCol" compact="0" outline="0" showAll="0" defaultSubtotal="0">
      <items count="9">
        <item x="3"/>
        <item x="2"/>
        <item x="1"/>
        <item x="0"/>
        <item x="5"/>
        <item x="4"/>
        <item x="6"/>
        <item x="7"/>
        <item x="8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h="1" x="0"/>
        <item h="1" x="1"/>
        <item h="1" x="2"/>
        <item x="3"/>
        <item x="4"/>
        <item h="1" x="5"/>
        <item h="1" x="6"/>
      </items>
    </pivotField>
    <pivotField compact="0" outline="0" showAll="0" defaultSubtotal="0"/>
    <pivotField axis="axisPage" compact="0" outline="0" multipleItemSelectionAllowed="1" showAll="0" defaultSubtotal="0">
      <items count="26">
        <item x="2"/>
        <item x="1"/>
        <item x="24"/>
        <item x="9"/>
        <item x="17"/>
        <item x="18"/>
        <item x="14"/>
        <item x="21"/>
        <item x="20"/>
        <item x="13"/>
        <item x="7"/>
        <item x="4"/>
        <item x="12"/>
        <item x="5"/>
        <item x="16"/>
        <item x="15"/>
        <item x="11"/>
        <item x="3"/>
        <item x="10"/>
        <item x="19"/>
        <item x="25"/>
        <item x="8"/>
        <item x="22"/>
        <item x="0"/>
        <item x="6"/>
        <item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5"/>
  </rowFields>
  <rowItems count="4">
    <i>
      <x/>
      <x v="3"/>
    </i>
    <i r="1">
      <x v="4"/>
    </i>
    <i>
      <x v="1"/>
      <x v="3"/>
    </i>
    <i r="1">
      <x v="4"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7" hier="-1"/>
  </pageFields>
  <dataFields count="1">
    <dataField name="Suma de valuedefl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758854-1EF1-45EC-8028-2A89F91C7599}" name="Tabla2" displayName="Tabla2" ref="A1:L23" totalsRowShown="0">
  <autoFilter ref="A1:L23" xr:uid="{EE758854-1EF1-45EC-8028-2A89F91C7599}"/>
  <sortState xmlns:xlrd2="http://schemas.microsoft.com/office/spreadsheetml/2017/richdata2" ref="A2:L23">
    <sortCondition descending="1" ref="L2:L23"/>
  </sortState>
  <tableColumns count="12">
    <tableColumn id="1" xr3:uid="{B3163AA1-792B-45A2-BF6F-BADEF0779E15}" name="anio"/>
    <tableColumn id="2" xr3:uid="{79DEBC05-8659-4F55-944C-E4697D95B14D}" name="pais"/>
    <tableColumn id="3" xr3:uid="{1DF3D64D-AB7E-471C-995C-AFC79972EDA3}" name="value"/>
    <tableColumn id="4" xr3:uid="{0EC61E6D-B062-418C-B453-FB70F54F0639}" name="unit"/>
    <tableColumn id="5" xr3:uid="{918342FA-B967-4DB3-A47C-34FBDCE8D16C}" name="fuente"/>
    <tableColumn id="6" xr3:uid="{B8A06A86-6C80-4218-8EE1-6FC3305051DA}" name="variable"/>
    <tableColumn id="7" xr3:uid="{0B438B50-9CC4-4493-9F91-02281E5FBA8B}" name="codigo"/>
    <tableColumn id="8" xr3:uid="{CFF914F7-8C84-4138-8889-481F60DFF112}" name="glosa"/>
    <tableColumn id="9" xr3:uid="{8FE8E8DF-E5BE-4D1E-A94E-40D89A83CFAD}" name="deflactores2d"/>
    <tableColumn id="10" xr3:uid="{4E6DF0D2-A522-4E16-89DB-73B9DE7CC08D}" name="deflactoresletra"/>
    <tableColumn id="11" xr3:uid="{970EDF10-FCAA-4041-A13E-E7974917C2B2}" name="deflactores2dfinal"/>
    <tableColumn id="12" xr3:uid="{F8D64D36-0E98-46D9-80F1-C665F80124F7}" name="valuedefl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2128-AC11-4B64-8CB6-CF428B1375DB}">
  <dimension ref="A2:L18"/>
  <sheetViews>
    <sheetView workbookViewId="0">
      <selection activeCell="B17" sqref="B17"/>
    </sheetView>
  </sheetViews>
  <sheetFormatPr baseColWidth="10" defaultRowHeight="15" x14ac:dyDescent="0.25"/>
  <cols>
    <col min="1" max="1" width="18.5703125" bestFit="1" customWidth="1"/>
    <col min="2" max="2" width="75.140625" bestFit="1" customWidth="1"/>
    <col min="3" max="5" width="11.85546875" bestFit="1" customWidth="1"/>
    <col min="6" max="6" width="7.85546875" bestFit="1" customWidth="1"/>
    <col min="7" max="11" width="11.85546875" bestFit="1" customWidth="1"/>
  </cols>
  <sheetData>
    <row r="2" spans="1:11" x14ac:dyDescent="0.25">
      <c r="A2" s="5" t="s">
        <v>7</v>
      </c>
      <c r="B2" t="s">
        <v>82</v>
      </c>
    </row>
    <row r="4" spans="1:11" x14ac:dyDescent="0.25">
      <c r="A4" s="5" t="s">
        <v>78</v>
      </c>
      <c r="C4" s="5" t="s">
        <v>0</v>
      </c>
    </row>
    <row r="5" spans="1:11" x14ac:dyDescent="0.25">
      <c r="A5" s="5" t="s">
        <v>1</v>
      </c>
      <c r="B5" s="5" t="s">
        <v>5</v>
      </c>
      <c r="C5">
        <v>2015</v>
      </c>
      <c r="D5">
        <v>2016</v>
      </c>
      <c r="E5">
        <v>2017</v>
      </c>
      <c r="F5">
        <v>2018</v>
      </c>
      <c r="G5">
        <v>2019</v>
      </c>
      <c r="H5">
        <v>2020</v>
      </c>
      <c r="I5">
        <v>2021</v>
      </c>
      <c r="J5">
        <v>2022</v>
      </c>
      <c r="K5">
        <v>2023</v>
      </c>
    </row>
    <row r="6" spans="1:11" x14ac:dyDescent="0.25">
      <c r="A6" t="s">
        <v>12</v>
      </c>
      <c r="B6" t="s">
        <v>71</v>
      </c>
      <c r="C6">
        <v>437373</v>
      </c>
      <c r="D6">
        <v>435467</v>
      </c>
      <c r="E6">
        <v>497073</v>
      </c>
      <c r="F6">
        <v>515340</v>
      </c>
      <c r="G6">
        <v>486263</v>
      </c>
      <c r="H6">
        <v>447528</v>
      </c>
      <c r="I6">
        <v>449755</v>
      </c>
      <c r="J6">
        <v>521887</v>
      </c>
    </row>
    <row r="7" spans="1:11" x14ac:dyDescent="0.25">
      <c r="B7" t="s">
        <v>75</v>
      </c>
      <c r="C7">
        <v>19368.644104913586</v>
      </c>
      <c r="D7">
        <v>18111.208215858689</v>
      </c>
      <c r="E7">
        <v>27885.947347518755</v>
      </c>
      <c r="F7">
        <v>30142.000000000211</v>
      </c>
      <c r="G7">
        <v>22770.439298186779</v>
      </c>
      <c r="H7">
        <v>18987.554172896889</v>
      </c>
      <c r="I7">
        <v>22681.568714854391</v>
      </c>
      <c r="J7">
        <v>16173.03744989844</v>
      </c>
    </row>
    <row r="8" spans="1:11" x14ac:dyDescent="0.25">
      <c r="A8" t="s">
        <v>66</v>
      </c>
      <c r="B8" t="s">
        <v>71</v>
      </c>
      <c r="C8">
        <v>3912072</v>
      </c>
      <c r="D8">
        <v>4054915</v>
      </c>
      <c r="E8">
        <v>4186122</v>
      </c>
      <c r="F8">
        <v>4294102</v>
      </c>
      <c r="G8">
        <v>4343319</v>
      </c>
      <c r="H8">
        <v>4240745</v>
      </c>
      <c r="I8">
        <v>4846209</v>
      </c>
      <c r="J8">
        <v>4925214</v>
      </c>
      <c r="K8">
        <v>4896517</v>
      </c>
    </row>
    <row r="9" spans="1:11" x14ac:dyDescent="0.25">
      <c r="B9" t="s">
        <v>75</v>
      </c>
      <c r="C9">
        <v>205488.33830756918</v>
      </c>
      <c r="D9">
        <v>226272.19364055133</v>
      </c>
      <c r="E9">
        <v>171789.55093872047</v>
      </c>
      <c r="F9">
        <v>164933</v>
      </c>
      <c r="G9">
        <v>163616.75063828961</v>
      </c>
      <c r="H9">
        <v>131915.21228482955</v>
      </c>
      <c r="I9">
        <v>163499.27799398144</v>
      </c>
      <c r="J9">
        <v>182955.34991067206</v>
      </c>
      <c r="K9">
        <v>204112.95746468569</v>
      </c>
    </row>
    <row r="11" spans="1:11" x14ac:dyDescent="0.25">
      <c r="A11" t="s">
        <v>79</v>
      </c>
      <c r="B11" t="s">
        <v>12</v>
      </c>
      <c r="C11" s="6">
        <f>C7/C6*1000000</f>
        <v>44284.04155014961</v>
      </c>
      <c r="D11" s="6">
        <f t="shared" ref="D11:J11" si="0">D7/D6*1000000</f>
        <v>41590.311587005883</v>
      </c>
      <c r="E11" s="6">
        <f t="shared" si="0"/>
        <v>56100.305885692353</v>
      </c>
      <c r="F11" s="6">
        <f t="shared" si="0"/>
        <v>58489.540885629314</v>
      </c>
      <c r="G11" s="6">
        <f t="shared" si="0"/>
        <v>46827.414995972918</v>
      </c>
      <c r="H11" s="6">
        <f t="shared" si="0"/>
        <v>42427.633964571804</v>
      </c>
      <c r="I11" s="6">
        <f t="shared" si="0"/>
        <v>50430.942879688693</v>
      </c>
      <c r="J11" s="6">
        <f t="shared" si="0"/>
        <v>30989.538827176075</v>
      </c>
      <c r="K11" s="6"/>
    </row>
    <row r="12" spans="1:11" x14ac:dyDescent="0.25">
      <c r="B12" t="s">
        <v>66</v>
      </c>
      <c r="C12" s="6">
        <f>C9/C8*1000000</f>
        <v>52526.727091824789</v>
      </c>
      <c r="D12" s="6">
        <f t="shared" ref="D12:K12" si="1">D9/D8*1000000</f>
        <v>55801.957289006386</v>
      </c>
      <c r="E12" s="6">
        <f t="shared" si="1"/>
        <v>41037.874896794805</v>
      </c>
      <c r="F12" s="6">
        <f t="shared" si="1"/>
        <v>38409.194751312381</v>
      </c>
      <c r="G12" s="6">
        <f t="shared" si="1"/>
        <v>37670.903435434891</v>
      </c>
      <c r="H12" s="6">
        <f t="shared" si="1"/>
        <v>31106.612702444865</v>
      </c>
      <c r="I12" s="6">
        <f t="shared" si="1"/>
        <v>33737.56228713649</v>
      </c>
      <c r="J12" s="6">
        <f t="shared" si="1"/>
        <v>37146.680308849936</v>
      </c>
      <c r="K12" s="6">
        <f t="shared" si="1"/>
        <v>41685.336222601843</v>
      </c>
    </row>
    <row r="14" spans="1:11" x14ac:dyDescent="0.25">
      <c r="A14" t="s">
        <v>80</v>
      </c>
      <c r="B14" t="s">
        <v>12</v>
      </c>
      <c r="C14">
        <f>C11/$F11</f>
        <v>0.75712752877891121</v>
      </c>
      <c r="D14">
        <f t="shared" ref="D14:J14" si="2">D11/$F11</f>
        <v>0.71107262866589682</v>
      </c>
      <c r="E14">
        <f t="shared" si="2"/>
        <v>0.9591510727600191</v>
      </c>
      <c r="F14">
        <f t="shared" si="2"/>
        <v>1</v>
      </c>
      <c r="G14">
        <f t="shared" si="2"/>
        <v>0.80061177241140324</v>
      </c>
      <c r="H14">
        <f t="shared" si="2"/>
        <v>0.72538839119176834</v>
      </c>
      <c r="I14">
        <f t="shared" si="2"/>
        <v>0.8622215547614156</v>
      </c>
      <c r="J14">
        <f t="shared" si="2"/>
        <v>0.52983043391934204</v>
      </c>
    </row>
    <row r="15" spans="1:11" x14ac:dyDescent="0.25">
      <c r="B15" t="s">
        <v>66</v>
      </c>
      <c r="C15">
        <f>C12/$F12</f>
        <v>1.3675560613004007</v>
      </c>
      <c r="D15">
        <f t="shared" ref="D15:K15" si="3">D12/$F12</f>
        <v>1.4528280962490034</v>
      </c>
      <c r="E15">
        <f t="shared" si="3"/>
        <v>1.0684388246747247</v>
      </c>
      <c r="F15">
        <f t="shared" si="3"/>
        <v>1</v>
      </c>
      <c r="G15">
        <f t="shared" si="3"/>
        <v>0.98077826622875863</v>
      </c>
      <c r="H15">
        <f t="shared" si="3"/>
        <v>0.80987411748281968</v>
      </c>
      <c r="I15">
        <f t="shared" si="3"/>
        <v>0.87837202798904634</v>
      </c>
      <c r="J15">
        <f t="shared" si="3"/>
        <v>0.96712989036513697</v>
      </c>
      <c r="K15">
        <f t="shared" si="3"/>
        <v>1.0852957603641904</v>
      </c>
    </row>
    <row r="17" spans="1:12" x14ac:dyDescent="0.25">
      <c r="A17" t="s">
        <v>81</v>
      </c>
      <c r="B17" t="s">
        <v>12</v>
      </c>
      <c r="D17">
        <f>D11/C11*100-100</f>
        <v>-6.0828458037038047</v>
      </c>
      <c r="E17">
        <f t="shared" ref="E17:J17" si="4">E11/D11*100-100</f>
        <v>34.887919193228271</v>
      </c>
      <c r="F17">
        <f t="shared" si="4"/>
        <v>4.2588626964087553</v>
      </c>
      <c r="G17">
        <f t="shared" si="4"/>
        <v>-19.938822758859672</v>
      </c>
      <c r="H17">
        <f t="shared" si="4"/>
        <v>-9.3957375861543682</v>
      </c>
      <c r="I17">
        <f t="shared" si="4"/>
        <v>18.863434434736263</v>
      </c>
      <c r="J17">
        <f t="shared" si="4"/>
        <v>-38.550546435138614</v>
      </c>
      <c r="L17">
        <f>AVERAGE(D17:J17)</f>
        <v>-2.2796766084975957</v>
      </c>
    </row>
    <row r="18" spans="1:12" x14ac:dyDescent="0.25">
      <c r="B18" t="s">
        <v>66</v>
      </c>
      <c r="D18">
        <f>D12/C12*100-100</f>
        <v>6.2353593656349346</v>
      </c>
      <c r="E18">
        <f t="shared" ref="E18:K18" si="5">E12/D12*100-100</f>
        <v>-26.458000954601417</v>
      </c>
      <c r="F18">
        <f t="shared" si="5"/>
        <v>-6.4054977312866015</v>
      </c>
      <c r="G18">
        <f t="shared" si="5"/>
        <v>-1.9221733771241389</v>
      </c>
      <c r="H18">
        <f t="shared" si="5"/>
        <v>-17.425360515286627</v>
      </c>
      <c r="I18">
        <f t="shared" si="5"/>
        <v>8.4578465995586782</v>
      </c>
      <c r="J18">
        <f t="shared" si="5"/>
        <v>10.104814309637547</v>
      </c>
      <c r="K18">
        <f t="shared" si="5"/>
        <v>12.218200592935901</v>
      </c>
      <c r="L18">
        <f>AVERAGE(D18:J18)</f>
        <v>-3.9161446147810892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D2BC-0FBE-4DCF-BDA2-0228917F5088}">
  <dimension ref="A1:L23"/>
  <sheetViews>
    <sheetView workbookViewId="0">
      <selection activeCell="C2" sqref="C2"/>
    </sheetView>
  </sheetViews>
  <sheetFormatPr baseColWidth="10" defaultRowHeight="15" x14ac:dyDescent="0.25"/>
  <cols>
    <col min="9" max="9" width="15.28515625" customWidth="1"/>
    <col min="10" max="10" width="17.28515625" customWidth="1"/>
    <col min="11" max="11" width="19.28515625" customWidth="1"/>
    <col min="12" max="12" width="1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2021</v>
      </c>
      <c r="B2" t="s">
        <v>12</v>
      </c>
      <c r="C2">
        <v>10798142470.63472</v>
      </c>
      <c r="D2" t="s">
        <v>77</v>
      </c>
      <c r="E2" t="s">
        <v>14</v>
      </c>
      <c r="F2" t="s">
        <v>72</v>
      </c>
      <c r="H2" t="s">
        <v>19</v>
      </c>
      <c r="K2">
        <v>108.85802305479</v>
      </c>
      <c r="L2">
        <v>9919.4732437863913</v>
      </c>
    </row>
    <row r="3" spans="1:12" x14ac:dyDescent="0.25">
      <c r="A3">
        <v>2021</v>
      </c>
      <c r="B3" t="s">
        <v>12</v>
      </c>
      <c r="C3">
        <v>4192626350.0131698</v>
      </c>
      <c r="D3" t="s">
        <v>77</v>
      </c>
      <c r="E3" t="s">
        <v>14</v>
      </c>
      <c r="F3" t="s">
        <v>72</v>
      </c>
      <c r="H3" t="s">
        <v>29</v>
      </c>
      <c r="K3">
        <v>143.65737313291001</v>
      </c>
      <c r="L3">
        <v>2918.4901955113751</v>
      </c>
    </row>
    <row r="4" spans="1:12" x14ac:dyDescent="0.25">
      <c r="A4">
        <v>2021</v>
      </c>
      <c r="B4" t="s">
        <v>12</v>
      </c>
      <c r="C4">
        <v>2272033342.638926</v>
      </c>
      <c r="D4" t="s">
        <v>77</v>
      </c>
      <c r="E4" t="s">
        <v>14</v>
      </c>
      <c r="F4" t="s">
        <v>72</v>
      </c>
      <c r="H4" t="s">
        <v>53</v>
      </c>
      <c r="K4">
        <v>106.47234528849</v>
      </c>
      <c r="L4">
        <v>2133.9187527829731</v>
      </c>
    </row>
    <row r="5" spans="1:12" x14ac:dyDescent="0.25">
      <c r="A5">
        <v>2021</v>
      </c>
      <c r="B5" t="s">
        <v>12</v>
      </c>
      <c r="C5">
        <v>739581930.47142518</v>
      </c>
      <c r="D5" t="s">
        <v>77</v>
      </c>
      <c r="E5" t="s">
        <v>14</v>
      </c>
      <c r="F5" t="s">
        <v>72</v>
      </c>
      <c r="H5" t="s">
        <v>37</v>
      </c>
      <c r="K5">
        <v>115.300264502</v>
      </c>
      <c r="L5">
        <v>641.43992528186811</v>
      </c>
    </row>
    <row r="6" spans="1:12" x14ac:dyDescent="0.25">
      <c r="A6">
        <v>2021</v>
      </c>
      <c r="B6" t="s">
        <v>12</v>
      </c>
      <c r="C6">
        <v>555750259.15196192</v>
      </c>
      <c r="D6" t="s">
        <v>77</v>
      </c>
      <c r="E6" t="s">
        <v>14</v>
      </c>
      <c r="F6" t="s">
        <v>72</v>
      </c>
      <c r="H6" t="s">
        <v>41</v>
      </c>
      <c r="K6">
        <v>115.300264502</v>
      </c>
      <c r="L6">
        <v>482.00258824412492</v>
      </c>
    </row>
    <row r="7" spans="1:12" x14ac:dyDescent="0.25">
      <c r="A7">
        <v>2021</v>
      </c>
      <c r="B7" t="s">
        <v>12</v>
      </c>
      <c r="C7">
        <v>491156298.39346838</v>
      </c>
      <c r="D7" t="s">
        <v>77</v>
      </c>
      <c r="E7" t="s">
        <v>14</v>
      </c>
      <c r="F7" t="s">
        <v>72</v>
      </c>
      <c r="H7" t="s">
        <v>47</v>
      </c>
      <c r="K7">
        <v>106.47234528849</v>
      </c>
      <c r="L7">
        <v>461.29940790039501</v>
      </c>
    </row>
    <row r="8" spans="1:12" x14ac:dyDescent="0.25">
      <c r="A8">
        <v>2021</v>
      </c>
      <c r="B8" t="s">
        <v>12</v>
      </c>
      <c r="C8">
        <v>415553644.19278359</v>
      </c>
      <c r="D8" t="s">
        <v>77</v>
      </c>
      <c r="E8" t="s">
        <v>14</v>
      </c>
      <c r="F8" t="s">
        <v>72</v>
      </c>
      <c r="H8" t="s">
        <v>31</v>
      </c>
      <c r="K8">
        <v>94.206586225303994</v>
      </c>
      <c r="L8">
        <v>441.10890845672691</v>
      </c>
    </row>
    <row r="9" spans="1:12" x14ac:dyDescent="0.25">
      <c r="A9">
        <v>2021</v>
      </c>
      <c r="B9" t="s">
        <v>12</v>
      </c>
      <c r="C9">
        <v>418917190.41348422</v>
      </c>
      <c r="D9" t="s">
        <v>77</v>
      </c>
      <c r="E9" t="s">
        <v>14</v>
      </c>
      <c r="F9" t="s">
        <v>72</v>
      </c>
      <c r="H9" t="s">
        <v>63</v>
      </c>
      <c r="K9">
        <v>106.47234528849</v>
      </c>
      <c r="L9">
        <v>393.45164162432559</v>
      </c>
    </row>
    <row r="10" spans="1:12" x14ac:dyDescent="0.25">
      <c r="A10">
        <v>2021</v>
      </c>
      <c r="B10" t="s">
        <v>12</v>
      </c>
      <c r="C10">
        <v>364176849.09138799</v>
      </c>
      <c r="D10" t="s">
        <v>77</v>
      </c>
      <c r="E10" t="s">
        <v>14</v>
      </c>
      <c r="F10" t="s">
        <v>72</v>
      </c>
      <c r="H10" t="s">
        <v>21</v>
      </c>
      <c r="K10">
        <v>112.85003295356999</v>
      </c>
      <c r="L10">
        <v>322.70867766713161</v>
      </c>
    </row>
    <row r="11" spans="1:12" x14ac:dyDescent="0.25">
      <c r="A11">
        <v>2021</v>
      </c>
      <c r="B11" t="s">
        <v>12</v>
      </c>
      <c r="C11">
        <v>351189482.48617339</v>
      </c>
      <c r="D11" t="s">
        <v>77</v>
      </c>
      <c r="E11" t="s">
        <v>14</v>
      </c>
      <c r="F11" t="s">
        <v>72</v>
      </c>
      <c r="H11" t="s">
        <v>43</v>
      </c>
      <c r="K11">
        <v>124.66113428208</v>
      </c>
      <c r="L11">
        <v>281.7152952350898</v>
      </c>
    </row>
    <row r="12" spans="1:12" x14ac:dyDescent="0.25">
      <c r="A12">
        <v>2021</v>
      </c>
      <c r="B12" t="s">
        <v>12</v>
      </c>
      <c r="C12">
        <v>258013609.42849621</v>
      </c>
      <c r="D12" t="s">
        <v>77</v>
      </c>
      <c r="E12" t="s">
        <v>14</v>
      </c>
      <c r="F12" t="s">
        <v>72</v>
      </c>
      <c r="H12" t="s">
        <v>39</v>
      </c>
      <c r="K12">
        <v>115.300264502</v>
      </c>
      <c r="L12">
        <v>223.77538381451041</v>
      </c>
    </row>
    <row r="13" spans="1:12" x14ac:dyDescent="0.25">
      <c r="A13">
        <v>2021</v>
      </c>
      <c r="B13" t="s">
        <v>12</v>
      </c>
      <c r="C13">
        <v>173748658.41453779</v>
      </c>
      <c r="D13" t="s">
        <v>77</v>
      </c>
      <c r="E13" t="s">
        <v>14</v>
      </c>
      <c r="F13" t="s">
        <v>72</v>
      </c>
      <c r="H13" t="s">
        <v>45</v>
      </c>
      <c r="K13">
        <v>124.66113428208</v>
      </c>
      <c r="L13">
        <v>139.37676679676591</v>
      </c>
    </row>
    <row r="14" spans="1:12" x14ac:dyDescent="0.25">
      <c r="A14">
        <v>2021</v>
      </c>
      <c r="B14" t="s">
        <v>12</v>
      </c>
      <c r="C14">
        <v>141290608.1116671</v>
      </c>
      <c r="D14" t="s">
        <v>77</v>
      </c>
      <c r="E14" t="s">
        <v>14</v>
      </c>
      <c r="F14" t="s">
        <v>72</v>
      </c>
      <c r="H14" t="s">
        <v>51</v>
      </c>
      <c r="K14">
        <v>106.47234528849</v>
      </c>
      <c r="L14">
        <v>132.7016961341802</v>
      </c>
    </row>
    <row r="15" spans="1:12" x14ac:dyDescent="0.25">
      <c r="A15">
        <v>2021</v>
      </c>
      <c r="B15" t="s">
        <v>12</v>
      </c>
      <c r="C15">
        <v>100549311.2983935</v>
      </c>
      <c r="D15" t="s">
        <v>77</v>
      </c>
      <c r="E15" t="s">
        <v>14</v>
      </c>
      <c r="F15" t="s">
        <v>72</v>
      </c>
      <c r="H15" t="s">
        <v>33</v>
      </c>
      <c r="K15">
        <v>94.206586225303994</v>
      </c>
      <c r="L15">
        <v>106.7327830539578</v>
      </c>
    </row>
    <row r="16" spans="1:12" x14ac:dyDescent="0.25">
      <c r="A16">
        <v>2021</v>
      </c>
      <c r="B16" t="s">
        <v>12</v>
      </c>
      <c r="C16">
        <v>130590013.16829079</v>
      </c>
      <c r="D16" t="s">
        <v>77</v>
      </c>
      <c r="E16" t="s">
        <v>14</v>
      </c>
      <c r="F16" t="s">
        <v>72</v>
      </c>
      <c r="H16" t="s">
        <v>59</v>
      </c>
      <c r="K16">
        <v>143.65737313291001</v>
      </c>
      <c r="L16">
        <v>90.903801399368831</v>
      </c>
    </row>
    <row r="17" spans="1:12" x14ac:dyDescent="0.25">
      <c r="A17">
        <v>2021</v>
      </c>
      <c r="B17" t="s">
        <v>12</v>
      </c>
      <c r="C17">
        <v>52164762.97076641</v>
      </c>
      <c r="D17" t="s">
        <v>77</v>
      </c>
      <c r="E17" t="s">
        <v>14</v>
      </c>
      <c r="F17" t="s">
        <v>72</v>
      </c>
      <c r="H17" t="s">
        <v>23</v>
      </c>
      <c r="K17">
        <v>69.374466842382006</v>
      </c>
      <c r="L17">
        <v>75.193028999104456</v>
      </c>
    </row>
    <row r="18" spans="1:12" x14ac:dyDescent="0.25">
      <c r="A18">
        <v>2021</v>
      </c>
      <c r="B18" t="s">
        <v>12</v>
      </c>
      <c r="C18">
        <v>31451189.09665525</v>
      </c>
      <c r="D18" t="s">
        <v>77</v>
      </c>
      <c r="E18" t="s">
        <v>14</v>
      </c>
      <c r="F18" t="s">
        <v>72</v>
      </c>
      <c r="H18" t="s">
        <v>25</v>
      </c>
      <c r="K18">
        <v>69.374466842382006</v>
      </c>
      <c r="L18">
        <v>45.335395756066838</v>
      </c>
    </row>
    <row r="19" spans="1:12" x14ac:dyDescent="0.25">
      <c r="A19">
        <v>2021</v>
      </c>
      <c r="B19" t="s">
        <v>12</v>
      </c>
      <c r="C19">
        <v>14658754.279694499</v>
      </c>
      <c r="D19" t="s">
        <v>77</v>
      </c>
      <c r="E19" t="s">
        <v>14</v>
      </c>
      <c r="F19" t="s">
        <v>72</v>
      </c>
      <c r="H19" t="s">
        <v>27</v>
      </c>
      <c r="K19">
        <v>69.374466842382006</v>
      </c>
      <c r="L19">
        <v>21.129898285199101</v>
      </c>
    </row>
    <row r="20" spans="1:12" x14ac:dyDescent="0.25">
      <c r="A20">
        <v>2021</v>
      </c>
      <c r="B20" t="s">
        <v>12</v>
      </c>
      <c r="C20">
        <v>22742153.278904401</v>
      </c>
      <c r="D20" t="s">
        <v>77</v>
      </c>
      <c r="E20" t="s">
        <v>14</v>
      </c>
      <c r="F20" t="s">
        <v>72</v>
      </c>
      <c r="H20" t="s">
        <v>61</v>
      </c>
      <c r="K20">
        <v>110.55212475787999</v>
      </c>
      <c r="L20">
        <v>20.57143029020197</v>
      </c>
    </row>
    <row r="21" spans="1:12" x14ac:dyDescent="0.25">
      <c r="A21">
        <v>2021</v>
      </c>
      <c r="B21" t="s">
        <v>12</v>
      </c>
      <c r="C21">
        <v>13159500.92178035</v>
      </c>
      <c r="D21" t="s">
        <v>77</v>
      </c>
      <c r="E21" t="s">
        <v>14</v>
      </c>
      <c r="F21" t="s">
        <v>72</v>
      </c>
      <c r="H21" t="s">
        <v>55</v>
      </c>
      <c r="K21">
        <v>106.47234528849</v>
      </c>
      <c r="L21">
        <v>12.35954828094027</v>
      </c>
    </row>
    <row r="22" spans="1:12" x14ac:dyDescent="0.25">
      <c r="A22">
        <v>2021</v>
      </c>
      <c r="B22" t="s">
        <v>12</v>
      </c>
      <c r="C22">
        <v>10049811.69344219</v>
      </c>
      <c r="D22" t="s">
        <v>77</v>
      </c>
      <c r="E22" t="s">
        <v>14</v>
      </c>
      <c r="F22" t="s">
        <v>72</v>
      </c>
      <c r="H22" t="s">
        <v>57</v>
      </c>
      <c r="K22">
        <v>106.47234528849</v>
      </c>
      <c r="L22">
        <v>9.4388938894995942</v>
      </c>
    </row>
    <row r="23" spans="1:12" x14ac:dyDescent="0.25">
      <c r="A23">
        <v>2021</v>
      </c>
      <c r="B23" t="s">
        <v>12</v>
      </c>
      <c r="C23">
        <v>4748497.4980247561</v>
      </c>
      <c r="D23" t="s">
        <v>77</v>
      </c>
      <c r="E23" t="s">
        <v>14</v>
      </c>
      <c r="F23" t="s">
        <v>72</v>
      </c>
      <c r="H23" t="s">
        <v>49</v>
      </c>
      <c r="K23">
        <v>106.47234528849</v>
      </c>
      <c r="L23">
        <v>4.4598411776866183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95C6-B3BE-4D43-AFBE-145CC3910BBD}">
  <dimension ref="A1:L23"/>
  <sheetViews>
    <sheetView zoomScale="80" zoomScaleNormal="80" workbookViewId="0">
      <selection activeCell="B22" sqref="B22:K23"/>
    </sheetView>
  </sheetViews>
  <sheetFormatPr baseColWidth="10" defaultRowHeight="15" x14ac:dyDescent="0.25"/>
  <cols>
    <col min="1" max="1" width="18.5703125" bestFit="1" customWidth="1"/>
    <col min="2" max="2" width="75.140625" bestFit="1" customWidth="1"/>
    <col min="3" max="5" width="11.85546875" bestFit="1" customWidth="1"/>
    <col min="6" max="6" width="8.85546875" bestFit="1" customWidth="1"/>
    <col min="7" max="11" width="11.85546875" bestFit="1" customWidth="1"/>
    <col min="12" max="12" width="12.5703125" bestFit="1" customWidth="1"/>
  </cols>
  <sheetData>
    <row r="1" spans="1:12" x14ac:dyDescent="0.25">
      <c r="A1" s="5" t="s">
        <v>7</v>
      </c>
      <c r="B1" t="s">
        <v>82</v>
      </c>
    </row>
    <row r="3" spans="1:12" x14ac:dyDescent="0.25">
      <c r="A3" s="5" t="s">
        <v>78</v>
      </c>
      <c r="C3" s="5" t="s">
        <v>0</v>
      </c>
    </row>
    <row r="4" spans="1:12" x14ac:dyDescent="0.25">
      <c r="A4" s="5" t="s">
        <v>1</v>
      </c>
      <c r="B4" s="5" t="s">
        <v>5</v>
      </c>
      <c r="C4">
        <v>2015</v>
      </c>
      <c r="D4">
        <v>2016</v>
      </c>
      <c r="E4">
        <v>2017</v>
      </c>
      <c r="F4">
        <v>2018</v>
      </c>
      <c r="G4">
        <v>2019</v>
      </c>
      <c r="H4">
        <v>2020</v>
      </c>
      <c r="I4">
        <v>2021</v>
      </c>
      <c r="J4">
        <v>2022</v>
      </c>
      <c r="K4">
        <v>2023</v>
      </c>
    </row>
    <row r="5" spans="1:12" x14ac:dyDescent="0.25">
      <c r="A5" t="s">
        <v>12</v>
      </c>
      <c r="B5" t="s">
        <v>71</v>
      </c>
      <c r="C5">
        <v>437373</v>
      </c>
      <c r="D5">
        <v>435467</v>
      </c>
      <c r="E5">
        <v>497073</v>
      </c>
      <c r="F5">
        <v>515340</v>
      </c>
      <c r="G5">
        <v>486263</v>
      </c>
      <c r="H5">
        <v>447528</v>
      </c>
      <c r="I5">
        <v>449755</v>
      </c>
      <c r="J5">
        <v>521887</v>
      </c>
    </row>
    <row r="6" spans="1:12" x14ac:dyDescent="0.25">
      <c r="B6" t="s">
        <v>72</v>
      </c>
      <c r="C6">
        <v>15871.566426466161</v>
      </c>
      <c r="D6">
        <v>6861.6181617241791</v>
      </c>
      <c r="E6">
        <v>7332.5425338063424</v>
      </c>
      <c r="F6">
        <v>9403.0100000000639</v>
      </c>
      <c r="G6">
        <v>7446.3088297417735</v>
      </c>
      <c r="H6">
        <v>7072.4350820849613</v>
      </c>
      <c r="I6">
        <v>10700.300733702874</v>
      </c>
      <c r="J6">
        <v>8201.6465256848878</v>
      </c>
    </row>
    <row r="7" spans="1:12" x14ac:dyDescent="0.25">
      <c r="A7" t="s">
        <v>66</v>
      </c>
      <c r="B7" t="s">
        <v>71</v>
      </c>
      <c r="C7">
        <v>3912072</v>
      </c>
      <c r="D7">
        <v>4054915</v>
      </c>
      <c r="E7">
        <v>4186122</v>
      </c>
      <c r="F7">
        <v>4294102</v>
      </c>
      <c r="G7">
        <v>4343319</v>
      </c>
      <c r="H7">
        <v>4240745</v>
      </c>
      <c r="I7">
        <v>4846209</v>
      </c>
      <c r="J7">
        <v>4925214</v>
      </c>
      <c r="K7">
        <v>4896517</v>
      </c>
    </row>
    <row r="8" spans="1:12" x14ac:dyDescent="0.25">
      <c r="B8" t="s">
        <v>72</v>
      </c>
      <c r="C8">
        <v>35812.356227628712</v>
      </c>
      <c r="D8">
        <v>33531.895023985839</v>
      </c>
      <c r="E8">
        <v>31371.342358151891</v>
      </c>
      <c r="F8">
        <v>31764.809999999998</v>
      </c>
      <c r="G8">
        <v>33136.65212681469</v>
      </c>
      <c r="H8">
        <v>28849.36028308831</v>
      </c>
      <c r="I8">
        <v>37605.247976994469</v>
      </c>
      <c r="J8">
        <v>44008.915007082403</v>
      </c>
      <c r="K8">
        <v>54021.793318660239</v>
      </c>
    </row>
    <row r="10" spans="1:12" x14ac:dyDescent="0.25">
      <c r="A10" t="s">
        <v>79</v>
      </c>
      <c r="B10" t="s">
        <v>12</v>
      </c>
      <c r="C10" s="6">
        <f>C6/C5*1000000</f>
        <v>36288.400121786581</v>
      </c>
      <c r="D10" s="6">
        <f t="shared" ref="D10:J10" si="0">D6/D5*1000000</f>
        <v>15756.918806072974</v>
      </c>
      <c r="E10" s="6">
        <f t="shared" si="0"/>
        <v>14751.439997357214</v>
      </c>
      <c r="F10" s="6">
        <f t="shared" si="0"/>
        <v>18246.225792680681</v>
      </c>
      <c r="G10" s="6">
        <f t="shared" si="0"/>
        <v>15313.336259887701</v>
      </c>
      <c r="H10" s="6">
        <f t="shared" si="0"/>
        <v>15803.335393729467</v>
      </c>
      <c r="I10" s="6">
        <f t="shared" si="0"/>
        <v>23791.399169998938</v>
      </c>
      <c r="J10" s="6">
        <f t="shared" si="0"/>
        <v>15715.368510204102</v>
      </c>
      <c r="K10" s="6"/>
    </row>
    <row r="11" spans="1:12" x14ac:dyDescent="0.25">
      <c r="B11" t="s">
        <v>66</v>
      </c>
      <c r="C11" s="6">
        <f>C8/C7*1000000</f>
        <v>9154.3193038442823</v>
      </c>
      <c r="D11" s="6">
        <f t="shared" ref="D11:K11" si="1">D8/D7*1000000</f>
        <v>8269.444618194424</v>
      </c>
      <c r="E11" s="6">
        <f t="shared" si="1"/>
        <v>7494.1299747479625</v>
      </c>
      <c r="F11" s="6">
        <f t="shared" si="1"/>
        <v>7397.311475134964</v>
      </c>
      <c r="G11" s="6">
        <f t="shared" si="1"/>
        <v>7629.3387906379176</v>
      </c>
      <c r="H11" s="6">
        <f t="shared" si="1"/>
        <v>6802.8990856767641</v>
      </c>
      <c r="I11" s="6">
        <f t="shared" si="1"/>
        <v>7759.7247615599053</v>
      </c>
      <c r="J11" s="6">
        <f t="shared" si="1"/>
        <v>8935.4320456090645</v>
      </c>
      <c r="K11" s="6">
        <f t="shared" si="1"/>
        <v>11032.698001183338</v>
      </c>
    </row>
    <row r="13" spans="1:12" x14ac:dyDescent="0.25">
      <c r="A13" t="s">
        <v>80</v>
      </c>
      <c r="B13" t="s">
        <v>12</v>
      </c>
      <c r="C13">
        <f>C10/$F10</f>
        <v>1.9888167851317156</v>
      </c>
      <c r="D13">
        <f t="shared" ref="D13:K14" si="2">D10/$F10</f>
        <v>0.86357140293603774</v>
      </c>
      <c r="E13">
        <f t="shared" si="2"/>
        <v>0.80846527742052987</v>
      </c>
      <c r="F13">
        <f t="shared" si="2"/>
        <v>1</v>
      </c>
      <c r="G13">
        <f t="shared" si="2"/>
        <v>0.83926048235304185</v>
      </c>
      <c r="H13">
        <f t="shared" si="2"/>
        <v>0.86611530369578349</v>
      </c>
      <c r="I13">
        <f t="shared" si="2"/>
        <v>1.3039079665199942</v>
      </c>
      <c r="J13">
        <f t="shared" si="2"/>
        <v>0.86129420345703434</v>
      </c>
    </row>
    <row r="14" spans="1:12" x14ac:dyDescent="0.25">
      <c r="B14" t="s">
        <v>66</v>
      </c>
      <c r="C14">
        <f>C11/$F11</f>
        <v>1.2375197846697759</v>
      </c>
      <c r="D14">
        <f t="shared" si="2"/>
        <v>1.1178986643986826</v>
      </c>
      <c r="E14">
        <f t="shared" si="2"/>
        <v>1.0130883362068017</v>
      </c>
      <c r="F14">
        <f t="shared" si="2"/>
        <v>1</v>
      </c>
      <c r="G14">
        <f t="shared" si="2"/>
        <v>1.0313664385071362</v>
      </c>
      <c r="H14">
        <f t="shared" si="2"/>
        <v>0.91964480724432995</v>
      </c>
      <c r="I14">
        <f t="shared" si="2"/>
        <v>1.0489925681300758</v>
      </c>
      <c r="J14">
        <f t="shared" si="2"/>
        <v>1.2079296749426165</v>
      </c>
      <c r="K14">
        <f t="shared" si="2"/>
        <v>1.4914469991250499</v>
      </c>
    </row>
    <row r="16" spans="1:12" x14ac:dyDescent="0.25">
      <c r="A16" t="s">
        <v>81</v>
      </c>
      <c r="B16" t="s">
        <v>12</v>
      </c>
      <c r="D16">
        <f>D10/C10*100-100</f>
        <v>-56.578634623759719</v>
      </c>
      <c r="E16">
        <f t="shared" ref="E16:K17" si="3">E10/D10*100-100</f>
        <v>-6.3811892482953709</v>
      </c>
      <c r="F16">
        <f t="shared" si="3"/>
        <v>23.691150124662897</v>
      </c>
      <c r="G16">
        <f t="shared" si="3"/>
        <v>-16.073951764695821</v>
      </c>
      <c r="H16">
        <f t="shared" si="3"/>
        <v>3.1998195920590149</v>
      </c>
      <c r="I16">
        <f t="shared" si="3"/>
        <v>50.54669522130763</v>
      </c>
      <c r="J16">
        <f t="shared" si="3"/>
        <v>-33.945169017124257</v>
      </c>
      <c r="L16">
        <f>AVERAGE(D16:J16)</f>
        <v>-5.0773256736922319</v>
      </c>
    </row>
    <row r="17" spans="1:12" x14ac:dyDescent="0.25">
      <c r="B17" t="s">
        <v>66</v>
      </c>
      <c r="D17">
        <f>D11/C11*100-100</f>
        <v>-9.6661986137872873</v>
      </c>
      <c r="E17">
        <f t="shared" si="3"/>
        <v>-9.3756555517720699</v>
      </c>
      <c r="F17">
        <f t="shared" si="3"/>
        <v>-1.2919244787485127</v>
      </c>
      <c r="G17">
        <f t="shared" si="3"/>
        <v>3.136643850713611</v>
      </c>
      <c r="H17">
        <f t="shared" si="3"/>
        <v>-10.832389642668517</v>
      </c>
      <c r="I17">
        <f t="shared" si="3"/>
        <v>14.064969417195968</v>
      </c>
      <c r="J17">
        <f t="shared" si="3"/>
        <v>15.151404465701845</v>
      </c>
      <c r="K17">
        <f t="shared" si="3"/>
        <v>23.471343577671604</v>
      </c>
      <c r="L17">
        <f>AVERAGE(D17:J17)</f>
        <v>0.16954992094786242</v>
      </c>
    </row>
    <row r="21" spans="1:12" x14ac:dyDescent="0.25">
      <c r="A21" t="s">
        <v>83</v>
      </c>
    </row>
    <row r="22" spans="1:12" x14ac:dyDescent="0.25">
      <c r="A22" t="s">
        <v>80</v>
      </c>
      <c r="B22" t="s">
        <v>12</v>
      </c>
      <c r="C22">
        <f>C5/$F5</f>
        <v>0.84870764931889631</v>
      </c>
      <c r="D22">
        <f t="shared" ref="D22:J22" si="4">D5/$F5</f>
        <v>0.8450091201924943</v>
      </c>
      <c r="E22">
        <f t="shared" si="4"/>
        <v>0.96455349866107809</v>
      </c>
      <c r="F22">
        <f t="shared" si="4"/>
        <v>1</v>
      </c>
      <c r="G22">
        <f t="shared" si="4"/>
        <v>0.94357705592424423</v>
      </c>
      <c r="H22">
        <f t="shared" si="4"/>
        <v>0.86841308650599602</v>
      </c>
      <c r="I22">
        <f t="shared" si="4"/>
        <v>0.87273450537509212</v>
      </c>
      <c r="J22">
        <f t="shared" si="4"/>
        <v>1.0127042340978771</v>
      </c>
    </row>
    <row r="23" spans="1:12" x14ac:dyDescent="0.25">
      <c r="B23" t="s">
        <v>66</v>
      </c>
      <c r="C23">
        <f>C7/$F$7</f>
        <v>0.91103378541077973</v>
      </c>
      <c r="D23">
        <f t="shared" ref="D23:K23" si="5">D7/$F$7</f>
        <v>0.94429871484189243</v>
      </c>
      <c r="E23">
        <f t="shared" si="5"/>
        <v>0.97485388097441561</v>
      </c>
      <c r="F23">
        <f t="shared" si="5"/>
        <v>1</v>
      </c>
      <c r="G23">
        <f t="shared" si="5"/>
        <v>1.0114615349146341</v>
      </c>
      <c r="H23">
        <f t="shared" si="5"/>
        <v>0.98757435198325516</v>
      </c>
      <c r="I23">
        <f t="shared" si="5"/>
        <v>1.1285733315137834</v>
      </c>
      <c r="J23">
        <f t="shared" si="5"/>
        <v>1.1469718232123969</v>
      </c>
      <c r="K23">
        <f t="shared" si="5"/>
        <v>1.1402889358473554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334"/>
  <sheetViews>
    <sheetView tabSelected="1" workbookViewId="0">
      <selection activeCell="F1831" sqref="F1831"/>
    </sheetView>
  </sheetViews>
  <sheetFormatPr baseColWidth="10" defaultColWidth="9.140625" defaultRowHeight="15" x14ac:dyDescent="0.25"/>
  <cols>
    <col min="3" max="3" width="12" bestFit="1" customWidth="1"/>
    <col min="13" max="13" width="13.5703125" bestFit="1" customWidth="1"/>
    <col min="14" max="14" width="1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>
        <v>2018</v>
      </c>
      <c r="B2" t="s">
        <v>12</v>
      </c>
      <c r="C2">
        <v>810.91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>
        <v>99.999999999999005</v>
      </c>
      <c r="K2">
        <v>99.999999999999005</v>
      </c>
      <c r="L2">
        <v>810.91</v>
      </c>
    </row>
    <row r="3" spans="1:12" hidden="1" x14ac:dyDescent="0.25">
      <c r="A3">
        <v>2018</v>
      </c>
      <c r="B3" t="s">
        <v>12</v>
      </c>
      <c r="C3">
        <v>8734.4699999999993</v>
      </c>
      <c r="D3" t="s">
        <v>13</v>
      </c>
      <c r="E3" t="s">
        <v>14</v>
      </c>
      <c r="F3" t="s">
        <v>15</v>
      </c>
      <c r="G3" t="s">
        <v>18</v>
      </c>
      <c r="H3" t="s">
        <v>19</v>
      </c>
      <c r="I3">
        <v>99.999999999999005</v>
      </c>
      <c r="J3">
        <v>99.999999999999005</v>
      </c>
      <c r="K3">
        <v>99.999999999999005</v>
      </c>
      <c r="L3">
        <v>8734.4699999999993</v>
      </c>
    </row>
    <row r="4" spans="1:12" hidden="1" x14ac:dyDescent="0.25">
      <c r="A4">
        <v>2018</v>
      </c>
      <c r="B4" t="s">
        <v>12</v>
      </c>
      <c r="C4">
        <v>1176.1300000000001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>
        <v>100</v>
      </c>
      <c r="J4">
        <v>99.999999999999005</v>
      </c>
      <c r="K4">
        <v>100</v>
      </c>
      <c r="L4">
        <v>1176.1300000000001</v>
      </c>
    </row>
    <row r="5" spans="1:12" hidden="1" x14ac:dyDescent="0.25">
      <c r="A5">
        <v>2018</v>
      </c>
      <c r="B5" t="s">
        <v>12</v>
      </c>
      <c r="C5">
        <v>466.93</v>
      </c>
      <c r="D5" t="s">
        <v>13</v>
      </c>
      <c r="E5" t="s">
        <v>14</v>
      </c>
      <c r="F5" t="s">
        <v>15</v>
      </c>
      <c r="G5" t="s">
        <v>22</v>
      </c>
      <c r="H5" t="s">
        <v>23</v>
      </c>
      <c r="I5">
        <v>99.999999999999005</v>
      </c>
      <c r="J5">
        <v>99.999999999999005</v>
      </c>
      <c r="K5">
        <v>99.999999999999005</v>
      </c>
      <c r="L5">
        <v>466.93</v>
      </c>
    </row>
    <row r="6" spans="1:12" hidden="1" x14ac:dyDescent="0.25">
      <c r="A6">
        <v>2018</v>
      </c>
      <c r="B6" t="s">
        <v>12</v>
      </c>
      <c r="C6">
        <v>132.88999999999999</v>
      </c>
      <c r="D6" t="s">
        <v>13</v>
      </c>
      <c r="E6" t="s">
        <v>14</v>
      </c>
      <c r="F6" t="s">
        <v>15</v>
      </c>
      <c r="G6" t="s">
        <v>24</v>
      </c>
      <c r="H6" t="s">
        <v>25</v>
      </c>
      <c r="I6">
        <v>99.999999999999005</v>
      </c>
      <c r="J6">
        <v>99.999999999999005</v>
      </c>
      <c r="K6">
        <v>99.999999999999005</v>
      </c>
      <c r="L6">
        <v>132.88999999999999</v>
      </c>
    </row>
    <row r="7" spans="1:12" hidden="1" x14ac:dyDescent="0.25">
      <c r="A7">
        <v>2018</v>
      </c>
      <c r="B7" t="s">
        <v>12</v>
      </c>
      <c r="C7">
        <v>25.96</v>
      </c>
      <c r="D7" t="s">
        <v>13</v>
      </c>
      <c r="E7" t="s">
        <v>14</v>
      </c>
      <c r="F7" t="s">
        <v>15</v>
      </c>
      <c r="G7" t="s">
        <v>26</v>
      </c>
      <c r="H7" t="s">
        <v>27</v>
      </c>
      <c r="I7">
        <v>99.999999999999005</v>
      </c>
      <c r="J7">
        <v>99.999999999999005</v>
      </c>
      <c r="K7">
        <v>99.999999999999005</v>
      </c>
      <c r="L7">
        <v>25.96</v>
      </c>
    </row>
    <row r="8" spans="1:12" hidden="1" x14ac:dyDescent="0.25">
      <c r="A8">
        <v>2018</v>
      </c>
      <c r="B8" t="s">
        <v>12</v>
      </c>
      <c r="C8">
        <v>4002.45</v>
      </c>
      <c r="D8" t="s">
        <v>13</v>
      </c>
      <c r="E8" t="s">
        <v>14</v>
      </c>
      <c r="F8" t="s">
        <v>15</v>
      </c>
      <c r="G8" t="s">
        <v>28</v>
      </c>
      <c r="H8" t="s">
        <v>29</v>
      </c>
      <c r="I8">
        <v>100</v>
      </c>
      <c r="J8">
        <v>99.999999999999005</v>
      </c>
      <c r="K8">
        <v>100</v>
      </c>
      <c r="L8">
        <v>4002.45</v>
      </c>
    </row>
    <row r="9" spans="1:12" hidden="1" x14ac:dyDescent="0.25">
      <c r="A9">
        <v>2018</v>
      </c>
      <c r="B9" t="s">
        <v>12</v>
      </c>
      <c r="C9">
        <v>2170.19</v>
      </c>
      <c r="D9" t="s">
        <v>13</v>
      </c>
      <c r="E9" t="s">
        <v>14</v>
      </c>
      <c r="F9" t="s">
        <v>15</v>
      </c>
      <c r="G9" t="s">
        <v>30</v>
      </c>
      <c r="H9" t="s">
        <v>31</v>
      </c>
      <c r="I9">
        <v>99.999999999999005</v>
      </c>
      <c r="J9">
        <v>99.999999999999005</v>
      </c>
      <c r="K9">
        <v>99.999999999999005</v>
      </c>
      <c r="L9">
        <v>2170.19</v>
      </c>
    </row>
    <row r="10" spans="1:12" hidden="1" x14ac:dyDescent="0.25">
      <c r="A10">
        <v>2018</v>
      </c>
      <c r="B10" t="s">
        <v>12</v>
      </c>
      <c r="C10">
        <v>349.77</v>
      </c>
      <c r="D10" t="s">
        <v>13</v>
      </c>
      <c r="E10" t="s">
        <v>14</v>
      </c>
      <c r="F10" t="s">
        <v>15</v>
      </c>
      <c r="G10" t="s">
        <v>32</v>
      </c>
      <c r="H10" t="s">
        <v>33</v>
      </c>
      <c r="I10">
        <v>99.999999999999005</v>
      </c>
      <c r="J10">
        <v>99.999999999999005</v>
      </c>
      <c r="K10">
        <v>99.999999999999005</v>
      </c>
      <c r="L10">
        <v>349.77</v>
      </c>
    </row>
    <row r="11" spans="1:12" hidden="1" x14ac:dyDescent="0.25">
      <c r="A11">
        <v>2018</v>
      </c>
      <c r="B11" t="s">
        <v>12</v>
      </c>
      <c r="C11">
        <v>0.27</v>
      </c>
      <c r="D11" t="s">
        <v>13</v>
      </c>
      <c r="E11" t="s">
        <v>14</v>
      </c>
      <c r="F11" t="s">
        <v>15</v>
      </c>
      <c r="G11" t="s">
        <v>34</v>
      </c>
      <c r="H11" t="s">
        <v>35</v>
      </c>
      <c r="I11">
        <v>99.999999999999005</v>
      </c>
      <c r="J11">
        <v>99.999999999999005</v>
      </c>
      <c r="K11">
        <v>99.999999999999005</v>
      </c>
      <c r="L11">
        <v>0.27</v>
      </c>
    </row>
    <row r="12" spans="1:12" hidden="1" x14ac:dyDescent="0.25">
      <c r="A12">
        <v>2018</v>
      </c>
      <c r="B12" t="s">
        <v>12</v>
      </c>
      <c r="C12">
        <v>2844.48</v>
      </c>
      <c r="D12" t="s">
        <v>13</v>
      </c>
      <c r="E12" t="s">
        <v>14</v>
      </c>
      <c r="F12" t="s">
        <v>15</v>
      </c>
      <c r="G12" t="s">
        <v>36</v>
      </c>
      <c r="H12" t="s">
        <v>37</v>
      </c>
      <c r="I12">
        <v>99.999999999999005</v>
      </c>
      <c r="J12">
        <v>99.999999999999005</v>
      </c>
      <c r="K12">
        <v>99.999999999999005</v>
      </c>
      <c r="L12">
        <v>2844.48</v>
      </c>
    </row>
    <row r="13" spans="1:12" hidden="1" x14ac:dyDescent="0.25">
      <c r="A13">
        <v>2018</v>
      </c>
      <c r="B13" t="s">
        <v>12</v>
      </c>
      <c r="C13">
        <v>265.24</v>
      </c>
      <c r="D13" t="s">
        <v>13</v>
      </c>
      <c r="E13" t="s">
        <v>14</v>
      </c>
      <c r="F13" t="s">
        <v>15</v>
      </c>
      <c r="G13" t="s">
        <v>38</v>
      </c>
      <c r="H13" t="s">
        <v>39</v>
      </c>
      <c r="I13">
        <v>99.999999999999005</v>
      </c>
      <c r="J13">
        <v>99.999999999999005</v>
      </c>
      <c r="K13">
        <v>99.999999999999005</v>
      </c>
      <c r="L13">
        <v>265.24</v>
      </c>
    </row>
    <row r="14" spans="1:12" hidden="1" x14ac:dyDescent="0.25">
      <c r="A14">
        <v>2018</v>
      </c>
      <c r="B14" t="s">
        <v>12</v>
      </c>
      <c r="C14">
        <v>1761.07</v>
      </c>
      <c r="D14" t="s">
        <v>13</v>
      </c>
      <c r="E14" t="s">
        <v>14</v>
      </c>
      <c r="F14" t="s">
        <v>15</v>
      </c>
      <c r="G14" t="s">
        <v>40</v>
      </c>
      <c r="H14" t="s">
        <v>41</v>
      </c>
      <c r="I14">
        <v>99.999999999999005</v>
      </c>
      <c r="J14">
        <v>99.999999999999005</v>
      </c>
      <c r="K14">
        <v>99.999999999999005</v>
      </c>
      <c r="L14">
        <v>1761.07</v>
      </c>
    </row>
    <row r="15" spans="1:12" hidden="1" x14ac:dyDescent="0.25">
      <c r="A15">
        <v>2018</v>
      </c>
      <c r="B15" t="s">
        <v>12</v>
      </c>
      <c r="C15">
        <v>3602.45</v>
      </c>
      <c r="D15" t="s">
        <v>13</v>
      </c>
      <c r="E15" t="s">
        <v>14</v>
      </c>
      <c r="F15" t="s">
        <v>15</v>
      </c>
      <c r="G15" t="s">
        <v>42</v>
      </c>
      <c r="H15" t="s">
        <v>43</v>
      </c>
      <c r="I15">
        <v>99.999999999999005</v>
      </c>
      <c r="J15">
        <v>99.999999999999005</v>
      </c>
      <c r="K15">
        <v>99.999999999999005</v>
      </c>
      <c r="L15">
        <v>3602.45</v>
      </c>
    </row>
    <row r="16" spans="1:12" hidden="1" x14ac:dyDescent="0.25">
      <c r="A16">
        <v>2018</v>
      </c>
      <c r="B16" t="s">
        <v>12</v>
      </c>
      <c r="C16">
        <v>1878.49</v>
      </c>
      <c r="D16" t="s">
        <v>13</v>
      </c>
      <c r="E16" t="s">
        <v>14</v>
      </c>
      <c r="F16" t="s">
        <v>15</v>
      </c>
      <c r="G16" t="s">
        <v>44</v>
      </c>
      <c r="H16" t="s">
        <v>45</v>
      </c>
      <c r="I16">
        <v>99.999999999999005</v>
      </c>
      <c r="J16">
        <v>99.999999999999005</v>
      </c>
      <c r="K16">
        <v>99.999999999999005</v>
      </c>
      <c r="L16">
        <v>1878.49</v>
      </c>
    </row>
    <row r="17" spans="1:12" hidden="1" x14ac:dyDescent="0.25">
      <c r="A17">
        <v>2018</v>
      </c>
      <c r="B17" t="s">
        <v>12</v>
      </c>
      <c r="C17">
        <v>918.79</v>
      </c>
      <c r="D17" t="s">
        <v>13</v>
      </c>
      <c r="E17" t="s">
        <v>14</v>
      </c>
      <c r="F17" t="s">
        <v>15</v>
      </c>
      <c r="G17" t="s">
        <v>46</v>
      </c>
      <c r="H17" t="s">
        <v>47</v>
      </c>
      <c r="I17">
        <v>100</v>
      </c>
      <c r="J17">
        <v>99.999999999999005</v>
      </c>
      <c r="K17">
        <v>100</v>
      </c>
      <c r="L17">
        <v>918.79</v>
      </c>
    </row>
    <row r="18" spans="1:12" hidden="1" x14ac:dyDescent="0.25">
      <c r="A18">
        <v>2018</v>
      </c>
      <c r="B18" t="s">
        <v>12</v>
      </c>
      <c r="C18">
        <v>7.53</v>
      </c>
      <c r="D18" t="s">
        <v>13</v>
      </c>
      <c r="E18" t="s">
        <v>14</v>
      </c>
      <c r="F18" t="s">
        <v>15</v>
      </c>
      <c r="G18" t="s">
        <v>48</v>
      </c>
      <c r="H18" t="s">
        <v>49</v>
      </c>
      <c r="I18">
        <v>100</v>
      </c>
      <c r="J18">
        <v>99.999999999999005</v>
      </c>
      <c r="K18">
        <v>100</v>
      </c>
      <c r="L18">
        <v>7.53</v>
      </c>
    </row>
    <row r="19" spans="1:12" hidden="1" x14ac:dyDescent="0.25">
      <c r="A19">
        <v>2018</v>
      </c>
      <c r="B19" t="s">
        <v>12</v>
      </c>
      <c r="C19">
        <v>155.51</v>
      </c>
      <c r="D19" t="s">
        <v>13</v>
      </c>
      <c r="E19" t="s">
        <v>14</v>
      </c>
      <c r="F19" t="s">
        <v>15</v>
      </c>
      <c r="G19" t="s">
        <v>50</v>
      </c>
      <c r="H19" t="s">
        <v>51</v>
      </c>
      <c r="I19">
        <v>100</v>
      </c>
      <c r="J19">
        <v>99.999999999999005</v>
      </c>
      <c r="K19">
        <v>100</v>
      </c>
      <c r="L19">
        <v>155.51</v>
      </c>
    </row>
    <row r="20" spans="1:12" hidden="1" x14ac:dyDescent="0.25">
      <c r="A20">
        <v>2018</v>
      </c>
      <c r="B20" t="s">
        <v>12</v>
      </c>
      <c r="C20">
        <v>898.42</v>
      </c>
      <c r="D20" t="s">
        <v>13</v>
      </c>
      <c r="E20" t="s">
        <v>14</v>
      </c>
      <c r="F20" t="s">
        <v>15</v>
      </c>
      <c r="G20" t="s">
        <v>52</v>
      </c>
      <c r="H20" t="s">
        <v>53</v>
      </c>
      <c r="I20">
        <v>100</v>
      </c>
      <c r="J20">
        <v>99.999999999999005</v>
      </c>
      <c r="K20">
        <v>100</v>
      </c>
      <c r="L20">
        <v>898.42</v>
      </c>
    </row>
    <row r="21" spans="1:12" hidden="1" x14ac:dyDescent="0.25">
      <c r="A21">
        <v>2018</v>
      </c>
      <c r="B21" t="s">
        <v>12</v>
      </c>
      <c r="C21">
        <v>86.76</v>
      </c>
      <c r="D21" t="s">
        <v>13</v>
      </c>
      <c r="E21" t="s">
        <v>14</v>
      </c>
      <c r="F21" t="s">
        <v>15</v>
      </c>
      <c r="G21" t="s">
        <v>54</v>
      </c>
      <c r="H21" t="s">
        <v>55</v>
      </c>
      <c r="I21">
        <v>100</v>
      </c>
      <c r="J21">
        <v>99.999999999999005</v>
      </c>
      <c r="K21">
        <v>100</v>
      </c>
      <c r="L21">
        <v>86.76</v>
      </c>
    </row>
    <row r="22" spans="1:12" hidden="1" x14ac:dyDescent="0.25">
      <c r="A22">
        <v>2018</v>
      </c>
      <c r="B22" t="s">
        <v>12</v>
      </c>
      <c r="C22">
        <v>14.32</v>
      </c>
      <c r="D22" t="s">
        <v>13</v>
      </c>
      <c r="E22" t="s">
        <v>14</v>
      </c>
      <c r="F22" t="s">
        <v>15</v>
      </c>
      <c r="G22" t="s">
        <v>56</v>
      </c>
      <c r="H22" t="s">
        <v>57</v>
      </c>
      <c r="I22">
        <v>100</v>
      </c>
      <c r="J22">
        <v>99.999999999999005</v>
      </c>
      <c r="K22">
        <v>100</v>
      </c>
      <c r="L22">
        <v>14.32</v>
      </c>
    </row>
    <row r="23" spans="1:12" hidden="1" x14ac:dyDescent="0.25">
      <c r="A23">
        <v>2018</v>
      </c>
      <c r="B23" t="s">
        <v>12</v>
      </c>
      <c r="C23">
        <v>135.02000000000001</v>
      </c>
      <c r="D23" t="s">
        <v>13</v>
      </c>
      <c r="E23" t="s">
        <v>14</v>
      </c>
      <c r="F23" t="s">
        <v>15</v>
      </c>
      <c r="G23" t="s">
        <v>58</v>
      </c>
      <c r="H23" t="s">
        <v>59</v>
      </c>
      <c r="I23">
        <v>100</v>
      </c>
      <c r="J23">
        <v>99.999999999999005</v>
      </c>
      <c r="K23">
        <v>100</v>
      </c>
      <c r="L23">
        <v>135.02000000000001</v>
      </c>
    </row>
    <row r="24" spans="1:12" hidden="1" x14ac:dyDescent="0.25">
      <c r="A24">
        <v>2018</v>
      </c>
      <c r="B24" t="s">
        <v>12</v>
      </c>
      <c r="C24">
        <v>12.57</v>
      </c>
      <c r="D24" t="s">
        <v>13</v>
      </c>
      <c r="E24" t="s">
        <v>14</v>
      </c>
      <c r="F24" t="s">
        <v>15</v>
      </c>
      <c r="G24" t="s">
        <v>60</v>
      </c>
      <c r="H24" t="s">
        <v>61</v>
      </c>
      <c r="J24">
        <v>99.999999999999005</v>
      </c>
      <c r="K24">
        <v>99.999999999999005</v>
      </c>
      <c r="L24">
        <v>12.57</v>
      </c>
    </row>
    <row r="25" spans="1:12" hidden="1" x14ac:dyDescent="0.25">
      <c r="A25">
        <v>2018</v>
      </c>
      <c r="B25" t="s">
        <v>12</v>
      </c>
      <c r="C25">
        <v>362.38</v>
      </c>
      <c r="D25" t="s">
        <v>13</v>
      </c>
      <c r="E25" t="s">
        <v>14</v>
      </c>
      <c r="F25" t="s">
        <v>15</v>
      </c>
      <c r="G25" t="s">
        <v>62</v>
      </c>
      <c r="H25" t="s">
        <v>63</v>
      </c>
      <c r="I25">
        <v>100</v>
      </c>
      <c r="J25">
        <v>99.999999999999005</v>
      </c>
      <c r="K25">
        <v>100</v>
      </c>
      <c r="L25">
        <v>362.38</v>
      </c>
    </row>
    <row r="26" spans="1:12" hidden="1" x14ac:dyDescent="0.25">
      <c r="A26">
        <v>2017</v>
      </c>
      <c r="B26" t="s">
        <v>12</v>
      </c>
      <c r="C26">
        <v>286.88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J26">
        <v>95.003435419368998</v>
      </c>
      <c r="K26">
        <v>95.003435419368998</v>
      </c>
      <c r="L26">
        <v>286.88</v>
      </c>
    </row>
    <row r="27" spans="1:12" hidden="1" x14ac:dyDescent="0.25">
      <c r="A27">
        <v>2017</v>
      </c>
      <c r="B27" t="s">
        <v>12</v>
      </c>
      <c r="C27">
        <v>10558.15</v>
      </c>
      <c r="D27" t="s">
        <v>13</v>
      </c>
      <c r="E27" t="s">
        <v>14</v>
      </c>
      <c r="F27" t="s">
        <v>15</v>
      </c>
      <c r="G27" t="s">
        <v>18</v>
      </c>
      <c r="H27" t="s">
        <v>19</v>
      </c>
      <c r="I27">
        <v>98.723825004638996</v>
      </c>
      <c r="J27">
        <v>95.003435419368998</v>
      </c>
      <c r="K27">
        <v>98.723825004638996</v>
      </c>
      <c r="L27">
        <v>10558.15</v>
      </c>
    </row>
    <row r="28" spans="1:12" hidden="1" x14ac:dyDescent="0.25">
      <c r="A28">
        <v>2017</v>
      </c>
      <c r="B28" t="s">
        <v>12</v>
      </c>
      <c r="C28">
        <v>1175.82</v>
      </c>
      <c r="D28" t="s">
        <v>13</v>
      </c>
      <c r="E28" t="s">
        <v>14</v>
      </c>
      <c r="F28" t="s">
        <v>15</v>
      </c>
      <c r="G28" t="s">
        <v>20</v>
      </c>
      <c r="H28" t="s">
        <v>21</v>
      </c>
      <c r="I28">
        <v>90.846967636214998</v>
      </c>
      <c r="J28">
        <v>95.003435419368998</v>
      </c>
      <c r="K28">
        <v>90.846967636214998</v>
      </c>
      <c r="L28">
        <v>1175.82</v>
      </c>
    </row>
    <row r="29" spans="1:12" hidden="1" x14ac:dyDescent="0.25">
      <c r="A29">
        <v>2017</v>
      </c>
      <c r="B29" t="s">
        <v>12</v>
      </c>
      <c r="C29">
        <v>259.7</v>
      </c>
      <c r="D29" t="s">
        <v>13</v>
      </c>
      <c r="E29" t="s">
        <v>14</v>
      </c>
      <c r="F29" t="s">
        <v>15</v>
      </c>
      <c r="G29" t="s">
        <v>22</v>
      </c>
      <c r="H29" t="s">
        <v>23</v>
      </c>
      <c r="I29">
        <v>111.61986215915999</v>
      </c>
      <c r="J29">
        <v>95.003435419368998</v>
      </c>
      <c r="K29">
        <v>111.61986215915999</v>
      </c>
      <c r="L29">
        <v>259.7</v>
      </c>
    </row>
    <row r="30" spans="1:12" hidden="1" x14ac:dyDescent="0.25">
      <c r="A30">
        <v>2017</v>
      </c>
      <c r="B30" t="s">
        <v>12</v>
      </c>
      <c r="C30">
        <v>361.03</v>
      </c>
      <c r="D30" t="s">
        <v>13</v>
      </c>
      <c r="E30" t="s">
        <v>14</v>
      </c>
      <c r="F30" t="s">
        <v>15</v>
      </c>
      <c r="G30" t="s">
        <v>24</v>
      </c>
      <c r="H30" t="s">
        <v>25</v>
      </c>
      <c r="I30">
        <v>111.61986215915999</v>
      </c>
      <c r="J30">
        <v>95.003435419368998</v>
      </c>
      <c r="K30">
        <v>111.61986215915999</v>
      </c>
      <c r="L30">
        <v>361.03</v>
      </c>
    </row>
    <row r="31" spans="1:12" hidden="1" x14ac:dyDescent="0.25">
      <c r="A31">
        <v>2017</v>
      </c>
      <c r="B31" t="s">
        <v>12</v>
      </c>
      <c r="C31">
        <v>24.82</v>
      </c>
      <c r="D31" t="s">
        <v>13</v>
      </c>
      <c r="E31" t="s">
        <v>14</v>
      </c>
      <c r="F31" t="s">
        <v>15</v>
      </c>
      <c r="G31" t="s">
        <v>26</v>
      </c>
      <c r="H31" t="s">
        <v>27</v>
      </c>
      <c r="I31">
        <v>111.61986215915999</v>
      </c>
      <c r="J31">
        <v>95.003435419368998</v>
      </c>
      <c r="K31">
        <v>111.61986215915999</v>
      </c>
      <c r="L31">
        <v>24.82</v>
      </c>
    </row>
    <row r="32" spans="1:12" hidden="1" x14ac:dyDescent="0.25">
      <c r="A32">
        <v>2017</v>
      </c>
      <c r="B32" t="s">
        <v>12</v>
      </c>
      <c r="C32">
        <v>6756.54</v>
      </c>
      <c r="D32" t="s">
        <v>13</v>
      </c>
      <c r="E32" t="s">
        <v>14</v>
      </c>
      <c r="F32" t="s">
        <v>15</v>
      </c>
      <c r="G32" t="s">
        <v>28</v>
      </c>
      <c r="H32" t="s">
        <v>29</v>
      </c>
      <c r="I32">
        <v>102.38170475517001</v>
      </c>
      <c r="J32">
        <v>95.003435419368998</v>
      </c>
      <c r="K32">
        <v>102.38170475517001</v>
      </c>
      <c r="L32">
        <v>6756.54</v>
      </c>
    </row>
    <row r="33" spans="1:12" hidden="1" x14ac:dyDescent="0.25">
      <c r="A33">
        <v>2017</v>
      </c>
      <c r="B33" t="s">
        <v>12</v>
      </c>
      <c r="C33">
        <v>4285.8100000000004</v>
      </c>
      <c r="D33" t="s">
        <v>13</v>
      </c>
      <c r="E33" t="s">
        <v>14</v>
      </c>
      <c r="F33" t="s">
        <v>15</v>
      </c>
      <c r="G33" t="s">
        <v>30</v>
      </c>
      <c r="H33" t="s">
        <v>31</v>
      </c>
      <c r="I33">
        <v>76.712843517501994</v>
      </c>
      <c r="J33">
        <v>95.003435419368998</v>
      </c>
      <c r="K33">
        <v>76.712843517501994</v>
      </c>
      <c r="L33">
        <v>4285.8100000000004</v>
      </c>
    </row>
    <row r="34" spans="1:12" hidden="1" x14ac:dyDescent="0.25">
      <c r="A34">
        <v>2017</v>
      </c>
      <c r="B34" t="s">
        <v>12</v>
      </c>
      <c r="C34">
        <v>887.98</v>
      </c>
      <c r="D34" t="s">
        <v>13</v>
      </c>
      <c r="E34" t="s">
        <v>14</v>
      </c>
      <c r="F34" t="s">
        <v>15</v>
      </c>
      <c r="G34" t="s">
        <v>32</v>
      </c>
      <c r="H34" t="s">
        <v>33</v>
      </c>
      <c r="I34">
        <v>76.712843517501994</v>
      </c>
      <c r="J34">
        <v>95.003435419368998</v>
      </c>
      <c r="K34">
        <v>76.712843517501994</v>
      </c>
      <c r="L34">
        <v>887.98</v>
      </c>
    </row>
    <row r="35" spans="1:12" hidden="1" x14ac:dyDescent="0.25">
      <c r="A35">
        <v>2017</v>
      </c>
      <c r="B35" t="s">
        <v>12</v>
      </c>
      <c r="C35">
        <v>5038.3599999999997</v>
      </c>
      <c r="D35" t="s">
        <v>13</v>
      </c>
      <c r="E35" t="s">
        <v>14</v>
      </c>
      <c r="F35" t="s">
        <v>15</v>
      </c>
      <c r="G35" t="s">
        <v>36</v>
      </c>
      <c r="H35" t="s">
        <v>37</v>
      </c>
      <c r="I35">
        <v>96.253026824776995</v>
      </c>
      <c r="J35">
        <v>95.003435419368998</v>
      </c>
      <c r="K35">
        <v>96.253026824776995</v>
      </c>
      <c r="L35">
        <v>5038.3599999999997</v>
      </c>
    </row>
    <row r="36" spans="1:12" hidden="1" x14ac:dyDescent="0.25">
      <c r="A36">
        <v>2017</v>
      </c>
      <c r="B36" t="s">
        <v>12</v>
      </c>
      <c r="C36">
        <v>2460.3000000000002</v>
      </c>
      <c r="D36" t="s">
        <v>13</v>
      </c>
      <c r="E36" t="s">
        <v>14</v>
      </c>
      <c r="F36" t="s">
        <v>15</v>
      </c>
      <c r="G36" t="s">
        <v>38</v>
      </c>
      <c r="H36" t="s">
        <v>39</v>
      </c>
      <c r="I36">
        <v>96.253026824776995</v>
      </c>
      <c r="J36">
        <v>95.003435419368998</v>
      </c>
      <c r="K36">
        <v>96.253026824776995</v>
      </c>
      <c r="L36">
        <v>2460.3000000000002</v>
      </c>
    </row>
    <row r="37" spans="1:12" hidden="1" x14ac:dyDescent="0.25">
      <c r="A37">
        <v>2017</v>
      </c>
      <c r="B37" t="s">
        <v>12</v>
      </c>
      <c r="C37">
        <v>2357.7399999999998</v>
      </c>
      <c r="D37" t="s">
        <v>13</v>
      </c>
      <c r="E37" t="s">
        <v>14</v>
      </c>
      <c r="F37" t="s">
        <v>15</v>
      </c>
      <c r="G37" t="s">
        <v>40</v>
      </c>
      <c r="H37" t="s">
        <v>41</v>
      </c>
      <c r="I37">
        <v>96.253026824776995</v>
      </c>
      <c r="J37">
        <v>95.003435419368998</v>
      </c>
      <c r="K37">
        <v>96.253026824776995</v>
      </c>
      <c r="L37">
        <v>2357.7399999999998</v>
      </c>
    </row>
    <row r="38" spans="1:12" hidden="1" x14ac:dyDescent="0.25">
      <c r="A38">
        <v>2017</v>
      </c>
      <c r="B38" t="s">
        <v>12</v>
      </c>
      <c r="C38">
        <v>2940.21</v>
      </c>
      <c r="D38" t="s">
        <v>13</v>
      </c>
      <c r="E38" t="s">
        <v>14</v>
      </c>
      <c r="F38" t="s">
        <v>15</v>
      </c>
      <c r="G38" t="s">
        <v>42</v>
      </c>
      <c r="H38" t="s">
        <v>43</v>
      </c>
      <c r="I38">
        <v>89.385379074143003</v>
      </c>
      <c r="J38">
        <v>95.003435419368998</v>
      </c>
      <c r="K38">
        <v>89.385379074143003</v>
      </c>
      <c r="L38">
        <v>2940.21</v>
      </c>
    </row>
    <row r="39" spans="1:12" hidden="1" x14ac:dyDescent="0.25">
      <c r="A39">
        <v>2017</v>
      </c>
      <c r="B39" t="s">
        <v>12</v>
      </c>
      <c r="C39">
        <v>2603.9899999999998</v>
      </c>
      <c r="D39" t="s">
        <v>13</v>
      </c>
      <c r="E39" t="s">
        <v>14</v>
      </c>
      <c r="F39" t="s">
        <v>15</v>
      </c>
      <c r="G39" t="s">
        <v>44</v>
      </c>
      <c r="H39" t="s">
        <v>45</v>
      </c>
      <c r="I39">
        <v>89.385379074143003</v>
      </c>
      <c r="J39">
        <v>95.003435419368998</v>
      </c>
      <c r="K39">
        <v>89.385379074143003</v>
      </c>
      <c r="L39">
        <v>2603.9899999999998</v>
      </c>
    </row>
    <row r="40" spans="1:12" hidden="1" x14ac:dyDescent="0.25">
      <c r="A40">
        <v>2017</v>
      </c>
      <c r="B40" t="s">
        <v>12</v>
      </c>
      <c r="C40">
        <v>928.29</v>
      </c>
      <c r="D40" t="s">
        <v>13</v>
      </c>
      <c r="E40" t="s">
        <v>14</v>
      </c>
      <c r="F40" t="s">
        <v>15</v>
      </c>
      <c r="G40" t="s">
        <v>46</v>
      </c>
      <c r="H40" t="s">
        <v>47</v>
      </c>
      <c r="I40">
        <v>98.189528995325006</v>
      </c>
      <c r="J40">
        <v>95.003435419368998</v>
      </c>
      <c r="K40">
        <v>98.189528995325006</v>
      </c>
      <c r="L40">
        <v>928.29</v>
      </c>
    </row>
    <row r="41" spans="1:12" hidden="1" x14ac:dyDescent="0.25">
      <c r="A41">
        <v>2017</v>
      </c>
      <c r="B41" t="s">
        <v>12</v>
      </c>
      <c r="C41">
        <v>11.61</v>
      </c>
      <c r="D41" t="s">
        <v>13</v>
      </c>
      <c r="E41" t="s">
        <v>14</v>
      </c>
      <c r="F41" t="s">
        <v>15</v>
      </c>
      <c r="G41" t="s">
        <v>48</v>
      </c>
      <c r="H41" t="s">
        <v>49</v>
      </c>
      <c r="I41">
        <v>98.189528995325006</v>
      </c>
      <c r="J41">
        <v>95.003435419368998</v>
      </c>
      <c r="K41">
        <v>98.189528995325006</v>
      </c>
      <c r="L41">
        <v>11.61</v>
      </c>
    </row>
    <row r="42" spans="1:12" hidden="1" x14ac:dyDescent="0.25">
      <c r="A42">
        <v>2017</v>
      </c>
      <c r="B42" t="s">
        <v>12</v>
      </c>
      <c r="C42">
        <v>877.38</v>
      </c>
      <c r="D42" t="s">
        <v>13</v>
      </c>
      <c r="E42" t="s">
        <v>14</v>
      </c>
      <c r="F42" t="s">
        <v>15</v>
      </c>
      <c r="G42" t="s">
        <v>50</v>
      </c>
      <c r="H42" t="s">
        <v>51</v>
      </c>
      <c r="I42">
        <v>98.189528995325006</v>
      </c>
      <c r="J42">
        <v>95.003435419368998</v>
      </c>
      <c r="K42">
        <v>98.189528995325006</v>
      </c>
      <c r="L42">
        <v>877.38</v>
      </c>
    </row>
    <row r="43" spans="1:12" hidden="1" x14ac:dyDescent="0.25">
      <c r="A43">
        <v>2017</v>
      </c>
      <c r="B43" t="s">
        <v>12</v>
      </c>
      <c r="C43">
        <v>818.57</v>
      </c>
      <c r="D43" t="s">
        <v>13</v>
      </c>
      <c r="E43" t="s">
        <v>14</v>
      </c>
      <c r="F43" t="s">
        <v>15</v>
      </c>
      <c r="G43" t="s">
        <v>52</v>
      </c>
      <c r="H43" t="s">
        <v>53</v>
      </c>
      <c r="I43">
        <v>98.189528995325006</v>
      </c>
      <c r="J43">
        <v>95.003435419368998</v>
      </c>
      <c r="K43">
        <v>98.189528995325006</v>
      </c>
      <c r="L43">
        <v>818.57</v>
      </c>
    </row>
    <row r="44" spans="1:12" hidden="1" x14ac:dyDescent="0.25">
      <c r="A44">
        <v>2017</v>
      </c>
      <c r="B44" t="s">
        <v>12</v>
      </c>
      <c r="C44">
        <v>411.64</v>
      </c>
      <c r="D44" t="s">
        <v>13</v>
      </c>
      <c r="E44" t="s">
        <v>14</v>
      </c>
      <c r="F44" t="s">
        <v>15</v>
      </c>
      <c r="G44" t="s">
        <v>54</v>
      </c>
      <c r="H44" t="s">
        <v>55</v>
      </c>
      <c r="I44">
        <v>98.189528995325006</v>
      </c>
      <c r="J44">
        <v>95.003435419368998</v>
      </c>
      <c r="K44">
        <v>98.189528995325006</v>
      </c>
      <c r="L44">
        <v>411.64</v>
      </c>
    </row>
    <row r="45" spans="1:12" hidden="1" x14ac:dyDescent="0.25">
      <c r="A45">
        <v>2017</v>
      </c>
      <c r="B45" t="s">
        <v>12</v>
      </c>
      <c r="C45">
        <v>10.23</v>
      </c>
      <c r="D45" t="s">
        <v>13</v>
      </c>
      <c r="E45" t="s">
        <v>14</v>
      </c>
      <c r="F45" t="s">
        <v>15</v>
      </c>
      <c r="G45" t="s">
        <v>56</v>
      </c>
      <c r="H45" t="s">
        <v>57</v>
      </c>
      <c r="I45">
        <v>98.189528995325006</v>
      </c>
      <c r="J45">
        <v>95.003435419368998</v>
      </c>
      <c r="K45">
        <v>98.189528995325006</v>
      </c>
      <c r="L45">
        <v>10.23</v>
      </c>
    </row>
    <row r="46" spans="1:12" hidden="1" x14ac:dyDescent="0.25">
      <c r="A46">
        <v>2017</v>
      </c>
      <c r="B46" t="s">
        <v>12</v>
      </c>
      <c r="C46">
        <v>113.54</v>
      </c>
      <c r="D46" t="s">
        <v>13</v>
      </c>
      <c r="E46" t="s">
        <v>14</v>
      </c>
      <c r="F46" t="s">
        <v>15</v>
      </c>
      <c r="G46" t="s">
        <v>58</v>
      </c>
      <c r="H46" t="s">
        <v>59</v>
      </c>
      <c r="I46">
        <v>102.38170475517001</v>
      </c>
      <c r="J46">
        <v>95.003435419368998</v>
      </c>
      <c r="K46">
        <v>102.38170475517001</v>
      </c>
      <c r="L46">
        <v>113.54</v>
      </c>
    </row>
    <row r="47" spans="1:12" hidden="1" x14ac:dyDescent="0.25">
      <c r="A47">
        <v>2017</v>
      </c>
      <c r="B47" t="s">
        <v>12</v>
      </c>
      <c r="C47">
        <v>10.97</v>
      </c>
      <c r="D47" t="s">
        <v>13</v>
      </c>
      <c r="E47" t="s">
        <v>14</v>
      </c>
      <c r="F47" t="s">
        <v>15</v>
      </c>
      <c r="G47" t="s">
        <v>60</v>
      </c>
      <c r="H47" t="s">
        <v>61</v>
      </c>
      <c r="J47">
        <v>95.003435419368998</v>
      </c>
      <c r="K47">
        <v>95.003435419368998</v>
      </c>
      <c r="L47">
        <v>10.97</v>
      </c>
    </row>
    <row r="48" spans="1:12" hidden="1" x14ac:dyDescent="0.25">
      <c r="A48">
        <v>2017</v>
      </c>
      <c r="B48" t="s">
        <v>12</v>
      </c>
      <c r="C48">
        <v>161.69999999999999</v>
      </c>
      <c r="D48" t="s">
        <v>13</v>
      </c>
      <c r="E48" t="s">
        <v>14</v>
      </c>
      <c r="F48" t="s">
        <v>15</v>
      </c>
      <c r="G48" t="s">
        <v>62</v>
      </c>
      <c r="H48" t="s">
        <v>63</v>
      </c>
      <c r="I48">
        <v>98.189528995325006</v>
      </c>
      <c r="J48">
        <v>95.003435419368998</v>
      </c>
      <c r="K48">
        <v>98.189528995325006</v>
      </c>
      <c r="L48">
        <v>161.69999999999999</v>
      </c>
    </row>
    <row r="49" spans="1:12" hidden="1" x14ac:dyDescent="0.25">
      <c r="A49">
        <v>2016</v>
      </c>
      <c r="B49" t="s">
        <v>12</v>
      </c>
      <c r="C49">
        <v>1226.1400000000001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J49">
        <v>95.629262636448004</v>
      </c>
      <c r="K49">
        <v>95.629262636448004</v>
      </c>
      <c r="L49">
        <v>1226.1400000000001</v>
      </c>
    </row>
    <row r="50" spans="1:12" hidden="1" x14ac:dyDescent="0.25">
      <c r="A50">
        <v>2016</v>
      </c>
      <c r="B50" t="s">
        <v>12</v>
      </c>
      <c r="C50">
        <v>9954.5</v>
      </c>
      <c r="D50" t="s">
        <v>13</v>
      </c>
      <c r="E50" t="s">
        <v>14</v>
      </c>
      <c r="F50" t="s">
        <v>15</v>
      </c>
      <c r="G50" t="s">
        <v>18</v>
      </c>
      <c r="H50" t="s">
        <v>19</v>
      </c>
      <c r="I50">
        <v>96.618124512281994</v>
      </c>
      <c r="J50">
        <v>95.629262636448004</v>
      </c>
      <c r="K50">
        <v>96.618124512281994</v>
      </c>
      <c r="L50">
        <v>9954.5</v>
      </c>
    </row>
    <row r="51" spans="1:12" hidden="1" x14ac:dyDescent="0.25">
      <c r="A51">
        <v>2016</v>
      </c>
      <c r="B51" t="s">
        <v>12</v>
      </c>
      <c r="C51">
        <v>1044.02</v>
      </c>
      <c r="D51" t="s">
        <v>13</v>
      </c>
      <c r="E51" t="s">
        <v>14</v>
      </c>
      <c r="F51" t="s">
        <v>15</v>
      </c>
      <c r="G51" t="s">
        <v>20</v>
      </c>
      <c r="H51" t="s">
        <v>21</v>
      </c>
      <c r="I51">
        <v>96.059679698527006</v>
      </c>
      <c r="J51">
        <v>95.629262636448004</v>
      </c>
      <c r="K51">
        <v>96.059679698527006</v>
      </c>
      <c r="L51">
        <v>1044.02</v>
      </c>
    </row>
    <row r="52" spans="1:12" hidden="1" x14ac:dyDescent="0.25">
      <c r="A52">
        <v>2016</v>
      </c>
      <c r="B52" t="s">
        <v>12</v>
      </c>
      <c r="C52">
        <v>258.92</v>
      </c>
      <c r="D52" t="s">
        <v>13</v>
      </c>
      <c r="E52" t="s">
        <v>14</v>
      </c>
      <c r="F52" t="s">
        <v>15</v>
      </c>
      <c r="G52" t="s">
        <v>22</v>
      </c>
      <c r="H52" t="s">
        <v>23</v>
      </c>
      <c r="I52">
        <v>117.9376128321</v>
      </c>
      <c r="J52">
        <v>95.629262636448004</v>
      </c>
      <c r="K52">
        <v>117.9376128321</v>
      </c>
      <c r="L52">
        <v>258.92</v>
      </c>
    </row>
    <row r="53" spans="1:12" hidden="1" x14ac:dyDescent="0.25">
      <c r="A53">
        <v>2016</v>
      </c>
      <c r="B53" t="s">
        <v>12</v>
      </c>
      <c r="C53">
        <v>75.52</v>
      </c>
      <c r="D53" t="s">
        <v>13</v>
      </c>
      <c r="E53" t="s">
        <v>14</v>
      </c>
      <c r="F53" t="s">
        <v>15</v>
      </c>
      <c r="G53" t="s">
        <v>24</v>
      </c>
      <c r="H53" t="s">
        <v>25</v>
      </c>
      <c r="I53">
        <v>117.9376128321</v>
      </c>
      <c r="J53">
        <v>95.629262636448004</v>
      </c>
      <c r="K53">
        <v>117.9376128321</v>
      </c>
      <c r="L53">
        <v>75.52</v>
      </c>
    </row>
    <row r="54" spans="1:12" hidden="1" x14ac:dyDescent="0.25">
      <c r="A54">
        <v>2016</v>
      </c>
      <c r="B54" t="s">
        <v>12</v>
      </c>
      <c r="C54">
        <v>22.71</v>
      </c>
      <c r="D54" t="s">
        <v>13</v>
      </c>
      <c r="E54" t="s">
        <v>14</v>
      </c>
      <c r="F54" t="s">
        <v>15</v>
      </c>
      <c r="G54" t="s">
        <v>26</v>
      </c>
      <c r="H54" t="s">
        <v>27</v>
      </c>
      <c r="I54">
        <v>117.9376128321</v>
      </c>
      <c r="J54">
        <v>95.629262636448004</v>
      </c>
      <c r="K54">
        <v>117.9376128321</v>
      </c>
      <c r="L54">
        <v>22.71</v>
      </c>
    </row>
    <row r="55" spans="1:12" hidden="1" x14ac:dyDescent="0.25">
      <c r="A55">
        <v>2016</v>
      </c>
      <c r="B55" t="s">
        <v>12</v>
      </c>
      <c r="C55">
        <v>4673.22</v>
      </c>
      <c r="D55" t="s">
        <v>13</v>
      </c>
      <c r="E55" t="s">
        <v>14</v>
      </c>
      <c r="F55" t="s">
        <v>15</v>
      </c>
      <c r="G55" t="s">
        <v>28</v>
      </c>
      <c r="H55" t="s">
        <v>29</v>
      </c>
      <c r="I55">
        <v>106.15763962638999</v>
      </c>
      <c r="J55">
        <v>95.629262636448004</v>
      </c>
      <c r="K55">
        <v>106.15763962638999</v>
      </c>
      <c r="L55">
        <v>4673.22</v>
      </c>
    </row>
    <row r="56" spans="1:12" hidden="1" x14ac:dyDescent="0.25">
      <c r="A56">
        <v>2016</v>
      </c>
      <c r="B56" t="s">
        <v>12</v>
      </c>
      <c r="C56">
        <v>4331.1899999999996</v>
      </c>
      <c r="D56" t="s">
        <v>13</v>
      </c>
      <c r="E56" t="s">
        <v>14</v>
      </c>
      <c r="F56" t="s">
        <v>15</v>
      </c>
      <c r="G56" t="s">
        <v>30</v>
      </c>
      <c r="H56" t="s">
        <v>31</v>
      </c>
      <c r="I56">
        <v>66.424574274145002</v>
      </c>
      <c r="J56">
        <v>95.629262636448004</v>
      </c>
      <c r="K56">
        <v>66.424574274145002</v>
      </c>
      <c r="L56">
        <v>4331.1899999999996</v>
      </c>
    </row>
    <row r="57" spans="1:12" hidden="1" x14ac:dyDescent="0.25">
      <c r="A57">
        <v>2016</v>
      </c>
      <c r="B57" t="s">
        <v>12</v>
      </c>
      <c r="C57">
        <v>300.8</v>
      </c>
      <c r="D57" t="s">
        <v>13</v>
      </c>
      <c r="E57" t="s">
        <v>14</v>
      </c>
      <c r="F57" t="s">
        <v>15</v>
      </c>
      <c r="G57" t="s">
        <v>32</v>
      </c>
      <c r="H57" t="s">
        <v>33</v>
      </c>
      <c r="I57">
        <v>66.424574274145002</v>
      </c>
      <c r="J57">
        <v>95.629262636448004</v>
      </c>
      <c r="K57">
        <v>66.424574274145002</v>
      </c>
      <c r="L57">
        <v>300.8</v>
      </c>
    </row>
    <row r="58" spans="1:12" hidden="1" x14ac:dyDescent="0.25">
      <c r="A58">
        <v>2016</v>
      </c>
      <c r="B58" t="s">
        <v>12</v>
      </c>
      <c r="C58">
        <v>2551.0100000000002</v>
      </c>
      <c r="D58" t="s">
        <v>13</v>
      </c>
      <c r="E58" t="s">
        <v>14</v>
      </c>
      <c r="F58" t="s">
        <v>15</v>
      </c>
      <c r="G58" t="s">
        <v>36</v>
      </c>
      <c r="H58" t="s">
        <v>37</v>
      </c>
      <c r="I58">
        <v>101.63829571143999</v>
      </c>
      <c r="J58">
        <v>95.629262636448004</v>
      </c>
      <c r="K58">
        <v>101.63829571143999</v>
      </c>
      <c r="L58">
        <v>2551.0100000000002</v>
      </c>
    </row>
    <row r="59" spans="1:12" hidden="1" x14ac:dyDescent="0.25">
      <c r="A59">
        <v>2016</v>
      </c>
      <c r="B59" t="s">
        <v>12</v>
      </c>
      <c r="C59">
        <v>205.3</v>
      </c>
      <c r="D59" t="s">
        <v>13</v>
      </c>
      <c r="E59" t="s">
        <v>14</v>
      </c>
      <c r="F59" t="s">
        <v>15</v>
      </c>
      <c r="G59" t="s">
        <v>38</v>
      </c>
      <c r="H59" t="s">
        <v>39</v>
      </c>
      <c r="I59">
        <v>101.63829571143999</v>
      </c>
      <c r="J59">
        <v>95.629262636448004</v>
      </c>
      <c r="K59">
        <v>101.63829571143999</v>
      </c>
      <c r="L59">
        <v>205.3</v>
      </c>
    </row>
    <row r="60" spans="1:12" hidden="1" x14ac:dyDescent="0.25">
      <c r="A60">
        <v>2016</v>
      </c>
      <c r="B60" t="s">
        <v>12</v>
      </c>
      <c r="C60">
        <v>1814.16</v>
      </c>
      <c r="D60" t="s">
        <v>13</v>
      </c>
      <c r="E60" t="s">
        <v>14</v>
      </c>
      <c r="F60" t="s">
        <v>15</v>
      </c>
      <c r="G60" t="s">
        <v>40</v>
      </c>
      <c r="H60" t="s">
        <v>41</v>
      </c>
      <c r="I60">
        <v>101.63829571143999</v>
      </c>
      <c r="J60">
        <v>95.629262636448004</v>
      </c>
      <c r="K60">
        <v>101.63829571143999</v>
      </c>
      <c r="L60">
        <v>1814.16</v>
      </c>
    </row>
    <row r="61" spans="1:12" hidden="1" x14ac:dyDescent="0.25">
      <c r="A61">
        <v>2016</v>
      </c>
      <c r="B61" t="s">
        <v>12</v>
      </c>
      <c r="C61">
        <v>2507.21</v>
      </c>
      <c r="D61" t="s">
        <v>13</v>
      </c>
      <c r="E61" t="s">
        <v>14</v>
      </c>
      <c r="F61" t="s">
        <v>15</v>
      </c>
      <c r="G61" t="s">
        <v>42</v>
      </c>
      <c r="H61" t="s">
        <v>43</v>
      </c>
      <c r="I61">
        <v>89.680336785110001</v>
      </c>
      <c r="J61">
        <v>95.629262636448004</v>
      </c>
      <c r="K61">
        <v>89.680336785110001</v>
      </c>
      <c r="L61">
        <v>2507.21</v>
      </c>
    </row>
    <row r="62" spans="1:12" hidden="1" x14ac:dyDescent="0.25">
      <c r="A62">
        <v>2016</v>
      </c>
      <c r="B62" t="s">
        <v>12</v>
      </c>
      <c r="C62">
        <v>285.55</v>
      </c>
      <c r="D62" t="s">
        <v>13</v>
      </c>
      <c r="E62" t="s">
        <v>14</v>
      </c>
      <c r="F62" t="s">
        <v>15</v>
      </c>
      <c r="G62" t="s">
        <v>44</v>
      </c>
      <c r="H62" t="s">
        <v>45</v>
      </c>
      <c r="I62">
        <v>89.680336785110001</v>
      </c>
      <c r="J62">
        <v>95.629262636448004</v>
      </c>
      <c r="K62">
        <v>89.680336785110001</v>
      </c>
      <c r="L62">
        <v>285.55</v>
      </c>
    </row>
    <row r="63" spans="1:12" hidden="1" x14ac:dyDescent="0.25">
      <c r="A63">
        <v>2016</v>
      </c>
      <c r="B63" t="s">
        <v>12</v>
      </c>
      <c r="C63">
        <v>2287.7199999999998</v>
      </c>
      <c r="D63" t="s">
        <v>13</v>
      </c>
      <c r="E63" t="s">
        <v>14</v>
      </c>
      <c r="F63" t="s">
        <v>15</v>
      </c>
      <c r="G63" t="s">
        <v>46</v>
      </c>
      <c r="H63" t="s">
        <v>47</v>
      </c>
      <c r="I63">
        <v>101.10423088160999</v>
      </c>
      <c r="J63">
        <v>95.629262636448004</v>
      </c>
      <c r="K63">
        <v>101.10423088160999</v>
      </c>
      <c r="L63">
        <v>2287.7199999999998</v>
      </c>
    </row>
    <row r="64" spans="1:12" hidden="1" x14ac:dyDescent="0.25">
      <c r="A64">
        <v>2016</v>
      </c>
      <c r="B64" t="s">
        <v>12</v>
      </c>
      <c r="C64">
        <v>14.21</v>
      </c>
      <c r="D64" t="s">
        <v>13</v>
      </c>
      <c r="E64" t="s">
        <v>14</v>
      </c>
      <c r="F64" t="s">
        <v>15</v>
      </c>
      <c r="G64" t="s">
        <v>48</v>
      </c>
      <c r="H64" t="s">
        <v>49</v>
      </c>
      <c r="I64">
        <v>101.10423088160999</v>
      </c>
      <c r="J64">
        <v>95.629262636448004</v>
      </c>
      <c r="K64">
        <v>101.10423088160999</v>
      </c>
      <c r="L64">
        <v>14.21</v>
      </c>
    </row>
    <row r="65" spans="1:12" hidden="1" x14ac:dyDescent="0.25">
      <c r="A65">
        <v>2016</v>
      </c>
      <c r="B65" t="s">
        <v>12</v>
      </c>
      <c r="C65">
        <v>220.57</v>
      </c>
      <c r="D65" t="s">
        <v>13</v>
      </c>
      <c r="E65" t="s">
        <v>14</v>
      </c>
      <c r="F65" t="s">
        <v>15</v>
      </c>
      <c r="G65" t="s">
        <v>50</v>
      </c>
      <c r="H65" t="s">
        <v>51</v>
      </c>
      <c r="I65">
        <v>101.10423088160999</v>
      </c>
      <c r="J65">
        <v>95.629262636448004</v>
      </c>
      <c r="K65">
        <v>101.10423088160999</v>
      </c>
      <c r="L65">
        <v>220.57</v>
      </c>
    </row>
    <row r="66" spans="1:12" hidden="1" x14ac:dyDescent="0.25">
      <c r="A66">
        <v>2016</v>
      </c>
      <c r="B66" t="s">
        <v>12</v>
      </c>
      <c r="C66">
        <v>1289.53</v>
      </c>
      <c r="D66" t="s">
        <v>13</v>
      </c>
      <c r="E66" t="s">
        <v>14</v>
      </c>
      <c r="F66" t="s">
        <v>15</v>
      </c>
      <c r="G66" t="s">
        <v>52</v>
      </c>
      <c r="H66" t="s">
        <v>53</v>
      </c>
      <c r="I66">
        <v>101.10423088160999</v>
      </c>
      <c r="J66">
        <v>95.629262636448004</v>
      </c>
      <c r="K66">
        <v>101.10423088160999</v>
      </c>
      <c r="L66">
        <v>1289.53</v>
      </c>
    </row>
    <row r="67" spans="1:12" hidden="1" x14ac:dyDescent="0.25">
      <c r="A67">
        <v>2016</v>
      </c>
      <c r="B67" t="s">
        <v>12</v>
      </c>
      <c r="C67">
        <v>14.88</v>
      </c>
      <c r="D67" t="s">
        <v>13</v>
      </c>
      <c r="E67" t="s">
        <v>14</v>
      </c>
      <c r="F67" t="s">
        <v>15</v>
      </c>
      <c r="G67" t="s">
        <v>54</v>
      </c>
      <c r="H67" t="s">
        <v>55</v>
      </c>
      <c r="I67">
        <v>101.10423088160999</v>
      </c>
      <c r="J67">
        <v>95.629262636448004</v>
      </c>
      <c r="K67">
        <v>101.10423088160999</v>
      </c>
      <c r="L67">
        <v>14.88</v>
      </c>
    </row>
    <row r="68" spans="1:12" hidden="1" x14ac:dyDescent="0.25">
      <c r="A68">
        <v>2016</v>
      </c>
      <c r="B68" t="s">
        <v>12</v>
      </c>
      <c r="C68">
        <v>11.78</v>
      </c>
      <c r="D68" t="s">
        <v>13</v>
      </c>
      <c r="E68" t="s">
        <v>14</v>
      </c>
      <c r="F68" t="s">
        <v>15</v>
      </c>
      <c r="G68" t="s">
        <v>56</v>
      </c>
      <c r="H68" t="s">
        <v>57</v>
      </c>
      <c r="I68">
        <v>101.10423088160999</v>
      </c>
      <c r="J68">
        <v>95.629262636448004</v>
      </c>
      <c r="K68">
        <v>101.10423088160999</v>
      </c>
      <c r="L68">
        <v>11.78</v>
      </c>
    </row>
    <row r="69" spans="1:12" hidden="1" x14ac:dyDescent="0.25">
      <c r="A69">
        <v>2016</v>
      </c>
      <c r="B69" t="s">
        <v>12</v>
      </c>
      <c r="C69">
        <v>96.15</v>
      </c>
      <c r="D69" t="s">
        <v>13</v>
      </c>
      <c r="E69" t="s">
        <v>14</v>
      </c>
      <c r="F69" t="s">
        <v>15</v>
      </c>
      <c r="G69" t="s">
        <v>58</v>
      </c>
      <c r="H69" t="s">
        <v>59</v>
      </c>
      <c r="I69">
        <v>106.15763962638999</v>
      </c>
      <c r="J69">
        <v>95.629262636448004</v>
      </c>
      <c r="K69">
        <v>106.15763962638999</v>
      </c>
      <c r="L69">
        <v>96.15</v>
      </c>
    </row>
    <row r="70" spans="1:12" hidden="1" x14ac:dyDescent="0.25">
      <c r="A70">
        <v>2016</v>
      </c>
      <c r="B70" t="s">
        <v>12</v>
      </c>
      <c r="C70">
        <v>87.53</v>
      </c>
      <c r="D70" t="s">
        <v>13</v>
      </c>
      <c r="E70" t="s">
        <v>14</v>
      </c>
      <c r="F70" t="s">
        <v>15</v>
      </c>
      <c r="G70" t="s">
        <v>60</v>
      </c>
      <c r="H70" t="s">
        <v>61</v>
      </c>
      <c r="J70">
        <v>95.629262636448004</v>
      </c>
      <c r="K70">
        <v>95.629262636448004</v>
      </c>
      <c r="L70">
        <v>87.53</v>
      </c>
    </row>
    <row r="71" spans="1:12" hidden="1" x14ac:dyDescent="0.25">
      <c r="A71">
        <v>2016</v>
      </c>
      <c r="B71" t="s">
        <v>12</v>
      </c>
      <c r="C71">
        <v>152.44</v>
      </c>
      <c r="D71" t="s">
        <v>13</v>
      </c>
      <c r="E71" t="s">
        <v>14</v>
      </c>
      <c r="F71" t="s">
        <v>15</v>
      </c>
      <c r="G71" t="s">
        <v>62</v>
      </c>
      <c r="H71" t="s">
        <v>63</v>
      </c>
      <c r="I71">
        <v>101.10423088160999</v>
      </c>
      <c r="J71">
        <v>95.629262636448004</v>
      </c>
      <c r="K71">
        <v>101.10423088160999</v>
      </c>
      <c r="L71">
        <v>152.44</v>
      </c>
    </row>
    <row r="72" spans="1:12" hidden="1" x14ac:dyDescent="0.25">
      <c r="A72">
        <v>2015</v>
      </c>
      <c r="B72" t="s">
        <v>12</v>
      </c>
      <c r="C72">
        <v>-135.49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J72">
        <v>96.211353938038002</v>
      </c>
      <c r="K72">
        <v>96.211353938038002</v>
      </c>
      <c r="L72">
        <v>-135.49</v>
      </c>
    </row>
    <row r="73" spans="1:12" hidden="1" x14ac:dyDescent="0.25">
      <c r="A73">
        <v>2015</v>
      </c>
      <c r="B73" t="s">
        <v>12</v>
      </c>
      <c r="C73">
        <v>17532.580000000002</v>
      </c>
      <c r="D73" t="s">
        <v>13</v>
      </c>
      <c r="E73" t="s">
        <v>14</v>
      </c>
      <c r="F73" t="s">
        <v>15</v>
      </c>
      <c r="G73" t="s">
        <v>18</v>
      </c>
      <c r="H73" t="s">
        <v>19</v>
      </c>
      <c r="I73">
        <v>92.136318280468004</v>
      </c>
      <c r="J73">
        <v>96.211353938038002</v>
      </c>
      <c r="K73">
        <v>92.136318280468004</v>
      </c>
      <c r="L73">
        <v>17532.580000000002</v>
      </c>
    </row>
    <row r="74" spans="1:12" hidden="1" x14ac:dyDescent="0.25">
      <c r="A74">
        <v>2015</v>
      </c>
      <c r="B74" t="s">
        <v>12</v>
      </c>
      <c r="C74">
        <v>881.62</v>
      </c>
      <c r="D74" t="s">
        <v>13</v>
      </c>
      <c r="E74" t="s">
        <v>14</v>
      </c>
      <c r="F74" t="s">
        <v>15</v>
      </c>
      <c r="G74" t="s">
        <v>20</v>
      </c>
      <c r="H74" t="s">
        <v>21</v>
      </c>
      <c r="I74">
        <v>100.22588687651999</v>
      </c>
      <c r="J74">
        <v>96.211353938038002</v>
      </c>
      <c r="K74">
        <v>100.22588687651999</v>
      </c>
      <c r="L74">
        <v>881.62</v>
      </c>
    </row>
    <row r="75" spans="1:12" hidden="1" x14ac:dyDescent="0.25">
      <c r="A75">
        <v>2015</v>
      </c>
      <c r="B75" t="s">
        <v>12</v>
      </c>
      <c r="C75">
        <v>180.43</v>
      </c>
      <c r="D75" t="s">
        <v>13</v>
      </c>
      <c r="E75" t="s">
        <v>14</v>
      </c>
      <c r="F75" t="s">
        <v>15</v>
      </c>
      <c r="G75" t="s">
        <v>22</v>
      </c>
      <c r="H75" t="s">
        <v>23</v>
      </c>
      <c r="I75">
        <v>107.52442116425</v>
      </c>
      <c r="J75">
        <v>96.211353938038002</v>
      </c>
      <c r="K75">
        <v>107.52442116425</v>
      </c>
      <c r="L75">
        <v>180.43</v>
      </c>
    </row>
    <row r="76" spans="1:12" hidden="1" x14ac:dyDescent="0.25">
      <c r="A76">
        <v>2015</v>
      </c>
      <c r="B76" t="s">
        <v>12</v>
      </c>
      <c r="C76">
        <v>99.43</v>
      </c>
      <c r="D76" t="s">
        <v>13</v>
      </c>
      <c r="E76" t="s">
        <v>14</v>
      </c>
      <c r="F76" t="s">
        <v>15</v>
      </c>
      <c r="G76" t="s">
        <v>24</v>
      </c>
      <c r="H76" t="s">
        <v>25</v>
      </c>
      <c r="I76">
        <v>107.52442116425</v>
      </c>
      <c r="J76">
        <v>96.211353938038002</v>
      </c>
      <c r="K76">
        <v>107.52442116425</v>
      </c>
      <c r="L76">
        <v>99.43</v>
      </c>
    </row>
    <row r="77" spans="1:12" hidden="1" x14ac:dyDescent="0.25">
      <c r="A77">
        <v>2015</v>
      </c>
      <c r="B77" t="s">
        <v>12</v>
      </c>
      <c r="C77">
        <v>127.9</v>
      </c>
      <c r="D77" t="s">
        <v>13</v>
      </c>
      <c r="E77" t="s">
        <v>14</v>
      </c>
      <c r="F77" t="s">
        <v>15</v>
      </c>
      <c r="G77" t="s">
        <v>26</v>
      </c>
      <c r="H77" t="s">
        <v>27</v>
      </c>
      <c r="I77">
        <v>107.52442116425</v>
      </c>
      <c r="J77">
        <v>96.211353938038002</v>
      </c>
      <c r="K77">
        <v>107.52442116425</v>
      </c>
      <c r="L77">
        <v>127.9</v>
      </c>
    </row>
    <row r="78" spans="1:12" hidden="1" x14ac:dyDescent="0.25">
      <c r="A78">
        <v>2015</v>
      </c>
      <c r="B78" t="s">
        <v>12</v>
      </c>
      <c r="C78">
        <v>12511.49</v>
      </c>
      <c r="D78" t="s">
        <v>13</v>
      </c>
      <c r="E78" t="s">
        <v>14</v>
      </c>
      <c r="F78" t="s">
        <v>15</v>
      </c>
      <c r="G78" t="s">
        <v>28</v>
      </c>
      <c r="H78" t="s">
        <v>29</v>
      </c>
      <c r="I78">
        <v>107.1615082093</v>
      </c>
      <c r="J78">
        <v>96.211353938038002</v>
      </c>
      <c r="K78">
        <v>107.1615082093</v>
      </c>
      <c r="L78">
        <v>12511.49</v>
      </c>
    </row>
    <row r="79" spans="1:12" hidden="1" x14ac:dyDescent="0.25">
      <c r="A79">
        <v>2015</v>
      </c>
      <c r="B79" t="s">
        <v>12</v>
      </c>
      <c r="C79">
        <v>3382.26</v>
      </c>
      <c r="D79" t="s">
        <v>13</v>
      </c>
      <c r="E79" t="s">
        <v>14</v>
      </c>
      <c r="F79" t="s">
        <v>15</v>
      </c>
      <c r="G79" t="s">
        <v>30</v>
      </c>
      <c r="H79" t="s">
        <v>31</v>
      </c>
      <c r="I79">
        <v>72.105553335238</v>
      </c>
      <c r="J79">
        <v>96.211353938038002</v>
      </c>
      <c r="K79">
        <v>72.105553335238</v>
      </c>
      <c r="L79">
        <v>3382.26</v>
      </c>
    </row>
    <row r="80" spans="1:12" hidden="1" x14ac:dyDescent="0.25">
      <c r="A80">
        <v>2015</v>
      </c>
      <c r="B80" t="s">
        <v>12</v>
      </c>
      <c r="C80">
        <v>335.56</v>
      </c>
      <c r="D80" t="s">
        <v>13</v>
      </c>
      <c r="E80" t="s">
        <v>14</v>
      </c>
      <c r="F80" t="s">
        <v>15</v>
      </c>
      <c r="G80" t="s">
        <v>32</v>
      </c>
      <c r="H80" t="s">
        <v>33</v>
      </c>
      <c r="I80">
        <v>72.105553335238</v>
      </c>
      <c r="J80">
        <v>96.211353938038002</v>
      </c>
      <c r="K80">
        <v>72.105553335238</v>
      </c>
      <c r="L80">
        <v>335.56</v>
      </c>
    </row>
    <row r="81" spans="1:12" hidden="1" x14ac:dyDescent="0.25">
      <c r="A81">
        <v>2015</v>
      </c>
      <c r="B81" t="s">
        <v>12</v>
      </c>
      <c r="C81">
        <v>4405.05</v>
      </c>
      <c r="D81" t="s">
        <v>13</v>
      </c>
      <c r="E81" t="s">
        <v>14</v>
      </c>
      <c r="F81" t="s">
        <v>15</v>
      </c>
      <c r="G81" t="s">
        <v>36</v>
      </c>
      <c r="H81" t="s">
        <v>37</v>
      </c>
      <c r="I81">
        <v>109.79561218418</v>
      </c>
      <c r="J81">
        <v>96.211353938038002</v>
      </c>
      <c r="K81">
        <v>109.79561218418</v>
      </c>
      <c r="L81">
        <v>4405.05</v>
      </c>
    </row>
    <row r="82" spans="1:12" hidden="1" x14ac:dyDescent="0.25">
      <c r="A82">
        <v>2015</v>
      </c>
      <c r="B82" t="s">
        <v>12</v>
      </c>
      <c r="C82">
        <v>218.08</v>
      </c>
      <c r="D82" t="s">
        <v>13</v>
      </c>
      <c r="E82" t="s">
        <v>14</v>
      </c>
      <c r="F82" t="s">
        <v>15</v>
      </c>
      <c r="G82" t="s">
        <v>38</v>
      </c>
      <c r="H82" t="s">
        <v>39</v>
      </c>
      <c r="I82">
        <v>109.79561218418</v>
      </c>
      <c r="J82">
        <v>96.211353938038002</v>
      </c>
      <c r="K82">
        <v>109.79561218418</v>
      </c>
      <c r="L82">
        <v>218.08</v>
      </c>
    </row>
    <row r="83" spans="1:12" hidden="1" x14ac:dyDescent="0.25">
      <c r="A83">
        <v>2015</v>
      </c>
      <c r="B83" t="s">
        <v>12</v>
      </c>
      <c r="C83">
        <v>2316.0500000000002</v>
      </c>
      <c r="D83" t="s">
        <v>13</v>
      </c>
      <c r="E83" t="s">
        <v>14</v>
      </c>
      <c r="F83" t="s">
        <v>15</v>
      </c>
      <c r="G83" t="s">
        <v>40</v>
      </c>
      <c r="H83" t="s">
        <v>41</v>
      </c>
      <c r="I83">
        <v>109.79561218418</v>
      </c>
      <c r="J83">
        <v>96.211353938038002</v>
      </c>
      <c r="K83">
        <v>109.79561218418</v>
      </c>
      <c r="L83">
        <v>2316.0500000000002</v>
      </c>
    </row>
    <row r="84" spans="1:12" hidden="1" x14ac:dyDescent="0.25">
      <c r="A84">
        <v>2015</v>
      </c>
      <c r="B84" t="s">
        <v>12</v>
      </c>
      <c r="C84">
        <v>3245.56</v>
      </c>
      <c r="D84" t="s">
        <v>13</v>
      </c>
      <c r="E84" t="s">
        <v>14</v>
      </c>
      <c r="F84" t="s">
        <v>15</v>
      </c>
      <c r="G84" t="s">
        <v>42</v>
      </c>
      <c r="H84" t="s">
        <v>43</v>
      </c>
      <c r="I84">
        <v>93.364041500221006</v>
      </c>
      <c r="J84">
        <v>96.211353938038002</v>
      </c>
      <c r="K84">
        <v>93.364041500221006</v>
      </c>
      <c r="L84">
        <v>3245.56</v>
      </c>
    </row>
    <row r="85" spans="1:12" hidden="1" x14ac:dyDescent="0.25">
      <c r="A85">
        <v>2015</v>
      </c>
      <c r="B85" t="s">
        <v>12</v>
      </c>
      <c r="C85">
        <v>1705.73</v>
      </c>
      <c r="D85" t="s">
        <v>13</v>
      </c>
      <c r="E85" t="s">
        <v>14</v>
      </c>
      <c r="F85" t="s">
        <v>15</v>
      </c>
      <c r="G85" t="s">
        <v>44</v>
      </c>
      <c r="H85" t="s">
        <v>45</v>
      </c>
      <c r="I85">
        <v>93.364041500221006</v>
      </c>
      <c r="J85">
        <v>96.211353938038002</v>
      </c>
      <c r="K85">
        <v>93.364041500221006</v>
      </c>
      <c r="L85">
        <v>1705.73</v>
      </c>
    </row>
    <row r="86" spans="1:12" hidden="1" x14ac:dyDescent="0.25">
      <c r="A86">
        <v>2015</v>
      </c>
      <c r="B86" t="s">
        <v>12</v>
      </c>
      <c r="C86">
        <v>2122.04</v>
      </c>
      <c r="D86" t="s">
        <v>13</v>
      </c>
      <c r="E86" t="s">
        <v>14</v>
      </c>
      <c r="F86" t="s">
        <v>15</v>
      </c>
      <c r="G86" t="s">
        <v>46</v>
      </c>
      <c r="H86" t="s">
        <v>47</v>
      </c>
      <c r="I86">
        <v>95.958177771508005</v>
      </c>
      <c r="J86">
        <v>96.211353938038002</v>
      </c>
      <c r="K86">
        <v>95.958177771508005</v>
      </c>
      <c r="L86">
        <v>2122.04</v>
      </c>
    </row>
    <row r="87" spans="1:12" hidden="1" x14ac:dyDescent="0.25">
      <c r="A87">
        <v>2015</v>
      </c>
      <c r="B87" t="s">
        <v>12</v>
      </c>
      <c r="C87">
        <v>13.11</v>
      </c>
      <c r="D87" t="s">
        <v>13</v>
      </c>
      <c r="E87" t="s">
        <v>14</v>
      </c>
      <c r="F87" t="s">
        <v>15</v>
      </c>
      <c r="G87" t="s">
        <v>48</v>
      </c>
      <c r="H87" t="s">
        <v>49</v>
      </c>
      <c r="I87">
        <v>95.958177771508005</v>
      </c>
      <c r="J87">
        <v>96.211353938038002</v>
      </c>
      <c r="K87">
        <v>95.958177771508005</v>
      </c>
      <c r="L87">
        <v>13.11</v>
      </c>
    </row>
    <row r="88" spans="1:12" hidden="1" x14ac:dyDescent="0.25">
      <c r="A88">
        <v>2015</v>
      </c>
      <c r="B88" t="s">
        <v>12</v>
      </c>
      <c r="C88">
        <v>179.86</v>
      </c>
      <c r="D88" t="s">
        <v>13</v>
      </c>
      <c r="E88" t="s">
        <v>14</v>
      </c>
      <c r="F88" t="s">
        <v>15</v>
      </c>
      <c r="G88" t="s">
        <v>50</v>
      </c>
      <c r="H88" t="s">
        <v>51</v>
      </c>
      <c r="I88">
        <v>95.958177771508005</v>
      </c>
      <c r="J88">
        <v>96.211353938038002</v>
      </c>
      <c r="K88">
        <v>95.958177771508005</v>
      </c>
      <c r="L88">
        <v>179.86</v>
      </c>
    </row>
    <row r="89" spans="1:12" hidden="1" x14ac:dyDescent="0.25">
      <c r="A89">
        <v>2015</v>
      </c>
      <c r="B89" t="s">
        <v>12</v>
      </c>
      <c r="C89">
        <v>1255.96</v>
      </c>
      <c r="D89" t="s">
        <v>13</v>
      </c>
      <c r="E89" t="s">
        <v>14</v>
      </c>
      <c r="F89" t="s">
        <v>15</v>
      </c>
      <c r="G89" t="s">
        <v>52</v>
      </c>
      <c r="H89" t="s">
        <v>53</v>
      </c>
      <c r="I89">
        <v>95.958177771508005</v>
      </c>
      <c r="J89">
        <v>96.211353938038002</v>
      </c>
      <c r="K89">
        <v>95.958177771508005</v>
      </c>
      <c r="L89">
        <v>1255.96</v>
      </c>
    </row>
    <row r="90" spans="1:12" hidden="1" x14ac:dyDescent="0.25">
      <c r="A90">
        <v>2015</v>
      </c>
      <c r="B90" t="s">
        <v>12</v>
      </c>
      <c r="C90">
        <v>17.739999999999998</v>
      </c>
      <c r="D90" t="s">
        <v>13</v>
      </c>
      <c r="E90" t="s">
        <v>14</v>
      </c>
      <c r="F90" t="s">
        <v>15</v>
      </c>
      <c r="G90" t="s">
        <v>54</v>
      </c>
      <c r="H90" t="s">
        <v>55</v>
      </c>
      <c r="I90">
        <v>95.958177771508005</v>
      </c>
      <c r="J90">
        <v>96.211353938038002</v>
      </c>
      <c r="K90">
        <v>95.958177771508005</v>
      </c>
      <c r="L90">
        <v>17.739999999999998</v>
      </c>
    </row>
    <row r="91" spans="1:12" hidden="1" x14ac:dyDescent="0.25">
      <c r="A91">
        <v>2015</v>
      </c>
      <c r="B91" t="s">
        <v>12</v>
      </c>
      <c r="C91">
        <v>1.8</v>
      </c>
      <c r="D91" t="s">
        <v>13</v>
      </c>
      <c r="E91" t="s">
        <v>14</v>
      </c>
      <c r="F91" t="s">
        <v>15</v>
      </c>
      <c r="G91" t="s">
        <v>56</v>
      </c>
      <c r="H91" t="s">
        <v>57</v>
      </c>
      <c r="I91">
        <v>95.958177771508005</v>
      </c>
      <c r="J91">
        <v>96.211353938038002</v>
      </c>
      <c r="K91">
        <v>95.958177771508005</v>
      </c>
      <c r="L91">
        <v>1.8</v>
      </c>
    </row>
    <row r="92" spans="1:12" hidden="1" x14ac:dyDescent="0.25">
      <c r="A92">
        <v>2015</v>
      </c>
      <c r="B92" t="s">
        <v>12</v>
      </c>
      <c r="C92">
        <v>770.99</v>
      </c>
      <c r="D92" t="s">
        <v>13</v>
      </c>
      <c r="E92" t="s">
        <v>14</v>
      </c>
      <c r="F92" t="s">
        <v>15</v>
      </c>
      <c r="G92" t="s">
        <v>58</v>
      </c>
      <c r="H92" t="s">
        <v>59</v>
      </c>
      <c r="I92">
        <v>107.1615082093</v>
      </c>
      <c r="J92">
        <v>96.211353938038002</v>
      </c>
      <c r="K92">
        <v>107.1615082093</v>
      </c>
      <c r="L92">
        <v>770.99</v>
      </c>
    </row>
    <row r="93" spans="1:12" hidden="1" x14ac:dyDescent="0.25">
      <c r="A93">
        <v>2015</v>
      </c>
      <c r="B93" t="s">
        <v>12</v>
      </c>
      <c r="C93">
        <v>16.23</v>
      </c>
      <c r="D93" t="s">
        <v>13</v>
      </c>
      <c r="E93" t="s">
        <v>14</v>
      </c>
      <c r="F93" t="s">
        <v>15</v>
      </c>
      <c r="G93" t="s">
        <v>60</v>
      </c>
      <c r="H93" t="s">
        <v>61</v>
      </c>
      <c r="J93">
        <v>96.211353938038002</v>
      </c>
      <c r="K93">
        <v>96.211353938038002</v>
      </c>
      <c r="L93">
        <v>16.23</v>
      </c>
    </row>
    <row r="94" spans="1:12" hidden="1" x14ac:dyDescent="0.25">
      <c r="A94">
        <v>2015</v>
      </c>
      <c r="B94" t="s">
        <v>12</v>
      </c>
      <c r="C94">
        <v>500.58</v>
      </c>
      <c r="D94" t="s">
        <v>13</v>
      </c>
      <c r="E94" t="s">
        <v>14</v>
      </c>
      <c r="F94" t="s">
        <v>15</v>
      </c>
      <c r="G94" t="s">
        <v>62</v>
      </c>
      <c r="H94" t="s">
        <v>63</v>
      </c>
      <c r="I94">
        <v>95.958177771508005</v>
      </c>
      <c r="J94">
        <v>96.211353938038002</v>
      </c>
      <c r="K94">
        <v>95.958177771508005</v>
      </c>
      <c r="L94">
        <v>500.58</v>
      </c>
    </row>
    <row r="95" spans="1:12" hidden="1" x14ac:dyDescent="0.25">
      <c r="A95">
        <v>2020</v>
      </c>
      <c r="B95" t="s">
        <v>12</v>
      </c>
      <c r="C95">
        <v>1670</v>
      </c>
      <c r="D95" t="s">
        <v>64</v>
      </c>
      <c r="E95" t="s">
        <v>14</v>
      </c>
      <c r="F95" t="s">
        <v>65</v>
      </c>
      <c r="G95" t="s">
        <v>42</v>
      </c>
      <c r="H95" t="s">
        <v>43</v>
      </c>
      <c r="I95">
        <v>104.48191541983</v>
      </c>
      <c r="J95">
        <v>103.59652904204</v>
      </c>
      <c r="K95">
        <v>104.48191541983</v>
      </c>
      <c r="L95">
        <v>1598.3627341531731</v>
      </c>
    </row>
    <row r="96" spans="1:12" hidden="1" x14ac:dyDescent="0.25">
      <c r="A96">
        <v>2020</v>
      </c>
      <c r="B96" t="s">
        <v>66</v>
      </c>
      <c r="C96">
        <v>12326</v>
      </c>
      <c r="D96" t="s">
        <v>64</v>
      </c>
      <c r="E96" t="s">
        <v>14</v>
      </c>
      <c r="F96" t="s">
        <v>65</v>
      </c>
      <c r="G96" t="s">
        <v>42</v>
      </c>
      <c r="H96" t="s">
        <v>43</v>
      </c>
      <c r="I96">
        <v>108.2</v>
      </c>
      <c r="J96">
        <v>108.6</v>
      </c>
      <c r="K96">
        <v>108.2</v>
      </c>
      <c r="L96">
        <v>11391.86691312384</v>
      </c>
    </row>
    <row r="97" spans="1:12" hidden="1" x14ac:dyDescent="0.25">
      <c r="A97">
        <v>2020</v>
      </c>
      <c r="B97" t="s">
        <v>12</v>
      </c>
      <c r="C97">
        <v>17287</v>
      </c>
      <c r="D97" t="s">
        <v>64</v>
      </c>
      <c r="E97" t="s">
        <v>14</v>
      </c>
      <c r="F97" t="s">
        <v>65</v>
      </c>
      <c r="G97" t="s">
        <v>18</v>
      </c>
      <c r="H97" t="s">
        <v>19</v>
      </c>
      <c r="I97">
        <v>107.43342807145</v>
      </c>
      <c r="J97">
        <v>103.59652904204</v>
      </c>
      <c r="K97">
        <v>107.43342807145</v>
      </c>
      <c r="L97">
        <v>16090.89490144823</v>
      </c>
    </row>
    <row r="98" spans="1:12" hidden="1" x14ac:dyDescent="0.25">
      <c r="A98">
        <v>2020</v>
      </c>
      <c r="B98" t="s">
        <v>66</v>
      </c>
      <c r="C98">
        <v>41828</v>
      </c>
      <c r="D98" t="s">
        <v>64</v>
      </c>
      <c r="E98" t="s">
        <v>14</v>
      </c>
      <c r="F98" t="s">
        <v>65</v>
      </c>
      <c r="G98" t="s">
        <v>18</v>
      </c>
      <c r="H98" t="s">
        <v>19</v>
      </c>
      <c r="I98">
        <v>107.1</v>
      </c>
      <c r="J98">
        <v>108.6</v>
      </c>
      <c r="K98">
        <v>107.1</v>
      </c>
      <c r="L98">
        <v>39055.088702147528</v>
      </c>
    </row>
    <row r="99" spans="1:12" hidden="1" x14ac:dyDescent="0.25">
      <c r="A99">
        <v>2020</v>
      </c>
      <c r="B99" t="s">
        <v>12</v>
      </c>
      <c r="C99">
        <v>1316</v>
      </c>
      <c r="D99" t="s">
        <v>64</v>
      </c>
      <c r="E99" t="s">
        <v>14</v>
      </c>
      <c r="F99" t="s">
        <v>65</v>
      </c>
      <c r="G99" t="s">
        <v>46</v>
      </c>
      <c r="H99" t="s">
        <v>47</v>
      </c>
      <c r="I99">
        <v>113.44450268036999</v>
      </c>
      <c r="J99">
        <v>103.59652904204</v>
      </c>
      <c r="K99">
        <v>113.44450268036999</v>
      </c>
      <c r="L99">
        <v>1160.038581779349</v>
      </c>
    </row>
    <row r="100" spans="1:12" hidden="1" x14ac:dyDescent="0.25">
      <c r="A100">
        <v>2020</v>
      </c>
      <c r="B100" t="s">
        <v>66</v>
      </c>
      <c r="C100">
        <v>12462</v>
      </c>
      <c r="D100" t="s">
        <v>64</v>
      </c>
      <c r="E100" t="s">
        <v>14</v>
      </c>
      <c r="F100" t="s">
        <v>65</v>
      </c>
      <c r="G100" t="s">
        <v>46</v>
      </c>
      <c r="H100" t="s">
        <v>47</v>
      </c>
      <c r="I100">
        <v>109.5</v>
      </c>
      <c r="J100">
        <v>108.6</v>
      </c>
      <c r="K100">
        <v>109.5</v>
      </c>
      <c r="L100">
        <v>11380.82191780822</v>
      </c>
    </row>
    <row r="101" spans="1:12" hidden="1" x14ac:dyDescent="0.25">
      <c r="A101">
        <v>2020</v>
      </c>
      <c r="B101" t="s">
        <v>12</v>
      </c>
      <c r="C101">
        <v>702</v>
      </c>
      <c r="D101" t="s">
        <v>64</v>
      </c>
      <c r="E101" t="s">
        <v>14</v>
      </c>
      <c r="F101" t="s">
        <v>65</v>
      </c>
      <c r="G101" t="s">
        <v>62</v>
      </c>
      <c r="H101" t="s">
        <v>63</v>
      </c>
      <c r="I101">
        <v>113.44450268036999</v>
      </c>
      <c r="J101">
        <v>103.59652904204</v>
      </c>
      <c r="K101">
        <v>113.44450268036999</v>
      </c>
      <c r="L101">
        <v>618.80477538685659</v>
      </c>
    </row>
    <row r="102" spans="1:12" hidden="1" x14ac:dyDescent="0.25">
      <c r="A102">
        <v>2020</v>
      </c>
      <c r="B102" t="s">
        <v>12</v>
      </c>
      <c r="C102">
        <v>6636</v>
      </c>
      <c r="D102" t="s">
        <v>64</v>
      </c>
      <c r="E102" t="s">
        <v>14</v>
      </c>
      <c r="F102" t="s">
        <v>65</v>
      </c>
      <c r="G102" t="s">
        <v>36</v>
      </c>
      <c r="H102" t="s">
        <v>37</v>
      </c>
      <c r="I102">
        <v>100.20302658438</v>
      </c>
      <c r="J102">
        <v>103.59652904204</v>
      </c>
      <c r="K102">
        <v>100.20302658438</v>
      </c>
      <c r="L102">
        <v>6622.5544538935555</v>
      </c>
    </row>
    <row r="103" spans="1:12" hidden="1" x14ac:dyDescent="0.25">
      <c r="A103">
        <v>2020</v>
      </c>
      <c r="B103" t="s">
        <v>66</v>
      </c>
      <c r="C103">
        <v>24894</v>
      </c>
      <c r="D103" t="s">
        <v>64</v>
      </c>
      <c r="E103" t="s">
        <v>14</v>
      </c>
      <c r="F103" t="s">
        <v>65</v>
      </c>
      <c r="G103" t="s">
        <v>36</v>
      </c>
      <c r="H103" t="s">
        <v>37</v>
      </c>
      <c r="I103">
        <v>103.9</v>
      </c>
      <c r="J103">
        <v>108.6</v>
      </c>
      <c r="K103">
        <v>103.9</v>
      </c>
      <c r="L103">
        <v>23959.57651588065</v>
      </c>
    </row>
    <row r="104" spans="1:12" hidden="1" x14ac:dyDescent="0.25">
      <c r="A104">
        <v>2020</v>
      </c>
      <c r="B104" t="s">
        <v>12</v>
      </c>
      <c r="C104">
        <v>1602</v>
      </c>
      <c r="D104" t="s">
        <v>64</v>
      </c>
      <c r="E104" t="s">
        <v>14</v>
      </c>
      <c r="F104" t="s">
        <v>65</v>
      </c>
      <c r="G104" t="s">
        <v>40</v>
      </c>
      <c r="H104" t="s">
        <v>41</v>
      </c>
      <c r="I104">
        <v>100.20302658438</v>
      </c>
      <c r="J104">
        <v>103.59652904204</v>
      </c>
      <c r="K104">
        <v>100.20302658438</v>
      </c>
      <c r="L104">
        <v>1598.75410414971</v>
      </c>
    </row>
    <row r="105" spans="1:12" hidden="1" x14ac:dyDescent="0.25">
      <c r="A105">
        <v>2020</v>
      </c>
      <c r="B105" t="s">
        <v>66</v>
      </c>
      <c r="C105">
        <v>10959</v>
      </c>
      <c r="D105" t="s">
        <v>64</v>
      </c>
      <c r="E105" t="s">
        <v>14</v>
      </c>
      <c r="F105" t="s">
        <v>65</v>
      </c>
      <c r="G105" t="s">
        <v>40</v>
      </c>
      <c r="H105" t="s">
        <v>41</v>
      </c>
      <c r="I105">
        <v>105.6</v>
      </c>
      <c r="J105">
        <v>108.6</v>
      </c>
      <c r="K105">
        <v>105.6</v>
      </c>
      <c r="L105">
        <v>10377.84090909091</v>
      </c>
    </row>
    <row r="106" spans="1:12" hidden="1" x14ac:dyDescent="0.25">
      <c r="A106">
        <v>2020</v>
      </c>
      <c r="B106" t="s">
        <v>12</v>
      </c>
      <c r="C106">
        <v>1496</v>
      </c>
      <c r="D106" t="s">
        <v>64</v>
      </c>
      <c r="E106" t="s">
        <v>14</v>
      </c>
      <c r="F106" t="s">
        <v>65</v>
      </c>
      <c r="G106" t="s">
        <v>44</v>
      </c>
      <c r="H106" t="s">
        <v>45</v>
      </c>
      <c r="I106">
        <v>104.48191541983</v>
      </c>
      <c r="J106">
        <v>103.59652904204</v>
      </c>
      <c r="K106">
        <v>104.48191541983</v>
      </c>
      <c r="L106">
        <v>1431.826736702483</v>
      </c>
    </row>
    <row r="107" spans="1:12" hidden="1" x14ac:dyDescent="0.25">
      <c r="A107">
        <v>2020</v>
      </c>
      <c r="B107" t="s">
        <v>66</v>
      </c>
      <c r="C107">
        <v>20188</v>
      </c>
      <c r="D107" t="s">
        <v>64</v>
      </c>
      <c r="E107" t="s">
        <v>14</v>
      </c>
      <c r="F107" t="s">
        <v>65</v>
      </c>
      <c r="G107" t="s">
        <v>44</v>
      </c>
      <c r="H107" t="s">
        <v>45</v>
      </c>
      <c r="I107">
        <v>111.8</v>
      </c>
      <c r="J107">
        <v>108.6</v>
      </c>
      <c r="K107">
        <v>111.8</v>
      </c>
      <c r="L107">
        <v>18057.245080500899</v>
      </c>
    </row>
    <row r="108" spans="1:12" hidden="1" x14ac:dyDescent="0.25">
      <c r="A108">
        <v>2020</v>
      </c>
      <c r="B108" t="s">
        <v>12</v>
      </c>
      <c r="C108">
        <v>550</v>
      </c>
      <c r="D108" t="s">
        <v>64</v>
      </c>
      <c r="E108" t="s">
        <v>14</v>
      </c>
      <c r="F108" t="s">
        <v>65</v>
      </c>
      <c r="G108" t="s">
        <v>52</v>
      </c>
      <c r="H108" t="s">
        <v>53</v>
      </c>
      <c r="I108">
        <v>113.44450268036999</v>
      </c>
      <c r="J108">
        <v>103.59652904204</v>
      </c>
      <c r="K108">
        <v>113.44450268036999</v>
      </c>
      <c r="L108">
        <v>484.81855621477371</v>
      </c>
    </row>
    <row r="109" spans="1:12" hidden="1" x14ac:dyDescent="0.25">
      <c r="A109">
        <v>2020</v>
      </c>
      <c r="B109" t="s">
        <v>66</v>
      </c>
      <c r="C109">
        <v>24882</v>
      </c>
      <c r="D109" t="s">
        <v>64</v>
      </c>
      <c r="E109" t="s">
        <v>14</v>
      </c>
      <c r="F109" t="s">
        <v>65</v>
      </c>
      <c r="G109" t="s">
        <v>52</v>
      </c>
      <c r="H109" t="s">
        <v>53</v>
      </c>
      <c r="I109">
        <v>110.3</v>
      </c>
      <c r="J109">
        <v>108.6</v>
      </c>
      <c r="K109">
        <v>110.3</v>
      </c>
      <c r="L109">
        <v>22558.476881233</v>
      </c>
    </row>
    <row r="110" spans="1:12" hidden="1" x14ac:dyDescent="0.25">
      <c r="A110">
        <v>2020</v>
      </c>
      <c r="B110" t="s">
        <v>12</v>
      </c>
      <c r="C110">
        <v>2992</v>
      </c>
      <c r="D110" t="s">
        <v>64</v>
      </c>
      <c r="E110" t="s">
        <v>14</v>
      </c>
      <c r="F110" t="s">
        <v>65</v>
      </c>
      <c r="G110" t="s">
        <v>20</v>
      </c>
      <c r="H110" t="s">
        <v>21</v>
      </c>
      <c r="I110">
        <v>123.69234493793</v>
      </c>
      <c r="J110">
        <v>103.59652904204</v>
      </c>
      <c r="K110">
        <v>123.69234493793</v>
      </c>
      <c r="L110">
        <v>2418.904744268058</v>
      </c>
    </row>
    <row r="111" spans="1:12" hidden="1" x14ac:dyDescent="0.25">
      <c r="A111">
        <v>2020</v>
      </c>
      <c r="B111" t="s">
        <v>66</v>
      </c>
      <c r="C111">
        <v>12988</v>
      </c>
      <c r="D111" t="s">
        <v>64</v>
      </c>
      <c r="E111" t="s">
        <v>14</v>
      </c>
      <c r="F111" t="s">
        <v>65</v>
      </c>
      <c r="G111" t="s">
        <v>20</v>
      </c>
      <c r="H111" t="s">
        <v>21</v>
      </c>
      <c r="I111">
        <v>109.5</v>
      </c>
      <c r="J111">
        <v>108.6</v>
      </c>
      <c r="K111">
        <v>109.5</v>
      </c>
      <c r="L111">
        <v>11861.187214611869</v>
      </c>
    </row>
    <row r="112" spans="1:12" hidden="1" x14ac:dyDescent="0.25">
      <c r="A112">
        <v>2020</v>
      </c>
      <c r="B112" t="s">
        <v>12</v>
      </c>
      <c r="C112">
        <v>305</v>
      </c>
      <c r="D112" t="s">
        <v>64</v>
      </c>
      <c r="E112" t="s">
        <v>14</v>
      </c>
      <c r="F112" t="s">
        <v>65</v>
      </c>
      <c r="G112" t="s">
        <v>58</v>
      </c>
      <c r="H112" t="s">
        <v>59</v>
      </c>
      <c r="I112">
        <v>110.87139466242</v>
      </c>
      <c r="J112">
        <v>103.59652904204</v>
      </c>
      <c r="K112">
        <v>110.87139466242</v>
      </c>
      <c r="L112">
        <v>275.09349993175482</v>
      </c>
    </row>
    <row r="113" spans="1:12" hidden="1" x14ac:dyDescent="0.25">
      <c r="A113">
        <v>2020</v>
      </c>
      <c r="B113" t="s">
        <v>66</v>
      </c>
      <c r="C113">
        <v>337</v>
      </c>
      <c r="D113" t="s">
        <v>64</v>
      </c>
      <c r="E113" t="s">
        <v>14</v>
      </c>
      <c r="F113" t="s">
        <v>65</v>
      </c>
      <c r="G113" t="s">
        <v>58</v>
      </c>
      <c r="H113" t="s">
        <v>59</v>
      </c>
      <c r="I113">
        <v>108.5</v>
      </c>
      <c r="J113">
        <v>108.6</v>
      </c>
      <c r="K113">
        <v>108.5</v>
      </c>
      <c r="L113">
        <v>310.59907834101381</v>
      </c>
    </row>
    <row r="114" spans="1:12" hidden="1" x14ac:dyDescent="0.25">
      <c r="A114">
        <v>2020</v>
      </c>
      <c r="B114" t="s">
        <v>12</v>
      </c>
      <c r="C114">
        <v>167</v>
      </c>
      <c r="D114" t="s">
        <v>64</v>
      </c>
      <c r="E114" t="s">
        <v>14</v>
      </c>
      <c r="F114" t="s">
        <v>65</v>
      </c>
      <c r="G114" t="s">
        <v>22</v>
      </c>
      <c r="H114" t="s">
        <v>23</v>
      </c>
      <c r="I114">
        <v>71.728747032472995</v>
      </c>
      <c r="J114">
        <v>103.59652904204</v>
      </c>
      <c r="K114">
        <v>71.728747032472995</v>
      </c>
      <c r="L114">
        <v>232.82157699533761</v>
      </c>
    </row>
    <row r="115" spans="1:12" hidden="1" x14ac:dyDescent="0.25">
      <c r="A115">
        <v>2020</v>
      </c>
      <c r="B115" t="s">
        <v>66</v>
      </c>
      <c r="C115">
        <v>6910</v>
      </c>
      <c r="D115" t="s">
        <v>64</v>
      </c>
      <c r="E115" t="s">
        <v>14</v>
      </c>
      <c r="F115" t="s">
        <v>65</v>
      </c>
      <c r="G115" t="s">
        <v>22</v>
      </c>
      <c r="H115" t="s">
        <v>23</v>
      </c>
      <c r="I115">
        <v>105.5</v>
      </c>
      <c r="J115">
        <v>108.6</v>
      </c>
      <c r="K115">
        <v>105.5</v>
      </c>
      <c r="L115">
        <v>6549.7630331753553</v>
      </c>
    </row>
    <row r="116" spans="1:12" hidden="1" x14ac:dyDescent="0.25">
      <c r="A116">
        <v>2020</v>
      </c>
      <c r="B116" t="s">
        <v>12</v>
      </c>
      <c r="C116">
        <v>72</v>
      </c>
      <c r="D116" t="s">
        <v>64</v>
      </c>
      <c r="E116" t="s">
        <v>14</v>
      </c>
      <c r="F116" t="s">
        <v>65</v>
      </c>
      <c r="G116" t="s">
        <v>24</v>
      </c>
      <c r="H116" t="s">
        <v>25</v>
      </c>
      <c r="I116">
        <v>71.728747032472995</v>
      </c>
      <c r="J116">
        <v>103.59652904204</v>
      </c>
      <c r="K116">
        <v>71.728747032472995</v>
      </c>
      <c r="L116">
        <v>100.37816493212161</v>
      </c>
    </row>
    <row r="117" spans="1:12" hidden="1" x14ac:dyDescent="0.25">
      <c r="A117">
        <v>2020</v>
      </c>
      <c r="B117" t="s">
        <v>66</v>
      </c>
      <c r="C117">
        <v>1553</v>
      </c>
      <c r="D117" t="s">
        <v>64</v>
      </c>
      <c r="E117" t="s">
        <v>14</v>
      </c>
      <c r="F117" t="s">
        <v>65</v>
      </c>
      <c r="G117" t="s">
        <v>24</v>
      </c>
      <c r="H117" t="s">
        <v>25</v>
      </c>
      <c r="I117">
        <v>110.2</v>
      </c>
      <c r="J117">
        <v>108.6</v>
      </c>
      <c r="K117">
        <v>110.2</v>
      </c>
      <c r="L117">
        <v>1409.2558983666061</v>
      </c>
    </row>
    <row r="118" spans="1:12" hidden="1" x14ac:dyDescent="0.25">
      <c r="A118">
        <v>2020</v>
      </c>
      <c r="B118" t="s">
        <v>12</v>
      </c>
      <c r="C118">
        <v>2987</v>
      </c>
      <c r="D118" t="s">
        <v>64</v>
      </c>
      <c r="E118" t="s">
        <v>14</v>
      </c>
      <c r="F118" t="s">
        <v>65</v>
      </c>
      <c r="G118" t="s">
        <v>30</v>
      </c>
      <c r="H118" t="s">
        <v>31</v>
      </c>
      <c r="I118">
        <v>65.215368011810995</v>
      </c>
      <c r="J118">
        <v>103.59652904204</v>
      </c>
      <c r="K118">
        <v>65.215368011810995</v>
      </c>
      <c r="L118">
        <v>4580.2087622338213</v>
      </c>
    </row>
    <row r="119" spans="1:12" hidden="1" x14ac:dyDescent="0.25">
      <c r="A119">
        <v>2020</v>
      </c>
      <c r="B119" t="s">
        <v>66</v>
      </c>
      <c r="C119">
        <v>7962</v>
      </c>
      <c r="D119" t="s">
        <v>64</v>
      </c>
      <c r="E119" t="s">
        <v>14</v>
      </c>
      <c r="F119" t="s">
        <v>65</v>
      </c>
      <c r="G119" t="s">
        <v>30</v>
      </c>
      <c r="H119" t="s">
        <v>31</v>
      </c>
      <c r="I119">
        <v>107.4</v>
      </c>
      <c r="J119">
        <v>108.6</v>
      </c>
      <c r="K119">
        <v>107.4</v>
      </c>
      <c r="L119">
        <v>7413.4078212290506</v>
      </c>
    </row>
    <row r="120" spans="1:12" hidden="1" x14ac:dyDescent="0.25">
      <c r="A120">
        <v>2020</v>
      </c>
      <c r="B120" t="s">
        <v>12</v>
      </c>
      <c r="C120">
        <v>2285</v>
      </c>
      <c r="D120" t="s">
        <v>64</v>
      </c>
      <c r="E120" t="s">
        <v>14</v>
      </c>
      <c r="F120" t="s">
        <v>65</v>
      </c>
      <c r="G120" t="s">
        <v>28</v>
      </c>
      <c r="H120" t="s">
        <v>29</v>
      </c>
      <c r="I120">
        <v>110.87139466242</v>
      </c>
      <c r="J120">
        <v>103.59652904204</v>
      </c>
      <c r="K120">
        <v>110.87139466242</v>
      </c>
      <c r="L120">
        <v>2060.9463847346219</v>
      </c>
    </row>
    <row r="121" spans="1:12" hidden="1" x14ac:dyDescent="0.25">
      <c r="A121">
        <v>2020</v>
      </c>
      <c r="B121" t="s">
        <v>66</v>
      </c>
      <c r="C121">
        <v>810</v>
      </c>
      <c r="D121" t="s">
        <v>64</v>
      </c>
      <c r="E121" t="s">
        <v>14</v>
      </c>
      <c r="F121" t="s">
        <v>65</v>
      </c>
      <c r="G121" t="s">
        <v>28</v>
      </c>
      <c r="H121" t="s">
        <v>29</v>
      </c>
      <c r="I121">
        <v>108.1</v>
      </c>
      <c r="J121">
        <v>108.6</v>
      </c>
      <c r="K121">
        <v>108.1</v>
      </c>
      <c r="L121">
        <v>749.30619796484746</v>
      </c>
    </row>
    <row r="122" spans="1:12" hidden="1" x14ac:dyDescent="0.25">
      <c r="A122">
        <v>2020</v>
      </c>
      <c r="B122" t="s">
        <v>12</v>
      </c>
      <c r="C122">
        <v>188</v>
      </c>
      <c r="D122" t="s">
        <v>64</v>
      </c>
      <c r="E122" t="s">
        <v>14</v>
      </c>
      <c r="F122" t="s">
        <v>65</v>
      </c>
      <c r="G122" t="s">
        <v>32</v>
      </c>
      <c r="H122" t="s">
        <v>33</v>
      </c>
      <c r="I122">
        <v>65.215368011810995</v>
      </c>
      <c r="J122">
        <v>103.59652904204</v>
      </c>
      <c r="K122">
        <v>65.215368011810995</v>
      </c>
      <c r="L122">
        <v>288.27561007698642</v>
      </c>
    </row>
    <row r="123" spans="1:12" hidden="1" x14ac:dyDescent="0.25">
      <c r="A123">
        <v>2020</v>
      </c>
      <c r="B123" t="s">
        <v>66</v>
      </c>
      <c r="C123">
        <v>306</v>
      </c>
      <c r="D123" t="s">
        <v>64</v>
      </c>
      <c r="E123" t="s">
        <v>14</v>
      </c>
      <c r="F123" t="s">
        <v>65</v>
      </c>
      <c r="G123" t="s">
        <v>32</v>
      </c>
      <c r="H123" t="s">
        <v>33</v>
      </c>
      <c r="I123">
        <v>109.7</v>
      </c>
      <c r="J123">
        <v>108.6</v>
      </c>
      <c r="K123">
        <v>109.7</v>
      </c>
      <c r="L123">
        <v>278.94257064721972</v>
      </c>
    </row>
    <row r="124" spans="1:12" hidden="1" x14ac:dyDescent="0.25">
      <c r="A124">
        <v>2020</v>
      </c>
      <c r="B124" t="s">
        <v>12</v>
      </c>
      <c r="C124">
        <v>495</v>
      </c>
      <c r="D124" t="s">
        <v>64</v>
      </c>
      <c r="E124" t="s">
        <v>14</v>
      </c>
      <c r="F124" t="s">
        <v>65</v>
      </c>
      <c r="G124" t="s">
        <v>50</v>
      </c>
      <c r="H124" t="s">
        <v>51</v>
      </c>
      <c r="I124">
        <v>113.44450268036999</v>
      </c>
      <c r="J124">
        <v>103.59652904204</v>
      </c>
      <c r="K124">
        <v>113.44450268036999</v>
      </c>
      <c r="L124">
        <v>436.33670059329631</v>
      </c>
    </row>
    <row r="125" spans="1:12" hidden="1" x14ac:dyDescent="0.25">
      <c r="A125">
        <v>2020</v>
      </c>
      <c r="B125" t="s">
        <v>66</v>
      </c>
      <c r="C125">
        <v>17999</v>
      </c>
      <c r="D125" t="s">
        <v>64</v>
      </c>
      <c r="E125" t="s">
        <v>14</v>
      </c>
      <c r="F125" t="s">
        <v>65</v>
      </c>
      <c r="G125" t="s">
        <v>50</v>
      </c>
      <c r="H125" t="s">
        <v>51</v>
      </c>
      <c r="I125">
        <v>107.4</v>
      </c>
      <c r="J125">
        <v>108.6</v>
      </c>
      <c r="K125">
        <v>107.4</v>
      </c>
      <c r="L125">
        <v>16758.84543761639</v>
      </c>
    </row>
    <row r="126" spans="1:12" hidden="1" x14ac:dyDescent="0.25">
      <c r="A126">
        <v>2020</v>
      </c>
      <c r="B126" t="s">
        <v>12</v>
      </c>
      <c r="C126">
        <v>56</v>
      </c>
      <c r="D126" t="s">
        <v>64</v>
      </c>
      <c r="E126" t="s">
        <v>14</v>
      </c>
      <c r="F126" t="s">
        <v>65</v>
      </c>
      <c r="G126" t="s">
        <v>56</v>
      </c>
      <c r="H126" t="s">
        <v>57</v>
      </c>
      <c r="I126">
        <v>113.44450268036999</v>
      </c>
      <c r="J126">
        <v>103.59652904204</v>
      </c>
      <c r="K126">
        <v>113.44450268036999</v>
      </c>
      <c r="L126">
        <v>49.363343905504223</v>
      </c>
    </row>
    <row r="127" spans="1:12" hidden="1" x14ac:dyDescent="0.25">
      <c r="A127">
        <v>2020</v>
      </c>
      <c r="B127" t="s">
        <v>66</v>
      </c>
      <c r="C127">
        <v>821</v>
      </c>
      <c r="D127" t="s">
        <v>64</v>
      </c>
      <c r="E127" t="s">
        <v>14</v>
      </c>
      <c r="F127" t="s">
        <v>65</v>
      </c>
      <c r="G127" t="s">
        <v>56</v>
      </c>
      <c r="H127" t="s">
        <v>57</v>
      </c>
      <c r="I127">
        <v>111.5</v>
      </c>
      <c r="J127">
        <v>108.6</v>
      </c>
      <c r="K127">
        <v>111.5</v>
      </c>
      <c r="L127">
        <v>736.32286995515699</v>
      </c>
    </row>
    <row r="128" spans="1:12" hidden="1" x14ac:dyDescent="0.25">
      <c r="A128">
        <v>2020</v>
      </c>
      <c r="B128" t="s">
        <v>12</v>
      </c>
      <c r="C128">
        <v>45</v>
      </c>
      <c r="D128" t="s">
        <v>64</v>
      </c>
      <c r="E128" t="s">
        <v>14</v>
      </c>
      <c r="F128" t="s">
        <v>65</v>
      </c>
      <c r="G128" t="s">
        <v>26</v>
      </c>
      <c r="H128" t="s">
        <v>27</v>
      </c>
      <c r="I128">
        <v>71.728747032472995</v>
      </c>
      <c r="J128">
        <v>103.59652904204</v>
      </c>
      <c r="K128">
        <v>71.728747032472995</v>
      </c>
      <c r="L128">
        <v>62.736353082575981</v>
      </c>
    </row>
    <row r="129" spans="1:12" hidden="1" x14ac:dyDescent="0.25">
      <c r="A129">
        <v>2020</v>
      </c>
      <c r="B129" t="s">
        <v>66</v>
      </c>
      <c r="C129">
        <v>1235</v>
      </c>
      <c r="D129" t="s">
        <v>64</v>
      </c>
      <c r="E129" t="s">
        <v>14</v>
      </c>
      <c r="F129" t="s">
        <v>65</v>
      </c>
      <c r="G129" t="s">
        <v>26</v>
      </c>
      <c r="H129" t="s">
        <v>27</v>
      </c>
      <c r="I129">
        <v>105.1</v>
      </c>
      <c r="J129">
        <v>108.6</v>
      </c>
      <c r="K129">
        <v>105.1</v>
      </c>
      <c r="L129">
        <v>1175.0713606089439</v>
      </c>
    </row>
    <row r="130" spans="1:12" hidden="1" x14ac:dyDescent="0.25">
      <c r="A130">
        <v>2020</v>
      </c>
      <c r="B130" t="s">
        <v>12</v>
      </c>
      <c r="C130">
        <v>648</v>
      </c>
      <c r="D130" t="s">
        <v>64</v>
      </c>
      <c r="E130" t="s">
        <v>14</v>
      </c>
      <c r="F130" t="s">
        <v>65</v>
      </c>
      <c r="G130" t="s">
        <v>38</v>
      </c>
      <c r="H130" t="s">
        <v>39</v>
      </c>
      <c r="I130">
        <v>100.20302658438</v>
      </c>
      <c r="J130">
        <v>103.59652904204</v>
      </c>
      <c r="K130">
        <v>100.20302658438</v>
      </c>
      <c r="L130">
        <v>646.68705336392759</v>
      </c>
    </row>
    <row r="131" spans="1:12" hidden="1" x14ac:dyDescent="0.25">
      <c r="A131">
        <v>2020</v>
      </c>
      <c r="B131" t="s">
        <v>66</v>
      </c>
      <c r="C131">
        <v>880</v>
      </c>
      <c r="D131" t="s">
        <v>64</v>
      </c>
      <c r="E131" t="s">
        <v>14</v>
      </c>
      <c r="F131" t="s">
        <v>65</v>
      </c>
      <c r="G131" t="s">
        <v>38</v>
      </c>
      <c r="H131" t="s">
        <v>39</v>
      </c>
      <c r="I131">
        <v>103.9</v>
      </c>
      <c r="J131">
        <v>108.6</v>
      </c>
      <c r="K131">
        <v>103.9</v>
      </c>
      <c r="L131">
        <v>846.96823869104901</v>
      </c>
    </row>
    <row r="132" spans="1:12" hidden="1" x14ac:dyDescent="0.25">
      <c r="A132">
        <v>2020</v>
      </c>
      <c r="B132" t="s">
        <v>12</v>
      </c>
      <c r="C132">
        <v>49</v>
      </c>
      <c r="D132" t="s">
        <v>64</v>
      </c>
      <c r="E132" t="s">
        <v>14</v>
      </c>
      <c r="F132" t="s">
        <v>65</v>
      </c>
      <c r="G132" t="s">
        <v>60</v>
      </c>
      <c r="H132" t="s">
        <v>61</v>
      </c>
      <c r="J132">
        <v>103.59652904204</v>
      </c>
      <c r="K132">
        <v>103.59652904204</v>
      </c>
      <c r="L132">
        <v>47.298881973271087</v>
      </c>
    </row>
    <row r="133" spans="1:12" hidden="1" x14ac:dyDescent="0.25">
      <c r="A133">
        <v>2020</v>
      </c>
      <c r="B133" t="s">
        <v>66</v>
      </c>
      <c r="C133">
        <v>347</v>
      </c>
      <c r="D133" t="s">
        <v>64</v>
      </c>
      <c r="E133" t="s">
        <v>14</v>
      </c>
      <c r="F133" t="s">
        <v>65</v>
      </c>
      <c r="G133" t="s">
        <v>60</v>
      </c>
      <c r="H133" t="s">
        <v>61</v>
      </c>
      <c r="I133">
        <v>112.5</v>
      </c>
      <c r="J133">
        <v>108.6</v>
      </c>
      <c r="K133">
        <v>112.5</v>
      </c>
      <c r="L133">
        <v>308.44444444444451</v>
      </c>
    </row>
    <row r="134" spans="1:12" hidden="1" x14ac:dyDescent="0.25">
      <c r="A134">
        <v>2020</v>
      </c>
      <c r="B134" t="s">
        <v>12</v>
      </c>
      <c r="C134">
        <v>14</v>
      </c>
      <c r="D134" t="s">
        <v>64</v>
      </c>
      <c r="E134" t="s">
        <v>14</v>
      </c>
      <c r="F134" t="s">
        <v>65</v>
      </c>
      <c r="G134" t="s">
        <v>48</v>
      </c>
      <c r="H134" t="s">
        <v>49</v>
      </c>
      <c r="I134">
        <v>113.44450268036999</v>
      </c>
      <c r="J134">
        <v>103.59652904204</v>
      </c>
      <c r="K134">
        <v>113.44450268036999</v>
      </c>
      <c r="L134">
        <v>12.340835976376059</v>
      </c>
    </row>
    <row r="135" spans="1:12" hidden="1" x14ac:dyDescent="0.25">
      <c r="A135">
        <v>2020</v>
      </c>
      <c r="B135" t="s">
        <v>66</v>
      </c>
      <c r="C135">
        <v>3990</v>
      </c>
      <c r="D135" t="s">
        <v>64</v>
      </c>
      <c r="E135" t="s">
        <v>14</v>
      </c>
      <c r="F135" t="s">
        <v>65</v>
      </c>
      <c r="G135" t="s">
        <v>48</v>
      </c>
      <c r="H135" t="s">
        <v>49</v>
      </c>
      <c r="I135">
        <v>109.4</v>
      </c>
      <c r="J135">
        <v>108.6</v>
      </c>
      <c r="K135">
        <v>109.4</v>
      </c>
      <c r="L135">
        <v>3647.1663619744058</v>
      </c>
    </row>
    <row r="136" spans="1:12" hidden="1" x14ac:dyDescent="0.25">
      <c r="A136">
        <v>2020</v>
      </c>
      <c r="B136" t="s">
        <v>12</v>
      </c>
      <c r="C136">
        <v>45</v>
      </c>
      <c r="D136" t="s">
        <v>64</v>
      </c>
      <c r="E136" t="s">
        <v>14</v>
      </c>
      <c r="F136" t="s">
        <v>65</v>
      </c>
      <c r="G136" t="s">
        <v>54</v>
      </c>
      <c r="H136" t="s">
        <v>55</v>
      </c>
      <c r="I136">
        <v>113.44450268036999</v>
      </c>
      <c r="J136">
        <v>103.59652904204</v>
      </c>
      <c r="K136">
        <v>113.44450268036999</v>
      </c>
      <c r="L136">
        <v>39.666972781208763</v>
      </c>
    </row>
    <row r="137" spans="1:12" hidden="1" x14ac:dyDescent="0.25">
      <c r="A137">
        <v>2020</v>
      </c>
      <c r="B137" t="s">
        <v>66</v>
      </c>
      <c r="C137">
        <v>55388</v>
      </c>
      <c r="D137" t="s">
        <v>64</v>
      </c>
      <c r="E137" t="s">
        <v>14</v>
      </c>
      <c r="F137" t="s">
        <v>65</v>
      </c>
      <c r="G137" t="s">
        <v>54</v>
      </c>
      <c r="H137" t="s">
        <v>55</v>
      </c>
      <c r="I137">
        <v>111.5</v>
      </c>
      <c r="J137">
        <v>108.6</v>
      </c>
      <c r="K137">
        <v>111.5</v>
      </c>
      <c r="L137">
        <v>49675.336322869953</v>
      </c>
    </row>
    <row r="138" spans="1:12" hidden="1" x14ac:dyDescent="0.25">
      <c r="A138">
        <v>2020</v>
      </c>
      <c r="B138" t="s">
        <v>66</v>
      </c>
      <c r="C138">
        <v>11306</v>
      </c>
      <c r="D138" t="s">
        <v>64</v>
      </c>
      <c r="E138" t="s">
        <v>14</v>
      </c>
      <c r="F138" t="s">
        <v>65</v>
      </c>
      <c r="G138" t="s">
        <v>34</v>
      </c>
      <c r="H138" t="s">
        <v>35</v>
      </c>
      <c r="I138">
        <v>100.6</v>
      </c>
      <c r="J138">
        <v>108.6</v>
      </c>
      <c r="K138">
        <v>100.6</v>
      </c>
      <c r="L138">
        <v>11238.568588469179</v>
      </c>
    </row>
    <row r="139" spans="1:12" hidden="1" x14ac:dyDescent="0.25">
      <c r="A139">
        <v>2020</v>
      </c>
      <c r="B139" t="s">
        <v>66</v>
      </c>
      <c r="C139">
        <v>319</v>
      </c>
      <c r="D139" t="s">
        <v>64</v>
      </c>
      <c r="E139" t="s">
        <v>14</v>
      </c>
      <c r="F139" t="s">
        <v>65</v>
      </c>
      <c r="G139" t="s">
        <v>67</v>
      </c>
      <c r="H139" t="s">
        <v>68</v>
      </c>
      <c r="I139">
        <v>109.5</v>
      </c>
      <c r="J139">
        <v>108.6</v>
      </c>
      <c r="K139">
        <v>109.5</v>
      </c>
      <c r="L139">
        <v>291.32420091324201</v>
      </c>
    </row>
    <row r="140" spans="1:12" hidden="1" x14ac:dyDescent="0.25">
      <c r="A140">
        <v>2020</v>
      </c>
      <c r="B140" t="s">
        <v>12</v>
      </c>
      <c r="C140">
        <v>2208</v>
      </c>
      <c r="D140" t="s">
        <v>64</v>
      </c>
      <c r="E140" t="s">
        <v>14</v>
      </c>
      <c r="F140" t="s">
        <v>65</v>
      </c>
      <c r="G140" t="s">
        <v>16</v>
      </c>
      <c r="H140" t="s">
        <v>17</v>
      </c>
      <c r="J140">
        <v>103.59652904204</v>
      </c>
      <c r="K140">
        <v>103.59652904204</v>
      </c>
      <c r="L140">
        <v>2131.3455387139302</v>
      </c>
    </row>
    <row r="141" spans="1:12" hidden="1" x14ac:dyDescent="0.25">
      <c r="A141">
        <v>2019</v>
      </c>
      <c r="B141" t="s">
        <v>12</v>
      </c>
      <c r="C141">
        <v>16556</v>
      </c>
      <c r="D141" t="s">
        <v>64</v>
      </c>
      <c r="E141" t="s">
        <v>14</v>
      </c>
      <c r="F141" t="s">
        <v>65</v>
      </c>
      <c r="G141" t="s">
        <v>18</v>
      </c>
      <c r="H141" t="s">
        <v>19</v>
      </c>
      <c r="I141">
        <v>101.52099705321</v>
      </c>
      <c r="J141">
        <v>98.151526954033002</v>
      </c>
      <c r="K141">
        <v>101.52099705321</v>
      </c>
      <c r="L141">
        <v>16307.95646276261</v>
      </c>
    </row>
    <row r="142" spans="1:12" hidden="1" x14ac:dyDescent="0.25">
      <c r="A142">
        <v>2019</v>
      </c>
      <c r="B142" t="s">
        <v>66</v>
      </c>
      <c r="C142">
        <v>44150</v>
      </c>
      <c r="D142" t="s">
        <v>64</v>
      </c>
      <c r="E142" t="s">
        <v>14</v>
      </c>
      <c r="F142" t="s">
        <v>65</v>
      </c>
      <c r="G142" t="s">
        <v>18</v>
      </c>
      <c r="H142" t="s">
        <v>19</v>
      </c>
      <c r="I142">
        <v>102.3</v>
      </c>
      <c r="J142">
        <v>102.4</v>
      </c>
      <c r="K142">
        <v>102.3</v>
      </c>
      <c r="L142">
        <v>43157.38025415445</v>
      </c>
    </row>
    <row r="143" spans="1:12" hidden="1" x14ac:dyDescent="0.25">
      <c r="A143">
        <v>2019</v>
      </c>
      <c r="B143" t="s">
        <v>12</v>
      </c>
      <c r="C143">
        <v>151</v>
      </c>
      <c r="D143" t="s">
        <v>64</v>
      </c>
      <c r="E143" t="s">
        <v>14</v>
      </c>
      <c r="F143" t="s">
        <v>65</v>
      </c>
      <c r="G143" t="s">
        <v>24</v>
      </c>
      <c r="H143" t="s">
        <v>25</v>
      </c>
      <c r="I143">
        <v>84.562992854463005</v>
      </c>
      <c r="J143">
        <v>98.151526954033002</v>
      </c>
      <c r="K143">
        <v>84.562992854463005</v>
      </c>
      <c r="L143">
        <v>178.56510856927491</v>
      </c>
    </row>
    <row r="144" spans="1:12" hidden="1" x14ac:dyDescent="0.25">
      <c r="A144">
        <v>2019</v>
      </c>
      <c r="B144" t="s">
        <v>66</v>
      </c>
      <c r="C144">
        <v>2513</v>
      </c>
      <c r="D144" t="s">
        <v>64</v>
      </c>
      <c r="E144" t="s">
        <v>14</v>
      </c>
      <c r="F144" t="s">
        <v>65</v>
      </c>
      <c r="G144" t="s">
        <v>24</v>
      </c>
      <c r="H144" t="s">
        <v>25</v>
      </c>
      <c r="I144">
        <v>105.3</v>
      </c>
      <c r="J144">
        <v>102.4</v>
      </c>
      <c r="K144">
        <v>105.3</v>
      </c>
      <c r="L144">
        <v>2386.5147198480531</v>
      </c>
    </row>
    <row r="145" spans="1:12" hidden="1" x14ac:dyDescent="0.25">
      <c r="A145">
        <v>2019</v>
      </c>
      <c r="B145" t="s">
        <v>12</v>
      </c>
      <c r="C145">
        <v>1880</v>
      </c>
      <c r="D145" t="s">
        <v>64</v>
      </c>
      <c r="E145" t="s">
        <v>14</v>
      </c>
      <c r="F145" t="s">
        <v>65</v>
      </c>
      <c r="G145" t="s">
        <v>40</v>
      </c>
      <c r="H145" t="s">
        <v>41</v>
      </c>
      <c r="I145">
        <v>94.527911873682996</v>
      </c>
      <c r="J145">
        <v>98.151526954033002</v>
      </c>
      <c r="K145">
        <v>94.527911873682996</v>
      </c>
      <c r="L145">
        <v>1988.8305609799479</v>
      </c>
    </row>
    <row r="146" spans="1:12" hidden="1" x14ac:dyDescent="0.25">
      <c r="A146">
        <v>2019</v>
      </c>
      <c r="B146" t="s">
        <v>66</v>
      </c>
      <c r="C146">
        <v>13161</v>
      </c>
      <c r="D146" t="s">
        <v>64</v>
      </c>
      <c r="E146" t="s">
        <v>14</v>
      </c>
      <c r="F146" t="s">
        <v>65</v>
      </c>
      <c r="G146" t="s">
        <v>40</v>
      </c>
      <c r="H146" t="s">
        <v>41</v>
      </c>
      <c r="I146">
        <v>103.4</v>
      </c>
      <c r="J146">
        <v>102.4</v>
      </c>
      <c r="K146">
        <v>103.4</v>
      </c>
      <c r="L146">
        <v>12728.23984526112</v>
      </c>
    </row>
    <row r="147" spans="1:12" hidden="1" x14ac:dyDescent="0.25">
      <c r="A147">
        <v>2019</v>
      </c>
      <c r="B147" t="s">
        <v>12</v>
      </c>
      <c r="C147">
        <v>1813</v>
      </c>
      <c r="D147" t="s">
        <v>64</v>
      </c>
      <c r="E147" t="s">
        <v>14</v>
      </c>
      <c r="F147" t="s">
        <v>65</v>
      </c>
      <c r="G147" t="s">
        <v>42</v>
      </c>
      <c r="H147" t="s">
        <v>43</v>
      </c>
      <c r="I147">
        <v>96.894683830418003</v>
      </c>
      <c r="J147">
        <v>98.151526954033002</v>
      </c>
      <c r="K147">
        <v>96.894683830418003</v>
      </c>
      <c r="L147">
        <v>1871.103685288921</v>
      </c>
    </row>
    <row r="148" spans="1:12" hidden="1" x14ac:dyDescent="0.25">
      <c r="A148">
        <v>2019</v>
      </c>
      <c r="B148" t="s">
        <v>66</v>
      </c>
      <c r="C148">
        <v>14967</v>
      </c>
      <c r="D148" t="s">
        <v>64</v>
      </c>
      <c r="E148" t="s">
        <v>14</v>
      </c>
      <c r="F148" t="s">
        <v>65</v>
      </c>
      <c r="G148" t="s">
        <v>42</v>
      </c>
      <c r="H148" t="s">
        <v>43</v>
      </c>
      <c r="I148">
        <v>104.4</v>
      </c>
      <c r="J148">
        <v>102.4</v>
      </c>
      <c r="K148">
        <v>104.4</v>
      </c>
      <c r="L148">
        <v>14336.206896551719</v>
      </c>
    </row>
    <row r="149" spans="1:12" hidden="1" x14ac:dyDescent="0.25">
      <c r="A149">
        <v>2019</v>
      </c>
      <c r="B149" t="s">
        <v>12</v>
      </c>
      <c r="C149">
        <v>1722</v>
      </c>
      <c r="D149" t="s">
        <v>64</v>
      </c>
      <c r="E149" t="s">
        <v>14</v>
      </c>
      <c r="F149" t="s">
        <v>65</v>
      </c>
      <c r="G149" t="s">
        <v>46</v>
      </c>
      <c r="H149" t="s">
        <v>47</v>
      </c>
      <c r="I149">
        <v>106.59709315790001</v>
      </c>
      <c r="J149">
        <v>98.151526954033002</v>
      </c>
      <c r="K149">
        <v>106.59709315790001</v>
      </c>
      <c r="L149">
        <v>1615.428666004276</v>
      </c>
    </row>
    <row r="150" spans="1:12" hidden="1" x14ac:dyDescent="0.25">
      <c r="A150">
        <v>2019</v>
      </c>
      <c r="B150" t="s">
        <v>66</v>
      </c>
      <c r="C150">
        <v>14340</v>
      </c>
      <c r="D150" t="s">
        <v>64</v>
      </c>
      <c r="E150" t="s">
        <v>14</v>
      </c>
      <c r="F150" t="s">
        <v>65</v>
      </c>
      <c r="G150" t="s">
        <v>46</v>
      </c>
      <c r="H150" t="s">
        <v>47</v>
      </c>
      <c r="I150">
        <v>104.2</v>
      </c>
      <c r="J150">
        <v>102.4</v>
      </c>
      <c r="K150">
        <v>104.2</v>
      </c>
      <c r="L150">
        <v>13761.99616122841</v>
      </c>
    </row>
    <row r="151" spans="1:12" hidden="1" x14ac:dyDescent="0.25">
      <c r="A151">
        <v>2019</v>
      </c>
      <c r="B151" t="s">
        <v>12</v>
      </c>
      <c r="C151">
        <v>705</v>
      </c>
      <c r="D151" t="s">
        <v>64</v>
      </c>
      <c r="E151" t="s">
        <v>14</v>
      </c>
      <c r="F151" t="s">
        <v>65</v>
      </c>
      <c r="G151" t="s">
        <v>62</v>
      </c>
      <c r="H151" t="s">
        <v>63</v>
      </c>
      <c r="I151">
        <v>106.59709315790001</v>
      </c>
      <c r="J151">
        <v>98.151526954033002</v>
      </c>
      <c r="K151">
        <v>106.59709315790001</v>
      </c>
      <c r="L151">
        <v>661.36887893903304</v>
      </c>
    </row>
    <row r="152" spans="1:12" hidden="1" x14ac:dyDescent="0.25">
      <c r="A152">
        <v>2019</v>
      </c>
      <c r="B152" t="s">
        <v>12</v>
      </c>
      <c r="C152">
        <v>8522</v>
      </c>
      <c r="D152" t="s">
        <v>64</v>
      </c>
      <c r="E152" t="s">
        <v>14</v>
      </c>
      <c r="F152" t="s">
        <v>65</v>
      </c>
      <c r="G152" t="s">
        <v>36</v>
      </c>
      <c r="H152" t="s">
        <v>37</v>
      </c>
      <c r="I152">
        <v>94.527911873682996</v>
      </c>
      <c r="J152">
        <v>98.151526954033002</v>
      </c>
      <c r="K152">
        <v>94.527911873682996</v>
      </c>
      <c r="L152">
        <v>9015.3266173782504</v>
      </c>
    </row>
    <row r="153" spans="1:12" hidden="1" x14ac:dyDescent="0.25">
      <c r="A153">
        <v>2019</v>
      </c>
      <c r="B153" t="s">
        <v>66</v>
      </c>
      <c r="C153">
        <v>29743</v>
      </c>
      <c r="D153" t="s">
        <v>64</v>
      </c>
      <c r="E153" t="s">
        <v>14</v>
      </c>
      <c r="F153" t="s">
        <v>65</v>
      </c>
      <c r="G153" t="s">
        <v>36</v>
      </c>
      <c r="H153" t="s">
        <v>37</v>
      </c>
      <c r="I153">
        <v>101.6</v>
      </c>
      <c r="J153">
        <v>102.4</v>
      </c>
      <c r="K153">
        <v>101.6</v>
      </c>
      <c r="L153">
        <v>29274.606299212599</v>
      </c>
    </row>
    <row r="154" spans="1:12" hidden="1" x14ac:dyDescent="0.25">
      <c r="A154">
        <v>2019</v>
      </c>
      <c r="B154" t="s">
        <v>12</v>
      </c>
      <c r="C154">
        <v>1407</v>
      </c>
      <c r="D154" t="s">
        <v>64</v>
      </c>
      <c r="E154" t="s">
        <v>14</v>
      </c>
      <c r="F154" t="s">
        <v>65</v>
      </c>
      <c r="G154" t="s">
        <v>44</v>
      </c>
      <c r="H154" t="s">
        <v>45</v>
      </c>
      <c r="I154">
        <v>96.894683830418003</v>
      </c>
      <c r="J154">
        <v>98.151526954033002</v>
      </c>
      <c r="K154">
        <v>96.894683830418003</v>
      </c>
      <c r="L154">
        <v>1452.092049201055</v>
      </c>
    </row>
    <row r="155" spans="1:12" hidden="1" x14ac:dyDescent="0.25">
      <c r="A155">
        <v>2019</v>
      </c>
      <c r="B155" t="s">
        <v>66</v>
      </c>
      <c r="C155">
        <v>22505</v>
      </c>
      <c r="D155" t="s">
        <v>64</v>
      </c>
      <c r="E155" t="s">
        <v>14</v>
      </c>
      <c r="F155" t="s">
        <v>65</v>
      </c>
      <c r="G155" t="s">
        <v>44</v>
      </c>
      <c r="H155" t="s">
        <v>45</v>
      </c>
      <c r="I155">
        <v>99</v>
      </c>
      <c r="J155">
        <v>102.4</v>
      </c>
      <c r="K155">
        <v>99</v>
      </c>
      <c r="L155">
        <v>22732.32323232323</v>
      </c>
    </row>
    <row r="156" spans="1:12" hidden="1" x14ac:dyDescent="0.25">
      <c r="A156">
        <v>2019</v>
      </c>
      <c r="B156" t="s">
        <v>12</v>
      </c>
      <c r="C156">
        <v>655</v>
      </c>
      <c r="D156" t="s">
        <v>64</v>
      </c>
      <c r="E156" t="s">
        <v>14</v>
      </c>
      <c r="F156" t="s">
        <v>65</v>
      </c>
      <c r="G156" t="s">
        <v>52</v>
      </c>
      <c r="H156" t="s">
        <v>53</v>
      </c>
      <c r="I156">
        <v>106.59709315790001</v>
      </c>
      <c r="J156">
        <v>98.151526954033002</v>
      </c>
      <c r="K156">
        <v>106.59709315790001</v>
      </c>
      <c r="L156">
        <v>614.46328468803779</v>
      </c>
    </row>
    <row r="157" spans="1:12" hidden="1" x14ac:dyDescent="0.25">
      <c r="A157">
        <v>2019</v>
      </c>
      <c r="B157" t="s">
        <v>66</v>
      </c>
      <c r="C157">
        <v>28999</v>
      </c>
      <c r="D157" t="s">
        <v>64</v>
      </c>
      <c r="E157" t="s">
        <v>14</v>
      </c>
      <c r="F157" t="s">
        <v>65</v>
      </c>
      <c r="G157" t="s">
        <v>52</v>
      </c>
      <c r="H157" t="s">
        <v>53</v>
      </c>
      <c r="I157">
        <v>102.7</v>
      </c>
      <c r="J157">
        <v>102.4</v>
      </c>
      <c r="K157">
        <v>102.7</v>
      </c>
      <c r="L157">
        <v>28236.611489776049</v>
      </c>
    </row>
    <row r="158" spans="1:12" hidden="1" x14ac:dyDescent="0.25">
      <c r="A158">
        <v>2019</v>
      </c>
      <c r="B158" t="s">
        <v>12</v>
      </c>
      <c r="C158">
        <v>3135</v>
      </c>
      <c r="D158" t="s">
        <v>64</v>
      </c>
      <c r="E158" t="s">
        <v>14</v>
      </c>
      <c r="F158" t="s">
        <v>65</v>
      </c>
      <c r="G158" t="s">
        <v>20</v>
      </c>
      <c r="H158" t="s">
        <v>21</v>
      </c>
      <c r="I158">
        <v>111.60809989866</v>
      </c>
      <c r="J158">
        <v>98.151526954033002</v>
      </c>
      <c r="K158">
        <v>111.60809989866</v>
      </c>
      <c r="L158">
        <v>2808.9359131161409</v>
      </c>
    </row>
    <row r="159" spans="1:12" hidden="1" x14ac:dyDescent="0.25">
      <c r="A159">
        <v>2019</v>
      </c>
      <c r="B159" t="s">
        <v>66</v>
      </c>
      <c r="C159">
        <v>14580</v>
      </c>
      <c r="D159" t="s">
        <v>64</v>
      </c>
      <c r="E159" t="s">
        <v>14</v>
      </c>
      <c r="F159" t="s">
        <v>65</v>
      </c>
      <c r="G159" t="s">
        <v>20</v>
      </c>
      <c r="H159" t="s">
        <v>21</v>
      </c>
      <c r="I159">
        <v>104.9</v>
      </c>
      <c r="J159">
        <v>102.4</v>
      </c>
      <c r="K159">
        <v>104.9</v>
      </c>
      <c r="L159">
        <v>13898.95138226883</v>
      </c>
    </row>
    <row r="160" spans="1:12" hidden="1" x14ac:dyDescent="0.25">
      <c r="A160">
        <v>2019</v>
      </c>
      <c r="B160" t="s">
        <v>12</v>
      </c>
      <c r="C160">
        <v>355</v>
      </c>
      <c r="D160" t="s">
        <v>64</v>
      </c>
      <c r="E160" t="s">
        <v>14</v>
      </c>
      <c r="F160" t="s">
        <v>65</v>
      </c>
      <c r="G160" t="s">
        <v>58</v>
      </c>
      <c r="H160" t="s">
        <v>59</v>
      </c>
      <c r="I160">
        <v>97.634045562563003</v>
      </c>
      <c r="J160">
        <v>98.151526954033002</v>
      </c>
      <c r="K160">
        <v>97.634045562563003</v>
      </c>
      <c r="L160">
        <v>363.60267359045292</v>
      </c>
    </row>
    <row r="161" spans="1:12" hidden="1" x14ac:dyDescent="0.25">
      <c r="A161">
        <v>2019</v>
      </c>
      <c r="B161" t="s">
        <v>66</v>
      </c>
      <c r="C161">
        <v>427</v>
      </c>
      <c r="D161" t="s">
        <v>64</v>
      </c>
      <c r="E161" t="s">
        <v>14</v>
      </c>
      <c r="F161" t="s">
        <v>65</v>
      </c>
      <c r="G161" t="s">
        <v>58</v>
      </c>
      <c r="H161" t="s">
        <v>59</v>
      </c>
      <c r="I161">
        <v>104.2</v>
      </c>
      <c r="J161">
        <v>102.4</v>
      </c>
      <c r="K161">
        <v>104.2</v>
      </c>
      <c r="L161">
        <v>409.78886756238012</v>
      </c>
    </row>
    <row r="162" spans="1:12" hidden="1" x14ac:dyDescent="0.25">
      <c r="A162">
        <v>2019</v>
      </c>
      <c r="B162" t="s">
        <v>12</v>
      </c>
      <c r="C162">
        <v>2297</v>
      </c>
      <c r="D162" t="s">
        <v>64</v>
      </c>
      <c r="E162" t="s">
        <v>14</v>
      </c>
      <c r="F162" t="s">
        <v>65</v>
      </c>
      <c r="G162" t="s">
        <v>28</v>
      </c>
      <c r="H162" t="s">
        <v>29</v>
      </c>
      <c r="I162">
        <v>97.634045562563003</v>
      </c>
      <c r="J162">
        <v>98.151526954033002</v>
      </c>
      <c r="K162">
        <v>97.634045562563003</v>
      </c>
      <c r="L162">
        <v>2352.6629330627329</v>
      </c>
    </row>
    <row r="163" spans="1:12" hidden="1" x14ac:dyDescent="0.25">
      <c r="A163">
        <v>2019</v>
      </c>
      <c r="B163" t="s">
        <v>66</v>
      </c>
      <c r="C163">
        <v>959</v>
      </c>
      <c r="D163" t="s">
        <v>64</v>
      </c>
      <c r="E163" t="s">
        <v>14</v>
      </c>
      <c r="F163" t="s">
        <v>65</v>
      </c>
      <c r="G163" t="s">
        <v>28</v>
      </c>
      <c r="H163" t="s">
        <v>29</v>
      </c>
      <c r="I163">
        <v>105.5</v>
      </c>
      <c r="J163">
        <v>102.4</v>
      </c>
      <c r="K163">
        <v>105.5</v>
      </c>
      <c r="L163">
        <v>909.00473933649289</v>
      </c>
    </row>
    <row r="164" spans="1:12" hidden="1" x14ac:dyDescent="0.25">
      <c r="A164">
        <v>2019</v>
      </c>
      <c r="B164" t="s">
        <v>12</v>
      </c>
      <c r="C164">
        <v>3394</v>
      </c>
      <c r="D164" t="s">
        <v>64</v>
      </c>
      <c r="E164" t="s">
        <v>14</v>
      </c>
      <c r="F164" t="s">
        <v>65</v>
      </c>
      <c r="G164" t="s">
        <v>30</v>
      </c>
      <c r="H164" t="s">
        <v>31</v>
      </c>
      <c r="I164">
        <v>72.666250473058</v>
      </c>
      <c r="J164">
        <v>98.151526954033002</v>
      </c>
      <c r="K164">
        <v>72.666250473058</v>
      </c>
      <c r="L164">
        <v>4670.6689527876097</v>
      </c>
    </row>
    <row r="165" spans="1:12" hidden="1" x14ac:dyDescent="0.25">
      <c r="A165">
        <v>2019</v>
      </c>
      <c r="B165" t="s">
        <v>66</v>
      </c>
      <c r="C165">
        <v>9172</v>
      </c>
      <c r="D165" t="s">
        <v>64</v>
      </c>
      <c r="E165" t="s">
        <v>14</v>
      </c>
      <c r="F165" t="s">
        <v>65</v>
      </c>
      <c r="G165" t="s">
        <v>30</v>
      </c>
      <c r="H165" t="s">
        <v>31</v>
      </c>
      <c r="I165">
        <v>104.5</v>
      </c>
      <c r="J165">
        <v>102.4</v>
      </c>
      <c r="K165">
        <v>104.5</v>
      </c>
      <c r="L165">
        <v>8777.0334928229659</v>
      </c>
    </row>
    <row r="166" spans="1:12" hidden="1" x14ac:dyDescent="0.25">
      <c r="A166">
        <v>2019</v>
      </c>
      <c r="B166" t="s">
        <v>12</v>
      </c>
      <c r="C166">
        <v>98</v>
      </c>
      <c r="D166" t="s">
        <v>64</v>
      </c>
      <c r="E166" t="s">
        <v>14</v>
      </c>
      <c r="F166" t="s">
        <v>65</v>
      </c>
      <c r="G166" t="s">
        <v>26</v>
      </c>
      <c r="H166" t="s">
        <v>27</v>
      </c>
      <c r="I166">
        <v>84.562992854463005</v>
      </c>
      <c r="J166">
        <v>98.151526954033002</v>
      </c>
      <c r="K166">
        <v>84.562992854463005</v>
      </c>
      <c r="L166">
        <v>115.88993801184731</v>
      </c>
    </row>
    <row r="167" spans="1:12" hidden="1" x14ac:dyDescent="0.25">
      <c r="A167">
        <v>2019</v>
      </c>
      <c r="B167" t="s">
        <v>66</v>
      </c>
      <c r="C167">
        <v>1803</v>
      </c>
      <c r="D167" t="s">
        <v>64</v>
      </c>
      <c r="E167" t="s">
        <v>14</v>
      </c>
      <c r="F167" t="s">
        <v>65</v>
      </c>
      <c r="G167" t="s">
        <v>26</v>
      </c>
      <c r="H167" t="s">
        <v>27</v>
      </c>
      <c r="I167">
        <v>102.3</v>
      </c>
      <c r="J167">
        <v>102.4</v>
      </c>
      <c r="K167">
        <v>102.3</v>
      </c>
      <c r="L167">
        <v>1762.463343108504</v>
      </c>
    </row>
    <row r="168" spans="1:12" hidden="1" x14ac:dyDescent="0.25">
      <c r="A168">
        <v>2019</v>
      </c>
      <c r="B168" t="s">
        <v>12</v>
      </c>
      <c r="C168">
        <v>300</v>
      </c>
      <c r="D168" t="s">
        <v>64</v>
      </c>
      <c r="E168" t="s">
        <v>14</v>
      </c>
      <c r="F168" t="s">
        <v>65</v>
      </c>
      <c r="G168" t="s">
        <v>32</v>
      </c>
      <c r="H168" t="s">
        <v>33</v>
      </c>
      <c r="I168">
        <v>72.666250473058</v>
      </c>
      <c r="J168">
        <v>98.151526954033002</v>
      </c>
      <c r="K168">
        <v>72.666250473058</v>
      </c>
      <c r="L168">
        <v>412.84640124816832</v>
      </c>
    </row>
    <row r="169" spans="1:12" hidden="1" x14ac:dyDescent="0.25">
      <c r="A169">
        <v>2019</v>
      </c>
      <c r="B169" t="s">
        <v>66</v>
      </c>
      <c r="C169">
        <v>502</v>
      </c>
      <c r="D169" t="s">
        <v>64</v>
      </c>
      <c r="E169" t="s">
        <v>14</v>
      </c>
      <c r="F169" t="s">
        <v>65</v>
      </c>
      <c r="G169" t="s">
        <v>32</v>
      </c>
      <c r="H169" t="s">
        <v>33</v>
      </c>
      <c r="I169">
        <v>106</v>
      </c>
      <c r="J169">
        <v>102.4</v>
      </c>
      <c r="K169">
        <v>106</v>
      </c>
      <c r="L169">
        <v>473.58490566037727</v>
      </c>
    </row>
    <row r="170" spans="1:12" hidden="1" x14ac:dyDescent="0.25">
      <c r="A170">
        <v>2019</v>
      </c>
      <c r="B170" t="s">
        <v>12</v>
      </c>
      <c r="C170">
        <v>484</v>
      </c>
      <c r="D170" t="s">
        <v>64</v>
      </c>
      <c r="E170" t="s">
        <v>14</v>
      </c>
      <c r="F170" t="s">
        <v>65</v>
      </c>
      <c r="G170" t="s">
        <v>50</v>
      </c>
      <c r="H170" t="s">
        <v>51</v>
      </c>
      <c r="I170">
        <v>106.59709315790001</v>
      </c>
      <c r="J170">
        <v>98.151526954033002</v>
      </c>
      <c r="K170">
        <v>106.59709315790001</v>
      </c>
      <c r="L170">
        <v>454.0461523496341</v>
      </c>
    </row>
    <row r="171" spans="1:12" hidden="1" x14ac:dyDescent="0.25">
      <c r="A171">
        <v>2019</v>
      </c>
      <c r="B171" t="s">
        <v>66</v>
      </c>
      <c r="C171">
        <v>20357</v>
      </c>
      <c r="D171" t="s">
        <v>64</v>
      </c>
      <c r="E171" t="s">
        <v>14</v>
      </c>
      <c r="F171" t="s">
        <v>65</v>
      </c>
      <c r="G171" t="s">
        <v>50</v>
      </c>
      <c r="H171" t="s">
        <v>51</v>
      </c>
      <c r="I171">
        <v>102.3</v>
      </c>
      <c r="J171">
        <v>102.4</v>
      </c>
      <c r="K171">
        <v>102.3</v>
      </c>
      <c r="L171">
        <v>19899.31573802542</v>
      </c>
    </row>
    <row r="172" spans="1:12" hidden="1" x14ac:dyDescent="0.25">
      <c r="A172">
        <v>2019</v>
      </c>
      <c r="B172" t="s">
        <v>12</v>
      </c>
      <c r="C172">
        <v>686</v>
      </c>
      <c r="D172" t="s">
        <v>64</v>
      </c>
      <c r="E172" t="s">
        <v>14</v>
      </c>
      <c r="F172" t="s">
        <v>65</v>
      </c>
      <c r="G172" t="s">
        <v>38</v>
      </c>
      <c r="H172" t="s">
        <v>39</v>
      </c>
      <c r="I172">
        <v>94.527911873682996</v>
      </c>
      <c r="J172">
        <v>98.151526954033002</v>
      </c>
      <c r="K172">
        <v>94.527911873682996</v>
      </c>
      <c r="L172">
        <v>725.71157703842766</v>
      </c>
    </row>
    <row r="173" spans="1:12" hidden="1" x14ac:dyDescent="0.25">
      <c r="A173">
        <v>2019</v>
      </c>
      <c r="B173" t="s">
        <v>66</v>
      </c>
      <c r="C173">
        <v>907</v>
      </c>
      <c r="D173" t="s">
        <v>64</v>
      </c>
      <c r="E173" t="s">
        <v>14</v>
      </c>
      <c r="F173" t="s">
        <v>65</v>
      </c>
      <c r="G173" t="s">
        <v>38</v>
      </c>
      <c r="H173" t="s">
        <v>39</v>
      </c>
      <c r="I173">
        <v>101.6</v>
      </c>
      <c r="J173">
        <v>102.4</v>
      </c>
      <c r="K173">
        <v>101.6</v>
      </c>
      <c r="L173">
        <v>892.71653543307093</v>
      </c>
    </row>
    <row r="174" spans="1:12" hidden="1" x14ac:dyDescent="0.25">
      <c r="A174">
        <v>2019</v>
      </c>
      <c r="B174" t="s">
        <v>12</v>
      </c>
      <c r="C174">
        <v>50</v>
      </c>
      <c r="D174" t="s">
        <v>64</v>
      </c>
      <c r="E174" t="s">
        <v>14</v>
      </c>
      <c r="F174" t="s">
        <v>65</v>
      </c>
      <c r="G174" t="s">
        <v>48</v>
      </c>
      <c r="H174" t="s">
        <v>49</v>
      </c>
      <c r="I174">
        <v>106.59709315790001</v>
      </c>
      <c r="J174">
        <v>98.151526954033002</v>
      </c>
      <c r="K174">
        <v>106.59709315790001</v>
      </c>
      <c r="L174">
        <v>46.90559425099525</v>
      </c>
    </row>
    <row r="175" spans="1:12" hidden="1" x14ac:dyDescent="0.25">
      <c r="A175">
        <v>2019</v>
      </c>
      <c r="B175" t="s">
        <v>66</v>
      </c>
      <c r="C175">
        <v>4634</v>
      </c>
      <c r="D175" t="s">
        <v>64</v>
      </c>
      <c r="E175" t="s">
        <v>14</v>
      </c>
      <c r="F175" t="s">
        <v>65</v>
      </c>
      <c r="G175" t="s">
        <v>48</v>
      </c>
      <c r="H175" t="s">
        <v>49</v>
      </c>
      <c r="I175">
        <v>103.9</v>
      </c>
      <c r="J175">
        <v>102.4</v>
      </c>
      <c r="K175">
        <v>103.9</v>
      </c>
      <c r="L175">
        <v>4460.0577478344558</v>
      </c>
    </row>
    <row r="176" spans="1:12" hidden="1" x14ac:dyDescent="0.25">
      <c r="A176">
        <v>2019</v>
      </c>
      <c r="B176" t="s">
        <v>12</v>
      </c>
      <c r="C176">
        <v>64</v>
      </c>
      <c r="D176" t="s">
        <v>64</v>
      </c>
      <c r="E176" t="s">
        <v>14</v>
      </c>
      <c r="F176" t="s">
        <v>65</v>
      </c>
      <c r="G176" t="s">
        <v>54</v>
      </c>
      <c r="H176" t="s">
        <v>55</v>
      </c>
      <c r="I176">
        <v>106.59709315790001</v>
      </c>
      <c r="J176">
        <v>98.151526954033002</v>
      </c>
      <c r="K176">
        <v>106.59709315790001</v>
      </c>
      <c r="L176">
        <v>60.039160641273916</v>
      </c>
    </row>
    <row r="177" spans="1:12" hidden="1" x14ac:dyDescent="0.25">
      <c r="A177">
        <v>2019</v>
      </c>
      <c r="B177" t="s">
        <v>66</v>
      </c>
      <c r="C177">
        <v>67084</v>
      </c>
      <c r="D177" t="s">
        <v>64</v>
      </c>
      <c r="E177" t="s">
        <v>14</v>
      </c>
      <c r="F177" t="s">
        <v>65</v>
      </c>
      <c r="G177" t="s">
        <v>54</v>
      </c>
      <c r="H177" t="s">
        <v>55</v>
      </c>
      <c r="I177">
        <v>102.2</v>
      </c>
      <c r="J177">
        <v>102.4</v>
      </c>
      <c r="K177">
        <v>102.2</v>
      </c>
      <c r="L177">
        <v>65639.921722113504</v>
      </c>
    </row>
    <row r="178" spans="1:12" hidden="1" x14ac:dyDescent="0.25">
      <c r="A178">
        <v>2019</v>
      </c>
      <c r="B178" t="s">
        <v>12</v>
      </c>
      <c r="C178">
        <v>41</v>
      </c>
      <c r="D178" t="s">
        <v>64</v>
      </c>
      <c r="E178" t="s">
        <v>14</v>
      </c>
      <c r="F178" t="s">
        <v>65</v>
      </c>
      <c r="G178" t="s">
        <v>56</v>
      </c>
      <c r="H178" t="s">
        <v>57</v>
      </c>
      <c r="I178">
        <v>106.59709315790001</v>
      </c>
      <c r="J178">
        <v>98.151526954033002</v>
      </c>
      <c r="K178">
        <v>106.59709315790001</v>
      </c>
      <c r="L178">
        <v>38.462587285816113</v>
      </c>
    </row>
    <row r="179" spans="1:12" hidden="1" x14ac:dyDescent="0.25">
      <c r="A179">
        <v>2019</v>
      </c>
      <c r="B179" t="s">
        <v>66</v>
      </c>
      <c r="C179">
        <v>1091</v>
      </c>
      <c r="D179" t="s">
        <v>64</v>
      </c>
      <c r="E179" t="s">
        <v>14</v>
      </c>
      <c r="F179" t="s">
        <v>65</v>
      </c>
      <c r="G179" t="s">
        <v>56</v>
      </c>
      <c r="H179" t="s">
        <v>57</v>
      </c>
      <c r="I179">
        <v>102.2</v>
      </c>
      <c r="J179">
        <v>102.4</v>
      </c>
      <c r="K179">
        <v>102.2</v>
      </c>
      <c r="L179">
        <v>1067.514677103718</v>
      </c>
    </row>
    <row r="180" spans="1:12" hidden="1" x14ac:dyDescent="0.25">
      <c r="A180">
        <v>2019</v>
      </c>
      <c r="B180" t="s">
        <v>12</v>
      </c>
      <c r="C180">
        <v>48</v>
      </c>
      <c r="D180" t="s">
        <v>64</v>
      </c>
      <c r="E180" t="s">
        <v>14</v>
      </c>
      <c r="F180" t="s">
        <v>65</v>
      </c>
      <c r="G180" t="s">
        <v>60</v>
      </c>
      <c r="H180" t="s">
        <v>61</v>
      </c>
      <c r="J180">
        <v>98.151526954033002</v>
      </c>
      <c r="K180">
        <v>98.151526954033002</v>
      </c>
      <c r="L180">
        <v>48.903976830110537</v>
      </c>
    </row>
    <row r="181" spans="1:12" hidden="1" x14ac:dyDescent="0.25">
      <c r="A181">
        <v>2019</v>
      </c>
      <c r="B181" t="s">
        <v>66</v>
      </c>
      <c r="C181">
        <v>380</v>
      </c>
      <c r="D181" t="s">
        <v>64</v>
      </c>
      <c r="E181" t="s">
        <v>14</v>
      </c>
      <c r="F181" t="s">
        <v>65</v>
      </c>
      <c r="G181" t="s">
        <v>60</v>
      </c>
      <c r="H181" t="s">
        <v>61</v>
      </c>
      <c r="I181">
        <v>105.5</v>
      </c>
      <c r="J181">
        <v>102.4</v>
      </c>
      <c r="K181">
        <v>105.5</v>
      </c>
      <c r="L181">
        <v>360.18957345971558</v>
      </c>
    </row>
    <row r="182" spans="1:12" hidden="1" x14ac:dyDescent="0.25">
      <c r="A182">
        <v>2019</v>
      </c>
      <c r="B182" t="s">
        <v>12</v>
      </c>
      <c r="C182">
        <v>189</v>
      </c>
      <c r="D182" t="s">
        <v>64</v>
      </c>
      <c r="E182" t="s">
        <v>14</v>
      </c>
      <c r="F182" t="s">
        <v>65</v>
      </c>
      <c r="G182" t="s">
        <v>22</v>
      </c>
      <c r="H182" t="s">
        <v>23</v>
      </c>
      <c r="I182">
        <v>84.562992854463005</v>
      </c>
      <c r="J182">
        <v>98.151526954033002</v>
      </c>
      <c r="K182">
        <v>84.562992854463005</v>
      </c>
      <c r="L182">
        <v>223.50202330856251</v>
      </c>
    </row>
    <row r="183" spans="1:12" hidden="1" x14ac:dyDescent="0.25">
      <c r="A183">
        <v>2019</v>
      </c>
      <c r="B183" t="s">
        <v>66</v>
      </c>
      <c r="C183">
        <v>8904</v>
      </c>
      <c r="D183" t="s">
        <v>64</v>
      </c>
      <c r="E183" t="s">
        <v>14</v>
      </c>
      <c r="F183" t="s">
        <v>65</v>
      </c>
      <c r="G183" t="s">
        <v>22</v>
      </c>
      <c r="H183" t="s">
        <v>23</v>
      </c>
      <c r="I183">
        <v>102.4</v>
      </c>
      <c r="J183">
        <v>102.4</v>
      </c>
      <c r="K183">
        <v>102.4</v>
      </c>
      <c r="L183">
        <v>8695.3125</v>
      </c>
    </row>
    <row r="184" spans="1:12" hidden="1" x14ac:dyDescent="0.25">
      <c r="A184">
        <v>2019</v>
      </c>
      <c r="B184" t="s">
        <v>66</v>
      </c>
      <c r="C184">
        <v>15817</v>
      </c>
      <c r="D184" t="s">
        <v>64</v>
      </c>
      <c r="E184" t="s">
        <v>14</v>
      </c>
      <c r="F184" t="s">
        <v>65</v>
      </c>
      <c r="G184" t="s">
        <v>34</v>
      </c>
      <c r="H184" t="s">
        <v>35</v>
      </c>
      <c r="I184">
        <v>92.1</v>
      </c>
      <c r="J184">
        <v>102.4</v>
      </c>
      <c r="K184">
        <v>92.1</v>
      </c>
      <c r="L184">
        <v>17173.724212812162</v>
      </c>
    </row>
    <row r="185" spans="1:12" hidden="1" x14ac:dyDescent="0.25">
      <c r="A185">
        <v>2019</v>
      </c>
      <c r="B185" t="s">
        <v>66</v>
      </c>
      <c r="C185">
        <v>492</v>
      </c>
      <c r="D185" t="s">
        <v>64</v>
      </c>
      <c r="E185" t="s">
        <v>14</v>
      </c>
      <c r="F185" t="s">
        <v>65</v>
      </c>
      <c r="G185" t="s">
        <v>67</v>
      </c>
      <c r="H185" t="s">
        <v>68</v>
      </c>
      <c r="I185">
        <v>104.9</v>
      </c>
      <c r="J185">
        <v>102.4</v>
      </c>
      <c r="K185">
        <v>104.9</v>
      </c>
      <c r="L185">
        <v>469.01811248808389</v>
      </c>
    </row>
    <row r="186" spans="1:12" hidden="1" x14ac:dyDescent="0.25">
      <c r="A186">
        <v>2019</v>
      </c>
      <c r="B186" t="s">
        <v>12</v>
      </c>
      <c r="C186">
        <v>2930</v>
      </c>
      <c r="D186" t="s">
        <v>64</v>
      </c>
      <c r="E186" t="s">
        <v>14</v>
      </c>
      <c r="F186" t="s">
        <v>65</v>
      </c>
      <c r="G186" t="s">
        <v>16</v>
      </c>
      <c r="H186" t="s">
        <v>17</v>
      </c>
      <c r="J186">
        <v>98.151526954033002</v>
      </c>
      <c r="K186">
        <v>98.151526954033002</v>
      </c>
      <c r="L186">
        <v>2985.180252337997</v>
      </c>
    </row>
    <row r="187" spans="1:12" hidden="1" x14ac:dyDescent="0.25">
      <c r="A187">
        <v>2018</v>
      </c>
      <c r="B187" t="s">
        <v>12</v>
      </c>
      <c r="C187">
        <v>16899</v>
      </c>
      <c r="D187" t="s">
        <v>64</v>
      </c>
      <c r="E187" t="s">
        <v>14</v>
      </c>
      <c r="F187" t="s">
        <v>65</v>
      </c>
      <c r="G187" t="s">
        <v>18</v>
      </c>
      <c r="H187" t="s">
        <v>19</v>
      </c>
      <c r="I187">
        <v>99.999999999999005</v>
      </c>
      <c r="J187">
        <v>99.999999999999005</v>
      </c>
      <c r="K187">
        <v>99.999999999999005</v>
      </c>
      <c r="L187">
        <v>16899.000000000171</v>
      </c>
    </row>
    <row r="188" spans="1:12" hidden="1" x14ac:dyDescent="0.25">
      <c r="A188">
        <v>2018</v>
      </c>
      <c r="B188" t="s">
        <v>66</v>
      </c>
      <c r="C188">
        <v>42764</v>
      </c>
      <c r="D188" t="s">
        <v>64</v>
      </c>
      <c r="E188" t="s">
        <v>14</v>
      </c>
      <c r="F188" t="s">
        <v>65</v>
      </c>
      <c r="G188" t="s">
        <v>18</v>
      </c>
      <c r="H188" t="s">
        <v>19</v>
      </c>
      <c r="I188">
        <v>100</v>
      </c>
      <c r="J188">
        <v>100</v>
      </c>
      <c r="K188">
        <v>100</v>
      </c>
      <c r="L188">
        <v>42764</v>
      </c>
    </row>
    <row r="189" spans="1:12" hidden="1" x14ac:dyDescent="0.25">
      <c r="A189">
        <v>2018</v>
      </c>
      <c r="B189" t="s">
        <v>12</v>
      </c>
      <c r="C189">
        <v>383</v>
      </c>
      <c r="D189" t="s">
        <v>64</v>
      </c>
      <c r="E189" t="s">
        <v>14</v>
      </c>
      <c r="F189" t="s">
        <v>65</v>
      </c>
      <c r="G189" t="s">
        <v>58</v>
      </c>
      <c r="H189" t="s">
        <v>59</v>
      </c>
      <c r="I189">
        <v>100</v>
      </c>
      <c r="J189">
        <v>99.999999999999005</v>
      </c>
      <c r="K189">
        <v>100</v>
      </c>
      <c r="L189">
        <v>383</v>
      </c>
    </row>
    <row r="190" spans="1:12" hidden="1" x14ac:dyDescent="0.25">
      <c r="A190">
        <v>2018</v>
      </c>
      <c r="B190" t="s">
        <v>66</v>
      </c>
      <c r="C190">
        <v>438</v>
      </c>
      <c r="D190" t="s">
        <v>64</v>
      </c>
      <c r="E190" t="s">
        <v>14</v>
      </c>
      <c r="F190" t="s">
        <v>65</v>
      </c>
      <c r="G190" t="s">
        <v>58</v>
      </c>
      <c r="H190" t="s">
        <v>59</v>
      </c>
      <c r="I190">
        <v>100</v>
      </c>
      <c r="J190">
        <v>100</v>
      </c>
      <c r="K190">
        <v>100</v>
      </c>
      <c r="L190">
        <v>438</v>
      </c>
    </row>
    <row r="191" spans="1:12" hidden="1" x14ac:dyDescent="0.25">
      <c r="A191">
        <v>2018</v>
      </c>
      <c r="B191" t="s">
        <v>12</v>
      </c>
      <c r="C191">
        <v>2060</v>
      </c>
      <c r="D191" t="s">
        <v>64</v>
      </c>
      <c r="E191" t="s">
        <v>14</v>
      </c>
      <c r="F191" t="s">
        <v>65</v>
      </c>
      <c r="G191" t="s">
        <v>42</v>
      </c>
      <c r="H191" t="s">
        <v>43</v>
      </c>
      <c r="I191">
        <v>99.999999999999005</v>
      </c>
      <c r="J191">
        <v>99.999999999999005</v>
      </c>
      <c r="K191">
        <v>99.999999999999005</v>
      </c>
      <c r="L191">
        <v>2060.00000000002</v>
      </c>
    </row>
    <row r="192" spans="1:12" hidden="1" x14ac:dyDescent="0.25">
      <c r="A192">
        <v>2018</v>
      </c>
      <c r="B192" t="s">
        <v>66</v>
      </c>
      <c r="C192">
        <v>15074</v>
      </c>
      <c r="D192" t="s">
        <v>64</v>
      </c>
      <c r="E192" t="s">
        <v>14</v>
      </c>
      <c r="F192" t="s">
        <v>65</v>
      </c>
      <c r="G192" t="s">
        <v>42</v>
      </c>
      <c r="H192" t="s">
        <v>43</v>
      </c>
      <c r="I192">
        <v>100</v>
      </c>
      <c r="J192">
        <v>100</v>
      </c>
      <c r="K192">
        <v>100</v>
      </c>
      <c r="L192">
        <v>15074</v>
      </c>
    </row>
    <row r="193" spans="1:12" hidden="1" x14ac:dyDescent="0.25">
      <c r="A193">
        <v>2018</v>
      </c>
      <c r="B193" t="s">
        <v>12</v>
      </c>
      <c r="C193">
        <v>1998</v>
      </c>
      <c r="D193" t="s">
        <v>64</v>
      </c>
      <c r="E193" t="s">
        <v>14</v>
      </c>
      <c r="F193" t="s">
        <v>65</v>
      </c>
      <c r="G193" t="s">
        <v>40</v>
      </c>
      <c r="H193" t="s">
        <v>41</v>
      </c>
      <c r="I193">
        <v>99.999999999999005</v>
      </c>
      <c r="J193">
        <v>99.999999999999005</v>
      </c>
      <c r="K193">
        <v>99.999999999999005</v>
      </c>
      <c r="L193">
        <v>1998.00000000002</v>
      </c>
    </row>
    <row r="194" spans="1:12" hidden="1" x14ac:dyDescent="0.25">
      <c r="A194">
        <v>2018</v>
      </c>
      <c r="B194" t="s">
        <v>66</v>
      </c>
      <c r="C194">
        <v>12694</v>
      </c>
      <c r="D194" t="s">
        <v>64</v>
      </c>
      <c r="E194" t="s">
        <v>14</v>
      </c>
      <c r="F194" t="s">
        <v>65</v>
      </c>
      <c r="G194" t="s">
        <v>40</v>
      </c>
      <c r="H194" t="s">
        <v>41</v>
      </c>
      <c r="I194">
        <v>100</v>
      </c>
      <c r="J194">
        <v>100</v>
      </c>
      <c r="K194">
        <v>100</v>
      </c>
      <c r="L194">
        <v>12694</v>
      </c>
    </row>
    <row r="195" spans="1:12" hidden="1" x14ac:dyDescent="0.25">
      <c r="A195">
        <v>2018</v>
      </c>
      <c r="B195" t="s">
        <v>12</v>
      </c>
      <c r="C195">
        <v>1660</v>
      </c>
      <c r="D195" t="s">
        <v>64</v>
      </c>
      <c r="E195" t="s">
        <v>14</v>
      </c>
      <c r="F195" t="s">
        <v>65</v>
      </c>
      <c r="G195" t="s">
        <v>46</v>
      </c>
      <c r="H195" t="s">
        <v>47</v>
      </c>
      <c r="I195">
        <v>100</v>
      </c>
      <c r="J195">
        <v>99.999999999999005</v>
      </c>
      <c r="K195">
        <v>100</v>
      </c>
      <c r="L195">
        <v>1660</v>
      </c>
    </row>
    <row r="196" spans="1:12" hidden="1" x14ac:dyDescent="0.25">
      <c r="A196">
        <v>2018</v>
      </c>
      <c r="B196" t="s">
        <v>66</v>
      </c>
      <c r="C196">
        <v>14319</v>
      </c>
      <c r="D196" t="s">
        <v>64</v>
      </c>
      <c r="E196" t="s">
        <v>14</v>
      </c>
      <c r="F196" t="s">
        <v>65</v>
      </c>
      <c r="G196" t="s">
        <v>46</v>
      </c>
      <c r="H196" t="s">
        <v>47</v>
      </c>
      <c r="I196">
        <v>100</v>
      </c>
      <c r="J196">
        <v>100</v>
      </c>
      <c r="K196">
        <v>100</v>
      </c>
      <c r="L196">
        <v>14319</v>
      </c>
    </row>
    <row r="197" spans="1:12" hidden="1" x14ac:dyDescent="0.25">
      <c r="A197">
        <v>2018</v>
      </c>
      <c r="B197" t="s">
        <v>12</v>
      </c>
      <c r="C197">
        <v>168</v>
      </c>
      <c r="D197" t="s">
        <v>64</v>
      </c>
      <c r="E197" t="s">
        <v>14</v>
      </c>
      <c r="F197" t="s">
        <v>65</v>
      </c>
      <c r="G197" t="s">
        <v>24</v>
      </c>
      <c r="H197" t="s">
        <v>25</v>
      </c>
      <c r="I197">
        <v>99.999999999999005</v>
      </c>
      <c r="J197">
        <v>99.999999999999005</v>
      </c>
      <c r="K197">
        <v>99.999999999999005</v>
      </c>
      <c r="L197">
        <v>168.00000000000171</v>
      </c>
    </row>
    <row r="198" spans="1:12" hidden="1" x14ac:dyDescent="0.25">
      <c r="A198">
        <v>2018</v>
      </c>
      <c r="B198" t="s">
        <v>66</v>
      </c>
      <c r="C198">
        <v>2516</v>
      </c>
      <c r="D198" t="s">
        <v>64</v>
      </c>
      <c r="E198" t="s">
        <v>14</v>
      </c>
      <c r="F198" t="s">
        <v>65</v>
      </c>
      <c r="G198" t="s">
        <v>24</v>
      </c>
      <c r="H198" t="s">
        <v>25</v>
      </c>
      <c r="I198">
        <v>100</v>
      </c>
      <c r="J198">
        <v>100</v>
      </c>
      <c r="K198">
        <v>100</v>
      </c>
      <c r="L198">
        <v>2516</v>
      </c>
    </row>
    <row r="199" spans="1:12" hidden="1" x14ac:dyDescent="0.25">
      <c r="A199">
        <v>2018</v>
      </c>
      <c r="B199" t="s">
        <v>12</v>
      </c>
      <c r="C199">
        <v>453</v>
      </c>
      <c r="D199" t="s">
        <v>64</v>
      </c>
      <c r="E199" t="s">
        <v>14</v>
      </c>
      <c r="F199" t="s">
        <v>65</v>
      </c>
      <c r="G199" t="s">
        <v>32</v>
      </c>
      <c r="H199" t="s">
        <v>33</v>
      </c>
      <c r="I199">
        <v>99.999999999999005</v>
      </c>
      <c r="J199">
        <v>99.999999999999005</v>
      </c>
      <c r="K199">
        <v>99.999999999999005</v>
      </c>
      <c r="L199">
        <v>453.00000000000449</v>
      </c>
    </row>
    <row r="200" spans="1:12" hidden="1" x14ac:dyDescent="0.25">
      <c r="A200">
        <v>2018</v>
      </c>
      <c r="B200" t="s">
        <v>66</v>
      </c>
      <c r="C200">
        <v>575</v>
      </c>
      <c r="D200" t="s">
        <v>64</v>
      </c>
      <c r="E200" t="s">
        <v>14</v>
      </c>
      <c r="F200" t="s">
        <v>65</v>
      </c>
      <c r="G200" t="s">
        <v>32</v>
      </c>
      <c r="H200" t="s">
        <v>33</v>
      </c>
      <c r="I200">
        <v>100</v>
      </c>
      <c r="J200">
        <v>100</v>
      </c>
      <c r="K200">
        <v>100</v>
      </c>
      <c r="L200">
        <v>575</v>
      </c>
    </row>
    <row r="201" spans="1:12" hidden="1" x14ac:dyDescent="0.25">
      <c r="A201">
        <v>2018</v>
      </c>
      <c r="B201" t="s">
        <v>12</v>
      </c>
      <c r="C201">
        <v>4471</v>
      </c>
      <c r="D201" t="s">
        <v>64</v>
      </c>
      <c r="E201" t="s">
        <v>14</v>
      </c>
      <c r="F201" t="s">
        <v>65</v>
      </c>
      <c r="G201" t="s">
        <v>30</v>
      </c>
      <c r="H201" t="s">
        <v>31</v>
      </c>
      <c r="I201">
        <v>99.999999999999005</v>
      </c>
      <c r="J201">
        <v>99.999999999999005</v>
      </c>
      <c r="K201">
        <v>99.999999999999005</v>
      </c>
      <c r="L201">
        <v>4471.0000000000446</v>
      </c>
    </row>
    <row r="202" spans="1:12" hidden="1" x14ac:dyDescent="0.25">
      <c r="A202">
        <v>2018</v>
      </c>
      <c r="B202" t="s">
        <v>66</v>
      </c>
      <c r="C202">
        <v>8939</v>
      </c>
      <c r="D202" t="s">
        <v>64</v>
      </c>
      <c r="E202" t="s">
        <v>14</v>
      </c>
      <c r="F202" t="s">
        <v>65</v>
      </c>
      <c r="G202" t="s">
        <v>30</v>
      </c>
      <c r="H202" t="s">
        <v>31</v>
      </c>
      <c r="I202">
        <v>100</v>
      </c>
      <c r="J202">
        <v>100</v>
      </c>
      <c r="K202">
        <v>100</v>
      </c>
      <c r="L202">
        <v>8939</v>
      </c>
    </row>
    <row r="203" spans="1:12" hidden="1" x14ac:dyDescent="0.25">
      <c r="A203">
        <v>2018</v>
      </c>
      <c r="B203" t="s">
        <v>12</v>
      </c>
      <c r="C203">
        <v>706</v>
      </c>
      <c r="D203" t="s">
        <v>64</v>
      </c>
      <c r="E203" t="s">
        <v>14</v>
      </c>
      <c r="F203" t="s">
        <v>65</v>
      </c>
      <c r="G203" t="s">
        <v>62</v>
      </c>
      <c r="H203" t="s">
        <v>63</v>
      </c>
      <c r="I203">
        <v>100</v>
      </c>
      <c r="J203">
        <v>99.999999999999005</v>
      </c>
      <c r="K203">
        <v>100</v>
      </c>
      <c r="L203">
        <v>706</v>
      </c>
    </row>
    <row r="204" spans="1:12" hidden="1" x14ac:dyDescent="0.25">
      <c r="A204">
        <v>2018</v>
      </c>
      <c r="B204" t="s">
        <v>12</v>
      </c>
      <c r="C204">
        <v>243</v>
      </c>
      <c r="D204" t="s">
        <v>64</v>
      </c>
      <c r="E204" t="s">
        <v>14</v>
      </c>
      <c r="F204" t="s">
        <v>65</v>
      </c>
      <c r="G204" t="s">
        <v>22</v>
      </c>
      <c r="H204" t="s">
        <v>23</v>
      </c>
      <c r="I204">
        <v>99.999999999999005</v>
      </c>
      <c r="J204">
        <v>99.999999999999005</v>
      </c>
      <c r="K204">
        <v>99.999999999999005</v>
      </c>
      <c r="L204">
        <v>243.00000000000239</v>
      </c>
    </row>
    <row r="205" spans="1:12" hidden="1" x14ac:dyDescent="0.25">
      <c r="A205">
        <v>2018</v>
      </c>
      <c r="B205" t="s">
        <v>66</v>
      </c>
      <c r="C205">
        <v>8763</v>
      </c>
      <c r="D205" t="s">
        <v>64</v>
      </c>
      <c r="E205" t="s">
        <v>14</v>
      </c>
      <c r="F205" t="s">
        <v>65</v>
      </c>
      <c r="G205" t="s">
        <v>22</v>
      </c>
      <c r="H205" t="s">
        <v>23</v>
      </c>
      <c r="I205">
        <v>100</v>
      </c>
      <c r="J205">
        <v>100</v>
      </c>
      <c r="K205">
        <v>100</v>
      </c>
      <c r="L205">
        <v>8763</v>
      </c>
    </row>
    <row r="206" spans="1:12" hidden="1" x14ac:dyDescent="0.25">
      <c r="A206">
        <v>2018</v>
      </c>
      <c r="B206" t="s">
        <v>12</v>
      </c>
      <c r="C206">
        <v>1364</v>
      </c>
      <c r="D206" t="s">
        <v>64</v>
      </c>
      <c r="E206" t="s">
        <v>14</v>
      </c>
      <c r="F206" t="s">
        <v>65</v>
      </c>
      <c r="G206" t="s">
        <v>44</v>
      </c>
      <c r="H206" t="s">
        <v>45</v>
      </c>
      <c r="I206">
        <v>99.999999999999005</v>
      </c>
      <c r="J206">
        <v>99.999999999999005</v>
      </c>
      <c r="K206">
        <v>99.999999999999005</v>
      </c>
      <c r="L206">
        <v>1364.0000000000141</v>
      </c>
    </row>
    <row r="207" spans="1:12" hidden="1" x14ac:dyDescent="0.25">
      <c r="A207">
        <v>2018</v>
      </c>
      <c r="B207" t="s">
        <v>66</v>
      </c>
      <c r="C207">
        <v>23764</v>
      </c>
      <c r="D207" t="s">
        <v>64</v>
      </c>
      <c r="E207" t="s">
        <v>14</v>
      </c>
      <c r="F207" t="s">
        <v>65</v>
      </c>
      <c r="G207" t="s">
        <v>44</v>
      </c>
      <c r="H207" t="s">
        <v>45</v>
      </c>
      <c r="I207">
        <v>100</v>
      </c>
      <c r="J207">
        <v>100</v>
      </c>
      <c r="K207">
        <v>100</v>
      </c>
      <c r="L207">
        <v>23764</v>
      </c>
    </row>
    <row r="208" spans="1:12" hidden="1" x14ac:dyDescent="0.25">
      <c r="A208">
        <v>2018</v>
      </c>
      <c r="B208" t="s">
        <v>12</v>
      </c>
      <c r="C208">
        <v>1640</v>
      </c>
      <c r="D208" t="s">
        <v>64</v>
      </c>
      <c r="E208" t="s">
        <v>14</v>
      </c>
      <c r="F208" t="s">
        <v>65</v>
      </c>
      <c r="G208" t="s">
        <v>52</v>
      </c>
      <c r="H208" t="s">
        <v>53</v>
      </c>
      <c r="I208">
        <v>100</v>
      </c>
      <c r="J208">
        <v>99.999999999999005</v>
      </c>
      <c r="K208">
        <v>100</v>
      </c>
      <c r="L208">
        <v>1640</v>
      </c>
    </row>
    <row r="209" spans="1:12" hidden="1" x14ac:dyDescent="0.25">
      <c r="A209">
        <v>2018</v>
      </c>
      <c r="B209" t="s">
        <v>66</v>
      </c>
      <c r="C209">
        <v>28034</v>
      </c>
      <c r="D209" t="s">
        <v>64</v>
      </c>
      <c r="E209" t="s">
        <v>14</v>
      </c>
      <c r="F209" t="s">
        <v>65</v>
      </c>
      <c r="G209" t="s">
        <v>52</v>
      </c>
      <c r="H209" t="s">
        <v>53</v>
      </c>
      <c r="I209">
        <v>100</v>
      </c>
      <c r="J209">
        <v>100</v>
      </c>
      <c r="K209">
        <v>100</v>
      </c>
      <c r="L209">
        <v>28034</v>
      </c>
    </row>
    <row r="210" spans="1:12" hidden="1" x14ac:dyDescent="0.25">
      <c r="A210">
        <v>2018</v>
      </c>
      <c r="B210" t="s">
        <v>12</v>
      </c>
      <c r="C210">
        <v>8849</v>
      </c>
      <c r="D210" t="s">
        <v>64</v>
      </c>
      <c r="E210" t="s">
        <v>14</v>
      </c>
      <c r="F210" t="s">
        <v>65</v>
      </c>
      <c r="G210" t="s">
        <v>36</v>
      </c>
      <c r="H210" t="s">
        <v>37</v>
      </c>
      <c r="I210">
        <v>99.999999999999005</v>
      </c>
      <c r="J210">
        <v>99.999999999999005</v>
      </c>
      <c r="K210">
        <v>99.999999999999005</v>
      </c>
      <c r="L210">
        <v>8849.0000000000873</v>
      </c>
    </row>
    <row r="211" spans="1:12" hidden="1" x14ac:dyDescent="0.25">
      <c r="A211">
        <v>2018</v>
      </c>
      <c r="B211" t="s">
        <v>66</v>
      </c>
      <c r="C211">
        <v>31824</v>
      </c>
      <c r="D211" t="s">
        <v>64</v>
      </c>
      <c r="E211" t="s">
        <v>14</v>
      </c>
      <c r="F211" t="s">
        <v>65</v>
      </c>
      <c r="G211" t="s">
        <v>36</v>
      </c>
      <c r="H211" t="s">
        <v>37</v>
      </c>
      <c r="I211">
        <v>100</v>
      </c>
      <c r="J211">
        <v>100</v>
      </c>
      <c r="K211">
        <v>100</v>
      </c>
      <c r="L211">
        <v>31824</v>
      </c>
    </row>
    <row r="212" spans="1:12" hidden="1" x14ac:dyDescent="0.25">
      <c r="A212">
        <v>2018</v>
      </c>
      <c r="B212" t="s">
        <v>12</v>
      </c>
      <c r="C212">
        <v>422</v>
      </c>
      <c r="D212" t="s">
        <v>64</v>
      </c>
      <c r="E212" t="s">
        <v>14</v>
      </c>
      <c r="F212" t="s">
        <v>65</v>
      </c>
      <c r="G212" t="s">
        <v>50</v>
      </c>
      <c r="H212" t="s">
        <v>51</v>
      </c>
      <c r="I212">
        <v>100</v>
      </c>
      <c r="J212">
        <v>99.999999999999005</v>
      </c>
      <c r="K212">
        <v>100</v>
      </c>
      <c r="L212">
        <v>422</v>
      </c>
    </row>
    <row r="213" spans="1:12" hidden="1" x14ac:dyDescent="0.25">
      <c r="A213">
        <v>2018</v>
      </c>
      <c r="B213" t="s">
        <v>66</v>
      </c>
      <c r="C213">
        <v>19988</v>
      </c>
      <c r="D213" t="s">
        <v>64</v>
      </c>
      <c r="E213" t="s">
        <v>14</v>
      </c>
      <c r="F213" t="s">
        <v>65</v>
      </c>
      <c r="G213" t="s">
        <v>50</v>
      </c>
      <c r="H213" t="s">
        <v>51</v>
      </c>
      <c r="I213">
        <v>100</v>
      </c>
      <c r="J213">
        <v>100</v>
      </c>
      <c r="K213">
        <v>100</v>
      </c>
      <c r="L213">
        <v>19988</v>
      </c>
    </row>
    <row r="214" spans="1:12" hidden="1" x14ac:dyDescent="0.25">
      <c r="A214">
        <v>2018</v>
      </c>
      <c r="B214" t="s">
        <v>12</v>
      </c>
      <c r="C214">
        <v>2146</v>
      </c>
      <c r="D214" t="s">
        <v>64</v>
      </c>
      <c r="E214" t="s">
        <v>14</v>
      </c>
      <c r="F214" t="s">
        <v>65</v>
      </c>
      <c r="G214" t="s">
        <v>28</v>
      </c>
      <c r="H214" t="s">
        <v>29</v>
      </c>
      <c r="I214">
        <v>100</v>
      </c>
      <c r="J214">
        <v>99.999999999999005</v>
      </c>
      <c r="K214">
        <v>100</v>
      </c>
      <c r="L214">
        <v>2146</v>
      </c>
    </row>
    <row r="215" spans="1:12" hidden="1" x14ac:dyDescent="0.25">
      <c r="A215">
        <v>2018</v>
      </c>
      <c r="B215" t="s">
        <v>66</v>
      </c>
      <c r="C215">
        <v>976</v>
      </c>
      <c r="D215" t="s">
        <v>64</v>
      </c>
      <c r="E215" t="s">
        <v>14</v>
      </c>
      <c r="F215" t="s">
        <v>65</v>
      </c>
      <c r="G215" t="s">
        <v>28</v>
      </c>
      <c r="H215" t="s">
        <v>29</v>
      </c>
      <c r="I215">
        <v>100</v>
      </c>
      <c r="J215">
        <v>100</v>
      </c>
      <c r="K215">
        <v>100</v>
      </c>
      <c r="L215">
        <v>976</v>
      </c>
    </row>
    <row r="216" spans="1:12" hidden="1" x14ac:dyDescent="0.25">
      <c r="A216">
        <v>2017</v>
      </c>
      <c r="B216" t="s">
        <v>66</v>
      </c>
      <c r="C216">
        <v>8348</v>
      </c>
      <c r="D216" t="s">
        <v>64</v>
      </c>
      <c r="E216" t="s">
        <v>14</v>
      </c>
      <c r="F216" t="s">
        <v>65</v>
      </c>
      <c r="G216" t="s">
        <v>30</v>
      </c>
      <c r="H216" t="s">
        <v>31</v>
      </c>
      <c r="I216">
        <v>93.7</v>
      </c>
      <c r="J216">
        <v>94.3</v>
      </c>
      <c r="K216">
        <v>93.7</v>
      </c>
      <c r="L216">
        <v>8909.2849519743868</v>
      </c>
    </row>
    <row r="217" spans="1:12" hidden="1" x14ac:dyDescent="0.25">
      <c r="A217">
        <v>2017</v>
      </c>
      <c r="B217" t="s">
        <v>12</v>
      </c>
      <c r="C217">
        <v>569</v>
      </c>
      <c r="D217" t="s">
        <v>64</v>
      </c>
      <c r="E217" t="s">
        <v>14</v>
      </c>
      <c r="F217" t="s">
        <v>65</v>
      </c>
      <c r="G217" t="s">
        <v>50</v>
      </c>
      <c r="H217" t="s">
        <v>51</v>
      </c>
      <c r="I217">
        <v>98.189528995325006</v>
      </c>
      <c r="J217">
        <v>95.003435419368998</v>
      </c>
      <c r="K217">
        <v>98.189528995325006</v>
      </c>
      <c r="L217">
        <v>579.49152605375184</v>
      </c>
    </row>
    <row r="218" spans="1:12" hidden="1" x14ac:dyDescent="0.25">
      <c r="A218">
        <v>2017</v>
      </c>
      <c r="B218" t="s">
        <v>66</v>
      </c>
      <c r="C218">
        <v>19049</v>
      </c>
      <c r="D218" t="s">
        <v>64</v>
      </c>
      <c r="E218" t="s">
        <v>14</v>
      </c>
      <c r="F218" t="s">
        <v>65</v>
      </c>
      <c r="G218" t="s">
        <v>50</v>
      </c>
      <c r="H218" t="s">
        <v>51</v>
      </c>
      <c r="I218">
        <v>94.3</v>
      </c>
      <c r="J218">
        <v>94.3</v>
      </c>
      <c r="K218">
        <v>94.3</v>
      </c>
      <c r="L218">
        <v>20200.42417815483</v>
      </c>
    </row>
    <row r="219" spans="1:12" hidden="1" x14ac:dyDescent="0.25">
      <c r="A219">
        <v>2017</v>
      </c>
      <c r="B219" t="s">
        <v>12</v>
      </c>
      <c r="C219">
        <v>2505</v>
      </c>
      <c r="D219" t="s">
        <v>64</v>
      </c>
      <c r="E219" t="s">
        <v>14</v>
      </c>
      <c r="F219" t="s">
        <v>65</v>
      </c>
      <c r="G219" t="s">
        <v>28</v>
      </c>
      <c r="H219" t="s">
        <v>29</v>
      </c>
      <c r="I219">
        <v>102.38170475517001</v>
      </c>
      <c r="J219">
        <v>95.003435419368998</v>
      </c>
      <c r="K219">
        <v>102.38170475517001</v>
      </c>
      <c r="L219">
        <v>2446.7262056148802</v>
      </c>
    </row>
    <row r="220" spans="1:12" hidden="1" x14ac:dyDescent="0.25">
      <c r="A220">
        <v>2017</v>
      </c>
      <c r="B220" t="s">
        <v>66</v>
      </c>
      <c r="C220">
        <v>963</v>
      </c>
      <c r="D220" t="s">
        <v>64</v>
      </c>
      <c r="E220" t="s">
        <v>14</v>
      </c>
      <c r="F220" t="s">
        <v>65</v>
      </c>
      <c r="G220" t="s">
        <v>28</v>
      </c>
      <c r="H220" t="s">
        <v>29</v>
      </c>
      <c r="I220">
        <v>98.6</v>
      </c>
      <c r="J220">
        <v>94.3</v>
      </c>
      <c r="K220">
        <v>98.6</v>
      </c>
      <c r="L220">
        <v>976.67342799188646</v>
      </c>
    </row>
    <row r="221" spans="1:12" hidden="1" x14ac:dyDescent="0.25">
      <c r="A221">
        <v>2017</v>
      </c>
      <c r="B221" t="s">
        <v>12</v>
      </c>
      <c r="C221">
        <v>1572</v>
      </c>
      <c r="D221" t="s">
        <v>64</v>
      </c>
      <c r="E221" t="s">
        <v>14</v>
      </c>
      <c r="F221" t="s">
        <v>65</v>
      </c>
      <c r="G221" t="s">
        <v>46</v>
      </c>
      <c r="H221" t="s">
        <v>47</v>
      </c>
      <c r="I221">
        <v>98.189528995325006</v>
      </c>
      <c r="J221">
        <v>95.003435419368998</v>
      </c>
      <c r="K221">
        <v>98.189528995325006</v>
      </c>
      <c r="L221">
        <v>1600.9853760219651</v>
      </c>
    </row>
    <row r="222" spans="1:12" hidden="1" x14ac:dyDescent="0.25">
      <c r="A222">
        <v>2017</v>
      </c>
      <c r="B222" t="s">
        <v>66</v>
      </c>
      <c r="C222">
        <v>13376</v>
      </c>
      <c r="D222" t="s">
        <v>64</v>
      </c>
      <c r="E222" t="s">
        <v>14</v>
      </c>
      <c r="F222" t="s">
        <v>65</v>
      </c>
      <c r="G222" t="s">
        <v>46</v>
      </c>
      <c r="H222" t="s">
        <v>47</v>
      </c>
      <c r="I222">
        <v>90.2</v>
      </c>
      <c r="J222">
        <v>94.3</v>
      </c>
      <c r="K222">
        <v>90.2</v>
      </c>
      <c r="L222">
        <v>14829.268292682929</v>
      </c>
    </row>
    <row r="223" spans="1:12" hidden="1" x14ac:dyDescent="0.25">
      <c r="A223">
        <v>2017</v>
      </c>
      <c r="B223" t="s">
        <v>12</v>
      </c>
      <c r="C223">
        <v>1412</v>
      </c>
      <c r="D223" t="s">
        <v>64</v>
      </c>
      <c r="E223" t="s">
        <v>14</v>
      </c>
      <c r="F223" t="s">
        <v>65</v>
      </c>
      <c r="G223" t="s">
        <v>44</v>
      </c>
      <c r="H223" t="s">
        <v>45</v>
      </c>
      <c r="I223">
        <v>89.385379074143003</v>
      </c>
      <c r="J223">
        <v>95.003435419368998</v>
      </c>
      <c r="K223">
        <v>89.385379074143003</v>
      </c>
      <c r="L223">
        <v>1579.676692794221</v>
      </c>
    </row>
    <row r="224" spans="1:12" hidden="1" x14ac:dyDescent="0.25">
      <c r="A224">
        <v>2017</v>
      </c>
      <c r="B224" t="s">
        <v>66</v>
      </c>
      <c r="C224">
        <v>22198</v>
      </c>
      <c r="D224" t="s">
        <v>64</v>
      </c>
      <c r="E224" t="s">
        <v>14</v>
      </c>
      <c r="F224" t="s">
        <v>65</v>
      </c>
      <c r="G224" t="s">
        <v>44</v>
      </c>
      <c r="H224" t="s">
        <v>45</v>
      </c>
      <c r="I224">
        <v>89.3</v>
      </c>
      <c r="J224">
        <v>94.3</v>
      </c>
      <c r="K224">
        <v>89.3</v>
      </c>
      <c r="L224">
        <v>24857.782754759239</v>
      </c>
    </row>
    <row r="225" spans="1:12" hidden="1" x14ac:dyDescent="0.25">
      <c r="A225">
        <v>2017</v>
      </c>
      <c r="B225" t="s">
        <v>12</v>
      </c>
      <c r="C225">
        <v>9758</v>
      </c>
      <c r="D225" t="s">
        <v>64</v>
      </c>
      <c r="E225" t="s">
        <v>14</v>
      </c>
      <c r="F225" t="s">
        <v>65</v>
      </c>
      <c r="G225" t="s">
        <v>36</v>
      </c>
      <c r="H225" t="s">
        <v>37</v>
      </c>
      <c r="I225">
        <v>96.253026824776995</v>
      </c>
      <c r="J225">
        <v>95.003435419368998</v>
      </c>
      <c r="K225">
        <v>96.253026824776995</v>
      </c>
      <c r="L225">
        <v>10137.86300742923</v>
      </c>
    </row>
    <row r="226" spans="1:12" hidden="1" x14ac:dyDescent="0.25">
      <c r="A226">
        <v>2017</v>
      </c>
      <c r="B226" t="s">
        <v>66</v>
      </c>
      <c r="C226">
        <v>30995</v>
      </c>
      <c r="D226" t="s">
        <v>64</v>
      </c>
      <c r="E226" t="s">
        <v>14</v>
      </c>
      <c r="F226" t="s">
        <v>65</v>
      </c>
      <c r="G226" t="s">
        <v>36</v>
      </c>
      <c r="H226" t="s">
        <v>37</v>
      </c>
      <c r="I226">
        <v>96.1</v>
      </c>
      <c r="J226">
        <v>94.3</v>
      </c>
      <c r="K226">
        <v>96.1</v>
      </c>
      <c r="L226">
        <v>32252.8616024974</v>
      </c>
    </row>
    <row r="227" spans="1:12" hidden="1" x14ac:dyDescent="0.25">
      <c r="A227">
        <v>2017</v>
      </c>
      <c r="B227" t="s">
        <v>12</v>
      </c>
      <c r="C227">
        <v>932</v>
      </c>
      <c r="D227" t="s">
        <v>64</v>
      </c>
      <c r="E227" t="s">
        <v>14</v>
      </c>
      <c r="F227" t="s">
        <v>65</v>
      </c>
      <c r="G227" t="s">
        <v>62</v>
      </c>
      <c r="H227" t="s">
        <v>63</v>
      </c>
      <c r="I227">
        <v>98.189528995325006</v>
      </c>
      <c r="J227">
        <v>95.003435419368998</v>
      </c>
      <c r="K227">
        <v>98.189528995325006</v>
      </c>
      <c r="L227">
        <v>949.18471402828948</v>
      </c>
    </row>
    <row r="228" spans="1:12" hidden="1" x14ac:dyDescent="0.25">
      <c r="A228">
        <v>2017</v>
      </c>
      <c r="B228" t="s">
        <v>12</v>
      </c>
      <c r="C228">
        <v>356</v>
      </c>
      <c r="D228" t="s">
        <v>64</v>
      </c>
      <c r="E228" t="s">
        <v>14</v>
      </c>
      <c r="F228" t="s">
        <v>65</v>
      </c>
      <c r="G228" t="s">
        <v>58</v>
      </c>
      <c r="H228" t="s">
        <v>59</v>
      </c>
      <c r="I228">
        <v>102.38170475517001</v>
      </c>
      <c r="J228">
        <v>95.003435419368998</v>
      </c>
      <c r="K228">
        <v>102.38170475517001</v>
      </c>
      <c r="L228">
        <v>347.71837492969951</v>
      </c>
    </row>
    <row r="229" spans="1:12" hidden="1" x14ac:dyDescent="0.25">
      <c r="A229">
        <v>2017</v>
      </c>
      <c r="B229" t="s">
        <v>66</v>
      </c>
      <c r="C229">
        <v>442</v>
      </c>
      <c r="D229" t="s">
        <v>64</v>
      </c>
      <c r="E229" t="s">
        <v>14</v>
      </c>
      <c r="F229" t="s">
        <v>65</v>
      </c>
      <c r="G229" t="s">
        <v>58</v>
      </c>
      <c r="H229" t="s">
        <v>59</v>
      </c>
      <c r="I229">
        <v>96.7</v>
      </c>
      <c r="J229">
        <v>94.3</v>
      </c>
      <c r="K229">
        <v>96.7</v>
      </c>
      <c r="L229">
        <v>457.08376421923481</v>
      </c>
    </row>
    <row r="230" spans="1:12" hidden="1" x14ac:dyDescent="0.25">
      <c r="A230">
        <v>2017</v>
      </c>
      <c r="B230" t="s">
        <v>12</v>
      </c>
      <c r="C230">
        <v>496</v>
      </c>
      <c r="D230" t="s">
        <v>64</v>
      </c>
      <c r="E230" t="s">
        <v>14</v>
      </c>
      <c r="F230" t="s">
        <v>65</v>
      </c>
      <c r="G230" t="s">
        <v>52</v>
      </c>
      <c r="H230" t="s">
        <v>53</v>
      </c>
      <c r="I230">
        <v>98.189528995325006</v>
      </c>
      <c r="J230">
        <v>95.003435419368998</v>
      </c>
      <c r="K230">
        <v>98.189528995325006</v>
      </c>
      <c r="L230">
        <v>505.14551304509831</v>
      </c>
    </row>
    <row r="231" spans="1:12" hidden="1" x14ac:dyDescent="0.25">
      <c r="A231">
        <v>2017</v>
      </c>
      <c r="B231" t="s">
        <v>66</v>
      </c>
      <c r="C231">
        <v>26147</v>
      </c>
      <c r="D231" t="s">
        <v>64</v>
      </c>
      <c r="E231" t="s">
        <v>14</v>
      </c>
      <c r="F231" t="s">
        <v>65</v>
      </c>
      <c r="G231" t="s">
        <v>52</v>
      </c>
      <c r="H231" t="s">
        <v>53</v>
      </c>
      <c r="I231">
        <v>96.3</v>
      </c>
      <c r="J231">
        <v>94.3</v>
      </c>
      <c r="K231">
        <v>96.3</v>
      </c>
      <c r="L231">
        <v>27151.60955347872</v>
      </c>
    </row>
    <row r="232" spans="1:12" hidden="1" x14ac:dyDescent="0.25">
      <c r="A232">
        <v>2017</v>
      </c>
      <c r="B232" t="s">
        <v>12</v>
      </c>
      <c r="C232">
        <v>177</v>
      </c>
      <c r="D232" t="s">
        <v>64</v>
      </c>
      <c r="E232" t="s">
        <v>14</v>
      </c>
      <c r="F232" t="s">
        <v>65</v>
      </c>
      <c r="G232" t="s">
        <v>22</v>
      </c>
      <c r="H232" t="s">
        <v>23</v>
      </c>
      <c r="I232">
        <v>111.61986215915999</v>
      </c>
      <c r="J232">
        <v>95.003435419368998</v>
      </c>
      <c r="K232">
        <v>111.61986215915999</v>
      </c>
      <c r="L232">
        <v>158.57392813083189</v>
      </c>
    </row>
    <row r="233" spans="1:12" hidden="1" x14ac:dyDescent="0.25">
      <c r="A233">
        <v>2017</v>
      </c>
      <c r="B233" t="s">
        <v>66</v>
      </c>
      <c r="C233">
        <v>8365</v>
      </c>
      <c r="D233" t="s">
        <v>64</v>
      </c>
      <c r="E233" t="s">
        <v>14</v>
      </c>
      <c r="F233" t="s">
        <v>65</v>
      </c>
      <c r="G233" t="s">
        <v>22</v>
      </c>
      <c r="H233" t="s">
        <v>23</v>
      </c>
      <c r="I233">
        <v>97.5</v>
      </c>
      <c r="J233">
        <v>94.3</v>
      </c>
      <c r="K233">
        <v>97.5</v>
      </c>
      <c r="L233">
        <v>8579.4871794871797</v>
      </c>
    </row>
    <row r="234" spans="1:12" hidden="1" x14ac:dyDescent="0.25">
      <c r="A234">
        <v>2017</v>
      </c>
      <c r="B234" t="s">
        <v>12</v>
      </c>
      <c r="C234">
        <v>68</v>
      </c>
      <c r="D234" t="s">
        <v>64</v>
      </c>
      <c r="E234" t="s">
        <v>14</v>
      </c>
      <c r="F234" t="s">
        <v>65</v>
      </c>
      <c r="G234" t="s">
        <v>54</v>
      </c>
      <c r="H234" t="s">
        <v>55</v>
      </c>
      <c r="I234">
        <v>98.189528995325006</v>
      </c>
      <c r="J234">
        <v>95.003435419368998</v>
      </c>
      <c r="K234">
        <v>98.189528995325006</v>
      </c>
      <c r="L234">
        <v>69.253820336827985</v>
      </c>
    </row>
    <row r="235" spans="1:12" hidden="1" x14ac:dyDescent="0.25">
      <c r="A235">
        <v>2017</v>
      </c>
      <c r="B235" t="s">
        <v>66</v>
      </c>
      <c r="C235">
        <v>60638</v>
      </c>
      <c r="D235" t="s">
        <v>64</v>
      </c>
      <c r="E235" t="s">
        <v>14</v>
      </c>
      <c r="F235" t="s">
        <v>65</v>
      </c>
      <c r="G235" t="s">
        <v>54</v>
      </c>
      <c r="H235" t="s">
        <v>55</v>
      </c>
      <c r="I235">
        <v>97</v>
      </c>
      <c r="J235">
        <v>94.3</v>
      </c>
      <c r="K235">
        <v>97</v>
      </c>
      <c r="L235">
        <v>62513.402061855682</v>
      </c>
    </row>
    <row r="236" spans="1:12" hidden="1" x14ac:dyDescent="0.25">
      <c r="A236">
        <v>2017</v>
      </c>
      <c r="B236" t="s">
        <v>12</v>
      </c>
      <c r="C236">
        <v>775</v>
      </c>
      <c r="D236" t="s">
        <v>64</v>
      </c>
      <c r="E236" t="s">
        <v>14</v>
      </c>
      <c r="F236" t="s">
        <v>65</v>
      </c>
      <c r="G236" t="s">
        <v>38</v>
      </c>
      <c r="H236" t="s">
        <v>39</v>
      </c>
      <c r="I236">
        <v>96.253026824776995</v>
      </c>
      <c r="J236">
        <v>95.003435419368998</v>
      </c>
      <c r="K236">
        <v>96.253026824776995</v>
      </c>
      <c r="L236">
        <v>805.16948460316178</v>
      </c>
    </row>
    <row r="237" spans="1:12" hidden="1" x14ac:dyDescent="0.25">
      <c r="A237">
        <v>2017</v>
      </c>
      <c r="B237" t="s">
        <v>66</v>
      </c>
      <c r="C237">
        <v>885</v>
      </c>
      <c r="D237" t="s">
        <v>64</v>
      </c>
      <c r="E237" t="s">
        <v>14</v>
      </c>
      <c r="F237" t="s">
        <v>65</v>
      </c>
      <c r="G237" t="s">
        <v>38</v>
      </c>
      <c r="H237" t="s">
        <v>39</v>
      </c>
      <c r="I237">
        <v>96.1</v>
      </c>
      <c r="J237">
        <v>94.3</v>
      </c>
      <c r="K237">
        <v>96.1</v>
      </c>
      <c r="L237">
        <v>920.91571279916752</v>
      </c>
    </row>
    <row r="238" spans="1:12" hidden="1" x14ac:dyDescent="0.25">
      <c r="A238">
        <v>2017</v>
      </c>
      <c r="B238" t="s">
        <v>12</v>
      </c>
      <c r="C238">
        <v>167</v>
      </c>
      <c r="D238" t="s">
        <v>64</v>
      </c>
      <c r="E238" t="s">
        <v>14</v>
      </c>
      <c r="F238" t="s">
        <v>65</v>
      </c>
      <c r="G238" t="s">
        <v>26</v>
      </c>
      <c r="H238" t="s">
        <v>27</v>
      </c>
      <c r="I238">
        <v>111.61986215915999</v>
      </c>
      <c r="J238">
        <v>95.003435419368998</v>
      </c>
      <c r="K238">
        <v>111.61986215915999</v>
      </c>
      <c r="L238">
        <v>149.6149491403894</v>
      </c>
    </row>
    <row r="239" spans="1:12" hidden="1" x14ac:dyDescent="0.25">
      <c r="A239">
        <v>2017</v>
      </c>
      <c r="B239" t="s">
        <v>66</v>
      </c>
      <c r="C239">
        <v>1849</v>
      </c>
      <c r="D239" t="s">
        <v>64</v>
      </c>
      <c r="E239" t="s">
        <v>14</v>
      </c>
      <c r="F239" t="s">
        <v>65</v>
      </c>
      <c r="G239" t="s">
        <v>26</v>
      </c>
      <c r="H239" t="s">
        <v>27</v>
      </c>
      <c r="I239">
        <v>97.8</v>
      </c>
      <c r="J239">
        <v>94.3</v>
      </c>
      <c r="K239">
        <v>97.8</v>
      </c>
      <c r="L239">
        <v>1890.593047034765</v>
      </c>
    </row>
    <row r="240" spans="1:12" hidden="1" x14ac:dyDescent="0.25">
      <c r="A240">
        <v>2017</v>
      </c>
      <c r="B240" t="s">
        <v>12</v>
      </c>
      <c r="C240">
        <v>65</v>
      </c>
      <c r="D240" t="s">
        <v>64</v>
      </c>
      <c r="E240" t="s">
        <v>14</v>
      </c>
      <c r="F240" t="s">
        <v>65</v>
      </c>
      <c r="G240" t="s">
        <v>60</v>
      </c>
      <c r="H240" t="s">
        <v>61</v>
      </c>
      <c r="J240">
        <v>95.003435419368998</v>
      </c>
      <c r="K240">
        <v>95.003435419368998</v>
      </c>
      <c r="L240">
        <v>68.41857845779333</v>
      </c>
    </row>
    <row r="241" spans="1:12" hidden="1" x14ac:dyDescent="0.25">
      <c r="A241">
        <v>2017</v>
      </c>
      <c r="B241" t="s">
        <v>66</v>
      </c>
      <c r="C241">
        <v>331</v>
      </c>
      <c r="D241" t="s">
        <v>64</v>
      </c>
      <c r="E241" t="s">
        <v>14</v>
      </c>
      <c r="F241" t="s">
        <v>65</v>
      </c>
      <c r="G241" t="s">
        <v>60</v>
      </c>
      <c r="H241" t="s">
        <v>61</v>
      </c>
      <c r="I241">
        <v>95.9</v>
      </c>
      <c r="J241">
        <v>94.3</v>
      </c>
      <c r="K241">
        <v>95.9</v>
      </c>
      <c r="L241">
        <v>345.15119916579772</v>
      </c>
    </row>
    <row r="242" spans="1:12" hidden="1" x14ac:dyDescent="0.25">
      <c r="A242">
        <v>2017</v>
      </c>
      <c r="B242" t="s">
        <v>12</v>
      </c>
      <c r="C242">
        <v>42</v>
      </c>
      <c r="D242" t="s">
        <v>64</v>
      </c>
      <c r="E242" t="s">
        <v>14</v>
      </c>
      <c r="F242" t="s">
        <v>65</v>
      </c>
      <c r="G242" t="s">
        <v>48</v>
      </c>
      <c r="H242" t="s">
        <v>49</v>
      </c>
      <c r="I242">
        <v>98.189528995325006</v>
      </c>
      <c r="J242">
        <v>95.003435419368998</v>
      </c>
      <c r="K242">
        <v>98.189528995325006</v>
      </c>
      <c r="L242">
        <v>42.77441844333493</v>
      </c>
    </row>
    <row r="243" spans="1:12" hidden="1" x14ac:dyDescent="0.25">
      <c r="A243">
        <v>2017</v>
      </c>
      <c r="B243" t="s">
        <v>66</v>
      </c>
      <c r="C243">
        <v>4429</v>
      </c>
      <c r="D243" t="s">
        <v>64</v>
      </c>
      <c r="E243" t="s">
        <v>14</v>
      </c>
      <c r="F243" t="s">
        <v>65</v>
      </c>
      <c r="G243" t="s">
        <v>48</v>
      </c>
      <c r="H243" t="s">
        <v>49</v>
      </c>
      <c r="I243">
        <v>95.5</v>
      </c>
      <c r="J243">
        <v>94.3</v>
      </c>
      <c r="K243">
        <v>95.5</v>
      </c>
      <c r="L243">
        <v>4637.6963350785336</v>
      </c>
    </row>
    <row r="244" spans="1:12" hidden="1" x14ac:dyDescent="0.25">
      <c r="A244">
        <v>2018</v>
      </c>
      <c r="B244" t="s">
        <v>12</v>
      </c>
      <c r="C244">
        <v>757</v>
      </c>
      <c r="D244" t="s">
        <v>64</v>
      </c>
      <c r="E244" t="s">
        <v>14</v>
      </c>
      <c r="F244" t="s">
        <v>65</v>
      </c>
      <c r="G244" t="s">
        <v>38</v>
      </c>
      <c r="H244" t="s">
        <v>39</v>
      </c>
      <c r="I244">
        <v>99.999999999999005</v>
      </c>
      <c r="J244">
        <v>99.999999999999005</v>
      </c>
      <c r="K244">
        <v>99.999999999999005</v>
      </c>
      <c r="L244">
        <v>757.0000000000075</v>
      </c>
    </row>
    <row r="245" spans="1:12" hidden="1" x14ac:dyDescent="0.25">
      <c r="A245">
        <v>2018</v>
      </c>
      <c r="B245" t="s">
        <v>66</v>
      </c>
      <c r="C245">
        <v>914</v>
      </c>
      <c r="D245" t="s">
        <v>64</v>
      </c>
      <c r="E245" t="s">
        <v>14</v>
      </c>
      <c r="F245" t="s">
        <v>65</v>
      </c>
      <c r="G245" t="s">
        <v>38</v>
      </c>
      <c r="H245" t="s">
        <v>39</v>
      </c>
      <c r="I245">
        <v>100</v>
      </c>
      <c r="J245">
        <v>100</v>
      </c>
      <c r="K245">
        <v>100</v>
      </c>
      <c r="L245">
        <v>914</v>
      </c>
    </row>
    <row r="246" spans="1:12" hidden="1" x14ac:dyDescent="0.25">
      <c r="A246">
        <v>2018</v>
      </c>
      <c r="B246" t="s">
        <v>12</v>
      </c>
      <c r="C246">
        <v>48</v>
      </c>
      <c r="D246" t="s">
        <v>64</v>
      </c>
      <c r="E246" t="s">
        <v>14</v>
      </c>
      <c r="F246" t="s">
        <v>65</v>
      </c>
      <c r="G246" t="s">
        <v>60</v>
      </c>
      <c r="H246" t="s">
        <v>61</v>
      </c>
      <c r="J246">
        <v>99.999999999999005</v>
      </c>
      <c r="K246">
        <v>99.999999999999005</v>
      </c>
      <c r="L246">
        <v>48.000000000000483</v>
      </c>
    </row>
    <row r="247" spans="1:12" hidden="1" x14ac:dyDescent="0.25">
      <c r="A247">
        <v>2018</v>
      </c>
      <c r="B247" t="s">
        <v>66</v>
      </c>
      <c r="C247">
        <v>351</v>
      </c>
      <c r="D247" t="s">
        <v>64</v>
      </c>
      <c r="E247" t="s">
        <v>14</v>
      </c>
      <c r="F247" t="s">
        <v>65</v>
      </c>
      <c r="G247" t="s">
        <v>60</v>
      </c>
      <c r="H247" t="s">
        <v>61</v>
      </c>
      <c r="I247">
        <v>100</v>
      </c>
      <c r="J247">
        <v>100</v>
      </c>
      <c r="K247">
        <v>100</v>
      </c>
      <c r="L247">
        <v>351</v>
      </c>
    </row>
    <row r="248" spans="1:12" hidden="1" x14ac:dyDescent="0.25">
      <c r="A248">
        <v>2018</v>
      </c>
      <c r="B248" t="s">
        <v>12</v>
      </c>
      <c r="C248">
        <v>3084</v>
      </c>
      <c r="D248" t="s">
        <v>64</v>
      </c>
      <c r="E248" t="s">
        <v>14</v>
      </c>
      <c r="F248" t="s">
        <v>65</v>
      </c>
      <c r="G248" t="s">
        <v>20</v>
      </c>
      <c r="H248" t="s">
        <v>21</v>
      </c>
      <c r="I248">
        <v>100</v>
      </c>
      <c r="J248">
        <v>99.999999999999005</v>
      </c>
      <c r="K248">
        <v>100</v>
      </c>
      <c r="L248">
        <v>3084</v>
      </c>
    </row>
    <row r="249" spans="1:12" hidden="1" x14ac:dyDescent="0.25">
      <c r="A249">
        <v>2018</v>
      </c>
      <c r="B249" t="s">
        <v>66</v>
      </c>
      <c r="C249">
        <v>13588</v>
      </c>
      <c r="D249" t="s">
        <v>64</v>
      </c>
      <c r="E249" t="s">
        <v>14</v>
      </c>
      <c r="F249" t="s">
        <v>65</v>
      </c>
      <c r="G249" t="s">
        <v>20</v>
      </c>
      <c r="H249" t="s">
        <v>21</v>
      </c>
      <c r="I249">
        <v>100</v>
      </c>
      <c r="J249">
        <v>100</v>
      </c>
      <c r="K249">
        <v>100</v>
      </c>
      <c r="L249">
        <v>13588</v>
      </c>
    </row>
    <row r="250" spans="1:12" hidden="1" x14ac:dyDescent="0.25">
      <c r="A250">
        <v>2018</v>
      </c>
      <c r="B250" t="s">
        <v>12</v>
      </c>
      <c r="C250">
        <v>162</v>
      </c>
      <c r="D250" t="s">
        <v>64</v>
      </c>
      <c r="E250" t="s">
        <v>14</v>
      </c>
      <c r="F250" t="s">
        <v>65</v>
      </c>
      <c r="G250" t="s">
        <v>26</v>
      </c>
      <c r="H250" t="s">
        <v>27</v>
      </c>
      <c r="I250">
        <v>99.999999999999005</v>
      </c>
      <c r="J250">
        <v>99.999999999999005</v>
      </c>
      <c r="K250">
        <v>99.999999999999005</v>
      </c>
      <c r="L250">
        <v>162.00000000000159</v>
      </c>
    </row>
    <row r="251" spans="1:12" hidden="1" x14ac:dyDescent="0.25">
      <c r="A251">
        <v>2018</v>
      </c>
      <c r="B251" t="s">
        <v>66</v>
      </c>
      <c r="C251">
        <v>1844</v>
      </c>
      <c r="D251" t="s">
        <v>64</v>
      </c>
      <c r="E251" t="s">
        <v>14</v>
      </c>
      <c r="F251" t="s">
        <v>65</v>
      </c>
      <c r="G251" t="s">
        <v>26</v>
      </c>
      <c r="H251" t="s">
        <v>27</v>
      </c>
      <c r="I251">
        <v>100</v>
      </c>
      <c r="J251">
        <v>100</v>
      </c>
      <c r="K251">
        <v>100</v>
      </c>
      <c r="L251">
        <v>1844</v>
      </c>
    </row>
    <row r="252" spans="1:12" hidden="1" x14ac:dyDescent="0.25">
      <c r="A252">
        <v>2018</v>
      </c>
      <c r="B252" t="s">
        <v>12</v>
      </c>
      <c r="C252">
        <v>257</v>
      </c>
      <c r="D252" t="s">
        <v>64</v>
      </c>
      <c r="E252" t="s">
        <v>14</v>
      </c>
      <c r="F252" t="s">
        <v>65</v>
      </c>
      <c r="G252" t="s">
        <v>54</v>
      </c>
      <c r="H252" t="s">
        <v>55</v>
      </c>
      <c r="I252">
        <v>100</v>
      </c>
      <c r="J252">
        <v>99.999999999999005</v>
      </c>
      <c r="K252">
        <v>100</v>
      </c>
      <c r="L252">
        <v>257</v>
      </c>
    </row>
    <row r="253" spans="1:12" hidden="1" x14ac:dyDescent="0.25">
      <c r="A253">
        <v>2018</v>
      </c>
      <c r="B253" t="s">
        <v>66</v>
      </c>
      <c r="C253">
        <v>64543</v>
      </c>
      <c r="D253" t="s">
        <v>64</v>
      </c>
      <c r="E253" t="s">
        <v>14</v>
      </c>
      <c r="F253" t="s">
        <v>65</v>
      </c>
      <c r="G253" t="s">
        <v>54</v>
      </c>
      <c r="H253" t="s">
        <v>55</v>
      </c>
      <c r="I253">
        <v>100</v>
      </c>
      <c r="J253">
        <v>100</v>
      </c>
      <c r="K253">
        <v>100</v>
      </c>
      <c r="L253">
        <v>64542.999999999993</v>
      </c>
    </row>
    <row r="254" spans="1:12" hidden="1" x14ac:dyDescent="0.25">
      <c r="A254">
        <v>2018</v>
      </c>
      <c r="B254" t="s">
        <v>12</v>
      </c>
      <c r="C254">
        <v>60</v>
      </c>
      <c r="D254" t="s">
        <v>64</v>
      </c>
      <c r="E254" t="s">
        <v>14</v>
      </c>
      <c r="F254" t="s">
        <v>65</v>
      </c>
      <c r="G254" t="s">
        <v>48</v>
      </c>
      <c r="H254" t="s">
        <v>49</v>
      </c>
      <c r="I254">
        <v>100</v>
      </c>
      <c r="J254">
        <v>99.999999999999005</v>
      </c>
      <c r="K254">
        <v>100</v>
      </c>
      <c r="L254">
        <v>60</v>
      </c>
    </row>
    <row r="255" spans="1:12" hidden="1" x14ac:dyDescent="0.25">
      <c r="A255">
        <v>2018</v>
      </c>
      <c r="B255" t="s">
        <v>66</v>
      </c>
      <c r="C255">
        <v>4529</v>
      </c>
      <c r="D255" t="s">
        <v>64</v>
      </c>
      <c r="E255" t="s">
        <v>14</v>
      </c>
      <c r="F255" t="s">
        <v>65</v>
      </c>
      <c r="G255" t="s">
        <v>48</v>
      </c>
      <c r="H255" t="s">
        <v>49</v>
      </c>
      <c r="I255">
        <v>100</v>
      </c>
      <c r="J255">
        <v>100</v>
      </c>
      <c r="K255">
        <v>100</v>
      </c>
      <c r="L255">
        <v>4529</v>
      </c>
    </row>
    <row r="256" spans="1:12" hidden="1" x14ac:dyDescent="0.25">
      <c r="A256">
        <v>2018</v>
      </c>
      <c r="B256" t="s">
        <v>12</v>
      </c>
      <c r="C256">
        <v>56</v>
      </c>
      <c r="D256" t="s">
        <v>64</v>
      </c>
      <c r="E256" t="s">
        <v>14</v>
      </c>
      <c r="F256" t="s">
        <v>65</v>
      </c>
      <c r="G256" t="s">
        <v>56</v>
      </c>
      <c r="H256" t="s">
        <v>57</v>
      </c>
      <c r="I256">
        <v>100</v>
      </c>
      <c r="J256">
        <v>99.999999999999005</v>
      </c>
      <c r="K256">
        <v>100</v>
      </c>
      <c r="L256">
        <v>56.000000000000007</v>
      </c>
    </row>
    <row r="257" spans="1:12" hidden="1" x14ac:dyDescent="0.25">
      <c r="A257">
        <v>2018</v>
      </c>
      <c r="B257" t="s">
        <v>66</v>
      </c>
      <c r="C257">
        <v>725</v>
      </c>
      <c r="D257" t="s">
        <v>64</v>
      </c>
      <c r="E257" t="s">
        <v>14</v>
      </c>
      <c r="F257" t="s">
        <v>65</v>
      </c>
      <c r="G257" t="s">
        <v>56</v>
      </c>
      <c r="H257" t="s">
        <v>57</v>
      </c>
      <c r="I257">
        <v>100</v>
      </c>
      <c r="J257">
        <v>100</v>
      </c>
      <c r="K257">
        <v>100</v>
      </c>
      <c r="L257">
        <v>725</v>
      </c>
    </row>
    <row r="258" spans="1:12" hidden="1" x14ac:dyDescent="0.25">
      <c r="A258">
        <v>2018</v>
      </c>
      <c r="B258" t="s">
        <v>12</v>
      </c>
      <c r="C258">
        <v>20</v>
      </c>
      <c r="D258" t="s">
        <v>64</v>
      </c>
      <c r="E258" t="s">
        <v>14</v>
      </c>
      <c r="F258" t="s">
        <v>65</v>
      </c>
      <c r="G258" t="s">
        <v>34</v>
      </c>
      <c r="H258" t="s">
        <v>35</v>
      </c>
      <c r="I258">
        <v>99.999999999999005</v>
      </c>
      <c r="J258">
        <v>99.999999999999005</v>
      </c>
      <c r="K258">
        <v>99.999999999999005</v>
      </c>
      <c r="L258">
        <v>20.000000000000199</v>
      </c>
    </row>
    <row r="259" spans="1:12" hidden="1" x14ac:dyDescent="0.25">
      <c r="A259">
        <v>2018</v>
      </c>
      <c r="B259" t="s">
        <v>66</v>
      </c>
      <c r="C259">
        <v>17983</v>
      </c>
      <c r="D259" t="s">
        <v>64</v>
      </c>
      <c r="E259" t="s">
        <v>14</v>
      </c>
      <c r="F259" t="s">
        <v>65</v>
      </c>
      <c r="G259" t="s">
        <v>34</v>
      </c>
      <c r="H259" t="s">
        <v>35</v>
      </c>
      <c r="I259">
        <v>100</v>
      </c>
      <c r="J259">
        <v>100</v>
      </c>
      <c r="K259">
        <v>100</v>
      </c>
      <c r="L259">
        <v>17983</v>
      </c>
    </row>
    <row r="260" spans="1:12" hidden="1" x14ac:dyDescent="0.25">
      <c r="A260">
        <v>2018</v>
      </c>
      <c r="B260" t="s">
        <v>66</v>
      </c>
      <c r="C260">
        <v>464</v>
      </c>
      <c r="D260" t="s">
        <v>64</v>
      </c>
      <c r="E260" t="s">
        <v>14</v>
      </c>
      <c r="F260" t="s">
        <v>65</v>
      </c>
      <c r="G260" t="s">
        <v>67</v>
      </c>
      <c r="H260" t="s">
        <v>68</v>
      </c>
      <c r="I260">
        <v>100</v>
      </c>
      <c r="J260">
        <v>100</v>
      </c>
      <c r="K260">
        <v>100</v>
      </c>
      <c r="L260">
        <v>463.99999999999989</v>
      </c>
    </row>
    <row r="261" spans="1:12" hidden="1" x14ac:dyDescent="0.25">
      <c r="A261">
        <v>2018</v>
      </c>
      <c r="B261" t="s">
        <v>12</v>
      </c>
      <c r="C261">
        <v>22</v>
      </c>
      <c r="D261" t="s">
        <v>64</v>
      </c>
      <c r="E261" t="s">
        <v>14</v>
      </c>
      <c r="F261" t="s">
        <v>65</v>
      </c>
      <c r="G261" t="s">
        <v>16</v>
      </c>
      <c r="H261" t="s">
        <v>17</v>
      </c>
      <c r="J261">
        <v>99.999999999999005</v>
      </c>
      <c r="K261">
        <v>99.999999999999005</v>
      </c>
      <c r="L261">
        <v>22.00000000000022</v>
      </c>
    </row>
    <row r="262" spans="1:12" hidden="1" x14ac:dyDescent="0.25">
      <c r="A262">
        <v>2017</v>
      </c>
      <c r="B262" t="s">
        <v>12</v>
      </c>
      <c r="C262">
        <v>308</v>
      </c>
      <c r="D262" t="s">
        <v>64</v>
      </c>
      <c r="E262" t="s">
        <v>14</v>
      </c>
      <c r="F262" t="s">
        <v>65</v>
      </c>
      <c r="G262" t="s">
        <v>32</v>
      </c>
      <c r="H262" t="s">
        <v>33</v>
      </c>
      <c r="I262">
        <v>76.712843517501994</v>
      </c>
      <c r="J262">
        <v>95.003435419368998</v>
      </c>
      <c r="K262">
        <v>76.712843517501994</v>
      </c>
      <c r="L262">
        <v>401.49730589732337</v>
      </c>
    </row>
    <row r="263" spans="1:12" hidden="1" x14ac:dyDescent="0.25">
      <c r="A263">
        <v>2017</v>
      </c>
      <c r="B263" t="s">
        <v>66</v>
      </c>
      <c r="C263">
        <v>608</v>
      </c>
      <c r="D263" t="s">
        <v>64</v>
      </c>
      <c r="E263" t="s">
        <v>14</v>
      </c>
      <c r="F263" t="s">
        <v>65</v>
      </c>
      <c r="G263" t="s">
        <v>32</v>
      </c>
      <c r="H263" t="s">
        <v>33</v>
      </c>
      <c r="I263">
        <v>96.5</v>
      </c>
      <c r="J263">
        <v>94.3</v>
      </c>
      <c r="K263">
        <v>96.5</v>
      </c>
      <c r="L263">
        <v>630.05181347150256</v>
      </c>
    </row>
    <row r="264" spans="1:12" hidden="1" x14ac:dyDescent="0.25">
      <c r="A264">
        <v>2017</v>
      </c>
      <c r="B264" t="s">
        <v>12</v>
      </c>
      <c r="C264">
        <v>16496</v>
      </c>
      <c r="D264" t="s">
        <v>64</v>
      </c>
      <c r="E264" t="s">
        <v>14</v>
      </c>
      <c r="F264" t="s">
        <v>65</v>
      </c>
      <c r="G264" t="s">
        <v>18</v>
      </c>
      <c r="H264" t="s">
        <v>19</v>
      </c>
      <c r="I264">
        <v>98.723825004638996</v>
      </c>
      <c r="J264">
        <v>95.003435419368998</v>
      </c>
      <c r="K264">
        <v>98.723825004638996</v>
      </c>
      <c r="L264">
        <v>16709.23913171401</v>
      </c>
    </row>
    <row r="265" spans="1:12" hidden="1" x14ac:dyDescent="0.25">
      <c r="A265">
        <v>2017</v>
      </c>
      <c r="B265" t="s">
        <v>66</v>
      </c>
      <c r="C265">
        <v>41336</v>
      </c>
      <c r="D265" t="s">
        <v>64</v>
      </c>
      <c r="E265" t="s">
        <v>14</v>
      </c>
      <c r="F265" t="s">
        <v>65</v>
      </c>
      <c r="G265" t="s">
        <v>18</v>
      </c>
      <c r="H265" t="s">
        <v>19</v>
      </c>
      <c r="I265">
        <v>96.7</v>
      </c>
      <c r="J265">
        <v>94.3</v>
      </c>
      <c r="K265">
        <v>96.7</v>
      </c>
      <c r="L265">
        <v>42746.63908996898</v>
      </c>
    </row>
    <row r="266" spans="1:12" hidden="1" x14ac:dyDescent="0.25">
      <c r="A266">
        <v>2017</v>
      </c>
      <c r="B266" t="s">
        <v>12</v>
      </c>
      <c r="C266">
        <v>4061</v>
      </c>
      <c r="D266" t="s">
        <v>64</v>
      </c>
      <c r="E266" t="s">
        <v>14</v>
      </c>
      <c r="F266" t="s">
        <v>65</v>
      </c>
      <c r="G266" t="s">
        <v>20</v>
      </c>
      <c r="H266" t="s">
        <v>21</v>
      </c>
      <c r="I266">
        <v>90.846967636214998</v>
      </c>
      <c r="J266">
        <v>95.003435419368998</v>
      </c>
      <c r="K266">
        <v>90.846967636214998</v>
      </c>
      <c r="L266">
        <v>4470.154707047298</v>
      </c>
    </row>
    <row r="267" spans="1:12" hidden="1" x14ac:dyDescent="0.25">
      <c r="A267">
        <v>2017</v>
      </c>
      <c r="B267" t="s">
        <v>66</v>
      </c>
      <c r="C267">
        <v>12770</v>
      </c>
      <c r="D267" t="s">
        <v>64</v>
      </c>
      <c r="E267" t="s">
        <v>14</v>
      </c>
      <c r="F267" t="s">
        <v>65</v>
      </c>
      <c r="G267" t="s">
        <v>20</v>
      </c>
      <c r="H267" t="s">
        <v>21</v>
      </c>
      <c r="I267">
        <v>96.4</v>
      </c>
      <c r="J267">
        <v>94.3</v>
      </c>
      <c r="K267">
        <v>96.4</v>
      </c>
      <c r="L267">
        <v>13246.887966804979</v>
      </c>
    </row>
    <row r="268" spans="1:12" hidden="1" x14ac:dyDescent="0.25">
      <c r="A268">
        <v>2017</v>
      </c>
      <c r="B268" t="s">
        <v>12</v>
      </c>
      <c r="C268">
        <v>1685</v>
      </c>
      <c r="D268" t="s">
        <v>64</v>
      </c>
      <c r="E268" t="s">
        <v>14</v>
      </c>
      <c r="F268" t="s">
        <v>65</v>
      </c>
      <c r="G268" t="s">
        <v>42</v>
      </c>
      <c r="H268" t="s">
        <v>43</v>
      </c>
      <c r="I268">
        <v>89.385379074143003</v>
      </c>
      <c r="J268">
        <v>95.003435419368998</v>
      </c>
      <c r="K268">
        <v>89.385379074143003</v>
      </c>
      <c r="L268">
        <v>1885.095770083755</v>
      </c>
    </row>
    <row r="269" spans="1:12" hidden="1" x14ac:dyDescent="0.25">
      <c r="A269">
        <v>2017</v>
      </c>
      <c r="B269" t="s">
        <v>66</v>
      </c>
      <c r="C269">
        <v>14063</v>
      </c>
      <c r="D269" t="s">
        <v>64</v>
      </c>
      <c r="E269" t="s">
        <v>14</v>
      </c>
      <c r="F269" t="s">
        <v>65</v>
      </c>
      <c r="G269" t="s">
        <v>42</v>
      </c>
      <c r="H269" t="s">
        <v>43</v>
      </c>
      <c r="I269">
        <v>95.9</v>
      </c>
      <c r="J269">
        <v>94.3</v>
      </c>
      <c r="K269">
        <v>95.9</v>
      </c>
      <c r="L269">
        <v>14664.233576642329</v>
      </c>
    </row>
    <row r="270" spans="1:12" hidden="1" x14ac:dyDescent="0.25">
      <c r="A270">
        <v>2017</v>
      </c>
      <c r="B270" t="s">
        <v>12</v>
      </c>
      <c r="C270">
        <v>196</v>
      </c>
      <c r="D270" t="s">
        <v>64</v>
      </c>
      <c r="E270" t="s">
        <v>14</v>
      </c>
      <c r="F270" t="s">
        <v>65</v>
      </c>
      <c r="G270" t="s">
        <v>24</v>
      </c>
      <c r="H270" t="s">
        <v>25</v>
      </c>
      <c r="I270">
        <v>111.61986215915999</v>
      </c>
      <c r="J270">
        <v>95.003435419368998</v>
      </c>
      <c r="K270">
        <v>111.61986215915999</v>
      </c>
      <c r="L270">
        <v>175.59598821267261</v>
      </c>
    </row>
    <row r="271" spans="1:12" hidden="1" x14ac:dyDescent="0.25">
      <c r="A271">
        <v>2017</v>
      </c>
      <c r="B271" t="s">
        <v>66</v>
      </c>
      <c r="C271">
        <v>2463</v>
      </c>
      <c r="D271" t="s">
        <v>64</v>
      </c>
      <c r="E271" t="s">
        <v>14</v>
      </c>
      <c r="F271" t="s">
        <v>65</v>
      </c>
      <c r="G271" t="s">
        <v>24</v>
      </c>
      <c r="H271" t="s">
        <v>25</v>
      </c>
      <c r="I271">
        <v>96.6</v>
      </c>
      <c r="J271">
        <v>94.3</v>
      </c>
      <c r="K271">
        <v>96.6</v>
      </c>
      <c r="L271">
        <v>2549.689440993789</v>
      </c>
    </row>
    <row r="272" spans="1:12" hidden="1" x14ac:dyDescent="0.25">
      <c r="A272">
        <v>2017</v>
      </c>
      <c r="B272" t="s">
        <v>12</v>
      </c>
      <c r="C272">
        <v>1818</v>
      </c>
      <c r="D272" t="s">
        <v>64</v>
      </c>
      <c r="E272" t="s">
        <v>14</v>
      </c>
      <c r="F272" t="s">
        <v>65</v>
      </c>
      <c r="G272" t="s">
        <v>40</v>
      </c>
      <c r="H272" t="s">
        <v>41</v>
      </c>
      <c r="I272">
        <v>96.253026824776995</v>
      </c>
      <c r="J272">
        <v>95.003435419368998</v>
      </c>
      <c r="K272">
        <v>96.253026824776995</v>
      </c>
      <c r="L272">
        <v>1888.7717716239331</v>
      </c>
    </row>
    <row r="273" spans="1:12" hidden="1" x14ac:dyDescent="0.25">
      <c r="A273">
        <v>2017</v>
      </c>
      <c r="B273" t="s">
        <v>66</v>
      </c>
      <c r="C273">
        <v>12296</v>
      </c>
      <c r="D273" t="s">
        <v>64</v>
      </c>
      <c r="E273" t="s">
        <v>14</v>
      </c>
      <c r="F273" t="s">
        <v>65</v>
      </c>
      <c r="G273" t="s">
        <v>40</v>
      </c>
      <c r="H273" t="s">
        <v>41</v>
      </c>
      <c r="I273">
        <v>95.4</v>
      </c>
      <c r="J273">
        <v>94.3</v>
      </c>
      <c r="K273">
        <v>95.4</v>
      </c>
      <c r="L273">
        <v>12888.888888888891</v>
      </c>
    </row>
    <row r="274" spans="1:12" hidden="1" x14ac:dyDescent="0.25">
      <c r="A274">
        <v>2017</v>
      </c>
      <c r="B274" t="s">
        <v>12</v>
      </c>
      <c r="C274">
        <v>3628</v>
      </c>
      <c r="D274" t="s">
        <v>64</v>
      </c>
      <c r="E274" t="s">
        <v>14</v>
      </c>
      <c r="F274" t="s">
        <v>65</v>
      </c>
      <c r="G274" t="s">
        <v>30</v>
      </c>
      <c r="H274" t="s">
        <v>31</v>
      </c>
      <c r="I274">
        <v>76.712843517501994</v>
      </c>
      <c r="J274">
        <v>95.003435419368998</v>
      </c>
      <c r="K274">
        <v>76.712843517501994</v>
      </c>
      <c r="L274">
        <v>4729.3254084269129</v>
      </c>
    </row>
    <row r="275" spans="1:12" hidden="1" x14ac:dyDescent="0.25">
      <c r="A275">
        <v>2017</v>
      </c>
      <c r="B275" t="s">
        <v>12</v>
      </c>
      <c r="C275">
        <v>44</v>
      </c>
      <c r="D275" t="s">
        <v>64</v>
      </c>
      <c r="E275" t="s">
        <v>14</v>
      </c>
      <c r="F275" t="s">
        <v>65</v>
      </c>
      <c r="G275" t="s">
        <v>56</v>
      </c>
      <c r="H275" t="s">
        <v>57</v>
      </c>
      <c r="I275">
        <v>98.189528995325006</v>
      </c>
      <c r="J275">
        <v>95.003435419368998</v>
      </c>
      <c r="K275">
        <v>98.189528995325006</v>
      </c>
      <c r="L275">
        <v>44.811295512065172</v>
      </c>
    </row>
    <row r="276" spans="1:12" hidden="1" x14ac:dyDescent="0.25">
      <c r="A276">
        <v>2017</v>
      </c>
      <c r="B276" t="s">
        <v>66</v>
      </c>
      <c r="C276">
        <v>590</v>
      </c>
      <c r="D276" t="s">
        <v>64</v>
      </c>
      <c r="E276" t="s">
        <v>14</v>
      </c>
      <c r="F276" t="s">
        <v>65</v>
      </c>
      <c r="G276" t="s">
        <v>56</v>
      </c>
      <c r="H276" t="s">
        <v>57</v>
      </c>
      <c r="I276">
        <v>97</v>
      </c>
      <c r="J276">
        <v>94.3</v>
      </c>
      <c r="K276">
        <v>97</v>
      </c>
      <c r="L276">
        <v>608.24742268041234</v>
      </c>
    </row>
    <row r="277" spans="1:12" hidden="1" x14ac:dyDescent="0.25">
      <c r="A277">
        <v>2017</v>
      </c>
      <c r="B277" t="s">
        <v>66</v>
      </c>
      <c r="C277">
        <v>17311</v>
      </c>
      <c r="D277" t="s">
        <v>64</v>
      </c>
      <c r="E277" t="s">
        <v>14</v>
      </c>
      <c r="F277" t="s">
        <v>65</v>
      </c>
      <c r="G277" t="s">
        <v>34</v>
      </c>
      <c r="H277" t="s">
        <v>35</v>
      </c>
      <c r="I277">
        <v>64.099999999999994</v>
      </c>
      <c r="J277">
        <v>94.3</v>
      </c>
      <c r="K277">
        <v>64.099999999999994</v>
      </c>
      <c r="L277">
        <v>27006.240249609989</v>
      </c>
    </row>
    <row r="278" spans="1:12" hidden="1" x14ac:dyDescent="0.25">
      <c r="A278">
        <v>2017</v>
      </c>
      <c r="B278" t="s">
        <v>66</v>
      </c>
      <c r="C278">
        <v>468</v>
      </c>
      <c r="D278" t="s">
        <v>64</v>
      </c>
      <c r="E278" t="s">
        <v>14</v>
      </c>
      <c r="F278" t="s">
        <v>65</v>
      </c>
      <c r="G278" t="s">
        <v>67</v>
      </c>
      <c r="H278" t="s">
        <v>68</v>
      </c>
      <c r="I278">
        <v>96.4</v>
      </c>
      <c r="J278">
        <v>94.3</v>
      </c>
      <c r="K278">
        <v>96.4</v>
      </c>
      <c r="L278">
        <v>485.47717842323652</v>
      </c>
    </row>
    <row r="279" spans="1:12" hidden="1" x14ac:dyDescent="0.25">
      <c r="A279">
        <v>2017</v>
      </c>
      <c r="B279" t="s">
        <v>12</v>
      </c>
      <c r="C279">
        <v>1858</v>
      </c>
      <c r="D279" t="s">
        <v>64</v>
      </c>
      <c r="E279" t="s">
        <v>14</v>
      </c>
      <c r="F279" t="s">
        <v>65</v>
      </c>
      <c r="G279" t="s">
        <v>16</v>
      </c>
      <c r="H279" t="s">
        <v>17</v>
      </c>
      <c r="J279">
        <v>95.003435419368998</v>
      </c>
      <c r="K279">
        <v>95.003435419368998</v>
      </c>
      <c r="L279">
        <v>1955.718750378154</v>
      </c>
    </row>
    <row r="280" spans="1:12" hidden="1" x14ac:dyDescent="0.25">
      <c r="A280">
        <v>2016</v>
      </c>
      <c r="B280" t="s">
        <v>12</v>
      </c>
      <c r="C280">
        <v>15325</v>
      </c>
      <c r="D280" t="s">
        <v>64</v>
      </c>
      <c r="E280" t="s">
        <v>14</v>
      </c>
      <c r="F280" t="s">
        <v>65</v>
      </c>
      <c r="G280" t="s">
        <v>18</v>
      </c>
      <c r="H280" t="s">
        <v>19</v>
      </c>
      <c r="I280">
        <v>96.618124512281994</v>
      </c>
      <c r="J280">
        <v>95.629262636448004</v>
      </c>
      <c r="K280">
        <v>96.618124512281994</v>
      </c>
      <c r="L280">
        <v>15861.413246592159</v>
      </c>
    </row>
    <row r="281" spans="1:12" hidden="1" x14ac:dyDescent="0.25">
      <c r="A281">
        <v>2016</v>
      </c>
      <c r="B281" t="s">
        <v>66</v>
      </c>
      <c r="C281">
        <v>39244</v>
      </c>
      <c r="D281" t="s">
        <v>64</v>
      </c>
      <c r="E281" t="s">
        <v>14</v>
      </c>
      <c r="F281" t="s">
        <v>65</v>
      </c>
      <c r="G281" t="s">
        <v>18</v>
      </c>
      <c r="H281" t="s">
        <v>19</v>
      </c>
      <c r="I281">
        <v>92.1</v>
      </c>
      <c r="J281">
        <v>87.8</v>
      </c>
      <c r="K281">
        <v>92.1</v>
      </c>
      <c r="L281">
        <v>42610.206297502722</v>
      </c>
    </row>
    <row r="282" spans="1:12" hidden="1" x14ac:dyDescent="0.25">
      <c r="A282">
        <v>2016</v>
      </c>
      <c r="B282" t="s">
        <v>12</v>
      </c>
      <c r="C282">
        <v>325</v>
      </c>
      <c r="D282" t="s">
        <v>64</v>
      </c>
      <c r="E282" t="s">
        <v>14</v>
      </c>
      <c r="F282" t="s">
        <v>65</v>
      </c>
      <c r="G282" t="s">
        <v>32</v>
      </c>
      <c r="H282" t="s">
        <v>33</v>
      </c>
      <c r="I282">
        <v>66.424574274145002</v>
      </c>
      <c r="J282">
        <v>95.629262636448004</v>
      </c>
      <c r="K282">
        <v>66.424574274145002</v>
      </c>
      <c r="L282">
        <v>489.27675269497729</v>
      </c>
    </row>
    <row r="283" spans="1:12" hidden="1" x14ac:dyDescent="0.25">
      <c r="A283">
        <v>2016</v>
      </c>
      <c r="B283" t="s">
        <v>66</v>
      </c>
      <c r="C283">
        <v>585</v>
      </c>
      <c r="D283" t="s">
        <v>64</v>
      </c>
      <c r="E283" t="s">
        <v>14</v>
      </c>
      <c r="F283" t="s">
        <v>65</v>
      </c>
      <c r="G283" t="s">
        <v>32</v>
      </c>
      <c r="H283" t="s">
        <v>33</v>
      </c>
      <c r="I283">
        <v>93.1</v>
      </c>
      <c r="J283">
        <v>87.8</v>
      </c>
      <c r="K283">
        <v>93.1</v>
      </c>
      <c r="L283">
        <v>628.35660580021488</v>
      </c>
    </row>
    <row r="284" spans="1:12" hidden="1" x14ac:dyDescent="0.25">
      <c r="A284">
        <v>2016</v>
      </c>
      <c r="B284" t="s">
        <v>12</v>
      </c>
      <c r="C284">
        <v>3162</v>
      </c>
      <c r="D284" t="s">
        <v>64</v>
      </c>
      <c r="E284" t="s">
        <v>14</v>
      </c>
      <c r="F284" t="s">
        <v>65</v>
      </c>
      <c r="G284" t="s">
        <v>30</v>
      </c>
      <c r="H284" t="s">
        <v>31</v>
      </c>
      <c r="I284">
        <v>66.424574274145002</v>
      </c>
      <c r="J284">
        <v>95.629262636448004</v>
      </c>
      <c r="K284">
        <v>66.424574274145002</v>
      </c>
      <c r="L284">
        <v>4760.2864369892877</v>
      </c>
    </row>
    <row r="285" spans="1:12" hidden="1" x14ac:dyDescent="0.25">
      <c r="A285">
        <v>2016</v>
      </c>
      <c r="B285" t="s">
        <v>66</v>
      </c>
      <c r="C285">
        <v>7663</v>
      </c>
      <c r="D285" t="s">
        <v>64</v>
      </c>
      <c r="E285" t="s">
        <v>14</v>
      </c>
      <c r="F285" t="s">
        <v>65</v>
      </c>
      <c r="G285" t="s">
        <v>30</v>
      </c>
      <c r="H285" t="s">
        <v>31</v>
      </c>
      <c r="I285">
        <v>87.6</v>
      </c>
      <c r="J285">
        <v>87.8</v>
      </c>
      <c r="K285">
        <v>87.6</v>
      </c>
      <c r="L285">
        <v>8747.7168949771694</v>
      </c>
    </row>
    <row r="286" spans="1:12" hidden="1" x14ac:dyDescent="0.25">
      <c r="A286">
        <v>2016</v>
      </c>
      <c r="B286" t="s">
        <v>12</v>
      </c>
      <c r="C286">
        <v>614</v>
      </c>
      <c r="D286" t="s">
        <v>64</v>
      </c>
      <c r="E286" t="s">
        <v>14</v>
      </c>
      <c r="F286" t="s">
        <v>65</v>
      </c>
      <c r="G286" t="s">
        <v>62</v>
      </c>
      <c r="H286" t="s">
        <v>63</v>
      </c>
      <c r="I286">
        <v>101.10423088160999</v>
      </c>
      <c r="J286">
        <v>95.629262636448004</v>
      </c>
      <c r="K286">
        <v>101.10423088160999</v>
      </c>
      <c r="L286">
        <v>607.29407132227288</v>
      </c>
    </row>
    <row r="287" spans="1:12" hidden="1" x14ac:dyDescent="0.25">
      <c r="A287">
        <v>2016</v>
      </c>
      <c r="B287" t="s">
        <v>12</v>
      </c>
      <c r="C287">
        <v>1920</v>
      </c>
      <c r="D287" t="s">
        <v>64</v>
      </c>
      <c r="E287" t="s">
        <v>14</v>
      </c>
      <c r="F287" t="s">
        <v>65</v>
      </c>
      <c r="G287" t="s">
        <v>40</v>
      </c>
      <c r="H287" t="s">
        <v>41</v>
      </c>
      <c r="I287">
        <v>101.63829571143999</v>
      </c>
      <c r="J287">
        <v>95.629262636448004</v>
      </c>
      <c r="K287">
        <v>101.63829571143999</v>
      </c>
      <c r="L287">
        <v>1889.051746254235</v>
      </c>
    </row>
    <row r="288" spans="1:12" hidden="1" x14ac:dyDescent="0.25">
      <c r="A288">
        <v>2016</v>
      </c>
      <c r="B288" t="s">
        <v>66</v>
      </c>
      <c r="C288">
        <v>11674</v>
      </c>
      <c r="D288" t="s">
        <v>64</v>
      </c>
      <c r="E288" t="s">
        <v>14</v>
      </c>
      <c r="F288" t="s">
        <v>65</v>
      </c>
      <c r="G288" t="s">
        <v>40</v>
      </c>
      <c r="H288" t="s">
        <v>41</v>
      </c>
      <c r="I288">
        <v>89.1</v>
      </c>
      <c r="J288">
        <v>87.8</v>
      </c>
      <c r="K288">
        <v>89.1</v>
      </c>
      <c r="L288">
        <v>13102.13243546577</v>
      </c>
    </row>
    <row r="289" spans="1:12" hidden="1" x14ac:dyDescent="0.25">
      <c r="A289">
        <v>2016</v>
      </c>
      <c r="B289" t="s">
        <v>12</v>
      </c>
      <c r="C289">
        <v>225</v>
      </c>
      <c r="D289" t="s">
        <v>64</v>
      </c>
      <c r="E289" t="s">
        <v>14</v>
      </c>
      <c r="F289" t="s">
        <v>65</v>
      </c>
      <c r="G289" t="s">
        <v>24</v>
      </c>
      <c r="H289" t="s">
        <v>25</v>
      </c>
      <c r="I289">
        <v>117.9376128321</v>
      </c>
      <c r="J289">
        <v>95.629262636448004</v>
      </c>
      <c r="K289">
        <v>117.9376128321</v>
      </c>
      <c r="L289">
        <v>190.77883178822489</v>
      </c>
    </row>
    <row r="290" spans="1:12" hidden="1" x14ac:dyDescent="0.25">
      <c r="A290">
        <v>2016</v>
      </c>
      <c r="B290" t="s">
        <v>66</v>
      </c>
      <c r="C290">
        <v>2392</v>
      </c>
      <c r="D290" t="s">
        <v>64</v>
      </c>
      <c r="E290" t="s">
        <v>14</v>
      </c>
      <c r="F290" t="s">
        <v>65</v>
      </c>
      <c r="G290" t="s">
        <v>24</v>
      </c>
      <c r="H290" t="s">
        <v>25</v>
      </c>
      <c r="I290">
        <v>95.2</v>
      </c>
      <c r="J290">
        <v>87.8</v>
      </c>
      <c r="K290">
        <v>95.2</v>
      </c>
      <c r="L290">
        <v>2512.6050420168071</v>
      </c>
    </row>
    <row r="291" spans="1:12" hidden="1" x14ac:dyDescent="0.25">
      <c r="A291">
        <v>2016</v>
      </c>
      <c r="B291" t="s">
        <v>12</v>
      </c>
      <c r="C291">
        <v>192</v>
      </c>
      <c r="D291" t="s">
        <v>64</v>
      </c>
      <c r="E291" t="s">
        <v>14</v>
      </c>
      <c r="F291" t="s">
        <v>65</v>
      </c>
      <c r="G291" t="s">
        <v>22</v>
      </c>
      <c r="H291" t="s">
        <v>23</v>
      </c>
      <c r="I291">
        <v>117.9376128321</v>
      </c>
      <c r="J291">
        <v>95.629262636448004</v>
      </c>
      <c r="K291">
        <v>117.9376128321</v>
      </c>
      <c r="L291">
        <v>162.79793645928521</v>
      </c>
    </row>
    <row r="292" spans="1:12" hidden="1" x14ac:dyDescent="0.25">
      <c r="A292">
        <v>2016</v>
      </c>
      <c r="B292" t="s">
        <v>66</v>
      </c>
      <c r="C292">
        <v>8051</v>
      </c>
      <c r="D292" t="s">
        <v>64</v>
      </c>
      <c r="E292" t="s">
        <v>14</v>
      </c>
      <c r="F292" t="s">
        <v>65</v>
      </c>
      <c r="G292" t="s">
        <v>22</v>
      </c>
      <c r="H292" t="s">
        <v>23</v>
      </c>
      <c r="I292">
        <v>88.8</v>
      </c>
      <c r="J292">
        <v>87.8</v>
      </c>
      <c r="K292">
        <v>88.8</v>
      </c>
      <c r="L292">
        <v>9066.4414414414423</v>
      </c>
    </row>
    <row r="293" spans="1:12" hidden="1" x14ac:dyDescent="0.25">
      <c r="A293">
        <v>2016</v>
      </c>
      <c r="B293" t="s">
        <v>12</v>
      </c>
      <c r="C293">
        <v>583</v>
      </c>
      <c r="D293" t="s">
        <v>64</v>
      </c>
      <c r="E293" t="s">
        <v>14</v>
      </c>
      <c r="F293" t="s">
        <v>65</v>
      </c>
      <c r="G293" t="s">
        <v>50</v>
      </c>
      <c r="H293" t="s">
        <v>51</v>
      </c>
      <c r="I293">
        <v>101.10423088160999</v>
      </c>
      <c r="J293">
        <v>95.629262636448004</v>
      </c>
      <c r="K293">
        <v>101.10423088160999</v>
      </c>
      <c r="L293">
        <v>576.63264426854244</v>
      </c>
    </row>
    <row r="294" spans="1:12" hidden="1" x14ac:dyDescent="0.25">
      <c r="A294">
        <v>2016</v>
      </c>
      <c r="B294" t="s">
        <v>66</v>
      </c>
      <c r="C294">
        <v>17210</v>
      </c>
      <c r="D294" t="s">
        <v>64</v>
      </c>
      <c r="E294" t="s">
        <v>14</v>
      </c>
      <c r="F294" t="s">
        <v>65</v>
      </c>
      <c r="G294" t="s">
        <v>50</v>
      </c>
      <c r="H294" t="s">
        <v>51</v>
      </c>
      <c r="I294">
        <v>90.7</v>
      </c>
      <c r="J294">
        <v>87.8</v>
      </c>
      <c r="K294">
        <v>90.7</v>
      </c>
      <c r="L294">
        <v>18974.641675854469</v>
      </c>
    </row>
    <row r="295" spans="1:12" hidden="1" x14ac:dyDescent="0.25">
      <c r="A295">
        <v>2016</v>
      </c>
      <c r="B295" t="s">
        <v>12</v>
      </c>
      <c r="C295">
        <v>837</v>
      </c>
      <c r="D295" t="s">
        <v>64</v>
      </c>
      <c r="E295" t="s">
        <v>14</v>
      </c>
      <c r="F295" t="s">
        <v>65</v>
      </c>
      <c r="G295" t="s">
        <v>52</v>
      </c>
      <c r="H295" t="s">
        <v>53</v>
      </c>
      <c r="I295">
        <v>101.10423088160999</v>
      </c>
      <c r="J295">
        <v>95.629262636448004</v>
      </c>
      <c r="K295">
        <v>101.10423088160999</v>
      </c>
      <c r="L295">
        <v>827.85853045072054</v>
      </c>
    </row>
    <row r="296" spans="1:12" hidden="1" x14ac:dyDescent="0.25">
      <c r="A296">
        <v>2016</v>
      </c>
      <c r="B296" t="s">
        <v>66</v>
      </c>
      <c r="C296">
        <v>23948</v>
      </c>
      <c r="D296" t="s">
        <v>64</v>
      </c>
      <c r="E296" t="s">
        <v>14</v>
      </c>
      <c r="F296" t="s">
        <v>65</v>
      </c>
      <c r="G296" t="s">
        <v>52</v>
      </c>
      <c r="H296" t="s">
        <v>53</v>
      </c>
      <c r="I296">
        <v>91.6</v>
      </c>
      <c r="J296">
        <v>87.8</v>
      </c>
      <c r="K296">
        <v>91.6</v>
      </c>
      <c r="L296">
        <v>26144.10480349345</v>
      </c>
    </row>
    <row r="297" spans="1:12" hidden="1" x14ac:dyDescent="0.25">
      <c r="A297">
        <v>2016</v>
      </c>
      <c r="B297" t="s">
        <v>12</v>
      </c>
      <c r="C297">
        <v>6160</v>
      </c>
      <c r="D297" t="s">
        <v>64</v>
      </c>
      <c r="E297" t="s">
        <v>14</v>
      </c>
      <c r="F297" t="s">
        <v>65</v>
      </c>
      <c r="G297" t="s">
        <v>36</v>
      </c>
      <c r="H297" t="s">
        <v>37</v>
      </c>
      <c r="I297">
        <v>101.63829571143999</v>
      </c>
      <c r="J297">
        <v>95.629262636448004</v>
      </c>
      <c r="K297">
        <v>101.63829571143999</v>
      </c>
      <c r="L297">
        <v>6060.7076858990031</v>
      </c>
    </row>
    <row r="298" spans="1:12" hidden="1" x14ac:dyDescent="0.25">
      <c r="A298">
        <v>2016</v>
      </c>
      <c r="B298" t="s">
        <v>66</v>
      </c>
      <c r="C298">
        <v>28131</v>
      </c>
      <c r="D298" t="s">
        <v>64</v>
      </c>
      <c r="E298" t="s">
        <v>14</v>
      </c>
      <c r="F298" t="s">
        <v>65</v>
      </c>
      <c r="G298" t="s">
        <v>36</v>
      </c>
      <c r="H298" t="s">
        <v>37</v>
      </c>
      <c r="I298">
        <v>103.7</v>
      </c>
      <c r="J298">
        <v>87.8</v>
      </c>
      <c r="K298">
        <v>103.7</v>
      </c>
      <c r="L298">
        <v>27127.290260366441</v>
      </c>
    </row>
    <row r="299" spans="1:12" hidden="1" x14ac:dyDescent="0.25">
      <c r="A299">
        <v>2016</v>
      </c>
      <c r="B299" t="s">
        <v>12</v>
      </c>
      <c r="C299">
        <v>2404</v>
      </c>
      <c r="D299" t="s">
        <v>64</v>
      </c>
      <c r="E299" t="s">
        <v>14</v>
      </c>
      <c r="F299" t="s">
        <v>65</v>
      </c>
      <c r="G299" t="s">
        <v>28</v>
      </c>
      <c r="H299" t="s">
        <v>29</v>
      </c>
      <c r="I299">
        <v>106.15763962638999</v>
      </c>
      <c r="J299">
        <v>95.629262636448004</v>
      </c>
      <c r="K299">
        <v>106.15763962638999</v>
      </c>
      <c r="L299">
        <v>2264.5567558402872</v>
      </c>
    </row>
    <row r="300" spans="1:12" hidden="1" x14ac:dyDescent="0.25">
      <c r="A300">
        <v>2016</v>
      </c>
      <c r="B300" t="s">
        <v>66</v>
      </c>
      <c r="C300">
        <v>904</v>
      </c>
      <c r="D300" t="s">
        <v>64</v>
      </c>
      <c r="E300" t="s">
        <v>14</v>
      </c>
      <c r="F300" t="s">
        <v>65</v>
      </c>
      <c r="G300" t="s">
        <v>28</v>
      </c>
      <c r="H300" t="s">
        <v>29</v>
      </c>
      <c r="I300">
        <v>91.8</v>
      </c>
      <c r="J300">
        <v>87.8</v>
      </c>
      <c r="K300">
        <v>91.8</v>
      </c>
      <c r="L300">
        <v>984.74945533769062</v>
      </c>
    </row>
    <row r="301" spans="1:12" hidden="1" x14ac:dyDescent="0.25">
      <c r="A301">
        <v>2016</v>
      </c>
      <c r="B301" t="s">
        <v>12</v>
      </c>
      <c r="C301">
        <v>60</v>
      </c>
      <c r="D301" t="s">
        <v>64</v>
      </c>
      <c r="E301" t="s">
        <v>14</v>
      </c>
      <c r="F301" t="s">
        <v>65</v>
      </c>
      <c r="G301" t="s">
        <v>60</v>
      </c>
      <c r="H301" t="s">
        <v>61</v>
      </c>
      <c r="J301">
        <v>95.629262636448004</v>
      </c>
      <c r="K301">
        <v>95.629262636448004</v>
      </c>
      <c r="L301">
        <v>62.742301201360178</v>
      </c>
    </row>
    <row r="302" spans="1:12" hidden="1" x14ac:dyDescent="0.25">
      <c r="A302">
        <v>2016</v>
      </c>
      <c r="B302" t="s">
        <v>66</v>
      </c>
      <c r="C302">
        <v>324</v>
      </c>
      <c r="D302" t="s">
        <v>64</v>
      </c>
      <c r="E302" t="s">
        <v>14</v>
      </c>
      <c r="F302" t="s">
        <v>65</v>
      </c>
      <c r="G302" t="s">
        <v>60</v>
      </c>
      <c r="H302" t="s">
        <v>61</v>
      </c>
      <c r="I302">
        <v>91.1</v>
      </c>
      <c r="J302">
        <v>87.8</v>
      </c>
      <c r="K302">
        <v>91.1</v>
      </c>
      <c r="L302">
        <v>355.65312843029642</v>
      </c>
    </row>
    <row r="303" spans="1:12" hidden="1" x14ac:dyDescent="0.25">
      <c r="A303">
        <v>2016</v>
      </c>
      <c r="B303" t="s">
        <v>12</v>
      </c>
      <c r="C303">
        <v>1140</v>
      </c>
      <c r="D303" t="s">
        <v>64</v>
      </c>
      <c r="E303" t="s">
        <v>14</v>
      </c>
      <c r="F303" t="s">
        <v>65</v>
      </c>
      <c r="G303" t="s">
        <v>44</v>
      </c>
      <c r="H303" t="s">
        <v>45</v>
      </c>
      <c r="I303">
        <v>89.680336785110001</v>
      </c>
      <c r="J303">
        <v>95.629262636448004</v>
      </c>
      <c r="K303">
        <v>89.680336785110001</v>
      </c>
      <c r="L303">
        <v>1271.181666870456</v>
      </c>
    </row>
    <row r="304" spans="1:12" hidden="1" x14ac:dyDescent="0.25">
      <c r="A304">
        <v>2016</v>
      </c>
      <c r="B304" t="s">
        <v>66</v>
      </c>
      <c r="C304">
        <v>19622</v>
      </c>
      <c r="D304" t="s">
        <v>64</v>
      </c>
      <c r="E304" t="s">
        <v>14</v>
      </c>
      <c r="F304" t="s">
        <v>65</v>
      </c>
      <c r="G304" t="s">
        <v>44</v>
      </c>
      <c r="H304" t="s">
        <v>45</v>
      </c>
      <c r="I304">
        <v>80.900000000000006</v>
      </c>
      <c r="J304">
        <v>87.8</v>
      </c>
      <c r="K304">
        <v>80.900000000000006</v>
      </c>
      <c r="L304">
        <v>24254.635352286768</v>
      </c>
    </row>
    <row r="305" spans="1:12" hidden="1" x14ac:dyDescent="0.25">
      <c r="A305">
        <v>2016</v>
      </c>
      <c r="B305" t="s">
        <v>12</v>
      </c>
      <c r="C305">
        <v>3828</v>
      </c>
      <c r="D305" t="s">
        <v>64</v>
      </c>
      <c r="E305" t="s">
        <v>14</v>
      </c>
      <c r="F305" t="s">
        <v>65</v>
      </c>
      <c r="G305" t="s">
        <v>20</v>
      </c>
      <c r="H305" t="s">
        <v>21</v>
      </c>
      <c r="I305">
        <v>96.059679698527006</v>
      </c>
      <c r="J305">
        <v>95.629262636448004</v>
      </c>
      <c r="K305">
        <v>96.059679698527006</v>
      </c>
      <c r="L305">
        <v>3985.0226567627201</v>
      </c>
    </row>
    <row r="306" spans="1:12" hidden="1" x14ac:dyDescent="0.25">
      <c r="A306">
        <v>2016</v>
      </c>
      <c r="B306" t="s">
        <v>66</v>
      </c>
      <c r="C306">
        <v>11600</v>
      </c>
      <c r="D306" t="s">
        <v>64</v>
      </c>
      <c r="E306" t="s">
        <v>14</v>
      </c>
      <c r="F306" t="s">
        <v>65</v>
      </c>
      <c r="G306" t="s">
        <v>20</v>
      </c>
      <c r="H306" t="s">
        <v>21</v>
      </c>
      <c r="I306">
        <v>89.6</v>
      </c>
      <c r="J306">
        <v>87.8</v>
      </c>
      <c r="K306">
        <v>89.6</v>
      </c>
      <c r="L306">
        <v>12946.428571428571</v>
      </c>
    </row>
    <row r="307" spans="1:12" hidden="1" x14ac:dyDescent="0.25">
      <c r="A307">
        <v>2016</v>
      </c>
      <c r="B307" t="s">
        <v>12</v>
      </c>
      <c r="C307">
        <v>1565</v>
      </c>
      <c r="D307" t="s">
        <v>64</v>
      </c>
      <c r="E307" t="s">
        <v>14</v>
      </c>
      <c r="F307" t="s">
        <v>65</v>
      </c>
      <c r="G307" t="s">
        <v>46</v>
      </c>
      <c r="H307" t="s">
        <v>47</v>
      </c>
      <c r="I307">
        <v>101.10423088160999</v>
      </c>
      <c r="J307">
        <v>95.629262636448004</v>
      </c>
      <c r="K307">
        <v>101.10423088160999</v>
      </c>
      <c r="L307">
        <v>1547.907527067357</v>
      </c>
    </row>
    <row r="308" spans="1:12" hidden="1" x14ac:dyDescent="0.25">
      <c r="A308">
        <v>2016</v>
      </c>
      <c r="B308" t="s">
        <v>66</v>
      </c>
      <c r="C308">
        <v>12649</v>
      </c>
      <c r="D308" t="s">
        <v>64</v>
      </c>
      <c r="E308" t="s">
        <v>14</v>
      </c>
      <c r="F308" t="s">
        <v>65</v>
      </c>
      <c r="G308" t="s">
        <v>46</v>
      </c>
      <c r="H308" t="s">
        <v>47</v>
      </c>
      <c r="I308">
        <v>84.2</v>
      </c>
      <c r="J308">
        <v>87.8</v>
      </c>
      <c r="K308">
        <v>84.2</v>
      </c>
      <c r="L308">
        <v>15022.56532066508</v>
      </c>
    </row>
    <row r="309" spans="1:12" hidden="1" x14ac:dyDescent="0.25">
      <c r="A309">
        <v>2016</v>
      </c>
      <c r="B309" t="s">
        <v>12</v>
      </c>
      <c r="C309">
        <v>1485</v>
      </c>
      <c r="D309" t="s">
        <v>64</v>
      </c>
      <c r="E309" t="s">
        <v>14</v>
      </c>
      <c r="F309" t="s">
        <v>65</v>
      </c>
      <c r="G309" t="s">
        <v>42</v>
      </c>
      <c r="H309" t="s">
        <v>43</v>
      </c>
      <c r="I309">
        <v>89.680336785110001</v>
      </c>
      <c r="J309">
        <v>95.629262636448004</v>
      </c>
      <c r="K309">
        <v>89.680336785110001</v>
      </c>
      <c r="L309">
        <v>1655.88138184441</v>
      </c>
    </row>
    <row r="310" spans="1:12" hidden="1" x14ac:dyDescent="0.25">
      <c r="A310">
        <v>2016</v>
      </c>
      <c r="B310" t="s">
        <v>66</v>
      </c>
      <c r="C310">
        <v>12845</v>
      </c>
      <c r="D310" t="s">
        <v>64</v>
      </c>
      <c r="E310" t="s">
        <v>14</v>
      </c>
      <c r="F310" t="s">
        <v>65</v>
      </c>
      <c r="G310" t="s">
        <v>42</v>
      </c>
      <c r="H310" t="s">
        <v>43</v>
      </c>
      <c r="I310">
        <v>87.6</v>
      </c>
      <c r="J310">
        <v>87.8</v>
      </c>
      <c r="K310">
        <v>87.6</v>
      </c>
      <c r="L310">
        <v>14663.24200913242</v>
      </c>
    </row>
    <row r="311" spans="1:12" hidden="1" x14ac:dyDescent="0.25">
      <c r="A311">
        <v>2016</v>
      </c>
      <c r="B311" t="s">
        <v>12</v>
      </c>
      <c r="C311">
        <v>257</v>
      </c>
      <c r="D311" t="s">
        <v>64</v>
      </c>
      <c r="E311" t="s">
        <v>14</v>
      </c>
      <c r="F311" t="s">
        <v>65</v>
      </c>
      <c r="G311" t="s">
        <v>58</v>
      </c>
      <c r="H311" t="s">
        <v>59</v>
      </c>
      <c r="I311">
        <v>106.15763962638999</v>
      </c>
      <c r="J311">
        <v>95.629262636448004</v>
      </c>
      <c r="K311">
        <v>106.15763962638999</v>
      </c>
      <c r="L311">
        <v>242.09279794132851</v>
      </c>
    </row>
    <row r="312" spans="1:12" hidden="1" x14ac:dyDescent="0.25">
      <c r="A312">
        <v>2016</v>
      </c>
      <c r="B312" t="s">
        <v>66</v>
      </c>
      <c r="C312">
        <v>428</v>
      </c>
      <c r="D312" t="s">
        <v>64</v>
      </c>
      <c r="E312" t="s">
        <v>14</v>
      </c>
      <c r="F312" t="s">
        <v>65</v>
      </c>
      <c r="G312" t="s">
        <v>58</v>
      </c>
      <c r="H312" t="s">
        <v>59</v>
      </c>
      <c r="I312">
        <v>91.8</v>
      </c>
      <c r="J312">
        <v>87.8</v>
      </c>
      <c r="K312">
        <v>91.8</v>
      </c>
      <c r="L312">
        <v>466.23093681917209</v>
      </c>
    </row>
    <row r="313" spans="1:12" hidden="1" x14ac:dyDescent="0.25">
      <c r="A313">
        <v>2016</v>
      </c>
      <c r="B313" t="s">
        <v>12</v>
      </c>
      <c r="C313">
        <v>76</v>
      </c>
      <c r="D313" t="s">
        <v>64</v>
      </c>
      <c r="E313" t="s">
        <v>14</v>
      </c>
      <c r="F313" t="s">
        <v>65</v>
      </c>
      <c r="G313" t="s">
        <v>54</v>
      </c>
      <c r="H313" t="s">
        <v>55</v>
      </c>
      <c r="I313">
        <v>101.10423088160999</v>
      </c>
      <c r="J313">
        <v>95.629262636448004</v>
      </c>
      <c r="K313">
        <v>101.10423088160999</v>
      </c>
      <c r="L313">
        <v>75.16995019624224</v>
      </c>
    </row>
    <row r="314" spans="1:12" hidden="1" x14ac:dyDescent="0.25">
      <c r="A314">
        <v>2016</v>
      </c>
      <c r="B314" t="s">
        <v>66</v>
      </c>
      <c r="C314">
        <v>50037</v>
      </c>
      <c r="D314" t="s">
        <v>64</v>
      </c>
      <c r="E314" t="s">
        <v>14</v>
      </c>
      <c r="F314" t="s">
        <v>65</v>
      </c>
      <c r="G314" t="s">
        <v>54</v>
      </c>
      <c r="H314" t="s">
        <v>55</v>
      </c>
      <c r="I314">
        <v>93.3</v>
      </c>
      <c r="J314">
        <v>87.8</v>
      </c>
      <c r="K314">
        <v>93.3</v>
      </c>
      <c r="L314">
        <v>53630.225080385862</v>
      </c>
    </row>
    <row r="315" spans="1:12" hidden="1" x14ac:dyDescent="0.25">
      <c r="A315">
        <v>2016</v>
      </c>
      <c r="B315" t="s">
        <v>12</v>
      </c>
      <c r="C315">
        <v>663</v>
      </c>
      <c r="D315" t="s">
        <v>64</v>
      </c>
      <c r="E315" t="s">
        <v>14</v>
      </c>
      <c r="F315" t="s">
        <v>65</v>
      </c>
      <c r="G315" t="s">
        <v>38</v>
      </c>
      <c r="H315" t="s">
        <v>39</v>
      </c>
      <c r="I315">
        <v>101.63829571143999</v>
      </c>
      <c r="J315">
        <v>95.629262636448004</v>
      </c>
      <c r="K315">
        <v>101.63829571143999</v>
      </c>
      <c r="L315">
        <v>652.31318112841541</v>
      </c>
    </row>
    <row r="316" spans="1:12" hidden="1" x14ac:dyDescent="0.25">
      <c r="A316">
        <v>2016</v>
      </c>
      <c r="B316" t="s">
        <v>66</v>
      </c>
      <c r="C316">
        <v>888</v>
      </c>
      <c r="D316" t="s">
        <v>64</v>
      </c>
      <c r="E316" t="s">
        <v>14</v>
      </c>
      <c r="F316" t="s">
        <v>65</v>
      </c>
      <c r="G316" t="s">
        <v>38</v>
      </c>
      <c r="H316" t="s">
        <v>39</v>
      </c>
      <c r="I316">
        <v>103.7</v>
      </c>
      <c r="J316">
        <v>87.8</v>
      </c>
      <c r="K316">
        <v>103.7</v>
      </c>
      <c r="L316">
        <v>856.31629701060751</v>
      </c>
    </row>
    <row r="317" spans="1:12" hidden="1" x14ac:dyDescent="0.25">
      <c r="A317">
        <v>2016</v>
      </c>
      <c r="B317" t="s">
        <v>12</v>
      </c>
      <c r="C317">
        <v>139</v>
      </c>
      <c r="D317" t="s">
        <v>64</v>
      </c>
      <c r="E317" t="s">
        <v>14</v>
      </c>
      <c r="F317" t="s">
        <v>65</v>
      </c>
      <c r="G317" t="s">
        <v>26</v>
      </c>
      <c r="H317" t="s">
        <v>27</v>
      </c>
      <c r="I317">
        <v>117.9376128321</v>
      </c>
      <c r="J317">
        <v>95.629262636448004</v>
      </c>
      <c r="K317">
        <v>117.9376128321</v>
      </c>
      <c r="L317">
        <v>117.85892274917001</v>
      </c>
    </row>
    <row r="318" spans="1:12" hidden="1" x14ac:dyDescent="0.25">
      <c r="A318">
        <v>2016</v>
      </c>
      <c r="B318" t="s">
        <v>66</v>
      </c>
      <c r="C318">
        <v>1827</v>
      </c>
      <c r="D318" t="s">
        <v>64</v>
      </c>
      <c r="E318" t="s">
        <v>14</v>
      </c>
      <c r="F318" t="s">
        <v>65</v>
      </c>
      <c r="G318" t="s">
        <v>26</v>
      </c>
      <c r="H318" t="s">
        <v>27</v>
      </c>
      <c r="I318">
        <v>93.8</v>
      </c>
      <c r="J318">
        <v>87.8</v>
      </c>
      <c r="K318">
        <v>93.8</v>
      </c>
      <c r="L318">
        <v>1947.7611940298509</v>
      </c>
    </row>
    <row r="319" spans="1:12" hidden="1" x14ac:dyDescent="0.25">
      <c r="A319">
        <v>2016</v>
      </c>
      <c r="B319" t="s">
        <v>12</v>
      </c>
      <c r="C319">
        <v>31</v>
      </c>
      <c r="D319" t="s">
        <v>64</v>
      </c>
      <c r="E319" t="s">
        <v>14</v>
      </c>
      <c r="F319" t="s">
        <v>65</v>
      </c>
      <c r="G319" t="s">
        <v>48</v>
      </c>
      <c r="H319" t="s">
        <v>49</v>
      </c>
      <c r="I319">
        <v>101.10423088160999</v>
      </c>
      <c r="J319">
        <v>95.629262636448004</v>
      </c>
      <c r="K319">
        <v>101.10423088160999</v>
      </c>
      <c r="L319">
        <v>30.661427053730389</v>
      </c>
    </row>
    <row r="320" spans="1:12" hidden="1" x14ac:dyDescent="0.25">
      <c r="A320">
        <v>2016</v>
      </c>
      <c r="B320" t="s">
        <v>66</v>
      </c>
      <c r="C320">
        <v>4298</v>
      </c>
      <c r="D320" t="s">
        <v>64</v>
      </c>
      <c r="E320" t="s">
        <v>14</v>
      </c>
      <c r="F320" t="s">
        <v>65</v>
      </c>
      <c r="G320" t="s">
        <v>48</v>
      </c>
      <c r="H320" t="s">
        <v>49</v>
      </c>
      <c r="I320">
        <v>91.8</v>
      </c>
      <c r="J320">
        <v>87.8</v>
      </c>
      <c r="K320">
        <v>91.8</v>
      </c>
      <c r="L320">
        <v>4681.917211328976</v>
      </c>
    </row>
    <row r="321" spans="1:12" hidden="1" x14ac:dyDescent="0.25">
      <c r="A321">
        <v>2016</v>
      </c>
      <c r="B321" t="s">
        <v>12</v>
      </c>
      <c r="C321">
        <v>37</v>
      </c>
      <c r="D321" t="s">
        <v>64</v>
      </c>
      <c r="E321" t="s">
        <v>14</v>
      </c>
      <c r="F321" t="s">
        <v>65</v>
      </c>
      <c r="G321" t="s">
        <v>56</v>
      </c>
      <c r="H321" t="s">
        <v>57</v>
      </c>
      <c r="I321">
        <v>101.10423088160999</v>
      </c>
      <c r="J321">
        <v>95.629262636448004</v>
      </c>
      <c r="K321">
        <v>101.10423088160999</v>
      </c>
      <c r="L321">
        <v>36.595896806065298</v>
      </c>
    </row>
    <row r="322" spans="1:12" hidden="1" x14ac:dyDescent="0.25">
      <c r="A322">
        <v>2016</v>
      </c>
      <c r="B322" t="s">
        <v>66</v>
      </c>
      <c r="C322">
        <v>529</v>
      </c>
      <c r="D322" t="s">
        <v>64</v>
      </c>
      <c r="E322" t="s">
        <v>14</v>
      </c>
      <c r="F322" t="s">
        <v>65</v>
      </c>
      <c r="G322" t="s">
        <v>56</v>
      </c>
      <c r="H322" t="s">
        <v>57</v>
      </c>
      <c r="I322">
        <v>93.3</v>
      </c>
      <c r="J322">
        <v>87.8</v>
      </c>
      <c r="K322">
        <v>93.3</v>
      </c>
      <c r="L322">
        <v>566.98821007502681</v>
      </c>
    </row>
    <row r="323" spans="1:12" hidden="1" x14ac:dyDescent="0.25">
      <c r="A323">
        <v>2016</v>
      </c>
      <c r="B323" t="s">
        <v>66</v>
      </c>
      <c r="C323">
        <v>16568</v>
      </c>
      <c r="D323" t="s">
        <v>64</v>
      </c>
      <c r="E323" t="s">
        <v>14</v>
      </c>
      <c r="F323" t="s">
        <v>65</v>
      </c>
      <c r="G323" t="s">
        <v>34</v>
      </c>
      <c r="H323" t="s">
        <v>35</v>
      </c>
      <c r="I323">
        <v>17.7</v>
      </c>
      <c r="J323">
        <v>87.8</v>
      </c>
      <c r="K323">
        <v>17.7</v>
      </c>
      <c r="L323">
        <v>93604.519774011307</v>
      </c>
    </row>
    <row r="324" spans="1:12" hidden="1" x14ac:dyDescent="0.25">
      <c r="A324">
        <v>2016</v>
      </c>
      <c r="B324" t="s">
        <v>66</v>
      </c>
      <c r="C324">
        <v>488</v>
      </c>
      <c r="D324" t="s">
        <v>64</v>
      </c>
      <c r="E324" t="s">
        <v>14</v>
      </c>
      <c r="F324" t="s">
        <v>65</v>
      </c>
      <c r="G324" t="s">
        <v>67</v>
      </c>
      <c r="H324" t="s">
        <v>68</v>
      </c>
      <c r="I324">
        <v>89.6</v>
      </c>
      <c r="J324">
        <v>87.8</v>
      </c>
      <c r="K324">
        <v>89.6</v>
      </c>
      <c r="L324">
        <v>544.64285714285722</v>
      </c>
    </row>
    <row r="325" spans="1:12" hidden="1" x14ac:dyDescent="0.25">
      <c r="A325">
        <v>2016</v>
      </c>
      <c r="B325" t="s">
        <v>12</v>
      </c>
      <c r="C325">
        <v>1338</v>
      </c>
      <c r="D325" t="s">
        <v>64</v>
      </c>
      <c r="E325" t="s">
        <v>14</v>
      </c>
      <c r="F325" t="s">
        <v>65</v>
      </c>
      <c r="G325" t="s">
        <v>16</v>
      </c>
      <c r="H325" t="s">
        <v>17</v>
      </c>
      <c r="J325">
        <v>95.629262636448004</v>
      </c>
      <c r="K325">
        <v>95.629262636448004</v>
      </c>
      <c r="L325">
        <v>1399.1533167903319</v>
      </c>
    </row>
    <row r="326" spans="1:12" hidden="1" x14ac:dyDescent="0.25">
      <c r="A326">
        <v>2015</v>
      </c>
      <c r="B326" t="s">
        <v>12</v>
      </c>
      <c r="C326">
        <v>13354</v>
      </c>
      <c r="D326" t="s">
        <v>64</v>
      </c>
      <c r="E326" t="s">
        <v>14</v>
      </c>
      <c r="F326" t="s">
        <v>65</v>
      </c>
      <c r="G326" t="s">
        <v>18</v>
      </c>
      <c r="H326" t="s">
        <v>19</v>
      </c>
      <c r="I326">
        <v>92.136318280468004</v>
      </c>
      <c r="J326">
        <v>96.211353938038002</v>
      </c>
      <c r="K326">
        <v>92.136318280468004</v>
      </c>
      <c r="L326">
        <v>14493.74171795067</v>
      </c>
    </row>
    <row r="327" spans="1:12" hidden="1" x14ac:dyDescent="0.25">
      <c r="A327">
        <v>2015</v>
      </c>
      <c r="B327" t="s">
        <v>66</v>
      </c>
      <c r="C327">
        <v>41768</v>
      </c>
      <c r="D327" t="s">
        <v>64</v>
      </c>
      <c r="E327" t="s">
        <v>14</v>
      </c>
      <c r="F327" t="s">
        <v>65</v>
      </c>
      <c r="G327" t="s">
        <v>18</v>
      </c>
      <c r="H327" t="s">
        <v>19</v>
      </c>
      <c r="I327">
        <v>87.2</v>
      </c>
      <c r="J327">
        <v>81.900000000000006</v>
      </c>
      <c r="K327">
        <v>87.2</v>
      </c>
      <c r="L327">
        <v>47899.082568807338</v>
      </c>
    </row>
    <row r="328" spans="1:12" hidden="1" x14ac:dyDescent="0.25">
      <c r="A328">
        <v>2015</v>
      </c>
      <c r="B328" t="s">
        <v>12</v>
      </c>
      <c r="C328">
        <v>772</v>
      </c>
      <c r="D328" t="s">
        <v>64</v>
      </c>
      <c r="E328" t="s">
        <v>14</v>
      </c>
      <c r="F328" t="s">
        <v>65</v>
      </c>
      <c r="G328" t="s">
        <v>52</v>
      </c>
      <c r="H328" t="s">
        <v>53</v>
      </c>
      <c r="I328">
        <v>95.958177771508005</v>
      </c>
      <c r="J328">
        <v>96.211353938038002</v>
      </c>
      <c r="K328">
        <v>95.958177771508005</v>
      </c>
      <c r="L328">
        <v>804.51715312712292</v>
      </c>
    </row>
    <row r="329" spans="1:12" hidden="1" x14ac:dyDescent="0.25">
      <c r="A329">
        <v>2015</v>
      </c>
      <c r="B329" t="s">
        <v>66</v>
      </c>
      <c r="C329">
        <v>24508</v>
      </c>
      <c r="D329" t="s">
        <v>64</v>
      </c>
      <c r="E329" t="s">
        <v>14</v>
      </c>
      <c r="F329" t="s">
        <v>65</v>
      </c>
      <c r="G329" t="s">
        <v>52</v>
      </c>
      <c r="H329" t="s">
        <v>53</v>
      </c>
      <c r="I329">
        <v>82.9</v>
      </c>
      <c r="J329">
        <v>81.900000000000006</v>
      </c>
      <c r="K329">
        <v>82.9</v>
      </c>
      <c r="L329">
        <v>29563.329312424601</v>
      </c>
    </row>
    <row r="330" spans="1:12" hidden="1" x14ac:dyDescent="0.25">
      <c r="A330">
        <v>2015</v>
      </c>
      <c r="B330" t="s">
        <v>12</v>
      </c>
      <c r="C330">
        <v>161</v>
      </c>
      <c r="D330" t="s">
        <v>64</v>
      </c>
      <c r="E330" t="s">
        <v>14</v>
      </c>
      <c r="F330" t="s">
        <v>65</v>
      </c>
      <c r="G330" t="s">
        <v>24</v>
      </c>
      <c r="H330" t="s">
        <v>25</v>
      </c>
      <c r="I330">
        <v>107.52442116425</v>
      </c>
      <c r="J330">
        <v>96.211353938038002</v>
      </c>
      <c r="K330">
        <v>107.52442116425</v>
      </c>
      <c r="L330">
        <v>149.73342637582101</v>
      </c>
    </row>
    <row r="331" spans="1:12" hidden="1" x14ac:dyDescent="0.25">
      <c r="A331">
        <v>2015</v>
      </c>
      <c r="B331" t="s">
        <v>66</v>
      </c>
      <c r="C331">
        <v>2688</v>
      </c>
      <c r="D331" t="s">
        <v>64</v>
      </c>
      <c r="E331" t="s">
        <v>14</v>
      </c>
      <c r="F331" t="s">
        <v>65</v>
      </c>
      <c r="G331" t="s">
        <v>24</v>
      </c>
      <c r="H331" t="s">
        <v>25</v>
      </c>
      <c r="I331">
        <v>90.7</v>
      </c>
      <c r="J331">
        <v>81.900000000000006</v>
      </c>
      <c r="K331">
        <v>90.7</v>
      </c>
      <c r="L331">
        <v>2963.61631753032</v>
      </c>
    </row>
    <row r="332" spans="1:12" hidden="1" x14ac:dyDescent="0.25">
      <c r="A332">
        <v>2015</v>
      </c>
      <c r="B332" t="s">
        <v>12</v>
      </c>
      <c r="C332">
        <v>395</v>
      </c>
      <c r="D332" t="s">
        <v>64</v>
      </c>
      <c r="E332" t="s">
        <v>14</v>
      </c>
      <c r="F332" t="s">
        <v>65</v>
      </c>
      <c r="G332" t="s">
        <v>32</v>
      </c>
      <c r="H332" t="s">
        <v>33</v>
      </c>
      <c r="I332">
        <v>72.105553335238</v>
      </c>
      <c r="J332">
        <v>96.211353938038002</v>
      </c>
      <c r="K332">
        <v>72.105553335238</v>
      </c>
      <c r="L332">
        <v>547.80801440291202</v>
      </c>
    </row>
    <row r="333" spans="1:12" hidden="1" x14ac:dyDescent="0.25">
      <c r="A333">
        <v>2015</v>
      </c>
      <c r="B333" t="s">
        <v>66</v>
      </c>
      <c r="C333">
        <v>666</v>
      </c>
      <c r="D333" t="s">
        <v>64</v>
      </c>
      <c r="E333" t="s">
        <v>14</v>
      </c>
      <c r="F333" t="s">
        <v>65</v>
      </c>
      <c r="G333" t="s">
        <v>32</v>
      </c>
      <c r="H333" t="s">
        <v>33</v>
      </c>
      <c r="I333">
        <v>88.6</v>
      </c>
      <c r="J333">
        <v>81.900000000000006</v>
      </c>
      <c r="K333">
        <v>88.6</v>
      </c>
      <c r="L333">
        <v>751.69300225733639</v>
      </c>
    </row>
    <row r="334" spans="1:12" hidden="1" x14ac:dyDescent="0.25">
      <c r="A334">
        <v>2015</v>
      </c>
      <c r="B334" t="s">
        <v>12</v>
      </c>
      <c r="C334">
        <v>975</v>
      </c>
      <c r="D334" t="s">
        <v>64</v>
      </c>
      <c r="E334" t="s">
        <v>14</v>
      </c>
      <c r="F334" t="s">
        <v>65</v>
      </c>
      <c r="G334" t="s">
        <v>44</v>
      </c>
      <c r="H334" t="s">
        <v>45</v>
      </c>
      <c r="I334">
        <v>93.364041500221006</v>
      </c>
      <c r="J334">
        <v>96.211353938038002</v>
      </c>
      <c r="K334">
        <v>93.364041500221006</v>
      </c>
      <c r="L334">
        <v>1044.2992658985229</v>
      </c>
    </row>
    <row r="335" spans="1:12" hidden="1" x14ac:dyDescent="0.25">
      <c r="A335">
        <v>2015</v>
      </c>
      <c r="B335" t="s">
        <v>66</v>
      </c>
      <c r="C335">
        <v>20863</v>
      </c>
      <c r="D335" t="s">
        <v>64</v>
      </c>
      <c r="E335" t="s">
        <v>14</v>
      </c>
      <c r="F335" t="s">
        <v>65</v>
      </c>
      <c r="G335" t="s">
        <v>44</v>
      </c>
      <c r="H335" t="s">
        <v>45</v>
      </c>
      <c r="I335">
        <v>73.2</v>
      </c>
      <c r="J335">
        <v>81.900000000000006</v>
      </c>
      <c r="K335">
        <v>73.2</v>
      </c>
      <c r="L335">
        <v>28501.366120218579</v>
      </c>
    </row>
    <row r="336" spans="1:12" hidden="1" x14ac:dyDescent="0.25">
      <c r="A336">
        <v>2015</v>
      </c>
      <c r="B336" t="s">
        <v>12</v>
      </c>
      <c r="C336">
        <v>621</v>
      </c>
      <c r="D336" t="s">
        <v>64</v>
      </c>
      <c r="E336" t="s">
        <v>14</v>
      </c>
      <c r="F336" t="s">
        <v>65</v>
      </c>
      <c r="G336" t="s">
        <v>38</v>
      </c>
      <c r="H336" t="s">
        <v>39</v>
      </c>
      <c r="I336">
        <v>109.79561218418</v>
      </c>
      <c r="J336">
        <v>96.211353938038002</v>
      </c>
      <c r="K336">
        <v>109.79561218418</v>
      </c>
      <c r="L336">
        <v>565.59637279337232</v>
      </c>
    </row>
    <row r="337" spans="1:12" hidden="1" x14ac:dyDescent="0.25">
      <c r="A337">
        <v>2015</v>
      </c>
      <c r="B337" t="s">
        <v>66</v>
      </c>
      <c r="C337">
        <v>884</v>
      </c>
      <c r="D337" t="s">
        <v>64</v>
      </c>
      <c r="E337" t="s">
        <v>14</v>
      </c>
      <c r="F337" t="s">
        <v>65</v>
      </c>
      <c r="G337" t="s">
        <v>38</v>
      </c>
      <c r="H337" t="s">
        <v>39</v>
      </c>
      <c r="I337">
        <v>95.7</v>
      </c>
      <c r="J337">
        <v>81.900000000000006</v>
      </c>
      <c r="K337">
        <v>95.7</v>
      </c>
      <c r="L337">
        <v>923.71995820271684</v>
      </c>
    </row>
    <row r="338" spans="1:12" hidden="1" x14ac:dyDescent="0.25">
      <c r="A338">
        <v>2015</v>
      </c>
      <c r="B338" t="s">
        <v>12</v>
      </c>
      <c r="C338">
        <v>83</v>
      </c>
      <c r="D338" t="s">
        <v>64</v>
      </c>
      <c r="E338" t="s">
        <v>14</v>
      </c>
      <c r="F338" t="s">
        <v>65</v>
      </c>
      <c r="G338" t="s">
        <v>54</v>
      </c>
      <c r="H338" t="s">
        <v>55</v>
      </c>
      <c r="I338">
        <v>95.958177771508005</v>
      </c>
      <c r="J338">
        <v>96.211353938038002</v>
      </c>
      <c r="K338">
        <v>95.958177771508005</v>
      </c>
      <c r="L338">
        <v>86.496015167812445</v>
      </c>
    </row>
    <row r="339" spans="1:12" hidden="1" x14ac:dyDescent="0.25">
      <c r="A339">
        <v>2015</v>
      </c>
      <c r="B339" t="s">
        <v>66</v>
      </c>
      <c r="C339">
        <v>53028</v>
      </c>
      <c r="D339" t="s">
        <v>64</v>
      </c>
      <c r="E339" t="s">
        <v>14</v>
      </c>
      <c r="F339" t="s">
        <v>65</v>
      </c>
      <c r="G339" t="s">
        <v>54</v>
      </c>
      <c r="H339" t="s">
        <v>55</v>
      </c>
      <c r="I339">
        <v>82.9</v>
      </c>
      <c r="J339">
        <v>81.900000000000006</v>
      </c>
      <c r="K339">
        <v>82.9</v>
      </c>
      <c r="L339">
        <v>63966.224366706883</v>
      </c>
    </row>
    <row r="340" spans="1:12" hidden="1" x14ac:dyDescent="0.25">
      <c r="A340">
        <v>2015</v>
      </c>
      <c r="B340" t="s">
        <v>12</v>
      </c>
      <c r="C340">
        <v>2003</v>
      </c>
      <c r="D340" t="s">
        <v>64</v>
      </c>
      <c r="E340" t="s">
        <v>14</v>
      </c>
      <c r="F340" t="s">
        <v>65</v>
      </c>
      <c r="G340" t="s">
        <v>40</v>
      </c>
      <c r="H340" t="s">
        <v>41</v>
      </c>
      <c r="I340">
        <v>109.79561218418</v>
      </c>
      <c r="J340">
        <v>96.211353938038002</v>
      </c>
      <c r="K340">
        <v>109.79561218418</v>
      </c>
      <c r="L340">
        <v>1824.298767641103</v>
      </c>
    </row>
    <row r="341" spans="1:12" hidden="1" x14ac:dyDescent="0.25">
      <c r="A341">
        <v>2015</v>
      </c>
      <c r="B341" t="s">
        <v>66</v>
      </c>
      <c r="C341">
        <v>12126</v>
      </c>
      <c r="D341" t="s">
        <v>64</v>
      </c>
      <c r="E341" t="s">
        <v>14</v>
      </c>
      <c r="F341" t="s">
        <v>65</v>
      </c>
      <c r="G341" t="s">
        <v>40</v>
      </c>
      <c r="H341" t="s">
        <v>41</v>
      </c>
      <c r="I341">
        <v>81.900000000000006</v>
      </c>
      <c r="J341">
        <v>81.900000000000006</v>
      </c>
      <c r="K341">
        <v>81.900000000000006</v>
      </c>
      <c r="L341">
        <v>14805.86080586081</v>
      </c>
    </row>
    <row r="342" spans="1:12" hidden="1" x14ac:dyDescent="0.25">
      <c r="A342">
        <v>2015</v>
      </c>
      <c r="B342" t="s">
        <v>12</v>
      </c>
      <c r="C342">
        <v>1613</v>
      </c>
      <c r="D342" t="s">
        <v>64</v>
      </c>
      <c r="E342" t="s">
        <v>14</v>
      </c>
      <c r="F342" t="s">
        <v>65</v>
      </c>
      <c r="G342" t="s">
        <v>46</v>
      </c>
      <c r="H342" t="s">
        <v>47</v>
      </c>
      <c r="I342">
        <v>95.958177771508005</v>
      </c>
      <c r="J342">
        <v>96.211353938038002</v>
      </c>
      <c r="K342">
        <v>95.958177771508005</v>
      </c>
      <c r="L342">
        <v>1680.940632116645</v>
      </c>
    </row>
    <row r="343" spans="1:12" hidden="1" x14ac:dyDescent="0.25">
      <c r="A343">
        <v>2015</v>
      </c>
      <c r="B343" t="s">
        <v>66</v>
      </c>
      <c r="C343">
        <v>13454</v>
      </c>
      <c r="D343" t="s">
        <v>64</v>
      </c>
      <c r="E343" t="s">
        <v>14</v>
      </c>
      <c r="F343" t="s">
        <v>65</v>
      </c>
      <c r="G343" t="s">
        <v>46</v>
      </c>
      <c r="H343" t="s">
        <v>47</v>
      </c>
      <c r="I343">
        <v>76</v>
      </c>
      <c r="J343">
        <v>81.900000000000006</v>
      </c>
      <c r="K343">
        <v>76</v>
      </c>
      <c r="L343">
        <v>17702.63157894737</v>
      </c>
    </row>
    <row r="344" spans="1:12" hidden="1" x14ac:dyDescent="0.25">
      <c r="A344">
        <v>2015</v>
      </c>
      <c r="B344" t="s">
        <v>12</v>
      </c>
      <c r="C344">
        <v>1207</v>
      </c>
      <c r="D344" t="s">
        <v>64</v>
      </c>
      <c r="E344" t="s">
        <v>14</v>
      </c>
      <c r="F344" t="s">
        <v>65</v>
      </c>
      <c r="G344" t="s">
        <v>62</v>
      </c>
      <c r="H344" t="s">
        <v>63</v>
      </c>
      <c r="I344">
        <v>95.958177771508005</v>
      </c>
      <c r="J344">
        <v>96.211353938038002</v>
      </c>
      <c r="K344">
        <v>95.958177771508005</v>
      </c>
      <c r="L344">
        <v>1257.839642259634</v>
      </c>
    </row>
    <row r="345" spans="1:12" hidden="1" x14ac:dyDescent="0.25">
      <c r="A345">
        <v>2015</v>
      </c>
      <c r="B345" t="s">
        <v>12</v>
      </c>
      <c r="C345">
        <v>8200</v>
      </c>
      <c r="D345" t="s">
        <v>64</v>
      </c>
      <c r="E345" t="s">
        <v>14</v>
      </c>
      <c r="F345" t="s">
        <v>65</v>
      </c>
      <c r="G345" t="s">
        <v>36</v>
      </c>
      <c r="H345" t="s">
        <v>37</v>
      </c>
      <c r="I345">
        <v>109.79561218418</v>
      </c>
      <c r="J345">
        <v>96.211353938038002</v>
      </c>
      <c r="K345">
        <v>109.79561218418</v>
      </c>
      <c r="L345">
        <v>7468.4223138577336</v>
      </c>
    </row>
    <row r="346" spans="1:12" hidden="1" x14ac:dyDescent="0.25">
      <c r="A346">
        <v>2015</v>
      </c>
      <c r="B346" t="s">
        <v>66</v>
      </c>
      <c r="C346">
        <v>31590</v>
      </c>
      <c r="D346" t="s">
        <v>64</v>
      </c>
      <c r="E346" t="s">
        <v>14</v>
      </c>
      <c r="F346" t="s">
        <v>65</v>
      </c>
      <c r="G346" t="s">
        <v>36</v>
      </c>
      <c r="H346" t="s">
        <v>37</v>
      </c>
      <c r="I346">
        <v>95.7</v>
      </c>
      <c r="J346">
        <v>81.900000000000006</v>
      </c>
      <c r="K346">
        <v>95.7</v>
      </c>
      <c r="L346">
        <v>33009.404388714727</v>
      </c>
    </row>
    <row r="347" spans="1:12" hidden="1" x14ac:dyDescent="0.25">
      <c r="A347">
        <v>2015</v>
      </c>
      <c r="B347" t="s">
        <v>12</v>
      </c>
      <c r="C347">
        <v>261</v>
      </c>
      <c r="D347" t="s">
        <v>64</v>
      </c>
      <c r="E347" t="s">
        <v>14</v>
      </c>
      <c r="F347" t="s">
        <v>65</v>
      </c>
      <c r="G347" t="s">
        <v>58</v>
      </c>
      <c r="H347" t="s">
        <v>59</v>
      </c>
      <c r="I347">
        <v>107.1615082093</v>
      </c>
      <c r="J347">
        <v>96.211353938038002</v>
      </c>
      <c r="K347">
        <v>107.1615082093</v>
      </c>
      <c r="L347">
        <v>243.55760231578111</v>
      </c>
    </row>
    <row r="348" spans="1:12" hidden="1" x14ac:dyDescent="0.25">
      <c r="A348">
        <v>2015</v>
      </c>
      <c r="B348" t="s">
        <v>66</v>
      </c>
      <c r="C348">
        <v>503</v>
      </c>
      <c r="D348" t="s">
        <v>64</v>
      </c>
      <c r="E348" t="s">
        <v>14</v>
      </c>
      <c r="F348" t="s">
        <v>65</v>
      </c>
      <c r="G348" t="s">
        <v>58</v>
      </c>
      <c r="H348" t="s">
        <v>59</v>
      </c>
      <c r="I348">
        <v>85.5</v>
      </c>
      <c r="J348">
        <v>81.900000000000006</v>
      </c>
      <c r="K348">
        <v>85.5</v>
      </c>
      <c r="L348">
        <v>588.30409356725147</v>
      </c>
    </row>
    <row r="349" spans="1:12" hidden="1" x14ac:dyDescent="0.25">
      <c r="A349">
        <v>2015</v>
      </c>
      <c r="B349" t="s">
        <v>12</v>
      </c>
      <c r="C349">
        <v>3190</v>
      </c>
      <c r="D349" t="s">
        <v>64</v>
      </c>
      <c r="E349" t="s">
        <v>14</v>
      </c>
      <c r="F349" t="s">
        <v>65</v>
      </c>
      <c r="G349" t="s">
        <v>28</v>
      </c>
      <c r="H349" t="s">
        <v>29</v>
      </c>
      <c r="I349">
        <v>107.1615082093</v>
      </c>
      <c r="J349">
        <v>96.211353938038002</v>
      </c>
      <c r="K349">
        <v>107.1615082093</v>
      </c>
      <c r="L349">
        <v>2976.8151394151018</v>
      </c>
    </row>
    <row r="350" spans="1:12" hidden="1" x14ac:dyDescent="0.25">
      <c r="A350">
        <v>2015</v>
      </c>
      <c r="B350" t="s">
        <v>66</v>
      </c>
      <c r="C350">
        <v>960</v>
      </c>
      <c r="D350" t="s">
        <v>64</v>
      </c>
      <c r="E350" t="s">
        <v>14</v>
      </c>
      <c r="F350" t="s">
        <v>65</v>
      </c>
      <c r="G350" t="s">
        <v>28</v>
      </c>
      <c r="H350" t="s">
        <v>29</v>
      </c>
      <c r="I350">
        <v>85.2</v>
      </c>
      <c r="J350">
        <v>81.900000000000006</v>
      </c>
      <c r="K350">
        <v>85.2</v>
      </c>
      <c r="L350">
        <v>1126.7605633802821</v>
      </c>
    </row>
    <row r="351" spans="1:12" hidden="1" x14ac:dyDescent="0.25">
      <c r="A351">
        <v>2015</v>
      </c>
      <c r="B351" t="s">
        <v>12</v>
      </c>
      <c r="C351">
        <v>3688</v>
      </c>
      <c r="D351" t="s">
        <v>64</v>
      </c>
      <c r="E351" t="s">
        <v>14</v>
      </c>
      <c r="F351" t="s">
        <v>65</v>
      </c>
      <c r="G351" t="s">
        <v>30</v>
      </c>
      <c r="H351" t="s">
        <v>31</v>
      </c>
      <c r="I351">
        <v>72.105553335238</v>
      </c>
      <c r="J351">
        <v>96.211353938038002</v>
      </c>
      <c r="K351">
        <v>72.105553335238</v>
      </c>
      <c r="L351">
        <v>5114.7239420707328</v>
      </c>
    </row>
    <row r="352" spans="1:12" hidden="1" x14ac:dyDescent="0.25">
      <c r="A352">
        <v>2015</v>
      </c>
      <c r="B352" t="s">
        <v>66</v>
      </c>
      <c r="C352">
        <v>8239</v>
      </c>
      <c r="D352" t="s">
        <v>64</v>
      </c>
      <c r="E352" t="s">
        <v>14</v>
      </c>
      <c r="F352" t="s">
        <v>65</v>
      </c>
      <c r="G352" t="s">
        <v>30</v>
      </c>
      <c r="H352" t="s">
        <v>31</v>
      </c>
      <c r="I352">
        <v>82</v>
      </c>
      <c r="J352">
        <v>81.900000000000006</v>
      </c>
      <c r="K352">
        <v>82</v>
      </c>
      <c r="L352">
        <v>10047.560975609749</v>
      </c>
    </row>
    <row r="353" spans="1:12" hidden="1" x14ac:dyDescent="0.25">
      <c r="A353">
        <v>2015</v>
      </c>
      <c r="B353" t="s">
        <v>12</v>
      </c>
      <c r="C353">
        <v>1884</v>
      </c>
      <c r="D353" t="s">
        <v>64</v>
      </c>
      <c r="E353" t="s">
        <v>14</v>
      </c>
      <c r="F353" t="s">
        <v>65</v>
      </c>
      <c r="G353" t="s">
        <v>42</v>
      </c>
      <c r="H353" t="s">
        <v>43</v>
      </c>
      <c r="I353">
        <v>93.364041500221006</v>
      </c>
      <c r="J353">
        <v>96.211353938038002</v>
      </c>
      <c r="K353">
        <v>93.364041500221006</v>
      </c>
      <c r="L353">
        <v>2017.907504566992</v>
      </c>
    </row>
    <row r="354" spans="1:12" hidden="1" x14ac:dyDescent="0.25">
      <c r="A354">
        <v>2015</v>
      </c>
      <c r="B354" t="s">
        <v>66</v>
      </c>
      <c r="C354">
        <v>13009</v>
      </c>
      <c r="D354" t="s">
        <v>64</v>
      </c>
      <c r="E354" t="s">
        <v>14</v>
      </c>
      <c r="F354" t="s">
        <v>65</v>
      </c>
      <c r="G354" t="s">
        <v>42</v>
      </c>
      <c r="H354" t="s">
        <v>43</v>
      </c>
      <c r="I354">
        <v>80.2</v>
      </c>
      <c r="J354">
        <v>81.900000000000006</v>
      </c>
      <c r="K354">
        <v>80.2</v>
      </c>
      <c r="L354">
        <v>16220.69825436409</v>
      </c>
    </row>
    <row r="355" spans="1:12" hidden="1" x14ac:dyDescent="0.25">
      <c r="A355">
        <v>2015</v>
      </c>
      <c r="B355" t="s">
        <v>12</v>
      </c>
      <c r="C355">
        <v>508</v>
      </c>
      <c r="D355" t="s">
        <v>64</v>
      </c>
      <c r="E355" t="s">
        <v>14</v>
      </c>
      <c r="F355" t="s">
        <v>65</v>
      </c>
      <c r="G355" t="s">
        <v>50</v>
      </c>
      <c r="H355" t="s">
        <v>51</v>
      </c>
      <c r="I355">
        <v>95.958177771508005</v>
      </c>
      <c r="J355">
        <v>96.211353938038002</v>
      </c>
      <c r="K355">
        <v>95.958177771508005</v>
      </c>
      <c r="L355">
        <v>529.39729765359914</v>
      </c>
    </row>
    <row r="356" spans="1:12" hidden="1" x14ac:dyDescent="0.25">
      <c r="A356">
        <v>2015</v>
      </c>
      <c r="B356" t="s">
        <v>66</v>
      </c>
      <c r="C356">
        <v>17327</v>
      </c>
      <c r="D356" t="s">
        <v>64</v>
      </c>
      <c r="E356" t="s">
        <v>14</v>
      </c>
      <c r="F356" t="s">
        <v>65</v>
      </c>
      <c r="G356" t="s">
        <v>50</v>
      </c>
      <c r="H356" t="s">
        <v>51</v>
      </c>
      <c r="I356">
        <v>84.9</v>
      </c>
      <c r="J356">
        <v>81.900000000000006</v>
      </c>
      <c r="K356">
        <v>84.9</v>
      </c>
      <c r="L356">
        <v>20408.71613663133</v>
      </c>
    </row>
    <row r="357" spans="1:12" hidden="1" x14ac:dyDescent="0.25">
      <c r="A357">
        <v>2015</v>
      </c>
      <c r="B357" t="s">
        <v>12</v>
      </c>
      <c r="C357">
        <v>224</v>
      </c>
      <c r="D357" t="s">
        <v>64</v>
      </c>
      <c r="E357" t="s">
        <v>14</v>
      </c>
      <c r="F357" t="s">
        <v>65</v>
      </c>
      <c r="G357" t="s">
        <v>22</v>
      </c>
      <c r="H357" t="s">
        <v>23</v>
      </c>
      <c r="I357">
        <v>107.52442116425</v>
      </c>
      <c r="J357">
        <v>96.211353938038002</v>
      </c>
      <c r="K357">
        <v>107.52442116425</v>
      </c>
      <c r="L357">
        <v>208.32476713157709</v>
      </c>
    </row>
    <row r="358" spans="1:12" hidden="1" x14ac:dyDescent="0.25">
      <c r="A358">
        <v>2015</v>
      </c>
      <c r="B358" t="s">
        <v>66</v>
      </c>
      <c r="C358">
        <v>8755</v>
      </c>
      <c r="D358" t="s">
        <v>64</v>
      </c>
      <c r="E358" t="s">
        <v>14</v>
      </c>
      <c r="F358" t="s">
        <v>65</v>
      </c>
      <c r="G358" t="s">
        <v>22</v>
      </c>
      <c r="H358" t="s">
        <v>23</v>
      </c>
      <c r="I358">
        <v>84.5</v>
      </c>
      <c r="J358">
        <v>81.900000000000006</v>
      </c>
      <c r="K358">
        <v>84.5</v>
      </c>
      <c r="L358">
        <v>10360.946745562131</v>
      </c>
    </row>
    <row r="359" spans="1:12" hidden="1" x14ac:dyDescent="0.25">
      <c r="A359">
        <v>2015</v>
      </c>
      <c r="B359" t="s">
        <v>12</v>
      </c>
      <c r="C359">
        <v>75</v>
      </c>
      <c r="D359" t="s">
        <v>64</v>
      </c>
      <c r="E359" t="s">
        <v>14</v>
      </c>
      <c r="F359" t="s">
        <v>65</v>
      </c>
      <c r="G359" t="s">
        <v>60</v>
      </c>
      <c r="H359" t="s">
        <v>61</v>
      </c>
      <c r="J359">
        <v>96.211353938038002</v>
      </c>
      <c r="K359">
        <v>96.211353938038002</v>
      </c>
      <c r="L359">
        <v>77.953377569451391</v>
      </c>
    </row>
    <row r="360" spans="1:12" hidden="1" x14ac:dyDescent="0.25">
      <c r="A360">
        <v>2015</v>
      </c>
      <c r="B360" t="s">
        <v>66</v>
      </c>
      <c r="C360">
        <v>376</v>
      </c>
      <c r="D360" t="s">
        <v>64</v>
      </c>
      <c r="E360" t="s">
        <v>14</v>
      </c>
      <c r="F360" t="s">
        <v>65</v>
      </c>
      <c r="G360" t="s">
        <v>60</v>
      </c>
      <c r="H360" t="s">
        <v>61</v>
      </c>
      <c r="I360">
        <v>86.4</v>
      </c>
      <c r="J360">
        <v>81.900000000000006</v>
      </c>
      <c r="K360">
        <v>86.4</v>
      </c>
      <c r="L360">
        <v>435.18518518518511</v>
      </c>
    </row>
    <row r="361" spans="1:12" hidden="1" x14ac:dyDescent="0.25">
      <c r="A361">
        <v>2015</v>
      </c>
      <c r="B361" t="s">
        <v>12</v>
      </c>
      <c r="C361">
        <v>158</v>
      </c>
      <c r="D361" t="s">
        <v>64</v>
      </c>
      <c r="E361" t="s">
        <v>14</v>
      </c>
      <c r="F361" t="s">
        <v>65</v>
      </c>
      <c r="G361" t="s">
        <v>26</v>
      </c>
      <c r="H361" t="s">
        <v>27</v>
      </c>
      <c r="I361">
        <v>107.52442116425</v>
      </c>
      <c r="J361">
        <v>96.211353938038002</v>
      </c>
      <c r="K361">
        <v>107.52442116425</v>
      </c>
      <c r="L361">
        <v>146.9433625303088</v>
      </c>
    </row>
    <row r="362" spans="1:12" hidden="1" x14ac:dyDescent="0.25">
      <c r="A362">
        <v>2015</v>
      </c>
      <c r="B362" t="s">
        <v>66</v>
      </c>
      <c r="C362">
        <v>2123</v>
      </c>
      <c r="D362" t="s">
        <v>64</v>
      </c>
      <c r="E362" t="s">
        <v>14</v>
      </c>
      <c r="F362" t="s">
        <v>65</v>
      </c>
      <c r="G362" t="s">
        <v>26</v>
      </c>
      <c r="H362" t="s">
        <v>27</v>
      </c>
      <c r="I362">
        <v>90.8</v>
      </c>
      <c r="J362">
        <v>81.900000000000006</v>
      </c>
      <c r="K362">
        <v>90.8</v>
      </c>
      <c r="L362">
        <v>2338.105726872247</v>
      </c>
    </row>
    <row r="363" spans="1:12" hidden="1" x14ac:dyDescent="0.25">
      <c r="A363">
        <v>2015</v>
      </c>
      <c r="B363" t="s">
        <v>12</v>
      </c>
      <c r="C363">
        <v>3278</v>
      </c>
      <c r="D363" t="s">
        <v>64</v>
      </c>
      <c r="E363" t="s">
        <v>14</v>
      </c>
      <c r="F363" t="s">
        <v>65</v>
      </c>
      <c r="G363" t="s">
        <v>20</v>
      </c>
      <c r="H363" t="s">
        <v>21</v>
      </c>
      <c r="I363">
        <v>100.22588687651999</v>
      </c>
      <c r="J363">
        <v>96.211353938038002</v>
      </c>
      <c r="K363">
        <v>100.22588687651999</v>
      </c>
      <c r="L363">
        <v>3270.6121164470728</v>
      </c>
    </row>
    <row r="364" spans="1:12" hidden="1" x14ac:dyDescent="0.25">
      <c r="A364">
        <v>2015</v>
      </c>
      <c r="B364" t="s">
        <v>66</v>
      </c>
      <c r="C364">
        <v>11659</v>
      </c>
      <c r="D364" t="s">
        <v>64</v>
      </c>
      <c r="E364" t="s">
        <v>14</v>
      </c>
      <c r="F364" t="s">
        <v>65</v>
      </c>
      <c r="G364" t="s">
        <v>20</v>
      </c>
      <c r="H364" t="s">
        <v>21</v>
      </c>
      <c r="I364">
        <v>80</v>
      </c>
      <c r="J364">
        <v>81.900000000000006</v>
      </c>
      <c r="K364">
        <v>80</v>
      </c>
      <c r="L364">
        <v>14573.75</v>
      </c>
    </row>
    <row r="365" spans="1:12" hidden="1" x14ac:dyDescent="0.25">
      <c r="A365">
        <v>2015</v>
      </c>
      <c r="B365" t="s">
        <v>12</v>
      </c>
      <c r="C365">
        <v>54</v>
      </c>
      <c r="D365" t="s">
        <v>64</v>
      </c>
      <c r="E365" t="s">
        <v>14</v>
      </c>
      <c r="F365" t="s">
        <v>65</v>
      </c>
      <c r="G365" t="s">
        <v>48</v>
      </c>
      <c r="H365" t="s">
        <v>49</v>
      </c>
      <c r="I365">
        <v>95.958177771508005</v>
      </c>
      <c r="J365">
        <v>96.211353938038002</v>
      </c>
      <c r="K365">
        <v>95.958177771508005</v>
      </c>
      <c r="L365">
        <v>56.274515892311719</v>
      </c>
    </row>
    <row r="366" spans="1:12" hidden="1" x14ac:dyDescent="0.25">
      <c r="A366">
        <v>2015</v>
      </c>
      <c r="B366" t="s">
        <v>66</v>
      </c>
      <c r="C366">
        <v>4513</v>
      </c>
      <c r="D366" t="s">
        <v>64</v>
      </c>
      <c r="E366" t="s">
        <v>14</v>
      </c>
      <c r="F366" t="s">
        <v>65</v>
      </c>
      <c r="G366" t="s">
        <v>48</v>
      </c>
      <c r="H366" t="s">
        <v>49</v>
      </c>
      <c r="I366">
        <v>83.4</v>
      </c>
      <c r="J366">
        <v>81.900000000000006</v>
      </c>
      <c r="K366">
        <v>83.4</v>
      </c>
      <c r="L366">
        <v>5411.2709832134287</v>
      </c>
    </row>
    <row r="367" spans="1:12" hidden="1" x14ac:dyDescent="0.25">
      <c r="A367">
        <v>2015</v>
      </c>
      <c r="B367" t="s">
        <v>12</v>
      </c>
      <c r="C367">
        <v>3</v>
      </c>
      <c r="D367" t="s">
        <v>64</v>
      </c>
      <c r="E367" t="s">
        <v>14</v>
      </c>
      <c r="F367" t="s">
        <v>65</v>
      </c>
      <c r="G367" t="s">
        <v>56</v>
      </c>
      <c r="H367" t="s">
        <v>57</v>
      </c>
      <c r="I367">
        <v>95.958177771508005</v>
      </c>
      <c r="J367">
        <v>96.211353938038002</v>
      </c>
      <c r="K367">
        <v>95.958177771508005</v>
      </c>
      <c r="L367">
        <v>3.126361994017318</v>
      </c>
    </row>
    <row r="368" spans="1:12" hidden="1" x14ac:dyDescent="0.25">
      <c r="A368">
        <v>2015</v>
      </c>
      <c r="B368" t="s">
        <v>66</v>
      </c>
      <c r="C368">
        <v>691</v>
      </c>
      <c r="D368" t="s">
        <v>64</v>
      </c>
      <c r="E368" t="s">
        <v>14</v>
      </c>
      <c r="F368" t="s">
        <v>65</v>
      </c>
      <c r="G368" t="s">
        <v>56</v>
      </c>
      <c r="H368" t="s">
        <v>57</v>
      </c>
      <c r="I368">
        <v>82.9</v>
      </c>
      <c r="J368">
        <v>81.900000000000006</v>
      </c>
      <c r="K368">
        <v>82.9</v>
      </c>
      <c r="L368">
        <v>833.53437876960186</v>
      </c>
    </row>
    <row r="369" spans="1:12" hidden="1" x14ac:dyDescent="0.25">
      <c r="A369">
        <v>2015</v>
      </c>
      <c r="B369" t="s">
        <v>66</v>
      </c>
      <c r="C369">
        <v>23873</v>
      </c>
      <c r="D369" t="s">
        <v>64</v>
      </c>
      <c r="E369" t="s">
        <v>14</v>
      </c>
      <c r="F369" t="s">
        <v>65</v>
      </c>
      <c r="G369" t="s">
        <v>34</v>
      </c>
      <c r="H369" t="s">
        <v>35</v>
      </c>
      <c r="I369">
        <v>47.6</v>
      </c>
      <c r="J369">
        <v>81.900000000000006</v>
      </c>
      <c r="K369">
        <v>47.6</v>
      </c>
      <c r="L369">
        <v>50153.361344537807</v>
      </c>
    </row>
    <row r="370" spans="1:12" hidden="1" x14ac:dyDescent="0.25">
      <c r="A370">
        <v>2015</v>
      </c>
      <c r="B370" t="s">
        <v>66</v>
      </c>
      <c r="C370">
        <v>505</v>
      </c>
      <c r="D370" t="s">
        <v>64</v>
      </c>
      <c r="E370" t="s">
        <v>14</v>
      </c>
      <c r="F370" t="s">
        <v>65</v>
      </c>
      <c r="G370" t="s">
        <v>67</v>
      </c>
      <c r="H370" t="s">
        <v>68</v>
      </c>
      <c r="I370">
        <v>80</v>
      </c>
      <c r="J370">
        <v>81.900000000000006</v>
      </c>
      <c r="K370">
        <v>80</v>
      </c>
      <c r="L370">
        <v>631.25</v>
      </c>
    </row>
    <row r="371" spans="1:12" hidden="1" x14ac:dyDescent="0.25">
      <c r="A371">
        <v>2015</v>
      </c>
      <c r="B371" t="s">
        <v>12</v>
      </c>
      <c r="C371">
        <v>2423</v>
      </c>
      <c r="D371" t="s">
        <v>64</v>
      </c>
      <c r="E371" t="s">
        <v>14</v>
      </c>
      <c r="F371" t="s">
        <v>65</v>
      </c>
      <c r="G371" t="s">
        <v>16</v>
      </c>
      <c r="H371" t="s">
        <v>17</v>
      </c>
      <c r="J371">
        <v>96.211353938038002</v>
      </c>
      <c r="K371">
        <v>96.211353938038002</v>
      </c>
      <c r="L371">
        <v>2518.4137846770759</v>
      </c>
    </row>
    <row r="372" spans="1:12" hidden="1" x14ac:dyDescent="0.25">
      <c r="A372">
        <v>2020</v>
      </c>
      <c r="B372" t="s">
        <v>12</v>
      </c>
      <c r="C372">
        <v>312780233</v>
      </c>
      <c r="D372" t="s">
        <v>69</v>
      </c>
      <c r="E372" t="s">
        <v>14</v>
      </c>
      <c r="F372" t="s">
        <v>70</v>
      </c>
      <c r="G372" t="s">
        <v>18</v>
      </c>
      <c r="H372" t="s">
        <v>19</v>
      </c>
      <c r="I372">
        <v>107.43342807145</v>
      </c>
      <c r="J372">
        <v>103.59652904204</v>
      </c>
      <c r="K372">
        <v>107.43342807145</v>
      </c>
      <c r="L372">
        <v>312780233</v>
      </c>
    </row>
    <row r="373" spans="1:12" hidden="1" x14ac:dyDescent="0.25">
      <c r="A373">
        <v>2020</v>
      </c>
      <c r="B373" t="s">
        <v>66</v>
      </c>
      <c r="C373">
        <v>2120935000</v>
      </c>
      <c r="D373" t="s">
        <v>69</v>
      </c>
      <c r="E373" t="s">
        <v>14</v>
      </c>
      <c r="F373" t="s">
        <v>70</v>
      </c>
      <c r="G373" t="s">
        <v>18</v>
      </c>
      <c r="H373" t="s">
        <v>19</v>
      </c>
      <c r="I373">
        <v>107.1</v>
      </c>
      <c r="J373">
        <v>108.6</v>
      </c>
      <c r="K373">
        <v>107.1</v>
      </c>
      <c r="L373">
        <v>2120935000</v>
      </c>
    </row>
    <row r="374" spans="1:12" hidden="1" x14ac:dyDescent="0.25">
      <c r="A374">
        <v>2020</v>
      </c>
      <c r="B374" t="s">
        <v>12</v>
      </c>
      <c r="C374">
        <v>33749079</v>
      </c>
      <c r="D374" t="s">
        <v>69</v>
      </c>
      <c r="E374" t="s">
        <v>14</v>
      </c>
      <c r="F374" t="s">
        <v>70</v>
      </c>
      <c r="G374" t="s">
        <v>42</v>
      </c>
      <c r="H374" t="s">
        <v>43</v>
      </c>
      <c r="I374">
        <v>104.48191541983</v>
      </c>
      <c r="J374">
        <v>103.59652904204</v>
      </c>
      <c r="K374">
        <v>104.48191541983</v>
      </c>
      <c r="L374">
        <v>33749079</v>
      </c>
    </row>
    <row r="375" spans="1:12" hidden="1" x14ac:dyDescent="0.25">
      <c r="A375">
        <v>2020</v>
      </c>
      <c r="B375" t="s">
        <v>66</v>
      </c>
      <c r="C375">
        <v>382690000</v>
      </c>
      <c r="D375" t="s">
        <v>69</v>
      </c>
      <c r="E375" t="s">
        <v>14</v>
      </c>
      <c r="F375" t="s">
        <v>70</v>
      </c>
      <c r="G375" t="s">
        <v>42</v>
      </c>
      <c r="H375" t="s">
        <v>43</v>
      </c>
      <c r="I375">
        <v>108.2</v>
      </c>
      <c r="J375">
        <v>108.6</v>
      </c>
      <c r="K375">
        <v>108.2</v>
      </c>
      <c r="L375">
        <v>382690000</v>
      </c>
    </row>
    <row r="376" spans="1:12" hidden="1" x14ac:dyDescent="0.25">
      <c r="A376">
        <v>2020</v>
      </c>
      <c r="B376" t="s">
        <v>12</v>
      </c>
      <c r="C376">
        <v>37076193</v>
      </c>
      <c r="D376" t="s">
        <v>69</v>
      </c>
      <c r="E376" t="s">
        <v>14</v>
      </c>
      <c r="F376" t="s">
        <v>70</v>
      </c>
      <c r="G376" t="s">
        <v>46</v>
      </c>
      <c r="H376" t="s">
        <v>47</v>
      </c>
      <c r="I376">
        <v>113.44450268036999</v>
      </c>
      <c r="J376">
        <v>103.59652904204</v>
      </c>
      <c r="K376">
        <v>113.44450268036999</v>
      </c>
      <c r="L376">
        <v>37076193</v>
      </c>
    </row>
    <row r="377" spans="1:12" hidden="1" x14ac:dyDescent="0.25">
      <c r="A377">
        <v>2020</v>
      </c>
      <c r="B377" t="s">
        <v>66</v>
      </c>
      <c r="C377">
        <v>662988000</v>
      </c>
      <c r="D377" t="s">
        <v>69</v>
      </c>
      <c r="E377" t="s">
        <v>14</v>
      </c>
      <c r="F377" t="s">
        <v>70</v>
      </c>
      <c r="G377" t="s">
        <v>46</v>
      </c>
      <c r="H377" t="s">
        <v>47</v>
      </c>
      <c r="I377">
        <v>109.5</v>
      </c>
      <c r="J377">
        <v>108.6</v>
      </c>
      <c r="K377">
        <v>109.5</v>
      </c>
      <c r="L377">
        <v>662988000</v>
      </c>
    </row>
    <row r="378" spans="1:12" hidden="1" x14ac:dyDescent="0.25">
      <c r="A378">
        <v>2020</v>
      </c>
      <c r="B378" t="s">
        <v>12</v>
      </c>
      <c r="C378">
        <v>46048468</v>
      </c>
      <c r="D378" t="s">
        <v>69</v>
      </c>
      <c r="E378" t="s">
        <v>14</v>
      </c>
      <c r="F378" t="s">
        <v>70</v>
      </c>
      <c r="G378" t="s">
        <v>62</v>
      </c>
      <c r="H378" t="s">
        <v>63</v>
      </c>
      <c r="I378">
        <v>113.44450268036999</v>
      </c>
      <c r="J378">
        <v>103.59652904204</v>
      </c>
      <c r="K378">
        <v>113.44450268036999</v>
      </c>
      <c r="L378">
        <v>46048468</v>
      </c>
    </row>
    <row r="379" spans="1:12" hidden="1" x14ac:dyDescent="0.25">
      <c r="A379">
        <v>2020</v>
      </c>
      <c r="B379" t="s">
        <v>12</v>
      </c>
      <c r="C379">
        <v>44139071</v>
      </c>
      <c r="D379" t="s">
        <v>69</v>
      </c>
      <c r="E379" t="s">
        <v>14</v>
      </c>
      <c r="F379" t="s">
        <v>70</v>
      </c>
      <c r="G379" t="s">
        <v>36</v>
      </c>
      <c r="H379" t="s">
        <v>37</v>
      </c>
      <c r="I379">
        <v>100.20302658438</v>
      </c>
      <c r="J379">
        <v>103.59652904204</v>
      </c>
      <c r="K379">
        <v>100.20302658438</v>
      </c>
      <c r="L379">
        <v>44139071</v>
      </c>
    </row>
    <row r="380" spans="1:12" hidden="1" x14ac:dyDescent="0.25">
      <c r="A380">
        <v>2020</v>
      </c>
      <c r="B380" t="s">
        <v>66</v>
      </c>
      <c r="C380">
        <v>428844000</v>
      </c>
      <c r="D380" t="s">
        <v>69</v>
      </c>
      <c r="E380" t="s">
        <v>14</v>
      </c>
      <c r="F380" t="s">
        <v>70</v>
      </c>
      <c r="G380" t="s">
        <v>36</v>
      </c>
      <c r="H380" t="s">
        <v>37</v>
      </c>
      <c r="I380">
        <v>103.9</v>
      </c>
      <c r="J380">
        <v>108.6</v>
      </c>
      <c r="K380">
        <v>103.9</v>
      </c>
      <c r="L380">
        <v>428844000</v>
      </c>
    </row>
    <row r="381" spans="1:12" hidden="1" x14ac:dyDescent="0.25">
      <c r="A381">
        <v>2020</v>
      </c>
      <c r="B381" t="s">
        <v>12</v>
      </c>
      <c r="C381">
        <v>16573945</v>
      </c>
      <c r="D381" t="s">
        <v>69</v>
      </c>
      <c r="E381" t="s">
        <v>14</v>
      </c>
      <c r="F381" t="s">
        <v>70</v>
      </c>
      <c r="G381" t="s">
        <v>44</v>
      </c>
      <c r="H381" t="s">
        <v>45</v>
      </c>
      <c r="I381">
        <v>104.48191541983</v>
      </c>
      <c r="J381">
        <v>103.59652904204</v>
      </c>
      <c r="K381">
        <v>104.48191541983</v>
      </c>
      <c r="L381">
        <v>16573945</v>
      </c>
    </row>
    <row r="382" spans="1:12" hidden="1" x14ac:dyDescent="0.25">
      <c r="A382">
        <v>2020</v>
      </c>
      <c r="B382" t="s">
        <v>66</v>
      </c>
      <c r="C382">
        <v>275145000</v>
      </c>
      <c r="D382" t="s">
        <v>69</v>
      </c>
      <c r="E382" t="s">
        <v>14</v>
      </c>
      <c r="F382" t="s">
        <v>70</v>
      </c>
      <c r="G382" t="s">
        <v>44</v>
      </c>
      <c r="H382" t="s">
        <v>45</v>
      </c>
      <c r="I382">
        <v>111.8</v>
      </c>
      <c r="J382">
        <v>108.6</v>
      </c>
      <c r="K382">
        <v>111.8</v>
      </c>
      <c r="L382">
        <v>275145000</v>
      </c>
    </row>
    <row r="383" spans="1:12" hidden="1" x14ac:dyDescent="0.25">
      <c r="A383">
        <v>2020</v>
      </c>
      <c r="B383" t="s">
        <v>12</v>
      </c>
      <c r="C383">
        <v>17326700</v>
      </c>
      <c r="D383" t="s">
        <v>69</v>
      </c>
      <c r="E383" t="s">
        <v>14</v>
      </c>
      <c r="F383" t="s">
        <v>70</v>
      </c>
      <c r="G383" t="s">
        <v>52</v>
      </c>
      <c r="H383" t="s">
        <v>53</v>
      </c>
      <c r="I383">
        <v>113.44450268036999</v>
      </c>
      <c r="J383">
        <v>103.59652904204</v>
      </c>
      <c r="K383">
        <v>113.44450268036999</v>
      </c>
      <c r="L383">
        <v>17326700</v>
      </c>
    </row>
    <row r="384" spans="1:12" hidden="1" x14ac:dyDescent="0.25">
      <c r="A384">
        <v>2020</v>
      </c>
      <c r="B384" t="s">
        <v>66</v>
      </c>
      <c r="C384">
        <v>927673000</v>
      </c>
      <c r="D384" t="s">
        <v>69</v>
      </c>
      <c r="E384" t="s">
        <v>14</v>
      </c>
      <c r="F384" t="s">
        <v>70</v>
      </c>
      <c r="G384" t="s">
        <v>52</v>
      </c>
      <c r="H384" t="s">
        <v>53</v>
      </c>
      <c r="I384">
        <v>110.3</v>
      </c>
      <c r="J384">
        <v>108.6</v>
      </c>
      <c r="K384">
        <v>110.3</v>
      </c>
      <c r="L384">
        <v>927673000</v>
      </c>
    </row>
    <row r="385" spans="1:12" hidden="1" x14ac:dyDescent="0.25">
      <c r="A385">
        <v>2020</v>
      </c>
      <c r="B385" t="s">
        <v>12</v>
      </c>
      <c r="C385">
        <v>42710251</v>
      </c>
      <c r="D385" t="s">
        <v>69</v>
      </c>
      <c r="E385" t="s">
        <v>14</v>
      </c>
      <c r="F385" t="s">
        <v>70</v>
      </c>
      <c r="G385" t="s">
        <v>40</v>
      </c>
      <c r="H385" t="s">
        <v>41</v>
      </c>
      <c r="I385">
        <v>100.20302658438</v>
      </c>
      <c r="J385">
        <v>103.59652904204</v>
      </c>
      <c r="K385">
        <v>100.20302658438</v>
      </c>
      <c r="L385">
        <v>42710251</v>
      </c>
    </row>
    <row r="386" spans="1:12" hidden="1" x14ac:dyDescent="0.25">
      <c r="A386">
        <v>2020</v>
      </c>
      <c r="B386" t="s">
        <v>66</v>
      </c>
      <c r="C386">
        <v>563090000</v>
      </c>
      <c r="D386" t="s">
        <v>69</v>
      </c>
      <c r="E386" t="s">
        <v>14</v>
      </c>
      <c r="F386" t="s">
        <v>70</v>
      </c>
      <c r="G386" t="s">
        <v>40</v>
      </c>
      <c r="H386" t="s">
        <v>41</v>
      </c>
      <c r="I386">
        <v>105.6</v>
      </c>
      <c r="J386">
        <v>108.6</v>
      </c>
      <c r="K386">
        <v>105.6</v>
      </c>
      <c r="L386">
        <v>563090000</v>
      </c>
    </row>
    <row r="387" spans="1:12" hidden="1" x14ac:dyDescent="0.25">
      <c r="A387">
        <v>2020</v>
      </c>
      <c r="B387" t="s">
        <v>12</v>
      </c>
      <c r="C387">
        <v>40577468</v>
      </c>
      <c r="D387" t="s">
        <v>69</v>
      </c>
      <c r="E387" t="s">
        <v>14</v>
      </c>
      <c r="F387" t="s">
        <v>70</v>
      </c>
      <c r="G387" t="s">
        <v>20</v>
      </c>
      <c r="H387" t="s">
        <v>21</v>
      </c>
      <c r="I387">
        <v>123.69234493793</v>
      </c>
      <c r="J387">
        <v>103.59652904204</v>
      </c>
      <c r="K387">
        <v>123.69234493793</v>
      </c>
      <c r="L387">
        <v>40577468</v>
      </c>
    </row>
    <row r="388" spans="1:12" hidden="1" x14ac:dyDescent="0.25">
      <c r="A388">
        <v>2020</v>
      </c>
      <c r="B388" t="s">
        <v>66</v>
      </c>
      <c r="C388">
        <v>373884000</v>
      </c>
      <c r="D388" t="s">
        <v>69</v>
      </c>
      <c r="E388" t="s">
        <v>14</v>
      </c>
      <c r="F388" t="s">
        <v>70</v>
      </c>
      <c r="G388" t="s">
        <v>20</v>
      </c>
      <c r="H388" t="s">
        <v>21</v>
      </c>
      <c r="I388">
        <v>109.5</v>
      </c>
      <c r="J388">
        <v>108.6</v>
      </c>
      <c r="K388">
        <v>109.5</v>
      </c>
      <c r="L388">
        <v>373884000</v>
      </c>
    </row>
    <row r="389" spans="1:12" hidden="1" x14ac:dyDescent="0.25">
      <c r="A389">
        <v>2020</v>
      </c>
      <c r="B389" t="s">
        <v>12</v>
      </c>
      <c r="C389">
        <v>17583905</v>
      </c>
      <c r="D389" t="s">
        <v>69</v>
      </c>
      <c r="E389" t="s">
        <v>14</v>
      </c>
      <c r="F389" t="s">
        <v>70</v>
      </c>
      <c r="G389" t="s">
        <v>58</v>
      </c>
      <c r="H389" t="s">
        <v>59</v>
      </c>
      <c r="I389">
        <v>110.87139466242</v>
      </c>
      <c r="J389">
        <v>103.59652904204</v>
      </c>
      <c r="K389">
        <v>110.87139466242</v>
      </c>
      <c r="L389">
        <v>17583905</v>
      </c>
    </row>
    <row r="390" spans="1:12" hidden="1" x14ac:dyDescent="0.25">
      <c r="A390">
        <v>2020</v>
      </c>
      <c r="B390" t="s">
        <v>66</v>
      </c>
      <c r="C390">
        <v>59728000</v>
      </c>
      <c r="D390" t="s">
        <v>69</v>
      </c>
      <c r="E390" t="s">
        <v>14</v>
      </c>
      <c r="F390" t="s">
        <v>70</v>
      </c>
      <c r="G390" t="s">
        <v>58</v>
      </c>
      <c r="H390" t="s">
        <v>59</v>
      </c>
      <c r="I390">
        <v>108.5</v>
      </c>
      <c r="J390">
        <v>108.6</v>
      </c>
      <c r="K390">
        <v>108.5</v>
      </c>
      <c r="L390">
        <v>59728000</v>
      </c>
    </row>
    <row r="391" spans="1:12" hidden="1" x14ac:dyDescent="0.25">
      <c r="A391">
        <v>2020</v>
      </c>
      <c r="B391" t="s">
        <v>12</v>
      </c>
      <c r="C391">
        <v>6522588</v>
      </c>
      <c r="D391" t="s">
        <v>69</v>
      </c>
      <c r="E391" t="s">
        <v>14</v>
      </c>
      <c r="F391" t="s">
        <v>70</v>
      </c>
      <c r="G391" t="s">
        <v>22</v>
      </c>
      <c r="H391" t="s">
        <v>23</v>
      </c>
      <c r="I391">
        <v>71.728747032472995</v>
      </c>
      <c r="J391">
        <v>103.59652904204</v>
      </c>
      <c r="K391">
        <v>71.728747032472995</v>
      </c>
      <c r="L391">
        <v>6522588</v>
      </c>
    </row>
    <row r="392" spans="1:12" hidden="1" x14ac:dyDescent="0.25">
      <c r="A392">
        <v>2020</v>
      </c>
      <c r="B392" t="s">
        <v>66</v>
      </c>
      <c r="C392">
        <v>587930000</v>
      </c>
      <c r="D392" t="s">
        <v>69</v>
      </c>
      <c r="E392" t="s">
        <v>14</v>
      </c>
      <c r="F392" t="s">
        <v>70</v>
      </c>
      <c r="G392" t="s">
        <v>22</v>
      </c>
      <c r="H392" t="s">
        <v>23</v>
      </c>
      <c r="I392">
        <v>105.5</v>
      </c>
      <c r="J392">
        <v>108.6</v>
      </c>
      <c r="K392">
        <v>105.5</v>
      </c>
      <c r="L392">
        <v>587930000</v>
      </c>
    </row>
    <row r="393" spans="1:12" hidden="1" x14ac:dyDescent="0.25">
      <c r="A393">
        <v>2020</v>
      </c>
      <c r="B393" t="s">
        <v>12</v>
      </c>
      <c r="C393">
        <v>6017653</v>
      </c>
      <c r="D393" t="s">
        <v>69</v>
      </c>
      <c r="E393" t="s">
        <v>14</v>
      </c>
      <c r="F393" t="s">
        <v>70</v>
      </c>
      <c r="G393" t="s">
        <v>24</v>
      </c>
      <c r="H393" t="s">
        <v>25</v>
      </c>
      <c r="I393">
        <v>71.728747032472995</v>
      </c>
      <c r="J393">
        <v>103.59652904204</v>
      </c>
      <c r="K393">
        <v>71.728747032472995</v>
      </c>
      <c r="L393">
        <v>6017653</v>
      </c>
    </row>
    <row r="394" spans="1:12" hidden="1" x14ac:dyDescent="0.25">
      <c r="A394">
        <v>2020</v>
      </c>
      <c r="B394" t="s">
        <v>66</v>
      </c>
      <c r="C394">
        <v>263012000</v>
      </c>
      <c r="D394" t="s">
        <v>69</v>
      </c>
      <c r="E394" t="s">
        <v>14</v>
      </c>
      <c r="F394" t="s">
        <v>70</v>
      </c>
      <c r="G394" t="s">
        <v>24</v>
      </c>
      <c r="H394" t="s">
        <v>25</v>
      </c>
      <c r="I394">
        <v>110.2</v>
      </c>
      <c r="J394">
        <v>108.6</v>
      </c>
      <c r="K394">
        <v>110.2</v>
      </c>
      <c r="L394">
        <v>263012000</v>
      </c>
    </row>
    <row r="395" spans="1:12" hidden="1" x14ac:dyDescent="0.25">
      <c r="A395">
        <v>2020</v>
      </c>
      <c r="B395" t="s">
        <v>12</v>
      </c>
      <c r="C395">
        <v>45088667</v>
      </c>
      <c r="D395" t="s">
        <v>69</v>
      </c>
      <c r="E395" t="s">
        <v>14</v>
      </c>
      <c r="F395" t="s">
        <v>70</v>
      </c>
      <c r="G395" t="s">
        <v>30</v>
      </c>
      <c r="H395" t="s">
        <v>31</v>
      </c>
      <c r="I395">
        <v>65.215368011810995</v>
      </c>
      <c r="J395">
        <v>103.59652904204</v>
      </c>
      <c r="K395">
        <v>65.215368011810995</v>
      </c>
      <c r="L395">
        <v>45088667</v>
      </c>
    </row>
    <row r="396" spans="1:12" hidden="1" x14ac:dyDescent="0.25">
      <c r="A396">
        <v>2020</v>
      </c>
      <c r="B396" t="s">
        <v>66</v>
      </c>
      <c r="C396">
        <v>196574000</v>
      </c>
      <c r="D396" t="s">
        <v>69</v>
      </c>
      <c r="E396" t="s">
        <v>14</v>
      </c>
      <c r="F396" t="s">
        <v>70</v>
      </c>
      <c r="G396" t="s">
        <v>30</v>
      </c>
      <c r="H396" t="s">
        <v>31</v>
      </c>
      <c r="I396">
        <v>107.4</v>
      </c>
      <c r="J396">
        <v>108.6</v>
      </c>
      <c r="K396">
        <v>107.4</v>
      </c>
      <c r="L396">
        <v>196574000</v>
      </c>
    </row>
    <row r="397" spans="1:12" hidden="1" x14ac:dyDescent="0.25">
      <c r="A397">
        <v>2020</v>
      </c>
      <c r="B397" t="s">
        <v>12</v>
      </c>
      <c r="C397">
        <v>11640782</v>
      </c>
      <c r="D397" t="s">
        <v>69</v>
      </c>
      <c r="E397" t="s">
        <v>14</v>
      </c>
      <c r="F397" t="s">
        <v>70</v>
      </c>
      <c r="G397" t="s">
        <v>50</v>
      </c>
      <c r="H397" t="s">
        <v>51</v>
      </c>
      <c r="I397">
        <v>113.44450268036999</v>
      </c>
      <c r="J397">
        <v>103.59652904204</v>
      </c>
      <c r="K397">
        <v>113.44450268036999</v>
      </c>
      <c r="L397">
        <v>11640782</v>
      </c>
    </row>
    <row r="398" spans="1:12" hidden="1" x14ac:dyDescent="0.25">
      <c r="A398">
        <v>2020</v>
      </c>
      <c r="B398" t="s">
        <v>66</v>
      </c>
      <c r="C398">
        <v>1191671000</v>
      </c>
      <c r="D398" t="s">
        <v>69</v>
      </c>
      <c r="E398" t="s">
        <v>14</v>
      </c>
      <c r="F398" t="s">
        <v>70</v>
      </c>
      <c r="G398" t="s">
        <v>50</v>
      </c>
      <c r="H398" t="s">
        <v>51</v>
      </c>
      <c r="I398">
        <v>107.4</v>
      </c>
      <c r="J398">
        <v>108.6</v>
      </c>
      <c r="K398">
        <v>107.4</v>
      </c>
      <c r="L398">
        <v>1191671000</v>
      </c>
    </row>
    <row r="399" spans="1:12" hidden="1" x14ac:dyDescent="0.25">
      <c r="A399">
        <v>2020</v>
      </c>
      <c r="B399" t="s">
        <v>12</v>
      </c>
      <c r="C399">
        <v>2011099</v>
      </c>
      <c r="D399" t="s">
        <v>69</v>
      </c>
      <c r="E399" t="s">
        <v>14</v>
      </c>
      <c r="F399" t="s">
        <v>70</v>
      </c>
      <c r="G399" t="s">
        <v>60</v>
      </c>
      <c r="H399" t="s">
        <v>61</v>
      </c>
      <c r="J399">
        <v>103.59652904204</v>
      </c>
      <c r="K399">
        <v>103.59652904204</v>
      </c>
      <c r="L399">
        <v>2011099</v>
      </c>
    </row>
    <row r="400" spans="1:12" hidden="1" x14ac:dyDescent="0.25">
      <c r="A400">
        <v>2020</v>
      </c>
      <c r="B400" t="s">
        <v>66</v>
      </c>
      <c r="C400">
        <v>29643000</v>
      </c>
      <c r="D400" t="s">
        <v>69</v>
      </c>
      <c r="E400" t="s">
        <v>14</v>
      </c>
      <c r="F400" t="s">
        <v>70</v>
      </c>
      <c r="G400" t="s">
        <v>60</v>
      </c>
      <c r="H400" t="s">
        <v>61</v>
      </c>
      <c r="I400">
        <v>112.5</v>
      </c>
      <c r="J400">
        <v>108.6</v>
      </c>
      <c r="K400">
        <v>112.5</v>
      </c>
      <c r="L400">
        <v>29643000</v>
      </c>
    </row>
    <row r="401" spans="1:12" hidden="1" x14ac:dyDescent="0.25">
      <c r="A401">
        <v>2020</v>
      </c>
      <c r="B401" t="s">
        <v>12</v>
      </c>
      <c r="C401">
        <v>51180556</v>
      </c>
      <c r="D401" t="s">
        <v>69</v>
      </c>
      <c r="E401" t="s">
        <v>14</v>
      </c>
      <c r="F401" t="s">
        <v>70</v>
      </c>
      <c r="G401" t="s">
        <v>28</v>
      </c>
      <c r="H401" t="s">
        <v>29</v>
      </c>
      <c r="I401">
        <v>110.87139466242</v>
      </c>
      <c r="J401">
        <v>103.59652904204</v>
      </c>
      <c r="K401">
        <v>110.87139466242</v>
      </c>
      <c r="L401">
        <v>51180556</v>
      </c>
    </row>
    <row r="402" spans="1:12" hidden="1" x14ac:dyDescent="0.25">
      <c r="A402">
        <v>2020</v>
      </c>
      <c r="B402" t="s">
        <v>66</v>
      </c>
      <c r="C402">
        <v>58917000</v>
      </c>
      <c r="D402" t="s">
        <v>69</v>
      </c>
      <c r="E402" t="s">
        <v>14</v>
      </c>
      <c r="F402" t="s">
        <v>70</v>
      </c>
      <c r="G402" t="s">
        <v>28</v>
      </c>
      <c r="H402" t="s">
        <v>29</v>
      </c>
      <c r="I402">
        <v>108.1</v>
      </c>
      <c r="J402">
        <v>108.6</v>
      </c>
      <c r="K402">
        <v>108.1</v>
      </c>
      <c r="L402">
        <v>58917000</v>
      </c>
    </row>
    <row r="403" spans="1:12" hidden="1" x14ac:dyDescent="0.25">
      <c r="A403">
        <v>2020</v>
      </c>
      <c r="B403" t="s">
        <v>12</v>
      </c>
      <c r="C403">
        <v>8279001</v>
      </c>
      <c r="D403" t="s">
        <v>69</v>
      </c>
      <c r="E403" t="s">
        <v>14</v>
      </c>
      <c r="F403" t="s">
        <v>70</v>
      </c>
      <c r="G403" t="s">
        <v>32</v>
      </c>
      <c r="H403" t="s">
        <v>33</v>
      </c>
      <c r="I403">
        <v>65.215368011810995</v>
      </c>
      <c r="J403">
        <v>103.59652904204</v>
      </c>
      <c r="K403">
        <v>65.215368011810995</v>
      </c>
      <c r="L403">
        <v>8279001</v>
      </c>
    </row>
    <row r="404" spans="1:12" hidden="1" x14ac:dyDescent="0.25">
      <c r="A404">
        <v>2020</v>
      </c>
      <c r="B404" t="s">
        <v>66</v>
      </c>
      <c r="C404">
        <v>30968000</v>
      </c>
      <c r="D404" t="s">
        <v>69</v>
      </c>
      <c r="E404" t="s">
        <v>14</v>
      </c>
      <c r="F404" t="s">
        <v>70</v>
      </c>
      <c r="G404" t="s">
        <v>32</v>
      </c>
      <c r="H404" t="s">
        <v>33</v>
      </c>
      <c r="I404">
        <v>109.7</v>
      </c>
      <c r="J404">
        <v>108.6</v>
      </c>
      <c r="K404">
        <v>109.7</v>
      </c>
      <c r="L404">
        <v>30968000</v>
      </c>
    </row>
    <row r="405" spans="1:12" hidden="1" x14ac:dyDescent="0.25">
      <c r="A405">
        <v>2020</v>
      </c>
      <c r="B405" t="s">
        <v>12</v>
      </c>
      <c r="C405">
        <v>1719113</v>
      </c>
      <c r="D405" t="s">
        <v>69</v>
      </c>
      <c r="E405" t="s">
        <v>14</v>
      </c>
      <c r="F405" t="s">
        <v>70</v>
      </c>
      <c r="G405" t="s">
        <v>56</v>
      </c>
      <c r="H405" t="s">
        <v>57</v>
      </c>
      <c r="I405">
        <v>113.44450268036999</v>
      </c>
      <c r="J405">
        <v>103.59652904204</v>
      </c>
      <c r="K405">
        <v>113.44450268036999</v>
      </c>
      <c r="L405">
        <v>1719113</v>
      </c>
    </row>
    <row r="406" spans="1:12" hidden="1" x14ac:dyDescent="0.25">
      <c r="A406">
        <v>2020</v>
      </c>
      <c r="B406" t="s">
        <v>66</v>
      </c>
      <c r="C406">
        <v>53613000</v>
      </c>
      <c r="D406" t="s">
        <v>69</v>
      </c>
      <c r="E406" t="s">
        <v>14</v>
      </c>
      <c r="F406" t="s">
        <v>70</v>
      </c>
      <c r="G406" t="s">
        <v>56</v>
      </c>
      <c r="H406" t="s">
        <v>57</v>
      </c>
      <c r="I406">
        <v>111.5</v>
      </c>
      <c r="J406">
        <v>108.6</v>
      </c>
      <c r="K406">
        <v>111.5</v>
      </c>
      <c r="L406">
        <v>53613000</v>
      </c>
    </row>
    <row r="407" spans="1:12" hidden="1" x14ac:dyDescent="0.25">
      <c r="A407">
        <v>2020</v>
      </c>
      <c r="B407" t="s">
        <v>12</v>
      </c>
      <c r="C407">
        <v>1840763</v>
      </c>
      <c r="D407" t="s">
        <v>69</v>
      </c>
      <c r="E407" t="s">
        <v>14</v>
      </c>
      <c r="F407" t="s">
        <v>70</v>
      </c>
      <c r="G407" t="s">
        <v>26</v>
      </c>
      <c r="H407" t="s">
        <v>27</v>
      </c>
      <c r="I407">
        <v>71.728747032472995</v>
      </c>
      <c r="J407">
        <v>103.59652904204</v>
      </c>
      <c r="K407">
        <v>71.728747032472995</v>
      </c>
      <c r="L407">
        <v>1840763</v>
      </c>
    </row>
    <row r="408" spans="1:12" hidden="1" x14ac:dyDescent="0.25">
      <c r="A408">
        <v>2020</v>
      </c>
      <c r="B408" t="s">
        <v>66</v>
      </c>
      <c r="C408">
        <v>113294000</v>
      </c>
      <c r="D408" t="s">
        <v>69</v>
      </c>
      <c r="E408" t="s">
        <v>14</v>
      </c>
      <c r="F408" t="s">
        <v>70</v>
      </c>
      <c r="G408" t="s">
        <v>26</v>
      </c>
      <c r="H408" t="s">
        <v>27</v>
      </c>
      <c r="I408">
        <v>105.1</v>
      </c>
      <c r="J408">
        <v>108.6</v>
      </c>
      <c r="K408">
        <v>105.1</v>
      </c>
      <c r="L408">
        <v>113294000</v>
      </c>
    </row>
    <row r="409" spans="1:12" hidden="1" x14ac:dyDescent="0.25">
      <c r="A409">
        <v>2020</v>
      </c>
      <c r="B409" t="s">
        <v>12</v>
      </c>
      <c r="C409">
        <v>23038067</v>
      </c>
      <c r="D409" t="s">
        <v>69</v>
      </c>
      <c r="E409" t="s">
        <v>14</v>
      </c>
      <c r="F409" t="s">
        <v>70</v>
      </c>
      <c r="G409" t="s">
        <v>38</v>
      </c>
      <c r="H409" t="s">
        <v>39</v>
      </c>
      <c r="I409">
        <v>100.20302658438</v>
      </c>
      <c r="J409">
        <v>103.59652904204</v>
      </c>
      <c r="K409">
        <v>100.20302658438</v>
      </c>
      <c r="L409">
        <v>23038067</v>
      </c>
    </row>
    <row r="410" spans="1:12" hidden="1" x14ac:dyDescent="0.25">
      <c r="A410">
        <v>2020</v>
      </c>
      <c r="B410" t="s">
        <v>66</v>
      </c>
      <c r="C410">
        <v>184820000</v>
      </c>
      <c r="D410" t="s">
        <v>69</v>
      </c>
      <c r="E410" t="s">
        <v>14</v>
      </c>
      <c r="F410" t="s">
        <v>70</v>
      </c>
      <c r="G410" t="s">
        <v>38</v>
      </c>
      <c r="H410" t="s">
        <v>39</v>
      </c>
      <c r="I410">
        <v>103.9</v>
      </c>
      <c r="J410">
        <v>108.6</v>
      </c>
      <c r="K410">
        <v>103.9</v>
      </c>
      <c r="L410">
        <v>184820000</v>
      </c>
    </row>
    <row r="411" spans="1:12" hidden="1" x14ac:dyDescent="0.25">
      <c r="A411">
        <v>2020</v>
      </c>
      <c r="B411" t="s">
        <v>12</v>
      </c>
      <c r="C411">
        <v>386240</v>
      </c>
      <c r="D411" t="s">
        <v>69</v>
      </c>
      <c r="E411" t="s">
        <v>14</v>
      </c>
      <c r="F411" t="s">
        <v>70</v>
      </c>
      <c r="G411" t="s">
        <v>48</v>
      </c>
      <c r="H411" t="s">
        <v>49</v>
      </c>
      <c r="I411">
        <v>113.44450268036999</v>
      </c>
      <c r="J411">
        <v>103.59652904204</v>
      </c>
      <c r="K411">
        <v>113.44450268036999</v>
      </c>
      <c r="L411">
        <v>386240</v>
      </c>
    </row>
    <row r="412" spans="1:12" hidden="1" x14ac:dyDescent="0.25">
      <c r="A412">
        <v>2020</v>
      </c>
      <c r="B412" t="s">
        <v>66</v>
      </c>
      <c r="C412">
        <v>798527000</v>
      </c>
      <c r="D412" t="s">
        <v>69</v>
      </c>
      <c r="E412" t="s">
        <v>14</v>
      </c>
      <c r="F412" t="s">
        <v>70</v>
      </c>
      <c r="G412" t="s">
        <v>48</v>
      </c>
      <c r="H412" t="s">
        <v>49</v>
      </c>
      <c r="I412">
        <v>109.4</v>
      </c>
      <c r="J412">
        <v>108.6</v>
      </c>
      <c r="K412">
        <v>109.4</v>
      </c>
      <c r="L412">
        <v>798527000</v>
      </c>
    </row>
    <row r="413" spans="1:12" hidden="1" x14ac:dyDescent="0.25">
      <c r="A413">
        <v>2020</v>
      </c>
      <c r="B413" t="s">
        <v>12</v>
      </c>
      <c r="C413">
        <v>1588204</v>
      </c>
      <c r="D413" t="s">
        <v>69</v>
      </c>
      <c r="E413" t="s">
        <v>14</v>
      </c>
      <c r="F413" t="s">
        <v>70</v>
      </c>
      <c r="G413" t="s">
        <v>54</v>
      </c>
      <c r="H413" t="s">
        <v>55</v>
      </c>
      <c r="I413">
        <v>113.44450268036999</v>
      </c>
      <c r="J413">
        <v>103.59652904204</v>
      </c>
      <c r="K413">
        <v>113.44450268036999</v>
      </c>
      <c r="L413">
        <v>1588204</v>
      </c>
    </row>
    <row r="414" spans="1:12" hidden="1" x14ac:dyDescent="0.25">
      <c r="A414">
        <v>2020</v>
      </c>
      <c r="B414" t="s">
        <v>66</v>
      </c>
      <c r="C414">
        <v>212619000</v>
      </c>
      <c r="D414" t="s">
        <v>69</v>
      </c>
      <c r="E414" t="s">
        <v>14</v>
      </c>
      <c r="F414" t="s">
        <v>70</v>
      </c>
      <c r="G414" t="s">
        <v>54</v>
      </c>
      <c r="H414" t="s">
        <v>55</v>
      </c>
      <c r="I414">
        <v>111.5</v>
      </c>
      <c r="J414">
        <v>108.6</v>
      </c>
      <c r="K414">
        <v>111.5</v>
      </c>
      <c r="L414">
        <v>212619000</v>
      </c>
    </row>
    <row r="415" spans="1:12" hidden="1" x14ac:dyDescent="0.25">
      <c r="A415">
        <v>2020</v>
      </c>
      <c r="B415" t="s">
        <v>66</v>
      </c>
      <c r="C415">
        <v>59921000</v>
      </c>
      <c r="D415" t="s">
        <v>69</v>
      </c>
      <c r="E415" t="s">
        <v>14</v>
      </c>
      <c r="F415" t="s">
        <v>70</v>
      </c>
      <c r="G415" t="s">
        <v>34</v>
      </c>
      <c r="H415" t="s">
        <v>35</v>
      </c>
      <c r="I415">
        <v>100.6</v>
      </c>
      <c r="J415">
        <v>108.6</v>
      </c>
      <c r="K415">
        <v>100.6</v>
      </c>
      <c r="L415">
        <v>59921000</v>
      </c>
    </row>
    <row r="416" spans="1:12" hidden="1" x14ac:dyDescent="0.25">
      <c r="A416">
        <v>2020</v>
      </c>
      <c r="B416" t="s">
        <v>66</v>
      </c>
      <c r="C416">
        <v>5522000</v>
      </c>
      <c r="D416" t="s">
        <v>69</v>
      </c>
      <c r="E416" t="s">
        <v>14</v>
      </c>
      <c r="F416" t="s">
        <v>70</v>
      </c>
      <c r="G416" t="s">
        <v>67</v>
      </c>
      <c r="H416" t="s">
        <v>68</v>
      </c>
      <c r="I416">
        <v>109.5</v>
      </c>
      <c r="J416">
        <v>108.6</v>
      </c>
      <c r="K416">
        <v>109.5</v>
      </c>
      <c r="L416">
        <v>5522000</v>
      </c>
    </row>
    <row r="417" spans="1:12" hidden="1" x14ac:dyDescent="0.25">
      <c r="A417">
        <v>2020</v>
      </c>
      <c r="B417" t="s">
        <v>12</v>
      </c>
      <c r="C417">
        <v>29344097</v>
      </c>
      <c r="D417" t="s">
        <v>69</v>
      </c>
      <c r="E417" t="s">
        <v>14</v>
      </c>
      <c r="F417" t="s">
        <v>70</v>
      </c>
      <c r="G417" t="s">
        <v>16</v>
      </c>
      <c r="H417" t="s">
        <v>17</v>
      </c>
      <c r="J417">
        <v>103.59652904204</v>
      </c>
      <c r="K417">
        <v>103.59652904204</v>
      </c>
      <c r="L417">
        <v>29344097</v>
      </c>
    </row>
    <row r="418" spans="1:12" hidden="1" x14ac:dyDescent="0.25">
      <c r="A418">
        <v>2019</v>
      </c>
      <c r="B418" t="s">
        <v>12</v>
      </c>
      <c r="C418">
        <v>323394091</v>
      </c>
      <c r="D418" t="s">
        <v>69</v>
      </c>
      <c r="E418" t="s">
        <v>14</v>
      </c>
      <c r="F418" t="s">
        <v>70</v>
      </c>
      <c r="G418" t="s">
        <v>18</v>
      </c>
      <c r="H418" t="s">
        <v>19</v>
      </c>
      <c r="I418">
        <v>101.52099705321</v>
      </c>
      <c r="J418">
        <v>98.151526954033002</v>
      </c>
      <c r="K418">
        <v>101.52099705321</v>
      </c>
      <c r="L418">
        <v>323394091</v>
      </c>
    </row>
    <row r="419" spans="1:12" hidden="1" x14ac:dyDescent="0.25">
      <c r="A419">
        <v>2019</v>
      </c>
      <c r="B419" t="s">
        <v>66</v>
      </c>
      <c r="C419">
        <v>2171751000</v>
      </c>
      <c r="D419" t="s">
        <v>69</v>
      </c>
      <c r="E419" t="s">
        <v>14</v>
      </c>
      <c r="F419" t="s">
        <v>70</v>
      </c>
      <c r="G419" t="s">
        <v>18</v>
      </c>
      <c r="H419" t="s">
        <v>19</v>
      </c>
      <c r="I419">
        <v>102.3</v>
      </c>
      <c r="J419">
        <v>102.4</v>
      </c>
      <c r="K419">
        <v>102.3</v>
      </c>
      <c r="L419">
        <v>2171751000</v>
      </c>
    </row>
    <row r="420" spans="1:12" hidden="1" x14ac:dyDescent="0.25">
      <c r="A420">
        <v>2019</v>
      </c>
      <c r="B420" t="s">
        <v>12</v>
      </c>
      <c r="C420">
        <v>9511259</v>
      </c>
      <c r="D420" t="s">
        <v>69</v>
      </c>
      <c r="E420" t="s">
        <v>14</v>
      </c>
      <c r="F420" t="s">
        <v>70</v>
      </c>
      <c r="G420" t="s">
        <v>24</v>
      </c>
      <c r="H420" t="s">
        <v>25</v>
      </c>
      <c r="I420">
        <v>84.562992854463005</v>
      </c>
      <c r="J420">
        <v>98.151526954033002</v>
      </c>
      <c r="K420">
        <v>84.562992854463005</v>
      </c>
      <c r="L420">
        <v>9511259</v>
      </c>
    </row>
    <row r="421" spans="1:12" hidden="1" x14ac:dyDescent="0.25">
      <c r="A421">
        <v>2019</v>
      </c>
      <c r="B421" t="s">
        <v>66</v>
      </c>
      <c r="C421">
        <v>348384000</v>
      </c>
      <c r="D421" t="s">
        <v>69</v>
      </c>
      <c r="E421" t="s">
        <v>14</v>
      </c>
      <c r="F421" t="s">
        <v>70</v>
      </c>
      <c r="G421" t="s">
        <v>24</v>
      </c>
      <c r="H421" t="s">
        <v>25</v>
      </c>
      <c r="I421">
        <v>105.3</v>
      </c>
      <c r="J421">
        <v>102.4</v>
      </c>
      <c r="K421">
        <v>105.3</v>
      </c>
      <c r="L421">
        <v>348384000</v>
      </c>
    </row>
    <row r="422" spans="1:12" hidden="1" x14ac:dyDescent="0.25">
      <c r="A422">
        <v>2019</v>
      </c>
      <c r="B422" t="s">
        <v>12</v>
      </c>
      <c r="C422">
        <v>44399108</v>
      </c>
      <c r="D422" t="s">
        <v>69</v>
      </c>
      <c r="E422" t="s">
        <v>14</v>
      </c>
      <c r="F422" t="s">
        <v>70</v>
      </c>
      <c r="G422" t="s">
        <v>40</v>
      </c>
      <c r="H422" t="s">
        <v>41</v>
      </c>
      <c r="I422">
        <v>94.527911873682996</v>
      </c>
      <c r="J422">
        <v>98.151526954033002</v>
      </c>
      <c r="K422">
        <v>94.527911873682996</v>
      </c>
      <c r="L422">
        <v>44399108</v>
      </c>
    </row>
    <row r="423" spans="1:12" hidden="1" x14ac:dyDescent="0.25">
      <c r="A423">
        <v>2019</v>
      </c>
      <c r="B423" t="s">
        <v>66</v>
      </c>
      <c r="C423">
        <v>606235000</v>
      </c>
      <c r="D423" t="s">
        <v>69</v>
      </c>
      <c r="E423" t="s">
        <v>14</v>
      </c>
      <c r="F423" t="s">
        <v>70</v>
      </c>
      <c r="G423" t="s">
        <v>40</v>
      </c>
      <c r="H423" t="s">
        <v>41</v>
      </c>
      <c r="I423">
        <v>103.4</v>
      </c>
      <c r="J423">
        <v>102.4</v>
      </c>
      <c r="K423">
        <v>103.4</v>
      </c>
      <c r="L423">
        <v>606235000</v>
      </c>
    </row>
    <row r="424" spans="1:12" hidden="1" x14ac:dyDescent="0.25">
      <c r="A424">
        <v>2019</v>
      </c>
      <c r="B424" t="s">
        <v>12</v>
      </c>
      <c r="C424">
        <v>39787815</v>
      </c>
      <c r="D424" t="s">
        <v>69</v>
      </c>
      <c r="E424" t="s">
        <v>14</v>
      </c>
      <c r="F424" t="s">
        <v>70</v>
      </c>
      <c r="G424" t="s">
        <v>42</v>
      </c>
      <c r="H424" t="s">
        <v>43</v>
      </c>
      <c r="I424">
        <v>96.894683830418003</v>
      </c>
      <c r="J424">
        <v>98.151526954033002</v>
      </c>
      <c r="K424">
        <v>96.894683830418003</v>
      </c>
      <c r="L424">
        <v>39787815</v>
      </c>
    </row>
    <row r="425" spans="1:12" hidden="1" x14ac:dyDescent="0.25">
      <c r="A425">
        <v>2019</v>
      </c>
      <c r="B425" t="s">
        <v>66</v>
      </c>
      <c r="C425">
        <v>428326000</v>
      </c>
      <c r="D425" t="s">
        <v>69</v>
      </c>
      <c r="E425" t="s">
        <v>14</v>
      </c>
      <c r="F425" t="s">
        <v>70</v>
      </c>
      <c r="G425" t="s">
        <v>42</v>
      </c>
      <c r="H425" t="s">
        <v>43</v>
      </c>
      <c r="I425">
        <v>104.4</v>
      </c>
      <c r="J425">
        <v>102.4</v>
      </c>
      <c r="K425">
        <v>104.4</v>
      </c>
      <c r="L425">
        <v>428326000</v>
      </c>
    </row>
    <row r="426" spans="1:12" hidden="1" x14ac:dyDescent="0.25">
      <c r="A426">
        <v>2019</v>
      </c>
      <c r="B426" t="s">
        <v>12</v>
      </c>
      <c r="C426">
        <v>49346305</v>
      </c>
      <c r="D426" t="s">
        <v>69</v>
      </c>
      <c r="E426" t="s">
        <v>14</v>
      </c>
      <c r="F426" t="s">
        <v>70</v>
      </c>
      <c r="G426" t="s">
        <v>46</v>
      </c>
      <c r="H426" t="s">
        <v>47</v>
      </c>
      <c r="I426">
        <v>106.59709315790001</v>
      </c>
      <c r="J426">
        <v>98.151526954033002</v>
      </c>
      <c r="K426">
        <v>106.59709315790001</v>
      </c>
      <c r="L426">
        <v>49346305</v>
      </c>
    </row>
    <row r="427" spans="1:12" hidden="1" x14ac:dyDescent="0.25">
      <c r="A427">
        <v>2019</v>
      </c>
      <c r="B427" t="s">
        <v>66</v>
      </c>
      <c r="C427">
        <v>735504000</v>
      </c>
      <c r="D427" t="s">
        <v>69</v>
      </c>
      <c r="E427" t="s">
        <v>14</v>
      </c>
      <c r="F427" t="s">
        <v>70</v>
      </c>
      <c r="G427" t="s">
        <v>46</v>
      </c>
      <c r="H427" t="s">
        <v>47</v>
      </c>
      <c r="I427">
        <v>104.2</v>
      </c>
      <c r="J427">
        <v>102.4</v>
      </c>
      <c r="K427">
        <v>104.2</v>
      </c>
      <c r="L427">
        <v>735504000</v>
      </c>
    </row>
    <row r="428" spans="1:12" hidden="1" x14ac:dyDescent="0.25">
      <c r="A428">
        <v>2019</v>
      </c>
      <c r="B428" t="s">
        <v>12</v>
      </c>
      <c r="C428">
        <v>42530733</v>
      </c>
      <c r="D428" t="s">
        <v>69</v>
      </c>
      <c r="E428" t="s">
        <v>14</v>
      </c>
      <c r="F428" t="s">
        <v>70</v>
      </c>
      <c r="G428" t="s">
        <v>62</v>
      </c>
      <c r="H428" t="s">
        <v>63</v>
      </c>
      <c r="I428">
        <v>106.59709315790001</v>
      </c>
      <c r="J428">
        <v>98.151526954033002</v>
      </c>
      <c r="K428">
        <v>106.59709315790001</v>
      </c>
      <c r="L428">
        <v>42530733</v>
      </c>
    </row>
    <row r="429" spans="1:12" hidden="1" x14ac:dyDescent="0.25">
      <c r="A429">
        <v>2019</v>
      </c>
      <c r="B429" t="s">
        <v>12</v>
      </c>
      <c r="C429">
        <v>48238728</v>
      </c>
      <c r="D429" t="s">
        <v>69</v>
      </c>
      <c r="E429" t="s">
        <v>14</v>
      </c>
      <c r="F429" t="s">
        <v>70</v>
      </c>
      <c r="G429" t="s">
        <v>36</v>
      </c>
      <c r="H429" t="s">
        <v>37</v>
      </c>
      <c r="I429">
        <v>94.527911873682996</v>
      </c>
      <c r="J429">
        <v>98.151526954033002</v>
      </c>
      <c r="K429">
        <v>94.527911873682996</v>
      </c>
      <c r="L429">
        <v>48238728</v>
      </c>
    </row>
    <row r="430" spans="1:12" hidden="1" x14ac:dyDescent="0.25">
      <c r="A430">
        <v>2019</v>
      </c>
      <c r="B430" t="s">
        <v>66</v>
      </c>
      <c r="C430">
        <v>436515000</v>
      </c>
      <c r="D430" t="s">
        <v>69</v>
      </c>
      <c r="E430" t="s">
        <v>14</v>
      </c>
      <c r="F430" t="s">
        <v>70</v>
      </c>
      <c r="G430" t="s">
        <v>36</v>
      </c>
      <c r="H430" t="s">
        <v>37</v>
      </c>
      <c r="I430">
        <v>101.6</v>
      </c>
      <c r="J430">
        <v>102.4</v>
      </c>
      <c r="K430">
        <v>101.6</v>
      </c>
      <c r="L430">
        <v>436515000</v>
      </c>
    </row>
    <row r="431" spans="1:12" hidden="1" x14ac:dyDescent="0.25">
      <c r="A431">
        <v>2019</v>
      </c>
      <c r="B431" t="s">
        <v>12</v>
      </c>
      <c r="C431">
        <v>14956365</v>
      </c>
      <c r="D431" t="s">
        <v>69</v>
      </c>
      <c r="E431" t="s">
        <v>14</v>
      </c>
      <c r="F431" t="s">
        <v>70</v>
      </c>
      <c r="G431" t="s">
        <v>44</v>
      </c>
      <c r="H431" t="s">
        <v>45</v>
      </c>
      <c r="I431">
        <v>96.894683830418003</v>
      </c>
      <c r="J431">
        <v>98.151526954033002</v>
      </c>
      <c r="K431">
        <v>96.894683830418003</v>
      </c>
      <c r="L431">
        <v>14956365</v>
      </c>
    </row>
    <row r="432" spans="1:12" hidden="1" x14ac:dyDescent="0.25">
      <c r="A432">
        <v>2019</v>
      </c>
      <c r="B432" t="s">
        <v>66</v>
      </c>
      <c r="C432">
        <v>293900000</v>
      </c>
      <c r="D432" t="s">
        <v>69</v>
      </c>
      <c r="E432" t="s">
        <v>14</v>
      </c>
      <c r="F432" t="s">
        <v>70</v>
      </c>
      <c r="G432" t="s">
        <v>44</v>
      </c>
      <c r="H432" t="s">
        <v>45</v>
      </c>
      <c r="I432">
        <v>99</v>
      </c>
      <c r="J432">
        <v>102.4</v>
      </c>
      <c r="K432">
        <v>99</v>
      </c>
      <c r="L432">
        <v>293900000</v>
      </c>
    </row>
    <row r="433" spans="1:12" hidden="1" x14ac:dyDescent="0.25">
      <c r="A433">
        <v>2019</v>
      </c>
      <c r="B433" t="s">
        <v>12</v>
      </c>
      <c r="C433">
        <v>18957745</v>
      </c>
      <c r="D433" t="s">
        <v>69</v>
      </c>
      <c r="E433" t="s">
        <v>14</v>
      </c>
      <c r="F433" t="s">
        <v>70</v>
      </c>
      <c r="G433" t="s">
        <v>52</v>
      </c>
      <c r="H433" t="s">
        <v>53</v>
      </c>
      <c r="I433">
        <v>106.59709315790001</v>
      </c>
      <c r="J433">
        <v>98.151526954033002</v>
      </c>
      <c r="K433">
        <v>106.59709315790001</v>
      </c>
      <c r="L433">
        <v>18957745</v>
      </c>
    </row>
    <row r="434" spans="1:12" hidden="1" x14ac:dyDescent="0.25">
      <c r="A434">
        <v>2019</v>
      </c>
      <c r="B434" t="s">
        <v>66</v>
      </c>
      <c r="C434">
        <v>1034377000</v>
      </c>
      <c r="D434" t="s">
        <v>69</v>
      </c>
      <c r="E434" t="s">
        <v>14</v>
      </c>
      <c r="F434" t="s">
        <v>70</v>
      </c>
      <c r="G434" t="s">
        <v>52</v>
      </c>
      <c r="H434" t="s">
        <v>53</v>
      </c>
      <c r="I434">
        <v>102.7</v>
      </c>
      <c r="J434">
        <v>102.4</v>
      </c>
      <c r="K434">
        <v>102.7</v>
      </c>
      <c r="L434">
        <v>1034377000</v>
      </c>
    </row>
    <row r="435" spans="1:12" hidden="1" x14ac:dyDescent="0.25">
      <c r="A435">
        <v>2019</v>
      </c>
      <c r="B435" t="s">
        <v>12</v>
      </c>
      <c r="C435">
        <v>40205704</v>
      </c>
      <c r="D435" t="s">
        <v>69</v>
      </c>
      <c r="E435" t="s">
        <v>14</v>
      </c>
      <c r="F435" t="s">
        <v>70</v>
      </c>
      <c r="G435" t="s">
        <v>20</v>
      </c>
      <c r="H435" t="s">
        <v>21</v>
      </c>
      <c r="I435">
        <v>111.60809989866</v>
      </c>
      <c r="J435">
        <v>98.151526954033002</v>
      </c>
      <c r="K435">
        <v>111.60809989866</v>
      </c>
      <c r="L435">
        <v>40205704</v>
      </c>
    </row>
    <row r="436" spans="1:12" hidden="1" x14ac:dyDescent="0.25">
      <c r="A436">
        <v>2019</v>
      </c>
      <c r="B436" t="s">
        <v>66</v>
      </c>
      <c r="C436">
        <v>369621000</v>
      </c>
      <c r="D436" t="s">
        <v>69</v>
      </c>
      <c r="E436" t="s">
        <v>14</v>
      </c>
      <c r="F436" t="s">
        <v>70</v>
      </c>
      <c r="G436" t="s">
        <v>20</v>
      </c>
      <c r="H436" t="s">
        <v>21</v>
      </c>
      <c r="I436">
        <v>104.9</v>
      </c>
      <c r="J436">
        <v>102.4</v>
      </c>
      <c r="K436">
        <v>104.9</v>
      </c>
      <c r="L436">
        <v>369621000</v>
      </c>
    </row>
    <row r="437" spans="1:12" hidden="1" x14ac:dyDescent="0.25">
      <c r="A437">
        <v>2019</v>
      </c>
      <c r="B437" t="s">
        <v>12</v>
      </c>
      <c r="C437">
        <v>19795470</v>
      </c>
      <c r="D437" t="s">
        <v>69</v>
      </c>
      <c r="E437" t="s">
        <v>14</v>
      </c>
      <c r="F437" t="s">
        <v>70</v>
      </c>
      <c r="G437" t="s">
        <v>58</v>
      </c>
      <c r="H437" t="s">
        <v>59</v>
      </c>
      <c r="I437">
        <v>97.634045562563003</v>
      </c>
      <c r="J437">
        <v>98.151526954033002</v>
      </c>
      <c r="K437">
        <v>97.634045562563003</v>
      </c>
      <c r="L437">
        <v>19795470</v>
      </c>
    </row>
    <row r="438" spans="1:12" hidden="1" x14ac:dyDescent="0.25">
      <c r="A438">
        <v>2019</v>
      </c>
      <c r="B438" t="s">
        <v>66</v>
      </c>
      <c r="C438">
        <v>63980000</v>
      </c>
      <c r="D438" t="s">
        <v>69</v>
      </c>
      <c r="E438" t="s">
        <v>14</v>
      </c>
      <c r="F438" t="s">
        <v>70</v>
      </c>
      <c r="G438" t="s">
        <v>58</v>
      </c>
      <c r="H438" t="s">
        <v>59</v>
      </c>
      <c r="I438">
        <v>104.2</v>
      </c>
      <c r="J438">
        <v>102.4</v>
      </c>
      <c r="K438">
        <v>104.2</v>
      </c>
      <c r="L438">
        <v>63980000</v>
      </c>
    </row>
    <row r="439" spans="1:12" hidden="1" x14ac:dyDescent="0.25">
      <c r="A439">
        <v>2019</v>
      </c>
      <c r="B439" t="s">
        <v>12</v>
      </c>
      <c r="C439">
        <v>7905251</v>
      </c>
      <c r="D439" t="s">
        <v>69</v>
      </c>
      <c r="E439" t="s">
        <v>14</v>
      </c>
      <c r="F439" t="s">
        <v>70</v>
      </c>
      <c r="G439" t="s">
        <v>22</v>
      </c>
      <c r="H439" t="s">
        <v>23</v>
      </c>
      <c r="I439">
        <v>84.562992854463005</v>
      </c>
      <c r="J439">
        <v>98.151526954033002</v>
      </c>
      <c r="K439">
        <v>84.562992854463005</v>
      </c>
      <c r="L439">
        <v>7905251</v>
      </c>
    </row>
    <row r="440" spans="1:12" hidden="1" x14ac:dyDescent="0.25">
      <c r="A440">
        <v>2019</v>
      </c>
      <c r="B440" t="s">
        <v>66</v>
      </c>
      <c r="C440">
        <v>678635000</v>
      </c>
      <c r="D440" t="s">
        <v>69</v>
      </c>
      <c r="E440" t="s">
        <v>14</v>
      </c>
      <c r="F440" t="s">
        <v>70</v>
      </c>
      <c r="G440" t="s">
        <v>22</v>
      </c>
      <c r="H440" t="s">
        <v>23</v>
      </c>
      <c r="I440">
        <v>102.4</v>
      </c>
      <c r="J440">
        <v>102.4</v>
      </c>
      <c r="K440">
        <v>102.4</v>
      </c>
      <c r="L440">
        <v>678635000</v>
      </c>
    </row>
    <row r="441" spans="1:12" hidden="1" x14ac:dyDescent="0.25">
      <c r="A441">
        <v>2019</v>
      </c>
      <c r="B441" t="s">
        <v>12</v>
      </c>
      <c r="C441">
        <v>53748548</v>
      </c>
      <c r="D441" t="s">
        <v>69</v>
      </c>
      <c r="E441" t="s">
        <v>14</v>
      </c>
      <c r="F441" t="s">
        <v>70</v>
      </c>
      <c r="G441" t="s">
        <v>28</v>
      </c>
      <c r="H441" t="s">
        <v>29</v>
      </c>
      <c r="I441">
        <v>97.634045562563003</v>
      </c>
      <c r="J441">
        <v>98.151526954033002</v>
      </c>
      <c r="K441">
        <v>97.634045562563003</v>
      </c>
      <c r="L441">
        <v>53748548</v>
      </c>
    </row>
    <row r="442" spans="1:12" hidden="1" x14ac:dyDescent="0.25">
      <c r="A442">
        <v>2019</v>
      </c>
      <c r="B442" t="s">
        <v>66</v>
      </c>
      <c r="C442">
        <v>69731000</v>
      </c>
      <c r="D442" t="s">
        <v>69</v>
      </c>
      <c r="E442" t="s">
        <v>14</v>
      </c>
      <c r="F442" t="s">
        <v>70</v>
      </c>
      <c r="G442" t="s">
        <v>28</v>
      </c>
      <c r="H442" t="s">
        <v>29</v>
      </c>
      <c r="I442">
        <v>105.5</v>
      </c>
      <c r="J442">
        <v>102.4</v>
      </c>
      <c r="K442">
        <v>105.5</v>
      </c>
      <c r="L442">
        <v>69731000</v>
      </c>
    </row>
    <row r="443" spans="1:12" hidden="1" x14ac:dyDescent="0.25">
      <c r="A443">
        <v>2019</v>
      </c>
      <c r="B443" t="s">
        <v>12</v>
      </c>
      <c r="C443">
        <v>55432947</v>
      </c>
      <c r="D443" t="s">
        <v>69</v>
      </c>
      <c r="E443" t="s">
        <v>14</v>
      </c>
      <c r="F443" t="s">
        <v>70</v>
      </c>
      <c r="G443" t="s">
        <v>30</v>
      </c>
      <c r="H443" t="s">
        <v>31</v>
      </c>
      <c r="I443">
        <v>72.666250473058</v>
      </c>
      <c r="J443">
        <v>98.151526954033002</v>
      </c>
      <c r="K443">
        <v>72.666250473058</v>
      </c>
      <c r="L443">
        <v>55432947</v>
      </c>
    </row>
    <row r="444" spans="1:12" hidden="1" x14ac:dyDescent="0.25">
      <c r="A444">
        <v>2019</v>
      </c>
      <c r="B444" t="s">
        <v>66</v>
      </c>
      <c r="C444">
        <v>204237000</v>
      </c>
      <c r="D444" t="s">
        <v>69</v>
      </c>
      <c r="E444" t="s">
        <v>14</v>
      </c>
      <c r="F444" t="s">
        <v>70</v>
      </c>
      <c r="G444" t="s">
        <v>30</v>
      </c>
      <c r="H444" t="s">
        <v>31</v>
      </c>
      <c r="I444">
        <v>104.5</v>
      </c>
      <c r="J444">
        <v>102.4</v>
      </c>
      <c r="K444">
        <v>104.5</v>
      </c>
      <c r="L444">
        <v>204237000</v>
      </c>
    </row>
    <row r="445" spans="1:12" hidden="1" x14ac:dyDescent="0.25">
      <c r="A445">
        <v>2019</v>
      </c>
      <c r="B445" t="s">
        <v>12</v>
      </c>
      <c r="C445">
        <v>13551030</v>
      </c>
      <c r="D445" t="s">
        <v>69</v>
      </c>
      <c r="E445" t="s">
        <v>14</v>
      </c>
      <c r="F445" t="s">
        <v>70</v>
      </c>
      <c r="G445" t="s">
        <v>32</v>
      </c>
      <c r="H445" t="s">
        <v>33</v>
      </c>
      <c r="I445">
        <v>72.666250473058</v>
      </c>
      <c r="J445">
        <v>98.151526954033002</v>
      </c>
      <c r="K445">
        <v>72.666250473058</v>
      </c>
      <c r="L445">
        <v>13551030</v>
      </c>
    </row>
    <row r="446" spans="1:12" hidden="1" x14ac:dyDescent="0.25">
      <c r="A446">
        <v>2019</v>
      </c>
      <c r="B446" t="s">
        <v>66</v>
      </c>
      <c r="C446">
        <v>35708000</v>
      </c>
      <c r="D446" t="s">
        <v>69</v>
      </c>
      <c r="E446" t="s">
        <v>14</v>
      </c>
      <c r="F446" t="s">
        <v>70</v>
      </c>
      <c r="G446" t="s">
        <v>32</v>
      </c>
      <c r="H446" t="s">
        <v>33</v>
      </c>
      <c r="I446">
        <v>106</v>
      </c>
      <c r="J446">
        <v>102.4</v>
      </c>
      <c r="K446">
        <v>106</v>
      </c>
      <c r="L446">
        <v>35708000</v>
      </c>
    </row>
    <row r="447" spans="1:12" hidden="1" x14ac:dyDescent="0.25">
      <c r="A447">
        <v>2019</v>
      </c>
      <c r="B447" t="s">
        <v>12</v>
      </c>
      <c r="C447">
        <v>15826763</v>
      </c>
      <c r="D447" t="s">
        <v>69</v>
      </c>
      <c r="E447" t="s">
        <v>14</v>
      </c>
      <c r="F447" t="s">
        <v>70</v>
      </c>
      <c r="G447" t="s">
        <v>50</v>
      </c>
      <c r="H447" t="s">
        <v>51</v>
      </c>
      <c r="I447">
        <v>106.59709315790001</v>
      </c>
      <c r="J447">
        <v>98.151526954033002</v>
      </c>
      <c r="K447">
        <v>106.59709315790001</v>
      </c>
      <c r="L447">
        <v>15826763</v>
      </c>
    </row>
    <row r="448" spans="1:12" hidden="1" x14ac:dyDescent="0.25">
      <c r="A448">
        <v>2019</v>
      </c>
      <c r="B448" t="s">
        <v>66</v>
      </c>
      <c r="C448">
        <v>1298249000</v>
      </c>
      <c r="D448" t="s">
        <v>69</v>
      </c>
      <c r="E448" t="s">
        <v>14</v>
      </c>
      <c r="F448" t="s">
        <v>70</v>
      </c>
      <c r="G448" t="s">
        <v>50</v>
      </c>
      <c r="H448" t="s">
        <v>51</v>
      </c>
      <c r="I448">
        <v>102.3</v>
      </c>
      <c r="J448">
        <v>102.4</v>
      </c>
      <c r="K448">
        <v>102.3</v>
      </c>
      <c r="L448">
        <v>1298249000</v>
      </c>
    </row>
    <row r="449" spans="1:12" hidden="1" x14ac:dyDescent="0.25">
      <c r="A449">
        <v>2019</v>
      </c>
      <c r="B449" t="s">
        <v>12</v>
      </c>
      <c r="C449">
        <v>5365094</v>
      </c>
      <c r="D449" t="s">
        <v>69</v>
      </c>
      <c r="E449" t="s">
        <v>14</v>
      </c>
      <c r="F449" t="s">
        <v>70</v>
      </c>
      <c r="G449" t="s">
        <v>26</v>
      </c>
      <c r="H449" t="s">
        <v>27</v>
      </c>
      <c r="I449">
        <v>84.562992854463005</v>
      </c>
      <c r="J449">
        <v>98.151526954033002</v>
      </c>
      <c r="K449">
        <v>84.562992854463005</v>
      </c>
      <c r="L449">
        <v>5365094</v>
      </c>
    </row>
    <row r="450" spans="1:12" hidden="1" x14ac:dyDescent="0.25">
      <c r="A450">
        <v>2019</v>
      </c>
      <c r="B450" t="s">
        <v>66</v>
      </c>
      <c r="C450">
        <v>161930000</v>
      </c>
      <c r="D450" t="s">
        <v>69</v>
      </c>
      <c r="E450" t="s">
        <v>14</v>
      </c>
      <c r="F450" t="s">
        <v>70</v>
      </c>
      <c r="G450" t="s">
        <v>26</v>
      </c>
      <c r="H450" t="s">
        <v>27</v>
      </c>
      <c r="I450">
        <v>102.3</v>
      </c>
      <c r="J450">
        <v>102.4</v>
      </c>
      <c r="K450">
        <v>102.3</v>
      </c>
      <c r="L450">
        <v>161930000</v>
      </c>
    </row>
    <row r="451" spans="1:12" hidden="1" x14ac:dyDescent="0.25">
      <c r="A451">
        <v>2019</v>
      </c>
      <c r="B451" t="s">
        <v>12</v>
      </c>
      <c r="C451">
        <v>1535531</v>
      </c>
      <c r="D451" t="s">
        <v>69</v>
      </c>
      <c r="E451" t="s">
        <v>14</v>
      </c>
      <c r="F451" t="s">
        <v>70</v>
      </c>
      <c r="G451" t="s">
        <v>56</v>
      </c>
      <c r="H451" t="s">
        <v>57</v>
      </c>
      <c r="I451">
        <v>106.59709315790001</v>
      </c>
      <c r="J451">
        <v>98.151526954033002</v>
      </c>
      <c r="K451">
        <v>106.59709315790001</v>
      </c>
      <c r="L451">
        <v>1535531</v>
      </c>
    </row>
    <row r="452" spans="1:12" hidden="1" x14ac:dyDescent="0.25">
      <c r="A452">
        <v>2019</v>
      </c>
      <c r="B452" t="s">
        <v>66</v>
      </c>
      <c r="C452">
        <v>56274000</v>
      </c>
      <c r="D452" t="s">
        <v>69</v>
      </c>
      <c r="E452" t="s">
        <v>14</v>
      </c>
      <c r="F452" t="s">
        <v>70</v>
      </c>
      <c r="G452" t="s">
        <v>56</v>
      </c>
      <c r="H452" t="s">
        <v>57</v>
      </c>
      <c r="I452">
        <v>102.2</v>
      </c>
      <c r="J452">
        <v>102.4</v>
      </c>
      <c r="K452">
        <v>102.2</v>
      </c>
      <c r="L452">
        <v>56274000</v>
      </c>
    </row>
    <row r="453" spans="1:12" hidden="1" x14ac:dyDescent="0.25">
      <c r="A453">
        <v>2019</v>
      </c>
      <c r="B453" t="s">
        <v>12</v>
      </c>
      <c r="C453">
        <v>28734657</v>
      </c>
      <c r="D453" t="s">
        <v>69</v>
      </c>
      <c r="E453" t="s">
        <v>14</v>
      </c>
      <c r="F453" t="s">
        <v>70</v>
      </c>
      <c r="G453" t="s">
        <v>38</v>
      </c>
      <c r="H453" t="s">
        <v>39</v>
      </c>
      <c r="I453">
        <v>94.527911873682996</v>
      </c>
      <c r="J453">
        <v>98.151526954033002</v>
      </c>
      <c r="K453">
        <v>94.527911873682996</v>
      </c>
      <c r="L453">
        <v>28734657</v>
      </c>
    </row>
    <row r="454" spans="1:12" hidden="1" x14ac:dyDescent="0.25">
      <c r="A454">
        <v>2019</v>
      </c>
      <c r="B454" t="s">
        <v>66</v>
      </c>
      <c r="C454">
        <v>168915000</v>
      </c>
      <c r="D454" t="s">
        <v>69</v>
      </c>
      <c r="E454" t="s">
        <v>14</v>
      </c>
      <c r="F454" t="s">
        <v>70</v>
      </c>
      <c r="G454" t="s">
        <v>38</v>
      </c>
      <c r="H454" t="s">
        <v>39</v>
      </c>
      <c r="I454">
        <v>101.6</v>
      </c>
      <c r="J454">
        <v>102.4</v>
      </c>
      <c r="K454">
        <v>101.6</v>
      </c>
      <c r="L454">
        <v>168915000</v>
      </c>
    </row>
    <row r="455" spans="1:12" hidden="1" x14ac:dyDescent="0.25">
      <c r="A455">
        <v>2019</v>
      </c>
      <c r="B455" t="s">
        <v>12</v>
      </c>
      <c r="C455">
        <v>1376462</v>
      </c>
      <c r="D455" t="s">
        <v>69</v>
      </c>
      <c r="E455" t="s">
        <v>14</v>
      </c>
      <c r="F455" t="s">
        <v>70</v>
      </c>
      <c r="G455" t="s">
        <v>48</v>
      </c>
      <c r="H455" t="s">
        <v>49</v>
      </c>
      <c r="I455">
        <v>106.59709315790001</v>
      </c>
      <c r="J455">
        <v>98.151526954033002</v>
      </c>
      <c r="K455">
        <v>106.59709315790001</v>
      </c>
      <c r="L455">
        <v>1376462</v>
      </c>
    </row>
    <row r="456" spans="1:12" hidden="1" x14ac:dyDescent="0.25">
      <c r="A456">
        <v>2019</v>
      </c>
      <c r="B456" t="s">
        <v>66</v>
      </c>
      <c r="C456">
        <v>823339000</v>
      </c>
      <c r="D456" t="s">
        <v>69</v>
      </c>
      <c r="E456" t="s">
        <v>14</v>
      </c>
      <c r="F456" t="s">
        <v>70</v>
      </c>
      <c r="G456" t="s">
        <v>48</v>
      </c>
      <c r="H456" t="s">
        <v>49</v>
      </c>
      <c r="I456">
        <v>103.9</v>
      </c>
      <c r="J456">
        <v>102.4</v>
      </c>
      <c r="K456">
        <v>103.9</v>
      </c>
      <c r="L456">
        <v>823339000</v>
      </c>
    </row>
    <row r="457" spans="1:12" hidden="1" x14ac:dyDescent="0.25">
      <c r="A457">
        <v>2019</v>
      </c>
      <c r="B457" t="s">
        <v>12</v>
      </c>
      <c r="C457">
        <v>2604851</v>
      </c>
      <c r="D457" t="s">
        <v>69</v>
      </c>
      <c r="E457" t="s">
        <v>14</v>
      </c>
      <c r="F457" t="s">
        <v>70</v>
      </c>
      <c r="G457" t="s">
        <v>54</v>
      </c>
      <c r="H457" t="s">
        <v>55</v>
      </c>
      <c r="I457">
        <v>106.59709315790001</v>
      </c>
      <c r="J457">
        <v>98.151526954033002</v>
      </c>
      <c r="K457">
        <v>106.59709315790001</v>
      </c>
      <c r="L457">
        <v>2604851</v>
      </c>
    </row>
    <row r="458" spans="1:12" hidden="1" x14ac:dyDescent="0.25">
      <c r="A458">
        <v>2019</v>
      </c>
      <c r="B458" t="s">
        <v>66</v>
      </c>
      <c r="C458">
        <v>268818000</v>
      </c>
      <c r="D458" t="s">
        <v>69</v>
      </c>
      <c r="E458" t="s">
        <v>14</v>
      </c>
      <c r="F458" t="s">
        <v>70</v>
      </c>
      <c r="G458" t="s">
        <v>54</v>
      </c>
      <c r="H458" t="s">
        <v>55</v>
      </c>
      <c r="I458">
        <v>102.2</v>
      </c>
      <c r="J458">
        <v>102.4</v>
      </c>
      <c r="K458">
        <v>102.2</v>
      </c>
      <c r="L458">
        <v>268818000</v>
      </c>
    </row>
    <row r="459" spans="1:12" hidden="1" x14ac:dyDescent="0.25">
      <c r="A459">
        <v>2019</v>
      </c>
      <c r="B459" t="s">
        <v>12</v>
      </c>
      <c r="C459">
        <v>2139316</v>
      </c>
      <c r="D459" t="s">
        <v>69</v>
      </c>
      <c r="E459" t="s">
        <v>14</v>
      </c>
      <c r="F459" t="s">
        <v>70</v>
      </c>
      <c r="G459" t="s">
        <v>60</v>
      </c>
      <c r="H459" t="s">
        <v>61</v>
      </c>
      <c r="J459">
        <v>98.151526954033002</v>
      </c>
      <c r="K459">
        <v>98.151526954033002</v>
      </c>
      <c r="L459">
        <v>2139316</v>
      </c>
    </row>
    <row r="460" spans="1:12" hidden="1" x14ac:dyDescent="0.25">
      <c r="A460">
        <v>2019</v>
      </c>
      <c r="B460" t="s">
        <v>66</v>
      </c>
      <c r="C460">
        <v>31651000</v>
      </c>
      <c r="D460" t="s">
        <v>69</v>
      </c>
      <c r="E460" t="s">
        <v>14</v>
      </c>
      <c r="F460" t="s">
        <v>70</v>
      </c>
      <c r="G460" t="s">
        <v>60</v>
      </c>
      <c r="H460" t="s">
        <v>61</v>
      </c>
      <c r="I460">
        <v>105.5</v>
      </c>
      <c r="J460">
        <v>102.4</v>
      </c>
      <c r="K460">
        <v>105.5</v>
      </c>
      <c r="L460">
        <v>31651000</v>
      </c>
    </row>
    <row r="461" spans="1:12" hidden="1" x14ac:dyDescent="0.25">
      <c r="A461">
        <v>2019</v>
      </c>
      <c r="B461" t="s">
        <v>66</v>
      </c>
      <c r="C461">
        <v>5786000</v>
      </c>
      <c r="D461" t="s">
        <v>69</v>
      </c>
      <c r="E461" t="s">
        <v>14</v>
      </c>
      <c r="F461" t="s">
        <v>70</v>
      </c>
      <c r="G461" t="s">
        <v>67</v>
      </c>
      <c r="H461" t="s">
        <v>68</v>
      </c>
      <c r="I461">
        <v>104.9</v>
      </c>
      <c r="J461">
        <v>102.4</v>
      </c>
      <c r="K461">
        <v>104.9</v>
      </c>
      <c r="L461">
        <v>5786000</v>
      </c>
    </row>
    <row r="462" spans="1:12" hidden="1" x14ac:dyDescent="0.25">
      <c r="A462">
        <v>2019</v>
      </c>
      <c r="B462" t="s">
        <v>66</v>
      </c>
      <c r="C462">
        <v>61297000</v>
      </c>
      <c r="D462" t="s">
        <v>69</v>
      </c>
      <c r="E462" t="s">
        <v>14</v>
      </c>
      <c r="F462" t="s">
        <v>70</v>
      </c>
      <c r="G462" t="s">
        <v>34</v>
      </c>
      <c r="H462" t="s">
        <v>35</v>
      </c>
      <c r="I462">
        <v>92.1</v>
      </c>
      <c r="J462">
        <v>102.4</v>
      </c>
      <c r="K462">
        <v>92.1</v>
      </c>
      <c r="L462">
        <v>61297000</v>
      </c>
    </row>
    <row r="463" spans="1:12" hidden="1" x14ac:dyDescent="0.25">
      <c r="A463">
        <v>2019</v>
      </c>
      <c r="B463" t="s">
        <v>12</v>
      </c>
      <c r="C463">
        <v>30390358</v>
      </c>
      <c r="D463" t="s">
        <v>69</v>
      </c>
      <c r="E463" t="s">
        <v>14</v>
      </c>
      <c r="F463" t="s">
        <v>70</v>
      </c>
      <c r="G463" t="s">
        <v>16</v>
      </c>
      <c r="H463" t="s">
        <v>17</v>
      </c>
      <c r="J463">
        <v>98.151526954033002</v>
      </c>
      <c r="K463">
        <v>98.151526954033002</v>
      </c>
      <c r="L463">
        <v>30390358</v>
      </c>
    </row>
    <row r="464" spans="1:12" hidden="1" x14ac:dyDescent="0.25">
      <c r="A464">
        <v>2018</v>
      </c>
      <c r="B464" t="s">
        <v>12</v>
      </c>
      <c r="C464">
        <v>393932463</v>
      </c>
      <c r="D464" t="s">
        <v>69</v>
      </c>
      <c r="E464" t="s">
        <v>14</v>
      </c>
      <c r="F464" t="s">
        <v>70</v>
      </c>
      <c r="G464" t="s">
        <v>18</v>
      </c>
      <c r="H464" t="s">
        <v>19</v>
      </c>
      <c r="I464">
        <v>99.999999999999005</v>
      </c>
      <c r="J464">
        <v>99.999999999999005</v>
      </c>
      <c r="K464">
        <v>99.999999999999005</v>
      </c>
      <c r="L464">
        <v>393932463</v>
      </c>
    </row>
    <row r="465" spans="1:12" hidden="1" x14ac:dyDescent="0.25">
      <c r="A465">
        <v>2018</v>
      </c>
      <c r="B465" t="s">
        <v>66</v>
      </c>
      <c r="C465">
        <v>2190335000</v>
      </c>
      <c r="D465" t="s">
        <v>69</v>
      </c>
      <c r="E465" t="s">
        <v>14</v>
      </c>
      <c r="F465" t="s">
        <v>70</v>
      </c>
      <c r="G465" t="s">
        <v>18</v>
      </c>
      <c r="H465" t="s">
        <v>19</v>
      </c>
      <c r="I465">
        <v>100</v>
      </c>
      <c r="J465">
        <v>100</v>
      </c>
      <c r="K465">
        <v>100</v>
      </c>
      <c r="L465">
        <v>2190335000</v>
      </c>
    </row>
    <row r="466" spans="1:12" hidden="1" x14ac:dyDescent="0.25">
      <c r="A466">
        <v>2018</v>
      </c>
      <c r="B466" t="s">
        <v>12</v>
      </c>
      <c r="C466">
        <v>55325776</v>
      </c>
      <c r="D466" t="s">
        <v>69</v>
      </c>
      <c r="E466" t="s">
        <v>14</v>
      </c>
      <c r="F466" t="s">
        <v>70</v>
      </c>
      <c r="G466" t="s">
        <v>62</v>
      </c>
      <c r="H466" t="s">
        <v>63</v>
      </c>
      <c r="I466">
        <v>100</v>
      </c>
      <c r="J466">
        <v>99.999999999999005</v>
      </c>
      <c r="K466">
        <v>100</v>
      </c>
      <c r="L466">
        <v>55325776</v>
      </c>
    </row>
    <row r="467" spans="1:12" hidden="1" x14ac:dyDescent="0.25">
      <c r="A467">
        <v>2018</v>
      </c>
      <c r="B467" t="s">
        <v>12</v>
      </c>
      <c r="C467">
        <v>43762448</v>
      </c>
      <c r="D467" t="s">
        <v>69</v>
      </c>
      <c r="E467" t="s">
        <v>14</v>
      </c>
      <c r="F467" t="s">
        <v>70</v>
      </c>
      <c r="G467" t="s">
        <v>42</v>
      </c>
      <c r="H467" t="s">
        <v>43</v>
      </c>
      <c r="I467">
        <v>99.999999999999005</v>
      </c>
      <c r="J467">
        <v>99.999999999999005</v>
      </c>
      <c r="K467">
        <v>99.999999999999005</v>
      </c>
      <c r="L467">
        <v>43762448</v>
      </c>
    </row>
    <row r="468" spans="1:12" hidden="1" x14ac:dyDescent="0.25">
      <c r="A468">
        <v>2018</v>
      </c>
      <c r="B468" t="s">
        <v>66</v>
      </c>
      <c r="C468">
        <v>432982000</v>
      </c>
      <c r="D468" t="s">
        <v>69</v>
      </c>
      <c r="E468" t="s">
        <v>14</v>
      </c>
      <c r="F468" t="s">
        <v>70</v>
      </c>
      <c r="G468" t="s">
        <v>42</v>
      </c>
      <c r="H468" t="s">
        <v>43</v>
      </c>
      <c r="I468">
        <v>100</v>
      </c>
      <c r="J468">
        <v>100</v>
      </c>
      <c r="K468">
        <v>100</v>
      </c>
      <c r="L468">
        <v>432982000</v>
      </c>
    </row>
    <row r="469" spans="1:12" hidden="1" x14ac:dyDescent="0.25">
      <c r="A469">
        <v>2018</v>
      </c>
      <c r="B469" t="s">
        <v>12</v>
      </c>
      <c r="C469">
        <v>14707986</v>
      </c>
      <c r="D469" t="s">
        <v>69</v>
      </c>
      <c r="E469" t="s">
        <v>14</v>
      </c>
      <c r="F469" t="s">
        <v>70</v>
      </c>
      <c r="G469" t="s">
        <v>24</v>
      </c>
      <c r="H469" t="s">
        <v>25</v>
      </c>
      <c r="I469">
        <v>99.999999999999005</v>
      </c>
      <c r="J469">
        <v>99.999999999999005</v>
      </c>
      <c r="K469">
        <v>99.999999999999005</v>
      </c>
      <c r="L469">
        <v>14707986</v>
      </c>
    </row>
    <row r="470" spans="1:12" hidden="1" x14ac:dyDescent="0.25">
      <c r="A470">
        <v>2018</v>
      </c>
      <c r="B470" t="s">
        <v>66</v>
      </c>
      <c r="C470">
        <v>354434000</v>
      </c>
      <c r="D470" t="s">
        <v>69</v>
      </c>
      <c r="E470" t="s">
        <v>14</v>
      </c>
      <c r="F470" t="s">
        <v>70</v>
      </c>
      <c r="G470" t="s">
        <v>24</v>
      </c>
      <c r="H470" t="s">
        <v>25</v>
      </c>
      <c r="I470">
        <v>100</v>
      </c>
      <c r="J470">
        <v>100</v>
      </c>
      <c r="K470">
        <v>100</v>
      </c>
      <c r="L470">
        <v>354434000</v>
      </c>
    </row>
    <row r="471" spans="1:12" hidden="1" x14ac:dyDescent="0.25">
      <c r="A471">
        <v>2018</v>
      </c>
      <c r="B471" t="s">
        <v>12</v>
      </c>
      <c r="C471">
        <v>58803191</v>
      </c>
      <c r="D471" t="s">
        <v>69</v>
      </c>
      <c r="E471" t="s">
        <v>14</v>
      </c>
      <c r="F471" t="s">
        <v>70</v>
      </c>
      <c r="G471" t="s">
        <v>40</v>
      </c>
      <c r="H471" t="s">
        <v>41</v>
      </c>
      <c r="I471">
        <v>99.999999999999005</v>
      </c>
      <c r="J471">
        <v>99.999999999999005</v>
      </c>
      <c r="K471">
        <v>99.999999999999005</v>
      </c>
      <c r="L471">
        <v>58803191</v>
      </c>
    </row>
    <row r="472" spans="1:12" hidden="1" x14ac:dyDescent="0.25">
      <c r="A472">
        <v>2018</v>
      </c>
      <c r="B472" t="s">
        <v>66</v>
      </c>
      <c r="C472">
        <v>597604000</v>
      </c>
      <c r="D472" t="s">
        <v>69</v>
      </c>
      <c r="E472" t="s">
        <v>14</v>
      </c>
      <c r="F472" t="s">
        <v>70</v>
      </c>
      <c r="G472" t="s">
        <v>40</v>
      </c>
      <c r="H472" t="s">
        <v>41</v>
      </c>
      <c r="I472">
        <v>100</v>
      </c>
      <c r="J472">
        <v>100</v>
      </c>
      <c r="K472">
        <v>100</v>
      </c>
      <c r="L472">
        <v>597604000</v>
      </c>
    </row>
    <row r="473" spans="1:12" hidden="1" x14ac:dyDescent="0.25">
      <c r="A473">
        <v>2018</v>
      </c>
      <c r="B473" t="s">
        <v>12</v>
      </c>
      <c r="C473">
        <v>71039445</v>
      </c>
      <c r="D473" t="s">
        <v>69</v>
      </c>
      <c r="E473" t="s">
        <v>14</v>
      </c>
      <c r="F473" t="s">
        <v>70</v>
      </c>
      <c r="G473" t="s">
        <v>22</v>
      </c>
      <c r="H473" t="s">
        <v>23</v>
      </c>
      <c r="I473">
        <v>99.999999999999005</v>
      </c>
      <c r="J473">
        <v>99.999999999999005</v>
      </c>
      <c r="K473">
        <v>99.999999999999005</v>
      </c>
      <c r="L473">
        <v>71039445</v>
      </c>
    </row>
    <row r="474" spans="1:12" hidden="1" x14ac:dyDescent="0.25">
      <c r="A474">
        <v>2018</v>
      </c>
      <c r="B474" t="s">
        <v>66</v>
      </c>
      <c r="C474">
        <v>670848000</v>
      </c>
      <c r="D474" t="s">
        <v>69</v>
      </c>
      <c r="E474" t="s">
        <v>14</v>
      </c>
      <c r="F474" t="s">
        <v>70</v>
      </c>
      <c r="G474" t="s">
        <v>22</v>
      </c>
      <c r="H474" t="s">
        <v>23</v>
      </c>
      <c r="I474">
        <v>100</v>
      </c>
      <c r="J474">
        <v>100</v>
      </c>
      <c r="K474">
        <v>100</v>
      </c>
      <c r="L474">
        <v>670848000</v>
      </c>
    </row>
    <row r="475" spans="1:12" hidden="1" x14ac:dyDescent="0.25">
      <c r="A475">
        <v>2018</v>
      </c>
      <c r="B475" t="s">
        <v>12</v>
      </c>
      <c r="C475">
        <v>75402185</v>
      </c>
      <c r="D475" t="s">
        <v>69</v>
      </c>
      <c r="E475" t="s">
        <v>14</v>
      </c>
      <c r="F475" t="s">
        <v>70</v>
      </c>
      <c r="G475" t="s">
        <v>46</v>
      </c>
      <c r="H475" t="s">
        <v>47</v>
      </c>
      <c r="I475">
        <v>100</v>
      </c>
      <c r="J475">
        <v>99.999999999999005</v>
      </c>
      <c r="K475">
        <v>100</v>
      </c>
      <c r="L475">
        <v>75402185</v>
      </c>
    </row>
    <row r="476" spans="1:12" hidden="1" x14ac:dyDescent="0.25">
      <c r="A476">
        <v>2018</v>
      </c>
      <c r="B476" t="s">
        <v>66</v>
      </c>
      <c r="C476">
        <v>716437000</v>
      </c>
      <c r="D476" t="s">
        <v>69</v>
      </c>
      <c r="E476" t="s">
        <v>14</v>
      </c>
      <c r="F476" t="s">
        <v>70</v>
      </c>
      <c r="G476" t="s">
        <v>46</v>
      </c>
      <c r="H476" t="s">
        <v>47</v>
      </c>
      <c r="I476">
        <v>100</v>
      </c>
      <c r="J476">
        <v>100</v>
      </c>
      <c r="K476">
        <v>100</v>
      </c>
      <c r="L476">
        <v>716437000</v>
      </c>
    </row>
    <row r="477" spans="1:12" hidden="1" x14ac:dyDescent="0.25">
      <c r="A477">
        <v>2018</v>
      </c>
      <c r="B477" t="s">
        <v>12</v>
      </c>
      <c r="C477">
        <v>20341359</v>
      </c>
      <c r="D477" t="s">
        <v>69</v>
      </c>
      <c r="E477" t="s">
        <v>14</v>
      </c>
      <c r="F477" t="s">
        <v>70</v>
      </c>
      <c r="G477" t="s">
        <v>32</v>
      </c>
      <c r="H477" t="s">
        <v>33</v>
      </c>
      <c r="I477">
        <v>99.999999999999005</v>
      </c>
      <c r="J477">
        <v>99.999999999999005</v>
      </c>
      <c r="K477">
        <v>99.999999999999005</v>
      </c>
      <c r="L477">
        <v>20341359</v>
      </c>
    </row>
    <row r="478" spans="1:12" hidden="1" x14ac:dyDescent="0.25">
      <c r="A478">
        <v>2018</v>
      </c>
      <c r="B478" t="s">
        <v>66</v>
      </c>
      <c r="C478">
        <v>34366000</v>
      </c>
      <c r="D478" t="s">
        <v>69</v>
      </c>
      <c r="E478" t="s">
        <v>14</v>
      </c>
      <c r="F478" t="s">
        <v>70</v>
      </c>
      <c r="G478" t="s">
        <v>32</v>
      </c>
      <c r="H478" t="s">
        <v>33</v>
      </c>
      <c r="I478">
        <v>100</v>
      </c>
      <c r="J478">
        <v>100</v>
      </c>
      <c r="K478">
        <v>100</v>
      </c>
      <c r="L478">
        <v>34366000</v>
      </c>
    </row>
    <row r="479" spans="1:12" hidden="1" x14ac:dyDescent="0.25">
      <c r="A479">
        <v>2018</v>
      </c>
      <c r="B479" t="s">
        <v>12</v>
      </c>
      <c r="C479">
        <v>22340542</v>
      </c>
      <c r="D479" t="s">
        <v>69</v>
      </c>
      <c r="E479" t="s">
        <v>14</v>
      </c>
      <c r="F479" t="s">
        <v>70</v>
      </c>
      <c r="G479" t="s">
        <v>52</v>
      </c>
      <c r="H479" t="s">
        <v>53</v>
      </c>
      <c r="I479">
        <v>100</v>
      </c>
      <c r="J479">
        <v>99.999999999999005</v>
      </c>
      <c r="K479">
        <v>100</v>
      </c>
      <c r="L479">
        <v>22340542</v>
      </c>
    </row>
    <row r="480" spans="1:12" hidden="1" x14ac:dyDescent="0.25">
      <c r="A480">
        <v>2018</v>
      </c>
      <c r="B480" t="s">
        <v>66</v>
      </c>
      <c r="C480">
        <v>1029599000</v>
      </c>
      <c r="D480" t="s">
        <v>69</v>
      </c>
      <c r="E480" t="s">
        <v>14</v>
      </c>
      <c r="F480" t="s">
        <v>70</v>
      </c>
      <c r="G480" t="s">
        <v>52</v>
      </c>
      <c r="H480" t="s">
        <v>53</v>
      </c>
      <c r="I480">
        <v>100</v>
      </c>
      <c r="J480">
        <v>100</v>
      </c>
      <c r="K480">
        <v>100</v>
      </c>
      <c r="L480">
        <v>1029599000</v>
      </c>
    </row>
    <row r="481" spans="1:12" hidden="1" x14ac:dyDescent="0.25">
      <c r="A481">
        <v>2018</v>
      </c>
      <c r="B481" t="s">
        <v>12</v>
      </c>
      <c r="C481">
        <v>25213233</v>
      </c>
      <c r="D481" t="s">
        <v>69</v>
      </c>
      <c r="E481" t="s">
        <v>14</v>
      </c>
      <c r="F481" t="s">
        <v>70</v>
      </c>
      <c r="G481" t="s">
        <v>58</v>
      </c>
      <c r="H481" t="s">
        <v>59</v>
      </c>
      <c r="I481">
        <v>100</v>
      </c>
      <c r="J481">
        <v>99.999999999999005</v>
      </c>
      <c r="K481">
        <v>100</v>
      </c>
      <c r="L481">
        <v>25213233</v>
      </c>
    </row>
    <row r="482" spans="1:12" hidden="1" x14ac:dyDescent="0.25">
      <c r="A482">
        <v>2018</v>
      </c>
      <c r="B482" t="s">
        <v>66</v>
      </c>
      <c r="C482">
        <v>67571000</v>
      </c>
      <c r="D482" t="s">
        <v>69</v>
      </c>
      <c r="E482" t="s">
        <v>14</v>
      </c>
      <c r="F482" t="s">
        <v>70</v>
      </c>
      <c r="G482" t="s">
        <v>58</v>
      </c>
      <c r="H482" t="s">
        <v>59</v>
      </c>
      <c r="I482">
        <v>100</v>
      </c>
      <c r="J482">
        <v>100</v>
      </c>
      <c r="K482">
        <v>100</v>
      </c>
      <c r="L482">
        <v>67571000</v>
      </c>
    </row>
    <row r="483" spans="1:12" hidden="1" x14ac:dyDescent="0.25">
      <c r="A483">
        <v>2018</v>
      </c>
      <c r="B483" t="s">
        <v>12</v>
      </c>
      <c r="C483">
        <v>14102289</v>
      </c>
      <c r="D483" t="s">
        <v>69</v>
      </c>
      <c r="E483" t="s">
        <v>14</v>
      </c>
      <c r="F483" t="s">
        <v>70</v>
      </c>
      <c r="G483" t="s">
        <v>26</v>
      </c>
      <c r="H483" t="s">
        <v>27</v>
      </c>
      <c r="I483">
        <v>99.999999999999005</v>
      </c>
      <c r="J483">
        <v>99.999999999999005</v>
      </c>
      <c r="K483">
        <v>99.999999999999005</v>
      </c>
      <c r="L483">
        <v>14102289</v>
      </c>
    </row>
    <row r="484" spans="1:12" hidden="1" x14ac:dyDescent="0.25">
      <c r="A484">
        <v>2018</v>
      </c>
      <c r="B484" t="s">
        <v>66</v>
      </c>
      <c r="C484">
        <v>167631000</v>
      </c>
      <c r="D484" t="s">
        <v>69</v>
      </c>
      <c r="E484" t="s">
        <v>14</v>
      </c>
      <c r="F484" t="s">
        <v>70</v>
      </c>
      <c r="G484" t="s">
        <v>26</v>
      </c>
      <c r="H484" t="s">
        <v>27</v>
      </c>
      <c r="I484">
        <v>100</v>
      </c>
      <c r="J484">
        <v>100</v>
      </c>
      <c r="K484">
        <v>100</v>
      </c>
      <c r="L484">
        <v>167631000</v>
      </c>
    </row>
    <row r="485" spans="1:12" hidden="1" x14ac:dyDescent="0.25">
      <c r="A485">
        <v>2018</v>
      </c>
      <c r="B485" t="s">
        <v>12</v>
      </c>
      <c r="C485">
        <v>38657080</v>
      </c>
      <c r="D485" t="s">
        <v>69</v>
      </c>
      <c r="E485" t="s">
        <v>14</v>
      </c>
      <c r="F485" t="s">
        <v>70</v>
      </c>
      <c r="G485" t="s">
        <v>20</v>
      </c>
      <c r="H485" t="s">
        <v>21</v>
      </c>
      <c r="I485">
        <v>100</v>
      </c>
      <c r="J485">
        <v>99.999999999999005</v>
      </c>
      <c r="K485">
        <v>100</v>
      </c>
      <c r="L485">
        <v>38657080</v>
      </c>
    </row>
    <row r="486" spans="1:12" hidden="1" x14ac:dyDescent="0.25">
      <c r="A486">
        <v>2018</v>
      </c>
      <c r="B486" t="s">
        <v>66</v>
      </c>
      <c r="C486">
        <v>366036000</v>
      </c>
      <c r="D486" t="s">
        <v>69</v>
      </c>
      <c r="E486" t="s">
        <v>14</v>
      </c>
      <c r="F486" t="s">
        <v>70</v>
      </c>
      <c r="G486" t="s">
        <v>20</v>
      </c>
      <c r="H486" t="s">
        <v>21</v>
      </c>
      <c r="I486">
        <v>100</v>
      </c>
      <c r="J486">
        <v>100</v>
      </c>
      <c r="K486">
        <v>100</v>
      </c>
      <c r="L486">
        <v>366036000</v>
      </c>
    </row>
    <row r="487" spans="1:12" hidden="1" x14ac:dyDescent="0.25">
      <c r="A487">
        <v>2018</v>
      </c>
      <c r="B487" t="s">
        <v>12</v>
      </c>
      <c r="C487">
        <v>4818157</v>
      </c>
      <c r="D487" t="s">
        <v>69</v>
      </c>
      <c r="E487" t="s">
        <v>14</v>
      </c>
      <c r="F487" t="s">
        <v>70</v>
      </c>
      <c r="G487" t="s">
        <v>54</v>
      </c>
      <c r="H487" t="s">
        <v>55</v>
      </c>
      <c r="I487">
        <v>100</v>
      </c>
      <c r="J487">
        <v>99.999999999999005</v>
      </c>
      <c r="K487">
        <v>100</v>
      </c>
      <c r="L487">
        <v>4818157</v>
      </c>
    </row>
    <row r="488" spans="1:12" hidden="1" x14ac:dyDescent="0.25">
      <c r="A488">
        <v>2018</v>
      </c>
      <c r="B488" t="s">
        <v>66</v>
      </c>
      <c r="C488">
        <v>254737000</v>
      </c>
      <c r="D488" t="s">
        <v>69</v>
      </c>
      <c r="E488" t="s">
        <v>14</v>
      </c>
      <c r="F488" t="s">
        <v>70</v>
      </c>
      <c r="G488" t="s">
        <v>54</v>
      </c>
      <c r="H488" t="s">
        <v>55</v>
      </c>
      <c r="I488">
        <v>100</v>
      </c>
      <c r="J488">
        <v>100</v>
      </c>
      <c r="K488">
        <v>100</v>
      </c>
      <c r="L488">
        <v>254737000</v>
      </c>
    </row>
    <row r="489" spans="1:12" hidden="1" x14ac:dyDescent="0.25">
      <c r="A489">
        <v>2018</v>
      </c>
      <c r="B489" t="s">
        <v>12</v>
      </c>
      <c r="C489">
        <v>44900714</v>
      </c>
      <c r="D489" t="s">
        <v>69</v>
      </c>
      <c r="E489" t="s">
        <v>14</v>
      </c>
      <c r="F489" t="s">
        <v>70</v>
      </c>
      <c r="G489" t="s">
        <v>30</v>
      </c>
      <c r="H489" t="s">
        <v>31</v>
      </c>
      <c r="I489">
        <v>99.999999999999005</v>
      </c>
      <c r="J489">
        <v>99.999999999999005</v>
      </c>
      <c r="K489">
        <v>99.999999999999005</v>
      </c>
      <c r="L489">
        <v>44900714</v>
      </c>
    </row>
    <row r="490" spans="1:12" hidden="1" x14ac:dyDescent="0.25">
      <c r="A490">
        <v>2018</v>
      </c>
      <c r="B490" t="s">
        <v>66</v>
      </c>
      <c r="C490">
        <v>203056000</v>
      </c>
      <c r="D490" t="s">
        <v>69</v>
      </c>
      <c r="E490" t="s">
        <v>14</v>
      </c>
      <c r="F490" t="s">
        <v>70</v>
      </c>
      <c r="G490" t="s">
        <v>30</v>
      </c>
      <c r="H490" t="s">
        <v>31</v>
      </c>
      <c r="I490">
        <v>100</v>
      </c>
      <c r="J490">
        <v>100</v>
      </c>
      <c r="K490">
        <v>100</v>
      </c>
      <c r="L490">
        <v>203056000</v>
      </c>
    </row>
    <row r="491" spans="1:12" hidden="1" x14ac:dyDescent="0.25">
      <c r="A491">
        <v>2018</v>
      </c>
      <c r="B491" t="s">
        <v>12</v>
      </c>
      <c r="C491">
        <v>16268945</v>
      </c>
      <c r="D491" t="s">
        <v>69</v>
      </c>
      <c r="E491" t="s">
        <v>14</v>
      </c>
      <c r="F491" t="s">
        <v>70</v>
      </c>
      <c r="G491" t="s">
        <v>44</v>
      </c>
      <c r="H491" t="s">
        <v>45</v>
      </c>
      <c r="I491">
        <v>99.999999999999005</v>
      </c>
      <c r="J491">
        <v>99.999999999999005</v>
      </c>
      <c r="K491">
        <v>99.999999999999005</v>
      </c>
      <c r="L491">
        <v>16268945</v>
      </c>
    </row>
    <row r="492" spans="1:12" hidden="1" x14ac:dyDescent="0.25">
      <c r="A492">
        <v>2018</v>
      </c>
      <c r="B492" t="s">
        <v>66</v>
      </c>
      <c r="C492">
        <v>294383000</v>
      </c>
      <c r="D492" t="s">
        <v>69</v>
      </c>
      <c r="E492" t="s">
        <v>14</v>
      </c>
      <c r="F492" t="s">
        <v>70</v>
      </c>
      <c r="G492" t="s">
        <v>44</v>
      </c>
      <c r="H492" t="s">
        <v>45</v>
      </c>
      <c r="I492">
        <v>100</v>
      </c>
      <c r="J492">
        <v>100</v>
      </c>
      <c r="K492">
        <v>100</v>
      </c>
      <c r="L492">
        <v>294383000</v>
      </c>
    </row>
    <row r="493" spans="1:12" hidden="1" x14ac:dyDescent="0.25">
      <c r="A493">
        <v>2018</v>
      </c>
      <c r="B493" t="s">
        <v>12</v>
      </c>
      <c r="C493">
        <v>53656246</v>
      </c>
      <c r="D493" t="s">
        <v>69</v>
      </c>
      <c r="E493" t="s">
        <v>14</v>
      </c>
      <c r="F493" t="s">
        <v>70</v>
      </c>
      <c r="G493" t="s">
        <v>36</v>
      </c>
      <c r="H493" t="s">
        <v>37</v>
      </c>
      <c r="I493">
        <v>99.999999999999005</v>
      </c>
      <c r="J493">
        <v>99.999999999999005</v>
      </c>
      <c r="K493">
        <v>99.999999999999005</v>
      </c>
      <c r="L493">
        <v>53656246</v>
      </c>
    </row>
    <row r="494" spans="1:12" hidden="1" x14ac:dyDescent="0.25">
      <c r="A494">
        <v>2018</v>
      </c>
      <c r="B494" t="s">
        <v>66</v>
      </c>
      <c r="C494">
        <v>432357000</v>
      </c>
      <c r="D494" t="s">
        <v>69</v>
      </c>
      <c r="E494" t="s">
        <v>14</v>
      </c>
      <c r="F494" t="s">
        <v>70</v>
      </c>
      <c r="G494" t="s">
        <v>36</v>
      </c>
      <c r="H494" t="s">
        <v>37</v>
      </c>
      <c r="I494">
        <v>100</v>
      </c>
      <c r="J494">
        <v>100</v>
      </c>
      <c r="K494">
        <v>100</v>
      </c>
      <c r="L494">
        <v>432357000</v>
      </c>
    </row>
    <row r="495" spans="1:12" hidden="1" x14ac:dyDescent="0.25">
      <c r="A495">
        <v>2018</v>
      </c>
      <c r="B495" t="s">
        <v>12</v>
      </c>
      <c r="C495">
        <v>25675544</v>
      </c>
      <c r="D495" t="s">
        <v>69</v>
      </c>
      <c r="E495" t="s">
        <v>14</v>
      </c>
      <c r="F495" t="s">
        <v>70</v>
      </c>
      <c r="G495" t="s">
        <v>38</v>
      </c>
      <c r="H495" t="s">
        <v>39</v>
      </c>
      <c r="I495">
        <v>99.999999999999005</v>
      </c>
      <c r="J495">
        <v>99.999999999999005</v>
      </c>
      <c r="K495">
        <v>99.999999999999005</v>
      </c>
      <c r="L495">
        <v>25675544</v>
      </c>
    </row>
    <row r="496" spans="1:12" hidden="1" x14ac:dyDescent="0.25">
      <c r="A496">
        <v>2018</v>
      </c>
      <c r="B496" t="s">
        <v>66</v>
      </c>
      <c r="C496">
        <v>165262000</v>
      </c>
      <c r="D496" t="s">
        <v>69</v>
      </c>
      <c r="E496" t="s">
        <v>14</v>
      </c>
      <c r="F496" t="s">
        <v>70</v>
      </c>
      <c r="G496" t="s">
        <v>38</v>
      </c>
      <c r="H496" t="s">
        <v>39</v>
      </c>
      <c r="I496">
        <v>100</v>
      </c>
      <c r="J496">
        <v>100</v>
      </c>
      <c r="K496">
        <v>100</v>
      </c>
      <c r="L496">
        <v>165262000</v>
      </c>
    </row>
    <row r="497" spans="1:12" hidden="1" x14ac:dyDescent="0.25">
      <c r="A497">
        <v>2018</v>
      </c>
      <c r="B497" t="s">
        <v>12</v>
      </c>
      <c r="C497">
        <v>2784591</v>
      </c>
      <c r="D497" t="s">
        <v>69</v>
      </c>
      <c r="E497" t="s">
        <v>14</v>
      </c>
      <c r="F497" t="s">
        <v>70</v>
      </c>
      <c r="G497" t="s">
        <v>60</v>
      </c>
      <c r="H497" t="s">
        <v>61</v>
      </c>
      <c r="J497">
        <v>99.999999999999005</v>
      </c>
      <c r="K497">
        <v>99.999999999999005</v>
      </c>
      <c r="L497">
        <v>2784591</v>
      </c>
    </row>
    <row r="498" spans="1:12" hidden="1" x14ac:dyDescent="0.25">
      <c r="A498">
        <v>2018</v>
      </c>
      <c r="B498" t="s">
        <v>66</v>
      </c>
      <c r="C498">
        <v>30111000</v>
      </c>
      <c r="D498" t="s">
        <v>69</v>
      </c>
      <c r="E498" t="s">
        <v>14</v>
      </c>
      <c r="F498" t="s">
        <v>70</v>
      </c>
      <c r="G498" t="s">
        <v>60</v>
      </c>
      <c r="H498" t="s">
        <v>61</v>
      </c>
      <c r="I498">
        <v>100</v>
      </c>
      <c r="J498">
        <v>100</v>
      </c>
      <c r="K498">
        <v>100</v>
      </c>
      <c r="L498">
        <v>30111000</v>
      </c>
    </row>
    <row r="499" spans="1:12" hidden="1" x14ac:dyDescent="0.25">
      <c r="A499">
        <v>2018</v>
      </c>
      <c r="B499" t="s">
        <v>12</v>
      </c>
      <c r="C499">
        <v>16263165</v>
      </c>
      <c r="D499" t="s">
        <v>69</v>
      </c>
      <c r="E499" t="s">
        <v>14</v>
      </c>
      <c r="F499" t="s">
        <v>70</v>
      </c>
      <c r="G499" t="s">
        <v>50</v>
      </c>
      <c r="H499" t="s">
        <v>51</v>
      </c>
      <c r="I499">
        <v>100</v>
      </c>
      <c r="J499">
        <v>99.999999999999005</v>
      </c>
      <c r="K499">
        <v>100</v>
      </c>
      <c r="L499">
        <v>16263165</v>
      </c>
    </row>
    <row r="500" spans="1:12" hidden="1" x14ac:dyDescent="0.25">
      <c r="A500">
        <v>2018</v>
      </c>
      <c r="B500" t="s">
        <v>66</v>
      </c>
      <c r="C500">
        <v>1285224000</v>
      </c>
      <c r="D500" t="s">
        <v>69</v>
      </c>
      <c r="E500" t="s">
        <v>14</v>
      </c>
      <c r="F500" t="s">
        <v>70</v>
      </c>
      <c r="G500" t="s">
        <v>50</v>
      </c>
      <c r="H500" t="s">
        <v>51</v>
      </c>
      <c r="I500">
        <v>100</v>
      </c>
      <c r="J500">
        <v>100</v>
      </c>
      <c r="K500">
        <v>100</v>
      </c>
      <c r="L500">
        <v>1285224000</v>
      </c>
    </row>
    <row r="501" spans="1:12" hidden="1" x14ac:dyDescent="0.25">
      <c r="A501">
        <v>2018</v>
      </c>
      <c r="B501" t="s">
        <v>12</v>
      </c>
      <c r="C501">
        <v>68380094</v>
      </c>
      <c r="D501" t="s">
        <v>69</v>
      </c>
      <c r="E501" t="s">
        <v>14</v>
      </c>
      <c r="F501" t="s">
        <v>70</v>
      </c>
      <c r="G501" t="s">
        <v>28</v>
      </c>
      <c r="H501" t="s">
        <v>29</v>
      </c>
      <c r="I501">
        <v>100</v>
      </c>
      <c r="J501">
        <v>99.999999999999005</v>
      </c>
      <c r="K501">
        <v>100</v>
      </c>
      <c r="L501">
        <v>68380094</v>
      </c>
    </row>
    <row r="502" spans="1:12" hidden="1" x14ac:dyDescent="0.25">
      <c r="A502">
        <v>2018</v>
      </c>
      <c r="B502" t="s">
        <v>66</v>
      </c>
      <c r="C502">
        <v>72312000</v>
      </c>
      <c r="D502" t="s">
        <v>69</v>
      </c>
      <c r="E502" t="s">
        <v>14</v>
      </c>
      <c r="F502" t="s">
        <v>70</v>
      </c>
      <c r="G502" t="s">
        <v>28</v>
      </c>
      <c r="H502" t="s">
        <v>29</v>
      </c>
      <c r="I502">
        <v>100</v>
      </c>
      <c r="J502">
        <v>100</v>
      </c>
      <c r="K502">
        <v>100</v>
      </c>
      <c r="L502">
        <v>72312000</v>
      </c>
    </row>
    <row r="503" spans="1:12" hidden="1" x14ac:dyDescent="0.25">
      <c r="A503">
        <v>2018</v>
      </c>
      <c r="B503" t="s">
        <v>12</v>
      </c>
      <c r="C503">
        <v>5507306</v>
      </c>
      <c r="D503" t="s">
        <v>69</v>
      </c>
      <c r="E503" t="s">
        <v>14</v>
      </c>
      <c r="F503" t="s">
        <v>70</v>
      </c>
      <c r="G503" t="s">
        <v>48</v>
      </c>
      <c r="H503" t="s">
        <v>49</v>
      </c>
      <c r="I503">
        <v>100</v>
      </c>
      <c r="J503">
        <v>99.999999999999005</v>
      </c>
      <c r="K503">
        <v>100</v>
      </c>
      <c r="L503">
        <v>5507306</v>
      </c>
    </row>
    <row r="504" spans="1:12" hidden="1" x14ac:dyDescent="0.25">
      <c r="A504">
        <v>2018</v>
      </c>
      <c r="B504" t="s">
        <v>66</v>
      </c>
      <c r="C504">
        <v>794353000</v>
      </c>
      <c r="D504" t="s">
        <v>69</v>
      </c>
      <c r="E504" t="s">
        <v>14</v>
      </c>
      <c r="F504" t="s">
        <v>70</v>
      </c>
      <c r="G504" t="s">
        <v>48</v>
      </c>
      <c r="H504" t="s">
        <v>49</v>
      </c>
      <c r="I504">
        <v>100</v>
      </c>
      <c r="J504">
        <v>100</v>
      </c>
      <c r="K504">
        <v>100</v>
      </c>
      <c r="L504">
        <v>794353000</v>
      </c>
    </row>
    <row r="505" spans="1:12" hidden="1" x14ac:dyDescent="0.25">
      <c r="A505">
        <v>2018</v>
      </c>
      <c r="B505" t="s">
        <v>12</v>
      </c>
      <c r="C505">
        <v>1727951</v>
      </c>
      <c r="D505" t="s">
        <v>69</v>
      </c>
      <c r="E505" t="s">
        <v>14</v>
      </c>
      <c r="F505" t="s">
        <v>70</v>
      </c>
      <c r="G505" t="s">
        <v>56</v>
      </c>
      <c r="H505" t="s">
        <v>57</v>
      </c>
      <c r="I505">
        <v>100</v>
      </c>
      <c r="J505">
        <v>99.999999999999005</v>
      </c>
      <c r="K505">
        <v>100</v>
      </c>
      <c r="L505">
        <v>1727951</v>
      </c>
    </row>
    <row r="506" spans="1:12" hidden="1" x14ac:dyDescent="0.25">
      <c r="A506">
        <v>2018</v>
      </c>
      <c r="B506" t="s">
        <v>66</v>
      </c>
      <c r="C506">
        <v>44729000</v>
      </c>
      <c r="D506" t="s">
        <v>69</v>
      </c>
      <c r="E506" t="s">
        <v>14</v>
      </c>
      <c r="F506" t="s">
        <v>70</v>
      </c>
      <c r="G506" t="s">
        <v>56</v>
      </c>
      <c r="H506" t="s">
        <v>57</v>
      </c>
      <c r="I506">
        <v>100</v>
      </c>
      <c r="J506">
        <v>100</v>
      </c>
      <c r="K506">
        <v>100</v>
      </c>
      <c r="L506">
        <v>44729000</v>
      </c>
    </row>
    <row r="507" spans="1:12" hidden="1" x14ac:dyDescent="0.25">
      <c r="A507">
        <v>2018</v>
      </c>
      <c r="B507" t="s">
        <v>12</v>
      </c>
      <c r="C507">
        <v>152518</v>
      </c>
      <c r="D507" t="s">
        <v>69</v>
      </c>
      <c r="E507" t="s">
        <v>14</v>
      </c>
      <c r="F507" t="s">
        <v>70</v>
      </c>
      <c r="G507" t="s">
        <v>34</v>
      </c>
      <c r="H507" t="s">
        <v>35</v>
      </c>
      <c r="I507">
        <v>99.999999999999005</v>
      </c>
      <c r="J507">
        <v>99.999999999999005</v>
      </c>
      <c r="K507">
        <v>99.999999999999005</v>
      </c>
      <c r="L507">
        <v>152518</v>
      </c>
    </row>
    <row r="508" spans="1:12" hidden="1" x14ac:dyDescent="0.25">
      <c r="A508">
        <v>2018</v>
      </c>
      <c r="B508" t="s">
        <v>66</v>
      </c>
      <c r="C508">
        <v>64138000</v>
      </c>
      <c r="D508" t="s">
        <v>69</v>
      </c>
      <c r="E508" t="s">
        <v>14</v>
      </c>
      <c r="F508" t="s">
        <v>70</v>
      </c>
      <c r="G508" t="s">
        <v>34</v>
      </c>
      <c r="H508" t="s">
        <v>35</v>
      </c>
      <c r="I508">
        <v>100</v>
      </c>
      <c r="J508">
        <v>100</v>
      </c>
      <c r="K508">
        <v>100</v>
      </c>
      <c r="L508">
        <v>64138000</v>
      </c>
    </row>
    <row r="509" spans="1:12" hidden="1" x14ac:dyDescent="0.25">
      <c r="A509">
        <v>2018</v>
      </c>
      <c r="B509" t="s">
        <v>66</v>
      </c>
      <c r="C509">
        <v>5246000</v>
      </c>
      <c r="D509" t="s">
        <v>69</v>
      </c>
      <c r="E509" t="s">
        <v>14</v>
      </c>
      <c r="F509" t="s">
        <v>70</v>
      </c>
      <c r="G509" t="s">
        <v>67</v>
      </c>
      <c r="H509" t="s">
        <v>68</v>
      </c>
      <c r="I509">
        <v>100</v>
      </c>
      <c r="J509">
        <v>100</v>
      </c>
      <c r="K509">
        <v>100</v>
      </c>
      <c r="L509">
        <v>5246000</v>
      </c>
    </row>
    <row r="510" spans="1:12" hidden="1" x14ac:dyDescent="0.25">
      <c r="A510">
        <v>2018</v>
      </c>
      <c r="B510" t="s">
        <v>12</v>
      </c>
      <c r="C510">
        <v>1941807</v>
      </c>
      <c r="D510" t="s">
        <v>69</v>
      </c>
      <c r="E510" t="s">
        <v>14</v>
      </c>
      <c r="F510" t="s">
        <v>70</v>
      </c>
      <c r="G510" t="s">
        <v>16</v>
      </c>
      <c r="H510" t="s">
        <v>17</v>
      </c>
      <c r="J510">
        <v>99.999999999999005</v>
      </c>
      <c r="K510">
        <v>99.999999999999005</v>
      </c>
      <c r="L510">
        <v>1941807</v>
      </c>
    </row>
    <row r="511" spans="1:12" hidden="1" x14ac:dyDescent="0.25">
      <c r="A511">
        <v>2016</v>
      </c>
      <c r="B511" t="s">
        <v>66</v>
      </c>
      <c r="C511">
        <v>70157000</v>
      </c>
      <c r="D511" t="s">
        <v>69</v>
      </c>
      <c r="E511" t="s">
        <v>14</v>
      </c>
      <c r="F511" t="s">
        <v>70</v>
      </c>
      <c r="G511" t="s">
        <v>28</v>
      </c>
      <c r="H511" t="s">
        <v>29</v>
      </c>
      <c r="I511">
        <v>91.8</v>
      </c>
      <c r="J511">
        <v>87.8</v>
      </c>
      <c r="K511">
        <v>91.8</v>
      </c>
      <c r="L511">
        <v>70157000</v>
      </c>
    </row>
    <row r="512" spans="1:12" hidden="1" x14ac:dyDescent="0.25">
      <c r="A512">
        <v>2016</v>
      </c>
      <c r="B512" t="s">
        <v>12</v>
      </c>
      <c r="C512">
        <v>3933024</v>
      </c>
      <c r="D512" t="s">
        <v>69</v>
      </c>
      <c r="E512" t="s">
        <v>14</v>
      </c>
      <c r="F512" t="s">
        <v>70</v>
      </c>
      <c r="G512" t="s">
        <v>46</v>
      </c>
      <c r="H512" t="s">
        <v>47</v>
      </c>
      <c r="I512">
        <v>101.10423088160999</v>
      </c>
      <c r="J512">
        <v>95.629262636448004</v>
      </c>
      <c r="K512">
        <v>101.10423088160999</v>
      </c>
      <c r="L512">
        <v>3933024</v>
      </c>
    </row>
    <row r="513" spans="1:12" hidden="1" x14ac:dyDescent="0.25">
      <c r="A513">
        <v>2016</v>
      </c>
      <c r="B513" t="s">
        <v>66</v>
      </c>
      <c r="C513">
        <v>678895000</v>
      </c>
      <c r="D513" t="s">
        <v>69</v>
      </c>
      <c r="E513" t="s">
        <v>14</v>
      </c>
      <c r="F513" t="s">
        <v>70</v>
      </c>
      <c r="G513" t="s">
        <v>46</v>
      </c>
      <c r="H513" t="s">
        <v>47</v>
      </c>
      <c r="I513">
        <v>84.2</v>
      </c>
      <c r="J513">
        <v>87.8</v>
      </c>
      <c r="K513">
        <v>84.2</v>
      </c>
      <c r="L513">
        <v>678895000</v>
      </c>
    </row>
    <row r="514" spans="1:12" hidden="1" x14ac:dyDescent="0.25">
      <c r="A514">
        <v>2016</v>
      </c>
      <c r="B514" t="s">
        <v>12</v>
      </c>
      <c r="C514">
        <v>12290612</v>
      </c>
      <c r="D514" t="s">
        <v>69</v>
      </c>
      <c r="E514" t="s">
        <v>14</v>
      </c>
      <c r="F514" t="s">
        <v>70</v>
      </c>
      <c r="G514" t="s">
        <v>30</v>
      </c>
      <c r="H514" t="s">
        <v>31</v>
      </c>
      <c r="I514">
        <v>66.424574274145002</v>
      </c>
      <c r="J514">
        <v>95.629262636448004</v>
      </c>
      <c r="K514">
        <v>66.424574274145002</v>
      </c>
      <c r="L514">
        <v>12290612</v>
      </c>
    </row>
    <row r="515" spans="1:12" hidden="1" x14ac:dyDescent="0.25">
      <c r="A515">
        <v>2016</v>
      </c>
      <c r="B515" t="s">
        <v>66</v>
      </c>
      <c r="C515">
        <v>189251000</v>
      </c>
      <c r="D515" t="s">
        <v>69</v>
      </c>
      <c r="E515" t="s">
        <v>14</v>
      </c>
      <c r="F515" t="s">
        <v>70</v>
      </c>
      <c r="G515" t="s">
        <v>30</v>
      </c>
      <c r="H515" t="s">
        <v>31</v>
      </c>
      <c r="I515">
        <v>87.6</v>
      </c>
      <c r="J515">
        <v>87.8</v>
      </c>
      <c r="K515">
        <v>87.6</v>
      </c>
      <c r="L515">
        <v>189251000</v>
      </c>
    </row>
    <row r="516" spans="1:12" hidden="1" x14ac:dyDescent="0.25">
      <c r="A516">
        <v>2016</v>
      </c>
      <c r="B516" t="s">
        <v>12</v>
      </c>
      <c r="C516">
        <v>4951722</v>
      </c>
      <c r="D516" t="s">
        <v>69</v>
      </c>
      <c r="E516" t="s">
        <v>14</v>
      </c>
      <c r="F516" t="s">
        <v>70</v>
      </c>
      <c r="G516" t="s">
        <v>36</v>
      </c>
      <c r="H516" t="s">
        <v>37</v>
      </c>
      <c r="I516">
        <v>101.63829571143999</v>
      </c>
      <c r="J516">
        <v>95.629262636448004</v>
      </c>
      <c r="K516">
        <v>101.63829571143999</v>
      </c>
      <c r="L516">
        <v>4951722</v>
      </c>
    </row>
    <row r="517" spans="1:12" hidden="1" x14ac:dyDescent="0.25">
      <c r="A517">
        <v>2016</v>
      </c>
      <c r="B517" t="s">
        <v>66</v>
      </c>
      <c r="C517">
        <v>428028000</v>
      </c>
      <c r="D517" t="s">
        <v>69</v>
      </c>
      <c r="E517" t="s">
        <v>14</v>
      </c>
      <c r="F517" t="s">
        <v>70</v>
      </c>
      <c r="G517" t="s">
        <v>36</v>
      </c>
      <c r="H517" t="s">
        <v>37</v>
      </c>
      <c r="I517">
        <v>103.7</v>
      </c>
      <c r="J517">
        <v>87.8</v>
      </c>
      <c r="K517">
        <v>103.7</v>
      </c>
      <c r="L517">
        <v>428028000</v>
      </c>
    </row>
    <row r="518" spans="1:12" hidden="1" x14ac:dyDescent="0.25">
      <c r="A518">
        <v>2016</v>
      </c>
      <c r="B518" t="s">
        <v>12</v>
      </c>
      <c r="C518">
        <v>1367467</v>
      </c>
      <c r="D518" t="s">
        <v>69</v>
      </c>
      <c r="E518" t="s">
        <v>14</v>
      </c>
      <c r="F518" t="s">
        <v>70</v>
      </c>
      <c r="G518" t="s">
        <v>52</v>
      </c>
      <c r="H518" t="s">
        <v>53</v>
      </c>
      <c r="I518">
        <v>101.10423088160999</v>
      </c>
      <c r="J518">
        <v>95.629262636448004</v>
      </c>
      <c r="K518">
        <v>101.10423088160999</v>
      </c>
      <c r="L518">
        <v>1367467</v>
      </c>
    </row>
    <row r="519" spans="1:12" hidden="1" x14ac:dyDescent="0.25">
      <c r="A519">
        <v>2016</v>
      </c>
      <c r="B519" t="s">
        <v>66</v>
      </c>
      <c r="C519">
        <v>920965000</v>
      </c>
      <c r="D519" t="s">
        <v>69</v>
      </c>
      <c r="E519" t="s">
        <v>14</v>
      </c>
      <c r="F519" t="s">
        <v>70</v>
      </c>
      <c r="G519" t="s">
        <v>52</v>
      </c>
      <c r="H519" t="s">
        <v>53</v>
      </c>
      <c r="I519">
        <v>91.6</v>
      </c>
      <c r="J519">
        <v>87.8</v>
      </c>
      <c r="K519">
        <v>91.6</v>
      </c>
      <c r="L519">
        <v>920965000</v>
      </c>
    </row>
    <row r="520" spans="1:12" hidden="1" x14ac:dyDescent="0.25">
      <c r="A520">
        <v>2016</v>
      </c>
      <c r="B520" t="s">
        <v>12</v>
      </c>
      <c r="C520">
        <v>5032232</v>
      </c>
      <c r="D520" t="s">
        <v>69</v>
      </c>
      <c r="E520" t="s">
        <v>14</v>
      </c>
      <c r="F520" t="s">
        <v>70</v>
      </c>
      <c r="G520" t="s">
        <v>40</v>
      </c>
      <c r="H520" t="s">
        <v>41</v>
      </c>
      <c r="I520">
        <v>101.63829571143999</v>
      </c>
      <c r="J520">
        <v>95.629262636448004</v>
      </c>
      <c r="K520">
        <v>101.63829571143999</v>
      </c>
      <c r="L520">
        <v>5032232</v>
      </c>
    </row>
    <row r="521" spans="1:12" hidden="1" x14ac:dyDescent="0.25">
      <c r="A521">
        <v>2016</v>
      </c>
      <c r="B521" t="s">
        <v>66</v>
      </c>
      <c r="C521">
        <v>554825000</v>
      </c>
      <c r="D521" t="s">
        <v>69</v>
      </c>
      <c r="E521" t="s">
        <v>14</v>
      </c>
      <c r="F521" t="s">
        <v>70</v>
      </c>
      <c r="G521" t="s">
        <v>40</v>
      </c>
      <c r="H521" t="s">
        <v>41</v>
      </c>
      <c r="I521">
        <v>89.1</v>
      </c>
      <c r="J521">
        <v>87.8</v>
      </c>
      <c r="K521">
        <v>89.1</v>
      </c>
      <c r="L521">
        <v>554825000</v>
      </c>
    </row>
    <row r="522" spans="1:12" hidden="1" x14ac:dyDescent="0.25">
      <c r="A522">
        <v>2016</v>
      </c>
      <c r="B522" t="s">
        <v>12</v>
      </c>
      <c r="C522">
        <v>1020551</v>
      </c>
      <c r="D522" t="s">
        <v>69</v>
      </c>
      <c r="E522" t="s">
        <v>14</v>
      </c>
      <c r="F522" t="s">
        <v>70</v>
      </c>
      <c r="G522" t="s">
        <v>44</v>
      </c>
      <c r="H522" t="s">
        <v>45</v>
      </c>
      <c r="I522">
        <v>89.680336785110001</v>
      </c>
      <c r="J522">
        <v>95.629262636448004</v>
      </c>
      <c r="K522">
        <v>89.680336785110001</v>
      </c>
      <c r="L522">
        <v>1020551</v>
      </c>
    </row>
    <row r="523" spans="1:12" hidden="1" x14ac:dyDescent="0.25">
      <c r="A523">
        <v>2016</v>
      </c>
      <c r="B523" t="s">
        <v>66</v>
      </c>
      <c r="C523">
        <v>274358000</v>
      </c>
      <c r="D523" t="s">
        <v>69</v>
      </c>
      <c r="E523" t="s">
        <v>14</v>
      </c>
      <c r="F523" t="s">
        <v>70</v>
      </c>
      <c r="G523" t="s">
        <v>44</v>
      </c>
      <c r="H523" t="s">
        <v>45</v>
      </c>
      <c r="I523">
        <v>80.900000000000006</v>
      </c>
      <c r="J523">
        <v>87.8</v>
      </c>
      <c r="K523">
        <v>80.900000000000006</v>
      </c>
      <c r="L523">
        <v>274358000</v>
      </c>
    </row>
    <row r="524" spans="1:12" hidden="1" x14ac:dyDescent="0.25">
      <c r="A524">
        <v>2016</v>
      </c>
      <c r="B524" t="s">
        <v>12</v>
      </c>
      <c r="C524">
        <v>4006104</v>
      </c>
      <c r="D524" t="s">
        <v>69</v>
      </c>
      <c r="E524" t="s">
        <v>14</v>
      </c>
      <c r="F524" t="s">
        <v>70</v>
      </c>
      <c r="G524" t="s">
        <v>42</v>
      </c>
      <c r="H524" t="s">
        <v>43</v>
      </c>
      <c r="I524">
        <v>89.680336785110001</v>
      </c>
      <c r="J524">
        <v>95.629262636448004</v>
      </c>
      <c r="K524">
        <v>89.680336785110001</v>
      </c>
      <c r="L524">
        <v>4006104</v>
      </c>
    </row>
    <row r="525" spans="1:12" hidden="1" x14ac:dyDescent="0.25">
      <c r="A525">
        <v>2016</v>
      </c>
      <c r="B525" t="s">
        <v>66</v>
      </c>
      <c r="C525">
        <v>408741000</v>
      </c>
      <c r="D525" t="s">
        <v>69</v>
      </c>
      <c r="E525" t="s">
        <v>14</v>
      </c>
      <c r="F525" t="s">
        <v>70</v>
      </c>
      <c r="G525" t="s">
        <v>42</v>
      </c>
      <c r="H525" t="s">
        <v>43</v>
      </c>
      <c r="I525">
        <v>87.6</v>
      </c>
      <c r="J525">
        <v>87.8</v>
      </c>
      <c r="K525">
        <v>87.6</v>
      </c>
      <c r="L525">
        <v>408741000</v>
      </c>
    </row>
    <row r="526" spans="1:12" hidden="1" x14ac:dyDescent="0.25">
      <c r="A526">
        <v>2016</v>
      </c>
      <c r="B526" t="s">
        <v>12</v>
      </c>
      <c r="C526">
        <v>2538829</v>
      </c>
      <c r="D526" t="s">
        <v>69</v>
      </c>
      <c r="E526" t="s">
        <v>14</v>
      </c>
      <c r="F526" t="s">
        <v>70</v>
      </c>
      <c r="G526" t="s">
        <v>24</v>
      </c>
      <c r="H526" t="s">
        <v>25</v>
      </c>
      <c r="I526">
        <v>117.9376128321</v>
      </c>
      <c r="J526">
        <v>95.629262636448004</v>
      </c>
      <c r="K526">
        <v>117.9376128321</v>
      </c>
      <c r="L526">
        <v>2538829</v>
      </c>
    </row>
    <row r="527" spans="1:12" hidden="1" x14ac:dyDescent="0.25">
      <c r="A527">
        <v>2016</v>
      </c>
      <c r="B527" t="s">
        <v>66</v>
      </c>
      <c r="C527">
        <v>373941000</v>
      </c>
      <c r="D527" t="s">
        <v>69</v>
      </c>
      <c r="E527" t="s">
        <v>14</v>
      </c>
      <c r="F527" t="s">
        <v>70</v>
      </c>
      <c r="G527" t="s">
        <v>24</v>
      </c>
      <c r="H527" t="s">
        <v>25</v>
      </c>
      <c r="I527">
        <v>95.2</v>
      </c>
      <c r="J527">
        <v>87.8</v>
      </c>
      <c r="K527">
        <v>95.2</v>
      </c>
      <c r="L527">
        <v>373941000</v>
      </c>
    </row>
    <row r="528" spans="1:12" hidden="1" x14ac:dyDescent="0.25">
      <c r="A528">
        <v>2016</v>
      </c>
      <c r="B528" t="s">
        <v>12</v>
      </c>
      <c r="C528">
        <v>1169120</v>
      </c>
      <c r="D528" t="s">
        <v>69</v>
      </c>
      <c r="E528" t="s">
        <v>14</v>
      </c>
      <c r="F528" t="s">
        <v>70</v>
      </c>
      <c r="G528" t="s">
        <v>58</v>
      </c>
      <c r="H528" t="s">
        <v>59</v>
      </c>
      <c r="I528">
        <v>106.15763962638999</v>
      </c>
      <c r="J528">
        <v>95.629262636448004</v>
      </c>
      <c r="K528">
        <v>106.15763962638999</v>
      </c>
      <c r="L528">
        <v>1169120</v>
      </c>
    </row>
    <row r="529" spans="1:12" hidden="1" x14ac:dyDescent="0.25">
      <c r="A529">
        <v>2016</v>
      </c>
      <c r="B529" t="s">
        <v>66</v>
      </c>
      <c r="C529">
        <v>69559000</v>
      </c>
      <c r="D529" t="s">
        <v>69</v>
      </c>
      <c r="E529" t="s">
        <v>14</v>
      </c>
      <c r="F529" t="s">
        <v>70</v>
      </c>
      <c r="G529" t="s">
        <v>58</v>
      </c>
      <c r="H529" t="s">
        <v>59</v>
      </c>
      <c r="I529">
        <v>91.8</v>
      </c>
      <c r="J529">
        <v>87.8</v>
      </c>
      <c r="K529">
        <v>91.8</v>
      </c>
      <c r="L529">
        <v>69559000</v>
      </c>
    </row>
    <row r="530" spans="1:12" hidden="1" x14ac:dyDescent="0.25">
      <c r="A530">
        <v>2016</v>
      </c>
      <c r="B530" t="s">
        <v>12</v>
      </c>
      <c r="C530">
        <v>2499647</v>
      </c>
      <c r="D530" t="s">
        <v>69</v>
      </c>
      <c r="E530" t="s">
        <v>14</v>
      </c>
      <c r="F530" t="s">
        <v>70</v>
      </c>
      <c r="G530" t="s">
        <v>62</v>
      </c>
      <c r="H530" t="s">
        <v>63</v>
      </c>
      <c r="I530">
        <v>101.10423088160999</v>
      </c>
      <c r="J530">
        <v>95.629262636448004</v>
      </c>
      <c r="K530">
        <v>101.10423088160999</v>
      </c>
      <c r="L530">
        <v>2499647</v>
      </c>
    </row>
    <row r="531" spans="1:12" hidden="1" x14ac:dyDescent="0.25">
      <c r="A531">
        <v>2016</v>
      </c>
      <c r="B531" t="s">
        <v>12</v>
      </c>
      <c r="C531">
        <v>1195228</v>
      </c>
      <c r="D531" t="s">
        <v>69</v>
      </c>
      <c r="E531" t="s">
        <v>14</v>
      </c>
      <c r="F531" t="s">
        <v>70</v>
      </c>
      <c r="G531" t="s">
        <v>26</v>
      </c>
      <c r="H531" t="s">
        <v>27</v>
      </c>
      <c r="I531">
        <v>117.9376128321</v>
      </c>
      <c r="J531">
        <v>95.629262636448004</v>
      </c>
      <c r="K531">
        <v>117.9376128321</v>
      </c>
      <c r="L531">
        <v>1195228</v>
      </c>
    </row>
    <row r="532" spans="1:12" hidden="1" x14ac:dyDescent="0.25">
      <c r="A532">
        <v>2016</v>
      </c>
      <c r="B532" t="s">
        <v>66</v>
      </c>
      <c r="C532">
        <v>176470000</v>
      </c>
      <c r="D532" t="s">
        <v>69</v>
      </c>
      <c r="E532" t="s">
        <v>14</v>
      </c>
      <c r="F532" t="s">
        <v>70</v>
      </c>
      <c r="G532" t="s">
        <v>26</v>
      </c>
      <c r="H532" t="s">
        <v>27</v>
      </c>
      <c r="I532">
        <v>93.8</v>
      </c>
      <c r="J532">
        <v>87.8</v>
      </c>
      <c r="K532">
        <v>93.8</v>
      </c>
      <c r="L532">
        <v>176470000</v>
      </c>
    </row>
    <row r="533" spans="1:12" hidden="1" x14ac:dyDescent="0.25">
      <c r="A533">
        <v>2016</v>
      </c>
      <c r="B533" t="s">
        <v>12</v>
      </c>
      <c r="C533">
        <v>1703095</v>
      </c>
      <c r="D533" t="s">
        <v>69</v>
      </c>
      <c r="E533" t="s">
        <v>14</v>
      </c>
      <c r="F533" t="s">
        <v>70</v>
      </c>
      <c r="G533" t="s">
        <v>50</v>
      </c>
      <c r="H533" t="s">
        <v>51</v>
      </c>
      <c r="I533">
        <v>101.10423088160999</v>
      </c>
      <c r="J533">
        <v>95.629262636448004</v>
      </c>
      <c r="K533">
        <v>101.10423088160999</v>
      </c>
      <c r="L533">
        <v>1703095</v>
      </c>
    </row>
    <row r="534" spans="1:12" hidden="1" x14ac:dyDescent="0.25">
      <c r="A534">
        <v>2016</v>
      </c>
      <c r="B534" t="s">
        <v>66</v>
      </c>
      <c r="C534">
        <v>1152982000</v>
      </c>
      <c r="D534" t="s">
        <v>69</v>
      </c>
      <c r="E534" t="s">
        <v>14</v>
      </c>
      <c r="F534" t="s">
        <v>70</v>
      </c>
      <c r="G534" t="s">
        <v>50</v>
      </c>
      <c r="H534" t="s">
        <v>51</v>
      </c>
      <c r="I534">
        <v>90.7</v>
      </c>
      <c r="J534">
        <v>87.8</v>
      </c>
      <c r="K534">
        <v>90.7</v>
      </c>
      <c r="L534">
        <v>1152982000</v>
      </c>
    </row>
    <row r="535" spans="1:12" hidden="1" x14ac:dyDescent="0.25">
      <c r="A535">
        <v>2016</v>
      </c>
      <c r="B535" t="s">
        <v>12</v>
      </c>
      <c r="C535">
        <v>2754327</v>
      </c>
      <c r="D535" t="s">
        <v>69</v>
      </c>
      <c r="E535" t="s">
        <v>14</v>
      </c>
      <c r="F535" t="s">
        <v>70</v>
      </c>
      <c r="G535" t="s">
        <v>38</v>
      </c>
      <c r="H535" t="s">
        <v>39</v>
      </c>
      <c r="I535">
        <v>101.63829571143999</v>
      </c>
      <c r="J535">
        <v>95.629262636448004</v>
      </c>
      <c r="K535">
        <v>101.63829571143999</v>
      </c>
      <c r="L535">
        <v>2754327</v>
      </c>
    </row>
    <row r="536" spans="1:12" hidden="1" x14ac:dyDescent="0.25">
      <c r="A536">
        <v>2016</v>
      </c>
      <c r="B536" t="s">
        <v>66</v>
      </c>
      <c r="C536">
        <v>158981000</v>
      </c>
      <c r="D536" t="s">
        <v>69</v>
      </c>
      <c r="E536" t="s">
        <v>14</v>
      </c>
      <c r="F536" t="s">
        <v>70</v>
      </c>
      <c r="G536" t="s">
        <v>38</v>
      </c>
      <c r="H536" t="s">
        <v>39</v>
      </c>
      <c r="I536">
        <v>103.7</v>
      </c>
      <c r="J536">
        <v>87.8</v>
      </c>
      <c r="K536">
        <v>103.7</v>
      </c>
      <c r="L536">
        <v>158981000</v>
      </c>
    </row>
    <row r="537" spans="1:12" hidden="1" x14ac:dyDescent="0.25">
      <c r="A537">
        <v>2016</v>
      </c>
      <c r="B537" t="s">
        <v>12</v>
      </c>
      <c r="C537">
        <v>2278349</v>
      </c>
      <c r="D537" t="s">
        <v>69</v>
      </c>
      <c r="E537" t="s">
        <v>14</v>
      </c>
      <c r="F537" t="s">
        <v>70</v>
      </c>
      <c r="G537" t="s">
        <v>22</v>
      </c>
      <c r="H537" t="s">
        <v>23</v>
      </c>
      <c r="I537">
        <v>117.9376128321</v>
      </c>
      <c r="J537">
        <v>95.629262636448004</v>
      </c>
      <c r="K537">
        <v>117.9376128321</v>
      </c>
      <c r="L537">
        <v>2278349</v>
      </c>
    </row>
    <row r="538" spans="1:12" hidden="1" x14ac:dyDescent="0.25">
      <c r="A538">
        <v>2016</v>
      </c>
      <c r="B538" t="s">
        <v>66</v>
      </c>
      <c r="C538">
        <v>612933000</v>
      </c>
      <c r="D538" t="s">
        <v>69</v>
      </c>
      <c r="E538" t="s">
        <v>14</v>
      </c>
      <c r="F538" t="s">
        <v>70</v>
      </c>
      <c r="G538" t="s">
        <v>22</v>
      </c>
      <c r="H538" t="s">
        <v>23</v>
      </c>
      <c r="I538">
        <v>88.8</v>
      </c>
      <c r="J538">
        <v>87.8</v>
      </c>
      <c r="K538">
        <v>88.8</v>
      </c>
      <c r="L538">
        <v>612933000</v>
      </c>
    </row>
    <row r="539" spans="1:12" hidden="1" x14ac:dyDescent="0.25">
      <c r="A539">
        <v>2016</v>
      </c>
      <c r="B539" t="s">
        <v>12</v>
      </c>
      <c r="C539">
        <v>320721</v>
      </c>
      <c r="D539" t="s">
        <v>69</v>
      </c>
      <c r="E539" t="s">
        <v>14</v>
      </c>
      <c r="F539" t="s">
        <v>70</v>
      </c>
      <c r="G539" t="s">
        <v>48</v>
      </c>
      <c r="H539" t="s">
        <v>49</v>
      </c>
      <c r="I539">
        <v>101.10423088160999</v>
      </c>
      <c r="J539">
        <v>95.629262636448004</v>
      </c>
      <c r="K539">
        <v>101.10423088160999</v>
      </c>
      <c r="L539">
        <v>320721</v>
      </c>
    </row>
    <row r="540" spans="1:12" hidden="1" x14ac:dyDescent="0.25">
      <c r="A540">
        <v>2016</v>
      </c>
      <c r="B540" t="s">
        <v>66</v>
      </c>
      <c r="C540">
        <v>720198000</v>
      </c>
      <c r="D540" t="s">
        <v>69</v>
      </c>
      <c r="E540" t="s">
        <v>14</v>
      </c>
      <c r="F540" t="s">
        <v>70</v>
      </c>
      <c r="G540" t="s">
        <v>48</v>
      </c>
      <c r="H540" t="s">
        <v>49</v>
      </c>
      <c r="I540">
        <v>91.8</v>
      </c>
      <c r="J540">
        <v>87.8</v>
      </c>
      <c r="K540">
        <v>91.8</v>
      </c>
      <c r="L540">
        <v>720198000</v>
      </c>
    </row>
    <row r="541" spans="1:12" hidden="1" x14ac:dyDescent="0.25">
      <c r="A541">
        <v>2016</v>
      </c>
      <c r="B541" t="s">
        <v>12</v>
      </c>
      <c r="C541">
        <v>4488877</v>
      </c>
      <c r="D541" t="s">
        <v>69</v>
      </c>
      <c r="E541" t="s">
        <v>14</v>
      </c>
      <c r="F541" t="s">
        <v>70</v>
      </c>
      <c r="G541" t="s">
        <v>20</v>
      </c>
      <c r="H541" t="s">
        <v>21</v>
      </c>
      <c r="I541">
        <v>96.059679698527006</v>
      </c>
      <c r="J541">
        <v>95.629262636448004</v>
      </c>
      <c r="K541">
        <v>96.059679698527006</v>
      </c>
      <c r="L541">
        <v>4488877</v>
      </c>
    </row>
    <row r="542" spans="1:12" hidden="1" x14ac:dyDescent="0.25">
      <c r="A542">
        <v>2016</v>
      </c>
      <c r="B542" t="s">
        <v>66</v>
      </c>
      <c r="C542">
        <v>362524000</v>
      </c>
      <c r="D542" t="s">
        <v>69</v>
      </c>
      <c r="E542" t="s">
        <v>14</v>
      </c>
      <c r="F542" t="s">
        <v>70</v>
      </c>
      <c r="G542" t="s">
        <v>20</v>
      </c>
      <c r="H542" t="s">
        <v>21</v>
      </c>
      <c r="I542">
        <v>89.6</v>
      </c>
      <c r="J542">
        <v>87.8</v>
      </c>
      <c r="K542">
        <v>89.6</v>
      </c>
      <c r="L542">
        <v>362524000</v>
      </c>
    </row>
    <row r="543" spans="1:12" hidden="1" x14ac:dyDescent="0.25">
      <c r="A543">
        <v>2016</v>
      </c>
      <c r="B543" t="s">
        <v>12</v>
      </c>
      <c r="C543">
        <v>232095</v>
      </c>
      <c r="D543" t="s">
        <v>69</v>
      </c>
      <c r="E543" t="s">
        <v>14</v>
      </c>
      <c r="F543" t="s">
        <v>70</v>
      </c>
      <c r="G543" t="s">
        <v>60</v>
      </c>
      <c r="H543" t="s">
        <v>61</v>
      </c>
      <c r="J543">
        <v>95.629262636448004</v>
      </c>
      <c r="K543">
        <v>95.629262636448004</v>
      </c>
      <c r="L543">
        <v>232095</v>
      </c>
    </row>
    <row r="544" spans="1:12" hidden="1" x14ac:dyDescent="0.25">
      <c r="A544">
        <v>2016</v>
      </c>
      <c r="B544" t="s">
        <v>66</v>
      </c>
      <c r="C544">
        <v>31101000</v>
      </c>
      <c r="D544" t="s">
        <v>69</v>
      </c>
      <c r="E544" t="s">
        <v>14</v>
      </c>
      <c r="F544" t="s">
        <v>70</v>
      </c>
      <c r="G544" t="s">
        <v>60</v>
      </c>
      <c r="H544" t="s">
        <v>61</v>
      </c>
      <c r="I544">
        <v>91.1</v>
      </c>
      <c r="J544">
        <v>87.8</v>
      </c>
      <c r="K544">
        <v>91.1</v>
      </c>
      <c r="L544">
        <v>31101000</v>
      </c>
    </row>
    <row r="545" spans="1:12" hidden="1" x14ac:dyDescent="0.25">
      <c r="A545">
        <v>2016</v>
      </c>
      <c r="B545" t="s">
        <v>12</v>
      </c>
      <c r="C545">
        <v>148983</v>
      </c>
      <c r="D545" t="s">
        <v>69</v>
      </c>
      <c r="E545" t="s">
        <v>14</v>
      </c>
      <c r="F545" t="s">
        <v>70</v>
      </c>
      <c r="G545" t="s">
        <v>54</v>
      </c>
      <c r="H545" t="s">
        <v>55</v>
      </c>
      <c r="I545">
        <v>101.10423088160999</v>
      </c>
      <c r="J545">
        <v>95.629262636448004</v>
      </c>
      <c r="K545">
        <v>101.10423088160999</v>
      </c>
      <c r="L545">
        <v>148983</v>
      </c>
    </row>
    <row r="546" spans="1:12" hidden="1" x14ac:dyDescent="0.25">
      <c r="A546">
        <v>2016</v>
      </c>
      <c r="B546" t="s">
        <v>66</v>
      </c>
      <c r="C546">
        <v>206303000</v>
      </c>
      <c r="D546" t="s">
        <v>69</v>
      </c>
      <c r="E546" t="s">
        <v>14</v>
      </c>
      <c r="F546" t="s">
        <v>70</v>
      </c>
      <c r="G546" t="s">
        <v>54</v>
      </c>
      <c r="H546" t="s">
        <v>55</v>
      </c>
      <c r="I546">
        <v>93.3</v>
      </c>
      <c r="J546">
        <v>87.8</v>
      </c>
      <c r="K546">
        <v>93.3</v>
      </c>
      <c r="L546">
        <v>206303000</v>
      </c>
    </row>
    <row r="547" spans="1:12" hidden="1" x14ac:dyDescent="0.25">
      <c r="A547">
        <v>2016</v>
      </c>
      <c r="B547" t="s">
        <v>12</v>
      </c>
      <c r="C547">
        <v>140001</v>
      </c>
      <c r="D547" t="s">
        <v>69</v>
      </c>
      <c r="E547" t="s">
        <v>14</v>
      </c>
      <c r="F547" t="s">
        <v>70</v>
      </c>
      <c r="G547" t="s">
        <v>56</v>
      </c>
      <c r="H547" t="s">
        <v>57</v>
      </c>
      <c r="I547">
        <v>101.10423088160999</v>
      </c>
      <c r="J547">
        <v>95.629262636448004</v>
      </c>
      <c r="K547">
        <v>101.10423088160999</v>
      </c>
      <c r="L547">
        <v>140001</v>
      </c>
    </row>
    <row r="548" spans="1:12" hidden="1" x14ac:dyDescent="0.25">
      <c r="A548">
        <v>2016</v>
      </c>
      <c r="B548" t="s">
        <v>66</v>
      </c>
      <c r="C548">
        <v>32890000</v>
      </c>
      <c r="D548" t="s">
        <v>69</v>
      </c>
      <c r="E548" t="s">
        <v>14</v>
      </c>
      <c r="F548" t="s">
        <v>70</v>
      </c>
      <c r="G548" t="s">
        <v>56</v>
      </c>
      <c r="H548" t="s">
        <v>57</v>
      </c>
      <c r="I548">
        <v>93.3</v>
      </c>
      <c r="J548">
        <v>87.8</v>
      </c>
      <c r="K548">
        <v>93.3</v>
      </c>
      <c r="L548">
        <v>32890000</v>
      </c>
    </row>
    <row r="549" spans="1:12" hidden="1" x14ac:dyDescent="0.25">
      <c r="A549">
        <v>2016</v>
      </c>
      <c r="B549" t="s">
        <v>66</v>
      </c>
      <c r="C549">
        <v>67953000</v>
      </c>
      <c r="D549" t="s">
        <v>69</v>
      </c>
      <c r="E549" t="s">
        <v>14</v>
      </c>
      <c r="F549" t="s">
        <v>70</v>
      </c>
      <c r="G549" t="s">
        <v>34</v>
      </c>
      <c r="H549" t="s">
        <v>35</v>
      </c>
      <c r="I549">
        <v>17.7</v>
      </c>
      <c r="J549">
        <v>87.8</v>
      </c>
      <c r="K549">
        <v>17.7</v>
      </c>
      <c r="L549">
        <v>67953000</v>
      </c>
    </row>
    <row r="550" spans="1:12" hidden="1" x14ac:dyDescent="0.25">
      <c r="A550">
        <v>2016</v>
      </c>
      <c r="B550" t="s">
        <v>66</v>
      </c>
      <c r="C550">
        <v>5289000</v>
      </c>
      <c r="D550" t="s">
        <v>69</v>
      </c>
      <c r="E550" t="s">
        <v>14</v>
      </c>
      <c r="F550" t="s">
        <v>70</v>
      </c>
      <c r="G550" t="s">
        <v>67</v>
      </c>
      <c r="H550" t="s">
        <v>68</v>
      </c>
      <c r="I550">
        <v>89.6</v>
      </c>
      <c r="J550">
        <v>87.8</v>
      </c>
      <c r="K550">
        <v>89.6</v>
      </c>
      <c r="L550">
        <v>5289000</v>
      </c>
    </row>
    <row r="551" spans="1:12" hidden="1" x14ac:dyDescent="0.25">
      <c r="A551">
        <v>2017</v>
      </c>
      <c r="B551" t="s">
        <v>12</v>
      </c>
      <c r="C551">
        <v>346744812</v>
      </c>
      <c r="D551" t="s">
        <v>69</v>
      </c>
      <c r="E551" t="s">
        <v>14</v>
      </c>
      <c r="F551" t="s">
        <v>70</v>
      </c>
      <c r="G551" t="s">
        <v>18</v>
      </c>
      <c r="H551" t="s">
        <v>19</v>
      </c>
      <c r="I551">
        <v>98.723825004638996</v>
      </c>
      <c r="J551">
        <v>95.003435419368998</v>
      </c>
      <c r="K551">
        <v>98.723825004638996</v>
      </c>
      <c r="L551">
        <v>346744812</v>
      </c>
    </row>
    <row r="552" spans="1:12" hidden="1" x14ac:dyDescent="0.25">
      <c r="A552">
        <v>2017</v>
      </c>
      <c r="B552" t="s">
        <v>66</v>
      </c>
      <c r="C552">
        <v>2208004000</v>
      </c>
      <c r="D552" t="s">
        <v>69</v>
      </c>
      <c r="E552" t="s">
        <v>14</v>
      </c>
      <c r="F552" t="s">
        <v>70</v>
      </c>
      <c r="G552" t="s">
        <v>18</v>
      </c>
      <c r="H552" t="s">
        <v>19</v>
      </c>
      <c r="I552">
        <v>96.7</v>
      </c>
      <c r="J552">
        <v>94.3</v>
      </c>
      <c r="K552">
        <v>96.7</v>
      </c>
      <c r="L552">
        <v>2208004000</v>
      </c>
    </row>
    <row r="553" spans="1:12" hidden="1" x14ac:dyDescent="0.25">
      <c r="A553">
        <v>2017</v>
      </c>
      <c r="B553" t="s">
        <v>12</v>
      </c>
      <c r="C553">
        <v>46563560</v>
      </c>
      <c r="D553" t="s">
        <v>69</v>
      </c>
      <c r="E553" t="s">
        <v>14</v>
      </c>
      <c r="F553" t="s">
        <v>70</v>
      </c>
      <c r="G553" t="s">
        <v>20</v>
      </c>
      <c r="H553" t="s">
        <v>21</v>
      </c>
      <c r="I553">
        <v>90.846967636214998</v>
      </c>
      <c r="J553">
        <v>95.003435419368998</v>
      </c>
      <c r="K553">
        <v>90.846967636214998</v>
      </c>
      <c r="L553">
        <v>46563560</v>
      </c>
    </row>
    <row r="554" spans="1:12" hidden="1" x14ac:dyDescent="0.25">
      <c r="A554">
        <v>2017</v>
      </c>
      <c r="B554" t="s">
        <v>66</v>
      </c>
      <c r="C554">
        <v>363259000</v>
      </c>
      <c r="D554" t="s">
        <v>69</v>
      </c>
      <c r="E554" t="s">
        <v>14</v>
      </c>
      <c r="F554" t="s">
        <v>70</v>
      </c>
      <c r="G554" t="s">
        <v>20</v>
      </c>
      <c r="H554" t="s">
        <v>21</v>
      </c>
      <c r="I554">
        <v>96.4</v>
      </c>
      <c r="J554">
        <v>94.3</v>
      </c>
      <c r="K554">
        <v>96.4</v>
      </c>
      <c r="L554">
        <v>363259000</v>
      </c>
    </row>
    <row r="555" spans="1:12" hidden="1" x14ac:dyDescent="0.25">
      <c r="A555">
        <v>2017</v>
      </c>
      <c r="B555" t="s">
        <v>12</v>
      </c>
      <c r="C555">
        <v>40405262</v>
      </c>
      <c r="D555" t="s">
        <v>69</v>
      </c>
      <c r="E555" t="s">
        <v>14</v>
      </c>
      <c r="F555" t="s">
        <v>70</v>
      </c>
      <c r="G555" t="s">
        <v>42</v>
      </c>
      <c r="H555" t="s">
        <v>43</v>
      </c>
      <c r="I555">
        <v>89.385379074143003</v>
      </c>
      <c r="J555">
        <v>95.003435419368998</v>
      </c>
      <c r="K555">
        <v>89.385379074143003</v>
      </c>
      <c r="L555">
        <v>40405262</v>
      </c>
    </row>
    <row r="556" spans="1:12" hidden="1" x14ac:dyDescent="0.25">
      <c r="A556">
        <v>2017</v>
      </c>
      <c r="B556" t="s">
        <v>66</v>
      </c>
      <c r="C556">
        <v>419068000</v>
      </c>
      <c r="D556" t="s">
        <v>69</v>
      </c>
      <c r="E556" t="s">
        <v>14</v>
      </c>
      <c r="F556" t="s">
        <v>70</v>
      </c>
      <c r="G556" t="s">
        <v>42</v>
      </c>
      <c r="H556" t="s">
        <v>43</v>
      </c>
      <c r="I556">
        <v>95.9</v>
      </c>
      <c r="J556">
        <v>94.3</v>
      </c>
      <c r="K556">
        <v>95.9</v>
      </c>
      <c r="L556">
        <v>419068000</v>
      </c>
    </row>
    <row r="557" spans="1:12" hidden="1" x14ac:dyDescent="0.25">
      <c r="A557">
        <v>2017</v>
      </c>
      <c r="B557" t="s">
        <v>12</v>
      </c>
      <c r="C557">
        <v>56501310</v>
      </c>
      <c r="D557" t="s">
        <v>69</v>
      </c>
      <c r="E557" t="s">
        <v>14</v>
      </c>
      <c r="F557" t="s">
        <v>70</v>
      </c>
      <c r="G557" t="s">
        <v>24</v>
      </c>
      <c r="H557" t="s">
        <v>25</v>
      </c>
      <c r="I557">
        <v>111.61986215915999</v>
      </c>
      <c r="J557">
        <v>95.003435419368998</v>
      </c>
      <c r="K557">
        <v>111.61986215915999</v>
      </c>
      <c r="L557">
        <v>56501310</v>
      </c>
    </row>
    <row r="558" spans="1:12" hidden="1" x14ac:dyDescent="0.25">
      <c r="A558">
        <v>2017</v>
      </c>
      <c r="B558" t="s">
        <v>66</v>
      </c>
      <c r="C558">
        <v>361977000</v>
      </c>
      <c r="D558" t="s">
        <v>69</v>
      </c>
      <c r="E558" t="s">
        <v>14</v>
      </c>
      <c r="F558" t="s">
        <v>70</v>
      </c>
      <c r="G558" t="s">
        <v>24</v>
      </c>
      <c r="H558" t="s">
        <v>25</v>
      </c>
      <c r="I558">
        <v>96.6</v>
      </c>
      <c r="J558">
        <v>94.3</v>
      </c>
      <c r="K558">
        <v>96.6</v>
      </c>
      <c r="L558">
        <v>361977000</v>
      </c>
    </row>
    <row r="559" spans="1:12" hidden="1" x14ac:dyDescent="0.25">
      <c r="A559">
        <v>2017</v>
      </c>
      <c r="B559" t="s">
        <v>12</v>
      </c>
      <c r="C559">
        <v>60559880</v>
      </c>
      <c r="D559" t="s">
        <v>69</v>
      </c>
      <c r="E559" t="s">
        <v>14</v>
      </c>
      <c r="F559" t="s">
        <v>70</v>
      </c>
      <c r="G559" t="s">
        <v>40</v>
      </c>
      <c r="H559" t="s">
        <v>41</v>
      </c>
      <c r="I559">
        <v>96.253026824776995</v>
      </c>
      <c r="J559">
        <v>95.003435419368998</v>
      </c>
      <c r="K559">
        <v>96.253026824776995</v>
      </c>
      <c r="L559">
        <v>60559880</v>
      </c>
    </row>
    <row r="560" spans="1:12" hidden="1" x14ac:dyDescent="0.25">
      <c r="A560">
        <v>2017</v>
      </c>
      <c r="B560" t="s">
        <v>66</v>
      </c>
      <c r="C560">
        <v>577525000</v>
      </c>
      <c r="D560" t="s">
        <v>69</v>
      </c>
      <c r="E560" t="s">
        <v>14</v>
      </c>
      <c r="F560" t="s">
        <v>70</v>
      </c>
      <c r="G560" t="s">
        <v>40</v>
      </c>
      <c r="H560" t="s">
        <v>41</v>
      </c>
      <c r="I560">
        <v>95.4</v>
      </c>
      <c r="J560">
        <v>94.3</v>
      </c>
      <c r="K560">
        <v>95.4</v>
      </c>
      <c r="L560">
        <v>577525000</v>
      </c>
    </row>
    <row r="561" spans="1:12" hidden="1" x14ac:dyDescent="0.25">
      <c r="A561">
        <v>2017</v>
      </c>
      <c r="B561" t="s">
        <v>12</v>
      </c>
      <c r="C561">
        <v>59183448</v>
      </c>
      <c r="D561" t="s">
        <v>69</v>
      </c>
      <c r="E561" t="s">
        <v>14</v>
      </c>
      <c r="F561" t="s">
        <v>70</v>
      </c>
      <c r="G561" t="s">
        <v>30</v>
      </c>
      <c r="H561" t="s">
        <v>31</v>
      </c>
      <c r="I561">
        <v>76.712843517501994</v>
      </c>
      <c r="J561">
        <v>95.003435419368998</v>
      </c>
      <c r="K561">
        <v>76.712843517501994</v>
      </c>
      <c r="L561">
        <v>59183448</v>
      </c>
    </row>
    <row r="562" spans="1:12" hidden="1" x14ac:dyDescent="0.25">
      <c r="A562">
        <v>2017</v>
      </c>
      <c r="B562" t="s">
        <v>66</v>
      </c>
      <c r="C562">
        <v>197634000</v>
      </c>
      <c r="D562" t="s">
        <v>69</v>
      </c>
      <c r="E562" t="s">
        <v>14</v>
      </c>
      <c r="F562" t="s">
        <v>70</v>
      </c>
      <c r="G562" t="s">
        <v>30</v>
      </c>
      <c r="H562" t="s">
        <v>31</v>
      </c>
      <c r="I562">
        <v>93.7</v>
      </c>
      <c r="J562">
        <v>94.3</v>
      </c>
      <c r="K562">
        <v>93.7</v>
      </c>
      <c r="L562">
        <v>197634000</v>
      </c>
    </row>
    <row r="563" spans="1:12" hidden="1" x14ac:dyDescent="0.25">
      <c r="A563">
        <v>2017</v>
      </c>
      <c r="B563" t="s">
        <v>12</v>
      </c>
      <c r="C563">
        <v>18657544</v>
      </c>
      <c r="D563" t="s">
        <v>69</v>
      </c>
      <c r="E563" t="s">
        <v>14</v>
      </c>
      <c r="F563" t="s">
        <v>70</v>
      </c>
      <c r="G563" t="s">
        <v>50</v>
      </c>
      <c r="H563" t="s">
        <v>51</v>
      </c>
      <c r="I563">
        <v>98.189528995325006</v>
      </c>
      <c r="J563">
        <v>95.003435419368998</v>
      </c>
      <c r="K563">
        <v>98.189528995325006</v>
      </c>
      <c r="L563">
        <v>18657544</v>
      </c>
    </row>
    <row r="564" spans="1:12" hidden="1" x14ac:dyDescent="0.25">
      <c r="A564">
        <v>2017</v>
      </c>
      <c r="B564" t="s">
        <v>66</v>
      </c>
      <c r="C564">
        <v>1212415000</v>
      </c>
      <c r="D564" t="s">
        <v>69</v>
      </c>
      <c r="E564" t="s">
        <v>14</v>
      </c>
      <c r="F564" t="s">
        <v>70</v>
      </c>
      <c r="G564" t="s">
        <v>50</v>
      </c>
      <c r="H564" t="s">
        <v>51</v>
      </c>
      <c r="I564">
        <v>94.3</v>
      </c>
      <c r="J564">
        <v>94.3</v>
      </c>
      <c r="K564">
        <v>94.3</v>
      </c>
      <c r="L564">
        <v>1212415000</v>
      </c>
    </row>
    <row r="565" spans="1:12" hidden="1" x14ac:dyDescent="0.25">
      <c r="A565">
        <v>2017</v>
      </c>
      <c r="B565" t="s">
        <v>12</v>
      </c>
      <c r="C565">
        <v>69582191</v>
      </c>
      <c r="D565" t="s">
        <v>69</v>
      </c>
      <c r="E565" t="s">
        <v>14</v>
      </c>
      <c r="F565" t="s">
        <v>70</v>
      </c>
      <c r="G565" t="s">
        <v>28</v>
      </c>
      <c r="H565" t="s">
        <v>29</v>
      </c>
      <c r="I565">
        <v>102.38170475517001</v>
      </c>
      <c r="J565">
        <v>95.003435419368998</v>
      </c>
      <c r="K565">
        <v>102.38170475517001</v>
      </c>
      <c r="L565">
        <v>69582191</v>
      </c>
    </row>
    <row r="566" spans="1:12" hidden="1" x14ac:dyDescent="0.25">
      <c r="A566">
        <v>2017</v>
      </c>
      <c r="B566" t="s">
        <v>66</v>
      </c>
      <c r="C566">
        <v>72850000</v>
      </c>
      <c r="D566" t="s">
        <v>69</v>
      </c>
      <c r="E566" t="s">
        <v>14</v>
      </c>
      <c r="F566" t="s">
        <v>70</v>
      </c>
      <c r="G566" t="s">
        <v>28</v>
      </c>
      <c r="H566" t="s">
        <v>29</v>
      </c>
      <c r="I566">
        <v>98.6</v>
      </c>
      <c r="J566">
        <v>94.3</v>
      </c>
      <c r="K566">
        <v>98.6</v>
      </c>
      <c r="L566">
        <v>72850000</v>
      </c>
    </row>
    <row r="567" spans="1:12" hidden="1" x14ac:dyDescent="0.25">
      <c r="A567">
        <v>2017</v>
      </c>
      <c r="B567" t="s">
        <v>12</v>
      </c>
      <c r="C567">
        <v>18989792</v>
      </c>
      <c r="D567" t="s">
        <v>69</v>
      </c>
      <c r="E567" t="s">
        <v>14</v>
      </c>
      <c r="F567" t="s">
        <v>70</v>
      </c>
      <c r="G567" t="s">
        <v>32</v>
      </c>
      <c r="H567" t="s">
        <v>33</v>
      </c>
      <c r="I567">
        <v>76.712843517501994</v>
      </c>
      <c r="J567">
        <v>95.003435419368998</v>
      </c>
      <c r="K567">
        <v>76.712843517501994</v>
      </c>
      <c r="L567">
        <v>18989792</v>
      </c>
    </row>
    <row r="568" spans="1:12" hidden="1" x14ac:dyDescent="0.25">
      <c r="A568">
        <v>2017</v>
      </c>
      <c r="B568" t="s">
        <v>66</v>
      </c>
      <c r="C568">
        <v>36226000</v>
      </c>
      <c r="D568" t="s">
        <v>69</v>
      </c>
      <c r="E568" t="s">
        <v>14</v>
      </c>
      <c r="F568" t="s">
        <v>70</v>
      </c>
      <c r="G568" t="s">
        <v>32</v>
      </c>
      <c r="H568" t="s">
        <v>33</v>
      </c>
      <c r="I568">
        <v>96.5</v>
      </c>
      <c r="J568">
        <v>94.3</v>
      </c>
      <c r="K568">
        <v>96.5</v>
      </c>
      <c r="L568">
        <v>36226000</v>
      </c>
    </row>
    <row r="569" spans="1:12" hidden="1" x14ac:dyDescent="0.25">
      <c r="A569">
        <v>2017</v>
      </c>
      <c r="B569" t="s">
        <v>12</v>
      </c>
      <c r="C569">
        <v>73851787</v>
      </c>
      <c r="D569" t="s">
        <v>69</v>
      </c>
      <c r="E569" t="s">
        <v>14</v>
      </c>
      <c r="F569" t="s">
        <v>70</v>
      </c>
      <c r="G569" t="s">
        <v>46</v>
      </c>
      <c r="H569" t="s">
        <v>47</v>
      </c>
      <c r="I569">
        <v>98.189528995325006</v>
      </c>
      <c r="J569">
        <v>95.003435419368998</v>
      </c>
      <c r="K569">
        <v>98.189528995325006</v>
      </c>
      <c r="L569">
        <v>73851787</v>
      </c>
    </row>
    <row r="570" spans="1:12" hidden="1" x14ac:dyDescent="0.25">
      <c r="A570">
        <v>2017</v>
      </c>
      <c r="B570" t="s">
        <v>66</v>
      </c>
      <c r="C570">
        <v>707744000</v>
      </c>
      <c r="D570" t="s">
        <v>69</v>
      </c>
      <c r="E570" t="s">
        <v>14</v>
      </c>
      <c r="F570" t="s">
        <v>70</v>
      </c>
      <c r="G570" t="s">
        <v>46</v>
      </c>
      <c r="H570" t="s">
        <v>47</v>
      </c>
      <c r="I570">
        <v>90.2</v>
      </c>
      <c r="J570">
        <v>94.3</v>
      </c>
      <c r="K570">
        <v>90.2</v>
      </c>
      <c r="L570">
        <v>707744000</v>
      </c>
    </row>
    <row r="571" spans="1:12" hidden="1" x14ac:dyDescent="0.25">
      <c r="A571">
        <v>2017</v>
      </c>
      <c r="B571" t="s">
        <v>12</v>
      </c>
      <c r="C571">
        <v>12162764</v>
      </c>
      <c r="D571" t="s">
        <v>69</v>
      </c>
      <c r="E571" t="s">
        <v>14</v>
      </c>
      <c r="F571" t="s">
        <v>70</v>
      </c>
      <c r="G571" t="s">
        <v>44</v>
      </c>
      <c r="H571" t="s">
        <v>45</v>
      </c>
      <c r="I571">
        <v>89.385379074143003</v>
      </c>
      <c r="J571">
        <v>95.003435419368998</v>
      </c>
      <c r="K571">
        <v>89.385379074143003</v>
      </c>
      <c r="L571">
        <v>12162764</v>
      </c>
    </row>
    <row r="572" spans="1:12" hidden="1" x14ac:dyDescent="0.25">
      <c r="A572">
        <v>2017</v>
      </c>
      <c r="B572" t="s">
        <v>66</v>
      </c>
      <c r="C572">
        <v>285176000</v>
      </c>
      <c r="D572" t="s">
        <v>69</v>
      </c>
      <c r="E572" t="s">
        <v>14</v>
      </c>
      <c r="F572" t="s">
        <v>70</v>
      </c>
      <c r="G572" t="s">
        <v>44</v>
      </c>
      <c r="H572" t="s">
        <v>45</v>
      </c>
      <c r="I572">
        <v>89.3</v>
      </c>
      <c r="J572">
        <v>94.3</v>
      </c>
      <c r="K572">
        <v>89.3</v>
      </c>
      <c r="L572">
        <v>285176000</v>
      </c>
    </row>
    <row r="573" spans="1:12" hidden="1" x14ac:dyDescent="0.25">
      <c r="A573">
        <v>2017</v>
      </c>
      <c r="B573" t="s">
        <v>12</v>
      </c>
      <c r="C573">
        <v>62985395</v>
      </c>
      <c r="D573" t="s">
        <v>69</v>
      </c>
      <c r="E573" t="s">
        <v>14</v>
      </c>
      <c r="F573" t="s">
        <v>70</v>
      </c>
      <c r="G573" t="s">
        <v>36</v>
      </c>
      <c r="H573" t="s">
        <v>37</v>
      </c>
      <c r="I573">
        <v>96.253026824776995</v>
      </c>
      <c r="J573">
        <v>95.003435419368998</v>
      </c>
      <c r="K573">
        <v>96.253026824776995</v>
      </c>
      <c r="L573">
        <v>62985395</v>
      </c>
    </row>
    <row r="574" spans="1:12" hidden="1" x14ac:dyDescent="0.25">
      <c r="A574">
        <v>2017</v>
      </c>
      <c r="B574" t="s">
        <v>66</v>
      </c>
      <c r="C574">
        <v>428835000</v>
      </c>
      <c r="D574" t="s">
        <v>69</v>
      </c>
      <c r="E574" t="s">
        <v>14</v>
      </c>
      <c r="F574" t="s">
        <v>70</v>
      </c>
      <c r="G574" t="s">
        <v>36</v>
      </c>
      <c r="H574" t="s">
        <v>37</v>
      </c>
      <c r="I574">
        <v>96.1</v>
      </c>
      <c r="J574">
        <v>94.3</v>
      </c>
      <c r="K574">
        <v>96.1</v>
      </c>
      <c r="L574">
        <v>428835000</v>
      </c>
    </row>
    <row r="575" spans="1:12" hidden="1" x14ac:dyDescent="0.25">
      <c r="A575">
        <v>2017</v>
      </c>
      <c r="B575" t="s">
        <v>12</v>
      </c>
      <c r="C575">
        <v>66349936</v>
      </c>
      <c r="D575" t="s">
        <v>69</v>
      </c>
      <c r="E575" t="s">
        <v>14</v>
      </c>
      <c r="F575" t="s">
        <v>70</v>
      </c>
      <c r="G575" t="s">
        <v>62</v>
      </c>
      <c r="H575" t="s">
        <v>63</v>
      </c>
      <c r="I575">
        <v>98.189528995325006</v>
      </c>
      <c r="J575">
        <v>95.003435419368998</v>
      </c>
      <c r="K575">
        <v>98.189528995325006</v>
      </c>
      <c r="L575">
        <v>66349936</v>
      </c>
    </row>
    <row r="576" spans="1:12" hidden="1" x14ac:dyDescent="0.25">
      <c r="A576">
        <v>2017</v>
      </c>
      <c r="B576" t="s">
        <v>12</v>
      </c>
      <c r="C576">
        <v>24734598</v>
      </c>
      <c r="D576" t="s">
        <v>69</v>
      </c>
      <c r="E576" t="s">
        <v>14</v>
      </c>
      <c r="F576" t="s">
        <v>70</v>
      </c>
      <c r="G576" t="s">
        <v>58</v>
      </c>
      <c r="H576" t="s">
        <v>59</v>
      </c>
      <c r="I576">
        <v>102.38170475517001</v>
      </c>
      <c r="J576">
        <v>95.003435419368998</v>
      </c>
      <c r="K576">
        <v>102.38170475517001</v>
      </c>
      <c r="L576">
        <v>24734598</v>
      </c>
    </row>
    <row r="577" spans="1:12" hidden="1" x14ac:dyDescent="0.25">
      <c r="A577">
        <v>2017</v>
      </c>
      <c r="B577" t="s">
        <v>66</v>
      </c>
      <c r="C577">
        <v>70637000</v>
      </c>
      <c r="D577" t="s">
        <v>69</v>
      </c>
      <c r="E577" t="s">
        <v>14</v>
      </c>
      <c r="F577" t="s">
        <v>70</v>
      </c>
      <c r="G577" t="s">
        <v>58</v>
      </c>
      <c r="H577" t="s">
        <v>59</v>
      </c>
      <c r="I577">
        <v>96.7</v>
      </c>
      <c r="J577">
        <v>94.3</v>
      </c>
      <c r="K577">
        <v>96.7</v>
      </c>
      <c r="L577">
        <v>70637000</v>
      </c>
    </row>
    <row r="578" spans="1:12" hidden="1" x14ac:dyDescent="0.25">
      <c r="A578">
        <v>2017</v>
      </c>
      <c r="B578" t="s">
        <v>12</v>
      </c>
      <c r="C578">
        <v>23781319</v>
      </c>
      <c r="D578" t="s">
        <v>69</v>
      </c>
      <c r="E578" t="s">
        <v>14</v>
      </c>
      <c r="F578" t="s">
        <v>70</v>
      </c>
      <c r="G578" t="s">
        <v>52</v>
      </c>
      <c r="H578" t="s">
        <v>53</v>
      </c>
      <c r="I578">
        <v>98.189528995325006</v>
      </c>
      <c r="J578">
        <v>95.003435419368998</v>
      </c>
      <c r="K578">
        <v>98.189528995325006</v>
      </c>
      <c r="L578">
        <v>23781319</v>
      </c>
    </row>
    <row r="579" spans="1:12" hidden="1" x14ac:dyDescent="0.25">
      <c r="A579">
        <v>2017</v>
      </c>
      <c r="B579" t="s">
        <v>66</v>
      </c>
      <c r="C579">
        <v>982627000</v>
      </c>
      <c r="D579" t="s">
        <v>69</v>
      </c>
      <c r="E579" t="s">
        <v>14</v>
      </c>
      <c r="F579" t="s">
        <v>70</v>
      </c>
      <c r="G579" t="s">
        <v>52</v>
      </c>
      <c r="H579" t="s">
        <v>53</v>
      </c>
      <c r="I579">
        <v>96.3</v>
      </c>
      <c r="J579">
        <v>94.3</v>
      </c>
      <c r="K579">
        <v>96.3</v>
      </c>
      <c r="L579">
        <v>982627000</v>
      </c>
    </row>
    <row r="580" spans="1:12" hidden="1" x14ac:dyDescent="0.25">
      <c r="A580">
        <v>2017</v>
      </c>
      <c r="B580" t="s">
        <v>12</v>
      </c>
      <c r="C580">
        <v>11421573</v>
      </c>
      <c r="D580" t="s">
        <v>69</v>
      </c>
      <c r="E580" t="s">
        <v>14</v>
      </c>
      <c r="F580" t="s">
        <v>70</v>
      </c>
      <c r="G580" t="s">
        <v>22</v>
      </c>
      <c r="H580" t="s">
        <v>23</v>
      </c>
      <c r="I580">
        <v>111.61986215915999</v>
      </c>
      <c r="J580">
        <v>95.003435419368998</v>
      </c>
      <c r="K580">
        <v>111.61986215915999</v>
      </c>
      <c r="L580">
        <v>11421573</v>
      </c>
    </row>
    <row r="581" spans="1:12" hidden="1" x14ac:dyDescent="0.25">
      <c r="A581">
        <v>2017</v>
      </c>
      <c r="B581" t="s">
        <v>66</v>
      </c>
      <c r="C581">
        <v>640524000</v>
      </c>
      <c r="D581" t="s">
        <v>69</v>
      </c>
      <c r="E581" t="s">
        <v>14</v>
      </c>
      <c r="F581" t="s">
        <v>70</v>
      </c>
      <c r="G581" t="s">
        <v>22</v>
      </c>
      <c r="H581" t="s">
        <v>23</v>
      </c>
      <c r="I581">
        <v>97.5</v>
      </c>
      <c r="J581">
        <v>94.3</v>
      </c>
      <c r="K581">
        <v>97.5</v>
      </c>
      <c r="L581">
        <v>640524000</v>
      </c>
    </row>
    <row r="582" spans="1:12" hidden="1" x14ac:dyDescent="0.25">
      <c r="A582">
        <v>2017</v>
      </c>
      <c r="B582" t="s">
        <v>12</v>
      </c>
      <c r="C582">
        <v>2672490</v>
      </c>
      <c r="D582" t="s">
        <v>69</v>
      </c>
      <c r="E582" t="s">
        <v>14</v>
      </c>
      <c r="F582" t="s">
        <v>70</v>
      </c>
      <c r="G582" t="s">
        <v>54</v>
      </c>
      <c r="H582" t="s">
        <v>55</v>
      </c>
      <c r="I582">
        <v>98.189528995325006</v>
      </c>
      <c r="J582">
        <v>95.003435419368998</v>
      </c>
      <c r="K582">
        <v>98.189528995325006</v>
      </c>
      <c r="L582">
        <v>2672490</v>
      </c>
    </row>
    <row r="583" spans="1:12" hidden="1" x14ac:dyDescent="0.25">
      <c r="A583">
        <v>2017</v>
      </c>
      <c r="B583" t="s">
        <v>66</v>
      </c>
      <c r="C583">
        <v>227577000</v>
      </c>
      <c r="D583" t="s">
        <v>69</v>
      </c>
      <c r="E583" t="s">
        <v>14</v>
      </c>
      <c r="F583" t="s">
        <v>70</v>
      </c>
      <c r="G583" t="s">
        <v>54</v>
      </c>
      <c r="H583" t="s">
        <v>55</v>
      </c>
      <c r="I583">
        <v>97</v>
      </c>
      <c r="J583">
        <v>94.3</v>
      </c>
      <c r="K583">
        <v>97</v>
      </c>
      <c r="L583">
        <v>227577000</v>
      </c>
    </row>
    <row r="584" spans="1:12" hidden="1" x14ac:dyDescent="0.25">
      <c r="A584">
        <v>2017</v>
      </c>
      <c r="B584" t="s">
        <v>12</v>
      </c>
      <c r="C584">
        <v>24095339</v>
      </c>
      <c r="D584" t="s">
        <v>69</v>
      </c>
      <c r="E584" t="s">
        <v>14</v>
      </c>
      <c r="F584" t="s">
        <v>70</v>
      </c>
      <c r="G584" t="s">
        <v>38</v>
      </c>
      <c r="H584" t="s">
        <v>39</v>
      </c>
      <c r="I584">
        <v>96.253026824776995</v>
      </c>
      <c r="J584">
        <v>95.003435419368998</v>
      </c>
      <c r="K584">
        <v>96.253026824776995</v>
      </c>
      <c r="L584">
        <v>24095339</v>
      </c>
    </row>
    <row r="585" spans="1:12" hidden="1" x14ac:dyDescent="0.25">
      <c r="A585">
        <v>2017</v>
      </c>
      <c r="B585" t="s">
        <v>66</v>
      </c>
      <c r="C585">
        <v>170484000</v>
      </c>
      <c r="D585" t="s">
        <v>69</v>
      </c>
      <c r="E585" t="s">
        <v>14</v>
      </c>
      <c r="F585" t="s">
        <v>70</v>
      </c>
      <c r="G585" t="s">
        <v>38</v>
      </c>
      <c r="H585" t="s">
        <v>39</v>
      </c>
      <c r="I585">
        <v>96.1</v>
      </c>
      <c r="J585">
        <v>94.3</v>
      </c>
      <c r="K585">
        <v>96.1</v>
      </c>
      <c r="L585">
        <v>170484000</v>
      </c>
    </row>
    <row r="586" spans="1:12" hidden="1" x14ac:dyDescent="0.25">
      <c r="A586">
        <v>2017</v>
      </c>
      <c r="B586" t="s">
        <v>12</v>
      </c>
      <c r="C586">
        <v>14269415</v>
      </c>
      <c r="D586" t="s">
        <v>69</v>
      </c>
      <c r="E586" t="s">
        <v>14</v>
      </c>
      <c r="F586" t="s">
        <v>70</v>
      </c>
      <c r="G586" t="s">
        <v>26</v>
      </c>
      <c r="H586" t="s">
        <v>27</v>
      </c>
      <c r="I586">
        <v>111.61986215915999</v>
      </c>
      <c r="J586">
        <v>95.003435419368998</v>
      </c>
      <c r="K586">
        <v>111.61986215915999</v>
      </c>
      <c r="L586">
        <v>14269415</v>
      </c>
    </row>
    <row r="587" spans="1:12" hidden="1" x14ac:dyDescent="0.25">
      <c r="A587">
        <v>2017</v>
      </c>
      <c r="B587" t="s">
        <v>66</v>
      </c>
      <c r="C587">
        <v>172736000</v>
      </c>
      <c r="D587" t="s">
        <v>69</v>
      </c>
      <c r="E587" t="s">
        <v>14</v>
      </c>
      <c r="F587" t="s">
        <v>70</v>
      </c>
      <c r="G587" t="s">
        <v>26</v>
      </c>
      <c r="H587" t="s">
        <v>27</v>
      </c>
      <c r="I587">
        <v>97.8</v>
      </c>
      <c r="J587">
        <v>94.3</v>
      </c>
      <c r="K587">
        <v>97.8</v>
      </c>
      <c r="L587">
        <v>172736000</v>
      </c>
    </row>
    <row r="588" spans="1:12" hidden="1" x14ac:dyDescent="0.25">
      <c r="A588">
        <v>2017</v>
      </c>
      <c r="B588" t="s">
        <v>12</v>
      </c>
      <c r="C588">
        <v>3027847</v>
      </c>
      <c r="D588" t="s">
        <v>69</v>
      </c>
      <c r="E588" t="s">
        <v>14</v>
      </c>
      <c r="F588" t="s">
        <v>70</v>
      </c>
      <c r="G588" t="s">
        <v>60</v>
      </c>
      <c r="H588" t="s">
        <v>61</v>
      </c>
      <c r="J588">
        <v>95.003435419368998</v>
      </c>
      <c r="K588">
        <v>95.003435419368998</v>
      </c>
      <c r="L588">
        <v>3027847</v>
      </c>
    </row>
    <row r="589" spans="1:12" hidden="1" x14ac:dyDescent="0.25">
      <c r="A589">
        <v>2017</v>
      </c>
      <c r="B589" t="s">
        <v>66</v>
      </c>
      <c r="C589">
        <v>30974000</v>
      </c>
      <c r="D589" t="s">
        <v>69</v>
      </c>
      <c r="E589" t="s">
        <v>14</v>
      </c>
      <c r="F589" t="s">
        <v>70</v>
      </c>
      <c r="G589" t="s">
        <v>60</v>
      </c>
      <c r="H589" t="s">
        <v>61</v>
      </c>
      <c r="I589">
        <v>95.9</v>
      </c>
      <c r="J589">
        <v>94.3</v>
      </c>
      <c r="K589">
        <v>95.9</v>
      </c>
      <c r="L589">
        <v>30974000</v>
      </c>
    </row>
    <row r="590" spans="1:12" hidden="1" x14ac:dyDescent="0.25">
      <c r="A590">
        <v>2017</v>
      </c>
      <c r="B590" t="s">
        <v>12</v>
      </c>
      <c r="C590">
        <v>3021821</v>
      </c>
      <c r="D590" t="s">
        <v>69</v>
      </c>
      <c r="E590" t="s">
        <v>14</v>
      </c>
      <c r="F590" t="s">
        <v>70</v>
      </c>
      <c r="G590" t="s">
        <v>48</v>
      </c>
      <c r="H590" t="s">
        <v>49</v>
      </c>
      <c r="I590">
        <v>98.189528995325006</v>
      </c>
      <c r="J590">
        <v>95.003435419368998</v>
      </c>
      <c r="K590">
        <v>98.189528995325006</v>
      </c>
      <c r="L590">
        <v>3021821</v>
      </c>
    </row>
    <row r="591" spans="1:12" hidden="1" x14ac:dyDescent="0.25">
      <c r="A591">
        <v>2017</v>
      </c>
      <c r="B591" t="s">
        <v>66</v>
      </c>
      <c r="C591">
        <v>759586000</v>
      </c>
      <c r="D591" t="s">
        <v>69</v>
      </c>
      <c r="E591" t="s">
        <v>14</v>
      </c>
      <c r="F591" t="s">
        <v>70</v>
      </c>
      <c r="G591" t="s">
        <v>48</v>
      </c>
      <c r="H591" t="s">
        <v>49</v>
      </c>
      <c r="I591">
        <v>95.5</v>
      </c>
      <c r="J591">
        <v>94.3</v>
      </c>
      <c r="K591">
        <v>95.5</v>
      </c>
      <c r="L591">
        <v>759586000</v>
      </c>
    </row>
    <row r="592" spans="1:12" hidden="1" x14ac:dyDescent="0.25">
      <c r="A592">
        <v>2017</v>
      </c>
      <c r="B592" t="s">
        <v>12</v>
      </c>
      <c r="C592">
        <v>1389074</v>
      </c>
      <c r="D592" t="s">
        <v>69</v>
      </c>
      <c r="E592" t="s">
        <v>14</v>
      </c>
      <c r="F592" t="s">
        <v>70</v>
      </c>
      <c r="G592" t="s">
        <v>56</v>
      </c>
      <c r="H592" t="s">
        <v>57</v>
      </c>
      <c r="I592">
        <v>98.189528995325006</v>
      </c>
      <c r="J592">
        <v>95.003435419368998</v>
      </c>
      <c r="K592">
        <v>98.189528995325006</v>
      </c>
      <c r="L592">
        <v>1389074</v>
      </c>
    </row>
    <row r="593" spans="1:12" hidden="1" x14ac:dyDescent="0.25">
      <c r="A593">
        <v>2017</v>
      </c>
      <c r="B593" t="s">
        <v>66</v>
      </c>
      <c r="C593">
        <v>36701000</v>
      </c>
      <c r="D593" t="s">
        <v>69</v>
      </c>
      <c r="E593" t="s">
        <v>14</v>
      </c>
      <c r="F593" t="s">
        <v>70</v>
      </c>
      <c r="G593" t="s">
        <v>56</v>
      </c>
      <c r="H593" t="s">
        <v>57</v>
      </c>
      <c r="I593">
        <v>97</v>
      </c>
      <c r="J593">
        <v>94.3</v>
      </c>
      <c r="K593">
        <v>97</v>
      </c>
      <c r="L593">
        <v>36701000</v>
      </c>
    </row>
    <row r="594" spans="1:12" hidden="1" x14ac:dyDescent="0.25">
      <c r="A594">
        <v>2017</v>
      </c>
      <c r="B594" t="s">
        <v>66</v>
      </c>
      <c r="C594">
        <v>66390000</v>
      </c>
      <c r="D594" t="s">
        <v>69</v>
      </c>
      <c r="E594" t="s">
        <v>14</v>
      </c>
      <c r="F594" t="s">
        <v>70</v>
      </c>
      <c r="G594" t="s">
        <v>34</v>
      </c>
      <c r="H594" t="s">
        <v>35</v>
      </c>
      <c r="I594">
        <v>64.099999999999994</v>
      </c>
      <c r="J594">
        <v>94.3</v>
      </c>
      <c r="K594">
        <v>64.099999999999994</v>
      </c>
      <c r="L594">
        <v>66390000</v>
      </c>
    </row>
    <row r="595" spans="1:12" hidden="1" x14ac:dyDescent="0.25">
      <c r="A595">
        <v>2017</v>
      </c>
      <c r="B595" t="s">
        <v>66</v>
      </c>
      <c r="C595">
        <v>5468000</v>
      </c>
      <c r="D595" t="s">
        <v>69</v>
      </c>
      <c r="E595" t="s">
        <v>14</v>
      </c>
      <c r="F595" t="s">
        <v>70</v>
      </c>
      <c r="G595" t="s">
        <v>67</v>
      </c>
      <c r="H595" t="s">
        <v>68</v>
      </c>
      <c r="I595">
        <v>96.4</v>
      </c>
      <c r="J595">
        <v>94.3</v>
      </c>
      <c r="K595">
        <v>96.4</v>
      </c>
      <c r="L595">
        <v>5468000</v>
      </c>
    </row>
    <row r="596" spans="1:12" hidden="1" x14ac:dyDescent="0.25">
      <c r="A596">
        <v>2017</v>
      </c>
      <c r="B596" t="s">
        <v>12</v>
      </c>
      <c r="C596">
        <v>32761268</v>
      </c>
      <c r="D596" t="s">
        <v>69</v>
      </c>
      <c r="E596" t="s">
        <v>14</v>
      </c>
      <c r="F596" t="s">
        <v>70</v>
      </c>
      <c r="G596" t="s">
        <v>16</v>
      </c>
      <c r="H596" t="s">
        <v>17</v>
      </c>
      <c r="J596">
        <v>95.003435419368998</v>
      </c>
      <c r="K596">
        <v>95.003435419368998</v>
      </c>
      <c r="L596">
        <v>32761268</v>
      </c>
    </row>
    <row r="597" spans="1:12" hidden="1" x14ac:dyDescent="0.25">
      <c r="A597">
        <v>2016</v>
      </c>
      <c r="B597" t="s">
        <v>12</v>
      </c>
      <c r="C597">
        <v>1135090</v>
      </c>
      <c r="D597" t="s">
        <v>69</v>
      </c>
      <c r="E597" t="s">
        <v>14</v>
      </c>
      <c r="F597" t="s">
        <v>70</v>
      </c>
      <c r="G597" t="s">
        <v>32</v>
      </c>
      <c r="H597" t="s">
        <v>33</v>
      </c>
      <c r="I597">
        <v>66.424574274145002</v>
      </c>
      <c r="J597">
        <v>95.629262636448004</v>
      </c>
      <c r="K597">
        <v>66.424574274145002</v>
      </c>
      <c r="L597">
        <v>1135090</v>
      </c>
    </row>
    <row r="598" spans="1:12" hidden="1" x14ac:dyDescent="0.25">
      <c r="A598">
        <v>2016</v>
      </c>
      <c r="B598" t="s">
        <v>66</v>
      </c>
      <c r="C598">
        <v>36498000</v>
      </c>
      <c r="D598" t="s">
        <v>69</v>
      </c>
      <c r="E598" t="s">
        <v>14</v>
      </c>
      <c r="F598" t="s">
        <v>70</v>
      </c>
      <c r="G598" t="s">
        <v>32</v>
      </c>
      <c r="H598" t="s">
        <v>33</v>
      </c>
      <c r="I598">
        <v>93.1</v>
      </c>
      <c r="J598">
        <v>87.8</v>
      </c>
      <c r="K598">
        <v>93.1</v>
      </c>
      <c r="L598">
        <v>36498000</v>
      </c>
    </row>
    <row r="599" spans="1:12" hidden="1" x14ac:dyDescent="0.25">
      <c r="A599">
        <v>2016</v>
      </c>
      <c r="B599" t="s">
        <v>12</v>
      </c>
      <c r="C599">
        <v>31016877</v>
      </c>
      <c r="D599" t="s">
        <v>69</v>
      </c>
      <c r="E599" t="s">
        <v>14</v>
      </c>
      <c r="F599" t="s">
        <v>70</v>
      </c>
      <c r="G599" t="s">
        <v>18</v>
      </c>
      <c r="H599" t="s">
        <v>19</v>
      </c>
      <c r="I599">
        <v>96.618124512281994</v>
      </c>
      <c r="J599">
        <v>95.629262636448004</v>
      </c>
      <c r="K599">
        <v>96.618124512281994</v>
      </c>
      <c r="L599">
        <v>31016877</v>
      </c>
    </row>
    <row r="600" spans="1:12" hidden="1" x14ac:dyDescent="0.25">
      <c r="A600">
        <v>2016</v>
      </c>
      <c r="B600" t="s">
        <v>66</v>
      </c>
      <c r="C600">
        <v>2196004000</v>
      </c>
      <c r="D600" t="s">
        <v>69</v>
      </c>
      <c r="E600" t="s">
        <v>14</v>
      </c>
      <c r="F600" t="s">
        <v>70</v>
      </c>
      <c r="G600" t="s">
        <v>18</v>
      </c>
      <c r="H600" t="s">
        <v>19</v>
      </c>
      <c r="I600">
        <v>92.1</v>
      </c>
      <c r="J600">
        <v>87.8</v>
      </c>
      <c r="K600">
        <v>92.1</v>
      </c>
      <c r="L600">
        <v>2196004000</v>
      </c>
    </row>
    <row r="601" spans="1:12" hidden="1" x14ac:dyDescent="0.25">
      <c r="A601">
        <v>2016</v>
      </c>
      <c r="B601" t="s">
        <v>12</v>
      </c>
      <c r="C601">
        <v>13803356</v>
      </c>
      <c r="D601" t="s">
        <v>69</v>
      </c>
      <c r="E601" t="s">
        <v>14</v>
      </c>
      <c r="F601" t="s">
        <v>70</v>
      </c>
      <c r="G601" t="s">
        <v>28</v>
      </c>
      <c r="H601" t="s">
        <v>29</v>
      </c>
      <c r="I601">
        <v>106.15763962638999</v>
      </c>
      <c r="J601">
        <v>95.629262636448004</v>
      </c>
      <c r="K601">
        <v>106.15763962638999</v>
      </c>
      <c r="L601">
        <v>13803356</v>
      </c>
    </row>
    <row r="602" spans="1:12" hidden="1" x14ac:dyDescent="0.25">
      <c r="A602">
        <v>2016</v>
      </c>
      <c r="B602" t="s">
        <v>12</v>
      </c>
      <c r="C602">
        <v>3030562</v>
      </c>
      <c r="D602" t="s">
        <v>69</v>
      </c>
      <c r="E602" t="s">
        <v>14</v>
      </c>
      <c r="F602" t="s">
        <v>70</v>
      </c>
      <c r="G602" t="s">
        <v>16</v>
      </c>
      <c r="H602" t="s">
        <v>17</v>
      </c>
      <c r="J602">
        <v>95.629262636448004</v>
      </c>
      <c r="K602">
        <v>95.629262636448004</v>
      </c>
      <c r="L602">
        <v>3030562</v>
      </c>
    </row>
    <row r="603" spans="1:12" hidden="1" x14ac:dyDescent="0.25">
      <c r="A603">
        <v>2015</v>
      </c>
      <c r="B603" t="s">
        <v>12</v>
      </c>
      <c r="C603">
        <v>338909555</v>
      </c>
      <c r="D603" t="s">
        <v>69</v>
      </c>
      <c r="E603" t="s">
        <v>14</v>
      </c>
      <c r="F603" t="s">
        <v>70</v>
      </c>
      <c r="G603" t="s">
        <v>18</v>
      </c>
      <c r="H603" t="s">
        <v>19</v>
      </c>
      <c r="I603">
        <v>92.136318280468004</v>
      </c>
      <c r="J603">
        <v>96.211353938038002</v>
      </c>
      <c r="K603">
        <v>92.136318280468004</v>
      </c>
      <c r="L603">
        <v>338909555</v>
      </c>
    </row>
    <row r="604" spans="1:12" hidden="1" x14ac:dyDescent="0.25">
      <c r="A604">
        <v>2015</v>
      </c>
      <c r="B604" t="s">
        <v>66</v>
      </c>
      <c r="C604">
        <v>2156014000</v>
      </c>
      <c r="D604" t="s">
        <v>69</v>
      </c>
      <c r="E604" t="s">
        <v>14</v>
      </c>
      <c r="F604" t="s">
        <v>70</v>
      </c>
      <c r="G604" t="s">
        <v>18</v>
      </c>
      <c r="H604" t="s">
        <v>19</v>
      </c>
      <c r="I604">
        <v>87.2</v>
      </c>
      <c r="J604">
        <v>81.900000000000006</v>
      </c>
      <c r="K604">
        <v>87.2</v>
      </c>
      <c r="L604">
        <v>2156014000</v>
      </c>
    </row>
    <row r="605" spans="1:12" hidden="1" x14ac:dyDescent="0.25">
      <c r="A605">
        <v>2015</v>
      </c>
      <c r="B605" t="s">
        <v>12</v>
      </c>
      <c r="C605">
        <v>43131150</v>
      </c>
      <c r="D605" t="s">
        <v>69</v>
      </c>
      <c r="E605" t="s">
        <v>14</v>
      </c>
      <c r="F605" t="s">
        <v>70</v>
      </c>
      <c r="G605" t="s">
        <v>42</v>
      </c>
      <c r="H605" t="s">
        <v>43</v>
      </c>
      <c r="I605">
        <v>93.364041500221006</v>
      </c>
      <c r="J605">
        <v>96.211353938038002</v>
      </c>
      <c r="K605">
        <v>93.364041500221006</v>
      </c>
      <c r="L605">
        <v>43131150</v>
      </c>
    </row>
    <row r="606" spans="1:12" hidden="1" x14ac:dyDescent="0.25">
      <c r="A606">
        <v>2015</v>
      </c>
      <c r="B606" t="s">
        <v>66</v>
      </c>
      <c r="C606">
        <v>403939000</v>
      </c>
      <c r="D606" t="s">
        <v>69</v>
      </c>
      <c r="E606" t="s">
        <v>14</v>
      </c>
      <c r="F606" t="s">
        <v>70</v>
      </c>
      <c r="G606" t="s">
        <v>42</v>
      </c>
      <c r="H606" t="s">
        <v>43</v>
      </c>
      <c r="I606">
        <v>80.2</v>
      </c>
      <c r="J606">
        <v>81.900000000000006</v>
      </c>
      <c r="K606">
        <v>80.2</v>
      </c>
      <c r="L606">
        <v>403939000</v>
      </c>
    </row>
    <row r="607" spans="1:12" hidden="1" x14ac:dyDescent="0.25">
      <c r="A607">
        <v>2015</v>
      </c>
      <c r="B607" t="s">
        <v>12</v>
      </c>
      <c r="C607">
        <v>15737741</v>
      </c>
      <c r="D607" t="s">
        <v>69</v>
      </c>
      <c r="E607" t="s">
        <v>14</v>
      </c>
      <c r="F607" t="s">
        <v>70</v>
      </c>
      <c r="G607" t="s">
        <v>24</v>
      </c>
      <c r="H607" t="s">
        <v>25</v>
      </c>
      <c r="I607">
        <v>107.52442116425</v>
      </c>
      <c r="J607">
        <v>96.211353938038002</v>
      </c>
      <c r="K607">
        <v>107.52442116425</v>
      </c>
      <c r="L607">
        <v>15737741</v>
      </c>
    </row>
    <row r="608" spans="1:12" hidden="1" x14ac:dyDescent="0.25">
      <c r="A608">
        <v>2015</v>
      </c>
      <c r="B608" t="s">
        <v>66</v>
      </c>
      <c r="C608">
        <v>373225000</v>
      </c>
      <c r="D608" t="s">
        <v>69</v>
      </c>
      <c r="E608" t="s">
        <v>14</v>
      </c>
      <c r="F608" t="s">
        <v>70</v>
      </c>
      <c r="G608" t="s">
        <v>24</v>
      </c>
      <c r="H608" t="s">
        <v>25</v>
      </c>
      <c r="I608">
        <v>90.7</v>
      </c>
      <c r="J608">
        <v>81.900000000000006</v>
      </c>
      <c r="K608">
        <v>90.7</v>
      </c>
      <c r="L608">
        <v>373225000</v>
      </c>
    </row>
    <row r="609" spans="1:12" hidden="1" x14ac:dyDescent="0.25">
      <c r="A609">
        <v>2015</v>
      </c>
      <c r="B609" t="s">
        <v>12</v>
      </c>
      <c r="C609">
        <v>53799797</v>
      </c>
      <c r="D609" t="s">
        <v>69</v>
      </c>
      <c r="E609" t="s">
        <v>14</v>
      </c>
      <c r="F609" t="s">
        <v>70</v>
      </c>
      <c r="G609" t="s">
        <v>62</v>
      </c>
      <c r="H609" t="s">
        <v>63</v>
      </c>
      <c r="I609">
        <v>95.958177771508005</v>
      </c>
      <c r="J609">
        <v>96.211353938038002</v>
      </c>
      <c r="K609">
        <v>95.958177771508005</v>
      </c>
      <c r="L609">
        <v>53799797</v>
      </c>
    </row>
    <row r="610" spans="1:12" hidden="1" x14ac:dyDescent="0.25">
      <c r="A610">
        <v>2015</v>
      </c>
      <c r="B610" t="s">
        <v>12</v>
      </c>
      <c r="C610">
        <v>13594464</v>
      </c>
      <c r="D610" t="s">
        <v>69</v>
      </c>
      <c r="E610" t="s">
        <v>14</v>
      </c>
      <c r="F610" t="s">
        <v>70</v>
      </c>
      <c r="G610" t="s">
        <v>22</v>
      </c>
      <c r="H610" t="s">
        <v>23</v>
      </c>
      <c r="I610">
        <v>107.52442116425</v>
      </c>
      <c r="J610">
        <v>96.211353938038002</v>
      </c>
      <c r="K610">
        <v>107.52442116425</v>
      </c>
      <c r="L610">
        <v>13594464</v>
      </c>
    </row>
    <row r="611" spans="1:12" hidden="1" x14ac:dyDescent="0.25">
      <c r="A611">
        <v>2015</v>
      </c>
      <c r="B611" t="s">
        <v>66</v>
      </c>
      <c r="C611">
        <v>577439000</v>
      </c>
      <c r="D611" t="s">
        <v>69</v>
      </c>
      <c r="E611" t="s">
        <v>14</v>
      </c>
      <c r="F611" t="s">
        <v>70</v>
      </c>
      <c r="G611" t="s">
        <v>22</v>
      </c>
      <c r="H611" t="s">
        <v>23</v>
      </c>
      <c r="I611">
        <v>84.5</v>
      </c>
      <c r="J611">
        <v>81.900000000000006</v>
      </c>
      <c r="K611">
        <v>84.5</v>
      </c>
      <c r="L611">
        <v>577439000</v>
      </c>
    </row>
    <row r="612" spans="1:12" hidden="1" x14ac:dyDescent="0.25">
      <c r="A612">
        <v>2015</v>
      </c>
      <c r="B612" t="s">
        <v>12</v>
      </c>
      <c r="C612">
        <v>65355238</v>
      </c>
      <c r="D612" t="s">
        <v>69</v>
      </c>
      <c r="E612" t="s">
        <v>14</v>
      </c>
      <c r="F612" t="s">
        <v>70</v>
      </c>
      <c r="G612" t="s">
        <v>46</v>
      </c>
      <c r="H612" t="s">
        <v>47</v>
      </c>
      <c r="I612">
        <v>95.958177771508005</v>
      </c>
      <c r="J612">
        <v>96.211353938038002</v>
      </c>
      <c r="K612">
        <v>95.958177771508005</v>
      </c>
      <c r="L612">
        <v>65355238</v>
      </c>
    </row>
    <row r="613" spans="1:12" hidden="1" x14ac:dyDescent="0.25">
      <c r="A613">
        <v>2015</v>
      </c>
      <c r="B613" t="s">
        <v>66</v>
      </c>
      <c r="C613">
        <v>657681000</v>
      </c>
      <c r="D613" t="s">
        <v>69</v>
      </c>
      <c r="E613" t="s">
        <v>14</v>
      </c>
      <c r="F613" t="s">
        <v>70</v>
      </c>
      <c r="G613" t="s">
        <v>46</v>
      </c>
      <c r="H613" t="s">
        <v>47</v>
      </c>
      <c r="I613">
        <v>76</v>
      </c>
      <c r="J613">
        <v>81.900000000000006</v>
      </c>
      <c r="K613">
        <v>76</v>
      </c>
      <c r="L613">
        <v>657681000</v>
      </c>
    </row>
    <row r="614" spans="1:12" hidden="1" x14ac:dyDescent="0.25">
      <c r="A614">
        <v>2015</v>
      </c>
      <c r="B614" t="s">
        <v>12</v>
      </c>
      <c r="C614">
        <v>23263007</v>
      </c>
      <c r="D614" t="s">
        <v>69</v>
      </c>
      <c r="E614" t="s">
        <v>14</v>
      </c>
      <c r="F614" t="s">
        <v>70</v>
      </c>
      <c r="G614" t="s">
        <v>32</v>
      </c>
      <c r="H614" t="s">
        <v>33</v>
      </c>
      <c r="I614">
        <v>72.105553335238</v>
      </c>
      <c r="J614">
        <v>96.211353938038002</v>
      </c>
      <c r="K614">
        <v>72.105553335238</v>
      </c>
      <c r="L614">
        <v>23263007</v>
      </c>
    </row>
    <row r="615" spans="1:12" hidden="1" x14ac:dyDescent="0.25">
      <c r="A615">
        <v>2015</v>
      </c>
      <c r="B615" t="s">
        <v>66</v>
      </c>
      <c r="C615">
        <v>37405000</v>
      </c>
      <c r="D615" t="s">
        <v>69</v>
      </c>
      <c r="E615" t="s">
        <v>14</v>
      </c>
      <c r="F615" t="s">
        <v>70</v>
      </c>
      <c r="G615" t="s">
        <v>32</v>
      </c>
      <c r="H615" t="s">
        <v>33</v>
      </c>
      <c r="I615">
        <v>88.6</v>
      </c>
      <c r="J615">
        <v>81.900000000000006</v>
      </c>
      <c r="K615">
        <v>88.6</v>
      </c>
      <c r="L615">
        <v>37405000</v>
      </c>
    </row>
    <row r="616" spans="1:12" hidden="1" x14ac:dyDescent="0.25">
      <c r="A616">
        <v>2015</v>
      </c>
      <c r="B616" t="s">
        <v>12</v>
      </c>
      <c r="C616">
        <v>25867031</v>
      </c>
      <c r="D616" t="s">
        <v>69</v>
      </c>
      <c r="E616" t="s">
        <v>14</v>
      </c>
      <c r="F616" t="s">
        <v>70</v>
      </c>
      <c r="G616" t="s">
        <v>52</v>
      </c>
      <c r="H616" t="s">
        <v>53</v>
      </c>
      <c r="I616">
        <v>95.958177771508005</v>
      </c>
      <c r="J616">
        <v>96.211353938038002</v>
      </c>
      <c r="K616">
        <v>95.958177771508005</v>
      </c>
      <c r="L616">
        <v>25867031</v>
      </c>
    </row>
    <row r="617" spans="1:12" hidden="1" x14ac:dyDescent="0.25">
      <c r="A617">
        <v>2015</v>
      </c>
      <c r="B617" t="s">
        <v>66</v>
      </c>
      <c r="C617">
        <v>846912000</v>
      </c>
      <c r="D617" t="s">
        <v>69</v>
      </c>
      <c r="E617" t="s">
        <v>14</v>
      </c>
      <c r="F617" t="s">
        <v>70</v>
      </c>
      <c r="G617" t="s">
        <v>52</v>
      </c>
      <c r="H617" t="s">
        <v>53</v>
      </c>
      <c r="I617">
        <v>82.9</v>
      </c>
      <c r="J617">
        <v>81.900000000000006</v>
      </c>
      <c r="K617">
        <v>82.9</v>
      </c>
      <c r="L617">
        <v>846912000</v>
      </c>
    </row>
    <row r="618" spans="1:12" hidden="1" x14ac:dyDescent="0.25">
      <c r="A618">
        <v>2015</v>
      </c>
      <c r="B618" t="s">
        <v>12</v>
      </c>
      <c r="C618">
        <v>23285688</v>
      </c>
      <c r="D618" t="s">
        <v>69</v>
      </c>
      <c r="E618" t="s">
        <v>14</v>
      </c>
      <c r="F618" t="s">
        <v>70</v>
      </c>
      <c r="G618" t="s">
        <v>58</v>
      </c>
      <c r="H618" t="s">
        <v>59</v>
      </c>
      <c r="I618">
        <v>107.1615082093</v>
      </c>
      <c r="J618">
        <v>96.211353938038002</v>
      </c>
      <c r="K618">
        <v>107.1615082093</v>
      </c>
      <c r="L618">
        <v>23285688</v>
      </c>
    </row>
    <row r="619" spans="1:12" hidden="1" x14ac:dyDescent="0.25">
      <c r="A619">
        <v>2015</v>
      </c>
      <c r="B619" t="s">
        <v>66</v>
      </c>
      <c r="C619">
        <v>66201000</v>
      </c>
      <c r="D619" t="s">
        <v>69</v>
      </c>
      <c r="E619" t="s">
        <v>14</v>
      </c>
      <c r="F619" t="s">
        <v>70</v>
      </c>
      <c r="G619" t="s">
        <v>58</v>
      </c>
      <c r="H619" t="s">
        <v>59</v>
      </c>
      <c r="I619">
        <v>85.5</v>
      </c>
      <c r="J619">
        <v>81.900000000000006</v>
      </c>
      <c r="K619">
        <v>85.5</v>
      </c>
      <c r="L619">
        <v>66201000</v>
      </c>
    </row>
    <row r="620" spans="1:12" hidden="1" x14ac:dyDescent="0.25">
      <c r="A620">
        <v>2015</v>
      </c>
      <c r="B620" t="s">
        <v>12</v>
      </c>
      <c r="C620">
        <v>35511098</v>
      </c>
      <c r="D620" t="s">
        <v>69</v>
      </c>
      <c r="E620" t="s">
        <v>14</v>
      </c>
      <c r="F620" t="s">
        <v>70</v>
      </c>
      <c r="G620" t="s">
        <v>20</v>
      </c>
      <c r="H620" t="s">
        <v>21</v>
      </c>
      <c r="I620">
        <v>100.22588687651999</v>
      </c>
      <c r="J620">
        <v>96.211353938038002</v>
      </c>
      <c r="K620">
        <v>100.22588687651999</v>
      </c>
      <c r="L620">
        <v>35511098</v>
      </c>
    </row>
    <row r="621" spans="1:12" hidden="1" x14ac:dyDescent="0.25">
      <c r="A621">
        <v>2015</v>
      </c>
      <c r="B621" t="s">
        <v>66</v>
      </c>
      <c r="C621">
        <v>355384000</v>
      </c>
      <c r="D621" t="s">
        <v>69</v>
      </c>
      <c r="E621" t="s">
        <v>14</v>
      </c>
      <c r="F621" t="s">
        <v>70</v>
      </c>
      <c r="G621" t="s">
        <v>20</v>
      </c>
      <c r="H621" t="s">
        <v>21</v>
      </c>
      <c r="I621">
        <v>80</v>
      </c>
      <c r="J621">
        <v>81.900000000000006</v>
      </c>
      <c r="K621">
        <v>80</v>
      </c>
      <c r="L621">
        <v>355384000</v>
      </c>
    </row>
    <row r="622" spans="1:12" hidden="1" x14ac:dyDescent="0.25">
      <c r="A622">
        <v>2015</v>
      </c>
      <c r="B622" t="s">
        <v>12</v>
      </c>
      <c r="C622">
        <v>60593620</v>
      </c>
      <c r="D622" t="s">
        <v>69</v>
      </c>
      <c r="E622" t="s">
        <v>14</v>
      </c>
      <c r="F622" t="s">
        <v>70</v>
      </c>
      <c r="G622" t="s">
        <v>40</v>
      </c>
      <c r="H622" t="s">
        <v>41</v>
      </c>
      <c r="I622">
        <v>109.79561218418</v>
      </c>
      <c r="J622">
        <v>96.211353938038002</v>
      </c>
      <c r="K622">
        <v>109.79561218418</v>
      </c>
      <c r="L622">
        <v>60593620</v>
      </c>
    </row>
    <row r="623" spans="1:12" hidden="1" x14ac:dyDescent="0.25">
      <c r="A623">
        <v>2015</v>
      </c>
      <c r="B623" t="s">
        <v>66</v>
      </c>
      <c r="C623">
        <v>527797000</v>
      </c>
      <c r="D623" t="s">
        <v>69</v>
      </c>
      <c r="E623" t="s">
        <v>14</v>
      </c>
      <c r="F623" t="s">
        <v>70</v>
      </c>
      <c r="G623" t="s">
        <v>40</v>
      </c>
      <c r="H623" t="s">
        <v>41</v>
      </c>
      <c r="I623">
        <v>81.900000000000006</v>
      </c>
      <c r="J623">
        <v>81.900000000000006</v>
      </c>
      <c r="K623">
        <v>81.900000000000006</v>
      </c>
      <c r="L623">
        <v>527797000</v>
      </c>
    </row>
    <row r="624" spans="1:12" hidden="1" x14ac:dyDescent="0.25">
      <c r="A624">
        <v>2015</v>
      </c>
      <c r="B624" t="s">
        <v>12</v>
      </c>
      <c r="C624">
        <v>64569549</v>
      </c>
      <c r="D624" t="s">
        <v>69</v>
      </c>
      <c r="E624" t="s">
        <v>14</v>
      </c>
      <c r="F624" t="s">
        <v>70</v>
      </c>
      <c r="G624" t="s">
        <v>30</v>
      </c>
      <c r="H624" t="s">
        <v>31</v>
      </c>
      <c r="I624">
        <v>72.105553335238</v>
      </c>
      <c r="J624">
        <v>96.211353938038002</v>
      </c>
      <c r="K624">
        <v>72.105553335238</v>
      </c>
      <c r="L624">
        <v>64569549</v>
      </c>
    </row>
    <row r="625" spans="1:12" hidden="1" x14ac:dyDescent="0.25">
      <c r="A625">
        <v>2015</v>
      </c>
      <c r="B625" t="s">
        <v>66</v>
      </c>
      <c r="C625">
        <v>186639000</v>
      </c>
      <c r="D625" t="s">
        <v>69</v>
      </c>
      <c r="E625" t="s">
        <v>14</v>
      </c>
      <c r="F625" t="s">
        <v>70</v>
      </c>
      <c r="G625" t="s">
        <v>30</v>
      </c>
      <c r="H625" t="s">
        <v>31</v>
      </c>
      <c r="I625">
        <v>82</v>
      </c>
      <c r="J625">
        <v>81.900000000000006</v>
      </c>
      <c r="K625">
        <v>82</v>
      </c>
      <c r="L625">
        <v>186639000</v>
      </c>
    </row>
    <row r="626" spans="1:12" hidden="1" x14ac:dyDescent="0.25">
      <c r="A626">
        <v>2015</v>
      </c>
      <c r="B626" t="s">
        <v>12</v>
      </c>
      <c r="C626">
        <v>20191950</v>
      </c>
      <c r="D626" t="s">
        <v>69</v>
      </c>
      <c r="E626" t="s">
        <v>14</v>
      </c>
      <c r="F626" t="s">
        <v>70</v>
      </c>
      <c r="G626" t="s">
        <v>50</v>
      </c>
      <c r="H626" t="s">
        <v>51</v>
      </c>
      <c r="I626">
        <v>95.958177771508005</v>
      </c>
      <c r="J626">
        <v>96.211353938038002</v>
      </c>
      <c r="K626">
        <v>95.958177771508005</v>
      </c>
      <c r="L626">
        <v>20191950</v>
      </c>
    </row>
    <row r="627" spans="1:12" hidden="1" x14ac:dyDescent="0.25">
      <c r="A627">
        <v>2015</v>
      </c>
      <c r="B627" t="s">
        <v>66</v>
      </c>
      <c r="C627">
        <v>1049052000</v>
      </c>
      <c r="D627" t="s">
        <v>69</v>
      </c>
      <c r="E627" t="s">
        <v>14</v>
      </c>
      <c r="F627" t="s">
        <v>70</v>
      </c>
      <c r="G627" t="s">
        <v>50</v>
      </c>
      <c r="H627" t="s">
        <v>51</v>
      </c>
      <c r="I627">
        <v>84.9</v>
      </c>
      <c r="J627">
        <v>81.900000000000006</v>
      </c>
      <c r="K627">
        <v>84.9</v>
      </c>
      <c r="L627">
        <v>1049052000</v>
      </c>
    </row>
    <row r="628" spans="1:12" hidden="1" x14ac:dyDescent="0.25">
      <c r="A628">
        <v>2015</v>
      </c>
      <c r="B628" t="s">
        <v>12</v>
      </c>
      <c r="C628">
        <v>56771769</v>
      </c>
      <c r="D628" t="s">
        <v>69</v>
      </c>
      <c r="E628" t="s">
        <v>14</v>
      </c>
      <c r="F628" t="s">
        <v>70</v>
      </c>
      <c r="G628" t="s">
        <v>36</v>
      </c>
      <c r="H628" t="s">
        <v>37</v>
      </c>
      <c r="I628">
        <v>109.79561218418</v>
      </c>
      <c r="J628">
        <v>96.211353938038002</v>
      </c>
      <c r="K628">
        <v>109.79561218418</v>
      </c>
      <c r="L628">
        <v>56771769</v>
      </c>
    </row>
    <row r="629" spans="1:12" hidden="1" x14ac:dyDescent="0.25">
      <c r="A629">
        <v>2015</v>
      </c>
      <c r="B629" t="s">
        <v>66</v>
      </c>
      <c r="C629">
        <v>421788000</v>
      </c>
      <c r="D629" t="s">
        <v>69</v>
      </c>
      <c r="E629" t="s">
        <v>14</v>
      </c>
      <c r="F629" t="s">
        <v>70</v>
      </c>
      <c r="G629" t="s">
        <v>36</v>
      </c>
      <c r="H629" t="s">
        <v>37</v>
      </c>
      <c r="I629">
        <v>95.7</v>
      </c>
      <c r="J629">
        <v>81.900000000000006</v>
      </c>
      <c r="K629">
        <v>95.7</v>
      </c>
      <c r="L629">
        <v>421788000</v>
      </c>
    </row>
    <row r="630" spans="1:12" hidden="1" x14ac:dyDescent="0.25">
      <c r="A630">
        <v>2015</v>
      </c>
      <c r="B630" t="s">
        <v>12</v>
      </c>
      <c r="C630">
        <v>68648425</v>
      </c>
      <c r="D630" t="s">
        <v>69</v>
      </c>
      <c r="E630" t="s">
        <v>14</v>
      </c>
      <c r="F630" t="s">
        <v>70</v>
      </c>
      <c r="G630" t="s">
        <v>28</v>
      </c>
      <c r="H630" t="s">
        <v>29</v>
      </c>
      <c r="I630">
        <v>107.1615082093</v>
      </c>
      <c r="J630">
        <v>96.211353938038002</v>
      </c>
      <c r="K630">
        <v>107.1615082093</v>
      </c>
      <c r="L630">
        <v>68648425</v>
      </c>
    </row>
    <row r="631" spans="1:12" hidden="1" x14ac:dyDescent="0.25">
      <c r="A631">
        <v>2015</v>
      </c>
      <c r="B631" t="s">
        <v>66</v>
      </c>
      <c r="C631">
        <v>69459000</v>
      </c>
      <c r="D631" t="s">
        <v>69</v>
      </c>
      <c r="E631" t="s">
        <v>14</v>
      </c>
      <c r="F631" t="s">
        <v>70</v>
      </c>
      <c r="G631" t="s">
        <v>28</v>
      </c>
      <c r="H631" t="s">
        <v>29</v>
      </c>
      <c r="I631">
        <v>85.2</v>
      </c>
      <c r="J631">
        <v>81.900000000000006</v>
      </c>
      <c r="K631">
        <v>85.2</v>
      </c>
      <c r="L631">
        <v>69459000</v>
      </c>
    </row>
    <row r="632" spans="1:12" hidden="1" x14ac:dyDescent="0.25">
      <c r="A632">
        <v>2015</v>
      </c>
      <c r="B632" t="s">
        <v>12</v>
      </c>
      <c r="C632">
        <v>4222646</v>
      </c>
      <c r="D632" t="s">
        <v>69</v>
      </c>
      <c r="E632" t="s">
        <v>14</v>
      </c>
      <c r="F632" t="s">
        <v>70</v>
      </c>
      <c r="G632" t="s">
        <v>60</v>
      </c>
      <c r="H632" t="s">
        <v>61</v>
      </c>
      <c r="J632">
        <v>96.211353938038002</v>
      </c>
      <c r="K632">
        <v>96.211353938038002</v>
      </c>
      <c r="L632">
        <v>4222646</v>
      </c>
    </row>
    <row r="633" spans="1:12" hidden="1" x14ac:dyDescent="0.25">
      <c r="A633">
        <v>2015</v>
      </c>
      <c r="B633" t="s">
        <v>66</v>
      </c>
      <c r="C633">
        <v>30607000</v>
      </c>
      <c r="D633" t="s">
        <v>69</v>
      </c>
      <c r="E633" t="s">
        <v>14</v>
      </c>
      <c r="F633" t="s">
        <v>70</v>
      </c>
      <c r="G633" t="s">
        <v>60</v>
      </c>
      <c r="H633" t="s">
        <v>61</v>
      </c>
      <c r="I633">
        <v>86.4</v>
      </c>
      <c r="J633">
        <v>81.900000000000006</v>
      </c>
      <c r="K633">
        <v>86.4</v>
      </c>
      <c r="L633">
        <v>30607000</v>
      </c>
    </row>
    <row r="634" spans="1:12" hidden="1" x14ac:dyDescent="0.25">
      <c r="A634">
        <v>2015</v>
      </c>
      <c r="B634" t="s">
        <v>12</v>
      </c>
      <c r="C634">
        <v>2978456</v>
      </c>
      <c r="D634" t="s">
        <v>69</v>
      </c>
      <c r="E634" t="s">
        <v>14</v>
      </c>
      <c r="F634" t="s">
        <v>70</v>
      </c>
      <c r="G634" t="s">
        <v>54</v>
      </c>
      <c r="H634" t="s">
        <v>55</v>
      </c>
      <c r="I634">
        <v>95.958177771508005</v>
      </c>
      <c r="J634">
        <v>96.211353938038002</v>
      </c>
      <c r="K634">
        <v>95.958177771508005</v>
      </c>
      <c r="L634">
        <v>2978456</v>
      </c>
    </row>
    <row r="635" spans="1:12" hidden="1" x14ac:dyDescent="0.25">
      <c r="A635">
        <v>2015</v>
      </c>
      <c r="B635" t="s">
        <v>66</v>
      </c>
      <c r="C635">
        <v>199583000</v>
      </c>
      <c r="D635" t="s">
        <v>69</v>
      </c>
      <c r="E635" t="s">
        <v>14</v>
      </c>
      <c r="F635" t="s">
        <v>70</v>
      </c>
      <c r="G635" t="s">
        <v>54</v>
      </c>
      <c r="H635" t="s">
        <v>55</v>
      </c>
      <c r="I635">
        <v>82.9</v>
      </c>
      <c r="J635">
        <v>81.900000000000006</v>
      </c>
      <c r="K635">
        <v>82.9</v>
      </c>
      <c r="L635">
        <v>199583000</v>
      </c>
    </row>
    <row r="636" spans="1:12" hidden="1" x14ac:dyDescent="0.25">
      <c r="A636">
        <v>2015</v>
      </c>
      <c r="B636" t="s">
        <v>12</v>
      </c>
      <c r="C636">
        <v>23568781</v>
      </c>
      <c r="D636" t="s">
        <v>69</v>
      </c>
      <c r="E636" t="s">
        <v>14</v>
      </c>
      <c r="F636" t="s">
        <v>70</v>
      </c>
      <c r="G636" t="s">
        <v>38</v>
      </c>
      <c r="H636" t="s">
        <v>39</v>
      </c>
      <c r="I636">
        <v>109.79561218418</v>
      </c>
      <c r="J636">
        <v>96.211353938038002</v>
      </c>
      <c r="K636">
        <v>109.79561218418</v>
      </c>
      <c r="L636">
        <v>23568781</v>
      </c>
    </row>
    <row r="637" spans="1:12" hidden="1" x14ac:dyDescent="0.25">
      <c r="A637">
        <v>2015</v>
      </c>
      <c r="B637" t="s">
        <v>66</v>
      </c>
      <c r="C637">
        <v>145586000</v>
      </c>
      <c r="D637" t="s">
        <v>69</v>
      </c>
      <c r="E637" t="s">
        <v>14</v>
      </c>
      <c r="F637" t="s">
        <v>70</v>
      </c>
      <c r="G637" t="s">
        <v>38</v>
      </c>
      <c r="H637" t="s">
        <v>39</v>
      </c>
      <c r="I637">
        <v>95.7</v>
      </c>
      <c r="J637">
        <v>81.900000000000006</v>
      </c>
      <c r="K637">
        <v>95.7</v>
      </c>
      <c r="L637">
        <v>145586000</v>
      </c>
    </row>
    <row r="638" spans="1:12" hidden="1" x14ac:dyDescent="0.25">
      <c r="A638">
        <v>2015</v>
      </c>
      <c r="B638" t="s">
        <v>12</v>
      </c>
      <c r="C638">
        <v>17410492</v>
      </c>
      <c r="D638" t="s">
        <v>69</v>
      </c>
      <c r="E638" t="s">
        <v>14</v>
      </c>
      <c r="F638" t="s">
        <v>70</v>
      </c>
      <c r="G638" t="s">
        <v>44</v>
      </c>
      <c r="H638" t="s">
        <v>45</v>
      </c>
      <c r="I638">
        <v>93.364041500221006</v>
      </c>
      <c r="J638">
        <v>96.211353938038002</v>
      </c>
      <c r="K638">
        <v>93.364041500221006</v>
      </c>
      <c r="L638">
        <v>17410492</v>
      </c>
    </row>
    <row r="639" spans="1:12" hidden="1" x14ac:dyDescent="0.25">
      <c r="A639">
        <v>2015</v>
      </c>
      <c r="B639" t="s">
        <v>66</v>
      </c>
      <c r="C639">
        <v>273817000</v>
      </c>
      <c r="D639" t="s">
        <v>69</v>
      </c>
      <c r="E639" t="s">
        <v>14</v>
      </c>
      <c r="F639" t="s">
        <v>70</v>
      </c>
      <c r="G639" t="s">
        <v>44</v>
      </c>
      <c r="H639" t="s">
        <v>45</v>
      </c>
      <c r="I639">
        <v>73.2</v>
      </c>
      <c r="J639">
        <v>81.900000000000006</v>
      </c>
      <c r="K639">
        <v>73.2</v>
      </c>
      <c r="L639">
        <v>273817000</v>
      </c>
    </row>
    <row r="640" spans="1:12" hidden="1" x14ac:dyDescent="0.25">
      <c r="A640">
        <v>2015</v>
      </c>
      <c r="B640" t="s">
        <v>12</v>
      </c>
      <c r="C640">
        <v>14530361</v>
      </c>
      <c r="D640" t="s">
        <v>69</v>
      </c>
      <c r="E640" t="s">
        <v>14</v>
      </c>
      <c r="F640" t="s">
        <v>70</v>
      </c>
      <c r="G640" t="s">
        <v>26</v>
      </c>
      <c r="H640" t="s">
        <v>27</v>
      </c>
      <c r="I640">
        <v>107.52442116425</v>
      </c>
      <c r="J640">
        <v>96.211353938038002</v>
      </c>
      <c r="K640">
        <v>107.52442116425</v>
      </c>
      <c r="L640">
        <v>14530361</v>
      </c>
    </row>
    <row r="641" spans="1:12" hidden="1" x14ac:dyDescent="0.25">
      <c r="A641">
        <v>2015</v>
      </c>
      <c r="B641" t="s">
        <v>66</v>
      </c>
      <c r="C641">
        <v>177329000</v>
      </c>
      <c r="D641" t="s">
        <v>69</v>
      </c>
      <c r="E641" t="s">
        <v>14</v>
      </c>
      <c r="F641" t="s">
        <v>70</v>
      </c>
      <c r="G641" t="s">
        <v>26</v>
      </c>
      <c r="H641" t="s">
        <v>27</v>
      </c>
      <c r="I641">
        <v>90.8</v>
      </c>
      <c r="J641">
        <v>81.900000000000006</v>
      </c>
      <c r="K641">
        <v>90.8</v>
      </c>
      <c r="L641">
        <v>177329000</v>
      </c>
    </row>
    <row r="642" spans="1:12" hidden="1" x14ac:dyDescent="0.25">
      <c r="A642">
        <v>2015</v>
      </c>
      <c r="B642" t="s">
        <v>12</v>
      </c>
      <c r="C642">
        <v>14478815</v>
      </c>
      <c r="D642" t="s">
        <v>69</v>
      </c>
      <c r="E642" t="s">
        <v>14</v>
      </c>
      <c r="F642" t="s">
        <v>70</v>
      </c>
      <c r="G642" t="s">
        <v>48</v>
      </c>
      <c r="H642" t="s">
        <v>49</v>
      </c>
      <c r="I642">
        <v>95.958177771508005</v>
      </c>
      <c r="J642">
        <v>96.211353938038002</v>
      </c>
      <c r="K642">
        <v>95.958177771508005</v>
      </c>
      <c r="L642">
        <v>14478815</v>
      </c>
    </row>
    <row r="643" spans="1:12" hidden="1" x14ac:dyDescent="0.25">
      <c r="A643">
        <v>2015</v>
      </c>
      <c r="B643" t="s">
        <v>66</v>
      </c>
      <c r="C643">
        <v>675205000</v>
      </c>
      <c r="D643" t="s">
        <v>69</v>
      </c>
      <c r="E643" t="s">
        <v>14</v>
      </c>
      <c r="F643" t="s">
        <v>70</v>
      </c>
      <c r="G643" t="s">
        <v>48</v>
      </c>
      <c r="H643" t="s">
        <v>49</v>
      </c>
      <c r="I643">
        <v>83.4</v>
      </c>
      <c r="J643">
        <v>81.900000000000006</v>
      </c>
      <c r="K643">
        <v>83.4</v>
      </c>
      <c r="L643">
        <v>675205000</v>
      </c>
    </row>
    <row r="644" spans="1:12" hidden="1" x14ac:dyDescent="0.25">
      <c r="A644">
        <v>2015</v>
      </c>
      <c r="B644" t="s">
        <v>12</v>
      </c>
      <c r="C644">
        <v>868107</v>
      </c>
      <c r="D644" t="s">
        <v>69</v>
      </c>
      <c r="E644" t="s">
        <v>14</v>
      </c>
      <c r="F644" t="s">
        <v>70</v>
      </c>
      <c r="G644" t="s">
        <v>56</v>
      </c>
      <c r="H644" t="s">
        <v>57</v>
      </c>
      <c r="I644">
        <v>95.958177771508005</v>
      </c>
      <c r="J644">
        <v>96.211353938038002</v>
      </c>
      <c r="K644">
        <v>95.958177771508005</v>
      </c>
      <c r="L644">
        <v>868107</v>
      </c>
    </row>
    <row r="645" spans="1:12" hidden="1" x14ac:dyDescent="0.25">
      <c r="A645">
        <v>2015</v>
      </c>
      <c r="B645" t="s">
        <v>66</v>
      </c>
      <c r="C645">
        <v>38829000</v>
      </c>
      <c r="D645" t="s">
        <v>69</v>
      </c>
      <c r="E645" t="s">
        <v>14</v>
      </c>
      <c r="F645" t="s">
        <v>70</v>
      </c>
      <c r="G645" t="s">
        <v>56</v>
      </c>
      <c r="H645" t="s">
        <v>57</v>
      </c>
      <c r="I645">
        <v>82.9</v>
      </c>
      <c r="J645">
        <v>81.900000000000006</v>
      </c>
      <c r="K645">
        <v>82.9</v>
      </c>
      <c r="L645">
        <v>38829000</v>
      </c>
    </row>
    <row r="646" spans="1:12" hidden="1" x14ac:dyDescent="0.25">
      <c r="A646">
        <v>2015</v>
      </c>
      <c r="B646" t="s">
        <v>66</v>
      </c>
      <c r="C646">
        <v>5122000</v>
      </c>
      <c r="D646" t="s">
        <v>69</v>
      </c>
      <c r="E646" t="s">
        <v>14</v>
      </c>
      <c r="F646" t="s">
        <v>70</v>
      </c>
      <c r="G646" t="s">
        <v>67</v>
      </c>
      <c r="H646" t="s">
        <v>68</v>
      </c>
      <c r="I646">
        <v>80</v>
      </c>
      <c r="J646">
        <v>81.900000000000006</v>
      </c>
      <c r="K646">
        <v>80</v>
      </c>
      <c r="L646">
        <v>5122000</v>
      </c>
    </row>
    <row r="647" spans="1:12" hidden="1" x14ac:dyDescent="0.25">
      <c r="A647">
        <v>2015</v>
      </c>
      <c r="B647" t="s">
        <v>66</v>
      </c>
      <c r="C647">
        <v>73271000</v>
      </c>
      <c r="D647" t="s">
        <v>69</v>
      </c>
      <c r="E647" t="s">
        <v>14</v>
      </c>
      <c r="F647" t="s">
        <v>70</v>
      </c>
      <c r="G647" t="s">
        <v>34</v>
      </c>
      <c r="H647" t="s">
        <v>35</v>
      </c>
      <c r="I647">
        <v>47.6</v>
      </c>
      <c r="J647">
        <v>81.900000000000006</v>
      </c>
      <c r="K647">
        <v>47.6</v>
      </c>
      <c r="L647">
        <v>73271000</v>
      </c>
    </row>
    <row r="648" spans="1:12" hidden="1" x14ac:dyDescent="0.25">
      <c r="A648">
        <v>2015</v>
      </c>
      <c r="B648" t="s">
        <v>12</v>
      </c>
      <c r="C648">
        <v>22667312</v>
      </c>
      <c r="D648" t="s">
        <v>69</v>
      </c>
      <c r="E648" t="s">
        <v>14</v>
      </c>
      <c r="F648" t="s">
        <v>70</v>
      </c>
      <c r="G648" t="s">
        <v>16</v>
      </c>
      <c r="H648" t="s">
        <v>17</v>
      </c>
      <c r="J648">
        <v>96.211353938038002</v>
      </c>
      <c r="K648">
        <v>96.211353938038002</v>
      </c>
      <c r="L648">
        <v>22667312</v>
      </c>
    </row>
    <row r="649" spans="1:12" hidden="1" x14ac:dyDescent="0.25">
      <c r="A649">
        <v>2020</v>
      </c>
      <c r="B649" t="s">
        <v>12</v>
      </c>
      <c r="C649">
        <v>162764</v>
      </c>
      <c r="D649" t="s">
        <v>69</v>
      </c>
      <c r="E649" t="s">
        <v>14</v>
      </c>
      <c r="F649" t="s">
        <v>71</v>
      </c>
      <c r="G649" t="s">
        <v>18</v>
      </c>
      <c r="H649" t="s">
        <v>19</v>
      </c>
      <c r="I649">
        <v>107.43342807145</v>
      </c>
      <c r="J649">
        <v>103.59652904204</v>
      </c>
      <c r="K649">
        <v>107.43342807145</v>
      </c>
      <c r="L649">
        <v>162764</v>
      </c>
    </row>
    <row r="650" spans="1:12" hidden="1" x14ac:dyDescent="0.25">
      <c r="A650">
        <v>2020</v>
      </c>
      <c r="B650" t="s">
        <v>66</v>
      </c>
      <c r="C650">
        <v>838625</v>
      </c>
      <c r="D650" t="s">
        <v>69</v>
      </c>
      <c r="E650" t="s">
        <v>14</v>
      </c>
      <c r="F650" t="s">
        <v>71</v>
      </c>
      <c r="G650" t="s">
        <v>18</v>
      </c>
      <c r="H650" t="s">
        <v>19</v>
      </c>
      <c r="I650">
        <v>107.1</v>
      </c>
      <c r="J650">
        <v>108.6</v>
      </c>
      <c r="K650">
        <v>107.1</v>
      </c>
      <c r="L650">
        <v>838625</v>
      </c>
    </row>
    <row r="651" spans="1:12" hidden="1" x14ac:dyDescent="0.25">
      <c r="A651">
        <v>2020</v>
      </c>
      <c r="B651" t="s">
        <v>12</v>
      </c>
      <c r="C651">
        <v>25976</v>
      </c>
      <c r="D651" t="s">
        <v>69</v>
      </c>
      <c r="E651" t="s">
        <v>14</v>
      </c>
      <c r="F651" t="s">
        <v>71</v>
      </c>
      <c r="G651" t="s">
        <v>20</v>
      </c>
      <c r="H651" t="s">
        <v>21</v>
      </c>
      <c r="I651">
        <v>123.69234493793</v>
      </c>
      <c r="J651">
        <v>103.59652904204</v>
      </c>
      <c r="K651">
        <v>123.69234493793</v>
      </c>
      <c r="L651">
        <v>25976</v>
      </c>
    </row>
    <row r="652" spans="1:12" hidden="1" x14ac:dyDescent="0.25">
      <c r="A652">
        <v>2020</v>
      </c>
      <c r="B652" t="s">
        <v>66</v>
      </c>
      <c r="C652">
        <v>148950</v>
      </c>
      <c r="D652" t="s">
        <v>69</v>
      </c>
      <c r="E652" t="s">
        <v>14</v>
      </c>
      <c r="F652" t="s">
        <v>71</v>
      </c>
      <c r="G652" t="s">
        <v>20</v>
      </c>
      <c r="H652" t="s">
        <v>21</v>
      </c>
      <c r="I652">
        <v>109.5</v>
      </c>
      <c r="J652">
        <v>108.6</v>
      </c>
      <c r="K652">
        <v>109.5</v>
      </c>
      <c r="L652">
        <v>148950</v>
      </c>
    </row>
    <row r="653" spans="1:12" hidden="1" x14ac:dyDescent="0.25">
      <c r="A653">
        <v>2020</v>
      </c>
      <c r="B653" t="s">
        <v>66</v>
      </c>
      <c r="C653">
        <v>2359</v>
      </c>
      <c r="D653" t="s">
        <v>69</v>
      </c>
      <c r="E653" t="s">
        <v>14</v>
      </c>
      <c r="F653" t="s">
        <v>71</v>
      </c>
      <c r="G653" t="s">
        <v>67</v>
      </c>
      <c r="H653" t="s">
        <v>68</v>
      </c>
      <c r="I653">
        <v>109.5</v>
      </c>
      <c r="J653">
        <v>108.6</v>
      </c>
      <c r="K653">
        <v>109.5</v>
      </c>
      <c r="L653">
        <v>2359</v>
      </c>
    </row>
    <row r="654" spans="1:12" hidden="1" x14ac:dyDescent="0.25">
      <c r="A654">
        <v>2020</v>
      </c>
      <c r="B654" t="s">
        <v>12</v>
      </c>
      <c r="C654">
        <v>4192</v>
      </c>
      <c r="D654" t="s">
        <v>69</v>
      </c>
      <c r="E654" t="s">
        <v>14</v>
      </c>
      <c r="F654" t="s">
        <v>71</v>
      </c>
      <c r="G654" t="s">
        <v>22</v>
      </c>
      <c r="H654" t="s">
        <v>23</v>
      </c>
      <c r="I654">
        <v>71.728747032472995</v>
      </c>
      <c r="J654">
        <v>103.59652904204</v>
      </c>
      <c r="K654">
        <v>71.728747032472995</v>
      </c>
      <c r="L654">
        <v>4192</v>
      </c>
    </row>
    <row r="655" spans="1:12" hidden="1" x14ac:dyDescent="0.25">
      <c r="A655">
        <v>2020</v>
      </c>
      <c r="B655" t="s">
        <v>66</v>
      </c>
      <c r="C655">
        <v>278997</v>
      </c>
      <c r="D655" t="s">
        <v>69</v>
      </c>
      <c r="E655" t="s">
        <v>14</v>
      </c>
      <c r="F655" t="s">
        <v>71</v>
      </c>
      <c r="G655" t="s">
        <v>22</v>
      </c>
      <c r="H655" t="s">
        <v>23</v>
      </c>
      <c r="I655">
        <v>105.5</v>
      </c>
      <c r="J655">
        <v>108.6</v>
      </c>
      <c r="K655">
        <v>105.5</v>
      </c>
      <c r="L655">
        <v>278997</v>
      </c>
    </row>
    <row r="656" spans="1:12" hidden="1" x14ac:dyDescent="0.25">
      <c r="A656">
        <v>2020</v>
      </c>
      <c r="B656" t="s">
        <v>12</v>
      </c>
      <c r="C656">
        <v>4408</v>
      </c>
      <c r="D656" t="s">
        <v>69</v>
      </c>
      <c r="E656" t="s">
        <v>14</v>
      </c>
      <c r="F656" t="s">
        <v>71</v>
      </c>
      <c r="G656" t="s">
        <v>24</v>
      </c>
      <c r="H656" t="s">
        <v>25</v>
      </c>
      <c r="I656">
        <v>71.728747032472995</v>
      </c>
      <c r="J656">
        <v>103.59652904204</v>
      </c>
      <c r="K656">
        <v>71.728747032472995</v>
      </c>
      <c r="L656">
        <v>4408</v>
      </c>
    </row>
    <row r="657" spans="1:12" hidden="1" x14ac:dyDescent="0.25">
      <c r="A657">
        <v>2020</v>
      </c>
      <c r="B657" t="s">
        <v>66</v>
      </c>
      <c r="C657">
        <v>132083</v>
      </c>
      <c r="D657" t="s">
        <v>69</v>
      </c>
      <c r="E657" t="s">
        <v>14</v>
      </c>
      <c r="F657" t="s">
        <v>71</v>
      </c>
      <c r="G657" t="s">
        <v>24</v>
      </c>
      <c r="H657" t="s">
        <v>25</v>
      </c>
      <c r="I657">
        <v>110.2</v>
      </c>
      <c r="J657">
        <v>108.6</v>
      </c>
      <c r="K657">
        <v>110.2</v>
      </c>
      <c r="L657">
        <v>132083</v>
      </c>
    </row>
    <row r="658" spans="1:12" hidden="1" x14ac:dyDescent="0.25">
      <c r="A658">
        <v>2020</v>
      </c>
      <c r="B658" t="s">
        <v>12</v>
      </c>
      <c r="C658">
        <v>1373</v>
      </c>
      <c r="D658" t="s">
        <v>69</v>
      </c>
      <c r="E658" t="s">
        <v>14</v>
      </c>
      <c r="F658" t="s">
        <v>71</v>
      </c>
      <c r="G658" t="s">
        <v>26</v>
      </c>
      <c r="H658" t="s">
        <v>27</v>
      </c>
      <c r="I658">
        <v>71.728747032472995</v>
      </c>
      <c r="J658">
        <v>103.59652904204</v>
      </c>
      <c r="K658">
        <v>71.728747032472995</v>
      </c>
      <c r="L658">
        <v>1373</v>
      </c>
    </row>
    <row r="659" spans="1:12" hidden="1" x14ac:dyDescent="0.25">
      <c r="A659">
        <v>2020</v>
      </c>
      <c r="B659" t="s">
        <v>66</v>
      </c>
      <c r="C659">
        <v>62627</v>
      </c>
      <c r="D659" t="s">
        <v>69</v>
      </c>
      <c r="E659" t="s">
        <v>14</v>
      </c>
      <c r="F659" t="s">
        <v>71</v>
      </c>
      <c r="G659" t="s">
        <v>26</v>
      </c>
      <c r="H659" t="s">
        <v>27</v>
      </c>
      <c r="I659">
        <v>105.1</v>
      </c>
      <c r="J659">
        <v>108.6</v>
      </c>
      <c r="K659">
        <v>105.1</v>
      </c>
      <c r="L659">
        <v>62627</v>
      </c>
    </row>
    <row r="660" spans="1:12" hidden="1" x14ac:dyDescent="0.25">
      <c r="A660">
        <v>2020</v>
      </c>
      <c r="B660" t="s">
        <v>12</v>
      </c>
      <c r="C660">
        <v>26149</v>
      </c>
      <c r="D660" t="s">
        <v>69</v>
      </c>
      <c r="E660" t="s">
        <v>14</v>
      </c>
      <c r="F660" t="s">
        <v>71</v>
      </c>
      <c r="G660" t="s">
        <v>28</v>
      </c>
      <c r="H660" t="s">
        <v>29</v>
      </c>
      <c r="I660">
        <v>110.87139466242</v>
      </c>
      <c r="J660">
        <v>103.59652904204</v>
      </c>
      <c r="K660">
        <v>110.87139466242</v>
      </c>
      <c r="L660">
        <v>26149</v>
      </c>
    </row>
    <row r="661" spans="1:12" hidden="1" x14ac:dyDescent="0.25">
      <c r="A661">
        <v>2020</v>
      </c>
      <c r="B661" t="s">
        <v>66</v>
      </c>
      <c r="C661">
        <v>27647</v>
      </c>
      <c r="D661" t="s">
        <v>69</v>
      </c>
      <c r="E661" t="s">
        <v>14</v>
      </c>
      <c r="F661" t="s">
        <v>71</v>
      </c>
      <c r="G661" t="s">
        <v>28</v>
      </c>
      <c r="H661" t="s">
        <v>29</v>
      </c>
      <c r="I661">
        <v>108.1</v>
      </c>
      <c r="J661">
        <v>108.6</v>
      </c>
      <c r="K661">
        <v>108.1</v>
      </c>
      <c r="L661">
        <v>27647</v>
      </c>
    </row>
    <row r="662" spans="1:12" hidden="1" x14ac:dyDescent="0.25">
      <c r="A662">
        <v>2020</v>
      </c>
      <c r="B662" t="s">
        <v>12</v>
      </c>
      <c r="C662">
        <v>24193</v>
      </c>
      <c r="D662" t="s">
        <v>69</v>
      </c>
      <c r="E662" t="s">
        <v>14</v>
      </c>
      <c r="F662" t="s">
        <v>71</v>
      </c>
      <c r="G662" t="s">
        <v>30</v>
      </c>
      <c r="H662" t="s">
        <v>31</v>
      </c>
      <c r="I662">
        <v>65.215368011810995</v>
      </c>
      <c r="J662">
        <v>103.59652904204</v>
      </c>
      <c r="K662">
        <v>65.215368011810995</v>
      </c>
      <c r="L662">
        <v>24193</v>
      </c>
    </row>
    <row r="663" spans="1:12" hidden="1" x14ac:dyDescent="0.25">
      <c r="A663">
        <v>2020</v>
      </c>
      <c r="B663" t="s">
        <v>66</v>
      </c>
      <c r="C663">
        <v>76896</v>
      </c>
      <c r="D663" t="s">
        <v>69</v>
      </c>
      <c r="E663" t="s">
        <v>14</v>
      </c>
      <c r="F663" t="s">
        <v>71</v>
      </c>
      <c r="G663" t="s">
        <v>30</v>
      </c>
      <c r="H663" t="s">
        <v>31</v>
      </c>
      <c r="I663">
        <v>107.4</v>
      </c>
      <c r="J663">
        <v>108.6</v>
      </c>
      <c r="K663">
        <v>107.4</v>
      </c>
      <c r="L663">
        <v>76896</v>
      </c>
    </row>
    <row r="664" spans="1:12" hidden="1" x14ac:dyDescent="0.25">
      <c r="A664">
        <v>2020</v>
      </c>
      <c r="B664" t="s">
        <v>12</v>
      </c>
      <c r="C664">
        <v>5445</v>
      </c>
      <c r="D664" t="s">
        <v>69</v>
      </c>
      <c r="E664" t="s">
        <v>14</v>
      </c>
      <c r="F664" t="s">
        <v>71</v>
      </c>
      <c r="G664" t="s">
        <v>32</v>
      </c>
      <c r="H664" t="s">
        <v>33</v>
      </c>
      <c r="I664">
        <v>65.215368011810995</v>
      </c>
      <c r="J664">
        <v>103.59652904204</v>
      </c>
      <c r="K664">
        <v>65.215368011810995</v>
      </c>
      <c r="L664">
        <v>5445</v>
      </c>
    </row>
    <row r="665" spans="1:12" hidden="1" x14ac:dyDescent="0.25">
      <c r="A665">
        <v>2020</v>
      </c>
      <c r="B665" t="s">
        <v>66</v>
      </c>
      <c r="C665">
        <v>13594</v>
      </c>
      <c r="D665" t="s">
        <v>69</v>
      </c>
      <c r="E665" t="s">
        <v>14</v>
      </c>
      <c r="F665" t="s">
        <v>71</v>
      </c>
      <c r="G665" t="s">
        <v>32</v>
      </c>
      <c r="H665" t="s">
        <v>33</v>
      </c>
      <c r="I665">
        <v>109.7</v>
      </c>
      <c r="J665">
        <v>108.6</v>
      </c>
      <c r="K665">
        <v>109.7</v>
      </c>
      <c r="L665">
        <v>13594</v>
      </c>
    </row>
    <row r="666" spans="1:12" hidden="1" x14ac:dyDescent="0.25">
      <c r="A666">
        <v>2020</v>
      </c>
      <c r="B666" t="s">
        <v>66</v>
      </c>
      <c r="C666">
        <v>26784</v>
      </c>
      <c r="D666" t="s">
        <v>69</v>
      </c>
      <c r="E666" t="s">
        <v>14</v>
      </c>
      <c r="F666" t="s">
        <v>71</v>
      </c>
      <c r="G666" t="s">
        <v>34</v>
      </c>
      <c r="H666" t="s">
        <v>35</v>
      </c>
      <c r="I666">
        <v>100.6</v>
      </c>
      <c r="J666">
        <v>108.6</v>
      </c>
      <c r="K666">
        <v>100.6</v>
      </c>
      <c r="L666">
        <v>26784</v>
      </c>
    </row>
    <row r="667" spans="1:12" hidden="1" x14ac:dyDescent="0.25">
      <c r="A667">
        <v>2020</v>
      </c>
      <c r="B667" t="s">
        <v>12</v>
      </c>
      <c r="C667">
        <v>26833</v>
      </c>
      <c r="D667" t="s">
        <v>69</v>
      </c>
      <c r="E667" t="s">
        <v>14</v>
      </c>
      <c r="F667" t="s">
        <v>71</v>
      </c>
      <c r="G667" t="s">
        <v>36</v>
      </c>
      <c r="H667" t="s">
        <v>37</v>
      </c>
      <c r="I667">
        <v>100.20302658438</v>
      </c>
      <c r="J667">
        <v>103.59652904204</v>
      </c>
      <c r="K667">
        <v>100.20302658438</v>
      </c>
      <c r="L667">
        <v>26833</v>
      </c>
    </row>
    <row r="668" spans="1:12" hidden="1" x14ac:dyDescent="0.25">
      <c r="A668">
        <v>2020</v>
      </c>
      <c r="B668" t="s">
        <v>66</v>
      </c>
      <c r="C668">
        <v>183534</v>
      </c>
      <c r="D668" t="s">
        <v>69</v>
      </c>
      <c r="E668" t="s">
        <v>14</v>
      </c>
      <c r="F668" t="s">
        <v>71</v>
      </c>
      <c r="G668" t="s">
        <v>36</v>
      </c>
      <c r="H668" t="s">
        <v>37</v>
      </c>
      <c r="I668">
        <v>103.9</v>
      </c>
      <c r="J668">
        <v>108.6</v>
      </c>
      <c r="K668">
        <v>103.9</v>
      </c>
      <c r="L668">
        <v>183534</v>
      </c>
    </row>
    <row r="669" spans="1:12" hidden="1" x14ac:dyDescent="0.25">
      <c r="A669">
        <v>2020</v>
      </c>
      <c r="B669" t="s">
        <v>12</v>
      </c>
      <c r="C669">
        <v>10723</v>
      </c>
      <c r="D669" t="s">
        <v>69</v>
      </c>
      <c r="E669" t="s">
        <v>14</v>
      </c>
      <c r="F669" t="s">
        <v>71</v>
      </c>
      <c r="G669" t="s">
        <v>38</v>
      </c>
      <c r="H669" t="s">
        <v>39</v>
      </c>
      <c r="I669">
        <v>100.20302658438</v>
      </c>
      <c r="J669">
        <v>103.59652904204</v>
      </c>
      <c r="K669">
        <v>100.20302658438</v>
      </c>
      <c r="L669">
        <v>10723</v>
      </c>
    </row>
    <row r="670" spans="1:12" hidden="1" x14ac:dyDescent="0.25">
      <c r="A670">
        <v>2020</v>
      </c>
      <c r="B670" t="s">
        <v>66</v>
      </c>
      <c r="C670">
        <v>79365</v>
      </c>
      <c r="D670" t="s">
        <v>69</v>
      </c>
      <c r="E670" t="s">
        <v>14</v>
      </c>
      <c r="F670" t="s">
        <v>71</v>
      </c>
      <c r="G670" t="s">
        <v>38</v>
      </c>
      <c r="H670" t="s">
        <v>39</v>
      </c>
      <c r="I670">
        <v>103.9</v>
      </c>
      <c r="J670">
        <v>108.6</v>
      </c>
      <c r="K670">
        <v>103.9</v>
      </c>
      <c r="L670">
        <v>79365</v>
      </c>
    </row>
    <row r="671" spans="1:12" hidden="1" x14ac:dyDescent="0.25">
      <c r="A671">
        <v>2020</v>
      </c>
      <c r="B671" t="s">
        <v>12</v>
      </c>
      <c r="C671">
        <v>24196</v>
      </c>
      <c r="D671" t="s">
        <v>69</v>
      </c>
      <c r="E671" t="s">
        <v>14</v>
      </c>
      <c r="F671" t="s">
        <v>71</v>
      </c>
      <c r="G671" t="s">
        <v>40</v>
      </c>
      <c r="H671" t="s">
        <v>41</v>
      </c>
      <c r="I671">
        <v>100.20302658438</v>
      </c>
      <c r="J671">
        <v>103.59652904204</v>
      </c>
      <c r="K671">
        <v>100.20302658438</v>
      </c>
      <c r="L671">
        <v>24196</v>
      </c>
    </row>
    <row r="672" spans="1:12" hidden="1" x14ac:dyDescent="0.25">
      <c r="A672">
        <v>2020</v>
      </c>
      <c r="B672" t="s">
        <v>66</v>
      </c>
      <c r="C672">
        <v>248879</v>
      </c>
      <c r="D672" t="s">
        <v>69</v>
      </c>
      <c r="E672" t="s">
        <v>14</v>
      </c>
      <c r="F672" t="s">
        <v>71</v>
      </c>
      <c r="G672" t="s">
        <v>40</v>
      </c>
      <c r="H672" t="s">
        <v>41</v>
      </c>
      <c r="I672">
        <v>105.6</v>
      </c>
      <c r="J672">
        <v>108.6</v>
      </c>
      <c r="K672">
        <v>105.6</v>
      </c>
      <c r="L672">
        <v>248879</v>
      </c>
    </row>
    <row r="673" spans="1:12" hidden="1" x14ac:dyDescent="0.25">
      <c r="A673">
        <v>2020</v>
      </c>
      <c r="B673" t="s">
        <v>12</v>
      </c>
      <c r="C673">
        <v>17218</v>
      </c>
      <c r="D673" t="s">
        <v>69</v>
      </c>
      <c r="E673" t="s">
        <v>14</v>
      </c>
      <c r="F673" t="s">
        <v>71</v>
      </c>
      <c r="G673" t="s">
        <v>42</v>
      </c>
      <c r="H673" t="s">
        <v>43</v>
      </c>
      <c r="I673">
        <v>104.48191541983</v>
      </c>
      <c r="J673">
        <v>103.59652904204</v>
      </c>
      <c r="K673">
        <v>104.48191541983</v>
      </c>
      <c r="L673">
        <v>17218</v>
      </c>
    </row>
    <row r="674" spans="1:12" hidden="1" x14ac:dyDescent="0.25">
      <c r="A674">
        <v>2020</v>
      </c>
      <c r="B674" t="s">
        <v>66</v>
      </c>
      <c r="C674">
        <v>163668</v>
      </c>
      <c r="D674" t="s">
        <v>69</v>
      </c>
      <c r="E674" t="s">
        <v>14</v>
      </c>
      <c r="F674" t="s">
        <v>71</v>
      </c>
      <c r="G674" t="s">
        <v>42</v>
      </c>
      <c r="H674" t="s">
        <v>43</v>
      </c>
      <c r="I674">
        <v>108.2</v>
      </c>
      <c r="J674">
        <v>108.6</v>
      </c>
      <c r="K674">
        <v>108.2</v>
      </c>
      <c r="L674">
        <v>163668</v>
      </c>
    </row>
    <row r="675" spans="1:12" hidden="1" x14ac:dyDescent="0.25">
      <c r="A675">
        <v>2020</v>
      </c>
      <c r="B675" t="s">
        <v>12</v>
      </c>
      <c r="C675">
        <v>8832</v>
      </c>
      <c r="D675" t="s">
        <v>69</v>
      </c>
      <c r="E675" t="s">
        <v>14</v>
      </c>
      <c r="F675" t="s">
        <v>71</v>
      </c>
      <c r="G675" t="s">
        <v>44</v>
      </c>
      <c r="H675" t="s">
        <v>45</v>
      </c>
      <c r="I675">
        <v>104.48191541983</v>
      </c>
      <c r="J675">
        <v>103.59652904204</v>
      </c>
      <c r="K675">
        <v>104.48191541983</v>
      </c>
      <c r="L675">
        <v>8832</v>
      </c>
    </row>
    <row r="676" spans="1:12" hidden="1" x14ac:dyDescent="0.25">
      <c r="A676">
        <v>2020</v>
      </c>
      <c r="B676" t="s">
        <v>66</v>
      </c>
      <c r="C676">
        <v>115048</v>
      </c>
      <c r="D676" t="s">
        <v>69</v>
      </c>
      <c r="E676" t="s">
        <v>14</v>
      </c>
      <c r="F676" t="s">
        <v>71</v>
      </c>
      <c r="G676" t="s">
        <v>44</v>
      </c>
      <c r="H676" t="s">
        <v>45</v>
      </c>
      <c r="I676">
        <v>111.8</v>
      </c>
      <c r="J676">
        <v>108.6</v>
      </c>
      <c r="K676">
        <v>111.8</v>
      </c>
      <c r="L676">
        <v>115048</v>
      </c>
    </row>
    <row r="677" spans="1:12" hidden="1" x14ac:dyDescent="0.25">
      <c r="A677">
        <v>2020</v>
      </c>
      <c r="B677" t="s">
        <v>12</v>
      </c>
      <c r="C677">
        <v>27332</v>
      </c>
      <c r="D677" t="s">
        <v>69</v>
      </c>
      <c r="E677" t="s">
        <v>14</v>
      </c>
      <c r="F677" t="s">
        <v>71</v>
      </c>
      <c r="G677" t="s">
        <v>46</v>
      </c>
      <c r="H677" t="s">
        <v>47</v>
      </c>
      <c r="I677">
        <v>113.44450268036999</v>
      </c>
      <c r="J677">
        <v>103.59652904204</v>
      </c>
      <c r="K677">
        <v>113.44450268036999</v>
      </c>
      <c r="L677">
        <v>27332</v>
      </c>
    </row>
    <row r="678" spans="1:12" hidden="1" x14ac:dyDescent="0.25">
      <c r="A678">
        <v>2020</v>
      </c>
      <c r="B678" t="s">
        <v>66</v>
      </c>
      <c r="C678">
        <v>303739</v>
      </c>
      <c r="D678" t="s">
        <v>69</v>
      </c>
      <c r="E678" t="s">
        <v>14</v>
      </c>
      <c r="F678" t="s">
        <v>71</v>
      </c>
      <c r="G678" t="s">
        <v>46</v>
      </c>
      <c r="H678" t="s">
        <v>47</v>
      </c>
      <c r="I678">
        <v>109.5</v>
      </c>
      <c r="J678">
        <v>108.6</v>
      </c>
      <c r="K678">
        <v>109.5</v>
      </c>
      <c r="L678">
        <v>303739</v>
      </c>
    </row>
    <row r="679" spans="1:12" hidden="1" x14ac:dyDescent="0.25">
      <c r="A679">
        <v>2020</v>
      </c>
      <c r="B679" t="s">
        <v>12</v>
      </c>
      <c r="C679">
        <v>171</v>
      </c>
      <c r="D679" t="s">
        <v>69</v>
      </c>
      <c r="E679" t="s">
        <v>14</v>
      </c>
      <c r="F679" t="s">
        <v>71</v>
      </c>
      <c r="G679" t="s">
        <v>48</v>
      </c>
      <c r="H679" t="s">
        <v>49</v>
      </c>
      <c r="I679">
        <v>113.44450268036999</v>
      </c>
      <c r="J679">
        <v>103.59652904204</v>
      </c>
      <c r="K679">
        <v>113.44450268036999</v>
      </c>
      <c r="L679">
        <v>171</v>
      </c>
    </row>
    <row r="680" spans="1:12" hidden="1" x14ac:dyDescent="0.25">
      <c r="A680">
        <v>2020</v>
      </c>
      <c r="B680" t="s">
        <v>66</v>
      </c>
      <c r="C680">
        <v>348538</v>
      </c>
      <c r="D680" t="s">
        <v>69</v>
      </c>
      <c r="E680" t="s">
        <v>14</v>
      </c>
      <c r="F680" t="s">
        <v>71</v>
      </c>
      <c r="G680" t="s">
        <v>48</v>
      </c>
      <c r="H680" t="s">
        <v>49</v>
      </c>
      <c r="I680">
        <v>109.4</v>
      </c>
      <c r="J680">
        <v>108.6</v>
      </c>
      <c r="K680">
        <v>109.4</v>
      </c>
      <c r="L680">
        <v>348538</v>
      </c>
    </row>
    <row r="681" spans="1:12" hidden="1" x14ac:dyDescent="0.25">
      <c r="A681">
        <v>2020</v>
      </c>
      <c r="B681" t="s">
        <v>12</v>
      </c>
      <c r="C681">
        <v>7693</v>
      </c>
      <c r="D681" t="s">
        <v>69</v>
      </c>
      <c r="E681" t="s">
        <v>14</v>
      </c>
      <c r="F681" t="s">
        <v>71</v>
      </c>
      <c r="G681" t="s">
        <v>50</v>
      </c>
      <c r="H681" t="s">
        <v>51</v>
      </c>
      <c r="I681">
        <v>113.44450268036999</v>
      </c>
      <c r="J681">
        <v>103.59652904204</v>
      </c>
      <c r="K681">
        <v>113.44450268036999</v>
      </c>
      <c r="L681">
        <v>7693</v>
      </c>
    </row>
    <row r="682" spans="1:12" hidden="1" x14ac:dyDescent="0.25">
      <c r="A682">
        <v>2020</v>
      </c>
      <c r="B682" t="s">
        <v>66</v>
      </c>
      <c r="C682">
        <v>581401</v>
      </c>
      <c r="D682" t="s">
        <v>69</v>
      </c>
      <c r="E682" t="s">
        <v>14</v>
      </c>
      <c r="F682" t="s">
        <v>71</v>
      </c>
      <c r="G682" t="s">
        <v>50</v>
      </c>
      <c r="H682" t="s">
        <v>51</v>
      </c>
      <c r="I682">
        <v>107.4</v>
      </c>
      <c r="J682">
        <v>108.6</v>
      </c>
      <c r="K682">
        <v>107.4</v>
      </c>
      <c r="L682">
        <v>581401</v>
      </c>
    </row>
    <row r="683" spans="1:12" hidden="1" x14ac:dyDescent="0.25">
      <c r="A683">
        <v>2020</v>
      </c>
      <c r="B683" t="s">
        <v>12</v>
      </c>
      <c r="C683">
        <v>11119</v>
      </c>
      <c r="D683" t="s">
        <v>69</v>
      </c>
      <c r="E683" t="s">
        <v>14</v>
      </c>
      <c r="F683" t="s">
        <v>71</v>
      </c>
      <c r="G683" t="s">
        <v>52</v>
      </c>
      <c r="H683" t="s">
        <v>53</v>
      </c>
      <c r="I683">
        <v>113.44450268036999</v>
      </c>
      <c r="J683">
        <v>103.59652904204</v>
      </c>
      <c r="K683">
        <v>113.44450268036999</v>
      </c>
      <c r="L683">
        <v>11119</v>
      </c>
    </row>
    <row r="684" spans="1:12" hidden="1" x14ac:dyDescent="0.25">
      <c r="A684">
        <v>2020</v>
      </c>
      <c r="B684" t="s">
        <v>66</v>
      </c>
      <c r="C684">
        <v>429334</v>
      </c>
      <c r="D684" t="s">
        <v>69</v>
      </c>
      <c r="E684" t="s">
        <v>14</v>
      </c>
      <c r="F684" t="s">
        <v>71</v>
      </c>
      <c r="G684" t="s">
        <v>52</v>
      </c>
      <c r="H684" t="s">
        <v>53</v>
      </c>
      <c r="I684">
        <v>110.3</v>
      </c>
      <c r="J684">
        <v>108.6</v>
      </c>
      <c r="K684">
        <v>110.3</v>
      </c>
      <c r="L684">
        <v>429334</v>
      </c>
    </row>
    <row r="685" spans="1:12" hidden="1" x14ac:dyDescent="0.25">
      <c r="A685">
        <v>2020</v>
      </c>
      <c r="B685" t="s">
        <v>12</v>
      </c>
      <c r="C685">
        <v>1391</v>
      </c>
      <c r="D685" t="s">
        <v>69</v>
      </c>
      <c r="E685" t="s">
        <v>14</v>
      </c>
      <c r="F685" t="s">
        <v>71</v>
      </c>
      <c r="G685" t="s">
        <v>54</v>
      </c>
      <c r="H685" t="s">
        <v>55</v>
      </c>
      <c r="I685">
        <v>113.44450268036999</v>
      </c>
      <c r="J685">
        <v>103.59652904204</v>
      </c>
      <c r="K685">
        <v>113.44450268036999</v>
      </c>
      <c r="L685">
        <v>1391</v>
      </c>
    </row>
    <row r="686" spans="1:12" hidden="1" x14ac:dyDescent="0.25">
      <c r="A686">
        <v>2020</v>
      </c>
      <c r="B686" t="s">
        <v>66</v>
      </c>
      <c r="C686">
        <v>111281</v>
      </c>
      <c r="D686" t="s">
        <v>69</v>
      </c>
      <c r="E686" t="s">
        <v>14</v>
      </c>
      <c r="F686" t="s">
        <v>71</v>
      </c>
      <c r="G686" t="s">
        <v>54</v>
      </c>
      <c r="H686" t="s">
        <v>55</v>
      </c>
      <c r="I686">
        <v>111.5</v>
      </c>
      <c r="J686">
        <v>108.6</v>
      </c>
      <c r="K686">
        <v>111.5</v>
      </c>
      <c r="L686">
        <v>111281</v>
      </c>
    </row>
    <row r="687" spans="1:12" hidden="1" x14ac:dyDescent="0.25">
      <c r="A687">
        <v>2020</v>
      </c>
      <c r="B687" t="s">
        <v>12</v>
      </c>
      <c r="C687">
        <v>970</v>
      </c>
      <c r="D687" t="s">
        <v>69</v>
      </c>
      <c r="E687" t="s">
        <v>14</v>
      </c>
      <c r="F687" t="s">
        <v>71</v>
      </c>
      <c r="G687" t="s">
        <v>56</v>
      </c>
      <c r="H687" t="s">
        <v>57</v>
      </c>
      <c r="I687">
        <v>113.44450268036999</v>
      </c>
      <c r="J687">
        <v>103.59652904204</v>
      </c>
      <c r="K687">
        <v>113.44450268036999</v>
      </c>
      <c r="L687">
        <v>970</v>
      </c>
    </row>
    <row r="688" spans="1:12" hidden="1" x14ac:dyDescent="0.25">
      <c r="A688">
        <v>2020</v>
      </c>
      <c r="B688" t="s">
        <v>66</v>
      </c>
      <c r="C688">
        <v>24166</v>
      </c>
      <c r="D688" t="s">
        <v>69</v>
      </c>
      <c r="E688" t="s">
        <v>14</v>
      </c>
      <c r="F688" t="s">
        <v>71</v>
      </c>
      <c r="G688" t="s">
        <v>56</v>
      </c>
      <c r="H688" t="s">
        <v>57</v>
      </c>
      <c r="I688">
        <v>111.5</v>
      </c>
      <c r="J688">
        <v>108.6</v>
      </c>
      <c r="K688">
        <v>111.5</v>
      </c>
      <c r="L688">
        <v>24166</v>
      </c>
    </row>
    <row r="689" spans="1:12" hidden="1" x14ac:dyDescent="0.25">
      <c r="A689">
        <v>2020</v>
      </c>
      <c r="B689" t="s">
        <v>12</v>
      </c>
      <c r="C689">
        <v>10391</v>
      </c>
      <c r="D689" t="s">
        <v>69</v>
      </c>
      <c r="E689" t="s">
        <v>14</v>
      </c>
      <c r="F689" t="s">
        <v>71</v>
      </c>
      <c r="G689" t="s">
        <v>58</v>
      </c>
      <c r="H689" t="s">
        <v>59</v>
      </c>
      <c r="I689">
        <v>110.87139466242</v>
      </c>
      <c r="J689">
        <v>103.59652904204</v>
      </c>
      <c r="K689">
        <v>110.87139466242</v>
      </c>
      <c r="L689">
        <v>10391</v>
      </c>
    </row>
    <row r="690" spans="1:12" hidden="1" x14ac:dyDescent="0.25">
      <c r="A690">
        <v>2020</v>
      </c>
      <c r="B690" t="s">
        <v>66</v>
      </c>
      <c r="C690">
        <v>28184</v>
      </c>
      <c r="D690" t="s">
        <v>69</v>
      </c>
      <c r="E690" t="s">
        <v>14</v>
      </c>
      <c r="F690" t="s">
        <v>71</v>
      </c>
      <c r="G690" t="s">
        <v>58</v>
      </c>
      <c r="H690" t="s">
        <v>59</v>
      </c>
      <c r="I690">
        <v>108.5</v>
      </c>
      <c r="J690">
        <v>108.6</v>
      </c>
      <c r="K690">
        <v>108.5</v>
      </c>
      <c r="L690">
        <v>28184</v>
      </c>
    </row>
    <row r="691" spans="1:12" hidden="1" x14ac:dyDescent="0.25">
      <c r="A691">
        <v>2020</v>
      </c>
      <c r="B691" t="s">
        <v>12</v>
      </c>
      <c r="C691">
        <v>1224</v>
      </c>
      <c r="D691" t="s">
        <v>69</v>
      </c>
      <c r="E691" t="s">
        <v>14</v>
      </c>
      <c r="F691" t="s">
        <v>71</v>
      </c>
      <c r="G691" t="s">
        <v>60</v>
      </c>
      <c r="H691" t="s">
        <v>61</v>
      </c>
      <c r="J691">
        <v>103.59652904204</v>
      </c>
      <c r="K691">
        <v>103.59652904204</v>
      </c>
      <c r="L691">
        <v>1224</v>
      </c>
    </row>
    <row r="692" spans="1:12" hidden="1" x14ac:dyDescent="0.25">
      <c r="A692">
        <v>2020</v>
      </c>
      <c r="B692" t="s">
        <v>66</v>
      </c>
      <c r="C692">
        <v>15046</v>
      </c>
      <c r="D692" t="s">
        <v>69</v>
      </c>
      <c r="E692" t="s">
        <v>14</v>
      </c>
      <c r="F692" t="s">
        <v>71</v>
      </c>
      <c r="G692" t="s">
        <v>60</v>
      </c>
      <c r="H692" t="s">
        <v>61</v>
      </c>
      <c r="I692">
        <v>112.5</v>
      </c>
      <c r="J692">
        <v>108.6</v>
      </c>
      <c r="K692">
        <v>112.5</v>
      </c>
      <c r="L692">
        <v>15046</v>
      </c>
    </row>
    <row r="693" spans="1:12" hidden="1" x14ac:dyDescent="0.25">
      <c r="A693">
        <v>2020</v>
      </c>
      <c r="B693" t="s">
        <v>12</v>
      </c>
      <c r="C693">
        <v>28539</v>
      </c>
      <c r="D693" t="s">
        <v>69</v>
      </c>
      <c r="E693" t="s">
        <v>14</v>
      </c>
      <c r="F693" t="s">
        <v>71</v>
      </c>
      <c r="G693" t="s">
        <v>62</v>
      </c>
      <c r="H693" t="s">
        <v>63</v>
      </c>
      <c r="I693">
        <v>113.44450268036999</v>
      </c>
      <c r="J693">
        <v>103.59652904204</v>
      </c>
      <c r="K693">
        <v>113.44450268036999</v>
      </c>
      <c r="L693">
        <v>28539</v>
      </c>
    </row>
    <row r="694" spans="1:12" hidden="1" x14ac:dyDescent="0.25">
      <c r="A694">
        <v>2020</v>
      </c>
      <c r="B694" t="s">
        <v>12</v>
      </c>
      <c r="C694">
        <v>16396</v>
      </c>
      <c r="D694" t="s">
        <v>69</v>
      </c>
      <c r="E694" t="s">
        <v>14</v>
      </c>
      <c r="F694" t="s">
        <v>71</v>
      </c>
      <c r="G694" t="s">
        <v>16</v>
      </c>
      <c r="H694" t="s">
        <v>17</v>
      </c>
      <c r="J694">
        <v>103.59652904204</v>
      </c>
      <c r="K694">
        <v>103.59652904204</v>
      </c>
      <c r="L694">
        <v>16396</v>
      </c>
    </row>
    <row r="695" spans="1:12" hidden="1" x14ac:dyDescent="0.25">
      <c r="A695">
        <v>2019</v>
      </c>
      <c r="B695" t="s">
        <v>12</v>
      </c>
      <c r="C695">
        <v>167758</v>
      </c>
      <c r="D695" t="s">
        <v>69</v>
      </c>
      <c r="E695" t="s">
        <v>14</v>
      </c>
      <c r="F695" t="s">
        <v>71</v>
      </c>
      <c r="G695" t="s">
        <v>18</v>
      </c>
      <c r="H695" t="s">
        <v>19</v>
      </c>
      <c r="I695">
        <v>101.52099705321</v>
      </c>
      <c r="J695">
        <v>98.151526954033002</v>
      </c>
      <c r="K695">
        <v>101.52099705321</v>
      </c>
      <c r="L695">
        <v>167758</v>
      </c>
    </row>
    <row r="696" spans="1:12" hidden="1" x14ac:dyDescent="0.25">
      <c r="A696">
        <v>2019</v>
      </c>
      <c r="B696" t="s">
        <v>66</v>
      </c>
      <c r="C696">
        <v>832902</v>
      </c>
      <c r="D696" t="s">
        <v>69</v>
      </c>
      <c r="E696" t="s">
        <v>14</v>
      </c>
      <c r="F696" t="s">
        <v>71</v>
      </c>
      <c r="G696" t="s">
        <v>18</v>
      </c>
      <c r="H696" t="s">
        <v>19</v>
      </c>
      <c r="I696">
        <v>102.3</v>
      </c>
      <c r="J696">
        <v>102.4</v>
      </c>
      <c r="K696">
        <v>102.3</v>
      </c>
      <c r="L696">
        <v>832902</v>
      </c>
    </row>
    <row r="697" spans="1:12" hidden="1" x14ac:dyDescent="0.25">
      <c r="A697">
        <v>2019</v>
      </c>
      <c r="B697" t="s">
        <v>12</v>
      </c>
      <c r="C697">
        <v>22664</v>
      </c>
      <c r="D697" t="s">
        <v>69</v>
      </c>
      <c r="E697" t="s">
        <v>14</v>
      </c>
      <c r="F697" t="s">
        <v>71</v>
      </c>
      <c r="G697" t="s">
        <v>20</v>
      </c>
      <c r="H697" t="s">
        <v>21</v>
      </c>
      <c r="I697">
        <v>111.60809989866</v>
      </c>
      <c r="J697">
        <v>98.151526954033002</v>
      </c>
      <c r="K697">
        <v>111.60809989866</v>
      </c>
      <c r="L697">
        <v>22664</v>
      </c>
    </row>
    <row r="698" spans="1:12" hidden="1" x14ac:dyDescent="0.25">
      <c r="A698">
        <v>2019</v>
      </c>
      <c r="B698" t="s">
        <v>66</v>
      </c>
      <c r="C698">
        <v>146372</v>
      </c>
      <c r="D698" t="s">
        <v>69</v>
      </c>
      <c r="E698" t="s">
        <v>14</v>
      </c>
      <c r="F698" t="s">
        <v>71</v>
      </c>
      <c r="G698" t="s">
        <v>20</v>
      </c>
      <c r="H698" t="s">
        <v>21</v>
      </c>
      <c r="I698">
        <v>104.9</v>
      </c>
      <c r="J698">
        <v>102.4</v>
      </c>
      <c r="K698">
        <v>104.9</v>
      </c>
      <c r="L698">
        <v>146372</v>
      </c>
    </row>
    <row r="699" spans="1:12" hidden="1" x14ac:dyDescent="0.25">
      <c r="A699">
        <v>2019</v>
      </c>
      <c r="B699" t="s">
        <v>66</v>
      </c>
      <c r="C699">
        <v>2313</v>
      </c>
      <c r="D699" t="s">
        <v>69</v>
      </c>
      <c r="E699" t="s">
        <v>14</v>
      </c>
      <c r="F699" t="s">
        <v>71</v>
      </c>
      <c r="G699" t="s">
        <v>67</v>
      </c>
      <c r="H699" t="s">
        <v>68</v>
      </c>
      <c r="I699">
        <v>104.9</v>
      </c>
      <c r="J699">
        <v>102.4</v>
      </c>
      <c r="K699">
        <v>104.9</v>
      </c>
      <c r="L699">
        <v>2313</v>
      </c>
    </row>
    <row r="700" spans="1:12" hidden="1" x14ac:dyDescent="0.25">
      <c r="A700">
        <v>2019</v>
      </c>
      <c r="B700" t="s">
        <v>12</v>
      </c>
      <c r="C700">
        <v>4548</v>
      </c>
      <c r="D700" t="s">
        <v>69</v>
      </c>
      <c r="E700" t="s">
        <v>14</v>
      </c>
      <c r="F700" t="s">
        <v>71</v>
      </c>
      <c r="G700" t="s">
        <v>22</v>
      </c>
      <c r="H700" t="s">
        <v>23</v>
      </c>
      <c r="I700">
        <v>84.562992854463005</v>
      </c>
      <c r="J700">
        <v>98.151526954033002</v>
      </c>
      <c r="K700">
        <v>84.562992854463005</v>
      </c>
      <c r="L700">
        <v>4548</v>
      </c>
    </row>
    <row r="701" spans="1:12" hidden="1" x14ac:dyDescent="0.25">
      <c r="A701">
        <v>2019</v>
      </c>
      <c r="B701" t="s">
        <v>66</v>
      </c>
      <c r="C701">
        <v>295986</v>
      </c>
      <c r="D701" t="s">
        <v>69</v>
      </c>
      <c r="E701" t="s">
        <v>14</v>
      </c>
      <c r="F701" t="s">
        <v>71</v>
      </c>
      <c r="G701" t="s">
        <v>22</v>
      </c>
      <c r="H701" t="s">
        <v>23</v>
      </c>
      <c r="I701">
        <v>102.4</v>
      </c>
      <c r="J701">
        <v>102.4</v>
      </c>
      <c r="K701">
        <v>102.4</v>
      </c>
      <c r="L701">
        <v>295986</v>
      </c>
    </row>
    <row r="702" spans="1:12" hidden="1" x14ac:dyDescent="0.25">
      <c r="A702">
        <v>2019</v>
      </c>
      <c r="B702" t="s">
        <v>12</v>
      </c>
      <c r="C702">
        <v>6673</v>
      </c>
      <c r="D702" t="s">
        <v>69</v>
      </c>
      <c r="E702" t="s">
        <v>14</v>
      </c>
      <c r="F702" t="s">
        <v>71</v>
      </c>
      <c r="G702" t="s">
        <v>24</v>
      </c>
      <c r="H702" t="s">
        <v>25</v>
      </c>
      <c r="I702">
        <v>84.562992854463005</v>
      </c>
      <c r="J702">
        <v>98.151526954033002</v>
      </c>
      <c r="K702">
        <v>84.562992854463005</v>
      </c>
      <c r="L702">
        <v>6673</v>
      </c>
    </row>
    <row r="703" spans="1:12" hidden="1" x14ac:dyDescent="0.25">
      <c r="A703">
        <v>2019</v>
      </c>
      <c r="B703" t="s">
        <v>66</v>
      </c>
      <c r="C703">
        <v>152060</v>
      </c>
      <c r="D703" t="s">
        <v>69</v>
      </c>
      <c r="E703" t="s">
        <v>14</v>
      </c>
      <c r="F703" t="s">
        <v>71</v>
      </c>
      <c r="G703" t="s">
        <v>24</v>
      </c>
      <c r="H703" t="s">
        <v>25</v>
      </c>
      <c r="I703">
        <v>105.3</v>
      </c>
      <c r="J703">
        <v>102.4</v>
      </c>
      <c r="K703">
        <v>105.3</v>
      </c>
      <c r="L703">
        <v>152060</v>
      </c>
    </row>
    <row r="704" spans="1:12" hidden="1" x14ac:dyDescent="0.25">
      <c r="A704">
        <v>2019</v>
      </c>
      <c r="B704" t="s">
        <v>12</v>
      </c>
      <c r="C704">
        <v>29003</v>
      </c>
      <c r="D704" t="s">
        <v>69</v>
      </c>
      <c r="E704" t="s">
        <v>14</v>
      </c>
      <c r="F704" t="s">
        <v>71</v>
      </c>
      <c r="G704" t="s">
        <v>62</v>
      </c>
      <c r="H704" t="s">
        <v>63</v>
      </c>
      <c r="I704">
        <v>106.59709315790001</v>
      </c>
      <c r="J704">
        <v>98.151526954033002</v>
      </c>
      <c r="K704">
        <v>106.59709315790001</v>
      </c>
      <c r="L704">
        <v>29003</v>
      </c>
    </row>
    <row r="705" spans="1:12" hidden="1" x14ac:dyDescent="0.25">
      <c r="A705">
        <v>2019</v>
      </c>
      <c r="B705" t="s">
        <v>12</v>
      </c>
      <c r="C705">
        <v>17925</v>
      </c>
      <c r="D705" t="s">
        <v>69</v>
      </c>
      <c r="E705" t="s">
        <v>14</v>
      </c>
      <c r="F705" t="s">
        <v>71</v>
      </c>
      <c r="G705" t="s">
        <v>16</v>
      </c>
      <c r="H705" t="s">
        <v>17</v>
      </c>
      <c r="J705">
        <v>98.151526954033002</v>
      </c>
      <c r="K705">
        <v>98.151526954033002</v>
      </c>
      <c r="L705">
        <v>17925</v>
      </c>
    </row>
    <row r="706" spans="1:12" hidden="1" x14ac:dyDescent="0.25">
      <c r="A706">
        <v>2018</v>
      </c>
      <c r="B706" t="s">
        <v>12</v>
      </c>
      <c r="C706">
        <v>199351</v>
      </c>
      <c r="D706" t="s">
        <v>69</v>
      </c>
      <c r="E706" t="s">
        <v>14</v>
      </c>
      <c r="F706" t="s">
        <v>71</v>
      </c>
      <c r="G706" t="s">
        <v>18</v>
      </c>
      <c r="H706" t="s">
        <v>19</v>
      </c>
      <c r="I706">
        <v>99.999999999999005</v>
      </c>
      <c r="J706">
        <v>99.999999999999005</v>
      </c>
      <c r="K706">
        <v>99.999999999999005</v>
      </c>
      <c r="L706">
        <v>199351</v>
      </c>
    </row>
    <row r="707" spans="1:12" hidden="1" x14ac:dyDescent="0.25">
      <c r="A707">
        <v>2018</v>
      </c>
      <c r="B707" t="s">
        <v>66</v>
      </c>
      <c r="C707">
        <v>830544</v>
      </c>
      <c r="D707" t="s">
        <v>69</v>
      </c>
      <c r="E707" t="s">
        <v>14</v>
      </c>
      <c r="F707" t="s">
        <v>71</v>
      </c>
      <c r="G707" t="s">
        <v>18</v>
      </c>
      <c r="H707" t="s">
        <v>19</v>
      </c>
      <c r="I707">
        <v>100</v>
      </c>
      <c r="J707">
        <v>100</v>
      </c>
      <c r="K707">
        <v>100</v>
      </c>
      <c r="L707">
        <v>830544</v>
      </c>
    </row>
    <row r="708" spans="1:12" hidden="1" x14ac:dyDescent="0.25">
      <c r="A708">
        <v>2018</v>
      </c>
      <c r="B708" t="s">
        <v>12</v>
      </c>
      <c r="C708">
        <v>19077</v>
      </c>
      <c r="D708" t="s">
        <v>69</v>
      </c>
      <c r="E708" t="s">
        <v>14</v>
      </c>
      <c r="F708" t="s">
        <v>71</v>
      </c>
      <c r="G708" t="s">
        <v>20</v>
      </c>
      <c r="H708" t="s">
        <v>21</v>
      </c>
      <c r="I708">
        <v>100</v>
      </c>
      <c r="J708">
        <v>99.999999999999005</v>
      </c>
      <c r="K708">
        <v>100</v>
      </c>
      <c r="L708">
        <v>19077</v>
      </c>
    </row>
    <row r="709" spans="1:12" hidden="1" x14ac:dyDescent="0.25">
      <c r="A709">
        <v>2018</v>
      </c>
      <c r="B709" t="s">
        <v>66</v>
      </c>
      <c r="C709">
        <v>144859</v>
      </c>
      <c r="D709" t="s">
        <v>69</v>
      </c>
      <c r="E709" t="s">
        <v>14</v>
      </c>
      <c r="F709" t="s">
        <v>71</v>
      </c>
      <c r="G709" t="s">
        <v>20</v>
      </c>
      <c r="H709" t="s">
        <v>21</v>
      </c>
      <c r="I709">
        <v>100</v>
      </c>
      <c r="J709">
        <v>100</v>
      </c>
      <c r="K709">
        <v>100</v>
      </c>
      <c r="L709">
        <v>144859</v>
      </c>
    </row>
    <row r="710" spans="1:12" hidden="1" x14ac:dyDescent="0.25">
      <c r="A710">
        <v>2018</v>
      </c>
      <c r="B710" t="s">
        <v>66</v>
      </c>
      <c r="C710">
        <v>2131</v>
      </c>
      <c r="D710" t="s">
        <v>69</v>
      </c>
      <c r="E710" t="s">
        <v>14</v>
      </c>
      <c r="F710" t="s">
        <v>71</v>
      </c>
      <c r="G710" t="s">
        <v>67</v>
      </c>
      <c r="H710" t="s">
        <v>68</v>
      </c>
      <c r="I710">
        <v>100</v>
      </c>
      <c r="J710">
        <v>100</v>
      </c>
      <c r="K710">
        <v>100</v>
      </c>
      <c r="L710">
        <v>2131</v>
      </c>
    </row>
    <row r="711" spans="1:12" hidden="1" x14ac:dyDescent="0.25">
      <c r="A711">
        <v>2018</v>
      </c>
      <c r="B711" t="s">
        <v>12</v>
      </c>
      <c r="C711">
        <v>32254</v>
      </c>
      <c r="D711" t="s">
        <v>69</v>
      </c>
      <c r="E711" t="s">
        <v>14</v>
      </c>
      <c r="F711" t="s">
        <v>71</v>
      </c>
      <c r="G711" t="s">
        <v>22</v>
      </c>
      <c r="H711" t="s">
        <v>23</v>
      </c>
      <c r="I711">
        <v>99.999999999999005</v>
      </c>
      <c r="J711">
        <v>99.999999999999005</v>
      </c>
      <c r="K711">
        <v>99.999999999999005</v>
      </c>
      <c r="L711">
        <v>32254</v>
      </c>
    </row>
    <row r="712" spans="1:12" hidden="1" x14ac:dyDescent="0.25">
      <c r="A712">
        <v>2018</v>
      </c>
      <c r="B712" t="s">
        <v>66</v>
      </c>
      <c r="C712">
        <v>293092</v>
      </c>
      <c r="D712" t="s">
        <v>69</v>
      </c>
      <c r="E712" t="s">
        <v>14</v>
      </c>
      <c r="F712" t="s">
        <v>71</v>
      </c>
      <c r="G712" t="s">
        <v>22</v>
      </c>
      <c r="H712" t="s">
        <v>23</v>
      </c>
      <c r="I712">
        <v>100</v>
      </c>
      <c r="J712">
        <v>100</v>
      </c>
      <c r="K712">
        <v>100</v>
      </c>
      <c r="L712">
        <v>293092</v>
      </c>
    </row>
    <row r="713" spans="1:12" hidden="1" x14ac:dyDescent="0.25">
      <c r="A713">
        <v>2018</v>
      </c>
      <c r="B713" t="s">
        <v>12</v>
      </c>
      <c r="C713">
        <v>7589</v>
      </c>
      <c r="D713" t="s">
        <v>69</v>
      </c>
      <c r="E713" t="s">
        <v>14</v>
      </c>
      <c r="F713" t="s">
        <v>71</v>
      </c>
      <c r="G713" t="s">
        <v>24</v>
      </c>
      <c r="H713" t="s">
        <v>25</v>
      </c>
      <c r="I713">
        <v>99.999999999999005</v>
      </c>
      <c r="J713">
        <v>99.999999999999005</v>
      </c>
      <c r="K713">
        <v>99.999999999999005</v>
      </c>
      <c r="L713">
        <v>7589</v>
      </c>
    </row>
    <row r="714" spans="1:12" hidden="1" x14ac:dyDescent="0.25">
      <c r="A714">
        <v>2018</v>
      </c>
      <c r="B714" t="s">
        <v>66</v>
      </c>
      <c r="C714">
        <v>155105</v>
      </c>
      <c r="D714" t="s">
        <v>69</v>
      </c>
      <c r="E714" t="s">
        <v>14</v>
      </c>
      <c r="F714" t="s">
        <v>71</v>
      </c>
      <c r="G714" t="s">
        <v>24</v>
      </c>
      <c r="H714" t="s">
        <v>25</v>
      </c>
      <c r="I714">
        <v>100</v>
      </c>
      <c r="J714">
        <v>100</v>
      </c>
      <c r="K714">
        <v>100</v>
      </c>
      <c r="L714">
        <v>155105</v>
      </c>
    </row>
    <row r="715" spans="1:12" hidden="1" x14ac:dyDescent="0.25">
      <c r="A715">
        <v>2018</v>
      </c>
      <c r="B715" t="s">
        <v>12</v>
      </c>
      <c r="C715">
        <v>6350</v>
      </c>
      <c r="D715" t="s">
        <v>69</v>
      </c>
      <c r="E715" t="s">
        <v>14</v>
      </c>
      <c r="F715" t="s">
        <v>71</v>
      </c>
      <c r="G715" t="s">
        <v>26</v>
      </c>
      <c r="H715" t="s">
        <v>27</v>
      </c>
      <c r="I715">
        <v>99.999999999999005</v>
      </c>
      <c r="J715">
        <v>99.999999999999005</v>
      </c>
      <c r="K715">
        <v>99.999999999999005</v>
      </c>
      <c r="L715">
        <v>6350</v>
      </c>
    </row>
    <row r="716" spans="1:12" hidden="1" x14ac:dyDescent="0.25">
      <c r="A716">
        <v>2018</v>
      </c>
      <c r="B716" t="s">
        <v>66</v>
      </c>
      <c r="C716">
        <v>74061</v>
      </c>
      <c r="D716" t="s">
        <v>69</v>
      </c>
      <c r="E716" t="s">
        <v>14</v>
      </c>
      <c r="F716" t="s">
        <v>71</v>
      </c>
      <c r="G716" t="s">
        <v>26</v>
      </c>
      <c r="H716" t="s">
        <v>27</v>
      </c>
      <c r="I716">
        <v>100</v>
      </c>
      <c r="J716">
        <v>100</v>
      </c>
      <c r="K716">
        <v>100</v>
      </c>
      <c r="L716">
        <v>74061</v>
      </c>
    </row>
    <row r="717" spans="1:12" hidden="1" x14ac:dyDescent="0.25">
      <c r="A717">
        <v>2018</v>
      </c>
      <c r="B717" t="s">
        <v>12</v>
      </c>
      <c r="C717">
        <v>29899</v>
      </c>
      <c r="D717" t="s">
        <v>69</v>
      </c>
      <c r="E717" t="s">
        <v>14</v>
      </c>
      <c r="F717" t="s">
        <v>71</v>
      </c>
      <c r="G717" t="s">
        <v>28</v>
      </c>
      <c r="H717" t="s">
        <v>29</v>
      </c>
      <c r="I717">
        <v>100</v>
      </c>
      <c r="J717">
        <v>99.999999999999005</v>
      </c>
      <c r="K717">
        <v>100</v>
      </c>
      <c r="L717">
        <v>29899</v>
      </c>
    </row>
    <row r="718" spans="1:12" hidden="1" x14ac:dyDescent="0.25">
      <c r="A718">
        <v>2018</v>
      </c>
      <c r="B718" t="s">
        <v>66</v>
      </c>
      <c r="C718">
        <v>31103</v>
      </c>
      <c r="D718" t="s">
        <v>69</v>
      </c>
      <c r="E718" t="s">
        <v>14</v>
      </c>
      <c r="F718" t="s">
        <v>71</v>
      </c>
      <c r="G718" t="s">
        <v>28</v>
      </c>
      <c r="H718" t="s">
        <v>29</v>
      </c>
      <c r="I718">
        <v>100</v>
      </c>
      <c r="J718">
        <v>100</v>
      </c>
      <c r="K718">
        <v>100</v>
      </c>
      <c r="L718">
        <v>31103</v>
      </c>
    </row>
    <row r="719" spans="1:12" hidden="1" x14ac:dyDescent="0.25">
      <c r="A719">
        <v>2018</v>
      </c>
      <c r="B719" t="s">
        <v>12</v>
      </c>
      <c r="C719">
        <v>22421</v>
      </c>
      <c r="D719" t="s">
        <v>69</v>
      </c>
      <c r="E719" t="s">
        <v>14</v>
      </c>
      <c r="F719" t="s">
        <v>71</v>
      </c>
      <c r="G719" t="s">
        <v>30</v>
      </c>
      <c r="H719" t="s">
        <v>31</v>
      </c>
      <c r="I719">
        <v>99.999999999999005</v>
      </c>
      <c r="J719">
        <v>99.999999999999005</v>
      </c>
      <c r="K719">
        <v>99.999999999999005</v>
      </c>
      <c r="L719">
        <v>22421</v>
      </c>
    </row>
    <row r="720" spans="1:12" hidden="1" x14ac:dyDescent="0.25">
      <c r="A720">
        <v>2018</v>
      </c>
      <c r="B720" t="s">
        <v>66</v>
      </c>
      <c r="C720">
        <v>77185</v>
      </c>
      <c r="D720" t="s">
        <v>69</v>
      </c>
      <c r="E720" t="s">
        <v>14</v>
      </c>
      <c r="F720" t="s">
        <v>71</v>
      </c>
      <c r="G720" t="s">
        <v>30</v>
      </c>
      <c r="H720" t="s">
        <v>31</v>
      </c>
      <c r="I720">
        <v>100</v>
      </c>
      <c r="J720">
        <v>100</v>
      </c>
      <c r="K720">
        <v>100</v>
      </c>
      <c r="L720">
        <v>77185</v>
      </c>
    </row>
    <row r="721" spans="1:12" hidden="1" x14ac:dyDescent="0.25">
      <c r="A721">
        <v>2019</v>
      </c>
      <c r="B721" t="s">
        <v>12</v>
      </c>
      <c r="C721">
        <v>5140</v>
      </c>
      <c r="D721" t="s">
        <v>69</v>
      </c>
      <c r="E721" t="s">
        <v>14</v>
      </c>
      <c r="F721" t="s">
        <v>71</v>
      </c>
      <c r="G721" t="s">
        <v>26</v>
      </c>
      <c r="H721" t="s">
        <v>27</v>
      </c>
      <c r="I721">
        <v>84.562992854463005</v>
      </c>
      <c r="J721">
        <v>98.151526954033002</v>
      </c>
      <c r="K721">
        <v>84.562992854463005</v>
      </c>
      <c r="L721">
        <v>5140</v>
      </c>
    </row>
    <row r="722" spans="1:12" hidden="1" x14ac:dyDescent="0.25">
      <c r="A722">
        <v>2019</v>
      </c>
      <c r="B722" t="s">
        <v>66</v>
      </c>
      <c r="C722">
        <v>72175</v>
      </c>
      <c r="D722" t="s">
        <v>69</v>
      </c>
      <c r="E722" t="s">
        <v>14</v>
      </c>
      <c r="F722" t="s">
        <v>71</v>
      </c>
      <c r="G722" t="s">
        <v>26</v>
      </c>
      <c r="H722" t="s">
        <v>27</v>
      </c>
      <c r="I722">
        <v>102.3</v>
      </c>
      <c r="J722">
        <v>102.4</v>
      </c>
      <c r="K722">
        <v>102.3</v>
      </c>
      <c r="L722">
        <v>72175</v>
      </c>
    </row>
    <row r="723" spans="1:12" hidden="1" x14ac:dyDescent="0.25">
      <c r="A723">
        <v>2019</v>
      </c>
      <c r="B723" t="s">
        <v>12</v>
      </c>
      <c r="C723">
        <v>29459</v>
      </c>
      <c r="D723" t="s">
        <v>69</v>
      </c>
      <c r="E723" t="s">
        <v>14</v>
      </c>
      <c r="F723" t="s">
        <v>71</v>
      </c>
      <c r="G723" t="s">
        <v>28</v>
      </c>
      <c r="H723" t="s">
        <v>29</v>
      </c>
      <c r="I723">
        <v>97.634045562563003</v>
      </c>
      <c r="J723">
        <v>98.151526954033002</v>
      </c>
      <c r="K723">
        <v>97.634045562563003</v>
      </c>
      <c r="L723">
        <v>29459</v>
      </c>
    </row>
    <row r="724" spans="1:12" hidden="1" x14ac:dyDescent="0.25">
      <c r="A724">
        <v>2019</v>
      </c>
      <c r="B724" t="s">
        <v>66</v>
      </c>
      <c r="C724">
        <v>30191</v>
      </c>
      <c r="D724" t="s">
        <v>69</v>
      </c>
      <c r="E724" t="s">
        <v>14</v>
      </c>
      <c r="F724" t="s">
        <v>71</v>
      </c>
      <c r="G724" t="s">
        <v>28</v>
      </c>
      <c r="H724" t="s">
        <v>29</v>
      </c>
      <c r="I724">
        <v>105.5</v>
      </c>
      <c r="J724">
        <v>102.4</v>
      </c>
      <c r="K724">
        <v>105.5</v>
      </c>
      <c r="L724">
        <v>30191</v>
      </c>
    </row>
    <row r="725" spans="1:12" hidden="1" x14ac:dyDescent="0.25">
      <c r="A725">
        <v>2019</v>
      </c>
      <c r="B725" t="s">
        <v>12</v>
      </c>
      <c r="C725">
        <v>25948</v>
      </c>
      <c r="D725" t="s">
        <v>69</v>
      </c>
      <c r="E725" t="s">
        <v>14</v>
      </c>
      <c r="F725" t="s">
        <v>71</v>
      </c>
      <c r="G725" t="s">
        <v>30</v>
      </c>
      <c r="H725" t="s">
        <v>31</v>
      </c>
      <c r="I725">
        <v>72.666250473058</v>
      </c>
      <c r="J725">
        <v>98.151526954033002</v>
      </c>
      <c r="K725">
        <v>72.666250473058</v>
      </c>
      <c r="L725">
        <v>25948</v>
      </c>
    </row>
    <row r="726" spans="1:12" hidden="1" x14ac:dyDescent="0.25">
      <c r="A726">
        <v>2019</v>
      </c>
      <c r="B726" t="s">
        <v>66</v>
      </c>
      <c r="C726">
        <v>78204</v>
      </c>
      <c r="D726" t="s">
        <v>69</v>
      </c>
      <c r="E726" t="s">
        <v>14</v>
      </c>
      <c r="F726" t="s">
        <v>71</v>
      </c>
      <c r="G726" t="s">
        <v>30</v>
      </c>
      <c r="H726" t="s">
        <v>31</v>
      </c>
      <c r="I726">
        <v>104.5</v>
      </c>
      <c r="J726">
        <v>102.4</v>
      </c>
      <c r="K726">
        <v>104.5</v>
      </c>
      <c r="L726">
        <v>78204</v>
      </c>
    </row>
    <row r="727" spans="1:12" hidden="1" x14ac:dyDescent="0.25">
      <c r="A727">
        <v>2019</v>
      </c>
      <c r="B727" t="s">
        <v>12</v>
      </c>
      <c r="C727">
        <v>8049</v>
      </c>
      <c r="D727" t="s">
        <v>69</v>
      </c>
      <c r="E727" t="s">
        <v>14</v>
      </c>
      <c r="F727" t="s">
        <v>71</v>
      </c>
      <c r="G727" t="s">
        <v>32</v>
      </c>
      <c r="H727" t="s">
        <v>33</v>
      </c>
      <c r="I727">
        <v>72.666250473058</v>
      </c>
      <c r="J727">
        <v>98.151526954033002</v>
      </c>
      <c r="K727">
        <v>72.666250473058</v>
      </c>
      <c r="L727">
        <v>8049</v>
      </c>
    </row>
    <row r="728" spans="1:12" hidden="1" x14ac:dyDescent="0.25">
      <c r="A728">
        <v>2019</v>
      </c>
      <c r="B728" t="s">
        <v>66</v>
      </c>
      <c r="C728">
        <v>14521</v>
      </c>
      <c r="D728" t="s">
        <v>69</v>
      </c>
      <c r="E728" t="s">
        <v>14</v>
      </c>
      <c r="F728" t="s">
        <v>71</v>
      </c>
      <c r="G728" t="s">
        <v>32</v>
      </c>
      <c r="H728" t="s">
        <v>33</v>
      </c>
      <c r="I728">
        <v>106</v>
      </c>
      <c r="J728">
        <v>102.4</v>
      </c>
      <c r="K728">
        <v>106</v>
      </c>
      <c r="L728">
        <v>14521</v>
      </c>
    </row>
    <row r="729" spans="1:12" hidden="1" x14ac:dyDescent="0.25">
      <c r="A729">
        <v>2019</v>
      </c>
      <c r="B729" t="s">
        <v>66</v>
      </c>
      <c r="C729">
        <v>27306</v>
      </c>
      <c r="D729" t="s">
        <v>69</v>
      </c>
      <c r="E729" t="s">
        <v>14</v>
      </c>
      <c r="F729" t="s">
        <v>71</v>
      </c>
      <c r="G729" t="s">
        <v>34</v>
      </c>
      <c r="H729" t="s">
        <v>35</v>
      </c>
      <c r="I729">
        <v>92.1</v>
      </c>
      <c r="J729">
        <v>102.4</v>
      </c>
      <c r="K729">
        <v>92.1</v>
      </c>
      <c r="L729">
        <v>27306</v>
      </c>
    </row>
    <row r="730" spans="1:12" hidden="1" x14ac:dyDescent="0.25">
      <c r="A730">
        <v>2019</v>
      </c>
      <c r="B730" t="s">
        <v>12</v>
      </c>
      <c r="C730">
        <v>28315</v>
      </c>
      <c r="D730" t="s">
        <v>69</v>
      </c>
      <c r="E730" t="s">
        <v>14</v>
      </c>
      <c r="F730" t="s">
        <v>71</v>
      </c>
      <c r="G730" t="s">
        <v>36</v>
      </c>
      <c r="H730" t="s">
        <v>37</v>
      </c>
      <c r="I730">
        <v>94.527911873682996</v>
      </c>
      <c r="J730">
        <v>98.151526954033002</v>
      </c>
      <c r="K730">
        <v>94.527911873682996</v>
      </c>
      <c r="L730">
        <v>28315</v>
      </c>
    </row>
    <row r="731" spans="1:12" hidden="1" x14ac:dyDescent="0.25">
      <c r="A731">
        <v>2019</v>
      </c>
      <c r="B731" t="s">
        <v>66</v>
      </c>
      <c r="C731">
        <v>184074</v>
      </c>
      <c r="D731" t="s">
        <v>69</v>
      </c>
      <c r="E731" t="s">
        <v>14</v>
      </c>
      <c r="F731" t="s">
        <v>71</v>
      </c>
      <c r="G731" t="s">
        <v>36</v>
      </c>
      <c r="H731" t="s">
        <v>37</v>
      </c>
      <c r="I731">
        <v>101.6</v>
      </c>
      <c r="J731">
        <v>102.4</v>
      </c>
      <c r="K731">
        <v>101.6</v>
      </c>
      <c r="L731">
        <v>184074</v>
      </c>
    </row>
    <row r="732" spans="1:12" hidden="1" x14ac:dyDescent="0.25">
      <c r="A732">
        <v>2019</v>
      </c>
      <c r="B732" t="s">
        <v>12</v>
      </c>
      <c r="C732">
        <v>13914</v>
      </c>
      <c r="D732" t="s">
        <v>69</v>
      </c>
      <c r="E732" t="s">
        <v>14</v>
      </c>
      <c r="F732" t="s">
        <v>71</v>
      </c>
      <c r="G732" t="s">
        <v>38</v>
      </c>
      <c r="H732" t="s">
        <v>39</v>
      </c>
      <c r="I732">
        <v>94.527911873682996</v>
      </c>
      <c r="J732">
        <v>98.151526954033002</v>
      </c>
      <c r="K732">
        <v>94.527911873682996</v>
      </c>
      <c r="L732">
        <v>13914</v>
      </c>
    </row>
    <row r="733" spans="1:12" hidden="1" x14ac:dyDescent="0.25">
      <c r="A733">
        <v>2019</v>
      </c>
      <c r="B733" t="s">
        <v>66</v>
      </c>
      <c r="C733">
        <v>71986</v>
      </c>
      <c r="D733" t="s">
        <v>69</v>
      </c>
      <c r="E733" t="s">
        <v>14</v>
      </c>
      <c r="F733" t="s">
        <v>71</v>
      </c>
      <c r="G733" t="s">
        <v>38</v>
      </c>
      <c r="H733" t="s">
        <v>39</v>
      </c>
      <c r="I733">
        <v>101.6</v>
      </c>
      <c r="J733">
        <v>102.4</v>
      </c>
      <c r="K733">
        <v>101.6</v>
      </c>
      <c r="L733">
        <v>71986</v>
      </c>
    </row>
    <row r="734" spans="1:12" hidden="1" x14ac:dyDescent="0.25">
      <c r="A734">
        <v>2019</v>
      </c>
      <c r="B734" t="s">
        <v>12</v>
      </c>
      <c r="C734">
        <v>28173</v>
      </c>
      <c r="D734" t="s">
        <v>69</v>
      </c>
      <c r="E734" t="s">
        <v>14</v>
      </c>
      <c r="F734" t="s">
        <v>71</v>
      </c>
      <c r="G734" t="s">
        <v>40</v>
      </c>
      <c r="H734" t="s">
        <v>41</v>
      </c>
      <c r="I734">
        <v>94.527911873682996</v>
      </c>
      <c r="J734">
        <v>98.151526954033002</v>
      </c>
      <c r="K734">
        <v>94.527911873682996</v>
      </c>
      <c r="L734">
        <v>28173</v>
      </c>
    </row>
    <row r="735" spans="1:12" hidden="1" x14ac:dyDescent="0.25">
      <c r="A735">
        <v>2019</v>
      </c>
      <c r="B735" t="s">
        <v>66</v>
      </c>
      <c r="C735">
        <v>256784</v>
      </c>
      <c r="D735" t="s">
        <v>69</v>
      </c>
      <c r="E735" t="s">
        <v>14</v>
      </c>
      <c r="F735" t="s">
        <v>71</v>
      </c>
      <c r="G735" t="s">
        <v>40</v>
      </c>
      <c r="H735" t="s">
        <v>41</v>
      </c>
      <c r="I735">
        <v>103.4</v>
      </c>
      <c r="J735">
        <v>102.4</v>
      </c>
      <c r="K735">
        <v>103.4</v>
      </c>
      <c r="L735">
        <v>256784</v>
      </c>
    </row>
    <row r="736" spans="1:12" hidden="1" x14ac:dyDescent="0.25">
      <c r="A736">
        <v>2019</v>
      </c>
      <c r="B736" t="s">
        <v>12</v>
      </c>
      <c r="C736">
        <v>20455</v>
      </c>
      <c r="D736" t="s">
        <v>69</v>
      </c>
      <c r="E736" t="s">
        <v>14</v>
      </c>
      <c r="F736" t="s">
        <v>71</v>
      </c>
      <c r="G736" t="s">
        <v>42</v>
      </c>
      <c r="H736" t="s">
        <v>43</v>
      </c>
      <c r="I736">
        <v>96.894683830418003</v>
      </c>
      <c r="J736">
        <v>98.151526954033002</v>
      </c>
      <c r="K736">
        <v>96.894683830418003</v>
      </c>
      <c r="L736">
        <v>20455</v>
      </c>
    </row>
    <row r="737" spans="1:12" hidden="1" x14ac:dyDescent="0.25">
      <c r="A737">
        <v>2019</v>
      </c>
      <c r="B737" t="s">
        <v>66</v>
      </c>
      <c r="C737">
        <v>171479</v>
      </c>
      <c r="D737" t="s">
        <v>69</v>
      </c>
      <c r="E737" t="s">
        <v>14</v>
      </c>
      <c r="F737" t="s">
        <v>71</v>
      </c>
      <c r="G737" t="s">
        <v>42</v>
      </c>
      <c r="H737" t="s">
        <v>43</v>
      </c>
      <c r="I737">
        <v>104.4</v>
      </c>
      <c r="J737">
        <v>102.4</v>
      </c>
      <c r="K737">
        <v>104.4</v>
      </c>
      <c r="L737">
        <v>171479</v>
      </c>
    </row>
    <row r="738" spans="1:12" hidden="1" x14ac:dyDescent="0.25">
      <c r="A738">
        <v>2019</v>
      </c>
      <c r="B738" t="s">
        <v>12</v>
      </c>
      <c r="C738">
        <v>7855</v>
      </c>
      <c r="D738" t="s">
        <v>69</v>
      </c>
      <c r="E738" t="s">
        <v>14</v>
      </c>
      <c r="F738" t="s">
        <v>71</v>
      </c>
      <c r="G738" t="s">
        <v>44</v>
      </c>
      <c r="H738" t="s">
        <v>45</v>
      </c>
      <c r="I738">
        <v>96.894683830418003</v>
      </c>
      <c r="J738">
        <v>98.151526954033002</v>
      </c>
      <c r="K738">
        <v>96.894683830418003</v>
      </c>
      <c r="L738">
        <v>7855</v>
      </c>
    </row>
    <row r="739" spans="1:12" hidden="1" x14ac:dyDescent="0.25">
      <c r="A739">
        <v>2019</v>
      </c>
      <c r="B739" t="s">
        <v>66</v>
      </c>
      <c r="C739">
        <v>119262</v>
      </c>
      <c r="D739" t="s">
        <v>69</v>
      </c>
      <c r="E739" t="s">
        <v>14</v>
      </c>
      <c r="F739" t="s">
        <v>71</v>
      </c>
      <c r="G739" t="s">
        <v>44</v>
      </c>
      <c r="H739" t="s">
        <v>45</v>
      </c>
      <c r="I739">
        <v>99</v>
      </c>
      <c r="J739">
        <v>102.4</v>
      </c>
      <c r="K739">
        <v>99</v>
      </c>
      <c r="L739">
        <v>119262</v>
      </c>
    </row>
    <row r="740" spans="1:12" hidden="1" x14ac:dyDescent="0.25">
      <c r="A740">
        <v>2019</v>
      </c>
      <c r="B740" t="s">
        <v>12</v>
      </c>
      <c r="C740">
        <v>33199</v>
      </c>
      <c r="D740" t="s">
        <v>69</v>
      </c>
      <c r="E740" t="s">
        <v>14</v>
      </c>
      <c r="F740" t="s">
        <v>71</v>
      </c>
      <c r="G740" t="s">
        <v>46</v>
      </c>
      <c r="H740" t="s">
        <v>47</v>
      </c>
      <c r="I740">
        <v>106.59709315790001</v>
      </c>
      <c r="J740">
        <v>98.151526954033002</v>
      </c>
      <c r="K740">
        <v>106.59709315790001</v>
      </c>
      <c r="L740">
        <v>33199</v>
      </c>
    </row>
    <row r="741" spans="1:12" hidden="1" x14ac:dyDescent="0.25">
      <c r="A741">
        <v>2019</v>
      </c>
      <c r="B741" t="s">
        <v>66</v>
      </c>
      <c r="C741">
        <v>319739</v>
      </c>
      <c r="D741" t="s">
        <v>69</v>
      </c>
      <c r="E741" t="s">
        <v>14</v>
      </c>
      <c r="F741" t="s">
        <v>71</v>
      </c>
      <c r="G741" t="s">
        <v>46</v>
      </c>
      <c r="H741" t="s">
        <v>47</v>
      </c>
      <c r="I741">
        <v>104.2</v>
      </c>
      <c r="J741">
        <v>102.4</v>
      </c>
      <c r="K741">
        <v>104.2</v>
      </c>
      <c r="L741">
        <v>319739</v>
      </c>
    </row>
    <row r="742" spans="1:12" hidden="1" x14ac:dyDescent="0.25">
      <c r="A742">
        <v>2019</v>
      </c>
      <c r="B742" t="s">
        <v>12</v>
      </c>
      <c r="C742">
        <v>1777</v>
      </c>
      <c r="D742" t="s">
        <v>69</v>
      </c>
      <c r="E742" t="s">
        <v>14</v>
      </c>
      <c r="F742" t="s">
        <v>71</v>
      </c>
      <c r="G742" t="s">
        <v>48</v>
      </c>
      <c r="H742" t="s">
        <v>49</v>
      </c>
      <c r="I742">
        <v>106.59709315790001</v>
      </c>
      <c r="J742">
        <v>98.151526954033002</v>
      </c>
      <c r="K742">
        <v>106.59709315790001</v>
      </c>
      <c r="L742">
        <v>1777</v>
      </c>
    </row>
    <row r="743" spans="1:12" hidden="1" x14ac:dyDescent="0.25">
      <c r="A743">
        <v>2019</v>
      </c>
      <c r="B743" t="s">
        <v>66</v>
      </c>
      <c r="C743">
        <v>353822</v>
      </c>
      <c r="D743" t="s">
        <v>69</v>
      </c>
      <c r="E743" t="s">
        <v>14</v>
      </c>
      <c r="F743" t="s">
        <v>71</v>
      </c>
      <c r="G743" t="s">
        <v>48</v>
      </c>
      <c r="H743" t="s">
        <v>49</v>
      </c>
      <c r="I743">
        <v>103.9</v>
      </c>
      <c r="J743">
        <v>102.4</v>
      </c>
      <c r="K743">
        <v>103.9</v>
      </c>
      <c r="L743">
        <v>353822</v>
      </c>
    </row>
    <row r="744" spans="1:12" hidden="1" x14ac:dyDescent="0.25">
      <c r="A744">
        <v>2019</v>
      </c>
      <c r="B744" t="s">
        <v>12</v>
      </c>
      <c r="C744">
        <v>9217</v>
      </c>
      <c r="D744" t="s">
        <v>69</v>
      </c>
      <c r="E744" t="s">
        <v>14</v>
      </c>
      <c r="F744" t="s">
        <v>71</v>
      </c>
      <c r="G744" t="s">
        <v>50</v>
      </c>
      <c r="H744" t="s">
        <v>51</v>
      </c>
      <c r="I744">
        <v>106.59709315790001</v>
      </c>
      <c r="J744">
        <v>98.151526954033002</v>
      </c>
      <c r="K744">
        <v>106.59709315790001</v>
      </c>
      <c r="L744">
        <v>9217</v>
      </c>
    </row>
    <row r="745" spans="1:12" hidden="1" x14ac:dyDescent="0.25">
      <c r="A745">
        <v>2019</v>
      </c>
      <c r="B745" t="s">
        <v>66</v>
      </c>
      <c r="C745">
        <v>582995</v>
      </c>
      <c r="D745" t="s">
        <v>69</v>
      </c>
      <c r="E745" t="s">
        <v>14</v>
      </c>
      <c r="F745" t="s">
        <v>71</v>
      </c>
      <c r="G745" t="s">
        <v>50</v>
      </c>
      <c r="H745" t="s">
        <v>51</v>
      </c>
      <c r="I745">
        <v>102.3</v>
      </c>
      <c r="J745">
        <v>102.4</v>
      </c>
      <c r="K745">
        <v>102.3</v>
      </c>
      <c r="L745">
        <v>582995</v>
      </c>
    </row>
    <row r="746" spans="1:12" hidden="1" x14ac:dyDescent="0.25">
      <c r="A746">
        <v>2019</v>
      </c>
      <c r="B746" t="s">
        <v>12</v>
      </c>
      <c r="C746">
        <v>11341</v>
      </c>
      <c r="D746" t="s">
        <v>69</v>
      </c>
      <c r="E746" t="s">
        <v>14</v>
      </c>
      <c r="F746" t="s">
        <v>71</v>
      </c>
      <c r="G746" t="s">
        <v>52</v>
      </c>
      <c r="H746" t="s">
        <v>53</v>
      </c>
      <c r="I746">
        <v>106.59709315790001</v>
      </c>
      <c r="J746">
        <v>98.151526954033002</v>
      </c>
      <c r="K746">
        <v>106.59709315790001</v>
      </c>
      <c r="L746">
        <v>11341</v>
      </c>
    </row>
    <row r="747" spans="1:12" hidden="1" x14ac:dyDescent="0.25">
      <c r="A747">
        <v>2019</v>
      </c>
      <c r="B747" t="s">
        <v>66</v>
      </c>
      <c r="C747">
        <v>444514</v>
      </c>
      <c r="D747" t="s">
        <v>69</v>
      </c>
      <c r="E747" t="s">
        <v>14</v>
      </c>
      <c r="F747" t="s">
        <v>71</v>
      </c>
      <c r="G747" t="s">
        <v>52</v>
      </c>
      <c r="H747" t="s">
        <v>53</v>
      </c>
      <c r="I747">
        <v>102.7</v>
      </c>
      <c r="J747">
        <v>102.4</v>
      </c>
      <c r="K747">
        <v>102.7</v>
      </c>
      <c r="L747">
        <v>444514</v>
      </c>
    </row>
    <row r="748" spans="1:12" hidden="1" x14ac:dyDescent="0.25">
      <c r="A748">
        <v>2019</v>
      </c>
      <c r="B748" t="s">
        <v>12</v>
      </c>
      <c r="C748">
        <v>1538</v>
      </c>
      <c r="D748" t="s">
        <v>69</v>
      </c>
      <c r="E748" t="s">
        <v>14</v>
      </c>
      <c r="F748" t="s">
        <v>71</v>
      </c>
      <c r="G748" t="s">
        <v>54</v>
      </c>
      <c r="H748" t="s">
        <v>55</v>
      </c>
      <c r="I748">
        <v>106.59709315790001</v>
      </c>
      <c r="J748">
        <v>98.151526954033002</v>
      </c>
      <c r="K748">
        <v>106.59709315790001</v>
      </c>
      <c r="L748">
        <v>1538</v>
      </c>
    </row>
    <row r="749" spans="1:12" hidden="1" x14ac:dyDescent="0.25">
      <c r="A749">
        <v>2019</v>
      </c>
      <c r="B749" t="s">
        <v>66</v>
      </c>
      <c r="C749">
        <v>119758</v>
      </c>
      <c r="D749" t="s">
        <v>69</v>
      </c>
      <c r="E749" t="s">
        <v>14</v>
      </c>
      <c r="F749" t="s">
        <v>71</v>
      </c>
      <c r="G749" t="s">
        <v>54</v>
      </c>
      <c r="H749" t="s">
        <v>55</v>
      </c>
      <c r="I749">
        <v>102.2</v>
      </c>
      <c r="J749">
        <v>102.4</v>
      </c>
      <c r="K749">
        <v>102.2</v>
      </c>
      <c r="L749">
        <v>119758</v>
      </c>
    </row>
    <row r="750" spans="1:12" hidden="1" x14ac:dyDescent="0.25">
      <c r="A750">
        <v>2019</v>
      </c>
      <c r="B750" t="s">
        <v>12</v>
      </c>
      <c r="C750">
        <v>929</v>
      </c>
      <c r="D750" t="s">
        <v>69</v>
      </c>
      <c r="E750" t="s">
        <v>14</v>
      </c>
      <c r="F750" t="s">
        <v>71</v>
      </c>
      <c r="G750" t="s">
        <v>56</v>
      </c>
      <c r="H750" t="s">
        <v>57</v>
      </c>
      <c r="I750">
        <v>106.59709315790001</v>
      </c>
      <c r="J750">
        <v>98.151526954033002</v>
      </c>
      <c r="K750">
        <v>106.59709315790001</v>
      </c>
      <c r="L750">
        <v>929</v>
      </c>
    </row>
    <row r="751" spans="1:12" hidden="1" x14ac:dyDescent="0.25">
      <c r="A751">
        <v>2019</v>
      </c>
      <c r="B751" t="s">
        <v>66</v>
      </c>
      <c r="C751">
        <v>23541</v>
      </c>
      <c r="D751" t="s">
        <v>69</v>
      </c>
      <c r="E751" t="s">
        <v>14</v>
      </c>
      <c r="F751" t="s">
        <v>71</v>
      </c>
      <c r="G751" t="s">
        <v>56</v>
      </c>
      <c r="H751" t="s">
        <v>57</v>
      </c>
      <c r="I751">
        <v>102.2</v>
      </c>
      <c r="J751">
        <v>102.4</v>
      </c>
      <c r="K751">
        <v>102.2</v>
      </c>
      <c r="L751">
        <v>23541</v>
      </c>
    </row>
    <row r="752" spans="1:12" hidden="1" x14ac:dyDescent="0.25">
      <c r="A752">
        <v>2019</v>
      </c>
      <c r="B752" t="s">
        <v>12</v>
      </c>
      <c r="C752">
        <v>11033</v>
      </c>
      <c r="D752" t="s">
        <v>69</v>
      </c>
      <c r="E752" t="s">
        <v>14</v>
      </c>
      <c r="F752" t="s">
        <v>71</v>
      </c>
      <c r="G752" t="s">
        <v>58</v>
      </c>
      <c r="H752" t="s">
        <v>59</v>
      </c>
      <c r="I752">
        <v>97.634045562563003</v>
      </c>
      <c r="J752">
        <v>98.151526954033002</v>
      </c>
      <c r="K752">
        <v>97.634045562563003</v>
      </c>
      <c r="L752">
        <v>11033</v>
      </c>
    </row>
    <row r="753" spans="1:12" hidden="1" x14ac:dyDescent="0.25">
      <c r="A753">
        <v>2019</v>
      </c>
      <c r="B753" t="s">
        <v>66</v>
      </c>
      <c r="C753">
        <v>28996</v>
      </c>
      <c r="D753" t="s">
        <v>69</v>
      </c>
      <c r="E753" t="s">
        <v>14</v>
      </c>
      <c r="F753" t="s">
        <v>71</v>
      </c>
      <c r="G753" t="s">
        <v>58</v>
      </c>
      <c r="H753" t="s">
        <v>59</v>
      </c>
      <c r="I753">
        <v>104.2</v>
      </c>
      <c r="J753">
        <v>102.4</v>
      </c>
      <c r="K753">
        <v>104.2</v>
      </c>
      <c r="L753">
        <v>28996</v>
      </c>
    </row>
    <row r="754" spans="1:12" hidden="1" x14ac:dyDescent="0.25">
      <c r="A754">
        <v>2019</v>
      </c>
      <c r="B754" t="s">
        <v>12</v>
      </c>
      <c r="C754">
        <v>1350</v>
      </c>
      <c r="D754" t="s">
        <v>69</v>
      </c>
      <c r="E754" t="s">
        <v>14</v>
      </c>
      <c r="F754" t="s">
        <v>71</v>
      </c>
      <c r="G754" t="s">
        <v>60</v>
      </c>
      <c r="H754" t="s">
        <v>61</v>
      </c>
      <c r="J754">
        <v>98.151526954033002</v>
      </c>
      <c r="K754">
        <v>98.151526954033002</v>
      </c>
      <c r="L754">
        <v>1350</v>
      </c>
    </row>
    <row r="755" spans="1:12" hidden="1" x14ac:dyDescent="0.25">
      <c r="A755">
        <v>2019</v>
      </c>
      <c r="B755" t="s">
        <v>66</v>
      </c>
      <c r="C755">
        <v>14339</v>
      </c>
      <c r="D755" t="s">
        <v>69</v>
      </c>
      <c r="E755" t="s">
        <v>14</v>
      </c>
      <c r="F755" t="s">
        <v>71</v>
      </c>
      <c r="G755" t="s">
        <v>60</v>
      </c>
      <c r="H755" t="s">
        <v>61</v>
      </c>
      <c r="I755">
        <v>105.5</v>
      </c>
      <c r="J755">
        <v>102.4</v>
      </c>
      <c r="K755">
        <v>105.5</v>
      </c>
      <c r="L755">
        <v>14339</v>
      </c>
    </row>
    <row r="756" spans="1:12" hidden="1" x14ac:dyDescent="0.25">
      <c r="A756">
        <v>2018</v>
      </c>
      <c r="B756" t="s">
        <v>12</v>
      </c>
      <c r="C756">
        <v>8941</v>
      </c>
      <c r="D756" t="s">
        <v>69</v>
      </c>
      <c r="E756" t="s">
        <v>14</v>
      </c>
      <c r="F756" t="s">
        <v>71</v>
      </c>
      <c r="G756" t="s">
        <v>32</v>
      </c>
      <c r="H756" t="s">
        <v>33</v>
      </c>
      <c r="I756">
        <v>99.999999999999005</v>
      </c>
      <c r="J756">
        <v>99.999999999999005</v>
      </c>
      <c r="K756">
        <v>99.999999999999005</v>
      </c>
      <c r="L756">
        <v>8941</v>
      </c>
    </row>
    <row r="757" spans="1:12" hidden="1" x14ac:dyDescent="0.25">
      <c r="A757">
        <v>2018</v>
      </c>
      <c r="B757" t="s">
        <v>66</v>
      </c>
      <c r="C757">
        <v>14041</v>
      </c>
      <c r="D757" t="s">
        <v>69</v>
      </c>
      <c r="E757" t="s">
        <v>14</v>
      </c>
      <c r="F757" t="s">
        <v>71</v>
      </c>
      <c r="G757" t="s">
        <v>32</v>
      </c>
      <c r="H757" t="s">
        <v>33</v>
      </c>
      <c r="I757">
        <v>100</v>
      </c>
      <c r="J757">
        <v>100</v>
      </c>
      <c r="K757">
        <v>100</v>
      </c>
      <c r="L757">
        <v>14041</v>
      </c>
    </row>
    <row r="758" spans="1:12" hidden="1" x14ac:dyDescent="0.25">
      <c r="A758">
        <v>2018</v>
      </c>
      <c r="B758" t="s">
        <v>12</v>
      </c>
      <c r="C758">
        <v>92</v>
      </c>
      <c r="D758" t="s">
        <v>69</v>
      </c>
      <c r="E758" t="s">
        <v>14</v>
      </c>
      <c r="F758" t="s">
        <v>71</v>
      </c>
      <c r="G758" t="s">
        <v>34</v>
      </c>
      <c r="H758" t="s">
        <v>35</v>
      </c>
      <c r="I758">
        <v>99.999999999999005</v>
      </c>
      <c r="J758">
        <v>99.999999999999005</v>
      </c>
      <c r="K758">
        <v>99.999999999999005</v>
      </c>
      <c r="L758">
        <v>92</v>
      </c>
    </row>
    <row r="759" spans="1:12" hidden="1" x14ac:dyDescent="0.25">
      <c r="A759">
        <v>2018</v>
      </c>
      <c r="B759" t="s">
        <v>66</v>
      </c>
      <c r="C759">
        <v>28578</v>
      </c>
      <c r="D759" t="s">
        <v>69</v>
      </c>
      <c r="E759" t="s">
        <v>14</v>
      </c>
      <c r="F759" t="s">
        <v>71</v>
      </c>
      <c r="G759" t="s">
        <v>34</v>
      </c>
      <c r="H759" t="s">
        <v>35</v>
      </c>
      <c r="I759">
        <v>100</v>
      </c>
      <c r="J759">
        <v>100</v>
      </c>
      <c r="K759">
        <v>100</v>
      </c>
      <c r="L759">
        <v>28578</v>
      </c>
    </row>
    <row r="760" spans="1:12" hidden="1" x14ac:dyDescent="0.25">
      <c r="A760">
        <v>2018</v>
      </c>
      <c r="B760" t="s">
        <v>12</v>
      </c>
      <c r="C760">
        <v>24583</v>
      </c>
      <c r="D760" t="s">
        <v>69</v>
      </c>
      <c r="E760" t="s">
        <v>14</v>
      </c>
      <c r="F760" t="s">
        <v>71</v>
      </c>
      <c r="G760" t="s">
        <v>36</v>
      </c>
      <c r="H760" t="s">
        <v>37</v>
      </c>
      <c r="I760">
        <v>99.999999999999005</v>
      </c>
      <c r="J760">
        <v>99.999999999999005</v>
      </c>
      <c r="K760">
        <v>99.999999999999005</v>
      </c>
      <c r="L760">
        <v>24583</v>
      </c>
    </row>
    <row r="761" spans="1:12" hidden="1" x14ac:dyDescent="0.25">
      <c r="A761">
        <v>2018</v>
      </c>
      <c r="B761" t="s">
        <v>66</v>
      </c>
      <c r="C761">
        <v>181139</v>
      </c>
      <c r="D761" t="s">
        <v>69</v>
      </c>
      <c r="E761" t="s">
        <v>14</v>
      </c>
      <c r="F761" t="s">
        <v>71</v>
      </c>
      <c r="G761" t="s">
        <v>36</v>
      </c>
      <c r="H761" t="s">
        <v>37</v>
      </c>
      <c r="I761">
        <v>100</v>
      </c>
      <c r="J761">
        <v>100</v>
      </c>
      <c r="K761">
        <v>100</v>
      </c>
      <c r="L761">
        <v>181139</v>
      </c>
    </row>
    <row r="762" spans="1:12" hidden="1" x14ac:dyDescent="0.25">
      <c r="A762">
        <v>2018</v>
      </c>
      <c r="B762" t="s">
        <v>12</v>
      </c>
      <c r="C762">
        <v>11275</v>
      </c>
      <c r="D762" t="s">
        <v>69</v>
      </c>
      <c r="E762" t="s">
        <v>14</v>
      </c>
      <c r="F762" t="s">
        <v>71</v>
      </c>
      <c r="G762" t="s">
        <v>38</v>
      </c>
      <c r="H762" t="s">
        <v>39</v>
      </c>
      <c r="I762">
        <v>99.999999999999005</v>
      </c>
      <c r="J762">
        <v>99.999999999999005</v>
      </c>
      <c r="K762">
        <v>99.999999999999005</v>
      </c>
      <c r="L762">
        <v>11275</v>
      </c>
    </row>
    <row r="763" spans="1:12" hidden="1" x14ac:dyDescent="0.25">
      <c r="A763">
        <v>2018</v>
      </c>
      <c r="B763" t="s">
        <v>66</v>
      </c>
      <c r="C763">
        <v>70730</v>
      </c>
      <c r="D763" t="s">
        <v>69</v>
      </c>
      <c r="E763" t="s">
        <v>14</v>
      </c>
      <c r="F763" t="s">
        <v>71</v>
      </c>
      <c r="G763" t="s">
        <v>38</v>
      </c>
      <c r="H763" t="s">
        <v>39</v>
      </c>
      <c r="I763">
        <v>100</v>
      </c>
      <c r="J763">
        <v>100</v>
      </c>
      <c r="K763">
        <v>100</v>
      </c>
      <c r="L763">
        <v>70730</v>
      </c>
    </row>
    <row r="764" spans="1:12" hidden="1" x14ac:dyDescent="0.25">
      <c r="A764">
        <v>2018</v>
      </c>
      <c r="B764" t="s">
        <v>12</v>
      </c>
      <c r="C764">
        <v>26628</v>
      </c>
      <c r="D764" t="s">
        <v>69</v>
      </c>
      <c r="E764" t="s">
        <v>14</v>
      </c>
      <c r="F764" t="s">
        <v>71</v>
      </c>
      <c r="G764" t="s">
        <v>40</v>
      </c>
      <c r="H764" t="s">
        <v>41</v>
      </c>
      <c r="I764">
        <v>99.999999999999005</v>
      </c>
      <c r="J764">
        <v>99.999999999999005</v>
      </c>
      <c r="K764">
        <v>99.999999999999005</v>
      </c>
      <c r="L764">
        <v>26628</v>
      </c>
    </row>
    <row r="765" spans="1:12" hidden="1" x14ac:dyDescent="0.25">
      <c r="A765">
        <v>2018</v>
      </c>
      <c r="B765" t="s">
        <v>66</v>
      </c>
      <c r="C765">
        <v>250318</v>
      </c>
      <c r="D765" t="s">
        <v>69</v>
      </c>
      <c r="E765" t="s">
        <v>14</v>
      </c>
      <c r="F765" t="s">
        <v>71</v>
      </c>
      <c r="G765" t="s">
        <v>40</v>
      </c>
      <c r="H765" t="s">
        <v>41</v>
      </c>
      <c r="I765">
        <v>100</v>
      </c>
      <c r="J765">
        <v>100</v>
      </c>
      <c r="K765">
        <v>100</v>
      </c>
      <c r="L765">
        <v>250318</v>
      </c>
    </row>
    <row r="766" spans="1:12" hidden="1" x14ac:dyDescent="0.25">
      <c r="A766">
        <v>2018</v>
      </c>
      <c r="B766" t="s">
        <v>12</v>
      </c>
      <c r="C766">
        <v>19637</v>
      </c>
      <c r="D766" t="s">
        <v>69</v>
      </c>
      <c r="E766" t="s">
        <v>14</v>
      </c>
      <c r="F766" t="s">
        <v>71</v>
      </c>
      <c r="G766" t="s">
        <v>42</v>
      </c>
      <c r="H766" t="s">
        <v>43</v>
      </c>
      <c r="I766">
        <v>99.999999999999005</v>
      </c>
      <c r="J766">
        <v>99.999999999999005</v>
      </c>
      <c r="K766">
        <v>99.999999999999005</v>
      </c>
      <c r="L766">
        <v>19637</v>
      </c>
    </row>
    <row r="767" spans="1:12" hidden="1" x14ac:dyDescent="0.25">
      <c r="A767">
        <v>2018</v>
      </c>
      <c r="B767" t="s">
        <v>66</v>
      </c>
      <c r="C767">
        <v>173191</v>
      </c>
      <c r="D767" t="s">
        <v>69</v>
      </c>
      <c r="E767" t="s">
        <v>14</v>
      </c>
      <c r="F767" t="s">
        <v>71</v>
      </c>
      <c r="G767" t="s">
        <v>42</v>
      </c>
      <c r="H767" t="s">
        <v>43</v>
      </c>
      <c r="I767">
        <v>100</v>
      </c>
      <c r="J767">
        <v>100</v>
      </c>
      <c r="K767">
        <v>100</v>
      </c>
      <c r="L767">
        <v>173191</v>
      </c>
    </row>
    <row r="768" spans="1:12" hidden="1" x14ac:dyDescent="0.25">
      <c r="A768">
        <v>2018</v>
      </c>
      <c r="B768" t="s">
        <v>12</v>
      </c>
      <c r="C768">
        <v>9299</v>
      </c>
      <c r="D768" t="s">
        <v>69</v>
      </c>
      <c r="E768" t="s">
        <v>14</v>
      </c>
      <c r="F768" t="s">
        <v>71</v>
      </c>
      <c r="G768" t="s">
        <v>44</v>
      </c>
      <c r="H768" t="s">
        <v>45</v>
      </c>
      <c r="I768">
        <v>99.999999999999005</v>
      </c>
      <c r="J768">
        <v>99.999999999999005</v>
      </c>
      <c r="K768">
        <v>99.999999999999005</v>
      </c>
      <c r="L768">
        <v>9299</v>
      </c>
    </row>
    <row r="769" spans="1:12" hidden="1" x14ac:dyDescent="0.25">
      <c r="A769">
        <v>2018</v>
      </c>
      <c r="B769" t="s">
        <v>66</v>
      </c>
      <c r="C769">
        <v>118038</v>
      </c>
      <c r="D769" t="s">
        <v>69</v>
      </c>
      <c r="E769" t="s">
        <v>14</v>
      </c>
      <c r="F769" t="s">
        <v>71</v>
      </c>
      <c r="G769" t="s">
        <v>44</v>
      </c>
      <c r="H769" t="s">
        <v>45</v>
      </c>
      <c r="I769">
        <v>100</v>
      </c>
      <c r="J769">
        <v>100</v>
      </c>
      <c r="K769">
        <v>100</v>
      </c>
      <c r="L769">
        <v>118038</v>
      </c>
    </row>
    <row r="770" spans="1:12" hidden="1" x14ac:dyDescent="0.25">
      <c r="A770">
        <v>2018</v>
      </c>
      <c r="B770" t="s">
        <v>12</v>
      </c>
      <c r="C770">
        <v>35276</v>
      </c>
      <c r="D770" t="s">
        <v>69</v>
      </c>
      <c r="E770" t="s">
        <v>14</v>
      </c>
      <c r="F770" t="s">
        <v>71</v>
      </c>
      <c r="G770" t="s">
        <v>46</v>
      </c>
      <c r="H770" t="s">
        <v>47</v>
      </c>
      <c r="I770">
        <v>100</v>
      </c>
      <c r="J770">
        <v>99.999999999999005</v>
      </c>
      <c r="K770">
        <v>100</v>
      </c>
      <c r="L770">
        <v>35276</v>
      </c>
    </row>
    <row r="771" spans="1:12" hidden="1" x14ac:dyDescent="0.25">
      <c r="A771">
        <v>2018</v>
      </c>
      <c r="B771" t="s">
        <v>66</v>
      </c>
      <c r="C771">
        <v>317843</v>
      </c>
      <c r="D771" t="s">
        <v>69</v>
      </c>
      <c r="E771" t="s">
        <v>14</v>
      </c>
      <c r="F771" t="s">
        <v>71</v>
      </c>
      <c r="G771" t="s">
        <v>46</v>
      </c>
      <c r="H771" t="s">
        <v>47</v>
      </c>
      <c r="I771">
        <v>100</v>
      </c>
      <c r="J771">
        <v>100</v>
      </c>
      <c r="K771">
        <v>100</v>
      </c>
      <c r="L771">
        <v>317843</v>
      </c>
    </row>
    <row r="772" spans="1:12" hidden="1" x14ac:dyDescent="0.25">
      <c r="A772">
        <v>2018</v>
      </c>
      <c r="B772" t="s">
        <v>12</v>
      </c>
      <c r="C772">
        <v>2705</v>
      </c>
      <c r="D772" t="s">
        <v>69</v>
      </c>
      <c r="E772" t="s">
        <v>14</v>
      </c>
      <c r="F772" t="s">
        <v>71</v>
      </c>
      <c r="G772" t="s">
        <v>48</v>
      </c>
      <c r="H772" t="s">
        <v>49</v>
      </c>
      <c r="I772">
        <v>100</v>
      </c>
      <c r="J772">
        <v>99.999999999999005</v>
      </c>
      <c r="K772">
        <v>100</v>
      </c>
      <c r="L772">
        <v>2705</v>
      </c>
    </row>
    <row r="773" spans="1:12" hidden="1" x14ac:dyDescent="0.25">
      <c r="A773">
        <v>2018</v>
      </c>
      <c r="B773" t="s">
        <v>66</v>
      </c>
      <c r="C773">
        <v>340483</v>
      </c>
      <c r="D773" t="s">
        <v>69</v>
      </c>
      <c r="E773" t="s">
        <v>14</v>
      </c>
      <c r="F773" t="s">
        <v>71</v>
      </c>
      <c r="G773" t="s">
        <v>48</v>
      </c>
      <c r="H773" t="s">
        <v>49</v>
      </c>
      <c r="I773">
        <v>100</v>
      </c>
      <c r="J773">
        <v>100</v>
      </c>
      <c r="K773">
        <v>100</v>
      </c>
      <c r="L773">
        <v>340483</v>
      </c>
    </row>
    <row r="774" spans="1:12" hidden="1" x14ac:dyDescent="0.25">
      <c r="A774">
        <v>2018</v>
      </c>
      <c r="B774" t="s">
        <v>12</v>
      </c>
      <c r="C774">
        <v>7469</v>
      </c>
      <c r="D774" t="s">
        <v>69</v>
      </c>
      <c r="E774" t="s">
        <v>14</v>
      </c>
      <c r="F774" t="s">
        <v>71</v>
      </c>
      <c r="G774" t="s">
        <v>50</v>
      </c>
      <c r="H774" t="s">
        <v>51</v>
      </c>
      <c r="I774">
        <v>100</v>
      </c>
      <c r="J774">
        <v>99.999999999999005</v>
      </c>
      <c r="K774">
        <v>100</v>
      </c>
      <c r="L774">
        <v>7469</v>
      </c>
    </row>
    <row r="775" spans="1:12" hidden="1" x14ac:dyDescent="0.25">
      <c r="A775">
        <v>2018</v>
      </c>
      <c r="B775" t="s">
        <v>66</v>
      </c>
      <c r="C775">
        <v>578569</v>
      </c>
      <c r="D775" t="s">
        <v>69</v>
      </c>
      <c r="E775" t="s">
        <v>14</v>
      </c>
      <c r="F775" t="s">
        <v>71</v>
      </c>
      <c r="G775" t="s">
        <v>50</v>
      </c>
      <c r="H775" t="s">
        <v>51</v>
      </c>
      <c r="I775">
        <v>100</v>
      </c>
      <c r="J775">
        <v>100</v>
      </c>
      <c r="K775">
        <v>100</v>
      </c>
      <c r="L775">
        <v>578569</v>
      </c>
    </row>
    <row r="776" spans="1:12" hidden="1" x14ac:dyDescent="0.25">
      <c r="A776">
        <v>2018</v>
      </c>
      <c r="B776" t="s">
        <v>12</v>
      </c>
      <c r="C776">
        <v>10034</v>
      </c>
      <c r="D776" t="s">
        <v>69</v>
      </c>
      <c r="E776" t="s">
        <v>14</v>
      </c>
      <c r="F776" t="s">
        <v>71</v>
      </c>
      <c r="G776" t="s">
        <v>52</v>
      </c>
      <c r="H776" t="s">
        <v>53</v>
      </c>
      <c r="I776">
        <v>100</v>
      </c>
      <c r="J776">
        <v>99.999999999999005</v>
      </c>
      <c r="K776">
        <v>100</v>
      </c>
      <c r="L776">
        <v>10034</v>
      </c>
    </row>
    <row r="777" spans="1:12" hidden="1" x14ac:dyDescent="0.25">
      <c r="A777">
        <v>2018</v>
      </c>
      <c r="B777" t="s">
        <v>66</v>
      </c>
      <c r="C777">
        <v>437243</v>
      </c>
      <c r="D777" t="s">
        <v>69</v>
      </c>
      <c r="E777" t="s">
        <v>14</v>
      </c>
      <c r="F777" t="s">
        <v>71</v>
      </c>
      <c r="G777" t="s">
        <v>52</v>
      </c>
      <c r="H777" t="s">
        <v>53</v>
      </c>
      <c r="I777">
        <v>100</v>
      </c>
      <c r="J777">
        <v>100</v>
      </c>
      <c r="K777">
        <v>100</v>
      </c>
      <c r="L777">
        <v>437243</v>
      </c>
    </row>
    <row r="778" spans="1:12" hidden="1" x14ac:dyDescent="0.25">
      <c r="A778">
        <v>2018</v>
      </c>
      <c r="B778" t="s">
        <v>12</v>
      </c>
      <c r="C778">
        <v>2143</v>
      </c>
      <c r="D778" t="s">
        <v>69</v>
      </c>
      <c r="E778" t="s">
        <v>14</v>
      </c>
      <c r="F778" t="s">
        <v>71</v>
      </c>
      <c r="G778" t="s">
        <v>54</v>
      </c>
      <c r="H778" t="s">
        <v>55</v>
      </c>
      <c r="I778">
        <v>100</v>
      </c>
      <c r="J778">
        <v>99.999999999999005</v>
      </c>
      <c r="K778">
        <v>100</v>
      </c>
      <c r="L778">
        <v>2143</v>
      </c>
    </row>
    <row r="779" spans="1:12" hidden="1" x14ac:dyDescent="0.25">
      <c r="A779">
        <v>2018</v>
      </c>
      <c r="B779" t="s">
        <v>66</v>
      </c>
      <c r="C779">
        <v>113533</v>
      </c>
      <c r="D779" t="s">
        <v>69</v>
      </c>
      <c r="E779" t="s">
        <v>14</v>
      </c>
      <c r="F779" t="s">
        <v>71</v>
      </c>
      <c r="G779" t="s">
        <v>54</v>
      </c>
      <c r="H779" t="s">
        <v>55</v>
      </c>
      <c r="I779">
        <v>100</v>
      </c>
      <c r="J779">
        <v>100</v>
      </c>
      <c r="K779">
        <v>100</v>
      </c>
      <c r="L779">
        <v>113533</v>
      </c>
    </row>
    <row r="780" spans="1:12" hidden="1" x14ac:dyDescent="0.25">
      <c r="A780">
        <v>2018</v>
      </c>
      <c r="B780" t="s">
        <v>12</v>
      </c>
      <c r="C780">
        <v>853</v>
      </c>
      <c r="D780" t="s">
        <v>69</v>
      </c>
      <c r="E780" t="s">
        <v>14</v>
      </c>
      <c r="F780" t="s">
        <v>71</v>
      </c>
      <c r="G780" t="s">
        <v>56</v>
      </c>
      <c r="H780" t="s">
        <v>57</v>
      </c>
      <c r="I780">
        <v>100</v>
      </c>
      <c r="J780">
        <v>99.999999999999005</v>
      </c>
      <c r="K780">
        <v>100</v>
      </c>
      <c r="L780">
        <v>853</v>
      </c>
    </row>
    <row r="781" spans="1:12" hidden="1" x14ac:dyDescent="0.25">
      <c r="A781">
        <v>2018</v>
      </c>
      <c r="B781" t="s">
        <v>66</v>
      </c>
      <c r="C781">
        <v>19226</v>
      </c>
      <c r="D781" t="s">
        <v>69</v>
      </c>
      <c r="E781" t="s">
        <v>14</v>
      </c>
      <c r="F781" t="s">
        <v>71</v>
      </c>
      <c r="G781" t="s">
        <v>56</v>
      </c>
      <c r="H781" t="s">
        <v>57</v>
      </c>
      <c r="I781">
        <v>100</v>
      </c>
      <c r="J781">
        <v>100</v>
      </c>
      <c r="K781">
        <v>100</v>
      </c>
      <c r="L781">
        <v>19226</v>
      </c>
    </row>
    <row r="782" spans="1:12" hidden="1" x14ac:dyDescent="0.25">
      <c r="A782">
        <v>2018</v>
      </c>
      <c r="B782" t="s">
        <v>12</v>
      </c>
      <c r="C782">
        <v>11435</v>
      </c>
      <c r="D782" t="s">
        <v>69</v>
      </c>
      <c r="E782" t="s">
        <v>14</v>
      </c>
      <c r="F782" t="s">
        <v>71</v>
      </c>
      <c r="G782" t="s">
        <v>58</v>
      </c>
      <c r="H782" t="s">
        <v>59</v>
      </c>
      <c r="I782">
        <v>100</v>
      </c>
      <c r="J782">
        <v>99.999999999999005</v>
      </c>
      <c r="K782">
        <v>100</v>
      </c>
      <c r="L782">
        <v>11435</v>
      </c>
    </row>
    <row r="783" spans="1:12" hidden="1" x14ac:dyDescent="0.25">
      <c r="A783">
        <v>2018</v>
      </c>
      <c r="B783" t="s">
        <v>66</v>
      </c>
      <c r="C783">
        <v>29565</v>
      </c>
      <c r="D783" t="s">
        <v>69</v>
      </c>
      <c r="E783" t="s">
        <v>14</v>
      </c>
      <c r="F783" t="s">
        <v>71</v>
      </c>
      <c r="G783" t="s">
        <v>58</v>
      </c>
      <c r="H783" t="s">
        <v>59</v>
      </c>
      <c r="I783">
        <v>100</v>
      </c>
      <c r="J783">
        <v>100</v>
      </c>
      <c r="K783">
        <v>100</v>
      </c>
      <c r="L783">
        <v>29565</v>
      </c>
    </row>
    <row r="784" spans="1:12" hidden="1" x14ac:dyDescent="0.25">
      <c r="A784">
        <v>2018</v>
      </c>
      <c r="B784" t="s">
        <v>12</v>
      </c>
      <c r="C784">
        <v>1339</v>
      </c>
      <c r="D784" t="s">
        <v>69</v>
      </c>
      <c r="E784" t="s">
        <v>14</v>
      </c>
      <c r="F784" t="s">
        <v>71</v>
      </c>
      <c r="G784" t="s">
        <v>60</v>
      </c>
      <c r="H784" t="s">
        <v>61</v>
      </c>
      <c r="J784">
        <v>99.999999999999005</v>
      </c>
      <c r="K784">
        <v>99.999999999999005</v>
      </c>
      <c r="L784">
        <v>1339</v>
      </c>
    </row>
    <row r="785" spans="1:12" hidden="1" x14ac:dyDescent="0.25">
      <c r="A785">
        <v>2018</v>
      </c>
      <c r="B785" t="s">
        <v>66</v>
      </c>
      <c r="C785">
        <v>13525</v>
      </c>
      <c r="D785" t="s">
        <v>69</v>
      </c>
      <c r="E785" t="s">
        <v>14</v>
      </c>
      <c r="F785" t="s">
        <v>71</v>
      </c>
      <c r="G785" t="s">
        <v>60</v>
      </c>
      <c r="H785" t="s">
        <v>61</v>
      </c>
      <c r="I785">
        <v>100</v>
      </c>
      <c r="J785">
        <v>100</v>
      </c>
      <c r="K785">
        <v>100</v>
      </c>
      <c r="L785">
        <v>13525</v>
      </c>
    </row>
    <row r="786" spans="1:12" hidden="1" x14ac:dyDescent="0.25">
      <c r="A786">
        <v>2018</v>
      </c>
      <c r="B786" t="s">
        <v>12</v>
      </c>
      <c r="C786">
        <v>25787</v>
      </c>
      <c r="D786" t="s">
        <v>69</v>
      </c>
      <c r="E786" t="s">
        <v>14</v>
      </c>
      <c r="F786" t="s">
        <v>71</v>
      </c>
      <c r="G786" t="s">
        <v>62</v>
      </c>
      <c r="H786" t="s">
        <v>63</v>
      </c>
      <c r="I786">
        <v>100</v>
      </c>
      <c r="J786">
        <v>99.999999999999005</v>
      </c>
      <c r="K786">
        <v>100</v>
      </c>
      <c r="L786">
        <v>25787</v>
      </c>
    </row>
    <row r="787" spans="1:12" hidden="1" x14ac:dyDescent="0.25">
      <c r="A787">
        <v>2018</v>
      </c>
      <c r="B787" t="s">
        <v>12</v>
      </c>
      <c r="C787">
        <v>903</v>
      </c>
      <c r="D787" t="s">
        <v>69</v>
      </c>
      <c r="E787" t="s">
        <v>14</v>
      </c>
      <c r="F787" t="s">
        <v>71</v>
      </c>
      <c r="G787" t="s">
        <v>16</v>
      </c>
      <c r="H787" t="s">
        <v>17</v>
      </c>
      <c r="J787">
        <v>99.999999999999005</v>
      </c>
      <c r="K787">
        <v>99.999999999999005</v>
      </c>
      <c r="L787">
        <v>903</v>
      </c>
    </row>
    <row r="788" spans="1:12" hidden="1" x14ac:dyDescent="0.25">
      <c r="A788">
        <v>2017</v>
      </c>
      <c r="B788" t="s">
        <v>12</v>
      </c>
      <c r="C788">
        <v>155407</v>
      </c>
      <c r="D788" t="s">
        <v>69</v>
      </c>
      <c r="E788" t="s">
        <v>14</v>
      </c>
      <c r="F788" t="s">
        <v>71</v>
      </c>
      <c r="G788" t="s">
        <v>18</v>
      </c>
      <c r="H788" t="s">
        <v>19</v>
      </c>
      <c r="I788">
        <v>98.723825004638996</v>
      </c>
      <c r="J788">
        <v>95.003435419368998</v>
      </c>
      <c r="K788">
        <v>98.723825004638996</v>
      </c>
      <c r="L788">
        <v>155407</v>
      </c>
    </row>
    <row r="789" spans="1:12" hidden="1" x14ac:dyDescent="0.25">
      <c r="A789">
        <v>2017</v>
      </c>
      <c r="B789" t="s">
        <v>66</v>
      </c>
      <c r="C789">
        <v>831352</v>
      </c>
      <c r="D789" t="s">
        <v>69</v>
      </c>
      <c r="E789" t="s">
        <v>14</v>
      </c>
      <c r="F789" t="s">
        <v>71</v>
      </c>
      <c r="G789" t="s">
        <v>18</v>
      </c>
      <c r="H789" t="s">
        <v>19</v>
      </c>
      <c r="I789">
        <v>96.7</v>
      </c>
      <c r="J789">
        <v>94.3</v>
      </c>
      <c r="K789">
        <v>96.7</v>
      </c>
      <c r="L789">
        <v>831352</v>
      </c>
    </row>
    <row r="790" spans="1:12" hidden="1" x14ac:dyDescent="0.25">
      <c r="A790">
        <v>2017</v>
      </c>
      <c r="B790" t="s">
        <v>12</v>
      </c>
      <c r="C790">
        <v>21228</v>
      </c>
      <c r="D790" t="s">
        <v>69</v>
      </c>
      <c r="E790" t="s">
        <v>14</v>
      </c>
      <c r="F790" t="s">
        <v>71</v>
      </c>
      <c r="G790" t="s">
        <v>20</v>
      </c>
      <c r="H790" t="s">
        <v>21</v>
      </c>
      <c r="I790">
        <v>90.846967636214998</v>
      </c>
      <c r="J790">
        <v>95.003435419368998</v>
      </c>
      <c r="K790">
        <v>90.846967636214998</v>
      </c>
      <c r="L790">
        <v>21228</v>
      </c>
    </row>
    <row r="791" spans="1:12" hidden="1" x14ac:dyDescent="0.25">
      <c r="A791">
        <v>2017</v>
      </c>
      <c r="B791" t="s">
        <v>66</v>
      </c>
      <c r="C791">
        <v>144420</v>
      </c>
      <c r="D791" t="s">
        <v>69</v>
      </c>
      <c r="E791" t="s">
        <v>14</v>
      </c>
      <c r="F791" t="s">
        <v>71</v>
      </c>
      <c r="G791" t="s">
        <v>20</v>
      </c>
      <c r="H791" t="s">
        <v>21</v>
      </c>
      <c r="I791">
        <v>96.4</v>
      </c>
      <c r="J791">
        <v>94.3</v>
      </c>
      <c r="K791">
        <v>96.4</v>
      </c>
      <c r="L791">
        <v>144420</v>
      </c>
    </row>
    <row r="792" spans="1:12" hidden="1" x14ac:dyDescent="0.25">
      <c r="A792">
        <v>2017</v>
      </c>
      <c r="B792" t="s">
        <v>66</v>
      </c>
      <c r="C792">
        <v>2256</v>
      </c>
      <c r="D792" t="s">
        <v>69</v>
      </c>
      <c r="E792" t="s">
        <v>14</v>
      </c>
      <c r="F792" t="s">
        <v>71</v>
      </c>
      <c r="G792" t="s">
        <v>67</v>
      </c>
      <c r="H792" t="s">
        <v>68</v>
      </c>
      <c r="I792">
        <v>96.4</v>
      </c>
      <c r="J792">
        <v>94.3</v>
      </c>
      <c r="K792">
        <v>96.4</v>
      </c>
      <c r="L792">
        <v>2256</v>
      </c>
    </row>
    <row r="793" spans="1:12" hidden="1" x14ac:dyDescent="0.25">
      <c r="A793">
        <v>2017</v>
      </c>
      <c r="B793" t="s">
        <v>12</v>
      </c>
      <c r="C793">
        <v>5063</v>
      </c>
      <c r="D793" t="s">
        <v>69</v>
      </c>
      <c r="E793" t="s">
        <v>14</v>
      </c>
      <c r="F793" t="s">
        <v>71</v>
      </c>
      <c r="G793" t="s">
        <v>22</v>
      </c>
      <c r="H793" t="s">
        <v>23</v>
      </c>
      <c r="I793">
        <v>111.61986215915999</v>
      </c>
      <c r="J793">
        <v>95.003435419368998</v>
      </c>
      <c r="K793">
        <v>111.61986215915999</v>
      </c>
      <c r="L793">
        <v>5063</v>
      </c>
    </row>
    <row r="794" spans="1:12" hidden="1" x14ac:dyDescent="0.25">
      <c r="A794">
        <v>2017</v>
      </c>
      <c r="B794" t="s">
        <v>66</v>
      </c>
      <c r="C794">
        <v>279075</v>
      </c>
      <c r="D794" t="s">
        <v>69</v>
      </c>
      <c r="E794" t="s">
        <v>14</v>
      </c>
      <c r="F794" t="s">
        <v>71</v>
      </c>
      <c r="G794" t="s">
        <v>22</v>
      </c>
      <c r="H794" t="s">
        <v>23</v>
      </c>
      <c r="I794">
        <v>97.5</v>
      </c>
      <c r="J794">
        <v>94.3</v>
      </c>
      <c r="K794">
        <v>97.5</v>
      </c>
      <c r="L794">
        <v>279075</v>
      </c>
    </row>
    <row r="795" spans="1:12" hidden="1" x14ac:dyDescent="0.25">
      <c r="A795">
        <v>2017</v>
      </c>
      <c r="B795" t="s">
        <v>12</v>
      </c>
      <c r="C795">
        <v>26102</v>
      </c>
      <c r="D795" t="s">
        <v>69</v>
      </c>
      <c r="E795" t="s">
        <v>14</v>
      </c>
      <c r="F795" t="s">
        <v>71</v>
      </c>
      <c r="G795" t="s">
        <v>24</v>
      </c>
      <c r="H795" t="s">
        <v>25</v>
      </c>
      <c r="I795">
        <v>111.61986215915999</v>
      </c>
      <c r="J795">
        <v>95.003435419368998</v>
      </c>
      <c r="K795">
        <v>111.61986215915999</v>
      </c>
      <c r="L795">
        <v>26102</v>
      </c>
    </row>
    <row r="796" spans="1:12" hidden="1" x14ac:dyDescent="0.25">
      <c r="A796">
        <v>2017</v>
      </c>
      <c r="B796" t="s">
        <v>66</v>
      </c>
      <c r="C796">
        <v>158490</v>
      </c>
      <c r="D796" t="s">
        <v>69</v>
      </c>
      <c r="E796" t="s">
        <v>14</v>
      </c>
      <c r="F796" t="s">
        <v>71</v>
      </c>
      <c r="G796" t="s">
        <v>24</v>
      </c>
      <c r="H796" t="s">
        <v>25</v>
      </c>
      <c r="I796">
        <v>96.6</v>
      </c>
      <c r="J796">
        <v>94.3</v>
      </c>
      <c r="K796">
        <v>96.6</v>
      </c>
      <c r="L796">
        <v>158490</v>
      </c>
    </row>
    <row r="797" spans="1:12" hidden="1" x14ac:dyDescent="0.25">
      <c r="A797">
        <v>2017</v>
      </c>
      <c r="B797" t="s">
        <v>12</v>
      </c>
      <c r="C797">
        <v>6236</v>
      </c>
      <c r="D797" t="s">
        <v>69</v>
      </c>
      <c r="E797" t="s">
        <v>14</v>
      </c>
      <c r="F797" t="s">
        <v>71</v>
      </c>
      <c r="G797" t="s">
        <v>26</v>
      </c>
      <c r="H797" t="s">
        <v>27</v>
      </c>
      <c r="I797">
        <v>111.61986215915999</v>
      </c>
      <c r="J797">
        <v>95.003435419368998</v>
      </c>
      <c r="K797">
        <v>111.61986215915999</v>
      </c>
      <c r="L797">
        <v>6236</v>
      </c>
    </row>
    <row r="798" spans="1:12" hidden="1" x14ac:dyDescent="0.25">
      <c r="A798">
        <v>2017</v>
      </c>
      <c r="B798" t="s">
        <v>66</v>
      </c>
      <c r="C798">
        <v>76302</v>
      </c>
      <c r="D798" t="s">
        <v>69</v>
      </c>
      <c r="E798" t="s">
        <v>14</v>
      </c>
      <c r="F798" t="s">
        <v>71</v>
      </c>
      <c r="G798" t="s">
        <v>26</v>
      </c>
      <c r="H798" t="s">
        <v>27</v>
      </c>
      <c r="I798">
        <v>97.8</v>
      </c>
      <c r="J798">
        <v>94.3</v>
      </c>
      <c r="K798">
        <v>97.8</v>
      </c>
      <c r="L798">
        <v>76302</v>
      </c>
    </row>
    <row r="799" spans="1:12" hidden="1" x14ac:dyDescent="0.25">
      <c r="A799">
        <v>2017</v>
      </c>
      <c r="B799" t="s">
        <v>12</v>
      </c>
      <c r="C799">
        <v>30167</v>
      </c>
      <c r="D799" t="s">
        <v>69</v>
      </c>
      <c r="E799" t="s">
        <v>14</v>
      </c>
      <c r="F799" t="s">
        <v>71</v>
      </c>
      <c r="G799" t="s">
        <v>28</v>
      </c>
      <c r="H799" t="s">
        <v>29</v>
      </c>
      <c r="I799">
        <v>102.38170475517001</v>
      </c>
      <c r="J799">
        <v>95.003435419368998</v>
      </c>
      <c r="K799">
        <v>102.38170475517001</v>
      </c>
      <c r="L799">
        <v>30167</v>
      </c>
    </row>
    <row r="800" spans="1:12" hidden="1" x14ac:dyDescent="0.25">
      <c r="A800">
        <v>2017</v>
      </c>
      <c r="B800" t="s">
        <v>66</v>
      </c>
      <c r="C800">
        <v>31428</v>
      </c>
      <c r="D800" t="s">
        <v>69</v>
      </c>
      <c r="E800" t="s">
        <v>14</v>
      </c>
      <c r="F800" t="s">
        <v>71</v>
      </c>
      <c r="G800" t="s">
        <v>28</v>
      </c>
      <c r="H800" t="s">
        <v>29</v>
      </c>
      <c r="I800">
        <v>98.6</v>
      </c>
      <c r="J800">
        <v>94.3</v>
      </c>
      <c r="K800">
        <v>98.6</v>
      </c>
      <c r="L800">
        <v>31428</v>
      </c>
    </row>
    <row r="801" spans="1:12" hidden="1" x14ac:dyDescent="0.25">
      <c r="A801">
        <v>2017</v>
      </c>
      <c r="B801" t="s">
        <v>12</v>
      </c>
      <c r="C801">
        <v>21879</v>
      </c>
      <c r="D801" t="s">
        <v>69</v>
      </c>
      <c r="E801" t="s">
        <v>14</v>
      </c>
      <c r="F801" t="s">
        <v>71</v>
      </c>
      <c r="G801" t="s">
        <v>30</v>
      </c>
      <c r="H801" t="s">
        <v>31</v>
      </c>
      <c r="I801">
        <v>76.712843517501994</v>
      </c>
      <c r="J801">
        <v>95.003435419368998</v>
      </c>
      <c r="K801">
        <v>76.712843517501994</v>
      </c>
      <c r="L801">
        <v>21879</v>
      </c>
    </row>
    <row r="802" spans="1:12" hidden="1" x14ac:dyDescent="0.25">
      <c r="A802">
        <v>2017</v>
      </c>
      <c r="B802" t="s">
        <v>66</v>
      </c>
      <c r="C802">
        <v>76183</v>
      </c>
      <c r="D802" t="s">
        <v>69</v>
      </c>
      <c r="E802" t="s">
        <v>14</v>
      </c>
      <c r="F802" t="s">
        <v>71</v>
      </c>
      <c r="G802" t="s">
        <v>30</v>
      </c>
      <c r="H802" t="s">
        <v>31</v>
      </c>
      <c r="I802">
        <v>93.7</v>
      </c>
      <c r="J802">
        <v>94.3</v>
      </c>
      <c r="K802">
        <v>93.7</v>
      </c>
      <c r="L802">
        <v>76183</v>
      </c>
    </row>
    <row r="803" spans="1:12" hidden="1" x14ac:dyDescent="0.25">
      <c r="A803">
        <v>2017</v>
      </c>
      <c r="B803" t="s">
        <v>12</v>
      </c>
      <c r="C803">
        <v>8578</v>
      </c>
      <c r="D803" t="s">
        <v>69</v>
      </c>
      <c r="E803" t="s">
        <v>14</v>
      </c>
      <c r="F803" t="s">
        <v>71</v>
      </c>
      <c r="G803" t="s">
        <v>32</v>
      </c>
      <c r="H803" t="s">
        <v>33</v>
      </c>
      <c r="I803">
        <v>76.712843517501994</v>
      </c>
      <c r="J803">
        <v>95.003435419368998</v>
      </c>
      <c r="K803">
        <v>76.712843517501994</v>
      </c>
      <c r="L803">
        <v>8578</v>
      </c>
    </row>
    <row r="804" spans="1:12" hidden="1" x14ac:dyDescent="0.25">
      <c r="A804">
        <v>2017</v>
      </c>
      <c r="B804" t="s">
        <v>66</v>
      </c>
      <c r="C804">
        <v>14285</v>
      </c>
      <c r="D804" t="s">
        <v>69</v>
      </c>
      <c r="E804" t="s">
        <v>14</v>
      </c>
      <c r="F804" t="s">
        <v>71</v>
      </c>
      <c r="G804" t="s">
        <v>32</v>
      </c>
      <c r="H804" t="s">
        <v>33</v>
      </c>
      <c r="I804">
        <v>96.5</v>
      </c>
      <c r="J804">
        <v>94.3</v>
      </c>
      <c r="K804">
        <v>96.5</v>
      </c>
      <c r="L804">
        <v>14285</v>
      </c>
    </row>
    <row r="805" spans="1:12" hidden="1" x14ac:dyDescent="0.25">
      <c r="A805">
        <v>2017</v>
      </c>
      <c r="B805" t="s">
        <v>66</v>
      </c>
      <c r="C805">
        <v>29704</v>
      </c>
      <c r="D805" t="s">
        <v>69</v>
      </c>
      <c r="E805" t="s">
        <v>14</v>
      </c>
      <c r="F805" t="s">
        <v>71</v>
      </c>
      <c r="G805" t="s">
        <v>34</v>
      </c>
      <c r="H805" t="s">
        <v>35</v>
      </c>
      <c r="I805">
        <v>64.099999999999994</v>
      </c>
      <c r="J805">
        <v>94.3</v>
      </c>
      <c r="K805">
        <v>64.099999999999994</v>
      </c>
      <c r="L805">
        <v>29704</v>
      </c>
    </row>
    <row r="806" spans="1:12" hidden="1" x14ac:dyDescent="0.25">
      <c r="A806">
        <v>2017</v>
      </c>
      <c r="B806" t="s">
        <v>12</v>
      </c>
      <c r="C806">
        <v>30781</v>
      </c>
      <c r="D806" t="s">
        <v>69</v>
      </c>
      <c r="E806" t="s">
        <v>14</v>
      </c>
      <c r="F806" t="s">
        <v>71</v>
      </c>
      <c r="G806" t="s">
        <v>36</v>
      </c>
      <c r="H806" t="s">
        <v>37</v>
      </c>
      <c r="I806">
        <v>96.253026824776995</v>
      </c>
      <c r="J806">
        <v>95.003435419368998</v>
      </c>
      <c r="K806">
        <v>96.253026824776995</v>
      </c>
      <c r="L806">
        <v>30781</v>
      </c>
    </row>
    <row r="807" spans="1:12" hidden="1" x14ac:dyDescent="0.25">
      <c r="A807">
        <v>2017</v>
      </c>
      <c r="B807" t="s">
        <v>66</v>
      </c>
      <c r="C807">
        <v>181711</v>
      </c>
      <c r="D807" t="s">
        <v>69</v>
      </c>
      <c r="E807" t="s">
        <v>14</v>
      </c>
      <c r="F807" t="s">
        <v>71</v>
      </c>
      <c r="G807" t="s">
        <v>36</v>
      </c>
      <c r="H807" t="s">
        <v>37</v>
      </c>
      <c r="I807">
        <v>96.1</v>
      </c>
      <c r="J807">
        <v>94.3</v>
      </c>
      <c r="K807">
        <v>96.1</v>
      </c>
      <c r="L807">
        <v>181711</v>
      </c>
    </row>
    <row r="808" spans="1:12" hidden="1" x14ac:dyDescent="0.25">
      <c r="A808">
        <v>2017</v>
      </c>
      <c r="B808" t="s">
        <v>12</v>
      </c>
      <c r="C808">
        <v>10933</v>
      </c>
      <c r="D808" t="s">
        <v>69</v>
      </c>
      <c r="E808" t="s">
        <v>14</v>
      </c>
      <c r="F808" t="s">
        <v>71</v>
      </c>
      <c r="G808" t="s">
        <v>38</v>
      </c>
      <c r="H808" t="s">
        <v>39</v>
      </c>
      <c r="I808">
        <v>96.253026824776995</v>
      </c>
      <c r="J808">
        <v>95.003435419368998</v>
      </c>
      <c r="K808">
        <v>96.253026824776995</v>
      </c>
      <c r="L808">
        <v>10933</v>
      </c>
    </row>
    <row r="809" spans="1:12" hidden="1" x14ac:dyDescent="0.25">
      <c r="A809">
        <v>2017</v>
      </c>
      <c r="B809" t="s">
        <v>66</v>
      </c>
      <c r="C809">
        <v>71485</v>
      </c>
      <c r="D809" t="s">
        <v>69</v>
      </c>
      <c r="E809" t="s">
        <v>14</v>
      </c>
      <c r="F809" t="s">
        <v>71</v>
      </c>
      <c r="G809" t="s">
        <v>38</v>
      </c>
      <c r="H809" t="s">
        <v>39</v>
      </c>
      <c r="I809">
        <v>96.1</v>
      </c>
      <c r="J809">
        <v>94.3</v>
      </c>
      <c r="K809">
        <v>96.1</v>
      </c>
      <c r="L809">
        <v>71485</v>
      </c>
    </row>
    <row r="810" spans="1:12" hidden="1" x14ac:dyDescent="0.25">
      <c r="A810">
        <v>2017</v>
      </c>
      <c r="B810" t="s">
        <v>12</v>
      </c>
      <c r="C810">
        <v>25792</v>
      </c>
      <c r="D810" t="s">
        <v>69</v>
      </c>
      <c r="E810" t="s">
        <v>14</v>
      </c>
      <c r="F810" t="s">
        <v>71</v>
      </c>
      <c r="G810" t="s">
        <v>40</v>
      </c>
      <c r="H810" t="s">
        <v>41</v>
      </c>
      <c r="I810">
        <v>96.253026824776995</v>
      </c>
      <c r="J810">
        <v>95.003435419368998</v>
      </c>
      <c r="K810">
        <v>96.253026824776995</v>
      </c>
      <c r="L810">
        <v>25792</v>
      </c>
    </row>
    <row r="811" spans="1:12" hidden="1" x14ac:dyDescent="0.25">
      <c r="A811">
        <v>2017</v>
      </c>
      <c r="B811" t="s">
        <v>66</v>
      </c>
      <c r="C811">
        <v>242195</v>
      </c>
      <c r="D811" t="s">
        <v>69</v>
      </c>
      <c r="E811" t="s">
        <v>14</v>
      </c>
      <c r="F811" t="s">
        <v>71</v>
      </c>
      <c r="G811" t="s">
        <v>40</v>
      </c>
      <c r="H811" t="s">
        <v>41</v>
      </c>
      <c r="I811">
        <v>95.4</v>
      </c>
      <c r="J811">
        <v>94.3</v>
      </c>
      <c r="K811">
        <v>95.4</v>
      </c>
      <c r="L811">
        <v>242195</v>
      </c>
    </row>
    <row r="812" spans="1:12" hidden="1" x14ac:dyDescent="0.25">
      <c r="A812">
        <v>2017</v>
      </c>
      <c r="B812" t="s">
        <v>12</v>
      </c>
      <c r="C812">
        <v>18012</v>
      </c>
      <c r="D812" t="s">
        <v>69</v>
      </c>
      <c r="E812" t="s">
        <v>14</v>
      </c>
      <c r="F812" t="s">
        <v>71</v>
      </c>
      <c r="G812" t="s">
        <v>42</v>
      </c>
      <c r="H812" t="s">
        <v>43</v>
      </c>
      <c r="I812">
        <v>89.385379074143003</v>
      </c>
      <c r="J812">
        <v>95.003435419368998</v>
      </c>
      <c r="K812">
        <v>89.385379074143003</v>
      </c>
      <c r="L812">
        <v>18012</v>
      </c>
    </row>
    <row r="813" spans="1:12" hidden="1" x14ac:dyDescent="0.25">
      <c r="A813">
        <v>2017</v>
      </c>
      <c r="B813" t="s">
        <v>66</v>
      </c>
      <c r="C813">
        <v>168350</v>
      </c>
      <c r="D813" t="s">
        <v>69</v>
      </c>
      <c r="E813" t="s">
        <v>14</v>
      </c>
      <c r="F813" t="s">
        <v>71</v>
      </c>
      <c r="G813" t="s">
        <v>42</v>
      </c>
      <c r="H813" t="s">
        <v>43</v>
      </c>
      <c r="I813">
        <v>95.9</v>
      </c>
      <c r="J813">
        <v>94.3</v>
      </c>
      <c r="K813">
        <v>95.9</v>
      </c>
      <c r="L813">
        <v>168350</v>
      </c>
    </row>
    <row r="814" spans="1:12" hidden="1" x14ac:dyDescent="0.25">
      <c r="A814">
        <v>2017</v>
      </c>
      <c r="B814" t="s">
        <v>12</v>
      </c>
      <c r="C814">
        <v>6679</v>
      </c>
      <c r="D814" t="s">
        <v>69</v>
      </c>
      <c r="E814" t="s">
        <v>14</v>
      </c>
      <c r="F814" t="s">
        <v>71</v>
      </c>
      <c r="G814" t="s">
        <v>44</v>
      </c>
      <c r="H814" t="s">
        <v>45</v>
      </c>
      <c r="I814">
        <v>89.385379074143003</v>
      </c>
      <c r="J814">
        <v>95.003435419368998</v>
      </c>
      <c r="K814">
        <v>89.385379074143003</v>
      </c>
      <c r="L814">
        <v>6679</v>
      </c>
    </row>
    <row r="815" spans="1:12" hidden="1" x14ac:dyDescent="0.25">
      <c r="A815">
        <v>2017</v>
      </c>
      <c r="B815" t="s">
        <v>66</v>
      </c>
      <c r="C815">
        <v>115918</v>
      </c>
      <c r="D815" t="s">
        <v>69</v>
      </c>
      <c r="E815" t="s">
        <v>14</v>
      </c>
      <c r="F815" t="s">
        <v>71</v>
      </c>
      <c r="G815" t="s">
        <v>44</v>
      </c>
      <c r="H815" t="s">
        <v>45</v>
      </c>
      <c r="I815">
        <v>89.3</v>
      </c>
      <c r="J815">
        <v>94.3</v>
      </c>
      <c r="K815">
        <v>89.3</v>
      </c>
      <c r="L815">
        <v>115918</v>
      </c>
    </row>
    <row r="816" spans="1:12" hidden="1" x14ac:dyDescent="0.25">
      <c r="A816">
        <v>2017</v>
      </c>
      <c r="B816" t="s">
        <v>12</v>
      </c>
      <c r="C816">
        <v>37396</v>
      </c>
      <c r="D816" t="s">
        <v>69</v>
      </c>
      <c r="E816" t="s">
        <v>14</v>
      </c>
      <c r="F816" t="s">
        <v>71</v>
      </c>
      <c r="G816" t="s">
        <v>46</v>
      </c>
      <c r="H816" t="s">
        <v>47</v>
      </c>
      <c r="I816">
        <v>98.189528995325006</v>
      </c>
      <c r="J816">
        <v>95.003435419368998</v>
      </c>
      <c r="K816">
        <v>98.189528995325006</v>
      </c>
      <c r="L816">
        <v>37396</v>
      </c>
    </row>
    <row r="817" spans="1:12" hidden="1" x14ac:dyDescent="0.25">
      <c r="A817">
        <v>2017</v>
      </c>
      <c r="B817" t="s">
        <v>66</v>
      </c>
      <c r="C817">
        <v>310393</v>
      </c>
      <c r="D817" t="s">
        <v>69</v>
      </c>
      <c r="E817" t="s">
        <v>14</v>
      </c>
      <c r="F817" t="s">
        <v>71</v>
      </c>
      <c r="G817" t="s">
        <v>46</v>
      </c>
      <c r="H817" t="s">
        <v>47</v>
      </c>
      <c r="I817">
        <v>90.2</v>
      </c>
      <c r="J817">
        <v>94.3</v>
      </c>
      <c r="K817">
        <v>90.2</v>
      </c>
      <c r="L817">
        <v>310393</v>
      </c>
    </row>
    <row r="818" spans="1:12" hidden="1" x14ac:dyDescent="0.25">
      <c r="A818">
        <v>2017</v>
      </c>
      <c r="B818" t="s">
        <v>12</v>
      </c>
      <c r="C818">
        <v>1335</v>
      </c>
      <c r="D818" t="s">
        <v>69</v>
      </c>
      <c r="E818" t="s">
        <v>14</v>
      </c>
      <c r="F818" t="s">
        <v>71</v>
      </c>
      <c r="G818" t="s">
        <v>48</v>
      </c>
      <c r="H818" t="s">
        <v>49</v>
      </c>
      <c r="I818">
        <v>98.189528995325006</v>
      </c>
      <c r="J818">
        <v>95.003435419368998</v>
      </c>
      <c r="K818">
        <v>98.189528995325006</v>
      </c>
      <c r="L818">
        <v>1335</v>
      </c>
    </row>
    <row r="819" spans="1:12" hidden="1" x14ac:dyDescent="0.25">
      <c r="A819">
        <v>2017</v>
      </c>
      <c r="B819" t="s">
        <v>66</v>
      </c>
      <c r="C819">
        <v>323971</v>
      </c>
      <c r="D819" t="s">
        <v>69</v>
      </c>
      <c r="E819" t="s">
        <v>14</v>
      </c>
      <c r="F819" t="s">
        <v>71</v>
      </c>
      <c r="G819" t="s">
        <v>48</v>
      </c>
      <c r="H819" t="s">
        <v>49</v>
      </c>
      <c r="I819">
        <v>95.5</v>
      </c>
      <c r="J819">
        <v>94.3</v>
      </c>
      <c r="K819">
        <v>95.5</v>
      </c>
      <c r="L819">
        <v>323971</v>
      </c>
    </row>
    <row r="820" spans="1:12" hidden="1" x14ac:dyDescent="0.25">
      <c r="A820">
        <v>2017</v>
      </c>
      <c r="B820" t="s">
        <v>12</v>
      </c>
      <c r="C820">
        <v>8249</v>
      </c>
      <c r="D820" t="s">
        <v>69</v>
      </c>
      <c r="E820" t="s">
        <v>14</v>
      </c>
      <c r="F820" t="s">
        <v>71</v>
      </c>
      <c r="G820" t="s">
        <v>50</v>
      </c>
      <c r="H820" t="s">
        <v>51</v>
      </c>
      <c r="I820">
        <v>98.189528995325006</v>
      </c>
      <c r="J820">
        <v>95.003435419368998</v>
      </c>
      <c r="K820">
        <v>98.189528995325006</v>
      </c>
      <c r="L820">
        <v>8249</v>
      </c>
    </row>
    <row r="821" spans="1:12" hidden="1" x14ac:dyDescent="0.25">
      <c r="A821">
        <v>2017</v>
      </c>
      <c r="B821" t="s">
        <v>66</v>
      </c>
      <c r="C821">
        <v>543889</v>
      </c>
      <c r="D821" t="s">
        <v>69</v>
      </c>
      <c r="E821" t="s">
        <v>14</v>
      </c>
      <c r="F821" t="s">
        <v>71</v>
      </c>
      <c r="G821" t="s">
        <v>50</v>
      </c>
      <c r="H821" t="s">
        <v>51</v>
      </c>
      <c r="I821">
        <v>94.3</v>
      </c>
      <c r="J821">
        <v>94.3</v>
      </c>
      <c r="K821">
        <v>94.3</v>
      </c>
      <c r="L821">
        <v>543889</v>
      </c>
    </row>
    <row r="822" spans="1:12" hidden="1" x14ac:dyDescent="0.25">
      <c r="A822">
        <v>2017</v>
      </c>
      <c r="B822" t="s">
        <v>12</v>
      </c>
      <c r="C822">
        <v>10188</v>
      </c>
      <c r="D822" t="s">
        <v>69</v>
      </c>
      <c r="E822" t="s">
        <v>14</v>
      </c>
      <c r="F822" t="s">
        <v>71</v>
      </c>
      <c r="G822" t="s">
        <v>52</v>
      </c>
      <c r="H822" t="s">
        <v>53</v>
      </c>
      <c r="I822">
        <v>98.189528995325006</v>
      </c>
      <c r="J822">
        <v>95.003435419368998</v>
      </c>
      <c r="K822">
        <v>98.189528995325006</v>
      </c>
      <c r="L822">
        <v>10188</v>
      </c>
    </row>
    <row r="823" spans="1:12" hidden="1" x14ac:dyDescent="0.25">
      <c r="A823">
        <v>2017</v>
      </c>
      <c r="B823" t="s">
        <v>66</v>
      </c>
      <c r="C823">
        <v>418417</v>
      </c>
      <c r="D823" t="s">
        <v>69</v>
      </c>
      <c r="E823" t="s">
        <v>14</v>
      </c>
      <c r="F823" t="s">
        <v>71</v>
      </c>
      <c r="G823" t="s">
        <v>52</v>
      </c>
      <c r="H823" t="s">
        <v>53</v>
      </c>
      <c r="I823">
        <v>96.3</v>
      </c>
      <c r="J823">
        <v>94.3</v>
      </c>
      <c r="K823">
        <v>96.3</v>
      </c>
      <c r="L823">
        <v>418417</v>
      </c>
    </row>
    <row r="824" spans="1:12" hidden="1" x14ac:dyDescent="0.25">
      <c r="A824">
        <v>2017</v>
      </c>
      <c r="B824" t="s">
        <v>12</v>
      </c>
      <c r="C824">
        <v>1155</v>
      </c>
      <c r="D824" t="s">
        <v>69</v>
      </c>
      <c r="E824" t="s">
        <v>14</v>
      </c>
      <c r="F824" t="s">
        <v>71</v>
      </c>
      <c r="G824" t="s">
        <v>54</v>
      </c>
      <c r="H824" t="s">
        <v>55</v>
      </c>
      <c r="I824">
        <v>98.189528995325006</v>
      </c>
      <c r="J824">
        <v>95.003435419368998</v>
      </c>
      <c r="K824">
        <v>98.189528995325006</v>
      </c>
      <c r="L824">
        <v>1155</v>
      </c>
    </row>
    <row r="825" spans="1:12" hidden="1" x14ac:dyDescent="0.25">
      <c r="A825">
        <v>2017</v>
      </c>
      <c r="B825" t="s">
        <v>66</v>
      </c>
      <c r="C825">
        <v>106024</v>
      </c>
      <c r="D825" t="s">
        <v>69</v>
      </c>
      <c r="E825" t="s">
        <v>14</v>
      </c>
      <c r="F825" t="s">
        <v>71</v>
      </c>
      <c r="G825" t="s">
        <v>54</v>
      </c>
      <c r="H825" t="s">
        <v>55</v>
      </c>
      <c r="I825">
        <v>97</v>
      </c>
      <c r="J825">
        <v>94.3</v>
      </c>
      <c r="K825">
        <v>97</v>
      </c>
      <c r="L825">
        <v>106024</v>
      </c>
    </row>
    <row r="826" spans="1:12" hidden="1" x14ac:dyDescent="0.25">
      <c r="A826">
        <v>2017</v>
      </c>
      <c r="B826" t="s">
        <v>12</v>
      </c>
      <c r="C826">
        <v>613</v>
      </c>
      <c r="D826" t="s">
        <v>69</v>
      </c>
      <c r="E826" t="s">
        <v>14</v>
      </c>
      <c r="F826" t="s">
        <v>71</v>
      </c>
      <c r="G826" t="s">
        <v>56</v>
      </c>
      <c r="H826" t="s">
        <v>57</v>
      </c>
      <c r="I826">
        <v>98.189528995325006</v>
      </c>
      <c r="J826">
        <v>95.003435419368998</v>
      </c>
      <c r="K826">
        <v>98.189528995325006</v>
      </c>
      <c r="L826">
        <v>613</v>
      </c>
    </row>
    <row r="827" spans="1:12" hidden="1" x14ac:dyDescent="0.25">
      <c r="A827">
        <v>2017</v>
      </c>
      <c r="B827" t="s">
        <v>66</v>
      </c>
      <c r="C827">
        <v>16225</v>
      </c>
      <c r="D827" t="s">
        <v>69</v>
      </c>
      <c r="E827" t="s">
        <v>14</v>
      </c>
      <c r="F827" t="s">
        <v>71</v>
      </c>
      <c r="G827" t="s">
        <v>56</v>
      </c>
      <c r="H827" t="s">
        <v>57</v>
      </c>
      <c r="I827">
        <v>97</v>
      </c>
      <c r="J827">
        <v>94.3</v>
      </c>
      <c r="K827">
        <v>97</v>
      </c>
      <c r="L827">
        <v>16225</v>
      </c>
    </row>
    <row r="828" spans="1:12" hidden="1" x14ac:dyDescent="0.25">
      <c r="A828">
        <v>2017</v>
      </c>
      <c r="B828" t="s">
        <v>12</v>
      </c>
      <c r="C828">
        <v>11169</v>
      </c>
      <c r="D828" t="s">
        <v>69</v>
      </c>
      <c r="E828" t="s">
        <v>14</v>
      </c>
      <c r="F828" t="s">
        <v>71</v>
      </c>
      <c r="G828" t="s">
        <v>58</v>
      </c>
      <c r="H828" t="s">
        <v>59</v>
      </c>
      <c r="I828">
        <v>102.38170475517001</v>
      </c>
      <c r="J828">
        <v>95.003435419368998</v>
      </c>
      <c r="K828">
        <v>102.38170475517001</v>
      </c>
      <c r="L828">
        <v>11169</v>
      </c>
    </row>
    <row r="829" spans="1:12" hidden="1" x14ac:dyDescent="0.25">
      <c r="A829">
        <v>2017</v>
      </c>
      <c r="B829" t="s">
        <v>66</v>
      </c>
      <c r="C829">
        <v>30635</v>
      </c>
      <c r="D829" t="s">
        <v>69</v>
      </c>
      <c r="E829" t="s">
        <v>14</v>
      </c>
      <c r="F829" t="s">
        <v>71</v>
      </c>
      <c r="G829" t="s">
        <v>58</v>
      </c>
      <c r="H829" t="s">
        <v>59</v>
      </c>
      <c r="I829">
        <v>96.7</v>
      </c>
      <c r="J829">
        <v>94.3</v>
      </c>
      <c r="K829">
        <v>96.7</v>
      </c>
      <c r="L829">
        <v>30635</v>
      </c>
    </row>
    <row r="830" spans="1:12" hidden="1" x14ac:dyDescent="0.25">
      <c r="A830">
        <v>2017</v>
      </c>
      <c r="B830" t="s">
        <v>12</v>
      </c>
      <c r="C830">
        <v>1368</v>
      </c>
      <c r="D830" t="s">
        <v>69</v>
      </c>
      <c r="E830" t="s">
        <v>14</v>
      </c>
      <c r="F830" t="s">
        <v>71</v>
      </c>
      <c r="G830" t="s">
        <v>60</v>
      </c>
      <c r="H830" t="s">
        <v>61</v>
      </c>
      <c r="J830">
        <v>95.003435419368998</v>
      </c>
      <c r="K830">
        <v>95.003435419368998</v>
      </c>
      <c r="L830">
        <v>1368</v>
      </c>
    </row>
    <row r="831" spans="1:12" hidden="1" x14ac:dyDescent="0.25">
      <c r="A831">
        <v>2017</v>
      </c>
      <c r="B831" t="s">
        <v>66</v>
      </c>
      <c r="C831">
        <v>13414</v>
      </c>
      <c r="D831" t="s">
        <v>69</v>
      </c>
      <c r="E831" t="s">
        <v>14</v>
      </c>
      <c r="F831" t="s">
        <v>71</v>
      </c>
      <c r="G831" t="s">
        <v>60</v>
      </c>
      <c r="H831" t="s">
        <v>61</v>
      </c>
      <c r="I831">
        <v>95.9</v>
      </c>
      <c r="J831">
        <v>94.3</v>
      </c>
      <c r="K831">
        <v>95.9</v>
      </c>
      <c r="L831">
        <v>13414</v>
      </c>
    </row>
    <row r="832" spans="1:12" hidden="1" x14ac:dyDescent="0.25">
      <c r="A832">
        <v>2017</v>
      </c>
      <c r="B832" t="s">
        <v>12</v>
      </c>
      <c r="C832">
        <v>44332</v>
      </c>
      <c r="D832" t="s">
        <v>69</v>
      </c>
      <c r="E832" t="s">
        <v>14</v>
      </c>
      <c r="F832" t="s">
        <v>71</v>
      </c>
      <c r="G832" t="s">
        <v>62</v>
      </c>
      <c r="H832" t="s">
        <v>63</v>
      </c>
      <c r="I832">
        <v>98.189528995325006</v>
      </c>
      <c r="J832">
        <v>95.003435419368998</v>
      </c>
      <c r="K832">
        <v>98.189528995325006</v>
      </c>
      <c r="L832">
        <v>44332</v>
      </c>
    </row>
    <row r="833" spans="1:12" hidden="1" x14ac:dyDescent="0.25">
      <c r="A833">
        <v>2017</v>
      </c>
      <c r="B833" t="s">
        <v>12</v>
      </c>
      <c r="C833">
        <v>14411</v>
      </c>
      <c r="D833" t="s">
        <v>69</v>
      </c>
      <c r="E833" t="s">
        <v>14</v>
      </c>
      <c r="F833" t="s">
        <v>71</v>
      </c>
      <c r="G833" t="s">
        <v>16</v>
      </c>
      <c r="H833" t="s">
        <v>17</v>
      </c>
      <c r="J833">
        <v>95.003435419368998</v>
      </c>
      <c r="K833">
        <v>95.003435419368998</v>
      </c>
      <c r="L833">
        <v>14411</v>
      </c>
    </row>
    <row r="834" spans="1:12" hidden="1" x14ac:dyDescent="0.25">
      <c r="A834">
        <v>2016</v>
      </c>
      <c r="B834" t="s">
        <v>12</v>
      </c>
      <c r="C834">
        <v>27652</v>
      </c>
      <c r="D834" t="s">
        <v>69</v>
      </c>
      <c r="E834" t="s">
        <v>14</v>
      </c>
      <c r="F834" t="s">
        <v>71</v>
      </c>
      <c r="G834" t="s">
        <v>36</v>
      </c>
      <c r="H834" t="s">
        <v>37</v>
      </c>
      <c r="I834">
        <v>101.63829571143999</v>
      </c>
      <c r="J834">
        <v>95.629262636448004</v>
      </c>
      <c r="K834">
        <v>101.63829571143999</v>
      </c>
      <c r="L834">
        <v>27652</v>
      </c>
    </row>
    <row r="835" spans="1:12" hidden="1" x14ac:dyDescent="0.25">
      <c r="A835">
        <v>2016</v>
      </c>
      <c r="B835" t="s">
        <v>66</v>
      </c>
      <c r="C835">
        <v>180664</v>
      </c>
      <c r="D835" t="s">
        <v>69</v>
      </c>
      <c r="E835" t="s">
        <v>14</v>
      </c>
      <c r="F835" t="s">
        <v>71</v>
      </c>
      <c r="G835" t="s">
        <v>36</v>
      </c>
      <c r="H835" t="s">
        <v>37</v>
      </c>
      <c r="I835">
        <v>103.7</v>
      </c>
      <c r="J835">
        <v>87.8</v>
      </c>
      <c r="K835">
        <v>103.7</v>
      </c>
      <c r="L835">
        <v>180664</v>
      </c>
    </row>
    <row r="836" spans="1:12" hidden="1" x14ac:dyDescent="0.25">
      <c r="A836">
        <v>2016</v>
      </c>
      <c r="B836" t="s">
        <v>66</v>
      </c>
      <c r="C836">
        <v>29891</v>
      </c>
      <c r="D836" t="s">
        <v>69</v>
      </c>
      <c r="E836" t="s">
        <v>14</v>
      </c>
      <c r="F836" t="s">
        <v>71</v>
      </c>
      <c r="G836" t="s">
        <v>34</v>
      </c>
      <c r="H836" t="s">
        <v>35</v>
      </c>
      <c r="I836">
        <v>17.7</v>
      </c>
      <c r="J836">
        <v>87.8</v>
      </c>
      <c r="K836">
        <v>17.7</v>
      </c>
      <c r="L836">
        <v>29891</v>
      </c>
    </row>
    <row r="837" spans="1:12" hidden="1" x14ac:dyDescent="0.25">
      <c r="A837">
        <v>2016</v>
      </c>
      <c r="B837" t="s">
        <v>12</v>
      </c>
      <c r="C837">
        <v>10167</v>
      </c>
      <c r="D837" t="s">
        <v>69</v>
      </c>
      <c r="E837" t="s">
        <v>14</v>
      </c>
      <c r="F837" t="s">
        <v>71</v>
      </c>
      <c r="G837" t="s">
        <v>38</v>
      </c>
      <c r="H837" t="s">
        <v>39</v>
      </c>
      <c r="I837">
        <v>101.63829571143999</v>
      </c>
      <c r="J837">
        <v>95.629262636448004</v>
      </c>
      <c r="K837">
        <v>101.63829571143999</v>
      </c>
      <c r="L837">
        <v>10167</v>
      </c>
    </row>
    <row r="838" spans="1:12" hidden="1" x14ac:dyDescent="0.25">
      <c r="A838">
        <v>2016</v>
      </c>
      <c r="B838" t="s">
        <v>66</v>
      </c>
      <c r="C838">
        <v>66946</v>
      </c>
      <c r="D838" t="s">
        <v>69</v>
      </c>
      <c r="E838" t="s">
        <v>14</v>
      </c>
      <c r="F838" t="s">
        <v>71</v>
      </c>
      <c r="G838" t="s">
        <v>38</v>
      </c>
      <c r="H838" t="s">
        <v>39</v>
      </c>
      <c r="I838">
        <v>103.7</v>
      </c>
      <c r="J838">
        <v>87.8</v>
      </c>
      <c r="K838">
        <v>103.7</v>
      </c>
      <c r="L838">
        <v>66946</v>
      </c>
    </row>
    <row r="839" spans="1:12" hidden="1" x14ac:dyDescent="0.25">
      <c r="A839">
        <v>2016</v>
      </c>
      <c r="B839" t="s">
        <v>12</v>
      </c>
      <c r="C839">
        <v>28144</v>
      </c>
      <c r="D839" t="s">
        <v>69</v>
      </c>
      <c r="E839" t="s">
        <v>14</v>
      </c>
      <c r="F839" t="s">
        <v>71</v>
      </c>
      <c r="G839" t="s">
        <v>40</v>
      </c>
      <c r="H839" t="s">
        <v>41</v>
      </c>
      <c r="I839">
        <v>101.63829571143999</v>
      </c>
      <c r="J839">
        <v>95.629262636448004</v>
      </c>
      <c r="K839">
        <v>101.63829571143999</v>
      </c>
      <c r="L839">
        <v>28144</v>
      </c>
    </row>
    <row r="840" spans="1:12" hidden="1" x14ac:dyDescent="0.25">
      <c r="A840">
        <v>2016</v>
      </c>
      <c r="B840" t="s">
        <v>66</v>
      </c>
      <c r="C840">
        <v>232773</v>
      </c>
      <c r="D840" t="s">
        <v>69</v>
      </c>
      <c r="E840" t="s">
        <v>14</v>
      </c>
      <c r="F840" t="s">
        <v>71</v>
      </c>
      <c r="G840" t="s">
        <v>40</v>
      </c>
      <c r="H840" t="s">
        <v>41</v>
      </c>
      <c r="I840">
        <v>89.1</v>
      </c>
      <c r="J840">
        <v>87.8</v>
      </c>
      <c r="K840">
        <v>89.1</v>
      </c>
      <c r="L840">
        <v>232773</v>
      </c>
    </row>
    <row r="841" spans="1:12" hidden="1" x14ac:dyDescent="0.25">
      <c r="A841">
        <v>2016</v>
      </c>
      <c r="B841" t="s">
        <v>12</v>
      </c>
      <c r="C841">
        <v>15908</v>
      </c>
      <c r="D841" t="s">
        <v>69</v>
      </c>
      <c r="E841" t="s">
        <v>14</v>
      </c>
      <c r="F841" t="s">
        <v>71</v>
      </c>
      <c r="G841" t="s">
        <v>42</v>
      </c>
      <c r="H841" t="s">
        <v>43</v>
      </c>
      <c r="I841">
        <v>89.680336785110001</v>
      </c>
      <c r="J841">
        <v>95.629262636448004</v>
      </c>
      <c r="K841">
        <v>89.680336785110001</v>
      </c>
      <c r="L841">
        <v>15908</v>
      </c>
    </row>
    <row r="842" spans="1:12" hidden="1" x14ac:dyDescent="0.25">
      <c r="A842">
        <v>2016</v>
      </c>
      <c r="B842" t="s">
        <v>66</v>
      </c>
      <c r="C842">
        <v>163864</v>
      </c>
      <c r="D842" t="s">
        <v>69</v>
      </c>
      <c r="E842" t="s">
        <v>14</v>
      </c>
      <c r="F842" t="s">
        <v>71</v>
      </c>
      <c r="G842" t="s">
        <v>42</v>
      </c>
      <c r="H842" t="s">
        <v>43</v>
      </c>
      <c r="I842">
        <v>87.6</v>
      </c>
      <c r="J842">
        <v>87.8</v>
      </c>
      <c r="K842">
        <v>87.6</v>
      </c>
      <c r="L842">
        <v>163864</v>
      </c>
    </row>
    <row r="843" spans="1:12" hidden="1" x14ac:dyDescent="0.25">
      <c r="A843">
        <v>2016</v>
      </c>
      <c r="B843" t="s">
        <v>12</v>
      </c>
      <c r="C843">
        <v>7512</v>
      </c>
      <c r="D843" t="s">
        <v>69</v>
      </c>
      <c r="E843" t="s">
        <v>14</v>
      </c>
      <c r="F843" t="s">
        <v>71</v>
      </c>
      <c r="G843" t="s">
        <v>44</v>
      </c>
      <c r="H843" t="s">
        <v>45</v>
      </c>
      <c r="I843">
        <v>89.680336785110001</v>
      </c>
      <c r="J843">
        <v>95.629262636448004</v>
      </c>
      <c r="K843">
        <v>89.680336785110001</v>
      </c>
      <c r="L843">
        <v>7512</v>
      </c>
    </row>
    <row r="844" spans="1:12" hidden="1" x14ac:dyDescent="0.25">
      <c r="A844">
        <v>2016</v>
      </c>
      <c r="B844" t="s">
        <v>66</v>
      </c>
      <c r="C844">
        <v>112225</v>
      </c>
      <c r="D844" t="s">
        <v>69</v>
      </c>
      <c r="E844" t="s">
        <v>14</v>
      </c>
      <c r="F844" t="s">
        <v>71</v>
      </c>
      <c r="G844" t="s">
        <v>44</v>
      </c>
      <c r="H844" t="s">
        <v>45</v>
      </c>
      <c r="I844">
        <v>80.900000000000006</v>
      </c>
      <c r="J844">
        <v>87.8</v>
      </c>
      <c r="K844">
        <v>80.900000000000006</v>
      </c>
      <c r="L844">
        <v>112225</v>
      </c>
    </row>
    <row r="845" spans="1:12" hidden="1" x14ac:dyDescent="0.25">
      <c r="A845">
        <v>2016</v>
      </c>
      <c r="B845" t="s">
        <v>12</v>
      </c>
      <c r="C845">
        <v>26559</v>
      </c>
      <c r="D845" t="s">
        <v>69</v>
      </c>
      <c r="E845" t="s">
        <v>14</v>
      </c>
      <c r="F845" t="s">
        <v>71</v>
      </c>
      <c r="G845" t="s">
        <v>46</v>
      </c>
      <c r="H845" t="s">
        <v>47</v>
      </c>
      <c r="I845">
        <v>101.10423088160999</v>
      </c>
      <c r="J845">
        <v>95.629262636448004</v>
      </c>
      <c r="K845">
        <v>101.10423088160999</v>
      </c>
      <c r="L845">
        <v>26559</v>
      </c>
    </row>
    <row r="846" spans="1:12" hidden="1" x14ac:dyDescent="0.25">
      <c r="A846">
        <v>2016</v>
      </c>
      <c r="B846" t="s">
        <v>66</v>
      </c>
      <c r="C846">
        <v>298576</v>
      </c>
      <c r="D846" t="s">
        <v>69</v>
      </c>
      <c r="E846" t="s">
        <v>14</v>
      </c>
      <c r="F846" t="s">
        <v>71</v>
      </c>
      <c r="G846" t="s">
        <v>46</v>
      </c>
      <c r="H846" t="s">
        <v>47</v>
      </c>
      <c r="I846">
        <v>84.2</v>
      </c>
      <c r="J846">
        <v>87.8</v>
      </c>
      <c r="K846">
        <v>84.2</v>
      </c>
      <c r="L846">
        <v>298576</v>
      </c>
    </row>
    <row r="847" spans="1:12" hidden="1" x14ac:dyDescent="0.25">
      <c r="A847">
        <v>2016</v>
      </c>
      <c r="B847" t="s">
        <v>12</v>
      </c>
      <c r="C847">
        <v>2601</v>
      </c>
      <c r="D847" t="s">
        <v>69</v>
      </c>
      <c r="E847" t="s">
        <v>14</v>
      </c>
      <c r="F847" t="s">
        <v>71</v>
      </c>
      <c r="G847" t="s">
        <v>48</v>
      </c>
      <c r="H847" t="s">
        <v>49</v>
      </c>
      <c r="I847">
        <v>101.10423088160999</v>
      </c>
      <c r="J847">
        <v>95.629262636448004</v>
      </c>
      <c r="K847">
        <v>101.10423088160999</v>
      </c>
      <c r="L847">
        <v>2601</v>
      </c>
    </row>
    <row r="848" spans="1:12" hidden="1" x14ac:dyDescent="0.25">
      <c r="A848">
        <v>2016</v>
      </c>
      <c r="B848" t="s">
        <v>66</v>
      </c>
      <c r="C848">
        <v>305617</v>
      </c>
      <c r="D848" t="s">
        <v>69</v>
      </c>
      <c r="E848" t="s">
        <v>14</v>
      </c>
      <c r="F848" t="s">
        <v>71</v>
      </c>
      <c r="G848" t="s">
        <v>48</v>
      </c>
      <c r="H848" t="s">
        <v>49</v>
      </c>
      <c r="I848">
        <v>91.8</v>
      </c>
      <c r="J848">
        <v>87.8</v>
      </c>
      <c r="K848">
        <v>91.8</v>
      </c>
      <c r="L848">
        <v>305617</v>
      </c>
    </row>
    <row r="849" spans="1:12" hidden="1" x14ac:dyDescent="0.25">
      <c r="A849">
        <v>2016</v>
      </c>
      <c r="B849" t="s">
        <v>12</v>
      </c>
      <c r="C849">
        <v>8630</v>
      </c>
      <c r="D849" t="s">
        <v>69</v>
      </c>
      <c r="E849" t="s">
        <v>14</v>
      </c>
      <c r="F849" t="s">
        <v>71</v>
      </c>
      <c r="G849" t="s">
        <v>50</v>
      </c>
      <c r="H849" t="s">
        <v>51</v>
      </c>
      <c r="I849">
        <v>101.10423088160999</v>
      </c>
      <c r="J849">
        <v>95.629262636448004</v>
      </c>
      <c r="K849">
        <v>101.10423088160999</v>
      </c>
      <c r="L849">
        <v>8630</v>
      </c>
    </row>
    <row r="850" spans="1:12" hidden="1" x14ac:dyDescent="0.25">
      <c r="A850">
        <v>2016</v>
      </c>
      <c r="B850" t="s">
        <v>66</v>
      </c>
      <c r="C850">
        <v>521154</v>
      </c>
      <c r="D850" t="s">
        <v>69</v>
      </c>
      <c r="E850" t="s">
        <v>14</v>
      </c>
      <c r="F850" t="s">
        <v>71</v>
      </c>
      <c r="G850" t="s">
        <v>50</v>
      </c>
      <c r="H850" t="s">
        <v>51</v>
      </c>
      <c r="I850">
        <v>90.7</v>
      </c>
      <c r="J850">
        <v>87.8</v>
      </c>
      <c r="K850">
        <v>90.7</v>
      </c>
      <c r="L850">
        <v>521154</v>
      </c>
    </row>
    <row r="851" spans="1:12" hidden="1" x14ac:dyDescent="0.25">
      <c r="A851">
        <v>2016</v>
      </c>
      <c r="B851" t="s">
        <v>12</v>
      </c>
      <c r="C851">
        <v>10803</v>
      </c>
      <c r="D851" t="s">
        <v>69</v>
      </c>
      <c r="E851" t="s">
        <v>14</v>
      </c>
      <c r="F851" t="s">
        <v>71</v>
      </c>
      <c r="G851" t="s">
        <v>52</v>
      </c>
      <c r="H851" t="s">
        <v>53</v>
      </c>
      <c r="I851">
        <v>101.10423088160999</v>
      </c>
      <c r="J851">
        <v>95.629262636448004</v>
      </c>
      <c r="K851">
        <v>101.10423088160999</v>
      </c>
      <c r="L851">
        <v>10803</v>
      </c>
    </row>
    <row r="852" spans="1:12" hidden="1" x14ac:dyDescent="0.25">
      <c r="A852">
        <v>2016</v>
      </c>
      <c r="B852" t="s">
        <v>66</v>
      </c>
      <c r="C852">
        <v>394320</v>
      </c>
      <c r="D852" t="s">
        <v>69</v>
      </c>
      <c r="E852" t="s">
        <v>14</v>
      </c>
      <c r="F852" t="s">
        <v>71</v>
      </c>
      <c r="G852" t="s">
        <v>52</v>
      </c>
      <c r="H852" t="s">
        <v>53</v>
      </c>
      <c r="I852">
        <v>91.6</v>
      </c>
      <c r="J852">
        <v>87.8</v>
      </c>
      <c r="K852">
        <v>91.6</v>
      </c>
      <c r="L852">
        <v>394320</v>
      </c>
    </row>
    <row r="853" spans="1:12" hidden="1" x14ac:dyDescent="0.25">
      <c r="A853">
        <v>2016</v>
      </c>
      <c r="B853" t="s">
        <v>12</v>
      </c>
      <c r="C853">
        <v>1132</v>
      </c>
      <c r="D853" t="s">
        <v>69</v>
      </c>
      <c r="E853" t="s">
        <v>14</v>
      </c>
      <c r="F853" t="s">
        <v>71</v>
      </c>
      <c r="G853" t="s">
        <v>54</v>
      </c>
      <c r="H853" t="s">
        <v>55</v>
      </c>
      <c r="I853">
        <v>101.10423088160999</v>
      </c>
      <c r="J853">
        <v>95.629262636448004</v>
      </c>
      <c r="K853">
        <v>101.10423088160999</v>
      </c>
      <c r="L853">
        <v>1132</v>
      </c>
    </row>
    <row r="854" spans="1:12" hidden="1" x14ac:dyDescent="0.25">
      <c r="A854">
        <v>2016</v>
      </c>
      <c r="B854" t="s">
        <v>66</v>
      </c>
      <c r="C854">
        <v>97006</v>
      </c>
      <c r="D854" t="s">
        <v>69</v>
      </c>
      <c r="E854" t="s">
        <v>14</v>
      </c>
      <c r="F854" t="s">
        <v>71</v>
      </c>
      <c r="G854" t="s">
        <v>54</v>
      </c>
      <c r="H854" t="s">
        <v>55</v>
      </c>
      <c r="I854">
        <v>93.3</v>
      </c>
      <c r="J854">
        <v>87.8</v>
      </c>
      <c r="K854">
        <v>93.3</v>
      </c>
      <c r="L854">
        <v>97006</v>
      </c>
    </row>
    <row r="855" spans="1:12" hidden="1" x14ac:dyDescent="0.25">
      <c r="A855">
        <v>2016</v>
      </c>
      <c r="B855" t="s">
        <v>12</v>
      </c>
      <c r="C855">
        <v>846</v>
      </c>
      <c r="D855" t="s">
        <v>69</v>
      </c>
      <c r="E855" t="s">
        <v>14</v>
      </c>
      <c r="F855" t="s">
        <v>71</v>
      </c>
      <c r="G855" t="s">
        <v>56</v>
      </c>
      <c r="H855" t="s">
        <v>57</v>
      </c>
      <c r="I855">
        <v>101.10423088160999</v>
      </c>
      <c r="J855">
        <v>95.629262636448004</v>
      </c>
      <c r="K855">
        <v>101.10423088160999</v>
      </c>
      <c r="L855">
        <v>846</v>
      </c>
    </row>
    <row r="856" spans="1:12" hidden="1" x14ac:dyDescent="0.25">
      <c r="A856">
        <v>2016</v>
      </c>
      <c r="B856" t="s">
        <v>66</v>
      </c>
      <c r="C856">
        <v>14172</v>
      </c>
      <c r="D856" t="s">
        <v>69</v>
      </c>
      <c r="E856" t="s">
        <v>14</v>
      </c>
      <c r="F856" t="s">
        <v>71</v>
      </c>
      <c r="G856" t="s">
        <v>56</v>
      </c>
      <c r="H856" t="s">
        <v>57</v>
      </c>
      <c r="I856">
        <v>93.3</v>
      </c>
      <c r="J856">
        <v>87.8</v>
      </c>
      <c r="K856">
        <v>93.3</v>
      </c>
      <c r="L856">
        <v>14172</v>
      </c>
    </row>
    <row r="857" spans="1:12" hidden="1" x14ac:dyDescent="0.25">
      <c r="A857">
        <v>2016</v>
      </c>
      <c r="B857" t="s">
        <v>12</v>
      </c>
      <c r="C857">
        <v>10906</v>
      </c>
      <c r="D857" t="s">
        <v>69</v>
      </c>
      <c r="E857" t="s">
        <v>14</v>
      </c>
      <c r="F857" t="s">
        <v>71</v>
      </c>
      <c r="G857" t="s">
        <v>58</v>
      </c>
      <c r="H857" t="s">
        <v>59</v>
      </c>
      <c r="I857">
        <v>106.15763962638999</v>
      </c>
      <c r="J857">
        <v>95.629262636448004</v>
      </c>
      <c r="K857">
        <v>106.15763962638999</v>
      </c>
      <c r="L857">
        <v>10906</v>
      </c>
    </row>
    <row r="858" spans="1:12" hidden="1" x14ac:dyDescent="0.25">
      <c r="A858">
        <v>2016</v>
      </c>
      <c r="B858" t="s">
        <v>66</v>
      </c>
      <c r="C858">
        <v>29903</v>
      </c>
      <c r="D858" t="s">
        <v>69</v>
      </c>
      <c r="E858" t="s">
        <v>14</v>
      </c>
      <c r="F858" t="s">
        <v>71</v>
      </c>
      <c r="G858" t="s">
        <v>58</v>
      </c>
      <c r="H858" t="s">
        <v>59</v>
      </c>
      <c r="I858">
        <v>91.8</v>
      </c>
      <c r="J858">
        <v>87.8</v>
      </c>
      <c r="K858">
        <v>91.8</v>
      </c>
      <c r="L858">
        <v>29903</v>
      </c>
    </row>
    <row r="859" spans="1:12" hidden="1" x14ac:dyDescent="0.25">
      <c r="A859">
        <v>2016</v>
      </c>
      <c r="B859" t="s">
        <v>12</v>
      </c>
      <c r="C859">
        <v>1703</v>
      </c>
      <c r="D859" t="s">
        <v>69</v>
      </c>
      <c r="E859" t="s">
        <v>14</v>
      </c>
      <c r="F859" t="s">
        <v>71</v>
      </c>
      <c r="G859" t="s">
        <v>60</v>
      </c>
      <c r="H859" t="s">
        <v>61</v>
      </c>
      <c r="J859">
        <v>95.629262636448004</v>
      </c>
      <c r="K859">
        <v>95.629262636448004</v>
      </c>
      <c r="L859">
        <v>1703</v>
      </c>
    </row>
    <row r="860" spans="1:12" hidden="1" x14ac:dyDescent="0.25">
      <c r="A860">
        <v>2016</v>
      </c>
      <c r="B860" t="s">
        <v>66</v>
      </c>
      <c r="C860">
        <v>13431</v>
      </c>
      <c r="D860" t="s">
        <v>69</v>
      </c>
      <c r="E860" t="s">
        <v>14</v>
      </c>
      <c r="F860" t="s">
        <v>71</v>
      </c>
      <c r="G860" t="s">
        <v>60</v>
      </c>
      <c r="H860" t="s">
        <v>61</v>
      </c>
      <c r="I860">
        <v>91.1</v>
      </c>
      <c r="J860">
        <v>87.8</v>
      </c>
      <c r="K860">
        <v>91.1</v>
      </c>
      <c r="L860">
        <v>13431</v>
      </c>
    </row>
    <row r="861" spans="1:12" hidden="1" x14ac:dyDescent="0.25">
      <c r="A861">
        <v>2016</v>
      </c>
      <c r="B861" t="s">
        <v>12</v>
      </c>
      <c r="C861">
        <v>23802</v>
      </c>
      <c r="D861" t="s">
        <v>69</v>
      </c>
      <c r="E861" t="s">
        <v>14</v>
      </c>
      <c r="F861" t="s">
        <v>71</v>
      </c>
      <c r="G861" t="s">
        <v>62</v>
      </c>
      <c r="H861" t="s">
        <v>63</v>
      </c>
      <c r="I861">
        <v>101.10423088160999</v>
      </c>
      <c r="J861">
        <v>95.629262636448004</v>
      </c>
      <c r="K861">
        <v>101.10423088160999</v>
      </c>
      <c r="L861">
        <v>23802</v>
      </c>
    </row>
    <row r="862" spans="1:12" hidden="1" x14ac:dyDescent="0.25">
      <c r="A862">
        <v>2016</v>
      </c>
      <c r="B862" t="s">
        <v>12</v>
      </c>
      <c r="C862">
        <v>150226</v>
      </c>
      <c r="D862" t="s">
        <v>69</v>
      </c>
      <c r="E862" t="s">
        <v>14</v>
      </c>
      <c r="F862" t="s">
        <v>71</v>
      </c>
      <c r="G862" t="s">
        <v>18</v>
      </c>
      <c r="H862" t="s">
        <v>19</v>
      </c>
      <c r="I862">
        <v>96.618124512281994</v>
      </c>
      <c r="J862">
        <v>95.629262636448004</v>
      </c>
      <c r="K862">
        <v>96.618124512281994</v>
      </c>
      <c r="L862">
        <v>150226</v>
      </c>
    </row>
    <row r="863" spans="1:12" hidden="1" x14ac:dyDescent="0.25">
      <c r="A863">
        <v>2016</v>
      </c>
      <c r="B863" t="s">
        <v>66</v>
      </c>
      <c r="C863">
        <v>822478</v>
      </c>
      <c r="D863" t="s">
        <v>69</v>
      </c>
      <c r="E863" t="s">
        <v>14</v>
      </c>
      <c r="F863" t="s">
        <v>71</v>
      </c>
      <c r="G863" t="s">
        <v>18</v>
      </c>
      <c r="H863" t="s">
        <v>19</v>
      </c>
      <c r="I863">
        <v>92.1</v>
      </c>
      <c r="J863">
        <v>87.8</v>
      </c>
      <c r="K863">
        <v>92.1</v>
      </c>
      <c r="L863">
        <v>822478</v>
      </c>
    </row>
    <row r="864" spans="1:12" hidden="1" x14ac:dyDescent="0.25">
      <c r="A864">
        <v>2016</v>
      </c>
      <c r="B864" t="s">
        <v>12</v>
      </c>
      <c r="C864">
        <v>20797</v>
      </c>
      <c r="D864" t="s">
        <v>69</v>
      </c>
      <c r="E864" t="s">
        <v>14</v>
      </c>
      <c r="F864" t="s">
        <v>71</v>
      </c>
      <c r="G864" t="s">
        <v>20</v>
      </c>
      <c r="H864" t="s">
        <v>21</v>
      </c>
      <c r="I864">
        <v>96.059679698527006</v>
      </c>
      <c r="J864">
        <v>95.629262636448004</v>
      </c>
      <c r="K864">
        <v>96.059679698527006</v>
      </c>
      <c r="L864">
        <v>20797</v>
      </c>
    </row>
    <row r="865" spans="1:12" hidden="1" x14ac:dyDescent="0.25">
      <c r="A865">
        <v>2016</v>
      </c>
      <c r="B865" t="s">
        <v>66</v>
      </c>
      <c r="C865">
        <v>143540</v>
      </c>
      <c r="D865" t="s">
        <v>69</v>
      </c>
      <c r="E865" t="s">
        <v>14</v>
      </c>
      <c r="F865" t="s">
        <v>71</v>
      </c>
      <c r="G865" t="s">
        <v>20</v>
      </c>
      <c r="H865" t="s">
        <v>21</v>
      </c>
      <c r="I865">
        <v>89.6</v>
      </c>
      <c r="J865">
        <v>87.8</v>
      </c>
      <c r="K865">
        <v>89.6</v>
      </c>
      <c r="L865">
        <v>143540</v>
      </c>
    </row>
    <row r="866" spans="1:12" hidden="1" x14ac:dyDescent="0.25">
      <c r="A866">
        <v>2016</v>
      </c>
      <c r="B866" t="s">
        <v>66</v>
      </c>
      <c r="C866">
        <v>2255</v>
      </c>
      <c r="D866" t="s">
        <v>69</v>
      </c>
      <c r="E866" t="s">
        <v>14</v>
      </c>
      <c r="F866" t="s">
        <v>71</v>
      </c>
      <c r="G866" t="s">
        <v>67</v>
      </c>
      <c r="H866" t="s">
        <v>68</v>
      </c>
      <c r="I866">
        <v>89.6</v>
      </c>
      <c r="J866">
        <v>87.8</v>
      </c>
      <c r="K866">
        <v>89.6</v>
      </c>
      <c r="L866">
        <v>2255</v>
      </c>
    </row>
    <row r="867" spans="1:12" hidden="1" x14ac:dyDescent="0.25">
      <c r="A867">
        <v>2016</v>
      </c>
      <c r="B867" t="s">
        <v>12</v>
      </c>
      <c r="C867">
        <v>6025</v>
      </c>
      <c r="D867" t="s">
        <v>69</v>
      </c>
      <c r="E867" t="s">
        <v>14</v>
      </c>
      <c r="F867" t="s">
        <v>71</v>
      </c>
      <c r="G867" t="s">
        <v>22</v>
      </c>
      <c r="H867" t="s">
        <v>23</v>
      </c>
      <c r="I867">
        <v>117.9376128321</v>
      </c>
      <c r="J867">
        <v>95.629262636448004</v>
      </c>
      <c r="K867">
        <v>117.9376128321</v>
      </c>
      <c r="L867">
        <v>6025</v>
      </c>
    </row>
    <row r="868" spans="1:12" hidden="1" x14ac:dyDescent="0.25">
      <c r="A868">
        <v>2016</v>
      </c>
      <c r="B868" t="s">
        <v>66</v>
      </c>
      <c r="C868">
        <v>267263</v>
      </c>
      <c r="D868" t="s">
        <v>69</v>
      </c>
      <c r="E868" t="s">
        <v>14</v>
      </c>
      <c r="F868" t="s">
        <v>71</v>
      </c>
      <c r="G868" t="s">
        <v>22</v>
      </c>
      <c r="H868" t="s">
        <v>23</v>
      </c>
      <c r="I868">
        <v>88.8</v>
      </c>
      <c r="J868">
        <v>87.8</v>
      </c>
      <c r="K868">
        <v>88.8</v>
      </c>
      <c r="L868">
        <v>267263</v>
      </c>
    </row>
    <row r="869" spans="1:12" hidden="1" x14ac:dyDescent="0.25">
      <c r="A869">
        <v>2016</v>
      </c>
      <c r="B869" t="s">
        <v>12</v>
      </c>
      <c r="C869">
        <v>8550</v>
      </c>
      <c r="D869" t="s">
        <v>69</v>
      </c>
      <c r="E869" t="s">
        <v>14</v>
      </c>
      <c r="F869" t="s">
        <v>71</v>
      </c>
      <c r="G869" t="s">
        <v>24</v>
      </c>
      <c r="H869" t="s">
        <v>25</v>
      </c>
      <c r="I869">
        <v>117.9376128321</v>
      </c>
      <c r="J869">
        <v>95.629262636448004</v>
      </c>
      <c r="K869">
        <v>117.9376128321</v>
      </c>
      <c r="L869">
        <v>8550</v>
      </c>
    </row>
    <row r="870" spans="1:12" hidden="1" x14ac:dyDescent="0.25">
      <c r="A870">
        <v>2016</v>
      </c>
      <c r="B870" t="s">
        <v>66</v>
      </c>
      <c r="C870">
        <v>163230</v>
      </c>
      <c r="D870" t="s">
        <v>69</v>
      </c>
      <c r="E870" t="s">
        <v>14</v>
      </c>
      <c r="F870" t="s">
        <v>71</v>
      </c>
      <c r="G870" t="s">
        <v>24</v>
      </c>
      <c r="H870" t="s">
        <v>25</v>
      </c>
      <c r="I870">
        <v>95.2</v>
      </c>
      <c r="J870">
        <v>87.8</v>
      </c>
      <c r="K870">
        <v>95.2</v>
      </c>
      <c r="L870">
        <v>163230</v>
      </c>
    </row>
    <row r="871" spans="1:12" hidden="1" x14ac:dyDescent="0.25">
      <c r="A871">
        <v>2016</v>
      </c>
      <c r="B871" t="s">
        <v>12</v>
      </c>
      <c r="C871">
        <v>5885</v>
      </c>
      <c r="D871" t="s">
        <v>69</v>
      </c>
      <c r="E871" t="s">
        <v>14</v>
      </c>
      <c r="F871" t="s">
        <v>71</v>
      </c>
      <c r="G871" t="s">
        <v>26</v>
      </c>
      <c r="H871" t="s">
        <v>27</v>
      </c>
      <c r="I871">
        <v>117.9376128321</v>
      </c>
      <c r="J871">
        <v>95.629262636448004</v>
      </c>
      <c r="K871">
        <v>117.9376128321</v>
      </c>
      <c r="L871">
        <v>5885</v>
      </c>
    </row>
    <row r="872" spans="1:12" hidden="1" x14ac:dyDescent="0.25">
      <c r="A872">
        <v>2016</v>
      </c>
      <c r="B872" t="s">
        <v>66</v>
      </c>
      <c r="C872">
        <v>77648</v>
      </c>
      <c r="D872" t="s">
        <v>69</v>
      </c>
      <c r="E872" t="s">
        <v>14</v>
      </c>
      <c r="F872" t="s">
        <v>71</v>
      </c>
      <c r="G872" t="s">
        <v>26</v>
      </c>
      <c r="H872" t="s">
        <v>27</v>
      </c>
      <c r="I872">
        <v>93.8</v>
      </c>
      <c r="J872">
        <v>87.8</v>
      </c>
      <c r="K872">
        <v>93.8</v>
      </c>
      <c r="L872">
        <v>77648</v>
      </c>
    </row>
    <row r="873" spans="1:12" hidden="1" x14ac:dyDescent="0.25">
      <c r="A873">
        <v>2016</v>
      </c>
      <c r="B873" t="s">
        <v>12</v>
      </c>
      <c r="C873">
        <v>27734</v>
      </c>
      <c r="D873" t="s">
        <v>69</v>
      </c>
      <c r="E873" t="s">
        <v>14</v>
      </c>
      <c r="F873" t="s">
        <v>71</v>
      </c>
      <c r="G873" t="s">
        <v>28</v>
      </c>
      <c r="H873" t="s">
        <v>29</v>
      </c>
      <c r="I873">
        <v>106.15763962638999</v>
      </c>
      <c r="J873">
        <v>95.629262636448004</v>
      </c>
      <c r="K873">
        <v>106.15763962638999</v>
      </c>
      <c r="L873">
        <v>27734</v>
      </c>
    </row>
    <row r="874" spans="1:12" hidden="1" x14ac:dyDescent="0.25">
      <c r="A874">
        <v>2016</v>
      </c>
      <c r="B874" t="s">
        <v>66</v>
      </c>
      <c r="C874">
        <v>30096</v>
      </c>
      <c r="D874" t="s">
        <v>69</v>
      </c>
      <c r="E874" t="s">
        <v>14</v>
      </c>
      <c r="F874" t="s">
        <v>71</v>
      </c>
      <c r="G874" t="s">
        <v>28</v>
      </c>
      <c r="H874" t="s">
        <v>29</v>
      </c>
      <c r="I874">
        <v>91.8</v>
      </c>
      <c r="J874">
        <v>87.8</v>
      </c>
      <c r="K874">
        <v>91.8</v>
      </c>
      <c r="L874">
        <v>30096</v>
      </c>
    </row>
    <row r="875" spans="1:12" hidden="1" x14ac:dyDescent="0.25">
      <c r="A875">
        <v>2016</v>
      </c>
      <c r="B875" t="s">
        <v>12</v>
      </c>
      <c r="C875">
        <v>21365</v>
      </c>
      <c r="D875" t="s">
        <v>69</v>
      </c>
      <c r="E875" t="s">
        <v>14</v>
      </c>
      <c r="F875" t="s">
        <v>71</v>
      </c>
      <c r="G875" t="s">
        <v>30</v>
      </c>
      <c r="H875" t="s">
        <v>31</v>
      </c>
      <c r="I875">
        <v>66.424574274145002</v>
      </c>
      <c r="J875">
        <v>95.629262636448004</v>
      </c>
      <c r="K875">
        <v>66.424574274145002</v>
      </c>
      <c r="L875">
        <v>21365</v>
      </c>
    </row>
    <row r="876" spans="1:12" hidden="1" x14ac:dyDescent="0.25">
      <c r="A876">
        <v>2016</v>
      </c>
      <c r="B876" t="s">
        <v>66</v>
      </c>
      <c r="C876">
        <v>73176</v>
      </c>
      <c r="D876" t="s">
        <v>69</v>
      </c>
      <c r="E876" t="s">
        <v>14</v>
      </c>
      <c r="F876" t="s">
        <v>71</v>
      </c>
      <c r="G876" t="s">
        <v>30</v>
      </c>
      <c r="H876" t="s">
        <v>31</v>
      </c>
      <c r="I876">
        <v>87.6</v>
      </c>
      <c r="J876">
        <v>87.8</v>
      </c>
      <c r="K876">
        <v>87.6</v>
      </c>
      <c r="L876">
        <v>73176</v>
      </c>
    </row>
    <row r="877" spans="1:12" hidden="1" x14ac:dyDescent="0.25">
      <c r="A877">
        <v>2016</v>
      </c>
      <c r="B877" t="s">
        <v>12</v>
      </c>
      <c r="C877">
        <v>9267</v>
      </c>
      <c r="D877" t="s">
        <v>69</v>
      </c>
      <c r="E877" t="s">
        <v>14</v>
      </c>
      <c r="F877" t="s">
        <v>71</v>
      </c>
      <c r="G877" t="s">
        <v>32</v>
      </c>
      <c r="H877" t="s">
        <v>33</v>
      </c>
      <c r="I877">
        <v>66.424574274145002</v>
      </c>
      <c r="J877">
        <v>95.629262636448004</v>
      </c>
      <c r="K877">
        <v>66.424574274145002</v>
      </c>
      <c r="L877">
        <v>9267</v>
      </c>
    </row>
    <row r="878" spans="1:12" hidden="1" x14ac:dyDescent="0.25">
      <c r="A878">
        <v>2016</v>
      </c>
      <c r="B878" t="s">
        <v>66</v>
      </c>
      <c r="C878">
        <v>14687</v>
      </c>
      <c r="D878" t="s">
        <v>69</v>
      </c>
      <c r="E878" t="s">
        <v>14</v>
      </c>
      <c r="F878" t="s">
        <v>71</v>
      </c>
      <c r="G878" t="s">
        <v>32</v>
      </c>
      <c r="H878" t="s">
        <v>33</v>
      </c>
      <c r="I878">
        <v>93.1</v>
      </c>
      <c r="J878">
        <v>87.8</v>
      </c>
      <c r="K878">
        <v>93.1</v>
      </c>
      <c r="L878">
        <v>14687</v>
      </c>
    </row>
    <row r="879" spans="1:12" hidden="1" x14ac:dyDescent="0.25">
      <c r="A879">
        <v>2016</v>
      </c>
      <c r="B879" t="s">
        <v>12</v>
      </c>
      <c r="C879">
        <v>9253</v>
      </c>
      <c r="D879" t="s">
        <v>69</v>
      </c>
      <c r="E879" t="s">
        <v>14</v>
      </c>
      <c r="F879" t="s">
        <v>71</v>
      </c>
      <c r="G879" t="s">
        <v>16</v>
      </c>
      <c r="H879" t="s">
        <v>17</v>
      </c>
      <c r="J879">
        <v>95.629262636448004</v>
      </c>
      <c r="K879">
        <v>95.629262636448004</v>
      </c>
      <c r="L879">
        <v>9253</v>
      </c>
    </row>
    <row r="880" spans="1:12" hidden="1" x14ac:dyDescent="0.25">
      <c r="A880">
        <v>2015</v>
      </c>
      <c r="B880" t="s">
        <v>12</v>
      </c>
      <c r="C880">
        <v>141605</v>
      </c>
      <c r="D880" t="s">
        <v>69</v>
      </c>
      <c r="E880" t="s">
        <v>14</v>
      </c>
      <c r="F880" t="s">
        <v>71</v>
      </c>
      <c r="G880" t="s">
        <v>18</v>
      </c>
      <c r="H880" t="s">
        <v>19</v>
      </c>
      <c r="I880">
        <v>92.136318280468004</v>
      </c>
      <c r="J880">
        <v>96.211353938038002</v>
      </c>
      <c r="K880">
        <v>92.136318280468004</v>
      </c>
      <c r="L880">
        <v>141605</v>
      </c>
    </row>
    <row r="881" spans="1:12" hidden="1" x14ac:dyDescent="0.25">
      <c r="A881">
        <v>2015</v>
      </c>
      <c r="B881" t="s">
        <v>66</v>
      </c>
      <c r="C881">
        <v>811330</v>
      </c>
      <c r="D881" t="s">
        <v>69</v>
      </c>
      <c r="E881" t="s">
        <v>14</v>
      </c>
      <c r="F881" t="s">
        <v>71</v>
      </c>
      <c r="G881" t="s">
        <v>18</v>
      </c>
      <c r="H881" t="s">
        <v>19</v>
      </c>
      <c r="I881">
        <v>87.2</v>
      </c>
      <c r="J881">
        <v>81.900000000000006</v>
      </c>
      <c r="K881">
        <v>87.2</v>
      </c>
      <c r="L881">
        <v>811330</v>
      </c>
    </row>
    <row r="882" spans="1:12" hidden="1" x14ac:dyDescent="0.25">
      <c r="A882">
        <v>2015</v>
      </c>
      <c r="B882" t="s">
        <v>12</v>
      </c>
      <c r="C882">
        <v>15969</v>
      </c>
      <c r="D882" t="s">
        <v>69</v>
      </c>
      <c r="E882" t="s">
        <v>14</v>
      </c>
      <c r="F882" t="s">
        <v>71</v>
      </c>
      <c r="G882" t="s">
        <v>20</v>
      </c>
      <c r="H882" t="s">
        <v>21</v>
      </c>
      <c r="I882">
        <v>100.22588687651999</v>
      </c>
      <c r="J882">
        <v>96.211353938038002</v>
      </c>
      <c r="K882">
        <v>100.22588687651999</v>
      </c>
      <c r="L882">
        <v>15969</v>
      </c>
    </row>
    <row r="883" spans="1:12" hidden="1" x14ac:dyDescent="0.25">
      <c r="A883">
        <v>2015</v>
      </c>
      <c r="B883" t="s">
        <v>66</v>
      </c>
      <c r="C883">
        <v>141598</v>
      </c>
      <c r="D883" t="s">
        <v>69</v>
      </c>
      <c r="E883" t="s">
        <v>14</v>
      </c>
      <c r="F883" t="s">
        <v>71</v>
      </c>
      <c r="G883" t="s">
        <v>20</v>
      </c>
      <c r="H883" t="s">
        <v>21</v>
      </c>
      <c r="I883">
        <v>80</v>
      </c>
      <c r="J883">
        <v>81.900000000000006</v>
      </c>
      <c r="K883">
        <v>80</v>
      </c>
      <c r="L883">
        <v>141598</v>
      </c>
    </row>
    <row r="884" spans="1:12" hidden="1" x14ac:dyDescent="0.25">
      <c r="A884">
        <v>2015</v>
      </c>
      <c r="B884" t="s">
        <v>66</v>
      </c>
      <c r="C884">
        <v>2248</v>
      </c>
      <c r="D884" t="s">
        <v>69</v>
      </c>
      <c r="E884" t="s">
        <v>14</v>
      </c>
      <c r="F884" t="s">
        <v>71</v>
      </c>
      <c r="G884" t="s">
        <v>67</v>
      </c>
      <c r="H884" t="s">
        <v>68</v>
      </c>
      <c r="I884">
        <v>80</v>
      </c>
      <c r="J884">
        <v>81.900000000000006</v>
      </c>
      <c r="K884">
        <v>80</v>
      </c>
      <c r="L884">
        <v>2248</v>
      </c>
    </row>
    <row r="885" spans="1:12" hidden="1" x14ac:dyDescent="0.25">
      <c r="A885">
        <v>2015</v>
      </c>
      <c r="B885" t="s">
        <v>12</v>
      </c>
      <c r="C885">
        <v>6111</v>
      </c>
      <c r="D885" t="s">
        <v>69</v>
      </c>
      <c r="E885" t="s">
        <v>14</v>
      </c>
      <c r="F885" t="s">
        <v>71</v>
      </c>
      <c r="G885" t="s">
        <v>22</v>
      </c>
      <c r="H885" t="s">
        <v>23</v>
      </c>
      <c r="I885">
        <v>107.52442116425</v>
      </c>
      <c r="J885">
        <v>96.211353938038002</v>
      </c>
      <c r="K885">
        <v>107.52442116425</v>
      </c>
      <c r="L885">
        <v>6111</v>
      </c>
    </row>
    <row r="886" spans="1:12" hidden="1" x14ac:dyDescent="0.25">
      <c r="A886">
        <v>2015</v>
      </c>
      <c r="B886" t="s">
        <v>66</v>
      </c>
      <c r="C886">
        <v>253197</v>
      </c>
      <c r="D886" t="s">
        <v>69</v>
      </c>
      <c r="E886" t="s">
        <v>14</v>
      </c>
      <c r="F886" t="s">
        <v>71</v>
      </c>
      <c r="G886" t="s">
        <v>22</v>
      </c>
      <c r="H886" t="s">
        <v>23</v>
      </c>
      <c r="I886">
        <v>84.5</v>
      </c>
      <c r="J886">
        <v>81.900000000000006</v>
      </c>
      <c r="K886">
        <v>84.5</v>
      </c>
      <c r="L886">
        <v>253197</v>
      </c>
    </row>
    <row r="887" spans="1:12" hidden="1" x14ac:dyDescent="0.25">
      <c r="A887">
        <v>2015</v>
      </c>
      <c r="B887" t="s">
        <v>12</v>
      </c>
      <c r="C887">
        <v>7747</v>
      </c>
      <c r="D887" t="s">
        <v>69</v>
      </c>
      <c r="E887" t="s">
        <v>14</v>
      </c>
      <c r="F887" t="s">
        <v>71</v>
      </c>
      <c r="G887" t="s">
        <v>24</v>
      </c>
      <c r="H887" t="s">
        <v>25</v>
      </c>
      <c r="I887">
        <v>107.52442116425</v>
      </c>
      <c r="J887">
        <v>96.211353938038002</v>
      </c>
      <c r="K887">
        <v>107.52442116425</v>
      </c>
      <c r="L887">
        <v>7747</v>
      </c>
    </row>
    <row r="888" spans="1:12" hidden="1" x14ac:dyDescent="0.25">
      <c r="A888">
        <v>2015</v>
      </c>
      <c r="B888" t="s">
        <v>66</v>
      </c>
      <c r="C888">
        <v>165284</v>
      </c>
      <c r="D888" t="s">
        <v>69</v>
      </c>
      <c r="E888" t="s">
        <v>14</v>
      </c>
      <c r="F888" t="s">
        <v>71</v>
      </c>
      <c r="G888" t="s">
        <v>24</v>
      </c>
      <c r="H888" t="s">
        <v>25</v>
      </c>
      <c r="I888">
        <v>90.7</v>
      </c>
      <c r="J888">
        <v>81.900000000000006</v>
      </c>
      <c r="K888">
        <v>90.7</v>
      </c>
      <c r="L888">
        <v>165284</v>
      </c>
    </row>
    <row r="889" spans="1:12" hidden="1" x14ac:dyDescent="0.25">
      <c r="A889">
        <v>2015</v>
      </c>
      <c r="B889" t="s">
        <v>12</v>
      </c>
      <c r="C889">
        <v>6554</v>
      </c>
      <c r="D889" t="s">
        <v>69</v>
      </c>
      <c r="E889" t="s">
        <v>14</v>
      </c>
      <c r="F889" t="s">
        <v>71</v>
      </c>
      <c r="G889" t="s">
        <v>26</v>
      </c>
      <c r="H889" t="s">
        <v>27</v>
      </c>
      <c r="I889">
        <v>107.52442116425</v>
      </c>
      <c r="J889">
        <v>96.211353938038002</v>
      </c>
      <c r="K889">
        <v>107.52442116425</v>
      </c>
      <c r="L889">
        <v>6554</v>
      </c>
    </row>
    <row r="890" spans="1:12" hidden="1" x14ac:dyDescent="0.25">
      <c r="A890">
        <v>2015</v>
      </c>
      <c r="B890" t="s">
        <v>66</v>
      </c>
      <c r="C890">
        <v>77906</v>
      </c>
      <c r="D890" t="s">
        <v>69</v>
      </c>
      <c r="E890" t="s">
        <v>14</v>
      </c>
      <c r="F890" t="s">
        <v>71</v>
      </c>
      <c r="G890" t="s">
        <v>26</v>
      </c>
      <c r="H890" t="s">
        <v>27</v>
      </c>
      <c r="I890">
        <v>90.8</v>
      </c>
      <c r="J890">
        <v>81.900000000000006</v>
      </c>
      <c r="K890">
        <v>90.8</v>
      </c>
      <c r="L890">
        <v>77906</v>
      </c>
    </row>
    <row r="891" spans="1:12" hidden="1" x14ac:dyDescent="0.25">
      <c r="A891">
        <v>2015</v>
      </c>
      <c r="B891" t="s">
        <v>12</v>
      </c>
      <c r="C891">
        <v>10919</v>
      </c>
      <c r="D891" t="s">
        <v>69</v>
      </c>
      <c r="E891" t="s">
        <v>14</v>
      </c>
      <c r="F891" t="s">
        <v>71</v>
      </c>
      <c r="G891" t="s">
        <v>16</v>
      </c>
      <c r="H891" t="s">
        <v>17</v>
      </c>
      <c r="J891">
        <v>96.211353938038002</v>
      </c>
      <c r="K891">
        <v>96.211353938038002</v>
      </c>
      <c r="L891">
        <v>10919</v>
      </c>
    </row>
    <row r="892" spans="1:12" hidden="1" x14ac:dyDescent="0.25">
      <c r="A892">
        <v>2015</v>
      </c>
      <c r="B892" t="s">
        <v>12</v>
      </c>
      <c r="C892">
        <v>29657</v>
      </c>
      <c r="D892" t="s">
        <v>69</v>
      </c>
      <c r="E892" t="s">
        <v>14</v>
      </c>
      <c r="F892" t="s">
        <v>71</v>
      </c>
      <c r="G892" t="s">
        <v>28</v>
      </c>
      <c r="H892" t="s">
        <v>29</v>
      </c>
      <c r="I892">
        <v>107.1615082093</v>
      </c>
      <c r="J892">
        <v>96.211353938038002</v>
      </c>
      <c r="K892">
        <v>107.1615082093</v>
      </c>
      <c r="L892">
        <v>29657</v>
      </c>
    </row>
    <row r="893" spans="1:12" hidden="1" x14ac:dyDescent="0.25">
      <c r="A893">
        <v>2015</v>
      </c>
      <c r="B893" t="s">
        <v>66</v>
      </c>
      <c r="C893">
        <v>29986</v>
      </c>
      <c r="D893" t="s">
        <v>69</v>
      </c>
      <c r="E893" t="s">
        <v>14</v>
      </c>
      <c r="F893" t="s">
        <v>71</v>
      </c>
      <c r="G893" t="s">
        <v>28</v>
      </c>
      <c r="H893" t="s">
        <v>29</v>
      </c>
      <c r="I893">
        <v>85.2</v>
      </c>
      <c r="J893">
        <v>81.900000000000006</v>
      </c>
      <c r="K893">
        <v>85.2</v>
      </c>
      <c r="L893">
        <v>29986</v>
      </c>
    </row>
    <row r="894" spans="1:12" hidden="1" x14ac:dyDescent="0.25">
      <c r="A894">
        <v>2015</v>
      </c>
      <c r="B894" t="s">
        <v>12</v>
      </c>
      <c r="C894">
        <v>23731</v>
      </c>
      <c r="D894" t="s">
        <v>69</v>
      </c>
      <c r="E894" t="s">
        <v>14</v>
      </c>
      <c r="F894" t="s">
        <v>71</v>
      </c>
      <c r="G894" t="s">
        <v>30</v>
      </c>
      <c r="H894" t="s">
        <v>31</v>
      </c>
      <c r="I894">
        <v>72.105553335238</v>
      </c>
      <c r="J894">
        <v>96.211353938038002</v>
      </c>
      <c r="K894">
        <v>72.105553335238</v>
      </c>
      <c r="L894">
        <v>23731</v>
      </c>
    </row>
    <row r="895" spans="1:12" hidden="1" x14ac:dyDescent="0.25">
      <c r="A895">
        <v>2015</v>
      </c>
      <c r="B895" t="s">
        <v>66</v>
      </c>
      <c r="C895">
        <v>72697</v>
      </c>
      <c r="D895" t="s">
        <v>69</v>
      </c>
      <c r="E895" t="s">
        <v>14</v>
      </c>
      <c r="F895" t="s">
        <v>71</v>
      </c>
      <c r="G895" t="s">
        <v>30</v>
      </c>
      <c r="H895" t="s">
        <v>31</v>
      </c>
      <c r="I895">
        <v>82</v>
      </c>
      <c r="J895">
        <v>81.900000000000006</v>
      </c>
      <c r="K895">
        <v>82</v>
      </c>
      <c r="L895">
        <v>72697</v>
      </c>
    </row>
    <row r="896" spans="1:12" hidden="1" x14ac:dyDescent="0.25">
      <c r="A896">
        <v>2015</v>
      </c>
      <c r="B896" t="s">
        <v>12</v>
      </c>
      <c r="C896">
        <v>11039</v>
      </c>
      <c r="D896" t="s">
        <v>69</v>
      </c>
      <c r="E896" t="s">
        <v>14</v>
      </c>
      <c r="F896" t="s">
        <v>71</v>
      </c>
      <c r="G896" t="s">
        <v>32</v>
      </c>
      <c r="H896" t="s">
        <v>33</v>
      </c>
      <c r="I896">
        <v>72.105553335238</v>
      </c>
      <c r="J896">
        <v>96.211353938038002</v>
      </c>
      <c r="K896">
        <v>72.105553335238</v>
      </c>
      <c r="L896">
        <v>11039</v>
      </c>
    </row>
    <row r="897" spans="1:12" hidden="1" x14ac:dyDescent="0.25">
      <c r="A897">
        <v>2015</v>
      </c>
      <c r="B897" t="s">
        <v>66</v>
      </c>
      <c r="C897">
        <v>15391</v>
      </c>
      <c r="D897" t="s">
        <v>69</v>
      </c>
      <c r="E897" t="s">
        <v>14</v>
      </c>
      <c r="F897" t="s">
        <v>71</v>
      </c>
      <c r="G897" t="s">
        <v>32</v>
      </c>
      <c r="H897" t="s">
        <v>33</v>
      </c>
      <c r="I897">
        <v>88.6</v>
      </c>
      <c r="J897">
        <v>81.900000000000006</v>
      </c>
      <c r="K897">
        <v>88.6</v>
      </c>
      <c r="L897">
        <v>15391</v>
      </c>
    </row>
    <row r="898" spans="1:12" hidden="1" x14ac:dyDescent="0.25">
      <c r="A898">
        <v>2015</v>
      </c>
      <c r="B898" t="s">
        <v>66</v>
      </c>
      <c r="C898">
        <v>31946</v>
      </c>
      <c r="D898" t="s">
        <v>69</v>
      </c>
      <c r="E898" t="s">
        <v>14</v>
      </c>
      <c r="F898" t="s">
        <v>71</v>
      </c>
      <c r="G898" t="s">
        <v>34</v>
      </c>
      <c r="H898" t="s">
        <v>35</v>
      </c>
      <c r="I898">
        <v>47.6</v>
      </c>
      <c r="J898">
        <v>81.900000000000006</v>
      </c>
      <c r="K898">
        <v>47.6</v>
      </c>
      <c r="L898">
        <v>31946</v>
      </c>
    </row>
    <row r="899" spans="1:12" hidden="1" x14ac:dyDescent="0.25">
      <c r="A899">
        <v>2015</v>
      </c>
      <c r="B899" t="s">
        <v>12</v>
      </c>
      <c r="C899">
        <v>25542</v>
      </c>
      <c r="D899" t="s">
        <v>69</v>
      </c>
      <c r="E899" t="s">
        <v>14</v>
      </c>
      <c r="F899" t="s">
        <v>71</v>
      </c>
      <c r="G899" t="s">
        <v>36</v>
      </c>
      <c r="H899" t="s">
        <v>37</v>
      </c>
      <c r="I899">
        <v>109.79561218418</v>
      </c>
      <c r="J899">
        <v>96.211353938038002</v>
      </c>
      <c r="K899">
        <v>109.79561218418</v>
      </c>
      <c r="L899">
        <v>25542</v>
      </c>
    </row>
    <row r="900" spans="1:12" hidden="1" x14ac:dyDescent="0.25">
      <c r="A900">
        <v>2015</v>
      </c>
      <c r="B900" t="s">
        <v>66</v>
      </c>
      <c r="C900">
        <v>178238</v>
      </c>
      <c r="D900" t="s">
        <v>69</v>
      </c>
      <c r="E900" t="s">
        <v>14</v>
      </c>
      <c r="F900" t="s">
        <v>71</v>
      </c>
      <c r="G900" t="s">
        <v>36</v>
      </c>
      <c r="H900" t="s">
        <v>37</v>
      </c>
      <c r="I900">
        <v>95.7</v>
      </c>
      <c r="J900">
        <v>81.900000000000006</v>
      </c>
      <c r="K900">
        <v>95.7</v>
      </c>
      <c r="L900">
        <v>178238</v>
      </c>
    </row>
    <row r="901" spans="1:12" hidden="1" x14ac:dyDescent="0.25">
      <c r="A901">
        <v>2015</v>
      </c>
      <c r="B901" t="s">
        <v>12</v>
      </c>
      <c r="C901">
        <v>10521</v>
      </c>
      <c r="D901" t="s">
        <v>69</v>
      </c>
      <c r="E901" t="s">
        <v>14</v>
      </c>
      <c r="F901" t="s">
        <v>71</v>
      </c>
      <c r="G901" t="s">
        <v>38</v>
      </c>
      <c r="H901" t="s">
        <v>39</v>
      </c>
      <c r="I901">
        <v>109.79561218418</v>
      </c>
      <c r="J901">
        <v>96.211353938038002</v>
      </c>
      <c r="K901">
        <v>109.79561218418</v>
      </c>
      <c r="L901">
        <v>10521</v>
      </c>
    </row>
    <row r="902" spans="1:12" hidden="1" x14ac:dyDescent="0.25">
      <c r="A902">
        <v>2015</v>
      </c>
      <c r="B902" t="s">
        <v>66</v>
      </c>
      <c r="C902">
        <v>61324</v>
      </c>
      <c r="D902" t="s">
        <v>69</v>
      </c>
      <c r="E902" t="s">
        <v>14</v>
      </c>
      <c r="F902" t="s">
        <v>71</v>
      </c>
      <c r="G902" t="s">
        <v>38</v>
      </c>
      <c r="H902" t="s">
        <v>39</v>
      </c>
      <c r="I902">
        <v>95.7</v>
      </c>
      <c r="J902">
        <v>81.900000000000006</v>
      </c>
      <c r="K902">
        <v>95.7</v>
      </c>
      <c r="L902">
        <v>61324</v>
      </c>
    </row>
    <row r="903" spans="1:12" hidden="1" x14ac:dyDescent="0.25">
      <c r="A903">
        <v>2015</v>
      </c>
      <c r="B903" t="s">
        <v>12</v>
      </c>
      <c r="C903">
        <v>26549</v>
      </c>
      <c r="D903" t="s">
        <v>69</v>
      </c>
      <c r="E903" t="s">
        <v>14</v>
      </c>
      <c r="F903" t="s">
        <v>71</v>
      </c>
      <c r="G903" t="s">
        <v>40</v>
      </c>
      <c r="H903" t="s">
        <v>41</v>
      </c>
      <c r="I903">
        <v>109.79561218418</v>
      </c>
      <c r="J903">
        <v>96.211353938038002</v>
      </c>
      <c r="K903">
        <v>109.79561218418</v>
      </c>
      <c r="L903">
        <v>26549</v>
      </c>
    </row>
    <row r="904" spans="1:12" hidden="1" x14ac:dyDescent="0.25">
      <c r="A904">
        <v>2015</v>
      </c>
      <c r="B904" t="s">
        <v>66</v>
      </c>
      <c r="C904">
        <v>222827</v>
      </c>
      <c r="D904" t="s">
        <v>69</v>
      </c>
      <c r="E904" t="s">
        <v>14</v>
      </c>
      <c r="F904" t="s">
        <v>71</v>
      </c>
      <c r="G904" t="s">
        <v>40</v>
      </c>
      <c r="H904" t="s">
        <v>41</v>
      </c>
      <c r="I904">
        <v>81.900000000000006</v>
      </c>
      <c r="J904">
        <v>81.900000000000006</v>
      </c>
      <c r="K904">
        <v>81.900000000000006</v>
      </c>
      <c r="L904">
        <v>222827</v>
      </c>
    </row>
    <row r="905" spans="1:12" hidden="1" x14ac:dyDescent="0.25">
      <c r="A905">
        <v>2015</v>
      </c>
      <c r="B905" t="s">
        <v>12</v>
      </c>
      <c r="C905">
        <v>19566</v>
      </c>
      <c r="D905" t="s">
        <v>69</v>
      </c>
      <c r="E905" t="s">
        <v>14</v>
      </c>
      <c r="F905" t="s">
        <v>71</v>
      </c>
      <c r="G905" t="s">
        <v>42</v>
      </c>
      <c r="H905" t="s">
        <v>43</v>
      </c>
      <c r="I905">
        <v>93.364041500221006</v>
      </c>
      <c r="J905">
        <v>96.211353938038002</v>
      </c>
      <c r="K905">
        <v>93.364041500221006</v>
      </c>
      <c r="L905">
        <v>19566</v>
      </c>
    </row>
    <row r="906" spans="1:12" hidden="1" x14ac:dyDescent="0.25">
      <c r="A906">
        <v>2015</v>
      </c>
      <c r="B906" t="s">
        <v>66</v>
      </c>
      <c r="C906">
        <v>160824</v>
      </c>
      <c r="D906" t="s">
        <v>69</v>
      </c>
      <c r="E906" t="s">
        <v>14</v>
      </c>
      <c r="F906" t="s">
        <v>71</v>
      </c>
      <c r="G906" t="s">
        <v>42</v>
      </c>
      <c r="H906" t="s">
        <v>43</v>
      </c>
      <c r="I906">
        <v>80.2</v>
      </c>
      <c r="J906">
        <v>81.900000000000006</v>
      </c>
      <c r="K906">
        <v>80.2</v>
      </c>
      <c r="L906">
        <v>160824</v>
      </c>
    </row>
    <row r="907" spans="1:12" hidden="1" x14ac:dyDescent="0.25">
      <c r="A907">
        <v>2015</v>
      </c>
      <c r="B907" t="s">
        <v>12</v>
      </c>
      <c r="C907">
        <v>7516</v>
      </c>
      <c r="D907" t="s">
        <v>69</v>
      </c>
      <c r="E907" t="s">
        <v>14</v>
      </c>
      <c r="F907" t="s">
        <v>71</v>
      </c>
      <c r="G907" t="s">
        <v>44</v>
      </c>
      <c r="H907" t="s">
        <v>45</v>
      </c>
      <c r="I907">
        <v>93.364041500221006</v>
      </c>
      <c r="J907">
        <v>96.211353938038002</v>
      </c>
      <c r="K907">
        <v>93.364041500221006</v>
      </c>
      <c r="L907">
        <v>7516</v>
      </c>
    </row>
    <row r="908" spans="1:12" hidden="1" x14ac:dyDescent="0.25">
      <c r="A908">
        <v>2015</v>
      </c>
      <c r="B908" t="s">
        <v>66</v>
      </c>
      <c r="C908">
        <v>112883</v>
      </c>
      <c r="D908" t="s">
        <v>69</v>
      </c>
      <c r="E908" t="s">
        <v>14</v>
      </c>
      <c r="F908" t="s">
        <v>71</v>
      </c>
      <c r="G908" t="s">
        <v>44</v>
      </c>
      <c r="H908" t="s">
        <v>45</v>
      </c>
      <c r="I908">
        <v>73.2</v>
      </c>
      <c r="J908">
        <v>81.900000000000006</v>
      </c>
      <c r="K908">
        <v>73.2</v>
      </c>
      <c r="L908">
        <v>112883</v>
      </c>
    </row>
    <row r="909" spans="1:12" hidden="1" x14ac:dyDescent="0.25">
      <c r="A909">
        <v>2015</v>
      </c>
      <c r="B909" t="s">
        <v>12</v>
      </c>
      <c r="C909">
        <v>30628</v>
      </c>
      <c r="D909" t="s">
        <v>69</v>
      </c>
      <c r="E909" t="s">
        <v>14</v>
      </c>
      <c r="F909" t="s">
        <v>71</v>
      </c>
      <c r="G909" t="s">
        <v>46</v>
      </c>
      <c r="H909" t="s">
        <v>47</v>
      </c>
      <c r="I909">
        <v>95.958177771508005</v>
      </c>
      <c r="J909">
        <v>96.211353938038002</v>
      </c>
      <c r="K909">
        <v>95.958177771508005</v>
      </c>
      <c r="L909">
        <v>30628</v>
      </c>
    </row>
    <row r="910" spans="1:12" hidden="1" x14ac:dyDescent="0.25">
      <c r="A910">
        <v>2015</v>
      </c>
      <c r="B910" t="s">
        <v>66</v>
      </c>
      <c r="C910">
        <v>293046</v>
      </c>
      <c r="D910" t="s">
        <v>69</v>
      </c>
      <c r="E910" t="s">
        <v>14</v>
      </c>
      <c r="F910" t="s">
        <v>71</v>
      </c>
      <c r="G910" t="s">
        <v>46</v>
      </c>
      <c r="H910" t="s">
        <v>47</v>
      </c>
      <c r="I910">
        <v>76</v>
      </c>
      <c r="J910">
        <v>81.900000000000006</v>
      </c>
      <c r="K910">
        <v>76</v>
      </c>
      <c r="L910">
        <v>293046</v>
      </c>
    </row>
    <row r="911" spans="1:12" hidden="1" x14ac:dyDescent="0.25">
      <c r="A911">
        <v>2015</v>
      </c>
      <c r="B911" t="s">
        <v>12</v>
      </c>
      <c r="C911">
        <v>6250</v>
      </c>
      <c r="D911" t="s">
        <v>69</v>
      </c>
      <c r="E911" t="s">
        <v>14</v>
      </c>
      <c r="F911" t="s">
        <v>71</v>
      </c>
      <c r="G911" t="s">
        <v>48</v>
      </c>
      <c r="H911" t="s">
        <v>49</v>
      </c>
      <c r="I911">
        <v>95.958177771508005</v>
      </c>
      <c r="J911">
        <v>96.211353938038002</v>
      </c>
      <c r="K911">
        <v>95.958177771508005</v>
      </c>
      <c r="L911">
        <v>6250</v>
      </c>
    </row>
    <row r="912" spans="1:12" hidden="1" x14ac:dyDescent="0.25">
      <c r="A912">
        <v>2015</v>
      </c>
      <c r="B912" t="s">
        <v>66</v>
      </c>
      <c r="C912">
        <v>286403</v>
      </c>
      <c r="D912" t="s">
        <v>69</v>
      </c>
      <c r="E912" t="s">
        <v>14</v>
      </c>
      <c r="F912" t="s">
        <v>71</v>
      </c>
      <c r="G912" t="s">
        <v>48</v>
      </c>
      <c r="H912" t="s">
        <v>49</v>
      </c>
      <c r="I912">
        <v>83.4</v>
      </c>
      <c r="J912">
        <v>81.900000000000006</v>
      </c>
      <c r="K912">
        <v>83.4</v>
      </c>
      <c r="L912">
        <v>286403</v>
      </c>
    </row>
    <row r="913" spans="1:12" hidden="1" x14ac:dyDescent="0.25">
      <c r="A913">
        <v>2015</v>
      </c>
      <c r="B913" t="s">
        <v>12</v>
      </c>
      <c r="C913">
        <v>8794</v>
      </c>
      <c r="D913" t="s">
        <v>69</v>
      </c>
      <c r="E913" t="s">
        <v>14</v>
      </c>
      <c r="F913" t="s">
        <v>71</v>
      </c>
      <c r="G913" t="s">
        <v>50</v>
      </c>
      <c r="H913" t="s">
        <v>51</v>
      </c>
      <c r="I913">
        <v>95.958177771508005</v>
      </c>
      <c r="J913">
        <v>96.211353938038002</v>
      </c>
      <c r="K913">
        <v>95.958177771508005</v>
      </c>
      <c r="L913">
        <v>8794</v>
      </c>
    </row>
    <row r="914" spans="1:12" hidden="1" x14ac:dyDescent="0.25">
      <c r="A914">
        <v>2015</v>
      </c>
      <c r="B914" t="s">
        <v>66</v>
      </c>
      <c r="C914">
        <v>475893</v>
      </c>
      <c r="D914" t="s">
        <v>69</v>
      </c>
      <c r="E914" t="s">
        <v>14</v>
      </c>
      <c r="F914" t="s">
        <v>71</v>
      </c>
      <c r="G914" t="s">
        <v>50</v>
      </c>
      <c r="H914" t="s">
        <v>51</v>
      </c>
      <c r="I914">
        <v>84.9</v>
      </c>
      <c r="J914">
        <v>81.900000000000006</v>
      </c>
      <c r="K914">
        <v>84.9</v>
      </c>
      <c r="L914">
        <v>475893</v>
      </c>
    </row>
    <row r="915" spans="1:12" hidden="1" x14ac:dyDescent="0.25">
      <c r="A915">
        <v>2015</v>
      </c>
      <c r="B915" t="s">
        <v>12</v>
      </c>
      <c r="C915">
        <v>11105</v>
      </c>
      <c r="D915" t="s">
        <v>69</v>
      </c>
      <c r="E915" t="s">
        <v>14</v>
      </c>
      <c r="F915" t="s">
        <v>71</v>
      </c>
      <c r="G915" t="s">
        <v>52</v>
      </c>
      <c r="H915" t="s">
        <v>53</v>
      </c>
      <c r="I915">
        <v>95.958177771508005</v>
      </c>
      <c r="J915">
        <v>96.211353938038002</v>
      </c>
      <c r="K915">
        <v>95.958177771508005</v>
      </c>
      <c r="L915">
        <v>11105</v>
      </c>
    </row>
    <row r="916" spans="1:12" hidden="1" x14ac:dyDescent="0.25">
      <c r="A916">
        <v>2015</v>
      </c>
      <c r="B916" t="s">
        <v>66</v>
      </c>
      <c r="C916">
        <v>366410</v>
      </c>
      <c r="D916" t="s">
        <v>69</v>
      </c>
      <c r="E916" t="s">
        <v>14</v>
      </c>
      <c r="F916" t="s">
        <v>71</v>
      </c>
      <c r="G916" t="s">
        <v>52</v>
      </c>
      <c r="H916" t="s">
        <v>53</v>
      </c>
      <c r="I916">
        <v>82.9</v>
      </c>
      <c r="J916">
        <v>81.900000000000006</v>
      </c>
      <c r="K916">
        <v>82.9</v>
      </c>
      <c r="L916">
        <v>366410</v>
      </c>
    </row>
    <row r="917" spans="1:12" hidden="1" x14ac:dyDescent="0.25">
      <c r="A917">
        <v>2015</v>
      </c>
      <c r="B917" t="s">
        <v>12</v>
      </c>
      <c r="C917">
        <v>1319</v>
      </c>
      <c r="D917" t="s">
        <v>69</v>
      </c>
      <c r="E917" t="s">
        <v>14</v>
      </c>
      <c r="F917" t="s">
        <v>71</v>
      </c>
      <c r="G917" t="s">
        <v>54</v>
      </c>
      <c r="H917" t="s">
        <v>55</v>
      </c>
      <c r="I917">
        <v>95.958177771508005</v>
      </c>
      <c r="J917">
        <v>96.211353938038002</v>
      </c>
      <c r="K917">
        <v>95.958177771508005</v>
      </c>
      <c r="L917">
        <v>1319</v>
      </c>
    </row>
    <row r="918" spans="1:12" hidden="1" x14ac:dyDescent="0.25">
      <c r="A918">
        <v>2015</v>
      </c>
      <c r="B918" t="s">
        <v>66</v>
      </c>
      <c r="C918">
        <v>94380</v>
      </c>
      <c r="D918" t="s">
        <v>69</v>
      </c>
      <c r="E918" t="s">
        <v>14</v>
      </c>
      <c r="F918" t="s">
        <v>71</v>
      </c>
      <c r="G918" t="s">
        <v>54</v>
      </c>
      <c r="H918" t="s">
        <v>55</v>
      </c>
      <c r="I918">
        <v>82.9</v>
      </c>
      <c r="J918">
        <v>81.900000000000006</v>
      </c>
      <c r="K918">
        <v>82.9</v>
      </c>
      <c r="L918">
        <v>94380</v>
      </c>
    </row>
    <row r="919" spans="1:12" hidden="1" x14ac:dyDescent="0.25">
      <c r="A919">
        <v>2015</v>
      </c>
      <c r="B919" t="s">
        <v>12</v>
      </c>
      <c r="C919">
        <v>551</v>
      </c>
      <c r="D919" t="s">
        <v>69</v>
      </c>
      <c r="E919" t="s">
        <v>14</v>
      </c>
      <c r="F919" t="s">
        <v>71</v>
      </c>
      <c r="G919" t="s">
        <v>56</v>
      </c>
      <c r="H919" t="s">
        <v>57</v>
      </c>
      <c r="I919">
        <v>95.958177771508005</v>
      </c>
      <c r="J919">
        <v>96.211353938038002</v>
      </c>
      <c r="K919">
        <v>95.958177771508005</v>
      </c>
      <c r="L919">
        <v>551</v>
      </c>
    </row>
    <row r="920" spans="1:12" hidden="1" x14ac:dyDescent="0.25">
      <c r="A920">
        <v>2015</v>
      </c>
      <c r="B920" t="s">
        <v>66</v>
      </c>
      <c r="C920">
        <v>16079</v>
      </c>
      <c r="D920" t="s">
        <v>69</v>
      </c>
      <c r="E920" t="s">
        <v>14</v>
      </c>
      <c r="F920" t="s">
        <v>71</v>
      </c>
      <c r="G920" t="s">
        <v>56</v>
      </c>
      <c r="H920" t="s">
        <v>57</v>
      </c>
      <c r="I920">
        <v>82.9</v>
      </c>
      <c r="J920">
        <v>81.900000000000006</v>
      </c>
      <c r="K920">
        <v>82.9</v>
      </c>
      <c r="L920">
        <v>16079</v>
      </c>
    </row>
    <row r="921" spans="1:12" hidden="1" x14ac:dyDescent="0.25">
      <c r="A921">
        <v>2015</v>
      </c>
      <c r="B921" t="s">
        <v>12</v>
      </c>
      <c r="C921">
        <v>10498</v>
      </c>
      <c r="D921" t="s">
        <v>69</v>
      </c>
      <c r="E921" t="s">
        <v>14</v>
      </c>
      <c r="F921" t="s">
        <v>71</v>
      </c>
      <c r="G921" t="s">
        <v>58</v>
      </c>
      <c r="H921" t="s">
        <v>59</v>
      </c>
      <c r="I921">
        <v>107.1615082093</v>
      </c>
      <c r="J921">
        <v>96.211353938038002</v>
      </c>
      <c r="K921">
        <v>107.1615082093</v>
      </c>
      <c r="L921">
        <v>10498</v>
      </c>
    </row>
    <row r="922" spans="1:12" hidden="1" x14ac:dyDescent="0.25">
      <c r="A922">
        <v>2015</v>
      </c>
      <c r="B922" t="s">
        <v>66</v>
      </c>
      <c r="C922">
        <v>28825</v>
      </c>
      <c r="D922" t="s">
        <v>69</v>
      </c>
      <c r="E922" t="s">
        <v>14</v>
      </c>
      <c r="F922" t="s">
        <v>71</v>
      </c>
      <c r="G922" t="s">
        <v>58</v>
      </c>
      <c r="H922" t="s">
        <v>59</v>
      </c>
      <c r="I922">
        <v>85.5</v>
      </c>
      <c r="J922">
        <v>81.900000000000006</v>
      </c>
      <c r="K922">
        <v>85.5</v>
      </c>
      <c r="L922">
        <v>28825</v>
      </c>
    </row>
    <row r="923" spans="1:12" hidden="1" x14ac:dyDescent="0.25">
      <c r="A923">
        <v>2015</v>
      </c>
      <c r="B923" t="s">
        <v>12</v>
      </c>
      <c r="C923">
        <v>1868</v>
      </c>
      <c r="D923" t="s">
        <v>69</v>
      </c>
      <c r="E923" t="s">
        <v>14</v>
      </c>
      <c r="F923" t="s">
        <v>71</v>
      </c>
      <c r="G923" t="s">
        <v>60</v>
      </c>
      <c r="H923" t="s">
        <v>61</v>
      </c>
      <c r="J923">
        <v>96.211353938038002</v>
      </c>
      <c r="K923">
        <v>96.211353938038002</v>
      </c>
      <c r="L923">
        <v>1868</v>
      </c>
    </row>
    <row r="924" spans="1:12" hidden="1" x14ac:dyDescent="0.25">
      <c r="A924">
        <v>2015</v>
      </c>
      <c r="B924" t="s">
        <v>66</v>
      </c>
      <c r="C924">
        <v>13357</v>
      </c>
      <c r="D924" t="s">
        <v>69</v>
      </c>
      <c r="E924" t="s">
        <v>14</v>
      </c>
      <c r="F924" t="s">
        <v>71</v>
      </c>
      <c r="G924" t="s">
        <v>60</v>
      </c>
      <c r="H924" t="s">
        <v>61</v>
      </c>
      <c r="I924">
        <v>86.4</v>
      </c>
      <c r="J924">
        <v>81.900000000000006</v>
      </c>
      <c r="K924">
        <v>86.4</v>
      </c>
      <c r="L924">
        <v>13357</v>
      </c>
    </row>
    <row r="925" spans="1:12" hidden="1" x14ac:dyDescent="0.25">
      <c r="A925">
        <v>2015</v>
      </c>
      <c r="B925" t="s">
        <v>12</v>
      </c>
      <c r="C925">
        <v>23334</v>
      </c>
      <c r="D925" t="s">
        <v>69</v>
      </c>
      <c r="E925" t="s">
        <v>14</v>
      </c>
      <c r="F925" t="s">
        <v>71</v>
      </c>
      <c r="G925" t="s">
        <v>62</v>
      </c>
      <c r="H925" t="s">
        <v>63</v>
      </c>
      <c r="I925">
        <v>95.958177771508005</v>
      </c>
      <c r="J925">
        <v>96.211353938038002</v>
      </c>
      <c r="K925">
        <v>95.958177771508005</v>
      </c>
      <c r="L925">
        <v>23334</v>
      </c>
    </row>
    <row r="926" spans="1:12" hidden="1" x14ac:dyDescent="0.25">
      <c r="A926">
        <v>2020</v>
      </c>
      <c r="B926" t="s">
        <v>12</v>
      </c>
      <c r="C926">
        <v>1623.62</v>
      </c>
      <c r="D926" t="s">
        <v>64</v>
      </c>
      <c r="E926" t="s">
        <v>14</v>
      </c>
      <c r="F926" t="s">
        <v>72</v>
      </c>
      <c r="G926" t="s">
        <v>18</v>
      </c>
      <c r="H926" t="s">
        <v>19</v>
      </c>
      <c r="I926">
        <v>107.43342807145</v>
      </c>
      <c r="J926">
        <v>103.59652904204</v>
      </c>
      <c r="K926">
        <v>107.43342807145</v>
      </c>
      <c r="L926">
        <v>1511.2800821362509</v>
      </c>
    </row>
    <row r="927" spans="1:12" hidden="1" x14ac:dyDescent="0.25">
      <c r="A927">
        <v>2020</v>
      </c>
      <c r="B927" t="s">
        <v>66</v>
      </c>
      <c r="C927">
        <v>3495.98</v>
      </c>
      <c r="D927" t="s">
        <v>64</v>
      </c>
      <c r="E927" t="s">
        <v>14</v>
      </c>
      <c r="F927" t="s">
        <v>72</v>
      </c>
      <c r="G927" t="s">
        <v>18</v>
      </c>
      <c r="H927" t="s">
        <v>19</v>
      </c>
      <c r="I927">
        <v>107.1</v>
      </c>
      <c r="J927">
        <v>108.6</v>
      </c>
      <c r="K927">
        <v>107.1</v>
      </c>
      <c r="L927">
        <v>3264.2203548085899</v>
      </c>
    </row>
    <row r="928" spans="1:12" hidden="1" x14ac:dyDescent="0.25">
      <c r="A928">
        <v>2020</v>
      </c>
      <c r="B928" t="s">
        <v>12</v>
      </c>
      <c r="C928">
        <v>384.41</v>
      </c>
      <c r="D928" t="s">
        <v>64</v>
      </c>
      <c r="E928" t="s">
        <v>14</v>
      </c>
      <c r="F928" t="s">
        <v>72</v>
      </c>
      <c r="G928" t="s">
        <v>42</v>
      </c>
      <c r="H928" t="s">
        <v>43</v>
      </c>
      <c r="I928">
        <v>104.48191541983</v>
      </c>
      <c r="J928">
        <v>103.59652904204</v>
      </c>
      <c r="K928">
        <v>104.48191541983</v>
      </c>
      <c r="L928">
        <v>367.92013091965339</v>
      </c>
    </row>
    <row r="929" spans="1:12" hidden="1" x14ac:dyDescent="0.25">
      <c r="A929">
        <v>2020</v>
      </c>
      <c r="B929" t="s">
        <v>66</v>
      </c>
      <c r="C929">
        <v>1471.29</v>
      </c>
      <c r="D929" t="s">
        <v>64</v>
      </c>
      <c r="E929" t="s">
        <v>14</v>
      </c>
      <c r="F929" t="s">
        <v>72</v>
      </c>
      <c r="G929" t="s">
        <v>42</v>
      </c>
      <c r="H929" t="s">
        <v>43</v>
      </c>
      <c r="I929">
        <v>108.2</v>
      </c>
      <c r="J929">
        <v>108.6</v>
      </c>
      <c r="K929">
        <v>108.2</v>
      </c>
      <c r="L929">
        <v>1359.787430683919</v>
      </c>
    </row>
    <row r="930" spans="1:12" hidden="1" x14ac:dyDescent="0.25">
      <c r="A930">
        <v>2020</v>
      </c>
      <c r="B930" t="s">
        <v>12</v>
      </c>
      <c r="C930">
        <v>280.83999999999997</v>
      </c>
      <c r="D930" t="s">
        <v>64</v>
      </c>
      <c r="E930" t="s">
        <v>14</v>
      </c>
      <c r="F930" t="s">
        <v>72</v>
      </c>
      <c r="G930" t="s">
        <v>46</v>
      </c>
      <c r="H930" t="s">
        <v>47</v>
      </c>
      <c r="I930">
        <v>113.44450268036999</v>
      </c>
      <c r="J930">
        <v>103.59652904204</v>
      </c>
      <c r="K930">
        <v>113.44450268036999</v>
      </c>
      <c r="L930">
        <v>247.55716968610369</v>
      </c>
    </row>
    <row r="931" spans="1:12" hidden="1" x14ac:dyDescent="0.25">
      <c r="A931">
        <v>2020</v>
      </c>
      <c r="B931" t="s">
        <v>66</v>
      </c>
      <c r="C931">
        <v>1652.75</v>
      </c>
      <c r="D931" t="s">
        <v>64</v>
      </c>
      <c r="E931" t="s">
        <v>14</v>
      </c>
      <c r="F931" t="s">
        <v>72</v>
      </c>
      <c r="G931" t="s">
        <v>46</v>
      </c>
      <c r="H931" t="s">
        <v>47</v>
      </c>
      <c r="I931">
        <v>109.5</v>
      </c>
      <c r="J931">
        <v>108.6</v>
      </c>
      <c r="K931">
        <v>109.5</v>
      </c>
      <c r="L931">
        <v>1509.3607305936071</v>
      </c>
    </row>
    <row r="932" spans="1:12" hidden="1" x14ac:dyDescent="0.25">
      <c r="A932">
        <v>2020</v>
      </c>
      <c r="B932" t="s">
        <v>12</v>
      </c>
      <c r="C932">
        <v>755.15</v>
      </c>
      <c r="D932" t="s">
        <v>64</v>
      </c>
      <c r="E932" t="s">
        <v>14</v>
      </c>
      <c r="F932" t="s">
        <v>72</v>
      </c>
      <c r="G932" t="s">
        <v>36</v>
      </c>
      <c r="H932" t="s">
        <v>37</v>
      </c>
      <c r="I932">
        <v>100.20302658438</v>
      </c>
      <c r="J932">
        <v>103.59652904204</v>
      </c>
      <c r="K932">
        <v>100.20302658438</v>
      </c>
      <c r="L932">
        <v>753.61995115396587</v>
      </c>
    </row>
    <row r="933" spans="1:12" hidden="1" x14ac:dyDescent="0.25">
      <c r="A933">
        <v>2020</v>
      </c>
      <c r="B933" t="s">
        <v>66</v>
      </c>
      <c r="C933">
        <v>2086.2600000000002</v>
      </c>
      <c r="D933" t="s">
        <v>64</v>
      </c>
      <c r="E933" t="s">
        <v>14</v>
      </c>
      <c r="F933" t="s">
        <v>72</v>
      </c>
      <c r="G933" t="s">
        <v>36</v>
      </c>
      <c r="H933" t="s">
        <v>37</v>
      </c>
      <c r="I933">
        <v>103.9</v>
      </c>
      <c r="J933">
        <v>108.6</v>
      </c>
      <c r="K933">
        <v>103.9</v>
      </c>
      <c r="L933">
        <v>2007.949951876805</v>
      </c>
    </row>
    <row r="934" spans="1:12" hidden="1" x14ac:dyDescent="0.25">
      <c r="A934">
        <v>2020</v>
      </c>
      <c r="B934" t="s">
        <v>12</v>
      </c>
      <c r="C934">
        <v>417.83</v>
      </c>
      <c r="D934" t="s">
        <v>64</v>
      </c>
      <c r="E934" t="s">
        <v>14</v>
      </c>
      <c r="F934" t="s">
        <v>72</v>
      </c>
      <c r="G934" t="s">
        <v>38</v>
      </c>
      <c r="H934" t="s">
        <v>39</v>
      </c>
      <c r="I934">
        <v>100.20302658438</v>
      </c>
      <c r="J934">
        <v>103.59652904204</v>
      </c>
      <c r="K934">
        <v>100.20302658438</v>
      </c>
      <c r="L934">
        <v>416.98341281952128</v>
      </c>
    </row>
    <row r="935" spans="1:12" hidden="1" x14ac:dyDescent="0.25">
      <c r="A935">
        <v>2020</v>
      </c>
      <c r="B935" t="s">
        <v>66</v>
      </c>
      <c r="C935">
        <v>832.27</v>
      </c>
      <c r="D935" t="s">
        <v>64</v>
      </c>
      <c r="E935" t="s">
        <v>14</v>
      </c>
      <c r="F935" t="s">
        <v>72</v>
      </c>
      <c r="G935" t="s">
        <v>38</v>
      </c>
      <c r="H935" t="s">
        <v>39</v>
      </c>
      <c r="I935">
        <v>103.9</v>
      </c>
      <c r="J935">
        <v>108.6</v>
      </c>
      <c r="K935">
        <v>103.9</v>
      </c>
      <c r="L935">
        <v>801.02983638113562</v>
      </c>
    </row>
    <row r="936" spans="1:12" hidden="1" x14ac:dyDescent="0.25">
      <c r="A936">
        <v>2020</v>
      </c>
      <c r="B936" t="s">
        <v>12</v>
      </c>
      <c r="C936">
        <v>528.86</v>
      </c>
      <c r="D936" t="s">
        <v>64</v>
      </c>
      <c r="E936" t="s">
        <v>14</v>
      </c>
      <c r="F936" t="s">
        <v>72</v>
      </c>
      <c r="G936" t="s">
        <v>40</v>
      </c>
      <c r="H936" t="s">
        <v>41</v>
      </c>
      <c r="I936">
        <v>100.20302658438</v>
      </c>
      <c r="J936">
        <v>103.59652904204</v>
      </c>
      <c r="K936">
        <v>100.20302658438</v>
      </c>
      <c r="L936">
        <v>527.78844913896103</v>
      </c>
    </row>
    <row r="937" spans="1:12" hidden="1" x14ac:dyDescent="0.25">
      <c r="A937">
        <v>2020</v>
      </c>
      <c r="B937" t="s">
        <v>66</v>
      </c>
      <c r="C937">
        <v>1771.28</v>
      </c>
      <c r="D937" t="s">
        <v>64</v>
      </c>
      <c r="E937" t="s">
        <v>14</v>
      </c>
      <c r="F937" t="s">
        <v>72</v>
      </c>
      <c r="G937" t="s">
        <v>40</v>
      </c>
      <c r="H937" t="s">
        <v>41</v>
      </c>
      <c r="I937">
        <v>105.6</v>
      </c>
      <c r="J937">
        <v>108.6</v>
      </c>
      <c r="K937">
        <v>105.6</v>
      </c>
      <c r="L937">
        <v>1677.348484848485</v>
      </c>
    </row>
    <row r="938" spans="1:12" hidden="1" x14ac:dyDescent="0.25">
      <c r="A938">
        <v>2020</v>
      </c>
      <c r="B938" t="s">
        <v>12</v>
      </c>
      <c r="C938">
        <v>156.22</v>
      </c>
      <c r="D938" t="s">
        <v>64</v>
      </c>
      <c r="E938" t="s">
        <v>14</v>
      </c>
      <c r="F938" t="s">
        <v>72</v>
      </c>
      <c r="G938" t="s">
        <v>44</v>
      </c>
      <c r="H938" t="s">
        <v>45</v>
      </c>
      <c r="I938">
        <v>104.48191541983</v>
      </c>
      <c r="J938">
        <v>103.59652904204</v>
      </c>
      <c r="K938">
        <v>104.48191541983</v>
      </c>
      <c r="L938">
        <v>149.5186984008435</v>
      </c>
    </row>
    <row r="939" spans="1:12" hidden="1" x14ac:dyDescent="0.25">
      <c r="A939">
        <v>2020</v>
      </c>
      <c r="B939" t="s">
        <v>66</v>
      </c>
      <c r="C939">
        <v>1322.18</v>
      </c>
      <c r="D939" t="s">
        <v>64</v>
      </c>
      <c r="E939" t="s">
        <v>14</v>
      </c>
      <c r="F939" t="s">
        <v>72</v>
      </c>
      <c r="G939" t="s">
        <v>44</v>
      </c>
      <c r="H939" t="s">
        <v>45</v>
      </c>
      <c r="I939">
        <v>111.8</v>
      </c>
      <c r="J939">
        <v>108.6</v>
      </c>
      <c r="K939">
        <v>111.8</v>
      </c>
      <c r="L939">
        <v>1182.62969588551</v>
      </c>
    </row>
    <row r="940" spans="1:12" hidden="1" x14ac:dyDescent="0.25">
      <c r="A940">
        <v>2020</v>
      </c>
      <c r="B940" t="s">
        <v>66</v>
      </c>
      <c r="C940">
        <v>3285.99</v>
      </c>
      <c r="D940" t="s">
        <v>64</v>
      </c>
      <c r="E940" t="s">
        <v>14</v>
      </c>
      <c r="F940" t="s">
        <v>72</v>
      </c>
      <c r="G940" t="s">
        <v>48</v>
      </c>
      <c r="H940" t="s">
        <v>49</v>
      </c>
      <c r="I940">
        <v>109.4</v>
      </c>
      <c r="J940">
        <v>108.6</v>
      </c>
      <c r="K940">
        <v>109.4</v>
      </c>
      <c r="L940">
        <v>3003.6471663619741</v>
      </c>
    </row>
    <row r="941" spans="1:12" hidden="1" x14ac:dyDescent="0.25">
      <c r="A941">
        <v>2020</v>
      </c>
      <c r="B941" t="s">
        <v>12</v>
      </c>
      <c r="C941">
        <v>237.36</v>
      </c>
      <c r="D941" t="s">
        <v>64</v>
      </c>
      <c r="E941" t="s">
        <v>14</v>
      </c>
      <c r="F941" t="s">
        <v>72</v>
      </c>
      <c r="G941" t="s">
        <v>50</v>
      </c>
      <c r="H941" t="s">
        <v>51</v>
      </c>
      <c r="I941">
        <v>113.44450268036999</v>
      </c>
      <c r="J941">
        <v>103.59652904204</v>
      </c>
      <c r="K941">
        <v>113.44450268036999</v>
      </c>
      <c r="L941">
        <v>209.2300590966158</v>
      </c>
    </row>
    <row r="942" spans="1:12" hidden="1" x14ac:dyDescent="0.25">
      <c r="A942">
        <v>2020</v>
      </c>
      <c r="B942" t="s">
        <v>66</v>
      </c>
      <c r="C942">
        <v>4347.0200000000004</v>
      </c>
      <c r="D942" t="s">
        <v>64</v>
      </c>
      <c r="E942" t="s">
        <v>14</v>
      </c>
      <c r="F942" t="s">
        <v>72</v>
      </c>
      <c r="G942" t="s">
        <v>50</v>
      </c>
      <c r="H942" t="s">
        <v>51</v>
      </c>
      <c r="I942">
        <v>107.4</v>
      </c>
      <c r="J942">
        <v>108.6</v>
      </c>
      <c r="K942">
        <v>107.4</v>
      </c>
      <c r="L942">
        <v>4047.5046554934829</v>
      </c>
    </row>
    <row r="943" spans="1:12" hidden="1" x14ac:dyDescent="0.25">
      <c r="A943">
        <v>2020</v>
      </c>
      <c r="B943" t="s">
        <v>12</v>
      </c>
      <c r="C943">
        <v>161.65</v>
      </c>
      <c r="D943" t="s">
        <v>64</v>
      </c>
      <c r="E943" t="s">
        <v>14</v>
      </c>
      <c r="F943" t="s">
        <v>72</v>
      </c>
      <c r="G943" t="s">
        <v>52</v>
      </c>
      <c r="H943" t="s">
        <v>53</v>
      </c>
      <c r="I943">
        <v>113.44450268036999</v>
      </c>
      <c r="J943">
        <v>103.59652904204</v>
      </c>
      <c r="K943">
        <v>113.44450268036999</v>
      </c>
      <c r="L943">
        <v>142.4925811129421</v>
      </c>
    </row>
    <row r="944" spans="1:12" hidden="1" x14ac:dyDescent="0.25">
      <c r="A944">
        <v>2020</v>
      </c>
      <c r="B944" t="s">
        <v>66</v>
      </c>
      <c r="C944">
        <v>3646.51</v>
      </c>
      <c r="D944" t="s">
        <v>64</v>
      </c>
      <c r="E944" t="s">
        <v>14</v>
      </c>
      <c r="F944" t="s">
        <v>72</v>
      </c>
      <c r="G944" t="s">
        <v>52</v>
      </c>
      <c r="H944" t="s">
        <v>53</v>
      </c>
      <c r="I944">
        <v>110.3</v>
      </c>
      <c r="J944">
        <v>108.6</v>
      </c>
      <c r="K944">
        <v>110.3</v>
      </c>
      <c r="L944">
        <v>3305.9927470534908</v>
      </c>
    </row>
    <row r="945" spans="1:12" hidden="1" x14ac:dyDescent="0.25">
      <c r="A945">
        <v>2020</v>
      </c>
      <c r="B945" t="s">
        <v>12</v>
      </c>
      <c r="C945">
        <v>9</v>
      </c>
      <c r="D945" t="s">
        <v>64</v>
      </c>
      <c r="E945" t="s">
        <v>14</v>
      </c>
      <c r="F945" t="s">
        <v>72</v>
      </c>
      <c r="G945" t="s">
        <v>54</v>
      </c>
      <c r="H945" t="s">
        <v>55</v>
      </c>
      <c r="I945">
        <v>113.44450268036999</v>
      </c>
      <c r="J945">
        <v>103.59652904204</v>
      </c>
      <c r="K945">
        <v>113.44450268036999</v>
      </c>
      <c r="L945">
        <v>7.9333945562417503</v>
      </c>
    </row>
    <row r="946" spans="1:12" hidden="1" x14ac:dyDescent="0.25">
      <c r="A946">
        <v>2020</v>
      </c>
      <c r="B946" t="s">
        <v>66</v>
      </c>
      <c r="C946">
        <v>7</v>
      </c>
      <c r="D946" t="s">
        <v>64</v>
      </c>
      <c r="E946" t="s">
        <v>14</v>
      </c>
      <c r="F946" t="s">
        <v>72</v>
      </c>
      <c r="G946" t="s">
        <v>54</v>
      </c>
      <c r="H946" t="s">
        <v>55</v>
      </c>
      <c r="I946">
        <v>111.5</v>
      </c>
      <c r="J946">
        <v>108.6</v>
      </c>
      <c r="K946">
        <v>111.5</v>
      </c>
      <c r="L946">
        <v>6.2780269058295968</v>
      </c>
    </row>
    <row r="947" spans="1:12" hidden="1" x14ac:dyDescent="0.25">
      <c r="A947">
        <v>2020</v>
      </c>
      <c r="B947" t="s">
        <v>12</v>
      </c>
      <c r="C947">
        <v>55.15</v>
      </c>
      <c r="D947" t="s">
        <v>64</v>
      </c>
      <c r="E947" t="s">
        <v>14</v>
      </c>
      <c r="F947" t="s">
        <v>72</v>
      </c>
      <c r="G947" t="s">
        <v>56</v>
      </c>
      <c r="H947" t="s">
        <v>57</v>
      </c>
      <c r="I947">
        <v>113.44450268036999</v>
      </c>
      <c r="J947">
        <v>103.59652904204</v>
      </c>
      <c r="K947">
        <v>113.44450268036999</v>
      </c>
      <c r="L947">
        <v>48.614078864081392</v>
      </c>
    </row>
    <row r="948" spans="1:12" hidden="1" x14ac:dyDescent="0.25">
      <c r="A948">
        <v>2020</v>
      </c>
      <c r="B948" t="s">
        <v>66</v>
      </c>
      <c r="C948">
        <v>167.06</v>
      </c>
      <c r="D948" t="s">
        <v>64</v>
      </c>
      <c r="E948" t="s">
        <v>14</v>
      </c>
      <c r="F948" t="s">
        <v>72</v>
      </c>
      <c r="G948" t="s">
        <v>56</v>
      </c>
      <c r="H948" t="s">
        <v>57</v>
      </c>
      <c r="I948">
        <v>111.5</v>
      </c>
      <c r="J948">
        <v>108.6</v>
      </c>
      <c r="K948">
        <v>111.5</v>
      </c>
      <c r="L948">
        <v>149.8295964125561</v>
      </c>
    </row>
    <row r="949" spans="1:12" hidden="1" x14ac:dyDescent="0.25">
      <c r="A949">
        <v>2020</v>
      </c>
      <c r="B949" t="s">
        <v>12</v>
      </c>
      <c r="C949">
        <v>142.15</v>
      </c>
      <c r="D949" t="s">
        <v>64</v>
      </c>
      <c r="E949" t="s">
        <v>14</v>
      </c>
      <c r="F949" t="s">
        <v>72</v>
      </c>
      <c r="G949" t="s">
        <v>58</v>
      </c>
      <c r="H949" t="s">
        <v>59</v>
      </c>
      <c r="I949">
        <v>110.87139466242</v>
      </c>
      <c r="J949">
        <v>103.59652904204</v>
      </c>
      <c r="K949">
        <v>110.87139466242</v>
      </c>
      <c r="L949">
        <v>128.21160988622611</v>
      </c>
    </row>
    <row r="950" spans="1:12" hidden="1" x14ac:dyDescent="0.25">
      <c r="A950">
        <v>2020</v>
      </c>
      <c r="B950" t="s">
        <v>66</v>
      </c>
      <c r="C950">
        <v>160.6</v>
      </c>
      <c r="D950" t="s">
        <v>64</v>
      </c>
      <c r="E950" t="s">
        <v>14</v>
      </c>
      <c r="F950" t="s">
        <v>72</v>
      </c>
      <c r="G950" t="s">
        <v>58</v>
      </c>
      <c r="H950" t="s">
        <v>59</v>
      </c>
      <c r="I950">
        <v>108.5</v>
      </c>
      <c r="J950">
        <v>108.6</v>
      </c>
      <c r="K950">
        <v>108.5</v>
      </c>
      <c r="L950">
        <v>148.0184331797235</v>
      </c>
    </row>
    <row r="951" spans="1:12" hidden="1" x14ac:dyDescent="0.25">
      <c r="A951">
        <v>2020</v>
      </c>
      <c r="B951" t="s">
        <v>12</v>
      </c>
      <c r="C951">
        <v>527.71</v>
      </c>
      <c r="D951" t="s">
        <v>64</v>
      </c>
      <c r="E951" t="s">
        <v>14</v>
      </c>
      <c r="F951" t="s">
        <v>72</v>
      </c>
      <c r="G951" t="s">
        <v>60</v>
      </c>
      <c r="H951" t="s">
        <v>61</v>
      </c>
      <c r="J951">
        <v>103.59652904204</v>
      </c>
      <c r="K951">
        <v>103.59652904204</v>
      </c>
      <c r="L951">
        <v>509.38965318601811</v>
      </c>
    </row>
    <row r="952" spans="1:12" hidden="1" x14ac:dyDescent="0.25">
      <c r="A952">
        <v>2020</v>
      </c>
      <c r="B952" t="s">
        <v>66</v>
      </c>
      <c r="C952">
        <v>121.99</v>
      </c>
      <c r="D952" t="s">
        <v>64</v>
      </c>
      <c r="E952" t="s">
        <v>14</v>
      </c>
      <c r="F952" t="s">
        <v>72</v>
      </c>
      <c r="G952" t="s">
        <v>60</v>
      </c>
      <c r="H952" t="s">
        <v>61</v>
      </c>
      <c r="I952">
        <v>112.5</v>
      </c>
      <c r="J952">
        <v>108.6</v>
      </c>
      <c r="K952">
        <v>112.5</v>
      </c>
      <c r="L952">
        <v>108.4355555555556</v>
      </c>
    </row>
    <row r="953" spans="1:12" hidden="1" x14ac:dyDescent="0.25">
      <c r="A953">
        <v>2020</v>
      </c>
      <c r="B953" t="s">
        <v>12</v>
      </c>
      <c r="C953">
        <v>34.270000000000003</v>
      </c>
      <c r="D953" t="s">
        <v>64</v>
      </c>
      <c r="E953" t="s">
        <v>14</v>
      </c>
      <c r="F953" t="s">
        <v>72</v>
      </c>
      <c r="G953" t="s">
        <v>28</v>
      </c>
      <c r="H953" t="s">
        <v>29</v>
      </c>
      <c r="I953">
        <v>110.87139466242</v>
      </c>
      <c r="J953">
        <v>103.59652904204</v>
      </c>
      <c r="K953">
        <v>110.87139466242</v>
      </c>
      <c r="L953">
        <v>30.909686041512259</v>
      </c>
    </row>
    <row r="954" spans="1:12" hidden="1" x14ac:dyDescent="0.25">
      <c r="A954">
        <v>2020</v>
      </c>
      <c r="B954" t="s">
        <v>66</v>
      </c>
      <c r="C954">
        <v>166.84</v>
      </c>
      <c r="D954" t="s">
        <v>64</v>
      </c>
      <c r="E954" t="s">
        <v>14</v>
      </c>
      <c r="F954" t="s">
        <v>72</v>
      </c>
      <c r="G954" t="s">
        <v>28</v>
      </c>
      <c r="H954" t="s">
        <v>29</v>
      </c>
      <c r="I954">
        <v>108.1</v>
      </c>
      <c r="J954">
        <v>108.6</v>
      </c>
      <c r="K954">
        <v>108.1</v>
      </c>
      <c r="L954">
        <v>154.33857539315451</v>
      </c>
    </row>
    <row r="955" spans="1:12" hidden="1" x14ac:dyDescent="0.25">
      <c r="A955">
        <v>2020</v>
      </c>
      <c r="B955" t="s">
        <v>12</v>
      </c>
      <c r="C955">
        <v>176.86</v>
      </c>
      <c r="D955" t="s">
        <v>64</v>
      </c>
      <c r="E955" t="s">
        <v>14</v>
      </c>
      <c r="F955" t="s">
        <v>72</v>
      </c>
      <c r="G955" t="s">
        <v>20</v>
      </c>
      <c r="H955" t="s">
        <v>21</v>
      </c>
      <c r="I955">
        <v>123.69234493793</v>
      </c>
      <c r="J955">
        <v>103.59652904204</v>
      </c>
      <c r="K955">
        <v>123.69234493793</v>
      </c>
      <c r="L955">
        <v>142.98378779119281</v>
      </c>
    </row>
    <row r="956" spans="1:12" hidden="1" x14ac:dyDescent="0.25">
      <c r="A956">
        <v>2020</v>
      </c>
      <c r="B956" t="s">
        <v>66</v>
      </c>
      <c r="C956">
        <v>896.87</v>
      </c>
      <c r="D956" t="s">
        <v>64</v>
      </c>
      <c r="E956" t="s">
        <v>14</v>
      </c>
      <c r="F956" t="s">
        <v>72</v>
      </c>
      <c r="G956" t="s">
        <v>20</v>
      </c>
      <c r="H956" t="s">
        <v>21</v>
      </c>
      <c r="I956">
        <v>109.5</v>
      </c>
      <c r="J956">
        <v>108.6</v>
      </c>
      <c r="K956">
        <v>109.5</v>
      </c>
      <c r="L956">
        <v>819.05936073059365</v>
      </c>
    </row>
    <row r="957" spans="1:12" hidden="1" x14ac:dyDescent="0.25">
      <c r="A957">
        <v>2020</v>
      </c>
      <c r="B957" t="s">
        <v>12</v>
      </c>
      <c r="C957">
        <v>244.53</v>
      </c>
      <c r="D957" t="s">
        <v>64</v>
      </c>
      <c r="E957" t="s">
        <v>14</v>
      </c>
      <c r="F957" t="s">
        <v>72</v>
      </c>
      <c r="G957" t="s">
        <v>22</v>
      </c>
      <c r="H957" t="s">
        <v>23</v>
      </c>
      <c r="I957">
        <v>71.728747032472995</v>
      </c>
      <c r="J957">
        <v>103.59652904204</v>
      </c>
      <c r="K957">
        <v>71.728747032472995</v>
      </c>
      <c r="L957">
        <v>340.90934265071792</v>
      </c>
    </row>
    <row r="958" spans="1:12" hidden="1" x14ac:dyDescent="0.25">
      <c r="A958">
        <v>2020</v>
      </c>
      <c r="B958" t="s">
        <v>66</v>
      </c>
      <c r="C958">
        <v>1778.66</v>
      </c>
      <c r="D958" t="s">
        <v>64</v>
      </c>
      <c r="E958" t="s">
        <v>14</v>
      </c>
      <c r="F958" t="s">
        <v>72</v>
      </c>
      <c r="G958" t="s">
        <v>22</v>
      </c>
      <c r="H958" t="s">
        <v>23</v>
      </c>
      <c r="I958">
        <v>105.5</v>
      </c>
      <c r="J958">
        <v>108.6</v>
      </c>
      <c r="K958">
        <v>105.5</v>
      </c>
      <c r="L958">
        <v>1685.9336492891</v>
      </c>
    </row>
    <row r="959" spans="1:12" hidden="1" x14ac:dyDescent="0.25">
      <c r="A959">
        <v>2020</v>
      </c>
      <c r="B959" t="s">
        <v>12</v>
      </c>
      <c r="C959">
        <v>411.89</v>
      </c>
      <c r="D959" t="s">
        <v>64</v>
      </c>
      <c r="E959" t="s">
        <v>14</v>
      </c>
      <c r="F959" t="s">
        <v>72</v>
      </c>
      <c r="G959" t="s">
        <v>24</v>
      </c>
      <c r="H959" t="s">
        <v>25</v>
      </c>
      <c r="I959">
        <v>71.728747032472995</v>
      </c>
      <c r="J959">
        <v>103.59652904204</v>
      </c>
      <c r="K959">
        <v>71.728747032472995</v>
      </c>
      <c r="L959">
        <v>574.232810470716</v>
      </c>
    </row>
    <row r="960" spans="1:12" hidden="1" x14ac:dyDescent="0.25">
      <c r="A960">
        <v>2020</v>
      </c>
      <c r="B960" t="s">
        <v>66</v>
      </c>
      <c r="C960">
        <v>584.33000000000004</v>
      </c>
      <c r="D960" t="s">
        <v>64</v>
      </c>
      <c r="E960" t="s">
        <v>14</v>
      </c>
      <c r="F960" t="s">
        <v>72</v>
      </c>
      <c r="G960" t="s">
        <v>24</v>
      </c>
      <c r="H960" t="s">
        <v>25</v>
      </c>
      <c r="I960">
        <v>110.2</v>
      </c>
      <c r="J960">
        <v>108.6</v>
      </c>
      <c r="K960">
        <v>110.2</v>
      </c>
      <c r="L960">
        <v>530.24500907441018</v>
      </c>
    </row>
    <row r="961" spans="1:12" hidden="1" x14ac:dyDescent="0.25">
      <c r="A961">
        <v>2020</v>
      </c>
      <c r="B961" t="s">
        <v>12</v>
      </c>
      <c r="C961">
        <v>261.82</v>
      </c>
      <c r="D961" t="s">
        <v>64</v>
      </c>
      <c r="E961" t="s">
        <v>14</v>
      </c>
      <c r="F961" t="s">
        <v>72</v>
      </c>
      <c r="G961" t="s">
        <v>30</v>
      </c>
      <c r="H961" t="s">
        <v>31</v>
      </c>
      <c r="I961">
        <v>65.215368011810995</v>
      </c>
      <c r="J961">
        <v>103.59652904204</v>
      </c>
      <c r="K961">
        <v>65.215368011810995</v>
      </c>
      <c r="L961">
        <v>401.46978845934359</v>
      </c>
    </row>
    <row r="962" spans="1:12" hidden="1" x14ac:dyDescent="0.25">
      <c r="A962">
        <v>2020</v>
      </c>
      <c r="B962" t="s">
        <v>66</v>
      </c>
      <c r="C962">
        <v>673.3</v>
      </c>
      <c r="D962" t="s">
        <v>64</v>
      </c>
      <c r="E962" t="s">
        <v>14</v>
      </c>
      <c r="F962" t="s">
        <v>72</v>
      </c>
      <c r="G962" t="s">
        <v>30</v>
      </c>
      <c r="H962" t="s">
        <v>31</v>
      </c>
      <c r="I962">
        <v>107.4</v>
      </c>
      <c r="J962">
        <v>108.6</v>
      </c>
      <c r="K962">
        <v>107.4</v>
      </c>
      <c r="L962">
        <v>626.9087523277467</v>
      </c>
    </row>
    <row r="963" spans="1:12" hidden="1" x14ac:dyDescent="0.25">
      <c r="A963">
        <v>2020</v>
      </c>
      <c r="B963" t="s">
        <v>12</v>
      </c>
      <c r="C963">
        <v>169.95</v>
      </c>
      <c r="D963" t="s">
        <v>64</v>
      </c>
      <c r="E963" t="s">
        <v>14</v>
      </c>
      <c r="F963" t="s">
        <v>72</v>
      </c>
      <c r="G963" t="s">
        <v>32</v>
      </c>
      <c r="H963" t="s">
        <v>33</v>
      </c>
      <c r="I963">
        <v>65.215368011810995</v>
      </c>
      <c r="J963">
        <v>103.59652904204</v>
      </c>
      <c r="K963">
        <v>65.215368011810995</v>
      </c>
      <c r="L963">
        <v>260.5980847477864</v>
      </c>
    </row>
    <row r="964" spans="1:12" hidden="1" x14ac:dyDescent="0.25">
      <c r="A964">
        <v>2020</v>
      </c>
      <c r="B964" t="s">
        <v>66</v>
      </c>
      <c r="C964">
        <v>119.87</v>
      </c>
      <c r="D964" t="s">
        <v>64</v>
      </c>
      <c r="E964" t="s">
        <v>14</v>
      </c>
      <c r="F964" t="s">
        <v>72</v>
      </c>
      <c r="G964" t="s">
        <v>32</v>
      </c>
      <c r="H964" t="s">
        <v>33</v>
      </c>
      <c r="I964">
        <v>109.7</v>
      </c>
      <c r="J964">
        <v>108.6</v>
      </c>
      <c r="K964">
        <v>109.7</v>
      </c>
      <c r="L964">
        <v>109.2707383773929</v>
      </c>
    </row>
    <row r="965" spans="1:12" hidden="1" x14ac:dyDescent="0.25">
      <c r="A965">
        <v>2020</v>
      </c>
      <c r="B965" t="s">
        <v>12</v>
      </c>
      <c r="C965">
        <v>69.150000000000006</v>
      </c>
      <c r="D965" t="s">
        <v>64</v>
      </c>
      <c r="E965" t="s">
        <v>14</v>
      </c>
      <c r="F965" t="s">
        <v>72</v>
      </c>
      <c r="G965" t="s">
        <v>26</v>
      </c>
      <c r="H965" t="s">
        <v>27</v>
      </c>
      <c r="I965">
        <v>71.728747032472995</v>
      </c>
      <c r="J965">
        <v>103.59652904204</v>
      </c>
      <c r="K965">
        <v>71.728747032472995</v>
      </c>
      <c r="L965">
        <v>96.404862570225106</v>
      </c>
    </row>
    <row r="966" spans="1:12" hidden="1" x14ac:dyDescent="0.25">
      <c r="A966">
        <v>2020</v>
      </c>
      <c r="B966" t="s">
        <v>66</v>
      </c>
      <c r="C966">
        <v>325.52</v>
      </c>
      <c r="D966" t="s">
        <v>64</v>
      </c>
      <c r="E966" t="s">
        <v>14</v>
      </c>
      <c r="F966" t="s">
        <v>72</v>
      </c>
      <c r="G966" t="s">
        <v>26</v>
      </c>
      <c r="H966" t="s">
        <v>27</v>
      </c>
      <c r="I966">
        <v>105.1</v>
      </c>
      <c r="J966">
        <v>108.6</v>
      </c>
      <c r="K966">
        <v>105.1</v>
      </c>
      <c r="L966">
        <v>309.72407231208371</v>
      </c>
    </row>
    <row r="967" spans="1:12" hidden="1" x14ac:dyDescent="0.25">
      <c r="A967">
        <v>2020</v>
      </c>
      <c r="B967" t="s">
        <v>66</v>
      </c>
      <c r="C967">
        <v>536.6</v>
      </c>
      <c r="D967" t="s">
        <v>64</v>
      </c>
      <c r="E967" t="s">
        <v>14</v>
      </c>
      <c r="F967" t="s">
        <v>72</v>
      </c>
      <c r="G967" t="s">
        <v>34</v>
      </c>
      <c r="H967" t="s">
        <v>35</v>
      </c>
      <c r="I967">
        <v>100.6</v>
      </c>
      <c r="J967">
        <v>108.6</v>
      </c>
      <c r="K967">
        <v>100.6</v>
      </c>
      <c r="L967">
        <v>533.39960238568597</v>
      </c>
    </row>
    <row r="968" spans="1:12" hidden="1" x14ac:dyDescent="0.25">
      <c r="A968">
        <v>2020</v>
      </c>
      <c r="B968" t="s">
        <v>66</v>
      </c>
      <c r="C968">
        <v>20.77</v>
      </c>
      <c r="D968" t="s">
        <v>64</v>
      </c>
      <c r="E968" t="s">
        <v>14</v>
      </c>
      <c r="F968" t="s">
        <v>72</v>
      </c>
      <c r="G968" t="s">
        <v>67</v>
      </c>
      <c r="H968" t="s">
        <v>68</v>
      </c>
      <c r="I968">
        <v>109.5</v>
      </c>
      <c r="J968">
        <v>108.6</v>
      </c>
      <c r="K968">
        <v>109.5</v>
      </c>
      <c r="L968">
        <v>18.968036529680369</v>
      </c>
    </row>
    <row r="969" spans="1:12" hidden="1" x14ac:dyDescent="0.25">
      <c r="A969">
        <v>2019</v>
      </c>
      <c r="B969" t="s">
        <v>12</v>
      </c>
      <c r="C969">
        <v>2046.9</v>
      </c>
      <c r="D969" t="s">
        <v>64</v>
      </c>
      <c r="E969" t="s">
        <v>14</v>
      </c>
      <c r="F969" t="s">
        <v>72</v>
      </c>
      <c r="G969" t="s">
        <v>18</v>
      </c>
      <c r="H969" t="s">
        <v>19</v>
      </c>
      <c r="I969">
        <v>101.52099705321</v>
      </c>
      <c r="J969">
        <v>98.151526954033002</v>
      </c>
      <c r="K969">
        <v>101.52099705321</v>
      </c>
      <c r="L969">
        <v>2016.233153154674</v>
      </c>
    </row>
    <row r="970" spans="1:12" hidden="1" x14ac:dyDescent="0.25">
      <c r="A970">
        <v>2019</v>
      </c>
      <c r="B970" t="s">
        <v>66</v>
      </c>
      <c r="C970">
        <v>3724.73</v>
      </c>
      <c r="D970" t="s">
        <v>64</v>
      </c>
      <c r="E970" t="s">
        <v>14</v>
      </c>
      <c r="F970" t="s">
        <v>72</v>
      </c>
      <c r="G970" t="s">
        <v>18</v>
      </c>
      <c r="H970" t="s">
        <v>19</v>
      </c>
      <c r="I970">
        <v>102.3</v>
      </c>
      <c r="J970">
        <v>102.4</v>
      </c>
      <c r="K970">
        <v>102.3</v>
      </c>
      <c r="L970">
        <v>3640.9872922776149</v>
      </c>
    </row>
    <row r="971" spans="1:12" hidden="1" x14ac:dyDescent="0.25">
      <c r="A971">
        <v>2019</v>
      </c>
      <c r="B971" t="s">
        <v>12</v>
      </c>
      <c r="C971">
        <v>360.31</v>
      </c>
      <c r="D971" t="s">
        <v>64</v>
      </c>
      <c r="E971" t="s">
        <v>14</v>
      </c>
      <c r="F971" t="s">
        <v>72</v>
      </c>
      <c r="G971" t="s">
        <v>20</v>
      </c>
      <c r="H971" t="s">
        <v>21</v>
      </c>
      <c r="I971">
        <v>111.60809989866</v>
      </c>
      <c r="J971">
        <v>98.151526954033002</v>
      </c>
      <c r="K971">
        <v>111.60809989866</v>
      </c>
      <c r="L971">
        <v>322.83499166024768</v>
      </c>
    </row>
    <row r="972" spans="1:12" hidden="1" x14ac:dyDescent="0.25">
      <c r="A972">
        <v>2019</v>
      </c>
      <c r="B972" t="s">
        <v>66</v>
      </c>
      <c r="C972">
        <v>944.28</v>
      </c>
      <c r="D972" t="s">
        <v>64</v>
      </c>
      <c r="E972" t="s">
        <v>14</v>
      </c>
      <c r="F972" t="s">
        <v>72</v>
      </c>
      <c r="G972" t="s">
        <v>20</v>
      </c>
      <c r="H972" t="s">
        <v>21</v>
      </c>
      <c r="I972">
        <v>104.9</v>
      </c>
      <c r="J972">
        <v>102.4</v>
      </c>
      <c r="K972">
        <v>104.9</v>
      </c>
      <c r="L972">
        <v>900.17159199237358</v>
      </c>
    </row>
    <row r="973" spans="1:12" hidden="1" x14ac:dyDescent="0.25">
      <c r="A973">
        <v>2019</v>
      </c>
      <c r="B973" t="s">
        <v>66</v>
      </c>
      <c r="C973">
        <v>21.33</v>
      </c>
      <c r="D973" t="s">
        <v>64</v>
      </c>
      <c r="E973" t="s">
        <v>14</v>
      </c>
      <c r="F973" t="s">
        <v>72</v>
      </c>
      <c r="G973" t="s">
        <v>67</v>
      </c>
      <c r="H973" t="s">
        <v>68</v>
      </c>
      <c r="I973">
        <v>104.9</v>
      </c>
      <c r="J973">
        <v>102.4</v>
      </c>
      <c r="K973">
        <v>104.9</v>
      </c>
      <c r="L973">
        <v>20.333651096282171</v>
      </c>
    </row>
    <row r="974" spans="1:12" hidden="1" x14ac:dyDescent="0.25">
      <c r="A974">
        <v>2019</v>
      </c>
      <c r="B974" t="s">
        <v>12</v>
      </c>
      <c r="C974">
        <v>55.82</v>
      </c>
      <c r="D974" t="s">
        <v>64</v>
      </c>
      <c r="E974" t="s">
        <v>14</v>
      </c>
      <c r="F974" t="s">
        <v>72</v>
      </c>
      <c r="G974" t="s">
        <v>22</v>
      </c>
      <c r="H974" t="s">
        <v>23</v>
      </c>
      <c r="I974">
        <v>84.562992854463005</v>
      </c>
      <c r="J974">
        <v>98.151526954033002</v>
      </c>
      <c r="K974">
        <v>84.562992854463005</v>
      </c>
      <c r="L974">
        <v>66.009962651237899</v>
      </c>
    </row>
    <row r="975" spans="1:12" hidden="1" x14ac:dyDescent="0.25">
      <c r="A975">
        <v>2019</v>
      </c>
      <c r="B975" t="s">
        <v>66</v>
      </c>
      <c r="C975">
        <v>2010.8</v>
      </c>
      <c r="D975" t="s">
        <v>64</v>
      </c>
      <c r="E975" t="s">
        <v>14</v>
      </c>
      <c r="F975" t="s">
        <v>72</v>
      </c>
      <c r="G975" t="s">
        <v>22</v>
      </c>
      <c r="H975" t="s">
        <v>23</v>
      </c>
      <c r="I975">
        <v>102.4</v>
      </c>
      <c r="J975">
        <v>102.4</v>
      </c>
      <c r="K975">
        <v>102.4</v>
      </c>
      <c r="L975">
        <v>1963.671875</v>
      </c>
    </row>
    <row r="976" spans="1:12" hidden="1" x14ac:dyDescent="0.25">
      <c r="A976">
        <v>2019</v>
      </c>
      <c r="B976" t="s">
        <v>12</v>
      </c>
      <c r="C976">
        <v>62.8</v>
      </c>
      <c r="D976" t="s">
        <v>64</v>
      </c>
      <c r="E976" t="s">
        <v>14</v>
      </c>
      <c r="F976" t="s">
        <v>72</v>
      </c>
      <c r="G976" t="s">
        <v>24</v>
      </c>
      <c r="H976" t="s">
        <v>25</v>
      </c>
      <c r="I976">
        <v>84.562992854463005</v>
      </c>
      <c r="J976">
        <v>98.151526954033002</v>
      </c>
      <c r="K976">
        <v>84.562992854463005</v>
      </c>
      <c r="L976">
        <v>74.264164358612319</v>
      </c>
    </row>
    <row r="977" spans="1:12" hidden="1" x14ac:dyDescent="0.25">
      <c r="A977">
        <v>2019</v>
      </c>
      <c r="B977" t="s">
        <v>66</v>
      </c>
      <c r="C977">
        <v>743.42</v>
      </c>
      <c r="D977" t="s">
        <v>64</v>
      </c>
      <c r="E977" t="s">
        <v>14</v>
      </c>
      <c r="F977" t="s">
        <v>72</v>
      </c>
      <c r="G977" t="s">
        <v>24</v>
      </c>
      <c r="H977" t="s">
        <v>25</v>
      </c>
      <c r="I977">
        <v>105.3</v>
      </c>
      <c r="J977">
        <v>102.4</v>
      </c>
      <c r="K977">
        <v>105.3</v>
      </c>
      <c r="L977">
        <v>706.00189933523257</v>
      </c>
    </row>
    <row r="978" spans="1:12" hidden="1" x14ac:dyDescent="0.25">
      <c r="A978">
        <v>2019</v>
      </c>
      <c r="B978" t="s">
        <v>12</v>
      </c>
      <c r="C978">
        <v>66.94</v>
      </c>
      <c r="D978" t="s">
        <v>64</v>
      </c>
      <c r="E978" t="s">
        <v>14</v>
      </c>
      <c r="F978" t="s">
        <v>72</v>
      </c>
      <c r="G978" t="s">
        <v>26</v>
      </c>
      <c r="H978" t="s">
        <v>27</v>
      </c>
      <c r="I978">
        <v>84.562992854463005</v>
      </c>
      <c r="J978">
        <v>98.151526954033002</v>
      </c>
      <c r="K978">
        <v>84.562992854463005</v>
      </c>
      <c r="L978">
        <v>79.159922964418925</v>
      </c>
    </row>
    <row r="979" spans="1:12" hidden="1" x14ac:dyDescent="0.25">
      <c r="A979">
        <v>2019</v>
      </c>
      <c r="B979" t="s">
        <v>66</v>
      </c>
      <c r="C979">
        <v>411.2</v>
      </c>
      <c r="D979" t="s">
        <v>64</v>
      </c>
      <c r="E979" t="s">
        <v>14</v>
      </c>
      <c r="F979" t="s">
        <v>72</v>
      </c>
      <c r="G979" t="s">
        <v>26</v>
      </c>
      <c r="H979" t="s">
        <v>27</v>
      </c>
      <c r="I979">
        <v>102.3</v>
      </c>
      <c r="J979">
        <v>102.4</v>
      </c>
      <c r="K979">
        <v>102.3</v>
      </c>
      <c r="L979">
        <v>401.95503421309871</v>
      </c>
    </row>
    <row r="980" spans="1:12" hidden="1" x14ac:dyDescent="0.25">
      <c r="A980">
        <v>2019</v>
      </c>
      <c r="B980" t="s">
        <v>12</v>
      </c>
      <c r="C980">
        <v>381.55</v>
      </c>
      <c r="D980" t="s">
        <v>64</v>
      </c>
      <c r="E980" t="s">
        <v>14</v>
      </c>
      <c r="F980" t="s">
        <v>72</v>
      </c>
      <c r="G980" t="s">
        <v>28</v>
      </c>
      <c r="H980" t="s">
        <v>29</v>
      </c>
      <c r="I980">
        <v>97.634045562563003</v>
      </c>
      <c r="J980">
        <v>98.151526954033002</v>
      </c>
      <c r="K980">
        <v>97.634045562563003</v>
      </c>
      <c r="L980">
        <v>390.79605664348531</v>
      </c>
    </row>
    <row r="981" spans="1:12" hidden="1" x14ac:dyDescent="0.25">
      <c r="A981">
        <v>2019</v>
      </c>
      <c r="B981" t="s">
        <v>66</v>
      </c>
      <c r="C981">
        <v>188.99</v>
      </c>
      <c r="D981" t="s">
        <v>64</v>
      </c>
      <c r="E981" t="s">
        <v>14</v>
      </c>
      <c r="F981" t="s">
        <v>72</v>
      </c>
      <c r="G981" t="s">
        <v>28</v>
      </c>
      <c r="H981" t="s">
        <v>29</v>
      </c>
      <c r="I981">
        <v>105.5</v>
      </c>
      <c r="J981">
        <v>102.4</v>
      </c>
      <c r="K981">
        <v>105.5</v>
      </c>
      <c r="L981">
        <v>179.13744075829379</v>
      </c>
    </row>
    <row r="982" spans="1:12" hidden="1" x14ac:dyDescent="0.25">
      <c r="A982">
        <v>2019</v>
      </c>
      <c r="B982" t="s">
        <v>12</v>
      </c>
      <c r="C982">
        <v>411.83</v>
      </c>
      <c r="D982" t="s">
        <v>64</v>
      </c>
      <c r="E982" t="s">
        <v>14</v>
      </c>
      <c r="F982" t="s">
        <v>72</v>
      </c>
      <c r="G982" t="s">
        <v>30</v>
      </c>
      <c r="H982" t="s">
        <v>31</v>
      </c>
      <c r="I982">
        <v>72.666250473058</v>
      </c>
      <c r="J982">
        <v>98.151526954033002</v>
      </c>
      <c r="K982">
        <v>72.666250473058</v>
      </c>
      <c r="L982">
        <v>566.74177808677712</v>
      </c>
    </row>
    <row r="983" spans="1:12" hidden="1" x14ac:dyDescent="0.25">
      <c r="A983">
        <v>2019</v>
      </c>
      <c r="B983" t="s">
        <v>66</v>
      </c>
      <c r="C983">
        <v>730.47</v>
      </c>
      <c r="D983" t="s">
        <v>64</v>
      </c>
      <c r="E983" t="s">
        <v>14</v>
      </c>
      <c r="F983" t="s">
        <v>72</v>
      </c>
      <c r="G983" t="s">
        <v>30</v>
      </c>
      <c r="H983" t="s">
        <v>31</v>
      </c>
      <c r="I983">
        <v>104.5</v>
      </c>
      <c r="J983">
        <v>102.4</v>
      </c>
      <c r="K983">
        <v>104.5</v>
      </c>
      <c r="L983">
        <v>699.01435406698567</v>
      </c>
    </row>
    <row r="984" spans="1:12" hidden="1" x14ac:dyDescent="0.25">
      <c r="A984">
        <v>2019</v>
      </c>
      <c r="B984" t="s">
        <v>12</v>
      </c>
      <c r="C984">
        <v>146.08000000000001</v>
      </c>
      <c r="D984" t="s">
        <v>64</v>
      </c>
      <c r="E984" t="s">
        <v>14</v>
      </c>
      <c r="F984" t="s">
        <v>72</v>
      </c>
      <c r="G984" t="s">
        <v>32</v>
      </c>
      <c r="H984" t="s">
        <v>33</v>
      </c>
      <c r="I984">
        <v>72.666250473058</v>
      </c>
      <c r="J984">
        <v>98.151526954033002</v>
      </c>
      <c r="K984">
        <v>72.666250473058</v>
      </c>
      <c r="L984">
        <v>201.02867431444139</v>
      </c>
    </row>
    <row r="985" spans="1:12" hidden="1" x14ac:dyDescent="0.25">
      <c r="A985">
        <v>2019</v>
      </c>
      <c r="B985" t="s">
        <v>66</v>
      </c>
      <c r="C985">
        <v>126.73</v>
      </c>
      <c r="D985" t="s">
        <v>64</v>
      </c>
      <c r="E985" t="s">
        <v>14</v>
      </c>
      <c r="F985" t="s">
        <v>72</v>
      </c>
      <c r="G985" t="s">
        <v>32</v>
      </c>
      <c r="H985" t="s">
        <v>33</v>
      </c>
      <c r="I985">
        <v>106</v>
      </c>
      <c r="J985">
        <v>102.4</v>
      </c>
      <c r="K985">
        <v>106</v>
      </c>
      <c r="L985">
        <v>119.5566037735849</v>
      </c>
    </row>
    <row r="986" spans="1:12" hidden="1" x14ac:dyDescent="0.25">
      <c r="A986">
        <v>2019</v>
      </c>
      <c r="B986" t="s">
        <v>66</v>
      </c>
      <c r="C986">
        <v>614.89</v>
      </c>
      <c r="D986" t="s">
        <v>64</v>
      </c>
      <c r="E986" t="s">
        <v>14</v>
      </c>
      <c r="F986" t="s">
        <v>72</v>
      </c>
      <c r="G986" t="s">
        <v>34</v>
      </c>
      <c r="H986" t="s">
        <v>35</v>
      </c>
      <c r="I986">
        <v>92.1</v>
      </c>
      <c r="J986">
        <v>102.4</v>
      </c>
      <c r="K986">
        <v>92.1</v>
      </c>
      <c r="L986">
        <v>667.63300760043433</v>
      </c>
    </row>
    <row r="987" spans="1:12" hidden="1" x14ac:dyDescent="0.25">
      <c r="A987">
        <v>2019</v>
      </c>
      <c r="B987" t="s">
        <v>12</v>
      </c>
      <c r="C987">
        <v>678.59</v>
      </c>
      <c r="D987" t="s">
        <v>64</v>
      </c>
      <c r="E987" t="s">
        <v>14</v>
      </c>
      <c r="F987" t="s">
        <v>72</v>
      </c>
      <c r="G987" t="s">
        <v>36</v>
      </c>
      <c r="H987" t="s">
        <v>37</v>
      </c>
      <c r="I987">
        <v>94.527911873682996</v>
      </c>
      <c r="J987">
        <v>98.151526954033002</v>
      </c>
      <c r="K987">
        <v>94.527911873682996</v>
      </c>
      <c r="L987">
        <v>717.87262254009715</v>
      </c>
    </row>
    <row r="988" spans="1:12" hidden="1" x14ac:dyDescent="0.25">
      <c r="A988">
        <v>2019</v>
      </c>
      <c r="B988" t="s">
        <v>66</v>
      </c>
      <c r="C988">
        <v>2282.86</v>
      </c>
      <c r="D988" t="s">
        <v>64</v>
      </c>
      <c r="E988" t="s">
        <v>14</v>
      </c>
      <c r="F988" t="s">
        <v>72</v>
      </c>
      <c r="G988" t="s">
        <v>36</v>
      </c>
      <c r="H988" t="s">
        <v>37</v>
      </c>
      <c r="I988">
        <v>101.6</v>
      </c>
      <c r="J988">
        <v>102.4</v>
      </c>
      <c r="K988">
        <v>101.6</v>
      </c>
      <c r="L988">
        <v>2246.909448818898</v>
      </c>
    </row>
    <row r="989" spans="1:12" hidden="1" x14ac:dyDescent="0.25">
      <c r="A989">
        <v>2019</v>
      </c>
      <c r="B989" t="s">
        <v>12</v>
      </c>
      <c r="C989">
        <v>254.03</v>
      </c>
      <c r="D989" t="s">
        <v>64</v>
      </c>
      <c r="E989" t="s">
        <v>14</v>
      </c>
      <c r="F989" t="s">
        <v>72</v>
      </c>
      <c r="G989" t="s">
        <v>38</v>
      </c>
      <c r="H989" t="s">
        <v>39</v>
      </c>
      <c r="I989">
        <v>94.527911873682996</v>
      </c>
      <c r="J989">
        <v>98.151526954033002</v>
      </c>
      <c r="K989">
        <v>94.527911873682996</v>
      </c>
      <c r="L989">
        <v>268.73544010943408</v>
      </c>
    </row>
    <row r="990" spans="1:12" hidden="1" x14ac:dyDescent="0.25">
      <c r="A990">
        <v>2019</v>
      </c>
      <c r="B990" t="s">
        <v>66</v>
      </c>
      <c r="C990">
        <v>775.58</v>
      </c>
      <c r="D990" t="s">
        <v>64</v>
      </c>
      <c r="E990" t="s">
        <v>14</v>
      </c>
      <c r="F990" t="s">
        <v>72</v>
      </c>
      <c r="G990" t="s">
        <v>38</v>
      </c>
      <c r="H990" t="s">
        <v>39</v>
      </c>
      <c r="I990">
        <v>101.6</v>
      </c>
      <c r="J990">
        <v>102.4</v>
      </c>
      <c r="K990">
        <v>101.6</v>
      </c>
      <c r="L990">
        <v>763.36614173228361</v>
      </c>
    </row>
    <row r="991" spans="1:12" hidden="1" x14ac:dyDescent="0.25">
      <c r="A991">
        <v>2019</v>
      </c>
      <c r="B991" t="s">
        <v>12</v>
      </c>
      <c r="C991">
        <v>447.25</v>
      </c>
      <c r="D991" t="s">
        <v>64</v>
      </c>
      <c r="E991" t="s">
        <v>14</v>
      </c>
      <c r="F991" t="s">
        <v>72</v>
      </c>
      <c r="G991" t="s">
        <v>40</v>
      </c>
      <c r="H991" t="s">
        <v>41</v>
      </c>
      <c r="I991">
        <v>94.527911873682996</v>
      </c>
      <c r="J991">
        <v>98.151526954033002</v>
      </c>
      <c r="K991">
        <v>94.527911873682996</v>
      </c>
      <c r="L991">
        <v>473.14067467993698</v>
      </c>
    </row>
    <row r="992" spans="1:12" hidden="1" x14ac:dyDescent="0.25">
      <c r="A992">
        <v>2019</v>
      </c>
      <c r="B992" t="s">
        <v>66</v>
      </c>
      <c r="C992">
        <v>1931.67</v>
      </c>
      <c r="D992" t="s">
        <v>64</v>
      </c>
      <c r="E992" t="s">
        <v>14</v>
      </c>
      <c r="F992" t="s">
        <v>72</v>
      </c>
      <c r="G992" t="s">
        <v>40</v>
      </c>
      <c r="H992" t="s">
        <v>41</v>
      </c>
      <c r="I992">
        <v>103.4</v>
      </c>
      <c r="J992">
        <v>102.4</v>
      </c>
      <c r="K992">
        <v>103.4</v>
      </c>
      <c r="L992">
        <v>1868.152804642167</v>
      </c>
    </row>
    <row r="993" spans="1:12" hidden="1" x14ac:dyDescent="0.25">
      <c r="A993">
        <v>2019</v>
      </c>
      <c r="B993" t="s">
        <v>12</v>
      </c>
      <c r="C993">
        <v>344.75</v>
      </c>
      <c r="D993" t="s">
        <v>64</v>
      </c>
      <c r="E993" t="s">
        <v>14</v>
      </c>
      <c r="F993" t="s">
        <v>72</v>
      </c>
      <c r="G993" t="s">
        <v>42</v>
      </c>
      <c r="H993" t="s">
        <v>43</v>
      </c>
      <c r="I993">
        <v>96.894683830418003</v>
      </c>
      <c r="J993">
        <v>98.151526954033002</v>
      </c>
      <c r="K993">
        <v>96.894683830418003</v>
      </c>
      <c r="L993">
        <v>355.79867374702462</v>
      </c>
    </row>
    <row r="994" spans="1:12" hidden="1" x14ac:dyDescent="0.25">
      <c r="A994">
        <v>2019</v>
      </c>
      <c r="B994" t="s">
        <v>66</v>
      </c>
      <c r="C994">
        <v>1668.93</v>
      </c>
      <c r="D994" t="s">
        <v>64</v>
      </c>
      <c r="E994" t="s">
        <v>14</v>
      </c>
      <c r="F994" t="s">
        <v>72</v>
      </c>
      <c r="G994" t="s">
        <v>42</v>
      </c>
      <c r="H994" t="s">
        <v>43</v>
      </c>
      <c r="I994">
        <v>104.4</v>
      </c>
      <c r="J994">
        <v>102.4</v>
      </c>
      <c r="K994">
        <v>104.4</v>
      </c>
      <c r="L994">
        <v>1598.5919540229879</v>
      </c>
    </row>
    <row r="995" spans="1:12" hidden="1" x14ac:dyDescent="0.25">
      <c r="A995">
        <v>2019</v>
      </c>
      <c r="B995" t="s">
        <v>12</v>
      </c>
      <c r="C995">
        <v>143.33000000000001</v>
      </c>
      <c r="D995" t="s">
        <v>64</v>
      </c>
      <c r="E995" t="s">
        <v>14</v>
      </c>
      <c r="F995" t="s">
        <v>72</v>
      </c>
      <c r="G995" t="s">
        <v>44</v>
      </c>
      <c r="H995" t="s">
        <v>45</v>
      </c>
      <c r="I995">
        <v>96.894683830418003</v>
      </c>
      <c r="J995">
        <v>98.151526954033002</v>
      </c>
      <c r="K995">
        <v>96.894683830418003</v>
      </c>
      <c r="L995">
        <v>147.9234921193939</v>
      </c>
    </row>
    <row r="996" spans="1:12" hidden="1" x14ac:dyDescent="0.25">
      <c r="A996">
        <v>2019</v>
      </c>
      <c r="B996" t="s">
        <v>66</v>
      </c>
      <c r="C996">
        <v>1440.71</v>
      </c>
      <c r="D996" t="s">
        <v>64</v>
      </c>
      <c r="E996" t="s">
        <v>14</v>
      </c>
      <c r="F996" t="s">
        <v>72</v>
      </c>
      <c r="G996" t="s">
        <v>44</v>
      </c>
      <c r="H996" t="s">
        <v>45</v>
      </c>
      <c r="I996">
        <v>99</v>
      </c>
      <c r="J996">
        <v>102.4</v>
      </c>
      <c r="K996">
        <v>99</v>
      </c>
      <c r="L996">
        <v>1455.2626262626261</v>
      </c>
    </row>
    <row r="997" spans="1:12" hidden="1" x14ac:dyDescent="0.25">
      <c r="A997">
        <v>2019</v>
      </c>
      <c r="B997" t="s">
        <v>12</v>
      </c>
      <c r="C997">
        <v>491.81</v>
      </c>
      <c r="D997" t="s">
        <v>64</v>
      </c>
      <c r="E997" t="s">
        <v>14</v>
      </c>
      <c r="F997" t="s">
        <v>72</v>
      </c>
      <c r="G997" t="s">
        <v>46</v>
      </c>
      <c r="H997" t="s">
        <v>47</v>
      </c>
      <c r="I997">
        <v>106.59709315790001</v>
      </c>
      <c r="J997">
        <v>98.151526954033002</v>
      </c>
      <c r="K997">
        <v>106.59709315790001</v>
      </c>
      <c r="L997">
        <v>461.37280617163958</v>
      </c>
    </row>
    <row r="998" spans="1:12" hidden="1" x14ac:dyDescent="0.25">
      <c r="A998">
        <v>2019</v>
      </c>
      <c r="B998" t="s">
        <v>66</v>
      </c>
      <c r="C998">
        <v>1832.27</v>
      </c>
      <c r="D998" t="s">
        <v>64</v>
      </c>
      <c r="E998" t="s">
        <v>14</v>
      </c>
      <c r="F998" t="s">
        <v>72</v>
      </c>
      <c r="G998" t="s">
        <v>46</v>
      </c>
      <c r="H998" t="s">
        <v>47</v>
      </c>
      <c r="I998">
        <v>104.2</v>
      </c>
      <c r="J998">
        <v>102.4</v>
      </c>
      <c r="K998">
        <v>104.2</v>
      </c>
      <c r="L998">
        <v>1758.4165067178501</v>
      </c>
    </row>
    <row r="999" spans="1:12" hidden="1" x14ac:dyDescent="0.25">
      <c r="A999">
        <v>2019</v>
      </c>
      <c r="B999" t="s">
        <v>12</v>
      </c>
      <c r="C999">
        <v>35.08</v>
      </c>
      <c r="D999" t="s">
        <v>64</v>
      </c>
      <c r="E999" t="s">
        <v>14</v>
      </c>
      <c r="F999" t="s">
        <v>72</v>
      </c>
      <c r="G999" t="s">
        <v>48</v>
      </c>
      <c r="H999" t="s">
        <v>49</v>
      </c>
      <c r="I999">
        <v>106.59709315790001</v>
      </c>
      <c r="J999">
        <v>98.151526954033002</v>
      </c>
      <c r="K999">
        <v>106.59709315790001</v>
      </c>
      <c r="L999">
        <v>32.908964926498271</v>
      </c>
    </row>
    <row r="1000" spans="1:12" hidden="1" x14ac:dyDescent="0.25">
      <c r="A1000">
        <v>2019</v>
      </c>
      <c r="B1000" t="s">
        <v>66</v>
      </c>
      <c r="C1000">
        <v>3574.1</v>
      </c>
      <c r="D1000" t="s">
        <v>64</v>
      </c>
      <c r="E1000" t="s">
        <v>14</v>
      </c>
      <c r="F1000" t="s">
        <v>72</v>
      </c>
      <c r="G1000" t="s">
        <v>48</v>
      </c>
      <c r="H1000" t="s">
        <v>49</v>
      </c>
      <c r="I1000">
        <v>103.9</v>
      </c>
      <c r="J1000">
        <v>102.4</v>
      </c>
      <c r="K1000">
        <v>103.9</v>
      </c>
      <c r="L1000">
        <v>3439.9422521655438</v>
      </c>
    </row>
    <row r="1001" spans="1:12" hidden="1" x14ac:dyDescent="0.25">
      <c r="A1001">
        <v>2019</v>
      </c>
      <c r="B1001" t="s">
        <v>12</v>
      </c>
      <c r="C1001">
        <v>146.54</v>
      </c>
      <c r="D1001" t="s">
        <v>64</v>
      </c>
      <c r="E1001" t="s">
        <v>14</v>
      </c>
      <c r="F1001" t="s">
        <v>72</v>
      </c>
      <c r="G1001" t="s">
        <v>50</v>
      </c>
      <c r="H1001" t="s">
        <v>51</v>
      </c>
      <c r="I1001">
        <v>106.59709315790001</v>
      </c>
      <c r="J1001">
        <v>98.151526954033002</v>
      </c>
      <c r="K1001">
        <v>106.59709315790001</v>
      </c>
      <c r="L1001">
        <v>137.4709156308169</v>
      </c>
    </row>
    <row r="1002" spans="1:12" hidden="1" x14ac:dyDescent="0.25">
      <c r="A1002">
        <v>2019</v>
      </c>
      <c r="B1002" t="s">
        <v>66</v>
      </c>
      <c r="C1002">
        <v>4621.92</v>
      </c>
      <c r="D1002" t="s">
        <v>64</v>
      </c>
      <c r="E1002" t="s">
        <v>14</v>
      </c>
      <c r="F1002" t="s">
        <v>72</v>
      </c>
      <c r="G1002" t="s">
        <v>50</v>
      </c>
      <c r="H1002" t="s">
        <v>51</v>
      </c>
      <c r="I1002">
        <v>102.3</v>
      </c>
      <c r="J1002">
        <v>102.4</v>
      </c>
      <c r="K1002">
        <v>102.3</v>
      </c>
      <c r="L1002">
        <v>4518.0058651026393</v>
      </c>
    </row>
    <row r="1003" spans="1:12" hidden="1" x14ac:dyDescent="0.25">
      <c r="A1003">
        <v>2019</v>
      </c>
      <c r="B1003" t="s">
        <v>12</v>
      </c>
      <c r="C1003">
        <v>235.56</v>
      </c>
      <c r="D1003" t="s">
        <v>64</v>
      </c>
      <c r="E1003" t="s">
        <v>14</v>
      </c>
      <c r="F1003" t="s">
        <v>72</v>
      </c>
      <c r="G1003" t="s">
        <v>52</v>
      </c>
      <c r="H1003" t="s">
        <v>53</v>
      </c>
      <c r="I1003">
        <v>106.59709315790001</v>
      </c>
      <c r="J1003">
        <v>98.151526954033002</v>
      </c>
      <c r="K1003">
        <v>106.59709315790001</v>
      </c>
      <c r="L1003">
        <v>220.98163563528891</v>
      </c>
    </row>
    <row r="1004" spans="1:12" hidden="1" x14ac:dyDescent="0.25">
      <c r="A1004">
        <v>2019</v>
      </c>
      <c r="B1004" t="s">
        <v>66</v>
      </c>
      <c r="C1004">
        <v>3998.2</v>
      </c>
      <c r="D1004" t="s">
        <v>64</v>
      </c>
      <c r="E1004" t="s">
        <v>14</v>
      </c>
      <c r="F1004" t="s">
        <v>72</v>
      </c>
      <c r="G1004" t="s">
        <v>52</v>
      </c>
      <c r="H1004" t="s">
        <v>53</v>
      </c>
      <c r="I1004">
        <v>102.7</v>
      </c>
      <c r="J1004">
        <v>102.4</v>
      </c>
      <c r="K1004">
        <v>102.7</v>
      </c>
      <c r="L1004">
        <v>3893.0866601752682</v>
      </c>
    </row>
    <row r="1005" spans="1:12" hidden="1" x14ac:dyDescent="0.25">
      <c r="A1005">
        <v>2019</v>
      </c>
      <c r="B1005" t="s">
        <v>12</v>
      </c>
      <c r="C1005">
        <v>7</v>
      </c>
      <c r="D1005" t="s">
        <v>64</v>
      </c>
      <c r="E1005" t="s">
        <v>14</v>
      </c>
      <c r="F1005" t="s">
        <v>72</v>
      </c>
      <c r="G1005" t="s">
        <v>54</v>
      </c>
      <c r="H1005" t="s">
        <v>55</v>
      </c>
      <c r="I1005">
        <v>106.59709315790001</v>
      </c>
      <c r="J1005">
        <v>98.151526954033002</v>
      </c>
      <c r="K1005">
        <v>106.59709315790001</v>
      </c>
      <c r="L1005">
        <v>6.5667831951393349</v>
      </c>
    </row>
    <row r="1006" spans="1:12" hidden="1" x14ac:dyDescent="0.25">
      <c r="A1006">
        <v>2019</v>
      </c>
      <c r="B1006" t="s">
        <v>66</v>
      </c>
      <c r="C1006">
        <v>6</v>
      </c>
      <c r="D1006" t="s">
        <v>64</v>
      </c>
      <c r="E1006" t="s">
        <v>14</v>
      </c>
      <c r="F1006" t="s">
        <v>72</v>
      </c>
      <c r="G1006" t="s">
        <v>54</v>
      </c>
      <c r="H1006" t="s">
        <v>55</v>
      </c>
      <c r="I1006">
        <v>102.2</v>
      </c>
      <c r="J1006">
        <v>102.4</v>
      </c>
      <c r="K1006">
        <v>102.2</v>
      </c>
      <c r="L1006">
        <v>5.8708414872798436</v>
      </c>
    </row>
    <row r="1007" spans="1:12" hidden="1" x14ac:dyDescent="0.25">
      <c r="A1007">
        <v>2019</v>
      </c>
      <c r="B1007" t="s">
        <v>12</v>
      </c>
      <c r="C1007">
        <v>19.89</v>
      </c>
      <c r="D1007" t="s">
        <v>64</v>
      </c>
      <c r="E1007" t="s">
        <v>14</v>
      </c>
      <c r="F1007" t="s">
        <v>72</v>
      </c>
      <c r="G1007" t="s">
        <v>56</v>
      </c>
      <c r="H1007" t="s">
        <v>57</v>
      </c>
      <c r="I1007">
        <v>106.59709315790001</v>
      </c>
      <c r="J1007">
        <v>98.151526954033002</v>
      </c>
      <c r="K1007">
        <v>106.59709315790001</v>
      </c>
      <c r="L1007">
        <v>18.659045393045911</v>
      </c>
    </row>
    <row r="1008" spans="1:12" hidden="1" x14ac:dyDescent="0.25">
      <c r="A1008">
        <v>2019</v>
      </c>
      <c r="B1008" t="s">
        <v>66</v>
      </c>
      <c r="C1008">
        <v>156.32</v>
      </c>
      <c r="D1008" t="s">
        <v>64</v>
      </c>
      <c r="E1008" t="s">
        <v>14</v>
      </c>
      <c r="F1008" t="s">
        <v>72</v>
      </c>
      <c r="G1008" t="s">
        <v>56</v>
      </c>
      <c r="H1008" t="s">
        <v>57</v>
      </c>
      <c r="I1008">
        <v>102.2</v>
      </c>
      <c r="J1008">
        <v>102.4</v>
      </c>
      <c r="K1008">
        <v>102.2</v>
      </c>
      <c r="L1008">
        <v>152.95499021526419</v>
      </c>
    </row>
    <row r="1009" spans="1:12" hidden="1" x14ac:dyDescent="0.25">
      <c r="A1009">
        <v>2019</v>
      </c>
      <c r="B1009" t="s">
        <v>12</v>
      </c>
      <c r="C1009">
        <v>135.04</v>
      </c>
      <c r="D1009" t="s">
        <v>64</v>
      </c>
      <c r="E1009" t="s">
        <v>14</v>
      </c>
      <c r="F1009" t="s">
        <v>72</v>
      </c>
      <c r="G1009" t="s">
        <v>58</v>
      </c>
      <c r="H1009" t="s">
        <v>59</v>
      </c>
      <c r="I1009">
        <v>97.634045562563003</v>
      </c>
      <c r="J1009">
        <v>98.151526954033002</v>
      </c>
      <c r="K1009">
        <v>97.634045562563003</v>
      </c>
      <c r="L1009">
        <v>138.3124085680416</v>
      </c>
    </row>
    <row r="1010" spans="1:12" hidden="1" x14ac:dyDescent="0.25">
      <c r="A1010">
        <v>2019</v>
      </c>
      <c r="B1010" t="s">
        <v>66</v>
      </c>
      <c r="C1010">
        <v>186.03</v>
      </c>
      <c r="D1010" t="s">
        <v>64</v>
      </c>
      <c r="E1010" t="s">
        <v>14</v>
      </c>
      <c r="F1010" t="s">
        <v>72</v>
      </c>
      <c r="G1010" t="s">
        <v>58</v>
      </c>
      <c r="H1010" t="s">
        <v>59</v>
      </c>
      <c r="I1010">
        <v>104.2</v>
      </c>
      <c r="J1010">
        <v>102.4</v>
      </c>
      <c r="K1010">
        <v>104.2</v>
      </c>
      <c r="L1010">
        <v>178.53166986564301</v>
      </c>
    </row>
    <row r="1011" spans="1:12" hidden="1" x14ac:dyDescent="0.25">
      <c r="A1011">
        <v>2019</v>
      </c>
      <c r="B1011" t="s">
        <v>12</v>
      </c>
      <c r="C1011">
        <v>17.899999999999999</v>
      </c>
      <c r="D1011" t="s">
        <v>64</v>
      </c>
      <c r="E1011" t="s">
        <v>14</v>
      </c>
      <c r="F1011" t="s">
        <v>72</v>
      </c>
      <c r="G1011" t="s">
        <v>60</v>
      </c>
      <c r="H1011" t="s">
        <v>61</v>
      </c>
      <c r="J1011">
        <v>98.151526954033002</v>
      </c>
      <c r="K1011">
        <v>98.151526954033002</v>
      </c>
      <c r="L1011">
        <v>18.237108026228722</v>
      </c>
    </row>
    <row r="1012" spans="1:12" hidden="1" x14ac:dyDescent="0.25">
      <c r="A1012">
        <v>2019</v>
      </c>
      <c r="B1012" t="s">
        <v>66</v>
      </c>
      <c r="C1012">
        <v>128.27000000000001</v>
      </c>
      <c r="D1012" t="s">
        <v>64</v>
      </c>
      <c r="E1012" t="s">
        <v>14</v>
      </c>
      <c r="F1012" t="s">
        <v>72</v>
      </c>
      <c r="G1012" t="s">
        <v>60</v>
      </c>
      <c r="H1012" t="s">
        <v>61</v>
      </c>
      <c r="I1012">
        <v>105.5</v>
      </c>
      <c r="J1012">
        <v>102.4</v>
      </c>
      <c r="K1012">
        <v>105.5</v>
      </c>
      <c r="L1012">
        <v>121.58293838862561</v>
      </c>
    </row>
    <row r="1013" spans="1:12" hidden="1" x14ac:dyDescent="0.25">
      <c r="A1013">
        <v>2019</v>
      </c>
      <c r="B1013" t="s">
        <v>12</v>
      </c>
      <c r="C1013">
        <v>471.22</v>
      </c>
      <c r="D1013" t="s">
        <v>64</v>
      </c>
      <c r="E1013" t="s">
        <v>14</v>
      </c>
      <c r="F1013" t="s">
        <v>72</v>
      </c>
      <c r="G1013" t="s">
        <v>62</v>
      </c>
      <c r="H1013" t="s">
        <v>63</v>
      </c>
      <c r="I1013">
        <v>106.59709315790001</v>
      </c>
      <c r="J1013">
        <v>98.151526954033002</v>
      </c>
      <c r="K1013">
        <v>106.59709315790001</v>
      </c>
      <c r="L1013">
        <v>442.05708245907971</v>
      </c>
    </row>
    <row r="1014" spans="1:12" hidden="1" x14ac:dyDescent="0.25">
      <c r="A1014">
        <v>2019</v>
      </c>
      <c r="B1014" t="s">
        <v>12</v>
      </c>
      <c r="C1014">
        <v>266.85000000000002</v>
      </c>
      <c r="D1014" t="s">
        <v>64</v>
      </c>
      <c r="E1014" t="s">
        <v>14</v>
      </c>
      <c r="F1014" t="s">
        <v>72</v>
      </c>
      <c r="G1014" t="s">
        <v>16</v>
      </c>
      <c r="H1014" t="s">
        <v>17</v>
      </c>
      <c r="J1014">
        <v>98.151526954033002</v>
      </c>
      <c r="K1014">
        <v>98.151526954033002</v>
      </c>
      <c r="L1014">
        <v>271.87554618989577</v>
      </c>
    </row>
    <row r="1015" spans="1:12" hidden="1" x14ac:dyDescent="0.25">
      <c r="A1015">
        <v>2018</v>
      </c>
      <c r="B1015" t="s">
        <v>12</v>
      </c>
      <c r="C1015">
        <v>2110</v>
      </c>
      <c r="D1015" t="s">
        <v>64</v>
      </c>
      <c r="E1015" t="s">
        <v>14</v>
      </c>
      <c r="F1015" t="s">
        <v>72</v>
      </c>
      <c r="G1015" t="s">
        <v>18</v>
      </c>
      <c r="H1015" t="s">
        <v>19</v>
      </c>
      <c r="I1015">
        <v>99.999999999999005</v>
      </c>
      <c r="J1015">
        <v>99.999999999999005</v>
      </c>
      <c r="K1015">
        <v>99.999999999999005</v>
      </c>
      <c r="L1015">
        <v>2110.0000000000209</v>
      </c>
    </row>
    <row r="1016" spans="1:12" hidden="1" x14ac:dyDescent="0.25">
      <c r="A1016">
        <v>2018</v>
      </c>
      <c r="B1016" t="s">
        <v>66</v>
      </c>
      <c r="C1016">
        <v>3469.26</v>
      </c>
      <c r="D1016" t="s">
        <v>64</v>
      </c>
      <c r="E1016" t="s">
        <v>14</v>
      </c>
      <c r="F1016" t="s">
        <v>72</v>
      </c>
      <c r="G1016" t="s">
        <v>18</v>
      </c>
      <c r="H1016" t="s">
        <v>19</v>
      </c>
      <c r="I1016">
        <v>100</v>
      </c>
      <c r="J1016">
        <v>100</v>
      </c>
      <c r="K1016">
        <v>100</v>
      </c>
      <c r="L1016">
        <v>3469.26</v>
      </c>
    </row>
    <row r="1017" spans="1:12" hidden="1" x14ac:dyDescent="0.25">
      <c r="A1017">
        <v>2018</v>
      </c>
      <c r="B1017" t="s">
        <v>12</v>
      </c>
      <c r="C1017">
        <v>349.82</v>
      </c>
      <c r="D1017" t="s">
        <v>64</v>
      </c>
      <c r="E1017" t="s">
        <v>14</v>
      </c>
      <c r="F1017" t="s">
        <v>72</v>
      </c>
      <c r="G1017" t="s">
        <v>20</v>
      </c>
      <c r="H1017" t="s">
        <v>21</v>
      </c>
      <c r="I1017">
        <v>100</v>
      </c>
      <c r="J1017">
        <v>99.999999999999005</v>
      </c>
      <c r="K1017">
        <v>100</v>
      </c>
      <c r="L1017">
        <v>349.82</v>
      </c>
    </row>
    <row r="1018" spans="1:12" hidden="1" x14ac:dyDescent="0.25">
      <c r="A1018">
        <v>2018</v>
      </c>
      <c r="B1018" t="s">
        <v>66</v>
      </c>
      <c r="C1018">
        <v>897.55</v>
      </c>
      <c r="D1018" t="s">
        <v>64</v>
      </c>
      <c r="E1018" t="s">
        <v>14</v>
      </c>
      <c r="F1018" t="s">
        <v>72</v>
      </c>
      <c r="G1018" t="s">
        <v>20</v>
      </c>
      <c r="H1018" t="s">
        <v>21</v>
      </c>
      <c r="I1018">
        <v>100</v>
      </c>
      <c r="J1018">
        <v>100</v>
      </c>
      <c r="K1018">
        <v>100</v>
      </c>
      <c r="L1018">
        <v>897.55000000000007</v>
      </c>
    </row>
    <row r="1019" spans="1:12" hidden="1" x14ac:dyDescent="0.25">
      <c r="A1019">
        <v>2018</v>
      </c>
      <c r="B1019" t="s">
        <v>66</v>
      </c>
      <c r="C1019">
        <v>18.829999999999998</v>
      </c>
      <c r="D1019" t="s">
        <v>64</v>
      </c>
      <c r="E1019" t="s">
        <v>14</v>
      </c>
      <c r="F1019" t="s">
        <v>72</v>
      </c>
      <c r="G1019" t="s">
        <v>67</v>
      </c>
      <c r="H1019" t="s">
        <v>68</v>
      </c>
      <c r="I1019">
        <v>100</v>
      </c>
      <c r="J1019">
        <v>100</v>
      </c>
      <c r="K1019">
        <v>100</v>
      </c>
      <c r="L1019">
        <v>18.829999999999998</v>
      </c>
    </row>
    <row r="1020" spans="1:12" hidden="1" x14ac:dyDescent="0.25">
      <c r="A1020">
        <v>2018</v>
      </c>
      <c r="B1020" t="s">
        <v>12</v>
      </c>
      <c r="C1020">
        <v>72.89</v>
      </c>
      <c r="D1020" t="s">
        <v>64</v>
      </c>
      <c r="E1020" t="s">
        <v>14</v>
      </c>
      <c r="F1020" t="s">
        <v>72</v>
      </c>
      <c r="G1020" t="s">
        <v>22</v>
      </c>
      <c r="H1020" t="s">
        <v>23</v>
      </c>
      <c r="I1020">
        <v>99.999999999999005</v>
      </c>
      <c r="J1020">
        <v>99.999999999999005</v>
      </c>
      <c r="K1020">
        <v>99.999999999999005</v>
      </c>
      <c r="L1020">
        <v>72.890000000000725</v>
      </c>
    </row>
    <row r="1021" spans="1:12" hidden="1" x14ac:dyDescent="0.25">
      <c r="A1021">
        <v>2018</v>
      </c>
      <c r="B1021" t="s">
        <v>66</v>
      </c>
      <c r="C1021">
        <v>1905.09</v>
      </c>
      <c r="D1021" t="s">
        <v>64</v>
      </c>
      <c r="E1021" t="s">
        <v>14</v>
      </c>
      <c r="F1021" t="s">
        <v>72</v>
      </c>
      <c r="G1021" t="s">
        <v>22</v>
      </c>
      <c r="H1021" t="s">
        <v>23</v>
      </c>
      <c r="I1021">
        <v>100</v>
      </c>
      <c r="J1021">
        <v>100</v>
      </c>
      <c r="K1021">
        <v>100</v>
      </c>
      <c r="L1021">
        <v>1905.09</v>
      </c>
    </row>
    <row r="1022" spans="1:12" hidden="1" x14ac:dyDescent="0.25">
      <c r="A1022">
        <v>2018</v>
      </c>
      <c r="B1022" t="s">
        <v>12</v>
      </c>
      <c r="C1022">
        <v>74.069999999999993</v>
      </c>
      <c r="D1022" t="s">
        <v>64</v>
      </c>
      <c r="E1022" t="s">
        <v>14</v>
      </c>
      <c r="F1022" t="s">
        <v>72</v>
      </c>
      <c r="G1022" t="s">
        <v>24</v>
      </c>
      <c r="H1022" t="s">
        <v>25</v>
      </c>
      <c r="I1022">
        <v>99.999999999999005</v>
      </c>
      <c r="J1022">
        <v>99.999999999999005</v>
      </c>
      <c r="K1022">
        <v>99.999999999999005</v>
      </c>
      <c r="L1022">
        <v>74.070000000000732</v>
      </c>
    </row>
    <row r="1023" spans="1:12" hidden="1" x14ac:dyDescent="0.25">
      <c r="A1023">
        <v>2018</v>
      </c>
      <c r="B1023" t="s">
        <v>66</v>
      </c>
      <c r="C1023">
        <v>725.57</v>
      </c>
      <c r="D1023" t="s">
        <v>64</v>
      </c>
      <c r="E1023" t="s">
        <v>14</v>
      </c>
      <c r="F1023" t="s">
        <v>72</v>
      </c>
      <c r="G1023" t="s">
        <v>24</v>
      </c>
      <c r="H1023" t="s">
        <v>25</v>
      </c>
      <c r="I1023">
        <v>100</v>
      </c>
      <c r="J1023">
        <v>100</v>
      </c>
      <c r="K1023">
        <v>100</v>
      </c>
      <c r="L1023">
        <v>725.57</v>
      </c>
    </row>
    <row r="1024" spans="1:12" hidden="1" x14ac:dyDescent="0.25">
      <c r="A1024">
        <v>2018</v>
      </c>
      <c r="B1024" t="s">
        <v>12</v>
      </c>
      <c r="C1024">
        <v>84.01</v>
      </c>
      <c r="D1024" t="s">
        <v>64</v>
      </c>
      <c r="E1024" t="s">
        <v>14</v>
      </c>
      <c r="F1024" t="s">
        <v>72</v>
      </c>
      <c r="G1024" t="s">
        <v>26</v>
      </c>
      <c r="H1024" t="s">
        <v>27</v>
      </c>
      <c r="I1024">
        <v>99.999999999999005</v>
      </c>
      <c r="J1024">
        <v>99.999999999999005</v>
      </c>
      <c r="K1024">
        <v>99.999999999999005</v>
      </c>
      <c r="L1024">
        <v>84.010000000000844</v>
      </c>
    </row>
    <row r="1025" spans="1:12" hidden="1" x14ac:dyDescent="0.25">
      <c r="A1025">
        <v>2018</v>
      </c>
      <c r="B1025" t="s">
        <v>66</v>
      </c>
      <c r="C1025">
        <v>398.27</v>
      </c>
      <c r="D1025" t="s">
        <v>64</v>
      </c>
      <c r="E1025" t="s">
        <v>14</v>
      </c>
      <c r="F1025" t="s">
        <v>72</v>
      </c>
      <c r="G1025" t="s">
        <v>26</v>
      </c>
      <c r="H1025" t="s">
        <v>27</v>
      </c>
      <c r="I1025">
        <v>100</v>
      </c>
      <c r="J1025">
        <v>100</v>
      </c>
      <c r="K1025">
        <v>100</v>
      </c>
      <c r="L1025">
        <v>398.27</v>
      </c>
    </row>
    <row r="1026" spans="1:12" hidden="1" x14ac:dyDescent="0.25">
      <c r="A1026">
        <v>2018</v>
      </c>
      <c r="B1026" t="s">
        <v>12</v>
      </c>
      <c r="C1026">
        <v>422</v>
      </c>
      <c r="D1026" t="s">
        <v>64</v>
      </c>
      <c r="E1026" t="s">
        <v>14</v>
      </c>
      <c r="F1026" t="s">
        <v>72</v>
      </c>
      <c r="G1026" t="s">
        <v>28</v>
      </c>
      <c r="H1026" t="s">
        <v>29</v>
      </c>
      <c r="I1026">
        <v>100</v>
      </c>
      <c r="J1026">
        <v>99.999999999999005</v>
      </c>
      <c r="K1026">
        <v>100</v>
      </c>
      <c r="L1026">
        <v>422</v>
      </c>
    </row>
    <row r="1027" spans="1:12" hidden="1" x14ac:dyDescent="0.25">
      <c r="A1027">
        <v>2018</v>
      </c>
      <c r="B1027" t="s">
        <v>66</v>
      </c>
      <c r="C1027">
        <v>179.68</v>
      </c>
      <c r="D1027" t="s">
        <v>64</v>
      </c>
      <c r="E1027" t="s">
        <v>14</v>
      </c>
      <c r="F1027" t="s">
        <v>72</v>
      </c>
      <c r="G1027" t="s">
        <v>28</v>
      </c>
      <c r="H1027" t="s">
        <v>29</v>
      </c>
      <c r="I1027">
        <v>100</v>
      </c>
      <c r="J1027">
        <v>100</v>
      </c>
      <c r="K1027">
        <v>100</v>
      </c>
      <c r="L1027">
        <v>179.68</v>
      </c>
    </row>
    <row r="1028" spans="1:12" hidden="1" x14ac:dyDescent="0.25">
      <c r="A1028">
        <v>2018</v>
      </c>
      <c r="B1028" t="s">
        <v>12</v>
      </c>
      <c r="C1028">
        <v>439.34</v>
      </c>
      <c r="D1028" t="s">
        <v>64</v>
      </c>
      <c r="E1028" t="s">
        <v>14</v>
      </c>
      <c r="F1028" t="s">
        <v>72</v>
      </c>
      <c r="G1028" t="s">
        <v>30</v>
      </c>
      <c r="H1028" t="s">
        <v>31</v>
      </c>
      <c r="I1028">
        <v>99.999999999999005</v>
      </c>
      <c r="J1028">
        <v>99.999999999999005</v>
      </c>
      <c r="K1028">
        <v>99.999999999999005</v>
      </c>
      <c r="L1028">
        <v>439.34000000000441</v>
      </c>
    </row>
    <row r="1029" spans="1:12" hidden="1" x14ac:dyDescent="0.25">
      <c r="A1029">
        <v>2018</v>
      </c>
      <c r="B1029" t="s">
        <v>66</v>
      </c>
      <c r="C1029">
        <v>687.78</v>
      </c>
      <c r="D1029" t="s">
        <v>64</v>
      </c>
      <c r="E1029" t="s">
        <v>14</v>
      </c>
      <c r="F1029" t="s">
        <v>72</v>
      </c>
      <c r="G1029" t="s">
        <v>30</v>
      </c>
      <c r="H1029" t="s">
        <v>31</v>
      </c>
      <c r="I1029">
        <v>100</v>
      </c>
      <c r="J1029">
        <v>100</v>
      </c>
      <c r="K1029">
        <v>100</v>
      </c>
      <c r="L1029">
        <v>687.78</v>
      </c>
    </row>
    <row r="1030" spans="1:12" hidden="1" x14ac:dyDescent="0.25">
      <c r="A1030">
        <v>2018</v>
      </c>
      <c r="B1030" t="s">
        <v>12</v>
      </c>
      <c r="C1030">
        <v>212.82</v>
      </c>
      <c r="D1030" t="s">
        <v>64</v>
      </c>
      <c r="E1030" t="s">
        <v>14</v>
      </c>
      <c r="F1030" t="s">
        <v>72</v>
      </c>
      <c r="G1030" t="s">
        <v>32</v>
      </c>
      <c r="H1030" t="s">
        <v>33</v>
      </c>
      <c r="I1030">
        <v>99.999999999999005</v>
      </c>
      <c r="J1030">
        <v>99.999999999999005</v>
      </c>
      <c r="K1030">
        <v>99.999999999999005</v>
      </c>
      <c r="L1030">
        <v>212.8200000000021</v>
      </c>
    </row>
    <row r="1031" spans="1:12" hidden="1" x14ac:dyDescent="0.25">
      <c r="A1031">
        <v>2018</v>
      </c>
      <c r="B1031" t="s">
        <v>66</v>
      </c>
      <c r="C1031">
        <v>119.62</v>
      </c>
      <c r="D1031" t="s">
        <v>64</v>
      </c>
      <c r="E1031" t="s">
        <v>14</v>
      </c>
      <c r="F1031" t="s">
        <v>72</v>
      </c>
      <c r="G1031" t="s">
        <v>32</v>
      </c>
      <c r="H1031" t="s">
        <v>33</v>
      </c>
      <c r="I1031">
        <v>100</v>
      </c>
      <c r="J1031">
        <v>100</v>
      </c>
      <c r="K1031">
        <v>100</v>
      </c>
      <c r="L1031">
        <v>119.62</v>
      </c>
    </row>
    <row r="1032" spans="1:12" hidden="1" x14ac:dyDescent="0.25">
      <c r="A1032">
        <v>2018</v>
      </c>
      <c r="B1032" t="s">
        <v>12</v>
      </c>
      <c r="C1032">
        <v>1.1399999999999999</v>
      </c>
      <c r="D1032" t="s">
        <v>64</v>
      </c>
      <c r="E1032" t="s">
        <v>14</v>
      </c>
      <c r="F1032" t="s">
        <v>72</v>
      </c>
      <c r="G1032" t="s">
        <v>34</v>
      </c>
      <c r="H1032" t="s">
        <v>35</v>
      </c>
      <c r="I1032">
        <v>99.999999999999005</v>
      </c>
      <c r="J1032">
        <v>99.999999999999005</v>
      </c>
      <c r="K1032">
        <v>99.999999999999005</v>
      </c>
      <c r="L1032">
        <v>1.140000000000011</v>
      </c>
    </row>
    <row r="1033" spans="1:12" hidden="1" x14ac:dyDescent="0.25">
      <c r="A1033">
        <v>2018</v>
      </c>
      <c r="B1033" t="s">
        <v>66</v>
      </c>
      <c r="C1033">
        <v>670.44</v>
      </c>
      <c r="D1033" t="s">
        <v>64</v>
      </c>
      <c r="E1033" t="s">
        <v>14</v>
      </c>
      <c r="F1033" t="s">
        <v>72</v>
      </c>
      <c r="G1033" t="s">
        <v>34</v>
      </c>
      <c r="H1033" t="s">
        <v>35</v>
      </c>
      <c r="I1033">
        <v>100</v>
      </c>
      <c r="J1033">
        <v>100</v>
      </c>
      <c r="K1033">
        <v>100</v>
      </c>
      <c r="L1033">
        <v>670.44</v>
      </c>
    </row>
    <row r="1034" spans="1:12" hidden="1" x14ac:dyDescent="0.25">
      <c r="A1034">
        <v>2018</v>
      </c>
      <c r="B1034" t="s">
        <v>12</v>
      </c>
      <c r="C1034">
        <v>2188.2600000000002</v>
      </c>
      <c r="D1034" t="s">
        <v>64</v>
      </c>
      <c r="E1034" t="s">
        <v>14</v>
      </c>
      <c r="F1034" t="s">
        <v>72</v>
      </c>
      <c r="G1034" t="s">
        <v>36</v>
      </c>
      <c r="H1034" t="s">
        <v>37</v>
      </c>
      <c r="I1034">
        <v>99.999999999999005</v>
      </c>
      <c r="J1034">
        <v>99.999999999999005</v>
      </c>
      <c r="K1034">
        <v>99.999999999999005</v>
      </c>
      <c r="L1034">
        <v>2188.260000000022</v>
      </c>
    </row>
    <row r="1035" spans="1:12" hidden="1" x14ac:dyDescent="0.25">
      <c r="A1035">
        <v>2018</v>
      </c>
      <c r="B1035" t="s">
        <v>66</v>
      </c>
      <c r="C1035">
        <v>2208.13</v>
      </c>
      <c r="D1035" t="s">
        <v>64</v>
      </c>
      <c r="E1035" t="s">
        <v>14</v>
      </c>
      <c r="F1035" t="s">
        <v>72</v>
      </c>
      <c r="G1035" t="s">
        <v>36</v>
      </c>
      <c r="H1035" t="s">
        <v>37</v>
      </c>
      <c r="I1035">
        <v>100</v>
      </c>
      <c r="J1035">
        <v>100</v>
      </c>
      <c r="K1035">
        <v>100</v>
      </c>
      <c r="L1035">
        <v>2208.13</v>
      </c>
    </row>
    <row r="1036" spans="1:12" hidden="1" x14ac:dyDescent="0.25">
      <c r="A1036">
        <v>2018</v>
      </c>
      <c r="B1036" t="s">
        <v>12</v>
      </c>
      <c r="C1036">
        <v>265.83</v>
      </c>
      <c r="D1036" t="s">
        <v>64</v>
      </c>
      <c r="E1036" t="s">
        <v>14</v>
      </c>
      <c r="F1036" t="s">
        <v>72</v>
      </c>
      <c r="G1036" t="s">
        <v>38</v>
      </c>
      <c r="H1036" t="s">
        <v>39</v>
      </c>
      <c r="I1036">
        <v>99.999999999999005</v>
      </c>
      <c r="J1036">
        <v>99.999999999999005</v>
      </c>
      <c r="K1036">
        <v>99.999999999999005</v>
      </c>
      <c r="L1036">
        <v>265.83000000000271</v>
      </c>
    </row>
    <row r="1037" spans="1:12" hidden="1" x14ac:dyDescent="0.25">
      <c r="A1037">
        <v>2018</v>
      </c>
      <c r="B1037" t="s">
        <v>66</v>
      </c>
      <c r="C1037">
        <v>708.4</v>
      </c>
      <c r="D1037" t="s">
        <v>64</v>
      </c>
      <c r="E1037" t="s">
        <v>14</v>
      </c>
      <c r="F1037" t="s">
        <v>72</v>
      </c>
      <c r="G1037" t="s">
        <v>38</v>
      </c>
      <c r="H1037" t="s">
        <v>39</v>
      </c>
      <c r="I1037">
        <v>100</v>
      </c>
      <c r="J1037">
        <v>100</v>
      </c>
      <c r="K1037">
        <v>100</v>
      </c>
      <c r="L1037">
        <v>708.4</v>
      </c>
    </row>
    <row r="1038" spans="1:12" hidden="1" x14ac:dyDescent="0.25">
      <c r="A1038">
        <v>2018</v>
      </c>
      <c r="B1038" t="s">
        <v>12</v>
      </c>
      <c r="C1038">
        <v>420.66</v>
      </c>
      <c r="D1038" t="s">
        <v>64</v>
      </c>
      <c r="E1038" t="s">
        <v>14</v>
      </c>
      <c r="F1038" t="s">
        <v>72</v>
      </c>
      <c r="G1038" t="s">
        <v>40</v>
      </c>
      <c r="H1038" t="s">
        <v>41</v>
      </c>
      <c r="I1038">
        <v>99.999999999999005</v>
      </c>
      <c r="J1038">
        <v>99.999999999999005</v>
      </c>
      <c r="K1038">
        <v>99.999999999999005</v>
      </c>
      <c r="L1038">
        <v>420.66000000000417</v>
      </c>
    </row>
    <row r="1039" spans="1:12" hidden="1" x14ac:dyDescent="0.25">
      <c r="A1039">
        <v>2018</v>
      </c>
      <c r="B1039" t="s">
        <v>66</v>
      </c>
      <c r="C1039">
        <v>1773.62</v>
      </c>
      <c r="D1039" t="s">
        <v>64</v>
      </c>
      <c r="E1039" t="s">
        <v>14</v>
      </c>
      <c r="F1039" t="s">
        <v>72</v>
      </c>
      <c r="G1039" t="s">
        <v>40</v>
      </c>
      <c r="H1039" t="s">
        <v>41</v>
      </c>
      <c r="I1039">
        <v>100</v>
      </c>
      <c r="J1039">
        <v>100</v>
      </c>
      <c r="K1039">
        <v>100</v>
      </c>
      <c r="L1039">
        <v>1773.62</v>
      </c>
    </row>
    <row r="1040" spans="1:12" hidden="1" x14ac:dyDescent="0.25">
      <c r="A1040">
        <v>2018</v>
      </c>
      <c r="B1040" t="s">
        <v>12</v>
      </c>
      <c r="C1040">
        <v>358.05</v>
      </c>
      <c r="D1040" t="s">
        <v>64</v>
      </c>
      <c r="E1040" t="s">
        <v>14</v>
      </c>
      <c r="F1040" t="s">
        <v>72</v>
      </c>
      <c r="G1040" t="s">
        <v>42</v>
      </c>
      <c r="H1040" t="s">
        <v>43</v>
      </c>
      <c r="I1040">
        <v>99.999999999999005</v>
      </c>
      <c r="J1040">
        <v>99.999999999999005</v>
      </c>
      <c r="K1040">
        <v>99.999999999999005</v>
      </c>
      <c r="L1040">
        <v>358.05000000000359</v>
      </c>
    </row>
    <row r="1041" spans="1:12" hidden="1" x14ac:dyDescent="0.25">
      <c r="A1041">
        <v>2018</v>
      </c>
      <c r="B1041" t="s">
        <v>66</v>
      </c>
      <c r="C1041">
        <v>1612.87</v>
      </c>
      <c r="D1041" t="s">
        <v>64</v>
      </c>
      <c r="E1041" t="s">
        <v>14</v>
      </c>
      <c r="F1041" t="s">
        <v>72</v>
      </c>
      <c r="G1041" t="s">
        <v>42</v>
      </c>
      <c r="H1041" t="s">
        <v>43</v>
      </c>
      <c r="I1041">
        <v>100</v>
      </c>
      <c r="J1041">
        <v>100</v>
      </c>
      <c r="K1041">
        <v>100</v>
      </c>
      <c r="L1041">
        <v>1612.87</v>
      </c>
    </row>
    <row r="1042" spans="1:12" hidden="1" x14ac:dyDescent="0.25">
      <c r="A1042">
        <v>2018</v>
      </c>
      <c r="B1042" t="s">
        <v>12</v>
      </c>
      <c r="C1042">
        <v>146.72999999999999</v>
      </c>
      <c r="D1042" t="s">
        <v>64</v>
      </c>
      <c r="E1042" t="s">
        <v>14</v>
      </c>
      <c r="F1042" t="s">
        <v>72</v>
      </c>
      <c r="G1042" t="s">
        <v>44</v>
      </c>
      <c r="H1042" t="s">
        <v>45</v>
      </c>
      <c r="I1042">
        <v>99.999999999999005</v>
      </c>
      <c r="J1042">
        <v>99.999999999999005</v>
      </c>
      <c r="K1042">
        <v>99.999999999999005</v>
      </c>
      <c r="L1042">
        <v>146.73000000000141</v>
      </c>
    </row>
    <row r="1043" spans="1:12" hidden="1" x14ac:dyDescent="0.25">
      <c r="A1043">
        <v>2018</v>
      </c>
      <c r="B1043" t="s">
        <v>66</v>
      </c>
      <c r="C1043">
        <v>1302.51</v>
      </c>
      <c r="D1043" t="s">
        <v>64</v>
      </c>
      <c r="E1043" t="s">
        <v>14</v>
      </c>
      <c r="F1043" t="s">
        <v>72</v>
      </c>
      <c r="G1043" t="s">
        <v>44</v>
      </c>
      <c r="H1043" t="s">
        <v>45</v>
      </c>
      <c r="I1043">
        <v>100</v>
      </c>
      <c r="J1043">
        <v>100</v>
      </c>
      <c r="K1043">
        <v>100</v>
      </c>
      <c r="L1043">
        <v>1302.51</v>
      </c>
    </row>
    <row r="1044" spans="1:12" hidden="1" x14ac:dyDescent="0.25">
      <c r="A1044">
        <v>2018</v>
      </c>
      <c r="B1044" t="s">
        <v>12</v>
      </c>
      <c r="C1044">
        <v>1006.27</v>
      </c>
      <c r="D1044" t="s">
        <v>64</v>
      </c>
      <c r="E1044" t="s">
        <v>14</v>
      </c>
      <c r="F1044" t="s">
        <v>72</v>
      </c>
      <c r="G1044" t="s">
        <v>46</v>
      </c>
      <c r="H1044" t="s">
        <v>47</v>
      </c>
      <c r="I1044">
        <v>100</v>
      </c>
      <c r="J1044">
        <v>99.999999999999005</v>
      </c>
      <c r="K1044">
        <v>100</v>
      </c>
      <c r="L1044">
        <v>1006.27</v>
      </c>
    </row>
    <row r="1045" spans="1:12" hidden="1" x14ac:dyDescent="0.25">
      <c r="A1045">
        <v>2018</v>
      </c>
      <c r="B1045" t="s">
        <v>66</v>
      </c>
      <c r="C1045">
        <v>1727.79</v>
      </c>
      <c r="D1045" t="s">
        <v>64</v>
      </c>
      <c r="E1045" t="s">
        <v>14</v>
      </c>
      <c r="F1045" t="s">
        <v>72</v>
      </c>
      <c r="G1045" t="s">
        <v>46</v>
      </c>
      <c r="H1045" t="s">
        <v>47</v>
      </c>
      <c r="I1045">
        <v>100</v>
      </c>
      <c r="J1045">
        <v>100</v>
      </c>
      <c r="K1045">
        <v>100</v>
      </c>
      <c r="L1045">
        <v>1727.79</v>
      </c>
    </row>
    <row r="1046" spans="1:12" hidden="1" x14ac:dyDescent="0.25">
      <c r="A1046">
        <v>2018</v>
      </c>
      <c r="B1046" t="s">
        <v>12</v>
      </c>
      <c r="C1046">
        <v>55.69</v>
      </c>
      <c r="D1046" t="s">
        <v>64</v>
      </c>
      <c r="E1046" t="s">
        <v>14</v>
      </c>
      <c r="F1046" t="s">
        <v>72</v>
      </c>
      <c r="G1046" t="s">
        <v>48</v>
      </c>
      <c r="H1046" t="s">
        <v>49</v>
      </c>
      <c r="I1046">
        <v>100</v>
      </c>
      <c r="J1046">
        <v>99.999999999999005</v>
      </c>
      <c r="K1046">
        <v>100</v>
      </c>
      <c r="L1046">
        <v>55.69</v>
      </c>
    </row>
    <row r="1047" spans="1:12" hidden="1" x14ac:dyDescent="0.25">
      <c r="A1047">
        <v>2018</v>
      </c>
      <c r="B1047" t="s">
        <v>66</v>
      </c>
      <c r="C1047">
        <v>3193.1</v>
      </c>
      <c r="D1047" t="s">
        <v>64</v>
      </c>
      <c r="E1047" t="s">
        <v>14</v>
      </c>
      <c r="F1047" t="s">
        <v>72</v>
      </c>
      <c r="G1047" t="s">
        <v>48</v>
      </c>
      <c r="H1047" t="s">
        <v>49</v>
      </c>
      <c r="I1047">
        <v>100</v>
      </c>
      <c r="J1047">
        <v>100</v>
      </c>
      <c r="K1047">
        <v>100</v>
      </c>
      <c r="L1047">
        <v>3193.1</v>
      </c>
    </row>
    <row r="1048" spans="1:12" hidden="1" x14ac:dyDescent="0.25">
      <c r="A1048">
        <v>2018</v>
      </c>
      <c r="B1048" t="s">
        <v>12</v>
      </c>
      <c r="C1048">
        <v>178.64</v>
      </c>
      <c r="D1048" t="s">
        <v>64</v>
      </c>
      <c r="E1048" t="s">
        <v>14</v>
      </c>
      <c r="F1048" t="s">
        <v>72</v>
      </c>
      <c r="G1048" t="s">
        <v>50</v>
      </c>
      <c r="H1048" t="s">
        <v>51</v>
      </c>
      <c r="I1048">
        <v>100</v>
      </c>
      <c r="J1048">
        <v>99.999999999999005</v>
      </c>
      <c r="K1048">
        <v>100</v>
      </c>
      <c r="L1048">
        <v>178.64</v>
      </c>
    </row>
    <row r="1049" spans="1:12" hidden="1" x14ac:dyDescent="0.25">
      <c r="A1049">
        <v>2018</v>
      </c>
      <c r="B1049" t="s">
        <v>66</v>
      </c>
      <c r="C1049">
        <v>4264.76</v>
      </c>
      <c r="D1049" t="s">
        <v>64</v>
      </c>
      <c r="E1049" t="s">
        <v>14</v>
      </c>
      <c r="F1049" t="s">
        <v>72</v>
      </c>
      <c r="G1049" t="s">
        <v>50</v>
      </c>
      <c r="H1049" t="s">
        <v>51</v>
      </c>
      <c r="I1049">
        <v>100</v>
      </c>
      <c r="J1049">
        <v>100</v>
      </c>
      <c r="K1049">
        <v>100</v>
      </c>
      <c r="L1049">
        <v>4264.76</v>
      </c>
    </row>
    <row r="1050" spans="1:12" hidden="1" x14ac:dyDescent="0.25">
      <c r="A1050">
        <v>2018</v>
      </c>
      <c r="B1050" t="s">
        <v>12</v>
      </c>
      <c r="C1050">
        <v>299.83</v>
      </c>
      <c r="D1050" t="s">
        <v>64</v>
      </c>
      <c r="E1050" t="s">
        <v>14</v>
      </c>
      <c r="F1050" t="s">
        <v>72</v>
      </c>
      <c r="G1050" t="s">
        <v>52</v>
      </c>
      <c r="H1050" t="s">
        <v>53</v>
      </c>
      <c r="I1050">
        <v>100</v>
      </c>
      <c r="J1050">
        <v>99.999999999999005</v>
      </c>
      <c r="K1050">
        <v>100</v>
      </c>
      <c r="L1050">
        <v>299.83</v>
      </c>
    </row>
    <row r="1051" spans="1:12" hidden="1" x14ac:dyDescent="0.25">
      <c r="A1051">
        <v>2018</v>
      </c>
      <c r="B1051" t="s">
        <v>66</v>
      </c>
      <c r="C1051">
        <v>3742.68</v>
      </c>
      <c r="D1051" t="s">
        <v>64</v>
      </c>
      <c r="E1051" t="s">
        <v>14</v>
      </c>
      <c r="F1051" t="s">
        <v>72</v>
      </c>
      <c r="G1051" t="s">
        <v>52</v>
      </c>
      <c r="H1051" t="s">
        <v>53</v>
      </c>
      <c r="I1051">
        <v>100</v>
      </c>
      <c r="J1051">
        <v>100</v>
      </c>
      <c r="K1051">
        <v>100</v>
      </c>
      <c r="L1051">
        <v>3742.68</v>
      </c>
    </row>
    <row r="1052" spans="1:12" hidden="1" x14ac:dyDescent="0.25">
      <c r="A1052">
        <v>2018</v>
      </c>
      <c r="B1052" t="s">
        <v>12</v>
      </c>
      <c r="C1052">
        <v>7</v>
      </c>
      <c r="D1052" t="s">
        <v>64</v>
      </c>
      <c r="E1052" t="s">
        <v>14</v>
      </c>
      <c r="F1052" t="s">
        <v>72</v>
      </c>
      <c r="G1052" t="s">
        <v>54</v>
      </c>
      <c r="H1052" t="s">
        <v>55</v>
      </c>
      <c r="I1052">
        <v>100</v>
      </c>
      <c r="J1052">
        <v>99.999999999999005</v>
      </c>
      <c r="K1052">
        <v>100</v>
      </c>
      <c r="L1052">
        <v>7.0000000000000009</v>
      </c>
    </row>
    <row r="1053" spans="1:12" hidden="1" x14ac:dyDescent="0.25">
      <c r="A1053">
        <v>2018</v>
      </c>
      <c r="B1053" t="s">
        <v>66</v>
      </c>
      <c r="C1053">
        <v>6</v>
      </c>
      <c r="D1053" t="s">
        <v>64</v>
      </c>
      <c r="E1053" t="s">
        <v>14</v>
      </c>
      <c r="F1053" t="s">
        <v>72</v>
      </c>
      <c r="G1053" t="s">
        <v>54</v>
      </c>
      <c r="H1053" t="s">
        <v>55</v>
      </c>
      <c r="I1053">
        <v>100</v>
      </c>
      <c r="J1053">
        <v>100</v>
      </c>
      <c r="K1053">
        <v>100</v>
      </c>
      <c r="L1053">
        <v>6</v>
      </c>
    </row>
    <row r="1054" spans="1:12" hidden="1" x14ac:dyDescent="0.25">
      <c r="A1054">
        <v>2018</v>
      </c>
      <c r="B1054" t="s">
        <v>12</v>
      </c>
      <c r="C1054">
        <v>12.22</v>
      </c>
      <c r="D1054" t="s">
        <v>64</v>
      </c>
      <c r="E1054" t="s">
        <v>14</v>
      </c>
      <c r="F1054" t="s">
        <v>72</v>
      </c>
      <c r="G1054" t="s">
        <v>56</v>
      </c>
      <c r="H1054" t="s">
        <v>57</v>
      </c>
      <c r="I1054">
        <v>100</v>
      </c>
      <c r="J1054">
        <v>99.999999999999005</v>
      </c>
      <c r="K1054">
        <v>100</v>
      </c>
      <c r="L1054">
        <v>12.22</v>
      </c>
    </row>
    <row r="1055" spans="1:12" hidden="1" x14ac:dyDescent="0.25">
      <c r="A1055">
        <v>2018</v>
      </c>
      <c r="B1055" t="s">
        <v>66</v>
      </c>
      <c r="C1055">
        <v>129.53</v>
      </c>
      <c r="D1055" t="s">
        <v>64</v>
      </c>
      <c r="E1055" t="s">
        <v>14</v>
      </c>
      <c r="F1055" t="s">
        <v>72</v>
      </c>
      <c r="G1055" t="s">
        <v>56</v>
      </c>
      <c r="H1055" t="s">
        <v>57</v>
      </c>
      <c r="I1055">
        <v>100</v>
      </c>
      <c r="J1055">
        <v>100</v>
      </c>
      <c r="K1055">
        <v>100</v>
      </c>
      <c r="L1055">
        <v>129.53</v>
      </c>
    </row>
    <row r="1056" spans="1:12" hidden="1" x14ac:dyDescent="0.25">
      <c r="A1056">
        <v>2018</v>
      </c>
      <c r="B1056" t="s">
        <v>12</v>
      </c>
      <c r="C1056">
        <v>152.96</v>
      </c>
      <c r="D1056" t="s">
        <v>64</v>
      </c>
      <c r="E1056" t="s">
        <v>14</v>
      </c>
      <c r="F1056" t="s">
        <v>72</v>
      </c>
      <c r="G1056" t="s">
        <v>58</v>
      </c>
      <c r="H1056" t="s">
        <v>59</v>
      </c>
      <c r="I1056">
        <v>100</v>
      </c>
      <c r="J1056">
        <v>99.999999999999005</v>
      </c>
      <c r="K1056">
        <v>100</v>
      </c>
      <c r="L1056">
        <v>152.96</v>
      </c>
    </row>
    <row r="1057" spans="1:12" hidden="1" x14ac:dyDescent="0.25">
      <c r="A1057">
        <v>2018</v>
      </c>
      <c r="B1057" t="s">
        <v>66</v>
      </c>
      <c r="C1057">
        <v>180</v>
      </c>
      <c r="D1057" t="s">
        <v>64</v>
      </c>
      <c r="E1057" t="s">
        <v>14</v>
      </c>
      <c r="F1057" t="s">
        <v>72</v>
      </c>
      <c r="G1057" t="s">
        <v>58</v>
      </c>
      <c r="H1057" t="s">
        <v>59</v>
      </c>
      <c r="I1057">
        <v>100</v>
      </c>
      <c r="J1057">
        <v>100</v>
      </c>
      <c r="K1057">
        <v>100</v>
      </c>
      <c r="L1057">
        <v>180</v>
      </c>
    </row>
    <row r="1058" spans="1:12" hidden="1" x14ac:dyDescent="0.25">
      <c r="A1058">
        <v>2018</v>
      </c>
      <c r="B1058" t="s">
        <v>12</v>
      </c>
      <c r="C1058">
        <v>17.07</v>
      </c>
      <c r="D1058" t="s">
        <v>64</v>
      </c>
      <c r="E1058" t="s">
        <v>14</v>
      </c>
      <c r="F1058" t="s">
        <v>72</v>
      </c>
      <c r="G1058" t="s">
        <v>60</v>
      </c>
      <c r="H1058" t="s">
        <v>61</v>
      </c>
      <c r="J1058">
        <v>99.999999999999005</v>
      </c>
      <c r="K1058">
        <v>99.999999999999005</v>
      </c>
      <c r="L1058">
        <v>17.070000000000171</v>
      </c>
    </row>
    <row r="1059" spans="1:12" hidden="1" x14ac:dyDescent="0.25">
      <c r="A1059">
        <v>2018</v>
      </c>
      <c r="B1059" t="s">
        <v>66</v>
      </c>
      <c r="C1059">
        <v>113.97</v>
      </c>
      <c r="D1059" t="s">
        <v>64</v>
      </c>
      <c r="E1059" t="s">
        <v>14</v>
      </c>
      <c r="F1059" t="s">
        <v>72</v>
      </c>
      <c r="G1059" t="s">
        <v>60</v>
      </c>
      <c r="H1059" t="s">
        <v>61</v>
      </c>
      <c r="I1059">
        <v>100</v>
      </c>
      <c r="J1059">
        <v>100</v>
      </c>
      <c r="K1059">
        <v>100</v>
      </c>
      <c r="L1059">
        <v>113.97</v>
      </c>
    </row>
    <row r="1060" spans="1:12" hidden="1" x14ac:dyDescent="0.25">
      <c r="A1060">
        <v>2018</v>
      </c>
      <c r="B1060" t="s">
        <v>12</v>
      </c>
      <c r="C1060">
        <v>483.94</v>
      </c>
      <c r="D1060" t="s">
        <v>64</v>
      </c>
      <c r="E1060" t="s">
        <v>14</v>
      </c>
      <c r="F1060" t="s">
        <v>72</v>
      </c>
      <c r="G1060" t="s">
        <v>62</v>
      </c>
      <c r="H1060" t="s">
        <v>63</v>
      </c>
      <c r="I1060">
        <v>100</v>
      </c>
      <c r="J1060">
        <v>99.999999999999005</v>
      </c>
      <c r="K1060">
        <v>100</v>
      </c>
      <c r="L1060">
        <v>483.94000000000011</v>
      </c>
    </row>
    <row r="1061" spans="1:12" hidden="1" x14ac:dyDescent="0.25">
      <c r="A1061">
        <v>2018</v>
      </c>
      <c r="B1061" t="s">
        <v>12</v>
      </c>
      <c r="C1061">
        <v>6.02</v>
      </c>
      <c r="D1061" t="s">
        <v>64</v>
      </c>
      <c r="E1061" t="s">
        <v>14</v>
      </c>
      <c r="F1061" t="s">
        <v>72</v>
      </c>
      <c r="G1061" t="s">
        <v>16</v>
      </c>
      <c r="H1061" t="s">
        <v>17</v>
      </c>
      <c r="J1061">
        <v>99.999999999999005</v>
      </c>
      <c r="K1061">
        <v>99.999999999999005</v>
      </c>
      <c r="L1061">
        <v>6.0200000000000591</v>
      </c>
    </row>
    <row r="1062" spans="1:12" hidden="1" x14ac:dyDescent="0.25">
      <c r="A1062">
        <v>2017</v>
      </c>
      <c r="B1062" t="s">
        <v>12</v>
      </c>
      <c r="C1062">
        <v>1855.75</v>
      </c>
      <c r="D1062" t="s">
        <v>64</v>
      </c>
      <c r="E1062" t="s">
        <v>14</v>
      </c>
      <c r="F1062" t="s">
        <v>72</v>
      </c>
      <c r="G1062" t="s">
        <v>18</v>
      </c>
      <c r="H1062" t="s">
        <v>19</v>
      </c>
      <c r="I1062">
        <v>98.723825004638996</v>
      </c>
      <c r="J1062">
        <v>95.003435419368998</v>
      </c>
      <c r="K1062">
        <v>98.723825004638996</v>
      </c>
      <c r="L1062">
        <v>1879.738755981951</v>
      </c>
    </row>
    <row r="1063" spans="1:12" hidden="1" x14ac:dyDescent="0.25">
      <c r="A1063">
        <v>2017</v>
      </c>
      <c r="B1063" t="s">
        <v>66</v>
      </c>
      <c r="C1063">
        <v>3321.28</v>
      </c>
      <c r="D1063" t="s">
        <v>64</v>
      </c>
      <c r="E1063" t="s">
        <v>14</v>
      </c>
      <c r="F1063" t="s">
        <v>72</v>
      </c>
      <c r="G1063" t="s">
        <v>18</v>
      </c>
      <c r="H1063" t="s">
        <v>19</v>
      </c>
      <c r="I1063">
        <v>96.7</v>
      </c>
      <c r="J1063">
        <v>94.3</v>
      </c>
      <c r="K1063">
        <v>96.7</v>
      </c>
      <c r="L1063">
        <v>3434.6225439503619</v>
      </c>
    </row>
    <row r="1064" spans="1:12" hidden="1" x14ac:dyDescent="0.25">
      <c r="A1064">
        <v>2017</v>
      </c>
      <c r="B1064" t="s">
        <v>12</v>
      </c>
      <c r="C1064">
        <v>278.14</v>
      </c>
      <c r="D1064" t="s">
        <v>64</v>
      </c>
      <c r="E1064" t="s">
        <v>14</v>
      </c>
      <c r="F1064" t="s">
        <v>72</v>
      </c>
      <c r="G1064" t="s">
        <v>20</v>
      </c>
      <c r="H1064" t="s">
        <v>21</v>
      </c>
      <c r="I1064">
        <v>90.846967636214998</v>
      </c>
      <c r="J1064">
        <v>95.003435419368998</v>
      </c>
      <c r="K1064">
        <v>90.846967636214998</v>
      </c>
      <c r="L1064">
        <v>306.16321847282319</v>
      </c>
    </row>
    <row r="1065" spans="1:12" hidden="1" x14ac:dyDescent="0.25">
      <c r="A1065">
        <v>2017</v>
      </c>
      <c r="B1065" t="s">
        <v>66</v>
      </c>
      <c r="C1065">
        <v>818.51</v>
      </c>
      <c r="D1065" t="s">
        <v>64</v>
      </c>
      <c r="E1065" t="s">
        <v>14</v>
      </c>
      <c r="F1065" t="s">
        <v>72</v>
      </c>
      <c r="G1065" t="s">
        <v>20</v>
      </c>
      <c r="H1065" t="s">
        <v>21</v>
      </c>
      <c r="I1065">
        <v>96.4</v>
      </c>
      <c r="J1065">
        <v>94.3</v>
      </c>
      <c r="K1065">
        <v>96.4</v>
      </c>
      <c r="L1065">
        <v>849.07676348547716</v>
      </c>
    </row>
    <row r="1066" spans="1:12" hidden="1" x14ac:dyDescent="0.25">
      <c r="A1066">
        <v>2017</v>
      </c>
      <c r="B1066" t="s">
        <v>66</v>
      </c>
      <c r="C1066">
        <v>20.84</v>
      </c>
      <c r="D1066" t="s">
        <v>64</v>
      </c>
      <c r="E1066" t="s">
        <v>14</v>
      </c>
      <c r="F1066" t="s">
        <v>72</v>
      </c>
      <c r="G1066" t="s">
        <v>67</v>
      </c>
      <c r="H1066" t="s">
        <v>68</v>
      </c>
      <c r="I1066">
        <v>96.4</v>
      </c>
      <c r="J1066">
        <v>94.3</v>
      </c>
      <c r="K1066">
        <v>96.4</v>
      </c>
      <c r="L1066">
        <v>21.61825726141079</v>
      </c>
    </row>
    <row r="1067" spans="1:12" hidden="1" x14ac:dyDescent="0.25">
      <c r="A1067">
        <v>2017</v>
      </c>
      <c r="B1067" t="s">
        <v>12</v>
      </c>
      <c r="C1067">
        <v>63.12</v>
      </c>
      <c r="D1067" t="s">
        <v>64</v>
      </c>
      <c r="E1067" t="s">
        <v>14</v>
      </c>
      <c r="F1067" t="s">
        <v>72</v>
      </c>
      <c r="G1067" t="s">
        <v>22</v>
      </c>
      <c r="H1067" t="s">
        <v>23</v>
      </c>
      <c r="I1067">
        <v>111.61986215915999</v>
      </c>
      <c r="J1067">
        <v>95.003435419368998</v>
      </c>
      <c r="K1067">
        <v>111.61986215915999</v>
      </c>
      <c r="L1067">
        <v>56.549075387672929</v>
      </c>
    </row>
    <row r="1068" spans="1:12" hidden="1" x14ac:dyDescent="0.25">
      <c r="A1068">
        <v>2017</v>
      </c>
      <c r="B1068" t="s">
        <v>66</v>
      </c>
      <c r="C1068">
        <v>1768.42</v>
      </c>
      <c r="D1068" t="s">
        <v>64</v>
      </c>
      <c r="E1068" t="s">
        <v>14</v>
      </c>
      <c r="F1068" t="s">
        <v>72</v>
      </c>
      <c r="G1068" t="s">
        <v>22</v>
      </c>
      <c r="H1068" t="s">
        <v>23</v>
      </c>
      <c r="I1068">
        <v>97.5</v>
      </c>
      <c r="J1068">
        <v>94.3</v>
      </c>
      <c r="K1068">
        <v>97.5</v>
      </c>
      <c r="L1068">
        <v>1813.764102564103</v>
      </c>
    </row>
    <row r="1069" spans="1:12" hidden="1" x14ac:dyDescent="0.25">
      <c r="A1069">
        <v>2017</v>
      </c>
      <c r="B1069" t="s">
        <v>12</v>
      </c>
      <c r="C1069">
        <v>79.89</v>
      </c>
      <c r="D1069" t="s">
        <v>64</v>
      </c>
      <c r="E1069" t="s">
        <v>14</v>
      </c>
      <c r="F1069" t="s">
        <v>72</v>
      </c>
      <c r="G1069" t="s">
        <v>24</v>
      </c>
      <c r="H1069" t="s">
        <v>25</v>
      </c>
      <c r="I1069">
        <v>111.61986215915999</v>
      </c>
      <c r="J1069">
        <v>95.003435419368998</v>
      </c>
      <c r="K1069">
        <v>111.61986215915999</v>
      </c>
      <c r="L1069">
        <v>71.573283154644969</v>
      </c>
    </row>
    <row r="1070" spans="1:12" hidden="1" x14ac:dyDescent="0.25">
      <c r="A1070">
        <v>2017</v>
      </c>
      <c r="B1070" t="s">
        <v>66</v>
      </c>
      <c r="C1070">
        <v>714.15</v>
      </c>
      <c r="D1070" t="s">
        <v>64</v>
      </c>
      <c r="E1070" t="s">
        <v>14</v>
      </c>
      <c r="F1070" t="s">
        <v>72</v>
      </c>
      <c r="G1070" t="s">
        <v>24</v>
      </c>
      <c r="H1070" t="s">
        <v>25</v>
      </c>
      <c r="I1070">
        <v>96.6</v>
      </c>
      <c r="J1070">
        <v>94.3</v>
      </c>
      <c r="K1070">
        <v>96.6</v>
      </c>
      <c r="L1070">
        <v>739.28571428571433</v>
      </c>
    </row>
    <row r="1071" spans="1:12" hidden="1" x14ac:dyDescent="0.25">
      <c r="A1071">
        <v>2017</v>
      </c>
      <c r="B1071" t="s">
        <v>12</v>
      </c>
      <c r="C1071">
        <v>78.84</v>
      </c>
      <c r="D1071" t="s">
        <v>64</v>
      </c>
      <c r="E1071" t="s">
        <v>14</v>
      </c>
      <c r="F1071" t="s">
        <v>72</v>
      </c>
      <c r="G1071" t="s">
        <v>26</v>
      </c>
      <c r="H1071" t="s">
        <v>27</v>
      </c>
      <c r="I1071">
        <v>111.61986215915999</v>
      </c>
      <c r="J1071">
        <v>95.003435419368998</v>
      </c>
      <c r="K1071">
        <v>111.61986215915999</v>
      </c>
      <c r="L1071">
        <v>70.632590360648521</v>
      </c>
    </row>
    <row r="1072" spans="1:12" hidden="1" x14ac:dyDescent="0.25">
      <c r="A1072">
        <v>2017</v>
      </c>
      <c r="B1072" t="s">
        <v>66</v>
      </c>
      <c r="C1072">
        <v>387.8</v>
      </c>
      <c r="D1072" t="s">
        <v>64</v>
      </c>
      <c r="E1072" t="s">
        <v>14</v>
      </c>
      <c r="F1072" t="s">
        <v>72</v>
      </c>
      <c r="G1072" t="s">
        <v>26</v>
      </c>
      <c r="H1072" t="s">
        <v>27</v>
      </c>
      <c r="I1072">
        <v>97.8</v>
      </c>
      <c r="J1072">
        <v>94.3</v>
      </c>
      <c r="K1072">
        <v>97.8</v>
      </c>
      <c r="L1072">
        <v>396.5235173824131</v>
      </c>
    </row>
    <row r="1073" spans="1:12" hidden="1" x14ac:dyDescent="0.25">
      <c r="A1073">
        <v>2017</v>
      </c>
      <c r="B1073" t="s">
        <v>12</v>
      </c>
      <c r="C1073">
        <v>399.62</v>
      </c>
      <c r="D1073" t="s">
        <v>64</v>
      </c>
      <c r="E1073" t="s">
        <v>14</v>
      </c>
      <c r="F1073" t="s">
        <v>72</v>
      </c>
      <c r="G1073" t="s">
        <v>28</v>
      </c>
      <c r="H1073" t="s">
        <v>29</v>
      </c>
      <c r="I1073">
        <v>102.38170475517001</v>
      </c>
      <c r="J1073">
        <v>95.003435419368998</v>
      </c>
      <c r="K1073">
        <v>102.38170475517001</v>
      </c>
      <c r="L1073">
        <v>390.32364322866988</v>
      </c>
    </row>
    <row r="1074" spans="1:12" hidden="1" x14ac:dyDescent="0.25">
      <c r="A1074">
        <v>2017</v>
      </c>
      <c r="B1074" t="s">
        <v>66</v>
      </c>
      <c r="C1074">
        <v>172.21</v>
      </c>
      <c r="D1074" t="s">
        <v>64</v>
      </c>
      <c r="E1074" t="s">
        <v>14</v>
      </c>
      <c r="F1074" t="s">
        <v>72</v>
      </c>
      <c r="G1074" t="s">
        <v>28</v>
      </c>
      <c r="H1074" t="s">
        <v>29</v>
      </c>
      <c r="I1074">
        <v>98.6</v>
      </c>
      <c r="J1074">
        <v>94.3</v>
      </c>
      <c r="K1074">
        <v>98.6</v>
      </c>
      <c r="L1074">
        <v>174.65517241379311</v>
      </c>
    </row>
    <row r="1075" spans="1:12" hidden="1" x14ac:dyDescent="0.25">
      <c r="A1075">
        <v>2017</v>
      </c>
      <c r="B1075" t="s">
        <v>12</v>
      </c>
      <c r="C1075">
        <v>411.6</v>
      </c>
      <c r="D1075" t="s">
        <v>64</v>
      </c>
      <c r="E1075" t="s">
        <v>14</v>
      </c>
      <c r="F1075" t="s">
        <v>72</v>
      </c>
      <c r="G1075" t="s">
        <v>30</v>
      </c>
      <c r="H1075" t="s">
        <v>31</v>
      </c>
      <c r="I1075">
        <v>76.712843517501994</v>
      </c>
      <c r="J1075">
        <v>95.003435419368998</v>
      </c>
      <c r="K1075">
        <v>76.712843517501994</v>
      </c>
      <c r="L1075">
        <v>536.54639969915036</v>
      </c>
    </row>
    <row r="1076" spans="1:12" hidden="1" x14ac:dyDescent="0.25">
      <c r="A1076">
        <v>2017</v>
      </c>
      <c r="B1076" t="s">
        <v>66</v>
      </c>
      <c r="C1076">
        <v>661.18</v>
      </c>
      <c r="D1076" t="s">
        <v>64</v>
      </c>
      <c r="E1076" t="s">
        <v>14</v>
      </c>
      <c r="F1076" t="s">
        <v>72</v>
      </c>
      <c r="G1076" t="s">
        <v>30</v>
      </c>
      <c r="H1076" t="s">
        <v>31</v>
      </c>
      <c r="I1076">
        <v>93.7</v>
      </c>
      <c r="J1076">
        <v>94.3</v>
      </c>
      <c r="K1076">
        <v>93.7</v>
      </c>
      <c r="L1076">
        <v>705.63500533617923</v>
      </c>
    </row>
    <row r="1077" spans="1:12" hidden="1" x14ac:dyDescent="0.25">
      <c r="A1077">
        <v>2017</v>
      </c>
      <c r="B1077" t="s">
        <v>12</v>
      </c>
      <c r="C1077">
        <v>171.28</v>
      </c>
      <c r="D1077" t="s">
        <v>64</v>
      </c>
      <c r="E1077" t="s">
        <v>14</v>
      </c>
      <c r="F1077" t="s">
        <v>72</v>
      </c>
      <c r="G1077" t="s">
        <v>32</v>
      </c>
      <c r="H1077" t="s">
        <v>33</v>
      </c>
      <c r="I1077">
        <v>76.712843517501994</v>
      </c>
      <c r="J1077">
        <v>95.003435419368998</v>
      </c>
      <c r="K1077">
        <v>76.712843517501994</v>
      </c>
      <c r="L1077">
        <v>223.27421608471931</v>
      </c>
    </row>
    <row r="1078" spans="1:12" hidden="1" x14ac:dyDescent="0.25">
      <c r="A1078">
        <v>2017</v>
      </c>
      <c r="B1078" t="s">
        <v>66</v>
      </c>
      <c r="C1078">
        <v>121.11</v>
      </c>
      <c r="D1078" t="s">
        <v>64</v>
      </c>
      <c r="E1078" t="s">
        <v>14</v>
      </c>
      <c r="F1078" t="s">
        <v>72</v>
      </c>
      <c r="G1078" t="s">
        <v>32</v>
      </c>
      <c r="H1078" t="s">
        <v>33</v>
      </c>
      <c r="I1078">
        <v>96.5</v>
      </c>
      <c r="J1078">
        <v>94.3</v>
      </c>
      <c r="K1078">
        <v>96.5</v>
      </c>
      <c r="L1078">
        <v>125.5025906735751</v>
      </c>
    </row>
    <row r="1079" spans="1:12" hidden="1" x14ac:dyDescent="0.25">
      <c r="A1079">
        <v>2017</v>
      </c>
      <c r="B1079" t="s">
        <v>66</v>
      </c>
      <c r="C1079">
        <v>733.94</v>
      </c>
      <c r="D1079" t="s">
        <v>64</v>
      </c>
      <c r="E1079" t="s">
        <v>14</v>
      </c>
      <c r="F1079" t="s">
        <v>72</v>
      </c>
      <c r="G1079" t="s">
        <v>34</v>
      </c>
      <c r="H1079" t="s">
        <v>35</v>
      </c>
      <c r="I1079">
        <v>64.099999999999994</v>
      </c>
      <c r="J1079">
        <v>94.3</v>
      </c>
      <c r="K1079">
        <v>64.099999999999994</v>
      </c>
      <c r="L1079">
        <v>1144.992199687988</v>
      </c>
    </row>
    <row r="1080" spans="1:12" hidden="1" x14ac:dyDescent="0.25">
      <c r="A1080">
        <v>2017</v>
      </c>
      <c r="B1080" t="s">
        <v>12</v>
      </c>
      <c r="C1080">
        <v>710.89</v>
      </c>
      <c r="D1080" t="s">
        <v>64</v>
      </c>
      <c r="E1080" t="s">
        <v>14</v>
      </c>
      <c r="F1080" t="s">
        <v>72</v>
      </c>
      <c r="G1080" t="s">
        <v>36</v>
      </c>
      <c r="H1080" t="s">
        <v>37</v>
      </c>
      <c r="I1080">
        <v>96.253026824776995</v>
      </c>
      <c r="J1080">
        <v>95.003435419368998</v>
      </c>
      <c r="K1080">
        <v>96.253026824776995</v>
      </c>
      <c r="L1080">
        <v>738.56378698005369</v>
      </c>
    </row>
    <row r="1081" spans="1:12" hidden="1" x14ac:dyDescent="0.25">
      <c r="A1081">
        <v>2017</v>
      </c>
      <c r="B1081" t="s">
        <v>66</v>
      </c>
      <c r="C1081">
        <v>2188.56</v>
      </c>
      <c r="D1081" t="s">
        <v>64</v>
      </c>
      <c r="E1081" t="s">
        <v>14</v>
      </c>
      <c r="F1081" t="s">
        <v>72</v>
      </c>
      <c r="G1081" t="s">
        <v>36</v>
      </c>
      <c r="H1081" t="s">
        <v>37</v>
      </c>
      <c r="I1081">
        <v>96.1</v>
      </c>
      <c r="J1081">
        <v>94.3</v>
      </c>
      <c r="K1081">
        <v>96.1</v>
      </c>
      <c r="L1081">
        <v>2277.377731529657</v>
      </c>
    </row>
    <row r="1082" spans="1:12" hidden="1" x14ac:dyDescent="0.25">
      <c r="A1082">
        <v>2017</v>
      </c>
      <c r="B1082" t="s">
        <v>12</v>
      </c>
      <c r="C1082">
        <v>276.82</v>
      </c>
      <c r="D1082" t="s">
        <v>64</v>
      </c>
      <c r="E1082" t="s">
        <v>14</v>
      </c>
      <c r="F1082" t="s">
        <v>72</v>
      </c>
      <c r="G1082" t="s">
        <v>38</v>
      </c>
      <c r="H1082" t="s">
        <v>39</v>
      </c>
      <c r="I1082">
        <v>96.253026824776995</v>
      </c>
      <c r="J1082">
        <v>95.003435419368998</v>
      </c>
      <c r="K1082">
        <v>96.253026824776995</v>
      </c>
      <c r="L1082">
        <v>287.59615061657712</v>
      </c>
    </row>
    <row r="1083" spans="1:12" hidden="1" x14ac:dyDescent="0.25">
      <c r="A1083">
        <v>2017</v>
      </c>
      <c r="B1083" t="s">
        <v>66</v>
      </c>
      <c r="C1083">
        <v>671.5</v>
      </c>
      <c r="D1083" t="s">
        <v>64</v>
      </c>
      <c r="E1083" t="s">
        <v>14</v>
      </c>
      <c r="F1083" t="s">
        <v>72</v>
      </c>
      <c r="G1083" t="s">
        <v>38</v>
      </c>
      <c r="H1083" t="s">
        <v>39</v>
      </c>
      <c r="I1083">
        <v>96.1</v>
      </c>
      <c r="J1083">
        <v>94.3</v>
      </c>
      <c r="K1083">
        <v>96.1</v>
      </c>
      <c r="L1083">
        <v>698.75130072840795</v>
      </c>
    </row>
    <row r="1084" spans="1:12" hidden="1" x14ac:dyDescent="0.25">
      <c r="A1084">
        <v>2017</v>
      </c>
      <c r="B1084" t="s">
        <v>12</v>
      </c>
      <c r="C1084">
        <v>394.49</v>
      </c>
      <c r="D1084" t="s">
        <v>64</v>
      </c>
      <c r="E1084" t="s">
        <v>14</v>
      </c>
      <c r="F1084" t="s">
        <v>72</v>
      </c>
      <c r="G1084" t="s">
        <v>40</v>
      </c>
      <c r="H1084" t="s">
        <v>41</v>
      </c>
      <c r="I1084">
        <v>96.253026824776995</v>
      </c>
      <c r="J1084">
        <v>95.003435419368998</v>
      </c>
      <c r="K1084">
        <v>96.253026824776995</v>
      </c>
      <c r="L1084">
        <v>409.84685158851778</v>
      </c>
    </row>
    <row r="1085" spans="1:12" hidden="1" x14ac:dyDescent="0.25">
      <c r="A1085">
        <v>2017</v>
      </c>
      <c r="B1085" t="s">
        <v>66</v>
      </c>
      <c r="C1085">
        <v>1602.86</v>
      </c>
      <c r="D1085" t="s">
        <v>64</v>
      </c>
      <c r="E1085" t="s">
        <v>14</v>
      </c>
      <c r="F1085" t="s">
        <v>72</v>
      </c>
      <c r="G1085" t="s">
        <v>40</v>
      </c>
      <c r="H1085" t="s">
        <v>41</v>
      </c>
      <c r="I1085">
        <v>95.4</v>
      </c>
      <c r="J1085">
        <v>94.3</v>
      </c>
      <c r="K1085">
        <v>95.4</v>
      </c>
      <c r="L1085">
        <v>1680.1467505241089</v>
      </c>
    </row>
    <row r="1086" spans="1:12" hidden="1" x14ac:dyDescent="0.25">
      <c r="A1086">
        <v>2017</v>
      </c>
      <c r="B1086" t="s">
        <v>12</v>
      </c>
      <c r="C1086">
        <v>298.91000000000003</v>
      </c>
      <c r="D1086" t="s">
        <v>64</v>
      </c>
      <c r="E1086" t="s">
        <v>14</v>
      </c>
      <c r="F1086" t="s">
        <v>72</v>
      </c>
      <c r="G1086" t="s">
        <v>42</v>
      </c>
      <c r="H1086" t="s">
        <v>43</v>
      </c>
      <c r="I1086">
        <v>89.385379074143003</v>
      </c>
      <c r="J1086">
        <v>95.003435419368998</v>
      </c>
      <c r="K1086">
        <v>89.385379074143003</v>
      </c>
      <c r="L1086">
        <v>334.4059208520685</v>
      </c>
    </row>
    <row r="1087" spans="1:12" hidden="1" x14ac:dyDescent="0.25">
      <c r="A1087">
        <v>2017</v>
      </c>
      <c r="B1087" t="s">
        <v>66</v>
      </c>
      <c r="C1087">
        <v>1491.5</v>
      </c>
      <c r="D1087" t="s">
        <v>64</v>
      </c>
      <c r="E1087" t="s">
        <v>14</v>
      </c>
      <c r="F1087" t="s">
        <v>72</v>
      </c>
      <c r="G1087" t="s">
        <v>42</v>
      </c>
      <c r="H1087" t="s">
        <v>43</v>
      </c>
      <c r="I1087">
        <v>95.9</v>
      </c>
      <c r="J1087">
        <v>94.3</v>
      </c>
      <c r="K1087">
        <v>95.9</v>
      </c>
      <c r="L1087">
        <v>1555.2659019812299</v>
      </c>
    </row>
    <row r="1088" spans="1:12" hidden="1" x14ac:dyDescent="0.25">
      <c r="A1088">
        <v>2017</v>
      </c>
      <c r="B1088" t="s">
        <v>12</v>
      </c>
      <c r="C1088">
        <v>252.99</v>
      </c>
      <c r="D1088" t="s">
        <v>64</v>
      </c>
      <c r="E1088" t="s">
        <v>14</v>
      </c>
      <c r="F1088" t="s">
        <v>72</v>
      </c>
      <c r="G1088" t="s">
        <v>44</v>
      </c>
      <c r="H1088" t="s">
        <v>45</v>
      </c>
      <c r="I1088">
        <v>89.385379074143003</v>
      </c>
      <c r="J1088">
        <v>95.003435419368998</v>
      </c>
      <c r="K1088">
        <v>89.385379074143003</v>
      </c>
      <c r="L1088">
        <v>283.03286580029038</v>
      </c>
    </row>
    <row r="1089" spans="1:12" hidden="1" x14ac:dyDescent="0.25">
      <c r="A1089">
        <v>2017</v>
      </c>
      <c r="B1089" t="s">
        <v>66</v>
      </c>
      <c r="C1089">
        <v>1219.1300000000001</v>
      </c>
      <c r="D1089" t="s">
        <v>64</v>
      </c>
      <c r="E1089" t="s">
        <v>14</v>
      </c>
      <c r="F1089" t="s">
        <v>72</v>
      </c>
      <c r="G1089" t="s">
        <v>44</v>
      </c>
      <c r="H1089" t="s">
        <v>45</v>
      </c>
      <c r="I1089">
        <v>89.3</v>
      </c>
      <c r="J1089">
        <v>94.3</v>
      </c>
      <c r="K1089">
        <v>89.3</v>
      </c>
      <c r="L1089">
        <v>1365.207166853304</v>
      </c>
    </row>
    <row r="1090" spans="1:12" hidden="1" x14ac:dyDescent="0.25">
      <c r="A1090">
        <v>2017</v>
      </c>
      <c r="B1090" t="s">
        <v>12</v>
      </c>
      <c r="C1090">
        <v>384.97</v>
      </c>
      <c r="D1090" t="s">
        <v>64</v>
      </c>
      <c r="E1090" t="s">
        <v>14</v>
      </c>
      <c r="F1090" t="s">
        <v>72</v>
      </c>
      <c r="G1090" t="s">
        <v>46</v>
      </c>
      <c r="H1090" t="s">
        <v>47</v>
      </c>
      <c r="I1090">
        <v>98.189528995325006</v>
      </c>
      <c r="J1090">
        <v>95.003435419368998</v>
      </c>
      <c r="K1090">
        <v>98.189528995325006</v>
      </c>
      <c r="L1090">
        <v>392.0682825745393</v>
      </c>
    </row>
    <row r="1091" spans="1:12" hidden="1" x14ac:dyDescent="0.25">
      <c r="A1091">
        <v>2017</v>
      </c>
      <c r="B1091" t="s">
        <v>66</v>
      </c>
      <c r="C1091">
        <v>1621.38</v>
      </c>
      <c r="D1091" t="s">
        <v>64</v>
      </c>
      <c r="E1091" t="s">
        <v>14</v>
      </c>
      <c r="F1091" t="s">
        <v>72</v>
      </c>
      <c r="G1091" t="s">
        <v>46</v>
      </c>
      <c r="H1091" t="s">
        <v>47</v>
      </c>
      <c r="I1091">
        <v>90.2</v>
      </c>
      <c r="J1091">
        <v>94.3</v>
      </c>
      <c r="K1091">
        <v>90.2</v>
      </c>
      <c r="L1091">
        <v>1797.5388026607541</v>
      </c>
    </row>
    <row r="1092" spans="1:12" hidden="1" x14ac:dyDescent="0.25">
      <c r="A1092">
        <v>2017</v>
      </c>
      <c r="B1092" t="s">
        <v>12</v>
      </c>
      <c r="C1092">
        <v>19.43</v>
      </c>
      <c r="D1092" t="s">
        <v>64</v>
      </c>
      <c r="E1092" t="s">
        <v>14</v>
      </c>
      <c r="F1092" t="s">
        <v>72</v>
      </c>
      <c r="G1092" t="s">
        <v>48</v>
      </c>
      <c r="H1092" t="s">
        <v>49</v>
      </c>
      <c r="I1092">
        <v>98.189528995325006</v>
      </c>
      <c r="J1092">
        <v>95.003435419368998</v>
      </c>
      <c r="K1092">
        <v>98.189528995325006</v>
      </c>
      <c r="L1092">
        <v>19.788260722714231</v>
      </c>
    </row>
    <row r="1093" spans="1:12" hidden="1" x14ac:dyDescent="0.25">
      <c r="A1093">
        <v>2017</v>
      </c>
      <c r="B1093" t="s">
        <v>66</v>
      </c>
      <c r="C1093">
        <v>2876.37</v>
      </c>
      <c r="D1093" t="s">
        <v>64</v>
      </c>
      <c r="E1093" t="s">
        <v>14</v>
      </c>
      <c r="F1093" t="s">
        <v>72</v>
      </c>
      <c r="G1093" t="s">
        <v>48</v>
      </c>
      <c r="H1093" t="s">
        <v>49</v>
      </c>
      <c r="I1093">
        <v>95.5</v>
      </c>
      <c r="J1093">
        <v>94.3</v>
      </c>
      <c r="K1093">
        <v>95.5</v>
      </c>
      <c r="L1093">
        <v>3011.9057591623041</v>
      </c>
    </row>
    <row r="1094" spans="1:12" hidden="1" x14ac:dyDescent="0.25">
      <c r="A1094">
        <v>2017</v>
      </c>
      <c r="B1094" t="s">
        <v>12</v>
      </c>
      <c r="C1094">
        <v>149.66</v>
      </c>
      <c r="D1094" t="s">
        <v>64</v>
      </c>
      <c r="E1094" t="s">
        <v>14</v>
      </c>
      <c r="F1094" t="s">
        <v>72</v>
      </c>
      <c r="G1094" t="s">
        <v>50</v>
      </c>
      <c r="H1094" t="s">
        <v>51</v>
      </c>
      <c r="I1094">
        <v>98.189528995325006</v>
      </c>
      <c r="J1094">
        <v>95.003435419368998</v>
      </c>
      <c r="K1094">
        <v>98.189528995325006</v>
      </c>
      <c r="L1094">
        <v>152.41951105308351</v>
      </c>
    </row>
    <row r="1095" spans="1:12" hidden="1" x14ac:dyDescent="0.25">
      <c r="A1095">
        <v>2017</v>
      </c>
      <c r="B1095" t="s">
        <v>66</v>
      </c>
      <c r="C1095">
        <v>3789.89</v>
      </c>
      <c r="D1095" t="s">
        <v>64</v>
      </c>
      <c r="E1095" t="s">
        <v>14</v>
      </c>
      <c r="F1095" t="s">
        <v>72</v>
      </c>
      <c r="G1095" t="s">
        <v>50</v>
      </c>
      <c r="H1095" t="s">
        <v>51</v>
      </c>
      <c r="I1095">
        <v>94.3</v>
      </c>
      <c r="J1095">
        <v>94.3</v>
      </c>
      <c r="K1095">
        <v>94.3</v>
      </c>
      <c r="L1095">
        <v>4018.97136797455</v>
      </c>
    </row>
    <row r="1096" spans="1:12" hidden="1" x14ac:dyDescent="0.25">
      <c r="A1096">
        <v>2017</v>
      </c>
      <c r="B1096" t="s">
        <v>12</v>
      </c>
      <c r="C1096">
        <v>203.87</v>
      </c>
      <c r="D1096" t="s">
        <v>64</v>
      </c>
      <c r="E1096" t="s">
        <v>14</v>
      </c>
      <c r="F1096" t="s">
        <v>72</v>
      </c>
      <c r="G1096" t="s">
        <v>52</v>
      </c>
      <c r="H1096" t="s">
        <v>53</v>
      </c>
      <c r="I1096">
        <v>98.189528995325006</v>
      </c>
      <c r="J1096">
        <v>95.003435419368998</v>
      </c>
      <c r="K1096">
        <v>98.189528995325006</v>
      </c>
      <c r="L1096">
        <v>207.6290640010165</v>
      </c>
    </row>
    <row r="1097" spans="1:12" hidden="1" x14ac:dyDescent="0.25">
      <c r="A1097">
        <v>2017</v>
      </c>
      <c r="B1097" t="s">
        <v>66</v>
      </c>
      <c r="C1097">
        <v>3451.56</v>
      </c>
      <c r="D1097" t="s">
        <v>64</v>
      </c>
      <c r="E1097" t="s">
        <v>14</v>
      </c>
      <c r="F1097" t="s">
        <v>72</v>
      </c>
      <c r="G1097" t="s">
        <v>52</v>
      </c>
      <c r="H1097" t="s">
        <v>53</v>
      </c>
      <c r="I1097">
        <v>96.3</v>
      </c>
      <c r="J1097">
        <v>94.3</v>
      </c>
      <c r="K1097">
        <v>96.3</v>
      </c>
      <c r="L1097">
        <v>3584.1744548286611</v>
      </c>
    </row>
    <row r="1098" spans="1:12" hidden="1" x14ac:dyDescent="0.25">
      <c r="A1098">
        <v>2017</v>
      </c>
      <c r="B1098" t="s">
        <v>12</v>
      </c>
      <c r="C1098">
        <v>6</v>
      </c>
      <c r="D1098" t="s">
        <v>64</v>
      </c>
      <c r="E1098" t="s">
        <v>14</v>
      </c>
      <c r="F1098" t="s">
        <v>72</v>
      </c>
      <c r="G1098" t="s">
        <v>54</v>
      </c>
      <c r="H1098" t="s">
        <v>55</v>
      </c>
      <c r="I1098">
        <v>98.189528995325006</v>
      </c>
      <c r="J1098">
        <v>95.003435419368998</v>
      </c>
      <c r="K1098">
        <v>98.189528995325006</v>
      </c>
      <c r="L1098">
        <v>6.1106312061907042</v>
      </c>
    </row>
    <row r="1099" spans="1:12" hidden="1" x14ac:dyDescent="0.25">
      <c r="A1099">
        <v>2017</v>
      </c>
      <c r="B1099" t="s">
        <v>66</v>
      </c>
      <c r="C1099">
        <v>6</v>
      </c>
      <c r="D1099" t="s">
        <v>64</v>
      </c>
      <c r="E1099" t="s">
        <v>14</v>
      </c>
      <c r="F1099" t="s">
        <v>72</v>
      </c>
      <c r="G1099" t="s">
        <v>54</v>
      </c>
      <c r="H1099" t="s">
        <v>55</v>
      </c>
      <c r="I1099">
        <v>97</v>
      </c>
      <c r="J1099">
        <v>94.3</v>
      </c>
      <c r="K1099">
        <v>97</v>
      </c>
      <c r="L1099">
        <v>6.1855670103092786</v>
      </c>
    </row>
    <row r="1100" spans="1:12" hidden="1" x14ac:dyDescent="0.25">
      <c r="A1100">
        <v>2017</v>
      </c>
      <c r="B1100" t="s">
        <v>12</v>
      </c>
      <c r="C1100">
        <v>11.58</v>
      </c>
      <c r="D1100" t="s">
        <v>64</v>
      </c>
      <c r="E1100" t="s">
        <v>14</v>
      </c>
      <c r="F1100" t="s">
        <v>72</v>
      </c>
      <c r="G1100" t="s">
        <v>56</v>
      </c>
      <c r="H1100" t="s">
        <v>57</v>
      </c>
      <c r="I1100">
        <v>98.189528995325006</v>
      </c>
      <c r="J1100">
        <v>95.003435419368998</v>
      </c>
      <c r="K1100">
        <v>98.189528995325006</v>
      </c>
      <c r="L1100">
        <v>11.793518227948059</v>
      </c>
    </row>
    <row r="1101" spans="1:12" hidden="1" x14ac:dyDescent="0.25">
      <c r="A1101">
        <v>2017</v>
      </c>
      <c r="B1101" t="s">
        <v>66</v>
      </c>
      <c r="C1101">
        <v>107.25</v>
      </c>
      <c r="D1101" t="s">
        <v>64</v>
      </c>
      <c r="E1101" t="s">
        <v>14</v>
      </c>
      <c r="F1101" t="s">
        <v>72</v>
      </c>
      <c r="G1101" t="s">
        <v>56</v>
      </c>
      <c r="H1101" t="s">
        <v>57</v>
      </c>
      <c r="I1101">
        <v>97</v>
      </c>
      <c r="J1101">
        <v>94.3</v>
      </c>
      <c r="K1101">
        <v>97</v>
      </c>
      <c r="L1101">
        <v>110.5670103092784</v>
      </c>
    </row>
    <row r="1102" spans="1:12" hidden="1" x14ac:dyDescent="0.25">
      <c r="A1102">
        <v>2017</v>
      </c>
      <c r="B1102" t="s">
        <v>12</v>
      </c>
      <c r="C1102">
        <v>127.65</v>
      </c>
      <c r="D1102" t="s">
        <v>64</v>
      </c>
      <c r="E1102" t="s">
        <v>14</v>
      </c>
      <c r="F1102" t="s">
        <v>72</v>
      </c>
      <c r="G1102" t="s">
        <v>58</v>
      </c>
      <c r="H1102" t="s">
        <v>59</v>
      </c>
      <c r="I1102">
        <v>102.38170475517001</v>
      </c>
      <c r="J1102">
        <v>95.003435419368998</v>
      </c>
      <c r="K1102">
        <v>102.38170475517001</v>
      </c>
      <c r="L1102">
        <v>124.68047910049479</v>
      </c>
    </row>
    <row r="1103" spans="1:12" hidden="1" x14ac:dyDescent="0.25">
      <c r="A1103">
        <v>2017</v>
      </c>
      <c r="B1103" t="s">
        <v>66</v>
      </c>
      <c r="C1103">
        <v>171.55</v>
      </c>
      <c r="D1103" t="s">
        <v>64</v>
      </c>
      <c r="E1103" t="s">
        <v>14</v>
      </c>
      <c r="F1103" t="s">
        <v>72</v>
      </c>
      <c r="G1103" t="s">
        <v>58</v>
      </c>
      <c r="H1103" t="s">
        <v>59</v>
      </c>
      <c r="I1103">
        <v>96.7</v>
      </c>
      <c r="J1103">
        <v>94.3</v>
      </c>
      <c r="K1103">
        <v>96.7</v>
      </c>
      <c r="L1103">
        <v>177.4043433298863</v>
      </c>
    </row>
    <row r="1104" spans="1:12" hidden="1" x14ac:dyDescent="0.25">
      <c r="A1104">
        <v>2017</v>
      </c>
      <c r="B1104" t="s">
        <v>12</v>
      </c>
      <c r="C1104">
        <v>15.76</v>
      </c>
      <c r="D1104" t="s">
        <v>64</v>
      </c>
      <c r="E1104" t="s">
        <v>14</v>
      </c>
      <c r="F1104" t="s">
        <v>72</v>
      </c>
      <c r="G1104" t="s">
        <v>60</v>
      </c>
      <c r="H1104" t="s">
        <v>61</v>
      </c>
      <c r="J1104">
        <v>95.003435419368998</v>
      </c>
      <c r="K1104">
        <v>95.003435419368998</v>
      </c>
      <c r="L1104">
        <v>16.58887379222805</v>
      </c>
    </row>
    <row r="1105" spans="1:12" hidden="1" x14ac:dyDescent="0.25">
      <c r="A1105">
        <v>2017</v>
      </c>
      <c r="B1105" t="s">
        <v>66</v>
      </c>
      <c r="C1105">
        <v>103.33</v>
      </c>
      <c r="D1105" t="s">
        <v>64</v>
      </c>
      <c r="E1105" t="s">
        <v>14</v>
      </c>
      <c r="F1105" t="s">
        <v>72</v>
      </c>
      <c r="G1105" t="s">
        <v>60</v>
      </c>
      <c r="H1105" t="s">
        <v>61</v>
      </c>
      <c r="I1105">
        <v>95.9</v>
      </c>
      <c r="J1105">
        <v>94.3</v>
      </c>
      <c r="K1105">
        <v>95.9</v>
      </c>
      <c r="L1105">
        <v>107.74765380604801</v>
      </c>
    </row>
    <row r="1106" spans="1:12" hidden="1" x14ac:dyDescent="0.25">
      <c r="A1106">
        <v>2017</v>
      </c>
      <c r="B1106" t="s">
        <v>12</v>
      </c>
      <c r="C1106">
        <v>467.74</v>
      </c>
      <c r="D1106" t="s">
        <v>64</v>
      </c>
      <c r="E1106" t="s">
        <v>14</v>
      </c>
      <c r="F1106" t="s">
        <v>72</v>
      </c>
      <c r="G1106" t="s">
        <v>62</v>
      </c>
      <c r="H1106" t="s">
        <v>63</v>
      </c>
      <c r="I1106">
        <v>98.189528995325006</v>
      </c>
      <c r="J1106">
        <v>95.003435419368998</v>
      </c>
      <c r="K1106">
        <v>98.189528995325006</v>
      </c>
      <c r="L1106">
        <v>476.36444006393998</v>
      </c>
    </row>
    <row r="1107" spans="1:12" hidden="1" x14ac:dyDescent="0.25">
      <c r="A1107">
        <v>2017</v>
      </c>
      <c r="B1107" t="s">
        <v>12</v>
      </c>
      <c r="C1107">
        <v>302.18</v>
      </c>
      <c r="D1107" t="s">
        <v>64</v>
      </c>
      <c r="E1107" t="s">
        <v>14</v>
      </c>
      <c r="F1107" t="s">
        <v>72</v>
      </c>
      <c r="G1107" t="s">
        <v>16</v>
      </c>
      <c r="H1107" t="s">
        <v>17</v>
      </c>
      <c r="J1107">
        <v>95.003435419368998</v>
      </c>
      <c r="K1107">
        <v>95.003435419368998</v>
      </c>
      <c r="L1107">
        <v>318.07270828270748</v>
      </c>
    </row>
    <row r="1108" spans="1:12" hidden="1" x14ac:dyDescent="0.25">
      <c r="A1108">
        <v>2016</v>
      </c>
      <c r="B1108" t="s">
        <v>12</v>
      </c>
      <c r="C1108">
        <v>1842.43</v>
      </c>
      <c r="D1108" t="s">
        <v>64</v>
      </c>
      <c r="E1108" t="s">
        <v>14</v>
      </c>
      <c r="F1108" t="s">
        <v>72</v>
      </c>
      <c r="G1108" t="s">
        <v>18</v>
      </c>
      <c r="H1108" t="s">
        <v>19</v>
      </c>
      <c r="I1108">
        <v>96.618124512281994</v>
      </c>
      <c r="J1108">
        <v>95.629262636448004</v>
      </c>
      <c r="K1108">
        <v>96.618124512281994</v>
      </c>
      <c r="L1108">
        <v>1906.919648151307</v>
      </c>
    </row>
    <row r="1109" spans="1:12" hidden="1" x14ac:dyDescent="0.25">
      <c r="A1109">
        <v>2016</v>
      </c>
      <c r="B1109" t="s">
        <v>66</v>
      </c>
      <c r="C1109">
        <v>3182.83</v>
      </c>
      <c r="D1109" t="s">
        <v>64</v>
      </c>
      <c r="E1109" t="s">
        <v>14</v>
      </c>
      <c r="F1109" t="s">
        <v>72</v>
      </c>
      <c r="G1109" t="s">
        <v>18</v>
      </c>
      <c r="H1109" t="s">
        <v>19</v>
      </c>
      <c r="I1109">
        <v>92.1</v>
      </c>
      <c r="J1109">
        <v>87.8</v>
      </c>
      <c r="K1109">
        <v>92.1</v>
      </c>
      <c r="L1109">
        <v>3455.8414766558089</v>
      </c>
    </row>
    <row r="1110" spans="1:12" hidden="1" x14ac:dyDescent="0.25">
      <c r="A1110">
        <v>2016</v>
      </c>
      <c r="B1110" t="s">
        <v>12</v>
      </c>
      <c r="C1110">
        <v>299.16000000000003</v>
      </c>
      <c r="D1110" t="s">
        <v>64</v>
      </c>
      <c r="E1110" t="s">
        <v>14</v>
      </c>
      <c r="F1110" t="s">
        <v>72</v>
      </c>
      <c r="G1110" t="s">
        <v>20</v>
      </c>
      <c r="H1110" t="s">
        <v>21</v>
      </c>
      <c r="I1110">
        <v>96.059679698527006</v>
      </c>
      <c r="J1110">
        <v>95.629262636448004</v>
      </c>
      <c r="K1110">
        <v>96.059679698527006</v>
      </c>
      <c r="L1110">
        <v>311.43139446111172</v>
      </c>
    </row>
    <row r="1111" spans="1:12" hidden="1" x14ac:dyDescent="0.25">
      <c r="A1111">
        <v>2016</v>
      </c>
      <c r="B1111" t="s">
        <v>66</v>
      </c>
      <c r="C1111">
        <v>779.35</v>
      </c>
      <c r="D1111" t="s">
        <v>64</v>
      </c>
      <c r="E1111" t="s">
        <v>14</v>
      </c>
      <c r="F1111" t="s">
        <v>72</v>
      </c>
      <c r="G1111" t="s">
        <v>20</v>
      </c>
      <c r="H1111" t="s">
        <v>21</v>
      </c>
      <c r="I1111">
        <v>89.6</v>
      </c>
      <c r="J1111">
        <v>87.8</v>
      </c>
      <c r="K1111">
        <v>89.6</v>
      </c>
      <c r="L1111">
        <v>869.81026785714289</v>
      </c>
    </row>
    <row r="1112" spans="1:12" hidden="1" x14ac:dyDescent="0.25">
      <c r="A1112">
        <v>2016</v>
      </c>
      <c r="B1112" t="s">
        <v>66</v>
      </c>
      <c r="C1112">
        <v>19.420000000000002</v>
      </c>
      <c r="D1112" t="s">
        <v>64</v>
      </c>
      <c r="E1112" t="s">
        <v>14</v>
      </c>
      <c r="F1112" t="s">
        <v>72</v>
      </c>
      <c r="G1112" t="s">
        <v>67</v>
      </c>
      <c r="H1112" t="s">
        <v>68</v>
      </c>
      <c r="I1112">
        <v>89.6</v>
      </c>
      <c r="J1112">
        <v>87.8</v>
      </c>
      <c r="K1112">
        <v>89.6</v>
      </c>
      <c r="L1112">
        <v>21.674107142857149</v>
      </c>
    </row>
    <row r="1113" spans="1:12" hidden="1" x14ac:dyDescent="0.25">
      <c r="A1113">
        <v>2016</v>
      </c>
      <c r="B1113" t="s">
        <v>12</v>
      </c>
      <c r="C1113">
        <v>65.010000000000005</v>
      </c>
      <c r="D1113" t="s">
        <v>64</v>
      </c>
      <c r="E1113" t="s">
        <v>14</v>
      </c>
      <c r="F1113" t="s">
        <v>72</v>
      </c>
      <c r="G1113" t="s">
        <v>22</v>
      </c>
      <c r="H1113" t="s">
        <v>23</v>
      </c>
      <c r="I1113">
        <v>117.9376128321</v>
      </c>
      <c r="J1113">
        <v>95.629262636448004</v>
      </c>
      <c r="K1113">
        <v>117.9376128321</v>
      </c>
      <c r="L1113">
        <v>55.122363798011122</v>
      </c>
    </row>
    <row r="1114" spans="1:12" hidden="1" x14ac:dyDescent="0.25">
      <c r="A1114">
        <v>2016</v>
      </c>
      <c r="B1114" t="s">
        <v>66</v>
      </c>
      <c r="C1114">
        <v>1629.44</v>
      </c>
      <c r="D1114" t="s">
        <v>64</v>
      </c>
      <c r="E1114" t="s">
        <v>14</v>
      </c>
      <c r="F1114" t="s">
        <v>72</v>
      </c>
      <c r="G1114" t="s">
        <v>22</v>
      </c>
      <c r="H1114" t="s">
        <v>23</v>
      </c>
      <c r="I1114">
        <v>88.8</v>
      </c>
      <c r="J1114">
        <v>87.8</v>
      </c>
      <c r="K1114">
        <v>88.8</v>
      </c>
      <c r="L1114">
        <v>1834.9549549549549</v>
      </c>
    </row>
    <row r="1115" spans="1:12" hidden="1" x14ac:dyDescent="0.25">
      <c r="A1115">
        <v>2016</v>
      </c>
      <c r="B1115" t="s">
        <v>12</v>
      </c>
      <c r="C1115">
        <v>90.28</v>
      </c>
      <c r="D1115" t="s">
        <v>64</v>
      </c>
      <c r="E1115" t="s">
        <v>14</v>
      </c>
      <c r="F1115" t="s">
        <v>72</v>
      </c>
      <c r="G1115" t="s">
        <v>24</v>
      </c>
      <c r="H1115" t="s">
        <v>25</v>
      </c>
      <c r="I1115">
        <v>117.9376128321</v>
      </c>
      <c r="J1115">
        <v>95.629262636448004</v>
      </c>
      <c r="K1115">
        <v>117.9376128321</v>
      </c>
      <c r="L1115">
        <v>76.548946372626418</v>
      </c>
    </row>
    <row r="1116" spans="1:12" hidden="1" x14ac:dyDescent="0.25">
      <c r="A1116">
        <v>2016</v>
      </c>
      <c r="B1116" t="s">
        <v>66</v>
      </c>
      <c r="C1116">
        <v>695.63</v>
      </c>
      <c r="D1116" t="s">
        <v>64</v>
      </c>
      <c r="E1116" t="s">
        <v>14</v>
      </c>
      <c r="F1116" t="s">
        <v>72</v>
      </c>
      <c r="G1116" t="s">
        <v>24</v>
      </c>
      <c r="H1116" t="s">
        <v>25</v>
      </c>
      <c r="I1116">
        <v>95.2</v>
      </c>
      <c r="J1116">
        <v>87.8</v>
      </c>
      <c r="K1116">
        <v>95.2</v>
      </c>
      <c r="L1116">
        <v>730.70378151260502</v>
      </c>
    </row>
    <row r="1117" spans="1:12" hidden="1" x14ac:dyDescent="0.25">
      <c r="A1117">
        <v>2016</v>
      </c>
      <c r="B1117" t="s">
        <v>12</v>
      </c>
      <c r="C1117">
        <v>67.650000000000006</v>
      </c>
      <c r="D1117" t="s">
        <v>64</v>
      </c>
      <c r="E1117" t="s">
        <v>14</v>
      </c>
      <c r="F1117" t="s">
        <v>72</v>
      </c>
      <c r="G1117" t="s">
        <v>26</v>
      </c>
      <c r="H1117" t="s">
        <v>27</v>
      </c>
      <c r="I1117">
        <v>117.9376128321</v>
      </c>
      <c r="J1117">
        <v>95.629262636448004</v>
      </c>
      <c r="K1117">
        <v>117.9376128321</v>
      </c>
      <c r="L1117">
        <v>57.360835424326297</v>
      </c>
    </row>
    <row r="1118" spans="1:12" hidden="1" x14ac:dyDescent="0.25">
      <c r="A1118">
        <v>2016</v>
      </c>
      <c r="B1118" t="s">
        <v>66</v>
      </c>
      <c r="C1118">
        <v>383.65</v>
      </c>
      <c r="D1118" t="s">
        <v>64</v>
      </c>
      <c r="E1118" t="s">
        <v>14</v>
      </c>
      <c r="F1118" t="s">
        <v>72</v>
      </c>
      <c r="G1118" t="s">
        <v>26</v>
      </c>
      <c r="H1118" t="s">
        <v>27</v>
      </c>
      <c r="I1118">
        <v>93.8</v>
      </c>
      <c r="J1118">
        <v>87.8</v>
      </c>
      <c r="K1118">
        <v>93.8</v>
      </c>
      <c r="L1118">
        <v>409.00852878464821</v>
      </c>
    </row>
    <row r="1119" spans="1:12" hidden="1" x14ac:dyDescent="0.25">
      <c r="A1119">
        <v>2016</v>
      </c>
      <c r="B1119" t="s">
        <v>12</v>
      </c>
      <c r="C1119">
        <v>363.92</v>
      </c>
      <c r="D1119" t="s">
        <v>64</v>
      </c>
      <c r="E1119" t="s">
        <v>14</v>
      </c>
      <c r="F1119" t="s">
        <v>72</v>
      </c>
      <c r="G1119" t="s">
        <v>28</v>
      </c>
      <c r="H1119" t="s">
        <v>29</v>
      </c>
      <c r="I1119">
        <v>106.15763962638999</v>
      </c>
      <c r="J1119">
        <v>95.629262636448004</v>
      </c>
      <c r="K1119">
        <v>106.15763962638999</v>
      </c>
      <c r="L1119">
        <v>342.810937847503</v>
      </c>
    </row>
    <row r="1120" spans="1:12" hidden="1" x14ac:dyDescent="0.25">
      <c r="A1120">
        <v>2016</v>
      </c>
      <c r="B1120" t="s">
        <v>66</v>
      </c>
      <c r="C1120">
        <v>157.38</v>
      </c>
      <c r="D1120" t="s">
        <v>64</v>
      </c>
      <c r="E1120" t="s">
        <v>14</v>
      </c>
      <c r="F1120" t="s">
        <v>72</v>
      </c>
      <c r="G1120" t="s">
        <v>28</v>
      </c>
      <c r="H1120" t="s">
        <v>29</v>
      </c>
      <c r="I1120">
        <v>91.8</v>
      </c>
      <c r="J1120">
        <v>87.8</v>
      </c>
      <c r="K1120">
        <v>91.8</v>
      </c>
      <c r="L1120">
        <v>171.43790849673201</v>
      </c>
    </row>
    <row r="1121" spans="1:12" hidden="1" x14ac:dyDescent="0.25">
      <c r="A1121">
        <v>2016</v>
      </c>
      <c r="B1121" t="s">
        <v>12</v>
      </c>
      <c r="C1121">
        <v>358.46</v>
      </c>
      <c r="D1121" t="s">
        <v>64</v>
      </c>
      <c r="E1121" t="s">
        <v>14</v>
      </c>
      <c r="F1121" t="s">
        <v>72</v>
      </c>
      <c r="G1121" t="s">
        <v>30</v>
      </c>
      <c r="H1121" t="s">
        <v>31</v>
      </c>
      <c r="I1121">
        <v>66.424574274145002</v>
      </c>
      <c r="J1121">
        <v>95.629262636448004</v>
      </c>
      <c r="K1121">
        <v>66.424574274145002</v>
      </c>
      <c r="L1121">
        <v>539.64967621858943</v>
      </c>
    </row>
    <row r="1122" spans="1:12" hidden="1" x14ac:dyDescent="0.25">
      <c r="A1122">
        <v>2016</v>
      </c>
      <c r="B1122" t="s">
        <v>66</v>
      </c>
      <c r="C1122">
        <v>623.30999999999995</v>
      </c>
      <c r="D1122" t="s">
        <v>64</v>
      </c>
      <c r="E1122" t="s">
        <v>14</v>
      </c>
      <c r="F1122" t="s">
        <v>72</v>
      </c>
      <c r="G1122" t="s">
        <v>30</v>
      </c>
      <c r="H1122" t="s">
        <v>31</v>
      </c>
      <c r="I1122">
        <v>87.6</v>
      </c>
      <c r="J1122">
        <v>87.8</v>
      </c>
      <c r="K1122">
        <v>87.6</v>
      </c>
      <c r="L1122">
        <v>711.54109589041093</v>
      </c>
    </row>
    <row r="1123" spans="1:12" hidden="1" x14ac:dyDescent="0.25">
      <c r="A1123">
        <v>2016</v>
      </c>
      <c r="B1123" t="s">
        <v>12</v>
      </c>
      <c r="C1123">
        <v>142.04</v>
      </c>
      <c r="D1123" t="s">
        <v>64</v>
      </c>
      <c r="E1123" t="s">
        <v>14</v>
      </c>
      <c r="F1123" t="s">
        <v>72</v>
      </c>
      <c r="G1123" t="s">
        <v>32</v>
      </c>
      <c r="H1123" t="s">
        <v>33</v>
      </c>
      <c r="I1123">
        <v>66.424574274145002</v>
      </c>
      <c r="J1123">
        <v>95.629262636448004</v>
      </c>
      <c r="K1123">
        <v>66.424574274145002</v>
      </c>
      <c r="L1123">
        <v>213.83652293167569</v>
      </c>
    </row>
    <row r="1124" spans="1:12" hidden="1" x14ac:dyDescent="0.25">
      <c r="A1124">
        <v>2016</v>
      </c>
      <c r="B1124" t="s">
        <v>66</v>
      </c>
      <c r="C1124">
        <v>122.35</v>
      </c>
      <c r="D1124" t="s">
        <v>64</v>
      </c>
      <c r="E1124" t="s">
        <v>14</v>
      </c>
      <c r="F1124" t="s">
        <v>72</v>
      </c>
      <c r="G1124" t="s">
        <v>32</v>
      </c>
      <c r="H1124" t="s">
        <v>33</v>
      </c>
      <c r="I1124">
        <v>93.1</v>
      </c>
      <c r="J1124">
        <v>87.8</v>
      </c>
      <c r="K1124">
        <v>93.1</v>
      </c>
      <c r="L1124">
        <v>131.41783029001081</v>
      </c>
    </row>
    <row r="1125" spans="1:12" hidden="1" x14ac:dyDescent="0.25">
      <c r="A1125">
        <v>2016</v>
      </c>
      <c r="B1125" t="s">
        <v>66</v>
      </c>
      <c r="C1125">
        <v>772.73</v>
      </c>
      <c r="D1125" t="s">
        <v>64</v>
      </c>
      <c r="E1125" t="s">
        <v>14</v>
      </c>
      <c r="F1125" t="s">
        <v>72</v>
      </c>
      <c r="G1125" t="s">
        <v>34</v>
      </c>
      <c r="H1125" t="s">
        <v>35</v>
      </c>
      <c r="I1125">
        <v>17.7</v>
      </c>
      <c r="J1125">
        <v>87.8</v>
      </c>
      <c r="K1125">
        <v>17.7</v>
      </c>
      <c r="L1125">
        <v>4365.7062146892658</v>
      </c>
    </row>
    <row r="1126" spans="1:12" hidden="1" x14ac:dyDescent="0.25">
      <c r="A1126">
        <v>2016</v>
      </c>
      <c r="B1126" t="s">
        <v>12</v>
      </c>
      <c r="C1126">
        <v>718.38</v>
      </c>
      <c r="D1126" t="s">
        <v>64</v>
      </c>
      <c r="E1126" t="s">
        <v>14</v>
      </c>
      <c r="F1126" t="s">
        <v>72</v>
      </c>
      <c r="G1126" t="s">
        <v>36</v>
      </c>
      <c r="H1126" t="s">
        <v>37</v>
      </c>
      <c r="I1126">
        <v>101.63829571143999</v>
      </c>
      <c r="J1126">
        <v>95.629262636448004</v>
      </c>
      <c r="K1126">
        <v>101.63829571143999</v>
      </c>
      <c r="L1126">
        <v>706.80051743443596</v>
      </c>
    </row>
    <row r="1127" spans="1:12" hidden="1" x14ac:dyDescent="0.25">
      <c r="A1127">
        <v>2016</v>
      </c>
      <c r="B1127" t="s">
        <v>66</v>
      </c>
      <c r="C1127">
        <v>2096.59</v>
      </c>
      <c r="D1127" t="s">
        <v>64</v>
      </c>
      <c r="E1127" t="s">
        <v>14</v>
      </c>
      <c r="F1127" t="s">
        <v>72</v>
      </c>
      <c r="G1127" t="s">
        <v>36</v>
      </c>
      <c r="H1127" t="s">
        <v>37</v>
      </c>
      <c r="I1127">
        <v>103.7</v>
      </c>
      <c r="J1127">
        <v>87.8</v>
      </c>
      <c r="K1127">
        <v>103.7</v>
      </c>
      <c r="L1127">
        <v>2021.7839922854389</v>
      </c>
    </row>
    <row r="1128" spans="1:12" hidden="1" x14ac:dyDescent="0.25">
      <c r="A1128">
        <v>2016</v>
      </c>
      <c r="B1128" t="s">
        <v>12</v>
      </c>
      <c r="C1128">
        <v>234.95</v>
      </c>
      <c r="D1128" t="s">
        <v>64</v>
      </c>
      <c r="E1128" t="s">
        <v>14</v>
      </c>
      <c r="F1128" t="s">
        <v>72</v>
      </c>
      <c r="G1128" t="s">
        <v>38</v>
      </c>
      <c r="H1128" t="s">
        <v>39</v>
      </c>
      <c r="I1128">
        <v>101.63829571143999</v>
      </c>
      <c r="J1128">
        <v>95.629262636448004</v>
      </c>
      <c r="K1128">
        <v>101.63829571143999</v>
      </c>
      <c r="L1128">
        <v>231.1628686366835</v>
      </c>
    </row>
    <row r="1129" spans="1:12" hidden="1" x14ac:dyDescent="0.25">
      <c r="A1129">
        <v>2016</v>
      </c>
      <c r="B1129" t="s">
        <v>66</v>
      </c>
      <c r="C1129">
        <v>608.03</v>
      </c>
      <c r="D1129" t="s">
        <v>64</v>
      </c>
      <c r="E1129" t="s">
        <v>14</v>
      </c>
      <c r="F1129" t="s">
        <v>72</v>
      </c>
      <c r="G1129" t="s">
        <v>38</v>
      </c>
      <c r="H1129" t="s">
        <v>39</v>
      </c>
      <c r="I1129">
        <v>103.7</v>
      </c>
      <c r="J1129">
        <v>87.8</v>
      </c>
      <c r="K1129">
        <v>103.7</v>
      </c>
      <c r="L1129">
        <v>586.33558341369337</v>
      </c>
    </row>
    <row r="1130" spans="1:12" hidden="1" x14ac:dyDescent="0.25">
      <c r="A1130">
        <v>2016</v>
      </c>
      <c r="B1130" t="s">
        <v>12</v>
      </c>
      <c r="C1130">
        <v>398.72</v>
      </c>
      <c r="D1130" t="s">
        <v>64</v>
      </c>
      <c r="E1130" t="s">
        <v>14</v>
      </c>
      <c r="F1130" t="s">
        <v>72</v>
      </c>
      <c r="G1130" t="s">
        <v>40</v>
      </c>
      <c r="H1130" t="s">
        <v>41</v>
      </c>
      <c r="I1130">
        <v>101.63829571143999</v>
      </c>
      <c r="J1130">
        <v>95.629262636448004</v>
      </c>
      <c r="K1130">
        <v>101.63829571143999</v>
      </c>
      <c r="L1130">
        <v>392.29307930546281</v>
      </c>
    </row>
    <row r="1131" spans="1:12" hidden="1" x14ac:dyDescent="0.25">
      <c r="A1131">
        <v>2016</v>
      </c>
      <c r="B1131" t="s">
        <v>66</v>
      </c>
      <c r="C1131">
        <v>1441.69</v>
      </c>
      <c r="D1131" t="s">
        <v>64</v>
      </c>
      <c r="E1131" t="s">
        <v>14</v>
      </c>
      <c r="F1131" t="s">
        <v>72</v>
      </c>
      <c r="G1131" t="s">
        <v>40</v>
      </c>
      <c r="H1131" t="s">
        <v>41</v>
      </c>
      <c r="I1131">
        <v>89.1</v>
      </c>
      <c r="J1131">
        <v>87.8</v>
      </c>
      <c r="K1131">
        <v>89.1</v>
      </c>
      <c r="L1131">
        <v>1618.0583613916949</v>
      </c>
    </row>
    <row r="1132" spans="1:12" hidden="1" x14ac:dyDescent="0.25">
      <c r="A1132">
        <v>2016</v>
      </c>
      <c r="B1132" t="s">
        <v>12</v>
      </c>
      <c r="C1132">
        <v>269.99</v>
      </c>
      <c r="D1132" t="s">
        <v>64</v>
      </c>
      <c r="E1132" t="s">
        <v>14</v>
      </c>
      <c r="F1132" t="s">
        <v>72</v>
      </c>
      <c r="G1132" t="s">
        <v>42</v>
      </c>
      <c r="H1132" t="s">
        <v>43</v>
      </c>
      <c r="I1132">
        <v>89.680336785110001</v>
      </c>
      <c r="J1132">
        <v>95.629262636448004</v>
      </c>
      <c r="K1132">
        <v>89.680336785110001</v>
      </c>
      <c r="L1132">
        <v>301.05819143715303</v>
      </c>
    </row>
    <row r="1133" spans="1:12" hidden="1" x14ac:dyDescent="0.25">
      <c r="A1133">
        <v>2016</v>
      </c>
      <c r="B1133" t="s">
        <v>66</v>
      </c>
      <c r="C1133">
        <v>1367.01</v>
      </c>
      <c r="D1133" t="s">
        <v>64</v>
      </c>
      <c r="E1133" t="s">
        <v>14</v>
      </c>
      <c r="F1133" t="s">
        <v>72</v>
      </c>
      <c r="G1133" t="s">
        <v>42</v>
      </c>
      <c r="H1133" t="s">
        <v>43</v>
      </c>
      <c r="I1133">
        <v>87.6</v>
      </c>
      <c r="J1133">
        <v>87.8</v>
      </c>
      <c r="K1133">
        <v>87.6</v>
      </c>
      <c r="L1133">
        <v>1560.513698630137</v>
      </c>
    </row>
    <row r="1134" spans="1:12" hidden="1" x14ac:dyDescent="0.25">
      <c r="A1134">
        <v>2016</v>
      </c>
      <c r="B1134" t="s">
        <v>12</v>
      </c>
      <c r="C1134">
        <v>127.25</v>
      </c>
      <c r="D1134" t="s">
        <v>64</v>
      </c>
      <c r="E1134" t="s">
        <v>14</v>
      </c>
      <c r="F1134" t="s">
        <v>72</v>
      </c>
      <c r="G1134" t="s">
        <v>44</v>
      </c>
      <c r="H1134" t="s">
        <v>45</v>
      </c>
      <c r="I1134">
        <v>89.680336785110001</v>
      </c>
      <c r="J1134">
        <v>95.629262636448004</v>
      </c>
      <c r="K1134">
        <v>89.680336785110001</v>
      </c>
      <c r="L1134">
        <v>141.89286588532059</v>
      </c>
    </row>
    <row r="1135" spans="1:12" hidden="1" x14ac:dyDescent="0.25">
      <c r="A1135">
        <v>2016</v>
      </c>
      <c r="B1135" t="s">
        <v>66</v>
      </c>
      <c r="C1135">
        <v>1149.72</v>
      </c>
      <c r="D1135" t="s">
        <v>64</v>
      </c>
      <c r="E1135" t="s">
        <v>14</v>
      </c>
      <c r="F1135" t="s">
        <v>72</v>
      </c>
      <c r="G1135" t="s">
        <v>44</v>
      </c>
      <c r="H1135" t="s">
        <v>45</v>
      </c>
      <c r="I1135">
        <v>80.900000000000006</v>
      </c>
      <c r="J1135">
        <v>87.8</v>
      </c>
      <c r="K1135">
        <v>80.900000000000006</v>
      </c>
      <c r="L1135">
        <v>1421.1619283065511</v>
      </c>
    </row>
    <row r="1136" spans="1:12" hidden="1" x14ac:dyDescent="0.25">
      <c r="A1136">
        <v>2016</v>
      </c>
      <c r="B1136" t="s">
        <v>12</v>
      </c>
      <c r="C1136">
        <v>394.1</v>
      </c>
      <c r="D1136" t="s">
        <v>64</v>
      </c>
      <c r="E1136" t="s">
        <v>14</v>
      </c>
      <c r="F1136" t="s">
        <v>72</v>
      </c>
      <c r="G1136" t="s">
        <v>46</v>
      </c>
      <c r="H1136" t="s">
        <v>47</v>
      </c>
      <c r="I1136">
        <v>101.10423088160999</v>
      </c>
      <c r="J1136">
        <v>95.629262636448004</v>
      </c>
      <c r="K1136">
        <v>101.10423088160999</v>
      </c>
      <c r="L1136">
        <v>389.7957548991983</v>
      </c>
    </row>
    <row r="1137" spans="1:12" hidden="1" x14ac:dyDescent="0.25">
      <c r="A1137">
        <v>2016</v>
      </c>
      <c r="B1137" t="s">
        <v>66</v>
      </c>
      <c r="C1137">
        <v>1494.08</v>
      </c>
      <c r="D1137" t="s">
        <v>64</v>
      </c>
      <c r="E1137" t="s">
        <v>14</v>
      </c>
      <c r="F1137" t="s">
        <v>72</v>
      </c>
      <c r="G1137" t="s">
        <v>46</v>
      </c>
      <c r="H1137" t="s">
        <v>47</v>
      </c>
      <c r="I1137">
        <v>84.2</v>
      </c>
      <c r="J1137">
        <v>87.8</v>
      </c>
      <c r="K1137">
        <v>84.2</v>
      </c>
      <c r="L1137">
        <v>1774.4418052256531</v>
      </c>
    </row>
    <row r="1138" spans="1:12" hidden="1" x14ac:dyDescent="0.25">
      <c r="A1138">
        <v>2016</v>
      </c>
      <c r="B1138" t="s">
        <v>12</v>
      </c>
      <c r="C1138">
        <v>33.85</v>
      </c>
      <c r="D1138" t="s">
        <v>64</v>
      </c>
      <c r="E1138" t="s">
        <v>14</v>
      </c>
      <c r="F1138" t="s">
        <v>72</v>
      </c>
      <c r="G1138" t="s">
        <v>48</v>
      </c>
      <c r="H1138" t="s">
        <v>49</v>
      </c>
      <c r="I1138">
        <v>101.10423088160999</v>
      </c>
      <c r="J1138">
        <v>95.629262636448004</v>
      </c>
      <c r="K1138">
        <v>101.10423088160999</v>
      </c>
      <c r="L1138">
        <v>33.480300186089472</v>
      </c>
    </row>
    <row r="1139" spans="1:12" hidden="1" x14ac:dyDescent="0.25">
      <c r="A1139">
        <v>2016</v>
      </c>
      <c r="B1139" t="s">
        <v>66</v>
      </c>
      <c r="C1139">
        <v>2541.04</v>
      </c>
      <c r="D1139" t="s">
        <v>64</v>
      </c>
      <c r="E1139" t="s">
        <v>14</v>
      </c>
      <c r="F1139" t="s">
        <v>72</v>
      </c>
      <c r="G1139" t="s">
        <v>48</v>
      </c>
      <c r="H1139" t="s">
        <v>49</v>
      </c>
      <c r="I1139">
        <v>91.8</v>
      </c>
      <c r="J1139">
        <v>87.8</v>
      </c>
      <c r="K1139">
        <v>91.8</v>
      </c>
      <c r="L1139">
        <v>2768.0174291939002</v>
      </c>
    </row>
    <row r="1140" spans="1:12" hidden="1" x14ac:dyDescent="0.25">
      <c r="A1140">
        <v>2016</v>
      </c>
      <c r="B1140" t="s">
        <v>12</v>
      </c>
      <c r="C1140">
        <v>154.01</v>
      </c>
      <c r="D1140" t="s">
        <v>64</v>
      </c>
      <c r="E1140" t="s">
        <v>14</v>
      </c>
      <c r="F1140" t="s">
        <v>72</v>
      </c>
      <c r="G1140" t="s">
        <v>50</v>
      </c>
      <c r="H1140" t="s">
        <v>51</v>
      </c>
      <c r="I1140">
        <v>101.10423088160999</v>
      </c>
      <c r="J1140">
        <v>95.629262636448004</v>
      </c>
      <c r="K1140">
        <v>101.10423088160999</v>
      </c>
      <c r="L1140">
        <v>152.32794775951669</v>
      </c>
    </row>
    <row r="1141" spans="1:12" hidden="1" x14ac:dyDescent="0.25">
      <c r="A1141">
        <v>2016</v>
      </c>
      <c r="B1141" t="s">
        <v>66</v>
      </c>
      <c r="C1141">
        <v>3471.33</v>
      </c>
      <c r="D1141" t="s">
        <v>64</v>
      </c>
      <c r="E1141" t="s">
        <v>14</v>
      </c>
      <c r="F1141" t="s">
        <v>72</v>
      </c>
      <c r="G1141" t="s">
        <v>50</v>
      </c>
      <c r="H1141" t="s">
        <v>51</v>
      </c>
      <c r="I1141">
        <v>90.7</v>
      </c>
      <c r="J1141">
        <v>87.8</v>
      </c>
      <c r="K1141">
        <v>90.7</v>
      </c>
      <c r="L1141">
        <v>3827.265711135612</v>
      </c>
    </row>
    <row r="1142" spans="1:12" hidden="1" x14ac:dyDescent="0.25">
      <c r="A1142">
        <v>2016</v>
      </c>
      <c r="B1142" t="s">
        <v>12</v>
      </c>
      <c r="C1142">
        <v>209.35</v>
      </c>
      <c r="D1142" t="s">
        <v>64</v>
      </c>
      <c r="E1142" t="s">
        <v>14</v>
      </c>
      <c r="F1142" t="s">
        <v>72</v>
      </c>
      <c r="G1142" t="s">
        <v>52</v>
      </c>
      <c r="H1142" t="s">
        <v>53</v>
      </c>
      <c r="I1142">
        <v>101.10423088160999</v>
      </c>
      <c r="J1142">
        <v>95.629262636448004</v>
      </c>
      <c r="K1142">
        <v>101.10423088160999</v>
      </c>
      <c r="L1142">
        <v>207.06354044188569</v>
      </c>
    </row>
    <row r="1143" spans="1:12" hidden="1" x14ac:dyDescent="0.25">
      <c r="A1143">
        <v>2016</v>
      </c>
      <c r="B1143" t="s">
        <v>66</v>
      </c>
      <c r="C1143">
        <v>3140.11</v>
      </c>
      <c r="D1143" t="s">
        <v>64</v>
      </c>
      <c r="E1143" t="s">
        <v>14</v>
      </c>
      <c r="F1143" t="s">
        <v>72</v>
      </c>
      <c r="G1143" t="s">
        <v>52</v>
      </c>
      <c r="H1143" t="s">
        <v>53</v>
      </c>
      <c r="I1143">
        <v>91.6</v>
      </c>
      <c r="J1143">
        <v>87.8</v>
      </c>
      <c r="K1143">
        <v>91.6</v>
      </c>
      <c r="L1143">
        <v>3428.0676855895199</v>
      </c>
    </row>
    <row r="1144" spans="1:12" hidden="1" x14ac:dyDescent="0.25">
      <c r="A1144">
        <v>2016</v>
      </c>
      <c r="B1144" t="s">
        <v>12</v>
      </c>
      <c r="C1144">
        <v>119</v>
      </c>
      <c r="D1144" t="s">
        <v>64</v>
      </c>
      <c r="E1144" t="s">
        <v>14</v>
      </c>
      <c r="F1144" t="s">
        <v>72</v>
      </c>
      <c r="G1144" t="s">
        <v>54</v>
      </c>
      <c r="H1144" t="s">
        <v>55</v>
      </c>
      <c r="I1144">
        <v>101.10423088160999</v>
      </c>
      <c r="J1144">
        <v>95.629262636448004</v>
      </c>
      <c r="K1144">
        <v>101.10423088160999</v>
      </c>
      <c r="L1144">
        <v>117.7003167546425</v>
      </c>
    </row>
    <row r="1145" spans="1:12" hidden="1" x14ac:dyDescent="0.25">
      <c r="A1145">
        <v>2016</v>
      </c>
      <c r="B1145" t="s">
        <v>66</v>
      </c>
      <c r="C1145">
        <v>6</v>
      </c>
      <c r="D1145" t="s">
        <v>64</v>
      </c>
      <c r="E1145" t="s">
        <v>14</v>
      </c>
      <c r="F1145" t="s">
        <v>72</v>
      </c>
      <c r="G1145" t="s">
        <v>54</v>
      </c>
      <c r="H1145" t="s">
        <v>55</v>
      </c>
      <c r="I1145">
        <v>93.3</v>
      </c>
      <c r="J1145">
        <v>87.8</v>
      </c>
      <c r="K1145">
        <v>93.3</v>
      </c>
      <c r="L1145">
        <v>6.430868167202572</v>
      </c>
    </row>
    <row r="1146" spans="1:12" hidden="1" x14ac:dyDescent="0.25">
      <c r="A1146">
        <v>2016</v>
      </c>
      <c r="B1146" t="s">
        <v>12</v>
      </c>
      <c r="C1146">
        <v>14.23</v>
      </c>
      <c r="D1146" t="s">
        <v>64</v>
      </c>
      <c r="E1146" t="s">
        <v>14</v>
      </c>
      <c r="F1146" t="s">
        <v>72</v>
      </c>
      <c r="G1146" t="s">
        <v>56</v>
      </c>
      <c r="H1146" t="s">
        <v>57</v>
      </c>
      <c r="I1146">
        <v>101.10423088160999</v>
      </c>
      <c r="J1146">
        <v>95.629262636448004</v>
      </c>
      <c r="K1146">
        <v>101.10423088160999</v>
      </c>
      <c r="L1146">
        <v>14.0745840959543</v>
      </c>
    </row>
    <row r="1147" spans="1:12" hidden="1" x14ac:dyDescent="0.25">
      <c r="A1147">
        <v>2016</v>
      </c>
      <c r="B1147" t="s">
        <v>66</v>
      </c>
      <c r="C1147">
        <v>95.12</v>
      </c>
      <c r="D1147" t="s">
        <v>64</v>
      </c>
      <c r="E1147" t="s">
        <v>14</v>
      </c>
      <c r="F1147" t="s">
        <v>72</v>
      </c>
      <c r="G1147" t="s">
        <v>56</v>
      </c>
      <c r="H1147" t="s">
        <v>57</v>
      </c>
      <c r="I1147">
        <v>93.3</v>
      </c>
      <c r="J1147">
        <v>87.8</v>
      </c>
      <c r="K1147">
        <v>93.3</v>
      </c>
      <c r="L1147">
        <v>101.9506966773848</v>
      </c>
    </row>
    <row r="1148" spans="1:12" hidden="1" x14ac:dyDescent="0.25">
      <c r="A1148">
        <v>2016</v>
      </c>
      <c r="B1148" t="s">
        <v>12</v>
      </c>
      <c r="C1148">
        <v>101.86</v>
      </c>
      <c r="D1148" t="s">
        <v>64</v>
      </c>
      <c r="E1148" t="s">
        <v>14</v>
      </c>
      <c r="F1148" t="s">
        <v>72</v>
      </c>
      <c r="G1148" t="s">
        <v>58</v>
      </c>
      <c r="H1148" t="s">
        <v>59</v>
      </c>
      <c r="I1148">
        <v>106.15763962638999</v>
      </c>
      <c r="J1148">
        <v>95.629262636448004</v>
      </c>
      <c r="K1148">
        <v>106.15763962638999</v>
      </c>
      <c r="L1148">
        <v>95.951643573166223</v>
      </c>
    </row>
    <row r="1149" spans="1:12" hidden="1" x14ac:dyDescent="0.25">
      <c r="A1149">
        <v>2016</v>
      </c>
      <c r="B1149" t="s">
        <v>66</v>
      </c>
      <c r="C1149">
        <v>161.31</v>
      </c>
      <c r="D1149" t="s">
        <v>64</v>
      </c>
      <c r="E1149" t="s">
        <v>14</v>
      </c>
      <c r="F1149" t="s">
        <v>72</v>
      </c>
      <c r="G1149" t="s">
        <v>58</v>
      </c>
      <c r="H1149" t="s">
        <v>59</v>
      </c>
      <c r="I1149">
        <v>91.8</v>
      </c>
      <c r="J1149">
        <v>87.8</v>
      </c>
      <c r="K1149">
        <v>91.8</v>
      </c>
      <c r="L1149">
        <v>175.718954248366</v>
      </c>
    </row>
    <row r="1150" spans="1:12" hidden="1" x14ac:dyDescent="0.25">
      <c r="A1150">
        <v>2016</v>
      </c>
      <c r="B1150" t="s">
        <v>12</v>
      </c>
      <c r="C1150">
        <v>18.63</v>
      </c>
      <c r="D1150" t="s">
        <v>64</v>
      </c>
      <c r="E1150" t="s">
        <v>14</v>
      </c>
      <c r="F1150" t="s">
        <v>72</v>
      </c>
      <c r="G1150" t="s">
        <v>60</v>
      </c>
      <c r="H1150" t="s">
        <v>61</v>
      </c>
      <c r="J1150">
        <v>95.629262636448004</v>
      </c>
      <c r="K1150">
        <v>95.629262636448004</v>
      </c>
      <c r="L1150">
        <v>19.481484523022331</v>
      </c>
    </row>
    <row r="1151" spans="1:12" hidden="1" x14ac:dyDescent="0.25">
      <c r="A1151">
        <v>2016</v>
      </c>
      <c r="B1151" t="s">
        <v>66</v>
      </c>
      <c r="C1151">
        <v>99.74</v>
      </c>
      <c r="D1151" t="s">
        <v>64</v>
      </c>
      <c r="E1151" t="s">
        <v>14</v>
      </c>
      <c r="F1151" t="s">
        <v>72</v>
      </c>
      <c r="G1151" t="s">
        <v>60</v>
      </c>
      <c r="H1151" t="s">
        <v>61</v>
      </c>
      <c r="I1151">
        <v>91.1</v>
      </c>
      <c r="J1151">
        <v>87.8</v>
      </c>
      <c r="K1151">
        <v>91.1</v>
      </c>
      <c r="L1151">
        <v>109.48408342480791</v>
      </c>
    </row>
    <row r="1152" spans="1:12" hidden="1" x14ac:dyDescent="0.25">
      <c r="A1152">
        <v>2016</v>
      </c>
      <c r="B1152" t="s">
        <v>12</v>
      </c>
      <c r="C1152">
        <v>389.1</v>
      </c>
      <c r="D1152" t="s">
        <v>64</v>
      </c>
      <c r="E1152" t="s">
        <v>14</v>
      </c>
      <c r="F1152" t="s">
        <v>72</v>
      </c>
      <c r="G1152" t="s">
        <v>62</v>
      </c>
      <c r="H1152" t="s">
        <v>63</v>
      </c>
      <c r="I1152">
        <v>101.10423088160999</v>
      </c>
      <c r="J1152">
        <v>95.629262636448004</v>
      </c>
      <c r="K1152">
        <v>101.10423088160999</v>
      </c>
      <c r="L1152">
        <v>384.8503634389192</v>
      </c>
    </row>
    <row r="1153" spans="1:12" hidden="1" x14ac:dyDescent="0.25">
      <c r="A1153">
        <v>2016</v>
      </c>
      <c r="B1153" t="s">
        <v>12</v>
      </c>
      <c r="C1153">
        <v>145.69999999999999</v>
      </c>
      <c r="D1153" t="s">
        <v>64</v>
      </c>
      <c r="E1153" t="s">
        <v>14</v>
      </c>
      <c r="F1153" t="s">
        <v>72</v>
      </c>
      <c r="G1153" t="s">
        <v>16</v>
      </c>
      <c r="H1153" t="s">
        <v>17</v>
      </c>
      <c r="J1153">
        <v>95.629262636448004</v>
      </c>
      <c r="K1153">
        <v>95.629262636448004</v>
      </c>
      <c r="L1153">
        <v>152.35922141730299</v>
      </c>
    </row>
    <row r="1154" spans="1:12" hidden="1" x14ac:dyDescent="0.25">
      <c r="A1154">
        <v>2015</v>
      </c>
      <c r="B1154" t="s">
        <v>12</v>
      </c>
      <c r="C1154">
        <v>3213.71</v>
      </c>
      <c r="D1154" t="s">
        <v>64</v>
      </c>
      <c r="E1154" t="s">
        <v>14</v>
      </c>
      <c r="F1154" t="s">
        <v>72</v>
      </c>
      <c r="G1154" t="s">
        <v>18</v>
      </c>
      <c r="H1154" t="s">
        <v>19</v>
      </c>
      <c r="I1154">
        <v>92.136318280468004</v>
      </c>
      <c r="J1154">
        <v>96.211353938038002</v>
      </c>
      <c r="K1154">
        <v>92.136318280468004</v>
      </c>
      <c r="L1154">
        <v>3487.9948102737189</v>
      </c>
    </row>
    <row r="1155" spans="1:12" hidden="1" x14ac:dyDescent="0.25">
      <c r="A1155">
        <v>2015</v>
      </c>
      <c r="B1155" t="s">
        <v>66</v>
      </c>
      <c r="C1155">
        <v>3478.2</v>
      </c>
      <c r="D1155" t="s">
        <v>64</v>
      </c>
      <c r="E1155" t="s">
        <v>14</v>
      </c>
      <c r="F1155" t="s">
        <v>72</v>
      </c>
      <c r="G1155" t="s">
        <v>18</v>
      </c>
      <c r="H1155" t="s">
        <v>19</v>
      </c>
      <c r="I1155">
        <v>87.2</v>
      </c>
      <c r="J1155">
        <v>81.900000000000006</v>
      </c>
      <c r="K1155">
        <v>87.2</v>
      </c>
      <c r="L1155">
        <v>3988.7614678899081</v>
      </c>
    </row>
    <row r="1156" spans="1:12" hidden="1" x14ac:dyDescent="0.25">
      <c r="A1156">
        <v>2015</v>
      </c>
      <c r="B1156" t="s">
        <v>12</v>
      </c>
      <c r="C1156">
        <v>228</v>
      </c>
      <c r="D1156" t="s">
        <v>64</v>
      </c>
      <c r="E1156" t="s">
        <v>14</v>
      </c>
      <c r="F1156" t="s">
        <v>72</v>
      </c>
      <c r="G1156" t="s">
        <v>20</v>
      </c>
      <c r="H1156" t="s">
        <v>21</v>
      </c>
      <c r="I1156">
        <v>100.22588687651999</v>
      </c>
      <c r="J1156">
        <v>96.211353938038002</v>
      </c>
      <c r="K1156">
        <v>100.22588687651999</v>
      </c>
      <c r="L1156">
        <v>227.48613866684951</v>
      </c>
    </row>
    <row r="1157" spans="1:12" hidden="1" x14ac:dyDescent="0.25">
      <c r="A1157">
        <v>2015</v>
      </c>
      <c r="B1157" t="s">
        <v>66</v>
      </c>
      <c r="C1157">
        <v>853.23</v>
      </c>
      <c r="D1157" t="s">
        <v>64</v>
      </c>
      <c r="E1157" t="s">
        <v>14</v>
      </c>
      <c r="F1157" t="s">
        <v>72</v>
      </c>
      <c r="G1157" t="s">
        <v>20</v>
      </c>
      <c r="H1157" t="s">
        <v>21</v>
      </c>
      <c r="I1157">
        <v>80</v>
      </c>
      <c r="J1157">
        <v>81.900000000000006</v>
      </c>
      <c r="K1157">
        <v>80</v>
      </c>
      <c r="L1157">
        <v>1066.5374999999999</v>
      </c>
    </row>
    <row r="1158" spans="1:12" hidden="1" x14ac:dyDescent="0.25">
      <c r="A1158">
        <v>2015</v>
      </c>
      <c r="B1158" t="s">
        <v>66</v>
      </c>
      <c r="C1158">
        <v>23.57</v>
      </c>
      <c r="D1158" t="s">
        <v>64</v>
      </c>
      <c r="E1158" t="s">
        <v>14</v>
      </c>
      <c r="F1158" t="s">
        <v>72</v>
      </c>
      <c r="G1158" t="s">
        <v>67</v>
      </c>
      <c r="H1158" t="s">
        <v>68</v>
      </c>
      <c r="I1158">
        <v>80</v>
      </c>
      <c r="J1158">
        <v>81.900000000000006</v>
      </c>
      <c r="K1158">
        <v>80</v>
      </c>
      <c r="L1158">
        <v>29.462499999999999</v>
      </c>
    </row>
    <row r="1159" spans="1:12" hidden="1" x14ac:dyDescent="0.25">
      <c r="A1159">
        <v>2015</v>
      </c>
      <c r="B1159" t="s">
        <v>12</v>
      </c>
      <c r="C1159">
        <v>71.31</v>
      </c>
      <c r="D1159" t="s">
        <v>64</v>
      </c>
      <c r="E1159" t="s">
        <v>14</v>
      </c>
      <c r="F1159" t="s">
        <v>72</v>
      </c>
      <c r="G1159" t="s">
        <v>22</v>
      </c>
      <c r="H1159" t="s">
        <v>23</v>
      </c>
      <c r="I1159">
        <v>107.52442116425</v>
      </c>
      <c r="J1159">
        <v>96.211353938038002</v>
      </c>
      <c r="K1159">
        <v>107.52442116425</v>
      </c>
      <c r="L1159">
        <v>66.319817607824831</v>
      </c>
    </row>
    <row r="1160" spans="1:12" hidden="1" x14ac:dyDescent="0.25">
      <c r="A1160">
        <v>2015</v>
      </c>
      <c r="B1160" t="s">
        <v>66</v>
      </c>
      <c r="C1160">
        <v>1707.21</v>
      </c>
      <c r="D1160" t="s">
        <v>64</v>
      </c>
      <c r="E1160" t="s">
        <v>14</v>
      </c>
      <c r="F1160" t="s">
        <v>72</v>
      </c>
      <c r="G1160" t="s">
        <v>22</v>
      </c>
      <c r="H1160" t="s">
        <v>23</v>
      </c>
      <c r="I1160">
        <v>84.5</v>
      </c>
      <c r="J1160">
        <v>81.900000000000006</v>
      </c>
      <c r="K1160">
        <v>84.5</v>
      </c>
      <c r="L1160">
        <v>2020.366863905326</v>
      </c>
    </row>
    <row r="1161" spans="1:12" hidden="1" x14ac:dyDescent="0.25">
      <c r="A1161">
        <v>2015</v>
      </c>
      <c r="B1161" t="s">
        <v>12</v>
      </c>
      <c r="C1161">
        <v>79.06</v>
      </c>
      <c r="D1161" t="s">
        <v>64</v>
      </c>
      <c r="E1161" t="s">
        <v>14</v>
      </c>
      <c r="F1161" t="s">
        <v>72</v>
      </c>
      <c r="G1161" t="s">
        <v>24</v>
      </c>
      <c r="H1161" t="s">
        <v>25</v>
      </c>
      <c r="I1161">
        <v>107.52442116425</v>
      </c>
      <c r="J1161">
        <v>96.211353938038002</v>
      </c>
      <c r="K1161">
        <v>107.52442116425</v>
      </c>
      <c r="L1161">
        <v>73.527482542064661</v>
      </c>
    </row>
    <row r="1162" spans="1:12" hidden="1" x14ac:dyDescent="0.25">
      <c r="A1162">
        <v>2015</v>
      </c>
      <c r="B1162" t="s">
        <v>66</v>
      </c>
      <c r="C1162">
        <v>773.7</v>
      </c>
      <c r="D1162" t="s">
        <v>64</v>
      </c>
      <c r="E1162" t="s">
        <v>14</v>
      </c>
      <c r="F1162" t="s">
        <v>72</v>
      </c>
      <c r="G1162" t="s">
        <v>24</v>
      </c>
      <c r="H1162" t="s">
        <v>25</v>
      </c>
      <c r="I1162">
        <v>90.7</v>
      </c>
      <c r="J1162">
        <v>81.900000000000006</v>
      </c>
      <c r="K1162">
        <v>90.7</v>
      </c>
      <c r="L1162">
        <v>853.03197353913993</v>
      </c>
    </row>
    <row r="1163" spans="1:12" hidden="1" x14ac:dyDescent="0.25">
      <c r="A1163">
        <v>2015</v>
      </c>
      <c r="B1163" t="s">
        <v>12</v>
      </c>
      <c r="C1163">
        <v>74.14</v>
      </c>
      <c r="D1163" t="s">
        <v>64</v>
      </c>
      <c r="E1163" t="s">
        <v>14</v>
      </c>
      <c r="F1163" t="s">
        <v>72</v>
      </c>
      <c r="G1163" t="s">
        <v>26</v>
      </c>
      <c r="H1163" t="s">
        <v>27</v>
      </c>
      <c r="I1163">
        <v>107.52442116425</v>
      </c>
      <c r="J1163">
        <v>96.211353938038002</v>
      </c>
      <c r="K1163">
        <v>107.52442116425</v>
      </c>
      <c r="L1163">
        <v>68.951777835424664</v>
      </c>
    </row>
    <row r="1164" spans="1:12" hidden="1" x14ac:dyDescent="0.25">
      <c r="A1164">
        <v>2015</v>
      </c>
      <c r="B1164" t="s">
        <v>66</v>
      </c>
      <c r="C1164">
        <v>436.17</v>
      </c>
      <c r="D1164" t="s">
        <v>64</v>
      </c>
      <c r="E1164" t="s">
        <v>14</v>
      </c>
      <c r="F1164" t="s">
        <v>72</v>
      </c>
      <c r="G1164" t="s">
        <v>26</v>
      </c>
      <c r="H1164" t="s">
        <v>27</v>
      </c>
      <c r="I1164">
        <v>90.8</v>
      </c>
      <c r="J1164">
        <v>81.900000000000006</v>
      </c>
      <c r="K1164">
        <v>90.8</v>
      </c>
      <c r="L1164">
        <v>480.36343612334798</v>
      </c>
    </row>
    <row r="1165" spans="1:12" hidden="1" x14ac:dyDescent="0.25">
      <c r="A1165">
        <v>2015</v>
      </c>
      <c r="B1165" t="s">
        <v>12</v>
      </c>
      <c r="C1165">
        <v>755.29</v>
      </c>
      <c r="D1165" t="s">
        <v>64</v>
      </c>
      <c r="E1165" t="s">
        <v>14</v>
      </c>
      <c r="F1165" t="s">
        <v>72</v>
      </c>
      <c r="G1165" t="s">
        <v>28</v>
      </c>
      <c r="H1165" t="s">
        <v>29</v>
      </c>
      <c r="I1165">
        <v>107.1615082093</v>
      </c>
      <c r="J1165">
        <v>96.211353938038002</v>
      </c>
      <c r="K1165">
        <v>107.1615082093</v>
      </c>
      <c r="L1165">
        <v>704.81464158270603</v>
      </c>
    </row>
    <row r="1166" spans="1:12" hidden="1" x14ac:dyDescent="0.25">
      <c r="A1166">
        <v>2015</v>
      </c>
      <c r="B1166" t="s">
        <v>66</v>
      </c>
      <c r="C1166">
        <v>175.03</v>
      </c>
      <c r="D1166" t="s">
        <v>64</v>
      </c>
      <c r="E1166" t="s">
        <v>14</v>
      </c>
      <c r="F1166" t="s">
        <v>72</v>
      </c>
      <c r="G1166" t="s">
        <v>28</v>
      </c>
      <c r="H1166" t="s">
        <v>29</v>
      </c>
      <c r="I1166">
        <v>85.2</v>
      </c>
      <c r="J1166">
        <v>81.900000000000006</v>
      </c>
      <c r="K1166">
        <v>85.2</v>
      </c>
      <c r="L1166">
        <v>205.4342723004695</v>
      </c>
    </row>
    <row r="1167" spans="1:12" hidden="1" x14ac:dyDescent="0.25">
      <c r="A1167">
        <v>2015</v>
      </c>
      <c r="B1167" t="s">
        <v>12</v>
      </c>
      <c r="C1167">
        <v>377.54</v>
      </c>
      <c r="D1167" t="s">
        <v>64</v>
      </c>
      <c r="E1167" t="s">
        <v>14</v>
      </c>
      <c r="F1167" t="s">
        <v>72</v>
      </c>
      <c r="G1167" t="s">
        <v>30</v>
      </c>
      <c r="H1167" t="s">
        <v>31</v>
      </c>
      <c r="I1167">
        <v>72.105553335238</v>
      </c>
      <c r="J1167">
        <v>96.211353938038002</v>
      </c>
      <c r="K1167">
        <v>72.105553335238</v>
      </c>
      <c r="L1167">
        <v>523.59351331057064</v>
      </c>
    </row>
    <row r="1168" spans="1:12" hidden="1" x14ac:dyDescent="0.25">
      <c r="A1168">
        <v>2015</v>
      </c>
      <c r="B1168" t="s">
        <v>66</v>
      </c>
      <c r="C1168">
        <v>714.67</v>
      </c>
      <c r="D1168" t="s">
        <v>64</v>
      </c>
      <c r="E1168" t="s">
        <v>14</v>
      </c>
      <c r="F1168" t="s">
        <v>72</v>
      </c>
      <c r="G1168" t="s">
        <v>30</v>
      </c>
      <c r="H1168" t="s">
        <v>31</v>
      </c>
      <c r="I1168">
        <v>82</v>
      </c>
      <c r="J1168">
        <v>81.900000000000006</v>
      </c>
      <c r="K1168">
        <v>82</v>
      </c>
      <c r="L1168">
        <v>871.54878048780483</v>
      </c>
    </row>
    <row r="1169" spans="1:12" hidden="1" x14ac:dyDescent="0.25">
      <c r="A1169">
        <v>2015</v>
      </c>
      <c r="B1169" t="s">
        <v>12</v>
      </c>
      <c r="C1169">
        <v>2948.45</v>
      </c>
      <c r="D1169" t="s">
        <v>64</v>
      </c>
      <c r="E1169" t="s">
        <v>14</v>
      </c>
      <c r="F1169" t="s">
        <v>72</v>
      </c>
      <c r="G1169" t="s">
        <v>32</v>
      </c>
      <c r="H1169" t="s">
        <v>33</v>
      </c>
      <c r="I1169">
        <v>72.105553335238</v>
      </c>
      <c r="J1169">
        <v>96.211353938038002</v>
      </c>
      <c r="K1169">
        <v>72.105553335238</v>
      </c>
      <c r="L1169">
        <v>4089.0747849778882</v>
      </c>
    </row>
    <row r="1170" spans="1:12" hidden="1" x14ac:dyDescent="0.25">
      <c r="A1170">
        <v>2015</v>
      </c>
      <c r="B1170" t="s">
        <v>66</v>
      </c>
      <c r="C1170">
        <v>138.4</v>
      </c>
      <c r="D1170" t="s">
        <v>64</v>
      </c>
      <c r="E1170" t="s">
        <v>14</v>
      </c>
      <c r="F1170" t="s">
        <v>72</v>
      </c>
      <c r="G1170" t="s">
        <v>32</v>
      </c>
      <c r="H1170" t="s">
        <v>33</v>
      </c>
      <c r="I1170">
        <v>88.6</v>
      </c>
      <c r="J1170">
        <v>81.900000000000006</v>
      </c>
      <c r="K1170">
        <v>88.6</v>
      </c>
      <c r="L1170">
        <v>156.20767494356659</v>
      </c>
    </row>
    <row r="1171" spans="1:12" hidden="1" x14ac:dyDescent="0.25">
      <c r="A1171">
        <v>2015</v>
      </c>
      <c r="B1171" t="s">
        <v>66</v>
      </c>
      <c r="C1171">
        <v>938.15</v>
      </c>
      <c r="D1171" t="s">
        <v>64</v>
      </c>
      <c r="E1171" t="s">
        <v>14</v>
      </c>
      <c r="F1171" t="s">
        <v>72</v>
      </c>
      <c r="G1171" t="s">
        <v>34</v>
      </c>
      <c r="H1171" t="s">
        <v>35</v>
      </c>
      <c r="I1171">
        <v>47.6</v>
      </c>
      <c r="J1171">
        <v>81.900000000000006</v>
      </c>
      <c r="K1171">
        <v>47.6</v>
      </c>
      <c r="L1171">
        <v>1970.9033613445381</v>
      </c>
    </row>
    <row r="1172" spans="1:12" hidden="1" x14ac:dyDescent="0.25">
      <c r="A1172">
        <v>2015</v>
      </c>
      <c r="B1172" t="s">
        <v>12</v>
      </c>
      <c r="C1172">
        <v>620.89</v>
      </c>
      <c r="D1172" t="s">
        <v>64</v>
      </c>
      <c r="E1172" t="s">
        <v>14</v>
      </c>
      <c r="F1172" t="s">
        <v>72</v>
      </c>
      <c r="G1172" t="s">
        <v>36</v>
      </c>
      <c r="H1172" t="s">
        <v>37</v>
      </c>
      <c r="I1172">
        <v>109.79561218418</v>
      </c>
      <c r="J1172">
        <v>96.211353938038002</v>
      </c>
      <c r="K1172">
        <v>109.79561218418</v>
      </c>
      <c r="L1172">
        <v>565.49618664038144</v>
      </c>
    </row>
    <row r="1173" spans="1:12" hidden="1" x14ac:dyDescent="0.25">
      <c r="A1173">
        <v>2015</v>
      </c>
      <c r="B1173" t="s">
        <v>66</v>
      </c>
      <c r="C1173">
        <v>2356.61</v>
      </c>
      <c r="D1173" t="s">
        <v>64</v>
      </c>
      <c r="E1173" t="s">
        <v>14</v>
      </c>
      <c r="F1173" t="s">
        <v>72</v>
      </c>
      <c r="G1173" t="s">
        <v>36</v>
      </c>
      <c r="H1173" t="s">
        <v>37</v>
      </c>
      <c r="I1173">
        <v>95.7</v>
      </c>
      <c r="J1173">
        <v>81.900000000000006</v>
      </c>
      <c r="K1173">
        <v>95.7</v>
      </c>
      <c r="L1173">
        <v>2462.4973876698009</v>
      </c>
    </row>
    <row r="1174" spans="1:12" hidden="1" x14ac:dyDescent="0.25">
      <c r="A1174">
        <v>2015</v>
      </c>
      <c r="B1174" t="s">
        <v>12</v>
      </c>
      <c r="C1174">
        <v>230.74</v>
      </c>
      <c r="D1174" t="s">
        <v>64</v>
      </c>
      <c r="E1174" t="s">
        <v>14</v>
      </c>
      <c r="F1174" t="s">
        <v>72</v>
      </c>
      <c r="G1174" t="s">
        <v>38</v>
      </c>
      <c r="H1174" t="s">
        <v>39</v>
      </c>
      <c r="I1174">
        <v>109.79561218418</v>
      </c>
      <c r="J1174">
        <v>96.211353938038002</v>
      </c>
      <c r="K1174">
        <v>109.79561218418</v>
      </c>
      <c r="L1174">
        <v>210.15411764628459</v>
      </c>
    </row>
    <row r="1175" spans="1:12" hidden="1" x14ac:dyDescent="0.25">
      <c r="A1175">
        <v>2015</v>
      </c>
      <c r="B1175" t="s">
        <v>66</v>
      </c>
      <c r="C1175">
        <v>609.67999999999995</v>
      </c>
      <c r="D1175" t="s">
        <v>64</v>
      </c>
      <c r="E1175" t="s">
        <v>14</v>
      </c>
      <c r="F1175" t="s">
        <v>72</v>
      </c>
      <c r="G1175" t="s">
        <v>38</v>
      </c>
      <c r="H1175" t="s">
        <v>39</v>
      </c>
      <c r="I1175">
        <v>95.7</v>
      </c>
      <c r="J1175">
        <v>81.900000000000006</v>
      </c>
      <c r="K1175">
        <v>95.7</v>
      </c>
      <c r="L1175">
        <v>637.07419017763846</v>
      </c>
    </row>
    <row r="1176" spans="1:12" hidden="1" x14ac:dyDescent="0.25">
      <c r="A1176">
        <v>2015</v>
      </c>
      <c r="B1176" t="s">
        <v>12</v>
      </c>
      <c r="C1176">
        <v>480.93</v>
      </c>
      <c r="D1176" t="s">
        <v>64</v>
      </c>
      <c r="E1176" t="s">
        <v>14</v>
      </c>
      <c r="F1176" t="s">
        <v>72</v>
      </c>
      <c r="G1176" t="s">
        <v>40</v>
      </c>
      <c r="H1176" t="s">
        <v>41</v>
      </c>
      <c r="I1176">
        <v>109.79561218418</v>
      </c>
      <c r="J1176">
        <v>96.211353938038002</v>
      </c>
      <c r="K1176">
        <v>109.79561218418</v>
      </c>
      <c r="L1176">
        <v>438.02296870775609</v>
      </c>
    </row>
    <row r="1177" spans="1:12" hidden="1" x14ac:dyDescent="0.25">
      <c r="A1177">
        <v>2015</v>
      </c>
      <c r="B1177" t="s">
        <v>66</v>
      </c>
      <c r="C1177">
        <v>1501.97</v>
      </c>
      <c r="D1177" t="s">
        <v>64</v>
      </c>
      <c r="E1177" t="s">
        <v>14</v>
      </c>
      <c r="F1177" t="s">
        <v>72</v>
      </c>
      <c r="G1177" t="s">
        <v>40</v>
      </c>
      <c r="H1177" t="s">
        <v>41</v>
      </c>
      <c r="I1177">
        <v>81.900000000000006</v>
      </c>
      <c r="J1177">
        <v>81.900000000000006</v>
      </c>
      <c r="K1177">
        <v>81.900000000000006</v>
      </c>
      <c r="L1177">
        <v>1833.9072039072039</v>
      </c>
    </row>
    <row r="1178" spans="1:12" hidden="1" x14ac:dyDescent="0.25">
      <c r="A1178">
        <v>2015</v>
      </c>
      <c r="B1178" t="s">
        <v>12</v>
      </c>
      <c r="C1178">
        <v>300.94</v>
      </c>
      <c r="D1178" t="s">
        <v>64</v>
      </c>
      <c r="E1178" t="s">
        <v>14</v>
      </c>
      <c r="F1178" t="s">
        <v>72</v>
      </c>
      <c r="G1178" t="s">
        <v>42</v>
      </c>
      <c r="H1178" t="s">
        <v>43</v>
      </c>
      <c r="I1178">
        <v>93.364041500221006</v>
      </c>
      <c r="J1178">
        <v>96.211353938038002</v>
      </c>
      <c r="K1178">
        <v>93.364041500221006</v>
      </c>
      <c r="L1178">
        <v>322.32966264564237</v>
      </c>
    </row>
    <row r="1179" spans="1:12" hidden="1" x14ac:dyDescent="0.25">
      <c r="A1179">
        <v>2015</v>
      </c>
      <c r="B1179" t="s">
        <v>66</v>
      </c>
      <c r="C1179">
        <v>1413.23</v>
      </c>
      <c r="D1179" t="s">
        <v>64</v>
      </c>
      <c r="E1179" t="s">
        <v>14</v>
      </c>
      <c r="F1179" t="s">
        <v>72</v>
      </c>
      <c r="G1179" t="s">
        <v>42</v>
      </c>
      <c r="H1179" t="s">
        <v>43</v>
      </c>
      <c r="I1179">
        <v>80.2</v>
      </c>
      <c r="J1179">
        <v>81.900000000000006</v>
      </c>
      <c r="K1179">
        <v>80.2</v>
      </c>
      <c r="L1179">
        <v>1762.1321695760601</v>
      </c>
    </row>
    <row r="1180" spans="1:12" hidden="1" x14ac:dyDescent="0.25">
      <c r="A1180">
        <v>2015</v>
      </c>
      <c r="B1180" t="s">
        <v>12</v>
      </c>
      <c r="C1180">
        <v>108.23</v>
      </c>
      <c r="D1180" t="s">
        <v>64</v>
      </c>
      <c r="E1180" t="s">
        <v>14</v>
      </c>
      <c r="F1180" t="s">
        <v>72</v>
      </c>
      <c r="G1180" t="s">
        <v>44</v>
      </c>
      <c r="H1180" t="s">
        <v>45</v>
      </c>
      <c r="I1180">
        <v>93.364041500221006</v>
      </c>
      <c r="J1180">
        <v>96.211353938038002</v>
      </c>
      <c r="K1180">
        <v>93.364041500221006</v>
      </c>
      <c r="L1180">
        <v>115.92257389558679</v>
      </c>
    </row>
    <row r="1181" spans="1:12" hidden="1" x14ac:dyDescent="0.25">
      <c r="A1181">
        <v>2015</v>
      </c>
      <c r="B1181" t="s">
        <v>66</v>
      </c>
      <c r="C1181">
        <v>1314.14</v>
      </c>
      <c r="D1181" t="s">
        <v>64</v>
      </c>
      <c r="E1181" t="s">
        <v>14</v>
      </c>
      <c r="F1181" t="s">
        <v>72</v>
      </c>
      <c r="G1181" t="s">
        <v>44</v>
      </c>
      <c r="H1181" t="s">
        <v>45</v>
      </c>
      <c r="I1181">
        <v>73.2</v>
      </c>
      <c r="J1181">
        <v>81.900000000000006</v>
      </c>
      <c r="K1181">
        <v>73.2</v>
      </c>
      <c r="L1181">
        <v>1795.273224043716</v>
      </c>
    </row>
    <row r="1182" spans="1:12" hidden="1" x14ac:dyDescent="0.25">
      <c r="A1182">
        <v>2015</v>
      </c>
      <c r="B1182" t="s">
        <v>12</v>
      </c>
      <c r="C1182">
        <v>1756.04</v>
      </c>
      <c r="D1182" t="s">
        <v>64</v>
      </c>
      <c r="E1182" t="s">
        <v>14</v>
      </c>
      <c r="F1182" t="s">
        <v>72</v>
      </c>
      <c r="G1182" t="s">
        <v>46</v>
      </c>
      <c r="H1182" t="s">
        <v>47</v>
      </c>
      <c r="I1182">
        <v>95.958177771508005</v>
      </c>
      <c r="J1182">
        <v>96.211353938038002</v>
      </c>
      <c r="K1182">
        <v>95.958177771508005</v>
      </c>
      <c r="L1182">
        <v>1830.0055719913901</v>
      </c>
    </row>
    <row r="1183" spans="1:12" hidden="1" x14ac:dyDescent="0.25">
      <c r="A1183">
        <v>2015</v>
      </c>
      <c r="B1183" t="s">
        <v>66</v>
      </c>
      <c r="C1183">
        <v>1658.75</v>
      </c>
      <c r="D1183" t="s">
        <v>64</v>
      </c>
      <c r="E1183" t="s">
        <v>14</v>
      </c>
      <c r="F1183" t="s">
        <v>72</v>
      </c>
      <c r="G1183" t="s">
        <v>46</v>
      </c>
      <c r="H1183" t="s">
        <v>47</v>
      </c>
      <c r="I1183">
        <v>76</v>
      </c>
      <c r="J1183">
        <v>81.900000000000006</v>
      </c>
      <c r="K1183">
        <v>76</v>
      </c>
      <c r="L1183">
        <v>2182.5657894736842</v>
      </c>
    </row>
    <row r="1184" spans="1:12" hidden="1" x14ac:dyDescent="0.25">
      <c r="A1184">
        <v>2015</v>
      </c>
      <c r="B1184" t="s">
        <v>12</v>
      </c>
      <c r="C1184">
        <v>41.18</v>
      </c>
      <c r="D1184" t="s">
        <v>64</v>
      </c>
      <c r="E1184" t="s">
        <v>14</v>
      </c>
      <c r="F1184" t="s">
        <v>72</v>
      </c>
      <c r="G1184" t="s">
        <v>48</v>
      </c>
      <c r="H1184" t="s">
        <v>49</v>
      </c>
      <c r="I1184">
        <v>95.958177771508005</v>
      </c>
      <c r="J1184">
        <v>96.211353938038002</v>
      </c>
      <c r="K1184">
        <v>95.958177771508005</v>
      </c>
      <c r="L1184">
        <v>42.914528971211048</v>
      </c>
    </row>
    <row r="1185" spans="1:12" hidden="1" x14ac:dyDescent="0.25">
      <c r="A1185">
        <v>2015</v>
      </c>
      <c r="B1185" t="s">
        <v>66</v>
      </c>
      <c r="C1185">
        <v>2642.18</v>
      </c>
      <c r="D1185" t="s">
        <v>64</v>
      </c>
      <c r="E1185" t="s">
        <v>14</v>
      </c>
      <c r="F1185" t="s">
        <v>72</v>
      </c>
      <c r="G1185" t="s">
        <v>48</v>
      </c>
      <c r="H1185" t="s">
        <v>49</v>
      </c>
      <c r="I1185">
        <v>83.4</v>
      </c>
      <c r="J1185">
        <v>81.900000000000006</v>
      </c>
      <c r="K1185">
        <v>83.4</v>
      </c>
      <c r="L1185">
        <v>3168.0815347721818</v>
      </c>
    </row>
    <row r="1186" spans="1:12" hidden="1" x14ac:dyDescent="0.25">
      <c r="A1186">
        <v>2015</v>
      </c>
      <c r="B1186" t="s">
        <v>12</v>
      </c>
      <c r="C1186">
        <v>146.49</v>
      </c>
      <c r="D1186" t="s">
        <v>64</v>
      </c>
      <c r="E1186" t="s">
        <v>14</v>
      </c>
      <c r="F1186" t="s">
        <v>72</v>
      </c>
      <c r="G1186" t="s">
        <v>50</v>
      </c>
      <c r="H1186" t="s">
        <v>51</v>
      </c>
      <c r="I1186">
        <v>95.958177771508005</v>
      </c>
      <c r="J1186">
        <v>96.211353938038002</v>
      </c>
      <c r="K1186">
        <v>95.958177771508005</v>
      </c>
      <c r="L1186">
        <v>152.66025616786561</v>
      </c>
    </row>
    <row r="1187" spans="1:12" hidden="1" x14ac:dyDescent="0.25">
      <c r="A1187">
        <v>2015</v>
      </c>
      <c r="B1187" t="s">
        <v>66</v>
      </c>
      <c r="C1187">
        <v>3540.65</v>
      </c>
      <c r="D1187" t="s">
        <v>64</v>
      </c>
      <c r="E1187" t="s">
        <v>14</v>
      </c>
      <c r="F1187" t="s">
        <v>72</v>
      </c>
      <c r="G1187" t="s">
        <v>50</v>
      </c>
      <c r="H1187" t="s">
        <v>51</v>
      </c>
      <c r="I1187">
        <v>84.9</v>
      </c>
      <c r="J1187">
        <v>81.900000000000006</v>
      </c>
      <c r="K1187">
        <v>84.9</v>
      </c>
      <c r="L1187">
        <v>4170.3769140164904</v>
      </c>
    </row>
    <row r="1188" spans="1:12" hidden="1" x14ac:dyDescent="0.25">
      <c r="A1188">
        <v>2015</v>
      </c>
      <c r="B1188" t="s">
        <v>12</v>
      </c>
      <c r="C1188">
        <v>1000.23</v>
      </c>
      <c r="D1188" t="s">
        <v>64</v>
      </c>
      <c r="E1188" t="s">
        <v>14</v>
      </c>
      <c r="F1188" t="s">
        <v>72</v>
      </c>
      <c r="G1188" t="s">
        <v>52</v>
      </c>
      <c r="H1188" t="s">
        <v>53</v>
      </c>
      <c r="I1188">
        <v>95.958177771508005</v>
      </c>
      <c r="J1188">
        <v>96.211353938038002</v>
      </c>
      <c r="K1188">
        <v>95.958177771508005</v>
      </c>
      <c r="L1188">
        <v>1042.360352425314</v>
      </c>
    </row>
    <row r="1189" spans="1:12" hidden="1" x14ac:dyDescent="0.25">
      <c r="A1189">
        <v>2015</v>
      </c>
      <c r="B1189" t="s">
        <v>66</v>
      </c>
      <c r="C1189">
        <v>3224.5</v>
      </c>
      <c r="D1189" t="s">
        <v>64</v>
      </c>
      <c r="E1189" t="s">
        <v>14</v>
      </c>
      <c r="F1189" t="s">
        <v>72</v>
      </c>
      <c r="G1189" t="s">
        <v>52</v>
      </c>
      <c r="H1189" t="s">
        <v>53</v>
      </c>
      <c r="I1189">
        <v>82.9</v>
      </c>
      <c r="J1189">
        <v>81.900000000000006</v>
      </c>
      <c r="K1189">
        <v>82.9</v>
      </c>
      <c r="L1189">
        <v>3889.6260554885398</v>
      </c>
    </row>
    <row r="1190" spans="1:12" hidden="1" x14ac:dyDescent="0.25">
      <c r="A1190">
        <v>2015</v>
      </c>
      <c r="B1190" t="s">
        <v>12</v>
      </c>
      <c r="C1190">
        <v>6</v>
      </c>
      <c r="D1190" t="s">
        <v>64</v>
      </c>
      <c r="E1190" t="s">
        <v>14</v>
      </c>
      <c r="F1190" t="s">
        <v>72</v>
      </c>
      <c r="G1190" t="s">
        <v>54</v>
      </c>
      <c r="H1190" t="s">
        <v>55</v>
      </c>
      <c r="I1190">
        <v>95.958177771508005</v>
      </c>
      <c r="J1190">
        <v>96.211353938038002</v>
      </c>
      <c r="K1190">
        <v>95.958177771508005</v>
      </c>
      <c r="L1190">
        <v>6.252723988034635</v>
      </c>
    </row>
    <row r="1191" spans="1:12" hidden="1" x14ac:dyDescent="0.25">
      <c r="A1191">
        <v>2015</v>
      </c>
      <c r="B1191" t="s">
        <v>66</v>
      </c>
      <c r="C1191">
        <v>7</v>
      </c>
      <c r="D1191" t="s">
        <v>64</v>
      </c>
      <c r="E1191" t="s">
        <v>14</v>
      </c>
      <c r="F1191" t="s">
        <v>72</v>
      </c>
      <c r="G1191" t="s">
        <v>54</v>
      </c>
      <c r="H1191" t="s">
        <v>55</v>
      </c>
      <c r="I1191">
        <v>82.9</v>
      </c>
      <c r="J1191">
        <v>81.900000000000006</v>
      </c>
      <c r="K1191">
        <v>82.9</v>
      </c>
      <c r="L1191">
        <v>8.443908323281061</v>
      </c>
    </row>
    <row r="1192" spans="1:12" hidden="1" x14ac:dyDescent="0.25">
      <c r="A1192">
        <v>2015</v>
      </c>
      <c r="B1192" t="s">
        <v>12</v>
      </c>
      <c r="C1192">
        <v>2.31</v>
      </c>
      <c r="D1192" t="s">
        <v>64</v>
      </c>
      <c r="E1192" t="s">
        <v>14</v>
      </c>
      <c r="F1192" t="s">
        <v>72</v>
      </c>
      <c r="G1192" t="s">
        <v>56</v>
      </c>
      <c r="H1192" t="s">
        <v>57</v>
      </c>
      <c r="I1192">
        <v>95.958177771508005</v>
      </c>
      <c r="J1192">
        <v>96.211353938038002</v>
      </c>
      <c r="K1192">
        <v>95.958177771508005</v>
      </c>
      <c r="L1192">
        <v>2.4072987353933351</v>
      </c>
    </row>
    <row r="1193" spans="1:12" hidden="1" x14ac:dyDescent="0.25">
      <c r="A1193">
        <v>2015</v>
      </c>
      <c r="B1193" t="s">
        <v>66</v>
      </c>
      <c r="C1193">
        <v>124.49</v>
      </c>
      <c r="D1193" t="s">
        <v>64</v>
      </c>
      <c r="E1193" t="s">
        <v>14</v>
      </c>
      <c r="F1193" t="s">
        <v>72</v>
      </c>
      <c r="G1193" t="s">
        <v>56</v>
      </c>
      <c r="H1193" t="s">
        <v>57</v>
      </c>
      <c r="I1193">
        <v>82.9</v>
      </c>
      <c r="J1193">
        <v>81.900000000000006</v>
      </c>
      <c r="K1193">
        <v>82.9</v>
      </c>
      <c r="L1193">
        <v>150.16887816646559</v>
      </c>
    </row>
    <row r="1194" spans="1:12" hidden="1" x14ac:dyDescent="0.25">
      <c r="A1194">
        <v>2015</v>
      </c>
      <c r="B1194" t="s">
        <v>12</v>
      </c>
      <c r="C1194">
        <v>280.43</v>
      </c>
      <c r="D1194" t="s">
        <v>64</v>
      </c>
      <c r="E1194" t="s">
        <v>14</v>
      </c>
      <c r="F1194" t="s">
        <v>72</v>
      </c>
      <c r="G1194" t="s">
        <v>58</v>
      </c>
      <c r="H1194" t="s">
        <v>59</v>
      </c>
      <c r="I1194">
        <v>107.1615082093</v>
      </c>
      <c r="J1194">
        <v>96.211353938038002</v>
      </c>
      <c r="K1194">
        <v>107.1615082093</v>
      </c>
      <c r="L1194">
        <v>261.68911271040042</v>
      </c>
    </row>
    <row r="1195" spans="1:12" hidden="1" x14ac:dyDescent="0.25">
      <c r="A1195">
        <v>2015</v>
      </c>
      <c r="B1195" t="s">
        <v>66</v>
      </c>
      <c r="C1195">
        <v>173.95</v>
      </c>
      <c r="D1195" t="s">
        <v>64</v>
      </c>
      <c r="E1195" t="s">
        <v>14</v>
      </c>
      <c r="F1195" t="s">
        <v>72</v>
      </c>
      <c r="G1195" t="s">
        <v>58</v>
      </c>
      <c r="H1195" t="s">
        <v>59</v>
      </c>
      <c r="I1195">
        <v>85.5</v>
      </c>
      <c r="J1195">
        <v>81.900000000000006</v>
      </c>
      <c r="K1195">
        <v>85.5</v>
      </c>
      <c r="L1195">
        <v>203.4502923976608</v>
      </c>
    </row>
    <row r="1196" spans="1:12" hidden="1" x14ac:dyDescent="0.25">
      <c r="A1196">
        <v>2015</v>
      </c>
      <c r="B1196" t="s">
        <v>12</v>
      </c>
      <c r="C1196">
        <v>20.82</v>
      </c>
      <c r="D1196" t="s">
        <v>64</v>
      </c>
      <c r="E1196" t="s">
        <v>14</v>
      </c>
      <c r="F1196" t="s">
        <v>72</v>
      </c>
      <c r="G1196" t="s">
        <v>60</v>
      </c>
      <c r="H1196" t="s">
        <v>61</v>
      </c>
      <c r="J1196">
        <v>96.211353938038002</v>
      </c>
      <c r="K1196">
        <v>96.211353938038002</v>
      </c>
      <c r="L1196">
        <v>21.639857613279709</v>
      </c>
    </row>
    <row r="1197" spans="1:12" hidden="1" x14ac:dyDescent="0.25">
      <c r="A1197">
        <v>2015</v>
      </c>
      <c r="B1197" t="s">
        <v>66</v>
      </c>
      <c r="C1197">
        <v>110.82</v>
      </c>
      <c r="D1197" t="s">
        <v>64</v>
      </c>
      <c r="E1197" t="s">
        <v>14</v>
      </c>
      <c r="F1197" t="s">
        <v>72</v>
      </c>
      <c r="G1197" t="s">
        <v>60</v>
      </c>
      <c r="H1197" t="s">
        <v>61</v>
      </c>
      <c r="I1197">
        <v>86.4</v>
      </c>
      <c r="J1197">
        <v>81.900000000000006</v>
      </c>
      <c r="K1197">
        <v>86.4</v>
      </c>
      <c r="L1197">
        <v>128.26388888888891</v>
      </c>
    </row>
    <row r="1198" spans="1:12" hidden="1" x14ac:dyDescent="0.25">
      <c r="A1198">
        <v>2015</v>
      </c>
      <c r="B1198" t="s">
        <v>12</v>
      </c>
      <c r="C1198">
        <v>681.62</v>
      </c>
      <c r="D1198" t="s">
        <v>64</v>
      </c>
      <c r="E1198" t="s">
        <v>14</v>
      </c>
      <c r="F1198" t="s">
        <v>72</v>
      </c>
      <c r="G1198" t="s">
        <v>62</v>
      </c>
      <c r="H1198" t="s">
        <v>63</v>
      </c>
      <c r="I1198">
        <v>95.958177771508005</v>
      </c>
      <c r="J1198">
        <v>96.211353938038002</v>
      </c>
      <c r="K1198">
        <v>95.958177771508005</v>
      </c>
      <c r="L1198">
        <v>710.33028745402794</v>
      </c>
    </row>
    <row r="1199" spans="1:12" hidden="1" x14ac:dyDescent="0.25">
      <c r="A1199">
        <v>2015</v>
      </c>
      <c r="B1199" t="s">
        <v>12</v>
      </c>
      <c r="C1199">
        <v>853.65</v>
      </c>
      <c r="D1199" t="s">
        <v>64</v>
      </c>
      <c r="E1199" t="s">
        <v>14</v>
      </c>
      <c r="F1199" t="s">
        <v>72</v>
      </c>
      <c r="G1199" t="s">
        <v>16</v>
      </c>
      <c r="H1199" t="s">
        <v>17</v>
      </c>
      <c r="J1199">
        <v>96.211353938038002</v>
      </c>
      <c r="K1199">
        <v>96.211353938038002</v>
      </c>
      <c r="L1199">
        <v>887.2653434954957</v>
      </c>
    </row>
    <row r="1200" spans="1:12" hidden="1" x14ac:dyDescent="0.25">
      <c r="A1200">
        <v>2015</v>
      </c>
      <c r="B1200" t="s">
        <v>12</v>
      </c>
      <c r="C1200">
        <v>19.53</v>
      </c>
      <c r="D1200" t="s">
        <v>64</v>
      </c>
      <c r="E1200" t="s">
        <v>14</v>
      </c>
      <c r="F1200" t="s">
        <v>72</v>
      </c>
      <c r="G1200" t="s">
        <v>73</v>
      </c>
      <c r="H1200" t="s">
        <v>74</v>
      </c>
      <c r="I1200">
        <v>95.958177771508005</v>
      </c>
      <c r="J1200">
        <v>96.211353938038002</v>
      </c>
      <c r="K1200">
        <v>95.958177771508005</v>
      </c>
      <c r="L1200">
        <v>20.35261658105274</v>
      </c>
    </row>
    <row r="1201" spans="1:12" hidden="1" x14ac:dyDescent="0.25">
      <c r="A1201">
        <v>2015</v>
      </c>
      <c r="B1201" t="s">
        <v>66</v>
      </c>
      <c r="C1201">
        <v>1473.86</v>
      </c>
      <c r="D1201" t="s">
        <v>64</v>
      </c>
      <c r="E1201" t="s">
        <v>14</v>
      </c>
      <c r="F1201" t="s">
        <v>72</v>
      </c>
      <c r="G1201" t="s">
        <v>73</v>
      </c>
      <c r="H1201" t="s">
        <v>74</v>
      </c>
      <c r="I1201">
        <v>82.9</v>
      </c>
      <c r="J1201">
        <v>81.900000000000006</v>
      </c>
      <c r="K1201">
        <v>82.9</v>
      </c>
      <c r="L1201">
        <v>1777.876960193003</v>
      </c>
    </row>
    <row r="1202" spans="1:12" hidden="1" x14ac:dyDescent="0.25">
      <c r="A1202">
        <v>2016</v>
      </c>
      <c r="B1202" t="s">
        <v>12</v>
      </c>
      <c r="C1202">
        <v>17.84</v>
      </c>
      <c r="D1202" t="s">
        <v>64</v>
      </c>
      <c r="E1202" t="s">
        <v>14</v>
      </c>
      <c r="F1202" t="s">
        <v>72</v>
      </c>
      <c r="G1202" t="s">
        <v>73</v>
      </c>
      <c r="H1202" t="s">
        <v>74</v>
      </c>
      <c r="I1202">
        <v>101.10423088160999</v>
      </c>
      <c r="J1202">
        <v>95.629262636448004</v>
      </c>
      <c r="K1202">
        <v>101.10423088160999</v>
      </c>
      <c r="L1202">
        <v>17.645156730275811</v>
      </c>
    </row>
    <row r="1203" spans="1:12" hidden="1" x14ac:dyDescent="0.25">
      <c r="A1203">
        <v>2016</v>
      </c>
      <c r="B1203" t="s">
        <v>66</v>
      </c>
      <c r="C1203">
        <v>1334.72</v>
      </c>
      <c r="D1203" t="s">
        <v>64</v>
      </c>
      <c r="E1203" t="s">
        <v>14</v>
      </c>
      <c r="F1203" t="s">
        <v>72</v>
      </c>
      <c r="G1203" t="s">
        <v>73</v>
      </c>
      <c r="H1203" t="s">
        <v>74</v>
      </c>
      <c r="I1203">
        <v>93.3</v>
      </c>
      <c r="J1203">
        <v>87.8</v>
      </c>
      <c r="K1203">
        <v>93.3</v>
      </c>
      <c r="L1203">
        <v>1430.5680600214359</v>
      </c>
    </row>
    <row r="1204" spans="1:12" hidden="1" x14ac:dyDescent="0.25">
      <c r="A1204">
        <v>2017</v>
      </c>
      <c r="B1204" t="s">
        <v>12</v>
      </c>
      <c r="C1204">
        <v>18.440000000000001</v>
      </c>
      <c r="D1204" t="s">
        <v>64</v>
      </c>
      <c r="E1204" t="s">
        <v>14</v>
      </c>
      <c r="F1204" t="s">
        <v>72</v>
      </c>
      <c r="G1204" t="s">
        <v>73</v>
      </c>
      <c r="H1204" t="s">
        <v>74</v>
      </c>
      <c r="I1204">
        <v>98.189528995325006</v>
      </c>
      <c r="J1204">
        <v>95.003435419368998</v>
      </c>
      <c r="K1204">
        <v>98.189528995325006</v>
      </c>
      <c r="L1204">
        <v>18.78000657369277</v>
      </c>
    </row>
    <row r="1205" spans="1:12" hidden="1" x14ac:dyDescent="0.25">
      <c r="A1205">
        <v>2017</v>
      </c>
      <c r="B1205" t="s">
        <v>66</v>
      </c>
      <c r="C1205">
        <v>1527.19</v>
      </c>
      <c r="D1205" t="s">
        <v>64</v>
      </c>
      <c r="E1205" t="s">
        <v>14</v>
      </c>
      <c r="F1205" t="s">
        <v>72</v>
      </c>
      <c r="G1205" t="s">
        <v>73</v>
      </c>
      <c r="H1205" t="s">
        <v>74</v>
      </c>
      <c r="I1205">
        <v>97</v>
      </c>
      <c r="J1205">
        <v>94.3</v>
      </c>
      <c r="K1205">
        <v>97</v>
      </c>
      <c r="L1205">
        <v>1574.4226804123709</v>
      </c>
    </row>
    <row r="1206" spans="1:12" hidden="1" x14ac:dyDescent="0.25">
      <c r="A1206">
        <v>2018</v>
      </c>
      <c r="B1206" t="s">
        <v>12</v>
      </c>
      <c r="C1206">
        <v>37.75</v>
      </c>
      <c r="D1206" t="s">
        <v>64</v>
      </c>
      <c r="E1206" t="s">
        <v>14</v>
      </c>
      <c r="F1206" t="s">
        <v>72</v>
      </c>
      <c r="G1206" t="s">
        <v>73</v>
      </c>
      <c r="H1206" t="s">
        <v>74</v>
      </c>
      <c r="I1206">
        <v>100</v>
      </c>
      <c r="J1206">
        <v>99.999999999999005</v>
      </c>
      <c r="K1206">
        <v>100</v>
      </c>
      <c r="L1206">
        <v>37.75</v>
      </c>
    </row>
    <row r="1207" spans="1:12" hidden="1" x14ac:dyDescent="0.25">
      <c r="A1207">
        <v>2018</v>
      </c>
      <c r="B1207" t="s">
        <v>66</v>
      </c>
      <c r="C1207">
        <v>1729.36</v>
      </c>
      <c r="D1207" t="s">
        <v>64</v>
      </c>
      <c r="E1207" t="s">
        <v>14</v>
      </c>
      <c r="F1207" t="s">
        <v>72</v>
      </c>
      <c r="G1207" t="s">
        <v>73</v>
      </c>
      <c r="H1207" t="s">
        <v>74</v>
      </c>
      <c r="I1207">
        <v>100</v>
      </c>
      <c r="J1207">
        <v>100</v>
      </c>
      <c r="K1207">
        <v>100</v>
      </c>
      <c r="L1207">
        <v>1729.36</v>
      </c>
    </row>
    <row r="1208" spans="1:12" hidden="1" x14ac:dyDescent="0.25">
      <c r="A1208">
        <v>2019</v>
      </c>
      <c r="B1208" t="s">
        <v>12</v>
      </c>
      <c r="C1208">
        <v>18.47</v>
      </c>
      <c r="D1208" t="s">
        <v>64</v>
      </c>
      <c r="E1208" t="s">
        <v>14</v>
      </c>
      <c r="F1208" t="s">
        <v>72</v>
      </c>
      <c r="G1208" t="s">
        <v>73</v>
      </c>
      <c r="H1208" t="s">
        <v>74</v>
      </c>
      <c r="I1208">
        <v>106.59709315790001</v>
      </c>
      <c r="J1208">
        <v>98.151526954033002</v>
      </c>
      <c r="K1208">
        <v>106.59709315790001</v>
      </c>
      <c r="L1208">
        <v>17.326926516317641</v>
      </c>
    </row>
    <row r="1209" spans="1:12" hidden="1" x14ac:dyDescent="0.25">
      <c r="A1209">
        <v>2019</v>
      </c>
      <c r="B1209" t="s">
        <v>66</v>
      </c>
      <c r="C1209">
        <v>1877.94</v>
      </c>
      <c r="D1209" t="s">
        <v>64</v>
      </c>
      <c r="E1209" t="s">
        <v>14</v>
      </c>
      <c r="F1209" t="s">
        <v>72</v>
      </c>
      <c r="G1209" t="s">
        <v>73</v>
      </c>
      <c r="H1209" t="s">
        <v>74</v>
      </c>
      <c r="I1209">
        <v>102.2</v>
      </c>
      <c r="J1209">
        <v>102.4</v>
      </c>
      <c r="K1209">
        <v>102.2</v>
      </c>
      <c r="L1209">
        <v>1837.514677103718</v>
      </c>
    </row>
    <row r="1210" spans="1:12" hidden="1" x14ac:dyDescent="0.25">
      <c r="A1210">
        <v>2020</v>
      </c>
      <c r="B1210" t="s">
        <v>12</v>
      </c>
      <c r="C1210">
        <v>99.71</v>
      </c>
      <c r="D1210" t="s">
        <v>64</v>
      </c>
      <c r="E1210" t="s">
        <v>14</v>
      </c>
      <c r="F1210" t="s">
        <v>72</v>
      </c>
      <c r="G1210" t="s">
        <v>34</v>
      </c>
      <c r="H1210" t="s">
        <v>35</v>
      </c>
      <c r="I1210">
        <v>100.20302658438</v>
      </c>
      <c r="J1210">
        <v>103.59652904204</v>
      </c>
      <c r="K1210">
        <v>100.20302658438</v>
      </c>
      <c r="L1210">
        <v>99.507972362526559</v>
      </c>
    </row>
    <row r="1211" spans="1:12" hidden="1" x14ac:dyDescent="0.25">
      <c r="A1211">
        <v>2020</v>
      </c>
      <c r="B1211" t="s">
        <v>12</v>
      </c>
      <c r="C1211">
        <v>118.98</v>
      </c>
      <c r="D1211" t="s">
        <v>64</v>
      </c>
      <c r="E1211" t="s">
        <v>14</v>
      </c>
      <c r="F1211" t="s">
        <v>72</v>
      </c>
      <c r="G1211" t="s">
        <v>73</v>
      </c>
      <c r="H1211" t="s">
        <v>74</v>
      </c>
      <c r="I1211">
        <v>113.44450268036999</v>
      </c>
      <c r="J1211">
        <v>103.59652904204</v>
      </c>
      <c r="K1211">
        <v>113.44450268036999</v>
      </c>
      <c r="L1211">
        <v>104.879476033516</v>
      </c>
    </row>
    <row r="1212" spans="1:12" hidden="1" x14ac:dyDescent="0.25">
      <c r="A1212">
        <v>2020</v>
      </c>
      <c r="B1212" t="s">
        <v>66</v>
      </c>
      <c r="C1212">
        <v>1660.77</v>
      </c>
      <c r="D1212" t="s">
        <v>64</v>
      </c>
      <c r="E1212" t="s">
        <v>14</v>
      </c>
      <c r="F1212" t="s">
        <v>72</v>
      </c>
      <c r="G1212" t="s">
        <v>73</v>
      </c>
      <c r="H1212" t="s">
        <v>74</v>
      </c>
      <c r="I1212">
        <v>111.5</v>
      </c>
      <c r="J1212">
        <v>108.6</v>
      </c>
      <c r="K1212">
        <v>111.5</v>
      </c>
      <c r="L1212">
        <v>1489.4798206278031</v>
      </c>
    </row>
    <row r="1213" spans="1:12" hidden="1" x14ac:dyDescent="0.25">
      <c r="A1213">
        <v>2020</v>
      </c>
      <c r="B1213" t="s">
        <v>12</v>
      </c>
      <c r="C1213">
        <v>6164</v>
      </c>
      <c r="D1213" t="s">
        <v>64</v>
      </c>
      <c r="E1213" t="s">
        <v>14</v>
      </c>
      <c r="F1213" t="s">
        <v>75</v>
      </c>
      <c r="G1213" t="s">
        <v>18</v>
      </c>
      <c r="H1213" t="s">
        <v>19</v>
      </c>
      <c r="I1213">
        <v>107.43342807145</v>
      </c>
      <c r="J1213">
        <v>103.59652904204</v>
      </c>
      <c r="K1213">
        <v>107.43342807145</v>
      </c>
      <c r="L1213">
        <v>5737.5065756075028</v>
      </c>
    </row>
    <row r="1214" spans="1:12" hidden="1" x14ac:dyDescent="0.25">
      <c r="A1214">
        <v>2020</v>
      </c>
      <c r="B1214" t="s">
        <v>66</v>
      </c>
      <c r="C1214">
        <v>21989</v>
      </c>
      <c r="D1214" t="s">
        <v>64</v>
      </c>
      <c r="E1214" t="s">
        <v>14</v>
      </c>
      <c r="F1214" t="s">
        <v>75</v>
      </c>
      <c r="G1214" t="s">
        <v>18</v>
      </c>
      <c r="H1214" t="s">
        <v>19</v>
      </c>
      <c r="I1214">
        <v>107.1</v>
      </c>
      <c r="J1214">
        <v>108.6</v>
      </c>
      <c r="K1214">
        <v>107.1</v>
      </c>
      <c r="L1214">
        <v>20531.279178338002</v>
      </c>
    </row>
    <row r="1215" spans="1:12" hidden="1" x14ac:dyDescent="0.25">
      <c r="A1215">
        <v>2020</v>
      </c>
      <c r="B1215" t="s">
        <v>12</v>
      </c>
      <c r="C1215">
        <v>1012</v>
      </c>
      <c r="D1215" t="s">
        <v>64</v>
      </c>
      <c r="E1215" t="s">
        <v>14</v>
      </c>
      <c r="F1215" t="s">
        <v>75</v>
      </c>
      <c r="G1215" t="s">
        <v>42</v>
      </c>
      <c r="H1215" t="s">
        <v>43</v>
      </c>
      <c r="I1215">
        <v>104.48191541983</v>
      </c>
      <c r="J1215">
        <v>103.59652904204</v>
      </c>
      <c r="K1215">
        <v>104.48191541983</v>
      </c>
      <c r="L1215">
        <v>968.58867482815003</v>
      </c>
    </row>
    <row r="1216" spans="1:12" hidden="1" x14ac:dyDescent="0.25">
      <c r="A1216">
        <v>2020</v>
      </c>
      <c r="B1216" t="s">
        <v>66</v>
      </c>
      <c r="C1216">
        <v>8357</v>
      </c>
      <c r="D1216" t="s">
        <v>64</v>
      </c>
      <c r="E1216" t="s">
        <v>14</v>
      </c>
      <c r="F1216" t="s">
        <v>75</v>
      </c>
      <c r="G1216" t="s">
        <v>42</v>
      </c>
      <c r="H1216" t="s">
        <v>43</v>
      </c>
      <c r="I1216">
        <v>108.2</v>
      </c>
      <c r="J1216">
        <v>108.6</v>
      </c>
      <c r="K1216">
        <v>108.2</v>
      </c>
      <c r="L1216">
        <v>7723.6598890942714</v>
      </c>
    </row>
    <row r="1217" spans="1:12" hidden="1" x14ac:dyDescent="0.25">
      <c r="A1217">
        <v>2020</v>
      </c>
      <c r="B1217" t="s">
        <v>12</v>
      </c>
      <c r="C1217">
        <v>894</v>
      </c>
      <c r="D1217" t="s">
        <v>64</v>
      </c>
      <c r="E1217" t="s">
        <v>14</v>
      </c>
      <c r="F1217" t="s">
        <v>75</v>
      </c>
      <c r="G1217" t="s">
        <v>46</v>
      </c>
      <c r="H1217" t="s">
        <v>47</v>
      </c>
      <c r="I1217">
        <v>113.44450268036999</v>
      </c>
      <c r="J1217">
        <v>103.59652904204</v>
      </c>
      <c r="K1217">
        <v>113.44450268036999</v>
      </c>
      <c r="L1217">
        <v>788.05052592001391</v>
      </c>
    </row>
    <row r="1218" spans="1:12" hidden="1" x14ac:dyDescent="0.25">
      <c r="A1218">
        <v>2020</v>
      </c>
      <c r="B1218" t="s">
        <v>66</v>
      </c>
      <c r="C1218">
        <v>6405</v>
      </c>
      <c r="D1218" t="s">
        <v>64</v>
      </c>
      <c r="E1218" t="s">
        <v>14</v>
      </c>
      <c r="F1218" t="s">
        <v>75</v>
      </c>
      <c r="G1218" t="s">
        <v>46</v>
      </c>
      <c r="H1218" t="s">
        <v>47</v>
      </c>
      <c r="I1218">
        <v>109.5</v>
      </c>
      <c r="J1218">
        <v>108.6</v>
      </c>
      <c r="K1218">
        <v>109.5</v>
      </c>
      <c r="L1218">
        <v>5849.3150684931506</v>
      </c>
    </row>
    <row r="1219" spans="1:12" hidden="1" x14ac:dyDescent="0.25">
      <c r="A1219">
        <v>2020</v>
      </c>
      <c r="B1219" t="s">
        <v>12</v>
      </c>
      <c r="C1219">
        <v>696</v>
      </c>
      <c r="D1219" t="s">
        <v>64</v>
      </c>
      <c r="E1219" t="s">
        <v>14</v>
      </c>
      <c r="F1219" t="s">
        <v>75</v>
      </c>
      <c r="G1219" t="s">
        <v>62</v>
      </c>
      <c r="H1219" t="s">
        <v>63</v>
      </c>
      <c r="I1219">
        <v>113.44450268036999</v>
      </c>
      <c r="J1219">
        <v>103.59652904204</v>
      </c>
      <c r="K1219">
        <v>113.44450268036999</v>
      </c>
      <c r="L1219">
        <v>613.51584568269539</v>
      </c>
    </row>
    <row r="1220" spans="1:12" hidden="1" x14ac:dyDescent="0.25">
      <c r="A1220">
        <v>2020</v>
      </c>
      <c r="B1220" t="s">
        <v>12</v>
      </c>
      <c r="C1220">
        <v>1966</v>
      </c>
      <c r="D1220" t="s">
        <v>64</v>
      </c>
      <c r="E1220" t="s">
        <v>14</v>
      </c>
      <c r="F1220" t="s">
        <v>75</v>
      </c>
      <c r="G1220" t="s">
        <v>20</v>
      </c>
      <c r="H1220" t="s">
        <v>21</v>
      </c>
      <c r="I1220">
        <v>123.69234493793</v>
      </c>
      <c r="J1220">
        <v>103.59652904204</v>
      </c>
      <c r="K1220">
        <v>123.69234493793</v>
      </c>
      <c r="L1220">
        <v>1589.4273820959229</v>
      </c>
    </row>
    <row r="1221" spans="1:12" hidden="1" x14ac:dyDescent="0.25">
      <c r="A1221">
        <v>2020</v>
      </c>
      <c r="B1221" t="s">
        <v>66</v>
      </c>
      <c r="C1221">
        <v>10607</v>
      </c>
      <c r="D1221" t="s">
        <v>64</v>
      </c>
      <c r="E1221" t="s">
        <v>14</v>
      </c>
      <c r="F1221" t="s">
        <v>75</v>
      </c>
      <c r="G1221" t="s">
        <v>20</v>
      </c>
      <c r="H1221" t="s">
        <v>21</v>
      </c>
      <c r="I1221">
        <v>109.5</v>
      </c>
      <c r="J1221">
        <v>108.6</v>
      </c>
      <c r="K1221">
        <v>109.5</v>
      </c>
      <c r="L1221">
        <v>9686.7579908675798</v>
      </c>
    </row>
    <row r="1222" spans="1:12" hidden="1" x14ac:dyDescent="0.25">
      <c r="A1222">
        <v>2020</v>
      </c>
      <c r="B1222" t="s">
        <v>12</v>
      </c>
      <c r="C1222">
        <v>973</v>
      </c>
      <c r="D1222" t="s">
        <v>64</v>
      </c>
      <c r="E1222" t="s">
        <v>14</v>
      </c>
      <c r="F1222" t="s">
        <v>75</v>
      </c>
      <c r="G1222" t="s">
        <v>28</v>
      </c>
      <c r="H1222" t="s">
        <v>29</v>
      </c>
      <c r="I1222">
        <v>110.87139466242</v>
      </c>
      <c r="J1222">
        <v>103.59652904204</v>
      </c>
      <c r="K1222">
        <v>110.87139466242</v>
      </c>
      <c r="L1222">
        <v>877.59336207736874</v>
      </c>
    </row>
    <row r="1223" spans="1:12" hidden="1" x14ac:dyDescent="0.25">
      <c r="A1223">
        <v>2020</v>
      </c>
      <c r="B1223" t="s">
        <v>66</v>
      </c>
      <c r="C1223">
        <v>399</v>
      </c>
      <c r="D1223" t="s">
        <v>64</v>
      </c>
      <c r="E1223" t="s">
        <v>14</v>
      </c>
      <c r="F1223" t="s">
        <v>75</v>
      </c>
      <c r="G1223" t="s">
        <v>28</v>
      </c>
      <c r="H1223" t="s">
        <v>29</v>
      </c>
      <c r="I1223">
        <v>108.1</v>
      </c>
      <c r="J1223">
        <v>108.6</v>
      </c>
      <c r="K1223">
        <v>108.1</v>
      </c>
      <c r="L1223">
        <v>369.10268270120258</v>
      </c>
    </row>
    <row r="1224" spans="1:12" hidden="1" x14ac:dyDescent="0.25">
      <c r="A1224">
        <v>2020</v>
      </c>
      <c r="B1224" t="s">
        <v>12</v>
      </c>
      <c r="C1224">
        <v>1339</v>
      </c>
      <c r="D1224" t="s">
        <v>64</v>
      </c>
      <c r="E1224" t="s">
        <v>14</v>
      </c>
      <c r="F1224" t="s">
        <v>75</v>
      </c>
      <c r="G1224" t="s">
        <v>30</v>
      </c>
      <c r="H1224" t="s">
        <v>31</v>
      </c>
      <c r="I1224">
        <v>65.215368011810995</v>
      </c>
      <c r="J1224">
        <v>103.59652904204</v>
      </c>
      <c r="K1224">
        <v>65.215368011810995</v>
      </c>
      <c r="L1224">
        <v>2053.1970313461961</v>
      </c>
    </row>
    <row r="1225" spans="1:12" hidden="1" x14ac:dyDescent="0.25">
      <c r="A1225">
        <v>2020</v>
      </c>
      <c r="B1225" t="s">
        <v>66</v>
      </c>
      <c r="C1225">
        <v>3111</v>
      </c>
      <c r="D1225" t="s">
        <v>64</v>
      </c>
      <c r="E1225" t="s">
        <v>14</v>
      </c>
      <c r="F1225" t="s">
        <v>75</v>
      </c>
      <c r="G1225" t="s">
        <v>30</v>
      </c>
      <c r="H1225" t="s">
        <v>31</v>
      </c>
      <c r="I1225">
        <v>107.4</v>
      </c>
      <c r="J1225">
        <v>108.6</v>
      </c>
      <c r="K1225">
        <v>107.4</v>
      </c>
      <c r="L1225">
        <v>2896.648044692738</v>
      </c>
    </row>
    <row r="1226" spans="1:12" hidden="1" x14ac:dyDescent="0.25">
      <c r="A1226">
        <v>2020</v>
      </c>
      <c r="B1226" t="s">
        <v>12</v>
      </c>
      <c r="C1226">
        <v>2671</v>
      </c>
      <c r="D1226" t="s">
        <v>64</v>
      </c>
      <c r="E1226" t="s">
        <v>14</v>
      </c>
      <c r="F1226" t="s">
        <v>75</v>
      </c>
      <c r="G1226" t="s">
        <v>36</v>
      </c>
      <c r="H1226" t="s">
        <v>37</v>
      </c>
      <c r="I1226">
        <v>100.20302658438</v>
      </c>
      <c r="J1226">
        <v>103.59652904204</v>
      </c>
      <c r="K1226">
        <v>100.20302658438</v>
      </c>
      <c r="L1226">
        <v>2665.5881474306329</v>
      </c>
    </row>
    <row r="1227" spans="1:12" hidden="1" x14ac:dyDescent="0.25">
      <c r="A1227">
        <v>2020</v>
      </c>
      <c r="B1227" t="s">
        <v>66</v>
      </c>
      <c r="C1227">
        <v>11282</v>
      </c>
      <c r="D1227" t="s">
        <v>64</v>
      </c>
      <c r="E1227" t="s">
        <v>14</v>
      </c>
      <c r="F1227" t="s">
        <v>75</v>
      </c>
      <c r="G1227" t="s">
        <v>36</v>
      </c>
      <c r="H1227" t="s">
        <v>37</v>
      </c>
      <c r="I1227">
        <v>103.9</v>
      </c>
      <c r="J1227">
        <v>108.6</v>
      </c>
      <c r="K1227">
        <v>103.9</v>
      </c>
      <c r="L1227">
        <v>10858.517805582291</v>
      </c>
    </row>
    <row r="1228" spans="1:12" hidden="1" x14ac:dyDescent="0.25">
      <c r="A1228">
        <v>2020</v>
      </c>
      <c r="B1228" t="s">
        <v>12</v>
      </c>
      <c r="C1228">
        <v>379</v>
      </c>
      <c r="D1228" t="s">
        <v>64</v>
      </c>
      <c r="E1228" t="s">
        <v>14</v>
      </c>
      <c r="F1228" t="s">
        <v>75</v>
      </c>
      <c r="G1228" t="s">
        <v>52</v>
      </c>
      <c r="H1228" t="s">
        <v>53</v>
      </c>
      <c r="I1228">
        <v>113.44450268036999</v>
      </c>
      <c r="J1228">
        <v>103.59652904204</v>
      </c>
      <c r="K1228">
        <v>113.44450268036999</v>
      </c>
      <c r="L1228">
        <v>334.08405964618038</v>
      </c>
    </row>
    <row r="1229" spans="1:12" hidden="1" x14ac:dyDescent="0.25">
      <c r="A1229">
        <v>2020</v>
      </c>
      <c r="B1229" t="s">
        <v>66</v>
      </c>
      <c r="C1229">
        <v>13320</v>
      </c>
      <c r="D1229" t="s">
        <v>64</v>
      </c>
      <c r="E1229" t="s">
        <v>14</v>
      </c>
      <c r="F1229" t="s">
        <v>75</v>
      </c>
      <c r="G1229" t="s">
        <v>52</v>
      </c>
      <c r="H1229" t="s">
        <v>53</v>
      </c>
      <c r="I1229">
        <v>110.3</v>
      </c>
      <c r="J1229">
        <v>108.6</v>
      </c>
      <c r="K1229">
        <v>110.3</v>
      </c>
      <c r="L1229">
        <v>12076.155938349961</v>
      </c>
    </row>
    <row r="1230" spans="1:12" hidden="1" x14ac:dyDescent="0.25">
      <c r="A1230">
        <v>2020</v>
      </c>
      <c r="B1230" t="s">
        <v>12</v>
      </c>
      <c r="C1230">
        <v>172</v>
      </c>
      <c r="D1230" t="s">
        <v>64</v>
      </c>
      <c r="E1230" t="s">
        <v>14</v>
      </c>
      <c r="F1230" t="s">
        <v>75</v>
      </c>
      <c r="G1230" t="s">
        <v>58</v>
      </c>
      <c r="H1230" t="s">
        <v>59</v>
      </c>
      <c r="I1230">
        <v>110.87139466242</v>
      </c>
      <c r="J1230">
        <v>103.59652904204</v>
      </c>
      <c r="K1230">
        <v>110.87139466242</v>
      </c>
      <c r="L1230">
        <v>155.1346950434814</v>
      </c>
    </row>
    <row r="1231" spans="1:12" hidden="1" x14ac:dyDescent="0.25">
      <c r="A1231">
        <v>2020</v>
      </c>
      <c r="B1231" t="s">
        <v>66</v>
      </c>
      <c r="C1231">
        <v>325</v>
      </c>
      <c r="D1231" t="s">
        <v>64</v>
      </c>
      <c r="E1231" t="s">
        <v>14</v>
      </c>
      <c r="F1231" t="s">
        <v>75</v>
      </c>
      <c r="G1231" t="s">
        <v>58</v>
      </c>
      <c r="H1231" t="s">
        <v>59</v>
      </c>
      <c r="I1231">
        <v>108.5</v>
      </c>
      <c r="J1231">
        <v>108.6</v>
      </c>
      <c r="K1231">
        <v>108.5</v>
      </c>
      <c r="L1231">
        <v>299.53917050691251</v>
      </c>
    </row>
    <row r="1232" spans="1:12" hidden="1" x14ac:dyDescent="0.25">
      <c r="A1232">
        <v>2020</v>
      </c>
      <c r="B1232" t="s">
        <v>12</v>
      </c>
      <c r="C1232">
        <v>101</v>
      </c>
      <c r="D1232" t="s">
        <v>64</v>
      </c>
      <c r="E1232" t="s">
        <v>14</v>
      </c>
      <c r="F1232" t="s">
        <v>75</v>
      </c>
      <c r="G1232" t="s">
        <v>22</v>
      </c>
      <c r="H1232" t="s">
        <v>23</v>
      </c>
      <c r="I1232">
        <v>71.728747032472995</v>
      </c>
      <c r="J1232">
        <v>103.59652904204</v>
      </c>
      <c r="K1232">
        <v>71.728747032472995</v>
      </c>
      <c r="L1232">
        <v>140.8082591408928</v>
      </c>
    </row>
    <row r="1233" spans="1:12" hidden="1" x14ac:dyDescent="0.25">
      <c r="A1233">
        <v>2020</v>
      </c>
      <c r="B1233" t="s">
        <v>66</v>
      </c>
      <c r="C1233">
        <v>4454</v>
      </c>
      <c r="D1233" t="s">
        <v>64</v>
      </c>
      <c r="E1233" t="s">
        <v>14</v>
      </c>
      <c r="F1233" t="s">
        <v>75</v>
      </c>
      <c r="G1233" t="s">
        <v>22</v>
      </c>
      <c r="H1233" t="s">
        <v>23</v>
      </c>
      <c r="I1233">
        <v>105.5</v>
      </c>
      <c r="J1233">
        <v>108.6</v>
      </c>
      <c r="K1233">
        <v>105.5</v>
      </c>
      <c r="L1233">
        <v>4221.8009478672984</v>
      </c>
    </row>
    <row r="1234" spans="1:12" hidden="1" x14ac:dyDescent="0.25">
      <c r="A1234">
        <v>2020</v>
      </c>
      <c r="B1234" t="s">
        <v>12</v>
      </c>
      <c r="C1234">
        <v>82</v>
      </c>
      <c r="D1234" t="s">
        <v>64</v>
      </c>
      <c r="E1234" t="s">
        <v>14</v>
      </c>
      <c r="F1234" t="s">
        <v>75</v>
      </c>
      <c r="G1234" t="s">
        <v>24</v>
      </c>
      <c r="H1234" t="s">
        <v>25</v>
      </c>
      <c r="I1234">
        <v>71.728747032472995</v>
      </c>
      <c r="J1234">
        <v>103.59652904204</v>
      </c>
      <c r="K1234">
        <v>71.728747032472995</v>
      </c>
      <c r="L1234">
        <v>114.3195767282496</v>
      </c>
    </row>
    <row r="1235" spans="1:12" hidden="1" x14ac:dyDescent="0.25">
      <c r="A1235">
        <v>2020</v>
      </c>
      <c r="B1235" t="s">
        <v>66</v>
      </c>
      <c r="C1235">
        <v>1179</v>
      </c>
      <c r="D1235" t="s">
        <v>64</v>
      </c>
      <c r="E1235" t="s">
        <v>14</v>
      </c>
      <c r="F1235" t="s">
        <v>75</v>
      </c>
      <c r="G1235" t="s">
        <v>24</v>
      </c>
      <c r="H1235" t="s">
        <v>25</v>
      </c>
      <c r="I1235">
        <v>110.2</v>
      </c>
      <c r="J1235">
        <v>108.6</v>
      </c>
      <c r="K1235">
        <v>110.2</v>
      </c>
      <c r="L1235">
        <v>1069.872958257713</v>
      </c>
    </row>
    <row r="1236" spans="1:12" hidden="1" x14ac:dyDescent="0.25">
      <c r="A1236">
        <v>2020</v>
      </c>
      <c r="B1236" t="s">
        <v>12</v>
      </c>
      <c r="C1236">
        <v>92</v>
      </c>
      <c r="D1236" t="s">
        <v>64</v>
      </c>
      <c r="E1236" t="s">
        <v>14</v>
      </c>
      <c r="F1236" t="s">
        <v>75</v>
      </c>
      <c r="G1236" t="s">
        <v>32</v>
      </c>
      <c r="H1236" t="s">
        <v>33</v>
      </c>
      <c r="I1236">
        <v>65.215368011810995</v>
      </c>
      <c r="J1236">
        <v>103.59652904204</v>
      </c>
      <c r="K1236">
        <v>65.215368011810995</v>
      </c>
      <c r="L1236">
        <v>141.07104322916359</v>
      </c>
    </row>
    <row r="1237" spans="1:12" hidden="1" x14ac:dyDescent="0.25">
      <c r="A1237">
        <v>2020</v>
      </c>
      <c r="B1237" t="s">
        <v>66</v>
      </c>
      <c r="C1237">
        <v>252</v>
      </c>
      <c r="D1237" t="s">
        <v>64</v>
      </c>
      <c r="E1237" t="s">
        <v>14</v>
      </c>
      <c r="F1237" t="s">
        <v>75</v>
      </c>
      <c r="G1237" t="s">
        <v>32</v>
      </c>
      <c r="H1237" t="s">
        <v>33</v>
      </c>
      <c r="I1237">
        <v>109.7</v>
      </c>
      <c r="J1237">
        <v>108.6</v>
      </c>
      <c r="K1237">
        <v>109.7</v>
      </c>
      <c r="L1237">
        <v>229.71741112123979</v>
      </c>
    </row>
    <row r="1238" spans="1:12" hidden="1" x14ac:dyDescent="0.25">
      <c r="A1238">
        <v>2020</v>
      </c>
      <c r="B1238" t="s">
        <v>12</v>
      </c>
      <c r="C1238">
        <v>840</v>
      </c>
      <c r="D1238" t="s">
        <v>64</v>
      </c>
      <c r="E1238" t="s">
        <v>14</v>
      </c>
      <c r="F1238" t="s">
        <v>75</v>
      </c>
      <c r="G1238" t="s">
        <v>40</v>
      </c>
      <c r="H1238" t="s">
        <v>41</v>
      </c>
      <c r="I1238">
        <v>100.20302658438</v>
      </c>
      <c r="J1238">
        <v>103.59652904204</v>
      </c>
      <c r="K1238">
        <v>100.20302658438</v>
      </c>
      <c r="L1238">
        <v>838.29803213842456</v>
      </c>
    </row>
    <row r="1239" spans="1:12" hidden="1" x14ac:dyDescent="0.25">
      <c r="A1239">
        <v>2020</v>
      </c>
      <c r="B1239" t="s">
        <v>66</v>
      </c>
      <c r="C1239">
        <v>5458</v>
      </c>
      <c r="D1239" t="s">
        <v>64</v>
      </c>
      <c r="E1239" t="s">
        <v>14</v>
      </c>
      <c r="F1239" t="s">
        <v>75</v>
      </c>
      <c r="G1239" t="s">
        <v>40</v>
      </c>
      <c r="H1239" t="s">
        <v>41</v>
      </c>
      <c r="I1239">
        <v>105.6</v>
      </c>
      <c r="J1239">
        <v>108.6</v>
      </c>
      <c r="K1239">
        <v>105.6</v>
      </c>
      <c r="L1239">
        <v>5168.560606060606</v>
      </c>
    </row>
    <row r="1240" spans="1:12" hidden="1" x14ac:dyDescent="0.25">
      <c r="A1240">
        <v>2020</v>
      </c>
      <c r="B1240" t="s">
        <v>12</v>
      </c>
      <c r="C1240">
        <v>236</v>
      </c>
      <c r="D1240" t="s">
        <v>64</v>
      </c>
      <c r="E1240" t="s">
        <v>14</v>
      </c>
      <c r="F1240" t="s">
        <v>75</v>
      </c>
      <c r="G1240" t="s">
        <v>44</v>
      </c>
      <c r="H1240" t="s">
        <v>45</v>
      </c>
      <c r="I1240">
        <v>104.48191541983</v>
      </c>
      <c r="J1240">
        <v>103.59652904204</v>
      </c>
      <c r="K1240">
        <v>104.48191541983</v>
      </c>
      <c r="L1240">
        <v>225.8764103354184</v>
      </c>
    </row>
    <row r="1241" spans="1:12" hidden="1" x14ac:dyDescent="0.25">
      <c r="A1241">
        <v>2020</v>
      </c>
      <c r="B1241" t="s">
        <v>66</v>
      </c>
      <c r="C1241">
        <v>8133</v>
      </c>
      <c r="D1241" t="s">
        <v>64</v>
      </c>
      <c r="E1241" t="s">
        <v>14</v>
      </c>
      <c r="F1241" t="s">
        <v>75</v>
      </c>
      <c r="G1241" t="s">
        <v>44</v>
      </c>
      <c r="H1241" t="s">
        <v>45</v>
      </c>
      <c r="I1241">
        <v>111.8</v>
      </c>
      <c r="J1241">
        <v>108.6</v>
      </c>
      <c r="K1241">
        <v>111.8</v>
      </c>
      <c r="L1241">
        <v>7274.5974955277279</v>
      </c>
    </row>
    <row r="1242" spans="1:12" hidden="1" x14ac:dyDescent="0.25">
      <c r="A1242">
        <v>2020</v>
      </c>
      <c r="B1242" t="s">
        <v>12</v>
      </c>
      <c r="C1242">
        <v>343</v>
      </c>
      <c r="D1242" t="s">
        <v>64</v>
      </c>
      <c r="E1242" t="s">
        <v>14</v>
      </c>
      <c r="F1242" t="s">
        <v>75</v>
      </c>
      <c r="G1242" t="s">
        <v>50</v>
      </c>
      <c r="H1242" t="s">
        <v>51</v>
      </c>
      <c r="I1242">
        <v>113.44450268036999</v>
      </c>
      <c r="J1242">
        <v>103.59652904204</v>
      </c>
      <c r="K1242">
        <v>113.44450268036999</v>
      </c>
      <c r="L1242">
        <v>302.35048142121337</v>
      </c>
    </row>
    <row r="1243" spans="1:12" hidden="1" x14ac:dyDescent="0.25">
      <c r="A1243">
        <v>2020</v>
      </c>
      <c r="B1243" t="s">
        <v>66</v>
      </c>
      <c r="C1243">
        <v>11396</v>
      </c>
      <c r="D1243" t="s">
        <v>64</v>
      </c>
      <c r="E1243" t="s">
        <v>14</v>
      </c>
      <c r="F1243" t="s">
        <v>75</v>
      </c>
      <c r="G1243" t="s">
        <v>50</v>
      </c>
      <c r="H1243" t="s">
        <v>51</v>
      </c>
      <c r="I1243">
        <v>107.4</v>
      </c>
      <c r="J1243">
        <v>108.6</v>
      </c>
      <c r="K1243">
        <v>107.4</v>
      </c>
      <c r="L1243">
        <v>10610.800744878959</v>
      </c>
    </row>
    <row r="1244" spans="1:12" hidden="1" x14ac:dyDescent="0.25">
      <c r="A1244">
        <v>2020</v>
      </c>
      <c r="B1244" t="s">
        <v>12</v>
      </c>
      <c r="C1244">
        <v>40</v>
      </c>
      <c r="D1244" t="s">
        <v>64</v>
      </c>
      <c r="E1244" t="s">
        <v>14</v>
      </c>
      <c r="F1244" t="s">
        <v>75</v>
      </c>
      <c r="G1244" t="s">
        <v>56</v>
      </c>
      <c r="H1244" t="s">
        <v>57</v>
      </c>
      <c r="I1244">
        <v>113.44450268036999</v>
      </c>
      <c r="J1244">
        <v>103.59652904204</v>
      </c>
      <c r="K1244">
        <v>113.44450268036999</v>
      </c>
      <c r="L1244">
        <v>35.259531361074451</v>
      </c>
    </row>
    <row r="1245" spans="1:12" hidden="1" x14ac:dyDescent="0.25">
      <c r="A1245">
        <v>2020</v>
      </c>
      <c r="B1245" t="s">
        <v>66</v>
      </c>
      <c r="C1245">
        <v>624</v>
      </c>
      <c r="D1245" t="s">
        <v>64</v>
      </c>
      <c r="E1245" t="s">
        <v>14</v>
      </c>
      <c r="F1245" t="s">
        <v>75</v>
      </c>
      <c r="G1245" t="s">
        <v>56</v>
      </c>
      <c r="H1245" t="s">
        <v>57</v>
      </c>
      <c r="I1245">
        <v>111.5</v>
      </c>
      <c r="J1245">
        <v>108.6</v>
      </c>
      <c r="K1245">
        <v>111.5</v>
      </c>
      <c r="L1245">
        <v>559.64125560538116</v>
      </c>
    </row>
    <row r="1246" spans="1:12" hidden="1" x14ac:dyDescent="0.25">
      <c r="A1246">
        <v>2020</v>
      </c>
      <c r="B1246" t="s">
        <v>12</v>
      </c>
      <c r="C1246">
        <v>36</v>
      </c>
      <c r="D1246" t="s">
        <v>64</v>
      </c>
      <c r="E1246" t="s">
        <v>14</v>
      </c>
      <c r="F1246" t="s">
        <v>75</v>
      </c>
      <c r="G1246" t="s">
        <v>26</v>
      </c>
      <c r="H1246" t="s">
        <v>27</v>
      </c>
      <c r="I1246">
        <v>71.728747032472995</v>
      </c>
      <c r="J1246">
        <v>103.59652904204</v>
      </c>
      <c r="K1246">
        <v>71.728747032472995</v>
      </c>
      <c r="L1246">
        <v>50.189082466060789</v>
      </c>
    </row>
    <row r="1247" spans="1:12" hidden="1" x14ac:dyDescent="0.25">
      <c r="A1247">
        <v>2020</v>
      </c>
      <c r="B1247" t="s">
        <v>66</v>
      </c>
      <c r="C1247">
        <v>695</v>
      </c>
      <c r="D1247" t="s">
        <v>64</v>
      </c>
      <c r="E1247" t="s">
        <v>14</v>
      </c>
      <c r="F1247" t="s">
        <v>75</v>
      </c>
      <c r="G1247" t="s">
        <v>26</v>
      </c>
      <c r="H1247" t="s">
        <v>27</v>
      </c>
      <c r="I1247">
        <v>105.1</v>
      </c>
      <c r="J1247">
        <v>108.6</v>
      </c>
      <c r="K1247">
        <v>105.1</v>
      </c>
      <c r="L1247">
        <v>661.27497621313034</v>
      </c>
    </row>
    <row r="1248" spans="1:12" hidden="1" x14ac:dyDescent="0.25">
      <c r="A1248">
        <v>2020</v>
      </c>
      <c r="B1248" t="s">
        <v>12</v>
      </c>
      <c r="C1248">
        <v>637</v>
      </c>
      <c r="D1248" t="s">
        <v>64</v>
      </c>
      <c r="E1248" t="s">
        <v>14</v>
      </c>
      <c r="F1248" t="s">
        <v>75</v>
      </c>
      <c r="G1248" t="s">
        <v>38</v>
      </c>
      <c r="H1248" t="s">
        <v>39</v>
      </c>
      <c r="I1248">
        <v>100.20302658438</v>
      </c>
      <c r="J1248">
        <v>103.59652904204</v>
      </c>
      <c r="K1248">
        <v>100.20302658438</v>
      </c>
      <c r="L1248">
        <v>635.70934103830541</v>
      </c>
    </row>
    <row r="1249" spans="1:12" hidden="1" x14ac:dyDescent="0.25">
      <c r="A1249">
        <v>2020</v>
      </c>
      <c r="B1249" t="s">
        <v>66</v>
      </c>
      <c r="C1249">
        <v>1476</v>
      </c>
      <c r="D1249" t="s">
        <v>64</v>
      </c>
      <c r="E1249" t="s">
        <v>14</v>
      </c>
      <c r="F1249" t="s">
        <v>75</v>
      </c>
      <c r="G1249" t="s">
        <v>38</v>
      </c>
      <c r="H1249" t="s">
        <v>39</v>
      </c>
      <c r="I1249">
        <v>103.9</v>
      </c>
      <c r="J1249">
        <v>108.6</v>
      </c>
      <c r="K1249">
        <v>103.9</v>
      </c>
      <c r="L1249">
        <v>1420.5967276227141</v>
      </c>
    </row>
    <row r="1250" spans="1:12" hidden="1" x14ac:dyDescent="0.25">
      <c r="A1250">
        <v>2020</v>
      </c>
      <c r="B1250" t="s">
        <v>12</v>
      </c>
      <c r="C1250">
        <v>1</v>
      </c>
      <c r="D1250" t="s">
        <v>64</v>
      </c>
      <c r="E1250" t="s">
        <v>14</v>
      </c>
      <c r="F1250" t="s">
        <v>75</v>
      </c>
      <c r="G1250" t="s">
        <v>48</v>
      </c>
      <c r="H1250" t="s">
        <v>49</v>
      </c>
      <c r="I1250">
        <v>113.44450268036999</v>
      </c>
      <c r="J1250">
        <v>103.59652904204</v>
      </c>
      <c r="K1250">
        <v>113.44450268036999</v>
      </c>
      <c r="L1250">
        <v>0.88148828402686108</v>
      </c>
    </row>
    <row r="1251" spans="1:12" hidden="1" x14ac:dyDescent="0.25">
      <c r="A1251">
        <v>2020</v>
      </c>
      <c r="B1251" t="s">
        <v>66</v>
      </c>
      <c r="C1251">
        <v>5878</v>
      </c>
      <c r="D1251" t="s">
        <v>64</v>
      </c>
      <c r="E1251" t="s">
        <v>14</v>
      </c>
      <c r="F1251" t="s">
        <v>75</v>
      </c>
      <c r="G1251" t="s">
        <v>48</v>
      </c>
      <c r="H1251" t="s">
        <v>49</v>
      </c>
      <c r="I1251">
        <v>109.4</v>
      </c>
      <c r="J1251">
        <v>108.6</v>
      </c>
      <c r="K1251">
        <v>109.4</v>
      </c>
      <c r="L1251">
        <v>5372.9433272394881</v>
      </c>
    </row>
    <row r="1252" spans="1:12" hidden="1" x14ac:dyDescent="0.25">
      <c r="A1252">
        <v>2020</v>
      </c>
      <c r="B1252" t="s">
        <v>12</v>
      </c>
      <c r="C1252">
        <v>23</v>
      </c>
      <c r="D1252" t="s">
        <v>64</v>
      </c>
      <c r="E1252" t="s">
        <v>14</v>
      </c>
      <c r="F1252" t="s">
        <v>75</v>
      </c>
      <c r="G1252" t="s">
        <v>54</v>
      </c>
      <c r="H1252" t="s">
        <v>55</v>
      </c>
      <c r="I1252">
        <v>113.44450268036999</v>
      </c>
      <c r="J1252">
        <v>103.59652904204</v>
      </c>
      <c r="K1252">
        <v>113.44450268036999</v>
      </c>
      <c r="L1252">
        <v>20.27423053261781</v>
      </c>
    </row>
    <row r="1253" spans="1:12" hidden="1" x14ac:dyDescent="0.25">
      <c r="A1253">
        <v>2020</v>
      </c>
      <c r="B1253" t="s">
        <v>66</v>
      </c>
      <c r="C1253">
        <v>16561</v>
      </c>
      <c r="D1253" t="s">
        <v>64</v>
      </c>
      <c r="E1253" t="s">
        <v>14</v>
      </c>
      <c r="F1253" t="s">
        <v>75</v>
      </c>
      <c r="G1253" t="s">
        <v>54</v>
      </c>
      <c r="H1253" t="s">
        <v>55</v>
      </c>
      <c r="I1253">
        <v>111.5</v>
      </c>
      <c r="J1253">
        <v>108.6</v>
      </c>
      <c r="K1253">
        <v>111.5</v>
      </c>
      <c r="L1253">
        <v>14852.91479820628</v>
      </c>
    </row>
    <row r="1254" spans="1:12" hidden="1" x14ac:dyDescent="0.25">
      <c r="A1254">
        <v>2020</v>
      </c>
      <c r="B1254" t="s">
        <v>12</v>
      </c>
      <c r="C1254">
        <v>18</v>
      </c>
      <c r="D1254" t="s">
        <v>64</v>
      </c>
      <c r="E1254" t="s">
        <v>14</v>
      </c>
      <c r="F1254" t="s">
        <v>75</v>
      </c>
      <c r="G1254" t="s">
        <v>60</v>
      </c>
      <c r="H1254" t="s">
        <v>61</v>
      </c>
      <c r="J1254">
        <v>103.59652904204</v>
      </c>
      <c r="K1254">
        <v>103.59652904204</v>
      </c>
      <c r="L1254">
        <v>17.3750995003853</v>
      </c>
    </row>
    <row r="1255" spans="1:12" hidden="1" x14ac:dyDescent="0.25">
      <c r="A1255">
        <v>2020</v>
      </c>
      <c r="B1255" t="s">
        <v>66</v>
      </c>
      <c r="C1255">
        <v>241</v>
      </c>
      <c r="D1255" t="s">
        <v>64</v>
      </c>
      <c r="E1255" t="s">
        <v>14</v>
      </c>
      <c r="F1255" t="s">
        <v>75</v>
      </c>
      <c r="G1255" t="s">
        <v>60</v>
      </c>
      <c r="H1255" t="s">
        <v>61</v>
      </c>
      <c r="I1255">
        <v>112.5</v>
      </c>
      <c r="J1255">
        <v>108.6</v>
      </c>
      <c r="K1255">
        <v>112.5</v>
      </c>
      <c r="L1255">
        <v>214.2222222222222</v>
      </c>
    </row>
    <row r="1256" spans="1:12" hidden="1" x14ac:dyDescent="0.25">
      <c r="A1256">
        <v>2020</v>
      </c>
      <c r="B1256" t="s">
        <v>66</v>
      </c>
      <c r="C1256">
        <v>9723</v>
      </c>
      <c r="D1256" t="s">
        <v>64</v>
      </c>
      <c r="E1256" t="s">
        <v>14</v>
      </c>
      <c r="F1256" t="s">
        <v>75</v>
      </c>
      <c r="G1256" t="s">
        <v>34</v>
      </c>
      <c r="H1256" t="s">
        <v>35</v>
      </c>
      <c r="I1256">
        <v>100.6</v>
      </c>
      <c r="J1256">
        <v>108.6</v>
      </c>
      <c r="K1256">
        <v>100.6</v>
      </c>
      <c r="L1256">
        <v>9665.0099403578533</v>
      </c>
    </row>
    <row r="1257" spans="1:12" hidden="1" x14ac:dyDescent="0.25">
      <c r="A1257">
        <v>2020</v>
      </c>
      <c r="B1257" t="s">
        <v>66</v>
      </c>
      <c r="C1257">
        <v>331</v>
      </c>
      <c r="D1257" t="s">
        <v>64</v>
      </c>
      <c r="E1257" t="s">
        <v>14</v>
      </c>
      <c r="F1257" t="s">
        <v>75</v>
      </c>
      <c r="G1257" t="s">
        <v>67</v>
      </c>
      <c r="H1257" t="s">
        <v>68</v>
      </c>
      <c r="I1257">
        <v>109.5</v>
      </c>
      <c r="J1257">
        <v>108.6</v>
      </c>
      <c r="K1257">
        <v>109.5</v>
      </c>
      <c r="L1257">
        <v>302.28310502283102</v>
      </c>
    </row>
    <row r="1258" spans="1:12" hidden="1" x14ac:dyDescent="0.25">
      <c r="A1258">
        <v>2020</v>
      </c>
      <c r="B1258" t="s">
        <v>12</v>
      </c>
      <c r="C1258">
        <v>707</v>
      </c>
      <c r="D1258" t="s">
        <v>64</v>
      </c>
      <c r="E1258" t="s">
        <v>14</v>
      </c>
      <c r="F1258" t="s">
        <v>75</v>
      </c>
      <c r="G1258" t="s">
        <v>16</v>
      </c>
      <c r="H1258" t="s">
        <v>17</v>
      </c>
      <c r="J1258">
        <v>103.59652904204</v>
      </c>
      <c r="K1258">
        <v>103.59652904204</v>
      </c>
      <c r="L1258">
        <v>682.4552970429113</v>
      </c>
    </row>
    <row r="1259" spans="1:12" hidden="1" x14ac:dyDescent="0.25">
      <c r="A1259">
        <v>2019</v>
      </c>
      <c r="B1259" t="s">
        <v>12</v>
      </c>
      <c r="C1259">
        <v>889</v>
      </c>
      <c r="D1259" t="s">
        <v>64</v>
      </c>
      <c r="E1259" t="s">
        <v>14</v>
      </c>
      <c r="F1259" t="s">
        <v>75</v>
      </c>
      <c r="G1259" t="s">
        <v>40</v>
      </c>
      <c r="H1259" t="s">
        <v>41</v>
      </c>
      <c r="I1259">
        <v>94.527911873682996</v>
      </c>
      <c r="J1259">
        <v>98.151526954033002</v>
      </c>
      <c r="K1259">
        <v>94.527911873682996</v>
      </c>
      <c r="L1259">
        <v>940.46296208041133</v>
      </c>
    </row>
    <row r="1260" spans="1:12" hidden="1" x14ac:dyDescent="0.25">
      <c r="A1260">
        <v>2019</v>
      </c>
      <c r="B1260" t="s">
        <v>66</v>
      </c>
      <c r="C1260">
        <v>6550</v>
      </c>
      <c r="D1260" t="s">
        <v>64</v>
      </c>
      <c r="E1260" t="s">
        <v>14</v>
      </c>
      <c r="F1260" t="s">
        <v>75</v>
      </c>
      <c r="G1260" t="s">
        <v>40</v>
      </c>
      <c r="H1260" t="s">
        <v>41</v>
      </c>
      <c r="I1260">
        <v>103.4</v>
      </c>
      <c r="J1260">
        <v>102.4</v>
      </c>
      <c r="K1260">
        <v>103.4</v>
      </c>
      <c r="L1260">
        <v>6334.6228239845259</v>
      </c>
    </row>
    <row r="1261" spans="1:12" hidden="1" x14ac:dyDescent="0.25">
      <c r="A1261">
        <v>2019</v>
      </c>
      <c r="B1261" t="s">
        <v>12</v>
      </c>
      <c r="C1261">
        <v>913</v>
      </c>
      <c r="D1261" t="s">
        <v>64</v>
      </c>
      <c r="E1261" t="s">
        <v>14</v>
      </c>
      <c r="F1261" t="s">
        <v>75</v>
      </c>
      <c r="G1261" t="s">
        <v>42</v>
      </c>
      <c r="H1261" t="s">
        <v>43</v>
      </c>
      <c r="I1261">
        <v>96.894683830418003</v>
      </c>
      <c r="J1261">
        <v>98.151526954033002</v>
      </c>
      <c r="K1261">
        <v>96.894683830418003</v>
      </c>
      <c r="L1261">
        <v>942.2601570153256</v>
      </c>
    </row>
    <row r="1262" spans="1:12" hidden="1" x14ac:dyDescent="0.25">
      <c r="A1262">
        <v>2019</v>
      </c>
      <c r="B1262" t="s">
        <v>66</v>
      </c>
      <c r="C1262">
        <v>9690</v>
      </c>
      <c r="D1262" t="s">
        <v>64</v>
      </c>
      <c r="E1262" t="s">
        <v>14</v>
      </c>
      <c r="F1262" t="s">
        <v>75</v>
      </c>
      <c r="G1262" t="s">
        <v>42</v>
      </c>
      <c r="H1262" t="s">
        <v>43</v>
      </c>
      <c r="I1262">
        <v>104.4</v>
      </c>
      <c r="J1262">
        <v>102.4</v>
      </c>
      <c r="K1262">
        <v>104.4</v>
      </c>
      <c r="L1262">
        <v>9281.6091954022977</v>
      </c>
    </row>
    <row r="1263" spans="1:12" hidden="1" x14ac:dyDescent="0.25">
      <c r="A1263">
        <v>2019</v>
      </c>
      <c r="B1263" t="s">
        <v>12</v>
      </c>
      <c r="C1263">
        <v>929</v>
      </c>
      <c r="D1263" t="s">
        <v>64</v>
      </c>
      <c r="E1263" t="s">
        <v>14</v>
      </c>
      <c r="F1263" t="s">
        <v>75</v>
      </c>
      <c r="G1263" t="s">
        <v>46</v>
      </c>
      <c r="H1263" t="s">
        <v>47</v>
      </c>
      <c r="I1263">
        <v>106.59709315790001</v>
      </c>
      <c r="J1263">
        <v>98.151526954033002</v>
      </c>
      <c r="K1263">
        <v>106.59709315790001</v>
      </c>
      <c r="L1263">
        <v>871.50594118349181</v>
      </c>
    </row>
    <row r="1264" spans="1:12" hidden="1" x14ac:dyDescent="0.25">
      <c r="A1264">
        <v>2019</v>
      </c>
      <c r="B1264" t="s">
        <v>66</v>
      </c>
      <c r="C1264">
        <v>7291</v>
      </c>
      <c r="D1264" t="s">
        <v>64</v>
      </c>
      <c r="E1264" t="s">
        <v>14</v>
      </c>
      <c r="F1264" t="s">
        <v>75</v>
      </c>
      <c r="G1264" t="s">
        <v>46</v>
      </c>
      <c r="H1264" t="s">
        <v>47</v>
      </c>
      <c r="I1264">
        <v>104.2</v>
      </c>
      <c r="J1264">
        <v>102.4</v>
      </c>
      <c r="K1264">
        <v>104.2</v>
      </c>
      <c r="L1264">
        <v>6997.1209213051816</v>
      </c>
    </row>
    <row r="1265" spans="1:12" hidden="1" x14ac:dyDescent="0.25">
      <c r="A1265">
        <v>2019</v>
      </c>
      <c r="B1265" t="s">
        <v>12</v>
      </c>
      <c r="C1265">
        <v>7685</v>
      </c>
      <c r="D1265" t="s">
        <v>64</v>
      </c>
      <c r="E1265" t="s">
        <v>14</v>
      </c>
      <c r="F1265" t="s">
        <v>75</v>
      </c>
      <c r="G1265" t="s">
        <v>18</v>
      </c>
      <c r="H1265" t="s">
        <v>19</v>
      </c>
      <c r="I1265">
        <v>101.52099705321</v>
      </c>
      <c r="J1265">
        <v>98.151526954033002</v>
      </c>
      <c r="K1265">
        <v>101.52099705321</v>
      </c>
      <c r="L1265">
        <v>7569.862612728356</v>
      </c>
    </row>
    <row r="1266" spans="1:12" hidden="1" x14ac:dyDescent="0.25">
      <c r="A1266">
        <v>2019</v>
      </c>
      <c r="B1266" t="s">
        <v>66</v>
      </c>
      <c r="C1266">
        <v>23602</v>
      </c>
      <c r="D1266" t="s">
        <v>64</v>
      </c>
      <c r="E1266" t="s">
        <v>14</v>
      </c>
      <c r="F1266" t="s">
        <v>75</v>
      </c>
      <c r="G1266" t="s">
        <v>18</v>
      </c>
      <c r="H1266" t="s">
        <v>19</v>
      </c>
      <c r="I1266">
        <v>102.3</v>
      </c>
      <c r="J1266">
        <v>102.4</v>
      </c>
      <c r="K1266">
        <v>102.3</v>
      </c>
      <c r="L1266">
        <v>23071.358748778101</v>
      </c>
    </row>
    <row r="1267" spans="1:12" hidden="1" x14ac:dyDescent="0.25">
      <c r="A1267">
        <v>2019</v>
      </c>
      <c r="B1267" t="s">
        <v>12</v>
      </c>
      <c r="C1267">
        <v>101</v>
      </c>
      <c r="D1267" t="s">
        <v>64</v>
      </c>
      <c r="E1267" t="s">
        <v>14</v>
      </c>
      <c r="F1267" t="s">
        <v>75</v>
      </c>
      <c r="G1267" t="s">
        <v>24</v>
      </c>
      <c r="H1267" t="s">
        <v>25</v>
      </c>
      <c r="I1267">
        <v>84.562992854463005</v>
      </c>
      <c r="J1267">
        <v>98.151526954033002</v>
      </c>
      <c r="K1267">
        <v>84.562992854463005</v>
      </c>
      <c r="L1267">
        <v>119.4375891754752</v>
      </c>
    </row>
    <row r="1268" spans="1:12" hidden="1" x14ac:dyDescent="0.25">
      <c r="A1268">
        <v>2019</v>
      </c>
      <c r="B1268" t="s">
        <v>66</v>
      </c>
      <c r="C1268">
        <v>1743</v>
      </c>
      <c r="D1268" t="s">
        <v>64</v>
      </c>
      <c r="E1268" t="s">
        <v>14</v>
      </c>
      <c r="F1268" t="s">
        <v>75</v>
      </c>
      <c r="G1268" t="s">
        <v>24</v>
      </c>
      <c r="H1268" t="s">
        <v>25</v>
      </c>
      <c r="I1268">
        <v>105.3</v>
      </c>
      <c r="J1268">
        <v>102.4</v>
      </c>
      <c r="K1268">
        <v>105.3</v>
      </c>
      <c r="L1268">
        <v>1655.270655270655</v>
      </c>
    </row>
    <row r="1269" spans="1:12" hidden="1" x14ac:dyDescent="0.25">
      <c r="A1269">
        <v>2019</v>
      </c>
      <c r="B1269" t="s">
        <v>12</v>
      </c>
      <c r="C1269">
        <v>795</v>
      </c>
      <c r="D1269" t="s">
        <v>64</v>
      </c>
      <c r="E1269" t="s">
        <v>14</v>
      </c>
      <c r="F1269" t="s">
        <v>75</v>
      </c>
      <c r="G1269" t="s">
        <v>62</v>
      </c>
      <c r="H1269" t="s">
        <v>63</v>
      </c>
      <c r="I1269">
        <v>106.59709315790001</v>
      </c>
      <c r="J1269">
        <v>98.151526954033002</v>
      </c>
      <c r="K1269">
        <v>106.59709315790001</v>
      </c>
      <c r="L1269">
        <v>745.79894859082458</v>
      </c>
    </row>
    <row r="1270" spans="1:12" hidden="1" x14ac:dyDescent="0.25">
      <c r="A1270">
        <v>2019</v>
      </c>
      <c r="B1270" t="s">
        <v>12</v>
      </c>
      <c r="C1270">
        <v>1841</v>
      </c>
      <c r="D1270" t="s">
        <v>64</v>
      </c>
      <c r="E1270" t="s">
        <v>14</v>
      </c>
      <c r="F1270" t="s">
        <v>75</v>
      </c>
      <c r="G1270" t="s">
        <v>20</v>
      </c>
      <c r="H1270" t="s">
        <v>21</v>
      </c>
      <c r="I1270">
        <v>111.60809989866</v>
      </c>
      <c r="J1270">
        <v>98.151526954033002</v>
      </c>
      <c r="K1270">
        <v>111.60809989866</v>
      </c>
      <c r="L1270">
        <v>1649.521855198346</v>
      </c>
    </row>
    <row r="1271" spans="1:12" hidden="1" x14ac:dyDescent="0.25">
      <c r="A1271">
        <v>2019</v>
      </c>
      <c r="B1271" t="s">
        <v>66</v>
      </c>
      <c r="C1271">
        <v>11908</v>
      </c>
      <c r="D1271" t="s">
        <v>64</v>
      </c>
      <c r="E1271" t="s">
        <v>14</v>
      </c>
      <c r="F1271" t="s">
        <v>75</v>
      </c>
      <c r="G1271" t="s">
        <v>20</v>
      </c>
      <c r="H1271" t="s">
        <v>21</v>
      </c>
      <c r="I1271">
        <v>104.9</v>
      </c>
      <c r="J1271">
        <v>102.4</v>
      </c>
      <c r="K1271">
        <v>104.9</v>
      </c>
      <c r="L1271">
        <v>11351.763584366059</v>
      </c>
    </row>
    <row r="1272" spans="1:12" hidden="1" x14ac:dyDescent="0.25">
      <c r="A1272">
        <v>2019</v>
      </c>
      <c r="B1272" t="s">
        <v>12</v>
      </c>
      <c r="C1272">
        <v>1149</v>
      </c>
      <c r="D1272" t="s">
        <v>64</v>
      </c>
      <c r="E1272" t="s">
        <v>14</v>
      </c>
      <c r="F1272" t="s">
        <v>75</v>
      </c>
      <c r="G1272" t="s">
        <v>28</v>
      </c>
      <c r="H1272" t="s">
        <v>29</v>
      </c>
      <c r="I1272">
        <v>97.634045562563003</v>
      </c>
      <c r="J1272">
        <v>98.151526954033002</v>
      </c>
      <c r="K1272">
        <v>97.634045562563003</v>
      </c>
      <c r="L1272">
        <v>1176.8435829730431</v>
      </c>
    </row>
    <row r="1273" spans="1:12" hidden="1" x14ac:dyDescent="0.25">
      <c r="A1273">
        <v>2019</v>
      </c>
      <c r="B1273" t="s">
        <v>66</v>
      </c>
      <c r="C1273">
        <v>471</v>
      </c>
      <c r="D1273" t="s">
        <v>64</v>
      </c>
      <c r="E1273" t="s">
        <v>14</v>
      </c>
      <c r="F1273" t="s">
        <v>75</v>
      </c>
      <c r="G1273" t="s">
        <v>28</v>
      </c>
      <c r="H1273" t="s">
        <v>29</v>
      </c>
      <c r="I1273">
        <v>105.5</v>
      </c>
      <c r="J1273">
        <v>102.4</v>
      </c>
      <c r="K1273">
        <v>105.5</v>
      </c>
      <c r="L1273">
        <v>446.44549763033172</v>
      </c>
    </row>
    <row r="1274" spans="1:12" hidden="1" x14ac:dyDescent="0.25">
      <c r="A1274">
        <v>2019</v>
      </c>
      <c r="B1274" t="s">
        <v>12</v>
      </c>
      <c r="C1274">
        <v>1620</v>
      </c>
      <c r="D1274" t="s">
        <v>64</v>
      </c>
      <c r="E1274" t="s">
        <v>14</v>
      </c>
      <c r="F1274" t="s">
        <v>75</v>
      </c>
      <c r="G1274" t="s">
        <v>30</v>
      </c>
      <c r="H1274" t="s">
        <v>31</v>
      </c>
      <c r="I1274">
        <v>72.666250473058</v>
      </c>
      <c r="J1274">
        <v>98.151526954033002</v>
      </c>
      <c r="K1274">
        <v>72.666250473058</v>
      </c>
      <c r="L1274">
        <v>2229.3705667401091</v>
      </c>
    </row>
    <row r="1275" spans="1:12" hidden="1" x14ac:dyDescent="0.25">
      <c r="A1275">
        <v>2019</v>
      </c>
      <c r="B1275" t="s">
        <v>66</v>
      </c>
      <c r="C1275">
        <v>3546</v>
      </c>
      <c r="D1275" t="s">
        <v>64</v>
      </c>
      <c r="E1275" t="s">
        <v>14</v>
      </c>
      <c r="F1275" t="s">
        <v>75</v>
      </c>
      <c r="G1275" t="s">
        <v>30</v>
      </c>
      <c r="H1275" t="s">
        <v>31</v>
      </c>
      <c r="I1275">
        <v>104.5</v>
      </c>
      <c r="J1275">
        <v>102.4</v>
      </c>
      <c r="K1275">
        <v>104.5</v>
      </c>
      <c r="L1275">
        <v>3393.3014354066981</v>
      </c>
    </row>
    <row r="1276" spans="1:12" hidden="1" x14ac:dyDescent="0.25">
      <c r="A1276">
        <v>2019</v>
      </c>
      <c r="B1276" t="s">
        <v>12</v>
      </c>
      <c r="C1276">
        <v>2876</v>
      </c>
      <c r="D1276" t="s">
        <v>64</v>
      </c>
      <c r="E1276" t="s">
        <v>14</v>
      </c>
      <c r="F1276" t="s">
        <v>75</v>
      </c>
      <c r="G1276" t="s">
        <v>36</v>
      </c>
      <c r="H1276" t="s">
        <v>37</v>
      </c>
      <c r="I1276">
        <v>94.527911873682996</v>
      </c>
      <c r="J1276">
        <v>98.151526954033002</v>
      </c>
      <c r="K1276">
        <v>94.527911873682996</v>
      </c>
      <c r="L1276">
        <v>3042.4876028608141</v>
      </c>
    </row>
    <row r="1277" spans="1:12" hidden="1" x14ac:dyDescent="0.25">
      <c r="A1277">
        <v>2019</v>
      </c>
      <c r="B1277" t="s">
        <v>66</v>
      </c>
      <c r="C1277">
        <v>13024</v>
      </c>
      <c r="D1277" t="s">
        <v>64</v>
      </c>
      <c r="E1277" t="s">
        <v>14</v>
      </c>
      <c r="F1277" t="s">
        <v>75</v>
      </c>
      <c r="G1277" t="s">
        <v>36</v>
      </c>
      <c r="H1277" t="s">
        <v>37</v>
      </c>
      <c r="I1277">
        <v>101.6</v>
      </c>
      <c r="J1277">
        <v>102.4</v>
      </c>
      <c r="K1277">
        <v>101.6</v>
      </c>
      <c r="L1277">
        <v>12818.89763779528</v>
      </c>
    </row>
    <row r="1278" spans="1:12" hidden="1" x14ac:dyDescent="0.25">
      <c r="A1278">
        <v>2019</v>
      </c>
      <c r="B1278" t="s">
        <v>12</v>
      </c>
      <c r="C1278">
        <v>415</v>
      </c>
      <c r="D1278" t="s">
        <v>64</v>
      </c>
      <c r="E1278" t="s">
        <v>14</v>
      </c>
      <c r="F1278" t="s">
        <v>75</v>
      </c>
      <c r="G1278" t="s">
        <v>52</v>
      </c>
      <c r="H1278" t="s">
        <v>53</v>
      </c>
      <c r="I1278">
        <v>106.59709315790001</v>
      </c>
      <c r="J1278">
        <v>98.151526954033002</v>
      </c>
      <c r="K1278">
        <v>106.59709315790001</v>
      </c>
      <c r="L1278">
        <v>389.31643228326061</v>
      </c>
    </row>
    <row r="1279" spans="1:12" hidden="1" x14ac:dyDescent="0.25">
      <c r="A1279">
        <v>2019</v>
      </c>
      <c r="B1279" t="s">
        <v>66</v>
      </c>
      <c r="C1279">
        <v>15628</v>
      </c>
      <c r="D1279" t="s">
        <v>64</v>
      </c>
      <c r="E1279" t="s">
        <v>14</v>
      </c>
      <c r="F1279" t="s">
        <v>75</v>
      </c>
      <c r="G1279" t="s">
        <v>52</v>
      </c>
      <c r="H1279" t="s">
        <v>53</v>
      </c>
      <c r="I1279">
        <v>102.7</v>
      </c>
      <c r="J1279">
        <v>102.4</v>
      </c>
      <c r="K1279">
        <v>102.7</v>
      </c>
      <c r="L1279">
        <v>15217.13729308666</v>
      </c>
    </row>
    <row r="1280" spans="1:12" hidden="1" x14ac:dyDescent="0.25">
      <c r="A1280">
        <v>2019</v>
      </c>
      <c r="B1280" t="s">
        <v>12</v>
      </c>
      <c r="C1280">
        <v>113</v>
      </c>
      <c r="D1280" t="s">
        <v>64</v>
      </c>
      <c r="E1280" t="s">
        <v>14</v>
      </c>
      <c r="F1280" t="s">
        <v>75</v>
      </c>
      <c r="G1280" t="s">
        <v>26</v>
      </c>
      <c r="H1280" t="s">
        <v>27</v>
      </c>
      <c r="I1280">
        <v>84.562992854463005</v>
      </c>
      <c r="J1280">
        <v>98.151526954033002</v>
      </c>
      <c r="K1280">
        <v>84.562992854463005</v>
      </c>
      <c r="L1280">
        <v>133.62819382998711</v>
      </c>
    </row>
    <row r="1281" spans="1:12" hidden="1" x14ac:dyDescent="0.25">
      <c r="A1281">
        <v>2019</v>
      </c>
      <c r="B1281" t="s">
        <v>66</v>
      </c>
      <c r="C1281">
        <v>981</v>
      </c>
      <c r="D1281" t="s">
        <v>64</v>
      </c>
      <c r="E1281" t="s">
        <v>14</v>
      </c>
      <c r="F1281" t="s">
        <v>75</v>
      </c>
      <c r="G1281" t="s">
        <v>26</v>
      </c>
      <c r="H1281" t="s">
        <v>27</v>
      </c>
      <c r="I1281">
        <v>102.3</v>
      </c>
      <c r="J1281">
        <v>102.4</v>
      </c>
      <c r="K1281">
        <v>102.3</v>
      </c>
      <c r="L1281">
        <v>958.94428152492674</v>
      </c>
    </row>
    <row r="1282" spans="1:12" hidden="1" x14ac:dyDescent="0.25">
      <c r="A1282">
        <v>2019</v>
      </c>
      <c r="B1282" t="s">
        <v>12</v>
      </c>
      <c r="C1282">
        <v>184</v>
      </c>
      <c r="D1282" t="s">
        <v>64</v>
      </c>
      <c r="E1282" t="s">
        <v>14</v>
      </c>
      <c r="F1282" t="s">
        <v>75</v>
      </c>
      <c r="G1282" t="s">
        <v>32</v>
      </c>
      <c r="H1282" t="s">
        <v>33</v>
      </c>
      <c r="I1282">
        <v>72.666250473058</v>
      </c>
      <c r="J1282">
        <v>98.151526954033002</v>
      </c>
      <c r="K1282">
        <v>72.666250473058</v>
      </c>
      <c r="L1282">
        <v>253.2124594322099</v>
      </c>
    </row>
    <row r="1283" spans="1:12" hidden="1" x14ac:dyDescent="0.25">
      <c r="A1283">
        <v>2019</v>
      </c>
      <c r="B1283" t="s">
        <v>66</v>
      </c>
      <c r="C1283">
        <v>307</v>
      </c>
      <c r="D1283" t="s">
        <v>64</v>
      </c>
      <c r="E1283" t="s">
        <v>14</v>
      </c>
      <c r="F1283" t="s">
        <v>75</v>
      </c>
      <c r="G1283" t="s">
        <v>32</v>
      </c>
      <c r="H1283" t="s">
        <v>33</v>
      </c>
      <c r="I1283">
        <v>106</v>
      </c>
      <c r="J1283">
        <v>102.4</v>
      </c>
      <c r="K1283">
        <v>106</v>
      </c>
      <c r="L1283">
        <v>289.62264150943389</v>
      </c>
    </row>
    <row r="1284" spans="1:12" hidden="1" x14ac:dyDescent="0.25">
      <c r="A1284">
        <v>2019</v>
      </c>
      <c r="B1284" t="s">
        <v>12</v>
      </c>
      <c r="C1284">
        <v>170</v>
      </c>
      <c r="D1284" t="s">
        <v>64</v>
      </c>
      <c r="E1284" t="s">
        <v>14</v>
      </c>
      <c r="F1284" t="s">
        <v>75</v>
      </c>
      <c r="G1284" t="s">
        <v>44</v>
      </c>
      <c r="H1284" t="s">
        <v>45</v>
      </c>
      <c r="I1284">
        <v>96.894683830418003</v>
      </c>
      <c r="J1284">
        <v>98.151526954033002</v>
      </c>
      <c r="K1284">
        <v>96.894683830418003</v>
      </c>
      <c r="L1284">
        <v>175.44822200723479</v>
      </c>
    </row>
    <row r="1285" spans="1:12" hidden="1" x14ac:dyDescent="0.25">
      <c r="A1285">
        <v>2019</v>
      </c>
      <c r="B1285" t="s">
        <v>66</v>
      </c>
      <c r="C1285">
        <v>9504</v>
      </c>
      <c r="D1285" t="s">
        <v>64</v>
      </c>
      <c r="E1285" t="s">
        <v>14</v>
      </c>
      <c r="F1285" t="s">
        <v>75</v>
      </c>
      <c r="G1285" t="s">
        <v>44</v>
      </c>
      <c r="H1285" t="s">
        <v>45</v>
      </c>
      <c r="I1285">
        <v>99</v>
      </c>
      <c r="J1285">
        <v>102.4</v>
      </c>
      <c r="K1285">
        <v>99</v>
      </c>
      <c r="L1285">
        <v>9600</v>
      </c>
    </row>
    <row r="1286" spans="1:12" hidden="1" x14ac:dyDescent="0.25">
      <c r="A1286">
        <v>2019</v>
      </c>
      <c r="B1286" t="s">
        <v>12</v>
      </c>
      <c r="C1286">
        <v>245</v>
      </c>
      <c r="D1286" t="s">
        <v>64</v>
      </c>
      <c r="E1286" t="s">
        <v>14</v>
      </c>
      <c r="F1286" t="s">
        <v>75</v>
      </c>
      <c r="G1286" t="s">
        <v>58</v>
      </c>
      <c r="H1286" t="s">
        <v>59</v>
      </c>
      <c r="I1286">
        <v>97.634045562563003</v>
      </c>
      <c r="J1286">
        <v>98.151526954033002</v>
      </c>
      <c r="K1286">
        <v>97.634045562563003</v>
      </c>
      <c r="L1286">
        <v>250.93705642158019</v>
      </c>
    </row>
    <row r="1287" spans="1:12" hidden="1" x14ac:dyDescent="0.25">
      <c r="A1287">
        <v>2019</v>
      </c>
      <c r="B1287" t="s">
        <v>66</v>
      </c>
      <c r="C1287">
        <v>380</v>
      </c>
      <c r="D1287" t="s">
        <v>64</v>
      </c>
      <c r="E1287" t="s">
        <v>14</v>
      </c>
      <c r="F1287" t="s">
        <v>75</v>
      </c>
      <c r="G1287" t="s">
        <v>58</v>
      </c>
      <c r="H1287" t="s">
        <v>59</v>
      </c>
      <c r="I1287">
        <v>104.2</v>
      </c>
      <c r="J1287">
        <v>102.4</v>
      </c>
      <c r="K1287">
        <v>104.2</v>
      </c>
      <c r="L1287">
        <v>364.68330134357012</v>
      </c>
    </row>
    <row r="1288" spans="1:12" hidden="1" x14ac:dyDescent="0.25">
      <c r="A1288">
        <v>2019</v>
      </c>
      <c r="B1288" t="s">
        <v>12</v>
      </c>
      <c r="C1288">
        <v>187</v>
      </c>
      <c r="D1288" t="s">
        <v>64</v>
      </c>
      <c r="E1288" t="s">
        <v>14</v>
      </c>
      <c r="F1288" t="s">
        <v>75</v>
      </c>
      <c r="G1288" t="s">
        <v>50</v>
      </c>
      <c r="H1288" t="s">
        <v>51</v>
      </c>
      <c r="I1288">
        <v>106.59709315790001</v>
      </c>
      <c r="J1288">
        <v>98.151526954033002</v>
      </c>
      <c r="K1288">
        <v>106.59709315790001</v>
      </c>
      <c r="L1288">
        <v>175.42692249872229</v>
      </c>
    </row>
    <row r="1289" spans="1:12" hidden="1" x14ac:dyDescent="0.25">
      <c r="A1289">
        <v>2019</v>
      </c>
      <c r="B1289" t="s">
        <v>66</v>
      </c>
      <c r="C1289">
        <v>12825</v>
      </c>
      <c r="D1289" t="s">
        <v>64</v>
      </c>
      <c r="E1289" t="s">
        <v>14</v>
      </c>
      <c r="F1289" t="s">
        <v>75</v>
      </c>
      <c r="G1289" t="s">
        <v>50</v>
      </c>
      <c r="H1289" t="s">
        <v>51</v>
      </c>
      <c r="I1289">
        <v>102.3</v>
      </c>
      <c r="J1289">
        <v>102.4</v>
      </c>
      <c r="K1289">
        <v>102.3</v>
      </c>
      <c r="L1289">
        <v>12536.656891495601</v>
      </c>
    </row>
    <row r="1290" spans="1:12" hidden="1" x14ac:dyDescent="0.25">
      <c r="A1290">
        <v>2019</v>
      </c>
      <c r="B1290" t="s">
        <v>12</v>
      </c>
      <c r="C1290">
        <v>42</v>
      </c>
      <c r="D1290" t="s">
        <v>64</v>
      </c>
      <c r="E1290" t="s">
        <v>14</v>
      </c>
      <c r="F1290" t="s">
        <v>75</v>
      </c>
      <c r="G1290" t="s">
        <v>56</v>
      </c>
      <c r="H1290" t="s">
        <v>57</v>
      </c>
      <c r="I1290">
        <v>106.59709315790001</v>
      </c>
      <c r="J1290">
        <v>98.151526954033002</v>
      </c>
      <c r="K1290">
        <v>106.59709315790001</v>
      </c>
      <c r="L1290">
        <v>39.400699170836013</v>
      </c>
    </row>
    <row r="1291" spans="1:12" hidden="1" x14ac:dyDescent="0.25">
      <c r="A1291">
        <v>2019</v>
      </c>
      <c r="B1291" t="s">
        <v>66</v>
      </c>
      <c r="C1291">
        <v>837</v>
      </c>
      <c r="D1291" t="s">
        <v>64</v>
      </c>
      <c r="E1291" t="s">
        <v>14</v>
      </c>
      <c r="F1291" t="s">
        <v>75</v>
      </c>
      <c r="G1291" t="s">
        <v>56</v>
      </c>
      <c r="H1291" t="s">
        <v>57</v>
      </c>
      <c r="I1291">
        <v>102.2</v>
      </c>
      <c r="J1291">
        <v>102.4</v>
      </c>
      <c r="K1291">
        <v>102.2</v>
      </c>
      <c r="L1291">
        <v>818.98238747553819</v>
      </c>
    </row>
    <row r="1292" spans="1:12" hidden="1" x14ac:dyDescent="0.25">
      <c r="A1292">
        <v>2019</v>
      </c>
      <c r="B1292" t="s">
        <v>12</v>
      </c>
      <c r="C1292">
        <v>638</v>
      </c>
      <c r="D1292" t="s">
        <v>64</v>
      </c>
      <c r="E1292" t="s">
        <v>14</v>
      </c>
      <c r="F1292" t="s">
        <v>75</v>
      </c>
      <c r="G1292" t="s">
        <v>38</v>
      </c>
      <c r="H1292" t="s">
        <v>39</v>
      </c>
      <c r="I1292">
        <v>94.527911873682996</v>
      </c>
      <c r="J1292">
        <v>98.151526954033002</v>
      </c>
      <c r="K1292">
        <v>94.527911873682996</v>
      </c>
      <c r="L1292">
        <v>674.932924417663</v>
      </c>
    </row>
    <row r="1293" spans="1:12" hidden="1" x14ac:dyDescent="0.25">
      <c r="A1293">
        <v>2019</v>
      </c>
      <c r="B1293" t="s">
        <v>66</v>
      </c>
      <c r="C1293">
        <v>1384</v>
      </c>
      <c r="D1293" t="s">
        <v>64</v>
      </c>
      <c r="E1293" t="s">
        <v>14</v>
      </c>
      <c r="F1293" t="s">
        <v>75</v>
      </c>
      <c r="G1293" t="s">
        <v>38</v>
      </c>
      <c r="H1293" t="s">
        <v>39</v>
      </c>
      <c r="I1293">
        <v>101.6</v>
      </c>
      <c r="J1293">
        <v>102.4</v>
      </c>
      <c r="K1293">
        <v>101.6</v>
      </c>
      <c r="L1293">
        <v>1362.204724409449</v>
      </c>
    </row>
    <row r="1294" spans="1:12" hidden="1" x14ac:dyDescent="0.25">
      <c r="A1294">
        <v>2019</v>
      </c>
      <c r="B1294" t="s">
        <v>12</v>
      </c>
      <c r="C1294">
        <v>96</v>
      </c>
      <c r="D1294" t="s">
        <v>64</v>
      </c>
      <c r="E1294" t="s">
        <v>14</v>
      </c>
      <c r="F1294" t="s">
        <v>75</v>
      </c>
      <c r="G1294" t="s">
        <v>48</v>
      </c>
      <c r="H1294" t="s">
        <v>49</v>
      </c>
      <c r="I1294">
        <v>106.59709315790001</v>
      </c>
      <c r="J1294">
        <v>98.151526954033002</v>
      </c>
      <c r="K1294">
        <v>106.59709315790001</v>
      </c>
      <c r="L1294">
        <v>90.058740961910885</v>
      </c>
    </row>
    <row r="1295" spans="1:12" hidden="1" x14ac:dyDescent="0.25">
      <c r="A1295">
        <v>2019</v>
      </c>
      <c r="B1295" t="s">
        <v>66</v>
      </c>
      <c r="C1295">
        <v>6307</v>
      </c>
      <c r="D1295" t="s">
        <v>64</v>
      </c>
      <c r="E1295" t="s">
        <v>14</v>
      </c>
      <c r="F1295" t="s">
        <v>75</v>
      </c>
      <c r="G1295" t="s">
        <v>48</v>
      </c>
      <c r="H1295" t="s">
        <v>49</v>
      </c>
      <c r="I1295">
        <v>103.9</v>
      </c>
      <c r="J1295">
        <v>102.4</v>
      </c>
      <c r="K1295">
        <v>103.9</v>
      </c>
      <c r="L1295">
        <v>6070.2598652550523</v>
      </c>
    </row>
    <row r="1296" spans="1:12" hidden="1" x14ac:dyDescent="0.25">
      <c r="A1296">
        <v>2019</v>
      </c>
      <c r="B1296" t="s">
        <v>12</v>
      </c>
      <c r="C1296">
        <v>29</v>
      </c>
      <c r="D1296" t="s">
        <v>64</v>
      </c>
      <c r="E1296" t="s">
        <v>14</v>
      </c>
      <c r="F1296" t="s">
        <v>75</v>
      </c>
      <c r="G1296" t="s">
        <v>54</v>
      </c>
      <c r="H1296" t="s">
        <v>55</v>
      </c>
      <c r="I1296">
        <v>106.59709315790001</v>
      </c>
      <c r="J1296">
        <v>98.151526954033002</v>
      </c>
      <c r="K1296">
        <v>106.59709315790001</v>
      </c>
      <c r="L1296">
        <v>27.205244665577251</v>
      </c>
    </row>
    <row r="1297" spans="1:12" hidden="1" x14ac:dyDescent="0.25">
      <c r="A1297">
        <v>2019</v>
      </c>
      <c r="B1297" t="s">
        <v>66</v>
      </c>
      <c r="C1297">
        <v>19558</v>
      </c>
      <c r="D1297" t="s">
        <v>64</v>
      </c>
      <c r="E1297" t="s">
        <v>14</v>
      </c>
      <c r="F1297" t="s">
        <v>75</v>
      </c>
      <c r="G1297" t="s">
        <v>54</v>
      </c>
      <c r="H1297" t="s">
        <v>55</v>
      </c>
      <c r="I1297">
        <v>102.2</v>
      </c>
      <c r="J1297">
        <v>102.4</v>
      </c>
      <c r="K1297">
        <v>102.2</v>
      </c>
      <c r="L1297">
        <v>19136.98630136986</v>
      </c>
    </row>
    <row r="1298" spans="1:12" hidden="1" x14ac:dyDescent="0.25">
      <c r="A1298">
        <v>2019</v>
      </c>
      <c r="B1298" t="s">
        <v>12</v>
      </c>
      <c r="C1298">
        <v>29</v>
      </c>
      <c r="D1298" t="s">
        <v>64</v>
      </c>
      <c r="E1298" t="s">
        <v>14</v>
      </c>
      <c r="F1298" t="s">
        <v>75</v>
      </c>
      <c r="G1298" t="s">
        <v>60</v>
      </c>
      <c r="H1298" t="s">
        <v>61</v>
      </c>
      <c r="J1298">
        <v>98.151526954033002</v>
      </c>
      <c r="K1298">
        <v>98.151526954033002</v>
      </c>
      <c r="L1298">
        <v>29.54615266819178</v>
      </c>
    </row>
    <row r="1299" spans="1:12" hidden="1" x14ac:dyDescent="0.25">
      <c r="A1299">
        <v>2019</v>
      </c>
      <c r="B1299" t="s">
        <v>66</v>
      </c>
      <c r="C1299">
        <v>267</v>
      </c>
      <c r="D1299" t="s">
        <v>64</v>
      </c>
      <c r="E1299" t="s">
        <v>14</v>
      </c>
      <c r="F1299" t="s">
        <v>75</v>
      </c>
      <c r="G1299" t="s">
        <v>60</v>
      </c>
      <c r="H1299" t="s">
        <v>61</v>
      </c>
      <c r="I1299">
        <v>105.5</v>
      </c>
      <c r="J1299">
        <v>102.4</v>
      </c>
      <c r="K1299">
        <v>105.5</v>
      </c>
      <c r="L1299">
        <v>253.0805687203792</v>
      </c>
    </row>
    <row r="1300" spans="1:12" hidden="1" x14ac:dyDescent="0.25">
      <c r="A1300">
        <v>2019</v>
      </c>
      <c r="B1300" t="s">
        <v>12</v>
      </c>
      <c r="C1300">
        <v>92</v>
      </c>
      <c r="D1300" t="s">
        <v>64</v>
      </c>
      <c r="E1300" t="s">
        <v>14</v>
      </c>
      <c r="F1300" t="s">
        <v>75</v>
      </c>
      <c r="G1300" t="s">
        <v>22</v>
      </c>
      <c r="H1300" t="s">
        <v>23</v>
      </c>
      <c r="I1300">
        <v>84.562992854463005</v>
      </c>
      <c r="J1300">
        <v>98.151526954033002</v>
      </c>
      <c r="K1300">
        <v>84.562992854463005</v>
      </c>
      <c r="L1300">
        <v>108.7946356845913</v>
      </c>
    </row>
    <row r="1301" spans="1:12" hidden="1" x14ac:dyDescent="0.25">
      <c r="A1301">
        <v>2019</v>
      </c>
      <c r="B1301" t="s">
        <v>66</v>
      </c>
      <c r="C1301">
        <v>5702</v>
      </c>
      <c r="D1301" t="s">
        <v>64</v>
      </c>
      <c r="E1301" t="s">
        <v>14</v>
      </c>
      <c r="F1301" t="s">
        <v>75</v>
      </c>
      <c r="G1301" t="s">
        <v>22</v>
      </c>
      <c r="H1301" t="s">
        <v>23</v>
      </c>
      <c r="I1301">
        <v>102.4</v>
      </c>
      <c r="J1301">
        <v>102.4</v>
      </c>
      <c r="K1301">
        <v>102.4</v>
      </c>
      <c r="L1301">
        <v>5568.359375</v>
      </c>
    </row>
    <row r="1302" spans="1:12" hidden="1" x14ac:dyDescent="0.25">
      <c r="A1302">
        <v>2019</v>
      </c>
      <c r="B1302" t="s">
        <v>66</v>
      </c>
      <c r="C1302">
        <v>14339</v>
      </c>
      <c r="D1302" t="s">
        <v>64</v>
      </c>
      <c r="E1302" t="s">
        <v>14</v>
      </c>
      <c r="F1302" t="s">
        <v>75</v>
      </c>
      <c r="G1302" t="s">
        <v>34</v>
      </c>
      <c r="H1302" t="s">
        <v>35</v>
      </c>
      <c r="I1302">
        <v>92.1</v>
      </c>
      <c r="J1302">
        <v>102.4</v>
      </c>
      <c r="K1302">
        <v>92.1</v>
      </c>
      <c r="L1302">
        <v>15568.94679695983</v>
      </c>
    </row>
    <row r="1303" spans="1:12" hidden="1" x14ac:dyDescent="0.25">
      <c r="A1303">
        <v>2019</v>
      </c>
      <c r="B1303" t="s">
        <v>66</v>
      </c>
      <c r="C1303">
        <v>546</v>
      </c>
      <c r="D1303" t="s">
        <v>64</v>
      </c>
      <c r="E1303" t="s">
        <v>14</v>
      </c>
      <c r="F1303" t="s">
        <v>75</v>
      </c>
      <c r="G1303" t="s">
        <v>67</v>
      </c>
      <c r="H1303" t="s">
        <v>68</v>
      </c>
      <c r="I1303">
        <v>104.9</v>
      </c>
      <c r="J1303">
        <v>102.4</v>
      </c>
      <c r="K1303">
        <v>104.9</v>
      </c>
      <c r="L1303">
        <v>520.49571020019062</v>
      </c>
    </row>
    <row r="1304" spans="1:12" hidden="1" x14ac:dyDescent="0.25">
      <c r="A1304">
        <v>2019</v>
      </c>
      <c r="B1304" t="s">
        <v>12</v>
      </c>
      <c r="C1304">
        <v>1114</v>
      </c>
      <c r="D1304" t="s">
        <v>64</v>
      </c>
      <c r="E1304" t="s">
        <v>14</v>
      </c>
      <c r="F1304" t="s">
        <v>75</v>
      </c>
      <c r="G1304" t="s">
        <v>16</v>
      </c>
      <c r="H1304" t="s">
        <v>17</v>
      </c>
      <c r="J1304">
        <v>98.151526954033002</v>
      </c>
      <c r="K1304">
        <v>98.151526954033002</v>
      </c>
      <c r="L1304">
        <v>1134.9797955988161</v>
      </c>
    </row>
    <row r="1305" spans="1:12" hidden="1" x14ac:dyDescent="0.25">
      <c r="A1305">
        <v>2018</v>
      </c>
      <c r="B1305" t="s">
        <v>12</v>
      </c>
      <c r="C1305">
        <v>9289</v>
      </c>
      <c r="D1305" t="s">
        <v>64</v>
      </c>
      <c r="E1305" t="s">
        <v>14</v>
      </c>
      <c r="F1305" t="s">
        <v>75</v>
      </c>
      <c r="G1305" t="s">
        <v>18</v>
      </c>
      <c r="H1305" t="s">
        <v>19</v>
      </c>
      <c r="I1305">
        <v>99.999999999999005</v>
      </c>
      <c r="J1305">
        <v>99.999999999999005</v>
      </c>
      <c r="K1305">
        <v>99.999999999999005</v>
      </c>
      <c r="L1305">
        <v>9289.0000000000928</v>
      </c>
    </row>
    <row r="1306" spans="1:12" hidden="1" x14ac:dyDescent="0.25">
      <c r="A1306">
        <v>2018</v>
      </c>
      <c r="B1306" t="s">
        <v>66</v>
      </c>
      <c r="C1306">
        <v>22672</v>
      </c>
      <c r="D1306" t="s">
        <v>64</v>
      </c>
      <c r="E1306" t="s">
        <v>14</v>
      </c>
      <c r="F1306" t="s">
        <v>75</v>
      </c>
      <c r="G1306" t="s">
        <v>18</v>
      </c>
      <c r="H1306" t="s">
        <v>19</v>
      </c>
      <c r="I1306">
        <v>100</v>
      </c>
      <c r="J1306">
        <v>100</v>
      </c>
      <c r="K1306">
        <v>100</v>
      </c>
      <c r="L1306">
        <v>22672</v>
      </c>
    </row>
    <row r="1307" spans="1:12" hidden="1" x14ac:dyDescent="0.25">
      <c r="A1307">
        <v>2018</v>
      </c>
      <c r="B1307" t="s">
        <v>12</v>
      </c>
      <c r="C1307">
        <v>719</v>
      </c>
      <c r="D1307" t="s">
        <v>64</v>
      </c>
      <c r="E1307" t="s">
        <v>14</v>
      </c>
      <c r="F1307" t="s">
        <v>75</v>
      </c>
      <c r="G1307" t="s">
        <v>62</v>
      </c>
      <c r="H1307" t="s">
        <v>63</v>
      </c>
      <c r="I1307">
        <v>100</v>
      </c>
      <c r="J1307">
        <v>99.999999999999005</v>
      </c>
      <c r="K1307">
        <v>100</v>
      </c>
      <c r="L1307">
        <v>719</v>
      </c>
    </row>
    <row r="1308" spans="1:12" hidden="1" x14ac:dyDescent="0.25">
      <c r="A1308">
        <v>2018</v>
      </c>
      <c r="B1308" t="s">
        <v>12</v>
      </c>
      <c r="C1308">
        <v>1467</v>
      </c>
      <c r="D1308" t="s">
        <v>64</v>
      </c>
      <c r="E1308" t="s">
        <v>14</v>
      </c>
      <c r="F1308" t="s">
        <v>75</v>
      </c>
      <c r="G1308" t="s">
        <v>42</v>
      </c>
      <c r="H1308" t="s">
        <v>43</v>
      </c>
      <c r="I1308">
        <v>99.999999999999005</v>
      </c>
      <c r="J1308">
        <v>99.999999999999005</v>
      </c>
      <c r="K1308">
        <v>99.999999999999005</v>
      </c>
      <c r="L1308">
        <v>1467.000000000015</v>
      </c>
    </row>
    <row r="1309" spans="1:12" hidden="1" x14ac:dyDescent="0.25">
      <c r="A1309">
        <v>2018</v>
      </c>
      <c r="B1309" t="s">
        <v>66</v>
      </c>
      <c r="C1309">
        <v>9797</v>
      </c>
      <c r="D1309" t="s">
        <v>64</v>
      </c>
      <c r="E1309" t="s">
        <v>14</v>
      </c>
      <c r="F1309" t="s">
        <v>75</v>
      </c>
      <c r="G1309" t="s">
        <v>42</v>
      </c>
      <c r="H1309" t="s">
        <v>43</v>
      </c>
      <c r="I1309">
        <v>100</v>
      </c>
      <c r="J1309">
        <v>100</v>
      </c>
      <c r="K1309">
        <v>100</v>
      </c>
      <c r="L1309">
        <v>9797</v>
      </c>
    </row>
    <row r="1310" spans="1:12" hidden="1" x14ac:dyDescent="0.25">
      <c r="A1310">
        <v>2018</v>
      </c>
      <c r="B1310" t="s">
        <v>12</v>
      </c>
      <c r="C1310">
        <v>673</v>
      </c>
      <c r="D1310" t="s">
        <v>64</v>
      </c>
      <c r="E1310" t="s">
        <v>14</v>
      </c>
      <c r="F1310" t="s">
        <v>75</v>
      </c>
      <c r="G1310" t="s">
        <v>24</v>
      </c>
      <c r="H1310" t="s">
        <v>25</v>
      </c>
      <c r="I1310">
        <v>99.999999999999005</v>
      </c>
      <c r="J1310">
        <v>99.999999999999005</v>
      </c>
      <c r="K1310">
        <v>99.999999999999005</v>
      </c>
      <c r="L1310">
        <v>673.00000000000671</v>
      </c>
    </row>
    <row r="1311" spans="1:12" hidden="1" x14ac:dyDescent="0.25">
      <c r="A1311">
        <v>2018</v>
      </c>
      <c r="B1311" t="s">
        <v>66</v>
      </c>
      <c r="C1311">
        <v>1681</v>
      </c>
      <c r="D1311" t="s">
        <v>64</v>
      </c>
      <c r="E1311" t="s">
        <v>14</v>
      </c>
      <c r="F1311" t="s">
        <v>75</v>
      </c>
      <c r="G1311" t="s">
        <v>24</v>
      </c>
      <c r="H1311" t="s">
        <v>25</v>
      </c>
      <c r="I1311">
        <v>100</v>
      </c>
      <c r="J1311">
        <v>100</v>
      </c>
      <c r="K1311">
        <v>100</v>
      </c>
      <c r="L1311">
        <v>1681</v>
      </c>
    </row>
    <row r="1312" spans="1:12" hidden="1" x14ac:dyDescent="0.25">
      <c r="A1312">
        <v>2018</v>
      </c>
      <c r="B1312" t="s">
        <v>12</v>
      </c>
      <c r="C1312">
        <v>948</v>
      </c>
      <c r="D1312" t="s">
        <v>64</v>
      </c>
      <c r="E1312" t="s">
        <v>14</v>
      </c>
      <c r="F1312" t="s">
        <v>75</v>
      </c>
      <c r="G1312" t="s">
        <v>40</v>
      </c>
      <c r="H1312" t="s">
        <v>41</v>
      </c>
      <c r="I1312">
        <v>99.999999999999005</v>
      </c>
      <c r="J1312">
        <v>99.999999999999005</v>
      </c>
      <c r="K1312">
        <v>99.999999999999005</v>
      </c>
      <c r="L1312">
        <v>948.00000000000944</v>
      </c>
    </row>
    <row r="1313" spans="1:12" hidden="1" x14ac:dyDescent="0.25">
      <c r="A1313">
        <v>2018</v>
      </c>
      <c r="B1313" t="s">
        <v>66</v>
      </c>
      <c r="C1313">
        <v>6547</v>
      </c>
      <c r="D1313" t="s">
        <v>64</v>
      </c>
      <c r="E1313" t="s">
        <v>14</v>
      </c>
      <c r="F1313" t="s">
        <v>75</v>
      </c>
      <c r="G1313" t="s">
        <v>40</v>
      </c>
      <c r="H1313" t="s">
        <v>41</v>
      </c>
      <c r="I1313">
        <v>100</v>
      </c>
      <c r="J1313">
        <v>100</v>
      </c>
      <c r="K1313">
        <v>100</v>
      </c>
      <c r="L1313">
        <v>6547</v>
      </c>
    </row>
    <row r="1314" spans="1:12" hidden="1" x14ac:dyDescent="0.25">
      <c r="A1314">
        <v>2018</v>
      </c>
      <c r="B1314" t="s">
        <v>12</v>
      </c>
      <c r="C1314">
        <v>141</v>
      </c>
      <c r="D1314" t="s">
        <v>64</v>
      </c>
      <c r="E1314" t="s">
        <v>14</v>
      </c>
      <c r="F1314" t="s">
        <v>75</v>
      </c>
      <c r="G1314" t="s">
        <v>22</v>
      </c>
      <c r="H1314" t="s">
        <v>23</v>
      </c>
      <c r="I1314">
        <v>99.999999999999005</v>
      </c>
      <c r="J1314">
        <v>99.999999999999005</v>
      </c>
      <c r="K1314">
        <v>99.999999999999005</v>
      </c>
      <c r="L1314">
        <v>141.00000000000139</v>
      </c>
    </row>
    <row r="1315" spans="1:12" hidden="1" x14ac:dyDescent="0.25">
      <c r="A1315">
        <v>2018</v>
      </c>
      <c r="B1315" t="s">
        <v>66</v>
      </c>
      <c r="C1315">
        <v>5735</v>
      </c>
      <c r="D1315" t="s">
        <v>64</v>
      </c>
      <c r="E1315" t="s">
        <v>14</v>
      </c>
      <c r="F1315" t="s">
        <v>75</v>
      </c>
      <c r="G1315" t="s">
        <v>22</v>
      </c>
      <c r="H1315" t="s">
        <v>23</v>
      </c>
      <c r="I1315">
        <v>100</v>
      </c>
      <c r="J1315">
        <v>100</v>
      </c>
      <c r="K1315">
        <v>100</v>
      </c>
      <c r="L1315">
        <v>5735</v>
      </c>
    </row>
    <row r="1316" spans="1:12" hidden="1" x14ac:dyDescent="0.25">
      <c r="A1316">
        <v>2018</v>
      </c>
      <c r="B1316" t="s">
        <v>12</v>
      </c>
      <c r="C1316">
        <v>1155</v>
      </c>
      <c r="D1316" t="s">
        <v>64</v>
      </c>
      <c r="E1316" t="s">
        <v>14</v>
      </c>
      <c r="F1316" t="s">
        <v>75</v>
      </c>
      <c r="G1316" t="s">
        <v>46</v>
      </c>
      <c r="H1316" t="s">
        <v>47</v>
      </c>
      <c r="I1316">
        <v>100</v>
      </c>
      <c r="J1316">
        <v>99.999999999999005</v>
      </c>
      <c r="K1316">
        <v>100</v>
      </c>
      <c r="L1316">
        <v>1155</v>
      </c>
    </row>
    <row r="1317" spans="1:12" hidden="1" x14ac:dyDescent="0.25">
      <c r="A1317">
        <v>2018</v>
      </c>
      <c r="B1317" t="s">
        <v>66</v>
      </c>
      <c r="C1317">
        <v>7235</v>
      </c>
      <c r="D1317" t="s">
        <v>64</v>
      </c>
      <c r="E1317" t="s">
        <v>14</v>
      </c>
      <c r="F1317" t="s">
        <v>75</v>
      </c>
      <c r="G1317" t="s">
        <v>46</v>
      </c>
      <c r="H1317" t="s">
        <v>47</v>
      </c>
      <c r="I1317">
        <v>100</v>
      </c>
      <c r="J1317">
        <v>100</v>
      </c>
      <c r="K1317">
        <v>100</v>
      </c>
      <c r="L1317">
        <v>7234.9999999999991</v>
      </c>
    </row>
    <row r="1318" spans="1:12" hidden="1" x14ac:dyDescent="0.25">
      <c r="A1318">
        <v>2018</v>
      </c>
      <c r="B1318" t="s">
        <v>12</v>
      </c>
      <c r="C1318">
        <v>507</v>
      </c>
      <c r="D1318" t="s">
        <v>64</v>
      </c>
      <c r="E1318" t="s">
        <v>14</v>
      </c>
      <c r="F1318" t="s">
        <v>75</v>
      </c>
      <c r="G1318" t="s">
        <v>32</v>
      </c>
      <c r="H1318" t="s">
        <v>33</v>
      </c>
      <c r="I1318">
        <v>99.999999999999005</v>
      </c>
      <c r="J1318">
        <v>99.999999999999005</v>
      </c>
      <c r="K1318">
        <v>99.999999999999005</v>
      </c>
      <c r="L1318">
        <v>507.000000000005</v>
      </c>
    </row>
    <row r="1319" spans="1:12" hidden="1" x14ac:dyDescent="0.25">
      <c r="A1319">
        <v>2018</v>
      </c>
      <c r="B1319" t="s">
        <v>66</v>
      </c>
      <c r="C1319">
        <v>277</v>
      </c>
      <c r="D1319" t="s">
        <v>64</v>
      </c>
      <c r="E1319" t="s">
        <v>14</v>
      </c>
      <c r="F1319" t="s">
        <v>75</v>
      </c>
      <c r="G1319" t="s">
        <v>32</v>
      </c>
      <c r="H1319" t="s">
        <v>33</v>
      </c>
      <c r="I1319">
        <v>100</v>
      </c>
      <c r="J1319">
        <v>100</v>
      </c>
      <c r="K1319">
        <v>100</v>
      </c>
      <c r="L1319">
        <v>277</v>
      </c>
    </row>
    <row r="1320" spans="1:12" hidden="1" x14ac:dyDescent="0.25">
      <c r="A1320">
        <v>2018</v>
      </c>
      <c r="B1320" t="s">
        <v>12</v>
      </c>
      <c r="C1320">
        <v>797</v>
      </c>
      <c r="D1320" t="s">
        <v>64</v>
      </c>
      <c r="E1320" t="s">
        <v>14</v>
      </c>
      <c r="F1320" t="s">
        <v>75</v>
      </c>
      <c r="G1320" t="s">
        <v>52</v>
      </c>
      <c r="H1320" t="s">
        <v>53</v>
      </c>
      <c r="I1320">
        <v>100</v>
      </c>
      <c r="J1320">
        <v>99.999999999999005</v>
      </c>
      <c r="K1320">
        <v>100</v>
      </c>
      <c r="L1320">
        <v>797</v>
      </c>
    </row>
    <row r="1321" spans="1:12" hidden="1" x14ac:dyDescent="0.25">
      <c r="A1321">
        <v>2018</v>
      </c>
      <c r="B1321" t="s">
        <v>66</v>
      </c>
      <c r="C1321">
        <v>14960</v>
      </c>
      <c r="D1321" t="s">
        <v>64</v>
      </c>
      <c r="E1321" t="s">
        <v>14</v>
      </c>
      <c r="F1321" t="s">
        <v>75</v>
      </c>
      <c r="G1321" t="s">
        <v>52</v>
      </c>
      <c r="H1321" t="s">
        <v>53</v>
      </c>
      <c r="I1321">
        <v>100</v>
      </c>
      <c r="J1321">
        <v>100</v>
      </c>
      <c r="K1321">
        <v>100</v>
      </c>
      <c r="L1321">
        <v>14960</v>
      </c>
    </row>
    <row r="1322" spans="1:12" hidden="1" x14ac:dyDescent="0.25">
      <c r="A1322">
        <v>2018</v>
      </c>
      <c r="B1322" t="s">
        <v>12</v>
      </c>
      <c r="C1322">
        <v>245</v>
      </c>
      <c r="D1322" t="s">
        <v>64</v>
      </c>
      <c r="E1322" t="s">
        <v>14</v>
      </c>
      <c r="F1322" t="s">
        <v>75</v>
      </c>
      <c r="G1322" t="s">
        <v>58</v>
      </c>
      <c r="H1322" t="s">
        <v>59</v>
      </c>
      <c r="I1322">
        <v>100</v>
      </c>
      <c r="J1322">
        <v>99.999999999999005</v>
      </c>
      <c r="K1322">
        <v>100</v>
      </c>
      <c r="L1322">
        <v>245</v>
      </c>
    </row>
    <row r="1323" spans="1:12" hidden="1" x14ac:dyDescent="0.25">
      <c r="A1323">
        <v>2018</v>
      </c>
      <c r="B1323" t="s">
        <v>66</v>
      </c>
      <c r="C1323">
        <v>394</v>
      </c>
      <c r="D1323" t="s">
        <v>64</v>
      </c>
      <c r="E1323" t="s">
        <v>14</v>
      </c>
      <c r="F1323" t="s">
        <v>75</v>
      </c>
      <c r="G1323" t="s">
        <v>58</v>
      </c>
      <c r="H1323" t="s">
        <v>59</v>
      </c>
      <c r="I1323">
        <v>100</v>
      </c>
      <c r="J1323">
        <v>100</v>
      </c>
      <c r="K1323">
        <v>100</v>
      </c>
      <c r="L1323">
        <v>394</v>
      </c>
    </row>
    <row r="1324" spans="1:12" hidden="1" x14ac:dyDescent="0.25">
      <c r="A1324">
        <v>2018</v>
      </c>
      <c r="B1324" t="s">
        <v>12</v>
      </c>
      <c r="C1324">
        <v>159</v>
      </c>
      <c r="D1324" t="s">
        <v>64</v>
      </c>
      <c r="E1324" t="s">
        <v>14</v>
      </c>
      <c r="F1324" t="s">
        <v>75</v>
      </c>
      <c r="G1324" t="s">
        <v>26</v>
      </c>
      <c r="H1324" t="s">
        <v>27</v>
      </c>
      <c r="I1324">
        <v>99.999999999999005</v>
      </c>
      <c r="J1324">
        <v>99.999999999999005</v>
      </c>
      <c r="K1324">
        <v>99.999999999999005</v>
      </c>
      <c r="L1324">
        <v>159.00000000000159</v>
      </c>
    </row>
    <row r="1325" spans="1:12" hidden="1" x14ac:dyDescent="0.25">
      <c r="A1325">
        <v>2018</v>
      </c>
      <c r="B1325" t="s">
        <v>66</v>
      </c>
      <c r="C1325">
        <v>1015</v>
      </c>
      <c r="D1325" t="s">
        <v>64</v>
      </c>
      <c r="E1325" t="s">
        <v>14</v>
      </c>
      <c r="F1325" t="s">
        <v>75</v>
      </c>
      <c r="G1325" t="s">
        <v>26</v>
      </c>
      <c r="H1325" t="s">
        <v>27</v>
      </c>
      <c r="I1325">
        <v>100</v>
      </c>
      <c r="J1325">
        <v>100</v>
      </c>
      <c r="K1325">
        <v>100</v>
      </c>
      <c r="L1325">
        <v>1015</v>
      </c>
    </row>
    <row r="1326" spans="1:12" hidden="1" x14ac:dyDescent="0.25">
      <c r="A1326">
        <v>2018</v>
      </c>
      <c r="B1326" t="s">
        <v>12</v>
      </c>
      <c r="C1326">
        <v>3776</v>
      </c>
      <c r="D1326" t="s">
        <v>64</v>
      </c>
      <c r="E1326" t="s">
        <v>14</v>
      </c>
      <c r="F1326" t="s">
        <v>75</v>
      </c>
      <c r="G1326" t="s">
        <v>20</v>
      </c>
      <c r="H1326" t="s">
        <v>21</v>
      </c>
      <c r="I1326">
        <v>100</v>
      </c>
      <c r="J1326">
        <v>99.999999999999005</v>
      </c>
      <c r="K1326">
        <v>100</v>
      </c>
      <c r="L1326">
        <v>3776</v>
      </c>
    </row>
    <row r="1327" spans="1:12" hidden="1" x14ac:dyDescent="0.25">
      <c r="A1327">
        <v>2018</v>
      </c>
      <c r="B1327" t="s">
        <v>66</v>
      </c>
      <c r="C1327">
        <v>10670</v>
      </c>
      <c r="D1327" t="s">
        <v>64</v>
      </c>
      <c r="E1327" t="s">
        <v>14</v>
      </c>
      <c r="F1327" t="s">
        <v>75</v>
      </c>
      <c r="G1327" t="s">
        <v>20</v>
      </c>
      <c r="H1327" t="s">
        <v>21</v>
      </c>
      <c r="I1327">
        <v>100</v>
      </c>
      <c r="J1327">
        <v>100</v>
      </c>
      <c r="K1327">
        <v>100</v>
      </c>
      <c r="L1327">
        <v>10670</v>
      </c>
    </row>
    <row r="1328" spans="1:12" hidden="1" x14ac:dyDescent="0.25">
      <c r="A1328">
        <v>2018</v>
      </c>
      <c r="B1328" t="s">
        <v>12</v>
      </c>
      <c r="C1328">
        <v>85</v>
      </c>
      <c r="D1328" t="s">
        <v>64</v>
      </c>
      <c r="E1328" t="s">
        <v>14</v>
      </c>
      <c r="F1328" t="s">
        <v>75</v>
      </c>
      <c r="G1328" t="s">
        <v>54</v>
      </c>
      <c r="H1328" t="s">
        <v>55</v>
      </c>
      <c r="I1328">
        <v>100</v>
      </c>
      <c r="J1328">
        <v>99.999999999999005</v>
      </c>
      <c r="K1328">
        <v>100</v>
      </c>
      <c r="L1328">
        <v>85</v>
      </c>
    </row>
    <row r="1329" spans="1:12" hidden="1" x14ac:dyDescent="0.25">
      <c r="A1329">
        <v>2018</v>
      </c>
      <c r="B1329" t="s">
        <v>66</v>
      </c>
      <c r="C1329">
        <v>19504</v>
      </c>
      <c r="D1329" t="s">
        <v>64</v>
      </c>
      <c r="E1329" t="s">
        <v>14</v>
      </c>
      <c r="F1329" t="s">
        <v>75</v>
      </c>
      <c r="G1329" t="s">
        <v>54</v>
      </c>
      <c r="H1329" t="s">
        <v>55</v>
      </c>
      <c r="I1329">
        <v>100</v>
      </c>
      <c r="J1329">
        <v>100</v>
      </c>
      <c r="K1329">
        <v>100</v>
      </c>
      <c r="L1329">
        <v>19504</v>
      </c>
    </row>
    <row r="1330" spans="1:12" hidden="1" x14ac:dyDescent="0.25">
      <c r="A1330">
        <v>2018</v>
      </c>
      <c r="B1330" t="s">
        <v>12</v>
      </c>
      <c r="C1330">
        <v>795</v>
      </c>
      <c r="D1330" t="s">
        <v>64</v>
      </c>
      <c r="E1330" t="s">
        <v>14</v>
      </c>
      <c r="F1330" t="s">
        <v>75</v>
      </c>
      <c r="G1330" t="s">
        <v>44</v>
      </c>
      <c r="H1330" t="s">
        <v>45</v>
      </c>
      <c r="I1330">
        <v>99.999999999999005</v>
      </c>
      <c r="J1330">
        <v>99.999999999999005</v>
      </c>
      <c r="K1330">
        <v>99.999999999999005</v>
      </c>
      <c r="L1330">
        <v>795.00000000000796</v>
      </c>
    </row>
    <row r="1331" spans="1:12" hidden="1" x14ac:dyDescent="0.25">
      <c r="A1331">
        <v>2018</v>
      </c>
      <c r="B1331" t="s">
        <v>66</v>
      </c>
      <c r="C1331">
        <v>10255</v>
      </c>
      <c r="D1331" t="s">
        <v>64</v>
      </c>
      <c r="E1331" t="s">
        <v>14</v>
      </c>
      <c r="F1331" t="s">
        <v>75</v>
      </c>
      <c r="G1331" t="s">
        <v>44</v>
      </c>
      <c r="H1331" t="s">
        <v>45</v>
      </c>
      <c r="I1331">
        <v>100</v>
      </c>
      <c r="J1331">
        <v>100</v>
      </c>
      <c r="K1331">
        <v>100</v>
      </c>
      <c r="L1331">
        <v>10255</v>
      </c>
    </row>
    <row r="1332" spans="1:12" hidden="1" x14ac:dyDescent="0.25">
      <c r="A1332">
        <v>2018</v>
      </c>
      <c r="B1332" t="s">
        <v>12</v>
      </c>
      <c r="C1332">
        <v>3551</v>
      </c>
      <c r="D1332" t="s">
        <v>64</v>
      </c>
      <c r="E1332" t="s">
        <v>14</v>
      </c>
      <c r="F1332" t="s">
        <v>75</v>
      </c>
      <c r="G1332" t="s">
        <v>36</v>
      </c>
      <c r="H1332" t="s">
        <v>37</v>
      </c>
      <c r="I1332">
        <v>99.999999999999005</v>
      </c>
      <c r="J1332">
        <v>99.999999999999005</v>
      </c>
      <c r="K1332">
        <v>99.999999999999005</v>
      </c>
      <c r="L1332">
        <v>3551.000000000035</v>
      </c>
    </row>
    <row r="1333" spans="1:12" hidden="1" x14ac:dyDescent="0.25">
      <c r="A1333">
        <v>2018</v>
      </c>
      <c r="B1333" t="s">
        <v>66</v>
      </c>
      <c r="C1333">
        <v>13293</v>
      </c>
      <c r="D1333" t="s">
        <v>64</v>
      </c>
      <c r="E1333" t="s">
        <v>14</v>
      </c>
      <c r="F1333" t="s">
        <v>75</v>
      </c>
      <c r="G1333" t="s">
        <v>36</v>
      </c>
      <c r="H1333" t="s">
        <v>37</v>
      </c>
      <c r="I1333">
        <v>100</v>
      </c>
      <c r="J1333">
        <v>100</v>
      </c>
      <c r="K1333">
        <v>100</v>
      </c>
      <c r="L1333">
        <v>13293</v>
      </c>
    </row>
    <row r="1334" spans="1:12" hidden="1" x14ac:dyDescent="0.25">
      <c r="A1334">
        <v>2018</v>
      </c>
      <c r="B1334" t="s">
        <v>12</v>
      </c>
      <c r="C1334">
        <v>1712</v>
      </c>
      <c r="D1334" t="s">
        <v>64</v>
      </c>
      <c r="E1334" t="s">
        <v>14</v>
      </c>
      <c r="F1334" t="s">
        <v>75</v>
      </c>
      <c r="G1334" t="s">
        <v>28</v>
      </c>
      <c r="H1334" t="s">
        <v>29</v>
      </c>
      <c r="I1334">
        <v>100</v>
      </c>
      <c r="J1334">
        <v>99.999999999999005</v>
      </c>
      <c r="K1334">
        <v>100</v>
      </c>
      <c r="L1334">
        <v>1712</v>
      </c>
    </row>
    <row r="1335" spans="1:12" hidden="1" x14ac:dyDescent="0.25">
      <c r="A1335">
        <v>2018</v>
      </c>
      <c r="B1335" t="s">
        <v>66</v>
      </c>
      <c r="C1335">
        <v>460</v>
      </c>
      <c r="D1335" t="s">
        <v>64</v>
      </c>
      <c r="E1335" t="s">
        <v>14</v>
      </c>
      <c r="F1335" t="s">
        <v>75</v>
      </c>
      <c r="G1335" t="s">
        <v>28</v>
      </c>
      <c r="H1335" t="s">
        <v>29</v>
      </c>
      <c r="I1335">
        <v>100</v>
      </c>
      <c r="J1335">
        <v>100</v>
      </c>
      <c r="K1335">
        <v>100</v>
      </c>
      <c r="L1335">
        <v>459.99999999999989</v>
      </c>
    </row>
    <row r="1336" spans="1:12" hidden="1" x14ac:dyDescent="0.25">
      <c r="A1336">
        <v>2018</v>
      </c>
      <c r="B1336" t="s">
        <v>12</v>
      </c>
      <c r="C1336">
        <v>3081</v>
      </c>
      <c r="D1336" t="s">
        <v>64</v>
      </c>
      <c r="E1336" t="s">
        <v>14</v>
      </c>
      <c r="F1336" t="s">
        <v>75</v>
      </c>
      <c r="G1336" t="s">
        <v>30</v>
      </c>
      <c r="H1336" t="s">
        <v>31</v>
      </c>
      <c r="I1336">
        <v>99.999999999999005</v>
      </c>
      <c r="J1336">
        <v>99.999999999999005</v>
      </c>
      <c r="K1336">
        <v>99.999999999999005</v>
      </c>
      <c r="L1336">
        <v>3081.0000000000309</v>
      </c>
    </row>
    <row r="1337" spans="1:12" hidden="1" x14ac:dyDescent="0.25">
      <c r="A1337">
        <v>2018</v>
      </c>
      <c r="B1337" t="s">
        <v>66</v>
      </c>
      <c r="C1337">
        <v>3402</v>
      </c>
      <c r="D1337" t="s">
        <v>64</v>
      </c>
      <c r="E1337" t="s">
        <v>14</v>
      </c>
      <c r="F1337" t="s">
        <v>75</v>
      </c>
      <c r="G1337" t="s">
        <v>30</v>
      </c>
      <c r="H1337" t="s">
        <v>31</v>
      </c>
      <c r="I1337">
        <v>100</v>
      </c>
      <c r="J1337">
        <v>100</v>
      </c>
      <c r="K1337">
        <v>100</v>
      </c>
      <c r="L1337">
        <v>3402</v>
      </c>
    </row>
    <row r="1338" spans="1:12" hidden="1" x14ac:dyDescent="0.25">
      <c r="A1338">
        <v>2018</v>
      </c>
      <c r="B1338" t="s">
        <v>12</v>
      </c>
      <c r="C1338">
        <v>209</v>
      </c>
      <c r="D1338" t="s">
        <v>64</v>
      </c>
      <c r="E1338" t="s">
        <v>14</v>
      </c>
      <c r="F1338" t="s">
        <v>75</v>
      </c>
      <c r="G1338" t="s">
        <v>50</v>
      </c>
      <c r="H1338" t="s">
        <v>51</v>
      </c>
      <c r="I1338">
        <v>100</v>
      </c>
      <c r="J1338">
        <v>99.999999999999005</v>
      </c>
      <c r="K1338">
        <v>100</v>
      </c>
      <c r="L1338">
        <v>209</v>
      </c>
    </row>
    <row r="1339" spans="1:12" hidden="1" x14ac:dyDescent="0.25">
      <c r="A1339">
        <v>2018</v>
      </c>
      <c r="B1339" t="s">
        <v>66</v>
      </c>
      <c r="C1339">
        <v>12357</v>
      </c>
      <c r="D1339" t="s">
        <v>64</v>
      </c>
      <c r="E1339" t="s">
        <v>14</v>
      </c>
      <c r="F1339" t="s">
        <v>75</v>
      </c>
      <c r="G1339" t="s">
        <v>50</v>
      </c>
      <c r="H1339" t="s">
        <v>51</v>
      </c>
      <c r="I1339">
        <v>100</v>
      </c>
      <c r="J1339">
        <v>100</v>
      </c>
      <c r="K1339">
        <v>100</v>
      </c>
      <c r="L1339">
        <v>12357</v>
      </c>
    </row>
    <row r="1340" spans="1:12" hidden="1" x14ac:dyDescent="0.25">
      <c r="A1340">
        <v>2018</v>
      </c>
      <c r="B1340" t="s">
        <v>12</v>
      </c>
      <c r="C1340">
        <v>555</v>
      </c>
      <c r="D1340" t="s">
        <v>64</v>
      </c>
      <c r="E1340" t="s">
        <v>14</v>
      </c>
      <c r="F1340" t="s">
        <v>75</v>
      </c>
      <c r="G1340" t="s">
        <v>38</v>
      </c>
      <c r="H1340" t="s">
        <v>39</v>
      </c>
      <c r="I1340">
        <v>99.999999999999005</v>
      </c>
      <c r="J1340">
        <v>99.999999999999005</v>
      </c>
      <c r="K1340">
        <v>99.999999999999005</v>
      </c>
      <c r="L1340">
        <v>555.00000000000546</v>
      </c>
    </row>
    <row r="1341" spans="1:12" hidden="1" x14ac:dyDescent="0.25">
      <c r="A1341">
        <v>2018</v>
      </c>
      <c r="B1341" t="s">
        <v>66</v>
      </c>
      <c r="C1341">
        <v>1271</v>
      </c>
      <c r="D1341" t="s">
        <v>64</v>
      </c>
      <c r="E1341" t="s">
        <v>14</v>
      </c>
      <c r="F1341" t="s">
        <v>75</v>
      </c>
      <c r="G1341" t="s">
        <v>38</v>
      </c>
      <c r="H1341" t="s">
        <v>39</v>
      </c>
      <c r="I1341">
        <v>100</v>
      </c>
      <c r="J1341">
        <v>100</v>
      </c>
      <c r="K1341">
        <v>100</v>
      </c>
      <c r="L1341">
        <v>1271</v>
      </c>
    </row>
    <row r="1342" spans="1:12" hidden="1" x14ac:dyDescent="0.25">
      <c r="A1342">
        <v>2018</v>
      </c>
      <c r="B1342" t="s">
        <v>12</v>
      </c>
      <c r="C1342">
        <v>35</v>
      </c>
      <c r="D1342" t="s">
        <v>64</v>
      </c>
      <c r="E1342" t="s">
        <v>14</v>
      </c>
      <c r="F1342" t="s">
        <v>75</v>
      </c>
      <c r="G1342" t="s">
        <v>60</v>
      </c>
      <c r="H1342" t="s">
        <v>61</v>
      </c>
      <c r="J1342">
        <v>99.999999999999005</v>
      </c>
      <c r="K1342">
        <v>99.999999999999005</v>
      </c>
      <c r="L1342">
        <v>35.000000000000348</v>
      </c>
    </row>
    <row r="1343" spans="1:12" hidden="1" x14ac:dyDescent="0.25">
      <c r="A1343">
        <v>2018</v>
      </c>
      <c r="B1343" t="s">
        <v>66</v>
      </c>
      <c r="C1343">
        <v>254</v>
      </c>
      <c r="D1343" t="s">
        <v>64</v>
      </c>
      <c r="E1343" t="s">
        <v>14</v>
      </c>
      <c r="F1343" t="s">
        <v>75</v>
      </c>
      <c r="G1343" t="s">
        <v>60</v>
      </c>
      <c r="H1343" t="s">
        <v>61</v>
      </c>
      <c r="I1343">
        <v>100</v>
      </c>
      <c r="J1343">
        <v>100</v>
      </c>
      <c r="K1343">
        <v>100</v>
      </c>
      <c r="L1343">
        <v>254</v>
      </c>
    </row>
    <row r="1344" spans="1:12" hidden="1" x14ac:dyDescent="0.25">
      <c r="A1344">
        <v>2018</v>
      </c>
      <c r="B1344" t="s">
        <v>12</v>
      </c>
      <c r="C1344">
        <v>31</v>
      </c>
      <c r="D1344" t="s">
        <v>64</v>
      </c>
      <c r="E1344" t="s">
        <v>14</v>
      </c>
      <c r="F1344" t="s">
        <v>75</v>
      </c>
      <c r="G1344" t="s">
        <v>56</v>
      </c>
      <c r="H1344" t="s">
        <v>57</v>
      </c>
      <c r="I1344">
        <v>100</v>
      </c>
      <c r="J1344">
        <v>99.999999999999005</v>
      </c>
      <c r="K1344">
        <v>100</v>
      </c>
      <c r="L1344">
        <v>31</v>
      </c>
    </row>
    <row r="1345" spans="1:12" hidden="1" x14ac:dyDescent="0.25">
      <c r="A1345">
        <v>2018</v>
      </c>
      <c r="B1345" t="s">
        <v>66</v>
      </c>
      <c r="C1345">
        <v>545</v>
      </c>
      <c r="D1345" t="s">
        <v>64</v>
      </c>
      <c r="E1345" t="s">
        <v>14</v>
      </c>
      <c r="F1345" t="s">
        <v>75</v>
      </c>
      <c r="G1345" t="s">
        <v>56</v>
      </c>
      <c r="H1345" t="s">
        <v>57</v>
      </c>
      <c r="I1345">
        <v>100</v>
      </c>
      <c r="J1345">
        <v>100</v>
      </c>
      <c r="K1345">
        <v>100</v>
      </c>
      <c r="L1345">
        <v>545</v>
      </c>
    </row>
    <row r="1346" spans="1:12" hidden="1" x14ac:dyDescent="0.25">
      <c r="A1346">
        <v>2018</v>
      </c>
      <c r="B1346" t="s">
        <v>12</v>
      </c>
      <c r="C1346">
        <v>198</v>
      </c>
      <c r="D1346" t="s">
        <v>64</v>
      </c>
      <c r="E1346" t="s">
        <v>14</v>
      </c>
      <c r="F1346" t="s">
        <v>75</v>
      </c>
      <c r="G1346" t="s">
        <v>48</v>
      </c>
      <c r="H1346" t="s">
        <v>49</v>
      </c>
      <c r="I1346">
        <v>100</v>
      </c>
      <c r="J1346">
        <v>99.999999999999005</v>
      </c>
      <c r="K1346">
        <v>100</v>
      </c>
      <c r="L1346">
        <v>198</v>
      </c>
    </row>
    <row r="1347" spans="1:12" hidden="1" x14ac:dyDescent="0.25">
      <c r="A1347">
        <v>2018</v>
      </c>
      <c r="B1347" t="s">
        <v>66</v>
      </c>
      <c r="C1347">
        <v>5626</v>
      </c>
      <c r="D1347" t="s">
        <v>64</v>
      </c>
      <c r="E1347" t="s">
        <v>14</v>
      </c>
      <c r="F1347" t="s">
        <v>75</v>
      </c>
      <c r="G1347" t="s">
        <v>48</v>
      </c>
      <c r="H1347" t="s">
        <v>49</v>
      </c>
      <c r="I1347">
        <v>100</v>
      </c>
      <c r="J1347">
        <v>100</v>
      </c>
      <c r="K1347">
        <v>100</v>
      </c>
      <c r="L1347">
        <v>5626</v>
      </c>
    </row>
    <row r="1348" spans="1:12" hidden="1" x14ac:dyDescent="0.25">
      <c r="A1348">
        <v>2018</v>
      </c>
      <c r="B1348" t="s">
        <v>12</v>
      </c>
      <c r="C1348">
        <v>3</v>
      </c>
      <c r="D1348" t="s">
        <v>64</v>
      </c>
      <c r="E1348" t="s">
        <v>14</v>
      </c>
      <c r="F1348" t="s">
        <v>75</v>
      </c>
      <c r="G1348" t="s">
        <v>34</v>
      </c>
      <c r="H1348" t="s">
        <v>35</v>
      </c>
      <c r="I1348">
        <v>99.999999999999005</v>
      </c>
      <c r="J1348">
        <v>99.999999999999005</v>
      </c>
      <c r="K1348">
        <v>99.999999999999005</v>
      </c>
      <c r="L1348">
        <v>3.0000000000000302</v>
      </c>
    </row>
    <row r="1349" spans="1:12" hidden="1" x14ac:dyDescent="0.25">
      <c r="A1349">
        <v>2018</v>
      </c>
      <c r="B1349" t="s">
        <v>66</v>
      </c>
      <c r="C1349">
        <v>16466</v>
      </c>
      <c r="D1349" t="s">
        <v>64</v>
      </c>
      <c r="E1349" t="s">
        <v>14</v>
      </c>
      <c r="F1349" t="s">
        <v>75</v>
      </c>
      <c r="G1349" t="s">
        <v>34</v>
      </c>
      <c r="H1349" t="s">
        <v>35</v>
      </c>
      <c r="I1349">
        <v>100</v>
      </c>
      <c r="J1349">
        <v>100</v>
      </c>
      <c r="K1349">
        <v>100</v>
      </c>
      <c r="L1349">
        <v>16466</v>
      </c>
    </row>
    <row r="1350" spans="1:12" hidden="1" x14ac:dyDescent="0.25">
      <c r="A1350">
        <v>2018</v>
      </c>
      <c r="B1350" t="s">
        <v>66</v>
      </c>
      <c r="C1350">
        <v>517</v>
      </c>
      <c r="D1350" t="s">
        <v>64</v>
      </c>
      <c r="E1350" t="s">
        <v>14</v>
      </c>
      <c r="F1350" t="s">
        <v>75</v>
      </c>
      <c r="G1350" t="s">
        <v>67</v>
      </c>
      <c r="H1350" t="s">
        <v>68</v>
      </c>
      <c r="I1350">
        <v>100</v>
      </c>
      <c r="J1350">
        <v>100</v>
      </c>
      <c r="K1350">
        <v>100</v>
      </c>
      <c r="L1350">
        <v>517</v>
      </c>
    </row>
    <row r="1351" spans="1:12" hidden="1" x14ac:dyDescent="0.25">
      <c r="A1351">
        <v>2018</v>
      </c>
      <c r="B1351" t="s">
        <v>12</v>
      </c>
      <c r="C1351">
        <v>11</v>
      </c>
      <c r="D1351" t="s">
        <v>64</v>
      </c>
      <c r="E1351" t="s">
        <v>14</v>
      </c>
      <c r="F1351" t="s">
        <v>75</v>
      </c>
      <c r="G1351" t="s">
        <v>16</v>
      </c>
      <c r="H1351" t="s">
        <v>17</v>
      </c>
      <c r="J1351">
        <v>99.999999999999005</v>
      </c>
      <c r="K1351">
        <v>99.999999999999005</v>
      </c>
      <c r="L1351">
        <v>11.00000000000011</v>
      </c>
    </row>
    <row r="1352" spans="1:12" hidden="1" x14ac:dyDescent="0.25">
      <c r="A1352">
        <v>2017</v>
      </c>
      <c r="B1352" t="s">
        <v>12</v>
      </c>
      <c r="C1352">
        <v>7853</v>
      </c>
      <c r="D1352" t="s">
        <v>64</v>
      </c>
      <c r="E1352" t="s">
        <v>14</v>
      </c>
      <c r="F1352" t="s">
        <v>75</v>
      </c>
      <c r="G1352" t="s">
        <v>18</v>
      </c>
      <c r="H1352" t="s">
        <v>19</v>
      </c>
      <c r="I1352">
        <v>98.723825004638996</v>
      </c>
      <c r="J1352">
        <v>95.003435419368998</v>
      </c>
      <c r="K1352">
        <v>98.723825004638996</v>
      </c>
      <c r="L1352">
        <v>7954.5135124484796</v>
      </c>
    </row>
    <row r="1353" spans="1:12" hidden="1" x14ac:dyDescent="0.25">
      <c r="A1353">
        <v>2017</v>
      </c>
      <c r="B1353" t="s">
        <v>66</v>
      </c>
      <c r="C1353">
        <v>22168</v>
      </c>
      <c r="D1353" t="s">
        <v>64</v>
      </c>
      <c r="E1353" t="s">
        <v>14</v>
      </c>
      <c r="F1353" t="s">
        <v>75</v>
      </c>
      <c r="G1353" t="s">
        <v>18</v>
      </c>
      <c r="H1353" t="s">
        <v>19</v>
      </c>
      <c r="I1353">
        <v>96.7</v>
      </c>
      <c r="J1353">
        <v>94.3</v>
      </c>
      <c r="K1353">
        <v>96.7</v>
      </c>
      <c r="L1353">
        <v>22924.508790072388</v>
      </c>
    </row>
    <row r="1354" spans="1:12" hidden="1" x14ac:dyDescent="0.25">
      <c r="A1354">
        <v>2017</v>
      </c>
      <c r="B1354" t="s">
        <v>12</v>
      </c>
      <c r="C1354">
        <v>3042</v>
      </c>
      <c r="D1354" t="s">
        <v>64</v>
      </c>
      <c r="E1354" t="s">
        <v>14</v>
      </c>
      <c r="F1354" t="s">
        <v>75</v>
      </c>
      <c r="G1354" t="s">
        <v>20</v>
      </c>
      <c r="H1354" t="s">
        <v>21</v>
      </c>
      <c r="I1354">
        <v>90.846967636214998</v>
      </c>
      <c r="J1354">
        <v>95.003435419368998</v>
      </c>
      <c r="K1354">
        <v>90.846967636214998</v>
      </c>
      <c r="L1354">
        <v>3348.4882095143762</v>
      </c>
    </row>
    <row r="1355" spans="1:12" hidden="1" x14ac:dyDescent="0.25">
      <c r="A1355">
        <v>2017</v>
      </c>
      <c r="B1355" t="s">
        <v>66</v>
      </c>
      <c r="C1355">
        <v>9890</v>
      </c>
      <c r="D1355" t="s">
        <v>64</v>
      </c>
      <c r="E1355" t="s">
        <v>14</v>
      </c>
      <c r="F1355" t="s">
        <v>75</v>
      </c>
      <c r="G1355" t="s">
        <v>20</v>
      </c>
      <c r="H1355" t="s">
        <v>21</v>
      </c>
      <c r="I1355">
        <v>96.4</v>
      </c>
      <c r="J1355">
        <v>94.3</v>
      </c>
      <c r="K1355">
        <v>96.4</v>
      </c>
      <c r="L1355">
        <v>10259.33609958506</v>
      </c>
    </row>
    <row r="1356" spans="1:12" hidden="1" x14ac:dyDescent="0.25">
      <c r="A1356">
        <v>2017</v>
      </c>
      <c r="B1356" t="s">
        <v>12</v>
      </c>
      <c r="C1356">
        <v>789</v>
      </c>
      <c r="D1356" t="s">
        <v>64</v>
      </c>
      <c r="E1356" t="s">
        <v>14</v>
      </c>
      <c r="F1356" t="s">
        <v>75</v>
      </c>
      <c r="G1356" t="s">
        <v>42</v>
      </c>
      <c r="H1356" t="s">
        <v>43</v>
      </c>
      <c r="I1356">
        <v>89.385379074143003</v>
      </c>
      <c r="J1356">
        <v>95.003435419368998</v>
      </c>
      <c r="K1356">
        <v>89.385379074143003</v>
      </c>
      <c r="L1356">
        <v>882.6946959027199</v>
      </c>
    </row>
    <row r="1357" spans="1:12" hidden="1" x14ac:dyDescent="0.25">
      <c r="A1357">
        <v>2017</v>
      </c>
      <c r="B1357" t="s">
        <v>66</v>
      </c>
      <c r="C1357">
        <v>9351</v>
      </c>
      <c r="D1357" t="s">
        <v>64</v>
      </c>
      <c r="E1357" t="s">
        <v>14</v>
      </c>
      <c r="F1357" t="s">
        <v>75</v>
      </c>
      <c r="G1357" t="s">
        <v>42</v>
      </c>
      <c r="H1357" t="s">
        <v>43</v>
      </c>
      <c r="I1357">
        <v>95.9</v>
      </c>
      <c r="J1357">
        <v>94.3</v>
      </c>
      <c r="K1357">
        <v>95.9</v>
      </c>
      <c r="L1357">
        <v>9750.7820646506771</v>
      </c>
    </row>
    <row r="1358" spans="1:12" hidden="1" x14ac:dyDescent="0.25">
      <c r="A1358">
        <v>2017</v>
      </c>
      <c r="B1358" t="s">
        <v>12</v>
      </c>
      <c r="C1358">
        <v>177</v>
      </c>
      <c r="D1358" t="s">
        <v>64</v>
      </c>
      <c r="E1358" t="s">
        <v>14</v>
      </c>
      <c r="F1358" t="s">
        <v>75</v>
      </c>
      <c r="G1358" t="s">
        <v>24</v>
      </c>
      <c r="H1358" t="s">
        <v>25</v>
      </c>
      <c r="I1358">
        <v>111.61986215915999</v>
      </c>
      <c r="J1358">
        <v>95.003435419368998</v>
      </c>
      <c r="K1358">
        <v>111.61986215915999</v>
      </c>
      <c r="L1358">
        <v>158.57392813083189</v>
      </c>
    </row>
    <row r="1359" spans="1:12" hidden="1" x14ac:dyDescent="0.25">
      <c r="A1359">
        <v>2017</v>
      </c>
      <c r="B1359" t="s">
        <v>66</v>
      </c>
      <c r="C1359">
        <v>1632</v>
      </c>
      <c r="D1359" t="s">
        <v>64</v>
      </c>
      <c r="E1359" t="s">
        <v>14</v>
      </c>
      <c r="F1359" t="s">
        <v>75</v>
      </c>
      <c r="G1359" t="s">
        <v>24</v>
      </c>
      <c r="H1359" t="s">
        <v>25</v>
      </c>
      <c r="I1359">
        <v>96.6</v>
      </c>
      <c r="J1359">
        <v>94.3</v>
      </c>
      <c r="K1359">
        <v>96.6</v>
      </c>
      <c r="L1359">
        <v>1689.4409937888199</v>
      </c>
    </row>
    <row r="1360" spans="1:12" hidden="1" x14ac:dyDescent="0.25">
      <c r="A1360">
        <v>2017</v>
      </c>
      <c r="B1360" t="s">
        <v>12</v>
      </c>
      <c r="C1360">
        <v>1306</v>
      </c>
      <c r="D1360" t="s">
        <v>64</v>
      </c>
      <c r="E1360" t="s">
        <v>14</v>
      </c>
      <c r="F1360" t="s">
        <v>75</v>
      </c>
      <c r="G1360" t="s">
        <v>40</v>
      </c>
      <c r="H1360" t="s">
        <v>41</v>
      </c>
      <c r="I1360">
        <v>96.253026824776995</v>
      </c>
      <c r="J1360">
        <v>95.003435419368998</v>
      </c>
      <c r="K1360">
        <v>96.253026824776995</v>
      </c>
      <c r="L1360">
        <v>1356.840447602232</v>
      </c>
    </row>
    <row r="1361" spans="1:12" hidden="1" x14ac:dyDescent="0.25">
      <c r="A1361">
        <v>2017</v>
      </c>
      <c r="B1361" t="s">
        <v>66</v>
      </c>
      <c r="C1361">
        <v>6249</v>
      </c>
      <c r="D1361" t="s">
        <v>64</v>
      </c>
      <c r="E1361" t="s">
        <v>14</v>
      </c>
      <c r="F1361" t="s">
        <v>75</v>
      </c>
      <c r="G1361" t="s">
        <v>40</v>
      </c>
      <c r="H1361" t="s">
        <v>41</v>
      </c>
      <c r="I1361">
        <v>95.4</v>
      </c>
      <c r="J1361">
        <v>94.3</v>
      </c>
      <c r="K1361">
        <v>95.4</v>
      </c>
      <c r="L1361">
        <v>6550.3144654088046</v>
      </c>
    </row>
    <row r="1362" spans="1:12" hidden="1" x14ac:dyDescent="0.25">
      <c r="A1362">
        <v>2017</v>
      </c>
      <c r="B1362" t="s">
        <v>12</v>
      </c>
      <c r="C1362">
        <v>2171</v>
      </c>
      <c r="D1362" t="s">
        <v>64</v>
      </c>
      <c r="E1362" t="s">
        <v>14</v>
      </c>
      <c r="F1362" t="s">
        <v>75</v>
      </c>
      <c r="G1362" t="s">
        <v>30</v>
      </c>
      <c r="H1362" t="s">
        <v>31</v>
      </c>
      <c r="I1362">
        <v>76.712843517501994</v>
      </c>
      <c r="J1362">
        <v>95.003435419368998</v>
      </c>
      <c r="K1362">
        <v>76.712843517501994</v>
      </c>
      <c r="L1362">
        <v>2830.0345815035362</v>
      </c>
    </row>
    <row r="1363" spans="1:12" hidden="1" x14ac:dyDescent="0.25">
      <c r="A1363">
        <v>2017</v>
      </c>
      <c r="B1363" t="s">
        <v>66</v>
      </c>
      <c r="C1363">
        <v>3188</v>
      </c>
      <c r="D1363" t="s">
        <v>64</v>
      </c>
      <c r="E1363" t="s">
        <v>14</v>
      </c>
      <c r="F1363" t="s">
        <v>75</v>
      </c>
      <c r="G1363" t="s">
        <v>30</v>
      </c>
      <c r="H1363" t="s">
        <v>31</v>
      </c>
      <c r="I1363">
        <v>93.7</v>
      </c>
      <c r="J1363">
        <v>94.3</v>
      </c>
      <c r="K1363">
        <v>93.7</v>
      </c>
      <c r="L1363">
        <v>3402.3479188900742</v>
      </c>
    </row>
    <row r="1364" spans="1:12" hidden="1" x14ac:dyDescent="0.25">
      <c r="A1364">
        <v>2017</v>
      </c>
      <c r="B1364" t="s">
        <v>12</v>
      </c>
      <c r="C1364">
        <v>197</v>
      </c>
      <c r="D1364" t="s">
        <v>64</v>
      </c>
      <c r="E1364" t="s">
        <v>14</v>
      </c>
      <c r="F1364" t="s">
        <v>75</v>
      </c>
      <c r="G1364" t="s">
        <v>50</v>
      </c>
      <c r="H1364" t="s">
        <v>51</v>
      </c>
      <c r="I1364">
        <v>98.189528995325006</v>
      </c>
      <c r="J1364">
        <v>95.003435419368998</v>
      </c>
      <c r="K1364">
        <v>98.189528995325006</v>
      </c>
      <c r="L1364">
        <v>200.63239126992809</v>
      </c>
    </row>
    <row r="1365" spans="1:12" hidden="1" x14ac:dyDescent="0.25">
      <c r="A1365">
        <v>2017</v>
      </c>
      <c r="B1365" t="s">
        <v>66</v>
      </c>
      <c r="C1365">
        <v>11570</v>
      </c>
      <c r="D1365" t="s">
        <v>64</v>
      </c>
      <c r="E1365" t="s">
        <v>14</v>
      </c>
      <c r="F1365" t="s">
        <v>75</v>
      </c>
      <c r="G1365" t="s">
        <v>50</v>
      </c>
      <c r="H1365" t="s">
        <v>51</v>
      </c>
      <c r="I1365">
        <v>94.3</v>
      </c>
      <c r="J1365">
        <v>94.3</v>
      </c>
      <c r="K1365">
        <v>94.3</v>
      </c>
      <c r="L1365">
        <v>12269.353128313889</v>
      </c>
    </row>
    <row r="1366" spans="1:12" hidden="1" x14ac:dyDescent="0.25">
      <c r="A1366">
        <v>2017</v>
      </c>
      <c r="B1366" t="s">
        <v>12</v>
      </c>
      <c r="C1366">
        <v>439</v>
      </c>
      <c r="D1366" t="s">
        <v>64</v>
      </c>
      <c r="E1366" t="s">
        <v>14</v>
      </c>
      <c r="F1366" t="s">
        <v>75</v>
      </c>
      <c r="G1366" t="s">
        <v>52</v>
      </c>
      <c r="H1366" t="s">
        <v>53</v>
      </c>
      <c r="I1366">
        <v>98.189528995325006</v>
      </c>
      <c r="J1366">
        <v>95.003435419368998</v>
      </c>
      <c r="K1366">
        <v>98.189528995325006</v>
      </c>
      <c r="L1366">
        <v>447.09451658628649</v>
      </c>
    </row>
    <row r="1367" spans="1:12" hidden="1" x14ac:dyDescent="0.25">
      <c r="A1367">
        <v>2017</v>
      </c>
      <c r="B1367" t="s">
        <v>66</v>
      </c>
      <c r="C1367">
        <v>13720</v>
      </c>
      <c r="D1367" t="s">
        <v>64</v>
      </c>
      <c r="E1367" t="s">
        <v>14</v>
      </c>
      <c r="F1367" t="s">
        <v>75</v>
      </c>
      <c r="G1367" t="s">
        <v>52</v>
      </c>
      <c r="H1367" t="s">
        <v>53</v>
      </c>
      <c r="I1367">
        <v>96.3</v>
      </c>
      <c r="J1367">
        <v>94.3</v>
      </c>
      <c r="K1367">
        <v>96.3</v>
      </c>
      <c r="L1367">
        <v>14247.144340602281</v>
      </c>
    </row>
    <row r="1368" spans="1:12" hidden="1" x14ac:dyDescent="0.25">
      <c r="A1368">
        <v>2017</v>
      </c>
      <c r="B1368" t="s">
        <v>12</v>
      </c>
      <c r="C1368">
        <v>196</v>
      </c>
      <c r="D1368" t="s">
        <v>64</v>
      </c>
      <c r="E1368" t="s">
        <v>14</v>
      </c>
      <c r="F1368" t="s">
        <v>75</v>
      </c>
      <c r="G1368" t="s">
        <v>32</v>
      </c>
      <c r="H1368" t="s">
        <v>33</v>
      </c>
      <c r="I1368">
        <v>76.712843517501994</v>
      </c>
      <c r="J1368">
        <v>95.003435419368998</v>
      </c>
      <c r="K1368">
        <v>76.712843517501994</v>
      </c>
      <c r="L1368">
        <v>255.49828557102401</v>
      </c>
    </row>
    <row r="1369" spans="1:12" hidden="1" x14ac:dyDescent="0.25">
      <c r="A1369">
        <v>2017</v>
      </c>
      <c r="B1369" t="s">
        <v>66</v>
      </c>
      <c r="C1369">
        <v>312</v>
      </c>
      <c r="D1369" t="s">
        <v>64</v>
      </c>
      <c r="E1369" t="s">
        <v>14</v>
      </c>
      <c r="F1369" t="s">
        <v>75</v>
      </c>
      <c r="G1369" t="s">
        <v>32</v>
      </c>
      <c r="H1369" t="s">
        <v>33</v>
      </c>
      <c r="I1369">
        <v>96.5</v>
      </c>
      <c r="J1369">
        <v>94.3</v>
      </c>
      <c r="K1369">
        <v>96.5</v>
      </c>
      <c r="L1369">
        <v>323.31606217616581</v>
      </c>
    </row>
    <row r="1370" spans="1:12" hidden="1" x14ac:dyDescent="0.25">
      <c r="A1370">
        <v>2017</v>
      </c>
      <c r="B1370" t="s">
        <v>12</v>
      </c>
      <c r="C1370">
        <v>2567</v>
      </c>
      <c r="D1370" t="s">
        <v>64</v>
      </c>
      <c r="E1370" t="s">
        <v>14</v>
      </c>
      <c r="F1370" t="s">
        <v>75</v>
      </c>
      <c r="G1370" t="s">
        <v>46</v>
      </c>
      <c r="H1370" t="s">
        <v>47</v>
      </c>
      <c r="I1370">
        <v>98.189528995325006</v>
      </c>
      <c r="J1370">
        <v>95.003435419368998</v>
      </c>
      <c r="K1370">
        <v>98.189528995325006</v>
      </c>
      <c r="L1370">
        <v>2614.3317177152562</v>
      </c>
    </row>
    <row r="1371" spans="1:12" hidden="1" x14ac:dyDescent="0.25">
      <c r="A1371">
        <v>2017</v>
      </c>
      <c r="B1371" t="s">
        <v>66</v>
      </c>
      <c r="C1371">
        <v>6732</v>
      </c>
      <c r="D1371" t="s">
        <v>64</v>
      </c>
      <c r="E1371" t="s">
        <v>14</v>
      </c>
      <c r="F1371" t="s">
        <v>75</v>
      </c>
      <c r="G1371" t="s">
        <v>46</v>
      </c>
      <c r="H1371" t="s">
        <v>47</v>
      </c>
      <c r="I1371">
        <v>90.2</v>
      </c>
      <c r="J1371">
        <v>94.3</v>
      </c>
      <c r="K1371">
        <v>90.2</v>
      </c>
      <c r="L1371">
        <v>7463.4146341463402</v>
      </c>
    </row>
    <row r="1372" spans="1:12" hidden="1" x14ac:dyDescent="0.25">
      <c r="A1372">
        <v>2017</v>
      </c>
      <c r="B1372" t="s">
        <v>12</v>
      </c>
      <c r="C1372">
        <v>235</v>
      </c>
      <c r="D1372" t="s">
        <v>64</v>
      </c>
      <c r="E1372" t="s">
        <v>14</v>
      </c>
      <c r="F1372" t="s">
        <v>75</v>
      </c>
      <c r="G1372" t="s">
        <v>58</v>
      </c>
      <c r="H1372" t="s">
        <v>59</v>
      </c>
      <c r="I1372">
        <v>102.38170475517001</v>
      </c>
      <c r="J1372">
        <v>95.003435419368998</v>
      </c>
      <c r="K1372">
        <v>102.38170475517001</v>
      </c>
      <c r="L1372">
        <v>229.53319693393081</v>
      </c>
    </row>
    <row r="1373" spans="1:12" hidden="1" x14ac:dyDescent="0.25">
      <c r="A1373">
        <v>2017</v>
      </c>
      <c r="B1373" t="s">
        <v>66</v>
      </c>
      <c r="C1373">
        <v>377</v>
      </c>
      <c r="D1373" t="s">
        <v>64</v>
      </c>
      <c r="E1373" t="s">
        <v>14</v>
      </c>
      <c r="F1373" t="s">
        <v>75</v>
      </c>
      <c r="G1373" t="s">
        <v>58</v>
      </c>
      <c r="H1373" t="s">
        <v>59</v>
      </c>
      <c r="I1373">
        <v>96.7</v>
      </c>
      <c r="J1373">
        <v>94.3</v>
      </c>
      <c r="K1373">
        <v>96.7</v>
      </c>
      <c r="L1373">
        <v>389.86556359875902</v>
      </c>
    </row>
    <row r="1374" spans="1:12" hidden="1" x14ac:dyDescent="0.25">
      <c r="A1374">
        <v>2017</v>
      </c>
      <c r="B1374" t="s">
        <v>12</v>
      </c>
      <c r="C1374">
        <v>160</v>
      </c>
      <c r="D1374" t="s">
        <v>64</v>
      </c>
      <c r="E1374" t="s">
        <v>14</v>
      </c>
      <c r="F1374" t="s">
        <v>75</v>
      </c>
      <c r="G1374" t="s">
        <v>26</v>
      </c>
      <c r="H1374" t="s">
        <v>27</v>
      </c>
      <c r="I1374">
        <v>111.61986215915999</v>
      </c>
      <c r="J1374">
        <v>95.003435419368998</v>
      </c>
      <c r="K1374">
        <v>111.61986215915999</v>
      </c>
      <c r="L1374">
        <v>143.34366384707971</v>
      </c>
    </row>
    <row r="1375" spans="1:12" hidden="1" x14ac:dyDescent="0.25">
      <c r="A1375">
        <v>2017</v>
      </c>
      <c r="B1375" t="s">
        <v>66</v>
      </c>
      <c r="C1375">
        <v>986</v>
      </c>
      <c r="D1375" t="s">
        <v>64</v>
      </c>
      <c r="E1375" t="s">
        <v>14</v>
      </c>
      <c r="F1375" t="s">
        <v>75</v>
      </c>
      <c r="G1375" t="s">
        <v>26</v>
      </c>
      <c r="H1375" t="s">
        <v>27</v>
      </c>
      <c r="I1375">
        <v>97.8</v>
      </c>
      <c r="J1375">
        <v>94.3</v>
      </c>
      <c r="K1375">
        <v>97.8</v>
      </c>
      <c r="L1375">
        <v>1008.179959100205</v>
      </c>
    </row>
    <row r="1376" spans="1:12" hidden="1" x14ac:dyDescent="0.25">
      <c r="A1376">
        <v>2017</v>
      </c>
      <c r="B1376" t="s">
        <v>12</v>
      </c>
      <c r="C1376">
        <v>1131</v>
      </c>
      <c r="D1376" t="s">
        <v>64</v>
      </c>
      <c r="E1376" t="s">
        <v>14</v>
      </c>
      <c r="F1376" t="s">
        <v>75</v>
      </c>
      <c r="G1376" t="s">
        <v>28</v>
      </c>
      <c r="H1376" t="s">
        <v>29</v>
      </c>
      <c r="I1376">
        <v>102.38170475517001</v>
      </c>
      <c r="J1376">
        <v>95.003435419368998</v>
      </c>
      <c r="K1376">
        <v>102.38170475517001</v>
      </c>
      <c r="L1376">
        <v>1104.6895563075559</v>
      </c>
    </row>
    <row r="1377" spans="1:12" hidden="1" x14ac:dyDescent="0.25">
      <c r="A1377">
        <v>2017</v>
      </c>
      <c r="B1377" t="s">
        <v>66</v>
      </c>
      <c r="C1377">
        <v>459</v>
      </c>
      <c r="D1377" t="s">
        <v>64</v>
      </c>
      <c r="E1377" t="s">
        <v>14</v>
      </c>
      <c r="F1377" t="s">
        <v>75</v>
      </c>
      <c r="G1377" t="s">
        <v>28</v>
      </c>
      <c r="H1377" t="s">
        <v>29</v>
      </c>
      <c r="I1377">
        <v>98.6</v>
      </c>
      <c r="J1377">
        <v>94.3</v>
      </c>
      <c r="K1377">
        <v>98.6</v>
      </c>
      <c r="L1377">
        <v>465.51724137931041</v>
      </c>
    </row>
    <row r="1378" spans="1:12" hidden="1" x14ac:dyDescent="0.25">
      <c r="A1378">
        <v>2017</v>
      </c>
      <c r="B1378" t="s">
        <v>12</v>
      </c>
      <c r="C1378">
        <v>3174</v>
      </c>
      <c r="D1378" t="s">
        <v>64</v>
      </c>
      <c r="E1378" t="s">
        <v>14</v>
      </c>
      <c r="F1378" t="s">
        <v>75</v>
      </c>
      <c r="G1378" t="s">
        <v>36</v>
      </c>
      <c r="H1378" t="s">
        <v>37</v>
      </c>
      <c r="I1378">
        <v>96.253026824776995</v>
      </c>
      <c r="J1378">
        <v>95.003435419368998</v>
      </c>
      <c r="K1378">
        <v>96.253026824776995</v>
      </c>
      <c r="L1378">
        <v>3297.5586375876592</v>
      </c>
    </row>
    <row r="1379" spans="1:12" hidden="1" x14ac:dyDescent="0.25">
      <c r="A1379">
        <v>2017</v>
      </c>
      <c r="B1379" t="s">
        <v>66</v>
      </c>
      <c r="C1379">
        <v>12965</v>
      </c>
      <c r="D1379" t="s">
        <v>64</v>
      </c>
      <c r="E1379" t="s">
        <v>14</v>
      </c>
      <c r="F1379" t="s">
        <v>75</v>
      </c>
      <c r="G1379" t="s">
        <v>36</v>
      </c>
      <c r="H1379" t="s">
        <v>37</v>
      </c>
      <c r="I1379">
        <v>96.1</v>
      </c>
      <c r="J1379">
        <v>94.3</v>
      </c>
      <c r="K1379">
        <v>96.1</v>
      </c>
      <c r="L1379">
        <v>13491.155046826219</v>
      </c>
    </row>
    <row r="1380" spans="1:12" hidden="1" x14ac:dyDescent="0.25">
      <c r="A1380">
        <v>2017</v>
      </c>
      <c r="B1380" t="s">
        <v>12</v>
      </c>
      <c r="C1380">
        <v>869</v>
      </c>
      <c r="D1380" t="s">
        <v>64</v>
      </c>
      <c r="E1380" t="s">
        <v>14</v>
      </c>
      <c r="F1380" t="s">
        <v>75</v>
      </c>
      <c r="G1380" t="s">
        <v>62</v>
      </c>
      <c r="H1380" t="s">
        <v>63</v>
      </c>
      <c r="I1380">
        <v>98.189528995325006</v>
      </c>
      <c r="J1380">
        <v>95.003435419368998</v>
      </c>
      <c r="K1380">
        <v>98.189528995325006</v>
      </c>
      <c r="L1380">
        <v>885.02308636328701</v>
      </c>
    </row>
    <row r="1381" spans="1:12" hidden="1" x14ac:dyDescent="0.25">
      <c r="A1381">
        <v>2017</v>
      </c>
      <c r="B1381" t="s">
        <v>12</v>
      </c>
      <c r="C1381">
        <v>218</v>
      </c>
      <c r="D1381" t="s">
        <v>64</v>
      </c>
      <c r="E1381" t="s">
        <v>14</v>
      </c>
      <c r="F1381" t="s">
        <v>75</v>
      </c>
      <c r="G1381" t="s">
        <v>22</v>
      </c>
      <c r="H1381" t="s">
        <v>23</v>
      </c>
      <c r="I1381">
        <v>111.61986215915999</v>
      </c>
      <c r="J1381">
        <v>95.003435419368998</v>
      </c>
      <c r="K1381">
        <v>111.61986215915999</v>
      </c>
      <c r="L1381">
        <v>195.3057419916461</v>
      </c>
    </row>
    <row r="1382" spans="1:12" hidden="1" x14ac:dyDescent="0.25">
      <c r="A1382">
        <v>2017</v>
      </c>
      <c r="B1382" t="s">
        <v>66</v>
      </c>
      <c r="C1382">
        <v>5495</v>
      </c>
      <c r="D1382" t="s">
        <v>64</v>
      </c>
      <c r="E1382" t="s">
        <v>14</v>
      </c>
      <c r="F1382" t="s">
        <v>75</v>
      </c>
      <c r="G1382" t="s">
        <v>22</v>
      </c>
      <c r="H1382" t="s">
        <v>23</v>
      </c>
      <c r="I1382">
        <v>97.5</v>
      </c>
      <c r="J1382">
        <v>94.3</v>
      </c>
      <c r="K1382">
        <v>97.5</v>
      </c>
      <c r="L1382">
        <v>5635.8974358974356</v>
      </c>
    </row>
    <row r="1383" spans="1:12" hidden="1" x14ac:dyDescent="0.25">
      <c r="A1383">
        <v>2017</v>
      </c>
      <c r="B1383" t="s">
        <v>12</v>
      </c>
      <c r="C1383">
        <v>237</v>
      </c>
      <c r="D1383" t="s">
        <v>64</v>
      </c>
      <c r="E1383" t="s">
        <v>14</v>
      </c>
      <c r="F1383" t="s">
        <v>75</v>
      </c>
      <c r="G1383" t="s">
        <v>44</v>
      </c>
      <c r="H1383" t="s">
        <v>45</v>
      </c>
      <c r="I1383">
        <v>89.385379074143003</v>
      </c>
      <c r="J1383">
        <v>95.003435419368998</v>
      </c>
      <c r="K1383">
        <v>89.385379074143003</v>
      </c>
      <c r="L1383">
        <v>265.14403413047478</v>
      </c>
    </row>
    <row r="1384" spans="1:12" hidden="1" x14ac:dyDescent="0.25">
      <c r="A1384">
        <v>2017</v>
      </c>
      <c r="B1384" t="s">
        <v>66</v>
      </c>
      <c r="C1384">
        <v>9389</v>
      </c>
      <c r="D1384" t="s">
        <v>64</v>
      </c>
      <c r="E1384" t="s">
        <v>14</v>
      </c>
      <c r="F1384" t="s">
        <v>75</v>
      </c>
      <c r="G1384" t="s">
        <v>44</v>
      </c>
      <c r="H1384" t="s">
        <v>45</v>
      </c>
      <c r="I1384">
        <v>89.3</v>
      </c>
      <c r="J1384">
        <v>94.3</v>
      </c>
      <c r="K1384">
        <v>89.3</v>
      </c>
      <c r="L1384">
        <v>10513.997760358339</v>
      </c>
    </row>
    <row r="1385" spans="1:12" hidden="1" x14ac:dyDescent="0.25">
      <c r="A1385">
        <v>2017</v>
      </c>
      <c r="B1385" t="s">
        <v>12</v>
      </c>
      <c r="C1385">
        <v>28</v>
      </c>
      <c r="D1385" t="s">
        <v>64</v>
      </c>
      <c r="E1385" t="s">
        <v>14</v>
      </c>
      <c r="F1385" t="s">
        <v>75</v>
      </c>
      <c r="G1385" t="s">
        <v>54</v>
      </c>
      <c r="H1385" t="s">
        <v>55</v>
      </c>
      <c r="I1385">
        <v>98.189528995325006</v>
      </c>
      <c r="J1385">
        <v>95.003435419368998</v>
      </c>
      <c r="K1385">
        <v>98.189528995325006</v>
      </c>
      <c r="L1385">
        <v>28.516278962223289</v>
      </c>
    </row>
    <row r="1386" spans="1:12" hidden="1" x14ac:dyDescent="0.25">
      <c r="A1386">
        <v>2017</v>
      </c>
      <c r="B1386" t="s">
        <v>66</v>
      </c>
      <c r="C1386">
        <v>18146</v>
      </c>
      <c r="D1386" t="s">
        <v>64</v>
      </c>
      <c r="E1386" t="s">
        <v>14</v>
      </c>
      <c r="F1386" t="s">
        <v>75</v>
      </c>
      <c r="G1386" t="s">
        <v>54</v>
      </c>
      <c r="H1386" t="s">
        <v>55</v>
      </c>
      <c r="I1386">
        <v>97</v>
      </c>
      <c r="J1386">
        <v>94.3</v>
      </c>
      <c r="K1386">
        <v>97</v>
      </c>
      <c r="L1386">
        <v>18707.216494845361</v>
      </c>
    </row>
    <row r="1387" spans="1:12" hidden="1" x14ac:dyDescent="0.25">
      <c r="A1387">
        <v>2017</v>
      </c>
      <c r="B1387" t="s">
        <v>12</v>
      </c>
      <c r="C1387">
        <v>583</v>
      </c>
      <c r="D1387" t="s">
        <v>64</v>
      </c>
      <c r="E1387" t="s">
        <v>14</v>
      </c>
      <c r="F1387" t="s">
        <v>75</v>
      </c>
      <c r="G1387" t="s">
        <v>38</v>
      </c>
      <c r="H1387" t="s">
        <v>39</v>
      </c>
      <c r="I1387">
        <v>96.253026824776995</v>
      </c>
      <c r="J1387">
        <v>95.003435419368998</v>
      </c>
      <c r="K1387">
        <v>96.253026824776995</v>
      </c>
      <c r="L1387">
        <v>605.69523809502368</v>
      </c>
    </row>
    <row r="1388" spans="1:12" hidden="1" x14ac:dyDescent="0.25">
      <c r="A1388">
        <v>2017</v>
      </c>
      <c r="B1388" t="s">
        <v>66</v>
      </c>
      <c r="C1388">
        <v>1230</v>
      </c>
      <c r="D1388" t="s">
        <v>64</v>
      </c>
      <c r="E1388" t="s">
        <v>14</v>
      </c>
      <c r="F1388" t="s">
        <v>75</v>
      </c>
      <c r="G1388" t="s">
        <v>38</v>
      </c>
      <c r="H1388" t="s">
        <v>39</v>
      </c>
      <c r="I1388">
        <v>96.1</v>
      </c>
      <c r="J1388">
        <v>94.3</v>
      </c>
      <c r="K1388">
        <v>96.1</v>
      </c>
      <c r="L1388">
        <v>1279.9167533818941</v>
      </c>
    </row>
    <row r="1389" spans="1:12" hidden="1" x14ac:dyDescent="0.25">
      <c r="A1389">
        <v>2017</v>
      </c>
      <c r="B1389" t="s">
        <v>12</v>
      </c>
      <c r="C1389">
        <v>31</v>
      </c>
      <c r="D1389" t="s">
        <v>64</v>
      </c>
      <c r="E1389" t="s">
        <v>14</v>
      </c>
      <c r="F1389" t="s">
        <v>75</v>
      </c>
      <c r="G1389" t="s">
        <v>60</v>
      </c>
      <c r="H1389" t="s">
        <v>61</v>
      </c>
      <c r="J1389">
        <v>95.003435419368998</v>
      </c>
      <c r="K1389">
        <v>95.003435419368998</v>
      </c>
      <c r="L1389">
        <v>32.630398956793741</v>
      </c>
    </row>
    <row r="1390" spans="1:12" hidden="1" x14ac:dyDescent="0.25">
      <c r="A1390">
        <v>2017</v>
      </c>
      <c r="B1390" t="s">
        <v>66</v>
      </c>
      <c r="C1390">
        <v>237</v>
      </c>
      <c r="D1390" t="s">
        <v>64</v>
      </c>
      <c r="E1390" t="s">
        <v>14</v>
      </c>
      <c r="F1390" t="s">
        <v>75</v>
      </c>
      <c r="G1390" t="s">
        <v>60</v>
      </c>
      <c r="H1390" t="s">
        <v>61</v>
      </c>
      <c r="I1390">
        <v>95.9</v>
      </c>
      <c r="J1390">
        <v>94.3</v>
      </c>
      <c r="K1390">
        <v>95.9</v>
      </c>
      <c r="L1390">
        <v>247.1324296141814</v>
      </c>
    </row>
    <row r="1391" spans="1:12" hidden="1" x14ac:dyDescent="0.25">
      <c r="A1391">
        <v>2017</v>
      </c>
      <c r="B1391" t="s">
        <v>12</v>
      </c>
      <c r="C1391">
        <v>21</v>
      </c>
      <c r="D1391" t="s">
        <v>64</v>
      </c>
      <c r="E1391" t="s">
        <v>14</v>
      </c>
      <c r="F1391" t="s">
        <v>75</v>
      </c>
      <c r="G1391" t="s">
        <v>56</v>
      </c>
      <c r="H1391" t="s">
        <v>57</v>
      </c>
      <c r="I1391">
        <v>98.189528995325006</v>
      </c>
      <c r="J1391">
        <v>95.003435419368998</v>
      </c>
      <c r="K1391">
        <v>98.189528995325006</v>
      </c>
      <c r="L1391">
        <v>21.387209221667469</v>
      </c>
    </row>
    <row r="1392" spans="1:12" hidden="1" x14ac:dyDescent="0.25">
      <c r="A1392">
        <v>2017</v>
      </c>
      <c r="B1392" t="s">
        <v>66</v>
      </c>
      <c r="C1392">
        <v>454</v>
      </c>
      <c r="D1392" t="s">
        <v>64</v>
      </c>
      <c r="E1392" t="s">
        <v>14</v>
      </c>
      <c r="F1392" t="s">
        <v>75</v>
      </c>
      <c r="G1392" t="s">
        <v>56</v>
      </c>
      <c r="H1392" t="s">
        <v>57</v>
      </c>
      <c r="I1392">
        <v>97</v>
      </c>
      <c r="J1392">
        <v>94.3</v>
      </c>
      <c r="K1392">
        <v>97</v>
      </c>
      <c r="L1392">
        <v>468.04123711340208</v>
      </c>
    </row>
    <row r="1393" spans="1:12" hidden="1" x14ac:dyDescent="0.25">
      <c r="A1393">
        <v>2017</v>
      </c>
      <c r="B1393" t="s">
        <v>12</v>
      </c>
      <c r="C1393">
        <v>-1</v>
      </c>
      <c r="D1393" t="s">
        <v>64</v>
      </c>
      <c r="E1393" t="s">
        <v>14</v>
      </c>
      <c r="F1393" t="s">
        <v>75</v>
      </c>
      <c r="G1393" t="s">
        <v>48</v>
      </c>
      <c r="H1393" t="s">
        <v>49</v>
      </c>
      <c r="I1393">
        <v>98.189528995325006</v>
      </c>
      <c r="J1393">
        <v>95.003435419368998</v>
      </c>
      <c r="K1393">
        <v>98.189528995325006</v>
      </c>
      <c r="L1393">
        <v>-1.018438534365117</v>
      </c>
    </row>
    <row r="1394" spans="1:12" hidden="1" x14ac:dyDescent="0.25">
      <c r="A1394">
        <v>2017</v>
      </c>
      <c r="B1394" t="s">
        <v>66</v>
      </c>
      <c r="C1394">
        <v>5221</v>
      </c>
      <c r="D1394" t="s">
        <v>64</v>
      </c>
      <c r="E1394" t="s">
        <v>14</v>
      </c>
      <c r="F1394" t="s">
        <v>75</v>
      </c>
      <c r="G1394" t="s">
        <v>48</v>
      </c>
      <c r="H1394" t="s">
        <v>49</v>
      </c>
      <c r="I1394">
        <v>95.5</v>
      </c>
      <c r="J1394">
        <v>94.3</v>
      </c>
      <c r="K1394">
        <v>95.5</v>
      </c>
      <c r="L1394">
        <v>5467.0157068062827</v>
      </c>
    </row>
    <row r="1395" spans="1:12" hidden="1" x14ac:dyDescent="0.25">
      <c r="A1395">
        <v>2017</v>
      </c>
      <c r="B1395" t="s">
        <v>66</v>
      </c>
      <c r="C1395">
        <v>15813</v>
      </c>
      <c r="D1395" t="s">
        <v>64</v>
      </c>
      <c r="E1395" t="s">
        <v>14</v>
      </c>
      <c r="F1395" t="s">
        <v>75</v>
      </c>
      <c r="G1395" t="s">
        <v>34</v>
      </c>
      <c r="H1395" t="s">
        <v>35</v>
      </c>
      <c r="I1395">
        <v>64.099999999999994</v>
      </c>
      <c r="J1395">
        <v>94.3</v>
      </c>
      <c r="K1395">
        <v>64.099999999999994</v>
      </c>
      <c r="L1395">
        <v>24669.266770670831</v>
      </c>
    </row>
    <row r="1396" spans="1:12" hidden="1" x14ac:dyDescent="0.25">
      <c r="A1396">
        <v>2017</v>
      </c>
      <c r="B1396" t="s">
        <v>66</v>
      </c>
      <c r="C1396">
        <v>546</v>
      </c>
      <c r="D1396" t="s">
        <v>64</v>
      </c>
      <c r="E1396" t="s">
        <v>14</v>
      </c>
      <c r="F1396" t="s">
        <v>75</v>
      </c>
      <c r="G1396" t="s">
        <v>67</v>
      </c>
      <c r="H1396" t="s">
        <v>68</v>
      </c>
      <c r="I1396">
        <v>96.4</v>
      </c>
      <c r="J1396">
        <v>94.3</v>
      </c>
      <c r="K1396">
        <v>96.4</v>
      </c>
      <c r="L1396">
        <v>566.39004149377593</v>
      </c>
    </row>
    <row r="1397" spans="1:12" hidden="1" x14ac:dyDescent="0.25">
      <c r="A1397">
        <v>2017</v>
      </c>
      <c r="B1397" t="s">
        <v>12</v>
      </c>
      <c r="C1397">
        <v>978</v>
      </c>
      <c r="D1397" t="s">
        <v>64</v>
      </c>
      <c r="E1397" t="s">
        <v>14</v>
      </c>
      <c r="F1397" t="s">
        <v>75</v>
      </c>
      <c r="G1397" t="s">
        <v>16</v>
      </c>
      <c r="H1397" t="s">
        <v>17</v>
      </c>
      <c r="J1397">
        <v>95.003435419368998</v>
      </c>
      <c r="K1397">
        <v>95.003435419368998</v>
      </c>
      <c r="L1397">
        <v>1029.4364574111059</v>
      </c>
    </row>
    <row r="1398" spans="1:12" hidden="1" x14ac:dyDescent="0.25">
      <c r="A1398">
        <v>2016</v>
      </c>
      <c r="B1398" t="s">
        <v>12</v>
      </c>
      <c r="C1398">
        <v>5717</v>
      </c>
      <c r="D1398" t="s">
        <v>64</v>
      </c>
      <c r="E1398" t="s">
        <v>14</v>
      </c>
      <c r="F1398" t="s">
        <v>75</v>
      </c>
      <c r="G1398" t="s">
        <v>18</v>
      </c>
      <c r="H1398" t="s">
        <v>19</v>
      </c>
      <c r="I1398">
        <v>96.618124512281994</v>
      </c>
      <c r="J1398">
        <v>95.629262636448004</v>
      </c>
      <c r="K1398">
        <v>96.618124512281994</v>
      </c>
      <c r="L1398">
        <v>5917.1092679130415</v>
      </c>
    </row>
    <row r="1399" spans="1:12" hidden="1" x14ac:dyDescent="0.25">
      <c r="A1399">
        <v>2016</v>
      </c>
      <c r="B1399" t="s">
        <v>66</v>
      </c>
      <c r="C1399">
        <v>20779</v>
      </c>
      <c r="D1399" t="s">
        <v>64</v>
      </c>
      <c r="E1399" t="s">
        <v>14</v>
      </c>
      <c r="F1399" t="s">
        <v>75</v>
      </c>
      <c r="G1399" t="s">
        <v>18</v>
      </c>
      <c r="H1399" t="s">
        <v>19</v>
      </c>
      <c r="I1399">
        <v>92.1</v>
      </c>
      <c r="J1399">
        <v>87.8</v>
      </c>
      <c r="K1399">
        <v>92.1</v>
      </c>
      <c r="L1399">
        <v>22561.346362649299</v>
      </c>
    </row>
    <row r="1400" spans="1:12" hidden="1" x14ac:dyDescent="0.25">
      <c r="A1400">
        <v>2016</v>
      </c>
      <c r="B1400" t="s">
        <v>12</v>
      </c>
      <c r="C1400">
        <v>731</v>
      </c>
      <c r="D1400" t="s">
        <v>64</v>
      </c>
      <c r="E1400" t="s">
        <v>14</v>
      </c>
      <c r="F1400" t="s">
        <v>75</v>
      </c>
      <c r="G1400" t="s">
        <v>42</v>
      </c>
      <c r="H1400" t="s">
        <v>43</v>
      </c>
      <c r="I1400">
        <v>89.680336785110001</v>
      </c>
      <c r="J1400">
        <v>95.629262636448004</v>
      </c>
      <c r="K1400">
        <v>89.680336785110001</v>
      </c>
      <c r="L1400">
        <v>815.11736708973979</v>
      </c>
    </row>
    <row r="1401" spans="1:12" hidden="1" x14ac:dyDescent="0.25">
      <c r="A1401">
        <v>2016</v>
      </c>
      <c r="B1401" t="s">
        <v>66</v>
      </c>
      <c r="C1401">
        <v>8376</v>
      </c>
      <c r="D1401" t="s">
        <v>64</v>
      </c>
      <c r="E1401" t="s">
        <v>14</v>
      </c>
      <c r="F1401" t="s">
        <v>75</v>
      </c>
      <c r="G1401" t="s">
        <v>42</v>
      </c>
      <c r="H1401" t="s">
        <v>43</v>
      </c>
      <c r="I1401">
        <v>87.6</v>
      </c>
      <c r="J1401">
        <v>87.8</v>
      </c>
      <c r="K1401">
        <v>87.6</v>
      </c>
      <c r="L1401">
        <v>9561.6438356164399</v>
      </c>
    </row>
    <row r="1402" spans="1:12" hidden="1" x14ac:dyDescent="0.25">
      <c r="A1402">
        <v>2016</v>
      </c>
      <c r="B1402" t="s">
        <v>12</v>
      </c>
      <c r="C1402">
        <v>123</v>
      </c>
      <c r="D1402" t="s">
        <v>64</v>
      </c>
      <c r="E1402" t="s">
        <v>14</v>
      </c>
      <c r="F1402" t="s">
        <v>75</v>
      </c>
      <c r="G1402" t="s">
        <v>24</v>
      </c>
      <c r="H1402" t="s">
        <v>25</v>
      </c>
      <c r="I1402">
        <v>117.9376128321</v>
      </c>
      <c r="J1402">
        <v>95.629262636448004</v>
      </c>
      <c r="K1402">
        <v>117.9376128321</v>
      </c>
      <c r="L1402">
        <v>104.2924280442296</v>
      </c>
    </row>
    <row r="1403" spans="1:12" hidden="1" x14ac:dyDescent="0.25">
      <c r="A1403">
        <v>2016</v>
      </c>
      <c r="B1403" t="s">
        <v>66</v>
      </c>
      <c r="C1403">
        <v>1588</v>
      </c>
      <c r="D1403" t="s">
        <v>64</v>
      </c>
      <c r="E1403" t="s">
        <v>14</v>
      </c>
      <c r="F1403" t="s">
        <v>75</v>
      </c>
      <c r="G1403" t="s">
        <v>24</v>
      </c>
      <c r="H1403" t="s">
        <v>25</v>
      </c>
      <c r="I1403">
        <v>95.2</v>
      </c>
      <c r="J1403">
        <v>87.8</v>
      </c>
      <c r="K1403">
        <v>95.2</v>
      </c>
      <c r="L1403">
        <v>1668.067226890757</v>
      </c>
    </row>
    <row r="1404" spans="1:12" hidden="1" x14ac:dyDescent="0.25">
      <c r="A1404">
        <v>2016</v>
      </c>
      <c r="B1404" t="s">
        <v>12</v>
      </c>
      <c r="C1404">
        <v>534</v>
      </c>
      <c r="D1404" t="s">
        <v>64</v>
      </c>
      <c r="E1404" t="s">
        <v>14</v>
      </c>
      <c r="F1404" t="s">
        <v>75</v>
      </c>
      <c r="G1404" t="s">
        <v>62</v>
      </c>
      <c r="H1404" t="s">
        <v>63</v>
      </c>
      <c r="I1404">
        <v>101.10423088160999</v>
      </c>
      <c r="J1404">
        <v>95.629262636448004</v>
      </c>
      <c r="K1404">
        <v>101.10423088160999</v>
      </c>
      <c r="L1404">
        <v>528.16780795780733</v>
      </c>
    </row>
    <row r="1405" spans="1:12" hidden="1" x14ac:dyDescent="0.25">
      <c r="A1405">
        <v>2016</v>
      </c>
      <c r="B1405" t="s">
        <v>12</v>
      </c>
      <c r="C1405">
        <v>126</v>
      </c>
      <c r="D1405" t="s">
        <v>64</v>
      </c>
      <c r="E1405" t="s">
        <v>14</v>
      </c>
      <c r="F1405" t="s">
        <v>75</v>
      </c>
      <c r="G1405" t="s">
        <v>22</v>
      </c>
      <c r="H1405" t="s">
        <v>23</v>
      </c>
      <c r="I1405">
        <v>117.9376128321</v>
      </c>
      <c r="J1405">
        <v>95.629262636448004</v>
      </c>
      <c r="K1405">
        <v>117.9376128321</v>
      </c>
      <c r="L1405">
        <v>106.83614580140591</v>
      </c>
    </row>
    <row r="1406" spans="1:12" hidden="1" x14ac:dyDescent="0.25">
      <c r="A1406">
        <v>2016</v>
      </c>
      <c r="B1406" t="s">
        <v>66</v>
      </c>
      <c r="C1406">
        <v>5428</v>
      </c>
      <c r="D1406" t="s">
        <v>64</v>
      </c>
      <c r="E1406" t="s">
        <v>14</v>
      </c>
      <c r="F1406" t="s">
        <v>75</v>
      </c>
      <c r="G1406" t="s">
        <v>22</v>
      </c>
      <c r="H1406" t="s">
        <v>23</v>
      </c>
      <c r="I1406">
        <v>88.8</v>
      </c>
      <c r="J1406">
        <v>87.8</v>
      </c>
      <c r="K1406">
        <v>88.8</v>
      </c>
      <c r="L1406">
        <v>6112.6126126126128</v>
      </c>
    </row>
    <row r="1407" spans="1:12" hidden="1" x14ac:dyDescent="0.25">
      <c r="A1407">
        <v>2016</v>
      </c>
      <c r="B1407" t="s">
        <v>12</v>
      </c>
      <c r="C1407">
        <v>673</v>
      </c>
      <c r="D1407" t="s">
        <v>64</v>
      </c>
      <c r="E1407" t="s">
        <v>14</v>
      </c>
      <c r="F1407" t="s">
        <v>75</v>
      </c>
      <c r="G1407" t="s">
        <v>46</v>
      </c>
      <c r="H1407" t="s">
        <v>47</v>
      </c>
      <c r="I1407">
        <v>101.10423088160999</v>
      </c>
      <c r="J1407">
        <v>95.629262636448004</v>
      </c>
      <c r="K1407">
        <v>101.10423088160999</v>
      </c>
      <c r="L1407">
        <v>665.64969055356619</v>
      </c>
    </row>
    <row r="1408" spans="1:12" hidden="1" x14ac:dyDescent="0.25">
      <c r="A1408">
        <v>2016</v>
      </c>
      <c r="B1408" t="s">
        <v>66</v>
      </c>
      <c r="C1408">
        <v>6385</v>
      </c>
      <c r="D1408" t="s">
        <v>64</v>
      </c>
      <c r="E1408" t="s">
        <v>14</v>
      </c>
      <c r="F1408" t="s">
        <v>75</v>
      </c>
      <c r="G1408" t="s">
        <v>46</v>
      </c>
      <c r="H1408" t="s">
        <v>47</v>
      </c>
      <c r="I1408">
        <v>84.2</v>
      </c>
      <c r="J1408">
        <v>87.8</v>
      </c>
      <c r="K1408">
        <v>84.2</v>
      </c>
      <c r="L1408">
        <v>7583.13539192399</v>
      </c>
    </row>
    <row r="1409" spans="1:12" hidden="1" x14ac:dyDescent="0.25">
      <c r="A1409">
        <v>2016</v>
      </c>
      <c r="B1409" t="s">
        <v>12</v>
      </c>
      <c r="C1409">
        <v>371</v>
      </c>
      <c r="D1409" t="s">
        <v>64</v>
      </c>
      <c r="E1409" t="s">
        <v>14</v>
      </c>
      <c r="F1409" t="s">
        <v>75</v>
      </c>
      <c r="G1409" t="s">
        <v>52</v>
      </c>
      <c r="H1409" t="s">
        <v>53</v>
      </c>
      <c r="I1409">
        <v>101.10423088160999</v>
      </c>
      <c r="J1409">
        <v>95.629262636448004</v>
      </c>
      <c r="K1409">
        <v>101.10423088160999</v>
      </c>
      <c r="L1409">
        <v>366.94804635270879</v>
      </c>
    </row>
    <row r="1410" spans="1:12" hidden="1" x14ac:dyDescent="0.25">
      <c r="A1410">
        <v>2016</v>
      </c>
      <c r="B1410" t="s">
        <v>66</v>
      </c>
      <c r="C1410">
        <v>12122</v>
      </c>
      <c r="D1410" t="s">
        <v>64</v>
      </c>
      <c r="E1410" t="s">
        <v>14</v>
      </c>
      <c r="F1410" t="s">
        <v>75</v>
      </c>
      <c r="G1410" t="s">
        <v>52</v>
      </c>
      <c r="H1410" t="s">
        <v>53</v>
      </c>
      <c r="I1410">
        <v>91.6</v>
      </c>
      <c r="J1410">
        <v>87.8</v>
      </c>
      <c r="K1410">
        <v>91.6</v>
      </c>
      <c r="L1410">
        <v>13233.62445414847</v>
      </c>
    </row>
    <row r="1411" spans="1:12" hidden="1" x14ac:dyDescent="0.25">
      <c r="A1411">
        <v>2016</v>
      </c>
      <c r="B1411" t="s">
        <v>12</v>
      </c>
      <c r="C1411">
        <v>167</v>
      </c>
      <c r="D1411" t="s">
        <v>64</v>
      </c>
      <c r="E1411" t="s">
        <v>14</v>
      </c>
      <c r="F1411" t="s">
        <v>75</v>
      </c>
      <c r="G1411" t="s">
        <v>58</v>
      </c>
      <c r="H1411" t="s">
        <v>59</v>
      </c>
      <c r="I1411">
        <v>106.15763962638999</v>
      </c>
      <c r="J1411">
        <v>95.629262636448004</v>
      </c>
      <c r="K1411">
        <v>106.15763962638999</v>
      </c>
      <c r="L1411">
        <v>157.31321889572709</v>
      </c>
    </row>
    <row r="1412" spans="1:12" hidden="1" x14ac:dyDescent="0.25">
      <c r="A1412">
        <v>2016</v>
      </c>
      <c r="B1412" t="s">
        <v>66</v>
      </c>
      <c r="C1412">
        <v>350</v>
      </c>
      <c r="D1412" t="s">
        <v>64</v>
      </c>
      <c r="E1412" t="s">
        <v>14</v>
      </c>
      <c r="F1412" t="s">
        <v>75</v>
      </c>
      <c r="G1412" t="s">
        <v>58</v>
      </c>
      <c r="H1412" t="s">
        <v>59</v>
      </c>
      <c r="I1412">
        <v>91.8</v>
      </c>
      <c r="J1412">
        <v>87.8</v>
      </c>
      <c r="K1412">
        <v>91.8</v>
      </c>
      <c r="L1412">
        <v>381.26361655773422</v>
      </c>
    </row>
    <row r="1413" spans="1:12" hidden="1" x14ac:dyDescent="0.25">
      <c r="A1413">
        <v>2016</v>
      </c>
      <c r="B1413" t="s">
        <v>12</v>
      </c>
      <c r="C1413">
        <v>1048</v>
      </c>
      <c r="D1413" t="s">
        <v>64</v>
      </c>
      <c r="E1413" t="s">
        <v>14</v>
      </c>
      <c r="F1413" t="s">
        <v>75</v>
      </c>
      <c r="G1413" t="s">
        <v>20</v>
      </c>
      <c r="H1413" t="s">
        <v>21</v>
      </c>
      <c r="I1413">
        <v>96.059679698527006</v>
      </c>
      <c r="J1413">
        <v>95.629262636448004</v>
      </c>
      <c r="K1413">
        <v>96.059679698527006</v>
      </c>
      <c r="L1413">
        <v>1090.988438946534</v>
      </c>
    </row>
    <row r="1414" spans="1:12" hidden="1" x14ac:dyDescent="0.25">
      <c r="A1414">
        <v>2016</v>
      </c>
      <c r="B1414" t="s">
        <v>66</v>
      </c>
      <c r="C1414">
        <v>9173</v>
      </c>
      <c r="D1414" t="s">
        <v>64</v>
      </c>
      <c r="E1414" t="s">
        <v>14</v>
      </c>
      <c r="F1414" t="s">
        <v>75</v>
      </c>
      <c r="G1414" t="s">
        <v>20</v>
      </c>
      <c r="H1414" t="s">
        <v>21</v>
      </c>
      <c r="I1414">
        <v>89.6</v>
      </c>
      <c r="J1414">
        <v>87.8</v>
      </c>
      <c r="K1414">
        <v>89.6</v>
      </c>
      <c r="L1414">
        <v>10237.723214285719</v>
      </c>
    </row>
    <row r="1415" spans="1:12" hidden="1" x14ac:dyDescent="0.25">
      <c r="A1415">
        <v>2016</v>
      </c>
      <c r="B1415" t="s">
        <v>12</v>
      </c>
      <c r="C1415">
        <v>743</v>
      </c>
      <c r="D1415" t="s">
        <v>64</v>
      </c>
      <c r="E1415" t="s">
        <v>14</v>
      </c>
      <c r="F1415" t="s">
        <v>75</v>
      </c>
      <c r="G1415" t="s">
        <v>40</v>
      </c>
      <c r="H1415" t="s">
        <v>41</v>
      </c>
      <c r="I1415">
        <v>101.63829571143999</v>
      </c>
      <c r="J1415">
        <v>95.629262636448004</v>
      </c>
      <c r="K1415">
        <v>101.63829571143999</v>
      </c>
      <c r="L1415">
        <v>731.02367055567515</v>
      </c>
    </row>
    <row r="1416" spans="1:12" hidden="1" x14ac:dyDescent="0.25">
      <c r="A1416">
        <v>2016</v>
      </c>
      <c r="B1416" t="s">
        <v>66</v>
      </c>
      <c r="C1416">
        <v>5871</v>
      </c>
      <c r="D1416" t="s">
        <v>64</v>
      </c>
      <c r="E1416" t="s">
        <v>14</v>
      </c>
      <c r="F1416" t="s">
        <v>75</v>
      </c>
      <c r="G1416" t="s">
        <v>40</v>
      </c>
      <c r="H1416" t="s">
        <v>41</v>
      </c>
      <c r="I1416">
        <v>89.1</v>
      </c>
      <c r="J1416">
        <v>87.8</v>
      </c>
      <c r="K1416">
        <v>89.1</v>
      </c>
      <c r="L1416">
        <v>6589.2255892255907</v>
      </c>
    </row>
    <row r="1417" spans="1:12" hidden="1" x14ac:dyDescent="0.25">
      <c r="A1417">
        <v>2016</v>
      </c>
      <c r="B1417" t="s">
        <v>12</v>
      </c>
      <c r="C1417">
        <v>17</v>
      </c>
      <c r="D1417" t="s">
        <v>64</v>
      </c>
      <c r="E1417" t="s">
        <v>14</v>
      </c>
      <c r="F1417" t="s">
        <v>75</v>
      </c>
      <c r="G1417" t="s">
        <v>54</v>
      </c>
      <c r="H1417" t="s">
        <v>55</v>
      </c>
      <c r="I1417">
        <v>101.10423088160999</v>
      </c>
      <c r="J1417">
        <v>95.629262636448004</v>
      </c>
      <c r="K1417">
        <v>101.10423088160999</v>
      </c>
      <c r="L1417">
        <v>16.814330964948919</v>
      </c>
    </row>
    <row r="1418" spans="1:12" hidden="1" x14ac:dyDescent="0.25">
      <c r="A1418">
        <v>2016</v>
      </c>
      <c r="B1418" t="s">
        <v>66</v>
      </c>
      <c r="C1418">
        <v>14887</v>
      </c>
      <c r="D1418" t="s">
        <v>64</v>
      </c>
      <c r="E1418" t="s">
        <v>14</v>
      </c>
      <c r="F1418" t="s">
        <v>75</v>
      </c>
      <c r="G1418" t="s">
        <v>54</v>
      </c>
      <c r="H1418" t="s">
        <v>55</v>
      </c>
      <c r="I1418">
        <v>93.3</v>
      </c>
      <c r="J1418">
        <v>87.8</v>
      </c>
      <c r="K1418">
        <v>93.3</v>
      </c>
      <c r="L1418">
        <v>15956.055734190781</v>
      </c>
    </row>
    <row r="1419" spans="1:12" hidden="1" x14ac:dyDescent="0.25">
      <c r="A1419">
        <v>2016</v>
      </c>
      <c r="B1419" t="s">
        <v>12</v>
      </c>
      <c r="C1419">
        <v>237</v>
      </c>
      <c r="D1419" t="s">
        <v>64</v>
      </c>
      <c r="E1419" t="s">
        <v>14</v>
      </c>
      <c r="F1419" t="s">
        <v>75</v>
      </c>
      <c r="G1419" t="s">
        <v>50</v>
      </c>
      <c r="H1419" t="s">
        <v>51</v>
      </c>
      <c r="I1419">
        <v>101.10423088160999</v>
      </c>
      <c r="J1419">
        <v>95.629262636448004</v>
      </c>
      <c r="K1419">
        <v>101.10423088160999</v>
      </c>
      <c r="L1419">
        <v>234.41155521722911</v>
      </c>
    </row>
    <row r="1420" spans="1:12" hidden="1" x14ac:dyDescent="0.25">
      <c r="A1420">
        <v>2016</v>
      </c>
      <c r="B1420" t="s">
        <v>66</v>
      </c>
      <c r="C1420">
        <v>10340</v>
      </c>
      <c r="D1420" t="s">
        <v>64</v>
      </c>
      <c r="E1420" t="s">
        <v>14</v>
      </c>
      <c r="F1420" t="s">
        <v>75</v>
      </c>
      <c r="G1420" t="s">
        <v>50</v>
      </c>
      <c r="H1420" t="s">
        <v>51</v>
      </c>
      <c r="I1420">
        <v>90.7</v>
      </c>
      <c r="J1420">
        <v>87.8</v>
      </c>
      <c r="K1420">
        <v>90.7</v>
      </c>
      <c r="L1420">
        <v>11400.220507166479</v>
      </c>
    </row>
    <row r="1421" spans="1:12" hidden="1" x14ac:dyDescent="0.25">
      <c r="A1421">
        <v>2016</v>
      </c>
      <c r="B1421" t="s">
        <v>12</v>
      </c>
      <c r="C1421">
        <v>3035</v>
      </c>
      <c r="D1421" t="s">
        <v>64</v>
      </c>
      <c r="E1421" t="s">
        <v>14</v>
      </c>
      <c r="F1421" t="s">
        <v>75</v>
      </c>
      <c r="G1421" t="s">
        <v>36</v>
      </c>
      <c r="H1421" t="s">
        <v>37</v>
      </c>
      <c r="I1421">
        <v>101.63829571143999</v>
      </c>
      <c r="J1421">
        <v>95.629262636448004</v>
      </c>
      <c r="K1421">
        <v>101.63829571143999</v>
      </c>
      <c r="L1421">
        <v>2986.0791926466668</v>
      </c>
    </row>
    <row r="1422" spans="1:12" hidden="1" x14ac:dyDescent="0.25">
      <c r="A1422">
        <v>2016</v>
      </c>
      <c r="B1422" t="s">
        <v>66</v>
      </c>
      <c r="C1422">
        <v>12155</v>
      </c>
      <c r="D1422" t="s">
        <v>64</v>
      </c>
      <c r="E1422" t="s">
        <v>14</v>
      </c>
      <c r="F1422" t="s">
        <v>75</v>
      </c>
      <c r="G1422" t="s">
        <v>36</v>
      </c>
      <c r="H1422" t="s">
        <v>37</v>
      </c>
      <c r="I1422">
        <v>103.7</v>
      </c>
      <c r="J1422">
        <v>87.8</v>
      </c>
      <c r="K1422">
        <v>103.7</v>
      </c>
      <c r="L1422">
        <v>11721.311475409841</v>
      </c>
    </row>
    <row r="1423" spans="1:12" hidden="1" x14ac:dyDescent="0.25">
      <c r="A1423">
        <v>2016</v>
      </c>
      <c r="B1423" t="s">
        <v>12</v>
      </c>
      <c r="C1423">
        <v>146</v>
      </c>
      <c r="D1423" t="s">
        <v>64</v>
      </c>
      <c r="E1423" t="s">
        <v>14</v>
      </c>
      <c r="F1423" t="s">
        <v>75</v>
      </c>
      <c r="G1423" t="s">
        <v>26</v>
      </c>
      <c r="H1423" t="s">
        <v>27</v>
      </c>
      <c r="I1423">
        <v>117.9376128321</v>
      </c>
      <c r="J1423">
        <v>95.629262636448004</v>
      </c>
      <c r="K1423">
        <v>117.9376128321</v>
      </c>
      <c r="L1423">
        <v>123.7942641825815</v>
      </c>
    </row>
    <row r="1424" spans="1:12" hidden="1" x14ac:dyDescent="0.25">
      <c r="A1424">
        <v>2016</v>
      </c>
      <c r="B1424" t="s">
        <v>66</v>
      </c>
      <c r="C1424">
        <v>949</v>
      </c>
      <c r="D1424" t="s">
        <v>64</v>
      </c>
      <c r="E1424" t="s">
        <v>14</v>
      </c>
      <c r="F1424" t="s">
        <v>75</v>
      </c>
      <c r="G1424" t="s">
        <v>26</v>
      </c>
      <c r="H1424" t="s">
        <v>27</v>
      </c>
      <c r="I1424">
        <v>93.8</v>
      </c>
      <c r="J1424">
        <v>87.8</v>
      </c>
      <c r="K1424">
        <v>93.8</v>
      </c>
      <c r="L1424">
        <v>1011.727078891258</v>
      </c>
    </row>
    <row r="1425" spans="1:12" hidden="1" x14ac:dyDescent="0.25">
      <c r="A1425">
        <v>2016</v>
      </c>
      <c r="B1425" t="s">
        <v>12</v>
      </c>
      <c r="C1425">
        <v>1268</v>
      </c>
      <c r="D1425" t="s">
        <v>64</v>
      </c>
      <c r="E1425" t="s">
        <v>14</v>
      </c>
      <c r="F1425" t="s">
        <v>75</v>
      </c>
      <c r="G1425" t="s">
        <v>30</v>
      </c>
      <c r="H1425" t="s">
        <v>31</v>
      </c>
      <c r="I1425">
        <v>66.424574274145002</v>
      </c>
      <c r="J1425">
        <v>95.629262636448004</v>
      </c>
      <c r="K1425">
        <v>66.424574274145002</v>
      </c>
      <c r="L1425">
        <v>1908.9320689760959</v>
      </c>
    </row>
    <row r="1426" spans="1:12" hidden="1" x14ac:dyDescent="0.25">
      <c r="A1426">
        <v>2016</v>
      </c>
      <c r="B1426" t="s">
        <v>66</v>
      </c>
      <c r="C1426">
        <v>2898</v>
      </c>
      <c r="D1426" t="s">
        <v>64</v>
      </c>
      <c r="E1426" t="s">
        <v>14</v>
      </c>
      <c r="F1426" t="s">
        <v>75</v>
      </c>
      <c r="G1426" t="s">
        <v>30</v>
      </c>
      <c r="H1426" t="s">
        <v>31</v>
      </c>
      <c r="I1426">
        <v>87.6</v>
      </c>
      <c r="J1426">
        <v>87.8</v>
      </c>
      <c r="K1426">
        <v>87.6</v>
      </c>
      <c r="L1426">
        <v>3308.2191780821918</v>
      </c>
    </row>
    <row r="1427" spans="1:12" hidden="1" x14ac:dyDescent="0.25">
      <c r="A1427">
        <v>2016</v>
      </c>
      <c r="B1427" t="s">
        <v>12</v>
      </c>
      <c r="C1427">
        <v>198</v>
      </c>
      <c r="D1427" t="s">
        <v>64</v>
      </c>
      <c r="E1427" t="s">
        <v>14</v>
      </c>
      <c r="F1427" t="s">
        <v>75</v>
      </c>
      <c r="G1427" t="s">
        <v>32</v>
      </c>
      <c r="H1427" t="s">
        <v>33</v>
      </c>
      <c r="I1427">
        <v>66.424574274145002</v>
      </c>
      <c r="J1427">
        <v>95.629262636448004</v>
      </c>
      <c r="K1427">
        <v>66.424574274145002</v>
      </c>
      <c r="L1427">
        <v>298.08245241109393</v>
      </c>
    </row>
    <row r="1428" spans="1:12" hidden="1" x14ac:dyDescent="0.25">
      <c r="A1428">
        <v>2016</v>
      </c>
      <c r="B1428" t="s">
        <v>66</v>
      </c>
      <c r="C1428">
        <v>312</v>
      </c>
      <c r="D1428" t="s">
        <v>64</v>
      </c>
      <c r="E1428" t="s">
        <v>14</v>
      </c>
      <c r="F1428" t="s">
        <v>75</v>
      </c>
      <c r="G1428" t="s">
        <v>32</v>
      </c>
      <c r="H1428" t="s">
        <v>33</v>
      </c>
      <c r="I1428">
        <v>93.1</v>
      </c>
      <c r="J1428">
        <v>87.8</v>
      </c>
      <c r="K1428">
        <v>93.1</v>
      </c>
      <c r="L1428">
        <v>335.12352309344789</v>
      </c>
    </row>
    <row r="1429" spans="1:12" hidden="1" x14ac:dyDescent="0.25">
      <c r="A1429">
        <v>2016</v>
      </c>
      <c r="B1429" t="s">
        <v>12</v>
      </c>
      <c r="C1429">
        <v>401</v>
      </c>
      <c r="D1429" t="s">
        <v>64</v>
      </c>
      <c r="E1429" t="s">
        <v>14</v>
      </c>
      <c r="F1429" t="s">
        <v>75</v>
      </c>
      <c r="G1429" t="s">
        <v>38</v>
      </c>
      <c r="H1429" t="s">
        <v>39</v>
      </c>
      <c r="I1429">
        <v>101.63829571143999</v>
      </c>
      <c r="J1429">
        <v>95.629262636448004</v>
      </c>
      <c r="K1429">
        <v>101.63829571143999</v>
      </c>
      <c r="L1429">
        <v>394.53632825413962</v>
      </c>
    </row>
    <row r="1430" spans="1:12" hidden="1" x14ac:dyDescent="0.25">
      <c r="A1430">
        <v>2016</v>
      </c>
      <c r="B1430" t="s">
        <v>66</v>
      </c>
      <c r="C1430">
        <v>1159</v>
      </c>
      <c r="D1430" t="s">
        <v>64</v>
      </c>
      <c r="E1430" t="s">
        <v>14</v>
      </c>
      <c r="F1430" t="s">
        <v>75</v>
      </c>
      <c r="G1430" t="s">
        <v>38</v>
      </c>
      <c r="H1430" t="s">
        <v>39</v>
      </c>
      <c r="I1430">
        <v>103.7</v>
      </c>
      <c r="J1430">
        <v>87.8</v>
      </c>
      <c r="K1430">
        <v>103.7</v>
      </c>
      <c r="L1430">
        <v>1117.6470588235291</v>
      </c>
    </row>
    <row r="1431" spans="1:12" hidden="1" x14ac:dyDescent="0.25">
      <c r="A1431">
        <v>2016</v>
      </c>
      <c r="B1431" t="s">
        <v>12</v>
      </c>
      <c r="C1431">
        <v>22</v>
      </c>
      <c r="D1431" t="s">
        <v>64</v>
      </c>
      <c r="E1431" t="s">
        <v>14</v>
      </c>
      <c r="F1431" t="s">
        <v>75</v>
      </c>
      <c r="G1431" t="s">
        <v>48</v>
      </c>
      <c r="H1431" t="s">
        <v>49</v>
      </c>
      <c r="I1431">
        <v>101.10423088160999</v>
      </c>
      <c r="J1431">
        <v>95.629262636448004</v>
      </c>
      <c r="K1431">
        <v>101.10423088160999</v>
      </c>
      <c r="L1431">
        <v>21.75972242522802</v>
      </c>
    </row>
    <row r="1432" spans="1:12" hidden="1" x14ac:dyDescent="0.25">
      <c r="A1432">
        <v>2016</v>
      </c>
      <c r="B1432" t="s">
        <v>66</v>
      </c>
      <c r="C1432">
        <v>4806</v>
      </c>
      <c r="D1432" t="s">
        <v>64</v>
      </c>
      <c r="E1432" t="s">
        <v>14</v>
      </c>
      <c r="F1432" t="s">
        <v>75</v>
      </c>
      <c r="G1432" t="s">
        <v>48</v>
      </c>
      <c r="H1432" t="s">
        <v>49</v>
      </c>
      <c r="I1432">
        <v>91.8</v>
      </c>
      <c r="J1432">
        <v>87.8</v>
      </c>
      <c r="K1432">
        <v>91.8</v>
      </c>
      <c r="L1432">
        <v>5235.2941176470586</v>
      </c>
    </row>
    <row r="1433" spans="1:12" hidden="1" x14ac:dyDescent="0.25">
      <c r="A1433">
        <v>2016</v>
      </c>
      <c r="B1433" t="s">
        <v>12</v>
      </c>
      <c r="C1433">
        <v>40</v>
      </c>
      <c r="D1433" t="s">
        <v>64</v>
      </c>
      <c r="E1433" t="s">
        <v>14</v>
      </c>
      <c r="F1433" t="s">
        <v>75</v>
      </c>
      <c r="G1433" t="s">
        <v>60</v>
      </c>
      <c r="H1433" t="s">
        <v>61</v>
      </c>
      <c r="J1433">
        <v>95.629262636448004</v>
      </c>
      <c r="K1433">
        <v>95.629262636448004</v>
      </c>
      <c r="L1433">
        <v>41.828200800906792</v>
      </c>
    </row>
    <row r="1434" spans="1:12" hidden="1" x14ac:dyDescent="0.25">
      <c r="A1434">
        <v>2016</v>
      </c>
      <c r="B1434" t="s">
        <v>66</v>
      </c>
      <c r="C1434">
        <v>234</v>
      </c>
      <c r="D1434" t="s">
        <v>64</v>
      </c>
      <c r="E1434" t="s">
        <v>14</v>
      </c>
      <c r="F1434" t="s">
        <v>75</v>
      </c>
      <c r="G1434" t="s">
        <v>60</v>
      </c>
      <c r="H1434" t="s">
        <v>61</v>
      </c>
      <c r="I1434">
        <v>91.1</v>
      </c>
      <c r="J1434">
        <v>87.8</v>
      </c>
      <c r="K1434">
        <v>91.1</v>
      </c>
      <c r="L1434">
        <v>256.86059275521399</v>
      </c>
    </row>
    <row r="1435" spans="1:12" hidden="1" x14ac:dyDescent="0.25">
      <c r="A1435">
        <v>2016</v>
      </c>
      <c r="B1435" t="s">
        <v>12</v>
      </c>
      <c r="C1435">
        <v>907</v>
      </c>
      <c r="D1435" t="s">
        <v>64</v>
      </c>
      <c r="E1435" t="s">
        <v>14</v>
      </c>
      <c r="F1435" t="s">
        <v>75</v>
      </c>
      <c r="G1435" t="s">
        <v>28</v>
      </c>
      <c r="H1435" t="s">
        <v>29</v>
      </c>
      <c r="I1435">
        <v>106.15763962638999</v>
      </c>
      <c r="J1435">
        <v>95.629262636448004</v>
      </c>
      <c r="K1435">
        <v>106.15763962638999</v>
      </c>
      <c r="L1435">
        <v>854.3897577151165</v>
      </c>
    </row>
    <row r="1436" spans="1:12" hidden="1" x14ac:dyDescent="0.25">
      <c r="A1436">
        <v>2016</v>
      </c>
      <c r="B1436" t="s">
        <v>66</v>
      </c>
      <c r="C1436">
        <v>439</v>
      </c>
      <c r="D1436" t="s">
        <v>64</v>
      </c>
      <c r="E1436" t="s">
        <v>14</v>
      </c>
      <c r="F1436" t="s">
        <v>75</v>
      </c>
      <c r="G1436" t="s">
        <v>28</v>
      </c>
      <c r="H1436" t="s">
        <v>29</v>
      </c>
      <c r="I1436">
        <v>91.8</v>
      </c>
      <c r="J1436">
        <v>87.8</v>
      </c>
      <c r="K1436">
        <v>91.8</v>
      </c>
      <c r="L1436">
        <v>478.21350762527243</v>
      </c>
    </row>
    <row r="1437" spans="1:12" hidden="1" x14ac:dyDescent="0.25">
      <c r="A1437">
        <v>2016</v>
      </c>
      <c r="B1437" t="s">
        <v>12</v>
      </c>
      <c r="C1437">
        <v>266</v>
      </c>
      <c r="D1437" t="s">
        <v>64</v>
      </c>
      <c r="E1437" t="s">
        <v>14</v>
      </c>
      <c r="F1437" t="s">
        <v>75</v>
      </c>
      <c r="G1437" t="s">
        <v>44</v>
      </c>
      <c r="H1437" t="s">
        <v>45</v>
      </c>
      <c r="I1437">
        <v>89.680336785110001</v>
      </c>
      <c r="J1437">
        <v>95.629262636448004</v>
      </c>
      <c r="K1437">
        <v>89.680336785110001</v>
      </c>
      <c r="L1437">
        <v>296.60905560310641</v>
      </c>
    </row>
    <row r="1438" spans="1:12" hidden="1" x14ac:dyDescent="0.25">
      <c r="A1438">
        <v>2016</v>
      </c>
      <c r="B1438" t="s">
        <v>66</v>
      </c>
      <c r="C1438">
        <v>8255</v>
      </c>
      <c r="D1438" t="s">
        <v>64</v>
      </c>
      <c r="E1438" t="s">
        <v>14</v>
      </c>
      <c r="F1438" t="s">
        <v>75</v>
      </c>
      <c r="G1438" t="s">
        <v>44</v>
      </c>
      <c r="H1438" t="s">
        <v>45</v>
      </c>
      <c r="I1438">
        <v>80.900000000000006</v>
      </c>
      <c r="J1438">
        <v>87.8</v>
      </c>
      <c r="K1438">
        <v>80.900000000000006</v>
      </c>
      <c r="L1438">
        <v>10203.955500618051</v>
      </c>
    </row>
    <row r="1439" spans="1:12" hidden="1" x14ac:dyDescent="0.25">
      <c r="A1439">
        <v>2016</v>
      </c>
      <c r="B1439" t="s">
        <v>12</v>
      </c>
      <c r="C1439">
        <v>40</v>
      </c>
      <c r="D1439" t="s">
        <v>64</v>
      </c>
      <c r="E1439" t="s">
        <v>14</v>
      </c>
      <c r="F1439" t="s">
        <v>75</v>
      </c>
      <c r="G1439" t="s">
        <v>56</v>
      </c>
      <c r="H1439" t="s">
        <v>57</v>
      </c>
      <c r="I1439">
        <v>101.10423088160999</v>
      </c>
      <c r="J1439">
        <v>95.629262636448004</v>
      </c>
      <c r="K1439">
        <v>101.10423088160999</v>
      </c>
      <c r="L1439">
        <v>39.563131682232758</v>
      </c>
    </row>
    <row r="1440" spans="1:12" hidden="1" x14ac:dyDescent="0.25">
      <c r="A1440">
        <v>2016</v>
      </c>
      <c r="B1440" t="s">
        <v>66</v>
      </c>
      <c r="C1440">
        <v>433</v>
      </c>
      <c r="D1440" t="s">
        <v>64</v>
      </c>
      <c r="E1440" t="s">
        <v>14</v>
      </c>
      <c r="F1440" t="s">
        <v>75</v>
      </c>
      <c r="G1440" t="s">
        <v>56</v>
      </c>
      <c r="H1440" t="s">
        <v>57</v>
      </c>
      <c r="I1440">
        <v>93.3</v>
      </c>
      <c r="J1440">
        <v>87.8</v>
      </c>
      <c r="K1440">
        <v>93.3</v>
      </c>
      <c r="L1440">
        <v>464.09431939978572</v>
      </c>
    </row>
    <row r="1441" spans="1:12" hidden="1" x14ac:dyDescent="0.25">
      <c r="A1441">
        <v>2016</v>
      </c>
      <c r="B1441" t="s">
        <v>66</v>
      </c>
      <c r="C1441">
        <v>15253</v>
      </c>
      <c r="D1441" t="s">
        <v>64</v>
      </c>
      <c r="E1441" t="s">
        <v>14</v>
      </c>
      <c r="F1441" t="s">
        <v>75</v>
      </c>
      <c r="G1441" t="s">
        <v>34</v>
      </c>
      <c r="H1441" t="s">
        <v>35</v>
      </c>
      <c r="I1441">
        <v>17.7</v>
      </c>
      <c r="J1441">
        <v>87.8</v>
      </c>
      <c r="K1441">
        <v>17.7</v>
      </c>
      <c r="L1441">
        <v>86175.141242937854</v>
      </c>
    </row>
    <row r="1442" spans="1:12" hidden="1" x14ac:dyDescent="0.25">
      <c r="A1442">
        <v>2016</v>
      </c>
      <c r="B1442" t="s">
        <v>66</v>
      </c>
      <c r="C1442">
        <v>609</v>
      </c>
      <c r="D1442" t="s">
        <v>64</v>
      </c>
      <c r="E1442" t="s">
        <v>14</v>
      </c>
      <c r="F1442" t="s">
        <v>75</v>
      </c>
      <c r="G1442" t="s">
        <v>67</v>
      </c>
      <c r="H1442" t="s">
        <v>68</v>
      </c>
      <c r="I1442">
        <v>89.6</v>
      </c>
      <c r="J1442">
        <v>87.8</v>
      </c>
      <c r="K1442">
        <v>89.6</v>
      </c>
      <c r="L1442">
        <v>679.6875</v>
      </c>
    </row>
    <row r="1443" spans="1:12" hidden="1" x14ac:dyDescent="0.25">
      <c r="A1443">
        <v>2016</v>
      </c>
      <c r="B1443" t="s">
        <v>12</v>
      </c>
      <c r="C1443">
        <v>393</v>
      </c>
      <c r="D1443" t="s">
        <v>64</v>
      </c>
      <c r="E1443" t="s">
        <v>14</v>
      </c>
      <c r="F1443" t="s">
        <v>75</v>
      </c>
      <c r="G1443" t="s">
        <v>16</v>
      </c>
      <c r="H1443" t="s">
        <v>17</v>
      </c>
      <c r="J1443">
        <v>95.629262636448004</v>
      </c>
      <c r="K1443">
        <v>95.629262636448004</v>
      </c>
      <c r="L1443">
        <v>410.96207286890922</v>
      </c>
    </row>
    <row r="1444" spans="1:12" hidden="1" x14ac:dyDescent="0.25">
      <c r="A1444">
        <v>2015</v>
      </c>
      <c r="B1444" t="s">
        <v>12</v>
      </c>
      <c r="C1444">
        <v>138</v>
      </c>
      <c r="D1444" t="s">
        <v>64</v>
      </c>
      <c r="E1444" t="s">
        <v>14</v>
      </c>
      <c r="F1444" t="s">
        <v>75</v>
      </c>
      <c r="G1444" t="s">
        <v>24</v>
      </c>
      <c r="H1444" t="s">
        <v>25</v>
      </c>
      <c r="I1444">
        <v>107.52442116425</v>
      </c>
      <c r="J1444">
        <v>96.211353938038002</v>
      </c>
      <c r="K1444">
        <v>107.52442116425</v>
      </c>
      <c r="L1444">
        <v>128.3429368935609</v>
      </c>
    </row>
    <row r="1445" spans="1:12" hidden="1" x14ac:dyDescent="0.25">
      <c r="A1445">
        <v>2015</v>
      </c>
      <c r="B1445" t="s">
        <v>66</v>
      </c>
      <c r="C1445">
        <v>1808</v>
      </c>
      <c r="D1445" t="s">
        <v>64</v>
      </c>
      <c r="E1445" t="s">
        <v>14</v>
      </c>
      <c r="F1445" t="s">
        <v>75</v>
      </c>
      <c r="G1445" t="s">
        <v>24</v>
      </c>
      <c r="H1445" t="s">
        <v>25</v>
      </c>
      <c r="I1445">
        <v>90.7</v>
      </c>
      <c r="J1445">
        <v>81.900000000000006</v>
      </c>
      <c r="K1445">
        <v>90.7</v>
      </c>
      <c r="L1445">
        <v>1993.3847850055131</v>
      </c>
    </row>
    <row r="1446" spans="1:12" hidden="1" x14ac:dyDescent="0.25">
      <c r="A1446">
        <v>2015</v>
      </c>
      <c r="B1446" t="s">
        <v>12</v>
      </c>
      <c r="C1446">
        <v>6146</v>
      </c>
      <c r="D1446" t="s">
        <v>64</v>
      </c>
      <c r="E1446" t="s">
        <v>14</v>
      </c>
      <c r="F1446" t="s">
        <v>75</v>
      </c>
      <c r="G1446" t="s">
        <v>18</v>
      </c>
      <c r="H1446" t="s">
        <v>19</v>
      </c>
      <c r="I1446">
        <v>92.136318280468004</v>
      </c>
      <c r="J1446">
        <v>96.211353938038002</v>
      </c>
      <c r="K1446">
        <v>92.136318280468004</v>
      </c>
      <c r="L1446">
        <v>6670.5508910082981</v>
      </c>
    </row>
    <row r="1447" spans="1:12" hidden="1" x14ac:dyDescent="0.25">
      <c r="A1447">
        <v>2015</v>
      </c>
      <c r="B1447" t="s">
        <v>66</v>
      </c>
      <c r="C1447">
        <v>22258</v>
      </c>
      <c r="D1447" t="s">
        <v>64</v>
      </c>
      <c r="E1447" t="s">
        <v>14</v>
      </c>
      <c r="F1447" t="s">
        <v>75</v>
      </c>
      <c r="G1447" t="s">
        <v>18</v>
      </c>
      <c r="H1447" t="s">
        <v>19</v>
      </c>
      <c r="I1447">
        <v>87.2</v>
      </c>
      <c r="J1447">
        <v>81.900000000000006</v>
      </c>
      <c r="K1447">
        <v>87.2</v>
      </c>
      <c r="L1447">
        <v>25525.229357798169</v>
      </c>
    </row>
    <row r="1448" spans="1:12" hidden="1" x14ac:dyDescent="0.25">
      <c r="A1448">
        <v>2015</v>
      </c>
      <c r="B1448" t="s">
        <v>66</v>
      </c>
      <c r="C1448">
        <v>5014</v>
      </c>
      <c r="D1448" t="s">
        <v>64</v>
      </c>
      <c r="E1448" t="s">
        <v>14</v>
      </c>
      <c r="F1448" t="s">
        <v>75</v>
      </c>
      <c r="G1448" t="s">
        <v>48</v>
      </c>
      <c r="H1448" t="s">
        <v>49</v>
      </c>
      <c r="I1448">
        <v>83.4</v>
      </c>
      <c r="J1448">
        <v>81.900000000000006</v>
      </c>
      <c r="K1448">
        <v>83.4</v>
      </c>
      <c r="L1448">
        <v>6011.9904076738603</v>
      </c>
    </row>
    <row r="1449" spans="1:12" hidden="1" x14ac:dyDescent="0.25">
      <c r="A1449">
        <v>2015</v>
      </c>
      <c r="B1449" t="s">
        <v>12</v>
      </c>
      <c r="C1449">
        <v>4</v>
      </c>
      <c r="D1449" t="s">
        <v>64</v>
      </c>
      <c r="E1449" t="s">
        <v>14</v>
      </c>
      <c r="F1449" t="s">
        <v>75</v>
      </c>
      <c r="G1449" t="s">
        <v>56</v>
      </c>
      <c r="H1449" t="s">
        <v>57</v>
      </c>
      <c r="I1449">
        <v>95.958177771508005</v>
      </c>
      <c r="J1449">
        <v>96.211353938038002</v>
      </c>
      <c r="K1449">
        <v>95.958177771508005</v>
      </c>
      <c r="L1449">
        <v>4.168482658689757</v>
      </c>
    </row>
    <row r="1450" spans="1:12" hidden="1" x14ac:dyDescent="0.25">
      <c r="A1450">
        <v>2015</v>
      </c>
      <c r="B1450" t="s">
        <v>66</v>
      </c>
      <c r="C1450">
        <v>512</v>
      </c>
      <c r="D1450" t="s">
        <v>64</v>
      </c>
      <c r="E1450" t="s">
        <v>14</v>
      </c>
      <c r="F1450" t="s">
        <v>75</v>
      </c>
      <c r="G1450" t="s">
        <v>56</v>
      </c>
      <c r="H1450" t="s">
        <v>57</v>
      </c>
      <c r="I1450">
        <v>82.9</v>
      </c>
      <c r="J1450">
        <v>81.900000000000006</v>
      </c>
      <c r="K1450">
        <v>82.9</v>
      </c>
      <c r="L1450">
        <v>617.61158021712902</v>
      </c>
    </row>
    <row r="1451" spans="1:12" hidden="1" x14ac:dyDescent="0.25">
      <c r="A1451">
        <v>2015</v>
      </c>
      <c r="B1451" t="s">
        <v>66</v>
      </c>
      <c r="C1451">
        <v>21767</v>
      </c>
      <c r="D1451" t="s">
        <v>64</v>
      </c>
      <c r="E1451" t="s">
        <v>14</v>
      </c>
      <c r="F1451" t="s">
        <v>75</v>
      </c>
      <c r="G1451" t="s">
        <v>34</v>
      </c>
      <c r="H1451" t="s">
        <v>35</v>
      </c>
      <c r="I1451">
        <v>47.6</v>
      </c>
      <c r="J1451">
        <v>81.900000000000006</v>
      </c>
      <c r="K1451">
        <v>47.6</v>
      </c>
      <c r="L1451">
        <v>45728.991596638647</v>
      </c>
    </row>
    <row r="1452" spans="1:12" hidden="1" x14ac:dyDescent="0.25">
      <c r="A1452">
        <v>2015</v>
      </c>
      <c r="B1452" t="s">
        <v>66</v>
      </c>
      <c r="C1452">
        <v>624</v>
      </c>
      <c r="D1452" t="s">
        <v>64</v>
      </c>
      <c r="E1452" t="s">
        <v>14</v>
      </c>
      <c r="F1452" t="s">
        <v>75</v>
      </c>
      <c r="G1452" t="s">
        <v>67</v>
      </c>
      <c r="H1452" t="s">
        <v>68</v>
      </c>
      <c r="I1452">
        <v>80</v>
      </c>
      <c r="J1452">
        <v>81.900000000000006</v>
      </c>
      <c r="K1452">
        <v>80</v>
      </c>
      <c r="L1452">
        <v>780</v>
      </c>
    </row>
    <row r="1453" spans="1:12" hidden="1" x14ac:dyDescent="0.25">
      <c r="A1453">
        <v>2015</v>
      </c>
      <c r="B1453" t="s">
        <v>12</v>
      </c>
      <c r="C1453">
        <v>194</v>
      </c>
      <c r="D1453" t="s">
        <v>64</v>
      </c>
      <c r="E1453" t="s">
        <v>14</v>
      </c>
      <c r="F1453" t="s">
        <v>75</v>
      </c>
      <c r="G1453" t="s">
        <v>16</v>
      </c>
      <c r="H1453" t="s">
        <v>17</v>
      </c>
      <c r="J1453">
        <v>96.211353938038002</v>
      </c>
      <c r="K1453">
        <v>96.211353938038002</v>
      </c>
      <c r="L1453">
        <v>201.6394033129809</v>
      </c>
    </row>
    <row r="1454" spans="1:12" hidden="1" x14ac:dyDescent="0.25">
      <c r="A1454">
        <v>2015</v>
      </c>
      <c r="B1454" t="s">
        <v>12</v>
      </c>
      <c r="C1454">
        <v>684</v>
      </c>
      <c r="D1454" t="s">
        <v>64</v>
      </c>
      <c r="E1454" t="s">
        <v>14</v>
      </c>
      <c r="F1454" t="s">
        <v>75</v>
      </c>
      <c r="G1454" t="s">
        <v>42</v>
      </c>
      <c r="H1454" t="s">
        <v>43</v>
      </c>
      <c r="I1454">
        <v>93.364041500221006</v>
      </c>
      <c r="J1454">
        <v>96.211353938038002</v>
      </c>
      <c r="K1454">
        <v>93.364041500221006</v>
      </c>
      <c r="L1454">
        <v>732.6161003841944</v>
      </c>
    </row>
    <row r="1455" spans="1:12" hidden="1" x14ac:dyDescent="0.25">
      <c r="A1455">
        <v>2015</v>
      </c>
      <c r="B1455" t="s">
        <v>66</v>
      </c>
      <c r="C1455">
        <v>8548</v>
      </c>
      <c r="D1455" t="s">
        <v>64</v>
      </c>
      <c r="E1455" t="s">
        <v>14</v>
      </c>
      <c r="F1455" t="s">
        <v>75</v>
      </c>
      <c r="G1455" t="s">
        <v>42</v>
      </c>
      <c r="H1455" t="s">
        <v>43</v>
      </c>
      <c r="I1455">
        <v>80.2</v>
      </c>
      <c r="J1455">
        <v>81.900000000000006</v>
      </c>
      <c r="K1455">
        <v>80.2</v>
      </c>
      <c r="L1455">
        <v>10658.35411471322</v>
      </c>
    </row>
    <row r="1456" spans="1:12" hidden="1" x14ac:dyDescent="0.25">
      <c r="A1456">
        <v>2015</v>
      </c>
      <c r="B1456" t="s">
        <v>12</v>
      </c>
      <c r="C1456">
        <v>1156</v>
      </c>
      <c r="D1456" t="s">
        <v>64</v>
      </c>
      <c r="E1456" t="s">
        <v>14</v>
      </c>
      <c r="F1456" t="s">
        <v>75</v>
      </c>
      <c r="G1456" t="s">
        <v>62</v>
      </c>
      <c r="H1456" t="s">
        <v>63</v>
      </c>
      <c r="I1456">
        <v>95.958177771508005</v>
      </c>
      <c r="J1456">
        <v>96.211353938038002</v>
      </c>
      <c r="K1456">
        <v>95.958177771508005</v>
      </c>
      <c r="L1456">
        <v>1204.6914883613399</v>
      </c>
    </row>
    <row r="1457" spans="1:12" hidden="1" x14ac:dyDescent="0.25">
      <c r="A1457">
        <v>2015</v>
      </c>
      <c r="B1457" t="s">
        <v>12</v>
      </c>
      <c r="C1457">
        <v>135</v>
      </c>
      <c r="D1457" t="s">
        <v>64</v>
      </c>
      <c r="E1457" t="s">
        <v>14</v>
      </c>
      <c r="F1457" t="s">
        <v>75</v>
      </c>
      <c r="G1457" t="s">
        <v>22</v>
      </c>
      <c r="H1457" t="s">
        <v>23</v>
      </c>
      <c r="I1457">
        <v>107.52442116425</v>
      </c>
      <c r="J1457">
        <v>96.211353938038002</v>
      </c>
      <c r="K1457">
        <v>107.52442116425</v>
      </c>
      <c r="L1457">
        <v>125.5528730480487</v>
      </c>
    </row>
    <row r="1458" spans="1:12" hidden="1" x14ac:dyDescent="0.25">
      <c r="A1458">
        <v>2015</v>
      </c>
      <c r="B1458" t="s">
        <v>66</v>
      </c>
      <c r="C1458">
        <v>5724</v>
      </c>
      <c r="D1458" t="s">
        <v>64</v>
      </c>
      <c r="E1458" t="s">
        <v>14</v>
      </c>
      <c r="F1458" t="s">
        <v>75</v>
      </c>
      <c r="G1458" t="s">
        <v>22</v>
      </c>
      <c r="H1458" t="s">
        <v>23</v>
      </c>
      <c r="I1458">
        <v>84.5</v>
      </c>
      <c r="J1458">
        <v>81.900000000000006</v>
      </c>
      <c r="K1458">
        <v>84.5</v>
      </c>
      <c r="L1458">
        <v>6773.9644970414201</v>
      </c>
    </row>
    <row r="1459" spans="1:12" hidden="1" x14ac:dyDescent="0.25">
      <c r="A1459">
        <v>2015</v>
      </c>
      <c r="B1459" t="s">
        <v>12</v>
      </c>
      <c r="C1459">
        <v>923</v>
      </c>
      <c r="D1459" t="s">
        <v>64</v>
      </c>
      <c r="E1459" t="s">
        <v>14</v>
      </c>
      <c r="F1459" t="s">
        <v>75</v>
      </c>
      <c r="G1459" t="s">
        <v>46</v>
      </c>
      <c r="H1459" t="s">
        <v>47</v>
      </c>
      <c r="I1459">
        <v>95.958177771508005</v>
      </c>
      <c r="J1459">
        <v>96.211353938038002</v>
      </c>
      <c r="K1459">
        <v>95.958177771508005</v>
      </c>
      <c r="L1459">
        <v>961.87737349266126</v>
      </c>
    </row>
    <row r="1460" spans="1:12" hidden="1" x14ac:dyDescent="0.25">
      <c r="A1460">
        <v>2015</v>
      </c>
      <c r="B1460" t="s">
        <v>66</v>
      </c>
      <c r="C1460">
        <v>6676</v>
      </c>
      <c r="D1460" t="s">
        <v>64</v>
      </c>
      <c r="E1460" t="s">
        <v>14</v>
      </c>
      <c r="F1460" t="s">
        <v>75</v>
      </c>
      <c r="G1460" t="s">
        <v>46</v>
      </c>
      <c r="H1460" t="s">
        <v>47</v>
      </c>
      <c r="I1460">
        <v>76</v>
      </c>
      <c r="J1460">
        <v>81.900000000000006</v>
      </c>
      <c r="K1460">
        <v>76</v>
      </c>
      <c r="L1460">
        <v>8784.2105263157882</v>
      </c>
    </row>
    <row r="1461" spans="1:12" hidden="1" x14ac:dyDescent="0.25">
      <c r="A1461">
        <v>2015</v>
      </c>
      <c r="B1461" t="s">
        <v>12</v>
      </c>
      <c r="C1461">
        <v>207</v>
      </c>
      <c r="D1461" t="s">
        <v>64</v>
      </c>
      <c r="E1461" t="s">
        <v>14</v>
      </c>
      <c r="F1461" t="s">
        <v>75</v>
      </c>
      <c r="G1461" t="s">
        <v>32</v>
      </c>
      <c r="H1461" t="s">
        <v>33</v>
      </c>
      <c r="I1461">
        <v>72.105553335238</v>
      </c>
      <c r="J1461">
        <v>96.211353938038002</v>
      </c>
      <c r="K1461">
        <v>72.105553335238</v>
      </c>
      <c r="L1461">
        <v>287.07913666177922</v>
      </c>
    </row>
    <row r="1462" spans="1:12" hidden="1" x14ac:dyDescent="0.25">
      <c r="A1462">
        <v>2015</v>
      </c>
      <c r="B1462" t="s">
        <v>66</v>
      </c>
      <c r="C1462">
        <v>390</v>
      </c>
      <c r="D1462" t="s">
        <v>64</v>
      </c>
      <c r="E1462" t="s">
        <v>14</v>
      </c>
      <c r="F1462" t="s">
        <v>75</v>
      </c>
      <c r="G1462" t="s">
        <v>32</v>
      </c>
      <c r="H1462" t="s">
        <v>33</v>
      </c>
      <c r="I1462">
        <v>88.6</v>
      </c>
      <c r="J1462">
        <v>81.900000000000006</v>
      </c>
      <c r="K1462">
        <v>88.6</v>
      </c>
      <c r="L1462">
        <v>440.18058690744931</v>
      </c>
    </row>
    <row r="1463" spans="1:12" hidden="1" x14ac:dyDescent="0.25">
      <c r="A1463">
        <v>2015</v>
      </c>
      <c r="B1463" t="s">
        <v>12</v>
      </c>
      <c r="C1463">
        <v>816</v>
      </c>
      <c r="D1463" t="s">
        <v>64</v>
      </c>
      <c r="E1463" t="s">
        <v>14</v>
      </c>
      <c r="F1463" t="s">
        <v>75</v>
      </c>
      <c r="G1463" t="s">
        <v>52</v>
      </c>
      <c r="H1463" t="s">
        <v>53</v>
      </c>
      <c r="I1463">
        <v>95.958177771508005</v>
      </c>
      <c r="J1463">
        <v>96.211353938038002</v>
      </c>
      <c r="K1463">
        <v>95.958177771508005</v>
      </c>
      <c r="L1463">
        <v>850.37046237271034</v>
      </c>
    </row>
    <row r="1464" spans="1:12" hidden="1" x14ac:dyDescent="0.25">
      <c r="A1464">
        <v>2015</v>
      </c>
      <c r="B1464" t="s">
        <v>66</v>
      </c>
      <c r="C1464">
        <v>11997</v>
      </c>
      <c r="D1464" t="s">
        <v>64</v>
      </c>
      <c r="E1464" t="s">
        <v>14</v>
      </c>
      <c r="F1464" t="s">
        <v>75</v>
      </c>
      <c r="G1464" t="s">
        <v>52</v>
      </c>
      <c r="H1464" t="s">
        <v>53</v>
      </c>
      <c r="I1464">
        <v>82.9</v>
      </c>
      <c r="J1464">
        <v>81.900000000000006</v>
      </c>
      <c r="K1464">
        <v>82.9</v>
      </c>
      <c r="L1464">
        <v>14471.652593486129</v>
      </c>
    </row>
    <row r="1465" spans="1:12" hidden="1" x14ac:dyDescent="0.25">
      <c r="A1465">
        <v>2015</v>
      </c>
      <c r="B1465" t="s">
        <v>12</v>
      </c>
      <c r="C1465">
        <v>192</v>
      </c>
      <c r="D1465" t="s">
        <v>64</v>
      </c>
      <c r="E1465" t="s">
        <v>14</v>
      </c>
      <c r="F1465" t="s">
        <v>75</v>
      </c>
      <c r="G1465" t="s">
        <v>58</v>
      </c>
      <c r="H1465" t="s">
        <v>59</v>
      </c>
      <c r="I1465">
        <v>107.1615082093</v>
      </c>
      <c r="J1465">
        <v>96.211353938038002</v>
      </c>
      <c r="K1465">
        <v>107.1615082093</v>
      </c>
      <c r="L1465">
        <v>179.1688108989654</v>
      </c>
    </row>
    <row r="1466" spans="1:12" hidden="1" x14ac:dyDescent="0.25">
      <c r="A1466">
        <v>2015</v>
      </c>
      <c r="B1466" t="s">
        <v>66</v>
      </c>
      <c r="C1466">
        <v>405</v>
      </c>
      <c r="D1466" t="s">
        <v>64</v>
      </c>
      <c r="E1466" t="s">
        <v>14</v>
      </c>
      <c r="F1466" t="s">
        <v>75</v>
      </c>
      <c r="G1466" t="s">
        <v>58</v>
      </c>
      <c r="H1466" t="s">
        <v>59</v>
      </c>
      <c r="I1466">
        <v>85.5</v>
      </c>
      <c r="J1466">
        <v>81.900000000000006</v>
      </c>
      <c r="K1466">
        <v>85.5</v>
      </c>
      <c r="L1466">
        <v>473.68421052631572</v>
      </c>
    </row>
    <row r="1467" spans="1:12" hidden="1" x14ac:dyDescent="0.25">
      <c r="A1467">
        <v>2015</v>
      </c>
      <c r="B1467" t="s">
        <v>12</v>
      </c>
      <c r="C1467">
        <v>616</v>
      </c>
      <c r="D1467" t="s">
        <v>64</v>
      </c>
      <c r="E1467" t="s">
        <v>14</v>
      </c>
      <c r="F1467" t="s">
        <v>75</v>
      </c>
      <c r="G1467" t="s">
        <v>20</v>
      </c>
      <c r="H1467" t="s">
        <v>21</v>
      </c>
      <c r="I1467">
        <v>100.22588687651999</v>
      </c>
      <c r="J1467">
        <v>96.211353938038002</v>
      </c>
      <c r="K1467">
        <v>100.22588687651999</v>
      </c>
      <c r="L1467">
        <v>614.61167288938293</v>
      </c>
    </row>
    <row r="1468" spans="1:12" hidden="1" x14ac:dyDescent="0.25">
      <c r="A1468">
        <v>2015</v>
      </c>
      <c r="B1468" t="s">
        <v>66</v>
      </c>
      <c r="C1468">
        <v>9743</v>
      </c>
      <c r="D1468" t="s">
        <v>64</v>
      </c>
      <c r="E1468" t="s">
        <v>14</v>
      </c>
      <c r="F1468" t="s">
        <v>75</v>
      </c>
      <c r="G1468" t="s">
        <v>20</v>
      </c>
      <c r="H1468" t="s">
        <v>21</v>
      </c>
      <c r="I1468">
        <v>80</v>
      </c>
      <c r="J1468">
        <v>81.900000000000006</v>
      </c>
      <c r="K1468">
        <v>80</v>
      </c>
      <c r="L1468">
        <v>12178.75</v>
      </c>
    </row>
    <row r="1469" spans="1:12" hidden="1" x14ac:dyDescent="0.25">
      <c r="A1469">
        <v>2015</v>
      </c>
      <c r="B1469" t="s">
        <v>12</v>
      </c>
      <c r="C1469">
        <v>713</v>
      </c>
      <c r="D1469" t="s">
        <v>64</v>
      </c>
      <c r="E1469" t="s">
        <v>14</v>
      </c>
      <c r="F1469" t="s">
        <v>75</v>
      </c>
      <c r="G1469" t="s">
        <v>40</v>
      </c>
      <c r="H1469" t="s">
        <v>41</v>
      </c>
      <c r="I1469">
        <v>109.79561218418</v>
      </c>
      <c r="J1469">
        <v>96.211353938038002</v>
      </c>
      <c r="K1469">
        <v>109.79561218418</v>
      </c>
      <c r="L1469">
        <v>649.38842802201998</v>
      </c>
    </row>
    <row r="1470" spans="1:12" hidden="1" x14ac:dyDescent="0.25">
      <c r="A1470">
        <v>2015</v>
      </c>
      <c r="B1470" t="s">
        <v>66</v>
      </c>
      <c r="C1470">
        <v>5960</v>
      </c>
      <c r="D1470" t="s">
        <v>64</v>
      </c>
      <c r="E1470" t="s">
        <v>14</v>
      </c>
      <c r="F1470" t="s">
        <v>75</v>
      </c>
      <c r="G1470" t="s">
        <v>40</v>
      </c>
      <c r="H1470" t="s">
        <v>41</v>
      </c>
      <c r="I1470">
        <v>81.900000000000006</v>
      </c>
      <c r="J1470">
        <v>81.900000000000006</v>
      </c>
      <c r="K1470">
        <v>81.900000000000006</v>
      </c>
      <c r="L1470">
        <v>7277.1672771672766</v>
      </c>
    </row>
    <row r="1471" spans="1:12" hidden="1" x14ac:dyDescent="0.25">
      <c r="A1471">
        <v>2015</v>
      </c>
      <c r="B1471" t="s">
        <v>12</v>
      </c>
      <c r="C1471">
        <v>1700</v>
      </c>
      <c r="D1471" t="s">
        <v>64</v>
      </c>
      <c r="E1471" t="s">
        <v>14</v>
      </c>
      <c r="F1471" t="s">
        <v>75</v>
      </c>
      <c r="G1471" t="s">
        <v>30</v>
      </c>
      <c r="H1471" t="s">
        <v>31</v>
      </c>
      <c r="I1471">
        <v>72.105553335238</v>
      </c>
      <c r="J1471">
        <v>96.211353938038002</v>
      </c>
      <c r="K1471">
        <v>72.105553335238</v>
      </c>
      <c r="L1471">
        <v>2357.6547455315199</v>
      </c>
    </row>
    <row r="1472" spans="1:12" hidden="1" x14ac:dyDescent="0.25">
      <c r="A1472">
        <v>2015</v>
      </c>
      <c r="B1472" t="s">
        <v>66</v>
      </c>
      <c r="C1472">
        <v>3157</v>
      </c>
      <c r="D1472" t="s">
        <v>64</v>
      </c>
      <c r="E1472" t="s">
        <v>14</v>
      </c>
      <c r="F1472" t="s">
        <v>75</v>
      </c>
      <c r="G1472" t="s">
        <v>30</v>
      </c>
      <c r="H1472" t="s">
        <v>31</v>
      </c>
      <c r="I1472">
        <v>82</v>
      </c>
      <c r="J1472">
        <v>81.900000000000006</v>
      </c>
      <c r="K1472">
        <v>82</v>
      </c>
      <c r="L1472">
        <v>3850</v>
      </c>
    </row>
    <row r="1473" spans="1:12" hidden="1" x14ac:dyDescent="0.25">
      <c r="A1473">
        <v>2015</v>
      </c>
      <c r="B1473" t="s">
        <v>12</v>
      </c>
      <c r="C1473">
        <v>209</v>
      </c>
      <c r="D1473" t="s">
        <v>64</v>
      </c>
      <c r="E1473" t="s">
        <v>14</v>
      </c>
      <c r="F1473" t="s">
        <v>75</v>
      </c>
      <c r="G1473" t="s">
        <v>50</v>
      </c>
      <c r="H1473" t="s">
        <v>51</v>
      </c>
      <c r="I1473">
        <v>95.958177771508005</v>
      </c>
      <c r="J1473">
        <v>96.211353938038002</v>
      </c>
      <c r="K1473">
        <v>95.958177771508005</v>
      </c>
      <c r="L1473">
        <v>217.80321891653981</v>
      </c>
    </row>
    <row r="1474" spans="1:12" hidden="1" x14ac:dyDescent="0.25">
      <c r="A1474">
        <v>2015</v>
      </c>
      <c r="B1474" t="s">
        <v>66</v>
      </c>
      <c r="C1474">
        <v>10575</v>
      </c>
      <c r="D1474" t="s">
        <v>64</v>
      </c>
      <c r="E1474" t="s">
        <v>14</v>
      </c>
      <c r="F1474" t="s">
        <v>75</v>
      </c>
      <c r="G1474" t="s">
        <v>50</v>
      </c>
      <c r="H1474" t="s">
        <v>51</v>
      </c>
      <c r="I1474">
        <v>84.9</v>
      </c>
      <c r="J1474">
        <v>81.900000000000006</v>
      </c>
      <c r="K1474">
        <v>84.9</v>
      </c>
      <c r="L1474">
        <v>12455.830388692581</v>
      </c>
    </row>
    <row r="1475" spans="1:12" hidden="1" x14ac:dyDescent="0.25">
      <c r="A1475">
        <v>2015</v>
      </c>
      <c r="B1475" t="s">
        <v>12</v>
      </c>
      <c r="C1475">
        <v>2401</v>
      </c>
      <c r="D1475" t="s">
        <v>64</v>
      </c>
      <c r="E1475" t="s">
        <v>14</v>
      </c>
      <c r="F1475" t="s">
        <v>75</v>
      </c>
      <c r="G1475" t="s">
        <v>36</v>
      </c>
      <c r="H1475" t="s">
        <v>37</v>
      </c>
      <c r="I1475">
        <v>109.79561218418</v>
      </c>
      <c r="J1475">
        <v>96.211353938038002</v>
      </c>
      <c r="K1475">
        <v>109.79561218418</v>
      </c>
      <c r="L1475">
        <v>2186.790484825905</v>
      </c>
    </row>
    <row r="1476" spans="1:12" hidden="1" x14ac:dyDescent="0.25">
      <c r="A1476">
        <v>2015</v>
      </c>
      <c r="B1476" t="s">
        <v>66</v>
      </c>
      <c r="C1476">
        <v>12796</v>
      </c>
      <c r="D1476" t="s">
        <v>64</v>
      </c>
      <c r="E1476" t="s">
        <v>14</v>
      </c>
      <c r="F1476" t="s">
        <v>75</v>
      </c>
      <c r="G1476" t="s">
        <v>36</v>
      </c>
      <c r="H1476" t="s">
        <v>37</v>
      </c>
      <c r="I1476">
        <v>95.7</v>
      </c>
      <c r="J1476">
        <v>81.900000000000006</v>
      </c>
      <c r="K1476">
        <v>95.7</v>
      </c>
      <c r="L1476">
        <v>13370.95088819227</v>
      </c>
    </row>
    <row r="1477" spans="1:12" hidden="1" x14ac:dyDescent="0.25">
      <c r="A1477">
        <v>2015</v>
      </c>
      <c r="B1477" t="s">
        <v>12</v>
      </c>
      <c r="C1477">
        <v>1160</v>
      </c>
      <c r="D1477" t="s">
        <v>64</v>
      </c>
      <c r="E1477" t="s">
        <v>14</v>
      </c>
      <c r="F1477" t="s">
        <v>75</v>
      </c>
      <c r="G1477" t="s">
        <v>28</v>
      </c>
      <c r="H1477" t="s">
        <v>29</v>
      </c>
      <c r="I1477">
        <v>107.1615082093</v>
      </c>
      <c r="J1477">
        <v>96.211353938038002</v>
      </c>
      <c r="K1477">
        <v>107.1615082093</v>
      </c>
      <c r="L1477">
        <v>1082.4782325145829</v>
      </c>
    </row>
    <row r="1478" spans="1:12" hidden="1" x14ac:dyDescent="0.25">
      <c r="A1478">
        <v>2015</v>
      </c>
      <c r="B1478" t="s">
        <v>66</v>
      </c>
      <c r="C1478">
        <v>457</v>
      </c>
      <c r="D1478" t="s">
        <v>64</v>
      </c>
      <c r="E1478" t="s">
        <v>14</v>
      </c>
      <c r="F1478" t="s">
        <v>75</v>
      </c>
      <c r="G1478" t="s">
        <v>28</v>
      </c>
      <c r="H1478" t="s">
        <v>29</v>
      </c>
      <c r="I1478">
        <v>85.2</v>
      </c>
      <c r="J1478">
        <v>81.900000000000006</v>
      </c>
      <c r="K1478">
        <v>85.2</v>
      </c>
      <c r="L1478">
        <v>536.38497652582157</v>
      </c>
    </row>
    <row r="1479" spans="1:12" hidden="1" x14ac:dyDescent="0.25">
      <c r="A1479">
        <v>2015</v>
      </c>
      <c r="B1479" t="s">
        <v>12</v>
      </c>
      <c r="C1479">
        <v>20</v>
      </c>
      <c r="D1479" t="s">
        <v>64</v>
      </c>
      <c r="E1479" t="s">
        <v>14</v>
      </c>
      <c r="F1479" t="s">
        <v>75</v>
      </c>
      <c r="G1479" t="s">
        <v>60</v>
      </c>
      <c r="H1479" t="s">
        <v>61</v>
      </c>
      <c r="J1479">
        <v>96.211353938038002</v>
      </c>
      <c r="K1479">
        <v>96.211353938038002</v>
      </c>
      <c r="L1479">
        <v>20.787567351853699</v>
      </c>
    </row>
    <row r="1480" spans="1:12" hidden="1" x14ac:dyDescent="0.25">
      <c r="A1480">
        <v>2015</v>
      </c>
      <c r="B1480" t="s">
        <v>66</v>
      </c>
      <c r="C1480">
        <v>266</v>
      </c>
      <c r="D1480" t="s">
        <v>64</v>
      </c>
      <c r="E1480" t="s">
        <v>14</v>
      </c>
      <c r="F1480" t="s">
        <v>75</v>
      </c>
      <c r="G1480" t="s">
        <v>60</v>
      </c>
      <c r="H1480" t="s">
        <v>61</v>
      </c>
      <c r="I1480">
        <v>86.4</v>
      </c>
      <c r="J1480">
        <v>81.900000000000006</v>
      </c>
      <c r="K1480">
        <v>86.4</v>
      </c>
      <c r="L1480">
        <v>307.87037037037038</v>
      </c>
    </row>
    <row r="1481" spans="1:12" hidden="1" x14ac:dyDescent="0.25">
      <c r="A1481">
        <v>2015</v>
      </c>
      <c r="B1481" t="s">
        <v>12</v>
      </c>
      <c r="C1481">
        <v>22</v>
      </c>
      <c r="D1481" t="s">
        <v>64</v>
      </c>
      <c r="E1481" t="s">
        <v>14</v>
      </c>
      <c r="F1481" t="s">
        <v>75</v>
      </c>
      <c r="G1481" t="s">
        <v>54</v>
      </c>
      <c r="H1481" t="s">
        <v>55</v>
      </c>
      <c r="I1481">
        <v>95.958177771508005</v>
      </c>
      <c r="J1481">
        <v>96.211353938038002</v>
      </c>
      <c r="K1481">
        <v>95.958177771508005</v>
      </c>
      <c r="L1481">
        <v>22.926654622793659</v>
      </c>
    </row>
    <row r="1482" spans="1:12" hidden="1" x14ac:dyDescent="0.25">
      <c r="A1482">
        <v>2015</v>
      </c>
      <c r="B1482" t="s">
        <v>66</v>
      </c>
      <c r="C1482">
        <v>15698</v>
      </c>
      <c r="D1482" t="s">
        <v>64</v>
      </c>
      <c r="E1482" t="s">
        <v>14</v>
      </c>
      <c r="F1482" t="s">
        <v>75</v>
      </c>
      <c r="G1482" t="s">
        <v>54</v>
      </c>
      <c r="H1482" t="s">
        <v>55</v>
      </c>
      <c r="I1482">
        <v>82.9</v>
      </c>
      <c r="J1482">
        <v>81.900000000000006</v>
      </c>
      <c r="K1482">
        <v>82.9</v>
      </c>
      <c r="L1482">
        <v>18936.06755126658</v>
      </c>
    </row>
    <row r="1483" spans="1:12" hidden="1" x14ac:dyDescent="0.25">
      <c r="A1483">
        <v>2015</v>
      </c>
      <c r="B1483" t="s">
        <v>12</v>
      </c>
      <c r="C1483">
        <v>452</v>
      </c>
      <c r="D1483" t="s">
        <v>64</v>
      </c>
      <c r="E1483" t="s">
        <v>14</v>
      </c>
      <c r="F1483" t="s">
        <v>75</v>
      </c>
      <c r="G1483" t="s">
        <v>38</v>
      </c>
      <c r="H1483" t="s">
        <v>39</v>
      </c>
      <c r="I1483">
        <v>109.79561218418</v>
      </c>
      <c r="J1483">
        <v>96.211353938038002</v>
      </c>
      <c r="K1483">
        <v>109.79561218418</v>
      </c>
      <c r="L1483">
        <v>411.67401047118238</v>
      </c>
    </row>
    <row r="1484" spans="1:12" hidden="1" x14ac:dyDescent="0.25">
      <c r="A1484">
        <v>2015</v>
      </c>
      <c r="B1484" t="s">
        <v>66</v>
      </c>
      <c r="C1484">
        <v>1124</v>
      </c>
      <c r="D1484" t="s">
        <v>64</v>
      </c>
      <c r="E1484" t="s">
        <v>14</v>
      </c>
      <c r="F1484" t="s">
        <v>75</v>
      </c>
      <c r="G1484" t="s">
        <v>38</v>
      </c>
      <c r="H1484" t="s">
        <v>39</v>
      </c>
      <c r="I1484">
        <v>95.7</v>
      </c>
      <c r="J1484">
        <v>81.900000000000006</v>
      </c>
      <c r="K1484">
        <v>95.7</v>
      </c>
      <c r="L1484">
        <v>1174.503657262278</v>
      </c>
    </row>
    <row r="1485" spans="1:12" hidden="1" x14ac:dyDescent="0.25">
      <c r="A1485">
        <v>2015</v>
      </c>
      <c r="B1485" t="s">
        <v>12</v>
      </c>
      <c r="C1485">
        <v>269</v>
      </c>
      <c r="D1485" t="s">
        <v>64</v>
      </c>
      <c r="E1485" t="s">
        <v>14</v>
      </c>
      <c r="F1485" t="s">
        <v>75</v>
      </c>
      <c r="G1485" t="s">
        <v>44</v>
      </c>
      <c r="H1485" t="s">
        <v>45</v>
      </c>
      <c r="I1485">
        <v>93.364041500221006</v>
      </c>
      <c r="J1485">
        <v>96.211353938038002</v>
      </c>
      <c r="K1485">
        <v>93.364041500221006</v>
      </c>
      <c r="L1485">
        <v>288.11948977097711</v>
      </c>
    </row>
    <row r="1486" spans="1:12" hidden="1" x14ac:dyDescent="0.25">
      <c r="A1486">
        <v>2015</v>
      </c>
      <c r="B1486" t="s">
        <v>66</v>
      </c>
      <c r="C1486">
        <v>8728</v>
      </c>
      <c r="D1486" t="s">
        <v>64</v>
      </c>
      <c r="E1486" t="s">
        <v>14</v>
      </c>
      <c r="F1486" t="s">
        <v>75</v>
      </c>
      <c r="G1486" t="s">
        <v>44</v>
      </c>
      <c r="H1486" t="s">
        <v>45</v>
      </c>
      <c r="I1486">
        <v>73.2</v>
      </c>
      <c r="J1486">
        <v>81.900000000000006</v>
      </c>
      <c r="K1486">
        <v>73.2</v>
      </c>
      <c r="L1486">
        <v>11923.49726775956</v>
      </c>
    </row>
    <row r="1487" spans="1:12" hidden="1" x14ac:dyDescent="0.25">
      <c r="A1487">
        <v>2015</v>
      </c>
      <c r="B1487" t="s">
        <v>12</v>
      </c>
      <c r="C1487">
        <v>163</v>
      </c>
      <c r="D1487" t="s">
        <v>64</v>
      </c>
      <c r="E1487" t="s">
        <v>14</v>
      </c>
      <c r="F1487" t="s">
        <v>75</v>
      </c>
      <c r="G1487" t="s">
        <v>26</v>
      </c>
      <c r="H1487" t="s">
        <v>27</v>
      </c>
      <c r="I1487">
        <v>107.52442116425</v>
      </c>
      <c r="J1487">
        <v>96.211353938038002</v>
      </c>
      <c r="K1487">
        <v>107.52442116425</v>
      </c>
      <c r="L1487">
        <v>151.59346893949581</v>
      </c>
    </row>
    <row r="1488" spans="1:12" hidden="1" x14ac:dyDescent="0.25">
      <c r="A1488">
        <v>2015</v>
      </c>
      <c r="B1488" t="s">
        <v>66</v>
      </c>
      <c r="C1488">
        <v>1106</v>
      </c>
      <c r="D1488" t="s">
        <v>64</v>
      </c>
      <c r="E1488" t="s">
        <v>14</v>
      </c>
      <c r="F1488" t="s">
        <v>75</v>
      </c>
      <c r="G1488" t="s">
        <v>26</v>
      </c>
      <c r="H1488" t="s">
        <v>27</v>
      </c>
      <c r="I1488">
        <v>90.8</v>
      </c>
      <c r="J1488">
        <v>81.900000000000006</v>
      </c>
      <c r="K1488">
        <v>90.8</v>
      </c>
      <c r="L1488">
        <v>1218.061674008811</v>
      </c>
    </row>
    <row r="1489" spans="1:12" hidden="1" x14ac:dyDescent="0.25">
      <c r="A1489">
        <v>2015</v>
      </c>
      <c r="B1489" t="s">
        <v>12</v>
      </c>
      <c r="C1489">
        <v>18</v>
      </c>
      <c r="D1489" t="s">
        <v>64</v>
      </c>
      <c r="E1489" t="s">
        <v>14</v>
      </c>
      <c r="F1489" t="s">
        <v>75</v>
      </c>
      <c r="G1489" t="s">
        <v>48</v>
      </c>
      <c r="H1489" t="s">
        <v>49</v>
      </c>
      <c r="I1489">
        <v>95.958177771508005</v>
      </c>
      <c r="J1489">
        <v>96.211353938038002</v>
      </c>
      <c r="K1489">
        <v>95.958177771508005</v>
      </c>
      <c r="L1489">
        <v>18.758171964103909</v>
      </c>
    </row>
    <row r="1490" spans="1:12" hidden="1" x14ac:dyDescent="0.25">
      <c r="A1490">
        <v>2020</v>
      </c>
      <c r="B1490" t="s">
        <v>66</v>
      </c>
      <c r="C1490">
        <v>29395</v>
      </c>
      <c r="D1490" t="s">
        <v>64</v>
      </c>
      <c r="E1490" t="s">
        <v>14</v>
      </c>
      <c r="F1490" t="s">
        <v>76</v>
      </c>
      <c r="G1490" t="s">
        <v>50</v>
      </c>
      <c r="H1490" t="s">
        <v>51</v>
      </c>
      <c r="I1490">
        <v>107.4</v>
      </c>
      <c r="J1490">
        <v>108.6</v>
      </c>
      <c r="K1490">
        <v>107.4</v>
      </c>
      <c r="L1490">
        <v>27369.64618249534</v>
      </c>
    </row>
    <row r="1491" spans="1:12" hidden="1" x14ac:dyDescent="0.25">
      <c r="A1491">
        <v>2020</v>
      </c>
      <c r="B1491" t="s">
        <v>12</v>
      </c>
      <c r="C1491">
        <v>96</v>
      </c>
      <c r="D1491" t="s">
        <v>64</v>
      </c>
      <c r="E1491" t="s">
        <v>14</v>
      </c>
      <c r="F1491" t="s">
        <v>76</v>
      </c>
      <c r="G1491" t="s">
        <v>56</v>
      </c>
      <c r="H1491" t="s">
        <v>57</v>
      </c>
      <c r="I1491">
        <v>113.44450268036999</v>
      </c>
      <c r="J1491">
        <v>103.59652904204</v>
      </c>
      <c r="K1491">
        <v>113.44450268036999</v>
      </c>
      <c r="L1491">
        <v>84.622875266578674</v>
      </c>
    </row>
    <row r="1492" spans="1:12" hidden="1" x14ac:dyDescent="0.25">
      <c r="A1492">
        <v>2020</v>
      </c>
      <c r="B1492" t="s">
        <v>66</v>
      </c>
      <c r="C1492">
        <v>1445</v>
      </c>
      <c r="D1492" t="s">
        <v>64</v>
      </c>
      <c r="E1492" t="s">
        <v>14</v>
      </c>
      <c r="F1492" t="s">
        <v>76</v>
      </c>
      <c r="G1492" t="s">
        <v>56</v>
      </c>
      <c r="H1492" t="s">
        <v>57</v>
      </c>
      <c r="I1492">
        <v>111.5</v>
      </c>
      <c r="J1492">
        <v>108.6</v>
      </c>
      <c r="K1492">
        <v>111.5</v>
      </c>
      <c r="L1492">
        <v>1295.9641255605379</v>
      </c>
    </row>
    <row r="1493" spans="1:12" hidden="1" x14ac:dyDescent="0.25">
      <c r="A1493">
        <v>2020</v>
      </c>
      <c r="B1493" t="s">
        <v>12</v>
      </c>
      <c r="C1493">
        <v>15</v>
      </c>
      <c r="D1493" t="s">
        <v>64</v>
      </c>
      <c r="E1493" t="s">
        <v>14</v>
      </c>
      <c r="F1493" t="s">
        <v>76</v>
      </c>
      <c r="G1493" t="s">
        <v>48</v>
      </c>
      <c r="H1493" t="s">
        <v>49</v>
      </c>
      <c r="I1493">
        <v>113.44450268036999</v>
      </c>
      <c r="J1493">
        <v>103.59652904204</v>
      </c>
      <c r="K1493">
        <v>113.44450268036999</v>
      </c>
      <c r="L1493">
        <v>13.222324260402919</v>
      </c>
    </row>
    <row r="1494" spans="1:12" hidden="1" x14ac:dyDescent="0.25">
      <c r="A1494">
        <v>2020</v>
      </c>
      <c r="B1494" t="s">
        <v>66</v>
      </c>
      <c r="C1494">
        <v>9869</v>
      </c>
      <c r="D1494" t="s">
        <v>64</v>
      </c>
      <c r="E1494" t="s">
        <v>14</v>
      </c>
      <c r="F1494" t="s">
        <v>76</v>
      </c>
      <c r="G1494" t="s">
        <v>48</v>
      </c>
      <c r="H1494" t="s">
        <v>49</v>
      </c>
      <c r="I1494">
        <v>109.4</v>
      </c>
      <c r="J1494">
        <v>108.6</v>
      </c>
      <c r="K1494">
        <v>109.4</v>
      </c>
      <c r="L1494">
        <v>9021.0237659963423</v>
      </c>
    </row>
    <row r="1495" spans="1:12" hidden="1" x14ac:dyDescent="0.25">
      <c r="A1495">
        <v>2020</v>
      </c>
      <c r="B1495" t="s">
        <v>12</v>
      </c>
      <c r="C1495">
        <v>68</v>
      </c>
      <c r="D1495" t="s">
        <v>64</v>
      </c>
      <c r="E1495" t="s">
        <v>14</v>
      </c>
      <c r="F1495" t="s">
        <v>76</v>
      </c>
      <c r="G1495" t="s">
        <v>54</v>
      </c>
      <c r="H1495" t="s">
        <v>55</v>
      </c>
      <c r="I1495">
        <v>113.44450268036999</v>
      </c>
      <c r="J1495">
        <v>103.59652904204</v>
      </c>
      <c r="K1495">
        <v>113.44450268036999</v>
      </c>
      <c r="L1495">
        <v>59.941203313826563</v>
      </c>
    </row>
    <row r="1496" spans="1:12" hidden="1" x14ac:dyDescent="0.25">
      <c r="A1496">
        <v>2020</v>
      </c>
      <c r="B1496" t="s">
        <v>66</v>
      </c>
      <c r="C1496">
        <v>71950</v>
      </c>
      <c r="D1496" t="s">
        <v>64</v>
      </c>
      <c r="E1496" t="s">
        <v>14</v>
      </c>
      <c r="F1496" t="s">
        <v>76</v>
      </c>
      <c r="G1496" t="s">
        <v>54</v>
      </c>
      <c r="H1496" t="s">
        <v>55</v>
      </c>
      <c r="I1496">
        <v>111.5</v>
      </c>
      <c r="J1496">
        <v>108.6</v>
      </c>
      <c r="K1496">
        <v>111.5</v>
      </c>
      <c r="L1496">
        <v>64529.147982062786</v>
      </c>
    </row>
    <row r="1497" spans="1:12" hidden="1" x14ac:dyDescent="0.25">
      <c r="A1497">
        <v>2020</v>
      </c>
      <c r="B1497" t="s">
        <v>12</v>
      </c>
      <c r="C1497">
        <v>67</v>
      </c>
      <c r="D1497" t="s">
        <v>64</v>
      </c>
      <c r="E1497" t="s">
        <v>14</v>
      </c>
      <c r="F1497" t="s">
        <v>76</v>
      </c>
      <c r="G1497" t="s">
        <v>60</v>
      </c>
      <c r="H1497" t="s">
        <v>61</v>
      </c>
      <c r="J1497">
        <v>103.59652904204</v>
      </c>
      <c r="K1497">
        <v>103.59652904204</v>
      </c>
      <c r="L1497">
        <v>64.673981473656369</v>
      </c>
    </row>
    <row r="1498" spans="1:12" hidden="1" x14ac:dyDescent="0.25">
      <c r="A1498">
        <v>2020</v>
      </c>
      <c r="B1498" t="s">
        <v>66</v>
      </c>
      <c r="C1498">
        <v>589</v>
      </c>
      <c r="D1498" t="s">
        <v>64</v>
      </c>
      <c r="E1498" t="s">
        <v>14</v>
      </c>
      <c r="F1498" t="s">
        <v>76</v>
      </c>
      <c r="G1498" t="s">
        <v>60</v>
      </c>
      <c r="H1498" t="s">
        <v>61</v>
      </c>
      <c r="I1498">
        <v>112.5</v>
      </c>
      <c r="J1498">
        <v>108.6</v>
      </c>
      <c r="K1498">
        <v>112.5</v>
      </c>
      <c r="L1498">
        <v>523.55555555555554</v>
      </c>
    </row>
    <row r="1499" spans="1:12" hidden="1" x14ac:dyDescent="0.25">
      <c r="A1499">
        <v>2020</v>
      </c>
      <c r="B1499" t="s">
        <v>12</v>
      </c>
      <c r="C1499">
        <v>81</v>
      </c>
      <c r="D1499" t="s">
        <v>64</v>
      </c>
      <c r="E1499" t="s">
        <v>14</v>
      </c>
      <c r="F1499" t="s">
        <v>76</v>
      </c>
      <c r="G1499" t="s">
        <v>26</v>
      </c>
      <c r="H1499" t="s">
        <v>27</v>
      </c>
      <c r="I1499">
        <v>71.728747032472995</v>
      </c>
      <c r="J1499">
        <v>103.59652904204</v>
      </c>
      <c r="K1499">
        <v>71.728747032472995</v>
      </c>
      <c r="L1499">
        <v>112.9254355486368</v>
      </c>
    </row>
    <row r="1500" spans="1:12" hidden="1" x14ac:dyDescent="0.25">
      <c r="A1500">
        <v>2020</v>
      </c>
      <c r="B1500" t="s">
        <v>66</v>
      </c>
      <c r="C1500">
        <v>1931</v>
      </c>
      <c r="D1500" t="s">
        <v>64</v>
      </c>
      <c r="E1500" t="s">
        <v>14</v>
      </c>
      <c r="F1500" t="s">
        <v>76</v>
      </c>
      <c r="G1500" t="s">
        <v>26</v>
      </c>
      <c r="H1500" t="s">
        <v>27</v>
      </c>
      <c r="I1500">
        <v>105.1</v>
      </c>
      <c r="J1500">
        <v>108.6</v>
      </c>
      <c r="K1500">
        <v>105.1</v>
      </c>
      <c r="L1500">
        <v>1837.2978116079919</v>
      </c>
    </row>
    <row r="1501" spans="1:12" hidden="1" x14ac:dyDescent="0.25">
      <c r="A1501">
        <v>2020</v>
      </c>
      <c r="B1501" t="s">
        <v>12</v>
      </c>
      <c r="C1501">
        <v>1285</v>
      </c>
      <c r="D1501" t="s">
        <v>64</v>
      </c>
      <c r="E1501" t="s">
        <v>14</v>
      </c>
      <c r="F1501" t="s">
        <v>76</v>
      </c>
      <c r="G1501" t="s">
        <v>38</v>
      </c>
      <c r="H1501" t="s">
        <v>39</v>
      </c>
      <c r="I1501">
        <v>100.20302658438</v>
      </c>
      <c r="J1501">
        <v>103.59652904204</v>
      </c>
      <c r="K1501">
        <v>100.20302658438</v>
      </c>
      <c r="L1501">
        <v>1282.396394402233</v>
      </c>
    </row>
    <row r="1502" spans="1:12" hidden="1" x14ac:dyDescent="0.25">
      <c r="A1502">
        <v>2020</v>
      </c>
      <c r="B1502" t="s">
        <v>66</v>
      </c>
      <c r="C1502">
        <v>2357</v>
      </c>
      <c r="D1502" t="s">
        <v>64</v>
      </c>
      <c r="E1502" t="s">
        <v>14</v>
      </c>
      <c r="F1502" t="s">
        <v>76</v>
      </c>
      <c r="G1502" t="s">
        <v>38</v>
      </c>
      <c r="H1502" t="s">
        <v>39</v>
      </c>
      <c r="I1502">
        <v>103.9</v>
      </c>
      <c r="J1502">
        <v>108.6</v>
      </c>
      <c r="K1502">
        <v>103.9</v>
      </c>
      <c r="L1502">
        <v>2268.527430221367</v>
      </c>
    </row>
    <row r="1503" spans="1:12" hidden="1" x14ac:dyDescent="0.25">
      <c r="A1503">
        <v>2020</v>
      </c>
      <c r="B1503" t="s">
        <v>66</v>
      </c>
      <c r="C1503">
        <v>21029</v>
      </c>
      <c r="D1503" t="s">
        <v>64</v>
      </c>
      <c r="E1503" t="s">
        <v>14</v>
      </c>
      <c r="F1503" t="s">
        <v>76</v>
      </c>
      <c r="G1503" t="s">
        <v>34</v>
      </c>
      <c r="H1503" t="s">
        <v>35</v>
      </c>
      <c r="I1503">
        <v>100.6</v>
      </c>
      <c r="J1503">
        <v>108.6</v>
      </c>
      <c r="K1503">
        <v>100.6</v>
      </c>
      <c r="L1503">
        <v>20903.578528827042</v>
      </c>
    </row>
    <row r="1504" spans="1:12" hidden="1" x14ac:dyDescent="0.25">
      <c r="A1504">
        <v>2020</v>
      </c>
      <c r="B1504" t="s">
        <v>66</v>
      </c>
      <c r="C1504">
        <v>651</v>
      </c>
      <c r="D1504" t="s">
        <v>64</v>
      </c>
      <c r="E1504" t="s">
        <v>14</v>
      </c>
      <c r="F1504" t="s">
        <v>76</v>
      </c>
      <c r="G1504" t="s">
        <v>67</v>
      </c>
      <c r="H1504" t="s">
        <v>68</v>
      </c>
      <c r="I1504">
        <v>109.5</v>
      </c>
      <c r="J1504">
        <v>108.6</v>
      </c>
      <c r="K1504">
        <v>109.5</v>
      </c>
      <c r="L1504">
        <v>594.52054794520541</v>
      </c>
    </row>
    <row r="1505" spans="1:12" hidden="1" x14ac:dyDescent="0.25">
      <c r="A1505">
        <v>2020</v>
      </c>
      <c r="B1505" t="s">
        <v>12</v>
      </c>
      <c r="C1505">
        <v>2916</v>
      </c>
      <c r="D1505" t="s">
        <v>64</v>
      </c>
      <c r="E1505" t="s">
        <v>14</v>
      </c>
      <c r="F1505" t="s">
        <v>76</v>
      </c>
      <c r="G1505" t="s">
        <v>16</v>
      </c>
      <c r="H1505" t="s">
        <v>17</v>
      </c>
      <c r="J1505">
        <v>103.59652904204</v>
      </c>
      <c r="K1505">
        <v>103.59652904204</v>
      </c>
      <c r="L1505">
        <v>2814.7661190624181</v>
      </c>
    </row>
    <row r="1506" spans="1:12" hidden="1" x14ac:dyDescent="0.25">
      <c r="A1506">
        <v>2019</v>
      </c>
      <c r="B1506" t="s">
        <v>12</v>
      </c>
      <c r="C1506">
        <v>24241</v>
      </c>
      <c r="D1506" t="s">
        <v>64</v>
      </c>
      <c r="E1506" t="s">
        <v>14</v>
      </c>
      <c r="F1506" t="s">
        <v>76</v>
      </c>
      <c r="G1506" t="s">
        <v>18</v>
      </c>
      <c r="H1506" t="s">
        <v>19</v>
      </c>
      <c r="I1506">
        <v>101.52099705321</v>
      </c>
      <c r="J1506">
        <v>98.151526954033002</v>
      </c>
      <c r="K1506">
        <v>101.52099705321</v>
      </c>
      <c r="L1506">
        <v>23877.81907549097</v>
      </c>
    </row>
    <row r="1507" spans="1:12" hidden="1" x14ac:dyDescent="0.25">
      <c r="A1507">
        <v>2019</v>
      </c>
      <c r="B1507" t="s">
        <v>66</v>
      </c>
      <c r="C1507">
        <v>67752</v>
      </c>
      <c r="D1507" t="s">
        <v>64</v>
      </c>
      <c r="E1507" t="s">
        <v>14</v>
      </c>
      <c r="F1507" t="s">
        <v>76</v>
      </c>
      <c r="G1507" t="s">
        <v>18</v>
      </c>
      <c r="H1507" t="s">
        <v>19</v>
      </c>
      <c r="I1507">
        <v>102.3</v>
      </c>
      <c r="J1507">
        <v>102.4</v>
      </c>
      <c r="K1507">
        <v>102.3</v>
      </c>
      <c r="L1507">
        <v>66228.739002932547</v>
      </c>
    </row>
    <row r="1508" spans="1:12" hidden="1" x14ac:dyDescent="0.25">
      <c r="A1508">
        <v>2019</v>
      </c>
      <c r="B1508" t="s">
        <v>12</v>
      </c>
      <c r="C1508">
        <v>1500</v>
      </c>
      <c r="D1508" t="s">
        <v>64</v>
      </c>
      <c r="E1508" t="s">
        <v>14</v>
      </c>
      <c r="F1508" t="s">
        <v>76</v>
      </c>
      <c r="G1508" t="s">
        <v>62</v>
      </c>
      <c r="H1508" t="s">
        <v>63</v>
      </c>
      <c r="I1508">
        <v>106.59709315790001</v>
      </c>
      <c r="J1508">
        <v>98.151526954033002</v>
      </c>
      <c r="K1508">
        <v>106.59709315790001</v>
      </c>
      <c r="L1508">
        <v>1407.167827529858</v>
      </c>
    </row>
    <row r="1509" spans="1:12" hidden="1" x14ac:dyDescent="0.25">
      <c r="A1509">
        <v>2019</v>
      </c>
      <c r="B1509" t="s">
        <v>12</v>
      </c>
      <c r="C1509">
        <v>2652</v>
      </c>
      <c r="D1509" t="s">
        <v>64</v>
      </c>
      <c r="E1509" t="s">
        <v>14</v>
      </c>
      <c r="F1509" t="s">
        <v>76</v>
      </c>
      <c r="G1509" t="s">
        <v>46</v>
      </c>
      <c r="H1509" t="s">
        <v>47</v>
      </c>
      <c r="I1509">
        <v>106.59709315790001</v>
      </c>
      <c r="J1509">
        <v>98.151526954033002</v>
      </c>
      <c r="K1509">
        <v>106.59709315790001</v>
      </c>
      <c r="L1509">
        <v>2487.8727190727882</v>
      </c>
    </row>
    <row r="1510" spans="1:12" hidden="1" x14ac:dyDescent="0.25">
      <c r="A1510">
        <v>2019</v>
      </c>
      <c r="B1510" t="s">
        <v>66</v>
      </c>
      <c r="C1510">
        <v>21632</v>
      </c>
      <c r="D1510" t="s">
        <v>64</v>
      </c>
      <c r="E1510" t="s">
        <v>14</v>
      </c>
      <c r="F1510" t="s">
        <v>76</v>
      </c>
      <c r="G1510" t="s">
        <v>46</v>
      </c>
      <c r="H1510" t="s">
        <v>47</v>
      </c>
      <c r="I1510">
        <v>104.2</v>
      </c>
      <c r="J1510">
        <v>102.4</v>
      </c>
      <c r="K1510">
        <v>104.2</v>
      </c>
      <c r="L1510">
        <v>20760.076775431859</v>
      </c>
    </row>
    <row r="1511" spans="1:12" hidden="1" x14ac:dyDescent="0.25">
      <c r="A1511">
        <v>2019</v>
      </c>
      <c r="B1511" t="s">
        <v>12</v>
      </c>
      <c r="C1511">
        <v>1071</v>
      </c>
      <c r="D1511" t="s">
        <v>64</v>
      </c>
      <c r="E1511" t="s">
        <v>14</v>
      </c>
      <c r="F1511" t="s">
        <v>76</v>
      </c>
      <c r="G1511" t="s">
        <v>52</v>
      </c>
      <c r="H1511" t="s">
        <v>53</v>
      </c>
      <c r="I1511">
        <v>106.59709315790001</v>
      </c>
      <c r="J1511">
        <v>98.151526954033002</v>
      </c>
      <c r="K1511">
        <v>106.59709315790001</v>
      </c>
      <c r="L1511">
        <v>1004.717828856318</v>
      </c>
    </row>
    <row r="1512" spans="1:12" hidden="1" x14ac:dyDescent="0.25">
      <c r="A1512">
        <v>2019</v>
      </c>
      <c r="B1512" t="s">
        <v>66</v>
      </c>
      <c r="C1512">
        <v>44628</v>
      </c>
      <c r="D1512" t="s">
        <v>64</v>
      </c>
      <c r="E1512" t="s">
        <v>14</v>
      </c>
      <c r="F1512" t="s">
        <v>76</v>
      </c>
      <c r="G1512" t="s">
        <v>52</v>
      </c>
      <c r="H1512" t="s">
        <v>53</v>
      </c>
      <c r="I1512">
        <v>102.7</v>
      </c>
      <c r="J1512">
        <v>102.4</v>
      </c>
      <c r="K1512">
        <v>102.7</v>
      </c>
      <c r="L1512">
        <v>43454.722492697183</v>
      </c>
    </row>
    <row r="1513" spans="1:12" hidden="1" x14ac:dyDescent="0.25">
      <c r="A1513">
        <v>2019</v>
      </c>
      <c r="B1513" t="s">
        <v>12</v>
      </c>
      <c r="C1513">
        <v>2726</v>
      </c>
      <c r="D1513" t="s">
        <v>64</v>
      </c>
      <c r="E1513" t="s">
        <v>14</v>
      </c>
      <c r="F1513" t="s">
        <v>76</v>
      </c>
      <c r="G1513" t="s">
        <v>42</v>
      </c>
      <c r="H1513" t="s">
        <v>43</v>
      </c>
      <c r="I1513">
        <v>96.894683830418003</v>
      </c>
      <c r="J1513">
        <v>98.151526954033002</v>
      </c>
      <c r="K1513">
        <v>96.894683830418003</v>
      </c>
      <c r="L1513">
        <v>2813.3638423042471</v>
      </c>
    </row>
    <row r="1514" spans="1:12" hidden="1" x14ac:dyDescent="0.25">
      <c r="A1514">
        <v>2019</v>
      </c>
      <c r="B1514" t="s">
        <v>66</v>
      </c>
      <c r="C1514">
        <v>24657</v>
      </c>
      <c r="D1514" t="s">
        <v>64</v>
      </c>
      <c r="E1514" t="s">
        <v>14</v>
      </c>
      <c r="F1514" t="s">
        <v>76</v>
      </c>
      <c r="G1514" t="s">
        <v>42</v>
      </c>
      <c r="H1514" t="s">
        <v>43</v>
      </c>
      <c r="I1514">
        <v>104.4</v>
      </c>
      <c r="J1514">
        <v>102.4</v>
      </c>
      <c r="K1514">
        <v>104.4</v>
      </c>
      <c r="L1514">
        <v>23617.816091954021</v>
      </c>
    </row>
    <row r="1515" spans="1:12" hidden="1" x14ac:dyDescent="0.25">
      <c r="A1515">
        <v>2019</v>
      </c>
      <c r="B1515" t="s">
        <v>12</v>
      </c>
      <c r="C1515">
        <v>4977</v>
      </c>
      <c r="D1515" t="s">
        <v>64</v>
      </c>
      <c r="E1515" t="s">
        <v>14</v>
      </c>
      <c r="F1515" t="s">
        <v>76</v>
      </c>
      <c r="G1515" t="s">
        <v>20</v>
      </c>
      <c r="H1515" t="s">
        <v>21</v>
      </c>
      <c r="I1515">
        <v>111.60809989866</v>
      </c>
      <c r="J1515">
        <v>98.151526954033002</v>
      </c>
      <c r="K1515">
        <v>111.60809989866</v>
      </c>
      <c r="L1515">
        <v>4459.3537606312711</v>
      </c>
    </row>
    <row r="1516" spans="1:12" hidden="1" x14ac:dyDescent="0.25">
      <c r="A1516">
        <v>2019</v>
      </c>
      <c r="B1516" t="s">
        <v>66</v>
      </c>
      <c r="C1516">
        <v>26489</v>
      </c>
      <c r="D1516" t="s">
        <v>64</v>
      </c>
      <c r="E1516" t="s">
        <v>14</v>
      </c>
      <c r="F1516" t="s">
        <v>76</v>
      </c>
      <c r="G1516" t="s">
        <v>20</v>
      </c>
      <c r="H1516" t="s">
        <v>21</v>
      </c>
      <c r="I1516">
        <v>104.9</v>
      </c>
      <c r="J1516">
        <v>102.4</v>
      </c>
      <c r="K1516">
        <v>104.9</v>
      </c>
      <c r="L1516">
        <v>25251.668255481411</v>
      </c>
    </row>
    <row r="1517" spans="1:12" hidden="1" x14ac:dyDescent="0.25">
      <c r="A1517">
        <v>2019</v>
      </c>
      <c r="B1517" t="s">
        <v>12</v>
      </c>
      <c r="C1517">
        <v>600</v>
      </c>
      <c r="D1517" t="s">
        <v>64</v>
      </c>
      <c r="E1517" t="s">
        <v>14</v>
      </c>
      <c r="F1517" t="s">
        <v>76</v>
      </c>
      <c r="G1517" t="s">
        <v>58</v>
      </c>
      <c r="H1517" t="s">
        <v>59</v>
      </c>
      <c r="I1517">
        <v>97.634045562563003</v>
      </c>
      <c r="J1517">
        <v>98.151526954033002</v>
      </c>
      <c r="K1517">
        <v>97.634045562563003</v>
      </c>
      <c r="L1517">
        <v>614.53973001203303</v>
      </c>
    </row>
    <row r="1518" spans="1:12" hidden="1" x14ac:dyDescent="0.25">
      <c r="A1518">
        <v>2020</v>
      </c>
      <c r="B1518" t="s">
        <v>12</v>
      </c>
      <c r="C1518">
        <v>9308</v>
      </c>
      <c r="D1518" t="s">
        <v>64</v>
      </c>
      <c r="E1518" t="s">
        <v>14</v>
      </c>
      <c r="F1518" t="s">
        <v>76</v>
      </c>
      <c r="G1518" t="s">
        <v>36</v>
      </c>
      <c r="H1518" t="s">
        <v>37</v>
      </c>
      <c r="I1518">
        <v>100.20302658438</v>
      </c>
      <c r="J1518">
        <v>103.59652904204</v>
      </c>
      <c r="K1518">
        <v>100.20302658438</v>
      </c>
      <c r="L1518">
        <v>9289.1405751719722</v>
      </c>
    </row>
    <row r="1519" spans="1:12" hidden="1" x14ac:dyDescent="0.25">
      <c r="A1519">
        <v>2020</v>
      </c>
      <c r="B1519" t="s">
        <v>66</v>
      </c>
      <c r="C1519">
        <v>36177</v>
      </c>
      <c r="D1519" t="s">
        <v>64</v>
      </c>
      <c r="E1519" t="s">
        <v>14</v>
      </c>
      <c r="F1519" t="s">
        <v>76</v>
      </c>
      <c r="G1519" t="s">
        <v>36</v>
      </c>
      <c r="H1519" t="s">
        <v>37</v>
      </c>
      <c r="I1519">
        <v>103.9</v>
      </c>
      <c r="J1519">
        <v>108.6</v>
      </c>
      <c r="K1519">
        <v>103.9</v>
      </c>
      <c r="L1519">
        <v>34819.056785370551</v>
      </c>
    </row>
    <row r="1520" spans="1:12" hidden="1" x14ac:dyDescent="0.25">
      <c r="A1520">
        <v>2020</v>
      </c>
      <c r="B1520" t="s">
        <v>12</v>
      </c>
      <c r="C1520">
        <v>23451</v>
      </c>
      <c r="D1520" t="s">
        <v>64</v>
      </c>
      <c r="E1520" t="s">
        <v>14</v>
      </c>
      <c r="F1520" t="s">
        <v>76</v>
      </c>
      <c r="G1520" t="s">
        <v>18</v>
      </c>
      <c r="H1520" t="s">
        <v>19</v>
      </c>
      <c r="I1520">
        <v>107.43342807145</v>
      </c>
      <c r="J1520">
        <v>103.59652904204</v>
      </c>
      <c r="K1520">
        <v>107.43342807145</v>
      </c>
      <c r="L1520">
        <v>21828.40147705573</v>
      </c>
    </row>
    <row r="1521" spans="1:12" hidden="1" x14ac:dyDescent="0.25">
      <c r="A1521">
        <v>2020</v>
      </c>
      <c r="B1521" t="s">
        <v>66</v>
      </c>
      <c r="C1521">
        <v>63817</v>
      </c>
      <c r="D1521" t="s">
        <v>64</v>
      </c>
      <c r="E1521" t="s">
        <v>14</v>
      </c>
      <c r="F1521" t="s">
        <v>76</v>
      </c>
      <c r="G1521" t="s">
        <v>18</v>
      </c>
      <c r="H1521" t="s">
        <v>19</v>
      </c>
      <c r="I1521">
        <v>107.1</v>
      </c>
      <c r="J1521">
        <v>108.6</v>
      </c>
      <c r="K1521">
        <v>107.1</v>
      </c>
      <c r="L1521">
        <v>59586.367880485537</v>
      </c>
    </row>
    <row r="1522" spans="1:12" hidden="1" x14ac:dyDescent="0.25">
      <c r="A1522">
        <v>2020</v>
      </c>
      <c r="B1522" t="s">
        <v>12</v>
      </c>
      <c r="C1522">
        <v>2683</v>
      </c>
      <c r="D1522" t="s">
        <v>64</v>
      </c>
      <c r="E1522" t="s">
        <v>14</v>
      </c>
      <c r="F1522" t="s">
        <v>76</v>
      </c>
      <c r="G1522" t="s">
        <v>42</v>
      </c>
      <c r="H1522" t="s">
        <v>43</v>
      </c>
      <c r="I1522">
        <v>104.48191541983</v>
      </c>
      <c r="J1522">
        <v>103.59652904204</v>
      </c>
      <c r="K1522">
        <v>104.48191541983</v>
      </c>
      <c r="L1522">
        <v>2567.9085124149469</v>
      </c>
    </row>
    <row r="1523" spans="1:12" hidden="1" x14ac:dyDescent="0.25">
      <c r="A1523">
        <v>2020</v>
      </c>
      <c r="B1523" t="s">
        <v>66</v>
      </c>
      <c r="C1523">
        <v>20683</v>
      </c>
      <c r="D1523" t="s">
        <v>64</v>
      </c>
      <c r="E1523" t="s">
        <v>14</v>
      </c>
      <c r="F1523" t="s">
        <v>76</v>
      </c>
      <c r="G1523" t="s">
        <v>42</v>
      </c>
      <c r="H1523" t="s">
        <v>43</v>
      </c>
      <c r="I1523">
        <v>108.2</v>
      </c>
      <c r="J1523">
        <v>108.6</v>
      </c>
      <c r="K1523">
        <v>108.2</v>
      </c>
      <c r="L1523">
        <v>19115.526802218112</v>
      </c>
    </row>
    <row r="1524" spans="1:12" hidden="1" x14ac:dyDescent="0.25">
      <c r="A1524">
        <v>2020</v>
      </c>
      <c r="B1524" t="s">
        <v>12</v>
      </c>
      <c r="C1524">
        <v>2211</v>
      </c>
      <c r="D1524" t="s">
        <v>64</v>
      </c>
      <c r="E1524" t="s">
        <v>14</v>
      </c>
      <c r="F1524" t="s">
        <v>76</v>
      </c>
      <c r="G1524" t="s">
        <v>46</v>
      </c>
      <c r="H1524" t="s">
        <v>47</v>
      </c>
      <c r="I1524">
        <v>113.44450268036999</v>
      </c>
      <c r="J1524">
        <v>103.59652904204</v>
      </c>
      <c r="K1524">
        <v>113.44450268036999</v>
      </c>
      <c r="L1524">
        <v>1948.97059598339</v>
      </c>
    </row>
    <row r="1525" spans="1:12" hidden="1" x14ac:dyDescent="0.25">
      <c r="A1525">
        <v>2020</v>
      </c>
      <c r="B1525" t="s">
        <v>66</v>
      </c>
      <c r="C1525">
        <v>18868</v>
      </c>
      <c r="D1525" t="s">
        <v>64</v>
      </c>
      <c r="E1525" t="s">
        <v>14</v>
      </c>
      <c r="F1525" t="s">
        <v>76</v>
      </c>
      <c r="G1525" t="s">
        <v>46</v>
      </c>
      <c r="H1525" t="s">
        <v>47</v>
      </c>
      <c r="I1525">
        <v>109.5</v>
      </c>
      <c r="J1525">
        <v>108.6</v>
      </c>
      <c r="K1525">
        <v>109.5</v>
      </c>
      <c r="L1525">
        <v>17231.050228310502</v>
      </c>
    </row>
    <row r="1526" spans="1:12" hidden="1" x14ac:dyDescent="0.25">
      <c r="A1526">
        <v>2020</v>
      </c>
      <c r="B1526" t="s">
        <v>12</v>
      </c>
      <c r="C1526">
        <v>1398</v>
      </c>
      <c r="D1526" t="s">
        <v>64</v>
      </c>
      <c r="E1526" t="s">
        <v>14</v>
      </c>
      <c r="F1526" t="s">
        <v>76</v>
      </c>
      <c r="G1526" t="s">
        <v>62</v>
      </c>
      <c r="H1526" t="s">
        <v>63</v>
      </c>
      <c r="I1526">
        <v>113.44450268036999</v>
      </c>
      <c r="J1526">
        <v>103.59652904204</v>
      </c>
      <c r="K1526">
        <v>113.44450268036999</v>
      </c>
      <c r="L1526">
        <v>1232.3206210695521</v>
      </c>
    </row>
    <row r="1527" spans="1:12" hidden="1" x14ac:dyDescent="0.25">
      <c r="A1527">
        <v>2020</v>
      </c>
      <c r="B1527" t="s">
        <v>12</v>
      </c>
      <c r="C1527">
        <v>2443</v>
      </c>
      <c r="D1527" t="s">
        <v>64</v>
      </c>
      <c r="E1527" t="s">
        <v>14</v>
      </c>
      <c r="F1527" t="s">
        <v>76</v>
      </c>
      <c r="G1527" t="s">
        <v>40</v>
      </c>
      <c r="H1527" t="s">
        <v>41</v>
      </c>
      <c r="I1527">
        <v>100.20302658438</v>
      </c>
      <c r="J1527">
        <v>103.59652904204</v>
      </c>
      <c r="K1527">
        <v>100.20302658438</v>
      </c>
      <c r="L1527">
        <v>2438.0501101359182</v>
      </c>
    </row>
    <row r="1528" spans="1:12" hidden="1" x14ac:dyDescent="0.25">
      <c r="A1528">
        <v>2020</v>
      </c>
      <c r="B1528" t="s">
        <v>66</v>
      </c>
      <c r="C1528">
        <v>16418</v>
      </c>
      <c r="D1528" t="s">
        <v>64</v>
      </c>
      <c r="E1528" t="s">
        <v>14</v>
      </c>
      <c r="F1528" t="s">
        <v>76</v>
      </c>
      <c r="G1528" t="s">
        <v>40</v>
      </c>
      <c r="H1528" t="s">
        <v>41</v>
      </c>
      <c r="I1528">
        <v>105.6</v>
      </c>
      <c r="J1528">
        <v>108.6</v>
      </c>
      <c r="K1528">
        <v>105.6</v>
      </c>
      <c r="L1528">
        <v>15547.34848484848</v>
      </c>
    </row>
    <row r="1529" spans="1:12" hidden="1" x14ac:dyDescent="0.25">
      <c r="A1529">
        <v>2020</v>
      </c>
      <c r="B1529" t="s">
        <v>12</v>
      </c>
      <c r="C1529">
        <v>1733</v>
      </c>
      <c r="D1529" t="s">
        <v>64</v>
      </c>
      <c r="E1529" t="s">
        <v>14</v>
      </c>
      <c r="F1529" t="s">
        <v>76</v>
      </c>
      <c r="G1529" t="s">
        <v>44</v>
      </c>
      <c r="H1529" t="s">
        <v>45</v>
      </c>
      <c r="I1529">
        <v>104.48191541983</v>
      </c>
      <c r="J1529">
        <v>103.59652904204</v>
      </c>
      <c r="K1529">
        <v>104.48191541983</v>
      </c>
      <c r="L1529">
        <v>1658.6602504715261</v>
      </c>
    </row>
    <row r="1530" spans="1:12" hidden="1" x14ac:dyDescent="0.25">
      <c r="A1530">
        <v>2020</v>
      </c>
      <c r="B1530" t="s">
        <v>66</v>
      </c>
      <c r="C1530">
        <v>28321</v>
      </c>
      <c r="D1530" t="s">
        <v>64</v>
      </c>
      <c r="E1530" t="s">
        <v>14</v>
      </c>
      <c r="F1530" t="s">
        <v>76</v>
      </c>
      <c r="G1530" t="s">
        <v>44</v>
      </c>
      <c r="H1530" t="s">
        <v>45</v>
      </c>
      <c r="I1530">
        <v>111.8</v>
      </c>
      <c r="J1530">
        <v>108.6</v>
      </c>
      <c r="K1530">
        <v>111.8</v>
      </c>
      <c r="L1530">
        <v>25331.842576028619</v>
      </c>
    </row>
    <row r="1531" spans="1:12" hidden="1" x14ac:dyDescent="0.25">
      <c r="A1531">
        <v>2020</v>
      </c>
      <c r="B1531" t="s">
        <v>12</v>
      </c>
      <c r="C1531">
        <v>929</v>
      </c>
      <c r="D1531" t="s">
        <v>64</v>
      </c>
      <c r="E1531" t="s">
        <v>14</v>
      </c>
      <c r="F1531" t="s">
        <v>76</v>
      </c>
      <c r="G1531" t="s">
        <v>52</v>
      </c>
      <c r="H1531" t="s">
        <v>53</v>
      </c>
      <c r="I1531">
        <v>113.44450268036999</v>
      </c>
      <c r="J1531">
        <v>103.59652904204</v>
      </c>
      <c r="K1531">
        <v>113.44450268036999</v>
      </c>
      <c r="L1531">
        <v>818.90261586095403</v>
      </c>
    </row>
    <row r="1532" spans="1:12" hidden="1" x14ac:dyDescent="0.25">
      <c r="A1532">
        <v>2020</v>
      </c>
      <c r="B1532" t="s">
        <v>66</v>
      </c>
      <c r="C1532">
        <v>38202</v>
      </c>
      <c r="D1532" t="s">
        <v>64</v>
      </c>
      <c r="E1532" t="s">
        <v>14</v>
      </c>
      <c r="F1532" t="s">
        <v>76</v>
      </c>
      <c r="G1532" t="s">
        <v>52</v>
      </c>
      <c r="H1532" t="s">
        <v>53</v>
      </c>
      <c r="I1532">
        <v>110.3</v>
      </c>
      <c r="J1532">
        <v>108.6</v>
      </c>
      <c r="K1532">
        <v>110.3</v>
      </c>
      <c r="L1532">
        <v>34634.632819582963</v>
      </c>
    </row>
    <row r="1533" spans="1:12" hidden="1" x14ac:dyDescent="0.25">
      <c r="A1533">
        <v>2020</v>
      </c>
      <c r="B1533" t="s">
        <v>12</v>
      </c>
      <c r="C1533">
        <v>4959</v>
      </c>
      <c r="D1533" t="s">
        <v>64</v>
      </c>
      <c r="E1533" t="s">
        <v>14</v>
      </c>
      <c r="F1533" t="s">
        <v>76</v>
      </c>
      <c r="G1533" t="s">
        <v>20</v>
      </c>
      <c r="H1533" t="s">
        <v>21</v>
      </c>
      <c r="I1533">
        <v>123.69234493793</v>
      </c>
      <c r="J1533">
        <v>103.59652904204</v>
      </c>
      <c r="K1533">
        <v>123.69234493793</v>
      </c>
      <c r="L1533">
        <v>4009.1405838319852</v>
      </c>
    </row>
    <row r="1534" spans="1:12" hidden="1" x14ac:dyDescent="0.25">
      <c r="A1534">
        <v>2020</v>
      </c>
      <c r="B1534" t="s">
        <v>66</v>
      </c>
      <c r="C1534">
        <v>23596</v>
      </c>
      <c r="D1534" t="s">
        <v>64</v>
      </c>
      <c r="E1534" t="s">
        <v>14</v>
      </c>
      <c r="F1534" t="s">
        <v>76</v>
      </c>
      <c r="G1534" t="s">
        <v>20</v>
      </c>
      <c r="H1534" t="s">
        <v>21</v>
      </c>
      <c r="I1534">
        <v>109.5</v>
      </c>
      <c r="J1534">
        <v>108.6</v>
      </c>
      <c r="K1534">
        <v>109.5</v>
      </c>
      <c r="L1534">
        <v>21548.858447488579</v>
      </c>
    </row>
    <row r="1535" spans="1:12" hidden="1" x14ac:dyDescent="0.25">
      <c r="A1535">
        <v>2020</v>
      </c>
      <c r="B1535" t="s">
        <v>12</v>
      </c>
      <c r="C1535">
        <v>477</v>
      </c>
      <c r="D1535" t="s">
        <v>64</v>
      </c>
      <c r="E1535" t="s">
        <v>14</v>
      </c>
      <c r="F1535" t="s">
        <v>76</v>
      </c>
      <c r="G1535" t="s">
        <v>58</v>
      </c>
      <c r="H1535" t="s">
        <v>59</v>
      </c>
      <c r="I1535">
        <v>110.87139466242</v>
      </c>
      <c r="J1535">
        <v>103.59652904204</v>
      </c>
      <c r="K1535">
        <v>110.87139466242</v>
      </c>
      <c r="L1535">
        <v>430.22819497523631</v>
      </c>
    </row>
    <row r="1536" spans="1:12" hidden="1" x14ac:dyDescent="0.25">
      <c r="A1536">
        <v>2020</v>
      </c>
      <c r="B1536" t="s">
        <v>66</v>
      </c>
      <c r="C1536">
        <v>662</v>
      </c>
      <c r="D1536" t="s">
        <v>64</v>
      </c>
      <c r="E1536" t="s">
        <v>14</v>
      </c>
      <c r="F1536" t="s">
        <v>76</v>
      </c>
      <c r="G1536" t="s">
        <v>58</v>
      </c>
      <c r="H1536" t="s">
        <v>59</v>
      </c>
      <c r="I1536">
        <v>108.5</v>
      </c>
      <c r="J1536">
        <v>108.6</v>
      </c>
      <c r="K1536">
        <v>108.5</v>
      </c>
      <c r="L1536">
        <v>610.13824884792621</v>
      </c>
    </row>
    <row r="1537" spans="1:12" hidden="1" x14ac:dyDescent="0.25">
      <c r="A1537">
        <v>2020</v>
      </c>
      <c r="B1537" t="s">
        <v>12</v>
      </c>
      <c r="C1537">
        <v>268</v>
      </c>
      <c r="D1537" t="s">
        <v>64</v>
      </c>
      <c r="E1537" t="s">
        <v>14</v>
      </c>
      <c r="F1537" t="s">
        <v>76</v>
      </c>
      <c r="G1537" t="s">
        <v>22</v>
      </c>
      <c r="H1537" t="s">
        <v>23</v>
      </c>
      <c r="I1537">
        <v>71.728747032472995</v>
      </c>
      <c r="J1537">
        <v>103.59652904204</v>
      </c>
      <c r="K1537">
        <v>71.728747032472995</v>
      </c>
      <c r="L1537">
        <v>373.62983613623032</v>
      </c>
    </row>
    <row r="1538" spans="1:12" hidden="1" x14ac:dyDescent="0.25">
      <c r="A1538">
        <v>2020</v>
      </c>
      <c r="B1538" t="s">
        <v>66</v>
      </c>
      <c r="C1538">
        <v>11364</v>
      </c>
      <c r="D1538" t="s">
        <v>64</v>
      </c>
      <c r="E1538" t="s">
        <v>14</v>
      </c>
      <c r="F1538" t="s">
        <v>76</v>
      </c>
      <c r="G1538" t="s">
        <v>22</v>
      </c>
      <c r="H1538" t="s">
        <v>23</v>
      </c>
      <c r="I1538">
        <v>105.5</v>
      </c>
      <c r="J1538">
        <v>108.6</v>
      </c>
      <c r="K1538">
        <v>105.5</v>
      </c>
      <c r="L1538">
        <v>10771.563981042649</v>
      </c>
    </row>
    <row r="1539" spans="1:12" hidden="1" x14ac:dyDescent="0.25">
      <c r="A1539">
        <v>2020</v>
      </c>
      <c r="B1539" t="s">
        <v>12</v>
      </c>
      <c r="C1539">
        <v>154</v>
      </c>
      <c r="D1539" t="s">
        <v>64</v>
      </c>
      <c r="E1539" t="s">
        <v>14</v>
      </c>
      <c r="F1539" t="s">
        <v>76</v>
      </c>
      <c r="G1539" t="s">
        <v>24</v>
      </c>
      <c r="H1539" t="s">
        <v>25</v>
      </c>
      <c r="I1539">
        <v>71.728747032472995</v>
      </c>
      <c r="J1539">
        <v>103.59652904204</v>
      </c>
      <c r="K1539">
        <v>71.728747032472995</v>
      </c>
      <c r="L1539">
        <v>214.69774166037109</v>
      </c>
    </row>
    <row r="1540" spans="1:12" hidden="1" x14ac:dyDescent="0.25">
      <c r="A1540">
        <v>2020</v>
      </c>
      <c r="B1540" t="s">
        <v>66</v>
      </c>
      <c r="C1540">
        <v>2733</v>
      </c>
      <c r="D1540" t="s">
        <v>64</v>
      </c>
      <c r="E1540" t="s">
        <v>14</v>
      </c>
      <c r="F1540" t="s">
        <v>76</v>
      </c>
      <c r="G1540" t="s">
        <v>24</v>
      </c>
      <c r="H1540" t="s">
        <v>25</v>
      </c>
      <c r="I1540">
        <v>110.2</v>
      </c>
      <c r="J1540">
        <v>108.6</v>
      </c>
      <c r="K1540">
        <v>110.2</v>
      </c>
      <c r="L1540">
        <v>2480.0362976406532</v>
      </c>
    </row>
    <row r="1541" spans="1:12" hidden="1" x14ac:dyDescent="0.25">
      <c r="A1541">
        <v>2020</v>
      </c>
      <c r="B1541" t="s">
        <v>12</v>
      </c>
      <c r="C1541">
        <v>4327</v>
      </c>
      <c r="D1541" t="s">
        <v>64</v>
      </c>
      <c r="E1541" t="s">
        <v>14</v>
      </c>
      <c r="F1541" t="s">
        <v>76</v>
      </c>
      <c r="G1541" t="s">
        <v>30</v>
      </c>
      <c r="H1541" t="s">
        <v>31</v>
      </c>
      <c r="I1541">
        <v>65.215368011810995</v>
      </c>
      <c r="J1541">
        <v>103.59652904204</v>
      </c>
      <c r="K1541">
        <v>65.215368011810995</v>
      </c>
      <c r="L1541">
        <v>6634.9391744846826</v>
      </c>
    </row>
    <row r="1542" spans="1:12" hidden="1" x14ac:dyDescent="0.25">
      <c r="A1542">
        <v>2020</v>
      </c>
      <c r="B1542" t="s">
        <v>66</v>
      </c>
      <c r="C1542">
        <v>11074</v>
      </c>
      <c r="D1542" t="s">
        <v>64</v>
      </c>
      <c r="E1542" t="s">
        <v>14</v>
      </c>
      <c r="F1542" t="s">
        <v>76</v>
      </c>
      <c r="G1542" t="s">
        <v>30</v>
      </c>
      <c r="H1542" t="s">
        <v>31</v>
      </c>
      <c r="I1542">
        <v>107.4</v>
      </c>
      <c r="J1542">
        <v>108.6</v>
      </c>
      <c r="K1542">
        <v>107.4</v>
      </c>
      <c r="L1542">
        <v>10310.986964618251</v>
      </c>
    </row>
    <row r="1543" spans="1:12" hidden="1" x14ac:dyDescent="0.25">
      <c r="A1543">
        <v>2020</v>
      </c>
      <c r="B1543" t="s">
        <v>12</v>
      </c>
      <c r="C1543">
        <v>3258</v>
      </c>
      <c r="D1543" t="s">
        <v>64</v>
      </c>
      <c r="E1543" t="s">
        <v>14</v>
      </c>
      <c r="F1543" t="s">
        <v>76</v>
      </c>
      <c r="G1543" t="s">
        <v>28</v>
      </c>
      <c r="H1543" t="s">
        <v>29</v>
      </c>
      <c r="I1543">
        <v>110.87139466242</v>
      </c>
      <c r="J1543">
        <v>103.59652904204</v>
      </c>
      <c r="K1543">
        <v>110.87139466242</v>
      </c>
      <c r="L1543">
        <v>2938.5397468119909</v>
      </c>
    </row>
    <row r="1544" spans="1:12" hidden="1" x14ac:dyDescent="0.25">
      <c r="A1544">
        <v>2020</v>
      </c>
      <c r="B1544" t="s">
        <v>66</v>
      </c>
      <c r="C1544">
        <v>1210</v>
      </c>
      <c r="D1544" t="s">
        <v>64</v>
      </c>
      <c r="E1544" t="s">
        <v>14</v>
      </c>
      <c r="F1544" t="s">
        <v>76</v>
      </c>
      <c r="G1544" t="s">
        <v>28</v>
      </c>
      <c r="H1544" t="s">
        <v>29</v>
      </c>
      <c r="I1544">
        <v>108.1</v>
      </c>
      <c r="J1544">
        <v>108.6</v>
      </c>
      <c r="K1544">
        <v>108.1</v>
      </c>
      <c r="L1544">
        <v>1119.333950046253</v>
      </c>
    </row>
    <row r="1545" spans="1:12" hidden="1" x14ac:dyDescent="0.25">
      <c r="A1545">
        <v>2020</v>
      </c>
      <c r="B1545" t="s">
        <v>12</v>
      </c>
      <c r="C1545">
        <v>280</v>
      </c>
      <c r="D1545" t="s">
        <v>64</v>
      </c>
      <c r="E1545" t="s">
        <v>14</v>
      </c>
      <c r="F1545" t="s">
        <v>76</v>
      </c>
      <c r="G1545" t="s">
        <v>32</v>
      </c>
      <c r="H1545" t="s">
        <v>33</v>
      </c>
      <c r="I1545">
        <v>65.215368011810995</v>
      </c>
      <c r="J1545">
        <v>103.59652904204</v>
      </c>
      <c r="K1545">
        <v>65.215368011810995</v>
      </c>
      <c r="L1545">
        <v>429.34665330615002</v>
      </c>
    </row>
    <row r="1546" spans="1:12" hidden="1" x14ac:dyDescent="0.25">
      <c r="A1546">
        <v>2020</v>
      </c>
      <c r="B1546" t="s">
        <v>66</v>
      </c>
      <c r="C1546">
        <v>558</v>
      </c>
      <c r="D1546" t="s">
        <v>64</v>
      </c>
      <c r="E1546" t="s">
        <v>14</v>
      </c>
      <c r="F1546" t="s">
        <v>76</v>
      </c>
      <c r="G1546" t="s">
        <v>32</v>
      </c>
      <c r="H1546" t="s">
        <v>33</v>
      </c>
      <c r="I1546">
        <v>109.7</v>
      </c>
      <c r="J1546">
        <v>108.6</v>
      </c>
      <c r="K1546">
        <v>109.7</v>
      </c>
      <c r="L1546">
        <v>508.65998176845937</v>
      </c>
    </row>
    <row r="1547" spans="1:12" hidden="1" x14ac:dyDescent="0.25">
      <c r="A1547">
        <v>2020</v>
      </c>
      <c r="B1547" t="s">
        <v>12</v>
      </c>
      <c r="C1547">
        <v>838</v>
      </c>
      <c r="D1547" t="s">
        <v>64</v>
      </c>
      <c r="E1547" t="s">
        <v>14</v>
      </c>
      <c r="F1547" t="s">
        <v>76</v>
      </c>
      <c r="G1547" t="s">
        <v>50</v>
      </c>
      <c r="H1547" t="s">
        <v>51</v>
      </c>
      <c r="I1547">
        <v>113.44450268036999</v>
      </c>
      <c r="J1547">
        <v>103.59652904204</v>
      </c>
      <c r="K1547">
        <v>113.44450268036999</v>
      </c>
      <c r="L1547">
        <v>738.68718201450974</v>
      </c>
    </row>
    <row r="1548" spans="1:12" hidden="1" x14ac:dyDescent="0.25">
      <c r="A1548">
        <v>2019</v>
      </c>
      <c r="B1548" t="s">
        <v>66</v>
      </c>
      <c r="C1548">
        <v>808</v>
      </c>
      <c r="D1548" t="s">
        <v>64</v>
      </c>
      <c r="E1548" t="s">
        <v>14</v>
      </c>
      <c r="F1548" t="s">
        <v>76</v>
      </c>
      <c r="G1548" t="s">
        <v>58</v>
      </c>
      <c r="H1548" t="s">
        <v>59</v>
      </c>
      <c r="I1548">
        <v>104.2</v>
      </c>
      <c r="J1548">
        <v>102.4</v>
      </c>
      <c r="K1548">
        <v>104.2</v>
      </c>
      <c r="L1548">
        <v>775.43186180422254</v>
      </c>
    </row>
    <row r="1549" spans="1:12" hidden="1" x14ac:dyDescent="0.25">
      <c r="A1549">
        <v>2019</v>
      </c>
      <c r="B1549" t="s">
        <v>12</v>
      </c>
      <c r="C1549">
        <v>282</v>
      </c>
      <c r="D1549" t="s">
        <v>64</v>
      </c>
      <c r="E1549" t="s">
        <v>14</v>
      </c>
      <c r="F1549" t="s">
        <v>76</v>
      </c>
      <c r="G1549" t="s">
        <v>22</v>
      </c>
      <c r="H1549" t="s">
        <v>23</v>
      </c>
      <c r="I1549">
        <v>84.562992854463005</v>
      </c>
      <c r="J1549">
        <v>98.151526954033002</v>
      </c>
      <c r="K1549">
        <v>84.562992854463005</v>
      </c>
      <c r="L1549">
        <v>333.47920938102982</v>
      </c>
    </row>
    <row r="1550" spans="1:12" hidden="1" x14ac:dyDescent="0.25">
      <c r="A1550">
        <v>2019</v>
      </c>
      <c r="B1550" t="s">
        <v>66</v>
      </c>
      <c r="C1550">
        <v>14607</v>
      </c>
      <c r="D1550" t="s">
        <v>64</v>
      </c>
      <c r="E1550" t="s">
        <v>14</v>
      </c>
      <c r="F1550" t="s">
        <v>76</v>
      </c>
      <c r="G1550" t="s">
        <v>22</v>
      </c>
      <c r="H1550" t="s">
        <v>23</v>
      </c>
      <c r="I1550">
        <v>102.4</v>
      </c>
      <c r="J1550">
        <v>102.4</v>
      </c>
      <c r="K1550">
        <v>102.4</v>
      </c>
      <c r="L1550">
        <v>14264.6484375</v>
      </c>
    </row>
    <row r="1551" spans="1:12" hidden="1" x14ac:dyDescent="0.25">
      <c r="A1551">
        <v>2019</v>
      </c>
      <c r="B1551" t="s">
        <v>12</v>
      </c>
      <c r="C1551">
        <v>252</v>
      </c>
      <c r="D1551" t="s">
        <v>64</v>
      </c>
      <c r="E1551" t="s">
        <v>14</v>
      </c>
      <c r="F1551" t="s">
        <v>76</v>
      </c>
      <c r="G1551" t="s">
        <v>24</v>
      </c>
      <c r="H1551" t="s">
        <v>25</v>
      </c>
      <c r="I1551">
        <v>84.562992854463005</v>
      </c>
      <c r="J1551">
        <v>98.151526954033002</v>
      </c>
      <c r="K1551">
        <v>84.562992854463005</v>
      </c>
      <c r="L1551">
        <v>298.00269774475009</v>
      </c>
    </row>
    <row r="1552" spans="1:12" hidden="1" x14ac:dyDescent="0.25">
      <c r="A1552">
        <v>2019</v>
      </c>
      <c r="B1552" t="s">
        <v>66</v>
      </c>
      <c r="C1552">
        <v>4257</v>
      </c>
      <c r="D1552" t="s">
        <v>64</v>
      </c>
      <c r="E1552" t="s">
        <v>14</v>
      </c>
      <c r="F1552" t="s">
        <v>76</v>
      </c>
      <c r="G1552" t="s">
        <v>24</v>
      </c>
      <c r="H1552" t="s">
        <v>25</v>
      </c>
      <c r="I1552">
        <v>105.3</v>
      </c>
      <c r="J1552">
        <v>102.4</v>
      </c>
      <c r="K1552">
        <v>105.3</v>
      </c>
      <c r="L1552">
        <v>4042.735042735042</v>
      </c>
    </row>
    <row r="1553" spans="1:12" hidden="1" x14ac:dyDescent="0.25">
      <c r="A1553">
        <v>2019</v>
      </c>
      <c r="B1553" t="s">
        <v>12</v>
      </c>
      <c r="C1553">
        <v>3447</v>
      </c>
      <c r="D1553" t="s">
        <v>64</v>
      </c>
      <c r="E1553" t="s">
        <v>14</v>
      </c>
      <c r="F1553" t="s">
        <v>76</v>
      </c>
      <c r="G1553" t="s">
        <v>28</v>
      </c>
      <c r="H1553" t="s">
        <v>29</v>
      </c>
      <c r="I1553">
        <v>97.634045562563003</v>
      </c>
      <c r="J1553">
        <v>98.151526954033002</v>
      </c>
      <c r="K1553">
        <v>97.634045562563003</v>
      </c>
      <c r="L1553">
        <v>3530.53074891913</v>
      </c>
    </row>
    <row r="1554" spans="1:12" hidden="1" x14ac:dyDescent="0.25">
      <c r="A1554">
        <v>2019</v>
      </c>
      <c r="B1554" t="s">
        <v>66</v>
      </c>
      <c r="C1554">
        <v>1431</v>
      </c>
      <c r="D1554" t="s">
        <v>64</v>
      </c>
      <c r="E1554" t="s">
        <v>14</v>
      </c>
      <c r="F1554" t="s">
        <v>76</v>
      </c>
      <c r="G1554" t="s">
        <v>28</v>
      </c>
      <c r="H1554" t="s">
        <v>29</v>
      </c>
      <c r="I1554">
        <v>105.5</v>
      </c>
      <c r="J1554">
        <v>102.4</v>
      </c>
      <c r="K1554">
        <v>105.5</v>
      </c>
      <c r="L1554">
        <v>1356.3981042654029</v>
      </c>
    </row>
    <row r="1555" spans="1:12" hidden="1" x14ac:dyDescent="0.25">
      <c r="A1555">
        <v>2019</v>
      </c>
      <c r="B1555" t="s">
        <v>12</v>
      </c>
      <c r="C1555">
        <v>5015</v>
      </c>
      <c r="D1555" t="s">
        <v>64</v>
      </c>
      <c r="E1555" t="s">
        <v>14</v>
      </c>
      <c r="F1555" t="s">
        <v>76</v>
      </c>
      <c r="G1555" t="s">
        <v>30</v>
      </c>
      <c r="H1555" t="s">
        <v>31</v>
      </c>
      <c r="I1555">
        <v>72.666250473058</v>
      </c>
      <c r="J1555">
        <v>98.151526954033002</v>
      </c>
      <c r="K1555">
        <v>72.666250473058</v>
      </c>
      <c r="L1555">
        <v>6901.4156741985462</v>
      </c>
    </row>
    <row r="1556" spans="1:12" hidden="1" x14ac:dyDescent="0.25">
      <c r="A1556">
        <v>2019</v>
      </c>
      <c r="B1556" t="s">
        <v>66</v>
      </c>
      <c r="C1556">
        <v>12719</v>
      </c>
      <c r="D1556" t="s">
        <v>64</v>
      </c>
      <c r="E1556" t="s">
        <v>14</v>
      </c>
      <c r="F1556" t="s">
        <v>76</v>
      </c>
      <c r="G1556" t="s">
        <v>30</v>
      </c>
      <c r="H1556" t="s">
        <v>31</v>
      </c>
      <c r="I1556">
        <v>104.5</v>
      </c>
      <c r="J1556">
        <v>102.4</v>
      </c>
      <c r="K1556">
        <v>104.5</v>
      </c>
      <c r="L1556">
        <v>12171.291866028711</v>
      </c>
    </row>
    <row r="1557" spans="1:12" hidden="1" x14ac:dyDescent="0.25">
      <c r="A1557">
        <v>2019</v>
      </c>
      <c r="B1557" t="s">
        <v>12</v>
      </c>
      <c r="C1557">
        <v>485</v>
      </c>
      <c r="D1557" t="s">
        <v>64</v>
      </c>
      <c r="E1557" t="s">
        <v>14</v>
      </c>
      <c r="F1557" t="s">
        <v>76</v>
      </c>
      <c r="G1557" t="s">
        <v>32</v>
      </c>
      <c r="H1557" t="s">
        <v>33</v>
      </c>
      <c r="I1557">
        <v>72.666250473058</v>
      </c>
      <c r="J1557">
        <v>98.151526954033002</v>
      </c>
      <c r="K1557">
        <v>72.666250473058</v>
      </c>
      <c r="L1557">
        <v>667.43501535120538</v>
      </c>
    </row>
    <row r="1558" spans="1:12" hidden="1" x14ac:dyDescent="0.25">
      <c r="A1558">
        <v>2019</v>
      </c>
      <c r="B1558" t="s">
        <v>66</v>
      </c>
      <c r="C1558">
        <v>809</v>
      </c>
      <c r="D1558" t="s">
        <v>64</v>
      </c>
      <c r="E1558" t="s">
        <v>14</v>
      </c>
      <c r="F1558" t="s">
        <v>76</v>
      </c>
      <c r="G1558" t="s">
        <v>32</v>
      </c>
      <c r="H1558" t="s">
        <v>33</v>
      </c>
      <c r="I1558">
        <v>106</v>
      </c>
      <c r="J1558">
        <v>102.4</v>
      </c>
      <c r="K1558">
        <v>106</v>
      </c>
      <c r="L1558">
        <v>763.20754716981128</v>
      </c>
    </row>
    <row r="1559" spans="1:12" hidden="1" x14ac:dyDescent="0.25">
      <c r="A1559">
        <v>2019</v>
      </c>
      <c r="B1559" t="s">
        <v>12</v>
      </c>
      <c r="C1559">
        <v>11398</v>
      </c>
      <c r="D1559" t="s">
        <v>64</v>
      </c>
      <c r="E1559" t="s">
        <v>14</v>
      </c>
      <c r="F1559" t="s">
        <v>76</v>
      </c>
      <c r="G1559" t="s">
        <v>36</v>
      </c>
      <c r="H1559" t="s">
        <v>37</v>
      </c>
      <c r="I1559">
        <v>94.527911873682996</v>
      </c>
      <c r="J1559">
        <v>98.151526954033002</v>
      </c>
      <c r="K1559">
        <v>94.527911873682996</v>
      </c>
      <c r="L1559">
        <v>12057.814220239061</v>
      </c>
    </row>
    <row r="1560" spans="1:12" hidden="1" x14ac:dyDescent="0.25">
      <c r="A1560">
        <v>2019</v>
      </c>
      <c r="B1560" t="s">
        <v>66</v>
      </c>
      <c r="C1560">
        <v>42767</v>
      </c>
      <c r="D1560" t="s">
        <v>64</v>
      </c>
      <c r="E1560" t="s">
        <v>14</v>
      </c>
      <c r="F1560" t="s">
        <v>76</v>
      </c>
      <c r="G1560" t="s">
        <v>36</v>
      </c>
      <c r="H1560" t="s">
        <v>37</v>
      </c>
      <c r="I1560">
        <v>101.6</v>
      </c>
      <c r="J1560">
        <v>102.4</v>
      </c>
      <c r="K1560">
        <v>101.6</v>
      </c>
      <c r="L1560">
        <v>42093.503937007867</v>
      </c>
    </row>
    <row r="1561" spans="1:12" hidden="1" x14ac:dyDescent="0.25">
      <c r="A1561">
        <v>2019</v>
      </c>
      <c r="B1561" t="s">
        <v>12</v>
      </c>
      <c r="C1561">
        <v>2770</v>
      </c>
      <c r="D1561" t="s">
        <v>64</v>
      </c>
      <c r="E1561" t="s">
        <v>14</v>
      </c>
      <c r="F1561" t="s">
        <v>76</v>
      </c>
      <c r="G1561" t="s">
        <v>40</v>
      </c>
      <c r="H1561" t="s">
        <v>41</v>
      </c>
      <c r="I1561">
        <v>94.527911873682996</v>
      </c>
      <c r="J1561">
        <v>98.151526954033002</v>
      </c>
      <c r="K1561">
        <v>94.527911873682996</v>
      </c>
      <c r="L1561">
        <v>2930.3514116566248</v>
      </c>
    </row>
    <row r="1562" spans="1:12" hidden="1" x14ac:dyDescent="0.25">
      <c r="A1562">
        <v>2019</v>
      </c>
      <c r="B1562" t="s">
        <v>66</v>
      </c>
      <c r="C1562">
        <v>19711</v>
      </c>
      <c r="D1562" t="s">
        <v>64</v>
      </c>
      <c r="E1562" t="s">
        <v>14</v>
      </c>
      <c r="F1562" t="s">
        <v>76</v>
      </c>
      <c r="G1562" t="s">
        <v>40</v>
      </c>
      <c r="H1562" t="s">
        <v>41</v>
      </c>
      <c r="I1562">
        <v>103.4</v>
      </c>
      <c r="J1562">
        <v>102.4</v>
      </c>
      <c r="K1562">
        <v>103.4</v>
      </c>
      <c r="L1562">
        <v>19062.862669245649</v>
      </c>
    </row>
    <row r="1563" spans="1:12" hidden="1" x14ac:dyDescent="0.25">
      <c r="A1563">
        <v>2019</v>
      </c>
      <c r="B1563" t="s">
        <v>12</v>
      </c>
      <c r="C1563">
        <v>671</v>
      </c>
      <c r="D1563" t="s">
        <v>64</v>
      </c>
      <c r="E1563" t="s">
        <v>14</v>
      </c>
      <c r="F1563" t="s">
        <v>76</v>
      </c>
      <c r="G1563" t="s">
        <v>50</v>
      </c>
      <c r="H1563" t="s">
        <v>51</v>
      </c>
      <c r="I1563">
        <v>106.59709315790001</v>
      </c>
      <c r="J1563">
        <v>98.151526954033002</v>
      </c>
      <c r="K1563">
        <v>106.59709315790001</v>
      </c>
      <c r="L1563">
        <v>629.4730748483563</v>
      </c>
    </row>
    <row r="1564" spans="1:12" hidden="1" x14ac:dyDescent="0.25">
      <c r="A1564">
        <v>2019</v>
      </c>
      <c r="B1564" t="s">
        <v>66</v>
      </c>
      <c r="C1564">
        <v>33183</v>
      </c>
      <c r="D1564" t="s">
        <v>64</v>
      </c>
      <c r="E1564" t="s">
        <v>14</v>
      </c>
      <c r="F1564" t="s">
        <v>76</v>
      </c>
      <c r="G1564" t="s">
        <v>50</v>
      </c>
      <c r="H1564" t="s">
        <v>51</v>
      </c>
      <c r="I1564">
        <v>102.3</v>
      </c>
      <c r="J1564">
        <v>102.4</v>
      </c>
      <c r="K1564">
        <v>102.3</v>
      </c>
      <c r="L1564">
        <v>32436.950146627569</v>
      </c>
    </row>
    <row r="1565" spans="1:12" hidden="1" x14ac:dyDescent="0.25">
      <c r="A1565">
        <v>2019</v>
      </c>
      <c r="B1565" t="s">
        <v>12</v>
      </c>
      <c r="C1565">
        <v>84</v>
      </c>
      <c r="D1565" t="s">
        <v>64</v>
      </c>
      <c r="E1565" t="s">
        <v>14</v>
      </c>
      <c r="F1565" t="s">
        <v>76</v>
      </c>
      <c r="G1565" t="s">
        <v>56</v>
      </c>
      <c r="H1565" t="s">
        <v>57</v>
      </c>
      <c r="I1565">
        <v>106.59709315790001</v>
      </c>
      <c r="J1565">
        <v>98.151526954033002</v>
      </c>
      <c r="K1565">
        <v>106.59709315790001</v>
      </c>
      <c r="L1565">
        <v>78.801398341672027</v>
      </c>
    </row>
    <row r="1566" spans="1:12" hidden="1" x14ac:dyDescent="0.25">
      <c r="A1566">
        <v>2019</v>
      </c>
      <c r="B1566" t="s">
        <v>66</v>
      </c>
      <c r="C1566">
        <v>1929</v>
      </c>
      <c r="D1566" t="s">
        <v>64</v>
      </c>
      <c r="E1566" t="s">
        <v>14</v>
      </c>
      <c r="F1566" t="s">
        <v>76</v>
      </c>
      <c r="G1566" t="s">
        <v>56</v>
      </c>
      <c r="H1566" t="s">
        <v>57</v>
      </c>
      <c r="I1566">
        <v>102.2</v>
      </c>
      <c r="J1566">
        <v>102.4</v>
      </c>
      <c r="K1566">
        <v>102.2</v>
      </c>
      <c r="L1566">
        <v>1887.47553816047</v>
      </c>
    </row>
    <row r="1567" spans="1:12" hidden="1" x14ac:dyDescent="0.25">
      <c r="A1567">
        <v>2019</v>
      </c>
      <c r="B1567" t="s">
        <v>12</v>
      </c>
      <c r="C1567">
        <v>212</v>
      </c>
      <c r="D1567" t="s">
        <v>64</v>
      </c>
      <c r="E1567" t="s">
        <v>14</v>
      </c>
      <c r="F1567" t="s">
        <v>76</v>
      </c>
      <c r="G1567" t="s">
        <v>26</v>
      </c>
      <c r="H1567" t="s">
        <v>27</v>
      </c>
      <c r="I1567">
        <v>84.562992854463005</v>
      </c>
      <c r="J1567">
        <v>98.151526954033002</v>
      </c>
      <c r="K1567">
        <v>84.562992854463005</v>
      </c>
      <c r="L1567">
        <v>250.7006822297104</v>
      </c>
    </row>
    <row r="1568" spans="1:12" hidden="1" x14ac:dyDescent="0.25">
      <c r="A1568">
        <v>2019</v>
      </c>
      <c r="B1568" t="s">
        <v>66</v>
      </c>
      <c r="C1568">
        <v>2785</v>
      </c>
      <c r="D1568" t="s">
        <v>64</v>
      </c>
      <c r="E1568" t="s">
        <v>14</v>
      </c>
      <c r="F1568" t="s">
        <v>76</v>
      </c>
      <c r="G1568" t="s">
        <v>26</v>
      </c>
      <c r="H1568" t="s">
        <v>27</v>
      </c>
      <c r="I1568">
        <v>102.3</v>
      </c>
      <c r="J1568">
        <v>102.4</v>
      </c>
      <c r="K1568">
        <v>102.3</v>
      </c>
      <c r="L1568">
        <v>2722.385141739981</v>
      </c>
    </row>
    <row r="1569" spans="1:12" hidden="1" x14ac:dyDescent="0.25">
      <c r="A1569">
        <v>2019</v>
      </c>
      <c r="B1569" t="s">
        <v>12</v>
      </c>
      <c r="C1569">
        <v>1325</v>
      </c>
      <c r="D1569" t="s">
        <v>64</v>
      </c>
      <c r="E1569" t="s">
        <v>14</v>
      </c>
      <c r="F1569" t="s">
        <v>76</v>
      </c>
      <c r="G1569" t="s">
        <v>38</v>
      </c>
      <c r="H1569" t="s">
        <v>39</v>
      </c>
      <c r="I1569">
        <v>94.527911873682996</v>
      </c>
      <c r="J1569">
        <v>98.151526954033002</v>
      </c>
      <c r="K1569">
        <v>94.527911873682996</v>
      </c>
      <c r="L1569">
        <v>1401.702390052357</v>
      </c>
    </row>
    <row r="1570" spans="1:12" hidden="1" x14ac:dyDescent="0.25">
      <c r="A1570">
        <v>2019</v>
      </c>
      <c r="B1570" t="s">
        <v>66</v>
      </c>
      <c r="C1570">
        <v>2292</v>
      </c>
      <c r="D1570" t="s">
        <v>64</v>
      </c>
      <c r="E1570" t="s">
        <v>14</v>
      </c>
      <c r="F1570" t="s">
        <v>76</v>
      </c>
      <c r="G1570" t="s">
        <v>38</v>
      </c>
      <c r="H1570" t="s">
        <v>39</v>
      </c>
      <c r="I1570">
        <v>101.6</v>
      </c>
      <c r="J1570">
        <v>102.4</v>
      </c>
      <c r="K1570">
        <v>101.6</v>
      </c>
      <c r="L1570">
        <v>2255.9055118110241</v>
      </c>
    </row>
    <row r="1571" spans="1:12" hidden="1" x14ac:dyDescent="0.25">
      <c r="A1571">
        <v>2019</v>
      </c>
      <c r="B1571" t="s">
        <v>12</v>
      </c>
      <c r="C1571">
        <v>1577</v>
      </c>
      <c r="D1571" t="s">
        <v>64</v>
      </c>
      <c r="E1571" t="s">
        <v>14</v>
      </c>
      <c r="F1571" t="s">
        <v>76</v>
      </c>
      <c r="G1571" t="s">
        <v>44</v>
      </c>
      <c r="H1571" t="s">
        <v>45</v>
      </c>
      <c r="I1571">
        <v>96.894683830418003</v>
      </c>
      <c r="J1571">
        <v>98.151526954033002</v>
      </c>
      <c r="K1571">
        <v>96.894683830418003</v>
      </c>
      <c r="L1571">
        <v>1627.5402712082901</v>
      </c>
    </row>
    <row r="1572" spans="1:12" hidden="1" x14ac:dyDescent="0.25">
      <c r="A1572">
        <v>2019</v>
      </c>
      <c r="B1572" t="s">
        <v>66</v>
      </c>
      <c r="C1572">
        <v>32010</v>
      </c>
      <c r="D1572" t="s">
        <v>64</v>
      </c>
      <c r="E1572" t="s">
        <v>14</v>
      </c>
      <c r="F1572" t="s">
        <v>76</v>
      </c>
      <c r="G1572" t="s">
        <v>44</v>
      </c>
      <c r="H1572" t="s">
        <v>45</v>
      </c>
      <c r="I1572">
        <v>99</v>
      </c>
      <c r="J1572">
        <v>102.4</v>
      </c>
      <c r="K1572">
        <v>99</v>
      </c>
      <c r="L1572">
        <v>32333.333333333328</v>
      </c>
    </row>
    <row r="1573" spans="1:12" hidden="1" x14ac:dyDescent="0.25">
      <c r="A1573">
        <v>2019</v>
      </c>
      <c r="B1573" t="s">
        <v>12</v>
      </c>
      <c r="C1573">
        <v>146</v>
      </c>
      <c r="D1573" t="s">
        <v>64</v>
      </c>
      <c r="E1573" t="s">
        <v>14</v>
      </c>
      <c r="F1573" t="s">
        <v>76</v>
      </c>
      <c r="G1573" t="s">
        <v>48</v>
      </c>
      <c r="H1573" t="s">
        <v>49</v>
      </c>
      <c r="I1573">
        <v>106.59709315790001</v>
      </c>
      <c r="J1573">
        <v>98.151526954033002</v>
      </c>
      <c r="K1573">
        <v>106.59709315790001</v>
      </c>
      <c r="L1573">
        <v>136.96433521290609</v>
      </c>
    </row>
    <row r="1574" spans="1:12" hidden="1" x14ac:dyDescent="0.25">
      <c r="A1574">
        <v>2019</v>
      </c>
      <c r="B1574" t="s">
        <v>66</v>
      </c>
      <c r="C1574">
        <v>10942</v>
      </c>
      <c r="D1574" t="s">
        <v>64</v>
      </c>
      <c r="E1574" t="s">
        <v>14</v>
      </c>
      <c r="F1574" t="s">
        <v>76</v>
      </c>
      <c r="G1574" t="s">
        <v>48</v>
      </c>
      <c r="H1574" t="s">
        <v>49</v>
      </c>
      <c r="I1574">
        <v>103.9</v>
      </c>
      <c r="J1574">
        <v>102.4</v>
      </c>
      <c r="K1574">
        <v>103.9</v>
      </c>
      <c r="L1574">
        <v>10531.280076997111</v>
      </c>
    </row>
    <row r="1575" spans="1:12" hidden="1" x14ac:dyDescent="0.25">
      <c r="A1575">
        <v>2019</v>
      </c>
      <c r="B1575" t="s">
        <v>12</v>
      </c>
      <c r="C1575">
        <v>94</v>
      </c>
      <c r="D1575" t="s">
        <v>64</v>
      </c>
      <c r="E1575" t="s">
        <v>14</v>
      </c>
      <c r="F1575" t="s">
        <v>76</v>
      </c>
      <c r="G1575" t="s">
        <v>54</v>
      </c>
      <c r="H1575" t="s">
        <v>55</v>
      </c>
      <c r="I1575">
        <v>106.59709315790001</v>
      </c>
      <c r="J1575">
        <v>98.151526954033002</v>
      </c>
      <c r="K1575">
        <v>106.59709315790001</v>
      </c>
      <c r="L1575">
        <v>88.182517191871085</v>
      </c>
    </row>
    <row r="1576" spans="1:12" hidden="1" x14ac:dyDescent="0.25">
      <c r="A1576">
        <v>2019</v>
      </c>
      <c r="B1576" t="s">
        <v>66</v>
      </c>
      <c r="C1576">
        <v>86643</v>
      </c>
      <c r="D1576" t="s">
        <v>64</v>
      </c>
      <c r="E1576" t="s">
        <v>14</v>
      </c>
      <c r="F1576" t="s">
        <v>76</v>
      </c>
      <c r="G1576" t="s">
        <v>54</v>
      </c>
      <c r="H1576" t="s">
        <v>55</v>
      </c>
      <c r="I1576">
        <v>102.2</v>
      </c>
      <c r="J1576">
        <v>102.4</v>
      </c>
      <c r="K1576">
        <v>102.2</v>
      </c>
      <c r="L1576">
        <v>84777.886497064566</v>
      </c>
    </row>
    <row r="1577" spans="1:12" hidden="1" x14ac:dyDescent="0.25">
      <c r="A1577">
        <v>2019</v>
      </c>
      <c r="B1577" t="s">
        <v>12</v>
      </c>
      <c r="C1577">
        <v>77</v>
      </c>
      <c r="D1577" t="s">
        <v>64</v>
      </c>
      <c r="E1577" t="s">
        <v>14</v>
      </c>
      <c r="F1577" t="s">
        <v>76</v>
      </c>
      <c r="G1577" t="s">
        <v>60</v>
      </c>
      <c r="H1577" t="s">
        <v>61</v>
      </c>
      <c r="J1577">
        <v>98.151526954033002</v>
      </c>
      <c r="K1577">
        <v>98.151526954033002</v>
      </c>
      <c r="L1577">
        <v>78.450129498302317</v>
      </c>
    </row>
    <row r="1578" spans="1:12" hidden="1" x14ac:dyDescent="0.25">
      <c r="A1578">
        <v>2019</v>
      </c>
      <c r="B1578" t="s">
        <v>66</v>
      </c>
      <c r="C1578">
        <v>648</v>
      </c>
      <c r="D1578" t="s">
        <v>64</v>
      </c>
      <c r="E1578" t="s">
        <v>14</v>
      </c>
      <c r="F1578" t="s">
        <v>76</v>
      </c>
      <c r="G1578" t="s">
        <v>60</v>
      </c>
      <c r="H1578" t="s">
        <v>61</v>
      </c>
      <c r="I1578">
        <v>105.5</v>
      </c>
      <c r="J1578">
        <v>102.4</v>
      </c>
      <c r="K1578">
        <v>105.5</v>
      </c>
      <c r="L1578">
        <v>614.21800947867303</v>
      </c>
    </row>
    <row r="1579" spans="1:12" hidden="1" x14ac:dyDescent="0.25">
      <c r="A1579">
        <v>2019</v>
      </c>
      <c r="B1579" t="s">
        <v>66</v>
      </c>
      <c r="C1579">
        <v>30157</v>
      </c>
      <c r="D1579" t="s">
        <v>64</v>
      </c>
      <c r="E1579" t="s">
        <v>14</v>
      </c>
      <c r="F1579" t="s">
        <v>76</v>
      </c>
      <c r="G1579" t="s">
        <v>34</v>
      </c>
      <c r="H1579" t="s">
        <v>35</v>
      </c>
      <c r="I1579">
        <v>92.1</v>
      </c>
      <c r="J1579">
        <v>102.4</v>
      </c>
      <c r="K1579">
        <v>92.1</v>
      </c>
      <c r="L1579">
        <v>32743.756786102062</v>
      </c>
    </row>
    <row r="1580" spans="1:12" hidden="1" x14ac:dyDescent="0.25">
      <c r="A1580">
        <v>2019</v>
      </c>
      <c r="B1580" t="s">
        <v>66</v>
      </c>
      <c r="C1580">
        <v>1038</v>
      </c>
      <c r="D1580" t="s">
        <v>64</v>
      </c>
      <c r="E1580" t="s">
        <v>14</v>
      </c>
      <c r="F1580" t="s">
        <v>76</v>
      </c>
      <c r="G1580" t="s">
        <v>67</v>
      </c>
      <c r="H1580" t="s">
        <v>68</v>
      </c>
      <c r="I1580">
        <v>104.9</v>
      </c>
      <c r="J1580">
        <v>102.4</v>
      </c>
      <c r="K1580">
        <v>104.9</v>
      </c>
      <c r="L1580">
        <v>989.51382268827444</v>
      </c>
    </row>
    <row r="1581" spans="1:12" hidden="1" x14ac:dyDescent="0.25">
      <c r="A1581">
        <v>2019</v>
      </c>
      <c r="B1581" t="s">
        <v>12</v>
      </c>
      <c r="C1581">
        <v>4044</v>
      </c>
      <c r="D1581" t="s">
        <v>64</v>
      </c>
      <c r="E1581" t="s">
        <v>14</v>
      </c>
      <c r="F1581" t="s">
        <v>76</v>
      </c>
      <c r="G1581" t="s">
        <v>16</v>
      </c>
      <c r="H1581" t="s">
        <v>17</v>
      </c>
      <c r="J1581">
        <v>98.151526954033002</v>
      </c>
      <c r="K1581">
        <v>98.151526954033002</v>
      </c>
      <c r="L1581">
        <v>4120.1600479368126</v>
      </c>
    </row>
    <row r="1582" spans="1:12" hidden="1" x14ac:dyDescent="0.25">
      <c r="A1582">
        <v>2018</v>
      </c>
      <c r="B1582" t="s">
        <v>12</v>
      </c>
      <c r="C1582">
        <v>2815</v>
      </c>
      <c r="D1582" t="s">
        <v>64</v>
      </c>
      <c r="E1582" t="s">
        <v>14</v>
      </c>
      <c r="F1582" t="s">
        <v>76</v>
      </c>
      <c r="G1582" t="s">
        <v>46</v>
      </c>
      <c r="H1582" t="s">
        <v>47</v>
      </c>
      <c r="I1582">
        <v>100</v>
      </c>
      <c r="J1582">
        <v>99.999999999999005</v>
      </c>
      <c r="K1582">
        <v>100</v>
      </c>
      <c r="L1582">
        <v>2815</v>
      </c>
    </row>
    <row r="1583" spans="1:12" hidden="1" x14ac:dyDescent="0.25">
      <c r="A1583">
        <v>2018</v>
      </c>
      <c r="B1583" t="s">
        <v>66</v>
      </c>
      <c r="C1583">
        <v>21555</v>
      </c>
      <c r="D1583" t="s">
        <v>64</v>
      </c>
      <c r="E1583" t="s">
        <v>14</v>
      </c>
      <c r="F1583" t="s">
        <v>76</v>
      </c>
      <c r="G1583" t="s">
        <v>46</v>
      </c>
      <c r="H1583" t="s">
        <v>47</v>
      </c>
      <c r="I1583">
        <v>100</v>
      </c>
      <c r="J1583">
        <v>100</v>
      </c>
      <c r="K1583">
        <v>100</v>
      </c>
      <c r="L1583">
        <v>21555</v>
      </c>
    </row>
    <row r="1584" spans="1:12" hidden="1" x14ac:dyDescent="0.25">
      <c r="A1584">
        <v>2018</v>
      </c>
      <c r="B1584" t="s">
        <v>12</v>
      </c>
      <c r="C1584">
        <v>26189</v>
      </c>
      <c r="D1584" t="s">
        <v>64</v>
      </c>
      <c r="E1584" t="s">
        <v>14</v>
      </c>
      <c r="F1584" t="s">
        <v>76</v>
      </c>
      <c r="G1584" t="s">
        <v>18</v>
      </c>
      <c r="H1584" t="s">
        <v>19</v>
      </c>
      <c r="I1584">
        <v>99.999999999999005</v>
      </c>
      <c r="J1584">
        <v>99.999999999999005</v>
      </c>
      <c r="K1584">
        <v>99.999999999999005</v>
      </c>
      <c r="L1584">
        <v>26189.000000000258</v>
      </c>
    </row>
    <row r="1585" spans="1:12" hidden="1" x14ac:dyDescent="0.25">
      <c r="A1585">
        <v>2018</v>
      </c>
      <c r="B1585" t="s">
        <v>66</v>
      </c>
      <c r="C1585">
        <v>65436</v>
      </c>
      <c r="D1585" t="s">
        <v>64</v>
      </c>
      <c r="E1585" t="s">
        <v>14</v>
      </c>
      <c r="F1585" t="s">
        <v>76</v>
      </c>
      <c r="G1585" t="s">
        <v>18</v>
      </c>
      <c r="H1585" t="s">
        <v>19</v>
      </c>
      <c r="I1585">
        <v>100</v>
      </c>
      <c r="J1585">
        <v>100</v>
      </c>
      <c r="K1585">
        <v>100</v>
      </c>
      <c r="L1585">
        <v>65436</v>
      </c>
    </row>
    <row r="1586" spans="1:12" hidden="1" x14ac:dyDescent="0.25">
      <c r="A1586">
        <v>2018</v>
      </c>
      <c r="B1586" t="s">
        <v>12</v>
      </c>
      <c r="C1586">
        <v>2438</v>
      </c>
      <c r="D1586" t="s">
        <v>64</v>
      </c>
      <c r="E1586" t="s">
        <v>14</v>
      </c>
      <c r="F1586" t="s">
        <v>76</v>
      </c>
      <c r="G1586" t="s">
        <v>52</v>
      </c>
      <c r="H1586" t="s">
        <v>53</v>
      </c>
      <c r="I1586">
        <v>100</v>
      </c>
      <c r="J1586">
        <v>99.999999999999005</v>
      </c>
      <c r="K1586">
        <v>100</v>
      </c>
      <c r="L1586">
        <v>2438</v>
      </c>
    </row>
    <row r="1587" spans="1:12" hidden="1" x14ac:dyDescent="0.25">
      <c r="A1587">
        <v>2018</v>
      </c>
      <c r="B1587" t="s">
        <v>66</v>
      </c>
      <c r="C1587">
        <v>42994</v>
      </c>
      <c r="D1587" t="s">
        <v>64</v>
      </c>
      <c r="E1587" t="s">
        <v>14</v>
      </c>
      <c r="F1587" t="s">
        <v>76</v>
      </c>
      <c r="G1587" t="s">
        <v>52</v>
      </c>
      <c r="H1587" t="s">
        <v>53</v>
      </c>
      <c r="I1587">
        <v>100</v>
      </c>
      <c r="J1587">
        <v>100</v>
      </c>
      <c r="K1587">
        <v>100</v>
      </c>
      <c r="L1587">
        <v>42994</v>
      </c>
    </row>
    <row r="1588" spans="1:12" hidden="1" x14ac:dyDescent="0.25">
      <c r="A1588">
        <v>2018</v>
      </c>
      <c r="B1588" t="s">
        <v>12</v>
      </c>
      <c r="C1588">
        <v>629</v>
      </c>
      <c r="D1588" t="s">
        <v>64</v>
      </c>
      <c r="E1588" t="s">
        <v>14</v>
      </c>
      <c r="F1588" t="s">
        <v>76</v>
      </c>
      <c r="G1588" t="s">
        <v>58</v>
      </c>
      <c r="H1588" t="s">
        <v>59</v>
      </c>
      <c r="I1588">
        <v>100</v>
      </c>
      <c r="J1588">
        <v>99.999999999999005</v>
      </c>
      <c r="K1588">
        <v>100</v>
      </c>
      <c r="L1588">
        <v>629</v>
      </c>
    </row>
    <row r="1589" spans="1:12" hidden="1" x14ac:dyDescent="0.25">
      <c r="A1589">
        <v>2018</v>
      </c>
      <c r="B1589" t="s">
        <v>66</v>
      </c>
      <c r="C1589">
        <v>832</v>
      </c>
      <c r="D1589" t="s">
        <v>64</v>
      </c>
      <c r="E1589" t="s">
        <v>14</v>
      </c>
      <c r="F1589" t="s">
        <v>76</v>
      </c>
      <c r="G1589" t="s">
        <v>58</v>
      </c>
      <c r="H1589" t="s">
        <v>59</v>
      </c>
      <c r="I1589">
        <v>100</v>
      </c>
      <c r="J1589">
        <v>100</v>
      </c>
      <c r="K1589">
        <v>100</v>
      </c>
      <c r="L1589">
        <v>832</v>
      </c>
    </row>
    <row r="1590" spans="1:12" hidden="1" x14ac:dyDescent="0.25">
      <c r="A1590">
        <v>2018</v>
      </c>
      <c r="B1590" t="s">
        <v>12</v>
      </c>
      <c r="C1590">
        <v>322</v>
      </c>
      <c r="D1590" t="s">
        <v>64</v>
      </c>
      <c r="E1590" t="s">
        <v>14</v>
      </c>
      <c r="F1590" t="s">
        <v>76</v>
      </c>
      <c r="G1590" t="s">
        <v>26</v>
      </c>
      <c r="H1590" t="s">
        <v>27</v>
      </c>
      <c r="I1590">
        <v>99.999999999999005</v>
      </c>
      <c r="J1590">
        <v>99.999999999999005</v>
      </c>
      <c r="K1590">
        <v>99.999999999999005</v>
      </c>
      <c r="L1590">
        <v>322.00000000000318</v>
      </c>
    </row>
    <row r="1591" spans="1:12" hidden="1" x14ac:dyDescent="0.25">
      <c r="A1591">
        <v>2018</v>
      </c>
      <c r="B1591" t="s">
        <v>66</v>
      </c>
      <c r="C1591">
        <v>2860</v>
      </c>
      <c r="D1591" t="s">
        <v>64</v>
      </c>
      <c r="E1591" t="s">
        <v>14</v>
      </c>
      <c r="F1591" t="s">
        <v>76</v>
      </c>
      <c r="G1591" t="s">
        <v>26</v>
      </c>
      <c r="H1591" t="s">
        <v>27</v>
      </c>
      <c r="I1591">
        <v>100</v>
      </c>
      <c r="J1591">
        <v>100</v>
      </c>
      <c r="K1591">
        <v>100</v>
      </c>
      <c r="L1591">
        <v>2860</v>
      </c>
    </row>
    <row r="1592" spans="1:12" hidden="1" x14ac:dyDescent="0.25">
      <c r="A1592">
        <v>2018</v>
      </c>
      <c r="B1592" t="s">
        <v>12</v>
      </c>
      <c r="C1592">
        <v>6861</v>
      </c>
      <c r="D1592" t="s">
        <v>64</v>
      </c>
      <c r="E1592" t="s">
        <v>14</v>
      </c>
      <c r="F1592" t="s">
        <v>76</v>
      </c>
      <c r="G1592" t="s">
        <v>20</v>
      </c>
      <c r="H1592" t="s">
        <v>21</v>
      </c>
      <c r="I1592">
        <v>100</v>
      </c>
      <c r="J1592">
        <v>99.999999999999005</v>
      </c>
      <c r="K1592">
        <v>100</v>
      </c>
      <c r="L1592">
        <v>6861</v>
      </c>
    </row>
    <row r="1593" spans="1:12" hidden="1" x14ac:dyDescent="0.25">
      <c r="A1593">
        <v>2018</v>
      </c>
      <c r="B1593" t="s">
        <v>66</v>
      </c>
      <c r="C1593">
        <v>24258</v>
      </c>
      <c r="D1593" t="s">
        <v>64</v>
      </c>
      <c r="E1593" t="s">
        <v>14</v>
      </c>
      <c r="F1593" t="s">
        <v>76</v>
      </c>
      <c r="G1593" t="s">
        <v>20</v>
      </c>
      <c r="H1593" t="s">
        <v>21</v>
      </c>
      <c r="I1593">
        <v>100</v>
      </c>
      <c r="J1593">
        <v>100</v>
      </c>
      <c r="K1593">
        <v>100</v>
      </c>
      <c r="L1593">
        <v>24258</v>
      </c>
    </row>
    <row r="1594" spans="1:12" hidden="1" x14ac:dyDescent="0.25">
      <c r="A1594">
        <v>2018</v>
      </c>
      <c r="B1594" t="s">
        <v>12</v>
      </c>
      <c r="C1594">
        <v>2946</v>
      </c>
      <c r="D1594" t="s">
        <v>64</v>
      </c>
      <c r="E1594" t="s">
        <v>14</v>
      </c>
      <c r="F1594" t="s">
        <v>76</v>
      </c>
      <c r="G1594" t="s">
        <v>40</v>
      </c>
      <c r="H1594" t="s">
        <v>41</v>
      </c>
      <c r="I1594">
        <v>99.999999999999005</v>
      </c>
      <c r="J1594">
        <v>99.999999999999005</v>
      </c>
      <c r="K1594">
        <v>99.999999999999005</v>
      </c>
      <c r="L1594">
        <v>2946.0000000000291</v>
      </c>
    </row>
    <row r="1595" spans="1:12" hidden="1" x14ac:dyDescent="0.25">
      <c r="A1595">
        <v>2018</v>
      </c>
      <c r="B1595" t="s">
        <v>66</v>
      </c>
      <c r="C1595">
        <v>19242</v>
      </c>
      <c r="D1595" t="s">
        <v>64</v>
      </c>
      <c r="E1595" t="s">
        <v>14</v>
      </c>
      <c r="F1595" t="s">
        <v>76</v>
      </c>
      <c r="G1595" t="s">
        <v>40</v>
      </c>
      <c r="H1595" t="s">
        <v>41</v>
      </c>
      <c r="I1595">
        <v>100</v>
      </c>
      <c r="J1595">
        <v>100</v>
      </c>
      <c r="K1595">
        <v>100</v>
      </c>
      <c r="L1595">
        <v>19242</v>
      </c>
    </row>
    <row r="1596" spans="1:12" hidden="1" x14ac:dyDescent="0.25">
      <c r="A1596">
        <v>2018</v>
      </c>
      <c r="B1596" t="s">
        <v>12</v>
      </c>
      <c r="C1596">
        <v>841</v>
      </c>
      <c r="D1596" t="s">
        <v>64</v>
      </c>
      <c r="E1596" t="s">
        <v>14</v>
      </c>
      <c r="F1596" t="s">
        <v>76</v>
      </c>
      <c r="G1596" t="s">
        <v>24</v>
      </c>
      <c r="H1596" t="s">
        <v>25</v>
      </c>
      <c r="I1596">
        <v>99.999999999999005</v>
      </c>
      <c r="J1596">
        <v>99.999999999999005</v>
      </c>
      <c r="K1596">
        <v>99.999999999999005</v>
      </c>
      <c r="L1596">
        <v>841.00000000000841</v>
      </c>
    </row>
    <row r="1597" spans="1:12" hidden="1" x14ac:dyDescent="0.25">
      <c r="A1597">
        <v>2018</v>
      </c>
      <c r="B1597" t="s">
        <v>66</v>
      </c>
      <c r="C1597">
        <v>4198</v>
      </c>
      <c r="D1597" t="s">
        <v>64</v>
      </c>
      <c r="E1597" t="s">
        <v>14</v>
      </c>
      <c r="F1597" t="s">
        <v>76</v>
      </c>
      <c r="G1597" t="s">
        <v>24</v>
      </c>
      <c r="H1597" t="s">
        <v>25</v>
      </c>
      <c r="I1597">
        <v>100</v>
      </c>
      <c r="J1597">
        <v>100</v>
      </c>
      <c r="K1597">
        <v>100</v>
      </c>
      <c r="L1597">
        <v>4198</v>
      </c>
    </row>
    <row r="1598" spans="1:12" hidden="1" x14ac:dyDescent="0.25">
      <c r="A1598">
        <v>2018</v>
      </c>
      <c r="B1598" t="s">
        <v>12</v>
      </c>
      <c r="C1598">
        <v>342</v>
      </c>
      <c r="D1598" t="s">
        <v>64</v>
      </c>
      <c r="E1598" t="s">
        <v>14</v>
      </c>
      <c r="F1598" t="s">
        <v>76</v>
      </c>
      <c r="G1598" t="s">
        <v>54</v>
      </c>
      <c r="H1598" t="s">
        <v>55</v>
      </c>
      <c r="I1598">
        <v>100</v>
      </c>
      <c r="J1598">
        <v>99.999999999999005</v>
      </c>
      <c r="K1598">
        <v>100</v>
      </c>
      <c r="L1598">
        <v>342</v>
      </c>
    </row>
    <row r="1599" spans="1:12" hidden="1" x14ac:dyDescent="0.25">
      <c r="A1599">
        <v>2018</v>
      </c>
      <c r="B1599" t="s">
        <v>66</v>
      </c>
      <c r="C1599">
        <v>84047</v>
      </c>
      <c r="D1599" t="s">
        <v>64</v>
      </c>
      <c r="E1599" t="s">
        <v>14</v>
      </c>
      <c r="F1599" t="s">
        <v>76</v>
      </c>
      <c r="G1599" t="s">
        <v>54</v>
      </c>
      <c r="H1599" t="s">
        <v>55</v>
      </c>
      <c r="I1599">
        <v>100</v>
      </c>
      <c r="J1599">
        <v>100</v>
      </c>
      <c r="K1599">
        <v>100</v>
      </c>
      <c r="L1599">
        <v>84047</v>
      </c>
    </row>
    <row r="1600" spans="1:12" hidden="1" x14ac:dyDescent="0.25">
      <c r="A1600">
        <v>2018</v>
      </c>
      <c r="B1600" t="s">
        <v>12</v>
      </c>
      <c r="C1600">
        <v>1425</v>
      </c>
      <c r="D1600" t="s">
        <v>64</v>
      </c>
      <c r="E1600" t="s">
        <v>14</v>
      </c>
      <c r="F1600" t="s">
        <v>76</v>
      </c>
      <c r="G1600" t="s">
        <v>62</v>
      </c>
      <c r="H1600" t="s">
        <v>63</v>
      </c>
      <c r="I1600">
        <v>100</v>
      </c>
      <c r="J1600">
        <v>99.999999999999005</v>
      </c>
      <c r="K1600">
        <v>100</v>
      </c>
      <c r="L1600">
        <v>1425</v>
      </c>
    </row>
    <row r="1601" spans="1:12" hidden="1" x14ac:dyDescent="0.25">
      <c r="A1601">
        <v>2018</v>
      </c>
      <c r="B1601" t="s">
        <v>12</v>
      </c>
      <c r="C1601">
        <v>3528</v>
      </c>
      <c r="D1601" t="s">
        <v>64</v>
      </c>
      <c r="E1601" t="s">
        <v>14</v>
      </c>
      <c r="F1601" t="s">
        <v>76</v>
      </c>
      <c r="G1601" t="s">
        <v>42</v>
      </c>
      <c r="H1601" t="s">
        <v>43</v>
      </c>
      <c r="I1601">
        <v>99.999999999999005</v>
      </c>
      <c r="J1601">
        <v>99.999999999999005</v>
      </c>
      <c r="K1601">
        <v>99.999999999999005</v>
      </c>
      <c r="L1601">
        <v>3528.000000000035</v>
      </c>
    </row>
    <row r="1602" spans="1:12" hidden="1" x14ac:dyDescent="0.25">
      <c r="A1602">
        <v>2018</v>
      </c>
      <c r="B1602" t="s">
        <v>66</v>
      </c>
      <c r="C1602">
        <v>24872</v>
      </c>
      <c r="D1602" t="s">
        <v>64</v>
      </c>
      <c r="E1602" t="s">
        <v>14</v>
      </c>
      <c r="F1602" t="s">
        <v>76</v>
      </c>
      <c r="G1602" t="s">
        <v>42</v>
      </c>
      <c r="H1602" t="s">
        <v>43</v>
      </c>
      <c r="I1602">
        <v>100</v>
      </c>
      <c r="J1602">
        <v>100</v>
      </c>
      <c r="K1602">
        <v>100</v>
      </c>
      <c r="L1602">
        <v>24872</v>
      </c>
    </row>
    <row r="1603" spans="1:12" hidden="1" x14ac:dyDescent="0.25">
      <c r="A1603">
        <v>2018</v>
      </c>
      <c r="B1603" t="s">
        <v>12</v>
      </c>
      <c r="C1603">
        <v>385</v>
      </c>
      <c r="D1603" t="s">
        <v>64</v>
      </c>
      <c r="E1603" t="s">
        <v>14</v>
      </c>
      <c r="F1603" t="s">
        <v>76</v>
      </c>
      <c r="G1603" t="s">
        <v>22</v>
      </c>
      <c r="H1603" t="s">
        <v>23</v>
      </c>
      <c r="I1603">
        <v>99.999999999999005</v>
      </c>
      <c r="J1603">
        <v>99.999999999999005</v>
      </c>
      <c r="K1603">
        <v>99.999999999999005</v>
      </c>
      <c r="L1603">
        <v>385.00000000000381</v>
      </c>
    </row>
    <row r="1604" spans="1:12" hidden="1" x14ac:dyDescent="0.25">
      <c r="A1604">
        <v>2018</v>
      </c>
      <c r="B1604" t="s">
        <v>66</v>
      </c>
      <c r="C1604">
        <v>14498</v>
      </c>
      <c r="D1604" t="s">
        <v>64</v>
      </c>
      <c r="E1604" t="s">
        <v>14</v>
      </c>
      <c r="F1604" t="s">
        <v>76</v>
      </c>
      <c r="G1604" t="s">
        <v>22</v>
      </c>
      <c r="H1604" t="s">
        <v>23</v>
      </c>
      <c r="I1604">
        <v>100</v>
      </c>
      <c r="J1604">
        <v>100</v>
      </c>
      <c r="K1604">
        <v>100</v>
      </c>
      <c r="L1604">
        <v>14498</v>
      </c>
    </row>
    <row r="1605" spans="1:12" hidden="1" x14ac:dyDescent="0.25">
      <c r="A1605">
        <v>2018</v>
      </c>
      <c r="B1605" t="s">
        <v>12</v>
      </c>
      <c r="C1605">
        <v>961</v>
      </c>
      <c r="D1605" t="s">
        <v>64</v>
      </c>
      <c r="E1605" t="s">
        <v>14</v>
      </c>
      <c r="F1605" t="s">
        <v>76</v>
      </c>
      <c r="G1605" t="s">
        <v>32</v>
      </c>
      <c r="H1605" t="s">
        <v>33</v>
      </c>
      <c r="I1605">
        <v>99.999999999999005</v>
      </c>
      <c r="J1605">
        <v>99.999999999999005</v>
      </c>
      <c r="K1605">
        <v>99.999999999999005</v>
      </c>
      <c r="L1605">
        <v>961.00000000000955</v>
      </c>
    </row>
    <row r="1606" spans="1:12" hidden="1" x14ac:dyDescent="0.25">
      <c r="A1606">
        <v>2018</v>
      </c>
      <c r="B1606" t="s">
        <v>66</v>
      </c>
      <c r="C1606">
        <v>852</v>
      </c>
      <c r="D1606" t="s">
        <v>64</v>
      </c>
      <c r="E1606" t="s">
        <v>14</v>
      </c>
      <c r="F1606" t="s">
        <v>76</v>
      </c>
      <c r="G1606" t="s">
        <v>32</v>
      </c>
      <c r="H1606" t="s">
        <v>33</v>
      </c>
      <c r="I1606">
        <v>100</v>
      </c>
      <c r="J1606">
        <v>100</v>
      </c>
      <c r="K1606">
        <v>100</v>
      </c>
      <c r="L1606">
        <v>852</v>
      </c>
    </row>
    <row r="1607" spans="1:12" hidden="1" x14ac:dyDescent="0.25">
      <c r="A1607">
        <v>2018</v>
      </c>
      <c r="B1607" t="s">
        <v>12</v>
      </c>
      <c r="C1607">
        <v>1313</v>
      </c>
      <c r="D1607" t="s">
        <v>64</v>
      </c>
      <c r="E1607" t="s">
        <v>14</v>
      </c>
      <c r="F1607" t="s">
        <v>76</v>
      </c>
      <c r="G1607" t="s">
        <v>38</v>
      </c>
      <c r="H1607" t="s">
        <v>39</v>
      </c>
      <c r="I1607">
        <v>99.999999999999005</v>
      </c>
      <c r="J1607">
        <v>99.999999999999005</v>
      </c>
      <c r="K1607">
        <v>99.999999999999005</v>
      </c>
      <c r="L1607">
        <v>1313.000000000013</v>
      </c>
    </row>
    <row r="1608" spans="1:12" hidden="1" x14ac:dyDescent="0.25">
      <c r="A1608">
        <v>2018</v>
      </c>
      <c r="B1608" t="s">
        <v>66</v>
      </c>
      <c r="C1608">
        <v>2185</v>
      </c>
      <c r="D1608" t="s">
        <v>64</v>
      </c>
      <c r="E1608" t="s">
        <v>14</v>
      </c>
      <c r="F1608" t="s">
        <v>76</v>
      </c>
      <c r="G1608" t="s">
        <v>38</v>
      </c>
      <c r="H1608" t="s">
        <v>39</v>
      </c>
      <c r="I1608">
        <v>100</v>
      </c>
      <c r="J1608">
        <v>100</v>
      </c>
      <c r="K1608">
        <v>100</v>
      </c>
      <c r="L1608">
        <v>2185</v>
      </c>
    </row>
    <row r="1609" spans="1:12" hidden="1" x14ac:dyDescent="0.25">
      <c r="A1609">
        <v>2018</v>
      </c>
      <c r="B1609" t="s">
        <v>12</v>
      </c>
      <c r="C1609">
        <v>631</v>
      </c>
      <c r="D1609" t="s">
        <v>64</v>
      </c>
      <c r="E1609" t="s">
        <v>14</v>
      </c>
      <c r="F1609" t="s">
        <v>76</v>
      </c>
      <c r="G1609" t="s">
        <v>50</v>
      </c>
      <c r="H1609" t="s">
        <v>51</v>
      </c>
      <c r="I1609">
        <v>100</v>
      </c>
      <c r="J1609">
        <v>99.999999999999005</v>
      </c>
      <c r="K1609">
        <v>100</v>
      </c>
      <c r="L1609">
        <v>631</v>
      </c>
    </row>
    <row r="1610" spans="1:12" hidden="1" x14ac:dyDescent="0.25">
      <c r="A1610">
        <v>2018</v>
      </c>
      <c r="B1610" t="s">
        <v>66</v>
      </c>
      <c r="C1610">
        <v>32345</v>
      </c>
      <c r="D1610" t="s">
        <v>64</v>
      </c>
      <c r="E1610" t="s">
        <v>14</v>
      </c>
      <c r="F1610" t="s">
        <v>76</v>
      </c>
      <c r="G1610" t="s">
        <v>50</v>
      </c>
      <c r="H1610" t="s">
        <v>51</v>
      </c>
      <c r="I1610">
        <v>100</v>
      </c>
      <c r="J1610">
        <v>100</v>
      </c>
      <c r="K1610">
        <v>100</v>
      </c>
      <c r="L1610">
        <v>32345</v>
      </c>
    </row>
    <row r="1611" spans="1:12" hidden="1" x14ac:dyDescent="0.25">
      <c r="A1611">
        <v>2018</v>
      </c>
      <c r="B1611" t="s">
        <v>12</v>
      </c>
      <c r="C1611">
        <v>2159</v>
      </c>
      <c r="D1611" t="s">
        <v>64</v>
      </c>
      <c r="E1611" t="s">
        <v>14</v>
      </c>
      <c r="F1611" t="s">
        <v>76</v>
      </c>
      <c r="G1611" t="s">
        <v>44</v>
      </c>
      <c r="H1611" t="s">
        <v>45</v>
      </c>
      <c r="I1611">
        <v>99.999999999999005</v>
      </c>
      <c r="J1611">
        <v>99.999999999999005</v>
      </c>
      <c r="K1611">
        <v>99.999999999999005</v>
      </c>
      <c r="L1611">
        <v>2159.0000000000209</v>
      </c>
    </row>
    <row r="1612" spans="1:12" hidden="1" x14ac:dyDescent="0.25">
      <c r="A1612">
        <v>2018</v>
      </c>
      <c r="B1612" t="s">
        <v>66</v>
      </c>
      <c r="C1612">
        <v>34020</v>
      </c>
      <c r="D1612" t="s">
        <v>64</v>
      </c>
      <c r="E1612" t="s">
        <v>14</v>
      </c>
      <c r="F1612" t="s">
        <v>76</v>
      </c>
      <c r="G1612" t="s">
        <v>44</v>
      </c>
      <c r="H1612" t="s">
        <v>45</v>
      </c>
      <c r="I1612">
        <v>100</v>
      </c>
      <c r="J1612">
        <v>100</v>
      </c>
      <c r="K1612">
        <v>100</v>
      </c>
      <c r="L1612">
        <v>34020</v>
      </c>
    </row>
    <row r="1613" spans="1:12" hidden="1" x14ac:dyDescent="0.25">
      <c r="A1613">
        <v>2018</v>
      </c>
      <c r="B1613" t="s">
        <v>12</v>
      </c>
      <c r="C1613">
        <v>3858</v>
      </c>
      <c r="D1613" t="s">
        <v>64</v>
      </c>
      <c r="E1613" t="s">
        <v>14</v>
      </c>
      <c r="F1613" t="s">
        <v>76</v>
      </c>
      <c r="G1613" t="s">
        <v>28</v>
      </c>
      <c r="H1613" t="s">
        <v>29</v>
      </c>
      <c r="I1613">
        <v>100</v>
      </c>
      <c r="J1613">
        <v>99.999999999999005</v>
      </c>
      <c r="K1613">
        <v>100</v>
      </c>
      <c r="L1613">
        <v>3858</v>
      </c>
    </row>
    <row r="1614" spans="1:12" hidden="1" x14ac:dyDescent="0.25">
      <c r="A1614">
        <v>2018</v>
      </c>
      <c r="B1614" t="s">
        <v>66</v>
      </c>
      <c r="C1614">
        <v>1437</v>
      </c>
      <c r="D1614" t="s">
        <v>64</v>
      </c>
      <c r="E1614" t="s">
        <v>14</v>
      </c>
      <c r="F1614" t="s">
        <v>76</v>
      </c>
      <c r="G1614" t="s">
        <v>28</v>
      </c>
      <c r="H1614" t="s">
        <v>29</v>
      </c>
      <c r="I1614">
        <v>100</v>
      </c>
      <c r="J1614">
        <v>100</v>
      </c>
      <c r="K1614">
        <v>100</v>
      </c>
      <c r="L1614">
        <v>1437</v>
      </c>
    </row>
    <row r="1615" spans="1:12" hidden="1" x14ac:dyDescent="0.25">
      <c r="A1615">
        <v>2018</v>
      </c>
      <c r="B1615" t="s">
        <v>12</v>
      </c>
      <c r="C1615">
        <v>12400</v>
      </c>
      <c r="D1615" t="s">
        <v>64</v>
      </c>
      <c r="E1615" t="s">
        <v>14</v>
      </c>
      <c r="F1615" t="s">
        <v>76</v>
      </c>
      <c r="G1615" t="s">
        <v>36</v>
      </c>
      <c r="H1615" t="s">
        <v>37</v>
      </c>
      <c r="I1615">
        <v>99.999999999999005</v>
      </c>
      <c r="J1615">
        <v>99.999999999999005</v>
      </c>
      <c r="K1615">
        <v>99.999999999999005</v>
      </c>
      <c r="L1615">
        <v>12400.00000000012</v>
      </c>
    </row>
    <row r="1616" spans="1:12" hidden="1" x14ac:dyDescent="0.25">
      <c r="A1616">
        <v>2018</v>
      </c>
      <c r="B1616" t="s">
        <v>66</v>
      </c>
      <c r="C1616">
        <v>45117</v>
      </c>
      <c r="D1616" t="s">
        <v>64</v>
      </c>
      <c r="E1616" t="s">
        <v>14</v>
      </c>
      <c r="F1616" t="s">
        <v>76</v>
      </c>
      <c r="G1616" t="s">
        <v>36</v>
      </c>
      <c r="H1616" t="s">
        <v>37</v>
      </c>
      <c r="I1616">
        <v>100</v>
      </c>
      <c r="J1616">
        <v>100</v>
      </c>
      <c r="K1616">
        <v>100</v>
      </c>
      <c r="L1616">
        <v>45117</v>
      </c>
    </row>
    <row r="1617" spans="1:12" hidden="1" x14ac:dyDescent="0.25">
      <c r="A1617">
        <v>2018</v>
      </c>
      <c r="B1617" t="s">
        <v>12</v>
      </c>
      <c r="C1617">
        <v>7553</v>
      </c>
      <c r="D1617" t="s">
        <v>64</v>
      </c>
      <c r="E1617" t="s">
        <v>14</v>
      </c>
      <c r="F1617" t="s">
        <v>76</v>
      </c>
      <c r="G1617" t="s">
        <v>30</v>
      </c>
      <c r="H1617" t="s">
        <v>31</v>
      </c>
      <c r="I1617">
        <v>99.999999999999005</v>
      </c>
      <c r="J1617">
        <v>99.999999999999005</v>
      </c>
      <c r="K1617">
        <v>99.999999999999005</v>
      </c>
      <c r="L1617">
        <v>7553.0000000000746</v>
      </c>
    </row>
    <row r="1618" spans="1:12" hidden="1" x14ac:dyDescent="0.25">
      <c r="A1618">
        <v>2018</v>
      </c>
      <c r="B1618" t="s">
        <v>66</v>
      </c>
      <c r="C1618">
        <v>12341</v>
      </c>
      <c r="D1618" t="s">
        <v>64</v>
      </c>
      <c r="E1618" t="s">
        <v>14</v>
      </c>
      <c r="F1618" t="s">
        <v>76</v>
      </c>
      <c r="G1618" t="s">
        <v>30</v>
      </c>
      <c r="H1618" t="s">
        <v>31</v>
      </c>
      <c r="I1618">
        <v>100</v>
      </c>
      <c r="J1618">
        <v>100</v>
      </c>
      <c r="K1618">
        <v>100</v>
      </c>
      <c r="L1618">
        <v>12341</v>
      </c>
    </row>
    <row r="1619" spans="1:12" hidden="1" x14ac:dyDescent="0.25">
      <c r="A1619">
        <v>2018</v>
      </c>
      <c r="B1619" t="s">
        <v>12</v>
      </c>
      <c r="C1619">
        <v>83</v>
      </c>
      <c r="D1619" t="s">
        <v>64</v>
      </c>
      <c r="E1619" t="s">
        <v>14</v>
      </c>
      <c r="F1619" t="s">
        <v>76</v>
      </c>
      <c r="G1619" t="s">
        <v>60</v>
      </c>
      <c r="H1619" t="s">
        <v>61</v>
      </c>
      <c r="J1619">
        <v>99.999999999999005</v>
      </c>
      <c r="K1619">
        <v>99.999999999999005</v>
      </c>
      <c r="L1619">
        <v>83.000000000000824</v>
      </c>
    </row>
    <row r="1620" spans="1:12" hidden="1" x14ac:dyDescent="0.25">
      <c r="A1620">
        <v>2018</v>
      </c>
      <c r="B1620" t="s">
        <v>66</v>
      </c>
      <c r="C1620">
        <v>605</v>
      </c>
      <c r="D1620" t="s">
        <v>64</v>
      </c>
      <c r="E1620" t="s">
        <v>14</v>
      </c>
      <c r="F1620" t="s">
        <v>76</v>
      </c>
      <c r="G1620" t="s">
        <v>60</v>
      </c>
      <c r="H1620" t="s">
        <v>61</v>
      </c>
      <c r="I1620">
        <v>100</v>
      </c>
      <c r="J1620">
        <v>100</v>
      </c>
      <c r="K1620">
        <v>100</v>
      </c>
      <c r="L1620">
        <v>605</v>
      </c>
    </row>
    <row r="1621" spans="1:12" hidden="1" x14ac:dyDescent="0.25">
      <c r="A1621">
        <v>2018</v>
      </c>
      <c r="B1621" t="s">
        <v>12</v>
      </c>
      <c r="C1621">
        <v>259</v>
      </c>
      <c r="D1621" t="s">
        <v>64</v>
      </c>
      <c r="E1621" t="s">
        <v>14</v>
      </c>
      <c r="F1621" t="s">
        <v>76</v>
      </c>
      <c r="G1621" t="s">
        <v>48</v>
      </c>
      <c r="H1621" t="s">
        <v>49</v>
      </c>
      <c r="I1621">
        <v>100</v>
      </c>
      <c r="J1621">
        <v>99.999999999999005</v>
      </c>
      <c r="K1621">
        <v>100</v>
      </c>
      <c r="L1621">
        <v>259</v>
      </c>
    </row>
    <row r="1622" spans="1:12" hidden="1" x14ac:dyDescent="0.25">
      <c r="A1622">
        <v>2018</v>
      </c>
      <c r="B1622" t="s">
        <v>66</v>
      </c>
      <c r="C1622">
        <v>10155</v>
      </c>
      <c r="D1622" t="s">
        <v>64</v>
      </c>
      <c r="E1622" t="s">
        <v>14</v>
      </c>
      <c r="F1622" t="s">
        <v>76</v>
      </c>
      <c r="G1622" t="s">
        <v>48</v>
      </c>
      <c r="H1622" t="s">
        <v>49</v>
      </c>
      <c r="I1622">
        <v>100</v>
      </c>
      <c r="J1622">
        <v>100</v>
      </c>
      <c r="K1622">
        <v>100</v>
      </c>
      <c r="L1622">
        <v>10155</v>
      </c>
    </row>
    <row r="1623" spans="1:12" hidden="1" x14ac:dyDescent="0.25">
      <c r="A1623">
        <v>2018</v>
      </c>
      <c r="B1623" t="s">
        <v>12</v>
      </c>
      <c r="C1623">
        <v>87</v>
      </c>
      <c r="D1623" t="s">
        <v>64</v>
      </c>
      <c r="E1623" t="s">
        <v>14</v>
      </c>
      <c r="F1623" t="s">
        <v>76</v>
      </c>
      <c r="G1623" t="s">
        <v>56</v>
      </c>
      <c r="H1623" t="s">
        <v>57</v>
      </c>
      <c r="I1623">
        <v>100</v>
      </c>
      <c r="J1623">
        <v>99.999999999999005</v>
      </c>
      <c r="K1623">
        <v>100</v>
      </c>
      <c r="L1623">
        <v>87</v>
      </c>
    </row>
    <row r="1624" spans="1:12" hidden="1" x14ac:dyDescent="0.25">
      <c r="A1624">
        <v>2018</v>
      </c>
      <c r="B1624" t="s">
        <v>66</v>
      </c>
      <c r="C1624">
        <v>1270</v>
      </c>
      <c r="D1624" t="s">
        <v>64</v>
      </c>
      <c r="E1624" t="s">
        <v>14</v>
      </c>
      <c r="F1624" t="s">
        <v>76</v>
      </c>
      <c r="G1624" t="s">
        <v>56</v>
      </c>
      <c r="H1624" t="s">
        <v>57</v>
      </c>
      <c r="I1624">
        <v>100</v>
      </c>
      <c r="J1624">
        <v>100</v>
      </c>
      <c r="K1624">
        <v>100</v>
      </c>
      <c r="L1624">
        <v>1270</v>
      </c>
    </row>
    <row r="1625" spans="1:12" hidden="1" x14ac:dyDescent="0.25">
      <c r="A1625">
        <v>2018</v>
      </c>
      <c r="B1625" t="s">
        <v>12</v>
      </c>
      <c r="C1625">
        <v>24</v>
      </c>
      <c r="D1625" t="s">
        <v>64</v>
      </c>
      <c r="E1625" t="s">
        <v>14</v>
      </c>
      <c r="F1625" t="s">
        <v>76</v>
      </c>
      <c r="G1625" t="s">
        <v>34</v>
      </c>
      <c r="H1625" t="s">
        <v>35</v>
      </c>
      <c r="I1625">
        <v>99.999999999999005</v>
      </c>
      <c r="J1625">
        <v>99.999999999999005</v>
      </c>
      <c r="K1625">
        <v>99.999999999999005</v>
      </c>
      <c r="L1625">
        <v>24.000000000000242</v>
      </c>
    </row>
    <row r="1626" spans="1:12" hidden="1" x14ac:dyDescent="0.25">
      <c r="A1626">
        <v>2018</v>
      </c>
      <c r="B1626" t="s">
        <v>66</v>
      </c>
      <c r="C1626">
        <v>34450</v>
      </c>
      <c r="D1626" t="s">
        <v>64</v>
      </c>
      <c r="E1626" t="s">
        <v>14</v>
      </c>
      <c r="F1626" t="s">
        <v>76</v>
      </c>
      <c r="G1626" t="s">
        <v>34</v>
      </c>
      <c r="H1626" t="s">
        <v>35</v>
      </c>
      <c r="I1626">
        <v>100</v>
      </c>
      <c r="J1626">
        <v>100</v>
      </c>
      <c r="K1626">
        <v>100</v>
      </c>
      <c r="L1626">
        <v>34450</v>
      </c>
    </row>
    <row r="1627" spans="1:12" hidden="1" x14ac:dyDescent="0.25">
      <c r="A1627">
        <v>2018</v>
      </c>
      <c r="B1627" t="s">
        <v>66</v>
      </c>
      <c r="C1627">
        <v>982</v>
      </c>
      <c r="D1627" t="s">
        <v>64</v>
      </c>
      <c r="E1627" t="s">
        <v>14</v>
      </c>
      <c r="F1627" t="s">
        <v>76</v>
      </c>
      <c r="G1627" t="s">
        <v>67</v>
      </c>
      <c r="H1627" t="s">
        <v>68</v>
      </c>
      <c r="I1627">
        <v>100</v>
      </c>
      <c r="J1627">
        <v>100</v>
      </c>
      <c r="K1627">
        <v>100</v>
      </c>
      <c r="L1627">
        <v>982</v>
      </c>
    </row>
    <row r="1628" spans="1:12" hidden="1" x14ac:dyDescent="0.25">
      <c r="A1628">
        <v>2018</v>
      </c>
      <c r="B1628" t="s">
        <v>12</v>
      </c>
      <c r="C1628">
        <v>33</v>
      </c>
      <c r="D1628" t="s">
        <v>64</v>
      </c>
      <c r="E1628" t="s">
        <v>14</v>
      </c>
      <c r="F1628" t="s">
        <v>76</v>
      </c>
      <c r="G1628" t="s">
        <v>16</v>
      </c>
      <c r="H1628" t="s">
        <v>17</v>
      </c>
      <c r="J1628">
        <v>99.999999999999005</v>
      </c>
      <c r="K1628">
        <v>99.999999999999005</v>
      </c>
      <c r="L1628">
        <v>33.000000000000327</v>
      </c>
    </row>
    <row r="1629" spans="1:12" hidden="1" x14ac:dyDescent="0.25">
      <c r="A1629">
        <v>2017</v>
      </c>
      <c r="B1629" t="s">
        <v>12</v>
      </c>
      <c r="C1629">
        <v>24350</v>
      </c>
      <c r="D1629" t="s">
        <v>64</v>
      </c>
      <c r="E1629" t="s">
        <v>14</v>
      </c>
      <c r="F1629" t="s">
        <v>76</v>
      </c>
      <c r="G1629" t="s">
        <v>18</v>
      </c>
      <c r="H1629" t="s">
        <v>19</v>
      </c>
      <c r="I1629">
        <v>98.723825004638996</v>
      </c>
      <c r="J1629">
        <v>95.003435419368998</v>
      </c>
      <c r="K1629">
        <v>98.723825004638996</v>
      </c>
      <c r="L1629">
        <v>24664.765570879979</v>
      </c>
    </row>
    <row r="1630" spans="1:12" hidden="1" x14ac:dyDescent="0.25">
      <c r="A1630">
        <v>2017</v>
      </c>
      <c r="B1630" t="s">
        <v>66</v>
      </c>
      <c r="C1630">
        <v>63505</v>
      </c>
      <c r="D1630" t="s">
        <v>64</v>
      </c>
      <c r="E1630" t="s">
        <v>14</v>
      </c>
      <c r="F1630" t="s">
        <v>76</v>
      </c>
      <c r="G1630" t="s">
        <v>18</v>
      </c>
      <c r="H1630" t="s">
        <v>19</v>
      </c>
      <c r="I1630">
        <v>96.7</v>
      </c>
      <c r="J1630">
        <v>94.3</v>
      </c>
      <c r="K1630">
        <v>96.7</v>
      </c>
      <c r="L1630">
        <v>65672.182006204748</v>
      </c>
    </row>
    <row r="1631" spans="1:12" hidden="1" x14ac:dyDescent="0.25">
      <c r="A1631">
        <v>2017</v>
      </c>
      <c r="B1631" t="s">
        <v>12</v>
      </c>
      <c r="C1631">
        <v>41</v>
      </c>
      <c r="D1631" t="s">
        <v>64</v>
      </c>
      <c r="E1631" t="s">
        <v>14</v>
      </c>
      <c r="F1631" t="s">
        <v>76</v>
      </c>
      <c r="G1631" t="s">
        <v>48</v>
      </c>
      <c r="H1631" t="s">
        <v>49</v>
      </c>
      <c r="I1631">
        <v>98.189528995325006</v>
      </c>
      <c r="J1631">
        <v>95.003435419368998</v>
      </c>
      <c r="K1631">
        <v>98.189528995325006</v>
      </c>
      <c r="L1631">
        <v>41.755979908969813</v>
      </c>
    </row>
    <row r="1632" spans="1:12" hidden="1" x14ac:dyDescent="0.25">
      <c r="A1632">
        <v>2017</v>
      </c>
      <c r="B1632" t="s">
        <v>66</v>
      </c>
      <c r="C1632">
        <v>9650</v>
      </c>
      <c r="D1632" t="s">
        <v>64</v>
      </c>
      <c r="E1632" t="s">
        <v>14</v>
      </c>
      <c r="F1632" t="s">
        <v>76</v>
      </c>
      <c r="G1632" t="s">
        <v>48</v>
      </c>
      <c r="H1632" t="s">
        <v>49</v>
      </c>
      <c r="I1632">
        <v>95.5</v>
      </c>
      <c r="J1632">
        <v>94.3</v>
      </c>
      <c r="K1632">
        <v>95.5</v>
      </c>
      <c r="L1632">
        <v>10104.712041884821</v>
      </c>
    </row>
    <row r="1633" spans="1:12" hidden="1" x14ac:dyDescent="0.25">
      <c r="A1633">
        <v>2017</v>
      </c>
      <c r="B1633" t="s">
        <v>12</v>
      </c>
      <c r="C1633">
        <v>12932</v>
      </c>
      <c r="D1633" t="s">
        <v>64</v>
      </c>
      <c r="E1633" t="s">
        <v>14</v>
      </c>
      <c r="F1633" t="s">
        <v>76</v>
      </c>
      <c r="G1633" t="s">
        <v>36</v>
      </c>
      <c r="H1633" t="s">
        <v>37</v>
      </c>
      <c r="I1633">
        <v>96.253026824776995</v>
      </c>
      <c r="J1633">
        <v>95.003435419368998</v>
      </c>
      <c r="K1633">
        <v>96.253026824776995</v>
      </c>
      <c r="L1633">
        <v>13435.42164501689</v>
      </c>
    </row>
    <row r="1634" spans="1:12" hidden="1" x14ac:dyDescent="0.25">
      <c r="A1634">
        <v>2017</v>
      </c>
      <c r="B1634" t="s">
        <v>66</v>
      </c>
      <c r="C1634">
        <v>43961</v>
      </c>
      <c r="D1634" t="s">
        <v>64</v>
      </c>
      <c r="E1634" t="s">
        <v>14</v>
      </c>
      <c r="F1634" t="s">
        <v>76</v>
      </c>
      <c r="G1634" t="s">
        <v>36</v>
      </c>
      <c r="H1634" t="s">
        <v>37</v>
      </c>
      <c r="I1634">
        <v>96.1</v>
      </c>
      <c r="J1634">
        <v>94.3</v>
      </c>
      <c r="K1634">
        <v>96.1</v>
      </c>
      <c r="L1634">
        <v>45745.057232049963</v>
      </c>
    </row>
    <row r="1635" spans="1:12" hidden="1" x14ac:dyDescent="0.25">
      <c r="A1635">
        <v>2017</v>
      </c>
      <c r="B1635" t="s">
        <v>12</v>
      </c>
      <c r="C1635">
        <v>1358</v>
      </c>
      <c r="D1635" t="s">
        <v>64</v>
      </c>
      <c r="E1635" t="s">
        <v>14</v>
      </c>
      <c r="F1635" t="s">
        <v>76</v>
      </c>
      <c r="G1635" t="s">
        <v>38</v>
      </c>
      <c r="H1635" t="s">
        <v>39</v>
      </c>
      <c r="I1635">
        <v>96.253026824776995</v>
      </c>
      <c r="J1635">
        <v>95.003435419368998</v>
      </c>
      <c r="K1635">
        <v>96.253026824776995</v>
      </c>
      <c r="L1635">
        <v>1410.864722698185</v>
      </c>
    </row>
    <row r="1636" spans="1:12" hidden="1" x14ac:dyDescent="0.25">
      <c r="A1636">
        <v>2017</v>
      </c>
      <c r="B1636" t="s">
        <v>66</v>
      </c>
      <c r="C1636">
        <v>2115</v>
      </c>
      <c r="D1636" t="s">
        <v>64</v>
      </c>
      <c r="E1636" t="s">
        <v>14</v>
      </c>
      <c r="F1636" t="s">
        <v>76</v>
      </c>
      <c r="G1636" t="s">
        <v>38</v>
      </c>
      <c r="H1636" t="s">
        <v>39</v>
      </c>
      <c r="I1636">
        <v>96.1</v>
      </c>
      <c r="J1636">
        <v>94.3</v>
      </c>
      <c r="K1636">
        <v>96.1</v>
      </c>
      <c r="L1636">
        <v>2200.832466181062</v>
      </c>
    </row>
    <row r="1637" spans="1:12" hidden="1" x14ac:dyDescent="0.25">
      <c r="A1637">
        <v>2017</v>
      </c>
      <c r="B1637" t="s">
        <v>12</v>
      </c>
      <c r="C1637">
        <v>374</v>
      </c>
      <c r="D1637" t="s">
        <v>64</v>
      </c>
      <c r="E1637" t="s">
        <v>14</v>
      </c>
      <c r="F1637" t="s">
        <v>76</v>
      </c>
      <c r="G1637" t="s">
        <v>24</v>
      </c>
      <c r="H1637" t="s">
        <v>25</v>
      </c>
      <c r="I1637">
        <v>111.61986215915999</v>
      </c>
      <c r="J1637">
        <v>95.003435419368998</v>
      </c>
      <c r="K1637">
        <v>111.61986215915999</v>
      </c>
      <c r="L1637">
        <v>335.06581424254881</v>
      </c>
    </row>
    <row r="1638" spans="1:12" hidden="1" x14ac:dyDescent="0.25">
      <c r="A1638">
        <v>2017</v>
      </c>
      <c r="B1638" t="s">
        <v>66</v>
      </c>
      <c r="C1638">
        <v>4096</v>
      </c>
      <c r="D1638" t="s">
        <v>64</v>
      </c>
      <c r="E1638" t="s">
        <v>14</v>
      </c>
      <c r="F1638" t="s">
        <v>76</v>
      </c>
      <c r="G1638" t="s">
        <v>24</v>
      </c>
      <c r="H1638" t="s">
        <v>25</v>
      </c>
      <c r="I1638">
        <v>96.6</v>
      </c>
      <c r="J1638">
        <v>94.3</v>
      </c>
      <c r="K1638">
        <v>96.6</v>
      </c>
      <c r="L1638">
        <v>4240.1656314699794</v>
      </c>
    </row>
    <row r="1639" spans="1:12" hidden="1" x14ac:dyDescent="0.25">
      <c r="A1639">
        <v>2017</v>
      </c>
      <c r="B1639" t="s">
        <v>12</v>
      </c>
      <c r="C1639">
        <v>7104</v>
      </c>
      <c r="D1639" t="s">
        <v>64</v>
      </c>
      <c r="E1639" t="s">
        <v>14</v>
      </c>
      <c r="F1639" t="s">
        <v>76</v>
      </c>
      <c r="G1639" t="s">
        <v>20</v>
      </c>
      <c r="H1639" t="s">
        <v>21</v>
      </c>
      <c r="I1639">
        <v>90.846967636214998</v>
      </c>
      <c r="J1639">
        <v>95.003435419368998</v>
      </c>
      <c r="K1639">
        <v>90.846967636214998</v>
      </c>
      <c r="L1639">
        <v>7819.7436687672989</v>
      </c>
    </row>
    <row r="1640" spans="1:12" hidden="1" x14ac:dyDescent="0.25">
      <c r="A1640">
        <v>2017</v>
      </c>
      <c r="B1640" t="s">
        <v>66</v>
      </c>
      <c r="C1640">
        <v>22661</v>
      </c>
      <c r="D1640" t="s">
        <v>64</v>
      </c>
      <c r="E1640" t="s">
        <v>14</v>
      </c>
      <c r="F1640" t="s">
        <v>76</v>
      </c>
      <c r="G1640" t="s">
        <v>20</v>
      </c>
      <c r="H1640" t="s">
        <v>21</v>
      </c>
      <c r="I1640">
        <v>96.4</v>
      </c>
      <c r="J1640">
        <v>94.3</v>
      </c>
      <c r="K1640">
        <v>96.4</v>
      </c>
      <c r="L1640">
        <v>23507.261410788378</v>
      </c>
    </row>
    <row r="1641" spans="1:12" hidden="1" x14ac:dyDescent="0.25">
      <c r="A1641">
        <v>2017</v>
      </c>
      <c r="B1641" t="s">
        <v>12</v>
      </c>
      <c r="C1641">
        <v>3125</v>
      </c>
      <c r="D1641" t="s">
        <v>64</v>
      </c>
      <c r="E1641" t="s">
        <v>14</v>
      </c>
      <c r="F1641" t="s">
        <v>76</v>
      </c>
      <c r="G1641" t="s">
        <v>40</v>
      </c>
      <c r="H1641" t="s">
        <v>41</v>
      </c>
      <c r="I1641">
        <v>96.253026824776995</v>
      </c>
      <c r="J1641">
        <v>95.003435419368998</v>
      </c>
      <c r="K1641">
        <v>96.253026824776995</v>
      </c>
      <c r="L1641">
        <v>3246.6511475933939</v>
      </c>
    </row>
    <row r="1642" spans="1:12" hidden="1" x14ac:dyDescent="0.25">
      <c r="A1642">
        <v>2017</v>
      </c>
      <c r="B1642" t="s">
        <v>66</v>
      </c>
      <c r="C1642">
        <v>18546</v>
      </c>
      <c r="D1642" t="s">
        <v>64</v>
      </c>
      <c r="E1642" t="s">
        <v>14</v>
      </c>
      <c r="F1642" t="s">
        <v>76</v>
      </c>
      <c r="G1642" t="s">
        <v>40</v>
      </c>
      <c r="H1642" t="s">
        <v>41</v>
      </c>
      <c r="I1642">
        <v>95.4</v>
      </c>
      <c r="J1642">
        <v>94.3</v>
      </c>
      <c r="K1642">
        <v>95.4</v>
      </c>
      <c r="L1642">
        <v>19440.251572327041</v>
      </c>
    </row>
    <row r="1643" spans="1:12" hidden="1" x14ac:dyDescent="0.25">
      <c r="A1643">
        <v>2017</v>
      </c>
      <c r="B1643" t="s">
        <v>12</v>
      </c>
      <c r="C1643">
        <v>395</v>
      </c>
      <c r="D1643" t="s">
        <v>64</v>
      </c>
      <c r="E1643" t="s">
        <v>14</v>
      </c>
      <c r="F1643" t="s">
        <v>76</v>
      </c>
      <c r="G1643" t="s">
        <v>22</v>
      </c>
      <c r="H1643" t="s">
        <v>23</v>
      </c>
      <c r="I1643">
        <v>111.61986215915999</v>
      </c>
      <c r="J1643">
        <v>95.003435419368998</v>
      </c>
      <c r="K1643">
        <v>111.61986215915999</v>
      </c>
      <c r="L1643">
        <v>353.87967012247799</v>
      </c>
    </row>
    <row r="1644" spans="1:12" hidden="1" x14ac:dyDescent="0.25">
      <c r="A1644">
        <v>2017</v>
      </c>
      <c r="B1644" t="s">
        <v>66</v>
      </c>
      <c r="C1644">
        <v>13860</v>
      </c>
      <c r="D1644" t="s">
        <v>64</v>
      </c>
      <c r="E1644" t="s">
        <v>14</v>
      </c>
      <c r="F1644" t="s">
        <v>76</v>
      </c>
      <c r="G1644" t="s">
        <v>22</v>
      </c>
      <c r="H1644" t="s">
        <v>23</v>
      </c>
      <c r="I1644">
        <v>97.5</v>
      </c>
      <c r="J1644">
        <v>94.3</v>
      </c>
      <c r="K1644">
        <v>97.5</v>
      </c>
      <c r="L1644">
        <v>14215.384615384621</v>
      </c>
    </row>
    <row r="1645" spans="1:12" hidden="1" x14ac:dyDescent="0.25">
      <c r="A1645">
        <v>2017</v>
      </c>
      <c r="B1645" t="s">
        <v>12</v>
      </c>
      <c r="C1645">
        <v>767</v>
      </c>
      <c r="D1645" t="s">
        <v>64</v>
      </c>
      <c r="E1645" t="s">
        <v>14</v>
      </c>
      <c r="F1645" t="s">
        <v>76</v>
      </c>
      <c r="G1645" t="s">
        <v>50</v>
      </c>
      <c r="H1645" t="s">
        <v>51</v>
      </c>
      <c r="I1645">
        <v>98.189528995325006</v>
      </c>
      <c r="J1645">
        <v>95.003435419368998</v>
      </c>
      <c r="K1645">
        <v>98.189528995325006</v>
      </c>
      <c r="L1645">
        <v>781.14235585804511</v>
      </c>
    </row>
    <row r="1646" spans="1:12" hidden="1" x14ac:dyDescent="0.25">
      <c r="A1646">
        <v>2017</v>
      </c>
      <c r="B1646" t="s">
        <v>66</v>
      </c>
      <c r="C1646">
        <v>30619</v>
      </c>
      <c r="D1646" t="s">
        <v>64</v>
      </c>
      <c r="E1646" t="s">
        <v>14</v>
      </c>
      <c r="F1646" t="s">
        <v>76</v>
      </c>
      <c r="G1646" t="s">
        <v>50</v>
      </c>
      <c r="H1646" t="s">
        <v>51</v>
      </c>
      <c r="I1646">
        <v>94.3</v>
      </c>
      <c r="J1646">
        <v>94.3</v>
      </c>
      <c r="K1646">
        <v>94.3</v>
      </c>
      <c r="L1646">
        <v>32469.777306468721</v>
      </c>
    </row>
    <row r="1647" spans="1:12" hidden="1" x14ac:dyDescent="0.25">
      <c r="A1647">
        <v>2017</v>
      </c>
      <c r="B1647" t="s">
        <v>12</v>
      </c>
      <c r="C1647">
        <v>5800</v>
      </c>
      <c r="D1647" t="s">
        <v>64</v>
      </c>
      <c r="E1647" t="s">
        <v>14</v>
      </c>
      <c r="F1647" t="s">
        <v>76</v>
      </c>
      <c r="G1647" t="s">
        <v>30</v>
      </c>
      <c r="H1647" t="s">
        <v>31</v>
      </c>
      <c r="I1647">
        <v>76.712843517501994</v>
      </c>
      <c r="J1647">
        <v>95.003435419368998</v>
      </c>
      <c r="K1647">
        <v>76.712843517501994</v>
      </c>
      <c r="L1647">
        <v>7560.6635526119326</v>
      </c>
    </row>
    <row r="1648" spans="1:12" hidden="1" x14ac:dyDescent="0.25">
      <c r="A1648">
        <v>2017</v>
      </c>
      <c r="B1648" t="s">
        <v>66</v>
      </c>
      <c r="C1648">
        <v>11537</v>
      </c>
      <c r="D1648" t="s">
        <v>64</v>
      </c>
      <c r="E1648" t="s">
        <v>14</v>
      </c>
      <c r="F1648" t="s">
        <v>76</v>
      </c>
      <c r="G1648" t="s">
        <v>30</v>
      </c>
      <c r="H1648" t="s">
        <v>31</v>
      </c>
      <c r="I1648">
        <v>93.7</v>
      </c>
      <c r="J1648">
        <v>94.3</v>
      </c>
      <c r="K1648">
        <v>93.7</v>
      </c>
      <c r="L1648">
        <v>12312.700106723591</v>
      </c>
    </row>
    <row r="1649" spans="1:12" hidden="1" x14ac:dyDescent="0.25">
      <c r="A1649">
        <v>2017</v>
      </c>
      <c r="B1649" t="s">
        <v>12</v>
      </c>
      <c r="C1649">
        <v>4139</v>
      </c>
      <c r="D1649" t="s">
        <v>64</v>
      </c>
      <c r="E1649" t="s">
        <v>14</v>
      </c>
      <c r="F1649" t="s">
        <v>76</v>
      </c>
      <c r="G1649" t="s">
        <v>46</v>
      </c>
      <c r="H1649" t="s">
        <v>47</v>
      </c>
      <c r="I1649">
        <v>98.189528995325006</v>
      </c>
      <c r="J1649">
        <v>95.003435419368998</v>
      </c>
      <c r="K1649">
        <v>98.189528995325006</v>
      </c>
      <c r="L1649">
        <v>4215.3170937372206</v>
      </c>
    </row>
    <row r="1650" spans="1:12" hidden="1" x14ac:dyDescent="0.25">
      <c r="A1650">
        <v>2017</v>
      </c>
      <c r="B1650" t="s">
        <v>66</v>
      </c>
      <c r="C1650">
        <v>20109</v>
      </c>
      <c r="D1650" t="s">
        <v>64</v>
      </c>
      <c r="E1650" t="s">
        <v>14</v>
      </c>
      <c r="F1650" t="s">
        <v>76</v>
      </c>
      <c r="G1650" t="s">
        <v>46</v>
      </c>
      <c r="H1650" t="s">
        <v>47</v>
      </c>
      <c r="I1650">
        <v>90.2</v>
      </c>
      <c r="J1650">
        <v>94.3</v>
      </c>
      <c r="K1650">
        <v>90.2</v>
      </c>
      <c r="L1650">
        <v>22293.791574279381</v>
      </c>
    </row>
    <row r="1651" spans="1:12" hidden="1" x14ac:dyDescent="0.25">
      <c r="A1651">
        <v>2017</v>
      </c>
      <c r="B1651" t="s">
        <v>12</v>
      </c>
      <c r="C1651">
        <v>328</v>
      </c>
      <c r="D1651" t="s">
        <v>64</v>
      </c>
      <c r="E1651" t="s">
        <v>14</v>
      </c>
      <c r="F1651" t="s">
        <v>76</v>
      </c>
      <c r="G1651" t="s">
        <v>26</v>
      </c>
      <c r="H1651" t="s">
        <v>27</v>
      </c>
      <c r="I1651">
        <v>111.61986215915999</v>
      </c>
      <c r="J1651">
        <v>95.003435419368998</v>
      </c>
      <c r="K1651">
        <v>111.61986215915999</v>
      </c>
      <c r="L1651">
        <v>293.85451088651331</v>
      </c>
    </row>
    <row r="1652" spans="1:12" hidden="1" x14ac:dyDescent="0.25">
      <c r="A1652">
        <v>2017</v>
      </c>
      <c r="B1652" t="s">
        <v>66</v>
      </c>
      <c r="C1652">
        <v>2836</v>
      </c>
      <c r="D1652" t="s">
        <v>64</v>
      </c>
      <c r="E1652" t="s">
        <v>14</v>
      </c>
      <c r="F1652" t="s">
        <v>76</v>
      </c>
      <c r="G1652" t="s">
        <v>26</v>
      </c>
      <c r="H1652" t="s">
        <v>27</v>
      </c>
      <c r="I1652">
        <v>97.8</v>
      </c>
      <c r="J1652">
        <v>94.3</v>
      </c>
      <c r="K1652">
        <v>97.8</v>
      </c>
      <c r="L1652">
        <v>2899.795501022495</v>
      </c>
    </row>
    <row r="1653" spans="1:12" hidden="1" x14ac:dyDescent="0.25">
      <c r="A1653">
        <v>2017</v>
      </c>
      <c r="B1653" t="s">
        <v>12</v>
      </c>
      <c r="C1653">
        <v>2475</v>
      </c>
      <c r="D1653" t="s">
        <v>64</v>
      </c>
      <c r="E1653" t="s">
        <v>14</v>
      </c>
      <c r="F1653" t="s">
        <v>76</v>
      </c>
      <c r="G1653" t="s">
        <v>42</v>
      </c>
      <c r="H1653" t="s">
        <v>43</v>
      </c>
      <c r="I1653">
        <v>89.385379074143003</v>
      </c>
      <c r="J1653">
        <v>95.003435419368998</v>
      </c>
      <c r="K1653">
        <v>89.385379074143003</v>
      </c>
      <c r="L1653">
        <v>2768.9092171853381</v>
      </c>
    </row>
    <row r="1654" spans="1:12" hidden="1" x14ac:dyDescent="0.25">
      <c r="A1654">
        <v>2017</v>
      </c>
      <c r="B1654" t="s">
        <v>66</v>
      </c>
      <c r="C1654">
        <v>23415</v>
      </c>
      <c r="D1654" t="s">
        <v>64</v>
      </c>
      <c r="E1654" t="s">
        <v>14</v>
      </c>
      <c r="F1654" t="s">
        <v>76</v>
      </c>
      <c r="G1654" t="s">
        <v>42</v>
      </c>
      <c r="H1654" t="s">
        <v>43</v>
      </c>
      <c r="I1654">
        <v>95.9</v>
      </c>
      <c r="J1654">
        <v>94.3</v>
      </c>
      <c r="K1654">
        <v>95.9</v>
      </c>
      <c r="L1654">
        <v>24416.05839416058</v>
      </c>
    </row>
    <row r="1655" spans="1:12" hidden="1" x14ac:dyDescent="0.25">
      <c r="A1655">
        <v>2017</v>
      </c>
      <c r="B1655" t="s">
        <v>12</v>
      </c>
      <c r="C1655">
        <v>3637</v>
      </c>
      <c r="D1655" t="s">
        <v>64</v>
      </c>
      <c r="E1655" t="s">
        <v>14</v>
      </c>
      <c r="F1655" t="s">
        <v>76</v>
      </c>
      <c r="G1655" t="s">
        <v>28</v>
      </c>
      <c r="H1655" t="s">
        <v>29</v>
      </c>
      <c r="I1655">
        <v>102.38170475517001</v>
      </c>
      <c r="J1655">
        <v>95.003435419368998</v>
      </c>
      <c r="K1655">
        <v>102.38170475517001</v>
      </c>
      <c r="L1655">
        <v>3552.3924989306661</v>
      </c>
    </row>
    <row r="1656" spans="1:12" hidden="1" x14ac:dyDescent="0.25">
      <c r="A1656">
        <v>2017</v>
      </c>
      <c r="B1656" t="s">
        <v>66</v>
      </c>
      <c r="C1656">
        <v>1423</v>
      </c>
      <c r="D1656" t="s">
        <v>64</v>
      </c>
      <c r="E1656" t="s">
        <v>14</v>
      </c>
      <c r="F1656" t="s">
        <v>76</v>
      </c>
      <c r="G1656" t="s">
        <v>28</v>
      </c>
      <c r="H1656" t="s">
        <v>29</v>
      </c>
      <c r="I1656">
        <v>98.6</v>
      </c>
      <c r="J1656">
        <v>94.3</v>
      </c>
      <c r="K1656">
        <v>98.6</v>
      </c>
      <c r="L1656">
        <v>1443.204868154158</v>
      </c>
    </row>
    <row r="1657" spans="1:12" hidden="1" x14ac:dyDescent="0.25">
      <c r="A1657">
        <v>2017</v>
      </c>
      <c r="B1657" t="s">
        <v>12</v>
      </c>
      <c r="C1657">
        <v>97</v>
      </c>
      <c r="D1657" t="s">
        <v>64</v>
      </c>
      <c r="E1657" t="s">
        <v>14</v>
      </c>
      <c r="F1657" t="s">
        <v>76</v>
      </c>
      <c r="G1657" t="s">
        <v>54</v>
      </c>
      <c r="H1657" t="s">
        <v>55</v>
      </c>
      <c r="I1657">
        <v>98.189528995325006</v>
      </c>
      <c r="J1657">
        <v>95.003435419368998</v>
      </c>
      <c r="K1657">
        <v>98.189528995325006</v>
      </c>
      <c r="L1657">
        <v>98.788537833416385</v>
      </c>
    </row>
    <row r="1658" spans="1:12" hidden="1" x14ac:dyDescent="0.25">
      <c r="A1658">
        <v>2017</v>
      </c>
      <c r="B1658" t="s">
        <v>66</v>
      </c>
      <c r="C1658">
        <v>78785</v>
      </c>
      <c r="D1658" t="s">
        <v>64</v>
      </c>
      <c r="E1658" t="s">
        <v>14</v>
      </c>
      <c r="F1658" t="s">
        <v>76</v>
      </c>
      <c r="G1658" t="s">
        <v>54</v>
      </c>
      <c r="H1658" t="s">
        <v>55</v>
      </c>
      <c r="I1658">
        <v>97</v>
      </c>
      <c r="J1658">
        <v>94.3</v>
      </c>
      <c r="K1658">
        <v>97</v>
      </c>
      <c r="L1658">
        <v>81221.649484536072</v>
      </c>
    </row>
    <row r="1659" spans="1:12" hidden="1" x14ac:dyDescent="0.25">
      <c r="A1659">
        <v>2017</v>
      </c>
      <c r="B1659" t="s">
        <v>12</v>
      </c>
      <c r="C1659">
        <v>1650</v>
      </c>
      <c r="D1659" t="s">
        <v>64</v>
      </c>
      <c r="E1659" t="s">
        <v>14</v>
      </c>
      <c r="F1659" t="s">
        <v>76</v>
      </c>
      <c r="G1659" t="s">
        <v>44</v>
      </c>
      <c r="H1659" t="s">
        <v>45</v>
      </c>
      <c r="I1659">
        <v>89.385379074143003</v>
      </c>
      <c r="J1659">
        <v>95.003435419368998</v>
      </c>
      <c r="K1659">
        <v>89.385379074143003</v>
      </c>
      <c r="L1659">
        <v>1845.939478123559</v>
      </c>
    </row>
    <row r="1660" spans="1:12" hidden="1" x14ac:dyDescent="0.25">
      <c r="A1660">
        <v>2017</v>
      </c>
      <c r="B1660" t="s">
        <v>66</v>
      </c>
      <c r="C1660">
        <v>31588</v>
      </c>
      <c r="D1660" t="s">
        <v>64</v>
      </c>
      <c r="E1660" t="s">
        <v>14</v>
      </c>
      <c r="F1660" t="s">
        <v>76</v>
      </c>
      <c r="G1660" t="s">
        <v>44</v>
      </c>
      <c r="H1660" t="s">
        <v>45</v>
      </c>
      <c r="I1660">
        <v>89.3</v>
      </c>
      <c r="J1660">
        <v>94.3</v>
      </c>
      <c r="K1660">
        <v>89.3</v>
      </c>
      <c r="L1660">
        <v>35372.900335946251</v>
      </c>
    </row>
    <row r="1661" spans="1:12" hidden="1" x14ac:dyDescent="0.25">
      <c r="A1661">
        <v>2017</v>
      </c>
      <c r="B1661" t="s">
        <v>12</v>
      </c>
      <c r="C1661">
        <v>935</v>
      </c>
      <c r="D1661" t="s">
        <v>64</v>
      </c>
      <c r="E1661" t="s">
        <v>14</v>
      </c>
      <c r="F1661" t="s">
        <v>76</v>
      </c>
      <c r="G1661" t="s">
        <v>52</v>
      </c>
      <c r="H1661" t="s">
        <v>53</v>
      </c>
      <c r="I1661">
        <v>98.189528995325006</v>
      </c>
      <c r="J1661">
        <v>95.003435419368998</v>
      </c>
      <c r="K1661">
        <v>98.189528995325006</v>
      </c>
      <c r="L1661">
        <v>952.24002963138469</v>
      </c>
    </row>
    <row r="1662" spans="1:12" hidden="1" x14ac:dyDescent="0.25">
      <c r="A1662">
        <v>2017</v>
      </c>
      <c r="B1662" t="s">
        <v>66</v>
      </c>
      <c r="C1662">
        <v>39868</v>
      </c>
      <c r="D1662" t="s">
        <v>64</v>
      </c>
      <c r="E1662" t="s">
        <v>14</v>
      </c>
      <c r="F1662" t="s">
        <v>76</v>
      </c>
      <c r="G1662" t="s">
        <v>52</v>
      </c>
      <c r="H1662" t="s">
        <v>53</v>
      </c>
      <c r="I1662">
        <v>96.3</v>
      </c>
      <c r="J1662">
        <v>94.3</v>
      </c>
      <c r="K1662">
        <v>96.3</v>
      </c>
      <c r="L1662">
        <v>41399.79231568017</v>
      </c>
    </row>
    <row r="1663" spans="1:12" hidden="1" x14ac:dyDescent="0.25">
      <c r="A1663">
        <v>2017</v>
      </c>
      <c r="B1663" t="s">
        <v>12</v>
      </c>
      <c r="C1663">
        <v>1801</v>
      </c>
      <c r="D1663" t="s">
        <v>64</v>
      </c>
      <c r="E1663" t="s">
        <v>14</v>
      </c>
      <c r="F1663" t="s">
        <v>76</v>
      </c>
      <c r="G1663" t="s">
        <v>62</v>
      </c>
      <c r="H1663" t="s">
        <v>63</v>
      </c>
      <c r="I1663">
        <v>98.189528995325006</v>
      </c>
      <c r="J1663">
        <v>95.003435419368998</v>
      </c>
      <c r="K1663">
        <v>98.189528995325006</v>
      </c>
      <c r="L1663">
        <v>1834.2078003915769</v>
      </c>
    </row>
    <row r="1664" spans="1:12" hidden="1" x14ac:dyDescent="0.25">
      <c r="A1664">
        <v>2017</v>
      </c>
      <c r="B1664" t="s">
        <v>12</v>
      </c>
      <c r="C1664">
        <v>591</v>
      </c>
      <c r="D1664" t="s">
        <v>64</v>
      </c>
      <c r="E1664" t="s">
        <v>14</v>
      </c>
      <c r="F1664" t="s">
        <v>76</v>
      </c>
      <c r="G1664" t="s">
        <v>58</v>
      </c>
      <c r="H1664" t="s">
        <v>59</v>
      </c>
      <c r="I1664">
        <v>102.38170475517001</v>
      </c>
      <c r="J1664">
        <v>95.003435419368998</v>
      </c>
      <c r="K1664">
        <v>102.38170475517001</v>
      </c>
      <c r="L1664">
        <v>577.25157186363026</v>
      </c>
    </row>
    <row r="1665" spans="1:12" hidden="1" x14ac:dyDescent="0.25">
      <c r="A1665">
        <v>2017</v>
      </c>
      <c r="B1665" t="s">
        <v>66</v>
      </c>
      <c r="C1665">
        <v>819</v>
      </c>
      <c r="D1665" t="s">
        <v>64</v>
      </c>
      <c r="E1665" t="s">
        <v>14</v>
      </c>
      <c r="F1665" t="s">
        <v>76</v>
      </c>
      <c r="G1665" t="s">
        <v>58</v>
      </c>
      <c r="H1665" t="s">
        <v>59</v>
      </c>
      <c r="I1665">
        <v>96.7</v>
      </c>
      <c r="J1665">
        <v>94.3</v>
      </c>
      <c r="K1665">
        <v>96.7</v>
      </c>
      <c r="L1665">
        <v>846.94932781799378</v>
      </c>
    </row>
    <row r="1666" spans="1:12" hidden="1" x14ac:dyDescent="0.25">
      <c r="A1666">
        <v>2017</v>
      </c>
      <c r="B1666" t="s">
        <v>12</v>
      </c>
      <c r="C1666">
        <v>504</v>
      </c>
      <c r="D1666" t="s">
        <v>64</v>
      </c>
      <c r="E1666" t="s">
        <v>14</v>
      </c>
      <c r="F1666" t="s">
        <v>76</v>
      </c>
      <c r="G1666" t="s">
        <v>32</v>
      </c>
      <c r="H1666" t="s">
        <v>33</v>
      </c>
      <c r="I1666">
        <v>76.712843517501994</v>
      </c>
      <c r="J1666">
        <v>95.003435419368998</v>
      </c>
      <c r="K1666">
        <v>76.712843517501994</v>
      </c>
      <c r="L1666">
        <v>656.99559146834736</v>
      </c>
    </row>
    <row r="1667" spans="1:12" hidden="1" x14ac:dyDescent="0.25">
      <c r="A1667">
        <v>2017</v>
      </c>
      <c r="B1667" t="s">
        <v>66</v>
      </c>
      <c r="C1667">
        <v>920</v>
      </c>
      <c r="D1667" t="s">
        <v>64</v>
      </c>
      <c r="E1667" t="s">
        <v>14</v>
      </c>
      <c r="F1667" t="s">
        <v>76</v>
      </c>
      <c r="G1667" t="s">
        <v>32</v>
      </c>
      <c r="H1667" t="s">
        <v>33</v>
      </c>
      <c r="I1667">
        <v>96.5</v>
      </c>
      <c r="J1667">
        <v>94.3</v>
      </c>
      <c r="K1667">
        <v>96.5</v>
      </c>
      <c r="L1667">
        <v>953.36787564766837</v>
      </c>
    </row>
    <row r="1668" spans="1:12" hidden="1" x14ac:dyDescent="0.25">
      <c r="A1668">
        <v>2017</v>
      </c>
      <c r="B1668" t="s">
        <v>12</v>
      </c>
      <c r="C1668">
        <v>97</v>
      </c>
      <c r="D1668" t="s">
        <v>64</v>
      </c>
      <c r="E1668" t="s">
        <v>14</v>
      </c>
      <c r="F1668" t="s">
        <v>76</v>
      </c>
      <c r="G1668" t="s">
        <v>60</v>
      </c>
      <c r="H1668" t="s">
        <v>61</v>
      </c>
      <c r="J1668">
        <v>95.003435419368998</v>
      </c>
      <c r="K1668">
        <v>95.003435419368998</v>
      </c>
      <c r="L1668">
        <v>102.10157092932241</v>
      </c>
    </row>
    <row r="1669" spans="1:12" hidden="1" x14ac:dyDescent="0.25">
      <c r="A1669">
        <v>2017</v>
      </c>
      <c r="B1669" t="s">
        <v>66</v>
      </c>
      <c r="C1669">
        <v>569</v>
      </c>
      <c r="D1669" t="s">
        <v>64</v>
      </c>
      <c r="E1669" t="s">
        <v>14</v>
      </c>
      <c r="F1669" t="s">
        <v>76</v>
      </c>
      <c r="G1669" t="s">
        <v>60</v>
      </c>
      <c r="H1669" t="s">
        <v>61</v>
      </c>
      <c r="I1669">
        <v>95.9</v>
      </c>
      <c r="J1669">
        <v>94.3</v>
      </c>
      <c r="K1669">
        <v>95.9</v>
      </c>
      <c r="L1669">
        <v>593.32638164754951</v>
      </c>
    </row>
    <row r="1670" spans="1:12" hidden="1" x14ac:dyDescent="0.25">
      <c r="A1670">
        <v>2017</v>
      </c>
      <c r="B1670" t="s">
        <v>12</v>
      </c>
      <c r="C1670">
        <v>65</v>
      </c>
      <c r="D1670" t="s">
        <v>64</v>
      </c>
      <c r="E1670" t="s">
        <v>14</v>
      </c>
      <c r="F1670" t="s">
        <v>76</v>
      </c>
      <c r="G1670" t="s">
        <v>56</v>
      </c>
      <c r="H1670" t="s">
        <v>57</v>
      </c>
      <c r="I1670">
        <v>98.189528995325006</v>
      </c>
      <c r="J1670">
        <v>95.003435419368998</v>
      </c>
      <c r="K1670">
        <v>98.189528995325006</v>
      </c>
      <c r="L1670">
        <v>66.198504733732634</v>
      </c>
    </row>
    <row r="1671" spans="1:12" hidden="1" x14ac:dyDescent="0.25">
      <c r="A1671">
        <v>2017</v>
      </c>
      <c r="B1671" t="s">
        <v>66</v>
      </c>
      <c r="C1671">
        <v>1044</v>
      </c>
      <c r="D1671" t="s">
        <v>64</v>
      </c>
      <c r="E1671" t="s">
        <v>14</v>
      </c>
      <c r="F1671" t="s">
        <v>76</v>
      </c>
      <c r="G1671" t="s">
        <v>56</v>
      </c>
      <c r="H1671" t="s">
        <v>57</v>
      </c>
      <c r="I1671">
        <v>97</v>
      </c>
      <c r="J1671">
        <v>94.3</v>
      </c>
      <c r="K1671">
        <v>97</v>
      </c>
      <c r="L1671">
        <v>1076.288659793815</v>
      </c>
    </row>
    <row r="1672" spans="1:12" hidden="1" x14ac:dyDescent="0.25">
      <c r="A1672">
        <v>2017</v>
      </c>
      <c r="B1672" t="s">
        <v>66</v>
      </c>
      <c r="C1672">
        <v>33125</v>
      </c>
      <c r="D1672" t="s">
        <v>64</v>
      </c>
      <c r="E1672" t="s">
        <v>14</v>
      </c>
      <c r="F1672" t="s">
        <v>76</v>
      </c>
      <c r="G1672" t="s">
        <v>34</v>
      </c>
      <c r="H1672" t="s">
        <v>35</v>
      </c>
      <c r="I1672">
        <v>64.099999999999994</v>
      </c>
      <c r="J1672">
        <v>94.3</v>
      </c>
      <c r="K1672">
        <v>64.099999999999994</v>
      </c>
      <c r="L1672">
        <v>51677.067082683308</v>
      </c>
    </row>
    <row r="1673" spans="1:12" hidden="1" x14ac:dyDescent="0.25">
      <c r="A1673">
        <v>2017</v>
      </c>
      <c r="B1673" t="s">
        <v>66</v>
      </c>
      <c r="C1673">
        <v>1014</v>
      </c>
      <c r="D1673" t="s">
        <v>64</v>
      </c>
      <c r="E1673" t="s">
        <v>14</v>
      </c>
      <c r="F1673" t="s">
        <v>76</v>
      </c>
      <c r="G1673" t="s">
        <v>67</v>
      </c>
      <c r="H1673" t="s">
        <v>68</v>
      </c>
      <c r="I1673">
        <v>96.4</v>
      </c>
      <c r="J1673">
        <v>94.3</v>
      </c>
      <c r="K1673">
        <v>96.4</v>
      </c>
      <c r="L1673">
        <v>1051.8672199170121</v>
      </c>
    </row>
    <row r="1674" spans="1:12" hidden="1" x14ac:dyDescent="0.25">
      <c r="A1674">
        <v>2017</v>
      </c>
      <c r="B1674" t="s">
        <v>12</v>
      </c>
      <c r="C1674">
        <v>2837</v>
      </c>
      <c r="D1674" t="s">
        <v>64</v>
      </c>
      <c r="E1674" t="s">
        <v>14</v>
      </c>
      <c r="F1674" t="s">
        <v>76</v>
      </c>
      <c r="G1674" t="s">
        <v>16</v>
      </c>
      <c r="H1674" t="s">
        <v>17</v>
      </c>
      <c r="J1674">
        <v>95.003435419368998</v>
      </c>
      <c r="K1674">
        <v>95.003435419368998</v>
      </c>
      <c r="L1674">
        <v>2986.207801303995</v>
      </c>
    </row>
    <row r="1675" spans="1:12" hidden="1" x14ac:dyDescent="0.25">
      <c r="A1675">
        <v>2016</v>
      </c>
      <c r="B1675" t="s">
        <v>12</v>
      </c>
      <c r="C1675">
        <v>21043</v>
      </c>
      <c r="D1675" t="s">
        <v>64</v>
      </c>
      <c r="E1675" t="s">
        <v>14</v>
      </c>
      <c r="F1675" t="s">
        <v>76</v>
      </c>
      <c r="G1675" t="s">
        <v>18</v>
      </c>
      <c r="H1675" t="s">
        <v>19</v>
      </c>
      <c r="I1675">
        <v>96.618124512281994</v>
      </c>
      <c r="J1675">
        <v>95.629262636448004</v>
      </c>
      <c r="K1675">
        <v>96.618124512281994</v>
      </c>
      <c r="L1675">
        <v>21779.5575170009</v>
      </c>
    </row>
    <row r="1676" spans="1:12" hidden="1" x14ac:dyDescent="0.25">
      <c r="A1676">
        <v>2016</v>
      </c>
      <c r="B1676" t="s">
        <v>66</v>
      </c>
      <c r="C1676">
        <v>60024</v>
      </c>
      <c r="D1676" t="s">
        <v>64</v>
      </c>
      <c r="E1676" t="s">
        <v>14</v>
      </c>
      <c r="F1676" t="s">
        <v>76</v>
      </c>
      <c r="G1676" t="s">
        <v>18</v>
      </c>
      <c r="H1676" t="s">
        <v>19</v>
      </c>
      <c r="I1676">
        <v>92.1</v>
      </c>
      <c r="J1676">
        <v>87.8</v>
      </c>
      <c r="K1676">
        <v>92.1</v>
      </c>
      <c r="L1676">
        <v>65172.638436482091</v>
      </c>
    </row>
    <row r="1677" spans="1:12" hidden="1" x14ac:dyDescent="0.25">
      <c r="A1677">
        <v>2016</v>
      </c>
      <c r="B1677" t="s">
        <v>12</v>
      </c>
      <c r="C1677">
        <v>1148</v>
      </c>
      <c r="D1677" t="s">
        <v>64</v>
      </c>
      <c r="E1677" t="s">
        <v>14</v>
      </c>
      <c r="F1677" t="s">
        <v>76</v>
      </c>
      <c r="G1677" t="s">
        <v>62</v>
      </c>
      <c r="H1677" t="s">
        <v>63</v>
      </c>
      <c r="I1677">
        <v>101.10423088160999</v>
      </c>
      <c r="J1677">
        <v>95.629262636448004</v>
      </c>
      <c r="K1677">
        <v>101.10423088160999</v>
      </c>
      <c r="L1677">
        <v>1135.46187928008</v>
      </c>
    </row>
    <row r="1678" spans="1:12" hidden="1" x14ac:dyDescent="0.25">
      <c r="A1678">
        <v>2016</v>
      </c>
      <c r="B1678" t="s">
        <v>12</v>
      </c>
      <c r="C1678">
        <v>425</v>
      </c>
      <c r="D1678" t="s">
        <v>64</v>
      </c>
      <c r="E1678" t="s">
        <v>14</v>
      </c>
      <c r="F1678" t="s">
        <v>76</v>
      </c>
      <c r="G1678" t="s">
        <v>58</v>
      </c>
      <c r="H1678" t="s">
        <v>59</v>
      </c>
      <c r="I1678">
        <v>106.15763962638999</v>
      </c>
      <c r="J1678">
        <v>95.629262636448004</v>
      </c>
      <c r="K1678">
        <v>106.15763962638999</v>
      </c>
      <c r="L1678">
        <v>400.34801215978439</v>
      </c>
    </row>
    <row r="1679" spans="1:12" hidden="1" x14ac:dyDescent="0.25">
      <c r="A1679">
        <v>2016</v>
      </c>
      <c r="B1679" t="s">
        <v>66</v>
      </c>
      <c r="C1679">
        <v>778</v>
      </c>
      <c r="D1679" t="s">
        <v>64</v>
      </c>
      <c r="E1679" t="s">
        <v>14</v>
      </c>
      <c r="F1679" t="s">
        <v>76</v>
      </c>
      <c r="G1679" t="s">
        <v>58</v>
      </c>
      <c r="H1679" t="s">
        <v>59</v>
      </c>
      <c r="I1679">
        <v>91.8</v>
      </c>
      <c r="J1679">
        <v>87.8</v>
      </c>
      <c r="K1679">
        <v>91.8</v>
      </c>
      <c r="L1679">
        <v>847.49455337690631</v>
      </c>
    </row>
    <row r="1680" spans="1:12" hidden="1" x14ac:dyDescent="0.25">
      <c r="A1680">
        <v>2016</v>
      </c>
      <c r="B1680" t="s">
        <v>12</v>
      </c>
      <c r="C1680">
        <v>3312</v>
      </c>
      <c r="D1680" t="s">
        <v>64</v>
      </c>
      <c r="E1680" t="s">
        <v>14</v>
      </c>
      <c r="F1680" t="s">
        <v>76</v>
      </c>
      <c r="G1680" t="s">
        <v>28</v>
      </c>
      <c r="H1680" t="s">
        <v>29</v>
      </c>
      <c r="I1680">
        <v>106.15763962638999</v>
      </c>
      <c r="J1680">
        <v>95.629262636448004</v>
      </c>
      <c r="K1680">
        <v>106.15763962638999</v>
      </c>
      <c r="L1680">
        <v>3119.8885088781321</v>
      </c>
    </row>
    <row r="1681" spans="1:12" hidden="1" x14ac:dyDescent="0.25">
      <c r="A1681">
        <v>2016</v>
      </c>
      <c r="B1681" t="s">
        <v>66</v>
      </c>
      <c r="C1681">
        <v>1343</v>
      </c>
      <c r="D1681" t="s">
        <v>64</v>
      </c>
      <c r="E1681" t="s">
        <v>14</v>
      </c>
      <c r="F1681" t="s">
        <v>76</v>
      </c>
      <c r="G1681" t="s">
        <v>28</v>
      </c>
      <c r="H1681" t="s">
        <v>29</v>
      </c>
      <c r="I1681">
        <v>91.8</v>
      </c>
      <c r="J1681">
        <v>87.8</v>
      </c>
      <c r="K1681">
        <v>91.8</v>
      </c>
      <c r="L1681">
        <v>1462.962962962963</v>
      </c>
    </row>
    <row r="1682" spans="1:12" hidden="1" x14ac:dyDescent="0.25">
      <c r="A1682">
        <v>2016</v>
      </c>
      <c r="B1682" t="s">
        <v>12</v>
      </c>
      <c r="C1682">
        <v>2216</v>
      </c>
      <c r="D1682" t="s">
        <v>64</v>
      </c>
      <c r="E1682" t="s">
        <v>14</v>
      </c>
      <c r="F1682" t="s">
        <v>76</v>
      </c>
      <c r="G1682" t="s">
        <v>42</v>
      </c>
      <c r="H1682" t="s">
        <v>43</v>
      </c>
      <c r="I1682">
        <v>89.680336785110001</v>
      </c>
      <c r="J1682">
        <v>95.629262636448004</v>
      </c>
      <c r="K1682">
        <v>89.680336785110001</v>
      </c>
      <c r="L1682">
        <v>2470.9987489341488</v>
      </c>
    </row>
    <row r="1683" spans="1:12" hidden="1" x14ac:dyDescent="0.25">
      <c r="A1683">
        <v>2016</v>
      </c>
      <c r="B1683" t="s">
        <v>66</v>
      </c>
      <c r="C1683">
        <v>21221</v>
      </c>
      <c r="D1683" t="s">
        <v>64</v>
      </c>
      <c r="E1683" t="s">
        <v>14</v>
      </c>
      <c r="F1683" t="s">
        <v>76</v>
      </c>
      <c r="G1683" t="s">
        <v>42</v>
      </c>
      <c r="H1683" t="s">
        <v>43</v>
      </c>
      <c r="I1683">
        <v>87.6</v>
      </c>
      <c r="J1683">
        <v>87.8</v>
      </c>
      <c r="K1683">
        <v>87.6</v>
      </c>
      <c r="L1683">
        <v>24224.88584474886</v>
      </c>
    </row>
    <row r="1684" spans="1:12" hidden="1" x14ac:dyDescent="0.25">
      <c r="A1684">
        <v>2016</v>
      </c>
      <c r="B1684" t="s">
        <v>12</v>
      </c>
      <c r="C1684">
        <v>821</v>
      </c>
      <c r="D1684" t="s">
        <v>64</v>
      </c>
      <c r="E1684" t="s">
        <v>14</v>
      </c>
      <c r="F1684" t="s">
        <v>76</v>
      </c>
      <c r="G1684" t="s">
        <v>50</v>
      </c>
      <c r="H1684" t="s">
        <v>51</v>
      </c>
      <c r="I1684">
        <v>101.10423088160999</v>
      </c>
      <c r="J1684">
        <v>95.629262636448004</v>
      </c>
      <c r="K1684">
        <v>101.10423088160999</v>
      </c>
      <c r="L1684">
        <v>812.03327777782738</v>
      </c>
    </row>
    <row r="1685" spans="1:12" hidden="1" x14ac:dyDescent="0.25">
      <c r="A1685">
        <v>2016</v>
      </c>
      <c r="B1685" t="s">
        <v>66</v>
      </c>
      <c r="C1685">
        <v>27551</v>
      </c>
      <c r="D1685" t="s">
        <v>64</v>
      </c>
      <c r="E1685" t="s">
        <v>14</v>
      </c>
      <c r="F1685" t="s">
        <v>76</v>
      </c>
      <c r="G1685" t="s">
        <v>50</v>
      </c>
      <c r="H1685" t="s">
        <v>51</v>
      </c>
      <c r="I1685">
        <v>90.7</v>
      </c>
      <c r="J1685">
        <v>87.8</v>
      </c>
      <c r="K1685">
        <v>90.7</v>
      </c>
      <c r="L1685">
        <v>30375.96471885336</v>
      </c>
    </row>
    <row r="1686" spans="1:12" hidden="1" x14ac:dyDescent="0.25">
      <c r="A1686">
        <v>2016</v>
      </c>
      <c r="B1686" t="s">
        <v>12</v>
      </c>
      <c r="C1686">
        <v>2239</v>
      </c>
      <c r="D1686" t="s">
        <v>64</v>
      </c>
      <c r="E1686" t="s">
        <v>14</v>
      </c>
      <c r="F1686" t="s">
        <v>76</v>
      </c>
      <c r="G1686" t="s">
        <v>46</v>
      </c>
      <c r="H1686" t="s">
        <v>47</v>
      </c>
      <c r="I1686">
        <v>101.10423088160999</v>
      </c>
      <c r="J1686">
        <v>95.629262636448004</v>
      </c>
      <c r="K1686">
        <v>101.10423088160999</v>
      </c>
      <c r="L1686">
        <v>2214.5462959129791</v>
      </c>
    </row>
    <row r="1687" spans="1:12" hidden="1" x14ac:dyDescent="0.25">
      <c r="A1687">
        <v>2016</v>
      </c>
      <c r="B1687" t="s">
        <v>66</v>
      </c>
      <c r="C1687">
        <v>19034</v>
      </c>
      <c r="D1687" t="s">
        <v>64</v>
      </c>
      <c r="E1687" t="s">
        <v>14</v>
      </c>
      <c r="F1687" t="s">
        <v>76</v>
      </c>
      <c r="G1687" t="s">
        <v>46</v>
      </c>
      <c r="H1687" t="s">
        <v>47</v>
      </c>
      <c r="I1687">
        <v>84.2</v>
      </c>
      <c r="J1687">
        <v>87.8</v>
      </c>
      <c r="K1687">
        <v>84.2</v>
      </c>
      <c r="L1687">
        <v>22605.70071258907</v>
      </c>
    </row>
    <row r="1688" spans="1:12" hidden="1" x14ac:dyDescent="0.25">
      <c r="A1688">
        <v>2016</v>
      </c>
      <c r="B1688" t="s">
        <v>12</v>
      </c>
      <c r="C1688">
        <v>4430</v>
      </c>
      <c r="D1688" t="s">
        <v>64</v>
      </c>
      <c r="E1688" t="s">
        <v>14</v>
      </c>
      <c r="F1688" t="s">
        <v>76</v>
      </c>
      <c r="G1688" t="s">
        <v>30</v>
      </c>
      <c r="H1688" t="s">
        <v>31</v>
      </c>
      <c r="I1688">
        <v>66.424574274145002</v>
      </c>
      <c r="J1688">
        <v>95.629262636448004</v>
      </c>
      <c r="K1688">
        <v>66.424574274145002</v>
      </c>
      <c r="L1688">
        <v>6669.2185059653839</v>
      </c>
    </row>
    <row r="1689" spans="1:12" hidden="1" x14ac:dyDescent="0.25">
      <c r="A1689">
        <v>2016</v>
      </c>
      <c r="B1689" t="s">
        <v>66</v>
      </c>
      <c r="C1689">
        <v>10561</v>
      </c>
      <c r="D1689" t="s">
        <v>64</v>
      </c>
      <c r="E1689" t="s">
        <v>14</v>
      </c>
      <c r="F1689" t="s">
        <v>76</v>
      </c>
      <c r="G1689" t="s">
        <v>30</v>
      </c>
      <c r="H1689" t="s">
        <v>31</v>
      </c>
      <c r="I1689">
        <v>87.6</v>
      </c>
      <c r="J1689">
        <v>87.8</v>
      </c>
      <c r="K1689">
        <v>87.6</v>
      </c>
      <c r="L1689">
        <v>12055.93607305936</v>
      </c>
    </row>
    <row r="1690" spans="1:12" hidden="1" x14ac:dyDescent="0.25">
      <c r="A1690">
        <v>2016</v>
      </c>
      <c r="B1690" t="s">
        <v>12</v>
      </c>
      <c r="C1690">
        <v>349</v>
      </c>
      <c r="D1690" t="s">
        <v>64</v>
      </c>
      <c r="E1690" t="s">
        <v>14</v>
      </c>
      <c r="F1690" t="s">
        <v>76</v>
      </c>
      <c r="G1690" t="s">
        <v>24</v>
      </c>
      <c r="H1690" t="s">
        <v>25</v>
      </c>
      <c r="I1690">
        <v>117.9376128321</v>
      </c>
      <c r="J1690">
        <v>95.629262636448004</v>
      </c>
      <c r="K1690">
        <v>117.9376128321</v>
      </c>
      <c r="L1690">
        <v>295.91916575151328</v>
      </c>
    </row>
    <row r="1691" spans="1:12" hidden="1" x14ac:dyDescent="0.25">
      <c r="A1691">
        <v>2016</v>
      </c>
      <c r="B1691" t="s">
        <v>66</v>
      </c>
      <c r="C1691">
        <v>3981</v>
      </c>
      <c r="D1691" t="s">
        <v>64</v>
      </c>
      <c r="E1691" t="s">
        <v>14</v>
      </c>
      <c r="F1691" t="s">
        <v>76</v>
      </c>
      <c r="G1691" t="s">
        <v>24</v>
      </c>
      <c r="H1691" t="s">
        <v>25</v>
      </c>
      <c r="I1691">
        <v>95.2</v>
      </c>
      <c r="J1691">
        <v>87.8</v>
      </c>
      <c r="K1691">
        <v>95.2</v>
      </c>
      <c r="L1691">
        <v>4181.7226890756301</v>
      </c>
    </row>
    <row r="1692" spans="1:12" hidden="1" x14ac:dyDescent="0.25">
      <c r="A1692">
        <v>2016</v>
      </c>
      <c r="B1692" t="s">
        <v>12</v>
      </c>
      <c r="C1692">
        <v>1208</v>
      </c>
      <c r="D1692" t="s">
        <v>64</v>
      </c>
      <c r="E1692" t="s">
        <v>14</v>
      </c>
      <c r="F1692" t="s">
        <v>76</v>
      </c>
      <c r="G1692" t="s">
        <v>52</v>
      </c>
      <c r="H1692" t="s">
        <v>53</v>
      </c>
      <c r="I1692">
        <v>101.10423088160999</v>
      </c>
      <c r="J1692">
        <v>95.629262636448004</v>
      </c>
      <c r="K1692">
        <v>101.10423088160999</v>
      </c>
      <c r="L1692">
        <v>1194.8065768034289</v>
      </c>
    </row>
    <row r="1693" spans="1:12" hidden="1" x14ac:dyDescent="0.25">
      <c r="A1693">
        <v>2016</v>
      </c>
      <c r="B1693" t="s">
        <v>66</v>
      </c>
      <c r="C1693">
        <v>36071</v>
      </c>
      <c r="D1693" t="s">
        <v>64</v>
      </c>
      <c r="E1693" t="s">
        <v>14</v>
      </c>
      <c r="F1693" t="s">
        <v>76</v>
      </c>
      <c r="G1693" t="s">
        <v>52</v>
      </c>
      <c r="H1693" t="s">
        <v>53</v>
      </c>
      <c r="I1693">
        <v>91.6</v>
      </c>
      <c r="J1693">
        <v>87.8</v>
      </c>
      <c r="K1693">
        <v>91.6</v>
      </c>
      <c r="L1693">
        <v>39378.820960698693</v>
      </c>
    </row>
    <row r="1694" spans="1:12" hidden="1" x14ac:dyDescent="0.25">
      <c r="A1694">
        <v>2016</v>
      </c>
      <c r="B1694" t="s">
        <v>12</v>
      </c>
      <c r="C1694">
        <v>2663</v>
      </c>
      <c r="D1694" t="s">
        <v>64</v>
      </c>
      <c r="E1694" t="s">
        <v>14</v>
      </c>
      <c r="F1694" t="s">
        <v>76</v>
      </c>
      <c r="G1694" t="s">
        <v>40</v>
      </c>
      <c r="H1694" t="s">
        <v>41</v>
      </c>
      <c r="I1694">
        <v>101.63829571143999</v>
      </c>
      <c r="J1694">
        <v>95.629262636448004</v>
      </c>
      <c r="K1694">
        <v>101.63829571143999</v>
      </c>
      <c r="L1694">
        <v>2620.0754168099102</v>
      </c>
    </row>
    <row r="1695" spans="1:12" hidden="1" x14ac:dyDescent="0.25">
      <c r="A1695">
        <v>2016</v>
      </c>
      <c r="B1695" t="s">
        <v>66</v>
      </c>
      <c r="C1695">
        <v>17545</v>
      </c>
      <c r="D1695" t="s">
        <v>64</v>
      </c>
      <c r="E1695" t="s">
        <v>14</v>
      </c>
      <c r="F1695" t="s">
        <v>76</v>
      </c>
      <c r="G1695" t="s">
        <v>40</v>
      </c>
      <c r="H1695" t="s">
        <v>41</v>
      </c>
      <c r="I1695">
        <v>89.1</v>
      </c>
      <c r="J1695">
        <v>87.8</v>
      </c>
      <c r="K1695">
        <v>89.1</v>
      </c>
      <c r="L1695">
        <v>19691.358024691359</v>
      </c>
    </row>
    <row r="1696" spans="1:12" hidden="1" x14ac:dyDescent="0.25">
      <c r="A1696">
        <v>2016</v>
      </c>
      <c r="B1696" t="s">
        <v>12</v>
      </c>
      <c r="C1696">
        <v>523</v>
      </c>
      <c r="D1696" t="s">
        <v>64</v>
      </c>
      <c r="E1696" t="s">
        <v>14</v>
      </c>
      <c r="F1696" t="s">
        <v>76</v>
      </c>
      <c r="G1696" t="s">
        <v>32</v>
      </c>
      <c r="H1696" t="s">
        <v>33</v>
      </c>
      <c r="I1696">
        <v>66.424574274145002</v>
      </c>
      <c r="J1696">
        <v>95.629262636448004</v>
      </c>
      <c r="K1696">
        <v>66.424574274145002</v>
      </c>
      <c r="L1696">
        <v>787.35920510607127</v>
      </c>
    </row>
    <row r="1697" spans="1:12" hidden="1" x14ac:dyDescent="0.25">
      <c r="A1697">
        <v>2016</v>
      </c>
      <c r="B1697" t="s">
        <v>66</v>
      </c>
      <c r="C1697">
        <v>898</v>
      </c>
      <c r="D1697" t="s">
        <v>64</v>
      </c>
      <c r="E1697" t="s">
        <v>14</v>
      </c>
      <c r="F1697" t="s">
        <v>76</v>
      </c>
      <c r="G1697" t="s">
        <v>32</v>
      </c>
      <c r="H1697" t="s">
        <v>33</v>
      </c>
      <c r="I1697">
        <v>93.1</v>
      </c>
      <c r="J1697">
        <v>87.8</v>
      </c>
      <c r="K1697">
        <v>93.1</v>
      </c>
      <c r="L1697">
        <v>964.55424274973143</v>
      </c>
    </row>
    <row r="1698" spans="1:12" hidden="1" x14ac:dyDescent="0.25">
      <c r="A1698">
        <v>2016</v>
      </c>
      <c r="B1698" t="s">
        <v>12</v>
      </c>
      <c r="C1698">
        <v>318</v>
      </c>
      <c r="D1698" t="s">
        <v>64</v>
      </c>
      <c r="E1698" t="s">
        <v>14</v>
      </c>
      <c r="F1698" t="s">
        <v>76</v>
      </c>
      <c r="G1698" t="s">
        <v>22</v>
      </c>
      <c r="H1698" t="s">
        <v>23</v>
      </c>
      <c r="I1698">
        <v>117.9376128321</v>
      </c>
      <c r="J1698">
        <v>95.629262636448004</v>
      </c>
      <c r="K1698">
        <v>117.9376128321</v>
      </c>
      <c r="L1698">
        <v>269.63408226069117</v>
      </c>
    </row>
    <row r="1699" spans="1:12" hidden="1" x14ac:dyDescent="0.25">
      <c r="A1699">
        <v>2016</v>
      </c>
      <c r="B1699" t="s">
        <v>66</v>
      </c>
      <c r="C1699">
        <v>13479</v>
      </c>
      <c r="D1699" t="s">
        <v>64</v>
      </c>
      <c r="E1699" t="s">
        <v>14</v>
      </c>
      <c r="F1699" t="s">
        <v>76</v>
      </c>
      <c r="G1699" t="s">
        <v>22</v>
      </c>
      <c r="H1699" t="s">
        <v>23</v>
      </c>
      <c r="I1699">
        <v>88.8</v>
      </c>
      <c r="J1699">
        <v>87.8</v>
      </c>
      <c r="K1699">
        <v>88.8</v>
      </c>
      <c r="L1699">
        <v>15179.054054054061</v>
      </c>
    </row>
    <row r="1700" spans="1:12" hidden="1" x14ac:dyDescent="0.25">
      <c r="A1700">
        <v>2016</v>
      </c>
      <c r="B1700" t="s">
        <v>12</v>
      </c>
      <c r="C1700">
        <v>1407</v>
      </c>
      <c r="D1700" t="s">
        <v>64</v>
      </c>
      <c r="E1700" t="s">
        <v>14</v>
      </c>
      <c r="F1700" t="s">
        <v>76</v>
      </c>
      <c r="G1700" t="s">
        <v>44</v>
      </c>
      <c r="H1700" t="s">
        <v>45</v>
      </c>
      <c r="I1700">
        <v>89.680336785110001</v>
      </c>
      <c r="J1700">
        <v>95.629262636448004</v>
      </c>
      <c r="K1700">
        <v>89.680336785110001</v>
      </c>
      <c r="L1700">
        <v>1568.905794111168</v>
      </c>
    </row>
    <row r="1701" spans="1:12" hidden="1" x14ac:dyDescent="0.25">
      <c r="A1701">
        <v>2016</v>
      </c>
      <c r="B1701" t="s">
        <v>66</v>
      </c>
      <c r="C1701">
        <v>27878</v>
      </c>
      <c r="D1701" t="s">
        <v>64</v>
      </c>
      <c r="E1701" t="s">
        <v>14</v>
      </c>
      <c r="F1701" t="s">
        <v>76</v>
      </c>
      <c r="G1701" t="s">
        <v>44</v>
      </c>
      <c r="H1701" t="s">
        <v>45</v>
      </c>
      <c r="I1701">
        <v>80.900000000000006</v>
      </c>
      <c r="J1701">
        <v>87.8</v>
      </c>
      <c r="K1701">
        <v>80.900000000000006</v>
      </c>
      <c r="L1701">
        <v>34459.826946847963</v>
      </c>
    </row>
    <row r="1702" spans="1:12" hidden="1" x14ac:dyDescent="0.25">
      <c r="A1702">
        <v>2016</v>
      </c>
      <c r="B1702" t="s">
        <v>12</v>
      </c>
      <c r="C1702">
        <v>93</v>
      </c>
      <c r="D1702" t="s">
        <v>64</v>
      </c>
      <c r="E1702" t="s">
        <v>14</v>
      </c>
      <c r="F1702" t="s">
        <v>76</v>
      </c>
      <c r="G1702" t="s">
        <v>54</v>
      </c>
      <c r="H1702" t="s">
        <v>55</v>
      </c>
      <c r="I1702">
        <v>101.10423088160999</v>
      </c>
      <c r="J1702">
        <v>95.629262636448004</v>
      </c>
      <c r="K1702">
        <v>101.10423088160999</v>
      </c>
      <c r="L1702">
        <v>91.984281161191163</v>
      </c>
    </row>
    <row r="1703" spans="1:12" hidden="1" x14ac:dyDescent="0.25">
      <c r="A1703">
        <v>2016</v>
      </c>
      <c r="B1703" t="s">
        <v>66</v>
      </c>
      <c r="C1703">
        <v>64924</v>
      </c>
      <c r="D1703" t="s">
        <v>64</v>
      </c>
      <c r="E1703" t="s">
        <v>14</v>
      </c>
      <c r="F1703" t="s">
        <v>76</v>
      </c>
      <c r="G1703" t="s">
        <v>54</v>
      </c>
      <c r="H1703" t="s">
        <v>55</v>
      </c>
      <c r="I1703">
        <v>93.3</v>
      </c>
      <c r="J1703">
        <v>87.8</v>
      </c>
      <c r="K1703">
        <v>93.3</v>
      </c>
      <c r="L1703">
        <v>69586.280814576632</v>
      </c>
    </row>
    <row r="1704" spans="1:12" hidden="1" x14ac:dyDescent="0.25">
      <c r="A1704">
        <v>2016</v>
      </c>
      <c r="B1704" t="s">
        <v>12</v>
      </c>
      <c r="C1704">
        <v>9195</v>
      </c>
      <c r="D1704" t="s">
        <v>64</v>
      </c>
      <c r="E1704" t="s">
        <v>14</v>
      </c>
      <c r="F1704" t="s">
        <v>76</v>
      </c>
      <c r="G1704" t="s">
        <v>36</v>
      </c>
      <c r="H1704" t="s">
        <v>37</v>
      </c>
      <c r="I1704">
        <v>101.63829571143999</v>
      </c>
      <c r="J1704">
        <v>95.629262636448004</v>
      </c>
      <c r="K1704">
        <v>101.63829571143999</v>
      </c>
      <c r="L1704">
        <v>9046.7868785456703</v>
      </c>
    </row>
    <row r="1705" spans="1:12" hidden="1" x14ac:dyDescent="0.25">
      <c r="A1705">
        <v>2016</v>
      </c>
      <c r="B1705" t="s">
        <v>66</v>
      </c>
      <c r="C1705">
        <v>40286</v>
      </c>
      <c r="D1705" t="s">
        <v>64</v>
      </c>
      <c r="E1705" t="s">
        <v>14</v>
      </c>
      <c r="F1705" t="s">
        <v>76</v>
      </c>
      <c r="G1705" t="s">
        <v>36</v>
      </c>
      <c r="H1705" t="s">
        <v>37</v>
      </c>
      <c r="I1705">
        <v>103.7</v>
      </c>
      <c r="J1705">
        <v>87.8</v>
      </c>
      <c r="K1705">
        <v>103.7</v>
      </c>
      <c r="L1705">
        <v>38848.601735776283</v>
      </c>
    </row>
    <row r="1706" spans="1:12" hidden="1" x14ac:dyDescent="0.25">
      <c r="A1706">
        <v>2016</v>
      </c>
      <c r="B1706" t="s">
        <v>12</v>
      </c>
      <c r="C1706">
        <v>100</v>
      </c>
      <c r="D1706" t="s">
        <v>64</v>
      </c>
      <c r="E1706" t="s">
        <v>14</v>
      </c>
      <c r="F1706" t="s">
        <v>76</v>
      </c>
      <c r="G1706" t="s">
        <v>60</v>
      </c>
      <c r="H1706" t="s">
        <v>61</v>
      </c>
      <c r="J1706">
        <v>95.629262636448004</v>
      </c>
      <c r="K1706">
        <v>95.629262636448004</v>
      </c>
      <c r="L1706">
        <v>104.57050200226701</v>
      </c>
    </row>
    <row r="1707" spans="1:12" hidden="1" x14ac:dyDescent="0.25">
      <c r="A1707">
        <v>2016</v>
      </c>
      <c r="B1707" t="s">
        <v>66</v>
      </c>
      <c r="C1707">
        <v>558</v>
      </c>
      <c r="D1707" t="s">
        <v>64</v>
      </c>
      <c r="E1707" t="s">
        <v>14</v>
      </c>
      <c r="F1707" t="s">
        <v>76</v>
      </c>
      <c r="G1707" t="s">
        <v>60</v>
      </c>
      <c r="H1707" t="s">
        <v>61</v>
      </c>
      <c r="I1707">
        <v>91.1</v>
      </c>
      <c r="J1707">
        <v>87.8</v>
      </c>
      <c r="K1707">
        <v>91.1</v>
      </c>
      <c r="L1707">
        <v>612.51372118551046</v>
      </c>
    </row>
    <row r="1708" spans="1:12" hidden="1" x14ac:dyDescent="0.25">
      <c r="A1708">
        <v>2016</v>
      </c>
      <c r="B1708" t="s">
        <v>12</v>
      </c>
      <c r="C1708">
        <v>1064</v>
      </c>
      <c r="D1708" t="s">
        <v>64</v>
      </c>
      <c r="E1708" t="s">
        <v>14</v>
      </c>
      <c r="F1708" t="s">
        <v>76</v>
      </c>
      <c r="G1708" t="s">
        <v>38</v>
      </c>
      <c r="H1708" t="s">
        <v>39</v>
      </c>
      <c r="I1708">
        <v>101.63829571143999</v>
      </c>
      <c r="J1708">
        <v>95.629262636448004</v>
      </c>
      <c r="K1708">
        <v>101.63829571143999</v>
      </c>
      <c r="L1708">
        <v>1046.849509382555</v>
      </c>
    </row>
    <row r="1709" spans="1:12" hidden="1" x14ac:dyDescent="0.25">
      <c r="A1709">
        <v>2016</v>
      </c>
      <c r="B1709" t="s">
        <v>66</v>
      </c>
      <c r="C1709">
        <v>2048</v>
      </c>
      <c r="D1709" t="s">
        <v>64</v>
      </c>
      <c r="E1709" t="s">
        <v>14</v>
      </c>
      <c r="F1709" t="s">
        <v>76</v>
      </c>
      <c r="G1709" t="s">
        <v>38</v>
      </c>
      <c r="H1709" t="s">
        <v>39</v>
      </c>
      <c r="I1709">
        <v>103.7</v>
      </c>
      <c r="J1709">
        <v>87.8</v>
      </c>
      <c r="K1709">
        <v>103.7</v>
      </c>
      <c r="L1709">
        <v>1974.9276759884281</v>
      </c>
    </row>
    <row r="1710" spans="1:12" hidden="1" x14ac:dyDescent="0.25">
      <c r="A1710">
        <v>2016</v>
      </c>
      <c r="B1710" t="s">
        <v>12</v>
      </c>
      <c r="C1710">
        <v>285</v>
      </c>
      <c r="D1710" t="s">
        <v>64</v>
      </c>
      <c r="E1710" t="s">
        <v>14</v>
      </c>
      <c r="F1710" t="s">
        <v>76</v>
      </c>
      <c r="G1710" t="s">
        <v>26</v>
      </c>
      <c r="H1710" t="s">
        <v>27</v>
      </c>
      <c r="I1710">
        <v>117.9376128321</v>
      </c>
      <c r="J1710">
        <v>95.629262636448004</v>
      </c>
      <c r="K1710">
        <v>117.9376128321</v>
      </c>
      <c r="L1710">
        <v>241.65318693175149</v>
      </c>
    </row>
    <row r="1711" spans="1:12" hidden="1" x14ac:dyDescent="0.25">
      <c r="A1711">
        <v>2016</v>
      </c>
      <c r="B1711" t="s">
        <v>66</v>
      </c>
      <c r="C1711">
        <v>2776</v>
      </c>
      <c r="D1711" t="s">
        <v>64</v>
      </c>
      <c r="E1711" t="s">
        <v>14</v>
      </c>
      <c r="F1711" t="s">
        <v>76</v>
      </c>
      <c r="G1711" t="s">
        <v>26</v>
      </c>
      <c r="H1711" t="s">
        <v>27</v>
      </c>
      <c r="I1711">
        <v>93.8</v>
      </c>
      <c r="J1711">
        <v>87.8</v>
      </c>
      <c r="K1711">
        <v>93.8</v>
      </c>
      <c r="L1711">
        <v>2959.488272921109</v>
      </c>
    </row>
    <row r="1712" spans="1:12" hidden="1" x14ac:dyDescent="0.25">
      <c r="A1712">
        <v>2016</v>
      </c>
      <c r="B1712" t="s">
        <v>12</v>
      </c>
      <c r="C1712">
        <v>53</v>
      </c>
      <c r="D1712" t="s">
        <v>64</v>
      </c>
      <c r="E1712" t="s">
        <v>14</v>
      </c>
      <c r="F1712" t="s">
        <v>76</v>
      </c>
      <c r="G1712" t="s">
        <v>48</v>
      </c>
      <c r="H1712" t="s">
        <v>49</v>
      </c>
      <c r="I1712">
        <v>101.10423088160999</v>
      </c>
      <c r="J1712">
        <v>95.629262636448004</v>
      </c>
      <c r="K1712">
        <v>101.10423088160999</v>
      </c>
      <c r="L1712">
        <v>52.421149478958412</v>
      </c>
    </row>
    <row r="1713" spans="1:12" hidden="1" x14ac:dyDescent="0.25">
      <c r="A1713">
        <v>2016</v>
      </c>
      <c r="B1713" t="s">
        <v>66</v>
      </c>
      <c r="C1713">
        <v>9104</v>
      </c>
      <c r="D1713" t="s">
        <v>64</v>
      </c>
      <c r="E1713" t="s">
        <v>14</v>
      </c>
      <c r="F1713" t="s">
        <v>76</v>
      </c>
      <c r="G1713" t="s">
        <v>48</v>
      </c>
      <c r="H1713" t="s">
        <v>49</v>
      </c>
      <c r="I1713">
        <v>91.8</v>
      </c>
      <c r="J1713">
        <v>87.8</v>
      </c>
      <c r="K1713">
        <v>91.8</v>
      </c>
      <c r="L1713">
        <v>9917.2113289760346</v>
      </c>
    </row>
    <row r="1714" spans="1:12" hidden="1" x14ac:dyDescent="0.25">
      <c r="A1714">
        <v>2016</v>
      </c>
      <c r="B1714" t="s">
        <v>12</v>
      </c>
      <c r="C1714">
        <v>4877</v>
      </c>
      <c r="D1714" t="s">
        <v>64</v>
      </c>
      <c r="E1714" t="s">
        <v>14</v>
      </c>
      <c r="F1714" t="s">
        <v>76</v>
      </c>
      <c r="G1714" t="s">
        <v>20</v>
      </c>
      <c r="H1714" t="s">
        <v>21</v>
      </c>
      <c r="I1714">
        <v>96.059679698527006</v>
      </c>
      <c r="J1714">
        <v>95.629262636448004</v>
      </c>
      <c r="K1714">
        <v>96.059679698527006</v>
      </c>
      <c r="L1714">
        <v>5077.0521152120646</v>
      </c>
    </row>
    <row r="1715" spans="1:12" hidden="1" x14ac:dyDescent="0.25">
      <c r="A1715">
        <v>2016</v>
      </c>
      <c r="B1715" t="s">
        <v>66</v>
      </c>
      <c r="C1715">
        <v>20774</v>
      </c>
      <c r="D1715" t="s">
        <v>64</v>
      </c>
      <c r="E1715" t="s">
        <v>14</v>
      </c>
      <c r="F1715" t="s">
        <v>76</v>
      </c>
      <c r="G1715" t="s">
        <v>20</v>
      </c>
      <c r="H1715" t="s">
        <v>21</v>
      </c>
      <c r="I1715">
        <v>89.6</v>
      </c>
      <c r="J1715">
        <v>87.8</v>
      </c>
      <c r="K1715">
        <v>89.6</v>
      </c>
      <c r="L1715">
        <v>23185.267857142859</v>
      </c>
    </row>
    <row r="1716" spans="1:12" hidden="1" x14ac:dyDescent="0.25">
      <c r="A1716">
        <v>2016</v>
      </c>
      <c r="B1716" t="s">
        <v>12</v>
      </c>
      <c r="C1716">
        <v>77</v>
      </c>
      <c r="D1716" t="s">
        <v>64</v>
      </c>
      <c r="E1716" t="s">
        <v>14</v>
      </c>
      <c r="F1716" t="s">
        <v>76</v>
      </c>
      <c r="G1716" t="s">
        <v>56</v>
      </c>
      <c r="H1716" t="s">
        <v>57</v>
      </c>
      <c r="I1716">
        <v>101.10423088160999</v>
      </c>
      <c r="J1716">
        <v>95.629262636448004</v>
      </c>
      <c r="K1716">
        <v>101.10423088160999</v>
      </c>
      <c r="L1716">
        <v>76.159028488298063</v>
      </c>
    </row>
    <row r="1717" spans="1:12" hidden="1" x14ac:dyDescent="0.25">
      <c r="A1717">
        <v>2016</v>
      </c>
      <c r="B1717" t="s">
        <v>66</v>
      </c>
      <c r="C1717">
        <v>962</v>
      </c>
      <c r="D1717" t="s">
        <v>64</v>
      </c>
      <c r="E1717" t="s">
        <v>14</v>
      </c>
      <c r="F1717" t="s">
        <v>76</v>
      </c>
      <c r="G1717" t="s">
        <v>56</v>
      </c>
      <c r="H1717" t="s">
        <v>57</v>
      </c>
      <c r="I1717">
        <v>93.3</v>
      </c>
      <c r="J1717">
        <v>87.8</v>
      </c>
      <c r="K1717">
        <v>93.3</v>
      </c>
      <c r="L1717">
        <v>1031.082529474812</v>
      </c>
    </row>
    <row r="1718" spans="1:12" hidden="1" x14ac:dyDescent="0.25">
      <c r="A1718">
        <v>2016</v>
      </c>
      <c r="B1718" t="s">
        <v>66</v>
      </c>
      <c r="C1718">
        <v>31821</v>
      </c>
      <c r="D1718" t="s">
        <v>64</v>
      </c>
      <c r="E1718" t="s">
        <v>14</v>
      </c>
      <c r="F1718" t="s">
        <v>76</v>
      </c>
      <c r="G1718" t="s">
        <v>34</v>
      </c>
      <c r="H1718" t="s">
        <v>35</v>
      </c>
      <c r="I1718">
        <v>17.7</v>
      </c>
      <c r="J1718">
        <v>87.8</v>
      </c>
      <c r="K1718">
        <v>17.7</v>
      </c>
      <c r="L1718">
        <v>179779.66101694919</v>
      </c>
    </row>
    <row r="1719" spans="1:12" hidden="1" x14ac:dyDescent="0.25">
      <c r="A1719">
        <v>2016</v>
      </c>
      <c r="B1719" t="s">
        <v>66</v>
      </c>
      <c r="C1719">
        <v>1098</v>
      </c>
      <c r="D1719" t="s">
        <v>64</v>
      </c>
      <c r="E1719" t="s">
        <v>14</v>
      </c>
      <c r="F1719" t="s">
        <v>76</v>
      </c>
      <c r="G1719" t="s">
        <v>67</v>
      </c>
      <c r="H1719" t="s">
        <v>68</v>
      </c>
      <c r="I1719">
        <v>89.6</v>
      </c>
      <c r="J1719">
        <v>87.8</v>
      </c>
      <c r="K1719">
        <v>89.6</v>
      </c>
      <c r="L1719">
        <v>1225.4464285714289</v>
      </c>
    </row>
    <row r="1720" spans="1:12" hidden="1" x14ac:dyDescent="0.25">
      <c r="A1720">
        <v>2016</v>
      </c>
      <c r="B1720" t="s">
        <v>12</v>
      </c>
      <c r="C1720">
        <v>1731</v>
      </c>
      <c r="D1720" t="s">
        <v>64</v>
      </c>
      <c r="E1720" t="s">
        <v>14</v>
      </c>
      <c r="F1720" t="s">
        <v>76</v>
      </c>
      <c r="G1720" t="s">
        <v>16</v>
      </c>
      <c r="H1720" t="s">
        <v>17</v>
      </c>
      <c r="J1720">
        <v>95.629262636448004</v>
      </c>
      <c r="K1720">
        <v>95.629262636448004</v>
      </c>
      <c r="L1720">
        <v>1810.1153896592409</v>
      </c>
    </row>
    <row r="1721" spans="1:12" hidden="1" x14ac:dyDescent="0.25">
      <c r="A1721">
        <v>2015</v>
      </c>
      <c r="B1721" t="s">
        <v>12</v>
      </c>
      <c r="C1721">
        <v>603</v>
      </c>
      <c r="D1721" t="s">
        <v>64</v>
      </c>
      <c r="E1721" t="s">
        <v>14</v>
      </c>
      <c r="F1721" t="s">
        <v>76</v>
      </c>
      <c r="G1721" t="s">
        <v>32</v>
      </c>
      <c r="H1721" t="s">
        <v>33</v>
      </c>
      <c r="I1721">
        <v>72.105553335238</v>
      </c>
      <c r="J1721">
        <v>96.211353938038002</v>
      </c>
      <c r="K1721">
        <v>72.105553335238</v>
      </c>
      <c r="L1721">
        <v>836.27400679735683</v>
      </c>
    </row>
    <row r="1722" spans="1:12" hidden="1" x14ac:dyDescent="0.25">
      <c r="A1722">
        <v>2015</v>
      </c>
      <c r="B1722" t="s">
        <v>66</v>
      </c>
      <c r="C1722">
        <v>1056</v>
      </c>
      <c r="D1722" t="s">
        <v>64</v>
      </c>
      <c r="E1722" t="s">
        <v>14</v>
      </c>
      <c r="F1722" t="s">
        <v>76</v>
      </c>
      <c r="G1722" t="s">
        <v>32</v>
      </c>
      <c r="H1722" t="s">
        <v>33</v>
      </c>
      <c r="I1722">
        <v>88.6</v>
      </c>
      <c r="J1722">
        <v>81.900000000000006</v>
      </c>
      <c r="K1722">
        <v>88.6</v>
      </c>
      <c r="L1722">
        <v>1191.8735891647859</v>
      </c>
    </row>
    <row r="1723" spans="1:12" hidden="1" x14ac:dyDescent="0.25">
      <c r="A1723">
        <v>2015</v>
      </c>
      <c r="B1723" t="s">
        <v>12</v>
      </c>
      <c r="C1723">
        <v>19500</v>
      </c>
      <c r="D1723" t="s">
        <v>64</v>
      </c>
      <c r="E1723" t="s">
        <v>14</v>
      </c>
      <c r="F1723" t="s">
        <v>76</v>
      </c>
      <c r="G1723" t="s">
        <v>18</v>
      </c>
      <c r="H1723" t="s">
        <v>19</v>
      </c>
      <c r="I1723">
        <v>92.136318280468004</v>
      </c>
      <c r="J1723">
        <v>96.211353938038002</v>
      </c>
      <c r="K1723">
        <v>92.136318280468004</v>
      </c>
      <c r="L1723">
        <v>21164.292608958971</v>
      </c>
    </row>
    <row r="1724" spans="1:12" hidden="1" x14ac:dyDescent="0.25">
      <c r="A1724">
        <v>2015</v>
      </c>
      <c r="B1724" t="s">
        <v>66</v>
      </c>
      <c r="C1724">
        <v>64026</v>
      </c>
      <c r="D1724" t="s">
        <v>64</v>
      </c>
      <c r="E1724" t="s">
        <v>14</v>
      </c>
      <c r="F1724" t="s">
        <v>76</v>
      </c>
      <c r="G1724" t="s">
        <v>18</v>
      </c>
      <c r="H1724" t="s">
        <v>19</v>
      </c>
      <c r="I1724">
        <v>87.2</v>
      </c>
      <c r="J1724">
        <v>81.900000000000006</v>
      </c>
      <c r="K1724">
        <v>87.2</v>
      </c>
      <c r="L1724">
        <v>73424.3119266055</v>
      </c>
    </row>
    <row r="1725" spans="1:12" hidden="1" x14ac:dyDescent="0.25">
      <c r="A1725">
        <v>2015</v>
      </c>
      <c r="B1725" t="s">
        <v>12</v>
      </c>
      <c r="C1725">
        <v>2569</v>
      </c>
      <c r="D1725" t="s">
        <v>64</v>
      </c>
      <c r="E1725" t="s">
        <v>14</v>
      </c>
      <c r="F1725" t="s">
        <v>76</v>
      </c>
      <c r="G1725" t="s">
        <v>42</v>
      </c>
      <c r="H1725" t="s">
        <v>43</v>
      </c>
      <c r="I1725">
        <v>93.364041500221006</v>
      </c>
      <c r="J1725">
        <v>96.211353938038002</v>
      </c>
      <c r="K1725">
        <v>93.364041500221006</v>
      </c>
      <c r="L1725">
        <v>2751.594681121338</v>
      </c>
    </row>
    <row r="1726" spans="1:12" hidden="1" x14ac:dyDescent="0.25">
      <c r="A1726">
        <v>2015</v>
      </c>
      <c r="B1726" t="s">
        <v>66</v>
      </c>
      <c r="C1726">
        <v>21557</v>
      </c>
      <c r="D1726" t="s">
        <v>64</v>
      </c>
      <c r="E1726" t="s">
        <v>14</v>
      </c>
      <c r="F1726" t="s">
        <v>76</v>
      </c>
      <c r="G1726" t="s">
        <v>42</v>
      </c>
      <c r="H1726" t="s">
        <v>43</v>
      </c>
      <c r="I1726">
        <v>80.2</v>
      </c>
      <c r="J1726">
        <v>81.900000000000006</v>
      </c>
      <c r="K1726">
        <v>80.2</v>
      </c>
      <c r="L1726">
        <v>26879.052369077301</v>
      </c>
    </row>
    <row r="1727" spans="1:12" hidden="1" x14ac:dyDescent="0.25">
      <c r="A1727">
        <v>2015</v>
      </c>
      <c r="B1727" t="s">
        <v>12</v>
      </c>
      <c r="C1727">
        <v>300</v>
      </c>
      <c r="D1727" t="s">
        <v>64</v>
      </c>
      <c r="E1727" t="s">
        <v>14</v>
      </c>
      <c r="F1727" t="s">
        <v>76</v>
      </c>
      <c r="G1727" t="s">
        <v>24</v>
      </c>
      <c r="H1727" t="s">
        <v>25</v>
      </c>
      <c r="I1727">
        <v>107.52442116425</v>
      </c>
      <c r="J1727">
        <v>96.211353938038002</v>
      </c>
      <c r="K1727">
        <v>107.52442116425</v>
      </c>
      <c r="L1727">
        <v>279.0063845512193</v>
      </c>
    </row>
    <row r="1728" spans="1:12" hidden="1" x14ac:dyDescent="0.25">
      <c r="A1728">
        <v>2015</v>
      </c>
      <c r="B1728" t="s">
        <v>66</v>
      </c>
      <c r="C1728">
        <v>4497</v>
      </c>
      <c r="D1728" t="s">
        <v>64</v>
      </c>
      <c r="E1728" t="s">
        <v>14</v>
      </c>
      <c r="F1728" t="s">
        <v>76</v>
      </c>
      <c r="G1728" t="s">
        <v>24</v>
      </c>
      <c r="H1728" t="s">
        <v>25</v>
      </c>
      <c r="I1728">
        <v>90.7</v>
      </c>
      <c r="J1728">
        <v>81.900000000000006</v>
      </c>
      <c r="K1728">
        <v>90.7</v>
      </c>
      <c r="L1728">
        <v>4958.1036383682467</v>
      </c>
    </row>
    <row r="1729" spans="1:12" hidden="1" x14ac:dyDescent="0.25">
      <c r="A1729">
        <v>2015</v>
      </c>
      <c r="B1729" t="s">
        <v>12</v>
      </c>
      <c r="C1729">
        <v>2363</v>
      </c>
      <c r="D1729" t="s">
        <v>64</v>
      </c>
      <c r="E1729" t="s">
        <v>14</v>
      </c>
      <c r="F1729" t="s">
        <v>76</v>
      </c>
      <c r="G1729" t="s">
        <v>62</v>
      </c>
      <c r="H1729" t="s">
        <v>63</v>
      </c>
      <c r="I1729">
        <v>95.958177771508005</v>
      </c>
      <c r="J1729">
        <v>96.211353938038002</v>
      </c>
      <c r="K1729">
        <v>95.958177771508005</v>
      </c>
      <c r="L1729">
        <v>2462.5311306209742</v>
      </c>
    </row>
    <row r="1730" spans="1:12" hidden="1" x14ac:dyDescent="0.25">
      <c r="A1730">
        <v>2015</v>
      </c>
      <c r="B1730" t="s">
        <v>12</v>
      </c>
      <c r="C1730">
        <v>359</v>
      </c>
      <c r="D1730" t="s">
        <v>64</v>
      </c>
      <c r="E1730" t="s">
        <v>14</v>
      </c>
      <c r="F1730" t="s">
        <v>76</v>
      </c>
      <c r="G1730" t="s">
        <v>22</v>
      </c>
      <c r="H1730" t="s">
        <v>23</v>
      </c>
      <c r="I1730">
        <v>107.52442116425</v>
      </c>
      <c r="J1730">
        <v>96.211353938038002</v>
      </c>
      <c r="K1730">
        <v>107.52442116425</v>
      </c>
      <c r="L1730">
        <v>333.87764017962581</v>
      </c>
    </row>
    <row r="1731" spans="1:12" hidden="1" x14ac:dyDescent="0.25">
      <c r="A1731">
        <v>2015</v>
      </c>
      <c r="B1731" t="s">
        <v>66</v>
      </c>
      <c r="C1731">
        <v>14480</v>
      </c>
      <c r="D1731" t="s">
        <v>64</v>
      </c>
      <c r="E1731" t="s">
        <v>14</v>
      </c>
      <c r="F1731" t="s">
        <v>76</v>
      </c>
      <c r="G1731" t="s">
        <v>22</v>
      </c>
      <c r="H1731" t="s">
        <v>23</v>
      </c>
      <c r="I1731">
        <v>84.5</v>
      </c>
      <c r="J1731">
        <v>81.900000000000006</v>
      </c>
      <c r="K1731">
        <v>84.5</v>
      </c>
      <c r="L1731">
        <v>17136.094674556211</v>
      </c>
    </row>
    <row r="1732" spans="1:12" hidden="1" x14ac:dyDescent="0.25">
      <c r="A1732">
        <v>2015</v>
      </c>
      <c r="B1732" t="s">
        <v>12</v>
      </c>
      <c r="C1732">
        <v>2536</v>
      </c>
      <c r="D1732" t="s">
        <v>64</v>
      </c>
      <c r="E1732" t="s">
        <v>14</v>
      </c>
      <c r="F1732" t="s">
        <v>76</v>
      </c>
      <c r="G1732" t="s">
        <v>46</v>
      </c>
      <c r="H1732" t="s">
        <v>47</v>
      </c>
      <c r="I1732">
        <v>95.958177771508005</v>
      </c>
      <c r="J1732">
        <v>96.211353938038002</v>
      </c>
      <c r="K1732">
        <v>95.958177771508005</v>
      </c>
      <c r="L1732">
        <v>2642.8180056093061</v>
      </c>
    </row>
    <row r="1733" spans="1:12" hidden="1" x14ac:dyDescent="0.25">
      <c r="A1733">
        <v>2015</v>
      </c>
      <c r="B1733" t="s">
        <v>66</v>
      </c>
      <c r="C1733">
        <v>20130</v>
      </c>
      <c r="D1733" t="s">
        <v>64</v>
      </c>
      <c r="E1733" t="s">
        <v>14</v>
      </c>
      <c r="F1733" t="s">
        <v>76</v>
      </c>
      <c r="G1733" t="s">
        <v>46</v>
      </c>
      <c r="H1733" t="s">
        <v>47</v>
      </c>
      <c r="I1733">
        <v>76</v>
      </c>
      <c r="J1733">
        <v>81.900000000000006</v>
      </c>
      <c r="K1733">
        <v>76</v>
      </c>
      <c r="L1733">
        <v>26486.84210526316</v>
      </c>
    </row>
    <row r="1734" spans="1:12" hidden="1" x14ac:dyDescent="0.25">
      <c r="A1734">
        <v>2015</v>
      </c>
      <c r="B1734" t="s">
        <v>12</v>
      </c>
      <c r="C1734">
        <v>1589</v>
      </c>
      <c r="D1734" t="s">
        <v>64</v>
      </c>
      <c r="E1734" t="s">
        <v>14</v>
      </c>
      <c r="F1734" t="s">
        <v>76</v>
      </c>
      <c r="G1734" t="s">
        <v>52</v>
      </c>
      <c r="H1734" t="s">
        <v>53</v>
      </c>
      <c r="I1734">
        <v>95.958177771508005</v>
      </c>
      <c r="J1734">
        <v>96.211353938038002</v>
      </c>
      <c r="K1734">
        <v>95.958177771508005</v>
      </c>
      <c r="L1734">
        <v>1655.929736164506</v>
      </c>
    </row>
    <row r="1735" spans="1:12" hidden="1" x14ac:dyDescent="0.25">
      <c r="A1735">
        <v>2015</v>
      </c>
      <c r="B1735" t="s">
        <v>66</v>
      </c>
      <c r="C1735">
        <v>36505</v>
      </c>
      <c r="D1735" t="s">
        <v>64</v>
      </c>
      <c r="E1735" t="s">
        <v>14</v>
      </c>
      <c r="F1735" t="s">
        <v>76</v>
      </c>
      <c r="G1735" t="s">
        <v>52</v>
      </c>
      <c r="H1735" t="s">
        <v>53</v>
      </c>
      <c r="I1735">
        <v>82.9</v>
      </c>
      <c r="J1735">
        <v>81.900000000000006</v>
      </c>
      <c r="K1735">
        <v>82.9</v>
      </c>
      <c r="L1735">
        <v>44034.981905910732</v>
      </c>
    </row>
    <row r="1736" spans="1:12" hidden="1" x14ac:dyDescent="0.25">
      <c r="A1736">
        <v>2015</v>
      </c>
      <c r="B1736" t="s">
        <v>12</v>
      </c>
      <c r="C1736">
        <v>453</v>
      </c>
      <c r="D1736" t="s">
        <v>64</v>
      </c>
      <c r="E1736" t="s">
        <v>14</v>
      </c>
      <c r="F1736" t="s">
        <v>76</v>
      </c>
      <c r="G1736" t="s">
        <v>58</v>
      </c>
      <c r="H1736" t="s">
        <v>59</v>
      </c>
      <c r="I1736">
        <v>107.1615082093</v>
      </c>
      <c r="J1736">
        <v>96.211353938038002</v>
      </c>
      <c r="K1736">
        <v>107.1615082093</v>
      </c>
      <c r="L1736">
        <v>422.72641321474651</v>
      </c>
    </row>
    <row r="1737" spans="1:12" hidden="1" x14ac:dyDescent="0.25">
      <c r="A1737">
        <v>2015</v>
      </c>
      <c r="B1737" t="s">
        <v>66</v>
      </c>
      <c r="C1737">
        <v>908</v>
      </c>
      <c r="D1737" t="s">
        <v>64</v>
      </c>
      <c r="E1737" t="s">
        <v>14</v>
      </c>
      <c r="F1737" t="s">
        <v>76</v>
      </c>
      <c r="G1737" t="s">
        <v>58</v>
      </c>
      <c r="H1737" t="s">
        <v>59</v>
      </c>
      <c r="I1737">
        <v>85.5</v>
      </c>
      <c r="J1737">
        <v>81.900000000000006</v>
      </c>
      <c r="K1737">
        <v>85.5</v>
      </c>
      <c r="L1737">
        <v>1061.988304093567</v>
      </c>
    </row>
    <row r="1738" spans="1:12" hidden="1" x14ac:dyDescent="0.25">
      <c r="A1738">
        <v>2015</v>
      </c>
      <c r="B1738" t="s">
        <v>12</v>
      </c>
      <c r="C1738">
        <v>3894</v>
      </c>
      <c r="D1738" t="s">
        <v>64</v>
      </c>
      <c r="E1738" t="s">
        <v>14</v>
      </c>
      <c r="F1738" t="s">
        <v>76</v>
      </c>
      <c r="G1738" t="s">
        <v>20</v>
      </c>
      <c r="H1738" t="s">
        <v>21</v>
      </c>
      <c r="I1738">
        <v>100.22588687651999</v>
      </c>
      <c r="J1738">
        <v>96.211353938038002</v>
      </c>
      <c r="K1738">
        <v>100.22588687651999</v>
      </c>
      <c r="L1738">
        <v>3885.2237893364559</v>
      </c>
    </row>
    <row r="1739" spans="1:12" hidden="1" x14ac:dyDescent="0.25">
      <c r="A1739">
        <v>2015</v>
      </c>
      <c r="B1739" t="s">
        <v>66</v>
      </c>
      <c r="C1739">
        <v>21403</v>
      </c>
      <c r="D1739" t="s">
        <v>64</v>
      </c>
      <c r="E1739" t="s">
        <v>14</v>
      </c>
      <c r="F1739" t="s">
        <v>76</v>
      </c>
      <c r="G1739" t="s">
        <v>20</v>
      </c>
      <c r="H1739" t="s">
        <v>21</v>
      </c>
      <c r="I1739">
        <v>80</v>
      </c>
      <c r="J1739">
        <v>81.900000000000006</v>
      </c>
      <c r="K1739">
        <v>80</v>
      </c>
      <c r="L1739">
        <v>26753.75</v>
      </c>
    </row>
    <row r="1740" spans="1:12" hidden="1" x14ac:dyDescent="0.25">
      <c r="A1740">
        <v>2015</v>
      </c>
      <c r="B1740" t="s">
        <v>12</v>
      </c>
      <c r="C1740">
        <v>2716</v>
      </c>
      <c r="D1740" t="s">
        <v>64</v>
      </c>
      <c r="E1740" t="s">
        <v>14</v>
      </c>
      <c r="F1740" t="s">
        <v>76</v>
      </c>
      <c r="G1740" t="s">
        <v>40</v>
      </c>
      <c r="H1740" t="s">
        <v>41</v>
      </c>
      <c r="I1740">
        <v>109.79561218418</v>
      </c>
      <c r="J1740">
        <v>96.211353938038002</v>
      </c>
      <c r="K1740">
        <v>109.79561218418</v>
      </c>
      <c r="L1740">
        <v>2473.687195663123</v>
      </c>
    </row>
    <row r="1741" spans="1:12" hidden="1" x14ac:dyDescent="0.25">
      <c r="A1741">
        <v>2015</v>
      </c>
      <c r="B1741" t="s">
        <v>66</v>
      </c>
      <c r="C1741">
        <v>18087</v>
      </c>
      <c r="D1741" t="s">
        <v>64</v>
      </c>
      <c r="E1741" t="s">
        <v>14</v>
      </c>
      <c r="F1741" t="s">
        <v>76</v>
      </c>
      <c r="G1741" t="s">
        <v>40</v>
      </c>
      <c r="H1741" t="s">
        <v>41</v>
      </c>
      <c r="I1741">
        <v>81.900000000000006</v>
      </c>
      <c r="J1741">
        <v>81.900000000000006</v>
      </c>
      <c r="K1741">
        <v>81.900000000000006</v>
      </c>
      <c r="L1741">
        <v>22084.249084249081</v>
      </c>
    </row>
    <row r="1742" spans="1:12" hidden="1" x14ac:dyDescent="0.25">
      <c r="A1742">
        <v>2015</v>
      </c>
      <c r="B1742" t="s">
        <v>12</v>
      </c>
      <c r="C1742">
        <v>5389</v>
      </c>
      <c r="D1742" t="s">
        <v>64</v>
      </c>
      <c r="E1742" t="s">
        <v>14</v>
      </c>
      <c r="F1742" t="s">
        <v>76</v>
      </c>
      <c r="G1742" t="s">
        <v>30</v>
      </c>
      <c r="H1742" t="s">
        <v>31</v>
      </c>
      <c r="I1742">
        <v>72.105553335238</v>
      </c>
      <c r="J1742">
        <v>96.211353938038002</v>
      </c>
      <c r="K1742">
        <v>72.105553335238</v>
      </c>
      <c r="L1742">
        <v>7473.7655433349191</v>
      </c>
    </row>
    <row r="1743" spans="1:12" hidden="1" x14ac:dyDescent="0.25">
      <c r="A1743">
        <v>2015</v>
      </c>
      <c r="B1743" t="s">
        <v>66</v>
      </c>
      <c r="C1743">
        <v>11396</v>
      </c>
      <c r="D1743" t="s">
        <v>64</v>
      </c>
      <c r="E1743" t="s">
        <v>14</v>
      </c>
      <c r="F1743" t="s">
        <v>76</v>
      </c>
      <c r="G1743" t="s">
        <v>30</v>
      </c>
      <c r="H1743" t="s">
        <v>31</v>
      </c>
      <c r="I1743">
        <v>82</v>
      </c>
      <c r="J1743">
        <v>81.900000000000006</v>
      </c>
      <c r="K1743">
        <v>82</v>
      </c>
      <c r="L1743">
        <v>13897.560975609749</v>
      </c>
    </row>
    <row r="1744" spans="1:12" hidden="1" x14ac:dyDescent="0.25">
      <c r="A1744">
        <v>2015</v>
      </c>
      <c r="B1744" t="s">
        <v>12</v>
      </c>
      <c r="C1744">
        <v>718</v>
      </c>
      <c r="D1744" t="s">
        <v>64</v>
      </c>
      <c r="E1744" t="s">
        <v>14</v>
      </c>
      <c r="F1744" t="s">
        <v>76</v>
      </c>
      <c r="G1744" t="s">
        <v>50</v>
      </c>
      <c r="H1744" t="s">
        <v>51</v>
      </c>
      <c r="I1744">
        <v>95.958177771508005</v>
      </c>
      <c r="J1744">
        <v>96.211353938038002</v>
      </c>
      <c r="K1744">
        <v>95.958177771508005</v>
      </c>
      <c r="L1744">
        <v>748.24263723481135</v>
      </c>
    </row>
    <row r="1745" spans="1:12" hidden="1" x14ac:dyDescent="0.25">
      <c r="A1745">
        <v>2015</v>
      </c>
      <c r="B1745" t="s">
        <v>66</v>
      </c>
      <c r="C1745">
        <v>27902</v>
      </c>
      <c r="D1745" t="s">
        <v>64</v>
      </c>
      <c r="E1745" t="s">
        <v>14</v>
      </c>
      <c r="F1745" t="s">
        <v>76</v>
      </c>
      <c r="G1745" t="s">
        <v>50</v>
      </c>
      <c r="H1745" t="s">
        <v>51</v>
      </c>
      <c r="I1745">
        <v>84.9</v>
      </c>
      <c r="J1745">
        <v>81.900000000000006</v>
      </c>
      <c r="K1745">
        <v>84.9</v>
      </c>
      <c r="L1745">
        <v>32864.546525323909</v>
      </c>
    </row>
    <row r="1746" spans="1:12" hidden="1" x14ac:dyDescent="0.25">
      <c r="A1746">
        <v>2015</v>
      </c>
      <c r="B1746" t="s">
        <v>12</v>
      </c>
      <c r="C1746">
        <v>10601</v>
      </c>
      <c r="D1746" t="s">
        <v>64</v>
      </c>
      <c r="E1746" t="s">
        <v>14</v>
      </c>
      <c r="F1746" t="s">
        <v>76</v>
      </c>
      <c r="G1746" t="s">
        <v>36</v>
      </c>
      <c r="H1746" t="s">
        <v>37</v>
      </c>
      <c r="I1746">
        <v>109.79561218418</v>
      </c>
      <c r="J1746">
        <v>96.211353938038002</v>
      </c>
      <c r="K1746">
        <v>109.79561218418</v>
      </c>
      <c r="L1746">
        <v>9655.2127986836385</v>
      </c>
    </row>
    <row r="1747" spans="1:12" hidden="1" x14ac:dyDescent="0.25">
      <c r="A1747">
        <v>2015</v>
      </c>
      <c r="B1747" t="s">
        <v>66</v>
      </c>
      <c r="C1747">
        <v>44386</v>
      </c>
      <c r="D1747" t="s">
        <v>64</v>
      </c>
      <c r="E1747" t="s">
        <v>14</v>
      </c>
      <c r="F1747" t="s">
        <v>76</v>
      </c>
      <c r="G1747" t="s">
        <v>36</v>
      </c>
      <c r="H1747" t="s">
        <v>37</v>
      </c>
      <c r="I1747">
        <v>95.7</v>
      </c>
      <c r="J1747">
        <v>81.900000000000006</v>
      </c>
      <c r="K1747">
        <v>95.7</v>
      </c>
      <c r="L1747">
        <v>46380.355276907001</v>
      </c>
    </row>
    <row r="1748" spans="1:12" hidden="1" x14ac:dyDescent="0.25">
      <c r="A1748">
        <v>2015</v>
      </c>
      <c r="B1748" t="s">
        <v>12</v>
      </c>
      <c r="C1748">
        <v>4351</v>
      </c>
      <c r="D1748" t="s">
        <v>64</v>
      </c>
      <c r="E1748" t="s">
        <v>14</v>
      </c>
      <c r="F1748" t="s">
        <v>76</v>
      </c>
      <c r="G1748" t="s">
        <v>28</v>
      </c>
      <c r="H1748" t="s">
        <v>29</v>
      </c>
      <c r="I1748">
        <v>107.1615082093</v>
      </c>
      <c r="J1748">
        <v>96.211353938038002</v>
      </c>
      <c r="K1748">
        <v>107.1615082093</v>
      </c>
      <c r="L1748">
        <v>4060.2265428197838</v>
      </c>
    </row>
    <row r="1749" spans="1:12" hidden="1" x14ac:dyDescent="0.25">
      <c r="A1749">
        <v>2015</v>
      </c>
      <c r="B1749" t="s">
        <v>66</v>
      </c>
      <c r="C1749">
        <v>1417</v>
      </c>
      <c r="D1749" t="s">
        <v>64</v>
      </c>
      <c r="E1749" t="s">
        <v>14</v>
      </c>
      <c r="F1749" t="s">
        <v>76</v>
      </c>
      <c r="G1749" t="s">
        <v>28</v>
      </c>
      <c r="H1749" t="s">
        <v>29</v>
      </c>
      <c r="I1749">
        <v>85.2</v>
      </c>
      <c r="J1749">
        <v>81.900000000000006</v>
      </c>
      <c r="K1749">
        <v>85.2</v>
      </c>
      <c r="L1749">
        <v>1663.1455399061031</v>
      </c>
    </row>
    <row r="1750" spans="1:12" hidden="1" x14ac:dyDescent="0.25">
      <c r="A1750">
        <v>2015</v>
      </c>
      <c r="B1750" t="s">
        <v>12</v>
      </c>
      <c r="C1750">
        <v>95</v>
      </c>
      <c r="D1750" t="s">
        <v>64</v>
      </c>
      <c r="E1750" t="s">
        <v>14</v>
      </c>
      <c r="F1750" t="s">
        <v>76</v>
      </c>
      <c r="G1750" t="s">
        <v>60</v>
      </c>
      <c r="H1750" t="s">
        <v>61</v>
      </c>
      <c r="J1750">
        <v>96.211353938038002</v>
      </c>
      <c r="K1750">
        <v>96.211353938038002</v>
      </c>
      <c r="L1750">
        <v>98.7409449213051</v>
      </c>
    </row>
    <row r="1751" spans="1:12" hidden="1" x14ac:dyDescent="0.25">
      <c r="A1751">
        <v>2015</v>
      </c>
      <c r="B1751" t="s">
        <v>66</v>
      </c>
      <c r="C1751">
        <v>642</v>
      </c>
      <c r="D1751" t="s">
        <v>64</v>
      </c>
      <c r="E1751" t="s">
        <v>14</v>
      </c>
      <c r="F1751" t="s">
        <v>76</v>
      </c>
      <c r="G1751" t="s">
        <v>60</v>
      </c>
      <c r="H1751" t="s">
        <v>61</v>
      </c>
      <c r="I1751">
        <v>86.4</v>
      </c>
      <c r="J1751">
        <v>81.900000000000006</v>
      </c>
      <c r="K1751">
        <v>86.4</v>
      </c>
      <c r="L1751">
        <v>743.05555555555554</v>
      </c>
    </row>
    <row r="1752" spans="1:12" hidden="1" x14ac:dyDescent="0.25">
      <c r="A1752">
        <v>2015</v>
      </c>
      <c r="B1752" t="s">
        <v>12</v>
      </c>
      <c r="C1752">
        <v>105</v>
      </c>
      <c r="D1752" t="s">
        <v>64</v>
      </c>
      <c r="E1752" t="s">
        <v>14</v>
      </c>
      <c r="F1752" t="s">
        <v>76</v>
      </c>
      <c r="G1752" t="s">
        <v>54</v>
      </c>
      <c r="H1752" t="s">
        <v>55</v>
      </c>
      <c r="I1752">
        <v>95.958177771508005</v>
      </c>
      <c r="J1752">
        <v>96.211353938038002</v>
      </c>
      <c r="K1752">
        <v>95.958177771508005</v>
      </c>
      <c r="L1752">
        <v>109.42266979060609</v>
      </c>
    </row>
    <row r="1753" spans="1:12" hidden="1" x14ac:dyDescent="0.25">
      <c r="A1753">
        <v>2015</v>
      </c>
      <c r="B1753" t="s">
        <v>66</v>
      </c>
      <c r="C1753">
        <v>68726</v>
      </c>
      <c r="D1753" t="s">
        <v>64</v>
      </c>
      <c r="E1753" t="s">
        <v>14</v>
      </c>
      <c r="F1753" t="s">
        <v>76</v>
      </c>
      <c r="G1753" t="s">
        <v>54</v>
      </c>
      <c r="H1753" t="s">
        <v>55</v>
      </c>
      <c r="I1753">
        <v>82.9</v>
      </c>
      <c r="J1753">
        <v>81.900000000000006</v>
      </c>
      <c r="K1753">
        <v>82.9</v>
      </c>
      <c r="L1753">
        <v>82902.29191797346</v>
      </c>
    </row>
    <row r="1754" spans="1:12" hidden="1" x14ac:dyDescent="0.25">
      <c r="A1754">
        <v>2015</v>
      </c>
      <c r="B1754" t="s">
        <v>12</v>
      </c>
      <c r="C1754">
        <v>1074</v>
      </c>
      <c r="D1754" t="s">
        <v>64</v>
      </c>
      <c r="E1754" t="s">
        <v>14</v>
      </c>
      <c r="F1754" t="s">
        <v>76</v>
      </c>
      <c r="G1754" t="s">
        <v>38</v>
      </c>
      <c r="H1754" t="s">
        <v>39</v>
      </c>
      <c r="I1754">
        <v>109.79561218418</v>
      </c>
      <c r="J1754">
        <v>96.211353938038002</v>
      </c>
      <c r="K1754">
        <v>109.79561218418</v>
      </c>
      <c r="L1754">
        <v>978.18116647356169</v>
      </c>
    </row>
    <row r="1755" spans="1:12" hidden="1" x14ac:dyDescent="0.25">
      <c r="A1755">
        <v>2015</v>
      </c>
      <c r="B1755" t="s">
        <v>66</v>
      </c>
      <c r="C1755">
        <v>2008</v>
      </c>
      <c r="D1755" t="s">
        <v>64</v>
      </c>
      <c r="E1755" t="s">
        <v>14</v>
      </c>
      <c r="F1755" t="s">
        <v>76</v>
      </c>
      <c r="G1755" t="s">
        <v>38</v>
      </c>
      <c r="H1755" t="s">
        <v>39</v>
      </c>
      <c r="I1755">
        <v>95.7</v>
      </c>
      <c r="J1755">
        <v>81.900000000000006</v>
      </c>
      <c r="K1755">
        <v>95.7</v>
      </c>
      <c r="L1755">
        <v>2098.223615464995</v>
      </c>
    </row>
    <row r="1756" spans="1:12" hidden="1" x14ac:dyDescent="0.25">
      <c r="A1756">
        <v>2015</v>
      </c>
      <c r="B1756" t="s">
        <v>12</v>
      </c>
      <c r="C1756">
        <v>1245</v>
      </c>
      <c r="D1756" t="s">
        <v>64</v>
      </c>
      <c r="E1756" t="s">
        <v>14</v>
      </c>
      <c r="F1756" t="s">
        <v>76</v>
      </c>
      <c r="G1756" t="s">
        <v>44</v>
      </c>
      <c r="H1756" t="s">
        <v>45</v>
      </c>
      <c r="I1756">
        <v>93.364041500221006</v>
      </c>
      <c r="J1756">
        <v>96.211353938038002</v>
      </c>
      <c r="K1756">
        <v>93.364041500221006</v>
      </c>
      <c r="L1756">
        <v>1333.489831839652</v>
      </c>
    </row>
    <row r="1757" spans="1:12" hidden="1" x14ac:dyDescent="0.25">
      <c r="A1757">
        <v>2015</v>
      </c>
      <c r="B1757" t="s">
        <v>66</v>
      </c>
      <c r="C1757">
        <v>29591</v>
      </c>
      <c r="D1757" t="s">
        <v>64</v>
      </c>
      <c r="E1757" t="s">
        <v>14</v>
      </c>
      <c r="F1757" t="s">
        <v>76</v>
      </c>
      <c r="G1757" t="s">
        <v>44</v>
      </c>
      <c r="H1757" t="s">
        <v>45</v>
      </c>
      <c r="I1757">
        <v>73.2</v>
      </c>
      <c r="J1757">
        <v>81.900000000000006</v>
      </c>
      <c r="K1757">
        <v>73.2</v>
      </c>
      <c r="L1757">
        <v>40424.863387978141</v>
      </c>
    </row>
    <row r="1758" spans="1:12" hidden="1" x14ac:dyDescent="0.25">
      <c r="A1758">
        <v>2015</v>
      </c>
      <c r="B1758" t="s">
        <v>12</v>
      </c>
      <c r="C1758">
        <v>321</v>
      </c>
      <c r="D1758" t="s">
        <v>64</v>
      </c>
      <c r="E1758" t="s">
        <v>14</v>
      </c>
      <c r="F1758" t="s">
        <v>76</v>
      </c>
      <c r="G1758" t="s">
        <v>26</v>
      </c>
      <c r="H1758" t="s">
        <v>27</v>
      </c>
      <c r="I1758">
        <v>107.52442116425</v>
      </c>
      <c r="J1758">
        <v>96.211353938038002</v>
      </c>
      <c r="K1758">
        <v>107.52442116425</v>
      </c>
      <c r="L1758">
        <v>298.53683146980472</v>
      </c>
    </row>
    <row r="1759" spans="1:12" hidden="1" x14ac:dyDescent="0.25">
      <c r="A1759">
        <v>2015</v>
      </c>
      <c r="B1759" t="s">
        <v>66</v>
      </c>
      <c r="C1759">
        <v>3230</v>
      </c>
      <c r="D1759" t="s">
        <v>64</v>
      </c>
      <c r="E1759" t="s">
        <v>14</v>
      </c>
      <c r="F1759" t="s">
        <v>76</v>
      </c>
      <c r="G1759" t="s">
        <v>26</v>
      </c>
      <c r="H1759" t="s">
        <v>27</v>
      </c>
      <c r="I1759">
        <v>90.8</v>
      </c>
      <c r="J1759">
        <v>81.900000000000006</v>
      </c>
      <c r="K1759">
        <v>90.8</v>
      </c>
      <c r="L1759">
        <v>3557.2687224669612</v>
      </c>
    </row>
    <row r="1760" spans="1:12" hidden="1" x14ac:dyDescent="0.25">
      <c r="A1760">
        <v>2015</v>
      </c>
      <c r="B1760" t="s">
        <v>12</v>
      </c>
      <c r="C1760">
        <v>72</v>
      </c>
      <c r="D1760" t="s">
        <v>64</v>
      </c>
      <c r="E1760" t="s">
        <v>14</v>
      </c>
      <c r="F1760" t="s">
        <v>76</v>
      </c>
      <c r="G1760" t="s">
        <v>48</v>
      </c>
      <c r="H1760" t="s">
        <v>49</v>
      </c>
      <c r="I1760">
        <v>95.958177771508005</v>
      </c>
      <c r="J1760">
        <v>96.211353938038002</v>
      </c>
      <c r="K1760">
        <v>95.958177771508005</v>
      </c>
      <c r="L1760">
        <v>75.03268785641562</v>
      </c>
    </row>
    <row r="1761" spans="1:12" hidden="1" x14ac:dyDescent="0.25">
      <c r="A1761">
        <v>2015</v>
      </c>
      <c r="B1761" t="s">
        <v>66</v>
      </c>
      <c r="C1761">
        <v>9527</v>
      </c>
      <c r="D1761" t="s">
        <v>64</v>
      </c>
      <c r="E1761" t="s">
        <v>14</v>
      </c>
      <c r="F1761" t="s">
        <v>76</v>
      </c>
      <c r="G1761" t="s">
        <v>48</v>
      </c>
      <c r="H1761" t="s">
        <v>49</v>
      </c>
      <c r="I1761">
        <v>83.4</v>
      </c>
      <c r="J1761">
        <v>81.900000000000006</v>
      </c>
      <c r="K1761">
        <v>83.4</v>
      </c>
      <c r="L1761">
        <v>11423.26139088729</v>
      </c>
    </row>
    <row r="1762" spans="1:12" hidden="1" x14ac:dyDescent="0.25">
      <c r="A1762">
        <v>2015</v>
      </c>
      <c r="B1762" t="s">
        <v>12</v>
      </c>
      <c r="C1762">
        <v>7</v>
      </c>
      <c r="D1762" t="s">
        <v>64</v>
      </c>
      <c r="E1762" t="s">
        <v>14</v>
      </c>
      <c r="F1762" t="s">
        <v>76</v>
      </c>
      <c r="G1762" t="s">
        <v>56</v>
      </c>
      <c r="H1762" t="s">
        <v>57</v>
      </c>
      <c r="I1762">
        <v>95.958177771508005</v>
      </c>
      <c r="J1762">
        <v>96.211353938038002</v>
      </c>
      <c r="K1762">
        <v>95.958177771508005</v>
      </c>
      <c r="L1762">
        <v>7.2948446527070736</v>
      </c>
    </row>
    <row r="1763" spans="1:12" hidden="1" x14ac:dyDescent="0.25">
      <c r="A1763">
        <v>2015</v>
      </c>
      <c r="B1763" t="s">
        <v>66</v>
      </c>
      <c r="C1763">
        <v>1203</v>
      </c>
      <c r="D1763" t="s">
        <v>64</v>
      </c>
      <c r="E1763" t="s">
        <v>14</v>
      </c>
      <c r="F1763" t="s">
        <v>76</v>
      </c>
      <c r="G1763" t="s">
        <v>56</v>
      </c>
      <c r="H1763" t="s">
        <v>57</v>
      </c>
      <c r="I1763">
        <v>82.9</v>
      </c>
      <c r="J1763">
        <v>81.900000000000006</v>
      </c>
      <c r="K1763">
        <v>82.9</v>
      </c>
      <c r="L1763">
        <v>1451.1459589867311</v>
      </c>
    </row>
    <row r="1764" spans="1:12" hidden="1" x14ac:dyDescent="0.25">
      <c r="A1764">
        <v>2015</v>
      </c>
      <c r="B1764" t="s">
        <v>66</v>
      </c>
      <c r="C1764">
        <v>45641</v>
      </c>
      <c r="D1764" t="s">
        <v>64</v>
      </c>
      <c r="E1764" t="s">
        <v>14</v>
      </c>
      <c r="F1764" t="s">
        <v>76</v>
      </c>
      <c r="G1764" t="s">
        <v>34</v>
      </c>
      <c r="H1764" t="s">
        <v>35</v>
      </c>
      <c r="I1764">
        <v>47.6</v>
      </c>
      <c r="J1764">
        <v>81.900000000000006</v>
      </c>
      <c r="K1764">
        <v>47.6</v>
      </c>
      <c r="L1764">
        <v>95884.45378151261</v>
      </c>
    </row>
    <row r="1765" spans="1:12" hidden="1" x14ac:dyDescent="0.25">
      <c r="A1765">
        <v>2015</v>
      </c>
      <c r="B1765" t="s">
        <v>66</v>
      </c>
      <c r="C1765">
        <v>1129</v>
      </c>
      <c r="D1765" s="4" t="s">
        <v>64</v>
      </c>
      <c r="E1765" t="s">
        <v>14</v>
      </c>
      <c r="F1765" t="s">
        <v>76</v>
      </c>
      <c r="G1765" t="s">
        <v>67</v>
      </c>
      <c r="H1765" t="s">
        <v>68</v>
      </c>
      <c r="I1765">
        <v>80</v>
      </c>
      <c r="J1765">
        <v>81.900000000000006</v>
      </c>
      <c r="K1765">
        <v>80</v>
      </c>
      <c r="L1765">
        <v>1411.25</v>
      </c>
    </row>
    <row r="1766" spans="1:12" hidden="1" x14ac:dyDescent="0.25">
      <c r="A1766">
        <v>2015</v>
      </c>
      <c r="B1766" t="s">
        <v>12</v>
      </c>
      <c r="C1766">
        <v>2617</v>
      </c>
      <c r="D1766" t="s">
        <v>64</v>
      </c>
      <c r="E1766" t="s">
        <v>14</v>
      </c>
      <c r="F1766" t="s">
        <v>76</v>
      </c>
      <c r="G1766" t="s">
        <v>16</v>
      </c>
      <c r="H1766" t="s">
        <v>17</v>
      </c>
      <c r="J1766">
        <v>96.211353938038002</v>
      </c>
      <c r="K1766">
        <v>96.211353938038002</v>
      </c>
      <c r="L1766">
        <v>2720.0531879900568</v>
      </c>
    </row>
    <row r="1767" spans="1:12" hidden="1" x14ac:dyDescent="0.25">
      <c r="A1767">
        <v>2021</v>
      </c>
      <c r="B1767" t="s">
        <v>12</v>
      </c>
      <c r="C1767">
        <v>3396060500.3950481</v>
      </c>
      <c r="D1767" t="s">
        <v>77</v>
      </c>
      <c r="E1767" t="s">
        <v>14</v>
      </c>
      <c r="F1767" t="s">
        <v>65</v>
      </c>
      <c r="G1767" s="2"/>
      <c r="H1767" t="s">
        <v>21</v>
      </c>
      <c r="K1767">
        <v>112.85003295356999</v>
      </c>
      <c r="L1767">
        <v>3009.357118922856</v>
      </c>
    </row>
    <row r="1768" spans="1:12" hidden="1" x14ac:dyDescent="0.25">
      <c r="A1768">
        <v>2021</v>
      </c>
      <c r="B1768" t="s">
        <v>12</v>
      </c>
      <c r="C1768">
        <v>17894554288.385571</v>
      </c>
      <c r="D1768" t="s">
        <v>77</v>
      </c>
      <c r="E1768" t="s">
        <v>14</v>
      </c>
      <c r="F1768" t="s">
        <v>65</v>
      </c>
      <c r="G1768" s="2"/>
      <c r="H1768" t="s">
        <v>19</v>
      </c>
      <c r="K1768">
        <v>108.85802305479</v>
      </c>
      <c r="L1768">
        <v>16438.434013613271</v>
      </c>
    </row>
    <row r="1769" spans="1:12" hidden="1" x14ac:dyDescent="0.25">
      <c r="A1769">
        <v>2021</v>
      </c>
      <c r="B1769" t="s">
        <v>12</v>
      </c>
      <c r="C1769">
        <v>859717888.06952858</v>
      </c>
      <c r="D1769" t="s">
        <v>77</v>
      </c>
      <c r="E1769" t="s">
        <v>14</v>
      </c>
      <c r="F1769" t="s">
        <v>65</v>
      </c>
      <c r="G1769" s="3"/>
      <c r="H1769" t="s">
        <v>51</v>
      </c>
      <c r="K1769">
        <v>106.47234528849</v>
      </c>
      <c r="L1769">
        <v>807.45651440296285</v>
      </c>
    </row>
    <row r="1770" spans="1:12" hidden="1" x14ac:dyDescent="0.25">
      <c r="A1770">
        <v>2021</v>
      </c>
      <c r="B1770" t="s">
        <v>12</v>
      </c>
      <c r="C1770">
        <v>558315031.34053206</v>
      </c>
      <c r="D1770" t="s">
        <v>77</v>
      </c>
      <c r="E1770" t="s">
        <v>14</v>
      </c>
      <c r="F1770" t="s">
        <v>65</v>
      </c>
      <c r="G1770" s="2"/>
      <c r="H1770" t="s">
        <v>53</v>
      </c>
      <c r="K1770">
        <v>106.47234528849</v>
      </c>
      <c r="L1770">
        <v>524.375629960776</v>
      </c>
    </row>
    <row r="1771" spans="1:12" hidden="1" x14ac:dyDescent="0.25">
      <c r="A1771">
        <v>2021</v>
      </c>
      <c r="B1771" t="s">
        <v>12</v>
      </c>
      <c r="C1771">
        <v>2163804559.1256261</v>
      </c>
      <c r="D1771" t="s">
        <v>77</v>
      </c>
      <c r="E1771" t="s">
        <v>14</v>
      </c>
      <c r="F1771" t="s">
        <v>65</v>
      </c>
      <c r="G1771" s="2"/>
      <c r="H1771" t="s">
        <v>45</v>
      </c>
      <c r="K1771">
        <v>124.66113428208</v>
      </c>
      <c r="L1771">
        <v>1735.749134312724</v>
      </c>
    </row>
    <row r="1772" spans="1:12" hidden="1" x14ac:dyDescent="0.25">
      <c r="A1772">
        <v>2021</v>
      </c>
      <c r="B1772" t="s">
        <v>12</v>
      </c>
      <c r="C1772">
        <v>461569810.3766132</v>
      </c>
      <c r="D1772" t="s">
        <v>77</v>
      </c>
      <c r="E1772" t="s">
        <v>14</v>
      </c>
      <c r="F1772" t="s">
        <v>65</v>
      </c>
      <c r="G1772" s="2"/>
      <c r="H1772" t="s">
        <v>59</v>
      </c>
      <c r="K1772">
        <v>143.65737313291001</v>
      </c>
      <c r="L1772">
        <v>321.29907453449988</v>
      </c>
    </row>
    <row r="1773" spans="1:12" hidden="1" x14ac:dyDescent="0.25">
      <c r="A1773">
        <v>2021</v>
      </c>
      <c r="B1773" t="s">
        <v>12</v>
      </c>
      <c r="C1773">
        <v>24485140.900711089</v>
      </c>
      <c r="D1773" t="s">
        <v>77</v>
      </c>
      <c r="E1773" t="s">
        <v>14</v>
      </c>
      <c r="F1773" t="s">
        <v>65</v>
      </c>
      <c r="G1773" s="2"/>
      <c r="H1773" t="s">
        <v>57</v>
      </c>
      <c r="K1773">
        <v>106.47234528849</v>
      </c>
      <c r="L1773">
        <v>22.996714155556418</v>
      </c>
    </row>
    <row r="1774" spans="1:12" hidden="1" x14ac:dyDescent="0.25">
      <c r="A1774">
        <v>2021</v>
      </c>
      <c r="B1774" t="s">
        <v>12</v>
      </c>
      <c r="C1774">
        <v>1840074823.5449049</v>
      </c>
      <c r="D1774" t="s">
        <v>77</v>
      </c>
      <c r="E1774" t="s">
        <v>14</v>
      </c>
      <c r="F1774" t="s">
        <v>65</v>
      </c>
      <c r="G1774" s="3"/>
      <c r="H1774" t="s">
        <v>43</v>
      </c>
      <c r="K1774">
        <v>124.66113428208</v>
      </c>
      <c r="L1774">
        <v>1476.061351552627</v>
      </c>
    </row>
    <row r="1775" spans="1:12" hidden="1" x14ac:dyDescent="0.25">
      <c r="A1775">
        <v>2021</v>
      </c>
      <c r="B1775" t="s">
        <v>12</v>
      </c>
      <c r="C1775">
        <v>3030675288.9122992</v>
      </c>
      <c r="D1775" t="s">
        <v>77</v>
      </c>
      <c r="E1775" t="s">
        <v>14</v>
      </c>
      <c r="F1775" t="s">
        <v>65</v>
      </c>
      <c r="G1775" s="2"/>
      <c r="H1775" t="s">
        <v>31</v>
      </c>
      <c r="K1775">
        <v>94.206586225303994</v>
      </c>
      <c r="L1775">
        <v>3217.0524486092199</v>
      </c>
    </row>
    <row r="1776" spans="1:12" hidden="1" x14ac:dyDescent="0.25">
      <c r="A1776">
        <v>2021</v>
      </c>
      <c r="B1776" t="s">
        <v>12</v>
      </c>
      <c r="C1776">
        <v>71658479.062417686</v>
      </c>
      <c r="D1776" t="s">
        <v>77</v>
      </c>
      <c r="E1776" t="s">
        <v>14</v>
      </c>
      <c r="F1776" t="s">
        <v>65</v>
      </c>
      <c r="G1776" s="2"/>
      <c r="H1776" t="s">
        <v>25</v>
      </c>
      <c r="K1776">
        <v>69.374466842382006</v>
      </c>
      <c r="L1776">
        <v>103.2922951685163</v>
      </c>
    </row>
    <row r="1777" spans="1:12" hidden="1" x14ac:dyDescent="0.25">
      <c r="A1777">
        <v>2021</v>
      </c>
      <c r="B1777" t="s">
        <v>12</v>
      </c>
      <c r="C1777">
        <v>2120839880.1685541</v>
      </c>
      <c r="D1777" t="s">
        <v>77</v>
      </c>
      <c r="E1777" t="s">
        <v>14</v>
      </c>
      <c r="F1777" t="s">
        <v>65</v>
      </c>
      <c r="G1777" s="2"/>
      <c r="H1777" t="s">
        <v>41</v>
      </c>
      <c r="K1777">
        <v>115.300264502</v>
      </c>
      <c r="L1777">
        <v>1839.4059105838089</v>
      </c>
    </row>
    <row r="1778" spans="1:12" hidden="1" x14ac:dyDescent="0.25">
      <c r="A1778">
        <v>2021</v>
      </c>
      <c r="B1778" t="s">
        <v>12</v>
      </c>
      <c r="C1778">
        <v>24271424.80905978</v>
      </c>
      <c r="D1778" t="s">
        <v>77</v>
      </c>
      <c r="E1778" t="s">
        <v>14</v>
      </c>
      <c r="F1778" t="s">
        <v>65</v>
      </c>
      <c r="G1778" s="2"/>
      <c r="H1778" t="s">
        <v>27</v>
      </c>
      <c r="K1778">
        <v>69.374466842382006</v>
      </c>
      <c r="L1778">
        <v>34.986106436254403</v>
      </c>
    </row>
    <row r="1779" spans="1:12" hidden="1" x14ac:dyDescent="0.25">
      <c r="A1779">
        <v>2021</v>
      </c>
      <c r="B1779" t="s">
        <v>12</v>
      </c>
      <c r="C1779">
        <v>8236614.4324466698</v>
      </c>
      <c r="D1779" t="s">
        <v>77</v>
      </c>
      <c r="E1779" t="s">
        <v>14</v>
      </c>
      <c r="F1779" t="s">
        <v>65</v>
      </c>
      <c r="G1779" s="3"/>
      <c r="H1779" t="s">
        <v>49</v>
      </c>
      <c r="K1779">
        <v>106.47234528849</v>
      </c>
      <c r="L1779">
        <v>7.7359190408826981</v>
      </c>
    </row>
    <row r="1780" spans="1:12" hidden="1" x14ac:dyDescent="0.25">
      <c r="A1780">
        <v>2021</v>
      </c>
      <c r="B1780" t="s">
        <v>12</v>
      </c>
      <c r="C1780">
        <v>1561600859.099288</v>
      </c>
      <c r="D1780" t="s">
        <v>77</v>
      </c>
      <c r="E1780" t="s">
        <v>14</v>
      </c>
      <c r="F1780" t="s">
        <v>65</v>
      </c>
      <c r="G1780" s="2"/>
      <c r="H1780" t="s">
        <v>47</v>
      </c>
      <c r="K1780">
        <v>106.47234528849</v>
      </c>
      <c r="L1780">
        <v>1466.6727354113259</v>
      </c>
    </row>
    <row r="1781" spans="1:12" hidden="1" x14ac:dyDescent="0.25">
      <c r="A1781">
        <v>2021</v>
      </c>
      <c r="B1781" t="s">
        <v>12</v>
      </c>
      <c r="C1781">
        <v>780952042.40189636</v>
      </c>
      <c r="D1781" t="s">
        <v>77</v>
      </c>
      <c r="E1781" t="s">
        <v>14</v>
      </c>
      <c r="F1781" t="s">
        <v>65</v>
      </c>
      <c r="G1781" s="2"/>
      <c r="H1781" t="s">
        <v>39</v>
      </c>
      <c r="K1781">
        <v>115.300264502</v>
      </c>
      <c r="L1781">
        <v>677.32025227778195</v>
      </c>
    </row>
    <row r="1782" spans="1:12" hidden="1" x14ac:dyDescent="0.25">
      <c r="A1782">
        <v>2021</v>
      </c>
      <c r="B1782" t="s">
        <v>12</v>
      </c>
      <c r="C1782">
        <v>170070000</v>
      </c>
      <c r="D1782" t="s">
        <v>77</v>
      </c>
      <c r="E1782" t="s">
        <v>14</v>
      </c>
      <c r="F1782" t="s">
        <v>65</v>
      </c>
      <c r="G1782" s="2"/>
      <c r="H1782" t="s">
        <v>23</v>
      </c>
      <c r="K1782">
        <v>69.374466842382006</v>
      </c>
      <c r="L1782">
        <v>245.1478299449812</v>
      </c>
    </row>
    <row r="1783" spans="1:12" hidden="1" x14ac:dyDescent="0.25">
      <c r="A1783">
        <v>2021</v>
      </c>
      <c r="B1783" t="s">
        <v>12</v>
      </c>
      <c r="C1783">
        <v>9308317644.1927814</v>
      </c>
      <c r="D1783" t="s">
        <v>77</v>
      </c>
      <c r="E1783" t="s">
        <v>14</v>
      </c>
      <c r="F1783" t="s">
        <v>65</v>
      </c>
      <c r="G1783" s="2"/>
      <c r="H1783" t="s">
        <v>37</v>
      </c>
      <c r="K1783">
        <v>115.300264502</v>
      </c>
      <c r="L1783">
        <v>8073.1103995267231</v>
      </c>
    </row>
    <row r="1784" spans="1:12" hidden="1" x14ac:dyDescent="0.25">
      <c r="A1784">
        <v>2021</v>
      </c>
      <c r="B1784" t="s">
        <v>12</v>
      </c>
      <c r="C1784">
        <v>43093828.022122733</v>
      </c>
      <c r="D1784" t="s">
        <v>77</v>
      </c>
      <c r="E1784" t="s">
        <v>14</v>
      </c>
      <c r="F1784" t="s">
        <v>65</v>
      </c>
      <c r="G1784" s="3"/>
      <c r="H1784" t="s">
        <v>55</v>
      </c>
      <c r="K1784">
        <v>106.47234528849</v>
      </c>
      <c r="L1784">
        <v>40.474198164188742</v>
      </c>
    </row>
    <row r="1785" spans="1:12" hidden="1" x14ac:dyDescent="0.25">
      <c r="A1785">
        <v>2021</v>
      </c>
      <c r="B1785" t="s">
        <v>12</v>
      </c>
      <c r="C1785">
        <v>238311327.36370829</v>
      </c>
      <c r="D1785" t="s">
        <v>77</v>
      </c>
      <c r="E1785" t="s">
        <v>14</v>
      </c>
      <c r="F1785" t="s">
        <v>65</v>
      </c>
      <c r="G1785" s="2"/>
      <c r="H1785" t="s">
        <v>33</v>
      </c>
      <c r="K1785">
        <v>94.206586225303994</v>
      </c>
      <c r="L1785">
        <v>252.96673715971849</v>
      </c>
    </row>
    <row r="1786" spans="1:12" hidden="1" x14ac:dyDescent="0.25">
      <c r="A1786">
        <v>2021</v>
      </c>
      <c r="B1786" t="s">
        <v>12</v>
      </c>
      <c r="C1786">
        <v>79294133.263102472</v>
      </c>
      <c r="D1786" t="s">
        <v>77</v>
      </c>
      <c r="E1786" t="s">
        <v>14</v>
      </c>
      <c r="F1786" t="s">
        <v>65</v>
      </c>
      <c r="G1786" s="2"/>
      <c r="H1786" t="s">
        <v>61</v>
      </c>
      <c r="K1786">
        <v>110.55212475787999</v>
      </c>
      <c r="L1786">
        <v>71.725562431987981</v>
      </c>
    </row>
    <row r="1787" spans="1:12" hidden="1" x14ac:dyDescent="0.25">
      <c r="A1787">
        <v>2021</v>
      </c>
      <c r="B1787" t="s">
        <v>12</v>
      </c>
      <c r="C1787">
        <v>2357751305.7677121</v>
      </c>
      <c r="D1787" t="s">
        <v>77</v>
      </c>
      <c r="E1787" t="s">
        <v>14</v>
      </c>
      <c r="F1787" t="s">
        <v>65</v>
      </c>
      <c r="G1787" s="2"/>
      <c r="H1787" t="s">
        <v>29</v>
      </c>
      <c r="K1787">
        <v>143.65737313291001</v>
      </c>
      <c r="L1787">
        <v>1641.2323672286209</v>
      </c>
    </row>
    <row r="1788" spans="1:12" hidden="1" x14ac:dyDescent="0.25">
      <c r="A1788">
        <v>2021</v>
      </c>
      <c r="B1788" t="s">
        <v>12</v>
      </c>
      <c r="C1788">
        <v>768042139.32051623</v>
      </c>
      <c r="D1788" t="s">
        <v>77</v>
      </c>
      <c r="E1788" t="s">
        <v>14</v>
      </c>
      <c r="F1788" t="s">
        <v>65</v>
      </c>
      <c r="G1788" s="2"/>
      <c r="H1788" t="s">
        <v>63</v>
      </c>
      <c r="K1788">
        <v>106.47234528849</v>
      </c>
      <c r="L1788">
        <v>721.35364092852751</v>
      </c>
    </row>
    <row r="1789" spans="1:12" hidden="1" x14ac:dyDescent="0.25">
      <c r="A1789">
        <v>2021</v>
      </c>
      <c r="B1789" t="s">
        <v>66</v>
      </c>
      <c r="C1789">
        <v>14717974679.80295</v>
      </c>
      <c r="D1789" t="s">
        <v>77</v>
      </c>
      <c r="E1789" t="s">
        <v>14</v>
      </c>
      <c r="F1789" t="s">
        <v>65</v>
      </c>
      <c r="G1789" s="3"/>
      <c r="H1789" t="s">
        <v>21</v>
      </c>
      <c r="K1789">
        <v>114.588591483131</v>
      </c>
      <c r="L1789">
        <v>12844.18849146046</v>
      </c>
    </row>
    <row r="1790" spans="1:12" hidden="1" x14ac:dyDescent="0.25">
      <c r="A1790">
        <v>2021</v>
      </c>
      <c r="B1790" t="s">
        <v>66</v>
      </c>
      <c r="C1790">
        <v>49771474482.758636</v>
      </c>
      <c r="D1790" t="s">
        <v>77</v>
      </c>
      <c r="E1790" t="s">
        <v>14</v>
      </c>
      <c r="F1790" t="s">
        <v>65</v>
      </c>
      <c r="G1790" s="2"/>
      <c r="H1790" t="s">
        <v>19</v>
      </c>
      <c r="K1790">
        <v>116.18765921948599</v>
      </c>
      <c r="L1790">
        <v>42837.14364942762</v>
      </c>
    </row>
    <row r="1791" spans="1:12" hidden="1" x14ac:dyDescent="0.25">
      <c r="A1791">
        <v>2021</v>
      </c>
      <c r="B1791" t="s">
        <v>66</v>
      </c>
      <c r="C1791">
        <v>356992955.66502458</v>
      </c>
      <c r="D1791" t="s">
        <v>77</v>
      </c>
      <c r="E1791" t="s">
        <v>14</v>
      </c>
      <c r="F1791" t="s">
        <v>65</v>
      </c>
      <c r="G1791" s="2"/>
      <c r="H1791" t="s">
        <v>68</v>
      </c>
      <c r="K1791">
        <v>114.588591483131</v>
      </c>
      <c r="L1791">
        <v>311.54319207909879</v>
      </c>
    </row>
    <row r="1792" spans="1:12" hidden="1" x14ac:dyDescent="0.25">
      <c r="A1792">
        <v>2021</v>
      </c>
      <c r="B1792" t="s">
        <v>66</v>
      </c>
      <c r="C1792">
        <v>12221464433.49754</v>
      </c>
      <c r="D1792" t="s">
        <v>77</v>
      </c>
      <c r="E1792" t="s">
        <v>14</v>
      </c>
      <c r="F1792" t="s">
        <v>65</v>
      </c>
      <c r="G1792" s="2"/>
      <c r="H1792" t="s">
        <v>35</v>
      </c>
      <c r="K1792">
        <v>101.249897488305</v>
      </c>
      <c r="L1792">
        <v>12070.59437754907</v>
      </c>
    </row>
    <row r="1793" spans="1:12" hidden="1" x14ac:dyDescent="0.25">
      <c r="A1793">
        <v>2021</v>
      </c>
      <c r="B1793" t="s">
        <v>66</v>
      </c>
      <c r="C1793">
        <v>20531946847.290649</v>
      </c>
      <c r="D1793" t="s">
        <v>77</v>
      </c>
      <c r="E1793" t="s">
        <v>14</v>
      </c>
      <c r="F1793" t="s">
        <v>65</v>
      </c>
      <c r="G1793" s="2"/>
      <c r="H1793" t="s">
        <v>51</v>
      </c>
      <c r="K1793">
        <v>110.091234626415</v>
      </c>
      <c r="L1793">
        <v>18649.937860143011</v>
      </c>
    </row>
    <row r="1794" spans="1:12" hidden="1" x14ac:dyDescent="0.25">
      <c r="A1794">
        <v>2021</v>
      </c>
      <c r="B1794" t="s">
        <v>66</v>
      </c>
      <c r="C1794">
        <v>26854091379.310341</v>
      </c>
      <c r="D1794" t="s">
        <v>77</v>
      </c>
      <c r="E1794" t="s">
        <v>14</v>
      </c>
      <c r="F1794" t="s">
        <v>65</v>
      </c>
      <c r="G1794" s="3"/>
      <c r="H1794" t="s">
        <v>53</v>
      </c>
      <c r="K1794">
        <v>111.424704413977</v>
      </c>
      <c r="L1794">
        <v>24100.66198563933</v>
      </c>
    </row>
    <row r="1795" spans="1:12" hidden="1" x14ac:dyDescent="0.25">
      <c r="A1795">
        <v>2021</v>
      </c>
      <c r="B1795" t="s">
        <v>66</v>
      </c>
      <c r="C1795">
        <v>35070808029.556641</v>
      </c>
      <c r="D1795" t="s">
        <v>77</v>
      </c>
      <c r="E1795" t="s">
        <v>14</v>
      </c>
      <c r="F1795" t="s">
        <v>65</v>
      </c>
      <c r="G1795" s="2"/>
      <c r="H1795" t="s">
        <v>45</v>
      </c>
      <c r="K1795">
        <v>141.21332900058599</v>
      </c>
      <c r="L1795">
        <v>24835.338333685981</v>
      </c>
    </row>
    <row r="1796" spans="1:12" hidden="1" x14ac:dyDescent="0.25">
      <c r="A1796">
        <v>2021</v>
      </c>
      <c r="B1796" t="s">
        <v>66</v>
      </c>
      <c r="C1796">
        <v>1226834187.1921179</v>
      </c>
      <c r="D1796" t="s">
        <v>77</v>
      </c>
      <c r="E1796" t="s">
        <v>14</v>
      </c>
      <c r="F1796" t="s">
        <v>65</v>
      </c>
      <c r="G1796" s="2"/>
      <c r="H1796" t="s">
        <v>59</v>
      </c>
      <c r="K1796">
        <v>113.656804391549</v>
      </c>
      <c r="L1796">
        <v>1079.419920135763</v>
      </c>
    </row>
    <row r="1797" spans="1:12" hidden="1" x14ac:dyDescent="0.25">
      <c r="A1797">
        <v>2021</v>
      </c>
      <c r="B1797" t="s">
        <v>66</v>
      </c>
      <c r="C1797">
        <v>580395418.71921194</v>
      </c>
      <c r="D1797" t="s">
        <v>77</v>
      </c>
      <c r="E1797" t="s">
        <v>14</v>
      </c>
      <c r="F1797" t="s">
        <v>65</v>
      </c>
      <c r="G1797" s="2"/>
      <c r="H1797" t="s">
        <v>57</v>
      </c>
      <c r="K1797">
        <v>112.92894634856199</v>
      </c>
      <c r="L1797">
        <v>513.94743109334127</v>
      </c>
    </row>
    <row r="1798" spans="1:12" hidden="1" x14ac:dyDescent="0.25">
      <c r="A1798">
        <v>2021</v>
      </c>
      <c r="B1798" t="s">
        <v>66</v>
      </c>
      <c r="C1798">
        <v>15133452019.70443</v>
      </c>
      <c r="D1798" t="s">
        <v>77</v>
      </c>
      <c r="E1798" t="s">
        <v>14</v>
      </c>
      <c r="F1798" t="s">
        <v>65</v>
      </c>
      <c r="G1798" s="2"/>
      <c r="H1798" t="s">
        <v>43</v>
      </c>
      <c r="K1798">
        <v>112.951814443289</v>
      </c>
      <c r="L1798">
        <v>13398.148665688461</v>
      </c>
    </row>
    <row r="1799" spans="1:12" hidden="1" x14ac:dyDescent="0.25">
      <c r="A1799">
        <v>2021</v>
      </c>
      <c r="B1799" t="s">
        <v>66</v>
      </c>
      <c r="C1799">
        <v>10834771477.83251</v>
      </c>
      <c r="D1799" t="s">
        <v>77</v>
      </c>
      <c r="E1799" t="s">
        <v>14</v>
      </c>
      <c r="F1799" t="s">
        <v>65</v>
      </c>
      <c r="G1799" s="3"/>
      <c r="H1799" t="s">
        <v>31</v>
      </c>
      <c r="K1799">
        <v>112.392064602288</v>
      </c>
      <c r="L1799">
        <v>9640.1569952225473</v>
      </c>
    </row>
    <row r="1800" spans="1:12" hidden="1" x14ac:dyDescent="0.25">
      <c r="A1800">
        <v>2021</v>
      </c>
      <c r="B1800" t="s">
        <v>66</v>
      </c>
      <c r="C1800">
        <v>2715126502.4630542</v>
      </c>
      <c r="D1800" t="s">
        <v>77</v>
      </c>
      <c r="E1800" t="s">
        <v>14</v>
      </c>
      <c r="F1800" t="s">
        <v>65</v>
      </c>
      <c r="G1800" s="2"/>
      <c r="H1800" t="s">
        <v>25</v>
      </c>
      <c r="K1800">
        <v>118.49318137442501</v>
      </c>
      <c r="L1800">
        <v>2291.377842142294</v>
      </c>
    </row>
    <row r="1801" spans="1:12" hidden="1" x14ac:dyDescent="0.25">
      <c r="A1801">
        <v>2021</v>
      </c>
      <c r="B1801" t="s">
        <v>66</v>
      </c>
      <c r="C1801">
        <v>16243195763.546801</v>
      </c>
      <c r="D1801" t="s">
        <v>77</v>
      </c>
      <c r="E1801" t="s">
        <v>14</v>
      </c>
      <c r="F1801" t="s">
        <v>65</v>
      </c>
      <c r="G1801" s="2"/>
      <c r="H1801" t="s">
        <v>41</v>
      </c>
      <c r="K1801">
        <v>110.98105301320901</v>
      </c>
      <c r="L1801">
        <v>14636.007969408551</v>
      </c>
    </row>
    <row r="1802" spans="1:12" hidden="1" x14ac:dyDescent="0.25">
      <c r="A1802">
        <v>2021</v>
      </c>
      <c r="B1802" t="s">
        <v>66</v>
      </c>
      <c r="C1802">
        <v>1928083201.970443</v>
      </c>
      <c r="D1802" t="s">
        <v>77</v>
      </c>
      <c r="E1802" t="s">
        <v>14</v>
      </c>
      <c r="F1802" t="s">
        <v>65</v>
      </c>
      <c r="G1802" s="2"/>
      <c r="H1802" t="s">
        <v>27</v>
      </c>
      <c r="K1802">
        <v>107.07734755600499</v>
      </c>
      <c r="L1802">
        <v>1800.64527743554</v>
      </c>
    </row>
    <row r="1803" spans="1:12" hidden="1" x14ac:dyDescent="0.25">
      <c r="A1803">
        <v>2021</v>
      </c>
      <c r="B1803" t="s">
        <v>66</v>
      </c>
      <c r="C1803">
        <v>4038962857.142858</v>
      </c>
      <c r="D1803" t="s">
        <v>77</v>
      </c>
      <c r="E1803" t="s">
        <v>14</v>
      </c>
      <c r="F1803" t="s">
        <v>65</v>
      </c>
      <c r="G1803" s="2"/>
      <c r="H1803" t="s">
        <v>49</v>
      </c>
      <c r="K1803">
        <v>106.928543554746</v>
      </c>
      <c r="L1803">
        <v>3777.2541576561939</v>
      </c>
    </row>
    <row r="1804" spans="1:12" hidden="1" x14ac:dyDescent="0.25">
      <c r="A1804">
        <v>2021</v>
      </c>
      <c r="B1804" t="s">
        <v>66</v>
      </c>
      <c r="C1804">
        <v>18326248177.33989</v>
      </c>
      <c r="D1804" t="s">
        <v>77</v>
      </c>
      <c r="E1804" t="s">
        <v>14</v>
      </c>
      <c r="F1804" t="s">
        <v>65</v>
      </c>
      <c r="G1804" s="3"/>
      <c r="H1804" t="s">
        <v>47</v>
      </c>
      <c r="K1804">
        <v>121.868271296408</v>
      </c>
      <c r="L1804">
        <v>15037.75181381443</v>
      </c>
    </row>
    <row r="1805" spans="1:12" hidden="1" x14ac:dyDescent="0.25">
      <c r="A1805">
        <v>2021</v>
      </c>
      <c r="B1805" t="s">
        <v>66</v>
      </c>
      <c r="C1805">
        <v>1006631625.6157629</v>
      </c>
      <c r="D1805" t="s">
        <v>77</v>
      </c>
      <c r="E1805" t="s">
        <v>14</v>
      </c>
      <c r="F1805" t="s">
        <v>65</v>
      </c>
      <c r="G1805" s="2"/>
      <c r="H1805" t="s">
        <v>39</v>
      </c>
      <c r="K1805">
        <v>108.877296090838</v>
      </c>
      <c r="L1805">
        <v>924.55604773277548</v>
      </c>
    </row>
    <row r="1806" spans="1:12" hidden="1" x14ac:dyDescent="0.25">
      <c r="A1806">
        <v>2021</v>
      </c>
      <c r="B1806" t="s">
        <v>66</v>
      </c>
      <c r="C1806">
        <v>11287315763.546801</v>
      </c>
      <c r="D1806" t="s">
        <v>77</v>
      </c>
      <c r="E1806" t="s">
        <v>14</v>
      </c>
      <c r="F1806" t="s">
        <v>65</v>
      </c>
      <c r="G1806" s="2"/>
      <c r="H1806" t="s">
        <v>23</v>
      </c>
      <c r="K1806">
        <v>113.699368348429</v>
      </c>
      <c r="L1806">
        <v>9927.3337464435954</v>
      </c>
    </row>
    <row r="1807" spans="1:12" hidden="1" x14ac:dyDescent="0.25">
      <c r="A1807">
        <v>2021</v>
      </c>
      <c r="B1807" t="s">
        <v>66</v>
      </c>
      <c r="C1807">
        <v>28928144778.325119</v>
      </c>
      <c r="D1807" t="s">
        <v>77</v>
      </c>
      <c r="E1807" t="s">
        <v>14</v>
      </c>
      <c r="F1807" t="s">
        <v>65</v>
      </c>
      <c r="G1807" s="2"/>
      <c r="H1807" t="s">
        <v>37</v>
      </c>
      <c r="K1807">
        <v>108.877296090838</v>
      </c>
      <c r="L1807">
        <v>26569.49227889525</v>
      </c>
    </row>
    <row r="1808" spans="1:12" hidden="1" x14ac:dyDescent="0.25">
      <c r="A1808">
        <v>2021</v>
      </c>
      <c r="B1808" t="s">
        <v>66</v>
      </c>
      <c r="C1808">
        <v>60970673743.842346</v>
      </c>
      <c r="D1808" t="s">
        <v>77</v>
      </c>
      <c r="E1808" t="s">
        <v>14</v>
      </c>
      <c r="F1808" t="s">
        <v>65</v>
      </c>
      <c r="G1808" s="2"/>
      <c r="H1808" t="s">
        <v>55</v>
      </c>
      <c r="K1808">
        <v>112.92894634856199</v>
      </c>
      <c r="L1808">
        <v>53990.29718709382</v>
      </c>
    </row>
    <row r="1809" spans="1:12" hidden="1" x14ac:dyDescent="0.25">
      <c r="A1809">
        <v>2021</v>
      </c>
      <c r="B1809" t="s">
        <v>66</v>
      </c>
      <c r="C1809">
        <v>430809999.99999988</v>
      </c>
      <c r="D1809" t="s">
        <v>77</v>
      </c>
      <c r="E1809" t="s">
        <v>14</v>
      </c>
      <c r="F1809" t="s">
        <v>65</v>
      </c>
      <c r="G1809" s="3"/>
      <c r="H1809" t="s">
        <v>33</v>
      </c>
      <c r="K1809">
        <v>114.043225455295</v>
      </c>
      <c r="L1809">
        <v>377.76027315965177</v>
      </c>
    </row>
    <row r="1810" spans="1:12" hidden="1" x14ac:dyDescent="0.25">
      <c r="A1810">
        <v>2021</v>
      </c>
      <c r="B1810" t="s">
        <v>66</v>
      </c>
      <c r="C1810">
        <v>448294778.32512319</v>
      </c>
      <c r="D1810" t="s">
        <v>77</v>
      </c>
      <c r="E1810" t="s">
        <v>14</v>
      </c>
      <c r="F1810" t="s">
        <v>65</v>
      </c>
      <c r="G1810" s="2"/>
      <c r="H1810" t="s">
        <v>61</v>
      </c>
      <c r="K1810">
        <v>117.451425181814</v>
      </c>
      <c r="L1810">
        <v>381.68526063533579</v>
      </c>
    </row>
    <row r="1811" spans="1:12" hidden="1" x14ac:dyDescent="0.25">
      <c r="A1811">
        <v>2021</v>
      </c>
      <c r="B1811" t="s">
        <v>66</v>
      </c>
      <c r="C1811">
        <v>2339218669.9507389</v>
      </c>
      <c r="D1811" t="s">
        <v>77</v>
      </c>
      <c r="E1811" t="s">
        <v>14</v>
      </c>
      <c r="F1811" t="s">
        <v>65</v>
      </c>
      <c r="G1811" s="2"/>
      <c r="H1811" t="s">
        <v>29</v>
      </c>
      <c r="K1811">
        <v>114.696642834729</v>
      </c>
      <c r="L1811">
        <v>2039.483120113126</v>
      </c>
    </row>
    <row r="1812" spans="1:12" x14ac:dyDescent="0.25">
      <c r="A1812">
        <v>2022</v>
      </c>
      <c r="B1812" t="s">
        <v>12</v>
      </c>
      <c r="C1812">
        <v>3562658846.3302741</v>
      </c>
      <c r="D1812" t="s">
        <v>77</v>
      </c>
      <c r="E1812" t="s">
        <v>14</v>
      </c>
      <c r="F1812" t="s">
        <v>65</v>
      </c>
      <c r="G1812" s="2"/>
      <c r="H1812" t="s">
        <v>21</v>
      </c>
      <c r="K1812">
        <v>109.88589645717001</v>
      </c>
      <c r="L1812">
        <v>3242.143861217789</v>
      </c>
    </row>
    <row r="1813" spans="1:12" x14ac:dyDescent="0.25">
      <c r="A1813">
        <v>2022</v>
      </c>
      <c r="B1813" t="s">
        <v>12</v>
      </c>
      <c r="C1813">
        <v>23480552831.42202</v>
      </c>
      <c r="D1813" t="s">
        <v>77</v>
      </c>
      <c r="E1813" t="s">
        <v>14</v>
      </c>
      <c r="F1813" t="s">
        <v>65</v>
      </c>
      <c r="G1813" s="2"/>
      <c r="H1813" t="s">
        <v>19</v>
      </c>
      <c r="K1813">
        <v>138.22614999915999</v>
      </c>
      <c r="L1813">
        <v>16987.055511250739</v>
      </c>
    </row>
    <row r="1814" spans="1:12" x14ac:dyDescent="0.25">
      <c r="A1814">
        <v>2022</v>
      </c>
      <c r="B1814" t="s">
        <v>12</v>
      </c>
      <c r="C1814">
        <v>767524941.51376164</v>
      </c>
      <c r="D1814" t="s">
        <v>77</v>
      </c>
      <c r="E1814" t="s">
        <v>14</v>
      </c>
      <c r="F1814" t="s">
        <v>65</v>
      </c>
      <c r="G1814" s="3"/>
      <c r="H1814" t="s">
        <v>51</v>
      </c>
      <c r="K1814">
        <v>123.96393010113999</v>
      </c>
      <c r="L1814">
        <v>619.15182980045199</v>
      </c>
    </row>
    <row r="1815" spans="1:12" x14ac:dyDescent="0.25">
      <c r="A1815">
        <v>2022</v>
      </c>
      <c r="B1815" t="s">
        <v>12</v>
      </c>
      <c r="C1815">
        <v>571873441.51376128</v>
      </c>
      <c r="D1815" t="s">
        <v>77</v>
      </c>
      <c r="E1815" t="s">
        <v>14</v>
      </c>
      <c r="F1815" t="s">
        <v>65</v>
      </c>
      <c r="G1815" s="2"/>
      <c r="H1815" t="s">
        <v>53</v>
      </c>
      <c r="K1815">
        <v>123.96393010113999</v>
      </c>
      <c r="L1815">
        <v>461.32245165765528</v>
      </c>
    </row>
    <row r="1816" spans="1:12" x14ac:dyDescent="0.25">
      <c r="A1816">
        <v>2022</v>
      </c>
      <c r="B1816" t="s">
        <v>12</v>
      </c>
      <c r="C1816">
        <v>2347393701.8348622</v>
      </c>
      <c r="D1816" t="s">
        <v>77</v>
      </c>
      <c r="E1816" t="s">
        <v>14</v>
      </c>
      <c r="F1816" t="s">
        <v>65</v>
      </c>
      <c r="G1816" s="2"/>
      <c r="H1816" t="s">
        <v>45</v>
      </c>
      <c r="K1816">
        <v>134.03865367133</v>
      </c>
      <c r="L1816">
        <v>1751.2811696772169</v>
      </c>
    </row>
    <row r="1817" spans="1:12" x14ac:dyDescent="0.25">
      <c r="A1817">
        <v>2022</v>
      </c>
      <c r="B1817" t="s">
        <v>12</v>
      </c>
      <c r="C1817">
        <v>1364209077.981652</v>
      </c>
      <c r="D1817" t="s">
        <v>77</v>
      </c>
      <c r="E1817" t="s">
        <v>14</v>
      </c>
      <c r="F1817" t="s">
        <v>65</v>
      </c>
      <c r="G1817" s="2"/>
      <c r="H1817" t="s">
        <v>59</v>
      </c>
      <c r="K1817">
        <v>182.56944637426</v>
      </c>
      <c r="L1817">
        <v>747.22748251373787</v>
      </c>
    </row>
    <row r="1818" spans="1:12" x14ac:dyDescent="0.25">
      <c r="A1818">
        <v>2022</v>
      </c>
      <c r="B1818" t="s">
        <v>12</v>
      </c>
      <c r="C1818">
        <v>34249388.761467889</v>
      </c>
      <c r="D1818" t="s">
        <v>77</v>
      </c>
      <c r="E1818" t="s">
        <v>14</v>
      </c>
      <c r="F1818" t="s">
        <v>65</v>
      </c>
      <c r="G1818" s="2"/>
      <c r="H1818" t="s">
        <v>57</v>
      </c>
      <c r="K1818">
        <v>123.96393010113999</v>
      </c>
      <c r="L1818">
        <v>27.628511562616978</v>
      </c>
    </row>
    <row r="1819" spans="1:12" x14ac:dyDescent="0.25">
      <c r="A1819">
        <v>2022</v>
      </c>
      <c r="B1819" t="s">
        <v>12</v>
      </c>
      <c r="C1819">
        <v>2118037995.4128449</v>
      </c>
      <c r="D1819" t="s">
        <v>77</v>
      </c>
      <c r="E1819" t="s">
        <v>14</v>
      </c>
      <c r="F1819" t="s">
        <v>65</v>
      </c>
      <c r="G1819" s="3"/>
      <c r="H1819" t="s">
        <v>43</v>
      </c>
      <c r="K1819">
        <v>134.03865367133</v>
      </c>
      <c r="L1819">
        <v>1580.169553632184</v>
      </c>
    </row>
    <row r="1820" spans="1:12" x14ac:dyDescent="0.25">
      <c r="A1820">
        <v>2022</v>
      </c>
      <c r="B1820" t="s">
        <v>12</v>
      </c>
      <c r="C1820">
        <v>3622147000</v>
      </c>
      <c r="D1820" t="s">
        <v>77</v>
      </c>
      <c r="E1820" t="s">
        <v>14</v>
      </c>
      <c r="F1820" t="s">
        <v>65</v>
      </c>
      <c r="G1820" s="2"/>
      <c r="H1820" t="s">
        <v>31</v>
      </c>
      <c r="K1820">
        <v>120.87292541591999</v>
      </c>
      <c r="L1820">
        <v>2996.657016065677</v>
      </c>
    </row>
    <row r="1821" spans="1:12" x14ac:dyDescent="0.25">
      <c r="A1821">
        <v>2022</v>
      </c>
      <c r="B1821" t="s">
        <v>12</v>
      </c>
      <c r="C1821">
        <v>79241821.100917444</v>
      </c>
      <c r="D1821" t="s">
        <v>77</v>
      </c>
      <c r="E1821" t="s">
        <v>14</v>
      </c>
      <c r="F1821" t="s">
        <v>65</v>
      </c>
      <c r="G1821" s="2"/>
      <c r="H1821" t="s">
        <v>25</v>
      </c>
      <c r="K1821">
        <v>56.539869603999001</v>
      </c>
      <c r="L1821">
        <v>140.1521115204566</v>
      </c>
    </row>
    <row r="1822" spans="1:12" x14ac:dyDescent="0.25">
      <c r="A1822">
        <v>2022</v>
      </c>
      <c r="B1822" t="s">
        <v>12</v>
      </c>
      <c r="C1822">
        <v>2224473475.9174309</v>
      </c>
      <c r="D1822" t="s">
        <v>77</v>
      </c>
      <c r="E1822" t="s">
        <v>14</v>
      </c>
      <c r="F1822" t="s">
        <v>65</v>
      </c>
      <c r="G1822" s="2"/>
      <c r="H1822" t="s">
        <v>41</v>
      </c>
      <c r="K1822">
        <v>175.63081008859999</v>
      </c>
      <c r="L1822">
        <v>1266.562213540584</v>
      </c>
    </row>
    <row r="1823" spans="1:12" x14ac:dyDescent="0.25">
      <c r="A1823">
        <v>2022</v>
      </c>
      <c r="B1823" t="s">
        <v>12</v>
      </c>
      <c r="C1823">
        <v>26143204.128440369</v>
      </c>
      <c r="D1823" t="s">
        <v>77</v>
      </c>
      <c r="E1823" t="s">
        <v>14</v>
      </c>
      <c r="F1823" t="s">
        <v>65</v>
      </c>
      <c r="G1823" s="2"/>
      <c r="H1823" t="s">
        <v>27</v>
      </c>
      <c r="K1823">
        <v>56.539869603999001</v>
      </c>
      <c r="L1823">
        <v>46.238529221141476</v>
      </c>
    </row>
    <row r="1824" spans="1:12" x14ac:dyDescent="0.25">
      <c r="A1824">
        <v>2022</v>
      </c>
      <c r="B1824" t="s">
        <v>12</v>
      </c>
      <c r="C1824">
        <v>10530798.165137621</v>
      </c>
      <c r="D1824" t="s">
        <v>77</v>
      </c>
      <c r="E1824" t="s">
        <v>14</v>
      </c>
      <c r="F1824" t="s">
        <v>65</v>
      </c>
      <c r="G1824" s="3"/>
      <c r="H1824" t="s">
        <v>49</v>
      </c>
      <c r="K1824">
        <v>123.96393010113999</v>
      </c>
      <c r="L1824">
        <v>8.4950502590114088</v>
      </c>
    </row>
    <row r="1825" spans="1:12" x14ac:dyDescent="0.25">
      <c r="A1825">
        <v>2022</v>
      </c>
      <c r="B1825" t="s">
        <v>12</v>
      </c>
      <c r="C1825">
        <v>1729364959.862385</v>
      </c>
      <c r="D1825" t="s">
        <v>77</v>
      </c>
      <c r="E1825" t="s">
        <v>14</v>
      </c>
      <c r="F1825" t="s">
        <v>65</v>
      </c>
      <c r="G1825" s="2"/>
      <c r="H1825" t="s">
        <v>47</v>
      </c>
      <c r="K1825">
        <v>123.96393010113999</v>
      </c>
      <c r="L1825">
        <v>1395.054963529655</v>
      </c>
    </row>
    <row r="1826" spans="1:12" x14ac:dyDescent="0.25">
      <c r="A1826">
        <v>2022</v>
      </c>
      <c r="B1826" t="s">
        <v>12</v>
      </c>
      <c r="C1826">
        <v>868484345.18348598</v>
      </c>
      <c r="D1826" t="s">
        <v>77</v>
      </c>
      <c r="E1826" t="s">
        <v>14</v>
      </c>
      <c r="F1826" t="s">
        <v>65</v>
      </c>
      <c r="G1826" s="2"/>
      <c r="H1826" t="s">
        <v>39</v>
      </c>
      <c r="K1826">
        <v>175.63081008859999</v>
      </c>
      <c r="L1826">
        <v>494.49430014321752</v>
      </c>
    </row>
    <row r="1827" spans="1:12" x14ac:dyDescent="0.25">
      <c r="A1827">
        <v>2022</v>
      </c>
      <c r="B1827" t="s">
        <v>12</v>
      </c>
      <c r="C1827">
        <v>194848431.1926606</v>
      </c>
      <c r="D1827" t="s">
        <v>77</v>
      </c>
      <c r="E1827" t="s">
        <v>14</v>
      </c>
      <c r="F1827" t="s">
        <v>65</v>
      </c>
      <c r="G1827" s="2"/>
      <c r="H1827" t="s">
        <v>23</v>
      </c>
      <c r="K1827">
        <v>56.539869603999001</v>
      </c>
      <c r="L1827">
        <v>344.62129565802741</v>
      </c>
    </row>
    <row r="1828" spans="1:12" x14ac:dyDescent="0.25">
      <c r="A1828">
        <v>2022</v>
      </c>
      <c r="B1828" t="s">
        <v>12</v>
      </c>
      <c r="C1828">
        <v>11966678553.89909</v>
      </c>
      <c r="D1828" t="s">
        <v>77</v>
      </c>
      <c r="E1828" t="s">
        <v>14</v>
      </c>
      <c r="F1828" t="s">
        <v>65</v>
      </c>
      <c r="G1828" s="2"/>
      <c r="H1828" t="s">
        <v>37</v>
      </c>
      <c r="K1828">
        <v>175.63081008859999</v>
      </c>
      <c r="L1828">
        <v>6813.5417401208188</v>
      </c>
    </row>
    <row r="1829" spans="1:12" x14ac:dyDescent="0.25">
      <c r="A1829">
        <v>2022</v>
      </c>
      <c r="B1829" t="s">
        <v>12</v>
      </c>
      <c r="C1829">
        <v>47770466.743119262</v>
      </c>
      <c r="D1829" t="s">
        <v>77</v>
      </c>
      <c r="E1829" t="s">
        <v>14</v>
      </c>
      <c r="F1829" t="s">
        <v>65</v>
      </c>
      <c r="G1829" s="3"/>
      <c r="H1829" t="s">
        <v>55</v>
      </c>
      <c r="K1829">
        <v>123.96393010113999</v>
      </c>
      <c r="L1829">
        <v>38.535779483712872</v>
      </c>
    </row>
    <row r="1830" spans="1:12" x14ac:dyDescent="0.25">
      <c r="A1830">
        <v>2022</v>
      </c>
      <c r="B1830" t="s">
        <v>12</v>
      </c>
      <c r="C1830">
        <v>179704366.97247711</v>
      </c>
      <c r="D1830" t="s">
        <v>77</v>
      </c>
      <c r="E1830" t="s">
        <v>14</v>
      </c>
      <c r="F1830" t="s">
        <v>65</v>
      </c>
      <c r="G1830" s="2"/>
      <c r="H1830" t="s">
        <v>33</v>
      </c>
      <c r="K1830">
        <v>120.87292541591999</v>
      </c>
      <c r="L1830">
        <v>148.6721417175269</v>
      </c>
    </row>
    <row r="1831" spans="1:12" x14ac:dyDescent="0.25">
      <c r="A1831">
        <v>2022</v>
      </c>
      <c r="B1831" t="s">
        <v>12</v>
      </c>
      <c r="C1831">
        <v>90302387.614678845</v>
      </c>
      <c r="D1831" t="s">
        <v>77</v>
      </c>
      <c r="E1831" t="s">
        <v>14</v>
      </c>
      <c r="F1831" t="s">
        <v>65</v>
      </c>
      <c r="G1831" s="2"/>
      <c r="H1831" t="s">
        <v>61</v>
      </c>
      <c r="K1831">
        <v>138.33137560220001</v>
      </c>
      <c r="L1831">
        <v>65.27975827722679</v>
      </c>
    </row>
    <row r="1832" spans="1:12" x14ac:dyDescent="0.25">
      <c r="A1832">
        <v>2022</v>
      </c>
      <c r="B1832" t="s">
        <v>12</v>
      </c>
      <c r="C1832">
        <v>2898764103.21101</v>
      </c>
      <c r="D1832" t="s">
        <v>77</v>
      </c>
      <c r="E1832" t="s">
        <v>14</v>
      </c>
      <c r="F1832" t="s">
        <v>65</v>
      </c>
      <c r="G1832" s="2"/>
      <c r="H1832" t="s">
        <v>29</v>
      </c>
      <c r="K1832">
        <v>182.56944637426</v>
      </c>
      <c r="L1832">
        <v>1587.759705021321</v>
      </c>
    </row>
    <row r="1833" spans="1:12" x14ac:dyDescent="0.25">
      <c r="A1833">
        <v>2022</v>
      </c>
      <c r="B1833" t="s">
        <v>12</v>
      </c>
      <c r="C1833">
        <v>597261420.87155914</v>
      </c>
      <c r="D1833" t="s">
        <v>77</v>
      </c>
      <c r="E1833" t="s">
        <v>14</v>
      </c>
      <c r="F1833" t="s">
        <v>65</v>
      </c>
      <c r="G1833" s="2"/>
      <c r="H1833" t="s">
        <v>63</v>
      </c>
      <c r="K1833">
        <v>123.96393010113999</v>
      </c>
      <c r="L1833">
        <v>481.80258594920628</v>
      </c>
    </row>
    <row r="1834" spans="1:12" hidden="1" x14ac:dyDescent="0.25">
      <c r="A1834">
        <v>2022</v>
      </c>
      <c r="B1834" t="s">
        <v>66</v>
      </c>
      <c r="C1834">
        <v>16734104577.114429</v>
      </c>
      <c r="D1834" t="s">
        <v>77</v>
      </c>
      <c r="E1834" t="s">
        <v>14</v>
      </c>
      <c r="F1834" t="s">
        <v>65</v>
      </c>
      <c r="G1834" s="3"/>
      <c r="H1834" t="s">
        <v>21</v>
      </c>
      <c r="K1834">
        <v>124.885983267714</v>
      </c>
      <c r="L1834">
        <v>13399.505804620259</v>
      </c>
    </row>
    <row r="1835" spans="1:12" hidden="1" x14ac:dyDescent="0.25">
      <c r="A1835">
        <v>2022</v>
      </c>
      <c r="B1835" t="s">
        <v>66</v>
      </c>
      <c r="C1835">
        <v>56143503482.587097</v>
      </c>
      <c r="D1835" t="s">
        <v>77</v>
      </c>
      <c r="E1835" t="s">
        <v>14</v>
      </c>
      <c r="F1835" t="s">
        <v>65</v>
      </c>
      <c r="G1835" s="2"/>
      <c r="H1835" t="s">
        <v>19</v>
      </c>
      <c r="K1835">
        <v>129.32654788623401</v>
      </c>
      <c r="L1835">
        <v>43412.202985558251</v>
      </c>
    </row>
    <row r="1836" spans="1:12" hidden="1" x14ac:dyDescent="0.25">
      <c r="A1836">
        <v>2022</v>
      </c>
      <c r="B1836" t="s">
        <v>66</v>
      </c>
      <c r="C1836">
        <v>334998855.72139299</v>
      </c>
      <c r="D1836" t="s">
        <v>77</v>
      </c>
      <c r="E1836" t="s">
        <v>14</v>
      </c>
      <c r="F1836" t="s">
        <v>65</v>
      </c>
      <c r="G1836" s="2"/>
      <c r="H1836" t="s">
        <v>68</v>
      </c>
      <c r="K1836">
        <v>124.885983267714</v>
      </c>
      <c r="L1836">
        <v>268.24375879178291</v>
      </c>
    </row>
    <row r="1837" spans="1:12" hidden="1" x14ac:dyDescent="0.25">
      <c r="A1837">
        <v>2022</v>
      </c>
      <c r="B1837" t="s">
        <v>66</v>
      </c>
      <c r="C1837">
        <v>19304148805.97015</v>
      </c>
      <c r="D1837" t="s">
        <v>77</v>
      </c>
      <c r="E1837" t="s">
        <v>14</v>
      </c>
      <c r="F1837" t="s">
        <v>65</v>
      </c>
      <c r="G1837" s="2"/>
      <c r="H1837" t="s">
        <v>35</v>
      </c>
      <c r="K1837">
        <v>93.717494351913203</v>
      </c>
      <c r="L1837">
        <v>20598.23402179559</v>
      </c>
    </row>
    <row r="1838" spans="1:12" hidden="1" x14ac:dyDescent="0.25">
      <c r="A1838">
        <v>2022</v>
      </c>
      <c r="B1838" t="s">
        <v>66</v>
      </c>
      <c r="C1838">
        <v>21646398159.203979</v>
      </c>
      <c r="D1838" t="s">
        <v>77</v>
      </c>
      <c r="E1838" t="s">
        <v>14</v>
      </c>
      <c r="F1838" t="s">
        <v>65</v>
      </c>
      <c r="G1838" s="2"/>
      <c r="H1838" t="s">
        <v>51</v>
      </c>
      <c r="K1838">
        <v>118.400520723024</v>
      </c>
      <c r="L1838">
        <v>18282.35047195587</v>
      </c>
    </row>
    <row r="1839" spans="1:12" hidden="1" x14ac:dyDescent="0.25">
      <c r="A1839">
        <v>2022</v>
      </c>
      <c r="B1839" t="s">
        <v>66</v>
      </c>
      <c r="C1839">
        <v>29324105174.129341</v>
      </c>
      <c r="D1839" t="s">
        <v>77</v>
      </c>
      <c r="E1839" t="s">
        <v>14</v>
      </c>
      <c r="F1839" t="s">
        <v>65</v>
      </c>
      <c r="G1839" s="3"/>
      <c r="H1839" t="s">
        <v>53</v>
      </c>
      <c r="K1839">
        <v>123.731212299186</v>
      </c>
      <c r="L1839">
        <v>23699.84471114914</v>
      </c>
    </row>
    <row r="1840" spans="1:12" hidden="1" x14ac:dyDescent="0.25">
      <c r="A1840">
        <v>2022</v>
      </c>
      <c r="B1840" t="s">
        <v>66</v>
      </c>
      <c r="C1840">
        <v>36587091990.049744</v>
      </c>
      <c r="D1840" t="s">
        <v>77</v>
      </c>
      <c r="E1840" t="s">
        <v>14</v>
      </c>
      <c r="F1840" t="s">
        <v>65</v>
      </c>
      <c r="G1840" s="2"/>
      <c r="H1840" t="s">
        <v>45</v>
      </c>
      <c r="K1840">
        <v>141.87141028890099</v>
      </c>
      <c r="L1840">
        <v>25788.911180586219</v>
      </c>
    </row>
    <row r="1841" spans="1:12" hidden="1" x14ac:dyDescent="0.25">
      <c r="A1841">
        <v>2022</v>
      </c>
      <c r="B1841" t="s">
        <v>66</v>
      </c>
      <c r="C1841">
        <v>1238567114.427861</v>
      </c>
      <c r="D1841" t="s">
        <v>77</v>
      </c>
      <c r="E1841" t="s">
        <v>14</v>
      </c>
      <c r="F1841" t="s">
        <v>65</v>
      </c>
      <c r="G1841" s="2"/>
      <c r="H1841" t="s">
        <v>59</v>
      </c>
      <c r="K1841">
        <v>124.760255125349</v>
      </c>
      <c r="L1841">
        <v>992.75776022055175</v>
      </c>
    </row>
    <row r="1842" spans="1:12" hidden="1" x14ac:dyDescent="0.25">
      <c r="A1842">
        <v>2022</v>
      </c>
      <c r="B1842" t="s">
        <v>66</v>
      </c>
      <c r="C1842">
        <v>592284825.87064672</v>
      </c>
      <c r="D1842" t="s">
        <v>77</v>
      </c>
      <c r="E1842" t="s">
        <v>14</v>
      </c>
      <c r="F1842" t="s">
        <v>65</v>
      </c>
      <c r="G1842" s="2"/>
      <c r="H1842" t="s">
        <v>57</v>
      </c>
      <c r="K1842">
        <v>118.92956316086899</v>
      </c>
      <c r="L1842">
        <v>498.01311812564052</v>
      </c>
    </row>
    <row r="1843" spans="1:12" hidden="1" x14ac:dyDescent="0.25">
      <c r="A1843">
        <v>2022</v>
      </c>
      <c r="B1843" t="s">
        <v>66</v>
      </c>
      <c r="C1843">
        <v>16307038805.97015</v>
      </c>
      <c r="D1843" t="s">
        <v>77</v>
      </c>
      <c r="E1843" t="s">
        <v>14</v>
      </c>
      <c r="F1843" t="s">
        <v>65</v>
      </c>
      <c r="G1843" s="2"/>
      <c r="H1843" t="s">
        <v>43</v>
      </c>
      <c r="K1843">
        <v>129.18720398146201</v>
      </c>
      <c r="L1843">
        <v>12622.79723021961</v>
      </c>
    </row>
    <row r="1844" spans="1:12" hidden="1" x14ac:dyDescent="0.25">
      <c r="A1844">
        <v>2022</v>
      </c>
      <c r="B1844" t="s">
        <v>66</v>
      </c>
      <c r="C1844">
        <v>12555880149.253731</v>
      </c>
      <c r="D1844" t="s">
        <v>77</v>
      </c>
      <c r="E1844" t="s">
        <v>14</v>
      </c>
      <c r="F1844" t="s">
        <v>65</v>
      </c>
      <c r="G1844" s="3"/>
      <c r="H1844" t="s">
        <v>31</v>
      </c>
      <c r="K1844">
        <v>124.992774454829</v>
      </c>
      <c r="L1844">
        <v>10045.28478067449</v>
      </c>
    </row>
    <row r="1845" spans="1:12" hidden="1" x14ac:dyDescent="0.25">
      <c r="A1845">
        <v>2022</v>
      </c>
      <c r="B1845" t="s">
        <v>66</v>
      </c>
      <c r="C1845">
        <v>2954734626.8656721</v>
      </c>
      <c r="D1845" t="s">
        <v>77</v>
      </c>
      <c r="E1845" t="s">
        <v>14</v>
      </c>
      <c r="F1845" t="s">
        <v>65</v>
      </c>
      <c r="G1845" s="2"/>
      <c r="H1845" t="s">
        <v>25</v>
      </c>
      <c r="K1845">
        <v>130.309937712893</v>
      </c>
      <c r="L1845">
        <v>2267.4668400008959</v>
      </c>
    </row>
    <row r="1846" spans="1:12" hidden="1" x14ac:dyDescent="0.25">
      <c r="A1846">
        <v>2022</v>
      </c>
      <c r="B1846" t="s">
        <v>66</v>
      </c>
      <c r="C1846">
        <v>17555618358.208961</v>
      </c>
      <c r="D1846" t="s">
        <v>77</v>
      </c>
      <c r="E1846" t="s">
        <v>14</v>
      </c>
      <c r="F1846" t="s">
        <v>65</v>
      </c>
      <c r="G1846" s="2"/>
      <c r="H1846" t="s">
        <v>41</v>
      </c>
      <c r="K1846">
        <v>124.20030413134501</v>
      </c>
      <c r="L1846">
        <v>14134.92380795094</v>
      </c>
    </row>
    <row r="1847" spans="1:12" hidden="1" x14ac:dyDescent="0.25">
      <c r="A1847">
        <v>2022</v>
      </c>
      <c r="B1847" t="s">
        <v>66</v>
      </c>
      <c r="C1847">
        <v>2327141741.2935319</v>
      </c>
      <c r="D1847" t="s">
        <v>77</v>
      </c>
      <c r="E1847" t="s">
        <v>14</v>
      </c>
      <c r="F1847" t="s">
        <v>65</v>
      </c>
      <c r="G1847" s="2"/>
      <c r="H1847" t="s">
        <v>27</v>
      </c>
      <c r="K1847">
        <v>114.765372402341</v>
      </c>
      <c r="L1847">
        <v>2027.738587502778</v>
      </c>
    </row>
    <row r="1848" spans="1:12" hidden="1" x14ac:dyDescent="0.25">
      <c r="A1848">
        <v>2022</v>
      </c>
      <c r="B1848" t="s">
        <v>66</v>
      </c>
      <c r="C1848">
        <v>4277058656.7164192</v>
      </c>
      <c r="D1848" t="s">
        <v>77</v>
      </c>
      <c r="E1848" t="s">
        <v>14</v>
      </c>
      <c r="F1848" t="s">
        <v>65</v>
      </c>
      <c r="G1848" s="2"/>
      <c r="H1848" t="s">
        <v>49</v>
      </c>
      <c r="K1848">
        <v>113.459970516059</v>
      </c>
      <c r="L1848">
        <v>3769.6631131338499</v>
      </c>
    </row>
    <row r="1849" spans="1:12" hidden="1" x14ac:dyDescent="0.25">
      <c r="A1849">
        <v>2022</v>
      </c>
      <c r="B1849" t="s">
        <v>66</v>
      </c>
      <c r="C1849">
        <v>18977797761.194031</v>
      </c>
      <c r="D1849" t="s">
        <v>77</v>
      </c>
      <c r="E1849" t="s">
        <v>14</v>
      </c>
      <c r="F1849" t="s">
        <v>65</v>
      </c>
      <c r="G1849" s="3"/>
      <c r="H1849" t="s">
        <v>47</v>
      </c>
      <c r="K1849">
        <v>134.38056482799499</v>
      </c>
      <c r="L1849">
        <v>14122.4274399243</v>
      </c>
    </row>
    <row r="1850" spans="1:12" hidden="1" x14ac:dyDescent="0.25">
      <c r="A1850">
        <v>2022</v>
      </c>
      <c r="B1850" t="s">
        <v>66</v>
      </c>
      <c r="C1850">
        <v>1032543482.587065</v>
      </c>
      <c r="D1850" t="s">
        <v>77</v>
      </c>
      <c r="E1850" t="s">
        <v>14</v>
      </c>
      <c r="F1850" t="s">
        <v>65</v>
      </c>
      <c r="G1850" s="2"/>
      <c r="H1850" t="s">
        <v>39</v>
      </c>
      <c r="K1850">
        <v>125.100295460086</v>
      </c>
      <c r="L1850">
        <v>825.37253712282723</v>
      </c>
    </row>
    <row r="1851" spans="1:12" hidden="1" x14ac:dyDescent="0.25">
      <c r="A1851">
        <v>2022</v>
      </c>
      <c r="B1851" t="s">
        <v>66</v>
      </c>
      <c r="C1851">
        <v>12012926915.42288</v>
      </c>
      <c r="D1851" t="s">
        <v>77</v>
      </c>
      <c r="E1851" t="s">
        <v>14</v>
      </c>
      <c r="F1851" t="s">
        <v>65</v>
      </c>
      <c r="G1851" s="2"/>
      <c r="H1851" t="s">
        <v>23</v>
      </c>
      <c r="K1851">
        <v>119.934366622322</v>
      </c>
      <c r="L1851">
        <v>10016.25076593105</v>
      </c>
    </row>
    <row r="1852" spans="1:12" hidden="1" x14ac:dyDescent="0.25">
      <c r="A1852">
        <v>2022</v>
      </c>
      <c r="B1852" t="s">
        <v>66</v>
      </c>
      <c r="C1852">
        <v>34634461293.532341</v>
      </c>
      <c r="D1852" t="s">
        <v>77</v>
      </c>
      <c r="E1852" t="s">
        <v>14</v>
      </c>
      <c r="F1852" t="s">
        <v>65</v>
      </c>
      <c r="G1852" s="2"/>
      <c r="H1852" t="s">
        <v>37</v>
      </c>
      <c r="K1852">
        <v>125.100295460086</v>
      </c>
      <c r="L1852">
        <v>27685.355311237188</v>
      </c>
    </row>
    <row r="1853" spans="1:12" hidden="1" x14ac:dyDescent="0.25">
      <c r="A1853">
        <v>2022</v>
      </c>
      <c r="B1853" t="s">
        <v>66</v>
      </c>
      <c r="C1853">
        <v>72295427164.179092</v>
      </c>
      <c r="D1853" t="s">
        <v>77</v>
      </c>
      <c r="E1853" t="s">
        <v>14</v>
      </c>
      <c r="F1853" t="s">
        <v>65</v>
      </c>
      <c r="G1853" s="2"/>
      <c r="H1853" t="s">
        <v>55</v>
      </c>
      <c r="K1853">
        <v>118.92956316086899</v>
      </c>
      <c r="L1853">
        <v>60788.440857542992</v>
      </c>
    </row>
    <row r="1854" spans="1:12" hidden="1" x14ac:dyDescent="0.25">
      <c r="A1854">
        <v>2022</v>
      </c>
      <c r="B1854" t="s">
        <v>66</v>
      </c>
      <c r="C1854">
        <v>483317910.44776118</v>
      </c>
      <c r="D1854" t="s">
        <v>77</v>
      </c>
      <c r="E1854" t="s">
        <v>14</v>
      </c>
      <c r="F1854" t="s">
        <v>65</v>
      </c>
      <c r="G1854" s="3"/>
      <c r="H1854" t="s">
        <v>33</v>
      </c>
      <c r="K1854">
        <v>126.864077629889</v>
      </c>
      <c r="L1854">
        <v>380.97302205418958</v>
      </c>
    </row>
    <row r="1855" spans="1:12" hidden="1" x14ac:dyDescent="0.25">
      <c r="A1855">
        <v>2022</v>
      </c>
      <c r="B1855" t="s">
        <v>66</v>
      </c>
      <c r="C1855">
        <v>520994776.11940289</v>
      </c>
      <c r="D1855" t="s">
        <v>77</v>
      </c>
      <c r="E1855" t="s">
        <v>14</v>
      </c>
      <c r="F1855" t="s">
        <v>65</v>
      </c>
      <c r="G1855" s="2"/>
      <c r="H1855" t="s">
        <v>61</v>
      </c>
      <c r="K1855">
        <v>130.09451278639801</v>
      </c>
      <c r="L1855">
        <v>400.47405917482729</v>
      </c>
    </row>
    <row r="1856" spans="1:12" hidden="1" x14ac:dyDescent="0.25">
      <c r="A1856">
        <v>2022</v>
      </c>
      <c r="B1856" t="s">
        <v>66</v>
      </c>
      <c r="C1856">
        <v>2723944726.3681588</v>
      </c>
      <c r="D1856" t="s">
        <v>77</v>
      </c>
      <c r="E1856" t="s">
        <v>14</v>
      </c>
      <c r="F1856" t="s">
        <v>65</v>
      </c>
      <c r="G1856" s="2"/>
      <c r="H1856" t="s">
        <v>29</v>
      </c>
      <c r="K1856">
        <v>135.89610378926099</v>
      </c>
      <c r="L1856">
        <v>2004.431805191618</v>
      </c>
    </row>
    <row r="1857" spans="1:12" hidden="1" x14ac:dyDescent="0.25">
      <c r="A1857">
        <v>2023</v>
      </c>
      <c r="B1857" t="s">
        <v>66</v>
      </c>
      <c r="C1857">
        <v>19090211807.909599</v>
      </c>
      <c r="D1857" t="s">
        <v>77</v>
      </c>
      <c r="E1857" t="s">
        <v>14</v>
      </c>
      <c r="F1857" t="s">
        <v>65</v>
      </c>
      <c r="G1857" s="2"/>
      <c r="H1857" t="s">
        <v>21</v>
      </c>
      <c r="K1857">
        <v>131.88825158196701</v>
      </c>
      <c r="L1857">
        <v>14474.53550936283</v>
      </c>
    </row>
    <row r="1858" spans="1:12" hidden="1" x14ac:dyDescent="0.25">
      <c r="A1858">
        <v>2023</v>
      </c>
      <c r="B1858" t="s">
        <v>66</v>
      </c>
      <c r="C1858">
        <v>65680787288.135551</v>
      </c>
      <c r="D1858" t="s">
        <v>77</v>
      </c>
      <c r="E1858" t="s">
        <v>14</v>
      </c>
      <c r="F1858" t="s">
        <v>65</v>
      </c>
      <c r="G1858" s="2"/>
      <c r="H1858" t="s">
        <v>19</v>
      </c>
      <c r="K1858">
        <v>137.78728757684999</v>
      </c>
      <c r="L1858">
        <v>47668.248967817519</v>
      </c>
    </row>
    <row r="1859" spans="1:12" hidden="1" x14ac:dyDescent="0.25">
      <c r="A1859">
        <v>2023</v>
      </c>
      <c r="B1859" t="s">
        <v>66</v>
      </c>
      <c r="C1859">
        <v>395674858.7570622</v>
      </c>
      <c r="D1859" t="s">
        <v>77</v>
      </c>
      <c r="E1859" t="s">
        <v>14</v>
      </c>
      <c r="F1859" t="s">
        <v>65</v>
      </c>
      <c r="G1859" s="3"/>
      <c r="H1859" t="s">
        <v>68</v>
      </c>
      <c r="K1859">
        <v>131.88825158196701</v>
      </c>
      <c r="L1859">
        <v>300.00766103958472</v>
      </c>
    </row>
    <row r="1860" spans="1:12" hidden="1" x14ac:dyDescent="0.25">
      <c r="A1860">
        <v>2023</v>
      </c>
      <c r="B1860" t="s">
        <v>66</v>
      </c>
      <c r="C1860">
        <v>16071070677.966101</v>
      </c>
      <c r="D1860" t="s">
        <v>77</v>
      </c>
      <c r="E1860" t="s">
        <v>14</v>
      </c>
      <c r="F1860" t="s">
        <v>65</v>
      </c>
      <c r="G1860" s="2"/>
      <c r="H1860" t="s">
        <v>35</v>
      </c>
      <c r="K1860">
        <v>75.235547730506298</v>
      </c>
      <c r="L1860">
        <v>21361.00708076543</v>
      </c>
    </row>
    <row r="1861" spans="1:12" hidden="1" x14ac:dyDescent="0.25">
      <c r="A1861">
        <v>2023</v>
      </c>
      <c r="B1861" t="s">
        <v>66</v>
      </c>
      <c r="C1861">
        <v>24814614237.288132</v>
      </c>
      <c r="D1861" t="s">
        <v>77</v>
      </c>
      <c r="E1861" t="s">
        <v>14</v>
      </c>
      <c r="F1861" t="s">
        <v>65</v>
      </c>
      <c r="G1861" s="2"/>
      <c r="H1861" t="s">
        <v>51</v>
      </c>
      <c r="K1861">
        <v>122.488835983729</v>
      </c>
      <c r="L1861">
        <v>20258.67421957085</v>
      </c>
    </row>
    <row r="1862" spans="1:12" hidden="1" x14ac:dyDescent="0.25">
      <c r="A1862">
        <v>2023</v>
      </c>
      <c r="B1862" t="s">
        <v>66</v>
      </c>
      <c r="C1862">
        <v>33700135028.248589</v>
      </c>
      <c r="D1862" t="s">
        <v>77</v>
      </c>
      <c r="E1862" t="s">
        <v>14</v>
      </c>
      <c r="F1862" t="s">
        <v>65</v>
      </c>
      <c r="G1862" s="2"/>
      <c r="H1862" t="s">
        <v>53</v>
      </c>
      <c r="K1862">
        <v>130.65664198069601</v>
      </c>
      <c r="L1862">
        <v>25792.89848366657</v>
      </c>
    </row>
    <row r="1863" spans="1:12" hidden="1" x14ac:dyDescent="0.25">
      <c r="A1863">
        <v>2023</v>
      </c>
      <c r="B1863" t="s">
        <v>66</v>
      </c>
      <c r="C1863">
        <v>35559292372.881348</v>
      </c>
      <c r="D1863" t="s">
        <v>77</v>
      </c>
      <c r="E1863" t="s">
        <v>14</v>
      </c>
      <c r="F1863" t="s">
        <v>65</v>
      </c>
      <c r="G1863" s="2"/>
      <c r="H1863" t="s">
        <v>45</v>
      </c>
      <c r="K1863">
        <v>126.475336095899</v>
      </c>
      <c r="L1863">
        <v>28115.594289402619</v>
      </c>
    </row>
    <row r="1864" spans="1:12" hidden="1" x14ac:dyDescent="0.25">
      <c r="A1864">
        <v>2023</v>
      </c>
      <c r="B1864" t="s">
        <v>66</v>
      </c>
      <c r="C1864">
        <v>1322423107.3446331</v>
      </c>
      <c r="D1864" t="s">
        <v>77</v>
      </c>
      <c r="E1864" t="s">
        <v>14</v>
      </c>
      <c r="F1864" t="s">
        <v>65</v>
      </c>
      <c r="G1864" s="3"/>
      <c r="H1864" t="s">
        <v>59</v>
      </c>
      <c r="K1864">
        <v>137.57038856002899</v>
      </c>
      <c r="L1864">
        <v>961.2701695376777</v>
      </c>
    </row>
    <row r="1865" spans="1:12" hidden="1" x14ac:dyDescent="0.25">
      <c r="A1865">
        <v>2023</v>
      </c>
      <c r="B1865" t="s">
        <v>66</v>
      </c>
      <c r="C1865">
        <v>636019548.0225991</v>
      </c>
      <c r="D1865" t="s">
        <v>77</v>
      </c>
      <c r="E1865" t="s">
        <v>14</v>
      </c>
      <c r="F1865" t="s">
        <v>65</v>
      </c>
      <c r="G1865" s="2"/>
      <c r="H1865" t="s">
        <v>57</v>
      </c>
      <c r="K1865">
        <v>117.406234416616</v>
      </c>
      <c r="L1865">
        <v>541.72553202386496</v>
      </c>
    </row>
    <row r="1866" spans="1:12" hidden="1" x14ac:dyDescent="0.25">
      <c r="A1866">
        <v>2023</v>
      </c>
      <c r="B1866" t="s">
        <v>66</v>
      </c>
      <c r="C1866">
        <v>18901682372.881359</v>
      </c>
      <c r="D1866" t="s">
        <v>77</v>
      </c>
      <c r="E1866" t="s">
        <v>14</v>
      </c>
      <c r="F1866" t="s">
        <v>65</v>
      </c>
      <c r="G1866" s="2"/>
      <c r="H1866" t="s">
        <v>43</v>
      </c>
      <c r="K1866">
        <v>136.67401133375901</v>
      </c>
      <c r="L1866">
        <v>13829.75606585754</v>
      </c>
    </row>
    <row r="1867" spans="1:12" hidden="1" x14ac:dyDescent="0.25">
      <c r="A1867">
        <v>2023</v>
      </c>
      <c r="B1867" t="s">
        <v>66</v>
      </c>
      <c r="C1867">
        <v>13746567005.649719</v>
      </c>
      <c r="D1867" t="s">
        <v>77</v>
      </c>
      <c r="E1867" t="s">
        <v>14</v>
      </c>
      <c r="F1867" t="s">
        <v>65</v>
      </c>
      <c r="G1867" s="2"/>
      <c r="H1867" t="s">
        <v>31</v>
      </c>
      <c r="K1867">
        <v>126.43481259036101</v>
      </c>
      <c r="L1867">
        <v>10872.45413190711</v>
      </c>
    </row>
    <row r="1868" spans="1:12" hidden="1" x14ac:dyDescent="0.25">
      <c r="A1868">
        <v>2023</v>
      </c>
      <c r="B1868" t="s">
        <v>66</v>
      </c>
      <c r="C1868">
        <v>3318570677.9661012</v>
      </c>
      <c r="D1868" t="s">
        <v>77</v>
      </c>
      <c r="E1868" t="s">
        <v>14</v>
      </c>
      <c r="F1868" t="s">
        <v>65</v>
      </c>
      <c r="G1868" s="2"/>
      <c r="H1868" t="s">
        <v>25</v>
      </c>
      <c r="K1868">
        <v>126.827473515305</v>
      </c>
      <c r="L1868">
        <v>2616.602370121037</v>
      </c>
    </row>
    <row r="1869" spans="1:12" hidden="1" x14ac:dyDescent="0.25">
      <c r="A1869">
        <v>2023</v>
      </c>
      <c r="B1869" t="s">
        <v>66</v>
      </c>
      <c r="C1869">
        <v>18600198870.056511</v>
      </c>
      <c r="D1869" t="s">
        <v>77</v>
      </c>
      <c r="E1869" t="s">
        <v>14</v>
      </c>
      <c r="F1869" t="s">
        <v>65</v>
      </c>
      <c r="G1869" s="3"/>
      <c r="H1869" t="s">
        <v>41</v>
      </c>
      <c r="K1869">
        <v>122.42725052420499</v>
      </c>
      <c r="L1869">
        <v>15192.8584448436</v>
      </c>
    </row>
    <row r="1870" spans="1:12" hidden="1" x14ac:dyDescent="0.25">
      <c r="A1870">
        <v>2023</v>
      </c>
      <c r="B1870" t="s">
        <v>66</v>
      </c>
      <c r="C1870">
        <v>2643397005.6497178</v>
      </c>
      <c r="D1870" t="s">
        <v>77</v>
      </c>
      <c r="E1870" t="s">
        <v>14</v>
      </c>
      <c r="F1870" t="s">
        <v>65</v>
      </c>
      <c r="G1870" s="2"/>
      <c r="H1870" t="s">
        <v>27</v>
      </c>
      <c r="K1870">
        <v>121.146784451534</v>
      </c>
      <c r="L1870">
        <v>2181.9786778634939</v>
      </c>
    </row>
    <row r="1871" spans="1:12" hidden="1" x14ac:dyDescent="0.25">
      <c r="A1871">
        <v>2023</v>
      </c>
      <c r="B1871" t="s">
        <v>66</v>
      </c>
      <c r="C1871">
        <v>5073224124.293786</v>
      </c>
      <c r="D1871" t="s">
        <v>77</v>
      </c>
      <c r="E1871" t="s">
        <v>14</v>
      </c>
      <c r="F1871" t="s">
        <v>65</v>
      </c>
      <c r="G1871" s="2"/>
      <c r="H1871" t="s">
        <v>49</v>
      </c>
      <c r="K1871">
        <v>115.498414548615</v>
      </c>
      <c r="L1871">
        <v>4392.4621338922279</v>
      </c>
    </row>
    <row r="1872" spans="1:12" hidden="1" x14ac:dyDescent="0.25">
      <c r="A1872">
        <v>2023</v>
      </c>
      <c r="B1872" t="s">
        <v>66</v>
      </c>
      <c r="C1872">
        <v>21431708361.581921</v>
      </c>
      <c r="D1872" t="s">
        <v>77</v>
      </c>
      <c r="E1872" t="s">
        <v>14</v>
      </c>
      <c r="F1872" t="s">
        <v>65</v>
      </c>
      <c r="G1872" s="2"/>
      <c r="H1872" t="s">
        <v>47</v>
      </c>
      <c r="K1872">
        <v>134.05703540769301</v>
      </c>
      <c r="L1872">
        <v>15987.007542277821</v>
      </c>
    </row>
    <row r="1873" spans="1:12" hidden="1" x14ac:dyDescent="0.25">
      <c r="A1873">
        <v>2023</v>
      </c>
      <c r="B1873" t="s">
        <v>66</v>
      </c>
      <c r="C1873">
        <v>1202325141.242938</v>
      </c>
      <c r="D1873" t="s">
        <v>77</v>
      </c>
      <c r="E1873" t="s">
        <v>14</v>
      </c>
      <c r="F1873" t="s">
        <v>65</v>
      </c>
      <c r="G1873" s="2"/>
      <c r="H1873" t="s">
        <v>39</v>
      </c>
      <c r="K1873">
        <v>131.56240089822001</v>
      </c>
      <c r="L1873">
        <v>913.88203091024991</v>
      </c>
    </row>
    <row r="1874" spans="1:12" hidden="1" x14ac:dyDescent="0.25">
      <c r="A1874">
        <v>2023</v>
      </c>
      <c r="B1874" t="s">
        <v>66</v>
      </c>
      <c r="C1874">
        <v>13615051864.40678</v>
      </c>
      <c r="D1874" t="s">
        <v>77</v>
      </c>
      <c r="E1874" t="s">
        <v>14</v>
      </c>
      <c r="F1874" t="s">
        <v>65</v>
      </c>
      <c r="G1874" s="3"/>
      <c r="H1874" t="s">
        <v>23</v>
      </c>
      <c r="K1874">
        <v>122.71316266715</v>
      </c>
      <c r="L1874">
        <v>11095.02156776495</v>
      </c>
    </row>
    <row r="1875" spans="1:12" hidden="1" x14ac:dyDescent="0.25">
      <c r="A1875">
        <v>2023</v>
      </c>
      <c r="B1875" t="s">
        <v>66</v>
      </c>
      <c r="C1875">
        <v>34964898305.084763</v>
      </c>
      <c r="D1875" t="s">
        <v>77</v>
      </c>
      <c r="E1875" t="s">
        <v>14</v>
      </c>
      <c r="F1875" t="s">
        <v>65</v>
      </c>
      <c r="G1875" s="2"/>
      <c r="H1875" t="s">
        <v>37</v>
      </c>
      <c r="K1875">
        <v>131.56240089822001</v>
      </c>
      <c r="L1875">
        <v>26576.664811806291</v>
      </c>
    </row>
    <row r="1876" spans="1:12" hidden="1" x14ac:dyDescent="0.25">
      <c r="A1876">
        <v>2023</v>
      </c>
      <c r="B1876" t="s">
        <v>66</v>
      </c>
      <c r="C1876">
        <v>89013997570.62146</v>
      </c>
      <c r="D1876" t="s">
        <v>77</v>
      </c>
      <c r="E1876" t="s">
        <v>14</v>
      </c>
      <c r="F1876" t="s">
        <v>65</v>
      </c>
      <c r="G1876" s="2"/>
      <c r="H1876" t="s">
        <v>55</v>
      </c>
      <c r="K1876">
        <v>117.406234416616</v>
      </c>
      <c r="L1876">
        <v>75817.096096239053</v>
      </c>
    </row>
    <row r="1877" spans="1:12" hidden="1" x14ac:dyDescent="0.25">
      <c r="A1877">
        <v>2023</v>
      </c>
      <c r="B1877" t="s">
        <v>66</v>
      </c>
      <c r="C1877">
        <v>485603559.32203388</v>
      </c>
      <c r="D1877" t="s">
        <v>77</v>
      </c>
      <c r="E1877" t="s">
        <v>14</v>
      </c>
      <c r="F1877" t="s">
        <v>65</v>
      </c>
      <c r="G1877" s="2"/>
      <c r="H1877" t="s">
        <v>33</v>
      </c>
      <c r="K1877">
        <v>133.89448111026101</v>
      </c>
      <c r="L1877">
        <v>362.67630696603788</v>
      </c>
    </row>
    <row r="1878" spans="1:12" hidden="1" x14ac:dyDescent="0.25">
      <c r="A1878">
        <v>2023</v>
      </c>
      <c r="B1878" t="s">
        <v>66</v>
      </c>
      <c r="C1878">
        <v>607482768.36158204</v>
      </c>
      <c r="D1878" t="s">
        <v>77</v>
      </c>
      <c r="E1878" t="s">
        <v>14</v>
      </c>
      <c r="F1878" t="s">
        <v>65</v>
      </c>
      <c r="G1878" s="2"/>
      <c r="H1878" t="s">
        <v>61</v>
      </c>
      <c r="K1878">
        <v>141.34852687948501</v>
      </c>
      <c r="L1878">
        <v>429.77651184120742</v>
      </c>
    </row>
    <row r="1879" spans="1:12" hidden="1" x14ac:dyDescent="0.25">
      <c r="A1879">
        <v>2023</v>
      </c>
      <c r="B1879" t="s">
        <v>66</v>
      </c>
      <c r="C1879">
        <v>2876979435.0282488</v>
      </c>
      <c r="D1879" t="s">
        <v>77</v>
      </c>
      <c r="E1879" t="s">
        <v>14</v>
      </c>
      <c r="F1879" t="s">
        <v>65</v>
      </c>
      <c r="G1879" s="3"/>
      <c r="H1879" t="s">
        <v>29</v>
      </c>
      <c r="K1879">
        <v>138.02464258179401</v>
      </c>
      <c r="L1879">
        <v>2084.3954972195188</v>
      </c>
    </row>
    <row r="1880" spans="1:12" hidden="1" x14ac:dyDescent="0.25">
      <c r="A1880">
        <v>2021</v>
      </c>
      <c r="B1880" t="s">
        <v>12</v>
      </c>
      <c r="C1880">
        <v>21831</v>
      </c>
      <c r="D1880" t="s">
        <v>77</v>
      </c>
      <c r="E1880" t="s">
        <v>14</v>
      </c>
      <c r="F1880" t="s">
        <v>71</v>
      </c>
      <c r="G1880" s="2"/>
      <c r="H1880" t="s">
        <v>21</v>
      </c>
      <c r="K1880">
        <v>112.85003295356999</v>
      </c>
      <c r="L1880">
        <v>21831</v>
      </c>
    </row>
    <row r="1881" spans="1:12" hidden="1" x14ac:dyDescent="0.25">
      <c r="A1881">
        <v>2021</v>
      </c>
      <c r="B1881" t="s">
        <v>12</v>
      </c>
      <c r="C1881">
        <v>184026</v>
      </c>
      <c r="D1881" t="s">
        <v>77</v>
      </c>
      <c r="E1881" t="s">
        <v>14</v>
      </c>
      <c r="F1881" t="s">
        <v>71</v>
      </c>
      <c r="G1881" s="2"/>
      <c r="H1881" t="s">
        <v>19</v>
      </c>
      <c r="K1881">
        <v>108.85802305479</v>
      </c>
      <c r="L1881">
        <v>184026</v>
      </c>
    </row>
    <row r="1882" spans="1:12" hidden="1" x14ac:dyDescent="0.25">
      <c r="A1882">
        <v>2021</v>
      </c>
      <c r="B1882" t="s">
        <v>12</v>
      </c>
      <c r="C1882">
        <v>7017</v>
      </c>
      <c r="D1882" t="s">
        <v>77</v>
      </c>
      <c r="E1882" t="s">
        <v>14</v>
      </c>
      <c r="F1882" t="s">
        <v>71</v>
      </c>
      <c r="G1882" s="2"/>
      <c r="H1882" t="s">
        <v>51</v>
      </c>
      <c r="K1882">
        <v>106.47234528849</v>
      </c>
      <c r="L1882">
        <v>7017</v>
      </c>
    </row>
    <row r="1883" spans="1:12" hidden="1" x14ac:dyDescent="0.25">
      <c r="A1883">
        <v>2021</v>
      </c>
      <c r="B1883" t="s">
        <v>12</v>
      </c>
      <c r="C1883">
        <v>14401</v>
      </c>
      <c r="D1883" t="s">
        <v>77</v>
      </c>
      <c r="E1883" t="s">
        <v>14</v>
      </c>
      <c r="F1883" t="s">
        <v>71</v>
      </c>
      <c r="G1883" s="2"/>
      <c r="H1883" t="s">
        <v>53</v>
      </c>
      <c r="K1883">
        <v>106.47234528849</v>
      </c>
      <c r="L1883">
        <v>14401</v>
      </c>
    </row>
    <row r="1884" spans="1:12" hidden="1" x14ac:dyDescent="0.25">
      <c r="A1884">
        <v>2021</v>
      </c>
      <c r="B1884" t="s">
        <v>12</v>
      </c>
      <c r="C1884">
        <v>9370</v>
      </c>
      <c r="D1884" t="s">
        <v>77</v>
      </c>
      <c r="E1884" t="s">
        <v>14</v>
      </c>
      <c r="F1884" t="s">
        <v>71</v>
      </c>
      <c r="G1884" s="3"/>
      <c r="H1884" t="s">
        <v>45</v>
      </c>
      <c r="K1884">
        <v>124.66113428208</v>
      </c>
      <c r="L1884">
        <v>9370</v>
      </c>
    </row>
    <row r="1885" spans="1:12" hidden="1" x14ac:dyDescent="0.25">
      <c r="A1885">
        <v>2021</v>
      </c>
      <c r="B1885" t="s">
        <v>12</v>
      </c>
      <c r="C1885">
        <v>10418</v>
      </c>
      <c r="D1885" t="s">
        <v>77</v>
      </c>
      <c r="E1885" t="s">
        <v>14</v>
      </c>
      <c r="F1885" t="s">
        <v>71</v>
      </c>
      <c r="G1885" s="2"/>
      <c r="H1885" t="s">
        <v>59</v>
      </c>
      <c r="K1885">
        <v>143.65737313291001</v>
      </c>
      <c r="L1885">
        <v>10418</v>
      </c>
    </row>
    <row r="1886" spans="1:12" hidden="1" x14ac:dyDescent="0.25">
      <c r="A1886">
        <v>2021</v>
      </c>
      <c r="B1886" t="s">
        <v>12</v>
      </c>
      <c r="C1886">
        <v>516</v>
      </c>
      <c r="D1886" t="s">
        <v>77</v>
      </c>
      <c r="E1886" t="s">
        <v>14</v>
      </c>
      <c r="F1886" t="s">
        <v>71</v>
      </c>
      <c r="G1886" s="2"/>
      <c r="H1886" t="s">
        <v>57</v>
      </c>
      <c r="K1886">
        <v>106.47234528849</v>
      </c>
      <c r="L1886">
        <v>516</v>
      </c>
    </row>
    <row r="1887" spans="1:12" hidden="1" x14ac:dyDescent="0.25">
      <c r="A1887">
        <v>2021</v>
      </c>
      <c r="B1887" t="s">
        <v>12</v>
      </c>
      <c r="C1887">
        <v>16921</v>
      </c>
      <c r="D1887" t="s">
        <v>77</v>
      </c>
      <c r="E1887" t="s">
        <v>14</v>
      </c>
      <c r="F1887" t="s">
        <v>71</v>
      </c>
      <c r="G1887" s="2"/>
      <c r="H1887" t="s">
        <v>43</v>
      </c>
      <c r="K1887">
        <v>124.66113428208</v>
      </c>
      <c r="L1887">
        <v>16921</v>
      </c>
    </row>
    <row r="1888" spans="1:12" hidden="1" x14ac:dyDescent="0.25">
      <c r="A1888">
        <v>2021</v>
      </c>
      <c r="B1888" t="s">
        <v>12</v>
      </c>
      <c r="C1888">
        <v>22562</v>
      </c>
      <c r="D1888" t="s">
        <v>77</v>
      </c>
      <c r="E1888" t="s">
        <v>14</v>
      </c>
      <c r="F1888" t="s">
        <v>71</v>
      </c>
      <c r="G1888" s="2"/>
      <c r="H1888" t="s">
        <v>31</v>
      </c>
      <c r="K1888">
        <v>94.206586225303994</v>
      </c>
      <c r="L1888">
        <v>22562</v>
      </c>
    </row>
    <row r="1889" spans="1:12" hidden="1" x14ac:dyDescent="0.25">
      <c r="A1889">
        <v>2021</v>
      </c>
      <c r="B1889" t="s">
        <v>12</v>
      </c>
      <c r="C1889">
        <v>3398</v>
      </c>
      <c r="D1889" t="s">
        <v>77</v>
      </c>
      <c r="E1889" t="s">
        <v>14</v>
      </c>
      <c r="F1889" t="s">
        <v>71</v>
      </c>
      <c r="G1889" s="3"/>
      <c r="H1889" t="s">
        <v>25</v>
      </c>
      <c r="K1889">
        <v>69.374466842382006</v>
      </c>
      <c r="L1889">
        <v>3398</v>
      </c>
    </row>
    <row r="1890" spans="1:12" hidden="1" x14ac:dyDescent="0.25">
      <c r="A1890">
        <v>2021</v>
      </c>
      <c r="B1890" t="s">
        <v>12</v>
      </c>
      <c r="C1890">
        <v>25690</v>
      </c>
      <c r="D1890" t="s">
        <v>77</v>
      </c>
      <c r="E1890" t="s">
        <v>14</v>
      </c>
      <c r="F1890" t="s">
        <v>71</v>
      </c>
      <c r="G1890" s="2"/>
      <c r="H1890" t="s">
        <v>41</v>
      </c>
      <c r="K1890">
        <v>115.300264502</v>
      </c>
      <c r="L1890">
        <v>25690</v>
      </c>
    </row>
    <row r="1891" spans="1:12" hidden="1" x14ac:dyDescent="0.25">
      <c r="A1891">
        <v>2021</v>
      </c>
      <c r="B1891" t="s">
        <v>12</v>
      </c>
      <c r="C1891">
        <v>1111</v>
      </c>
      <c r="D1891" t="s">
        <v>77</v>
      </c>
      <c r="E1891" t="s">
        <v>14</v>
      </c>
      <c r="F1891" t="s">
        <v>71</v>
      </c>
      <c r="G1891" s="2"/>
      <c r="H1891" t="s">
        <v>27</v>
      </c>
      <c r="K1891">
        <v>69.374466842382006</v>
      </c>
      <c r="L1891">
        <v>1111</v>
      </c>
    </row>
    <row r="1892" spans="1:12" hidden="1" x14ac:dyDescent="0.25">
      <c r="A1892">
        <v>2021</v>
      </c>
      <c r="B1892" t="s">
        <v>12</v>
      </c>
      <c r="C1892">
        <v>388</v>
      </c>
      <c r="D1892" t="s">
        <v>77</v>
      </c>
      <c r="E1892" t="s">
        <v>14</v>
      </c>
      <c r="F1892" t="s">
        <v>71</v>
      </c>
      <c r="G1892" s="2"/>
      <c r="H1892" t="s">
        <v>49</v>
      </c>
      <c r="K1892">
        <v>106.47234528849</v>
      </c>
      <c r="L1892">
        <v>388</v>
      </c>
    </row>
    <row r="1893" spans="1:12" hidden="1" x14ac:dyDescent="0.25">
      <c r="A1893">
        <v>2021</v>
      </c>
      <c r="B1893" t="s">
        <v>12</v>
      </c>
      <c r="C1893">
        <v>23501</v>
      </c>
      <c r="D1893" t="s">
        <v>77</v>
      </c>
      <c r="E1893" t="s">
        <v>14</v>
      </c>
      <c r="F1893" t="s">
        <v>71</v>
      </c>
      <c r="G1893" s="2"/>
      <c r="H1893" t="s">
        <v>47</v>
      </c>
      <c r="K1893">
        <v>106.47234528849</v>
      </c>
      <c r="L1893">
        <v>23501</v>
      </c>
    </row>
    <row r="1894" spans="1:12" hidden="1" x14ac:dyDescent="0.25">
      <c r="A1894">
        <v>2021</v>
      </c>
      <c r="B1894" t="s">
        <v>12</v>
      </c>
      <c r="C1894">
        <v>12552</v>
      </c>
      <c r="D1894" t="s">
        <v>77</v>
      </c>
      <c r="E1894" t="s">
        <v>14</v>
      </c>
      <c r="F1894" t="s">
        <v>71</v>
      </c>
      <c r="G1894" s="3"/>
      <c r="H1894" t="s">
        <v>39</v>
      </c>
      <c r="K1894">
        <v>115.300264502</v>
      </c>
      <c r="L1894">
        <v>12552</v>
      </c>
    </row>
    <row r="1895" spans="1:12" hidden="1" x14ac:dyDescent="0.25">
      <c r="A1895">
        <v>2021</v>
      </c>
      <c r="B1895" t="s">
        <v>12</v>
      </c>
      <c r="C1895">
        <v>3838</v>
      </c>
      <c r="D1895" t="s">
        <v>77</v>
      </c>
      <c r="E1895" t="s">
        <v>14</v>
      </c>
      <c r="F1895" t="s">
        <v>71</v>
      </c>
      <c r="G1895" s="2"/>
      <c r="H1895" t="s">
        <v>23</v>
      </c>
      <c r="K1895">
        <v>69.374466842382006</v>
      </c>
      <c r="L1895">
        <v>3838</v>
      </c>
    </row>
    <row r="1896" spans="1:12" hidden="1" x14ac:dyDescent="0.25">
      <c r="A1896">
        <v>2021</v>
      </c>
      <c r="B1896" t="s">
        <v>12</v>
      </c>
      <c r="C1896">
        <v>27730</v>
      </c>
      <c r="D1896" t="s">
        <v>77</v>
      </c>
      <c r="E1896" t="s">
        <v>14</v>
      </c>
      <c r="F1896" t="s">
        <v>71</v>
      </c>
      <c r="G1896" s="2"/>
      <c r="H1896" t="s">
        <v>37</v>
      </c>
      <c r="K1896">
        <v>115.300264502</v>
      </c>
      <c r="L1896">
        <v>27730</v>
      </c>
    </row>
    <row r="1897" spans="1:12" hidden="1" x14ac:dyDescent="0.25">
      <c r="A1897">
        <v>2021</v>
      </c>
      <c r="B1897" t="s">
        <v>12</v>
      </c>
      <c r="C1897">
        <v>1079</v>
      </c>
      <c r="D1897" t="s">
        <v>77</v>
      </c>
      <c r="E1897" t="s">
        <v>14</v>
      </c>
      <c r="F1897" t="s">
        <v>71</v>
      </c>
      <c r="G1897" s="2"/>
      <c r="H1897" t="s">
        <v>55</v>
      </c>
      <c r="K1897">
        <v>106.47234528849</v>
      </c>
      <c r="L1897">
        <v>1079</v>
      </c>
    </row>
    <row r="1898" spans="1:12" hidden="1" x14ac:dyDescent="0.25">
      <c r="A1898">
        <v>2021</v>
      </c>
      <c r="B1898" t="s">
        <v>12</v>
      </c>
      <c r="C1898">
        <v>5067</v>
      </c>
      <c r="D1898" t="s">
        <v>77</v>
      </c>
      <c r="E1898" t="s">
        <v>14</v>
      </c>
      <c r="F1898" t="s">
        <v>71</v>
      </c>
      <c r="G1898" s="2"/>
      <c r="H1898" t="s">
        <v>33</v>
      </c>
      <c r="K1898">
        <v>94.206586225303994</v>
      </c>
      <c r="L1898">
        <v>5067</v>
      </c>
    </row>
    <row r="1899" spans="1:12" hidden="1" x14ac:dyDescent="0.25">
      <c r="A1899">
        <v>2021</v>
      </c>
      <c r="B1899" t="s">
        <v>12</v>
      </c>
      <c r="C1899">
        <v>1707</v>
      </c>
      <c r="D1899" t="s">
        <v>77</v>
      </c>
      <c r="E1899" t="s">
        <v>14</v>
      </c>
      <c r="F1899" t="s">
        <v>71</v>
      </c>
      <c r="G1899" s="3"/>
      <c r="H1899" t="s">
        <v>61</v>
      </c>
      <c r="K1899">
        <v>110.55212475787999</v>
      </c>
      <c r="L1899">
        <v>1707</v>
      </c>
    </row>
    <row r="1900" spans="1:12" hidden="1" x14ac:dyDescent="0.25">
      <c r="A1900">
        <v>2021</v>
      </c>
      <c r="B1900" t="s">
        <v>12</v>
      </c>
      <c r="C1900">
        <v>28476</v>
      </c>
      <c r="D1900" t="s">
        <v>77</v>
      </c>
      <c r="E1900" t="s">
        <v>14</v>
      </c>
      <c r="F1900" t="s">
        <v>71</v>
      </c>
      <c r="G1900" s="2"/>
      <c r="H1900" t="s">
        <v>29</v>
      </c>
      <c r="K1900">
        <v>143.65737313291001</v>
      </c>
      <c r="L1900">
        <v>28476</v>
      </c>
    </row>
    <row r="1901" spans="1:12" hidden="1" x14ac:dyDescent="0.25">
      <c r="A1901">
        <v>2021</v>
      </c>
      <c r="B1901" t="s">
        <v>12</v>
      </c>
      <c r="C1901">
        <v>28156</v>
      </c>
      <c r="D1901" t="s">
        <v>77</v>
      </c>
      <c r="E1901" t="s">
        <v>14</v>
      </c>
      <c r="F1901" t="s">
        <v>71</v>
      </c>
      <c r="G1901" s="2"/>
      <c r="H1901" t="s">
        <v>63</v>
      </c>
      <c r="K1901">
        <v>106.47234528849</v>
      </c>
      <c r="L1901">
        <v>28156</v>
      </c>
    </row>
    <row r="1902" spans="1:12" hidden="1" x14ac:dyDescent="0.25">
      <c r="A1902">
        <v>2021</v>
      </c>
      <c r="B1902" t="s">
        <v>66</v>
      </c>
      <c r="C1902">
        <v>152757</v>
      </c>
      <c r="D1902" t="s">
        <v>77</v>
      </c>
      <c r="E1902" t="s">
        <v>14</v>
      </c>
      <c r="F1902" t="s">
        <v>71</v>
      </c>
      <c r="G1902" s="2"/>
      <c r="H1902" t="s">
        <v>21</v>
      </c>
      <c r="K1902">
        <v>114.588591483131</v>
      </c>
      <c r="L1902">
        <v>152757</v>
      </c>
    </row>
    <row r="1903" spans="1:12" hidden="1" x14ac:dyDescent="0.25">
      <c r="A1903">
        <v>2021</v>
      </c>
      <c r="B1903" t="s">
        <v>66</v>
      </c>
      <c r="C1903">
        <v>876477</v>
      </c>
      <c r="D1903" t="s">
        <v>77</v>
      </c>
      <c r="E1903" t="s">
        <v>14</v>
      </c>
      <c r="F1903" t="s">
        <v>71</v>
      </c>
      <c r="G1903" s="2"/>
      <c r="H1903" t="s">
        <v>19</v>
      </c>
      <c r="K1903">
        <v>116.18765921948599</v>
      </c>
      <c r="L1903">
        <v>876477</v>
      </c>
    </row>
    <row r="1904" spans="1:12" hidden="1" x14ac:dyDescent="0.25">
      <c r="A1904">
        <v>2021</v>
      </c>
      <c r="B1904" t="s">
        <v>66</v>
      </c>
      <c r="C1904">
        <v>2075</v>
      </c>
      <c r="D1904" t="s">
        <v>77</v>
      </c>
      <c r="E1904" t="s">
        <v>14</v>
      </c>
      <c r="F1904" t="s">
        <v>71</v>
      </c>
      <c r="G1904" s="3"/>
      <c r="H1904" t="s">
        <v>68</v>
      </c>
      <c r="K1904">
        <v>114.588591483131</v>
      </c>
      <c r="L1904">
        <v>2075</v>
      </c>
    </row>
    <row r="1905" spans="1:12" hidden="1" x14ac:dyDescent="0.25">
      <c r="A1905">
        <v>2021</v>
      </c>
      <c r="B1905" t="s">
        <v>66</v>
      </c>
      <c r="C1905">
        <v>26228</v>
      </c>
      <c r="D1905" t="s">
        <v>77</v>
      </c>
      <c r="E1905" t="s">
        <v>14</v>
      </c>
      <c r="F1905" t="s">
        <v>71</v>
      </c>
      <c r="G1905" s="2"/>
      <c r="H1905" t="s">
        <v>35</v>
      </c>
      <c r="K1905">
        <v>101.249897488305</v>
      </c>
      <c r="L1905">
        <v>26228</v>
      </c>
    </row>
    <row r="1906" spans="1:12" hidden="1" x14ac:dyDescent="0.25">
      <c r="A1906">
        <v>2021</v>
      </c>
      <c r="B1906" t="s">
        <v>66</v>
      </c>
      <c r="C1906">
        <v>468822</v>
      </c>
      <c r="D1906" t="s">
        <v>77</v>
      </c>
      <c r="E1906" t="s">
        <v>14</v>
      </c>
      <c r="F1906" t="s">
        <v>71</v>
      </c>
      <c r="G1906" s="2"/>
      <c r="H1906" t="s">
        <v>51</v>
      </c>
      <c r="K1906">
        <v>110.091234626415</v>
      </c>
      <c r="L1906">
        <v>468822</v>
      </c>
    </row>
    <row r="1907" spans="1:12" hidden="1" x14ac:dyDescent="0.25">
      <c r="A1907">
        <v>2021</v>
      </c>
      <c r="B1907" t="s">
        <v>66</v>
      </c>
      <c r="C1907">
        <v>424175</v>
      </c>
      <c r="D1907" t="s">
        <v>77</v>
      </c>
      <c r="E1907" t="s">
        <v>14</v>
      </c>
      <c r="F1907" t="s">
        <v>71</v>
      </c>
      <c r="G1907" s="2"/>
      <c r="H1907" t="s">
        <v>53</v>
      </c>
      <c r="K1907">
        <v>111.424704413977</v>
      </c>
      <c r="L1907">
        <v>424175</v>
      </c>
    </row>
    <row r="1908" spans="1:12" hidden="1" x14ac:dyDescent="0.25">
      <c r="A1908">
        <v>2021</v>
      </c>
      <c r="B1908" t="s">
        <v>66</v>
      </c>
      <c r="C1908">
        <v>112656</v>
      </c>
      <c r="D1908" t="s">
        <v>77</v>
      </c>
      <c r="E1908" t="s">
        <v>14</v>
      </c>
      <c r="F1908" t="s">
        <v>71</v>
      </c>
      <c r="G1908" s="2"/>
      <c r="H1908" t="s">
        <v>45</v>
      </c>
      <c r="K1908">
        <v>141.21332900058599</v>
      </c>
      <c r="L1908">
        <v>112656</v>
      </c>
    </row>
    <row r="1909" spans="1:12" hidden="1" x14ac:dyDescent="0.25">
      <c r="A1909">
        <v>2021</v>
      </c>
      <c r="B1909" t="s">
        <v>66</v>
      </c>
      <c r="C1909">
        <v>122394</v>
      </c>
      <c r="D1909" t="s">
        <v>77</v>
      </c>
      <c r="E1909" t="s">
        <v>14</v>
      </c>
      <c r="F1909" t="s">
        <v>71</v>
      </c>
      <c r="G1909" s="3"/>
      <c r="H1909" t="s">
        <v>59</v>
      </c>
      <c r="K1909">
        <v>113.656804391549</v>
      </c>
      <c r="L1909">
        <v>122394</v>
      </c>
    </row>
    <row r="1910" spans="1:12" hidden="1" x14ac:dyDescent="0.25">
      <c r="A1910">
        <v>2021</v>
      </c>
      <c r="B1910" t="s">
        <v>66</v>
      </c>
      <c r="C1910">
        <v>21131</v>
      </c>
      <c r="D1910" t="s">
        <v>77</v>
      </c>
      <c r="E1910" t="s">
        <v>14</v>
      </c>
      <c r="F1910" t="s">
        <v>71</v>
      </c>
      <c r="G1910" s="2"/>
      <c r="H1910" t="s">
        <v>57</v>
      </c>
      <c r="K1910">
        <v>112.92894634856199</v>
      </c>
      <c r="L1910">
        <v>21131</v>
      </c>
    </row>
    <row r="1911" spans="1:12" hidden="1" x14ac:dyDescent="0.25">
      <c r="A1911">
        <v>2021</v>
      </c>
      <c r="B1911" t="s">
        <v>66</v>
      </c>
      <c r="C1911">
        <v>205128</v>
      </c>
      <c r="D1911" t="s">
        <v>77</v>
      </c>
      <c r="E1911" t="s">
        <v>14</v>
      </c>
      <c r="F1911" t="s">
        <v>71</v>
      </c>
      <c r="G1911" s="2"/>
      <c r="H1911" t="s">
        <v>43</v>
      </c>
      <c r="K1911">
        <v>112.951814443289</v>
      </c>
      <c r="L1911">
        <v>205128</v>
      </c>
    </row>
    <row r="1912" spans="1:12" hidden="1" x14ac:dyDescent="0.25">
      <c r="A1912">
        <v>2021</v>
      </c>
      <c r="B1912" t="s">
        <v>66</v>
      </c>
      <c r="C1912">
        <v>108262</v>
      </c>
      <c r="D1912" t="s">
        <v>77</v>
      </c>
      <c r="E1912" t="s">
        <v>14</v>
      </c>
      <c r="F1912" t="s">
        <v>71</v>
      </c>
      <c r="G1912" s="2"/>
      <c r="H1912" t="s">
        <v>31</v>
      </c>
      <c r="K1912">
        <v>112.392064602288</v>
      </c>
      <c r="L1912">
        <v>108262</v>
      </c>
    </row>
    <row r="1913" spans="1:12" hidden="1" x14ac:dyDescent="0.25">
      <c r="A1913">
        <v>2021</v>
      </c>
      <c r="B1913" t="s">
        <v>66</v>
      </c>
      <c r="C1913">
        <v>253183</v>
      </c>
      <c r="D1913" t="s">
        <v>77</v>
      </c>
      <c r="E1913" t="s">
        <v>14</v>
      </c>
      <c r="F1913" t="s">
        <v>71</v>
      </c>
      <c r="G1913" s="2"/>
      <c r="H1913" t="s">
        <v>25</v>
      </c>
      <c r="K1913">
        <v>118.49318137442501</v>
      </c>
      <c r="L1913">
        <v>253183</v>
      </c>
    </row>
    <row r="1914" spans="1:12" hidden="1" x14ac:dyDescent="0.25">
      <c r="A1914">
        <v>2021</v>
      </c>
      <c r="B1914" t="s">
        <v>66</v>
      </c>
      <c r="C1914">
        <v>276695</v>
      </c>
      <c r="D1914" t="s">
        <v>77</v>
      </c>
      <c r="E1914" t="s">
        <v>14</v>
      </c>
      <c r="F1914" t="s">
        <v>71</v>
      </c>
      <c r="G1914" s="3"/>
      <c r="H1914" t="s">
        <v>41</v>
      </c>
      <c r="K1914">
        <v>110.98105301320901</v>
      </c>
      <c r="L1914">
        <v>276695</v>
      </c>
    </row>
    <row r="1915" spans="1:12" hidden="1" x14ac:dyDescent="0.25">
      <c r="A1915">
        <v>2021</v>
      </c>
      <c r="B1915" t="s">
        <v>66</v>
      </c>
      <c r="C1915">
        <v>133376</v>
      </c>
      <c r="D1915" t="s">
        <v>77</v>
      </c>
      <c r="E1915" t="s">
        <v>14</v>
      </c>
      <c r="F1915" t="s">
        <v>71</v>
      </c>
      <c r="G1915" s="2"/>
      <c r="H1915" t="s">
        <v>27</v>
      </c>
      <c r="K1915">
        <v>107.07734755600499</v>
      </c>
      <c r="L1915">
        <v>133376</v>
      </c>
    </row>
    <row r="1916" spans="1:12" hidden="1" x14ac:dyDescent="0.25">
      <c r="A1916">
        <v>2021</v>
      </c>
      <c r="B1916" t="s">
        <v>66</v>
      </c>
      <c r="C1916">
        <v>336543</v>
      </c>
      <c r="D1916" t="s">
        <v>77</v>
      </c>
      <c r="E1916" t="s">
        <v>14</v>
      </c>
      <c r="F1916" t="s">
        <v>71</v>
      </c>
      <c r="G1916" s="2"/>
      <c r="H1916" t="s">
        <v>49</v>
      </c>
      <c r="K1916">
        <v>106.928543554746</v>
      </c>
      <c r="L1916">
        <v>336543</v>
      </c>
    </row>
    <row r="1917" spans="1:12" hidden="1" x14ac:dyDescent="0.25">
      <c r="A1917">
        <v>2021</v>
      </c>
      <c r="B1917" t="s">
        <v>66</v>
      </c>
      <c r="C1917">
        <v>397332</v>
      </c>
      <c r="D1917" t="s">
        <v>77</v>
      </c>
      <c r="E1917" t="s">
        <v>14</v>
      </c>
      <c r="F1917" t="s">
        <v>71</v>
      </c>
      <c r="G1917" s="2"/>
      <c r="H1917" t="s">
        <v>47</v>
      </c>
      <c r="K1917">
        <v>121.868271296408</v>
      </c>
      <c r="L1917">
        <v>397332</v>
      </c>
    </row>
    <row r="1918" spans="1:12" hidden="1" x14ac:dyDescent="0.25">
      <c r="A1918">
        <v>2021</v>
      </c>
      <c r="B1918" t="s">
        <v>66</v>
      </c>
      <c r="C1918">
        <v>81250</v>
      </c>
      <c r="D1918" t="s">
        <v>77</v>
      </c>
      <c r="E1918" t="s">
        <v>14</v>
      </c>
      <c r="F1918" t="s">
        <v>71</v>
      </c>
      <c r="G1918" s="2"/>
      <c r="H1918" t="s">
        <v>39</v>
      </c>
      <c r="K1918">
        <v>108.877296090838</v>
      </c>
      <c r="L1918">
        <v>81250</v>
      </c>
    </row>
    <row r="1919" spans="1:12" hidden="1" x14ac:dyDescent="0.25">
      <c r="A1919">
        <v>2021</v>
      </c>
      <c r="B1919" t="s">
        <v>66</v>
      </c>
      <c r="C1919">
        <v>418243</v>
      </c>
      <c r="D1919" t="s">
        <v>77</v>
      </c>
      <c r="E1919" t="s">
        <v>14</v>
      </c>
      <c r="F1919" t="s">
        <v>71</v>
      </c>
      <c r="G1919" s="3"/>
      <c r="H1919" t="s">
        <v>23</v>
      </c>
      <c r="K1919">
        <v>113.699368348429</v>
      </c>
      <c r="L1919">
        <v>418243</v>
      </c>
    </row>
    <row r="1920" spans="1:12" hidden="1" x14ac:dyDescent="0.25">
      <c r="A1920">
        <v>2021</v>
      </c>
      <c r="B1920" t="s">
        <v>66</v>
      </c>
      <c r="C1920">
        <v>177496</v>
      </c>
      <c r="D1920" t="s">
        <v>77</v>
      </c>
      <c r="E1920" t="s">
        <v>14</v>
      </c>
      <c r="F1920" t="s">
        <v>71</v>
      </c>
      <c r="G1920" s="2"/>
      <c r="H1920" t="s">
        <v>37</v>
      </c>
      <c r="K1920">
        <v>108.877296090838</v>
      </c>
      <c r="L1920">
        <v>177496</v>
      </c>
    </row>
    <row r="1921" spans="1:12" hidden="1" x14ac:dyDescent="0.25">
      <c r="A1921">
        <v>2021</v>
      </c>
      <c r="B1921" t="s">
        <v>66</v>
      </c>
      <c r="C1921">
        <v>111679</v>
      </c>
      <c r="D1921" t="s">
        <v>77</v>
      </c>
      <c r="E1921" t="s">
        <v>14</v>
      </c>
      <c r="F1921" t="s">
        <v>71</v>
      </c>
      <c r="G1921" s="2"/>
      <c r="H1921" t="s">
        <v>55</v>
      </c>
      <c r="K1921">
        <v>112.92894634856199</v>
      </c>
      <c r="L1921">
        <v>111679</v>
      </c>
    </row>
    <row r="1922" spans="1:12" hidden="1" x14ac:dyDescent="0.25">
      <c r="A1922">
        <v>2021</v>
      </c>
      <c r="B1922" t="s">
        <v>66</v>
      </c>
      <c r="C1922">
        <v>13067</v>
      </c>
      <c r="D1922" t="s">
        <v>77</v>
      </c>
      <c r="E1922" t="s">
        <v>14</v>
      </c>
      <c r="F1922" t="s">
        <v>71</v>
      </c>
      <c r="G1922" s="2"/>
      <c r="H1922" t="s">
        <v>33</v>
      </c>
      <c r="K1922">
        <v>114.043225455295</v>
      </c>
      <c r="L1922">
        <v>13067</v>
      </c>
    </row>
    <row r="1923" spans="1:12" hidden="1" x14ac:dyDescent="0.25">
      <c r="A1923">
        <v>2021</v>
      </c>
      <c r="B1923" t="s">
        <v>66</v>
      </c>
      <c r="C1923">
        <v>8479</v>
      </c>
      <c r="D1923" t="s">
        <v>77</v>
      </c>
      <c r="E1923" t="s">
        <v>14</v>
      </c>
      <c r="F1923" t="s">
        <v>71</v>
      </c>
      <c r="G1923" s="2"/>
      <c r="H1923" t="s">
        <v>61</v>
      </c>
      <c r="K1923">
        <v>117.451425181814</v>
      </c>
      <c r="L1923">
        <v>8479</v>
      </c>
    </row>
    <row r="1924" spans="1:12" hidden="1" x14ac:dyDescent="0.25">
      <c r="A1924">
        <v>2021</v>
      </c>
      <c r="B1924" t="s">
        <v>66</v>
      </c>
      <c r="C1924">
        <v>118761</v>
      </c>
      <c r="D1924" t="s">
        <v>77</v>
      </c>
      <c r="E1924" t="s">
        <v>14</v>
      </c>
      <c r="F1924" t="s">
        <v>71</v>
      </c>
      <c r="G1924" s="3"/>
      <c r="H1924" t="s">
        <v>29</v>
      </c>
      <c r="K1924">
        <v>114.696642834729</v>
      </c>
      <c r="L1924">
        <v>118761</v>
      </c>
    </row>
    <row r="1925" spans="1:12" hidden="1" x14ac:dyDescent="0.25">
      <c r="A1925">
        <v>2022</v>
      </c>
      <c r="B1925" t="s">
        <v>12</v>
      </c>
      <c r="C1925">
        <v>22736</v>
      </c>
      <c r="D1925" t="s">
        <v>77</v>
      </c>
      <c r="E1925" t="s">
        <v>14</v>
      </c>
      <c r="F1925" t="s">
        <v>71</v>
      </c>
      <c r="G1925" s="2"/>
      <c r="H1925" t="s">
        <v>21</v>
      </c>
      <c r="K1925">
        <v>109.88589645717001</v>
      </c>
      <c r="L1925">
        <v>22736</v>
      </c>
    </row>
    <row r="1926" spans="1:12" hidden="1" x14ac:dyDescent="0.25">
      <c r="A1926">
        <v>2022</v>
      </c>
      <c r="B1926" t="s">
        <v>12</v>
      </c>
      <c r="C1926">
        <v>169707</v>
      </c>
      <c r="D1926" t="s">
        <v>77</v>
      </c>
      <c r="E1926" t="s">
        <v>14</v>
      </c>
      <c r="F1926" t="s">
        <v>71</v>
      </c>
      <c r="G1926" s="2"/>
      <c r="H1926" t="s">
        <v>19</v>
      </c>
      <c r="K1926">
        <v>138.22614999915999</v>
      </c>
      <c r="L1926">
        <v>169707</v>
      </c>
    </row>
    <row r="1927" spans="1:12" hidden="1" x14ac:dyDescent="0.25">
      <c r="A1927">
        <v>2022</v>
      </c>
      <c r="B1927" t="s">
        <v>12</v>
      </c>
      <c r="C1927">
        <v>82894</v>
      </c>
      <c r="D1927" t="s">
        <v>77</v>
      </c>
      <c r="E1927" t="s">
        <v>14</v>
      </c>
      <c r="F1927" t="s">
        <v>71</v>
      </c>
      <c r="G1927" s="2"/>
      <c r="H1927" t="s">
        <v>51</v>
      </c>
      <c r="K1927">
        <v>123.96393010113999</v>
      </c>
      <c r="L1927">
        <v>82894</v>
      </c>
    </row>
    <row r="1928" spans="1:12" hidden="1" x14ac:dyDescent="0.25">
      <c r="A1928">
        <v>2022</v>
      </c>
      <c r="B1928" t="s">
        <v>12</v>
      </c>
      <c r="C1928">
        <v>9137</v>
      </c>
      <c r="D1928" t="s">
        <v>77</v>
      </c>
      <c r="E1928" t="s">
        <v>14</v>
      </c>
      <c r="F1928" t="s">
        <v>71</v>
      </c>
      <c r="G1928" s="2"/>
      <c r="H1928" t="s">
        <v>53</v>
      </c>
      <c r="K1928">
        <v>123.96393010113999</v>
      </c>
      <c r="L1928">
        <v>9137</v>
      </c>
    </row>
    <row r="1929" spans="1:12" hidden="1" x14ac:dyDescent="0.25">
      <c r="A1929">
        <v>2022</v>
      </c>
      <c r="B1929" t="s">
        <v>12</v>
      </c>
      <c r="C1929">
        <v>8199</v>
      </c>
      <c r="D1929" t="s">
        <v>77</v>
      </c>
      <c r="E1929" t="s">
        <v>14</v>
      </c>
      <c r="F1929" t="s">
        <v>71</v>
      </c>
      <c r="G1929" s="3"/>
      <c r="H1929" t="s">
        <v>45</v>
      </c>
      <c r="K1929">
        <v>134.03865367133</v>
      </c>
      <c r="L1929">
        <v>8199</v>
      </c>
    </row>
    <row r="1930" spans="1:12" hidden="1" x14ac:dyDescent="0.25">
      <c r="A1930">
        <v>2022</v>
      </c>
      <c r="B1930" t="s">
        <v>12</v>
      </c>
      <c r="C1930">
        <v>9248</v>
      </c>
      <c r="D1930" t="s">
        <v>77</v>
      </c>
      <c r="E1930" t="s">
        <v>14</v>
      </c>
      <c r="F1930" t="s">
        <v>71</v>
      </c>
      <c r="G1930" s="2"/>
      <c r="H1930" t="s">
        <v>59</v>
      </c>
      <c r="K1930">
        <v>182.56944637426</v>
      </c>
      <c r="L1930">
        <v>9248</v>
      </c>
    </row>
    <row r="1931" spans="1:12" hidden="1" x14ac:dyDescent="0.25">
      <c r="A1931">
        <v>2022</v>
      </c>
      <c r="B1931" t="s">
        <v>12</v>
      </c>
      <c r="C1931">
        <v>704</v>
      </c>
      <c r="D1931" t="s">
        <v>77</v>
      </c>
      <c r="E1931" t="s">
        <v>14</v>
      </c>
      <c r="F1931" t="s">
        <v>71</v>
      </c>
      <c r="G1931" s="2"/>
      <c r="H1931" t="s">
        <v>57</v>
      </c>
      <c r="K1931">
        <v>123.96393010113999</v>
      </c>
      <c r="L1931">
        <v>704</v>
      </c>
    </row>
    <row r="1932" spans="1:12" hidden="1" x14ac:dyDescent="0.25">
      <c r="A1932">
        <v>2022</v>
      </c>
      <c r="B1932" t="s">
        <v>12</v>
      </c>
      <c r="C1932">
        <v>18519</v>
      </c>
      <c r="D1932" t="s">
        <v>77</v>
      </c>
      <c r="E1932" t="s">
        <v>14</v>
      </c>
      <c r="F1932" t="s">
        <v>71</v>
      </c>
      <c r="G1932" s="2"/>
      <c r="H1932" t="s">
        <v>43</v>
      </c>
      <c r="K1932">
        <v>134.03865367133</v>
      </c>
      <c r="L1932">
        <v>18519</v>
      </c>
    </row>
    <row r="1933" spans="1:12" hidden="1" x14ac:dyDescent="0.25">
      <c r="A1933">
        <v>2022</v>
      </c>
      <c r="B1933" t="s">
        <v>12</v>
      </c>
      <c r="C1933">
        <v>18439</v>
      </c>
      <c r="D1933" t="s">
        <v>77</v>
      </c>
      <c r="E1933" t="s">
        <v>14</v>
      </c>
      <c r="F1933" t="s">
        <v>71</v>
      </c>
      <c r="G1933" s="2"/>
      <c r="H1933" t="s">
        <v>31</v>
      </c>
      <c r="K1933">
        <v>120.87292541591999</v>
      </c>
      <c r="L1933">
        <v>18439</v>
      </c>
    </row>
    <row r="1934" spans="1:12" hidden="1" x14ac:dyDescent="0.25">
      <c r="A1934">
        <v>2022</v>
      </c>
      <c r="B1934" t="s">
        <v>12</v>
      </c>
      <c r="C1934">
        <v>2743</v>
      </c>
      <c r="D1934" t="s">
        <v>77</v>
      </c>
      <c r="E1934" t="s">
        <v>14</v>
      </c>
      <c r="F1934" t="s">
        <v>71</v>
      </c>
      <c r="G1934" s="3"/>
      <c r="H1934" t="s">
        <v>25</v>
      </c>
      <c r="K1934">
        <v>56.539869603999001</v>
      </c>
      <c r="L1934">
        <v>2743</v>
      </c>
    </row>
    <row r="1935" spans="1:12" hidden="1" x14ac:dyDescent="0.25">
      <c r="A1935">
        <v>2022</v>
      </c>
      <c r="B1935" t="s">
        <v>12</v>
      </c>
      <c r="C1935">
        <v>22901</v>
      </c>
      <c r="D1935" t="s">
        <v>77</v>
      </c>
      <c r="E1935" t="s">
        <v>14</v>
      </c>
      <c r="F1935" t="s">
        <v>71</v>
      </c>
      <c r="G1935" s="2"/>
      <c r="H1935" t="s">
        <v>41</v>
      </c>
      <c r="K1935">
        <v>175.63081008859999</v>
      </c>
      <c r="L1935">
        <v>22901</v>
      </c>
    </row>
    <row r="1936" spans="1:12" hidden="1" x14ac:dyDescent="0.25">
      <c r="A1936">
        <v>2022</v>
      </c>
      <c r="B1936" t="s">
        <v>12</v>
      </c>
      <c r="C1936">
        <v>1044</v>
      </c>
      <c r="D1936" t="s">
        <v>77</v>
      </c>
      <c r="E1936" t="s">
        <v>14</v>
      </c>
      <c r="F1936" t="s">
        <v>71</v>
      </c>
      <c r="G1936" s="2"/>
      <c r="H1936" t="s">
        <v>27</v>
      </c>
      <c r="K1936">
        <v>56.539869603999001</v>
      </c>
      <c r="L1936">
        <v>1044</v>
      </c>
    </row>
    <row r="1937" spans="1:12" hidden="1" x14ac:dyDescent="0.25">
      <c r="A1937">
        <v>2022</v>
      </c>
      <c r="B1937" t="s">
        <v>12</v>
      </c>
      <c r="C1937">
        <v>375</v>
      </c>
      <c r="D1937" t="s">
        <v>77</v>
      </c>
      <c r="E1937" t="s">
        <v>14</v>
      </c>
      <c r="F1937" t="s">
        <v>71</v>
      </c>
      <c r="G1937" s="2"/>
      <c r="H1937" t="s">
        <v>49</v>
      </c>
      <c r="K1937">
        <v>123.96393010113999</v>
      </c>
      <c r="L1937">
        <v>375</v>
      </c>
    </row>
    <row r="1938" spans="1:12" hidden="1" x14ac:dyDescent="0.25">
      <c r="A1938">
        <v>2022</v>
      </c>
      <c r="B1938" t="s">
        <v>12</v>
      </c>
      <c r="C1938">
        <v>48915</v>
      </c>
      <c r="D1938" t="s">
        <v>77</v>
      </c>
      <c r="E1938" t="s">
        <v>14</v>
      </c>
      <c r="F1938" t="s">
        <v>71</v>
      </c>
      <c r="G1938" s="2"/>
      <c r="H1938" t="s">
        <v>47</v>
      </c>
      <c r="K1938">
        <v>123.96393010113999</v>
      </c>
      <c r="L1938">
        <v>48915</v>
      </c>
    </row>
    <row r="1939" spans="1:12" hidden="1" x14ac:dyDescent="0.25">
      <c r="A1939">
        <v>2022</v>
      </c>
      <c r="B1939" t="s">
        <v>12</v>
      </c>
      <c r="C1939">
        <v>11481</v>
      </c>
      <c r="D1939" t="s">
        <v>77</v>
      </c>
      <c r="E1939" t="s">
        <v>14</v>
      </c>
      <c r="F1939" t="s">
        <v>71</v>
      </c>
      <c r="G1939" s="3"/>
      <c r="H1939" t="s">
        <v>39</v>
      </c>
      <c r="K1939">
        <v>175.63081008859999</v>
      </c>
      <c r="L1939">
        <v>11481</v>
      </c>
    </row>
    <row r="1940" spans="1:12" hidden="1" x14ac:dyDescent="0.25">
      <c r="A1940">
        <v>2022</v>
      </c>
      <c r="B1940" t="s">
        <v>12</v>
      </c>
      <c r="C1940">
        <v>3378</v>
      </c>
      <c r="D1940" t="s">
        <v>77</v>
      </c>
      <c r="E1940" t="s">
        <v>14</v>
      </c>
      <c r="F1940" t="s">
        <v>71</v>
      </c>
      <c r="G1940" s="2"/>
      <c r="H1940" t="s">
        <v>23</v>
      </c>
      <c r="K1940">
        <v>56.539869603999001</v>
      </c>
      <c r="L1940">
        <v>3378</v>
      </c>
    </row>
    <row r="1941" spans="1:12" hidden="1" x14ac:dyDescent="0.25">
      <c r="A1941">
        <v>2022</v>
      </c>
      <c r="B1941" t="s">
        <v>12</v>
      </c>
      <c r="C1941">
        <v>31148</v>
      </c>
      <c r="D1941" t="s">
        <v>77</v>
      </c>
      <c r="E1941" t="s">
        <v>14</v>
      </c>
      <c r="F1941" t="s">
        <v>71</v>
      </c>
      <c r="G1941" s="2"/>
      <c r="H1941" t="s">
        <v>37</v>
      </c>
      <c r="K1941">
        <v>175.63081008859999</v>
      </c>
      <c r="L1941">
        <v>31148</v>
      </c>
    </row>
    <row r="1942" spans="1:12" hidden="1" x14ac:dyDescent="0.25">
      <c r="A1942">
        <v>2022</v>
      </c>
      <c r="B1942" t="s">
        <v>12</v>
      </c>
      <c r="C1942">
        <v>792</v>
      </c>
      <c r="D1942" t="s">
        <v>77</v>
      </c>
      <c r="E1942" t="s">
        <v>14</v>
      </c>
      <c r="F1942" t="s">
        <v>71</v>
      </c>
      <c r="G1942" s="2"/>
      <c r="H1942" t="s">
        <v>55</v>
      </c>
      <c r="K1942">
        <v>123.96393010113999</v>
      </c>
      <c r="L1942">
        <v>792</v>
      </c>
    </row>
    <row r="1943" spans="1:12" hidden="1" x14ac:dyDescent="0.25">
      <c r="A1943">
        <v>2022</v>
      </c>
      <c r="B1943" t="s">
        <v>12</v>
      </c>
      <c r="C1943">
        <v>3954</v>
      </c>
      <c r="D1943" t="s">
        <v>77</v>
      </c>
      <c r="E1943" t="s">
        <v>14</v>
      </c>
      <c r="F1943" t="s">
        <v>71</v>
      </c>
      <c r="G1943" s="2"/>
      <c r="H1943" t="s">
        <v>33</v>
      </c>
      <c r="K1943">
        <v>120.87292541591999</v>
      </c>
      <c r="L1943">
        <v>3954</v>
      </c>
    </row>
    <row r="1944" spans="1:12" hidden="1" x14ac:dyDescent="0.25">
      <c r="A1944">
        <v>2022</v>
      </c>
      <c r="B1944" t="s">
        <v>12</v>
      </c>
      <c r="C1944">
        <v>1635</v>
      </c>
      <c r="D1944" t="s">
        <v>77</v>
      </c>
      <c r="E1944" t="s">
        <v>14</v>
      </c>
      <c r="F1944" t="s">
        <v>71</v>
      </c>
      <c r="G1944" s="3"/>
      <c r="H1944" t="s">
        <v>61</v>
      </c>
      <c r="K1944">
        <v>138.33137560220001</v>
      </c>
      <c r="L1944">
        <v>1635</v>
      </c>
    </row>
    <row r="1945" spans="1:12" hidden="1" x14ac:dyDescent="0.25">
      <c r="A1945">
        <v>2022</v>
      </c>
      <c r="B1945" t="s">
        <v>12</v>
      </c>
      <c r="C1945">
        <v>28977</v>
      </c>
      <c r="D1945" t="s">
        <v>77</v>
      </c>
      <c r="E1945" t="s">
        <v>14</v>
      </c>
      <c r="F1945" t="s">
        <v>71</v>
      </c>
      <c r="G1945" s="2"/>
      <c r="H1945" t="s">
        <v>29</v>
      </c>
      <c r="K1945">
        <v>182.56944637426</v>
      </c>
      <c r="L1945">
        <v>28977</v>
      </c>
    </row>
    <row r="1946" spans="1:12" hidden="1" x14ac:dyDescent="0.25">
      <c r="A1946">
        <v>2022</v>
      </c>
      <c r="B1946" t="s">
        <v>12</v>
      </c>
      <c r="C1946">
        <v>24961</v>
      </c>
      <c r="D1946" t="s">
        <v>77</v>
      </c>
      <c r="E1946" t="s">
        <v>14</v>
      </c>
      <c r="F1946" t="s">
        <v>71</v>
      </c>
      <c r="G1946" s="2"/>
      <c r="H1946" t="s">
        <v>63</v>
      </c>
      <c r="K1946">
        <v>123.96393010113999</v>
      </c>
      <c r="L1946">
        <v>24961</v>
      </c>
    </row>
    <row r="1947" spans="1:12" hidden="1" x14ac:dyDescent="0.25">
      <c r="A1947">
        <v>2022</v>
      </c>
      <c r="B1947" t="s">
        <v>66</v>
      </c>
      <c r="C1947">
        <v>154826</v>
      </c>
      <c r="D1947" t="s">
        <v>77</v>
      </c>
      <c r="E1947" t="s">
        <v>14</v>
      </c>
      <c r="F1947" t="s">
        <v>71</v>
      </c>
      <c r="G1947" s="2"/>
      <c r="H1947" t="s">
        <v>21</v>
      </c>
      <c r="K1947">
        <v>124.885983267714</v>
      </c>
      <c r="L1947">
        <v>154826</v>
      </c>
    </row>
    <row r="1948" spans="1:12" hidden="1" x14ac:dyDescent="0.25">
      <c r="A1948">
        <v>2022</v>
      </c>
      <c r="B1948" t="s">
        <v>66</v>
      </c>
      <c r="C1948">
        <v>884308</v>
      </c>
      <c r="D1948" t="s">
        <v>77</v>
      </c>
      <c r="E1948" t="s">
        <v>14</v>
      </c>
      <c r="F1948" t="s">
        <v>71</v>
      </c>
      <c r="G1948" s="2"/>
      <c r="H1948" t="s">
        <v>19</v>
      </c>
      <c r="K1948">
        <v>129.32654788623401</v>
      </c>
      <c r="L1948">
        <v>884308</v>
      </c>
    </row>
    <row r="1949" spans="1:12" hidden="1" x14ac:dyDescent="0.25">
      <c r="A1949">
        <v>2022</v>
      </c>
      <c r="B1949" t="s">
        <v>66</v>
      </c>
      <c r="C1949">
        <v>2151</v>
      </c>
      <c r="D1949" t="s">
        <v>77</v>
      </c>
      <c r="E1949" t="s">
        <v>14</v>
      </c>
      <c r="F1949" t="s">
        <v>71</v>
      </c>
      <c r="G1949" s="3"/>
      <c r="H1949" t="s">
        <v>68</v>
      </c>
      <c r="K1949">
        <v>124.885983267714</v>
      </c>
      <c r="L1949">
        <v>2151</v>
      </c>
    </row>
    <row r="1950" spans="1:12" hidden="1" x14ac:dyDescent="0.25">
      <c r="A1950">
        <v>2022</v>
      </c>
      <c r="B1950" t="s">
        <v>66</v>
      </c>
      <c r="C1950">
        <v>25620</v>
      </c>
      <c r="D1950" t="s">
        <v>77</v>
      </c>
      <c r="E1950" t="s">
        <v>14</v>
      </c>
      <c r="F1950" t="s">
        <v>71</v>
      </c>
      <c r="G1950" s="2"/>
      <c r="H1950" t="s">
        <v>35</v>
      </c>
      <c r="K1950">
        <v>93.717494351913203</v>
      </c>
      <c r="L1950">
        <v>25620</v>
      </c>
    </row>
    <row r="1951" spans="1:12" hidden="1" x14ac:dyDescent="0.25">
      <c r="A1951">
        <v>2022</v>
      </c>
      <c r="B1951" t="s">
        <v>66</v>
      </c>
      <c r="C1951">
        <v>479459</v>
      </c>
      <c r="D1951" t="s">
        <v>77</v>
      </c>
      <c r="E1951" t="s">
        <v>14</v>
      </c>
      <c r="F1951" t="s">
        <v>71</v>
      </c>
      <c r="G1951" s="2"/>
      <c r="H1951" t="s">
        <v>51</v>
      </c>
      <c r="K1951">
        <v>118.400520723024</v>
      </c>
      <c r="L1951">
        <v>479459</v>
      </c>
    </row>
    <row r="1952" spans="1:12" hidden="1" x14ac:dyDescent="0.25">
      <c r="A1952">
        <v>2022</v>
      </c>
      <c r="B1952" t="s">
        <v>66</v>
      </c>
      <c r="C1952">
        <v>439031</v>
      </c>
      <c r="D1952" t="s">
        <v>77</v>
      </c>
      <c r="E1952" t="s">
        <v>14</v>
      </c>
      <c r="F1952" t="s">
        <v>71</v>
      </c>
      <c r="G1952" s="2"/>
      <c r="H1952" t="s">
        <v>53</v>
      </c>
      <c r="K1952">
        <v>123.731212299186</v>
      </c>
      <c r="L1952">
        <v>439031</v>
      </c>
    </row>
    <row r="1953" spans="1:12" hidden="1" x14ac:dyDescent="0.25">
      <c r="A1953">
        <v>2022</v>
      </c>
      <c r="B1953" t="s">
        <v>66</v>
      </c>
      <c r="C1953">
        <v>118608</v>
      </c>
      <c r="D1953" t="s">
        <v>77</v>
      </c>
      <c r="E1953" t="s">
        <v>14</v>
      </c>
      <c r="F1953" t="s">
        <v>71</v>
      </c>
      <c r="G1953" s="2"/>
      <c r="H1953" t="s">
        <v>45</v>
      </c>
      <c r="K1953">
        <v>141.87141028890099</v>
      </c>
      <c r="L1953">
        <v>118608</v>
      </c>
    </row>
    <row r="1954" spans="1:12" hidden="1" x14ac:dyDescent="0.25">
      <c r="A1954">
        <v>2022</v>
      </c>
      <c r="B1954" t="s">
        <v>66</v>
      </c>
      <c r="C1954">
        <v>115104</v>
      </c>
      <c r="D1954" t="s">
        <v>77</v>
      </c>
      <c r="E1954" t="s">
        <v>14</v>
      </c>
      <c r="F1954" t="s">
        <v>71</v>
      </c>
      <c r="G1954" s="3"/>
      <c r="H1954" t="s">
        <v>59</v>
      </c>
      <c r="K1954">
        <v>124.760255125349</v>
      </c>
      <c r="L1954">
        <v>115104</v>
      </c>
    </row>
    <row r="1955" spans="1:12" hidden="1" x14ac:dyDescent="0.25">
      <c r="A1955">
        <v>2022</v>
      </c>
      <c r="B1955" t="s">
        <v>66</v>
      </c>
      <c r="C1955">
        <v>25213</v>
      </c>
      <c r="D1955" t="s">
        <v>77</v>
      </c>
      <c r="E1955" t="s">
        <v>14</v>
      </c>
      <c r="F1955" t="s">
        <v>71</v>
      </c>
      <c r="G1955" s="2"/>
      <c r="H1955" t="s">
        <v>57</v>
      </c>
      <c r="K1955">
        <v>118.92956316086899</v>
      </c>
      <c r="L1955">
        <v>25213</v>
      </c>
    </row>
    <row r="1956" spans="1:12" hidden="1" x14ac:dyDescent="0.25">
      <c r="A1956">
        <v>2022</v>
      </c>
      <c r="B1956" t="s">
        <v>66</v>
      </c>
      <c r="C1956">
        <v>208128</v>
      </c>
      <c r="D1956" t="s">
        <v>77</v>
      </c>
      <c r="E1956" t="s">
        <v>14</v>
      </c>
      <c r="F1956" t="s">
        <v>71</v>
      </c>
      <c r="G1956" s="2"/>
      <c r="H1956" t="s">
        <v>43</v>
      </c>
      <c r="K1956">
        <v>129.18720398146201</v>
      </c>
      <c r="L1956">
        <v>208128</v>
      </c>
    </row>
    <row r="1957" spans="1:12" hidden="1" x14ac:dyDescent="0.25">
      <c r="A1957">
        <v>2022</v>
      </c>
      <c r="B1957" t="s">
        <v>66</v>
      </c>
      <c r="C1957">
        <v>108197</v>
      </c>
      <c r="D1957" t="s">
        <v>77</v>
      </c>
      <c r="E1957" t="s">
        <v>14</v>
      </c>
      <c r="F1957" t="s">
        <v>71</v>
      </c>
      <c r="G1957" s="2"/>
      <c r="H1957" t="s">
        <v>31</v>
      </c>
      <c r="K1957">
        <v>124.992774454829</v>
      </c>
      <c r="L1957">
        <v>108197</v>
      </c>
    </row>
    <row r="1958" spans="1:12" hidden="1" x14ac:dyDescent="0.25">
      <c r="A1958">
        <v>2022</v>
      </c>
      <c r="B1958" t="s">
        <v>66</v>
      </c>
      <c r="C1958">
        <v>252998</v>
      </c>
      <c r="D1958" t="s">
        <v>77</v>
      </c>
      <c r="E1958" t="s">
        <v>14</v>
      </c>
      <c r="F1958" t="s">
        <v>71</v>
      </c>
      <c r="G1958" s="2"/>
      <c r="H1958" t="s">
        <v>25</v>
      </c>
      <c r="K1958">
        <v>130.309937712893</v>
      </c>
      <c r="L1958">
        <v>252998</v>
      </c>
    </row>
    <row r="1959" spans="1:12" hidden="1" x14ac:dyDescent="0.25">
      <c r="A1959">
        <v>2022</v>
      </c>
      <c r="B1959" t="s">
        <v>66</v>
      </c>
      <c r="C1959">
        <v>283346</v>
      </c>
      <c r="D1959" t="s">
        <v>77</v>
      </c>
      <c r="E1959" t="s">
        <v>14</v>
      </c>
      <c r="F1959" t="s">
        <v>71</v>
      </c>
      <c r="G1959" s="3"/>
      <c r="H1959" t="s">
        <v>41</v>
      </c>
      <c r="K1959">
        <v>124.20030413134501</v>
      </c>
      <c r="L1959">
        <v>283346</v>
      </c>
    </row>
    <row r="1960" spans="1:12" hidden="1" x14ac:dyDescent="0.25">
      <c r="A1960">
        <v>2022</v>
      </c>
      <c r="B1960" t="s">
        <v>66</v>
      </c>
      <c r="C1960">
        <v>133500</v>
      </c>
      <c r="D1960" t="s">
        <v>77</v>
      </c>
      <c r="E1960" t="s">
        <v>14</v>
      </c>
      <c r="F1960" t="s">
        <v>71</v>
      </c>
      <c r="G1960" s="2"/>
      <c r="H1960" t="s">
        <v>27</v>
      </c>
      <c r="K1960">
        <v>114.765372402341</v>
      </c>
      <c r="L1960">
        <v>133500</v>
      </c>
    </row>
    <row r="1961" spans="1:12" hidden="1" x14ac:dyDescent="0.25">
      <c r="A1961">
        <v>2022</v>
      </c>
      <c r="B1961" t="s">
        <v>66</v>
      </c>
      <c r="C1961">
        <v>363020</v>
      </c>
      <c r="D1961" t="s">
        <v>77</v>
      </c>
      <c r="E1961" t="s">
        <v>14</v>
      </c>
      <c r="F1961" t="s">
        <v>71</v>
      </c>
      <c r="G1961" s="2"/>
      <c r="H1961" t="s">
        <v>49</v>
      </c>
      <c r="K1961">
        <v>113.459970516059</v>
      </c>
      <c r="L1961">
        <v>363020</v>
      </c>
    </row>
    <row r="1962" spans="1:12" hidden="1" x14ac:dyDescent="0.25">
      <c r="A1962">
        <v>2022</v>
      </c>
      <c r="B1962" t="s">
        <v>66</v>
      </c>
      <c r="C1962">
        <v>401294</v>
      </c>
      <c r="D1962" t="s">
        <v>77</v>
      </c>
      <c r="E1962" t="s">
        <v>14</v>
      </c>
      <c r="F1962" t="s">
        <v>71</v>
      </c>
      <c r="G1962" s="2"/>
      <c r="H1962" t="s">
        <v>47</v>
      </c>
      <c r="K1962">
        <v>134.38056482799499</v>
      </c>
      <c r="L1962">
        <v>401294</v>
      </c>
    </row>
    <row r="1963" spans="1:12" hidden="1" x14ac:dyDescent="0.25">
      <c r="A1963">
        <v>2022</v>
      </c>
      <c r="B1963" t="s">
        <v>66</v>
      </c>
      <c r="C1963">
        <v>82717</v>
      </c>
      <c r="D1963" t="s">
        <v>77</v>
      </c>
      <c r="E1963" t="s">
        <v>14</v>
      </c>
      <c r="F1963" t="s">
        <v>71</v>
      </c>
      <c r="G1963" s="2"/>
      <c r="H1963" t="s">
        <v>39</v>
      </c>
      <c r="K1963">
        <v>125.100295460086</v>
      </c>
      <c r="L1963">
        <v>82717</v>
      </c>
    </row>
    <row r="1964" spans="1:12" hidden="1" x14ac:dyDescent="0.25">
      <c r="A1964">
        <v>2022</v>
      </c>
      <c r="B1964" t="s">
        <v>66</v>
      </c>
      <c r="C1964">
        <v>413844</v>
      </c>
      <c r="D1964" t="s">
        <v>77</v>
      </c>
      <c r="E1964" t="s">
        <v>14</v>
      </c>
      <c r="F1964" t="s">
        <v>71</v>
      </c>
      <c r="G1964" s="3"/>
      <c r="H1964" t="s">
        <v>23</v>
      </c>
      <c r="K1964">
        <v>119.934366622322</v>
      </c>
      <c r="L1964">
        <v>413844</v>
      </c>
    </row>
    <row r="1965" spans="1:12" hidden="1" x14ac:dyDescent="0.25">
      <c r="A1965">
        <v>2022</v>
      </c>
      <c r="B1965" t="s">
        <v>66</v>
      </c>
      <c r="C1965">
        <v>180118</v>
      </c>
      <c r="D1965" t="s">
        <v>77</v>
      </c>
      <c r="E1965" t="s">
        <v>14</v>
      </c>
      <c r="F1965" t="s">
        <v>71</v>
      </c>
      <c r="G1965" s="2"/>
      <c r="H1965" t="s">
        <v>37</v>
      </c>
      <c r="K1965">
        <v>125.100295460086</v>
      </c>
      <c r="L1965">
        <v>180118</v>
      </c>
    </row>
    <row r="1966" spans="1:12" hidden="1" x14ac:dyDescent="0.25">
      <c r="A1966">
        <v>2022</v>
      </c>
      <c r="B1966" t="s">
        <v>66</v>
      </c>
      <c r="C1966">
        <v>118014</v>
      </c>
      <c r="D1966" t="s">
        <v>77</v>
      </c>
      <c r="E1966" t="s">
        <v>14</v>
      </c>
      <c r="F1966" t="s">
        <v>71</v>
      </c>
      <c r="G1966" s="2"/>
      <c r="H1966" t="s">
        <v>55</v>
      </c>
      <c r="K1966">
        <v>118.92956316086899</v>
      </c>
      <c r="L1966">
        <v>118014</v>
      </c>
    </row>
    <row r="1967" spans="1:12" hidden="1" x14ac:dyDescent="0.25">
      <c r="A1967">
        <v>2022</v>
      </c>
      <c r="B1967" t="s">
        <v>66</v>
      </c>
      <c r="C1967">
        <v>12648</v>
      </c>
      <c r="D1967" t="s">
        <v>77</v>
      </c>
      <c r="E1967" t="s">
        <v>14</v>
      </c>
      <c r="F1967" t="s">
        <v>71</v>
      </c>
      <c r="G1967" s="2"/>
      <c r="H1967" t="s">
        <v>33</v>
      </c>
      <c r="K1967">
        <v>126.864077629889</v>
      </c>
      <c r="L1967">
        <v>12648</v>
      </c>
    </row>
    <row r="1968" spans="1:12" hidden="1" x14ac:dyDescent="0.25">
      <c r="A1968">
        <v>2022</v>
      </c>
      <c r="B1968" t="s">
        <v>66</v>
      </c>
      <c r="C1968">
        <v>8655</v>
      </c>
      <c r="D1968" t="s">
        <v>77</v>
      </c>
      <c r="E1968" t="s">
        <v>14</v>
      </c>
      <c r="F1968" t="s">
        <v>71</v>
      </c>
      <c r="G1968" s="2"/>
      <c r="H1968" t="s">
        <v>61</v>
      </c>
      <c r="K1968">
        <v>130.09451278639801</v>
      </c>
      <c r="L1968">
        <v>8655</v>
      </c>
    </row>
    <row r="1969" spans="1:12" hidden="1" x14ac:dyDescent="0.25">
      <c r="A1969">
        <v>2022</v>
      </c>
      <c r="B1969" t="s">
        <v>66</v>
      </c>
      <c r="C1969">
        <v>114415</v>
      </c>
      <c r="D1969" t="s">
        <v>77</v>
      </c>
      <c r="E1969" t="s">
        <v>14</v>
      </c>
      <c r="F1969" t="s">
        <v>71</v>
      </c>
      <c r="G1969" s="3"/>
      <c r="H1969" t="s">
        <v>29</v>
      </c>
      <c r="K1969">
        <v>135.89610378926099</v>
      </c>
      <c r="L1969">
        <v>114415</v>
      </c>
    </row>
    <row r="1970" spans="1:12" hidden="1" x14ac:dyDescent="0.25">
      <c r="A1970">
        <v>2023</v>
      </c>
      <c r="B1970" t="s">
        <v>66</v>
      </c>
      <c r="C1970">
        <v>157052</v>
      </c>
      <c r="D1970" t="s">
        <v>77</v>
      </c>
      <c r="E1970" t="s">
        <v>14</v>
      </c>
      <c r="F1970" t="s">
        <v>71</v>
      </c>
      <c r="G1970" s="2"/>
      <c r="H1970" t="s">
        <v>21</v>
      </c>
      <c r="K1970">
        <v>131.88825158196701</v>
      </c>
      <c r="L1970">
        <v>157052</v>
      </c>
    </row>
    <row r="1971" spans="1:12" hidden="1" x14ac:dyDescent="0.25">
      <c r="A1971">
        <v>2023</v>
      </c>
      <c r="B1971" t="s">
        <v>66</v>
      </c>
      <c r="C1971">
        <v>885261</v>
      </c>
      <c r="D1971" t="s">
        <v>77</v>
      </c>
      <c r="E1971" t="s">
        <v>14</v>
      </c>
      <c r="F1971" t="s">
        <v>71</v>
      </c>
      <c r="G1971" s="2"/>
      <c r="H1971" t="s">
        <v>19</v>
      </c>
      <c r="K1971">
        <v>137.78728757684999</v>
      </c>
      <c r="L1971">
        <v>885261</v>
      </c>
    </row>
    <row r="1972" spans="1:12" hidden="1" x14ac:dyDescent="0.25">
      <c r="A1972">
        <v>2023</v>
      </c>
      <c r="B1972" t="s">
        <v>66</v>
      </c>
      <c r="C1972">
        <v>2152</v>
      </c>
      <c r="D1972" t="s">
        <v>77</v>
      </c>
      <c r="E1972" t="s">
        <v>14</v>
      </c>
      <c r="F1972" t="s">
        <v>71</v>
      </c>
      <c r="G1972" s="2"/>
      <c r="H1972" t="s">
        <v>68</v>
      </c>
      <c r="K1972">
        <v>131.88825158196701</v>
      </c>
      <c r="L1972">
        <v>2152</v>
      </c>
    </row>
    <row r="1973" spans="1:12" hidden="1" x14ac:dyDescent="0.25">
      <c r="A1973">
        <v>2023</v>
      </c>
      <c r="B1973" t="s">
        <v>66</v>
      </c>
      <c r="C1973">
        <v>25211</v>
      </c>
      <c r="D1973" t="s">
        <v>77</v>
      </c>
      <c r="E1973" t="s">
        <v>14</v>
      </c>
      <c r="F1973" t="s">
        <v>71</v>
      </c>
      <c r="G1973" s="2"/>
      <c r="H1973" t="s">
        <v>35</v>
      </c>
      <c r="K1973">
        <v>75.235547730506298</v>
      </c>
      <c r="L1973">
        <v>25211</v>
      </c>
    </row>
    <row r="1974" spans="1:12" hidden="1" x14ac:dyDescent="0.25">
      <c r="A1974">
        <v>2023</v>
      </c>
      <c r="B1974" t="s">
        <v>66</v>
      </c>
      <c r="C1974">
        <v>479349</v>
      </c>
      <c r="D1974" t="s">
        <v>77</v>
      </c>
      <c r="E1974" t="s">
        <v>14</v>
      </c>
      <c r="F1974" t="s">
        <v>71</v>
      </c>
      <c r="G1974" s="3"/>
      <c r="H1974" t="s">
        <v>51</v>
      </c>
      <c r="K1974">
        <v>122.488835983729</v>
      </c>
      <c r="L1974">
        <v>479349</v>
      </c>
    </row>
    <row r="1975" spans="1:12" hidden="1" x14ac:dyDescent="0.25">
      <c r="A1975">
        <v>2023</v>
      </c>
      <c r="B1975" t="s">
        <v>66</v>
      </c>
      <c r="C1975">
        <v>454801</v>
      </c>
      <c r="D1975" t="s">
        <v>77</v>
      </c>
      <c r="E1975" t="s">
        <v>14</v>
      </c>
      <c r="F1975" t="s">
        <v>71</v>
      </c>
      <c r="G1975" s="2"/>
      <c r="H1975" t="s">
        <v>53</v>
      </c>
      <c r="K1975">
        <v>130.65664198069601</v>
      </c>
      <c r="L1975">
        <v>454801</v>
      </c>
    </row>
    <row r="1976" spans="1:12" hidden="1" x14ac:dyDescent="0.25">
      <c r="A1976">
        <v>2023</v>
      </c>
      <c r="B1976" t="s">
        <v>66</v>
      </c>
      <c r="C1976">
        <v>118483</v>
      </c>
      <c r="D1976" t="s">
        <v>77</v>
      </c>
      <c r="E1976" t="s">
        <v>14</v>
      </c>
      <c r="F1976" t="s">
        <v>71</v>
      </c>
      <c r="G1976" s="2"/>
      <c r="H1976" t="s">
        <v>45</v>
      </c>
      <c r="K1976">
        <v>126.475336095899</v>
      </c>
      <c r="L1976">
        <v>118483</v>
      </c>
    </row>
    <row r="1977" spans="1:12" hidden="1" x14ac:dyDescent="0.25">
      <c r="A1977">
        <v>2023</v>
      </c>
      <c r="B1977" t="s">
        <v>66</v>
      </c>
      <c r="C1977">
        <v>96787</v>
      </c>
      <c r="D1977" t="s">
        <v>77</v>
      </c>
      <c r="E1977" t="s">
        <v>14</v>
      </c>
      <c r="F1977" t="s">
        <v>71</v>
      </c>
      <c r="G1977" s="2"/>
      <c r="H1977" t="s">
        <v>59</v>
      </c>
      <c r="K1977">
        <v>137.57038856002899</v>
      </c>
      <c r="L1977">
        <v>96787</v>
      </c>
    </row>
    <row r="1978" spans="1:12" hidden="1" x14ac:dyDescent="0.25">
      <c r="A1978">
        <v>2023</v>
      </c>
      <c r="B1978" t="s">
        <v>66</v>
      </c>
      <c r="C1978">
        <v>25465</v>
      </c>
      <c r="D1978" t="s">
        <v>77</v>
      </c>
      <c r="E1978" t="s">
        <v>14</v>
      </c>
      <c r="F1978" t="s">
        <v>71</v>
      </c>
      <c r="G1978" s="2"/>
      <c r="H1978" t="s">
        <v>57</v>
      </c>
      <c r="K1978">
        <v>117.406234416616</v>
      </c>
      <c r="L1978">
        <v>25465</v>
      </c>
    </row>
    <row r="1979" spans="1:12" hidden="1" x14ac:dyDescent="0.25">
      <c r="A1979">
        <v>2023</v>
      </c>
      <c r="B1979" t="s">
        <v>66</v>
      </c>
      <c r="C1979">
        <v>208348</v>
      </c>
      <c r="D1979" t="s">
        <v>77</v>
      </c>
      <c r="E1979" t="s">
        <v>14</v>
      </c>
      <c r="F1979" t="s">
        <v>71</v>
      </c>
      <c r="G1979" s="3"/>
      <c r="H1979" t="s">
        <v>43</v>
      </c>
      <c r="K1979">
        <v>136.67401133375901</v>
      </c>
      <c r="L1979">
        <v>208348</v>
      </c>
    </row>
    <row r="1980" spans="1:12" hidden="1" x14ac:dyDescent="0.25">
      <c r="A1980">
        <v>2023</v>
      </c>
      <c r="B1980" t="s">
        <v>66</v>
      </c>
      <c r="C1980">
        <v>106948</v>
      </c>
      <c r="D1980" t="s">
        <v>77</v>
      </c>
      <c r="E1980" t="s">
        <v>14</v>
      </c>
      <c r="F1980" t="s">
        <v>71</v>
      </c>
      <c r="G1980" s="2"/>
      <c r="H1980" t="s">
        <v>31</v>
      </c>
      <c r="K1980">
        <v>126.43481259036101</v>
      </c>
      <c r="L1980">
        <v>106948</v>
      </c>
    </row>
    <row r="1981" spans="1:12" hidden="1" x14ac:dyDescent="0.25">
      <c r="A1981">
        <v>2023</v>
      </c>
      <c r="B1981" t="s">
        <v>66</v>
      </c>
      <c r="C1981">
        <v>255179</v>
      </c>
      <c r="D1981" t="s">
        <v>77</v>
      </c>
      <c r="E1981" t="s">
        <v>14</v>
      </c>
      <c r="F1981" t="s">
        <v>71</v>
      </c>
      <c r="G1981" s="2"/>
      <c r="H1981" t="s">
        <v>25</v>
      </c>
      <c r="K1981">
        <v>126.827473515305</v>
      </c>
      <c r="L1981">
        <v>255179</v>
      </c>
    </row>
    <row r="1982" spans="1:12" hidden="1" x14ac:dyDescent="0.25">
      <c r="A1982">
        <v>2023</v>
      </c>
      <c r="B1982" t="s">
        <v>66</v>
      </c>
      <c r="C1982">
        <v>282546</v>
      </c>
      <c r="D1982" t="s">
        <v>77</v>
      </c>
      <c r="E1982" t="s">
        <v>14</v>
      </c>
      <c r="F1982" t="s">
        <v>71</v>
      </c>
      <c r="G1982" s="2"/>
      <c r="H1982" t="s">
        <v>41</v>
      </c>
      <c r="K1982">
        <v>122.42725052420499</v>
      </c>
      <c r="L1982">
        <v>282546</v>
      </c>
    </row>
    <row r="1983" spans="1:12" hidden="1" x14ac:dyDescent="0.25">
      <c r="A1983">
        <v>2023</v>
      </c>
      <c r="B1983" t="s">
        <v>66</v>
      </c>
      <c r="C1983">
        <v>134530</v>
      </c>
      <c r="D1983" t="s">
        <v>77</v>
      </c>
      <c r="E1983" t="s">
        <v>14</v>
      </c>
      <c r="F1983" t="s">
        <v>71</v>
      </c>
      <c r="G1983" s="2"/>
      <c r="H1983" t="s">
        <v>27</v>
      </c>
      <c r="K1983">
        <v>121.146784451534</v>
      </c>
      <c r="L1983">
        <v>134530</v>
      </c>
    </row>
    <row r="1984" spans="1:12" hidden="1" x14ac:dyDescent="0.25">
      <c r="A1984">
        <v>2023</v>
      </c>
      <c r="B1984" t="s">
        <v>66</v>
      </c>
      <c r="C1984">
        <v>348746</v>
      </c>
      <c r="D1984" t="s">
        <v>77</v>
      </c>
      <c r="E1984" t="s">
        <v>14</v>
      </c>
      <c r="F1984" t="s">
        <v>71</v>
      </c>
      <c r="G1984" s="3"/>
      <c r="H1984" t="s">
        <v>49</v>
      </c>
      <c r="K1984">
        <v>115.498414548615</v>
      </c>
      <c r="L1984">
        <v>348746</v>
      </c>
    </row>
    <row r="1985" spans="1:12" hidden="1" x14ac:dyDescent="0.25">
      <c r="A1985">
        <v>2023</v>
      </c>
      <c r="B1985" t="s">
        <v>66</v>
      </c>
      <c r="C1985">
        <v>408499</v>
      </c>
      <c r="D1985" t="s">
        <v>77</v>
      </c>
      <c r="E1985" t="s">
        <v>14</v>
      </c>
      <c r="F1985" t="s">
        <v>71</v>
      </c>
      <c r="G1985" s="2"/>
      <c r="H1985" t="s">
        <v>47</v>
      </c>
      <c r="K1985">
        <v>134.05703540769301</v>
      </c>
      <c r="L1985">
        <v>408499</v>
      </c>
    </row>
    <row r="1986" spans="1:12" hidden="1" x14ac:dyDescent="0.25">
      <c r="A1986">
        <v>2023</v>
      </c>
      <c r="B1986" t="s">
        <v>66</v>
      </c>
      <c r="C1986">
        <v>81139</v>
      </c>
      <c r="D1986" t="s">
        <v>77</v>
      </c>
      <c r="E1986" t="s">
        <v>14</v>
      </c>
      <c r="F1986" t="s">
        <v>71</v>
      </c>
      <c r="G1986" s="2"/>
      <c r="H1986" t="s">
        <v>39</v>
      </c>
      <c r="K1986">
        <v>131.56240089822001</v>
      </c>
      <c r="L1986">
        <v>81139</v>
      </c>
    </row>
    <row r="1987" spans="1:12" hidden="1" x14ac:dyDescent="0.25">
      <c r="A1987">
        <v>2023</v>
      </c>
      <c r="B1987" t="s">
        <v>66</v>
      </c>
      <c r="C1987">
        <v>392703</v>
      </c>
      <c r="D1987" t="s">
        <v>77</v>
      </c>
      <c r="E1987" t="s">
        <v>14</v>
      </c>
      <c r="F1987" t="s">
        <v>71</v>
      </c>
      <c r="G1987" s="2"/>
      <c r="H1987" t="s">
        <v>23</v>
      </c>
      <c r="K1987">
        <v>122.71316266715</v>
      </c>
      <c r="L1987">
        <v>392703</v>
      </c>
    </row>
    <row r="1988" spans="1:12" hidden="1" x14ac:dyDescent="0.25">
      <c r="A1988">
        <v>2023</v>
      </c>
      <c r="B1988" t="s">
        <v>66</v>
      </c>
      <c r="C1988">
        <v>178701</v>
      </c>
      <c r="D1988" t="s">
        <v>77</v>
      </c>
      <c r="E1988" t="s">
        <v>14</v>
      </c>
      <c r="F1988" t="s">
        <v>71</v>
      </c>
      <c r="G1988" s="3"/>
      <c r="H1988" t="s">
        <v>37</v>
      </c>
      <c r="K1988">
        <v>131.56240089822001</v>
      </c>
      <c r="L1988">
        <v>178701</v>
      </c>
    </row>
    <row r="1989" spans="1:12" hidden="1" x14ac:dyDescent="0.25">
      <c r="A1989">
        <v>2023</v>
      </c>
      <c r="B1989" t="s">
        <v>66</v>
      </c>
      <c r="C1989">
        <v>125355</v>
      </c>
      <c r="D1989" t="s">
        <v>77</v>
      </c>
      <c r="E1989" t="s">
        <v>14</v>
      </c>
      <c r="F1989" t="s">
        <v>71</v>
      </c>
      <c r="G1989" s="2"/>
      <c r="H1989" t="s">
        <v>55</v>
      </c>
      <c r="K1989">
        <v>117.406234416616</v>
      </c>
      <c r="L1989">
        <v>125355</v>
      </c>
    </row>
    <row r="1990" spans="1:12" hidden="1" x14ac:dyDescent="0.25">
      <c r="A1990">
        <v>2023</v>
      </c>
      <c r="B1990" t="s">
        <v>66</v>
      </c>
      <c r="C1990">
        <v>11410</v>
      </c>
      <c r="D1990" t="s">
        <v>77</v>
      </c>
      <c r="E1990" t="s">
        <v>14</v>
      </c>
      <c r="F1990" t="s">
        <v>71</v>
      </c>
      <c r="G1990" s="2"/>
      <c r="H1990" t="s">
        <v>33</v>
      </c>
      <c r="K1990">
        <v>133.89448111026101</v>
      </c>
      <c r="L1990">
        <v>11410</v>
      </c>
    </row>
    <row r="1991" spans="1:12" hidden="1" x14ac:dyDescent="0.25">
      <c r="A1991">
        <v>2023</v>
      </c>
      <c r="B1991" t="s">
        <v>66</v>
      </c>
      <c r="C1991">
        <v>8732</v>
      </c>
      <c r="D1991" t="s">
        <v>77</v>
      </c>
      <c r="E1991" t="s">
        <v>14</v>
      </c>
      <c r="F1991" t="s">
        <v>71</v>
      </c>
      <c r="G1991" s="2"/>
      <c r="H1991" t="s">
        <v>61</v>
      </c>
      <c r="K1991">
        <v>141.34852687948501</v>
      </c>
      <c r="L1991">
        <v>8732</v>
      </c>
    </row>
    <row r="1992" spans="1:12" hidden="1" x14ac:dyDescent="0.25">
      <c r="A1992">
        <v>2023</v>
      </c>
      <c r="B1992" t="s">
        <v>66</v>
      </c>
      <c r="C1992">
        <v>109120</v>
      </c>
      <c r="D1992" t="s">
        <v>77</v>
      </c>
      <c r="E1992" t="s">
        <v>14</v>
      </c>
      <c r="F1992" t="s">
        <v>71</v>
      </c>
      <c r="G1992" s="3"/>
      <c r="H1992" t="s">
        <v>29</v>
      </c>
      <c r="K1992">
        <v>138.02464258179401</v>
      </c>
      <c r="L1992">
        <v>109120</v>
      </c>
    </row>
    <row r="1993" spans="1:12" hidden="1" x14ac:dyDescent="0.25">
      <c r="A1993">
        <v>2021</v>
      </c>
      <c r="B1993" t="s">
        <v>12</v>
      </c>
      <c r="C1993">
        <v>364176849.09138799</v>
      </c>
      <c r="D1993" t="s">
        <v>77</v>
      </c>
      <c r="E1993" t="s">
        <v>14</v>
      </c>
      <c r="F1993" t="s">
        <v>72</v>
      </c>
      <c r="G1993" s="2"/>
      <c r="H1993" t="s">
        <v>21</v>
      </c>
      <c r="K1993">
        <v>112.85003295356999</v>
      </c>
      <c r="L1993">
        <v>322.70867766713161</v>
      </c>
    </row>
    <row r="1994" spans="1:12" hidden="1" x14ac:dyDescent="0.25">
      <c r="A1994">
        <v>2021</v>
      </c>
      <c r="B1994" t="s">
        <v>12</v>
      </c>
      <c r="C1994">
        <v>10798142470.63472</v>
      </c>
      <c r="D1994" t="s">
        <v>77</v>
      </c>
      <c r="E1994" t="s">
        <v>14</v>
      </c>
      <c r="F1994" t="s">
        <v>72</v>
      </c>
      <c r="G1994" s="2"/>
      <c r="H1994" t="s">
        <v>19</v>
      </c>
      <c r="K1994">
        <v>108.85802305479</v>
      </c>
      <c r="L1994">
        <v>1742.1868731213829</v>
      </c>
    </row>
    <row r="1995" spans="1:12" hidden="1" x14ac:dyDescent="0.25">
      <c r="A1995">
        <v>2021</v>
      </c>
      <c r="B1995" t="s">
        <v>12</v>
      </c>
      <c r="C1995">
        <v>141290608.1116671</v>
      </c>
      <c r="D1995" t="s">
        <v>77</v>
      </c>
      <c r="E1995" t="s">
        <v>14</v>
      </c>
      <c r="F1995" t="s">
        <v>72</v>
      </c>
      <c r="G1995" s="2"/>
      <c r="H1995" t="s">
        <v>51</v>
      </c>
      <c r="K1995">
        <v>106.47234528849</v>
      </c>
      <c r="L1995">
        <v>132.7016961341802</v>
      </c>
    </row>
    <row r="1996" spans="1:12" hidden="1" x14ac:dyDescent="0.25">
      <c r="A1996">
        <v>2021</v>
      </c>
      <c r="B1996" t="s">
        <v>12</v>
      </c>
      <c r="C1996">
        <v>2272033342.638926</v>
      </c>
      <c r="D1996" t="s">
        <v>77</v>
      </c>
      <c r="E1996" t="s">
        <v>14</v>
      </c>
      <c r="F1996" t="s">
        <v>72</v>
      </c>
      <c r="G1996" s="3"/>
      <c r="H1996" t="s">
        <v>53</v>
      </c>
      <c r="K1996">
        <v>106.47234528849</v>
      </c>
      <c r="L1996">
        <v>2133.9187527829731</v>
      </c>
    </row>
    <row r="1997" spans="1:12" hidden="1" x14ac:dyDescent="0.25">
      <c r="A1997">
        <v>2021</v>
      </c>
      <c r="B1997" t="s">
        <v>12</v>
      </c>
      <c r="C1997">
        <v>173748658.41453779</v>
      </c>
      <c r="D1997" t="s">
        <v>77</v>
      </c>
      <c r="E1997" t="s">
        <v>14</v>
      </c>
      <c r="F1997" t="s">
        <v>72</v>
      </c>
      <c r="G1997" s="2"/>
      <c r="H1997" t="s">
        <v>45</v>
      </c>
      <c r="K1997">
        <v>124.66113428208</v>
      </c>
      <c r="L1997">
        <v>139.37676679676591</v>
      </c>
    </row>
    <row r="1998" spans="1:12" hidden="1" x14ac:dyDescent="0.25">
      <c r="A1998">
        <v>2021</v>
      </c>
      <c r="B1998" t="s">
        <v>12</v>
      </c>
      <c r="C1998">
        <v>130590013.16829079</v>
      </c>
      <c r="D1998" t="s">
        <v>77</v>
      </c>
      <c r="E1998" t="s">
        <v>14</v>
      </c>
      <c r="F1998" t="s">
        <v>72</v>
      </c>
      <c r="G1998" s="2"/>
      <c r="H1998" t="s">
        <v>59</v>
      </c>
      <c r="K1998">
        <v>143.65737313291001</v>
      </c>
      <c r="L1998">
        <v>90.903801399368831</v>
      </c>
    </row>
    <row r="1999" spans="1:12" hidden="1" x14ac:dyDescent="0.25">
      <c r="A1999">
        <v>2021</v>
      </c>
      <c r="B1999" t="s">
        <v>12</v>
      </c>
      <c r="C1999">
        <v>10049811.69344219</v>
      </c>
      <c r="D1999" t="s">
        <v>77</v>
      </c>
      <c r="E1999" t="s">
        <v>14</v>
      </c>
      <c r="F1999" t="s">
        <v>72</v>
      </c>
      <c r="G1999" s="2"/>
      <c r="H1999" t="s">
        <v>57</v>
      </c>
      <c r="K1999">
        <v>106.47234528849</v>
      </c>
      <c r="L1999">
        <v>9.4388938894995942</v>
      </c>
    </row>
    <row r="2000" spans="1:12" hidden="1" x14ac:dyDescent="0.25">
      <c r="A2000">
        <v>2021</v>
      </c>
      <c r="B2000" t="s">
        <v>12</v>
      </c>
      <c r="C2000">
        <v>351189482.48617339</v>
      </c>
      <c r="D2000" t="s">
        <v>77</v>
      </c>
      <c r="E2000" t="s">
        <v>14</v>
      </c>
      <c r="F2000" t="s">
        <v>72</v>
      </c>
      <c r="G2000" s="3"/>
      <c r="H2000" t="s">
        <v>43</v>
      </c>
      <c r="K2000">
        <v>124.66113428208</v>
      </c>
      <c r="L2000">
        <v>281.7152952350898</v>
      </c>
    </row>
    <row r="2001" spans="1:12" hidden="1" x14ac:dyDescent="0.25">
      <c r="A2001">
        <v>2021</v>
      </c>
      <c r="B2001" t="s">
        <v>12</v>
      </c>
      <c r="C2001">
        <v>415553644.19278359</v>
      </c>
      <c r="D2001" t="s">
        <v>77</v>
      </c>
      <c r="E2001" t="s">
        <v>14</v>
      </c>
      <c r="F2001" t="s">
        <v>72</v>
      </c>
      <c r="G2001" s="2"/>
      <c r="H2001" t="s">
        <v>31</v>
      </c>
      <c r="K2001">
        <v>94.206586225303994</v>
      </c>
      <c r="L2001">
        <v>441.10890845672691</v>
      </c>
    </row>
    <row r="2002" spans="1:12" hidden="1" x14ac:dyDescent="0.25">
      <c r="A2002">
        <v>2021</v>
      </c>
      <c r="B2002" t="s">
        <v>12</v>
      </c>
      <c r="C2002">
        <v>31451189.09665525</v>
      </c>
      <c r="D2002" t="s">
        <v>77</v>
      </c>
      <c r="E2002" t="s">
        <v>14</v>
      </c>
      <c r="F2002" t="s">
        <v>72</v>
      </c>
      <c r="G2002" s="2"/>
      <c r="H2002" t="s">
        <v>25</v>
      </c>
      <c r="K2002">
        <v>69.374466842382006</v>
      </c>
      <c r="L2002">
        <v>45.335395756066838</v>
      </c>
    </row>
    <row r="2003" spans="1:12" hidden="1" x14ac:dyDescent="0.25">
      <c r="A2003">
        <v>2021</v>
      </c>
      <c r="B2003" t="s">
        <v>12</v>
      </c>
      <c r="C2003">
        <v>555750259.15196192</v>
      </c>
      <c r="D2003" t="s">
        <v>77</v>
      </c>
      <c r="E2003" t="s">
        <v>14</v>
      </c>
      <c r="F2003" t="s">
        <v>72</v>
      </c>
      <c r="G2003" s="2"/>
      <c r="H2003" t="s">
        <v>41</v>
      </c>
      <c r="K2003">
        <v>115.300264502</v>
      </c>
      <c r="L2003">
        <v>482.00258824412492</v>
      </c>
    </row>
    <row r="2004" spans="1:12" hidden="1" x14ac:dyDescent="0.25">
      <c r="A2004">
        <v>2021</v>
      </c>
      <c r="B2004" t="s">
        <v>12</v>
      </c>
      <c r="C2004">
        <v>14658754.279694499</v>
      </c>
      <c r="D2004" t="s">
        <v>77</v>
      </c>
      <c r="E2004" t="s">
        <v>14</v>
      </c>
      <c r="F2004" t="s">
        <v>72</v>
      </c>
      <c r="G2004" s="3"/>
      <c r="H2004" t="s">
        <v>27</v>
      </c>
      <c r="K2004">
        <v>69.374466842382006</v>
      </c>
      <c r="L2004">
        <v>21.129898285199101</v>
      </c>
    </row>
    <row r="2005" spans="1:12" hidden="1" x14ac:dyDescent="0.25">
      <c r="A2005">
        <v>2021</v>
      </c>
      <c r="B2005" t="s">
        <v>12</v>
      </c>
      <c r="C2005">
        <v>4748497.4980247561</v>
      </c>
      <c r="D2005" t="s">
        <v>77</v>
      </c>
      <c r="E2005" t="s">
        <v>14</v>
      </c>
      <c r="F2005" t="s">
        <v>72</v>
      </c>
      <c r="G2005" s="2"/>
      <c r="H2005" t="s">
        <v>49</v>
      </c>
      <c r="K2005">
        <v>106.47234528849</v>
      </c>
      <c r="L2005">
        <v>4.4598411776866183</v>
      </c>
    </row>
    <row r="2006" spans="1:12" hidden="1" x14ac:dyDescent="0.25">
      <c r="A2006">
        <v>2021</v>
      </c>
      <c r="B2006" t="s">
        <v>12</v>
      </c>
      <c r="C2006">
        <v>491156298.39346838</v>
      </c>
      <c r="D2006" t="s">
        <v>77</v>
      </c>
      <c r="E2006" t="s">
        <v>14</v>
      </c>
      <c r="F2006" t="s">
        <v>72</v>
      </c>
      <c r="G2006" s="2"/>
      <c r="H2006" t="s">
        <v>47</v>
      </c>
      <c r="K2006">
        <v>106.47234528849</v>
      </c>
      <c r="L2006">
        <v>461.29940790039501</v>
      </c>
    </row>
    <row r="2007" spans="1:12" hidden="1" x14ac:dyDescent="0.25">
      <c r="A2007">
        <v>2021</v>
      </c>
      <c r="B2007" t="s">
        <v>12</v>
      </c>
      <c r="C2007">
        <v>258013609.42849621</v>
      </c>
      <c r="D2007" t="s">
        <v>77</v>
      </c>
      <c r="E2007" t="s">
        <v>14</v>
      </c>
      <c r="F2007" t="s">
        <v>72</v>
      </c>
      <c r="G2007" s="2"/>
      <c r="H2007" t="s">
        <v>39</v>
      </c>
      <c r="K2007">
        <v>115.300264502</v>
      </c>
      <c r="L2007">
        <v>223.77538381451041</v>
      </c>
    </row>
    <row r="2008" spans="1:12" hidden="1" x14ac:dyDescent="0.25">
      <c r="A2008">
        <v>2021</v>
      </c>
      <c r="B2008" t="s">
        <v>12</v>
      </c>
      <c r="C2008">
        <v>52164762.97076641</v>
      </c>
      <c r="D2008" t="s">
        <v>77</v>
      </c>
      <c r="E2008" t="s">
        <v>14</v>
      </c>
      <c r="F2008" t="s">
        <v>72</v>
      </c>
      <c r="G2008" s="3"/>
      <c r="H2008" t="s">
        <v>23</v>
      </c>
      <c r="K2008">
        <v>69.374466842382006</v>
      </c>
      <c r="L2008">
        <v>75.193028999104456</v>
      </c>
    </row>
    <row r="2009" spans="1:12" hidden="1" x14ac:dyDescent="0.25">
      <c r="A2009">
        <v>2021</v>
      </c>
      <c r="B2009" t="s">
        <v>12</v>
      </c>
      <c r="C2009">
        <v>739581930.47142518</v>
      </c>
      <c r="D2009" t="s">
        <v>77</v>
      </c>
      <c r="E2009" t="s">
        <v>14</v>
      </c>
      <c r="F2009" t="s">
        <v>72</v>
      </c>
      <c r="G2009" s="2"/>
      <c r="H2009" t="s">
        <v>37</v>
      </c>
      <c r="K2009">
        <v>115.300264502</v>
      </c>
      <c r="L2009">
        <v>641.43992528186811</v>
      </c>
    </row>
    <row r="2010" spans="1:12" hidden="1" x14ac:dyDescent="0.25">
      <c r="A2010">
        <v>2021</v>
      </c>
      <c r="B2010" t="s">
        <v>12</v>
      </c>
      <c r="C2010">
        <v>13159500.92178035</v>
      </c>
      <c r="D2010" t="s">
        <v>77</v>
      </c>
      <c r="E2010" t="s">
        <v>14</v>
      </c>
      <c r="F2010" t="s">
        <v>72</v>
      </c>
      <c r="G2010" s="2"/>
      <c r="H2010" t="s">
        <v>55</v>
      </c>
      <c r="K2010">
        <v>106.47234528849</v>
      </c>
      <c r="L2010">
        <v>12.35954828094027</v>
      </c>
    </row>
    <row r="2011" spans="1:12" hidden="1" x14ac:dyDescent="0.25">
      <c r="A2011">
        <v>2021</v>
      </c>
      <c r="B2011" t="s">
        <v>12</v>
      </c>
      <c r="C2011">
        <v>100549311.2983935</v>
      </c>
      <c r="D2011" t="s">
        <v>77</v>
      </c>
      <c r="E2011" t="s">
        <v>14</v>
      </c>
      <c r="F2011" t="s">
        <v>72</v>
      </c>
      <c r="G2011" s="2"/>
      <c r="H2011" t="s">
        <v>33</v>
      </c>
      <c r="K2011">
        <v>94.206586225303994</v>
      </c>
      <c r="L2011">
        <v>106.7327830539578</v>
      </c>
    </row>
    <row r="2012" spans="1:12" hidden="1" x14ac:dyDescent="0.25">
      <c r="A2012">
        <v>2021</v>
      </c>
      <c r="B2012" t="s">
        <v>12</v>
      </c>
      <c r="C2012">
        <v>22742153.278904401</v>
      </c>
      <c r="D2012" t="s">
        <v>77</v>
      </c>
      <c r="E2012" t="s">
        <v>14</v>
      </c>
      <c r="F2012" t="s">
        <v>72</v>
      </c>
      <c r="G2012" s="3"/>
      <c r="H2012" t="s">
        <v>61</v>
      </c>
      <c r="K2012">
        <v>110.55212475787999</v>
      </c>
      <c r="L2012">
        <v>20.57143029020197</v>
      </c>
    </row>
    <row r="2013" spans="1:12" hidden="1" x14ac:dyDescent="0.25">
      <c r="A2013">
        <v>2021</v>
      </c>
      <c r="B2013" t="s">
        <v>12</v>
      </c>
      <c r="C2013">
        <v>4192626350.0131698</v>
      </c>
      <c r="D2013" t="s">
        <v>77</v>
      </c>
      <c r="E2013" t="s">
        <v>14</v>
      </c>
      <c r="F2013" t="s">
        <v>72</v>
      </c>
      <c r="G2013" s="2"/>
      <c r="H2013" t="s">
        <v>29</v>
      </c>
      <c r="K2013">
        <v>143.65737313291001</v>
      </c>
      <c r="L2013">
        <v>2918.4901955113751</v>
      </c>
    </row>
    <row r="2014" spans="1:12" hidden="1" x14ac:dyDescent="0.25">
      <c r="A2014">
        <v>2021</v>
      </c>
      <c r="B2014" t="s">
        <v>12</v>
      </c>
      <c r="C2014">
        <v>418917190.41348422</v>
      </c>
      <c r="D2014" t="s">
        <v>77</v>
      </c>
      <c r="E2014" t="s">
        <v>14</v>
      </c>
      <c r="F2014" t="s">
        <v>72</v>
      </c>
      <c r="G2014" s="2"/>
      <c r="H2014" t="s">
        <v>63</v>
      </c>
      <c r="K2014">
        <v>106.47234528849</v>
      </c>
      <c r="L2014">
        <v>393.45164162432559</v>
      </c>
    </row>
    <row r="2015" spans="1:12" hidden="1" x14ac:dyDescent="0.25">
      <c r="A2015">
        <v>2021</v>
      </c>
      <c r="B2015" t="s">
        <v>66</v>
      </c>
      <c r="C2015">
        <v>1027705369.458128</v>
      </c>
      <c r="D2015" t="s">
        <v>77</v>
      </c>
      <c r="E2015" t="s">
        <v>14</v>
      </c>
      <c r="F2015" t="s">
        <v>72</v>
      </c>
      <c r="G2015" s="2"/>
      <c r="H2015" t="s">
        <v>21</v>
      </c>
      <c r="K2015">
        <v>114.588591483131</v>
      </c>
      <c r="L2015">
        <v>896.86534772479536</v>
      </c>
    </row>
    <row r="2016" spans="1:12" hidden="1" x14ac:dyDescent="0.25">
      <c r="A2016">
        <v>2021</v>
      </c>
      <c r="B2016" t="s">
        <v>66</v>
      </c>
      <c r="C2016">
        <v>4701960000</v>
      </c>
      <c r="D2016" t="s">
        <v>77</v>
      </c>
      <c r="E2016" t="s">
        <v>14</v>
      </c>
      <c r="F2016" t="s">
        <v>72</v>
      </c>
      <c r="G2016" s="3"/>
      <c r="H2016" t="s">
        <v>19</v>
      </c>
      <c r="K2016">
        <v>116.18765921948599</v>
      </c>
      <c r="L2016">
        <v>4046.8669664113759</v>
      </c>
    </row>
    <row r="2017" spans="1:12" hidden="1" x14ac:dyDescent="0.25">
      <c r="A2017">
        <v>2021</v>
      </c>
      <c r="B2017" t="s">
        <v>66</v>
      </c>
      <c r="C2017">
        <v>34107783.251231529</v>
      </c>
      <c r="D2017" t="s">
        <v>77</v>
      </c>
      <c r="E2017" t="s">
        <v>14</v>
      </c>
      <c r="F2017" t="s">
        <v>72</v>
      </c>
      <c r="G2017" s="2"/>
      <c r="H2017" t="s">
        <v>68</v>
      </c>
      <c r="K2017">
        <v>114.588591483131</v>
      </c>
      <c r="L2017">
        <v>29.76542674080487</v>
      </c>
    </row>
    <row r="2018" spans="1:12" hidden="1" x14ac:dyDescent="0.25">
      <c r="A2018">
        <v>2021</v>
      </c>
      <c r="B2018" t="s">
        <v>66</v>
      </c>
      <c r="C2018">
        <v>596429507.38916254</v>
      </c>
      <c r="D2018" t="s">
        <v>77</v>
      </c>
      <c r="E2018" t="s">
        <v>14</v>
      </c>
      <c r="F2018" t="s">
        <v>72</v>
      </c>
      <c r="G2018" s="2"/>
      <c r="H2018" t="s">
        <v>35</v>
      </c>
      <c r="K2018">
        <v>101.249897488305</v>
      </c>
      <c r="L2018">
        <v>589.06677654469115</v>
      </c>
    </row>
    <row r="2019" spans="1:12" hidden="1" x14ac:dyDescent="0.25">
      <c r="A2019">
        <v>2021</v>
      </c>
      <c r="B2019" t="s">
        <v>66</v>
      </c>
      <c r="C2019">
        <v>4937659901.4778309</v>
      </c>
      <c r="D2019" t="s">
        <v>77</v>
      </c>
      <c r="E2019" t="s">
        <v>14</v>
      </c>
      <c r="F2019" t="s">
        <v>72</v>
      </c>
      <c r="G2019" s="2"/>
      <c r="H2019" t="s">
        <v>51</v>
      </c>
      <c r="K2019">
        <v>110.091234626415</v>
      </c>
      <c r="L2019">
        <v>4485.0617928242418</v>
      </c>
    </row>
    <row r="2020" spans="1:12" hidden="1" x14ac:dyDescent="0.25">
      <c r="A2020">
        <v>2021</v>
      </c>
      <c r="B2020" t="s">
        <v>66</v>
      </c>
      <c r="C2020">
        <v>5071438817.7339897</v>
      </c>
      <c r="D2020" t="s">
        <v>77</v>
      </c>
      <c r="E2020" t="s">
        <v>14</v>
      </c>
      <c r="F2020" t="s">
        <v>72</v>
      </c>
      <c r="G2020" s="3"/>
      <c r="H2020" t="s">
        <v>53</v>
      </c>
      <c r="K2020">
        <v>111.424704413977</v>
      </c>
      <c r="L2020">
        <v>4551.4492000732944</v>
      </c>
    </row>
    <row r="2021" spans="1:12" hidden="1" x14ac:dyDescent="0.25">
      <c r="A2021">
        <v>2021</v>
      </c>
      <c r="B2021" t="s">
        <v>66</v>
      </c>
      <c r="C2021">
        <v>1985086551.724138</v>
      </c>
      <c r="D2021" t="s">
        <v>77</v>
      </c>
      <c r="E2021" t="s">
        <v>14</v>
      </c>
      <c r="F2021" t="s">
        <v>72</v>
      </c>
      <c r="G2021" s="2"/>
      <c r="H2021" t="s">
        <v>45</v>
      </c>
      <c r="K2021">
        <v>141.21332900058599</v>
      </c>
      <c r="L2021">
        <v>1405.735964000891</v>
      </c>
    </row>
    <row r="2022" spans="1:12" hidden="1" x14ac:dyDescent="0.25">
      <c r="A2022">
        <v>2021</v>
      </c>
      <c r="B2022" t="s">
        <v>66</v>
      </c>
      <c r="C2022">
        <v>480205911.33004922</v>
      </c>
      <c r="D2022" t="s">
        <v>77</v>
      </c>
      <c r="E2022" t="s">
        <v>14</v>
      </c>
      <c r="F2022" t="s">
        <v>72</v>
      </c>
      <c r="G2022" s="2"/>
      <c r="H2022" t="s">
        <v>59</v>
      </c>
      <c r="K2022">
        <v>113.656804391549</v>
      </c>
      <c r="L2022">
        <v>422.50520230688022</v>
      </c>
    </row>
    <row r="2023" spans="1:12" hidden="1" x14ac:dyDescent="0.25">
      <c r="A2023">
        <v>2021</v>
      </c>
      <c r="B2023" t="s">
        <v>66</v>
      </c>
      <c r="C2023">
        <v>207713990.14778331</v>
      </c>
      <c r="D2023" t="s">
        <v>77</v>
      </c>
      <c r="E2023" t="s">
        <v>14</v>
      </c>
      <c r="F2023" t="s">
        <v>72</v>
      </c>
      <c r="G2023" s="2"/>
      <c r="H2023" t="s">
        <v>57</v>
      </c>
      <c r="K2023">
        <v>112.92894634856199</v>
      </c>
      <c r="L2023">
        <v>183.93334646607039</v>
      </c>
    </row>
    <row r="2024" spans="1:12" hidden="1" x14ac:dyDescent="0.25">
      <c r="A2024">
        <v>2021</v>
      </c>
      <c r="B2024" t="s">
        <v>66</v>
      </c>
      <c r="C2024">
        <v>2194654039.4088669</v>
      </c>
      <c r="D2024" t="s">
        <v>77</v>
      </c>
      <c r="E2024" t="s">
        <v>14</v>
      </c>
      <c r="F2024" t="s">
        <v>72</v>
      </c>
      <c r="G2024" s="3"/>
      <c r="H2024" t="s">
        <v>43</v>
      </c>
      <c r="K2024">
        <v>112.951814443289</v>
      </c>
      <c r="L2024">
        <v>1943.0002521214581</v>
      </c>
    </row>
    <row r="2025" spans="1:12" hidden="1" x14ac:dyDescent="0.25">
      <c r="A2025">
        <v>2021</v>
      </c>
      <c r="B2025" t="s">
        <v>66</v>
      </c>
      <c r="C2025">
        <v>1137518177.339901</v>
      </c>
      <c r="D2025" t="s">
        <v>77</v>
      </c>
      <c r="E2025" t="s">
        <v>14</v>
      </c>
      <c r="F2025" t="s">
        <v>72</v>
      </c>
      <c r="G2025" s="2"/>
      <c r="H2025" t="s">
        <v>31</v>
      </c>
      <c r="K2025">
        <v>112.392064602288</v>
      </c>
      <c r="L2025">
        <v>1012.098301926508</v>
      </c>
    </row>
    <row r="2026" spans="1:12" hidden="1" x14ac:dyDescent="0.25">
      <c r="A2026">
        <v>2021</v>
      </c>
      <c r="B2026" t="s">
        <v>66</v>
      </c>
      <c r="C2026">
        <v>1010310788.17734</v>
      </c>
      <c r="D2026" t="s">
        <v>77</v>
      </c>
      <c r="E2026" t="s">
        <v>14</v>
      </c>
      <c r="F2026" t="s">
        <v>72</v>
      </c>
      <c r="G2026" s="2"/>
      <c r="H2026" t="s">
        <v>25</v>
      </c>
      <c r="K2026">
        <v>118.49318137442501</v>
      </c>
      <c r="L2026">
        <v>852.63200503062899</v>
      </c>
    </row>
    <row r="2027" spans="1:12" hidden="1" x14ac:dyDescent="0.25">
      <c r="A2027">
        <v>2021</v>
      </c>
      <c r="B2027" t="s">
        <v>66</v>
      </c>
      <c r="C2027">
        <v>2609642610.8374391</v>
      </c>
      <c r="D2027" t="s">
        <v>77</v>
      </c>
      <c r="E2027" t="s">
        <v>14</v>
      </c>
      <c r="F2027" t="s">
        <v>72</v>
      </c>
      <c r="G2027" s="2"/>
      <c r="H2027" t="s">
        <v>41</v>
      </c>
      <c r="K2027">
        <v>110.98105301320901</v>
      </c>
      <c r="L2027">
        <v>2351.430753253745</v>
      </c>
    </row>
    <row r="2028" spans="1:12" hidden="1" x14ac:dyDescent="0.25">
      <c r="A2028">
        <v>2021</v>
      </c>
      <c r="B2028" t="s">
        <v>66</v>
      </c>
      <c r="C2028">
        <v>663047339.90147781</v>
      </c>
      <c r="D2028" t="s">
        <v>77</v>
      </c>
      <c r="E2028" t="s">
        <v>14</v>
      </c>
      <c r="F2028" t="s">
        <v>72</v>
      </c>
      <c r="G2028" s="3"/>
      <c r="H2028" t="s">
        <v>27</v>
      </c>
      <c r="K2028">
        <v>107.07734755600499</v>
      </c>
      <c r="L2028">
        <v>619.22279084722584</v>
      </c>
    </row>
    <row r="2029" spans="1:12" hidden="1" x14ac:dyDescent="0.25">
      <c r="A2029">
        <v>2021</v>
      </c>
      <c r="B2029" t="s">
        <v>66</v>
      </c>
      <c r="C2029">
        <v>3881571083.7438431</v>
      </c>
      <c r="D2029" t="s">
        <v>77</v>
      </c>
      <c r="E2029" t="s">
        <v>14</v>
      </c>
      <c r="F2029" t="s">
        <v>72</v>
      </c>
      <c r="G2029" s="2"/>
      <c r="H2029" t="s">
        <v>49</v>
      </c>
      <c r="K2029">
        <v>106.928543554746</v>
      </c>
      <c r="L2029">
        <v>3630.0607440299882</v>
      </c>
    </row>
    <row r="2030" spans="1:12" hidden="1" x14ac:dyDescent="0.25">
      <c r="A2030">
        <v>2021</v>
      </c>
      <c r="B2030" t="s">
        <v>66</v>
      </c>
      <c r="C2030">
        <v>2679909064.0394092</v>
      </c>
      <c r="D2030" t="s">
        <v>77</v>
      </c>
      <c r="E2030" t="s">
        <v>14</v>
      </c>
      <c r="F2030" t="s">
        <v>72</v>
      </c>
      <c r="G2030" s="2"/>
      <c r="H2030" t="s">
        <v>47</v>
      </c>
      <c r="K2030">
        <v>121.868271296408</v>
      </c>
      <c r="L2030">
        <v>2199.0211525371801</v>
      </c>
    </row>
    <row r="2031" spans="1:12" hidden="1" x14ac:dyDescent="0.25">
      <c r="A2031">
        <v>2021</v>
      </c>
      <c r="B2031" t="s">
        <v>66</v>
      </c>
      <c r="C2031">
        <v>977006748.76847291</v>
      </c>
      <c r="D2031" t="s">
        <v>77</v>
      </c>
      <c r="E2031" t="s">
        <v>14</v>
      </c>
      <c r="F2031" t="s">
        <v>72</v>
      </c>
      <c r="G2031" s="2"/>
      <c r="H2031" t="s">
        <v>39</v>
      </c>
      <c r="K2031">
        <v>108.877296090838</v>
      </c>
      <c r="L2031">
        <v>897.34663134299478</v>
      </c>
    </row>
    <row r="2032" spans="1:12" hidden="1" x14ac:dyDescent="0.25">
      <c r="A2032">
        <v>2021</v>
      </c>
      <c r="B2032" t="s">
        <v>66</v>
      </c>
      <c r="C2032">
        <v>3018454236.4532018</v>
      </c>
      <c r="D2032" t="s">
        <v>77</v>
      </c>
      <c r="E2032" t="s">
        <v>14</v>
      </c>
      <c r="F2032" t="s">
        <v>72</v>
      </c>
      <c r="G2032" s="3"/>
      <c r="H2032" t="s">
        <v>23</v>
      </c>
      <c r="K2032">
        <v>113.699368348429</v>
      </c>
      <c r="L2032">
        <v>2654.7678147192701</v>
      </c>
    </row>
    <row r="2033" spans="1:12" hidden="1" x14ac:dyDescent="0.25">
      <c r="A2033">
        <v>2021</v>
      </c>
      <c r="B2033" t="s">
        <v>66</v>
      </c>
      <c r="C2033">
        <v>2662602660.0985222</v>
      </c>
      <c r="D2033" t="s">
        <v>77</v>
      </c>
      <c r="E2033" t="s">
        <v>14</v>
      </c>
      <c r="F2033" t="s">
        <v>72</v>
      </c>
      <c r="G2033" s="2"/>
      <c r="H2033" t="s">
        <v>37</v>
      </c>
      <c r="K2033">
        <v>108.877296090838</v>
      </c>
      <c r="L2033">
        <v>2445.507700592666</v>
      </c>
    </row>
    <row r="2034" spans="1:12" hidden="1" x14ac:dyDescent="0.25">
      <c r="A2034">
        <v>2021</v>
      </c>
      <c r="B2034" t="s">
        <v>66</v>
      </c>
      <c r="C2034">
        <v>1974042512.3152709</v>
      </c>
      <c r="D2034" t="s">
        <v>77</v>
      </c>
      <c r="E2034" t="s">
        <v>14</v>
      </c>
      <c r="F2034" t="s">
        <v>72</v>
      </c>
      <c r="G2034" s="2"/>
      <c r="H2034" t="s">
        <v>55</v>
      </c>
      <c r="K2034">
        <v>112.92894634856199</v>
      </c>
      <c r="L2034">
        <v>1748.0394320002511</v>
      </c>
    </row>
    <row r="2035" spans="1:12" hidden="1" x14ac:dyDescent="0.25">
      <c r="A2035">
        <v>2021</v>
      </c>
      <c r="B2035" t="s">
        <v>66</v>
      </c>
      <c r="C2035">
        <v>133072019.7044335</v>
      </c>
      <c r="D2035" t="s">
        <v>77</v>
      </c>
      <c r="E2035" t="s">
        <v>14</v>
      </c>
      <c r="F2035" t="s">
        <v>72</v>
      </c>
      <c r="G2035" s="2"/>
      <c r="H2035" t="s">
        <v>33</v>
      </c>
      <c r="K2035">
        <v>114.043225455295</v>
      </c>
      <c r="L2035">
        <v>116.6855980906975</v>
      </c>
    </row>
    <row r="2036" spans="1:12" hidden="1" x14ac:dyDescent="0.25">
      <c r="A2036">
        <v>2021</v>
      </c>
      <c r="B2036" t="s">
        <v>66</v>
      </c>
      <c r="C2036">
        <v>74776847.290640384</v>
      </c>
      <c r="D2036" t="s">
        <v>77</v>
      </c>
      <c r="E2036" t="s">
        <v>14</v>
      </c>
      <c r="F2036" t="s">
        <v>72</v>
      </c>
      <c r="G2036" s="3"/>
      <c r="H2036" t="s">
        <v>61</v>
      </c>
      <c r="K2036">
        <v>117.451425181814</v>
      </c>
      <c r="L2036">
        <v>63.666189809860832</v>
      </c>
    </row>
    <row r="2037" spans="1:12" hidden="1" x14ac:dyDescent="0.25">
      <c r="A2037">
        <v>2021</v>
      </c>
      <c r="B2037" t="s">
        <v>66</v>
      </c>
      <c r="C2037">
        <v>528199359.60591131</v>
      </c>
      <c r="D2037" t="s">
        <v>77</v>
      </c>
      <c r="E2037" t="s">
        <v>14</v>
      </c>
      <c r="F2037" t="s">
        <v>72</v>
      </c>
      <c r="G2037" s="2"/>
      <c r="H2037" t="s">
        <v>29</v>
      </c>
      <c r="K2037">
        <v>114.696642834729</v>
      </c>
      <c r="L2037">
        <v>460.5185875989543</v>
      </c>
    </row>
    <row r="2038" spans="1:12" hidden="1" x14ac:dyDescent="0.25">
      <c r="A2038">
        <v>2022</v>
      </c>
      <c r="B2038" t="s">
        <v>12</v>
      </c>
      <c r="C2038">
        <v>366203358.9449541</v>
      </c>
      <c r="D2038" t="s">
        <v>77</v>
      </c>
      <c r="E2038" t="s">
        <v>14</v>
      </c>
      <c r="F2038" t="s">
        <v>72</v>
      </c>
      <c r="G2038" s="2"/>
      <c r="H2038" t="s">
        <v>21</v>
      </c>
      <c r="K2038">
        <v>109.88589645717001</v>
      </c>
      <c r="L2038">
        <v>333.25783449169779</v>
      </c>
    </row>
    <row r="2039" spans="1:12" hidden="1" x14ac:dyDescent="0.25">
      <c r="A2039">
        <v>2022</v>
      </c>
      <c r="B2039" t="s">
        <v>12</v>
      </c>
      <c r="C2039">
        <v>5507456262.6146793</v>
      </c>
      <c r="D2039" t="s">
        <v>77</v>
      </c>
      <c r="E2039" t="s">
        <v>14</v>
      </c>
      <c r="F2039" t="s">
        <v>72</v>
      </c>
      <c r="G2039" s="2"/>
      <c r="H2039" t="s">
        <v>19</v>
      </c>
      <c r="K2039">
        <v>138.22614999915999</v>
      </c>
      <c r="L2039">
        <v>3984.3808589388832</v>
      </c>
    </row>
    <row r="2040" spans="1:12" hidden="1" x14ac:dyDescent="0.25">
      <c r="A2040">
        <v>2022</v>
      </c>
      <c r="B2040" t="s">
        <v>12</v>
      </c>
      <c r="C2040">
        <v>200066204.12844041</v>
      </c>
      <c r="D2040" t="s">
        <v>77</v>
      </c>
      <c r="E2040" t="s">
        <v>14</v>
      </c>
      <c r="F2040" t="s">
        <v>72</v>
      </c>
      <c r="G2040" s="3"/>
      <c r="H2040" t="s">
        <v>51</v>
      </c>
      <c r="K2040">
        <v>123.96393010113999</v>
      </c>
      <c r="L2040">
        <v>161.39065933550981</v>
      </c>
    </row>
    <row r="2041" spans="1:12" hidden="1" x14ac:dyDescent="0.25">
      <c r="A2041">
        <v>2022</v>
      </c>
      <c r="B2041" t="s">
        <v>12</v>
      </c>
      <c r="C2041">
        <v>959968240.82568789</v>
      </c>
      <c r="D2041" t="s">
        <v>77</v>
      </c>
      <c r="E2041" t="s">
        <v>14</v>
      </c>
      <c r="F2041" t="s">
        <v>72</v>
      </c>
      <c r="G2041" s="2"/>
      <c r="H2041" t="s">
        <v>53</v>
      </c>
      <c r="K2041">
        <v>123.96393010113999</v>
      </c>
      <c r="L2041">
        <v>774.39319650681182</v>
      </c>
    </row>
    <row r="2042" spans="1:12" hidden="1" x14ac:dyDescent="0.25">
      <c r="A2042">
        <v>2022</v>
      </c>
      <c r="B2042" t="s">
        <v>12</v>
      </c>
      <c r="C2042">
        <v>134628525.22935781</v>
      </c>
      <c r="D2042" t="s">
        <v>77</v>
      </c>
      <c r="E2042" t="s">
        <v>14</v>
      </c>
      <c r="F2042" t="s">
        <v>72</v>
      </c>
      <c r="G2042" s="2"/>
      <c r="H2042" t="s">
        <v>45</v>
      </c>
      <c r="K2042">
        <v>134.03865367133</v>
      </c>
      <c r="L2042">
        <v>100.44007571090209</v>
      </c>
    </row>
    <row r="2043" spans="1:12" hidden="1" x14ac:dyDescent="0.25">
      <c r="A2043">
        <v>2022</v>
      </c>
      <c r="B2043" t="s">
        <v>12</v>
      </c>
      <c r="C2043">
        <v>121348271.7889908</v>
      </c>
      <c r="D2043" t="s">
        <v>77</v>
      </c>
      <c r="E2043" t="s">
        <v>14</v>
      </c>
      <c r="F2043" t="s">
        <v>72</v>
      </c>
      <c r="G2043" s="2"/>
      <c r="H2043" t="s">
        <v>59</v>
      </c>
      <c r="K2043">
        <v>182.56944637426</v>
      </c>
      <c r="L2043">
        <v>66.466911194018607</v>
      </c>
    </row>
    <row r="2044" spans="1:12" hidden="1" x14ac:dyDescent="0.25">
      <c r="A2044">
        <v>2022</v>
      </c>
      <c r="B2044" t="s">
        <v>12</v>
      </c>
      <c r="C2044">
        <v>11066830.275229361</v>
      </c>
      <c r="D2044" t="s">
        <v>77</v>
      </c>
      <c r="E2044" t="s">
        <v>14</v>
      </c>
      <c r="F2044" t="s">
        <v>72</v>
      </c>
      <c r="G2044" s="3"/>
      <c r="H2044" t="s">
        <v>57</v>
      </c>
      <c r="K2044">
        <v>123.96393010113999</v>
      </c>
      <c r="L2044">
        <v>8.9274600008245351</v>
      </c>
    </row>
    <row r="2045" spans="1:12" hidden="1" x14ac:dyDescent="0.25">
      <c r="A2045">
        <v>2022</v>
      </c>
      <c r="B2045" t="s">
        <v>12</v>
      </c>
      <c r="C2045">
        <v>320507259.17431217</v>
      </c>
      <c r="D2045" t="s">
        <v>77</v>
      </c>
      <c r="E2045" t="s">
        <v>14</v>
      </c>
      <c r="F2045" t="s">
        <v>72</v>
      </c>
      <c r="G2045" s="2"/>
      <c r="H2045" t="s">
        <v>43</v>
      </c>
      <c r="K2045">
        <v>134.03865367133</v>
      </c>
      <c r="L2045">
        <v>239.1155464454404</v>
      </c>
    </row>
    <row r="2046" spans="1:12" hidden="1" x14ac:dyDescent="0.25">
      <c r="A2046">
        <v>2022</v>
      </c>
      <c r="B2046" t="s">
        <v>12</v>
      </c>
      <c r="C2046">
        <v>441508293.57798171</v>
      </c>
      <c r="D2046" t="s">
        <v>77</v>
      </c>
      <c r="E2046" t="s">
        <v>14</v>
      </c>
      <c r="F2046" t="s">
        <v>72</v>
      </c>
      <c r="G2046" s="2"/>
      <c r="H2046" t="s">
        <v>31</v>
      </c>
      <c r="K2046">
        <v>120.87292541591999</v>
      </c>
      <c r="L2046">
        <v>365.26649128311021</v>
      </c>
    </row>
    <row r="2047" spans="1:12" hidden="1" x14ac:dyDescent="0.25">
      <c r="A2047">
        <v>2022</v>
      </c>
      <c r="B2047" t="s">
        <v>12</v>
      </c>
      <c r="C2047">
        <v>38681842.889908247</v>
      </c>
      <c r="D2047" t="s">
        <v>77</v>
      </c>
      <c r="E2047" t="s">
        <v>14</v>
      </c>
      <c r="F2047" t="s">
        <v>72</v>
      </c>
      <c r="G2047" s="2"/>
      <c r="H2047" t="s">
        <v>25</v>
      </c>
      <c r="K2047">
        <v>56.539869603999001</v>
      </c>
      <c r="L2047">
        <v>68.415161125826742</v>
      </c>
    </row>
    <row r="2048" spans="1:12" hidden="1" x14ac:dyDescent="0.25">
      <c r="A2048">
        <v>2022</v>
      </c>
      <c r="B2048" t="s">
        <v>12</v>
      </c>
      <c r="C2048">
        <v>389377174.31192672</v>
      </c>
      <c r="D2048" t="s">
        <v>77</v>
      </c>
      <c r="E2048" t="s">
        <v>14</v>
      </c>
      <c r="F2048" t="s">
        <v>72</v>
      </c>
      <c r="G2048" s="3"/>
      <c r="H2048" t="s">
        <v>41</v>
      </c>
      <c r="K2048">
        <v>175.63081008859999</v>
      </c>
      <c r="L2048">
        <v>221.70208866855339</v>
      </c>
    </row>
    <row r="2049" spans="1:12" hidden="1" x14ac:dyDescent="0.25">
      <c r="A2049">
        <v>2022</v>
      </c>
      <c r="B2049" t="s">
        <v>12</v>
      </c>
      <c r="C2049">
        <v>15117169.724770639</v>
      </c>
      <c r="D2049" t="s">
        <v>77</v>
      </c>
      <c r="E2049" t="s">
        <v>14</v>
      </c>
      <c r="F2049" t="s">
        <v>72</v>
      </c>
      <c r="G2049" s="2"/>
      <c r="H2049" t="s">
        <v>27</v>
      </c>
      <c r="K2049">
        <v>56.539869603999001</v>
      </c>
      <c r="L2049">
        <v>26.73718533602954</v>
      </c>
    </row>
    <row r="2050" spans="1:12" hidden="1" x14ac:dyDescent="0.25">
      <c r="A2050">
        <v>2022</v>
      </c>
      <c r="B2050" t="s">
        <v>12</v>
      </c>
      <c r="C2050">
        <v>5408912.8440366974</v>
      </c>
      <c r="D2050" t="s">
        <v>77</v>
      </c>
      <c r="E2050" t="s">
        <v>14</v>
      </c>
      <c r="F2050" t="s">
        <v>72</v>
      </c>
      <c r="G2050" s="2"/>
      <c r="H2050" t="s">
        <v>49</v>
      </c>
      <c r="K2050">
        <v>123.96393010113999</v>
      </c>
      <c r="L2050">
        <v>4.3632957099889147</v>
      </c>
    </row>
    <row r="2051" spans="1:12" hidden="1" x14ac:dyDescent="0.25">
      <c r="A2051">
        <v>2022</v>
      </c>
      <c r="B2051" t="s">
        <v>12</v>
      </c>
      <c r="C2051">
        <v>375725433.4862386</v>
      </c>
      <c r="D2051" t="s">
        <v>77</v>
      </c>
      <c r="E2051" t="s">
        <v>14</v>
      </c>
      <c r="F2051" t="s">
        <v>72</v>
      </c>
      <c r="G2051" s="2"/>
      <c r="H2051" t="s">
        <v>47</v>
      </c>
      <c r="K2051">
        <v>123.96393010113999</v>
      </c>
      <c r="L2051">
        <v>303.09254730766509</v>
      </c>
    </row>
    <row r="2052" spans="1:12" hidden="1" x14ac:dyDescent="0.25">
      <c r="A2052">
        <v>2022</v>
      </c>
      <c r="B2052" t="s">
        <v>12</v>
      </c>
      <c r="C2052">
        <v>251437816.51376149</v>
      </c>
      <c r="D2052" t="s">
        <v>77</v>
      </c>
      <c r="E2052" t="s">
        <v>14</v>
      </c>
      <c r="F2052" t="s">
        <v>72</v>
      </c>
      <c r="G2052" s="3"/>
      <c r="H2052" t="s">
        <v>39</v>
      </c>
      <c r="K2052">
        <v>175.63081008859999</v>
      </c>
      <c r="L2052">
        <v>143.16270384844171</v>
      </c>
    </row>
    <row r="2053" spans="1:12" hidden="1" x14ac:dyDescent="0.25">
      <c r="A2053">
        <v>2022</v>
      </c>
      <c r="B2053" t="s">
        <v>12</v>
      </c>
      <c r="C2053">
        <v>243176010.32110089</v>
      </c>
      <c r="D2053" t="s">
        <v>77</v>
      </c>
      <c r="E2053" t="s">
        <v>14</v>
      </c>
      <c r="F2053" t="s">
        <v>72</v>
      </c>
      <c r="G2053" s="2"/>
      <c r="H2053" t="s">
        <v>23</v>
      </c>
      <c r="K2053">
        <v>56.539869603999001</v>
      </c>
      <c r="L2053">
        <v>430.09651777460289</v>
      </c>
    </row>
    <row r="2054" spans="1:12" hidden="1" x14ac:dyDescent="0.25">
      <c r="A2054">
        <v>2022</v>
      </c>
      <c r="B2054" t="s">
        <v>12</v>
      </c>
      <c r="C2054">
        <v>694270344.03669703</v>
      </c>
      <c r="D2054" t="s">
        <v>77</v>
      </c>
      <c r="E2054" t="s">
        <v>14</v>
      </c>
      <c r="F2054" t="s">
        <v>72</v>
      </c>
      <c r="G2054" s="2"/>
      <c r="H2054" t="s">
        <v>37</v>
      </c>
      <c r="K2054">
        <v>175.63081008859999</v>
      </c>
      <c r="L2054">
        <v>395.30099740840478</v>
      </c>
    </row>
    <row r="2055" spans="1:12" hidden="1" x14ac:dyDescent="0.25">
      <c r="A2055">
        <v>2022</v>
      </c>
      <c r="B2055" t="s">
        <v>12</v>
      </c>
      <c r="C2055">
        <v>11261675.458715601</v>
      </c>
      <c r="D2055" t="s">
        <v>77</v>
      </c>
      <c r="E2055" t="s">
        <v>14</v>
      </c>
      <c r="F2055" t="s">
        <v>72</v>
      </c>
      <c r="G2055" s="2"/>
      <c r="H2055" t="s">
        <v>55</v>
      </c>
      <c r="K2055">
        <v>123.96393010113999</v>
      </c>
      <c r="L2055">
        <v>9.0846389345089271</v>
      </c>
    </row>
    <row r="2056" spans="1:12" hidden="1" x14ac:dyDescent="0.25">
      <c r="A2056">
        <v>2022</v>
      </c>
      <c r="B2056" t="s">
        <v>12</v>
      </c>
      <c r="C2056">
        <v>81895135.32110092</v>
      </c>
      <c r="D2056" t="s">
        <v>77</v>
      </c>
      <c r="E2056" t="s">
        <v>14</v>
      </c>
      <c r="F2056" t="s">
        <v>72</v>
      </c>
      <c r="G2056" s="3"/>
      <c r="H2056" t="s">
        <v>33</v>
      </c>
      <c r="K2056">
        <v>120.87292541591999</v>
      </c>
      <c r="L2056">
        <v>67.753084521866498</v>
      </c>
    </row>
    <row r="2057" spans="1:12" hidden="1" x14ac:dyDescent="0.25">
      <c r="A2057">
        <v>2022</v>
      </c>
      <c r="B2057" t="s">
        <v>12</v>
      </c>
      <c r="C2057">
        <v>29670861.238532111</v>
      </c>
      <c r="D2057" t="s">
        <v>77</v>
      </c>
      <c r="E2057" t="s">
        <v>14</v>
      </c>
      <c r="F2057" t="s">
        <v>72</v>
      </c>
      <c r="G2057" s="2"/>
      <c r="H2057" t="s">
        <v>61</v>
      </c>
      <c r="K2057">
        <v>138.33137560220001</v>
      </c>
      <c r="L2057">
        <v>21.44911890694755</v>
      </c>
    </row>
    <row r="2058" spans="1:12" hidden="1" x14ac:dyDescent="0.25">
      <c r="A2058">
        <v>2022</v>
      </c>
      <c r="B2058" t="s">
        <v>12</v>
      </c>
      <c r="C2058">
        <v>374636061.92660582</v>
      </c>
      <c r="D2058" t="s">
        <v>77</v>
      </c>
      <c r="E2058" t="s">
        <v>14</v>
      </c>
      <c r="F2058" t="s">
        <v>72</v>
      </c>
      <c r="G2058" s="2"/>
      <c r="H2058" t="s">
        <v>29</v>
      </c>
      <c r="K2058">
        <v>182.56944637426</v>
      </c>
      <c r="L2058">
        <v>205.2019488291688</v>
      </c>
    </row>
    <row r="2059" spans="1:12" hidden="1" x14ac:dyDescent="0.25">
      <c r="A2059">
        <v>2022</v>
      </c>
      <c r="B2059" t="s">
        <v>12</v>
      </c>
      <c r="C2059">
        <v>336745788.99082571</v>
      </c>
      <c r="D2059" t="s">
        <v>77</v>
      </c>
      <c r="E2059" t="s">
        <v>14</v>
      </c>
      <c r="F2059" t="s">
        <v>72</v>
      </c>
      <c r="G2059" s="2"/>
      <c r="H2059" t="s">
        <v>63</v>
      </c>
      <c r="K2059">
        <v>123.96393010113999</v>
      </c>
      <c r="L2059">
        <v>271.6482034056848</v>
      </c>
    </row>
    <row r="2060" spans="1:12" hidden="1" x14ac:dyDescent="0.25">
      <c r="A2060">
        <v>2022</v>
      </c>
      <c r="B2060" t="s">
        <v>66</v>
      </c>
      <c r="C2060">
        <v>1368218905.4726369</v>
      </c>
      <c r="D2060" t="s">
        <v>77</v>
      </c>
      <c r="E2060" t="s">
        <v>14</v>
      </c>
      <c r="F2060" t="s">
        <v>72</v>
      </c>
      <c r="G2060" s="3"/>
      <c r="H2060" t="s">
        <v>21</v>
      </c>
      <c r="K2060">
        <v>124.885983267714</v>
      </c>
      <c r="L2060">
        <v>1095.57443491447</v>
      </c>
    </row>
    <row r="2061" spans="1:12" hidden="1" x14ac:dyDescent="0.25">
      <c r="A2061">
        <v>2022</v>
      </c>
      <c r="B2061" t="s">
        <v>66</v>
      </c>
      <c r="C2061">
        <v>6101304776.1194029</v>
      </c>
      <c r="D2061" t="s">
        <v>77</v>
      </c>
      <c r="E2061" t="s">
        <v>14</v>
      </c>
      <c r="F2061" t="s">
        <v>72</v>
      </c>
      <c r="G2061" s="2"/>
      <c r="H2061" t="s">
        <v>19</v>
      </c>
      <c r="K2061">
        <v>129.32654788623401</v>
      </c>
      <c r="L2061">
        <v>4717.7512087360428</v>
      </c>
    </row>
    <row r="2062" spans="1:12" hidden="1" x14ac:dyDescent="0.25">
      <c r="A2062">
        <v>2022</v>
      </c>
      <c r="B2062" t="s">
        <v>66</v>
      </c>
      <c r="C2062">
        <v>105400746.2686567</v>
      </c>
      <c r="D2062" t="s">
        <v>77</v>
      </c>
      <c r="E2062" t="s">
        <v>14</v>
      </c>
      <c r="F2062" t="s">
        <v>72</v>
      </c>
      <c r="G2062" s="2"/>
      <c r="H2062" t="s">
        <v>68</v>
      </c>
      <c r="K2062">
        <v>124.885983267714</v>
      </c>
      <c r="L2062">
        <v>84.397578904201438</v>
      </c>
    </row>
    <row r="2063" spans="1:12" hidden="1" x14ac:dyDescent="0.25">
      <c r="A2063">
        <v>2022</v>
      </c>
      <c r="B2063" t="s">
        <v>66</v>
      </c>
      <c r="C2063">
        <v>629172736.31840789</v>
      </c>
      <c r="D2063" t="s">
        <v>77</v>
      </c>
      <c r="E2063" t="s">
        <v>14</v>
      </c>
      <c r="F2063" t="s">
        <v>72</v>
      </c>
      <c r="G2063" s="2"/>
      <c r="H2063" t="s">
        <v>35</v>
      </c>
      <c r="K2063">
        <v>93.717494351913203</v>
      </c>
      <c r="L2063">
        <v>671.35036064433962</v>
      </c>
    </row>
    <row r="2064" spans="1:12" hidden="1" x14ac:dyDescent="0.25">
      <c r="A2064">
        <v>2022</v>
      </c>
      <c r="B2064" t="s">
        <v>66</v>
      </c>
      <c r="C2064">
        <v>6116769900.4975109</v>
      </c>
      <c r="D2064" t="s">
        <v>77</v>
      </c>
      <c r="E2064" t="s">
        <v>14</v>
      </c>
      <c r="F2064" t="s">
        <v>72</v>
      </c>
      <c r="G2064" s="3"/>
      <c r="H2064" t="s">
        <v>51</v>
      </c>
      <c r="K2064">
        <v>118.400520723024</v>
      </c>
      <c r="L2064">
        <v>5166.1680735396058</v>
      </c>
    </row>
    <row r="2065" spans="1:12" hidden="1" x14ac:dyDescent="0.25">
      <c r="A2065">
        <v>2022</v>
      </c>
      <c r="B2065" t="s">
        <v>66</v>
      </c>
      <c r="C2065">
        <v>6702487263.681592</v>
      </c>
      <c r="D2065" t="s">
        <v>77</v>
      </c>
      <c r="E2065" t="s">
        <v>14</v>
      </c>
      <c r="F2065" t="s">
        <v>72</v>
      </c>
      <c r="G2065" s="2"/>
      <c r="H2065" t="s">
        <v>53</v>
      </c>
      <c r="K2065">
        <v>123.731212299186</v>
      </c>
      <c r="L2065">
        <v>5416.9737280798363</v>
      </c>
    </row>
    <row r="2066" spans="1:12" hidden="1" x14ac:dyDescent="0.25">
      <c r="A2066">
        <v>2022</v>
      </c>
      <c r="B2066" t="s">
        <v>66</v>
      </c>
      <c r="C2066">
        <v>2571433084.5771141</v>
      </c>
      <c r="D2066" t="s">
        <v>77</v>
      </c>
      <c r="E2066" t="s">
        <v>14</v>
      </c>
      <c r="F2066" t="s">
        <v>72</v>
      </c>
      <c r="G2066" s="2"/>
      <c r="H2066" t="s">
        <v>45</v>
      </c>
      <c r="K2066">
        <v>141.87141028890099</v>
      </c>
      <c r="L2066">
        <v>1812.509708151033</v>
      </c>
    </row>
    <row r="2067" spans="1:12" hidden="1" x14ac:dyDescent="0.25">
      <c r="A2067">
        <v>2022</v>
      </c>
      <c r="B2067" t="s">
        <v>66</v>
      </c>
      <c r="C2067">
        <v>535840199.00497502</v>
      </c>
      <c r="D2067" t="s">
        <v>77</v>
      </c>
      <c r="E2067" t="s">
        <v>14</v>
      </c>
      <c r="F2067" t="s">
        <v>72</v>
      </c>
      <c r="G2067" s="2"/>
      <c r="H2067" t="s">
        <v>59</v>
      </c>
      <c r="K2067">
        <v>124.760255125349</v>
      </c>
      <c r="L2067">
        <v>429.4959147579541</v>
      </c>
    </row>
    <row r="2068" spans="1:12" hidden="1" x14ac:dyDescent="0.25">
      <c r="A2068">
        <v>2022</v>
      </c>
      <c r="B2068" t="s">
        <v>66</v>
      </c>
      <c r="C2068">
        <v>297644676.6169154</v>
      </c>
      <c r="D2068" t="s">
        <v>77</v>
      </c>
      <c r="E2068" t="s">
        <v>14</v>
      </c>
      <c r="F2068" t="s">
        <v>72</v>
      </c>
      <c r="G2068" s="3"/>
      <c r="H2068" t="s">
        <v>57</v>
      </c>
      <c r="K2068">
        <v>118.92956316086899</v>
      </c>
      <c r="L2068">
        <v>250.26971318671119</v>
      </c>
    </row>
    <row r="2069" spans="1:12" hidden="1" x14ac:dyDescent="0.25">
      <c r="A2069">
        <v>2022</v>
      </c>
      <c r="B2069" t="s">
        <v>66</v>
      </c>
      <c r="C2069">
        <v>2971779900.4975119</v>
      </c>
      <c r="D2069" t="s">
        <v>77</v>
      </c>
      <c r="E2069" t="s">
        <v>14</v>
      </c>
      <c r="F2069" t="s">
        <v>72</v>
      </c>
      <c r="G2069" s="2"/>
      <c r="H2069" t="s">
        <v>43</v>
      </c>
      <c r="K2069">
        <v>129.18720398146201</v>
      </c>
      <c r="L2069">
        <v>2300.3670711256768</v>
      </c>
    </row>
    <row r="2070" spans="1:12" hidden="1" x14ac:dyDescent="0.25">
      <c r="A2070">
        <v>2022</v>
      </c>
      <c r="B2070" t="s">
        <v>66</v>
      </c>
      <c r="C2070">
        <v>1356351940.2985079</v>
      </c>
      <c r="D2070" t="s">
        <v>77</v>
      </c>
      <c r="E2070" t="s">
        <v>14</v>
      </c>
      <c r="F2070" t="s">
        <v>72</v>
      </c>
      <c r="G2070" s="2"/>
      <c r="H2070" t="s">
        <v>31</v>
      </c>
      <c r="K2070">
        <v>124.992774454829</v>
      </c>
      <c r="L2070">
        <v>1085.1442783108059</v>
      </c>
    </row>
    <row r="2071" spans="1:12" hidden="1" x14ac:dyDescent="0.25">
      <c r="A2071">
        <v>2022</v>
      </c>
      <c r="B2071" t="s">
        <v>66</v>
      </c>
      <c r="C2071">
        <v>1222573432.8358209</v>
      </c>
      <c r="D2071" t="s">
        <v>77</v>
      </c>
      <c r="E2071" t="s">
        <v>14</v>
      </c>
      <c r="F2071" t="s">
        <v>72</v>
      </c>
      <c r="G2071" s="2"/>
      <c r="H2071" t="s">
        <v>25</v>
      </c>
      <c r="K2071">
        <v>130.309937712893</v>
      </c>
      <c r="L2071">
        <v>938.20429530821423</v>
      </c>
    </row>
    <row r="2072" spans="1:12" hidden="1" x14ac:dyDescent="0.25">
      <c r="A2072">
        <v>2022</v>
      </c>
      <c r="B2072" t="s">
        <v>66</v>
      </c>
      <c r="C2072">
        <v>3530891691.5422878</v>
      </c>
      <c r="D2072" t="s">
        <v>77</v>
      </c>
      <c r="E2072" t="s">
        <v>14</v>
      </c>
      <c r="F2072" t="s">
        <v>72</v>
      </c>
      <c r="G2072" s="3"/>
      <c r="H2072" t="s">
        <v>41</v>
      </c>
      <c r="K2072">
        <v>124.20030413134501</v>
      </c>
      <c r="L2072">
        <v>2842.90100272885</v>
      </c>
    </row>
    <row r="2073" spans="1:12" hidden="1" x14ac:dyDescent="0.25">
      <c r="A2073">
        <v>2022</v>
      </c>
      <c r="B2073" t="s">
        <v>66</v>
      </c>
      <c r="C2073">
        <v>804674626.86567152</v>
      </c>
      <c r="D2073" t="s">
        <v>77</v>
      </c>
      <c r="E2073" t="s">
        <v>14</v>
      </c>
      <c r="F2073" t="s">
        <v>72</v>
      </c>
      <c r="G2073" s="2"/>
      <c r="H2073" t="s">
        <v>27</v>
      </c>
      <c r="K2073">
        <v>114.765372402341</v>
      </c>
      <c r="L2073">
        <v>701.14757615621829</v>
      </c>
    </row>
    <row r="2074" spans="1:12" hidden="1" x14ac:dyDescent="0.25">
      <c r="A2074">
        <v>2022</v>
      </c>
      <c r="B2074" t="s">
        <v>66</v>
      </c>
      <c r="C2074">
        <v>4842388457.711442</v>
      </c>
      <c r="D2074" t="s">
        <v>77</v>
      </c>
      <c r="E2074" t="s">
        <v>14</v>
      </c>
      <c r="F2074" t="s">
        <v>72</v>
      </c>
      <c r="G2074" s="2"/>
      <c r="H2074" t="s">
        <v>49</v>
      </c>
      <c r="K2074">
        <v>113.459970516059</v>
      </c>
      <c r="L2074">
        <v>4267.926772487619</v>
      </c>
    </row>
    <row r="2075" spans="1:12" hidden="1" x14ac:dyDescent="0.25">
      <c r="A2075">
        <v>2022</v>
      </c>
      <c r="B2075" t="s">
        <v>66</v>
      </c>
      <c r="C2075">
        <v>3647445273.6318412</v>
      </c>
      <c r="D2075" t="s">
        <v>77</v>
      </c>
      <c r="E2075" t="s">
        <v>14</v>
      </c>
      <c r="F2075" t="s">
        <v>72</v>
      </c>
      <c r="G2075" s="2"/>
      <c r="H2075" t="s">
        <v>47</v>
      </c>
      <c r="K2075">
        <v>134.38056482799499</v>
      </c>
      <c r="L2075">
        <v>2714.265473061907</v>
      </c>
    </row>
    <row r="2076" spans="1:12" hidden="1" x14ac:dyDescent="0.25">
      <c r="A2076">
        <v>2022</v>
      </c>
      <c r="B2076" t="s">
        <v>66</v>
      </c>
      <c r="C2076">
        <v>1168473084.5771141</v>
      </c>
      <c r="D2076" t="s">
        <v>77</v>
      </c>
      <c r="E2076" t="s">
        <v>14</v>
      </c>
      <c r="F2076" t="s">
        <v>72</v>
      </c>
      <c r="G2076" s="3"/>
      <c r="H2076" t="s">
        <v>39</v>
      </c>
      <c r="K2076">
        <v>125.100295460086</v>
      </c>
      <c r="L2076">
        <v>934.02903668594661</v>
      </c>
    </row>
    <row r="2077" spans="1:12" hidden="1" x14ac:dyDescent="0.25">
      <c r="A2077">
        <v>2022</v>
      </c>
      <c r="B2077" t="s">
        <v>66</v>
      </c>
      <c r="C2077">
        <v>3719606417.9104481</v>
      </c>
      <c r="D2077" t="s">
        <v>77</v>
      </c>
      <c r="E2077" t="s">
        <v>14</v>
      </c>
      <c r="F2077" t="s">
        <v>72</v>
      </c>
      <c r="G2077" s="2"/>
      <c r="H2077" t="s">
        <v>23</v>
      </c>
      <c r="K2077">
        <v>119.934366622322</v>
      </c>
      <c r="L2077">
        <v>3101.36829222906</v>
      </c>
    </row>
    <row r="2078" spans="1:12" hidden="1" x14ac:dyDescent="0.25">
      <c r="A2078">
        <v>2022</v>
      </c>
      <c r="B2078" t="s">
        <v>66</v>
      </c>
      <c r="C2078">
        <v>3367018159.20398</v>
      </c>
      <c r="D2078" t="s">
        <v>77</v>
      </c>
      <c r="E2078" t="s">
        <v>14</v>
      </c>
      <c r="F2078" t="s">
        <v>72</v>
      </c>
      <c r="G2078" s="2"/>
      <c r="H2078" t="s">
        <v>37</v>
      </c>
      <c r="K2078">
        <v>125.100295460086</v>
      </c>
      <c r="L2078">
        <v>2691.4550016216772</v>
      </c>
    </row>
    <row r="2079" spans="1:12" hidden="1" x14ac:dyDescent="0.25">
      <c r="A2079">
        <v>2022</v>
      </c>
      <c r="B2079" t="s">
        <v>66</v>
      </c>
      <c r="C2079">
        <v>2579074527.363184</v>
      </c>
      <c r="D2079" t="s">
        <v>77</v>
      </c>
      <c r="E2079" t="s">
        <v>14</v>
      </c>
      <c r="F2079" t="s">
        <v>72</v>
      </c>
      <c r="G2079" s="2"/>
      <c r="H2079" t="s">
        <v>55</v>
      </c>
      <c r="K2079">
        <v>118.92956316086899</v>
      </c>
      <c r="L2079">
        <v>2168.5731106862149</v>
      </c>
    </row>
    <row r="2080" spans="1:12" hidden="1" x14ac:dyDescent="0.25">
      <c r="A2080">
        <v>2022</v>
      </c>
      <c r="B2080" t="s">
        <v>66</v>
      </c>
      <c r="C2080">
        <v>150473283.58208951</v>
      </c>
      <c r="D2080" t="s">
        <v>77</v>
      </c>
      <c r="E2080" t="s">
        <v>14</v>
      </c>
      <c r="F2080" t="s">
        <v>72</v>
      </c>
      <c r="G2080" s="3"/>
      <c r="H2080" t="s">
        <v>33</v>
      </c>
      <c r="K2080">
        <v>126.864077629889</v>
      </c>
      <c r="L2080">
        <v>118.60984322219061</v>
      </c>
    </row>
    <row r="2081" spans="1:12" hidden="1" x14ac:dyDescent="0.25">
      <c r="A2081">
        <v>2022</v>
      </c>
      <c r="B2081" t="s">
        <v>66</v>
      </c>
      <c r="C2081">
        <v>81848606.965174124</v>
      </c>
      <c r="D2081" t="s">
        <v>77</v>
      </c>
      <c r="E2081" t="s">
        <v>14</v>
      </c>
      <c r="F2081" t="s">
        <v>72</v>
      </c>
      <c r="G2081" s="2"/>
      <c r="H2081" t="s">
        <v>61</v>
      </c>
      <c r="K2081">
        <v>130.09451278639801</v>
      </c>
      <c r="L2081">
        <v>62.914726541588443</v>
      </c>
    </row>
    <row r="2082" spans="1:12" hidden="1" x14ac:dyDescent="0.25">
      <c r="A2082">
        <v>2022</v>
      </c>
      <c r="B2082" t="s">
        <v>66</v>
      </c>
      <c r="C2082">
        <v>594569651.74129343</v>
      </c>
      <c r="D2082" t="s">
        <v>77</v>
      </c>
      <c r="E2082" t="s">
        <v>14</v>
      </c>
      <c r="F2082" t="s">
        <v>72</v>
      </c>
      <c r="G2082" s="2"/>
      <c r="H2082" t="s">
        <v>29</v>
      </c>
      <c r="K2082">
        <v>135.89610378926099</v>
      </c>
      <c r="L2082">
        <v>437.51780600223412</v>
      </c>
    </row>
    <row r="2083" spans="1:12" hidden="1" x14ac:dyDescent="0.25">
      <c r="A2083">
        <v>2023</v>
      </c>
      <c r="B2083" t="s">
        <v>66</v>
      </c>
      <c r="C2083">
        <v>1729135028.2485881</v>
      </c>
      <c r="D2083" t="s">
        <v>77</v>
      </c>
      <c r="E2083" t="s">
        <v>14</v>
      </c>
      <c r="F2083" t="s">
        <v>72</v>
      </c>
      <c r="G2083" s="2"/>
      <c r="H2083" t="s">
        <v>21</v>
      </c>
      <c r="K2083">
        <v>131.88825158196701</v>
      </c>
      <c r="L2083">
        <v>1311.060695329599</v>
      </c>
    </row>
    <row r="2084" spans="1:12" hidden="1" x14ac:dyDescent="0.25">
      <c r="A2084">
        <v>2023</v>
      </c>
      <c r="B2084" t="s">
        <v>66</v>
      </c>
      <c r="C2084">
        <v>7484435649.717515</v>
      </c>
      <c r="D2084" t="s">
        <v>77</v>
      </c>
      <c r="E2084" t="s">
        <v>14</v>
      </c>
      <c r="F2084" t="s">
        <v>72</v>
      </c>
      <c r="G2084" s="3"/>
      <c r="H2084" t="s">
        <v>19</v>
      </c>
      <c r="K2084">
        <v>137.78728757684999</v>
      </c>
      <c r="L2084">
        <v>5431.876758255451</v>
      </c>
    </row>
    <row r="2085" spans="1:12" hidden="1" x14ac:dyDescent="0.25">
      <c r="A2085">
        <v>2023</v>
      </c>
      <c r="B2085" t="s">
        <v>66</v>
      </c>
      <c r="C2085">
        <v>122197231.63841809</v>
      </c>
      <c r="D2085" t="s">
        <v>77</v>
      </c>
      <c r="E2085" t="s">
        <v>14</v>
      </c>
      <c r="F2085" t="s">
        <v>72</v>
      </c>
      <c r="G2085" s="2"/>
      <c r="H2085" t="s">
        <v>68</v>
      </c>
      <c r="K2085">
        <v>131.88825158196701</v>
      </c>
      <c r="L2085">
        <v>92.652097645311443</v>
      </c>
    </row>
    <row r="2086" spans="1:12" hidden="1" x14ac:dyDescent="0.25">
      <c r="A2086">
        <v>2023</v>
      </c>
      <c r="B2086" t="s">
        <v>66</v>
      </c>
      <c r="C2086">
        <v>766996836.15819216</v>
      </c>
      <c r="D2086" t="s">
        <v>77</v>
      </c>
      <c r="E2086" t="s">
        <v>14</v>
      </c>
      <c r="F2086" t="s">
        <v>72</v>
      </c>
      <c r="G2086" s="2"/>
      <c r="H2086" t="s">
        <v>35</v>
      </c>
      <c r="K2086">
        <v>75.235547730506298</v>
      </c>
      <c r="L2086">
        <v>1019.460692843727</v>
      </c>
    </row>
    <row r="2087" spans="1:12" hidden="1" x14ac:dyDescent="0.25">
      <c r="A2087">
        <v>2023</v>
      </c>
      <c r="B2087" t="s">
        <v>66</v>
      </c>
      <c r="C2087">
        <v>7784201525.4237299</v>
      </c>
      <c r="D2087" t="s">
        <v>77</v>
      </c>
      <c r="E2087" t="s">
        <v>14</v>
      </c>
      <c r="F2087" t="s">
        <v>72</v>
      </c>
      <c r="G2087" s="2"/>
      <c r="H2087" t="s">
        <v>51</v>
      </c>
      <c r="K2087">
        <v>122.488835983729</v>
      </c>
      <c r="L2087">
        <v>6355.0293893377811</v>
      </c>
    </row>
    <row r="2088" spans="1:12" hidden="1" x14ac:dyDescent="0.25">
      <c r="A2088">
        <v>2023</v>
      </c>
      <c r="B2088" t="s">
        <v>66</v>
      </c>
      <c r="C2088">
        <v>8817673163.8418083</v>
      </c>
      <c r="D2088" t="s">
        <v>77</v>
      </c>
      <c r="E2088" t="s">
        <v>14</v>
      </c>
      <c r="F2088" t="s">
        <v>72</v>
      </c>
      <c r="G2088" s="3"/>
      <c r="H2088" t="s">
        <v>53</v>
      </c>
      <c r="K2088">
        <v>130.65664198069601</v>
      </c>
      <c r="L2088">
        <v>6748.7370180113639</v>
      </c>
    </row>
    <row r="2089" spans="1:12" hidden="1" x14ac:dyDescent="0.25">
      <c r="A2089">
        <v>2023</v>
      </c>
      <c r="B2089" t="s">
        <v>66</v>
      </c>
      <c r="C2089">
        <v>2865883728.81356</v>
      </c>
      <c r="D2089" t="s">
        <v>77</v>
      </c>
      <c r="E2089" t="s">
        <v>14</v>
      </c>
      <c r="F2089" t="s">
        <v>72</v>
      </c>
      <c r="G2089" s="2"/>
      <c r="H2089" t="s">
        <v>45</v>
      </c>
      <c r="K2089">
        <v>126.475336095899</v>
      </c>
      <c r="L2089">
        <v>2265.9625325213801</v>
      </c>
    </row>
    <row r="2090" spans="1:12" hidden="1" x14ac:dyDescent="0.25">
      <c r="A2090">
        <v>2023</v>
      </c>
      <c r="B2090" t="s">
        <v>66</v>
      </c>
      <c r="C2090">
        <v>610696101.69491529</v>
      </c>
      <c r="D2090" t="s">
        <v>77</v>
      </c>
      <c r="E2090" t="s">
        <v>14</v>
      </c>
      <c r="F2090" t="s">
        <v>72</v>
      </c>
      <c r="G2090" s="2"/>
      <c r="H2090" t="s">
        <v>59</v>
      </c>
      <c r="K2090">
        <v>137.57038856002899</v>
      </c>
      <c r="L2090">
        <v>443.91537167785009</v>
      </c>
    </row>
    <row r="2091" spans="1:12" hidden="1" x14ac:dyDescent="0.25">
      <c r="A2091">
        <v>2023</v>
      </c>
      <c r="B2091" t="s">
        <v>66</v>
      </c>
      <c r="C2091">
        <v>431656892.6553672</v>
      </c>
      <c r="D2091" t="s">
        <v>77</v>
      </c>
      <c r="E2091" t="s">
        <v>14</v>
      </c>
      <c r="F2091" t="s">
        <v>72</v>
      </c>
      <c r="G2091" s="2"/>
      <c r="H2091" t="s">
        <v>57</v>
      </c>
      <c r="K2091">
        <v>117.406234416616</v>
      </c>
      <c r="L2091">
        <v>367.66096349162592</v>
      </c>
    </row>
    <row r="2092" spans="1:12" hidden="1" x14ac:dyDescent="0.25">
      <c r="A2092">
        <v>2023</v>
      </c>
      <c r="B2092" t="s">
        <v>66</v>
      </c>
      <c r="C2092">
        <v>3719632994.3502831</v>
      </c>
      <c r="D2092" t="s">
        <v>77</v>
      </c>
      <c r="E2092" t="s">
        <v>14</v>
      </c>
      <c r="F2092" t="s">
        <v>72</v>
      </c>
      <c r="G2092" s="3"/>
      <c r="H2092" t="s">
        <v>43</v>
      </c>
      <c r="K2092">
        <v>136.67401133375901</v>
      </c>
      <c r="L2092">
        <v>2721.536419434497</v>
      </c>
    </row>
    <row r="2093" spans="1:12" hidden="1" x14ac:dyDescent="0.25">
      <c r="A2093">
        <v>2023</v>
      </c>
      <c r="B2093" t="s">
        <v>66</v>
      </c>
      <c r="C2093">
        <v>1713957683.615819</v>
      </c>
      <c r="D2093" t="s">
        <v>77</v>
      </c>
      <c r="E2093" t="s">
        <v>14</v>
      </c>
      <c r="F2093" t="s">
        <v>72</v>
      </c>
      <c r="G2093" s="2"/>
      <c r="H2093" t="s">
        <v>31</v>
      </c>
      <c r="K2093">
        <v>126.43481259036101</v>
      </c>
      <c r="L2093">
        <v>1355.605824456678</v>
      </c>
    </row>
    <row r="2094" spans="1:12" hidden="1" x14ac:dyDescent="0.25">
      <c r="A2094">
        <v>2023</v>
      </c>
      <c r="B2094" t="s">
        <v>66</v>
      </c>
      <c r="C2094">
        <v>1423187627.118644</v>
      </c>
      <c r="D2094" t="s">
        <v>77</v>
      </c>
      <c r="E2094" t="s">
        <v>14</v>
      </c>
      <c r="F2094" t="s">
        <v>72</v>
      </c>
      <c r="G2094" s="2"/>
      <c r="H2094" t="s">
        <v>25</v>
      </c>
      <c r="K2094">
        <v>126.827473515305</v>
      </c>
      <c r="L2094">
        <v>1122.1445856105461</v>
      </c>
    </row>
    <row r="2095" spans="1:12" hidden="1" x14ac:dyDescent="0.25">
      <c r="A2095">
        <v>2023</v>
      </c>
      <c r="B2095" t="s">
        <v>66</v>
      </c>
      <c r="C2095">
        <v>4419845706.2146902</v>
      </c>
      <c r="D2095" t="s">
        <v>77</v>
      </c>
      <c r="E2095" t="s">
        <v>14</v>
      </c>
      <c r="F2095" t="s">
        <v>72</v>
      </c>
      <c r="G2095" s="2"/>
      <c r="H2095" t="s">
        <v>41</v>
      </c>
      <c r="K2095">
        <v>122.42725052420499</v>
      </c>
      <c r="L2095">
        <v>3610.181301376891</v>
      </c>
    </row>
    <row r="2096" spans="1:12" hidden="1" x14ac:dyDescent="0.25">
      <c r="A2096">
        <v>2023</v>
      </c>
      <c r="B2096" t="s">
        <v>66</v>
      </c>
      <c r="C2096">
        <v>996483785.31073439</v>
      </c>
      <c r="D2096" t="s">
        <v>77</v>
      </c>
      <c r="E2096" t="s">
        <v>14</v>
      </c>
      <c r="F2096" t="s">
        <v>72</v>
      </c>
      <c r="G2096" s="3"/>
      <c r="H2096" t="s">
        <v>27</v>
      </c>
      <c r="K2096">
        <v>121.146784451534</v>
      </c>
      <c r="L2096">
        <v>822.54249654425439</v>
      </c>
    </row>
    <row r="2097" spans="1:12" hidden="1" x14ac:dyDescent="0.25">
      <c r="A2097">
        <v>2023</v>
      </c>
      <c r="B2097" t="s">
        <v>66</v>
      </c>
      <c r="C2097">
        <v>6079228418.0790958</v>
      </c>
      <c r="D2097" t="s">
        <v>77</v>
      </c>
      <c r="E2097" t="s">
        <v>14</v>
      </c>
      <c r="F2097" t="s">
        <v>72</v>
      </c>
      <c r="G2097" s="2"/>
      <c r="H2097" t="s">
        <v>49</v>
      </c>
      <c r="K2097">
        <v>115.498414548615</v>
      </c>
      <c r="L2097">
        <v>5263.4734786946001</v>
      </c>
    </row>
    <row r="2098" spans="1:12" hidden="1" x14ac:dyDescent="0.25">
      <c r="A2098">
        <v>2023</v>
      </c>
      <c r="B2098" t="s">
        <v>66</v>
      </c>
      <c r="C2098">
        <v>4640144576.2711859</v>
      </c>
      <c r="D2098" t="s">
        <v>77</v>
      </c>
      <c r="E2098" t="s">
        <v>14</v>
      </c>
      <c r="F2098" t="s">
        <v>72</v>
      </c>
      <c r="G2098" s="2"/>
      <c r="H2098" t="s">
        <v>47</v>
      </c>
      <c r="K2098">
        <v>134.05703540769301</v>
      </c>
      <c r="L2098">
        <v>3461.3211922519549</v>
      </c>
    </row>
    <row r="2099" spans="1:12" hidden="1" x14ac:dyDescent="0.25">
      <c r="A2099">
        <v>2023</v>
      </c>
      <c r="B2099" t="s">
        <v>66</v>
      </c>
      <c r="C2099">
        <v>1467440056.497175</v>
      </c>
      <c r="D2099" t="s">
        <v>77</v>
      </c>
      <c r="E2099" t="s">
        <v>14</v>
      </c>
      <c r="F2099" t="s">
        <v>72</v>
      </c>
      <c r="G2099" s="2"/>
      <c r="H2099" t="s">
        <v>39</v>
      </c>
      <c r="K2099">
        <v>131.56240089822001</v>
      </c>
      <c r="L2099">
        <v>1115.39470736204</v>
      </c>
    </row>
    <row r="2100" spans="1:12" hidden="1" x14ac:dyDescent="0.25">
      <c r="A2100">
        <v>2023</v>
      </c>
      <c r="B2100" t="s">
        <v>66</v>
      </c>
      <c r="C2100">
        <v>4536020508.474577</v>
      </c>
      <c r="D2100" t="s">
        <v>77</v>
      </c>
      <c r="E2100" t="s">
        <v>14</v>
      </c>
      <c r="F2100" t="s">
        <v>72</v>
      </c>
      <c r="G2100" s="3"/>
      <c r="H2100" t="s">
        <v>23</v>
      </c>
      <c r="K2100">
        <v>122.71316266715</v>
      </c>
      <c r="L2100">
        <v>3696.4416936903372</v>
      </c>
    </row>
    <row r="2101" spans="1:12" hidden="1" x14ac:dyDescent="0.25">
      <c r="A2101">
        <v>2023</v>
      </c>
      <c r="B2101" t="s">
        <v>66</v>
      </c>
      <c r="C2101">
        <v>4050948700.5649719</v>
      </c>
      <c r="D2101" t="s">
        <v>77</v>
      </c>
      <c r="E2101" t="s">
        <v>14</v>
      </c>
      <c r="F2101" t="s">
        <v>72</v>
      </c>
      <c r="G2101" s="2"/>
      <c r="H2101" t="s">
        <v>37</v>
      </c>
      <c r="K2101">
        <v>131.56240089822001</v>
      </c>
      <c r="L2101">
        <v>3079.108220059687</v>
      </c>
    </row>
    <row r="2102" spans="1:12" hidden="1" x14ac:dyDescent="0.25">
      <c r="A2102">
        <v>2023</v>
      </c>
      <c r="B2102" t="s">
        <v>66</v>
      </c>
      <c r="C2102">
        <v>3521800451.9774008</v>
      </c>
      <c r="D2102" t="s">
        <v>77</v>
      </c>
      <c r="E2102" t="s">
        <v>14</v>
      </c>
      <c r="F2102" t="s">
        <v>72</v>
      </c>
      <c r="G2102" s="2"/>
      <c r="H2102" t="s">
        <v>55</v>
      </c>
      <c r="K2102">
        <v>117.406234416616</v>
      </c>
      <c r="L2102">
        <v>2999.6707325441448</v>
      </c>
    </row>
    <row r="2103" spans="1:12" hidden="1" x14ac:dyDescent="0.25">
      <c r="A2103">
        <v>2023</v>
      </c>
      <c r="B2103" t="s">
        <v>66</v>
      </c>
      <c r="C2103">
        <v>174335423.72881359</v>
      </c>
      <c r="D2103" t="s">
        <v>77</v>
      </c>
      <c r="E2103" t="s">
        <v>14</v>
      </c>
      <c r="F2103" t="s">
        <v>72</v>
      </c>
      <c r="G2103" s="2"/>
      <c r="H2103" t="s">
        <v>33</v>
      </c>
      <c r="K2103">
        <v>133.89448111026101</v>
      </c>
      <c r="L2103">
        <v>130.20359187564259</v>
      </c>
    </row>
    <row r="2104" spans="1:12" hidden="1" x14ac:dyDescent="0.25">
      <c r="A2104">
        <v>2023</v>
      </c>
      <c r="B2104" t="s">
        <v>66</v>
      </c>
      <c r="C2104">
        <v>98468361.581920907</v>
      </c>
      <c r="D2104" t="s">
        <v>77</v>
      </c>
      <c r="E2104" t="s">
        <v>14</v>
      </c>
      <c r="F2104" t="s">
        <v>72</v>
      </c>
      <c r="G2104" s="3"/>
      <c r="H2104" t="s">
        <v>61</v>
      </c>
      <c r="K2104">
        <v>141.34852687948501</v>
      </c>
      <c r="L2104">
        <v>69.663521619773149</v>
      </c>
    </row>
    <row r="2105" spans="1:12" hidden="1" x14ac:dyDescent="0.25">
      <c r="A2105">
        <v>2023</v>
      </c>
      <c r="B2105" t="s">
        <v>66</v>
      </c>
      <c r="C2105">
        <v>742779661.01694918</v>
      </c>
      <c r="D2105" t="s">
        <v>77</v>
      </c>
      <c r="E2105" t="s">
        <v>14</v>
      </c>
      <c r="F2105" t="s">
        <v>72</v>
      </c>
      <c r="G2105" s="2"/>
      <c r="H2105" t="s">
        <v>29</v>
      </c>
      <c r="K2105">
        <v>138.02464258179401</v>
      </c>
      <c r="L2105">
        <v>538.15003402510138</v>
      </c>
    </row>
    <row r="2106" spans="1:12" hidden="1" x14ac:dyDescent="0.25">
      <c r="A2106">
        <v>2021</v>
      </c>
      <c r="B2106" t="s">
        <v>12</v>
      </c>
      <c r="C2106">
        <v>2389544873.0576768</v>
      </c>
      <c r="D2106" t="s">
        <v>77</v>
      </c>
      <c r="E2106" t="s">
        <v>14</v>
      </c>
      <c r="F2106" t="s">
        <v>75</v>
      </c>
      <c r="G2106" s="2"/>
      <c r="H2106" t="s">
        <v>21</v>
      </c>
      <c r="K2106">
        <v>112.85003295356999</v>
      </c>
      <c r="L2106">
        <v>2117.4516395939472</v>
      </c>
    </row>
    <row r="2107" spans="1:12" hidden="1" x14ac:dyDescent="0.25">
      <c r="A2107">
        <v>2021</v>
      </c>
      <c r="B2107" t="s">
        <v>12</v>
      </c>
      <c r="C2107">
        <v>8326624483.5396042</v>
      </c>
      <c r="D2107" t="s">
        <v>77</v>
      </c>
      <c r="E2107" t="s">
        <v>14</v>
      </c>
      <c r="F2107" t="s">
        <v>75</v>
      </c>
      <c r="G2107" s="2"/>
      <c r="H2107" t="s">
        <v>19</v>
      </c>
      <c r="K2107">
        <v>108.85802305479</v>
      </c>
      <c r="L2107">
        <v>7649.0682541135993</v>
      </c>
    </row>
    <row r="2108" spans="1:12" hidden="1" x14ac:dyDescent="0.25">
      <c r="A2108">
        <v>2021</v>
      </c>
      <c r="B2108" t="s">
        <v>12</v>
      </c>
      <c r="C2108">
        <v>362486055.83355278</v>
      </c>
      <c r="D2108" t="s">
        <v>77</v>
      </c>
      <c r="E2108" t="s">
        <v>14</v>
      </c>
      <c r="F2108" t="s">
        <v>75</v>
      </c>
      <c r="G2108" s="3"/>
      <c r="H2108" t="s">
        <v>51</v>
      </c>
      <c r="K2108">
        <v>106.47234528849</v>
      </c>
      <c r="L2108">
        <v>340.45089816645441</v>
      </c>
    </row>
    <row r="2109" spans="1:12" hidden="1" x14ac:dyDescent="0.25">
      <c r="A2109">
        <v>2021</v>
      </c>
      <c r="B2109" t="s">
        <v>12</v>
      </c>
      <c r="C2109">
        <v>476058182.77587593</v>
      </c>
      <c r="D2109" t="s">
        <v>77</v>
      </c>
      <c r="E2109" t="s">
        <v>14</v>
      </c>
      <c r="F2109" t="s">
        <v>75</v>
      </c>
      <c r="G2109" s="2"/>
      <c r="H2109" t="s">
        <v>53</v>
      </c>
      <c r="K2109">
        <v>106.47234528849</v>
      </c>
      <c r="L2109">
        <v>447.11909133398171</v>
      </c>
    </row>
    <row r="2110" spans="1:12" hidden="1" x14ac:dyDescent="0.25">
      <c r="A2110">
        <v>2021</v>
      </c>
      <c r="B2110" t="s">
        <v>12</v>
      </c>
      <c r="C2110">
        <v>578765421.12193775</v>
      </c>
      <c r="D2110" t="s">
        <v>77</v>
      </c>
      <c r="E2110" t="s">
        <v>14</v>
      </c>
      <c r="F2110" t="s">
        <v>75</v>
      </c>
      <c r="G2110" s="2"/>
      <c r="H2110" t="s">
        <v>45</v>
      </c>
      <c r="K2110">
        <v>124.66113428208</v>
      </c>
      <c r="L2110">
        <v>464.27094094324718</v>
      </c>
    </row>
    <row r="2111" spans="1:12" hidden="1" x14ac:dyDescent="0.25">
      <c r="A2111">
        <v>2021</v>
      </c>
      <c r="B2111" t="s">
        <v>12</v>
      </c>
      <c r="C2111">
        <v>234008211.74611539</v>
      </c>
      <c r="D2111" t="s">
        <v>77</v>
      </c>
      <c r="E2111" t="s">
        <v>14</v>
      </c>
      <c r="F2111" t="s">
        <v>75</v>
      </c>
      <c r="G2111" s="2"/>
      <c r="H2111" t="s">
        <v>59</v>
      </c>
      <c r="K2111">
        <v>143.65737313291001</v>
      </c>
      <c r="L2111">
        <v>162.89328326337551</v>
      </c>
    </row>
    <row r="2112" spans="1:12" hidden="1" x14ac:dyDescent="0.25">
      <c r="A2112">
        <v>2021</v>
      </c>
      <c r="B2112" t="s">
        <v>12</v>
      </c>
      <c r="C2112">
        <v>16716264.155912559</v>
      </c>
      <c r="D2112" t="s">
        <v>77</v>
      </c>
      <c r="E2112" t="s">
        <v>14</v>
      </c>
      <c r="F2112" t="s">
        <v>75</v>
      </c>
      <c r="G2112" s="3"/>
      <c r="H2112" t="s">
        <v>57</v>
      </c>
      <c r="K2112">
        <v>106.47234528849</v>
      </c>
      <c r="L2112">
        <v>15.70009950529346</v>
      </c>
    </row>
    <row r="2113" spans="1:12" hidden="1" x14ac:dyDescent="0.25">
      <c r="A2113">
        <v>2021</v>
      </c>
      <c r="B2113" t="s">
        <v>12</v>
      </c>
      <c r="C2113">
        <v>1147276876.4814341</v>
      </c>
      <c r="D2113" t="s">
        <v>77</v>
      </c>
      <c r="E2113" t="s">
        <v>14</v>
      </c>
      <c r="F2113" t="s">
        <v>75</v>
      </c>
      <c r="G2113" s="2"/>
      <c r="H2113" t="s">
        <v>43</v>
      </c>
      <c r="K2113">
        <v>124.66113428208</v>
      </c>
      <c r="L2113">
        <v>920.316410634774</v>
      </c>
    </row>
    <row r="2114" spans="1:12" hidden="1" x14ac:dyDescent="0.25">
      <c r="A2114">
        <v>2021</v>
      </c>
      <c r="B2114" t="s">
        <v>12</v>
      </c>
      <c r="C2114">
        <v>2073621078.219646</v>
      </c>
      <c r="D2114" t="s">
        <v>77</v>
      </c>
      <c r="E2114" t="s">
        <v>14</v>
      </c>
      <c r="F2114" t="s">
        <v>75</v>
      </c>
      <c r="G2114" s="2"/>
      <c r="H2114" t="s">
        <v>31</v>
      </c>
      <c r="K2114">
        <v>94.206586225303994</v>
      </c>
      <c r="L2114">
        <v>2201.142363083176</v>
      </c>
    </row>
    <row r="2115" spans="1:12" hidden="1" x14ac:dyDescent="0.25">
      <c r="A2115">
        <v>2021</v>
      </c>
      <c r="B2115" t="s">
        <v>12</v>
      </c>
      <c r="C2115">
        <v>61466485.383197322</v>
      </c>
      <c r="D2115" t="s">
        <v>77</v>
      </c>
      <c r="E2115" t="s">
        <v>14</v>
      </c>
      <c r="F2115" t="s">
        <v>75</v>
      </c>
      <c r="G2115" s="2"/>
      <c r="H2115" t="s">
        <v>25</v>
      </c>
      <c r="K2115">
        <v>69.374466842382006</v>
      </c>
      <c r="L2115">
        <v>88.601020203655722</v>
      </c>
    </row>
    <row r="2116" spans="1:12" hidden="1" x14ac:dyDescent="0.25">
      <c r="A2116">
        <v>2021</v>
      </c>
      <c r="B2116" t="s">
        <v>12</v>
      </c>
      <c r="C2116">
        <v>947218054.51672292</v>
      </c>
      <c r="D2116" t="s">
        <v>77</v>
      </c>
      <c r="E2116" t="s">
        <v>14</v>
      </c>
      <c r="F2116" t="s">
        <v>75</v>
      </c>
      <c r="G2116" s="3"/>
      <c r="H2116" t="s">
        <v>41</v>
      </c>
      <c r="K2116">
        <v>115.300264502</v>
      </c>
      <c r="L2116">
        <v>821.5228808085626</v>
      </c>
    </row>
    <row r="2117" spans="1:12" hidden="1" x14ac:dyDescent="0.25">
      <c r="A2117">
        <v>2021</v>
      </c>
      <c r="B2117" t="s">
        <v>12</v>
      </c>
      <c r="C2117">
        <v>34907166.183829337</v>
      </c>
      <c r="D2117" t="s">
        <v>77</v>
      </c>
      <c r="E2117" t="s">
        <v>14</v>
      </c>
      <c r="F2117" t="s">
        <v>75</v>
      </c>
      <c r="G2117" s="2"/>
      <c r="H2117" t="s">
        <v>27</v>
      </c>
      <c r="K2117">
        <v>69.374466842382006</v>
      </c>
      <c r="L2117">
        <v>50.317022634765642</v>
      </c>
    </row>
    <row r="2118" spans="1:12" hidden="1" x14ac:dyDescent="0.25">
      <c r="A2118">
        <v>2021</v>
      </c>
      <c r="B2118" t="s">
        <v>12</v>
      </c>
      <c r="C2118">
        <v>1839331.0508296019</v>
      </c>
      <c r="D2118" t="s">
        <v>77</v>
      </c>
      <c r="E2118" t="s">
        <v>14</v>
      </c>
      <c r="F2118" t="s">
        <v>75</v>
      </c>
      <c r="G2118" s="2"/>
      <c r="H2118" t="s">
        <v>49</v>
      </c>
      <c r="K2118">
        <v>106.47234528849</v>
      </c>
      <c r="L2118">
        <v>1.7275199920184721</v>
      </c>
    </row>
    <row r="2119" spans="1:12" hidden="1" x14ac:dyDescent="0.25">
      <c r="A2119">
        <v>2021</v>
      </c>
      <c r="B2119" t="s">
        <v>12</v>
      </c>
      <c r="C2119">
        <v>1071104044.508823</v>
      </c>
      <c r="D2119" t="s">
        <v>77</v>
      </c>
      <c r="E2119" t="s">
        <v>14</v>
      </c>
      <c r="F2119" t="s">
        <v>75</v>
      </c>
      <c r="G2119" s="2"/>
      <c r="H2119" t="s">
        <v>47</v>
      </c>
      <c r="K2119">
        <v>106.47234528849</v>
      </c>
      <c r="L2119">
        <v>1005.992721966098</v>
      </c>
    </row>
    <row r="2120" spans="1:12" hidden="1" x14ac:dyDescent="0.25">
      <c r="A2120">
        <v>2021</v>
      </c>
      <c r="B2120" t="s">
        <v>12</v>
      </c>
      <c r="C2120">
        <v>811044004.47721851</v>
      </c>
      <c r="D2120" t="s">
        <v>77</v>
      </c>
      <c r="E2120" t="s">
        <v>14</v>
      </c>
      <c r="F2120" t="s">
        <v>75</v>
      </c>
      <c r="G2120" s="3"/>
      <c r="H2120" t="s">
        <v>39</v>
      </c>
      <c r="K2120">
        <v>115.300264502</v>
      </c>
      <c r="L2120">
        <v>703.41903202065089</v>
      </c>
    </row>
    <row r="2121" spans="1:12" hidden="1" x14ac:dyDescent="0.25">
      <c r="A2121">
        <v>2021</v>
      </c>
      <c r="B2121" t="s">
        <v>12</v>
      </c>
      <c r="C2121">
        <v>153838542.27021331</v>
      </c>
      <c r="D2121" t="s">
        <v>77</v>
      </c>
      <c r="E2121" t="s">
        <v>14</v>
      </c>
      <c r="F2121" t="s">
        <v>75</v>
      </c>
      <c r="G2121" s="2"/>
      <c r="H2121" t="s">
        <v>23</v>
      </c>
      <c r="K2121">
        <v>69.374466842382006</v>
      </c>
      <c r="L2121">
        <v>221.7509543096493</v>
      </c>
    </row>
    <row r="2122" spans="1:12" hidden="1" x14ac:dyDescent="0.25">
      <c r="A2122">
        <v>2021</v>
      </c>
      <c r="B2122" t="s">
        <v>12</v>
      </c>
      <c r="C2122">
        <v>3661857221.2272911</v>
      </c>
      <c r="D2122" t="s">
        <v>77</v>
      </c>
      <c r="E2122" t="s">
        <v>14</v>
      </c>
      <c r="F2122" t="s">
        <v>75</v>
      </c>
      <c r="G2122" s="2"/>
      <c r="H2122" t="s">
        <v>37</v>
      </c>
      <c r="K2122">
        <v>115.300264502</v>
      </c>
      <c r="L2122">
        <v>3175.9313276889939</v>
      </c>
    </row>
    <row r="2123" spans="1:12" hidden="1" x14ac:dyDescent="0.25">
      <c r="A2123">
        <v>2021</v>
      </c>
      <c r="B2123" t="s">
        <v>12</v>
      </c>
      <c r="C2123">
        <v>23975136.950223871</v>
      </c>
      <c r="D2123" t="s">
        <v>77</v>
      </c>
      <c r="E2123" t="s">
        <v>14</v>
      </c>
      <c r="F2123" t="s">
        <v>75</v>
      </c>
      <c r="G2123" s="2"/>
      <c r="H2123" t="s">
        <v>55</v>
      </c>
      <c r="K2123">
        <v>106.47234528849</v>
      </c>
      <c r="L2123">
        <v>22.517712825112021</v>
      </c>
    </row>
    <row r="2124" spans="1:12" hidden="1" x14ac:dyDescent="0.25">
      <c r="A2124">
        <v>2021</v>
      </c>
      <c r="B2124" t="s">
        <v>12</v>
      </c>
      <c r="C2124">
        <v>110310259.67869361</v>
      </c>
      <c r="D2124" t="s">
        <v>77</v>
      </c>
      <c r="E2124" t="s">
        <v>14</v>
      </c>
      <c r="F2124" t="s">
        <v>75</v>
      </c>
      <c r="G2124" s="3"/>
      <c r="H2124" t="s">
        <v>33</v>
      </c>
      <c r="K2124">
        <v>94.206586225303994</v>
      </c>
      <c r="L2124">
        <v>117.0939995796856</v>
      </c>
    </row>
    <row r="2125" spans="1:12" hidden="1" x14ac:dyDescent="0.25">
      <c r="A2125">
        <v>2021</v>
      </c>
      <c r="B2125" t="s">
        <v>12</v>
      </c>
      <c r="C2125">
        <v>53265762.444034763</v>
      </c>
      <c r="D2125" t="s">
        <v>77</v>
      </c>
      <c r="E2125" t="s">
        <v>14</v>
      </c>
      <c r="F2125" t="s">
        <v>75</v>
      </c>
      <c r="G2125" s="2"/>
      <c r="H2125" t="s">
        <v>61</v>
      </c>
      <c r="K2125">
        <v>110.55212475787999</v>
      </c>
      <c r="L2125">
        <v>48.181581820061808</v>
      </c>
    </row>
    <row r="2126" spans="1:12" hidden="1" x14ac:dyDescent="0.25">
      <c r="A2126">
        <v>2021</v>
      </c>
      <c r="B2126" t="s">
        <v>12</v>
      </c>
      <c r="C2126">
        <v>2086596531.998946</v>
      </c>
      <c r="D2126" t="s">
        <v>77</v>
      </c>
      <c r="E2126" t="s">
        <v>14</v>
      </c>
      <c r="F2126" t="s">
        <v>75</v>
      </c>
      <c r="G2126" s="2"/>
      <c r="H2126" t="s">
        <v>29</v>
      </c>
      <c r="K2126">
        <v>143.65737313291001</v>
      </c>
      <c r="L2126">
        <v>1452.481335621007</v>
      </c>
    </row>
    <row r="2127" spans="1:12" hidden="1" x14ac:dyDescent="0.25">
      <c r="A2127">
        <v>2021</v>
      </c>
      <c r="B2127" t="s">
        <v>12</v>
      </c>
      <c r="C2127">
        <v>695923079.00974381</v>
      </c>
      <c r="D2127" t="s">
        <v>77</v>
      </c>
      <c r="E2127" t="s">
        <v>14</v>
      </c>
      <c r="F2127" t="s">
        <v>75</v>
      </c>
      <c r="G2127" s="2"/>
      <c r="H2127" t="s">
        <v>63</v>
      </c>
      <c r="K2127">
        <v>106.47234528849</v>
      </c>
      <c r="L2127">
        <v>653.61862474628447</v>
      </c>
    </row>
    <row r="2128" spans="1:12" hidden="1" x14ac:dyDescent="0.25">
      <c r="A2128">
        <v>2021</v>
      </c>
      <c r="B2128" t="s">
        <v>66</v>
      </c>
      <c r="C2128">
        <v>12593393152.709351</v>
      </c>
      <c r="D2128" t="s">
        <v>77</v>
      </c>
      <c r="E2128" t="s">
        <v>14</v>
      </c>
      <c r="F2128" t="s">
        <v>75</v>
      </c>
      <c r="G2128" s="3"/>
      <c r="H2128" t="s">
        <v>21</v>
      </c>
      <c r="K2128">
        <v>114.588591483131</v>
      </c>
      <c r="L2128">
        <v>10990.09333277587</v>
      </c>
    </row>
    <row r="2129" spans="1:12" hidden="1" x14ac:dyDescent="0.25">
      <c r="A2129">
        <v>2021</v>
      </c>
      <c r="B2129" t="s">
        <v>66</v>
      </c>
      <c r="C2129">
        <v>27998783152.709339</v>
      </c>
      <c r="D2129" t="s">
        <v>77</v>
      </c>
      <c r="E2129" t="s">
        <v>14</v>
      </c>
      <c r="F2129" t="s">
        <v>75</v>
      </c>
      <c r="G2129" s="2"/>
      <c r="H2129" t="s">
        <v>19</v>
      </c>
      <c r="K2129">
        <v>116.18765921948599</v>
      </c>
      <c r="L2129">
        <v>24097.897608745028</v>
      </c>
    </row>
    <row r="2130" spans="1:12" hidden="1" x14ac:dyDescent="0.25">
      <c r="A2130">
        <v>2021</v>
      </c>
      <c r="B2130" t="s">
        <v>66</v>
      </c>
      <c r="C2130">
        <v>431662364.53201962</v>
      </c>
      <c r="D2130" t="s">
        <v>77</v>
      </c>
      <c r="E2130" t="s">
        <v>14</v>
      </c>
      <c r="F2130" t="s">
        <v>75</v>
      </c>
      <c r="G2130" s="2"/>
      <c r="H2130" t="s">
        <v>68</v>
      </c>
      <c r="K2130">
        <v>114.588591483131</v>
      </c>
      <c r="L2130">
        <v>376.70623134901359</v>
      </c>
    </row>
    <row r="2131" spans="1:12" hidden="1" x14ac:dyDescent="0.25">
      <c r="A2131">
        <v>2021</v>
      </c>
      <c r="B2131" t="s">
        <v>66</v>
      </c>
      <c r="C2131">
        <v>9923889014.778326</v>
      </c>
      <c r="D2131" t="s">
        <v>77</v>
      </c>
      <c r="E2131" t="s">
        <v>14</v>
      </c>
      <c r="F2131" t="s">
        <v>75</v>
      </c>
      <c r="G2131" s="2"/>
      <c r="H2131" t="s">
        <v>35</v>
      </c>
      <c r="K2131">
        <v>101.249897488305</v>
      </c>
      <c r="L2131">
        <v>9801.3817899663536</v>
      </c>
    </row>
    <row r="2132" spans="1:12" hidden="1" x14ac:dyDescent="0.25">
      <c r="A2132">
        <v>2021</v>
      </c>
      <c r="B2132" t="s">
        <v>66</v>
      </c>
      <c r="C2132">
        <v>13505348374.38422</v>
      </c>
      <c r="D2132" t="s">
        <v>77</v>
      </c>
      <c r="E2132" t="s">
        <v>14</v>
      </c>
      <c r="F2132" t="s">
        <v>75</v>
      </c>
      <c r="G2132" s="3"/>
      <c r="H2132" t="s">
        <v>51</v>
      </c>
      <c r="K2132">
        <v>110.091234626415</v>
      </c>
      <c r="L2132">
        <v>12267.414767591121</v>
      </c>
    </row>
    <row r="2133" spans="1:12" hidden="1" x14ac:dyDescent="0.25">
      <c r="A2133">
        <v>2021</v>
      </c>
      <c r="B2133" t="s">
        <v>66</v>
      </c>
      <c r="C2133">
        <v>16521017586.20689</v>
      </c>
      <c r="D2133" t="s">
        <v>77</v>
      </c>
      <c r="E2133" t="s">
        <v>14</v>
      </c>
      <c r="F2133" t="s">
        <v>75</v>
      </c>
      <c r="G2133" s="2"/>
      <c r="H2133" t="s">
        <v>53</v>
      </c>
      <c r="K2133">
        <v>111.424704413977</v>
      </c>
      <c r="L2133">
        <v>14827.068802288441</v>
      </c>
    </row>
    <row r="2134" spans="1:12" hidden="1" x14ac:dyDescent="0.25">
      <c r="A2134">
        <v>2021</v>
      </c>
      <c r="B2134" t="s">
        <v>66</v>
      </c>
      <c r="C2134">
        <v>13251019359.605909</v>
      </c>
      <c r="D2134" t="s">
        <v>77</v>
      </c>
      <c r="E2134" t="s">
        <v>14</v>
      </c>
      <c r="F2134" t="s">
        <v>75</v>
      </c>
      <c r="G2134" s="2"/>
      <c r="H2134" t="s">
        <v>45</v>
      </c>
      <c r="K2134">
        <v>141.21332900058599</v>
      </c>
      <c r="L2134">
        <v>9383.6888156293826</v>
      </c>
    </row>
    <row r="2135" spans="1:12" hidden="1" x14ac:dyDescent="0.25">
      <c r="A2135">
        <v>2021</v>
      </c>
      <c r="B2135" t="s">
        <v>66</v>
      </c>
      <c r="C2135">
        <v>954472216.74876809</v>
      </c>
      <c r="D2135" t="s">
        <v>77</v>
      </c>
      <c r="E2135" t="s">
        <v>14</v>
      </c>
      <c r="F2135" t="s">
        <v>75</v>
      </c>
      <c r="G2135" s="2"/>
      <c r="H2135" t="s">
        <v>59</v>
      </c>
      <c r="K2135">
        <v>113.656804391549</v>
      </c>
      <c r="L2135">
        <v>839.78449144197327</v>
      </c>
    </row>
    <row r="2136" spans="1:12" hidden="1" x14ac:dyDescent="0.25">
      <c r="A2136">
        <v>2021</v>
      </c>
      <c r="B2136" t="s">
        <v>66</v>
      </c>
      <c r="C2136">
        <v>901059261.08374369</v>
      </c>
      <c r="D2136" t="s">
        <v>77</v>
      </c>
      <c r="E2136" t="s">
        <v>14</v>
      </c>
      <c r="F2136" t="s">
        <v>75</v>
      </c>
      <c r="G2136" s="3"/>
      <c r="H2136" t="s">
        <v>57</v>
      </c>
      <c r="K2136">
        <v>112.92894634856199</v>
      </c>
      <c r="L2136">
        <v>797.89928996819833</v>
      </c>
    </row>
    <row r="2137" spans="1:12" hidden="1" x14ac:dyDescent="0.25">
      <c r="A2137">
        <v>2021</v>
      </c>
      <c r="B2137" t="s">
        <v>66</v>
      </c>
      <c r="C2137">
        <v>11072676551.72414</v>
      </c>
      <c r="D2137" t="s">
        <v>77</v>
      </c>
      <c r="E2137" t="s">
        <v>14</v>
      </c>
      <c r="F2137" t="s">
        <v>75</v>
      </c>
      <c r="G2137" s="2"/>
      <c r="H2137" t="s">
        <v>43</v>
      </c>
      <c r="K2137">
        <v>112.951814443289</v>
      </c>
      <c r="L2137">
        <v>9803.0090143293146</v>
      </c>
    </row>
    <row r="2138" spans="1:12" hidden="1" x14ac:dyDescent="0.25">
      <c r="A2138">
        <v>2021</v>
      </c>
      <c r="B2138" t="s">
        <v>66</v>
      </c>
      <c r="C2138">
        <v>4404324876.84729</v>
      </c>
      <c r="D2138" t="s">
        <v>77</v>
      </c>
      <c r="E2138" t="s">
        <v>14</v>
      </c>
      <c r="F2138" t="s">
        <v>75</v>
      </c>
      <c r="G2138" s="2"/>
      <c r="H2138" t="s">
        <v>31</v>
      </c>
      <c r="K2138">
        <v>112.392064602288</v>
      </c>
      <c r="L2138">
        <v>3918.7151623493091</v>
      </c>
    </row>
    <row r="2139" spans="1:12" hidden="1" x14ac:dyDescent="0.25">
      <c r="A2139">
        <v>2021</v>
      </c>
      <c r="B2139" t="s">
        <v>66</v>
      </c>
      <c r="C2139">
        <v>2245818078.8177352</v>
      </c>
      <c r="D2139" t="s">
        <v>77</v>
      </c>
      <c r="E2139" t="s">
        <v>14</v>
      </c>
      <c r="F2139" t="s">
        <v>75</v>
      </c>
      <c r="G2139" s="2"/>
      <c r="H2139" t="s">
        <v>25</v>
      </c>
      <c r="K2139">
        <v>118.49318137442501</v>
      </c>
      <c r="L2139">
        <v>1895.314188350809</v>
      </c>
    </row>
    <row r="2140" spans="1:12" hidden="1" x14ac:dyDescent="0.25">
      <c r="A2140">
        <v>2021</v>
      </c>
      <c r="B2140" t="s">
        <v>66</v>
      </c>
      <c r="C2140">
        <v>9147394187.192112</v>
      </c>
      <c r="D2140" t="s">
        <v>77</v>
      </c>
      <c r="E2140" t="s">
        <v>14</v>
      </c>
      <c r="F2140" t="s">
        <v>75</v>
      </c>
      <c r="G2140" s="3"/>
      <c r="H2140" t="s">
        <v>41</v>
      </c>
      <c r="K2140">
        <v>110.98105301320901</v>
      </c>
      <c r="L2140">
        <v>8242.3025722267976</v>
      </c>
    </row>
    <row r="2141" spans="1:12" hidden="1" x14ac:dyDescent="0.25">
      <c r="A2141">
        <v>2021</v>
      </c>
      <c r="B2141" t="s">
        <v>66</v>
      </c>
      <c r="C2141">
        <v>1319679753.694582</v>
      </c>
      <c r="D2141" t="s">
        <v>77</v>
      </c>
      <c r="E2141" t="s">
        <v>14</v>
      </c>
      <c r="F2141" t="s">
        <v>75</v>
      </c>
      <c r="G2141" s="2"/>
      <c r="H2141" t="s">
        <v>27</v>
      </c>
      <c r="K2141">
        <v>107.07734755600499</v>
      </c>
      <c r="L2141">
        <v>1232.4546543369929</v>
      </c>
    </row>
    <row r="2142" spans="1:12" hidden="1" x14ac:dyDescent="0.25">
      <c r="A2142">
        <v>2021</v>
      </c>
      <c r="B2142" t="s">
        <v>66</v>
      </c>
      <c r="C2142">
        <v>6976852463.0541868</v>
      </c>
      <c r="D2142" t="s">
        <v>77</v>
      </c>
      <c r="E2142" t="s">
        <v>14</v>
      </c>
      <c r="F2142" t="s">
        <v>75</v>
      </c>
      <c r="G2142" s="2"/>
      <c r="H2142" t="s">
        <v>49</v>
      </c>
      <c r="K2142">
        <v>106.928543554746</v>
      </c>
      <c r="L2142">
        <v>6524.7802234228793</v>
      </c>
    </row>
    <row r="2143" spans="1:12" hidden="1" x14ac:dyDescent="0.25">
      <c r="A2143">
        <v>2021</v>
      </c>
      <c r="B2143" t="s">
        <v>66</v>
      </c>
      <c r="C2143">
        <v>10648110295.566521</v>
      </c>
      <c r="D2143" t="s">
        <v>77</v>
      </c>
      <c r="E2143" t="s">
        <v>14</v>
      </c>
      <c r="F2143" t="s">
        <v>75</v>
      </c>
      <c r="G2143" s="2"/>
      <c r="H2143" t="s">
        <v>47</v>
      </c>
      <c r="K2143">
        <v>121.868271296408</v>
      </c>
      <c r="L2143">
        <v>8737.393402149919</v>
      </c>
    </row>
    <row r="2144" spans="1:12" hidden="1" x14ac:dyDescent="0.25">
      <c r="A2144">
        <v>2021</v>
      </c>
      <c r="B2144" t="s">
        <v>66</v>
      </c>
      <c r="C2144">
        <v>1861006108.3743839</v>
      </c>
      <c r="D2144" t="s">
        <v>77</v>
      </c>
      <c r="E2144" t="s">
        <v>14</v>
      </c>
      <c r="F2144" t="s">
        <v>75</v>
      </c>
      <c r="G2144" s="3"/>
      <c r="H2144" t="s">
        <v>39</v>
      </c>
      <c r="K2144">
        <v>108.877296090838</v>
      </c>
      <c r="L2144">
        <v>1709.269218829349</v>
      </c>
    </row>
    <row r="2145" spans="1:12" hidden="1" x14ac:dyDescent="0.25">
      <c r="A2145">
        <v>2021</v>
      </c>
      <c r="B2145" t="s">
        <v>66</v>
      </c>
      <c r="C2145">
        <v>7725911133.0049171</v>
      </c>
      <c r="D2145" t="s">
        <v>77</v>
      </c>
      <c r="E2145" t="s">
        <v>14</v>
      </c>
      <c r="F2145" t="s">
        <v>75</v>
      </c>
      <c r="G2145" s="2"/>
      <c r="H2145" t="s">
        <v>23</v>
      </c>
      <c r="K2145">
        <v>113.699368348429</v>
      </c>
      <c r="L2145">
        <v>6795.0343482375783</v>
      </c>
    </row>
    <row r="2146" spans="1:12" hidden="1" x14ac:dyDescent="0.25">
      <c r="A2146">
        <v>2021</v>
      </c>
      <c r="B2146" t="s">
        <v>66</v>
      </c>
      <c r="C2146">
        <v>14550055517.24139</v>
      </c>
      <c r="D2146" t="s">
        <v>77</v>
      </c>
      <c r="E2146" t="s">
        <v>14</v>
      </c>
      <c r="F2146" t="s">
        <v>75</v>
      </c>
      <c r="G2146" s="2"/>
      <c r="H2146" t="s">
        <v>37</v>
      </c>
      <c r="K2146">
        <v>108.877296090838</v>
      </c>
      <c r="L2146">
        <v>13363.718644428909</v>
      </c>
    </row>
    <row r="2147" spans="1:12" hidden="1" x14ac:dyDescent="0.25">
      <c r="A2147">
        <v>2021</v>
      </c>
      <c r="B2147" t="s">
        <v>66</v>
      </c>
      <c r="C2147">
        <v>18361438965.517269</v>
      </c>
      <c r="D2147" t="s">
        <v>77</v>
      </c>
      <c r="E2147" t="s">
        <v>14</v>
      </c>
      <c r="F2147" t="s">
        <v>75</v>
      </c>
      <c r="G2147" s="2"/>
      <c r="H2147" t="s">
        <v>55</v>
      </c>
      <c r="K2147">
        <v>112.92894634856199</v>
      </c>
      <c r="L2147">
        <v>16259.284761980851</v>
      </c>
    </row>
    <row r="2148" spans="1:12" hidden="1" x14ac:dyDescent="0.25">
      <c r="A2148">
        <v>2021</v>
      </c>
      <c r="B2148" t="s">
        <v>66</v>
      </c>
      <c r="C2148">
        <v>295722709.35960579</v>
      </c>
      <c r="D2148" t="s">
        <v>77</v>
      </c>
      <c r="E2148" t="s">
        <v>14</v>
      </c>
      <c r="F2148" t="s">
        <v>75</v>
      </c>
      <c r="G2148" s="3"/>
      <c r="H2148" t="s">
        <v>33</v>
      </c>
      <c r="K2148">
        <v>114.043225455295</v>
      </c>
      <c r="L2148">
        <v>259.30756358301107</v>
      </c>
    </row>
    <row r="2149" spans="1:12" hidden="1" x14ac:dyDescent="0.25">
      <c r="A2149">
        <v>2021</v>
      </c>
      <c r="B2149" t="s">
        <v>66</v>
      </c>
      <c r="C2149">
        <v>204621822.6600984</v>
      </c>
      <c r="D2149" t="s">
        <v>77</v>
      </c>
      <c r="E2149" t="s">
        <v>14</v>
      </c>
      <c r="F2149" t="s">
        <v>75</v>
      </c>
      <c r="G2149" s="2"/>
      <c r="H2149" t="s">
        <v>61</v>
      </c>
      <c r="K2149">
        <v>117.451425181814</v>
      </c>
      <c r="L2149">
        <v>174.21825434927271</v>
      </c>
    </row>
    <row r="2150" spans="1:12" hidden="1" x14ac:dyDescent="0.25">
      <c r="A2150">
        <v>2021</v>
      </c>
      <c r="B2150" t="s">
        <v>66</v>
      </c>
      <c r="C2150">
        <v>1379273990.147783</v>
      </c>
      <c r="D2150" t="s">
        <v>77</v>
      </c>
      <c r="E2150" t="s">
        <v>14</v>
      </c>
      <c r="F2150" t="s">
        <v>75</v>
      </c>
      <c r="G2150" s="2"/>
      <c r="H2150" t="s">
        <v>29</v>
      </c>
      <c r="K2150">
        <v>114.696642834729</v>
      </c>
      <c r="L2150">
        <v>1202.5408556510531</v>
      </c>
    </row>
    <row r="2151" spans="1:12" hidden="1" x14ac:dyDescent="0.25">
      <c r="A2151">
        <v>2022</v>
      </c>
      <c r="B2151" t="s">
        <v>12</v>
      </c>
      <c r="C2151">
        <v>3274237723.6238499</v>
      </c>
      <c r="D2151" t="s">
        <v>77</v>
      </c>
      <c r="E2151" t="s">
        <v>14</v>
      </c>
      <c r="F2151" t="s">
        <v>75</v>
      </c>
      <c r="G2151" s="2"/>
      <c r="H2151" t="s">
        <v>21</v>
      </c>
      <c r="K2151">
        <v>109.88589645717001</v>
      </c>
      <c r="L2151">
        <v>2979.6705757413042</v>
      </c>
    </row>
    <row r="2152" spans="1:12" hidden="1" x14ac:dyDescent="0.25">
      <c r="A2152">
        <v>2022</v>
      </c>
      <c r="B2152" t="s">
        <v>12</v>
      </c>
      <c r="C2152">
        <v>5589502152.5229187</v>
      </c>
      <c r="D2152" t="s">
        <v>77</v>
      </c>
      <c r="E2152" t="s">
        <v>14</v>
      </c>
      <c r="F2152" t="s">
        <v>75</v>
      </c>
      <c r="G2152" s="3"/>
      <c r="H2152" t="s">
        <v>19</v>
      </c>
      <c r="K2152">
        <v>138.22614999915999</v>
      </c>
      <c r="L2152">
        <v>4043.7371311845741</v>
      </c>
    </row>
    <row r="2153" spans="1:12" hidden="1" x14ac:dyDescent="0.25">
      <c r="A2153">
        <v>2022</v>
      </c>
      <c r="B2153" t="s">
        <v>12</v>
      </c>
      <c r="C2153">
        <v>235139001.14678901</v>
      </c>
      <c r="D2153" t="s">
        <v>77</v>
      </c>
      <c r="E2153" t="s">
        <v>14</v>
      </c>
      <c r="F2153" t="s">
        <v>75</v>
      </c>
      <c r="G2153" s="2"/>
      <c r="H2153" t="s">
        <v>51</v>
      </c>
      <c r="K2153">
        <v>123.96393010113999</v>
      </c>
      <c r="L2153">
        <v>189.683403030981</v>
      </c>
    </row>
    <row r="2154" spans="1:12" hidden="1" x14ac:dyDescent="0.25">
      <c r="A2154">
        <v>2022</v>
      </c>
      <c r="B2154" t="s">
        <v>12</v>
      </c>
      <c r="C2154">
        <v>418522439.22018337</v>
      </c>
      <c r="D2154" t="s">
        <v>77</v>
      </c>
      <c r="E2154" t="s">
        <v>14</v>
      </c>
      <c r="F2154" t="s">
        <v>75</v>
      </c>
      <c r="G2154" s="2"/>
      <c r="H2154" t="s">
        <v>53</v>
      </c>
      <c r="K2154">
        <v>123.96393010113999</v>
      </c>
      <c r="L2154">
        <v>337.61630409645642</v>
      </c>
    </row>
    <row r="2155" spans="1:12" hidden="1" x14ac:dyDescent="0.25">
      <c r="A2155">
        <v>2022</v>
      </c>
      <c r="B2155" t="s">
        <v>12</v>
      </c>
      <c r="C2155">
        <v>281936785.55045938</v>
      </c>
      <c r="D2155" t="s">
        <v>77</v>
      </c>
      <c r="E2155" t="s">
        <v>14</v>
      </c>
      <c r="F2155" t="s">
        <v>75</v>
      </c>
      <c r="G2155" s="2"/>
      <c r="H2155" t="s">
        <v>45</v>
      </c>
      <c r="K2155">
        <v>134.03865367133</v>
      </c>
      <c r="L2155">
        <v>210.339911531627</v>
      </c>
    </row>
    <row r="2156" spans="1:12" hidden="1" x14ac:dyDescent="0.25">
      <c r="A2156">
        <v>2022</v>
      </c>
      <c r="B2156" t="s">
        <v>12</v>
      </c>
      <c r="C2156">
        <v>297619533.25688028</v>
      </c>
      <c r="D2156" t="s">
        <v>77</v>
      </c>
      <c r="E2156" t="s">
        <v>14</v>
      </c>
      <c r="F2156" t="s">
        <v>75</v>
      </c>
      <c r="G2156" s="3"/>
      <c r="H2156" t="s">
        <v>59</v>
      </c>
      <c r="K2156">
        <v>182.56944637426</v>
      </c>
      <c r="L2156">
        <v>163.01716369713489</v>
      </c>
    </row>
    <row r="2157" spans="1:12" hidden="1" x14ac:dyDescent="0.25">
      <c r="A2157">
        <v>2022</v>
      </c>
      <c r="B2157" t="s">
        <v>12</v>
      </c>
      <c r="C2157">
        <v>19531500</v>
      </c>
      <c r="D2157" t="s">
        <v>77</v>
      </c>
      <c r="E2157" t="s">
        <v>14</v>
      </c>
      <c r="F2157" t="s">
        <v>75</v>
      </c>
      <c r="G2157" s="2"/>
      <c r="H2157" t="s">
        <v>57</v>
      </c>
      <c r="K2157">
        <v>123.96393010113999</v>
      </c>
      <c r="L2157">
        <v>15.75579282139941</v>
      </c>
    </row>
    <row r="2158" spans="1:12" hidden="1" x14ac:dyDescent="0.25">
      <c r="A2158">
        <v>2022</v>
      </c>
      <c r="B2158" t="s">
        <v>12</v>
      </c>
      <c r="C2158">
        <v>858067969.0366981</v>
      </c>
      <c r="D2158" t="s">
        <v>77</v>
      </c>
      <c r="E2158" t="s">
        <v>14</v>
      </c>
      <c r="F2158" t="s">
        <v>75</v>
      </c>
      <c r="G2158" s="2"/>
      <c r="H2158" t="s">
        <v>43</v>
      </c>
      <c r="K2158">
        <v>134.03865367133</v>
      </c>
      <c r="L2158">
        <v>640.16456860326798</v>
      </c>
    </row>
    <row r="2159" spans="1:12" hidden="1" x14ac:dyDescent="0.25">
      <c r="A2159">
        <v>2022</v>
      </c>
      <c r="B2159" t="s">
        <v>12</v>
      </c>
      <c r="C2159">
        <v>1631842401.3761499</v>
      </c>
      <c r="D2159" t="s">
        <v>77</v>
      </c>
      <c r="E2159" t="s">
        <v>14</v>
      </c>
      <c r="F2159" t="s">
        <v>75</v>
      </c>
      <c r="G2159" s="2"/>
      <c r="H2159" t="s">
        <v>31</v>
      </c>
      <c r="K2159">
        <v>120.87292541591999</v>
      </c>
      <c r="L2159">
        <v>1350.0479083806661</v>
      </c>
    </row>
    <row r="2160" spans="1:12" hidden="1" x14ac:dyDescent="0.25">
      <c r="A2160">
        <v>2022</v>
      </c>
      <c r="B2160" t="s">
        <v>12</v>
      </c>
      <c r="C2160">
        <v>52745493.119266063</v>
      </c>
      <c r="D2160" t="s">
        <v>77</v>
      </c>
      <c r="E2160" t="s">
        <v>14</v>
      </c>
      <c r="F2160" t="s">
        <v>75</v>
      </c>
      <c r="G2160" s="3"/>
      <c r="H2160" t="s">
        <v>25</v>
      </c>
      <c r="K2160">
        <v>56.539869603999001</v>
      </c>
      <c r="L2160">
        <v>93.289025052041211</v>
      </c>
    </row>
    <row r="2161" spans="1:12" hidden="1" x14ac:dyDescent="0.25">
      <c r="A2161">
        <v>2022</v>
      </c>
      <c r="B2161" t="s">
        <v>12</v>
      </c>
      <c r="C2161">
        <v>924350638.76146698</v>
      </c>
      <c r="D2161" t="s">
        <v>77</v>
      </c>
      <c r="E2161" t="s">
        <v>14</v>
      </c>
      <c r="F2161" t="s">
        <v>75</v>
      </c>
      <c r="G2161" s="2"/>
      <c r="H2161" t="s">
        <v>41</v>
      </c>
      <c r="K2161">
        <v>175.63081008859999</v>
      </c>
      <c r="L2161">
        <v>526.30323705457056</v>
      </c>
    </row>
    <row r="2162" spans="1:12" hidden="1" x14ac:dyDescent="0.25">
      <c r="A2162">
        <v>2022</v>
      </c>
      <c r="B2162" t="s">
        <v>12</v>
      </c>
      <c r="C2162">
        <v>25730459.862385321</v>
      </c>
      <c r="D2162" t="s">
        <v>77</v>
      </c>
      <c r="E2162" t="s">
        <v>14</v>
      </c>
      <c r="F2162" t="s">
        <v>75</v>
      </c>
      <c r="G2162" s="2"/>
      <c r="H2162" t="s">
        <v>27</v>
      </c>
      <c r="K2162">
        <v>56.539869603999001</v>
      </c>
      <c r="L2162">
        <v>45.5085235296783</v>
      </c>
    </row>
    <row r="2163" spans="1:12" hidden="1" x14ac:dyDescent="0.25">
      <c r="A2163">
        <v>2022</v>
      </c>
      <c r="B2163" t="s">
        <v>12</v>
      </c>
      <c r="C2163">
        <v>8862966.7431192659</v>
      </c>
      <c r="D2163" t="s">
        <v>77</v>
      </c>
      <c r="E2163" t="s">
        <v>14</v>
      </c>
      <c r="F2163" t="s">
        <v>75</v>
      </c>
      <c r="G2163" s="2"/>
      <c r="H2163" t="s">
        <v>49</v>
      </c>
      <c r="K2163">
        <v>123.96393010113999</v>
      </c>
      <c r="L2163">
        <v>7.1496335554125512</v>
      </c>
    </row>
    <row r="2164" spans="1:12" hidden="1" x14ac:dyDescent="0.25">
      <c r="A2164">
        <v>2022</v>
      </c>
      <c r="B2164" t="s">
        <v>12</v>
      </c>
      <c r="C2164">
        <v>1170828389.9082561</v>
      </c>
      <c r="D2164" t="s">
        <v>77</v>
      </c>
      <c r="E2164" t="s">
        <v>14</v>
      </c>
      <c r="F2164" t="s">
        <v>75</v>
      </c>
      <c r="G2164" s="3"/>
      <c r="H2164" t="s">
        <v>47</v>
      </c>
      <c r="K2164">
        <v>123.96393010113999</v>
      </c>
      <c r="L2164">
        <v>944.4911830021822</v>
      </c>
    </row>
    <row r="2165" spans="1:12" hidden="1" x14ac:dyDescent="0.25">
      <c r="A2165">
        <v>2022</v>
      </c>
      <c r="B2165" t="s">
        <v>12</v>
      </c>
      <c r="C2165">
        <v>629341009.17431283</v>
      </c>
      <c r="D2165" t="s">
        <v>77</v>
      </c>
      <c r="E2165" t="s">
        <v>14</v>
      </c>
      <c r="F2165" t="s">
        <v>75</v>
      </c>
      <c r="G2165" s="2"/>
      <c r="H2165" t="s">
        <v>39</v>
      </c>
      <c r="K2165">
        <v>175.63081008859999</v>
      </c>
      <c r="L2165">
        <v>358.33178065786461</v>
      </c>
    </row>
    <row r="2166" spans="1:12" hidden="1" x14ac:dyDescent="0.25">
      <c r="A2166">
        <v>2022</v>
      </c>
      <c r="B2166" t="s">
        <v>12</v>
      </c>
      <c r="C2166">
        <v>127937905.9633029</v>
      </c>
      <c r="D2166" t="s">
        <v>77</v>
      </c>
      <c r="E2166" t="s">
        <v>14</v>
      </c>
      <c r="F2166" t="s">
        <v>75</v>
      </c>
      <c r="G2166" s="2"/>
      <c r="H2166" t="s">
        <v>23</v>
      </c>
      <c r="K2166">
        <v>56.539869603999001</v>
      </c>
      <c r="L2166">
        <v>226.2790962543252</v>
      </c>
    </row>
    <row r="2167" spans="1:12" hidden="1" x14ac:dyDescent="0.25">
      <c r="A2167">
        <v>2022</v>
      </c>
      <c r="B2167" t="s">
        <v>12</v>
      </c>
      <c r="C2167">
        <v>4025791047.0183492</v>
      </c>
      <c r="D2167" t="s">
        <v>77</v>
      </c>
      <c r="E2167" t="s">
        <v>14</v>
      </c>
      <c r="F2167" t="s">
        <v>75</v>
      </c>
      <c r="G2167" s="2"/>
      <c r="H2167" t="s">
        <v>37</v>
      </c>
      <c r="K2167">
        <v>175.63081008859999</v>
      </c>
      <c r="L2167">
        <v>2292.189533822379</v>
      </c>
    </row>
    <row r="2168" spans="1:12" hidden="1" x14ac:dyDescent="0.25">
      <c r="A2168">
        <v>2022</v>
      </c>
      <c r="B2168" t="s">
        <v>12</v>
      </c>
      <c r="C2168">
        <v>21303950.6880734</v>
      </c>
      <c r="D2168" t="s">
        <v>77</v>
      </c>
      <c r="E2168" t="s">
        <v>14</v>
      </c>
      <c r="F2168" t="s">
        <v>75</v>
      </c>
      <c r="G2168" s="3"/>
      <c r="H2168" t="s">
        <v>55</v>
      </c>
      <c r="K2168">
        <v>123.96393010113999</v>
      </c>
      <c r="L2168">
        <v>17.185604450175049</v>
      </c>
    </row>
    <row r="2169" spans="1:12" hidden="1" x14ac:dyDescent="0.25">
      <c r="A2169">
        <v>2022</v>
      </c>
      <c r="B2169" t="s">
        <v>12</v>
      </c>
      <c r="C2169">
        <v>102086694.9541283</v>
      </c>
      <c r="D2169" t="s">
        <v>77</v>
      </c>
      <c r="E2169" t="s">
        <v>14</v>
      </c>
      <c r="F2169" t="s">
        <v>75</v>
      </c>
      <c r="G2169" s="2"/>
      <c r="H2169" t="s">
        <v>33</v>
      </c>
      <c r="K2169">
        <v>120.87292541591999</v>
      </c>
      <c r="L2169">
        <v>84.457867303907065</v>
      </c>
    </row>
    <row r="2170" spans="1:12" hidden="1" x14ac:dyDescent="0.25">
      <c r="A2170">
        <v>2022</v>
      </c>
      <c r="B2170" t="s">
        <v>12</v>
      </c>
      <c r="C2170">
        <v>66010680.04587163</v>
      </c>
      <c r="D2170" t="s">
        <v>77</v>
      </c>
      <c r="E2170" t="s">
        <v>14</v>
      </c>
      <c r="F2170" t="s">
        <v>75</v>
      </c>
      <c r="G2170" s="2"/>
      <c r="H2170" t="s">
        <v>61</v>
      </c>
      <c r="K2170">
        <v>138.33137560220001</v>
      </c>
      <c r="L2170">
        <v>47.719239224294817</v>
      </c>
    </row>
    <row r="2171" spans="1:12" hidden="1" x14ac:dyDescent="0.25">
      <c r="A2171">
        <v>2022</v>
      </c>
      <c r="B2171" t="s">
        <v>12</v>
      </c>
      <c r="C2171">
        <v>1957272225.9174299</v>
      </c>
      <c r="D2171" t="s">
        <v>77</v>
      </c>
      <c r="E2171" t="s">
        <v>14</v>
      </c>
      <c r="F2171" t="s">
        <v>75</v>
      </c>
      <c r="G2171" s="2"/>
      <c r="H2171" t="s">
        <v>29</v>
      </c>
      <c r="K2171">
        <v>182.56944637426</v>
      </c>
      <c r="L2171">
        <v>1072.069979280707</v>
      </c>
    </row>
    <row r="2172" spans="1:12" hidden="1" x14ac:dyDescent="0.25">
      <c r="A2172">
        <v>2022</v>
      </c>
      <c r="B2172" t="s">
        <v>12</v>
      </c>
      <c r="C2172">
        <v>654566724.77064228</v>
      </c>
      <c r="D2172" t="s">
        <v>77</v>
      </c>
      <c r="E2172" t="s">
        <v>14</v>
      </c>
      <c r="F2172" t="s">
        <v>75</v>
      </c>
      <c r="G2172" s="3"/>
      <c r="H2172" t="s">
        <v>63</v>
      </c>
      <c r="K2172">
        <v>123.96393010113999</v>
      </c>
      <c r="L2172">
        <v>528.0299876234908</v>
      </c>
    </row>
    <row r="2173" spans="1:12" hidden="1" x14ac:dyDescent="0.25">
      <c r="A2173">
        <v>2022</v>
      </c>
      <c r="B2173" t="s">
        <v>66</v>
      </c>
      <c r="C2173">
        <v>14744085820.895519</v>
      </c>
      <c r="D2173" t="s">
        <v>77</v>
      </c>
      <c r="E2173" t="s">
        <v>14</v>
      </c>
      <c r="F2173" t="s">
        <v>75</v>
      </c>
      <c r="G2173" s="2"/>
      <c r="H2173" t="s">
        <v>21</v>
      </c>
      <c r="K2173">
        <v>124.885983267714</v>
      </c>
      <c r="L2173">
        <v>11806.037343109279</v>
      </c>
    </row>
    <row r="2174" spans="1:12" hidden="1" x14ac:dyDescent="0.25">
      <c r="A2174">
        <v>2022</v>
      </c>
      <c r="B2174" t="s">
        <v>66</v>
      </c>
      <c r="C2174">
        <v>32771114029.850689</v>
      </c>
      <c r="D2174" t="s">
        <v>77</v>
      </c>
      <c r="E2174" t="s">
        <v>14</v>
      </c>
      <c r="F2174" t="s">
        <v>75</v>
      </c>
      <c r="G2174" s="2"/>
      <c r="H2174" t="s">
        <v>19</v>
      </c>
      <c r="K2174">
        <v>129.32654788623401</v>
      </c>
      <c r="L2174">
        <v>25339.819677765448</v>
      </c>
    </row>
    <row r="2175" spans="1:12" hidden="1" x14ac:dyDescent="0.25">
      <c r="A2175">
        <v>2022</v>
      </c>
      <c r="B2175" t="s">
        <v>66</v>
      </c>
      <c r="C2175">
        <v>565448507.46268666</v>
      </c>
      <c r="D2175" t="s">
        <v>77</v>
      </c>
      <c r="E2175" t="s">
        <v>14</v>
      </c>
      <c r="F2175" t="s">
        <v>75</v>
      </c>
      <c r="G2175" s="2"/>
      <c r="H2175" t="s">
        <v>68</v>
      </c>
      <c r="K2175">
        <v>124.885983267714</v>
      </c>
      <c r="L2175">
        <v>452.77179445394859</v>
      </c>
    </row>
    <row r="2176" spans="1:12" hidden="1" x14ac:dyDescent="0.25">
      <c r="A2176">
        <v>2022</v>
      </c>
      <c r="B2176" t="s">
        <v>66</v>
      </c>
      <c r="C2176">
        <v>16222505174.129351</v>
      </c>
      <c r="D2176" t="s">
        <v>77</v>
      </c>
      <c r="E2176" t="s">
        <v>14</v>
      </c>
      <c r="F2176" t="s">
        <v>75</v>
      </c>
      <c r="G2176" s="3"/>
      <c r="H2176" t="s">
        <v>35</v>
      </c>
      <c r="K2176">
        <v>93.717494351913203</v>
      </c>
      <c r="L2176">
        <v>17310.007364487519</v>
      </c>
    </row>
    <row r="2177" spans="1:12" hidden="1" x14ac:dyDescent="0.25">
      <c r="A2177">
        <v>2022</v>
      </c>
      <c r="B2177" t="s">
        <v>66</v>
      </c>
      <c r="C2177">
        <v>15852950597.014919</v>
      </c>
      <c r="D2177" t="s">
        <v>77</v>
      </c>
      <c r="E2177" t="s">
        <v>14</v>
      </c>
      <c r="F2177" t="s">
        <v>75</v>
      </c>
      <c r="G2177" s="2"/>
      <c r="H2177" t="s">
        <v>51</v>
      </c>
      <c r="K2177">
        <v>118.400520723024</v>
      </c>
      <c r="L2177">
        <v>13389.25749667938</v>
      </c>
    </row>
    <row r="2178" spans="1:12" hidden="1" x14ac:dyDescent="0.25">
      <c r="A2178">
        <v>2022</v>
      </c>
      <c r="B2178" t="s">
        <v>66</v>
      </c>
      <c r="C2178">
        <v>19952288208.955231</v>
      </c>
      <c r="D2178" t="s">
        <v>77</v>
      </c>
      <c r="E2178" t="s">
        <v>14</v>
      </c>
      <c r="F2178" t="s">
        <v>75</v>
      </c>
      <c r="G2178" s="2"/>
      <c r="H2178" t="s">
        <v>53</v>
      </c>
      <c r="K2178">
        <v>123.731212299186</v>
      </c>
      <c r="L2178">
        <v>16125.509350631721</v>
      </c>
    </row>
    <row r="2179" spans="1:12" hidden="1" x14ac:dyDescent="0.25">
      <c r="A2179">
        <v>2022</v>
      </c>
      <c r="B2179" t="s">
        <v>66</v>
      </c>
      <c r="C2179">
        <v>15091987462.686581</v>
      </c>
      <c r="D2179" t="s">
        <v>77</v>
      </c>
      <c r="E2179" t="s">
        <v>14</v>
      </c>
      <c r="F2179" t="s">
        <v>75</v>
      </c>
      <c r="G2179" s="2"/>
      <c r="H2179" t="s">
        <v>45</v>
      </c>
      <c r="K2179">
        <v>141.87141028890099</v>
      </c>
      <c r="L2179">
        <v>10637.79335946114</v>
      </c>
    </row>
    <row r="2180" spans="1:12" hidden="1" x14ac:dyDescent="0.25">
      <c r="A2180">
        <v>2022</v>
      </c>
      <c r="B2180" t="s">
        <v>66</v>
      </c>
      <c r="C2180">
        <v>1085853383.0845771</v>
      </c>
      <c r="D2180" t="s">
        <v>77</v>
      </c>
      <c r="E2180" t="s">
        <v>14</v>
      </c>
      <c r="F2180" t="s">
        <v>75</v>
      </c>
      <c r="G2180" s="3"/>
      <c r="H2180" t="s">
        <v>59</v>
      </c>
      <c r="K2180">
        <v>124.760255125349</v>
      </c>
      <c r="L2180">
        <v>870.35200592816921</v>
      </c>
    </row>
    <row r="2181" spans="1:12" hidden="1" x14ac:dyDescent="0.25">
      <c r="A2181">
        <v>2022</v>
      </c>
      <c r="B2181" t="s">
        <v>66</v>
      </c>
      <c r="C2181">
        <v>1028160149.253731</v>
      </c>
      <c r="D2181" t="s">
        <v>77</v>
      </c>
      <c r="E2181" t="s">
        <v>14</v>
      </c>
      <c r="F2181" t="s">
        <v>75</v>
      </c>
      <c r="G2181" s="2"/>
      <c r="H2181" t="s">
        <v>57</v>
      </c>
      <c r="K2181">
        <v>118.92956316086899</v>
      </c>
      <c r="L2181">
        <v>864.5118353482892</v>
      </c>
    </row>
    <row r="2182" spans="1:12" hidden="1" x14ac:dyDescent="0.25">
      <c r="A2182">
        <v>2022</v>
      </c>
      <c r="B2182" t="s">
        <v>66</v>
      </c>
      <c r="C2182">
        <v>12658974676.616911</v>
      </c>
      <c r="D2182" t="s">
        <v>77</v>
      </c>
      <c r="E2182" t="s">
        <v>14</v>
      </c>
      <c r="F2182" t="s">
        <v>75</v>
      </c>
      <c r="G2182" s="2"/>
      <c r="H2182" t="s">
        <v>43</v>
      </c>
      <c r="K2182">
        <v>129.18720398146201</v>
      </c>
      <c r="L2182">
        <v>9798.9385066600225</v>
      </c>
    </row>
    <row r="2183" spans="1:12" hidden="1" x14ac:dyDescent="0.25">
      <c r="A2183">
        <v>2022</v>
      </c>
      <c r="B2183" t="s">
        <v>66</v>
      </c>
      <c r="C2183">
        <v>5290490348.258707</v>
      </c>
      <c r="D2183" t="s">
        <v>77</v>
      </c>
      <c r="E2183" t="s">
        <v>14</v>
      </c>
      <c r="F2183" t="s">
        <v>75</v>
      </c>
      <c r="G2183" s="2"/>
      <c r="H2183" t="s">
        <v>31</v>
      </c>
      <c r="K2183">
        <v>124.992774454829</v>
      </c>
      <c r="L2183">
        <v>4232.6369434823864</v>
      </c>
    </row>
    <row r="2184" spans="1:12" hidden="1" x14ac:dyDescent="0.25">
      <c r="A2184">
        <v>2022</v>
      </c>
      <c r="B2184" t="s">
        <v>66</v>
      </c>
      <c r="C2184">
        <v>2642478756.2189059</v>
      </c>
      <c r="D2184" t="s">
        <v>77</v>
      </c>
      <c r="E2184" t="s">
        <v>14</v>
      </c>
      <c r="F2184" t="s">
        <v>75</v>
      </c>
      <c r="G2184" s="3"/>
      <c r="H2184" t="s">
        <v>25</v>
      </c>
      <c r="K2184">
        <v>130.309937712893</v>
      </c>
      <c r="L2184">
        <v>2027.841316324608</v>
      </c>
    </row>
    <row r="2185" spans="1:12" hidden="1" x14ac:dyDescent="0.25">
      <c r="A2185">
        <v>2022</v>
      </c>
      <c r="B2185" t="s">
        <v>66</v>
      </c>
      <c r="C2185">
        <v>10662369950.248739</v>
      </c>
      <c r="D2185" t="s">
        <v>77</v>
      </c>
      <c r="E2185" t="s">
        <v>14</v>
      </c>
      <c r="F2185" t="s">
        <v>75</v>
      </c>
      <c r="G2185" s="2"/>
      <c r="H2185" t="s">
        <v>41</v>
      </c>
      <c r="K2185">
        <v>124.20030413134501</v>
      </c>
      <c r="L2185">
        <v>8584.8179075093212</v>
      </c>
    </row>
    <row r="2186" spans="1:12" hidden="1" x14ac:dyDescent="0.25">
      <c r="A2186">
        <v>2022</v>
      </c>
      <c r="B2186" t="s">
        <v>66</v>
      </c>
      <c r="C2186">
        <v>1561767064.6766169</v>
      </c>
      <c r="D2186" t="s">
        <v>77</v>
      </c>
      <c r="E2186" t="s">
        <v>14</v>
      </c>
      <c r="F2186" t="s">
        <v>75</v>
      </c>
      <c r="G2186" s="2"/>
      <c r="H2186" t="s">
        <v>27</v>
      </c>
      <c r="K2186">
        <v>114.765372402341</v>
      </c>
      <c r="L2186">
        <v>1360.834746565733</v>
      </c>
    </row>
    <row r="2187" spans="1:12" hidden="1" x14ac:dyDescent="0.25">
      <c r="A2187">
        <v>2022</v>
      </c>
      <c r="B2187" t="s">
        <v>66</v>
      </c>
      <c r="C2187">
        <v>8447863034.8258724</v>
      </c>
      <c r="D2187" t="s">
        <v>77</v>
      </c>
      <c r="E2187" t="s">
        <v>14</v>
      </c>
      <c r="F2187" t="s">
        <v>75</v>
      </c>
      <c r="G2187" s="2"/>
      <c r="H2187" t="s">
        <v>49</v>
      </c>
      <c r="K2187">
        <v>113.459970516059</v>
      </c>
      <c r="L2187">
        <v>7445.677093341189</v>
      </c>
    </row>
    <row r="2188" spans="1:12" hidden="1" x14ac:dyDescent="0.25">
      <c r="A2188">
        <v>2022</v>
      </c>
      <c r="B2188" t="s">
        <v>66</v>
      </c>
      <c r="C2188">
        <v>12385732487.56218</v>
      </c>
      <c r="D2188" t="s">
        <v>77</v>
      </c>
      <c r="E2188" t="s">
        <v>14</v>
      </c>
      <c r="F2188" t="s">
        <v>75</v>
      </c>
      <c r="G2188" s="3"/>
      <c r="H2188" t="s">
        <v>47</v>
      </c>
      <c r="K2188">
        <v>134.38056482799499</v>
      </c>
      <c r="L2188">
        <v>9216.9075962850184</v>
      </c>
    </row>
    <row r="2189" spans="1:12" hidden="1" x14ac:dyDescent="0.25">
      <c r="A2189">
        <v>2022</v>
      </c>
      <c r="B2189" t="s">
        <v>66</v>
      </c>
      <c r="C2189">
        <v>2105483184.079602</v>
      </c>
      <c r="D2189" t="s">
        <v>77</v>
      </c>
      <c r="E2189" t="s">
        <v>14</v>
      </c>
      <c r="F2189" t="s">
        <v>75</v>
      </c>
      <c r="G2189" s="2"/>
      <c r="H2189" t="s">
        <v>39</v>
      </c>
      <c r="K2189">
        <v>125.100295460086</v>
      </c>
      <c r="L2189">
        <v>1683.0361401915061</v>
      </c>
    </row>
    <row r="2190" spans="1:12" hidden="1" x14ac:dyDescent="0.25">
      <c r="A2190">
        <v>2022</v>
      </c>
      <c r="B2190" t="s">
        <v>66</v>
      </c>
      <c r="C2190">
        <v>9053465323.3830853</v>
      </c>
      <c r="D2190" t="s">
        <v>77</v>
      </c>
      <c r="E2190" t="s">
        <v>14</v>
      </c>
      <c r="F2190" t="s">
        <v>75</v>
      </c>
      <c r="G2190" s="2"/>
      <c r="H2190" t="s">
        <v>23</v>
      </c>
      <c r="K2190">
        <v>119.934366622322</v>
      </c>
      <c r="L2190">
        <v>7548.6831492534584</v>
      </c>
    </row>
    <row r="2191" spans="1:12" hidden="1" x14ac:dyDescent="0.25">
      <c r="A2191">
        <v>2022</v>
      </c>
      <c r="B2191" t="s">
        <v>66</v>
      </c>
      <c r="C2191">
        <v>17102035572.139311</v>
      </c>
      <c r="D2191" t="s">
        <v>77</v>
      </c>
      <c r="E2191" t="s">
        <v>14</v>
      </c>
      <c r="F2191" t="s">
        <v>75</v>
      </c>
      <c r="G2191" s="2"/>
      <c r="H2191" t="s">
        <v>37</v>
      </c>
      <c r="K2191">
        <v>125.100295460086</v>
      </c>
      <c r="L2191">
        <v>13670.65961694376</v>
      </c>
    </row>
    <row r="2192" spans="1:12" hidden="1" x14ac:dyDescent="0.25">
      <c r="A2192">
        <v>2022</v>
      </c>
      <c r="B2192" t="s">
        <v>66</v>
      </c>
      <c r="C2192">
        <v>22452845124.378109</v>
      </c>
      <c r="D2192" t="s">
        <v>77</v>
      </c>
      <c r="E2192" t="s">
        <v>14</v>
      </c>
      <c r="F2192" t="s">
        <v>75</v>
      </c>
      <c r="G2192" s="3"/>
      <c r="H2192" t="s">
        <v>55</v>
      </c>
      <c r="K2192">
        <v>118.92956316086899</v>
      </c>
      <c r="L2192">
        <v>18879.111742811561</v>
      </c>
    </row>
    <row r="2193" spans="1:12" hidden="1" x14ac:dyDescent="0.25">
      <c r="A2193">
        <v>2022</v>
      </c>
      <c r="B2193" t="s">
        <v>66</v>
      </c>
      <c r="C2193">
        <v>362360099.50248748</v>
      </c>
      <c r="D2193" t="s">
        <v>77</v>
      </c>
      <c r="E2193" t="s">
        <v>14</v>
      </c>
      <c r="F2193" t="s">
        <v>75</v>
      </c>
      <c r="G2193" s="2"/>
      <c r="H2193" t="s">
        <v>33</v>
      </c>
      <c r="K2193">
        <v>126.864077629889</v>
      </c>
      <c r="L2193">
        <v>285.62860840688921</v>
      </c>
    </row>
    <row r="2194" spans="1:12" hidden="1" x14ac:dyDescent="0.25">
      <c r="A2194">
        <v>2022</v>
      </c>
      <c r="B2194" t="s">
        <v>66</v>
      </c>
      <c r="C2194">
        <v>225805273.6318408</v>
      </c>
      <c r="D2194" t="s">
        <v>77</v>
      </c>
      <c r="E2194" t="s">
        <v>14</v>
      </c>
      <c r="F2194" t="s">
        <v>75</v>
      </c>
      <c r="G2194" s="2"/>
      <c r="H2194" t="s">
        <v>61</v>
      </c>
      <c r="K2194">
        <v>130.09451278639801</v>
      </c>
      <c r="L2194">
        <v>173.5701750946177</v>
      </c>
    </row>
    <row r="2195" spans="1:12" hidden="1" x14ac:dyDescent="0.25">
      <c r="A2195">
        <v>2022</v>
      </c>
      <c r="B2195" t="s">
        <v>66</v>
      </c>
      <c r="C2195">
        <v>1699987064.676616</v>
      </c>
      <c r="D2195" t="s">
        <v>77</v>
      </c>
      <c r="E2195" t="s">
        <v>14</v>
      </c>
      <c r="F2195" t="s">
        <v>75</v>
      </c>
      <c r="G2195" s="2"/>
      <c r="H2195" t="s">
        <v>29</v>
      </c>
      <c r="K2195">
        <v>135.89610378926099</v>
      </c>
      <c r="L2195">
        <v>1250.9461399370559</v>
      </c>
    </row>
    <row r="2196" spans="1:12" hidden="1" x14ac:dyDescent="0.25">
      <c r="A2196">
        <v>2023</v>
      </c>
      <c r="B2196" t="s">
        <v>66</v>
      </c>
      <c r="C2196">
        <v>17039333502.82486</v>
      </c>
      <c r="D2196" t="s">
        <v>77</v>
      </c>
      <c r="E2196" t="s">
        <v>14</v>
      </c>
      <c r="F2196" t="s">
        <v>75</v>
      </c>
      <c r="G2196" s="3"/>
      <c r="H2196" t="s">
        <v>21</v>
      </c>
      <c r="K2196">
        <v>131.88825158196701</v>
      </c>
      <c r="L2196">
        <v>12919.52338319923</v>
      </c>
    </row>
    <row r="2197" spans="1:12" hidden="1" x14ac:dyDescent="0.25">
      <c r="A2197">
        <v>2023</v>
      </c>
      <c r="B2197" t="s">
        <v>66</v>
      </c>
      <c r="C2197">
        <v>38221209661.016991</v>
      </c>
      <c r="D2197" t="s">
        <v>77</v>
      </c>
      <c r="E2197" t="s">
        <v>14</v>
      </c>
      <c r="F2197" t="s">
        <v>75</v>
      </c>
      <c r="G2197" s="2"/>
      <c r="H2197" t="s">
        <v>19</v>
      </c>
      <c r="K2197">
        <v>137.78728757684999</v>
      </c>
      <c r="L2197">
        <v>27739.285919028891</v>
      </c>
    </row>
    <row r="2198" spans="1:12" hidden="1" x14ac:dyDescent="0.25">
      <c r="A2198">
        <v>2023</v>
      </c>
      <c r="B2198" t="s">
        <v>66</v>
      </c>
      <c r="C2198">
        <v>671852372.88135576</v>
      </c>
      <c r="D2198" t="s">
        <v>77</v>
      </c>
      <c r="E2198" t="s">
        <v>14</v>
      </c>
      <c r="F2198" t="s">
        <v>75</v>
      </c>
      <c r="G2198" s="2"/>
      <c r="H2198" t="s">
        <v>68</v>
      </c>
      <c r="K2198">
        <v>131.88825158196701</v>
      </c>
      <c r="L2198">
        <v>509.4103264109217</v>
      </c>
    </row>
    <row r="2199" spans="1:12" hidden="1" x14ac:dyDescent="0.25">
      <c r="A2199">
        <v>2023</v>
      </c>
      <c r="B2199" t="s">
        <v>66</v>
      </c>
      <c r="C2199">
        <v>13549690508.474581</v>
      </c>
      <c r="D2199" t="s">
        <v>77</v>
      </c>
      <c r="E2199" t="s">
        <v>14</v>
      </c>
      <c r="F2199" t="s">
        <v>75</v>
      </c>
      <c r="G2199" s="2"/>
      <c r="H2199" t="s">
        <v>35</v>
      </c>
      <c r="K2199">
        <v>75.235547730506298</v>
      </c>
      <c r="L2199">
        <v>18009.69211656378</v>
      </c>
    </row>
    <row r="2200" spans="1:12" hidden="1" x14ac:dyDescent="0.25">
      <c r="A2200">
        <v>2023</v>
      </c>
      <c r="B2200" t="s">
        <v>66</v>
      </c>
      <c r="C2200">
        <v>18831961977.401138</v>
      </c>
      <c r="D2200" t="s">
        <v>77</v>
      </c>
      <c r="E2200" t="s">
        <v>14</v>
      </c>
      <c r="F2200" t="s">
        <v>75</v>
      </c>
      <c r="G2200" s="3"/>
      <c r="H2200" t="s">
        <v>51</v>
      </c>
      <c r="K2200">
        <v>122.488835983729</v>
      </c>
      <c r="L2200">
        <v>15374.431331768639</v>
      </c>
    </row>
    <row r="2201" spans="1:12" hidden="1" x14ac:dyDescent="0.25">
      <c r="A2201">
        <v>2023</v>
      </c>
      <c r="B2201" t="s">
        <v>66</v>
      </c>
      <c r="C2201">
        <v>23587238757.062141</v>
      </c>
      <c r="D2201" t="s">
        <v>77</v>
      </c>
      <c r="E2201" t="s">
        <v>14</v>
      </c>
      <c r="F2201" t="s">
        <v>75</v>
      </c>
      <c r="G2201" s="2"/>
      <c r="H2201" t="s">
        <v>53</v>
      </c>
      <c r="K2201">
        <v>130.65664198069601</v>
      </c>
      <c r="L2201">
        <v>18052.843238193011</v>
      </c>
    </row>
    <row r="2202" spans="1:12" hidden="1" x14ac:dyDescent="0.25">
      <c r="A2202">
        <v>2023</v>
      </c>
      <c r="B2202" t="s">
        <v>66</v>
      </c>
      <c r="C2202">
        <v>14226467005.649731</v>
      </c>
      <c r="D2202" t="s">
        <v>77</v>
      </c>
      <c r="E2202" t="s">
        <v>14</v>
      </c>
      <c r="F2202" t="s">
        <v>75</v>
      </c>
      <c r="G2202" s="2"/>
      <c r="H2202" t="s">
        <v>45</v>
      </c>
      <c r="K2202">
        <v>126.475336095899</v>
      </c>
      <c r="L2202">
        <v>11248.412097408949</v>
      </c>
    </row>
    <row r="2203" spans="1:12" hidden="1" x14ac:dyDescent="0.25">
      <c r="A2203">
        <v>2023</v>
      </c>
      <c r="B2203" t="s">
        <v>66</v>
      </c>
      <c r="C2203">
        <v>1277136553.672317</v>
      </c>
      <c r="D2203" t="s">
        <v>77</v>
      </c>
      <c r="E2203" t="s">
        <v>14</v>
      </c>
      <c r="F2203" t="s">
        <v>75</v>
      </c>
      <c r="G2203" s="2"/>
      <c r="H2203" t="s">
        <v>59</v>
      </c>
      <c r="K2203">
        <v>137.57038856002899</v>
      </c>
      <c r="L2203">
        <v>928.35134583852437</v>
      </c>
    </row>
    <row r="2204" spans="1:12" hidden="1" x14ac:dyDescent="0.25">
      <c r="A2204">
        <v>2023</v>
      </c>
      <c r="B2204" t="s">
        <v>66</v>
      </c>
      <c r="C2204">
        <v>1122131299.4350281</v>
      </c>
      <c r="D2204" t="s">
        <v>77</v>
      </c>
      <c r="E2204" t="s">
        <v>14</v>
      </c>
      <c r="F2204" t="s">
        <v>75</v>
      </c>
      <c r="G2204" s="3"/>
      <c r="H2204" t="s">
        <v>57</v>
      </c>
      <c r="K2204">
        <v>117.406234416616</v>
      </c>
      <c r="L2204">
        <v>955.76806888563112</v>
      </c>
    </row>
    <row r="2205" spans="1:12" hidden="1" x14ac:dyDescent="0.25">
      <c r="A2205">
        <v>2023</v>
      </c>
      <c r="B2205" t="s">
        <v>66</v>
      </c>
      <c r="C2205">
        <v>14820401864.406771</v>
      </c>
      <c r="D2205" t="s">
        <v>77</v>
      </c>
      <c r="E2205" t="s">
        <v>14</v>
      </c>
      <c r="F2205" t="s">
        <v>75</v>
      </c>
      <c r="G2205" s="2"/>
      <c r="H2205" t="s">
        <v>43</v>
      </c>
      <c r="K2205">
        <v>136.67401133375901</v>
      </c>
      <c r="L2205">
        <v>10843.61373444673</v>
      </c>
    </row>
    <row r="2206" spans="1:12" hidden="1" x14ac:dyDescent="0.25">
      <c r="A2206">
        <v>2023</v>
      </c>
      <c r="B2206" t="s">
        <v>66</v>
      </c>
      <c r="C2206">
        <v>5787136610.1694908</v>
      </c>
      <c r="D2206" t="s">
        <v>77</v>
      </c>
      <c r="E2206" t="s">
        <v>14</v>
      </c>
      <c r="F2206" t="s">
        <v>75</v>
      </c>
      <c r="G2206" s="2"/>
      <c r="H2206" t="s">
        <v>31</v>
      </c>
      <c r="K2206">
        <v>126.43481259036101</v>
      </c>
      <c r="L2206">
        <v>4577.1702362697888</v>
      </c>
    </row>
    <row r="2207" spans="1:12" hidden="1" x14ac:dyDescent="0.25">
      <c r="A2207">
        <v>2023</v>
      </c>
      <c r="B2207" t="s">
        <v>66</v>
      </c>
      <c r="C2207">
        <v>2820073389.8305092</v>
      </c>
      <c r="D2207" t="s">
        <v>77</v>
      </c>
      <c r="E2207" t="s">
        <v>14</v>
      </c>
      <c r="F2207" t="s">
        <v>75</v>
      </c>
      <c r="G2207" s="2"/>
      <c r="H2207" t="s">
        <v>25</v>
      </c>
      <c r="K2207">
        <v>126.827473515305</v>
      </c>
      <c r="L2207">
        <v>2223.5508692761232</v>
      </c>
    </row>
    <row r="2208" spans="1:12" hidden="1" x14ac:dyDescent="0.25">
      <c r="A2208">
        <v>2023</v>
      </c>
      <c r="B2208" t="s">
        <v>66</v>
      </c>
      <c r="C2208">
        <v>11694598870.05649</v>
      </c>
      <c r="D2208" t="s">
        <v>77</v>
      </c>
      <c r="E2208" t="s">
        <v>14</v>
      </c>
      <c r="F2208" t="s">
        <v>75</v>
      </c>
      <c r="G2208" s="3"/>
      <c r="H2208" t="s">
        <v>41</v>
      </c>
      <c r="K2208">
        <v>122.42725052420499</v>
      </c>
      <c r="L2208">
        <v>9552.2841687475138</v>
      </c>
    </row>
    <row r="2209" spans="1:12" hidden="1" x14ac:dyDescent="0.25">
      <c r="A2209">
        <v>2023</v>
      </c>
      <c r="B2209" t="s">
        <v>66</v>
      </c>
      <c r="C2209">
        <v>1866013050.8474569</v>
      </c>
      <c r="D2209" t="s">
        <v>77</v>
      </c>
      <c r="E2209" t="s">
        <v>14</v>
      </c>
      <c r="F2209" t="s">
        <v>75</v>
      </c>
      <c r="G2209" s="2"/>
      <c r="H2209" t="s">
        <v>27</v>
      </c>
      <c r="K2209">
        <v>121.146784451534</v>
      </c>
      <c r="L2209">
        <v>1540.2910273643911</v>
      </c>
    </row>
    <row r="2210" spans="1:12" hidden="1" x14ac:dyDescent="0.25">
      <c r="A2210">
        <v>2023</v>
      </c>
      <c r="B2210" t="s">
        <v>66</v>
      </c>
      <c r="C2210">
        <v>10222794463.276831</v>
      </c>
      <c r="D2210" t="s">
        <v>77</v>
      </c>
      <c r="E2210" t="s">
        <v>14</v>
      </c>
      <c r="F2210" t="s">
        <v>75</v>
      </c>
      <c r="G2210" s="2"/>
      <c r="H2210" t="s">
        <v>49</v>
      </c>
      <c r="K2210">
        <v>115.498414548615</v>
      </c>
      <c r="L2210">
        <v>8851.0257939288913</v>
      </c>
    </row>
    <row r="2211" spans="1:12" hidden="1" x14ac:dyDescent="0.25">
      <c r="A2211">
        <v>2023</v>
      </c>
      <c r="B2211" t="s">
        <v>66</v>
      </c>
      <c r="C2211">
        <v>13988685310.734461</v>
      </c>
      <c r="D2211" t="s">
        <v>77</v>
      </c>
      <c r="E2211" t="s">
        <v>14</v>
      </c>
      <c r="F2211" t="s">
        <v>75</v>
      </c>
      <c r="G2211" s="2"/>
      <c r="H2211" t="s">
        <v>47</v>
      </c>
      <c r="K2211">
        <v>134.05703540769301</v>
      </c>
      <c r="L2211">
        <v>10434.875922917579</v>
      </c>
    </row>
    <row r="2212" spans="1:12" hidden="1" x14ac:dyDescent="0.25">
      <c r="A2212">
        <v>2023</v>
      </c>
      <c r="B2212" t="s">
        <v>66</v>
      </c>
      <c r="C2212">
        <v>2462492824.858757</v>
      </c>
      <c r="D2212" t="s">
        <v>77</v>
      </c>
      <c r="E2212" t="s">
        <v>14</v>
      </c>
      <c r="F2212" t="s">
        <v>75</v>
      </c>
      <c r="G2212" s="3"/>
      <c r="H2212" t="s">
        <v>39</v>
      </c>
      <c r="K2212">
        <v>131.56240089822001</v>
      </c>
      <c r="L2212">
        <v>1871.729922870443</v>
      </c>
    </row>
    <row r="2213" spans="1:12" hidden="1" x14ac:dyDescent="0.25">
      <c r="A2213">
        <v>2023</v>
      </c>
      <c r="B2213" t="s">
        <v>66</v>
      </c>
      <c r="C2213">
        <v>10079455310.734461</v>
      </c>
      <c r="D2213" t="s">
        <v>77</v>
      </c>
      <c r="E2213" t="s">
        <v>14</v>
      </c>
      <c r="F2213" t="s">
        <v>75</v>
      </c>
      <c r="G2213" s="2"/>
      <c r="H2213" t="s">
        <v>23</v>
      </c>
      <c r="K2213">
        <v>122.71316266715</v>
      </c>
      <c r="L2213">
        <v>8213.8338639956673</v>
      </c>
    </row>
    <row r="2214" spans="1:12" hidden="1" x14ac:dyDescent="0.25">
      <c r="A2214">
        <v>2023</v>
      </c>
      <c r="B2214" t="s">
        <v>66</v>
      </c>
      <c r="C2214">
        <v>18671657231.638401</v>
      </c>
      <c r="D2214" t="s">
        <v>77</v>
      </c>
      <c r="E2214" t="s">
        <v>14</v>
      </c>
      <c r="F2214" t="s">
        <v>75</v>
      </c>
      <c r="G2214" s="2"/>
      <c r="H2214" t="s">
        <v>37</v>
      </c>
      <c r="K2214">
        <v>131.56240089822001</v>
      </c>
      <c r="L2214">
        <v>14192.24421579481</v>
      </c>
    </row>
    <row r="2215" spans="1:12" hidden="1" x14ac:dyDescent="0.25">
      <c r="A2215">
        <v>2023</v>
      </c>
      <c r="B2215" t="s">
        <v>66</v>
      </c>
      <c r="C2215">
        <v>28580675197.740131</v>
      </c>
      <c r="D2215" t="s">
        <v>77</v>
      </c>
      <c r="E2215" t="s">
        <v>14</v>
      </c>
      <c r="F2215" t="s">
        <v>75</v>
      </c>
      <c r="G2215" s="2"/>
      <c r="H2215" t="s">
        <v>55</v>
      </c>
      <c r="K2215">
        <v>117.406234416616</v>
      </c>
      <c r="L2215">
        <v>24343.40504978774</v>
      </c>
    </row>
    <row r="2216" spans="1:12" hidden="1" x14ac:dyDescent="0.25">
      <c r="A2216">
        <v>2023</v>
      </c>
      <c r="B2216" t="s">
        <v>66</v>
      </c>
      <c r="C2216">
        <v>346322824.85875708</v>
      </c>
      <c r="D2216" t="s">
        <v>77</v>
      </c>
      <c r="E2216" t="s">
        <v>14</v>
      </c>
      <c r="F2216" t="s">
        <v>75</v>
      </c>
      <c r="G2216" s="3"/>
      <c r="H2216" t="s">
        <v>33</v>
      </c>
      <c r="K2216">
        <v>133.89448111026101</v>
      </c>
      <c r="L2216">
        <v>258.65354717164411</v>
      </c>
    </row>
    <row r="2217" spans="1:12" hidden="1" x14ac:dyDescent="0.25">
      <c r="A2217">
        <v>2023</v>
      </c>
      <c r="B2217" t="s">
        <v>66</v>
      </c>
      <c r="C2217">
        <v>245800225.98870051</v>
      </c>
      <c r="D2217" t="s">
        <v>77</v>
      </c>
      <c r="E2217" t="s">
        <v>14</v>
      </c>
      <c r="F2217" t="s">
        <v>75</v>
      </c>
      <c r="G2217" s="2"/>
      <c r="H2217" t="s">
        <v>61</v>
      </c>
      <c r="K2217">
        <v>141.34852687948501</v>
      </c>
      <c r="L2217">
        <v>173.89656009522611</v>
      </c>
    </row>
    <row r="2218" spans="1:12" hidden="1" x14ac:dyDescent="0.25">
      <c r="A2218">
        <v>2023</v>
      </c>
      <c r="B2218" t="s">
        <v>66</v>
      </c>
      <c r="C2218">
        <v>1792477344.6327691</v>
      </c>
      <c r="D2218" t="s">
        <v>77</v>
      </c>
      <c r="E2218" t="s">
        <v>14</v>
      </c>
      <c r="F2218" t="s">
        <v>75</v>
      </c>
      <c r="G2218" s="2"/>
      <c r="H2218" t="s">
        <v>29</v>
      </c>
      <c r="K2218">
        <v>138.02464258179401</v>
      </c>
      <c r="L2218">
        <v>1298.6647247215569</v>
      </c>
    </row>
    <row r="2219" spans="1:12" hidden="1" x14ac:dyDescent="0.25">
      <c r="A2219">
        <v>2021</v>
      </c>
      <c r="B2219" t="s">
        <v>12</v>
      </c>
      <c r="C2219">
        <v>5785605373.4527254</v>
      </c>
      <c r="D2219" t="s">
        <v>77</v>
      </c>
      <c r="E2219" t="s">
        <v>14</v>
      </c>
      <c r="F2219" t="s">
        <v>76</v>
      </c>
      <c r="G2219" s="2"/>
      <c r="H2219" t="s">
        <v>21</v>
      </c>
      <c r="K2219">
        <v>112.85003295356999</v>
      </c>
      <c r="L2219">
        <v>5126.8087585168041</v>
      </c>
    </row>
    <row r="2220" spans="1:12" hidden="1" x14ac:dyDescent="0.25">
      <c r="A2220">
        <v>2021</v>
      </c>
      <c r="B2220" t="s">
        <v>12</v>
      </c>
      <c r="C2220">
        <v>26221178771.925171</v>
      </c>
      <c r="D2220" t="s">
        <v>77</v>
      </c>
      <c r="E2220" t="s">
        <v>14</v>
      </c>
      <c r="F2220" t="s">
        <v>76</v>
      </c>
      <c r="G2220" s="3"/>
      <c r="H2220" t="s">
        <v>19</v>
      </c>
      <c r="K2220">
        <v>108.85802305479</v>
      </c>
      <c r="L2220">
        <v>24087.502267726861</v>
      </c>
    </row>
    <row r="2221" spans="1:12" hidden="1" x14ac:dyDescent="0.25">
      <c r="A2221">
        <v>2021</v>
      </c>
      <c r="B2221" t="s">
        <v>12</v>
      </c>
      <c r="C2221">
        <v>1222203943.9030809</v>
      </c>
      <c r="D2221" t="s">
        <v>77</v>
      </c>
      <c r="E2221" t="s">
        <v>14</v>
      </c>
      <c r="F2221" t="s">
        <v>76</v>
      </c>
      <c r="G2221" s="2"/>
      <c r="H2221" t="s">
        <v>51</v>
      </c>
      <c r="K2221">
        <v>106.47234528849</v>
      </c>
      <c r="L2221">
        <v>1147.9074125694169</v>
      </c>
    </row>
    <row r="2222" spans="1:12" hidden="1" x14ac:dyDescent="0.25">
      <c r="A2222">
        <v>2021</v>
      </c>
      <c r="B2222" t="s">
        <v>12</v>
      </c>
      <c r="C2222">
        <v>1034373214.116408</v>
      </c>
      <c r="D2222" t="s">
        <v>77</v>
      </c>
      <c r="E2222" t="s">
        <v>14</v>
      </c>
      <c r="F2222" t="s">
        <v>76</v>
      </c>
      <c r="G2222" s="2"/>
      <c r="H2222" t="s">
        <v>53</v>
      </c>
      <c r="K2222">
        <v>106.47234528849</v>
      </c>
      <c r="L2222">
        <v>971.49472129475771</v>
      </c>
    </row>
    <row r="2223" spans="1:12" hidden="1" x14ac:dyDescent="0.25">
      <c r="A2223">
        <v>2021</v>
      </c>
      <c r="B2223" t="s">
        <v>12</v>
      </c>
      <c r="C2223">
        <v>2742569980.2475638</v>
      </c>
      <c r="D2223" t="s">
        <v>77</v>
      </c>
      <c r="E2223" t="s">
        <v>14</v>
      </c>
      <c r="F2223" t="s">
        <v>76</v>
      </c>
      <c r="G2223" s="2"/>
      <c r="H2223" t="s">
        <v>45</v>
      </c>
      <c r="K2223">
        <v>124.66113428208</v>
      </c>
      <c r="L2223">
        <v>2200.0200752559708</v>
      </c>
    </row>
    <row r="2224" spans="1:12" hidden="1" x14ac:dyDescent="0.25">
      <c r="A2224">
        <v>2021</v>
      </c>
      <c r="B2224" t="s">
        <v>12</v>
      </c>
      <c r="C2224">
        <v>695578022.12272859</v>
      </c>
      <c r="D2224" t="s">
        <v>77</v>
      </c>
      <c r="E2224" t="s">
        <v>14</v>
      </c>
      <c r="F2224" t="s">
        <v>76</v>
      </c>
      <c r="G2224" s="3"/>
      <c r="H2224" t="s">
        <v>59</v>
      </c>
      <c r="K2224">
        <v>143.65737313291001</v>
      </c>
      <c r="L2224">
        <v>484.19235779787539</v>
      </c>
    </row>
    <row r="2225" spans="1:12" hidden="1" x14ac:dyDescent="0.25">
      <c r="A2225">
        <v>2021</v>
      </c>
      <c r="B2225" t="s">
        <v>12</v>
      </c>
      <c r="C2225">
        <v>41201405.056623653</v>
      </c>
      <c r="D2225" t="s">
        <v>77</v>
      </c>
      <c r="E2225" t="s">
        <v>14</v>
      </c>
      <c r="F2225" t="s">
        <v>76</v>
      </c>
      <c r="G2225" s="2"/>
      <c r="H2225" t="s">
        <v>57</v>
      </c>
      <c r="K2225">
        <v>106.47234528849</v>
      </c>
      <c r="L2225">
        <v>38.696813660849877</v>
      </c>
    </row>
    <row r="2226" spans="1:12" hidden="1" x14ac:dyDescent="0.25">
      <c r="A2226">
        <v>2021</v>
      </c>
      <c r="B2226" t="s">
        <v>12</v>
      </c>
      <c r="C2226">
        <v>2987351700.0263391</v>
      </c>
      <c r="D2226" t="s">
        <v>77</v>
      </c>
      <c r="E2226" t="s">
        <v>14</v>
      </c>
      <c r="F2226" t="s">
        <v>76</v>
      </c>
      <c r="G2226" s="2"/>
      <c r="H2226" t="s">
        <v>43</v>
      </c>
      <c r="K2226">
        <v>124.66113428208</v>
      </c>
      <c r="L2226">
        <v>2396.377762187401</v>
      </c>
    </row>
    <row r="2227" spans="1:12" hidden="1" x14ac:dyDescent="0.25">
      <c r="A2227">
        <v>2021</v>
      </c>
      <c r="B2227" t="s">
        <v>12</v>
      </c>
      <c r="C2227">
        <v>5104296367.1319447</v>
      </c>
      <c r="D2227" t="s">
        <v>77</v>
      </c>
      <c r="E2227" t="s">
        <v>14</v>
      </c>
      <c r="F2227" t="s">
        <v>76</v>
      </c>
      <c r="G2227" s="2"/>
      <c r="H2227" t="s">
        <v>31</v>
      </c>
      <c r="K2227">
        <v>94.206586225303994</v>
      </c>
      <c r="L2227">
        <v>5418.1948116923959</v>
      </c>
    </row>
    <row r="2228" spans="1:12" hidden="1" x14ac:dyDescent="0.25">
      <c r="A2228">
        <v>2021</v>
      </c>
      <c r="B2228" t="s">
        <v>12</v>
      </c>
      <c r="C2228">
        <v>133124964.44561499</v>
      </c>
      <c r="D2228" t="s">
        <v>77</v>
      </c>
      <c r="E2228" t="s">
        <v>14</v>
      </c>
      <c r="F2228" t="s">
        <v>76</v>
      </c>
      <c r="G2228" s="3"/>
      <c r="H2228" t="s">
        <v>25</v>
      </c>
      <c r="K2228">
        <v>69.374466842382006</v>
      </c>
      <c r="L2228">
        <v>191.893315372172</v>
      </c>
    </row>
    <row r="2229" spans="1:12" hidden="1" x14ac:dyDescent="0.25">
      <c r="A2229">
        <v>2021</v>
      </c>
      <c r="B2229" t="s">
        <v>12</v>
      </c>
      <c r="C2229">
        <v>3068057934.685277</v>
      </c>
      <c r="D2229" t="s">
        <v>77</v>
      </c>
      <c r="E2229" t="s">
        <v>14</v>
      </c>
      <c r="F2229" t="s">
        <v>76</v>
      </c>
      <c r="G2229" s="2"/>
      <c r="H2229" t="s">
        <v>41</v>
      </c>
      <c r="K2229">
        <v>115.300264502</v>
      </c>
      <c r="L2229">
        <v>2660.9287913923722</v>
      </c>
    </row>
    <row r="2230" spans="1:12" hidden="1" x14ac:dyDescent="0.25">
      <c r="A2230">
        <v>2021</v>
      </c>
      <c r="B2230" t="s">
        <v>12</v>
      </c>
      <c r="C2230">
        <v>59178590.992889121</v>
      </c>
      <c r="D2230" t="s">
        <v>77</v>
      </c>
      <c r="E2230" t="s">
        <v>14</v>
      </c>
      <c r="F2230" t="s">
        <v>76</v>
      </c>
      <c r="G2230" s="2"/>
      <c r="H2230" t="s">
        <v>27</v>
      </c>
      <c r="K2230">
        <v>69.374466842382006</v>
      </c>
      <c r="L2230">
        <v>85.303129071020038</v>
      </c>
    </row>
    <row r="2231" spans="1:12" hidden="1" x14ac:dyDescent="0.25">
      <c r="A2231">
        <v>2021</v>
      </c>
      <c r="B2231" t="s">
        <v>12</v>
      </c>
      <c r="C2231">
        <v>10075945.48327627</v>
      </c>
      <c r="D2231" t="s">
        <v>77</v>
      </c>
      <c r="E2231" t="s">
        <v>14</v>
      </c>
      <c r="F2231" t="s">
        <v>76</v>
      </c>
      <c r="G2231" s="2"/>
      <c r="H2231" t="s">
        <v>49</v>
      </c>
      <c r="K2231">
        <v>106.47234528849</v>
      </c>
      <c r="L2231">
        <v>9.4634390329011673</v>
      </c>
    </row>
    <row r="2232" spans="1:12" hidden="1" x14ac:dyDescent="0.25">
      <c r="A2232">
        <v>2021</v>
      </c>
      <c r="B2232" t="s">
        <v>12</v>
      </c>
      <c r="C2232">
        <v>2632704903.6081109</v>
      </c>
      <c r="D2232" t="s">
        <v>77</v>
      </c>
      <c r="E2232" t="s">
        <v>14</v>
      </c>
      <c r="F2232" t="s">
        <v>76</v>
      </c>
      <c r="G2232" s="3"/>
      <c r="H2232" t="s">
        <v>47</v>
      </c>
      <c r="K2232">
        <v>106.47234528849</v>
      </c>
      <c r="L2232">
        <v>2472.665457377424</v>
      </c>
    </row>
    <row r="2233" spans="1:12" hidden="1" x14ac:dyDescent="0.25">
      <c r="A2233">
        <v>2021</v>
      </c>
      <c r="B2233" t="s">
        <v>12</v>
      </c>
      <c r="C2233">
        <v>1591996046.8791151</v>
      </c>
      <c r="D2233" t="s">
        <v>77</v>
      </c>
      <c r="E2233" t="s">
        <v>14</v>
      </c>
      <c r="F2233" t="s">
        <v>76</v>
      </c>
      <c r="G2233" s="2"/>
      <c r="H2233" t="s">
        <v>39</v>
      </c>
      <c r="K2233">
        <v>115.300264502</v>
      </c>
      <c r="L2233">
        <v>1380.7392842984329</v>
      </c>
    </row>
    <row r="2234" spans="1:12" hidden="1" x14ac:dyDescent="0.25">
      <c r="A2234">
        <v>2021</v>
      </c>
      <c r="B2234" t="s">
        <v>12</v>
      </c>
      <c r="C2234">
        <v>323908542.27021343</v>
      </c>
      <c r="D2234" t="s">
        <v>77</v>
      </c>
      <c r="E2234" t="s">
        <v>14</v>
      </c>
      <c r="F2234" t="s">
        <v>76</v>
      </c>
      <c r="G2234" s="2"/>
      <c r="H2234" t="s">
        <v>23</v>
      </c>
      <c r="K2234">
        <v>69.374466842382006</v>
      </c>
      <c r="L2234">
        <v>466.89878425463058</v>
      </c>
    </row>
    <row r="2235" spans="1:12" hidden="1" x14ac:dyDescent="0.25">
      <c r="A2235">
        <v>2021</v>
      </c>
      <c r="B2235" t="s">
        <v>12</v>
      </c>
      <c r="C2235">
        <v>12970174865.420071</v>
      </c>
      <c r="D2235" t="s">
        <v>77</v>
      </c>
      <c r="E2235" t="s">
        <v>14</v>
      </c>
      <c r="F2235" t="s">
        <v>76</v>
      </c>
      <c r="G2235" s="2"/>
      <c r="H2235" t="s">
        <v>37</v>
      </c>
      <c r="K2235">
        <v>115.300264502</v>
      </c>
      <c r="L2235">
        <v>11249.041727215719</v>
      </c>
    </row>
    <row r="2236" spans="1:12" hidden="1" x14ac:dyDescent="0.25">
      <c r="A2236">
        <v>2021</v>
      </c>
      <c r="B2236" t="s">
        <v>12</v>
      </c>
      <c r="C2236">
        <v>67068964.972346596</v>
      </c>
      <c r="D2236" t="s">
        <v>77</v>
      </c>
      <c r="E2236" t="s">
        <v>14</v>
      </c>
      <c r="F2236" t="s">
        <v>76</v>
      </c>
      <c r="G2236" s="3"/>
      <c r="H2236" t="s">
        <v>55</v>
      </c>
      <c r="K2236">
        <v>106.47234528849</v>
      </c>
      <c r="L2236">
        <v>62.991910989300763</v>
      </c>
    </row>
    <row r="2237" spans="1:12" hidden="1" x14ac:dyDescent="0.25">
      <c r="A2237">
        <v>2021</v>
      </c>
      <c r="B2237" t="s">
        <v>12</v>
      </c>
      <c r="C2237">
        <v>348621587.04240191</v>
      </c>
      <c r="D2237" t="s">
        <v>77</v>
      </c>
      <c r="E2237" t="s">
        <v>14</v>
      </c>
      <c r="F2237" t="s">
        <v>76</v>
      </c>
      <c r="G2237" s="2"/>
      <c r="H2237" t="s">
        <v>33</v>
      </c>
      <c r="K2237">
        <v>94.206586225303994</v>
      </c>
      <c r="L2237">
        <v>370.06073673940398</v>
      </c>
    </row>
    <row r="2238" spans="1:12" hidden="1" x14ac:dyDescent="0.25">
      <c r="A2238">
        <v>2021</v>
      </c>
      <c r="B2238" t="s">
        <v>12</v>
      </c>
      <c r="C2238">
        <v>132559895.7071372</v>
      </c>
      <c r="D2238" t="s">
        <v>77</v>
      </c>
      <c r="E2238" t="s">
        <v>14</v>
      </c>
      <c r="F2238" t="s">
        <v>76</v>
      </c>
      <c r="G2238" s="2"/>
      <c r="H2238" t="s">
        <v>61</v>
      </c>
      <c r="K2238">
        <v>110.55212475787999</v>
      </c>
      <c r="L2238">
        <v>119.9071442520498</v>
      </c>
    </row>
    <row r="2239" spans="1:12" hidden="1" x14ac:dyDescent="0.25">
      <c r="A2239">
        <v>2021</v>
      </c>
      <c r="B2239" t="s">
        <v>12</v>
      </c>
      <c r="C2239">
        <v>4444347837.7666578</v>
      </c>
      <c r="D2239" t="s">
        <v>77</v>
      </c>
      <c r="E2239" t="s">
        <v>14</v>
      </c>
      <c r="F2239" t="s">
        <v>76</v>
      </c>
      <c r="G2239" s="2"/>
      <c r="H2239" t="s">
        <v>29</v>
      </c>
      <c r="K2239">
        <v>143.65737313291001</v>
      </c>
      <c r="L2239">
        <v>3093.713702849629</v>
      </c>
    </row>
    <row r="2240" spans="1:12" hidden="1" x14ac:dyDescent="0.25">
      <c r="A2240">
        <v>2021</v>
      </c>
      <c r="B2240" t="s">
        <v>12</v>
      </c>
      <c r="C2240">
        <v>1463965218.33026</v>
      </c>
      <c r="D2240" t="s">
        <v>77</v>
      </c>
      <c r="E2240" t="s">
        <v>14</v>
      </c>
      <c r="F2240" t="s">
        <v>76</v>
      </c>
      <c r="G2240" s="3"/>
      <c r="H2240" t="s">
        <v>63</v>
      </c>
      <c r="K2240">
        <v>106.47234528849</v>
      </c>
      <c r="L2240">
        <v>1374.972265674812</v>
      </c>
    </row>
    <row r="2241" spans="1:12" hidden="1" x14ac:dyDescent="0.25">
      <c r="A2241">
        <v>2021</v>
      </c>
      <c r="B2241" t="s">
        <v>66</v>
      </c>
      <c r="C2241">
        <v>27311367832.51231</v>
      </c>
      <c r="D2241" t="s">
        <v>77</v>
      </c>
      <c r="E2241" t="s">
        <v>14</v>
      </c>
      <c r="F2241" t="s">
        <v>76</v>
      </c>
      <c r="G2241" s="2"/>
      <c r="H2241" t="s">
        <v>21</v>
      </c>
      <c r="K2241">
        <v>114.588591483131</v>
      </c>
      <c r="L2241">
        <v>23834.281824236328</v>
      </c>
    </row>
    <row r="2242" spans="1:12" hidden="1" x14ac:dyDescent="0.25">
      <c r="A2242">
        <v>2021</v>
      </c>
      <c r="B2242" t="s">
        <v>66</v>
      </c>
      <c r="C2242">
        <v>77770257635.467987</v>
      </c>
      <c r="D2242" t="s">
        <v>77</v>
      </c>
      <c r="E2242" t="s">
        <v>14</v>
      </c>
      <c r="F2242" t="s">
        <v>76</v>
      </c>
      <c r="G2242" s="2"/>
      <c r="H2242" t="s">
        <v>19</v>
      </c>
      <c r="K2242">
        <v>116.18765921948599</v>
      </c>
      <c r="L2242">
        <v>66935.041258172641</v>
      </c>
    </row>
    <row r="2243" spans="1:12" hidden="1" x14ac:dyDescent="0.25">
      <c r="A2243">
        <v>2021</v>
      </c>
      <c r="B2243" t="s">
        <v>66</v>
      </c>
      <c r="C2243">
        <v>788655320.19704425</v>
      </c>
      <c r="D2243" t="s">
        <v>77</v>
      </c>
      <c r="E2243" t="s">
        <v>14</v>
      </c>
      <c r="F2243" t="s">
        <v>76</v>
      </c>
      <c r="G2243" s="2"/>
      <c r="H2243" t="s">
        <v>68</v>
      </c>
      <c r="K2243">
        <v>114.588591483131</v>
      </c>
      <c r="L2243">
        <v>688.24942342811255</v>
      </c>
    </row>
    <row r="2244" spans="1:12" hidden="1" x14ac:dyDescent="0.25">
      <c r="A2244">
        <v>2021</v>
      </c>
      <c r="B2244" t="s">
        <v>66</v>
      </c>
      <c r="C2244">
        <v>22145353448.27586</v>
      </c>
      <c r="D2244" t="s">
        <v>77</v>
      </c>
      <c r="E2244" t="s">
        <v>14</v>
      </c>
      <c r="F2244" t="s">
        <v>76</v>
      </c>
      <c r="G2244" s="3"/>
      <c r="H2244" t="s">
        <v>35</v>
      </c>
      <c r="K2244">
        <v>101.249897488305</v>
      </c>
      <c r="L2244">
        <v>21871.976167515419</v>
      </c>
    </row>
    <row r="2245" spans="1:12" hidden="1" x14ac:dyDescent="0.25">
      <c r="A2245">
        <v>2021</v>
      </c>
      <c r="B2245" t="s">
        <v>66</v>
      </c>
      <c r="C2245">
        <v>34037295221.67487</v>
      </c>
      <c r="D2245" t="s">
        <v>77</v>
      </c>
      <c r="E2245" t="s">
        <v>14</v>
      </c>
      <c r="F2245" t="s">
        <v>76</v>
      </c>
      <c r="G2245" s="2"/>
      <c r="H2245" t="s">
        <v>51</v>
      </c>
      <c r="K2245">
        <v>110.091234626415</v>
      </c>
      <c r="L2245">
        <v>30917.35262773413</v>
      </c>
    </row>
    <row r="2246" spans="1:12" hidden="1" x14ac:dyDescent="0.25">
      <c r="A2246">
        <v>2021</v>
      </c>
      <c r="B2246" t="s">
        <v>66</v>
      </c>
      <c r="C2246">
        <v>43375108965.517227</v>
      </c>
      <c r="D2246" t="s">
        <v>77</v>
      </c>
      <c r="E2246" t="s">
        <v>14</v>
      </c>
      <c r="F2246" t="s">
        <v>76</v>
      </c>
      <c r="G2246" s="2"/>
      <c r="H2246" t="s">
        <v>53</v>
      </c>
      <c r="K2246">
        <v>111.424704413977</v>
      </c>
      <c r="L2246">
        <v>38927.730787927772</v>
      </c>
    </row>
    <row r="2247" spans="1:12" hidden="1" x14ac:dyDescent="0.25">
      <c r="A2247">
        <v>2021</v>
      </c>
      <c r="B2247" t="s">
        <v>66</v>
      </c>
      <c r="C2247">
        <v>48321827389.162552</v>
      </c>
      <c r="D2247" t="s">
        <v>77</v>
      </c>
      <c r="E2247" t="s">
        <v>14</v>
      </c>
      <c r="F2247" t="s">
        <v>76</v>
      </c>
      <c r="G2247" s="2"/>
      <c r="H2247" t="s">
        <v>45</v>
      </c>
      <c r="K2247">
        <v>141.21332900058599</v>
      </c>
      <c r="L2247">
        <v>34219.02714931537</v>
      </c>
    </row>
    <row r="2248" spans="1:12" hidden="1" x14ac:dyDescent="0.25">
      <c r="A2248">
        <v>2021</v>
      </c>
      <c r="B2248" t="s">
        <v>66</v>
      </c>
      <c r="C2248">
        <v>2181306403.940886</v>
      </c>
      <c r="D2248" t="s">
        <v>77</v>
      </c>
      <c r="E2248" t="s">
        <v>14</v>
      </c>
      <c r="F2248" t="s">
        <v>76</v>
      </c>
      <c r="G2248" s="3"/>
      <c r="H2248" t="s">
        <v>59</v>
      </c>
      <c r="K2248">
        <v>113.656804391549</v>
      </c>
      <c r="L2248">
        <v>1919.204411577736</v>
      </c>
    </row>
    <row r="2249" spans="1:12" hidden="1" x14ac:dyDescent="0.25">
      <c r="A2249">
        <v>2021</v>
      </c>
      <c r="B2249" t="s">
        <v>66</v>
      </c>
      <c r="C2249">
        <v>1481454679.8029561</v>
      </c>
      <c r="D2249" t="s">
        <v>77</v>
      </c>
      <c r="E2249" t="s">
        <v>14</v>
      </c>
      <c r="F2249" t="s">
        <v>76</v>
      </c>
      <c r="G2249" s="2"/>
      <c r="H2249" t="s">
        <v>57</v>
      </c>
      <c r="K2249">
        <v>112.92894634856199</v>
      </c>
      <c r="L2249">
        <v>1311.846721061539</v>
      </c>
    </row>
    <row r="2250" spans="1:12" hidden="1" x14ac:dyDescent="0.25">
      <c r="A2250">
        <v>2021</v>
      </c>
      <c r="B2250" t="s">
        <v>66</v>
      </c>
      <c r="C2250">
        <v>26206128571.42857</v>
      </c>
      <c r="D2250" t="s">
        <v>77</v>
      </c>
      <c r="E2250" t="s">
        <v>14</v>
      </c>
      <c r="F2250" t="s">
        <v>76</v>
      </c>
      <c r="G2250" s="2"/>
      <c r="H2250" t="s">
        <v>43</v>
      </c>
      <c r="K2250">
        <v>112.951814443289</v>
      </c>
      <c r="L2250">
        <v>23201.157680017779</v>
      </c>
    </row>
    <row r="2251" spans="1:12" hidden="1" x14ac:dyDescent="0.25">
      <c r="A2251">
        <v>2021</v>
      </c>
      <c r="B2251" t="s">
        <v>66</v>
      </c>
      <c r="C2251">
        <v>15239096354.6798</v>
      </c>
      <c r="D2251" t="s">
        <v>77</v>
      </c>
      <c r="E2251" t="s">
        <v>14</v>
      </c>
      <c r="F2251" t="s">
        <v>76</v>
      </c>
      <c r="G2251" s="2"/>
      <c r="H2251" t="s">
        <v>31</v>
      </c>
      <c r="K2251">
        <v>112.392064602288</v>
      </c>
      <c r="L2251">
        <v>13558.872157571859</v>
      </c>
    </row>
    <row r="2252" spans="1:12" hidden="1" x14ac:dyDescent="0.25">
      <c r="A2252">
        <v>2021</v>
      </c>
      <c r="B2252" t="s">
        <v>66</v>
      </c>
      <c r="C2252">
        <v>4960944581.2807884</v>
      </c>
      <c r="D2252" t="s">
        <v>77</v>
      </c>
      <c r="E2252" t="s">
        <v>14</v>
      </c>
      <c r="F2252" t="s">
        <v>76</v>
      </c>
      <c r="G2252" s="3"/>
      <c r="H2252" t="s">
        <v>25</v>
      </c>
      <c r="K2252">
        <v>118.49318137442501</v>
      </c>
      <c r="L2252">
        <v>4186.6920304931018</v>
      </c>
    </row>
    <row r="2253" spans="1:12" hidden="1" x14ac:dyDescent="0.25">
      <c r="A2253">
        <v>2021</v>
      </c>
      <c r="B2253" t="s">
        <v>66</v>
      </c>
      <c r="C2253">
        <v>25390589950.738911</v>
      </c>
      <c r="D2253" t="s">
        <v>77</v>
      </c>
      <c r="E2253" t="s">
        <v>14</v>
      </c>
      <c r="F2253" t="s">
        <v>76</v>
      </c>
      <c r="G2253" s="2"/>
      <c r="H2253" t="s">
        <v>41</v>
      </c>
      <c r="K2253">
        <v>110.98105301320901</v>
      </c>
      <c r="L2253">
        <v>22878.31054163535</v>
      </c>
    </row>
    <row r="2254" spans="1:12" hidden="1" x14ac:dyDescent="0.25">
      <c r="A2254">
        <v>2021</v>
      </c>
      <c r="B2254" t="s">
        <v>66</v>
      </c>
      <c r="C2254">
        <v>3247762955.6650252</v>
      </c>
      <c r="D2254" t="s">
        <v>77</v>
      </c>
      <c r="E2254" t="s">
        <v>14</v>
      </c>
      <c r="F2254" t="s">
        <v>76</v>
      </c>
      <c r="G2254" s="2"/>
      <c r="H2254" t="s">
        <v>27</v>
      </c>
      <c r="K2254">
        <v>107.07734755600499</v>
      </c>
      <c r="L2254">
        <v>3033.0999317725318</v>
      </c>
    </row>
    <row r="2255" spans="1:12" hidden="1" x14ac:dyDescent="0.25">
      <c r="A2255">
        <v>2021</v>
      </c>
      <c r="B2255" t="s">
        <v>66</v>
      </c>
      <c r="C2255">
        <v>11015815320.197041</v>
      </c>
      <c r="D2255" t="s">
        <v>77</v>
      </c>
      <c r="E2255" t="s">
        <v>14</v>
      </c>
      <c r="F2255" t="s">
        <v>76</v>
      </c>
      <c r="G2255" s="2"/>
      <c r="H2255" t="s">
        <v>49</v>
      </c>
      <c r="K2255">
        <v>106.928543554746</v>
      </c>
      <c r="L2255">
        <v>10302.034381079069</v>
      </c>
    </row>
    <row r="2256" spans="1:12" hidden="1" x14ac:dyDescent="0.25">
      <c r="A2256">
        <v>2021</v>
      </c>
      <c r="B2256" t="s">
        <v>66</v>
      </c>
      <c r="C2256">
        <v>28974358472.906399</v>
      </c>
      <c r="D2256" t="s">
        <v>77</v>
      </c>
      <c r="E2256" t="s">
        <v>14</v>
      </c>
      <c r="F2256" t="s">
        <v>76</v>
      </c>
      <c r="G2256" s="3"/>
      <c r="H2256" t="s">
        <v>47</v>
      </c>
      <c r="K2256">
        <v>121.868271296408</v>
      </c>
      <c r="L2256">
        <v>23775.145215964349</v>
      </c>
    </row>
    <row r="2257" spans="1:12" hidden="1" x14ac:dyDescent="0.25">
      <c r="A2257">
        <v>2021</v>
      </c>
      <c r="B2257" t="s">
        <v>66</v>
      </c>
      <c r="C2257">
        <v>2867637733.9901481</v>
      </c>
      <c r="D2257" t="s">
        <v>77</v>
      </c>
      <c r="E2257" t="s">
        <v>14</v>
      </c>
      <c r="F2257" t="s">
        <v>76</v>
      </c>
      <c r="G2257" s="2"/>
      <c r="H2257" t="s">
        <v>39</v>
      </c>
      <c r="K2257">
        <v>108.877296090838</v>
      </c>
      <c r="L2257">
        <v>2633.8252665621249</v>
      </c>
    </row>
    <row r="2258" spans="1:12" hidden="1" x14ac:dyDescent="0.25">
      <c r="A2258">
        <v>2021</v>
      </c>
      <c r="B2258" t="s">
        <v>66</v>
      </c>
      <c r="C2258">
        <v>19013226896.55172</v>
      </c>
      <c r="D2258" t="s">
        <v>77</v>
      </c>
      <c r="E2258" t="s">
        <v>14</v>
      </c>
      <c r="F2258" t="s">
        <v>76</v>
      </c>
      <c r="G2258" s="2"/>
      <c r="H2258" t="s">
        <v>23</v>
      </c>
      <c r="K2258">
        <v>113.699368348429</v>
      </c>
      <c r="L2258">
        <v>16722.36809468118</v>
      </c>
    </row>
    <row r="2259" spans="1:12" hidden="1" x14ac:dyDescent="0.25">
      <c r="A2259">
        <v>2021</v>
      </c>
      <c r="B2259" t="s">
        <v>66</v>
      </c>
      <c r="C2259">
        <v>43478200295.566513</v>
      </c>
      <c r="D2259" t="s">
        <v>77</v>
      </c>
      <c r="E2259" t="s">
        <v>14</v>
      </c>
      <c r="F2259" t="s">
        <v>76</v>
      </c>
      <c r="G2259" s="2"/>
      <c r="H2259" t="s">
        <v>37</v>
      </c>
      <c r="K2259">
        <v>108.877296090838</v>
      </c>
      <c r="L2259">
        <v>39933.210923324157</v>
      </c>
    </row>
    <row r="2260" spans="1:12" hidden="1" x14ac:dyDescent="0.25">
      <c r="A2260">
        <v>2021</v>
      </c>
      <c r="B2260" t="s">
        <v>66</v>
      </c>
      <c r="C2260">
        <v>79332112709.359619</v>
      </c>
      <c r="D2260" t="s">
        <v>77</v>
      </c>
      <c r="E2260" t="s">
        <v>14</v>
      </c>
      <c r="F2260" t="s">
        <v>76</v>
      </c>
      <c r="G2260" s="3"/>
      <c r="H2260" t="s">
        <v>55</v>
      </c>
      <c r="K2260">
        <v>112.92894634856199</v>
      </c>
      <c r="L2260">
        <v>70249.581949074665</v>
      </c>
    </row>
    <row r="2261" spans="1:12" hidden="1" x14ac:dyDescent="0.25">
      <c r="A2261">
        <v>2021</v>
      </c>
      <c r="B2261" t="s">
        <v>66</v>
      </c>
      <c r="C2261">
        <v>726532709.35960579</v>
      </c>
      <c r="D2261" t="s">
        <v>77</v>
      </c>
      <c r="E2261" t="s">
        <v>14</v>
      </c>
      <c r="F2261" t="s">
        <v>76</v>
      </c>
      <c r="H2261" t="s">
        <v>33</v>
      </c>
      <c r="K2261">
        <v>114.043225455295</v>
      </c>
      <c r="L2261">
        <v>637.06783674266296</v>
      </c>
    </row>
    <row r="2262" spans="1:12" hidden="1" x14ac:dyDescent="0.25">
      <c r="A2262">
        <v>2021</v>
      </c>
      <c r="B2262" t="s">
        <v>66</v>
      </c>
      <c r="C2262">
        <v>652916600.98522162</v>
      </c>
      <c r="D2262" t="s">
        <v>77</v>
      </c>
      <c r="E2262" t="s">
        <v>14</v>
      </c>
      <c r="F2262" t="s">
        <v>76</v>
      </c>
      <c r="H2262" t="s">
        <v>61</v>
      </c>
      <c r="K2262">
        <v>117.451425181814</v>
      </c>
      <c r="L2262">
        <v>555.90351498460836</v>
      </c>
    </row>
    <row r="2263" spans="1:12" hidden="1" x14ac:dyDescent="0.25">
      <c r="A2263">
        <v>2021</v>
      </c>
      <c r="B2263" t="s">
        <v>66</v>
      </c>
      <c r="C2263">
        <v>3718492660.0985222</v>
      </c>
      <c r="D2263" t="s">
        <v>77</v>
      </c>
      <c r="E2263" t="s">
        <v>14</v>
      </c>
      <c r="F2263" t="s">
        <v>76</v>
      </c>
      <c r="H2263" t="s">
        <v>29</v>
      </c>
      <c r="K2263">
        <v>114.696642834729</v>
      </c>
      <c r="L2263">
        <v>3242.0239757641798</v>
      </c>
    </row>
    <row r="2264" spans="1:12" hidden="1" x14ac:dyDescent="0.25">
      <c r="A2264">
        <v>2022</v>
      </c>
      <c r="B2264" t="s">
        <v>12</v>
      </c>
      <c r="C2264">
        <v>6836896569.9541245</v>
      </c>
      <c r="D2264" t="s">
        <v>77</v>
      </c>
      <c r="E2264" t="s">
        <v>14</v>
      </c>
      <c r="F2264" t="s">
        <v>76</v>
      </c>
      <c r="H2264" t="s">
        <v>21</v>
      </c>
      <c r="K2264">
        <v>109.88589645717001</v>
      </c>
      <c r="L2264">
        <v>6221.8144369590937</v>
      </c>
    </row>
    <row r="2265" spans="1:12" hidden="1" x14ac:dyDescent="0.25">
      <c r="A2265">
        <v>2022</v>
      </c>
      <c r="B2265" t="s">
        <v>12</v>
      </c>
      <c r="C2265">
        <v>29070054983.944931</v>
      </c>
      <c r="D2265" t="s">
        <v>77</v>
      </c>
      <c r="E2265" t="s">
        <v>14</v>
      </c>
      <c r="F2265" t="s">
        <v>76</v>
      </c>
      <c r="H2265" t="s">
        <v>19</v>
      </c>
      <c r="K2265">
        <v>138.22614999915999</v>
      </c>
      <c r="L2265">
        <v>21030.79264243531</v>
      </c>
    </row>
    <row r="2266" spans="1:12" hidden="1" x14ac:dyDescent="0.25">
      <c r="A2266">
        <v>2022</v>
      </c>
      <c r="B2266" t="s">
        <v>12</v>
      </c>
      <c r="C2266">
        <v>1002663942.660551</v>
      </c>
      <c r="D2266" t="s">
        <v>77</v>
      </c>
      <c r="E2266" t="s">
        <v>14</v>
      </c>
      <c r="F2266" t="s">
        <v>76</v>
      </c>
      <c r="H2266" t="s">
        <v>51</v>
      </c>
      <c r="K2266">
        <v>123.96393010113999</v>
      </c>
      <c r="L2266">
        <v>808.83523283143302</v>
      </c>
    </row>
    <row r="2267" spans="1:12" hidden="1" x14ac:dyDescent="0.25">
      <c r="A2267">
        <v>2022</v>
      </c>
      <c r="B2267" t="s">
        <v>12</v>
      </c>
      <c r="C2267">
        <v>990395880.73394465</v>
      </c>
      <c r="D2267" t="s">
        <v>77</v>
      </c>
      <c r="E2267" t="s">
        <v>14</v>
      </c>
      <c r="F2267" t="s">
        <v>76</v>
      </c>
      <c r="H2267" t="s">
        <v>53</v>
      </c>
      <c r="K2267">
        <v>123.96393010113999</v>
      </c>
      <c r="L2267">
        <v>798.93875575411175</v>
      </c>
    </row>
    <row r="2268" spans="1:12" hidden="1" x14ac:dyDescent="0.25">
      <c r="A2268">
        <v>2022</v>
      </c>
      <c r="B2268" t="s">
        <v>12</v>
      </c>
      <c r="C2268">
        <v>2629330487.3853211</v>
      </c>
      <c r="D2268" t="s">
        <v>77</v>
      </c>
      <c r="E2268" t="s">
        <v>14</v>
      </c>
      <c r="F2268" t="s">
        <v>76</v>
      </c>
      <c r="H2268" t="s">
        <v>45</v>
      </c>
      <c r="K2268">
        <v>134.03865367133</v>
      </c>
      <c r="L2268">
        <v>1961.6210812088441</v>
      </c>
    </row>
    <row r="2269" spans="1:12" hidden="1" x14ac:dyDescent="0.25">
      <c r="A2269">
        <v>2022</v>
      </c>
      <c r="B2269" t="s">
        <v>12</v>
      </c>
      <c r="C2269">
        <v>1661828611.2385321</v>
      </c>
      <c r="D2269" t="s">
        <v>77</v>
      </c>
      <c r="E2269" t="s">
        <v>14</v>
      </c>
      <c r="F2269" t="s">
        <v>76</v>
      </c>
      <c r="H2269" t="s">
        <v>59</v>
      </c>
      <c r="K2269">
        <v>182.56944637426</v>
      </c>
      <c r="L2269">
        <v>910.24464621087282</v>
      </c>
    </row>
    <row r="2270" spans="1:12" hidden="1" x14ac:dyDescent="0.25">
      <c r="A2270">
        <v>2022</v>
      </c>
      <c r="B2270" t="s">
        <v>12</v>
      </c>
      <c r="C2270">
        <v>53780888.761467889</v>
      </c>
      <c r="D2270" t="s">
        <v>77</v>
      </c>
      <c r="E2270" t="s">
        <v>14</v>
      </c>
      <c r="F2270" t="s">
        <v>76</v>
      </c>
      <c r="H2270" t="s">
        <v>57</v>
      </c>
      <c r="K2270">
        <v>123.96393010113999</v>
      </c>
      <c r="L2270">
        <v>43.384304384016389</v>
      </c>
    </row>
    <row r="2271" spans="1:12" hidden="1" x14ac:dyDescent="0.25">
      <c r="A2271">
        <v>2022</v>
      </c>
      <c r="B2271" t="s">
        <v>12</v>
      </c>
      <c r="C2271">
        <v>2976105964.449543</v>
      </c>
      <c r="D2271" t="s">
        <v>77</v>
      </c>
      <c r="E2271" t="s">
        <v>14</v>
      </c>
      <c r="F2271" t="s">
        <v>76</v>
      </c>
      <c r="H2271" t="s">
        <v>43</v>
      </c>
      <c r="K2271">
        <v>134.03865367133</v>
      </c>
      <c r="L2271">
        <v>2220.334122235452</v>
      </c>
    </row>
    <row r="2272" spans="1:12" hidden="1" x14ac:dyDescent="0.25">
      <c r="A2272">
        <v>2022</v>
      </c>
      <c r="B2272" t="s">
        <v>12</v>
      </c>
      <c r="C2272">
        <v>5253989401.3761492</v>
      </c>
      <c r="D2272" t="s">
        <v>77</v>
      </c>
      <c r="E2272" t="s">
        <v>14</v>
      </c>
      <c r="F2272" t="s">
        <v>76</v>
      </c>
      <c r="H2272" t="s">
        <v>31</v>
      </c>
      <c r="K2272">
        <v>120.87292541591999</v>
      </c>
      <c r="L2272">
        <v>4346.7049244463424</v>
      </c>
    </row>
    <row r="2273" spans="1:12" hidden="1" x14ac:dyDescent="0.25">
      <c r="A2273">
        <v>2022</v>
      </c>
      <c r="B2273" t="s">
        <v>12</v>
      </c>
      <c r="C2273">
        <v>131987314.22018351</v>
      </c>
      <c r="D2273" t="s">
        <v>77</v>
      </c>
      <c r="E2273" t="s">
        <v>14</v>
      </c>
      <c r="F2273" t="s">
        <v>76</v>
      </c>
      <c r="H2273" t="s">
        <v>25</v>
      </c>
      <c r="K2273">
        <v>56.539869603999001</v>
      </c>
      <c r="L2273">
        <v>233.44113657249781</v>
      </c>
    </row>
    <row r="2274" spans="1:12" hidden="1" x14ac:dyDescent="0.25">
      <c r="A2274">
        <v>2022</v>
      </c>
      <c r="B2274" t="s">
        <v>12</v>
      </c>
      <c r="C2274">
        <v>3148824114.6788979</v>
      </c>
      <c r="D2274" t="s">
        <v>77</v>
      </c>
      <c r="E2274" t="s">
        <v>14</v>
      </c>
      <c r="F2274" t="s">
        <v>76</v>
      </c>
      <c r="H2274" t="s">
        <v>41</v>
      </c>
      <c r="K2274">
        <v>175.63081008859999</v>
      </c>
      <c r="L2274">
        <v>1792.865450595154</v>
      </c>
    </row>
    <row r="2275" spans="1:12" hidden="1" x14ac:dyDescent="0.25">
      <c r="A2275">
        <v>2022</v>
      </c>
      <c r="B2275" t="s">
        <v>12</v>
      </c>
      <c r="C2275">
        <v>51873663.990825683</v>
      </c>
      <c r="D2275" t="s">
        <v>77</v>
      </c>
      <c r="E2275" t="s">
        <v>14</v>
      </c>
      <c r="F2275" t="s">
        <v>76</v>
      </c>
      <c r="H2275" t="s">
        <v>27</v>
      </c>
      <c r="K2275">
        <v>56.539869603999001</v>
      </c>
      <c r="L2275">
        <v>91.74705275081979</v>
      </c>
    </row>
    <row r="2276" spans="1:12" hidden="1" x14ac:dyDescent="0.25">
      <c r="A2276">
        <v>2022</v>
      </c>
      <c r="B2276" t="s">
        <v>12</v>
      </c>
      <c r="C2276">
        <v>19393764.908256881</v>
      </c>
      <c r="D2276" t="s">
        <v>77</v>
      </c>
      <c r="E2276" t="s">
        <v>14</v>
      </c>
      <c r="F2276" t="s">
        <v>76</v>
      </c>
      <c r="H2276" t="s">
        <v>49</v>
      </c>
      <c r="K2276">
        <v>123.96393010113999</v>
      </c>
      <c r="L2276">
        <v>15.64468381442396</v>
      </c>
    </row>
    <row r="2277" spans="1:12" hidden="1" x14ac:dyDescent="0.25">
      <c r="A2277">
        <v>2022</v>
      </c>
      <c r="B2277" t="s">
        <v>12</v>
      </c>
      <c r="C2277">
        <v>2900193349.7706399</v>
      </c>
      <c r="D2277" t="s">
        <v>77</v>
      </c>
      <c r="E2277" t="s">
        <v>14</v>
      </c>
      <c r="F2277" t="s">
        <v>76</v>
      </c>
      <c r="H2277" t="s">
        <v>47</v>
      </c>
      <c r="K2277">
        <v>123.96393010113999</v>
      </c>
      <c r="L2277">
        <v>2339.5461465318372</v>
      </c>
    </row>
    <row r="2278" spans="1:12" hidden="1" x14ac:dyDescent="0.25">
      <c r="A2278">
        <v>2022</v>
      </c>
      <c r="B2278" t="s">
        <v>12</v>
      </c>
      <c r="C2278">
        <v>1497825354.3577991</v>
      </c>
      <c r="D2278" t="s">
        <v>77</v>
      </c>
      <c r="E2278" t="s">
        <v>14</v>
      </c>
      <c r="F2278" t="s">
        <v>76</v>
      </c>
      <c r="H2278" t="s">
        <v>39</v>
      </c>
      <c r="K2278">
        <v>175.63081008859999</v>
      </c>
      <c r="L2278">
        <v>852.8260808010823</v>
      </c>
    </row>
    <row r="2279" spans="1:12" hidden="1" x14ac:dyDescent="0.25">
      <c r="A2279">
        <v>2022</v>
      </c>
      <c r="B2279" t="s">
        <v>12</v>
      </c>
      <c r="C2279">
        <v>322786337.15596342</v>
      </c>
      <c r="D2279" t="s">
        <v>77</v>
      </c>
      <c r="E2279" t="s">
        <v>14</v>
      </c>
      <c r="F2279" t="s">
        <v>76</v>
      </c>
      <c r="H2279" t="s">
        <v>23</v>
      </c>
      <c r="K2279">
        <v>56.539869603999001</v>
      </c>
      <c r="L2279">
        <v>570.90039191235257</v>
      </c>
    </row>
    <row r="2280" spans="1:12" hidden="1" x14ac:dyDescent="0.25">
      <c r="A2280">
        <v>2022</v>
      </c>
      <c r="B2280" t="s">
        <v>12</v>
      </c>
      <c r="C2280">
        <v>15992469600.917431</v>
      </c>
      <c r="D2280" t="s">
        <v>77</v>
      </c>
      <c r="E2280" t="s">
        <v>14</v>
      </c>
      <c r="F2280" t="s">
        <v>76</v>
      </c>
      <c r="H2280" t="s">
        <v>37</v>
      </c>
      <c r="K2280">
        <v>175.63081008859999</v>
      </c>
      <c r="L2280">
        <v>9105.7312739431964</v>
      </c>
    </row>
    <row r="2281" spans="1:12" hidden="1" x14ac:dyDescent="0.25">
      <c r="A2281">
        <v>2022</v>
      </c>
      <c r="B2281" t="s">
        <v>12</v>
      </c>
      <c r="C2281">
        <v>69074417.431192666</v>
      </c>
      <c r="D2281" t="s">
        <v>77</v>
      </c>
      <c r="E2281" t="s">
        <v>14</v>
      </c>
      <c r="F2281" t="s">
        <v>76</v>
      </c>
      <c r="H2281" t="s">
        <v>55</v>
      </c>
      <c r="K2281">
        <v>123.96393010113999</v>
      </c>
      <c r="L2281">
        <v>55.721383933887907</v>
      </c>
    </row>
    <row r="2282" spans="1:12" hidden="1" x14ac:dyDescent="0.25">
      <c r="A2282">
        <v>2022</v>
      </c>
      <c r="B2282" t="s">
        <v>12</v>
      </c>
      <c r="C2282">
        <v>281791061.9266054</v>
      </c>
      <c r="D2282" t="s">
        <v>77</v>
      </c>
      <c r="E2282" t="s">
        <v>14</v>
      </c>
      <c r="F2282" t="s">
        <v>76</v>
      </c>
      <c r="H2282" t="s">
        <v>33</v>
      </c>
      <c r="K2282">
        <v>120.87292541591999</v>
      </c>
      <c r="L2282">
        <v>233.13000902143389</v>
      </c>
    </row>
    <row r="2283" spans="1:12" hidden="1" x14ac:dyDescent="0.25">
      <c r="A2283">
        <v>2022</v>
      </c>
      <c r="B2283" t="s">
        <v>12</v>
      </c>
      <c r="C2283">
        <v>156313067.6605505</v>
      </c>
      <c r="D2283" t="s">
        <v>77</v>
      </c>
      <c r="E2283" t="s">
        <v>14</v>
      </c>
      <c r="F2283" t="s">
        <v>76</v>
      </c>
      <c r="H2283" t="s">
        <v>61</v>
      </c>
      <c r="K2283">
        <v>138.33137560220001</v>
      </c>
      <c r="L2283">
        <v>112.9989975015216</v>
      </c>
    </row>
    <row r="2284" spans="1:12" hidden="1" x14ac:dyDescent="0.25">
      <c r="A2284">
        <v>2022</v>
      </c>
      <c r="B2284" t="s">
        <v>12</v>
      </c>
      <c r="C2284">
        <v>4856036329.1284399</v>
      </c>
      <c r="D2284" t="s">
        <v>77</v>
      </c>
      <c r="E2284" t="s">
        <v>14</v>
      </c>
      <c r="F2284" t="s">
        <v>76</v>
      </c>
      <c r="H2284" t="s">
        <v>29</v>
      </c>
      <c r="K2284">
        <v>182.56944637426</v>
      </c>
      <c r="L2284">
        <v>2659.829684302028</v>
      </c>
    </row>
    <row r="2285" spans="1:12" hidden="1" x14ac:dyDescent="0.25">
      <c r="A2285">
        <v>2022</v>
      </c>
      <c r="B2285" t="s">
        <v>12</v>
      </c>
      <c r="C2285">
        <v>1251828145.6422009</v>
      </c>
      <c r="D2285" t="s">
        <v>77</v>
      </c>
      <c r="E2285" t="s">
        <v>14</v>
      </c>
      <c r="F2285" t="s">
        <v>76</v>
      </c>
      <c r="H2285" t="s">
        <v>63</v>
      </c>
      <c r="K2285">
        <v>123.96393010113999</v>
      </c>
      <c r="L2285">
        <v>1009.832573572697</v>
      </c>
    </row>
    <row r="2286" spans="1:12" hidden="1" x14ac:dyDescent="0.25">
      <c r="A2286">
        <v>2022</v>
      </c>
      <c r="B2286" t="s">
        <v>66</v>
      </c>
      <c r="C2286">
        <v>31478190398.009949</v>
      </c>
      <c r="D2286" t="s">
        <v>77</v>
      </c>
      <c r="E2286" t="s">
        <v>14</v>
      </c>
      <c r="F2286" t="s">
        <v>76</v>
      </c>
      <c r="H2286" t="s">
        <v>21</v>
      </c>
      <c r="K2286">
        <v>124.885983267714</v>
      </c>
      <c r="L2286">
        <v>25205.543147729539</v>
      </c>
    </row>
    <row r="2287" spans="1:12" hidden="1" x14ac:dyDescent="0.25">
      <c r="A2287">
        <v>2022</v>
      </c>
      <c r="B2287" t="s">
        <v>66</v>
      </c>
      <c r="C2287">
        <v>88914617512.43779</v>
      </c>
      <c r="D2287" t="s">
        <v>77</v>
      </c>
      <c r="E2287" t="s">
        <v>14</v>
      </c>
      <c r="F2287" t="s">
        <v>76</v>
      </c>
      <c r="H2287" t="s">
        <v>19</v>
      </c>
      <c r="K2287">
        <v>129.32654788623401</v>
      </c>
      <c r="L2287">
        <v>68752.022663323703</v>
      </c>
    </row>
    <row r="2288" spans="1:12" hidden="1" x14ac:dyDescent="0.25">
      <c r="A2288">
        <v>2022</v>
      </c>
      <c r="B2288" t="s">
        <v>66</v>
      </c>
      <c r="C2288">
        <v>900447363.18407965</v>
      </c>
      <c r="D2288" t="s">
        <v>77</v>
      </c>
      <c r="E2288" t="s">
        <v>14</v>
      </c>
      <c r="F2288" t="s">
        <v>76</v>
      </c>
      <c r="H2288" t="s">
        <v>68</v>
      </c>
      <c r="K2288">
        <v>124.885983267714</v>
      </c>
      <c r="L2288">
        <v>721.01555324573144</v>
      </c>
    </row>
    <row r="2289" spans="1:12" hidden="1" x14ac:dyDescent="0.25">
      <c r="A2289">
        <v>2022</v>
      </c>
      <c r="B2289" t="s">
        <v>66</v>
      </c>
      <c r="C2289">
        <v>35526653980.099487</v>
      </c>
      <c r="D2289" t="s">
        <v>77</v>
      </c>
      <c r="E2289" t="s">
        <v>14</v>
      </c>
      <c r="F2289" t="s">
        <v>76</v>
      </c>
      <c r="H2289" t="s">
        <v>35</v>
      </c>
      <c r="K2289">
        <v>93.717494351913203</v>
      </c>
      <c r="L2289">
        <v>37908.241386283102</v>
      </c>
    </row>
    <row r="2290" spans="1:12" hidden="1" x14ac:dyDescent="0.25">
      <c r="A2290">
        <v>2022</v>
      </c>
      <c r="B2290" t="s">
        <v>66</v>
      </c>
      <c r="C2290">
        <v>37499348756.218903</v>
      </c>
      <c r="D2290" t="s">
        <v>77</v>
      </c>
      <c r="E2290" t="s">
        <v>14</v>
      </c>
      <c r="F2290" t="s">
        <v>76</v>
      </c>
      <c r="H2290" t="s">
        <v>51</v>
      </c>
      <c r="K2290">
        <v>118.400520723024</v>
      </c>
      <c r="L2290">
        <v>31671.60796863525</v>
      </c>
    </row>
    <row r="2291" spans="1:12" hidden="1" x14ac:dyDescent="0.25">
      <c r="A2291">
        <v>2022</v>
      </c>
      <c r="B2291" t="s">
        <v>66</v>
      </c>
      <c r="C2291">
        <v>49276393383.084572</v>
      </c>
      <c r="D2291" t="s">
        <v>77</v>
      </c>
      <c r="E2291" t="s">
        <v>14</v>
      </c>
      <c r="F2291" t="s">
        <v>76</v>
      </c>
      <c r="H2291" t="s">
        <v>53</v>
      </c>
      <c r="K2291">
        <v>123.731212299186</v>
      </c>
      <c r="L2291">
        <v>39825.354061780861</v>
      </c>
    </row>
    <row r="2292" spans="1:12" hidden="1" x14ac:dyDescent="0.25">
      <c r="A2292">
        <v>2022</v>
      </c>
      <c r="B2292" t="s">
        <v>66</v>
      </c>
      <c r="C2292">
        <v>51679079452.736313</v>
      </c>
      <c r="D2292" t="s">
        <v>77</v>
      </c>
      <c r="E2292" t="s">
        <v>14</v>
      </c>
      <c r="F2292" t="s">
        <v>76</v>
      </c>
      <c r="H2292" t="s">
        <v>45</v>
      </c>
      <c r="K2292">
        <v>141.87141028890099</v>
      </c>
      <c r="L2292">
        <v>36426.704540047373</v>
      </c>
    </row>
    <row r="2293" spans="1:12" hidden="1" x14ac:dyDescent="0.25">
      <c r="A2293">
        <v>2022</v>
      </c>
      <c r="B2293" t="s">
        <v>66</v>
      </c>
      <c r="C2293">
        <v>2324420497.5124369</v>
      </c>
      <c r="D2293" t="s">
        <v>77</v>
      </c>
      <c r="E2293" t="s">
        <v>14</v>
      </c>
      <c r="F2293" t="s">
        <v>76</v>
      </c>
      <c r="H2293" t="s">
        <v>59</v>
      </c>
      <c r="K2293">
        <v>124.760255125349</v>
      </c>
      <c r="L2293">
        <v>1863.1097661487211</v>
      </c>
    </row>
    <row r="2294" spans="1:12" hidden="1" x14ac:dyDescent="0.25">
      <c r="A2294">
        <v>2022</v>
      </c>
      <c r="B2294" t="s">
        <v>66</v>
      </c>
      <c r="C2294">
        <v>1620444975.124378</v>
      </c>
      <c r="D2294" t="s">
        <v>77</v>
      </c>
      <c r="E2294" t="s">
        <v>14</v>
      </c>
      <c r="F2294" t="s">
        <v>76</v>
      </c>
      <c r="H2294" t="s">
        <v>57</v>
      </c>
      <c r="K2294">
        <v>118.92956316086899</v>
      </c>
      <c r="L2294">
        <v>1362.5249534739301</v>
      </c>
    </row>
    <row r="2295" spans="1:12" hidden="1" x14ac:dyDescent="0.25">
      <c r="A2295">
        <v>2022</v>
      </c>
      <c r="B2295" t="s">
        <v>66</v>
      </c>
      <c r="C2295">
        <v>28966013482.587059</v>
      </c>
      <c r="D2295" t="s">
        <v>77</v>
      </c>
      <c r="E2295" t="s">
        <v>14</v>
      </c>
      <c r="F2295" t="s">
        <v>76</v>
      </c>
      <c r="H2295" t="s">
        <v>43</v>
      </c>
      <c r="K2295">
        <v>129.18720398146201</v>
      </c>
      <c r="L2295">
        <v>22421.73573687964</v>
      </c>
    </row>
    <row r="2296" spans="1:12" hidden="1" x14ac:dyDescent="0.25">
      <c r="A2296">
        <v>2022</v>
      </c>
      <c r="B2296" t="s">
        <v>66</v>
      </c>
      <c r="C2296">
        <v>17846370497.51244</v>
      </c>
      <c r="D2296" t="s">
        <v>77</v>
      </c>
      <c r="E2296" t="s">
        <v>14</v>
      </c>
      <c r="F2296" t="s">
        <v>76</v>
      </c>
      <c r="H2296" t="s">
        <v>31</v>
      </c>
      <c r="K2296">
        <v>124.992774454829</v>
      </c>
      <c r="L2296">
        <v>14277.921724156869</v>
      </c>
    </row>
    <row r="2297" spans="1:12" hidden="1" x14ac:dyDescent="0.25">
      <c r="A2297">
        <v>2022</v>
      </c>
      <c r="B2297" t="s">
        <v>66</v>
      </c>
      <c r="C2297">
        <v>5597213383.0845776</v>
      </c>
      <c r="D2297" t="s">
        <v>77</v>
      </c>
      <c r="E2297" t="s">
        <v>14</v>
      </c>
      <c r="F2297" t="s">
        <v>76</v>
      </c>
      <c r="H2297" t="s">
        <v>25</v>
      </c>
      <c r="K2297">
        <v>130.309937712893</v>
      </c>
      <c r="L2297">
        <v>4295.3081563255046</v>
      </c>
    </row>
    <row r="2298" spans="1:12" hidden="1" x14ac:dyDescent="0.25">
      <c r="A2298">
        <v>2022</v>
      </c>
      <c r="B2298" t="s">
        <v>66</v>
      </c>
      <c r="C2298">
        <v>28217988308.457699</v>
      </c>
      <c r="D2298" t="s">
        <v>77</v>
      </c>
      <c r="E2298" t="s">
        <v>14</v>
      </c>
      <c r="F2298" t="s">
        <v>76</v>
      </c>
      <c r="H2298" t="s">
        <v>41</v>
      </c>
      <c r="K2298">
        <v>124.20030413134501</v>
      </c>
      <c r="L2298">
        <v>22719.741715460259</v>
      </c>
    </row>
    <row r="2299" spans="1:12" hidden="1" x14ac:dyDescent="0.25">
      <c r="A2299">
        <v>2022</v>
      </c>
      <c r="B2299" t="s">
        <v>66</v>
      </c>
      <c r="C2299">
        <v>3888908805.970149</v>
      </c>
      <c r="D2299" t="s">
        <v>77</v>
      </c>
      <c r="E2299" t="s">
        <v>14</v>
      </c>
      <c r="F2299" t="s">
        <v>76</v>
      </c>
      <c r="H2299" t="s">
        <v>27</v>
      </c>
      <c r="K2299">
        <v>114.765372402341</v>
      </c>
      <c r="L2299">
        <v>3388.573334068511</v>
      </c>
    </row>
    <row r="2300" spans="1:12" hidden="1" x14ac:dyDescent="0.25">
      <c r="A2300">
        <v>2022</v>
      </c>
      <c r="B2300" t="s">
        <v>66</v>
      </c>
      <c r="C2300">
        <v>12724921691.54229</v>
      </c>
      <c r="D2300" t="s">
        <v>77</v>
      </c>
      <c r="E2300" t="s">
        <v>14</v>
      </c>
      <c r="F2300" t="s">
        <v>76</v>
      </c>
      <c r="H2300" t="s">
        <v>49</v>
      </c>
      <c r="K2300">
        <v>113.459970516059</v>
      </c>
      <c r="L2300">
        <v>11215.340206475041</v>
      </c>
    </row>
    <row r="2301" spans="1:12" hidden="1" x14ac:dyDescent="0.25">
      <c r="A2301">
        <v>2022</v>
      </c>
      <c r="B2301" t="s">
        <v>66</v>
      </c>
      <c r="C2301">
        <v>31363530248.75621</v>
      </c>
      <c r="D2301" t="s">
        <v>77</v>
      </c>
      <c r="E2301" t="s">
        <v>14</v>
      </c>
      <c r="F2301" t="s">
        <v>76</v>
      </c>
      <c r="H2301" t="s">
        <v>47</v>
      </c>
      <c r="K2301">
        <v>134.38056482799499</v>
      </c>
      <c r="L2301">
        <v>23339.335036209319</v>
      </c>
    </row>
    <row r="2302" spans="1:12" hidden="1" x14ac:dyDescent="0.25">
      <c r="A2302">
        <v>2022</v>
      </c>
      <c r="B2302" t="s">
        <v>66</v>
      </c>
      <c r="C2302">
        <v>3138026666.666667</v>
      </c>
      <c r="D2302" t="s">
        <v>77</v>
      </c>
      <c r="E2302" t="s">
        <v>14</v>
      </c>
      <c r="F2302" t="s">
        <v>76</v>
      </c>
      <c r="H2302" t="s">
        <v>39</v>
      </c>
      <c r="K2302">
        <v>125.100295460086</v>
      </c>
      <c r="L2302">
        <v>2508.408677314334</v>
      </c>
    </row>
    <row r="2303" spans="1:12" hidden="1" x14ac:dyDescent="0.25">
      <c r="A2303">
        <v>2022</v>
      </c>
      <c r="B2303" t="s">
        <v>66</v>
      </c>
      <c r="C2303">
        <v>21066392238.805969</v>
      </c>
      <c r="D2303" t="s">
        <v>77</v>
      </c>
      <c r="E2303" t="s">
        <v>14</v>
      </c>
      <c r="F2303" t="s">
        <v>76</v>
      </c>
      <c r="H2303" t="s">
        <v>23</v>
      </c>
      <c r="K2303">
        <v>119.934366622322</v>
      </c>
      <c r="L2303">
        <v>17564.933915184509</v>
      </c>
    </row>
    <row r="2304" spans="1:12" hidden="1" x14ac:dyDescent="0.25">
      <c r="A2304">
        <v>2022</v>
      </c>
      <c r="B2304" t="s">
        <v>66</v>
      </c>
      <c r="C2304">
        <v>51736496865.671654</v>
      </c>
      <c r="D2304" t="s">
        <v>77</v>
      </c>
      <c r="E2304" t="s">
        <v>14</v>
      </c>
      <c r="F2304" t="s">
        <v>76</v>
      </c>
      <c r="H2304" t="s">
        <v>37</v>
      </c>
      <c r="K2304">
        <v>125.100295460086</v>
      </c>
      <c r="L2304">
        <v>41356.014928180957</v>
      </c>
    </row>
    <row r="2305" spans="1:12" hidden="1" x14ac:dyDescent="0.25">
      <c r="A2305">
        <v>2022</v>
      </c>
      <c r="B2305" t="s">
        <v>66</v>
      </c>
      <c r="C2305">
        <v>94748272288.557205</v>
      </c>
      <c r="D2305" t="s">
        <v>77</v>
      </c>
      <c r="E2305" t="s">
        <v>14</v>
      </c>
      <c r="F2305" t="s">
        <v>76</v>
      </c>
      <c r="H2305" t="s">
        <v>55</v>
      </c>
      <c r="K2305">
        <v>118.92956316086899</v>
      </c>
      <c r="L2305">
        <v>79667.552600354567</v>
      </c>
    </row>
    <row r="2306" spans="1:12" hidden="1" x14ac:dyDescent="0.25">
      <c r="A2306">
        <v>2022</v>
      </c>
      <c r="B2306" t="s">
        <v>66</v>
      </c>
      <c r="C2306">
        <v>845678009.95024872</v>
      </c>
      <c r="D2306" t="s">
        <v>77</v>
      </c>
      <c r="E2306" t="s">
        <v>14</v>
      </c>
      <c r="F2306" t="s">
        <v>76</v>
      </c>
      <c r="H2306" t="s">
        <v>33</v>
      </c>
      <c r="K2306">
        <v>126.864077629889</v>
      </c>
      <c r="L2306">
        <v>666.6016304610788</v>
      </c>
    </row>
    <row r="2307" spans="1:12" hidden="1" x14ac:dyDescent="0.25">
      <c r="A2307">
        <v>2022</v>
      </c>
      <c r="B2307" t="s">
        <v>66</v>
      </c>
      <c r="C2307">
        <v>746800049.75124371</v>
      </c>
      <c r="D2307" t="s">
        <v>77</v>
      </c>
      <c r="E2307" t="s">
        <v>14</v>
      </c>
      <c r="F2307" t="s">
        <v>76</v>
      </c>
      <c r="H2307" t="s">
        <v>61</v>
      </c>
      <c r="K2307">
        <v>130.09451278639801</v>
      </c>
      <c r="L2307">
        <v>574.04423426944504</v>
      </c>
    </row>
    <row r="2308" spans="1:12" hidden="1" x14ac:dyDescent="0.25">
      <c r="A2308">
        <v>2022</v>
      </c>
      <c r="B2308" t="s">
        <v>66</v>
      </c>
      <c r="C2308">
        <v>4423931791.044775</v>
      </c>
      <c r="D2308" t="s">
        <v>77</v>
      </c>
      <c r="E2308" t="s">
        <v>14</v>
      </c>
      <c r="F2308" t="s">
        <v>76</v>
      </c>
      <c r="H2308" t="s">
        <v>29</v>
      </c>
      <c r="K2308">
        <v>135.89610378926099</v>
      </c>
      <c r="L2308">
        <v>3255.377945128675</v>
      </c>
    </row>
    <row r="2309" spans="1:12" hidden="1" x14ac:dyDescent="0.25">
      <c r="A2309">
        <v>2023</v>
      </c>
      <c r="B2309" t="s">
        <v>66</v>
      </c>
      <c r="C2309">
        <v>36129545310.734459</v>
      </c>
      <c r="D2309" t="s">
        <v>77</v>
      </c>
      <c r="E2309" t="s">
        <v>14</v>
      </c>
      <c r="F2309" t="s">
        <v>76</v>
      </c>
      <c r="H2309" t="s">
        <v>21</v>
      </c>
      <c r="K2309">
        <v>131.88825158196701</v>
      </c>
      <c r="L2309">
        <v>27394.058892562061</v>
      </c>
    </row>
    <row r="2310" spans="1:12" hidden="1" x14ac:dyDescent="0.25">
      <c r="A2310">
        <v>2023</v>
      </c>
      <c r="B2310" t="s">
        <v>66</v>
      </c>
      <c r="C2310">
        <v>103901996949.1525</v>
      </c>
      <c r="D2310" t="s">
        <v>77</v>
      </c>
      <c r="E2310" t="s">
        <v>14</v>
      </c>
      <c r="F2310" t="s">
        <v>76</v>
      </c>
      <c r="H2310" t="s">
        <v>19</v>
      </c>
      <c r="K2310">
        <v>137.78728757684999</v>
      </c>
      <c r="L2310">
        <v>75407.534886846406</v>
      </c>
    </row>
    <row r="2311" spans="1:12" hidden="1" x14ac:dyDescent="0.25">
      <c r="A2311">
        <v>2023</v>
      </c>
      <c r="B2311" t="s">
        <v>66</v>
      </c>
      <c r="C2311">
        <v>1067527231.638418</v>
      </c>
      <c r="D2311" t="s">
        <v>77</v>
      </c>
      <c r="E2311" t="s">
        <v>14</v>
      </c>
      <c r="F2311" t="s">
        <v>76</v>
      </c>
      <c r="H2311" t="s">
        <v>68</v>
      </c>
      <c r="K2311">
        <v>131.88825158196701</v>
      </c>
      <c r="L2311">
        <v>809.4179874505063</v>
      </c>
    </row>
    <row r="2312" spans="1:12" hidden="1" x14ac:dyDescent="0.25">
      <c r="A2312">
        <v>2023</v>
      </c>
      <c r="B2312" t="s">
        <v>66</v>
      </c>
      <c r="C2312">
        <v>29620761186.440681</v>
      </c>
      <c r="D2312" t="s">
        <v>77</v>
      </c>
      <c r="E2312" t="s">
        <v>14</v>
      </c>
      <c r="F2312" t="s">
        <v>76</v>
      </c>
      <c r="H2312" t="s">
        <v>35</v>
      </c>
      <c r="K2312">
        <v>75.235547730506298</v>
      </c>
      <c r="L2312">
        <v>39370.69919732921</v>
      </c>
    </row>
    <row r="2313" spans="1:12" hidden="1" x14ac:dyDescent="0.25">
      <c r="A2313">
        <v>2023</v>
      </c>
      <c r="B2313" t="s">
        <v>66</v>
      </c>
      <c r="C2313">
        <v>43646576214.68927</v>
      </c>
      <c r="D2313" t="s">
        <v>77</v>
      </c>
      <c r="E2313" t="s">
        <v>14</v>
      </c>
      <c r="F2313" t="s">
        <v>76</v>
      </c>
      <c r="H2313" t="s">
        <v>51</v>
      </c>
      <c r="K2313">
        <v>122.488835983729</v>
      </c>
      <c r="L2313">
        <v>35633.105551339489</v>
      </c>
    </row>
    <row r="2314" spans="1:12" hidden="1" x14ac:dyDescent="0.25">
      <c r="A2314">
        <v>2023</v>
      </c>
      <c r="B2314" t="s">
        <v>66</v>
      </c>
      <c r="C2314">
        <v>57287373785.31073</v>
      </c>
      <c r="D2314" t="s">
        <v>77</v>
      </c>
      <c r="E2314" t="s">
        <v>14</v>
      </c>
      <c r="F2314" t="s">
        <v>76</v>
      </c>
      <c r="H2314" t="s">
        <v>53</v>
      </c>
      <c r="K2314">
        <v>130.65664198069601</v>
      </c>
      <c r="L2314">
        <v>43845.74172185958</v>
      </c>
    </row>
    <row r="2315" spans="1:12" hidden="1" x14ac:dyDescent="0.25">
      <c r="A2315">
        <v>2023</v>
      </c>
      <c r="B2315" t="s">
        <v>66</v>
      </c>
      <c r="C2315">
        <v>49785759378.531067</v>
      </c>
      <c r="D2315" t="s">
        <v>77</v>
      </c>
      <c r="E2315" t="s">
        <v>14</v>
      </c>
      <c r="F2315" t="s">
        <v>76</v>
      </c>
      <c r="H2315" t="s">
        <v>45</v>
      </c>
      <c r="K2315">
        <v>126.475336095899</v>
      </c>
      <c r="L2315">
        <v>39364.006386811569</v>
      </c>
    </row>
    <row r="2316" spans="1:12" hidden="1" x14ac:dyDescent="0.25">
      <c r="A2316">
        <v>2023</v>
      </c>
      <c r="B2316" t="s">
        <v>66</v>
      </c>
      <c r="C2316">
        <v>2599559661.0169492</v>
      </c>
      <c r="D2316" t="s">
        <v>77</v>
      </c>
      <c r="E2316" t="s">
        <v>14</v>
      </c>
      <c r="F2316" t="s">
        <v>76</v>
      </c>
      <c r="H2316" t="s">
        <v>59</v>
      </c>
      <c r="K2316">
        <v>137.57038856002899</v>
      </c>
      <c r="L2316">
        <v>1889.6215153762021</v>
      </c>
    </row>
    <row r="2317" spans="1:12" hidden="1" x14ac:dyDescent="0.25">
      <c r="A2317">
        <v>2023</v>
      </c>
      <c r="B2317" t="s">
        <v>66</v>
      </c>
      <c r="C2317">
        <v>1758150847.4576271</v>
      </c>
      <c r="D2317" t="s">
        <v>77</v>
      </c>
      <c r="E2317" t="s">
        <v>14</v>
      </c>
      <c r="F2317" t="s">
        <v>76</v>
      </c>
      <c r="H2317" t="s">
        <v>57</v>
      </c>
      <c r="K2317">
        <v>117.406234416616</v>
      </c>
      <c r="L2317">
        <v>1497.4936009094961</v>
      </c>
    </row>
    <row r="2318" spans="1:12" hidden="1" x14ac:dyDescent="0.25">
      <c r="A2318">
        <v>2023</v>
      </c>
      <c r="B2318" t="s">
        <v>66</v>
      </c>
      <c r="C2318">
        <v>33722084237.288139</v>
      </c>
      <c r="D2318" t="s">
        <v>77</v>
      </c>
      <c r="E2318" t="s">
        <v>14</v>
      </c>
      <c r="F2318" t="s">
        <v>76</v>
      </c>
      <c r="H2318" t="s">
        <v>43</v>
      </c>
      <c r="K2318">
        <v>136.67401133375901</v>
      </c>
      <c r="L2318">
        <v>24673.36980030427</v>
      </c>
    </row>
    <row r="2319" spans="1:12" hidden="1" x14ac:dyDescent="0.25">
      <c r="A2319">
        <v>2023</v>
      </c>
      <c r="B2319" t="s">
        <v>66</v>
      </c>
      <c r="C2319">
        <v>19533703615.81921</v>
      </c>
      <c r="D2319" t="s">
        <v>77</v>
      </c>
      <c r="E2319" t="s">
        <v>14</v>
      </c>
      <c r="F2319" t="s">
        <v>76</v>
      </c>
      <c r="H2319" t="s">
        <v>31</v>
      </c>
      <c r="K2319">
        <v>126.43481259036101</v>
      </c>
      <c r="L2319">
        <v>15449.624368176899</v>
      </c>
    </row>
    <row r="2320" spans="1:12" hidden="1" x14ac:dyDescent="0.25">
      <c r="A2320">
        <v>2023</v>
      </c>
      <c r="B2320" t="s">
        <v>66</v>
      </c>
      <c r="C2320">
        <v>6138644067.7966099</v>
      </c>
      <c r="D2320" t="s">
        <v>77</v>
      </c>
      <c r="E2320" t="s">
        <v>14</v>
      </c>
      <c r="F2320" t="s">
        <v>76</v>
      </c>
      <c r="H2320" t="s">
        <v>25</v>
      </c>
      <c r="K2320">
        <v>126.827473515305</v>
      </c>
      <c r="L2320">
        <v>4840.1532393971593</v>
      </c>
    </row>
    <row r="2321" spans="1:13" hidden="1" x14ac:dyDescent="0.25">
      <c r="A2321">
        <v>2023</v>
      </c>
      <c r="B2321" t="s">
        <v>66</v>
      </c>
      <c r="C2321">
        <v>30294797740.112999</v>
      </c>
      <c r="D2321" t="s">
        <v>77</v>
      </c>
      <c r="E2321" t="s">
        <v>14</v>
      </c>
      <c r="F2321" t="s">
        <v>76</v>
      </c>
      <c r="H2321" t="s">
        <v>41</v>
      </c>
      <c r="K2321">
        <v>122.42725052420499</v>
      </c>
      <c r="L2321">
        <v>24745.14261359111</v>
      </c>
    </row>
    <row r="2322" spans="1:13" hidden="1" x14ac:dyDescent="0.25">
      <c r="A2322">
        <v>2023</v>
      </c>
      <c r="B2322" t="s">
        <v>66</v>
      </c>
      <c r="C2322">
        <v>4509410056.4971752</v>
      </c>
      <c r="D2322" t="s">
        <v>77</v>
      </c>
      <c r="E2322" t="s">
        <v>14</v>
      </c>
      <c r="F2322" t="s">
        <v>76</v>
      </c>
      <c r="H2322" t="s">
        <v>27</v>
      </c>
      <c r="K2322">
        <v>121.146784451534</v>
      </c>
      <c r="L2322">
        <v>3722.269705227885</v>
      </c>
    </row>
    <row r="2323" spans="1:13" hidden="1" x14ac:dyDescent="0.25">
      <c r="A2323">
        <v>2023</v>
      </c>
      <c r="B2323" t="s">
        <v>66</v>
      </c>
      <c r="C2323">
        <v>15296018587.57062</v>
      </c>
      <c r="D2323" t="s">
        <v>77</v>
      </c>
      <c r="E2323" t="s">
        <v>14</v>
      </c>
      <c r="F2323" t="s">
        <v>76</v>
      </c>
      <c r="H2323" t="s">
        <v>49</v>
      </c>
      <c r="K2323">
        <v>115.498414548615</v>
      </c>
      <c r="L2323">
        <v>13243.487927821119</v>
      </c>
    </row>
    <row r="2324" spans="1:13" hidden="1" x14ac:dyDescent="0.25">
      <c r="A2324">
        <v>2023</v>
      </c>
      <c r="B2324" t="s">
        <v>66</v>
      </c>
      <c r="C2324">
        <v>35420393672.316383</v>
      </c>
      <c r="D2324" t="s">
        <v>77</v>
      </c>
      <c r="E2324" t="s">
        <v>14</v>
      </c>
      <c r="F2324" t="s">
        <v>76</v>
      </c>
      <c r="H2324" t="s">
        <v>47</v>
      </c>
      <c r="K2324">
        <v>134.05703540769301</v>
      </c>
      <c r="L2324">
        <v>26421.883465195409</v>
      </c>
    </row>
    <row r="2325" spans="1:13" hidden="1" x14ac:dyDescent="0.25">
      <c r="A2325">
        <v>2023</v>
      </c>
      <c r="B2325" t="s">
        <v>66</v>
      </c>
      <c r="C2325">
        <v>3664817966.1016951</v>
      </c>
      <c r="D2325" t="s">
        <v>77</v>
      </c>
      <c r="E2325" t="s">
        <v>14</v>
      </c>
      <c r="F2325" t="s">
        <v>76</v>
      </c>
      <c r="H2325" t="s">
        <v>39</v>
      </c>
      <c r="K2325">
        <v>131.56240089822001</v>
      </c>
      <c r="L2325">
        <v>2785.611953780694</v>
      </c>
    </row>
    <row r="2326" spans="1:13" hidden="1" x14ac:dyDescent="0.25">
      <c r="A2326">
        <v>2023</v>
      </c>
      <c r="B2326" t="s">
        <v>66</v>
      </c>
      <c r="C2326">
        <v>23694507175.141232</v>
      </c>
      <c r="D2326" t="s">
        <v>77</v>
      </c>
      <c r="E2326" t="s">
        <v>14</v>
      </c>
      <c r="F2326" t="s">
        <v>76</v>
      </c>
      <c r="H2326" t="s">
        <v>23</v>
      </c>
      <c r="K2326">
        <v>122.71316266715</v>
      </c>
      <c r="L2326">
        <v>19308.855431760621</v>
      </c>
    </row>
    <row r="2327" spans="1:13" hidden="1" x14ac:dyDescent="0.25">
      <c r="A2327">
        <v>2023</v>
      </c>
      <c r="B2327" t="s">
        <v>66</v>
      </c>
      <c r="C2327">
        <v>53636555536.723167</v>
      </c>
      <c r="D2327" t="s">
        <v>77</v>
      </c>
      <c r="E2327" t="s">
        <v>14</v>
      </c>
      <c r="F2327" t="s">
        <v>76</v>
      </c>
      <c r="H2327" t="s">
        <v>37</v>
      </c>
      <c r="K2327">
        <v>131.56240089822001</v>
      </c>
      <c r="L2327">
        <v>40768.909027601097</v>
      </c>
    </row>
    <row r="2328" spans="1:13" hidden="1" x14ac:dyDescent="0.25">
      <c r="A2328">
        <v>2023</v>
      </c>
      <c r="B2328" t="s">
        <v>66</v>
      </c>
      <c r="C2328">
        <v>117594672768.3616</v>
      </c>
      <c r="D2328" t="s">
        <v>77</v>
      </c>
      <c r="E2328" t="s">
        <v>14</v>
      </c>
      <c r="F2328" t="s">
        <v>76</v>
      </c>
      <c r="H2328" t="s">
        <v>55</v>
      </c>
      <c r="K2328">
        <v>117.406234416616</v>
      </c>
      <c r="L2328">
        <v>100160.5011460268</v>
      </c>
    </row>
    <row r="2329" spans="1:13" hidden="1" x14ac:dyDescent="0.25">
      <c r="A2329">
        <v>2023</v>
      </c>
      <c r="B2329" t="s">
        <v>66</v>
      </c>
      <c r="C2329">
        <v>831926384.18079102</v>
      </c>
      <c r="D2329" t="s">
        <v>77</v>
      </c>
      <c r="E2329" t="s">
        <v>14</v>
      </c>
      <c r="F2329" t="s">
        <v>76</v>
      </c>
      <c r="H2329" t="s">
        <v>33</v>
      </c>
      <c r="K2329">
        <v>133.89448111026101</v>
      </c>
      <c r="L2329">
        <v>621.3298541376821</v>
      </c>
    </row>
    <row r="2330" spans="1:13" hidden="1" x14ac:dyDescent="0.25">
      <c r="A2330">
        <v>2023</v>
      </c>
      <c r="B2330" t="s">
        <v>66</v>
      </c>
      <c r="C2330">
        <v>853282994.35028255</v>
      </c>
      <c r="D2330" t="s">
        <v>77</v>
      </c>
      <c r="E2330" t="s">
        <v>14</v>
      </c>
      <c r="F2330" t="s">
        <v>76</v>
      </c>
      <c r="H2330" t="s">
        <v>61</v>
      </c>
      <c r="K2330">
        <v>141.34852687948501</v>
      </c>
      <c r="L2330">
        <v>603.67307193643342</v>
      </c>
    </row>
    <row r="2331" spans="1:13" hidden="1" x14ac:dyDescent="0.25">
      <c r="A2331">
        <v>2023</v>
      </c>
      <c r="B2331" t="s">
        <v>66</v>
      </c>
      <c r="C2331">
        <v>4669456779.6610174</v>
      </c>
      <c r="D2331" t="s">
        <v>77</v>
      </c>
      <c r="E2331" t="s">
        <v>14</v>
      </c>
      <c r="F2331" t="s">
        <v>76</v>
      </c>
      <c r="H2331" t="s">
        <v>29</v>
      </c>
      <c r="K2331">
        <v>138.02464258179401</v>
      </c>
      <c r="L2331">
        <v>3383.0602219410762</v>
      </c>
    </row>
    <row r="2334" spans="1:13" x14ac:dyDescent="0.25">
      <c r="M2334" s="6"/>
    </row>
  </sheetData>
  <autoFilter ref="A1:L2331" xr:uid="{00000000-0001-0000-0000-000000000000}">
    <filterColumn colId="0">
      <filters>
        <filter val="2022"/>
      </filters>
    </filterColumn>
    <filterColumn colId="1">
      <filters>
        <filter val="Chile"/>
      </filters>
    </filterColumn>
    <filterColumn colId="5">
      <filters>
        <filter val="Consumo intermedio por actividad económica"/>
      </filters>
    </filterColumn>
  </autoFilter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B749-6958-40FE-8AE6-8CAD74C74377}">
  <dimension ref="A1:B26"/>
  <sheetViews>
    <sheetView workbookViewId="0">
      <selection activeCell="D18" sqref="D18"/>
    </sheetView>
  </sheetViews>
  <sheetFormatPr baseColWidth="10"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32</v>
      </c>
      <c r="B10" t="s">
        <v>33</v>
      </c>
    </row>
    <row r="11" spans="1:2" x14ac:dyDescent="0.25">
      <c r="A11" t="s">
        <v>34</v>
      </c>
      <c r="B11" t="s">
        <v>35</v>
      </c>
    </row>
    <row r="12" spans="1:2" x14ac:dyDescent="0.25">
      <c r="A12" t="s">
        <v>36</v>
      </c>
      <c r="B12" t="s">
        <v>37</v>
      </c>
    </row>
    <row r="13" spans="1:2" x14ac:dyDescent="0.25">
      <c r="A13" t="s">
        <v>38</v>
      </c>
      <c r="B13" t="s">
        <v>39</v>
      </c>
    </row>
    <row r="14" spans="1:2" x14ac:dyDescent="0.25">
      <c r="A14" t="s">
        <v>40</v>
      </c>
      <c r="B14" t="s">
        <v>41</v>
      </c>
    </row>
    <row r="15" spans="1:2" x14ac:dyDescent="0.25">
      <c r="A15" t="s">
        <v>42</v>
      </c>
      <c r="B15" t="s">
        <v>43</v>
      </c>
    </row>
    <row r="16" spans="1:2" x14ac:dyDescent="0.25">
      <c r="A16" t="s">
        <v>44</v>
      </c>
      <c r="B16" t="s">
        <v>45</v>
      </c>
    </row>
    <row r="17" spans="1:2" x14ac:dyDescent="0.25">
      <c r="A17" t="s">
        <v>46</v>
      </c>
      <c r="B17" t="s">
        <v>47</v>
      </c>
    </row>
    <row r="18" spans="1:2" x14ac:dyDescent="0.25">
      <c r="A18" t="s">
        <v>48</v>
      </c>
      <c r="B18" t="s">
        <v>49</v>
      </c>
    </row>
    <row r="19" spans="1:2" x14ac:dyDescent="0.25">
      <c r="A19" t="s">
        <v>50</v>
      </c>
      <c r="B19" t="s">
        <v>51</v>
      </c>
    </row>
    <row r="20" spans="1:2" x14ac:dyDescent="0.25">
      <c r="A20" t="s">
        <v>52</v>
      </c>
      <c r="B20" t="s">
        <v>53</v>
      </c>
    </row>
    <row r="21" spans="1:2" x14ac:dyDescent="0.25">
      <c r="A21" t="s">
        <v>54</v>
      </c>
      <c r="B21" t="s">
        <v>55</v>
      </c>
    </row>
    <row r="22" spans="1:2" x14ac:dyDescent="0.25">
      <c r="A22" t="s">
        <v>56</v>
      </c>
      <c r="B22" t="s">
        <v>57</v>
      </c>
    </row>
    <row r="23" spans="1:2" x14ac:dyDescent="0.25">
      <c r="A23" t="s">
        <v>58</v>
      </c>
      <c r="B23" t="s">
        <v>59</v>
      </c>
    </row>
    <row r="24" spans="1:2" x14ac:dyDescent="0.25">
      <c r="A24" t="s">
        <v>60</v>
      </c>
      <c r="B24" t="s">
        <v>61</v>
      </c>
    </row>
    <row r="25" spans="1:2" x14ac:dyDescent="0.25">
      <c r="A25" t="s">
        <v>62</v>
      </c>
      <c r="B25" t="s">
        <v>63</v>
      </c>
    </row>
    <row r="26" spans="1:2" x14ac:dyDescent="0.25">
      <c r="A26" t="s">
        <v>73</v>
      </c>
      <c r="B2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Prod</vt:lpstr>
      <vt:lpstr>Hoja6</vt:lpstr>
      <vt:lpstr>Costo_laboral</vt:lpstr>
      <vt:lpstr>Sheet1</vt:lpstr>
      <vt:lpstr>Hoja1</vt:lpstr>
      <vt:lpstr>PL_T</vt:lpstr>
      <vt:lpstr>CL</vt:lpstr>
      <vt:lpstr>Ocupados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2025-09-25T12:00:14Z</dcterms:created>
  <dcterms:modified xsi:type="dcterms:W3CDTF">2025-12-10T14:42:44Z</dcterms:modified>
</cp:coreProperties>
</file>